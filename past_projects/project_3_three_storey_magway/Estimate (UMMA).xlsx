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ych\AI-Chatbot-Construction\past_projects\project_3_three_storey_magway\"/>
    </mc:Choice>
  </mc:AlternateContent>
  <xr:revisionPtr revIDLastSave="0" documentId="8_{A1BECEB5-4A93-413D-8A51-98EFCEAE98DE}" xr6:coauthVersionLast="47" xr6:coauthVersionMax="47" xr10:uidLastSave="{00000000-0000-0000-0000-000000000000}"/>
  <bookViews>
    <workbookView xWindow="-110" yWindow="-110" windowWidth="25820" windowHeight="15500" tabRatio="768" activeTab="3" xr2:uid="{E9C308BF-19E2-423A-950C-72BE8C68D719}"/>
  </bookViews>
  <sheets>
    <sheet name="Rate" sheetId="16" r:id="rId1"/>
    <sheet name="Floor Area" sheetId="20" r:id="rId2"/>
    <sheet name="SUM" sheetId="14" state="hidden" r:id="rId3"/>
    <sheet name="Summary" sheetId="24" r:id="rId4"/>
    <sheet name="BQ-YB" sheetId="11" r:id="rId5"/>
    <sheet name="AC" sheetId="8" r:id="rId6"/>
    <sheet name="BE" sheetId="7" r:id="rId7"/>
    <sheet name="Detail" sheetId="13" r:id="rId8"/>
    <sheet name="Cement" sheetId="17" state="hidden" r:id="rId9"/>
  </sheets>
  <definedNames>
    <definedName name="_xlnm._FilterDatabase" localSheetId="6" hidden="1">BE!$A$4:$G$390</definedName>
    <definedName name="_xlnm._FilterDatabase" localSheetId="4" hidden="1">'BQ-YB'!$B$6:$B$35</definedName>
    <definedName name="_xlnm._FilterDatabase" localSheetId="7" hidden="1">Detail!$B$4:$B$1245</definedName>
    <definedName name="_xlnm.Print_Titles" localSheetId="5">AC!$1:$5</definedName>
    <definedName name="_xlnm.Print_Titles" localSheetId="6">BE!$1:$5</definedName>
    <definedName name="_xlnm.Print_Titles" localSheetId="4">'BQ-YB'!$1:$5</definedName>
    <definedName name="_xlnm.Print_Titles" localSheetId="7">Detail!$1:$5</definedName>
  </definedNames>
  <calcPr calcId="191029" fullCalcOnLoad="1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13" l="1"/>
  <c r="D99" i="13"/>
  <c r="D100" i="13"/>
  <c r="D28" i="8"/>
  <c r="A28" i="8"/>
  <c r="C44" i="16"/>
  <c r="C43" i="16"/>
  <c r="C42" i="16"/>
  <c r="E43" i="11"/>
  <c r="E17" i="7"/>
  <c r="C41" i="16"/>
  <c r="C40" i="16"/>
  <c r="E41" i="11" s="1"/>
  <c r="C38" i="16"/>
  <c r="C11" i="16"/>
  <c r="E19" i="11"/>
  <c r="E188" i="7" s="1"/>
  <c r="F19" i="11"/>
  <c r="F188" i="7"/>
  <c r="F209" i="7"/>
  <c r="F16" i="11"/>
  <c r="H860" i="13"/>
  <c r="H873" i="13"/>
  <c r="H883" i="13"/>
  <c r="D868" i="13"/>
  <c r="I868" i="13"/>
  <c r="D866" i="13"/>
  <c r="I866" i="13" s="1"/>
  <c r="D864" i="13"/>
  <c r="I864" i="13"/>
  <c r="D855" i="13"/>
  <c r="I855" i="13"/>
  <c r="D853" i="13"/>
  <c r="I853" i="13" s="1"/>
  <c r="D851" i="13"/>
  <c r="I851" i="13" s="1"/>
  <c r="D871" i="13"/>
  <c r="D869" i="13"/>
  <c r="D858" i="13"/>
  <c r="D856" i="13"/>
  <c r="E877" i="13"/>
  <c r="D878" i="13"/>
  <c r="I878" i="13"/>
  <c r="F875" i="13"/>
  <c r="D876" i="13"/>
  <c r="I876" i="13"/>
  <c r="E51" i="11"/>
  <c r="E24" i="7"/>
  <c r="E50" i="11"/>
  <c r="G50" i="11" s="1"/>
  <c r="E49" i="11"/>
  <c r="G56" i="11"/>
  <c r="I259" i="7" s="1"/>
  <c r="I38" i="8" s="1"/>
  <c r="J38" i="8" s="1"/>
  <c r="G55" i="11"/>
  <c r="I256" i="7" s="1"/>
  <c r="I36" i="8" s="1"/>
  <c r="J36" i="8" s="1"/>
  <c r="G54" i="11"/>
  <c r="E44" i="11"/>
  <c r="E153" i="7"/>
  <c r="F44" i="11"/>
  <c r="F9" i="11"/>
  <c r="E9" i="11"/>
  <c r="F9" i="13"/>
  <c r="E9" i="13"/>
  <c r="F6" i="13"/>
  <c r="E6" i="13"/>
  <c r="I6" i="13" s="1"/>
  <c r="J6" i="13"/>
  <c r="J7" i="13" s="1"/>
  <c r="D6" i="7" s="1"/>
  <c r="E45" i="11"/>
  <c r="E16" i="7"/>
  <c r="E42" i="11"/>
  <c r="E204" i="7"/>
  <c r="E40" i="11"/>
  <c r="E233" i="7"/>
  <c r="E39" i="11"/>
  <c r="E179" i="7" s="1"/>
  <c r="E38" i="11"/>
  <c r="E318" i="7"/>
  <c r="E34" i="11"/>
  <c r="E380" i="7" s="1"/>
  <c r="E33" i="11"/>
  <c r="E32" i="11"/>
  <c r="E364" i="7" s="1"/>
  <c r="E31" i="11"/>
  <c r="E267" i="7"/>
  <c r="E30" i="11"/>
  <c r="E326" i="7" s="1"/>
  <c r="G326" i="7" s="1"/>
  <c r="E29" i="11"/>
  <c r="E324" i="7"/>
  <c r="E28" i="11"/>
  <c r="E26" i="11"/>
  <c r="E85" i="7"/>
  <c r="E25" i="11"/>
  <c r="E24" i="11"/>
  <c r="E201" i="7" s="1"/>
  <c r="E23" i="11"/>
  <c r="E22" i="11"/>
  <c r="E303" i="7" s="1"/>
  <c r="E18" i="11"/>
  <c r="E17" i="11"/>
  <c r="E227" i="7"/>
  <c r="E15" i="11"/>
  <c r="E14" i="11"/>
  <c r="E100" i="7" s="1"/>
  <c r="E13" i="11"/>
  <c r="E174" i="7"/>
  <c r="E279" i="7"/>
  <c r="E12" i="11"/>
  <c r="E30" i="7" s="1"/>
  <c r="E11" i="11"/>
  <c r="E173" i="7"/>
  <c r="E10" i="11"/>
  <c r="E53" i="7" s="1"/>
  <c r="E8" i="11"/>
  <c r="E97" i="7"/>
  <c r="E7" i="11"/>
  <c r="C23" i="16"/>
  <c r="C15" i="16"/>
  <c r="E20" i="11"/>
  <c r="A2" i="20"/>
  <c r="F218" i="7"/>
  <c r="F175" i="7"/>
  <c r="F139" i="7"/>
  <c r="F15" i="11"/>
  <c r="F14" i="11"/>
  <c r="F100" i="7"/>
  <c r="C18" i="14"/>
  <c r="H52" i="8"/>
  <c r="A1" i="14"/>
  <c r="A1" i="20" s="1"/>
  <c r="G10" i="20"/>
  <c r="G9" i="20"/>
  <c r="G8" i="20"/>
  <c r="G7" i="20"/>
  <c r="G6" i="20"/>
  <c r="G5" i="20"/>
  <c r="G4" i="20"/>
  <c r="G11" i="20" s="1"/>
  <c r="C15" i="24" s="1"/>
  <c r="F344" i="7"/>
  <c r="B1260" i="13"/>
  <c r="F1258" i="13"/>
  <c r="F1272" i="13" s="1"/>
  <c r="E1258" i="13"/>
  <c r="E1272" i="13" s="1"/>
  <c r="D1258" i="13"/>
  <c r="I1258" i="13" s="1"/>
  <c r="I1261" i="13" s="1"/>
  <c r="D1272" i="13"/>
  <c r="I1272" i="13" s="1"/>
  <c r="I1291" i="13" s="1"/>
  <c r="F1260" i="13"/>
  <c r="D1260" i="13"/>
  <c r="I1249" i="13"/>
  <c r="I1254" i="13"/>
  <c r="D1251" i="13"/>
  <c r="E1251" i="13"/>
  <c r="F1251" i="13"/>
  <c r="G1251" i="13"/>
  <c r="H1251" i="13" s="1"/>
  <c r="D1252" i="13"/>
  <c r="E1252" i="13"/>
  <c r="F1252" i="13"/>
  <c r="G1252" i="13"/>
  <c r="G1253" i="13"/>
  <c r="F334" i="7"/>
  <c r="A48" i="8"/>
  <c r="A47" i="8"/>
  <c r="A46" i="8"/>
  <c r="D50" i="11"/>
  <c r="F23" i="7"/>
  <c r="F50" i="11"/>
  <c r="J49" i="8"/>
  <c r="J42" i="8"/>
  <c r="J40" i="8"/>
  <c r="J33" i="8"/>
  <c r="J29" i="8"/>
  <c r="J24" i="8"/>
  <c r="J20" i="8"/>
  <c r="J16" i="8"/>
  <c r="J12" i="8"/>
  <c r="C34" i="8"/>
  <c r="C36" i="8"/>
  <c r="C38" i="8"/>
  <c r="D38" i="8"/>
  <c r="D36" i="8"/>
  <c r="D34" i="8"/>
  <c r="D33" i="8"/>
  <c r="A33" i="8"/>
  <c r="I1002" i="13"/>
  <c r="G1003" i="13"/>
  <c r="I1003" i="13"/>
  <c r="E971" i="13"/>
  <c r="E972" i="13"/>
  <c r="I972" i="13" s="1"/>
  <c r="E951" i="13"/>
  <c r="B21" i="7"/>
  <c r="E259" i="7"/>
  <c r="E256" i="7"/>
  <c r="E253" i="7"/>
  <c r="F24" i="7"/>
  <c r="C21" i="7"/>
  <c r="C8" i="8"/>
  <c r="F51" i="11"/>
  <c r="F49" i="11"/>
  <c r="D49" i="11"/>
  <c r="G49" i="11"/>
  <c r="F22" i="7"/>
  <c r="G13" i="13"/>
  <c r="I13" i="13" s="1"/>
  <c r="F45" i="11"/>
  <c r="J845" i="13"/>
  <c r="I845" i="13"/>
  <c r="D842" i="13"/>
  <c r="I842" i="13"/>
  <c r="D841" i="13"/>
  <c r="D840" i="13"/>
  <c r="D839" i="13"/>
  <c r="E842" i="13"/>
  <c r="E841" i="13"/>
  <c r="I841" i="13"/>
  <c r="E840" i="13"/>
  <c r="E839" i="13"/>
  <c r="D836" i="13"/>
  <c r="D835" i="13"/>
  <c r="D834" i="13"/>
  <c r="I834" i="13" s="1"/>
  <c r="D833" i="13"/>
  <c r="I833" i="13" s="1"/>
  <c r="E836" i="13"/>
  <c r="I836" i="13" s="1"/>
  <c r="E835" i="13"/>
  <c r="I835" i="13" s="1"/>
  <c r="E834" i="13"/>
  <c r="E833" i="13"/>
  <c r="E827" i="13"/>
  <c r="J827" i="13"/>
  <c r="D827" i="13"/>
  <c r="E826" i="13"/>
  <c r="E828" i="13"/>
  <c r="D826" i="13"/>
  <c r="D828" i="13" s="1"/>
  <c r="I828" i="13" s="1"/>
  <c r="E825" i="13"/>
  <c r="D825" i="13"/>
  <c r="J825" i="13" s="1"/>
  <c r="E822" i="13"/>
  <c r="E821" i="13"/>
  <c r="E820" i="13"/>
  <c r="I820" i="13" s="1"/>
  <c r="D820" i="13"/>
  <c r="D822" i="13"/>
  <c r="E819" i="13"/>
  <c r="I819" i="13" s="1"/>
  <c r="D819" i="13"/>
  <c r="D821" i="13"/>
  <c r="E816" i="13"/>
  <c r="E815" i="13"/>
  <c r="E814" i="13"/>
  <c r="D814" i="13"/>
  <c r="D816" i="13" s="1"/>
  <c r="E813" i="13"/>
  <c r="D813" i="13"/>
  <c r="D815" i="13" s="1"/>
  <c r="E809" i="13"/>
  <c r="D809" i="13"/>
  <c r="E808" i="13"/>
  <c r="D808" i="13"/>
  <c r="I808" i="13"/>
  <c r="D806" i="13"/>
  <c r="E807" i="13"/>
  <c r="D807" i="13"/>
  <c r="E806" i="13"/>
  <c r="D802" i="13"/>
  <c r="D800" i="13"/>
  <c r="I800" i="13" s="1"/>
  <c r="D801" i="13"/>
  <c r="I801" i="13" s="1"/>
  <c r="D799" i="13"/>
  <c r="E802" i="13"/>
  <c r="E801" i="13"/>
  <c r="E800" i="13"/>
  <c r="E799" i="13"/>
  <c r="E795" i="13"/>
  <c r="E794" i="13"/>
  <c r="E793" i="13"/>
  <c r="D793" i="13"/>
  <c r="E792" i="13"/>
  <c r="D792" i="13"/>
  <c r="J792" i="13" s="1"/>
  <c r="D794" i="13"/>
  <c r="J794" i="13"/>
  <c r="D785" i="13"/>
  <c r="D787" i="13" s="1"/>
  <c r="D784" i="13"/>
  <c r="D786" i="13"/>
  <c r="E786" i="13"/>
  <c r="E784" i="13"/>
  <c r="E785" i="13"/>
  <c r="E787" i="13"/>
  <c r="E781" i="13"/>
  <c r="E780" i="13"/>
  <c r="E779" i="13"/>
  <c r="E778" i="13"/>
  <c r="D779" i="13"/>
  <c r="D778" i="13"/>
  <c r="I778" i="13" s="1"/>
  <c r="D780" i="13"/>
  <c r="I780" i="13"/>
  <c r="D772" i="13"/>
  <c r="D774" i="13" s="1"/>
  <c r="I774" i="13" s="1"/>
  <c r="D771" i="13"/>
  <c r="E774" i="13"/>
  <c r="E773" i="13"/>
  <c r="E772" i="13"/>
  <c r="E771" i="13"/>
  <c r="I771" i="13" s="1"/>
  <c r="D765" i="13"/>
  <c r="D767" i="13" s="1"/>
  <c r="I767" i="13" s="1"/>
  <c r="E768" i="13"/>
  <c r="E767" i="13"/>
  <c r="E766" i="13"/>
  <c r="I766" i="13" s="1"/>
  <c r="D766" i="13"/>
  <c r="D768" i="13"/>
  <c r="I768" i="13"/>
  <c r="E765" i="13"/>
  <c r="E760" i="13"/>
  <c r="I760" i="13" s="1"/>
  <c r="E759" i="13"/>
  <c r="D760" i="13"/>
  <c r="D762" i="13"/>
  <c r="I762" i="13" s="1"/>
  <c r="D759" i="13"/>
  <c r="E762" i="13"/>
  <c r="E761" i="13"/>
  <c r="E755" i="13"/>
  <c r="E754" i="13"/>
  <c r="E753" i="13"/>
  <c r="E752" i="13"/>
  <c r="D752" i="13"/>
  <c r="D753" i="13"/>
  <c r="D755" i="13"/>
  <c r="J755" i="13"/>
  <c r="D746" i="13"/>
  <c r="D745" i="13"/>
  <c r="D747" i="13" s="1"/>
  <c r="J747" i="13" s="1"/>
  <c r="E748" i="13"/>
  <c r="E747" i="13"/>
  <c r="E746" i="13"/>
  <c r="E745" i="13"/>
  <c r="D740" i="13"/>
  <c r="D739" i="13"/>
  <c r="E742" i="13"/>
  <c r="E741" i="13"/>
  <c r="E740" i="13"/>
  <c r="E739" i="13"/>
  <c r="E736" i="13"/>
  <c r="E734" i="13"/>
  <c r="E326" i="13"/>
  <c r="E390" i="13" s="1"/>
  <c r="F342" i="7"/>
  <c r="C340" i="7"/>
  <c r="C50" i="8"/>
  <c r="F50" i="8" s="1"/>
  <c r="B340" i="7"/>
  <c r="D50" i="8"/>
  <c r="F1240" i="13"/>
  <c r="E1240" i="13"/>
  <c r="E1239" i="13"/>
  <c r="D1240" i="13"/>
  <c r="D1239" i="13"/>
  <c r="C47" i="8"/>
  <c r="F33" i="7"/>
  <c r="F43" i="11"/>
  <c r="F42" i="11"/>
  <c r="F40" i="11"/>
  <c r="F39" i="11"/>
  <c r="F38" i="11"/>
  <c r="F205" i="7"/>
  <c r="F204" i="7"/>
  <c r="F383" i="7"/>
  <c r="F319" i="7"/>
  <c r="F318" i="7"/>
  <c r="F329" i="7"/>
  <c r="F328" i="7"/>
  <c r="F374" i="7"/>
  <c r="F373" i="7"/>
  <c r="F358" i="7"/>
  <c r="F357" i="7"/>
  <c r="F356" i="7"/>
  <c r="F336" i="7"/>
  <c r="F307" i="7"/>
  <c r="F306" i="7"/>
  <c r="F295" i="7"/>
  <c r="F294" i="7"/>
  <c r="F293" i="7"/>
  <c r="F292" i="7"/>
  <c r="F283" i="7"/>
  <c r="F282" i="7"/>
  <c r="F281" i="7"/>
  <c r="F270" i="7"/>
  <c r="F269" i="7"/>
  <c r="F248" i="7"/>
  <c r="F247" i="7"/>
  <c r="F233" i="7"/>
  <c r="F232" i="7"/>
  <c r="F231" i="7"/>
  <c r="F230" i="7"/>
  <c r="F222" i="7"/>
  <c r="F221" i="7"/>
  <c r="F220" i="7"/>
  <c r="F193" i="7"/>
  <c r="F192" i="7"/>
  <c r="F191" i="7"/>
  <c r="F190" i="7"/>
  <c r="F180" i="7"/>
  <c r="F179" i="7"/>
  <c r="F178" i="7"/>
  <c r="F165" i="7"/>
  <c r="F164" i="7"/>
  <c r="F154" i="7"/>
  <c r="F153" i="7"/>
  <c r="F152" i="7"/>
  <c r="F151" i="7"/>
  <c r="F143" i="7"/>
  <c r="F142" i="7"/>
  <c r="F141" i="7"/>
  <c r="F130" i="7"/>
  <c r="F129" i="7"/>
  <c r="F116" i="7"/>
  <c r="F115" i="7"/>
  <c r="F114" i="7"/>
  <c r="F113" i="7"/>
  <c r="F104" i="7"/>
  <c r="F103" i="7"/>
  <c r="F102" i="7"/>
  <c r="F90" i="7"/>
  <c r="F89" i="7"/>
  <c r="F79" i="7"/>
  <c r="F78" i="7"/>
  <c r="F69" i="7"/>
  <c r="F68" i="7"/>
  <c r="F67" i="7"/>
  <c r="F56" i="7"/>
  <c r="F55" i="7"/>
  <c r="F46" i="7"/>
  <c r="F45" i="7"/>
  <c r="F44" i="7"/>
  <c r="F34" i="7"/>
  <c r="F18" i="7"/>
  <c r="F17" i="7"/>
  <c r="F16" i="7"/>
  <c r="F8" i="7"/>
  <c r="F694" i="13"/>
  <c r="B695" i="13"/>
  <c r="B881" i="13"/>
  <c r="B694" i="13"/>
  <c r="B879" i="13" s="1"/>
  <c r="J184" i="13"/>
  <c r="I184" i="13"/>
  <c r="F86" i="7"/>
  <c r="E1296" i="13"/>
  <c r="I1296" i="13"/>
  <c r="J1297" i="13" s="1"/>
  <c r="D377" i="7" s="1"/>
  <c r="C29" i="11"/>
  <c r="F29" i="11" s="1"/>
  <c r="F126" i="7"/>
  <c r="F1286" i="13"/>
  <c r="F1287" i="13"/>
  <c r="I1284" i="13"/>
  <c r="I1280" i="13"/>
  <c r="I1279" i="13"/>
  <c r="I1278" i="13"/>
  <c r="I1277" i="13"/>
  <c r="E1228" i="13"/>
  <c r="I1228" i="13"/>
  <c r="E1227" i="13"/>
  <c r="I1227" i="13" s="1"/>
  <c r="E1226" i="13"/>
  <c r="I1226" i="13"/>
  <c r="E1225" i="13"/>
  <c r="I1225" i="13" s="1"/>
  <c r="G1211" i="13"/>
  <c r="F1211" i="13"/>
  <c r="G1203" i="13"/>
  <c r="E1203" i="13"/>
  <c r="I1203" i="13" s="1"/>
  <c r="G1202" i="13"/>
  <c r="E1202" i="13"/>
  <c r="D1202" i="13"/>
  <c r="B1202" i="13"/>
  <c r="B1201" i="13"/>
  <c r="G1191" i="13"/>
  <c r="E1191" i="13"/>
  <c r="D1191" i="13"/>
  <c r="B1191" i="13"/>
  <c r="G1190" i="13"/>
  <c r="E1190" i="13"/>
  <c r="D1190" i="13"/>
  <c r="B1190" i="13"/>
  <c r="G1189" i="13"/>
  <c r="E1189" i="13"/>
  <c r="D1189" i="13"/>
  <c r="H1189" i="13" s="1"/>
  <c r="B1189" i="13"/>
  <c r="G1188" i="13"/>
  <c r="E1188" i="13"/>
  <c r="D1188" i="13"/>
  <c r="H1188" i="13" s="1"/>
  <c r="B1188" i="13"/>
  <c r="G1187" i="13"/>
  <c r="E1187" i="13"/>
  <c r="H1187" i="13" s="1"/>
  <c r="D1187" i="13"/>
  <c r="B1187" i="13"/>
  <c r="G1186" i="13"/>
  <c r="D1186" i="13"/>
  <c r="E1186" i="13"/>
  <c r="B1186" i="13"/>
  <c r="B1185" i="13"/>
  <c r="G1184" i="13"/>
  <c r="E1184" i="13"/>
  <c r="D1184" i="13"/>
  <c r="H1184" i="13" s="1"/>
  <c r="B1184" i="13"/>
  <c r="G1183" i="13"/>
  <c r="E1183" i="13"/>
  <c r="D1183" i="13"/>
  <c r="B1183" i="13"/>
  <c r="G1182" i="13"/>
  <c r="E1182" i="13"/>
  <c r="D1182" i="13"/>
  <c r="B1182" i="13"/>
  <c r="G1181" i="13"/>
  <c r="E1181" i="13"/>
  <c r="D1181" i="13"/>
  <c r="B1181" i="13"/>
  <c r="G1180" i="13"/>
  <c r="E1180" i="13"/>
  <c r="H1180" i="13" s="1"/>
  <c r="D1180" i="13"/>
  <c r="B1180" i="13"/>
  <c r="G1179" i="13"/>
  <c r="E1179" i="13"/>
  <c r="D1179" i="13"/>
  <c r="B1179" i="13"/>
  <c r="D1175" i="13"/>
  <c r="G1175" i="13"/>
  <c r="E1175" i="13"/>
  <c r="B1175" i="13"/>
  <c r="G1174" i="13"/>
  <c r="E1174" i="13"/>
  <c r="D1174" i="13"/>
  <c r="H1174" i="13" s="1"/>
  <c r="B1174" i="13"/>
  <c r="G1173" i="13"/>
  <c r="E1173" i="13"/>
  <c r="D1173" i="13"/>
  <c r="H1173" i="13" s="1"/>
  <c r="B1173" i="13"/>
  <c r="G1172" i="13"/>
  <c r="E1172" i="13"/>
  <c r="H1172" i="13" s="1"/>
  <c r="D1172" i="13"/>
  <c r="B1172" i="13"/>
  <c r="G1171" i="13"/>
  <c r="E1171" i="13"/>
  <c r="D1171" i="13"/>
  <c r="B1171" i="13"/>
  <c r="G1170" i="13"/>
  <c r="E1170" i="13"/>
  <c r="D1170" i="13"/>
  <c r="B1170" i="13"/>
  <c r="B1154" i="13"/>
  <c r="B1151" i="13"/>
  <c r="B1148" i="13"/>
  <c r="B1145" i="13"/>
  <c r="B1142" i="13"/>
  <c r="B1139" i="13"/>
  <c r="B1136" i="13"/>
  <c r="B1135" i="13"/>
  <c r="B1131" i="13"/>
  <c r="B1127" i="13"/>
  <c r="B1124" i="13"/>
  <c r="B1121" i="13"/>
  <c r="B1098" i="13"/>
  <c r="B1097" i="13"/>
  <c r="B1096" i="13"/>
  <c r="B1095" i="13"/>
  <c r="B1094" i="13"/>
  <c r="B1093" i="13"/>
  <c r="B1092" i="13"/>
  <c r="G1091" i="13"/>
  <c r="E1091" i="13"/>
  <c r="D1091" i="13"/>
  <c r="I1091" i="13" s="1"/>
  <c r="B1091" i="13"/>
  <c r="B1089" i="13"/>
  <c r="B1087" i="13"/>
  <c r="B1086" i="13"/>
  <c r="B1085" i="13"/>
  <c r="G1076" i="13"/>
  <c r="G1099" i="13"/>
  <c r="F1076" i="13"/>
  <c r="F1157" i="13"/>
  <c r="G1075" i="13"/>
  <c r="G1098" i="13"/>
  <c r="F1075" i="13"/>
  <c r="F1154" i="13"/>
  <c r="E1156" i="13" s="1"/>
  <c r="G1074" i="13"/>
  <c r="F1074" i="13"/>
  <c r="F1151" i="13"/>
  <c r="G1073" i="13"/>
  <c r="G1148" i="13" s="1"/>
  <c r="E1150" i="13" s="1"/>
  <c r="F1073" i="13"/>
  <c r="F1148" i="13"/>
  <c r="D1074" i="13"/>
  <c r="D1097" i="13" s="1"/>
  <c r="D1073" i="13"/>
  <c r="D1096" i="13" s="1"/>
  <c r="D1071" i="13"/>
  <c r="D1142" i="13" s="1"/>
  <c r="D1143" i="13" s="1"/>
  <c r="D1072" i="13"/>
  <c r="D1145" i="13" s="1"/>
  <c r="D1146" i="13"/>
  <c r="G1064" i="13"/>
  <c r="F1064" i="13"/>
  <c r="F1127" i="13"/>
  <c r="G1063" i="13"/>
  <c r="F1063" i="13"/>
  <c r="F1124" i="13" s="1"/>
  <c r="G1062" i="13"/>
  <c r="G1085" i="13"/>
  <c r="F1062" i="13"/>
  <c r="F1121" i="13"/>
  <c r="E1123" i="13" s="1"/>
  <c r="G1061" i="13"/>
  <c r="G1117" i="13"/>
  <c r="F1061" i="13"/>
  <c r="F1117" i="13" s="1"/>
  <c r="E1119" i="13" s="1"/>
  <c r="D1064" i="13"/>
  <c r="D1063" i="13"/>
  <c r="D1062" i="13"/>
  <c r="D1085" i="13" s="1"/>
  <c r="D1121" i="13"/>
  <c r="D1122" i="13" s="1"/>
  <c r="D1045" i="13"/>
  <c r="D1076" i="13"/>
  <c r="D1043" i="13"/>
  <c r="E1042" i="13"/>
  <c r="I1042" i="13" s="1"/>
  <c r="E1043" i="13"/>
  <c r="E1075" i="13" s="1"/>
  <c r="E1044" i="13"/>
  <c r="H1036" i="13"/>
  <c r="G1032" i="13"/>
  <c r="H1025" i="13"/>
  <c r="H1024" i="13"/>
  <c r="G1038" i="13"/>
  <c r="G1039" i="13"/>
  <c r="E1033" i="13"/>
  <c r="E1034" i="13" s="1"/>
  <c r="E1038" i="13" s="1"/>
  <c r="G1015" i="13"/>
  <c r="G1016" i="13"/>
  <c r="G1017" i="13"/>
  <c r="E1019" i="13"/>
  <c r="E1016" i="13"/>
  <c r="I1016" i="13" s="1"/>
  <c r="E1015" i="13"/>
  <c r="G1005" i="13"/>
  <c r="I1005" i="13" s="1"/>
  <c r="G1004" i="13"/>
  <c r="I1004" i="13" s="1"/>
  <c r="G1001" i="13"/>
  <c r="I1001" i="13" s="1"/>
  <c r="G1000" i="13"/>
  <c r="I1000" i="13"/>
  <c r="G999" i="13"/>
  <c r="I999" i="13"/>
  <c r="G998" i="13"/>
  <c r="E1005" i="13"/>
  <c r="E1004" i="13"/>
  <c r="E998" i="13"/>
  <c r="I998" i="13"/>
  <c r="G983" i="13"/>
  <c r="G984" i="13"/>
  <c r="E989" i="13"/>
  <c r="E1064" i="13"/>
  <c r="H979" i="13"/>
  <c r="H980" i="13"/>
  <c r="H978" i="13"/>
  <c r="H977" i="13"/>
  <c r="H976" i="13"/>
  <c r="H975" i="13"/>
  <c r="E970" i="13"/>
  <c r="I970" i="13" s="1"/>
  <c r="G969" i="13"/>
  <c r="E969" i="13"/>
  <c r="I969" i="13"/>
  <c r="H957" i="13"/>
  <c r="H961" i="13"/>
  <c r="H960" i="13"/>
  <c r="E952" i="13"/>
  <c r="G950" i="13"/>
  <c r="G951" i="13"/>
  <c r="G952" i="13" s="1"/>
  <c r="E950" i="13"/>
  <c r="H943" i="13"/>
  <c r="H942" i="13"/>
  <c r="E934" i="13"/>
  <c r="E945" i="13"/>
  <c r="H945" i="13" s="1"/>
  <c r="E946" i="13"/>
  <c r="E1059" i="13" s="1"/>
  <c r="G933" i="13"/>
  <c r="I933" i="13"/>
  <c r="G934" i="13"/>
  <c r="E933" i="13"/>
  <c r="G890" i="13"/>
  <c r="G889" i="13"/>
  <c r="E889" i="13"/>
  <c r="E897" i="13"/>
  <c r="G888" i="13"/>
  <c r="E888" i="13"/>
  <c r="F723" i="13"/>
  <c r="E723" i="13"/>
  <c r="E720" i="13"/>
  <c r="G719" i="13"/>
  <c r="G720" i="13" s="1"/>
  <c r="E719" i="13"/>
  <c r="G709" i="13"/>
  <c r="E709" i="13"/>
  <c r="F718" i="13"/>
  <c r="E718" i="13"/>
  <c r="D718" i="13"/>
  <c r="I718" i="13" s="1"/>
  <c r="F717" i="13"/>
  <c r="E717" i="13"/>
  <c r="D717" i="13"/>
  <c r="I717" i="13" s="1"/>
  <c r="F716" i="13"/>
  <c r="D716" i="13"/>
  <c r="I716" i="13" s="1"/>
  <c r="F715" i="13"/>
  <c r="E715" i="13"/>
  <c r="D715" i="13"/>
  <c r="B717" i="13"/>
  <c r="B716" i="13"/>
  <c r="B715" i="13"/>
  <c r="B713" i="13"/>
  <c r="E708" i="13"/>
  <c r="D707" i="13"/>
  <c r="E707" i="13"/>
  <c r="F707" i="13"/>
  <c r="F706" i="13"/>
  <c r="E706" i="13"/>
  <c r="I706" i="13" s="1"/>
  <c r="D706" i="13"/>
  <c r="B706" i="13"/>
  <c r="G693" i="13"/>
  <c r="E693" i="13"/>
  <c r="I693" i="13"/>
  <c r="G692" i="13"/>
  <c r="F692" i="13"/>
  <c r="F687" i="13"/>
  <c r="F677" i="13"/>
  <c r="F711" i="13" s="1"/>
  <c r="B688" i="13"/>
  <c r="B871" i="13"/>
  <c r="B687" i="13"/>
  <c r="B869" i="13"/>
  <c r="I685" i="13"/>
  <c r="I684" i="13"/>
  <c r="G683" i="13"/>
  <c r="I683" i="13"/>
  <c r="E716" i="13"/>
  <c r="G682" i="13"/>
  <c r="I682" i="13" s="1"/>
  <c r="I689" i="13" s="1"/>
  <c r="I675" i="13"/>
  <c r="I674" i="13"/>
  <c r="G673" i="13"/>
  <c r="I673" i="13" s="1"/>
  <c r="E705" i="13"/>
  <c r="G672" i="13"/>
  <c r="E660" i="13"/>
  <c r="E659" i="13"/>
  <c r="E658" i="13"/>
  <c r="E653" i="13"/>
  <c r="E652" i="13"/>
  <c r="E651" i="13"/>
  <c r="E646" i="13"/>
  <c r="E645" i="13"/>
  <c r="E644" i="13"/>
  <c r="E639" i="13"/>
  <c r="E638" i="13"/>
  <c r="E637" i="13"/>
  <c r="E632" i="13"/>
  <c r="E631" i="13"/>
  <c r="E630" i="13"/>
  <c r="B656" i="13"/>
  <c r="B628" i="13"/>
  <c r="D628" i="13"/>
  <c r="E594" i="13"/>
  <c r="E593" i="13"/>
  <c r="E592" i="13"/>
  <c r="E587" i="13"/>
  <c r="E586" i="13"/>
  <c r="E585" i="13"/>
  <c r="E580" i="13"/>
  <c r="H580" i="13" s="1"/>
  <c r="E579" i="13"/>
  <c r="E578" i="13"/>
  <c r="D590" i="13"/>
  <c r="D591" i="13"/>
  <c r="B590" i="13"/>
  <c r="D583" i="13"/>
  <c r="B583" i="13"/>
  <c r="B576" i="13"/>
  <c r="D576" i="13"/>
  <c r="D579" i="13"/>
  <c r="D580" i="13" s="1"/>
  <c r="F570" i="13"/>
  <c r="D570" i="13"/>
  <c r="B570" i="13"/>
  <c r="F563" i="13"/>
  <c r="D563" i="13"/>
  <c r="D564" i="13" s="1"/>
  <c r="B563" i="13"/>
  <c r="B562" i="13"/>
  <c r="D556" i="13"/>
  <c r="B556" i="13"/>
  <c r="D549" i="13"/>
  <c r="B549" i="13"/>
  <c r="G542" i="13"/>
  <c r="D542" i="13"/>
  <c r="D545" i="13" s="1"/>
  <c r="D543" i="13"/>
  <c r="B542" i="13"/>
  <c r="B541" i="13"/>
  <c r="B540" i="13"/>
  <c r="E509" i="13"/>
  <c r="E508" i="13"/>
  <c r="E507" i="13"/>
  <c r="E502" i="13"/>
  <c r="E501" i="13"/>
  <c r="E500" i="13"/>
  <c r="D505" i="13"/>
  <c r="D506" i="13"/>
  <c r="D507" i="13" s="1"/>
  <c r="H507" i="13" s="1"/>
  <c r="B505" i="13"/>
  <c r="B498" i="13"/>
  <c r="D498" i="13"/>
  <c r="B474" i="13"/>
  <c r="E450" i="13"/>
  <c r="E449" i="13"/>
  <c r="E448" i="13"/>
  <c r="D446" i="13"/>
  <c r="B446" i="13"/>
  <c r="E444" i="13"/>
  <c r="E443" i="13"/>
  <c r="E442" i="13"/>
  <c r="D440" i="13"/>
  <c r="B440" i="13"/>
  <c r="H395" i="13"/>
  <c r="H382" i="13"/>
  <c r="D410" i="13"/>
  <c r="B410" i="13"/>
  <c r="D409" i="13"/>
  <c r="B409" i="13"/>
  <c r="D408" i="13"/>
  <c r="B408" i="13"/>
  <c r="D407" i="13"/>
  <c r="B407" i="13"/>
  <c r="D406" i="13"/>
  <c r="B406" i="13"/>
  <c r="D402" i="13"/>
  <c r="B402" i="13"/>
  <c r="D394" i="13"/>
  <c r="B394" i="13"/>
  <c r="D393" i="13"/>
  <c r="B393" i="13"/>
  <c r="D392" i="13"/>
  <c r="B392" i="13"/>
  <c r="D391" i="13"/>
  <c r="B391" i="13"/>
  <c r="D390" i="13"/>
  <c r="B390" i="13"/>
  <c r="B389" i="13"/>
  <c r="D388" i="13"/>
  <c r="B388" i="13"/>
  <c r="D387" i="13"/>
  <c r="B387" i="13"/>
  <c r="D386" i="13"/>
  <c r="B386" i="13"/>
  <c r="B385" i="13"/>
  <c r="B384" i="13"/>
  <c r="D376" i="13"/>
  <c r="B376" i="13"/>
  <c r="D375" i="13"/>
  <c r="B375" i="13"/>
  <c r="B364" i="13"/>
  <c r="D358" i="13"/>
  <c r="B358" i="13"/>
  <c r="D357" i="13"/>
  <c r="B357" i="13"/>
  <c r="E345" i="13"/>
  <c r="E344" i="13"/>
  <c r="E408" i="13"/>
  <c r="E343" i="13"/>
  <c r="E341" i="13"/>
  <c r="E405" i="13" s="1"/>
  <c r="F342" i="13"/>
  <c r="F635" i="13"/>
  <c r="E640" i="13" s="1"/>
  <c r="E342" i="13"/>
  <c r="G341" i="13"/>
  <c r="G405" i="13" s="1"/>
  <c r="G313" i="13"/>
  <c r="G513" i="13"/>
  <c r="C518" i="13" s="1"/>
  <c r="G326" i="13"/>
  <c r="E337" i="13"/>
  <c r="E613" i="13" s="1"/>
  <c r="G336" i="13"/>
  <c r="G606" i="13"/>
  <c r="E336" i="13"/>
  <c r="F335" i="13"/>
  <c r="E335" i="13"/>
  <c r="E327" i="13"/>
  <c r="E330" i="13"/>
  <c r="E329" i="13"/>
  <c r="E393" i="13" s="1"/>
  <c r="F328" i="13"/>
  <c r="F576" i="13" s="1"/>
  <c r="E328" i="13"/>
  <c r="E576" i="13" s="1"/>
  <c r="E321" i="13"/>
  <c r="E542" i="13"/>
  <c r="E323" i="13"/>
  <c r="G322" i="13"/>
  <c r="G549" i="13"/>
  <c r="E322" i="13"/>
  <c r="F321" i="13"/>
  <c r="E316" i="13"/>
  <c r="E381" i="13" s="1"/>
  <c r="E315" i="13"/>
  <c r="F314" i="13"/>
  <c r="F520" i="13" s="1"/>
  <c r="E314" i="13"/>
  <c r="E313" i="13"/>
  <c r="I313" i="13" s="1"/>
  <c r="E378" i="13"/>
  <c r="I378" i="13" s="1"/>
  <c r="E310" i="13"/>
  <c r="E505" i="13" s="1"/>
  <c r="G308" i="13"/>
  <c r="G309" i="13"/>
  <c r="E309" i="13"/>
  <c r="E375" i="13"/>
  <c r="E308" i="13"/>
  <c r="E491" i="13"/>
  <c r="F307" i="13"/>
  <c r="E307" i="13"/>
  <c r="E484" i="13"/>
  <c r="G303" i="13"/>
  <c r="E303" i="13"/>
  <c r="E304" i="13" s="1"/>
  <c r="E300" i="13"/>
  <c r="E363" i="13"/>
  <c r="F299" i="13"/>
  <c r="E299" i="13"/>
  <c r="G298" i="13"/>
  <c r="G299" i="13" s="1"/>
  <c r="G461" i="13" s="1"/>
  <c r="E298" i="13"/>
  <c r="E454" i="13" s="1"/>
  <c r="E295" i="13"/>
  <c r="E358" i="13"/>
  <c r="E293" i="13"/>
  <c r="E356" i="13" s="1"/>
  <c r="E294" i="13"/>
  <c r="E357" i="13"/>
  <c r="G292" i="13"/>
  <c r="E292" i="13"/>
  <c r="E427" i="13" s="1"/>
  <c r="F291" i="13"/>
  <c r="E291" i="13"/>
  <c r="E277" i="13"/>
  <c r="E269" i="13"/>
  <c r="E262" i="13"/>
  <c r="E254" i="13"/>
  <c r="E247" i="13"/>
  <c r="E239" i="13"/>
  <c r="E232" i="13"/>
  <c r="G205" i="13"/>
  <c r="G224" i="13"/>
  <c r="G202" i="13"/>
  <c r="G267" i="13"/>
  <c r="E268" i="13" s="1"/>
  <c r="G201" i="13"/>
  <c r="G197" i="13"/>
  <c r="G196" i="13"/>
  <c r="G245" i="13"/>
  <c r="E246" i="13" s="1"/>
  <c r="D197" i="13"/>
  <c r="D196" i="13"/>
  <c r="G192" i="13"/>
  <c r="I192" i="13" s="1"/>
  <c r="G191" i="13"/>
  <c r="G230" i="13" s="1"/>
  <c r="E181" i="13"/>
  <c r="G166" i="13"/>
  <c r="E171" i="13"/>
  <c r="D176" i="13"/>
  <c r="B176" i="13"/>
  <c r="D166" i="13"/>
  <c r="B166" i="13"/>
  <c r="D149" i="13"/>
  <c r="B149" i="13"/>
  <c r="G138" i="13"/>
  <c r="G149" i="13"/>
  <c r="F138" i="13"/>
  <c r="F176" i="13" s="1"/>
  <c r="E180" i="13" s="1"/>
  <c r="G136" i="13"/>
  <c r="G147" i="13" s="1"/>
  <c r="F136" i="13"/>
  <c r="F166" i="13"/>
  <c r="G137" i="13"/>
  <c r="G148" i="13"/>
  <c r="F137" i="13"/>
  <c r="E137" i="13"/>
  <c r="E148" i="13"/>
  <c r="G135" i="13"/>
  <c r="F135" i="13"/>
  <c r="E135" i="13"/>
  <c r="G132" i="13"/>
  <c r="G154" i="13" s="1"/>
  <c r="E112" i="13"/>
  <c r="E113" i="13"/>
  <c r="E107" i="13"/>
  <c r="E108" i="13"/>
  <c r="E102" i="13"/>
  <c r="E97" i="13"/>
  <c r="E92" i="13"/>
  <c r="E94" i="13"/>
  <c r="G115" i="13"/>
  <c r="F115" i="13"/>
  <c r="G110" i="13"/>
  <c r="F110" i="13"/>
  <c r="G105" i="13"/>
  <c r="F105" i="13"/>
  <c r="G100" i="13"/>
  <c r="F100" i="13"/>
  <c r="G95" i="13"/>
  <c r="G90" i="13"/>
  <c r="G85" i="13"/>
  <c r="E85" i="13"/>
  <c r="E84" i="13"/>
  <c r="G84" i="13"/>
  <c r="G79" i="13"/>
  <c r="G74" i="13"/>
  <c r="G69" i="13"/>
  <c r="G64" i="13"/>
  <c r="G62" i="13"/>
  <c r="G59" i="13"/>
  <c r="G58" i="13"/>
  <c r="G49" i="13"/>
  <c r="I49" i="13"/>
  <c r="J50" i="13" s="1"/>
  <c r="C10" i="17" s="1"/>
  <c r="G48" i="13"/>
  <c r="I48" i="13"/>
  <c r="E46" i="13"/>
  <c r="E45" i="13"/>
  <c r="E44" i="13"/>
  <c r="E43" i="13"/>
  <c r="E42" i="13"/>
  <c r="E41" i="13"/>
  <c r="E87" i="13"/>
  <c r="E90" i="13"/>
  <c r="E40" i="13"/>
  <c r="E81" i="13"/>
  <c r="E82" i="13"/>
  <c r="E83" i="13"/>
  <c r="E39" i="13"/>
  <c r="E76" i="13"/>
  <c r="E78" i="13" s="1"/>
  <c r="E38" i="13"/>
  <c r="E71" i="13"/>
  <c r="E72" i="13" s="1"/>
  <c r="E37" i="13"/>
  <c r="E66" i="13"/>
  <c r="E68" i="13"/>
  <c r="E69" i="13" s="1"/>
  <c r="E36" i="13"/>
  <c r="E61" i="13"/>
  <c r="E63" i="13"/>
  <c r="E64" i="13" s="1"/>
  <c r="E35" i="13"/>
  <c r="F35" i="13"/>
  <c r="F36" i="13" s="1"/>
  <c r="F37" i="13" s="1"/>
  <c r="I37" i="13" s="1"/>
  <c r="F38" i="13"/>
  <c r="E32" i="13"/>
  <c r="G31" i="13"/>
  <c r="D112" i="13"/>
  <c r="D113" i="13" s="1"/>
  <c r="B112" i="13"/>
  <c r="D107" i="13"/>
  <c r="B107" i="13"/>
  <c r="D102" i="13"/>
  <c r="D103" i="13"/>
  <c r="B102" i="13"/>
  <c r="B97" i="13"/>
  <c r="D92" i="13"/>
  <c r="B92" i="13"/>
  <c r="D87" i="13"/>
  <c r="B87" i="13"/>
  <c r="D81" i="13"/>
  <c r="D82" i="13"/>
  <c r="B81" i="13"/>
  <c r="B76" i="13"/>
  <c r="D71" i="13"/>
  <c r="B71" i="13"/>
  <c r="D66" i="13"/>
  <c r="D67" i="13" s="1"/>
  <c r="B66" i="13"/>
  <c r="B61" i="13"/>
  <c r="B56" i="13"/>
  <c r="G22" i="13"/>
  <c r="F22" i="13"/>
  <c r="I22" i="13" s="1"/>
  <c r="E22" i="13"/>
  <c r="G21" i="13"/>
  <c r="F21" i="13"/>
  <c r="I21" i="13" s="1"/>
  <c r="E21" i="13"/>
  <c r="E20" i="13"/>
  <c r="E19" i="13"/>
  <c r="E18" i="13"/>
  <c r="D32" i="13"/>
  <c r="D137" i="13"/>
  <c r="B32" i="13"/>
  <c r="B137" i="13"/>
  <c r="B148" i="13" s="1"/>
  <c r="D31" i="13"/>
  <c r="B31" i="13"/>
  <c r="B135" i="13" s="1"/>
  <c r="B146" i="13" s="1"/>
  <c r="B163" i="13"/>
  <c r="D30" i="13"/>
  <c r="B30" i="13"/>
  <c r="B134" i="13" s="1"/>
  <c r="B29" i="13"/>
  <c r="B133" i="13"/>
  <c r="B144" i="13" s="1"/>
  <c r="D28" i="13"/>
  <c r="B28" i="13"/>
  <c r="B132" i="13" s="1"/>
  <c r="A2" i="11"/>
  <c r="A1" i="11"/>
  <c r="A2" i="8"/>
  <c r="A1" i="8"/>
  <c r="A2" i="7"/>
  <c r="A1" i="7"/>
  <c r="F242" i="7"/>
  <c r="F200" i="7"/>
  <c r="F1282" i="13"/>
  <c r="F1283" i="13"/>
  <c r="B1283" i="13"/>
  <c r="B1287" i="13" s="1"/>
  <c r="B1282" i="13"/>
  <c r="B1286" i="13"/>
  <c r="D1242" i="13"/>
  <c r="F1242" i="13"/>
  <c r="F1241" i="13"/>
  <c r="G1239" i="13"/>
  <c r="D1210" i="13"/>
  <c r="I1210" i="13"/>
  <c r="I1209" i="13"/>
  <c r="D1066" i="13"/>
  <c r="D1089" i="13"/>
  <c r="F1066" i="13"/>
  <c r="F1131" i="13" s="1"/>
  <c r="E1133" i="13" s="1"/>
  <c r="E990" i="13"/>
  <c r="E1200" i="13"/>
  <c r="G1199" i="13"/>
  <c r="E1199" i="13"/>
  <c r="G1196" i="13"/>
  <c r="E1197" i="13"/>
  <c r="H1197" i="13" s="1"/>
  <c r="E1196" i="13"/>
  <c r="H958" i="13"/>
  <c r="H956" i="13"/>
  <c r="H955" i="13"/>
  <c r="G926" i="13"/>
  <c r="G900" i="13"/>
  <c r="F904" i="13"/>
  <c r="E907" i="13" s="1"/>
  <c r="E908" i="13"/>
  <c r="E733" i="13"/>
  <c r="D733" i="13"/>
  <c r="E625" i="13"/>
  <c r="E624" i="13"/>
  <c r="E623" i="13"/>
  <c r="E617" i="13"/>
  <c r="E616" i="13"/>
  <c r="E615" i="13"/>
  <c r="E610" i="13"/>
  <c r="H610" i="13" s="1"/>
  <c r="E609" i="13"/>
  <c r="E608" i="13"/>
  <c r="E603" i="13"/>
  <c r="E602" i="13"/>
  <c r="E601" i="13"/>
  <c r="E572" i="13"/>
  <c r="E573" i="13"/>
  <c r="E574" i="13"/>
  <c r="E567" i="13"/>
  <c r="E566" i="13"/>
  <c r="E565" i="13"/>
  <c r="E560" i="13"/>
  <c r="E559" i="13"/>
  <c r="E558" i="13"/>
  <c r="E553" i="13"/>
  <c r="E552" i="13"/>
  <c r="E551" i="13"/>
  <c r="E546" i="13"/>
  <c r="E545" i="13"/>
  <c r="E544" i="13"/>
  <c r="E538" i="13"/>
  <c r="E537" i="13"/>
  <c r="E536" i="13"/>
  <c r="E531" i="13"/>
  <c r="E530" i="13"/>
  <c r="E529" i="13"/>
  <c r="E524" i="13"/>
  <c r="E523" i="13"/>
  <c r="E522" i="13"/>
  <c r="E495" i="13"/>
  <c r="E494" i="13"/>
  <c r="E493" i="13"/>
  <c r="E517" i="13"/>
  <c r="E516" i="13"/>
  <c r="E515" i="13"/>
  <c r="E488" i="13"/>
  <c r="E487" i="13"/>
  <c r="E486" i="13"/>
  <c r="E479" i="13"/>
  <c r="E478" i="13"/>
  <c r="E477" i="13"/>
  <c r="D656" i="13"/>
  <c r="D649" i="13"/>
  <c r="D654" i="13" s="1"/>
  <c r="B649" i="13"/>
  <c r="D642" i="13"/>
  <c r="D643" i="13" s="1"/>
  <c r="B642" i="13"/>
  <c r="D635" i="13"/>
  <c r="B635" i="13"/>
  <c r="D621" i="13"/>
  <c r="D622" i="13" s="1"/>
  <c r="B621" i="13"/>
  <c r="B620" i="13"/>
  <c r="D613" i="13"/>
  <c r="B613" i="13"/>
  <c r="D606" i="13"/>
  <c r="D607" i="13"/>
  <c r="B606" i="13"/>
  <c r="G599" i="13"/>
  <c r="D599" i="13"/>
  <c r="D602" i="13" s="1"/>
  <c r="B599" i="13"/>
  <c r="B598" i="13"/>
  <c r="B597" i="13"/>
  <c r="D534" i="13"/>
  <c r="B534" i="13"/>
  <c r="D527" i="13"/>
  <c r="D528" i="13" s="1"/>
  <c r="B527" i="13"/>
  <c r="D520" i="13"/>
  <c r="D521" i="13" s="1"/>
  <c r="B520" i="13"/>
  <c r="F513" i="13"/>
  <c r="D513" i="13"/>
  <c r="B513" i="13"/>
  <c r="B512" i="13"/>
  <c r="D491" i="13"/>
  <c r="B491" i="13"/>
  <c r="D484" i="13"/>
  <c r="D487" i="13"/>
  <c r="D488" i="13" s="1"/>
  <c r="H488" i="13" s="1"/>
  <c r="D485" i="13"/>
  <c r="B484" i="13"/>
  <c r="B483" i="13"/>
  <c r="B482" i="13"/>
  <c r="D475" i="13"/>
  <c r="B475" i="13"/>
  <c r="E472" i="13"/>
  <c r="E471" i="13"/>
  <c r="E470" i="13"/>
  <c r="B468" i="13"/>
  <c r="E465" i="13"/>
  <c r="H465" i="13" s="1"/>
  <c r="E464" i="13"/>
  <c r="E463" i="13"/>
  <c r="E438" i="13"/>
  <c r="E437" i="13"/>
  <c r="E436" i="13"/>
  <c r="E431" i="13"/>
  <c r="E430" i="13"/>
  <c r="E429" i="13"/>
  <c r="D434" i="13"/>
  <c r="B434" i="13"/>
  <c r="B380" i="13"/>
  <c r="B379" i="13"/>
  <c r="B378" i="13"/>
  <c r="B373" i="13"/>
  <c r="D365" i="13"/>
  <c r="B365" i="13"/>
  <c r="B361" i="13"/>
  <c r="D356" i="13"/>
  <c r="B356" i="13"/>
  <c r="F267" i="13"/>
  <c r="E267" i="13"/>
  <c r="E271" i="13" s="1"/>
  <c r="B267" i="13"/>
  <c r="F252" i="13"/>
  <c r="E252" i="13"/>
  <c r="B252" i="13"/>
  <c r="F237" i="13"/>
  <c r="E237" i="13"/>
  <c r="E241" i="13" s="1"/>
  <c r="D237" i="13"/>
  <c r="B237" i="13"/>
  <c r="E221" i="13"/>
  <c r="B221" i="13"/>
  <c r="E217" i="13"/>
  <c r="B217" i="13"/>
  <c r="E213" i="13"/>
  <c r="D213" i="13"/>
  <c r="B213" i="13"/>
  <c r="G125" i="13"/>
  <c r="G124" i="13"/>
  <c r="F123" i="13"/>
  <c r="F125" i="13" s="1"/>
  <c r="E125" i="13"/>
  <c r="E124" i="13"/>
  <c r="G122" i="13"/>
  <c r="G121" i="13"/>
  <c r="G120" i="13"/>
  <c r="F120" i="13"/>
  <c r="F122" i="13"/>
  <c r="G113" i="13"/>
  <c r="F113" i="13"/>
  <c r="I113" i="13" s="1"/>
  <c r="G108" i="13"/>
  <c r="F108" i="13"/>
  <c r="I108" i="13" s="1"/>
  <c r="G103" i="13"/>
  <c r="F103" i="13"/>
  <c r="G98" i="13"/>
  <c r="F98" i="13"/>
  <c r="G93" i="13"/>
  <c r="F93" i="13"/>
  <c r="G88" i="13"/>
  <c r="F88" i="13"/>
  <c r="G82" i="13"/>
  <c r="F82" i="13"/>
  <c r="G77" i="13"/>
  <c r="F77" i="13"/>
  <c r="G72" i="13"/>
  <c r="F72" i="13"/>
  <c r="G67" i="13"/>
  <c r="F67" i="13"/>
  <c r="D116" i="13"/>
  <c r="B116" i="13"/>
  <c r="F62" i="13"/>
  <c r="G57" i="13"/>
  <c r="F57" i="13"/>
  <c r="D123" i="13"/>
  <c r="D125" i="13"/>
  <c r="G30" i="13"/>
  <c r="G29" i="13"/>
  <c r="G28" i="13"/>
  <c r="G20" i="13"/>
  <c r="G19" i="13"/>
  <c r="J926" i="13"/>
  <c r="I926" i="13"/>
  <c r="B238" i="7" s="1"/>
  <c r="H926" i="13"/>
  <c r="F1274" i="13"/>
  <c r="F1275" i="13" s="1"/>
  <c r="G1258" i="13"/>
  <c r="G1260" i="13"/>
  <c r="F1239" i="13"/>
  <c r="G1028" i="13"/>
  <c r="G1029" i="13"/>
  <c r="D916" i="13"/>
  <c r="D900" i="13"/>
  <c r="E920" i="13"/>
  <c r="E922" i="13"/>
  <c r="D723" i="13"/>
  <c r="D712" i="13"/>
  <c r="D711" i="13"/>
  <c r="F712" i="13"/>
  <c r="B678" i="13"/>
  <c r="B712" i="13" s="1"/>
  <c r="B858" i="13"/>
  <c r="B677" i="13"/>
  <c r="F705" i="13"/>
  <c r="F704" i="13"/>
  <c r="E458" i="13"/>
  <c r="E457" i="13"/>
  <c r="E456" i="13"/>
  <c r="D468" i="13"/>
  <c r="D471" i="13" s="1"/>
  <c r="D472" i="13" s="1"/>
  <c r="D461" i="13"/>
  <c r="D464" i="13"/>
  <c r="B461" i="13"/>
  <c r="D454" i="13"/>
  <c r="B454" i="13"/>
  <c r="B453" i="13"/>
  <c r="D427" i="13"/>
  <c r="D428" i="13" s="1"/>
  <c r="B427" i="13"/>
  <c r="E423" i="13"/>
  <c r="H423" i="13" s="1"/>
  <c r="D405" i="13"/>
  <c r="B405" i="13"/>
  <c r="B404" i="13"/>
  <c r="D401" i="13"/>
  <c r="B401" i="13"/>
  <c r="D400" i="13"/>
  <c r="B400" i="13"/>
  <c r="B399" i="13"/>
  <c r="D381" i="13"/>
  <c r="B381" i="13"/>
  <c r="D380" i="13"/>
  <c r="D379" i="13"/>
  <c r="D374" i="13"/>
  <c r="B374" i="13"/>
  <c r="D363" i="13"/>
  <c r="B363" i="13"/>
  <c r="D355" i="13"/>
  <c r="I355" i="13" s="1"/>
  <c r="B355" i="13"/>
  <c r="F621" i="13"/>
  <c r="G420" i="13"/>
  <c r="E421" i="13" s="1"/>
  <c r="F275" i="13"/>
  <c r="E275" i="13"/>
  <c r="D275" i="13"/>
  <c r="D276" i="13" s="1"/>
  <c r="D277" i="13" s="1"/>
  <c r="I277" i="13" s="1"/>
  <c r="B275" i="13"/>
  <c r="B274" i="13"/>
  <c r="F260" i="13"/>
  <c r="E260" i="13"/>
  <c r="B260" i="13"/>
  <c r="B259" i="13"/>
  <c r="F245" i="13"/>
  <c r="E245" i="13"/>
  <c r="B245" i="13"/>
  <c r="B244" i="13"/>
  <c r="E224" i="13"/>
  <c r="D224" i="13"/>
  <c r="B224" i="13"/>
  <c r="B223" i="13"/>
  <c r="E220" i="13"/>
  <c r="B220" i="13"/>
  <c r="B219" i="13"/>
  <c r="E216" i="13"/>
  <c r="B216" i="13"/>
  <c r="B215" i="13"/>
  <c r="G133" i="13"/>
  <c r="B83" i="13"/>
  <c r="B99" i="13"/>
  <c r="B78" i="13"/>
  <c r="B94" i="13" s="1"/>
  <c r="G36" i="13"/>
  <c r="G37" i="13"/>
  <c r="G38" i="13"/>
  <c r="G39" i="13" s="1"/>
  <c r="G40" i="13" s="1"/>
  <c r="G41" i="13" s="1"/>
  <c r="G42" i="13" s="1"/>
  <c r="G43" i="13" s="1"/>
  <c r="G44" i="13"/>
  <c r="G45" i="13" s="1"/>
  <c r="G46" i="13"/>
  <c r="G18" i="13"/>
  <c r="F898" i="13"/>
  <c r="E916" i="13"/>
  <c r="D230" i="13"/>
  <c r="G160" i="13"/>
  <c r="E157" i="13"/>
  <c r="E158" i="13"/>
  <c r="C32" i="8"/>
  <c r="F244" i="7"/>
  <c r="F243" i="7"/>
  <c r="F241" i="7"/>
  <c r="F245" i="7"/>
  <c r="F228" i="7"/>
  <c r="F227" i="7"/>
  <c r="F226" i="7"/>
  <c r="F217" i="7"/>
  <c r="F216" i="7"/>
  <c r="F215" i="7"/>
  <c r="F214" i="7"/>
  <c r="F202" i="7"/>
  <c r="F201" i="7"/>
  <c r="F187" i="7"/>
  <c r="F186" i="7"/>
  <c r="F185" i="7"/>
  <c r="F174" i="7"/>
  <c r="F173" i="7"/>
  <c r="F172" i="7"/>
  <c r="F171" i="7"/>
  <c r="B235" i="7"/>
  <c r="D32" i="8"/>
  <c r="B224" i="7"/>
  <c r="D31" i="8"/>
  <c r="C224" i="7"/>
  <c r="C31" i="8" s="1"/>
  <c r="C212" i="7"/>
  <c r="C30" i="8" s="1"/>
  <c r="B212" i="7"/>
  <c r="D30" i="8" s="1"/>
  <c r="B211" i="7"/>
  <c r="D29" i="8"/>
  <c r="A211" i="7"/>
  <c r="A29" i="8"/>
  <c r="B196" i="7"/>
  <c r="D27" i="8" s="1"/>
  <c r="C183" i="7"/>
  <c r="C26" i="8"/>
  <c r="B183" i="7"/>
  <c r="D26" i="8"/>
  <c r="C169" i="7"/>
  <c r="C25" i="8" s="1"/>
  <c r="F25" i="8"/>
  <c r="B169" i="7"/>
  <c r="D25" i="8" s="1"/>
  <c r="B168" i="7"/>
  <c r="D24" i="8"/>
  <c r="A168" i="7"/>
  <c r="A24" i="8" s="1"/>
  <c r="D1207" i="13"/>
  <c r="I1207" i="13" s="1"/>
  <c r="D1200" i="13"/>
  <c r="B1200" i="13"/>
  <c r="D1199" i="13"/>
  <c r="H1199" i="13" s="1"/>
  <c r="B1199" i="13"/>
  <c r="B1198" i="13"/>
  <c r="D1197" i="13"/>
  <c r="B1197" i="13"/>
  <c r="D1196" i="13"/>
  <c r="B1196" i="13"/>
  <c r="B1195" i="13"/>
  <c r="D1178" i="13"/>
  <c r="B1178" i="13"/>
  <c r="B1177" i="13"/>
  <c r="D1169" i="13"/>
  <c r="B1169" i="13"/>
  <c r="B1168" i="13"/>
  <c r="B1104" i="13"/>
  <c r="B1080" i="13"/>
  <c r="G1072" i="13"/>
  <c r="G1145" i="13" s="1"/>
  <c r="F1072" i="13"/>
  <c r="F1145" i="13" s="1"/>
  <c r="G1071" i="13"/>
  <c r="G1142" i="13" s="1"/>
  <c r="F1071" i="13"/>
  <c r="F1142" i="13" s="1"/>
  <c r="E1144" i="13" s="1"/>
  <c r="G1070" i="13"/>
  <c r="G1069" i="13"/>
  <c r="F1070" i="13"/>
  <c r="F1139" i="13"/>
  <c r="F1069" i="13"/>
  <c r="F1136" i="13"/>
  <c r="G1011" i="13"/>
  <c r="G1012" i="13"/>
  <c r="D1070" i="13"/>
  <c r="D1093" i="13"/>
  <c r="D1069" i="13"/>
  <c r="G1060" i="13"/>
  <c r="G1083" i="13" s="1"/>
  <c r="F1060" i="13"/>
  <c r="F1113" i="13" s="1"/>
  <c r="G1059" i="13"/>
  <c r="G1109" i="13"/>
  <c r="F1059" i="13"/>
  <c r="F1109" i="13" s="1"/>
  <c r="G1058" i="13"/>
  <c r="G1105" i="13" s="1"/>
  <c r="F1058" i="13"/>
  <c r="F1105" i="13" s="1"/>
  <c r="E1107" i="13" s="1"/>
  <c r="D1061" i="13"/>
  <c r="D1060" i="13"/>
  <c r="D1059" i="13"/>
  <c r="D1082" i="13" s="1"/>
  <c r="D1058" i="13"/>
  <c r="G964" i="13"/>
  <c r="G965" i="13"/>
  <c r="G945" i="13"/>
  <c r="G946" i="13"/>
  <c r="B920" i="13"/>
  <c r="B916" i="13"/>
  <c r="D910" i="13"/>
  <c r="B910" i="13"/>
  <c r="B904" i="13"/>
  <c r="D904" i="13"/>
  <c r="B899" i="13"/>
  <c r="D898" i="13"/>
  <c r="B898" i="13"/>
  <c r="D897" i="13"/>
  <c r="I897" i="13" s="1"/>
  <c r="D896" i="13"/>
  <c r="B897" i="13"/>
  <c r="B896" i="13"/>
  <c r="G920" i="13"/>
  <c r="C923" i="13"/>
  <c r="D705" i="13"/>
  <c r="D704" i="13"/>
  <c r="B705" i="13"/>
  <c r="B704" i="13"/>
  <c r="D378" i="13"/>
  <c r="B377" i="13"/>
  <c r="D373" i="13"/>
  <c r="B372" i="13"/>
  <c r="B371" i="13"/>
  <c r="B362" i="13"/>
  <c r="D361" i="13"/>
  <c r="B360" i="13"/>
  <c r="B353" i="13"/>
  <c r="D362" i="13"/>
  <c r="F454" i="13"/>
  <c r="E459" i="13" s="1"/>
  <c r="F69" i="13"/>
  <c r="F64" i="13"/>
  <c r="E121" i="13"/>
  <c r="D9" i="13"/>
  <c r="B55" i="13"/>
  <c r="F59" i="13"/>
  <c r="B73" i="13"/>
  <c r="B89" i="13"/>
  <c r="B211" i="13"/>
  <c r="B212" i="13"/>
  <c r="E212" i="13"/>
  <c r="B229" i="13"/>
  <c r="B230" i="13"/>
  <c r="E230" i="13"/>
  <c r="E234" i="13" s="1"/>
  <c r="F230" i="13"/>
  <c r="E233" i="13" s="1"/>
  <c r="I282" i="13"/>
  <c r="B121" i="7" s="1"/>
  <c r="J282" i="13"/>
  <c r="B122" i="7"/>
  <c r="B352" i="13"/>
  <c r="B354" i="13"/>
  <c r="D354" i="13"/>
  <c r="B398" i="13"/>
  <c r="B418" i="13"/>
  <c r="B419" i="13"/>
  <c r="B420" i="13"/>
  <c r="D420" i="13"/>
  <c r="E422" i="13"/>
  <c r="E424" i="13"/>
  <c r="H664" i="13"/>
  <c r="B158" i="7"/>
  <c r="I664" i="13"/>
  <c r="B157" i="7" s="1"/>
  <c r="B1081" i="13"/>
  <c r="B1082" i="13"/>
  <c r="B1083" i="13"/>
  <c r="B1084" i="13"/>
  <c r="B1105" i="13"/>
  <c r="B1109" i="13"/>
  <c r="B1113" i="13"/>
  <c r="B1117" i="13"/>
  <c r="H1162" i="13"/>
  <c r="B299" i="7" s="1"/>
  <c r="I1162" i="13"/>
  <c r="B300" i="7" s="1"/>
  <c r="B1235" i="13"/>
  <c r="A6" i="7"/>
  <c r="A6" i="8" s="1"/>
  <c r="B6" i="7"/>
  <c r="D6" i="8" s="1"/>
  <c r="C6" i="7"/>
  <c r="C6" i="8"/>
  <c r="F6" i="8" s="1"/>
  <c r="A11" i="7"/>
  <c r="A7" i="8" s="1"/>
  <c r="B11" i="7"/>
  <c r="D7" i="8" s="1"/>
  <c r="C11" i="7"/>
  <c r="C7" i="8" s="1"/>
  <c r="F7" i="8"/>
  <c r="F13" i="7"/>
  <c r="F14" i="7"/>
  <c r="A28" i="7"/>
  <c r="A9" i="8" s="1"/>
  <c r="B28" i="7"/>
  <c r="C28" i="7"/>
  <c r="C9" i="8"/>
  <c r="F9" i="8"/>
  <c r="F30" i="7"/>
  <c r="F31" i="7"/>
  <c r="A37" i="7"/>
  <c r="A10" i="8" s="1"/>
  <c r="B37" i="7"/>
  <c r="D10" i="8" s="1"/>
  <c r="C37" i="7"/>
  <c r="C10" i="8"/>
  <c r="F10" i="8" s="1"/>
  <c r="F39" i="7"/>
  <c r="F40" i="7"/>
  <c r="F41" i="7"/>
  <c r="F42" i="7"/>
  <c r="A49" i="7"/>
  <c r="A11" i="8"/>
  <c r="B49" i="7"/>
  <c r="D11" i="8" s="1"/>
  <c r="C49" i="7"/>
  <c r="C11" i="8"/>
  <c r="F11" i="8"/>
  <c r="F51" i="7"/>
  <c r="F52" i="7"/>
  <c r="F53" i="7"/>
  <c r="A59" i="7"/>
  <c r="A12" i="8"/>
  <c r="B59" i="7"/>
  <c r="D12" i="8"/>
  <c r="B60" i="7"/>
  <c r="D13" i="8" s="1"/>
  <c r="C60" i="7"/>
  <c r="C13" i="8"/>
  <c r="F13" i="8"/>
  <c r="F62" i="7"/>
  <c r="F63" i="7"/>
  <c r="F64" i="7"/>
  <c r="F65" i="7"/>
  <c r="B72" i="7"/>
  <c r="D14" i="8" s="1"/>
  <c r="C72" i="7"/>
  <c r="C14" i="8"/>
  <c r="F14" i="8" s="1"/>
  <c r="F74" i="7"/>
  <c r="F75" i="7"/>
  <c r="F76" i="7"/>
  <c r="B81" i="7"/>
  <c r="D15" i="8" s="1"/>
  <c r="C15" i="8"/>
  <c r="F15" i="8"/>
  <c r="F85" i="7"/>
  <c r="F87" i="7"/>
  <c r="A93" i="7"/>
  <c r="A16" i="8" s="1"/>
  <c r="B93" i="7"/>
  <c r="D16" i="8" s="1"/>
  <c r="B94" i="7"/>
  <c r="D17" i="8"/>
  <c r="C94" i="7"/>
  <c r="C17" i="8" s="1"/>
  <c r="F17" i="8" s="1"/>
  <c r="F96" i="7"/>
  <c r="F97" i="7"/>
  <c r="F98" i="7"/>
  <c r="F99" i="7"/>
  <c r="B107" i="7"/>
  <c r="D18" i="8" s="1"/>
  <c r="C107" i="7"/>
  <c r="C18" i="8"/>
  <c r="F18" i="8" s="1"/>
  <c r="F109" i="7"/>
  <c r="F110" i="7"/>
  <c r="F111" i="7"/>
  <c r="B119" i="7"/>
  <c r="D19" i="8" s="1"/>
  <c r="F124" i="7"/>
  <c r="F125" i="7"/>
  <c r="F127" i="7"/>
  <c r="A132" i="7"/>
  <c r="A20" i="8" s="1"/>
  <c r="B132" i="7"/>
  <c r="D20" i="8"/>
  <c r="B133" i="7"/>
  <c r="D21" i="8"/>
  <c r="C133" i="7"/>
  <c r="C21" i="8"/>
  <c r="F21" i="8"/>
  <c r="F135" i="7"/>
  <c r="F136" i="7"/>
  <c r="F137" i="7"/>
  <c r="F138" i="7"/>
  <c r="B145" i="7"/>
  <c r="D22" i="8"/>
  <c r="C145" i="7"/>
  <c r="C22" i="8" s="1"/>
  <c r="F22" i="8" s="1"/>
  <c r="F147" i="7"/>
  <c r="F148" i="7"/>
  <c r="F149" i="7"/>
  <c r="B156" i="7"/>
  <c r="D23" i="8"/>
  <c r="F160" i="7"/>
  <c r="F161" i="7"/>
  <c r="F162" i="7"/>
  <c r="A41" i="8"/>
  <c r="B262" i="7"/>
  <c r="D41" i="8"/>
  <c r="C262" i="7"/>
  <c r="C41" i="8"/>
  <c r="F41" i="8" s="1"/>
  <c r="F264" i="7"/>
  <c r="F265" i="7"/>
  <c r="F266" i="7"/>
  <c r="F267" i="7"/>
  <c r="A42" i="8"/>
  <c r="B273" i="7"/>
  <c r="D42" i="8"/>
  <c r="B274" i="7"/>
  <c r="D43" i="8" s="1"/>
  <c r="C274" i="7"/>
  <c r="C43" i="8" s="1"/>
  <c r="F43" i="8"/>
  <c r="F276" i="7"/>
  <c r="F277" i="7"/>
  <c r="F278" i="7"/>
  <c r="F279" i="7"/>
  <c r="B286" i="7"/>
  <c r="D44" i="8"/>
  <c r="C286" i="7"/>
  <c r="C44" i="8"/>
  <c r="F44" i="8" s="1"/>
  <c r="F288" i="7"/>
  <c r="F289" i="7"/>
  <c r="F290" i="7"/>
  <c r="B298" i="7"/>
  <c r="D45" i="8"/>
  <c r="F302" i="7"/>
  <c r="F303" i="7"/>
  <c r="F304" i="7"/>
  <c r="B310" i="7"/>
  <c r="D46" i="8"/>
  <c r="C310" i="7"/>
  <c r="F315" i="7"/>
  <c r="F316" i="7"/>
  <c r="B322" i="7"/>
  <c r="D47" i="8"/>
  <c r="F324" i="7"/>
  <c r="F325" i="7"/>
  <c r="F326" i="7"/>
  <c r="B332" i="7"/>
  <c r="D48" i="8"/>
  <c r="C332" i="7"/>
  <c r="C48" i="8" s="1"/>
  <c r="F48" i="8" s="1"/>
  <c r="A49" i="8"/>
  <c r="B339" i="7"/>
  <c r="D49" i="8"/>
  <c r="B347" i="7"/>
  <c r="D51" i="8" s="1"/>
  <c r="C348" i="7"/>
  <c r="C349" i="7"/>
  <c r="C51" i="8"/>
  <c r="F51" i="8" s="1"/>
  <c r="F351" i="7"/>
  <c r="F352" i="7"/>
  <c r="F353" i="7"/>
  <c r="F354" i="7"/>
  <c r="B361" i="7"/>
  <c r="D52" i="8" s="1"/>
  <c r="C361" i="7"/>
  <c r="C52" i="8"/>
  <c r="F52" i="8" s="1"/>
  <c r="F364" i="7"/>
  <c r="B367" i="7"/>
  <c r="D53" i="8" s="1"/>
  <c r="C367" i="7"/>
  <c r="C53" i="8"/>
  <c r="F53" i="8"/>
  <c r="F369" i="7"/>
  <c r="F370" i="7"/>
  <c r="F371" i="7"/>
  <c r="A54" i="8"/>
  <c r="B377" i="7"/>
  <c r="D54" i="8" s="1"/>
  <c r="C377" i="7"/>
  <c r="C54" i="8"/>
  <c r="F54" i="8" s="1"/>
  <c r="F379" i="7"/>
  <c r="F380" i="7"/>
  <c r="F381" i="7"/>
  <c r="C19" i="8"/>
  <c r="F19" i="8"/>
  <c r="C23" i="8"/>
  <c r="F23" i="8"/>
  <c r="C45" i="8"/>
  <c r="F45" i="8"/>
  <c r="C46" i="8"/>
  <c r="F46" i="8" s="1"/>
  <c r="F7" i="11"/>
  <c r="F8" i="11"/>
  <c r="F10" i="11"/>
  <c r="F11" i="11"/>
  <c r="F12" i="11"/>
  <c r="F13" i="11"/>
  <c r="F17" i="11"/>
  <c r="F18" i="11"/>
  <c r="F20" i="11"/>
  <c r="F22" i="11"/>
  <c r="F23" i="11"/>
  <c r="F24" i="11"/>
  <c r="F25" i="11"/>
  <c r="F26" i="11"/>
  <c r="F28" i="11"/>
  <c r="F30" i="11"/>
  <c r="F31" i="11"/>
  <c r="C32" i="11"/>
  <c r="F32" i="11" s="1"/>
  <c r="F33" i="11"/>
  <c r="F34" i="11"/>
  <c r="E1169" i="13"/>
  <c r="E1178" i="13"/>
  <c r="E1207" i="13"/>
  <c r="E154" i="13"/>
  <c r="E155" i="13"/>
  <c r="D212" i="13"/>
  <c r="G145" i="13"/>
  <c r="E144" i="13"/>
  <c r="F154" i="13"/>
  <c r="E143" i="13"/>
  <c r="F157" i="13"/>
  <c r="E160" i="13"/>
  <c r="E161" i="13" s="1"/>
  <c r="E145" i="13"/>
  <c r="F160" i="13"/>
  <c r="F916" i="13"/>
  <c r="E898" i="13"/>
  <c r="E899" i="13"/>
  <c r="H941" i="13"/>
  <c r="G1169" i="13"/>
  <c r="H937" i="13"/>
  <c r="H940" i="13"/>
  <c r="G1178" i="13"/>
  <c r="E704" i="13"/>
  <c r="H938" i="13"/>
  <c r="I1206" i="13"/>
  <c r="E122" i="13"/>
  <c r="D120" i="13"/>
  <c r="G484" i="13"/>
  <c r="C489" i="13"/>
  <c r="F475" i="13"/>
  <c r="H411" i="13"/>
  <c r="H959" i="13"/>
  <c r="F889" i="13"/>
  <c r="F910" i="13" s="1"/>
  <c r="H939" i="13"/>
  <c r="I891" i="13"/>
  <c r="F920" i="13"/>
  <c r="E923" i="13"/>
  <c r="G1197" i="13"/>
  <c r="E892" i="13"/>
  <c r="D899" i="13"/>
  <c r="D920" i="13"/>
  <c r="J925" i="13"/>
  <c r="J927" i="13"/>
  <c r="D239" i="7" s="1"/>
  <c r="D244" i="7" s="1"/>
  <c r="H1009" i="13"/>
  <c r="H1008" i="13"/>
  <c r="G1200" i="13"/>
  <c r="I1289" i="13"/>
  <c r="G9" i="7"/>
  <c r="E735" i="13"/>
  <c r="D734" i="13"/>
  <c r="D736" i="13" s="1"/>
  <c r="J736" i="13" s="1"/>
  <c r="J734" i="13"/>
  <c r="H844" i="13"/>
  <c r="G1066" i="13"/>
  <c r="G1131" i="13" s="1"/>
  <c r="D742" i="13"/>
  <c r="J742" i="13" s="1"/>
  <c r="E513" i="13"/>
  <c r="D518" i="13" s="1"/>
  <c r="I518" i="13" s="1"/>
  <c r="E440" i="13"/>
  <c r="E62" i="13"/>
  <c r="I62" i="13" s="1"/>
  <c r="I337" i="7"/>
  <c r="I48" i="8"/>
  <c r="I345" i="7"/>
  <c r="I50" i="8"/>
  <c r="E1089" i="13"/>
  <c r="G342" i="13"/>
  <c r="G635" i="13" s="1"/>
  <c r="E636" i="13" s="1"/>
  <c r="D124" i="13"/>
  <c r="I124" i="13" s="1"/>
  <c r="E16" i="11"/>
  <c r="E209" i="7"/>
  <c r="I839" i="13"/>
  <c r="E402" i="13"/>
  <c r="E475" i="13"/>
  <c r="D1095" i="13"/>
  <c r="E583" i="13"/>
  <c r="I840" i="13"/>
  <c r="G173" i="13"/>
  <c r="G1089" i="13"/>
  <c r="G221" i="13"/>
  <c r="E376" i="13"/>
  <c r="G1081" i="13"/>
  <c r="D462" i="13"/>
  <c r="G337" i="13"/>
  <c r="G613" i="13"/>
  <c r="C618" i="13" s="1"/>
  <c r="G1154" i="13"/>
  <c r="G1082" i="13"/>
  <c r="D618" i="13"/>
  <c r="F121" i="13"/>
  <c r="F300" i="13"/>
  <c r="E95" i="13"/>
  <c r="E93" i="13"/>
  <c r="G621" i="13"/>
  <c r="E468" i="13"/>
  <c r="D473" i="13"/>
  <c r="E498" i="13"/>
  <c r="E392" i="13"/>
  <c r="E485" i="13"/>
  <c r="G323" i="13"/>
  <c r="H1170" i="13"/>
  <c r="E355" i="13"/>
  <c r="D1151" i="13"/>
  <c r="D1152" i="13" s="1"/>
  <c r="I814" i="13"/>
  <c r="F896" i="13"/>
  <c r="F897" i="13" s="1"/>
  <c r="G390" i="13"/>
  <c r="D741" i="13"/>
  <c r="D1109" i="13"/>
  <c r="I32" i="13"/>
  <c r="G216" i="13"/>
  <c r="E628" i="13"/>
  <c r="E635" i="13"/>
  <c r="D74" i="13"/>
  <c r="D73" i="13"/>
  <c r="D72" i="13"/>
  <c r="I72" i="13" s="1"/>
  <c r="D61" i="13"/>
  <c r="D62" i="13" s="1"/>
  <c r="E306" i="7"/>
  <c r="E353" i="7"/>
  <c r="D173" i="13"/>
  <c r="D380" i="7"/>
  <c r="G380" i="7" s="1"/>
  <c r="E89" i="7"/>
  <c r="E164" i="7"/>
  <c r="E269" i="7"/>
  <c r="E192" i="7"/>
  <c r="E247" i="7"/>
  <c r="E129" i="7"/>
  <c r="E294" i="7"/>
  <c r="E151" i="7"/>
  <c r="E281" i="7"/>
  <c r="E356" i="7"/>
  <c r="E41" i="7"/>
  <c r="E373" i="7"/>
  <c r="E22" i="7"/>
  <c r="I22" i="7" s="1"/>
  <c r="E78" i="7"/>
  <c r="E243" i="7"/>
  <c r="E160" i="7"/>
  <c r="E292" i="7"/>
  <c r="E103" i="7"/>
  <c r="E68" i="7"/>
  <c r="E125" i="7"/>
  <c r="E302" i="7"/>
  <c r="E282" i="7"/>
  <c r="E328" i="7"/>
  <c r="E115" i="7"/>
  <c r="E86" i="7"/>
  <c r="E113" i="7"/>
  <c r="E148" i="7"/>
  <c r="E178" i="7"/>
  <c r="E102" i="7"/>
  <c r="E44" i="7"/>
  <c r="E232" i="7"/>
  <c r="E351" i="7"/>
  <c r="E171" i="7"/>
  <c r="E214" i="7"/>
  <c r="E39" i="7"/>
  <c r="E226" i="7"/>
  <c r="E74" i="7"/>
  <c r="E288" i="7"/>
  <c r="E147" i="7"/>
  <c r="E185" i="7"/>
  <c r="E109" i="7"/>
  <c r="E13" i="7"/>
  <c r="E96" i="7"/>
  <c r="E149" i="7"/>
  <c r="E111" i="7"/>
  <c r="E187" i="7"/>
  <c r="E51" i="7"/>
  <c r="E278" i="7"/>
  <c r="E220" i="7"/>
  <c r="E67" i="7"/>
  <c r="E33" i="7"/>
  <c r="E141" i="7"/>
  <c r="E55" i="7"/>
  <c r="E230" i="7"/>
  <c r="E190" i="7"/>
  <c r="E109" i="13"/>
  <c r="E110" i="13" s="1"/>
  <c r="D98" i="13"/>
  <c r="D104" i="13"/>
  <c r="D105" i="13"/>
  <c r="D593" i="13"/>
  <c r="D594" i="13" s="1"/>
  <c r="H594" i="13" s="1"/>
  <c r="H593" i="13"/>
  <c r="J741" i="13"/>
  <c r="B157" i="13"/>
  <c r="E73" i="13"/>
  <c r="D469" i="13"/>
  <c r="D906" i="13"/>
  <c r="D68" i="13"/>
  <c r="D69" i="13"/>
  <c r="I69" i="13" s="1"/>
  <c r="D905" i="13"/>
  <c r="E170" i="13"/>
  <c r="I816" i="13"/>
  <c r="D379" i="7"/>
  <c r="G379" i="7" s="1"/>
  <c r="J745" i="13"/>
  <c r="E114" i="13"/>
  <c r="E115" i="13" s="1"/>
  <c r="C425" i="13"/>
  <c r="E518" i="13"/>
  <c r="I807" i="13"/>
  <c r="D114" i="13"/>
  <c r="D115" i="13"/>
  <c r="I115" i="13" s="1"/>
  <c r="E514" i="13"/>
  <c r="H514" i="13" s="1"/>
  <c r="E1006" i="13"/>
  <c r="E1275" i="13" s="1"/>
  <c r="H1275" i="13" s="1"/>
  <c r="D761" i="13"/>
  <c r="I761" i="13" s="1"/>
  <c r="I759" i="13"/>
  <c r="I36" i="13"/>
  <c r="E89" i="13"/>
  <c r="G628" i="13"/>
  <c r="E67" i="13"/>
  <c r="E88" i="13"/>
  <c r="E311" i="13"/>
  <c r="E677" i="13" s="1"/>
  <c r="I785" i="13"/>
  <c r="F336" i="13"/>
  <c r="G401" i="13" s="1"/>
  <c r="G1157" i="13"/>
  <c r="D1131" i="13"/>
  <c r="D1132" i="13" s="1"/>
  <c r="H545" i="13"/>
  <c r="G1096" i="13"/>
  <c r="D530" i="13"/>
  <c r="I191" i="13"/>
  <c r="G1094" i="13"/>
  <c r="D609" i="13"/>
  <c r="D610" i="13"/>
  <c r="D535" i="13"/>
  <c r="D537" i="13"/>
  <c r="D538" i="13" s="1"/>
  <c r="H538" i="13" s="1"/>
  <c r="D202" i="13"/>
  <c r="D252" i="13"/>
  <c r="E386" i="13"/>
  <c r="D1148" i="13"/>
  <c r="D1149" i="13" s="1"/>
  <c r="J753" i="13"/>
  <c r="I779" i="13"/>
  <c r="I9" i="13"/>
  <c r="J9" i="13"/>
  <c r="D11" i="7" s="1"/>
  <c r="D14" i="7" s="1"/>
  <c r="G14" i="7" s="1"/>
  <c r="G1113" i="13"/>
  <c r="E98" i="13"/>
  <c r="I98" i="13"/>
  <c r="E99" i="13"/>
  <c r="E100" i="13" s="1"/>
  <c r="I100" i="13" s="1"/>
  <c r="D1099" i="13"/>
  <c r="D1157" i="13"/>
  <c r="D1158" i="13" s="1"/>
  <c r="I196" i="13"/>
  <c r="G1121" i="13"/>
  <c r="E173" i="13"/>
  <c r="E174" i="13"/>
  <c r="D650" i="13"/>
  <c r="D652" i="13"/>
  <c r="I67" i="13"/>
  <c r="E527" i="13"/>
  <c r="D532" i="13" s="1"/>
  <c r="E380" i="13"/>
  <c r="G378" i="13"/>
  <c r="G314" i="13"/>
  <c r="I1211" i="13"/>
  <c r="I822" i="13"/>
  <c r="H1169" i="13"/>
  <c r="H1182" i="13"/>
  <c r="H1191" i="13"/>
  <c r="I813" i="13"/>
  <c r="F329" i="13"/>
  <c r="H1178" i="13"/>
  <c r="D600" i="13"/>
  <c r="H602" i="13"/>
  <c r="H487" i="13"/>
  <c r="E434" i="13"/>
  <c r="E461" i="13"/>
  <c r="D466" i="13" s="1"/>
  <c r="E362" i="13"/>
  <c r="E365" i="13"/>
  <c r="I719" i="13"/>
  <c r="I720" i="13"/>
  <c r="G899" i="13"/>
  <c r="I899" i="13" s="1"/>
  <c r="I890" i="13"/>
  <c r="E935" i="13"/>
  <c r="E1274" i="13" s="1"/>
  <c r="H1274" i="13"/>
  <c r="I934" i="13"/>
  <c r="I947" i="13" s="1"/>
  <c r="G386" i="13"/>
  <c r="I386" i="13" s="1"/>
  <c r="D516" i="13"/>
  <c r="D514" i="13"/>
  <c r="D109" i="13"/>
  <c r="D110" i="13" s="1"/>
  <c r="D108" i="13"/>
  <c r="E77" i="13"/>
  <c r="E79" i="13"/>
  <c r="D245" i="13"/>
  <c r="D216" i="13"/>
  <c r="D201" i="13"/>
  <c r="G260" i="13"/>
  <c r="E261" i="13"/>
  <c r="G220" i="13"/>
  <c r="E391" i="13"/>
  <c r="E570" i="13"/>
  <c r="D575" i="13" s="1"/>
  <c r="D571" i="13"/>
  <c r="D573" i="13"/>
  <c r="E264" i="13"/>
  <c r="E263" i="13"/>
  <c r="G163" i="13"/>
  <c r="G146" i="13"/>
  <c r="D546" i="13"/>
  <c r="H546" i="13" s="1"/>
  <c r="D781" i="13"/>
  <c r="I781" i="13"/>
  <c r="F18" i="13"/>
  <c r="I18" i="13"/>
  <c r="E420" i="13"/>
  <c r="D425" i="13" s="1"/>
  <c r="I425" i="13" s="1"/>
  <c r="E354" i="13"/>
  <c r="I354" i="13" s="1"/>
  <c r="F315" i="13"/>
  <c r="G327" i="13"/>
  <c r="G563" i="13"/>
  <c r="I326" i="13"/>
  <c r="J739" i="13"/>
  <c r="I815" i="13"/>
  <c r="D503" i="13"/>
  <c r="J1229" i="13"/>
  <c r="D322" i="7"/>
  <c r="D329" i="7" s="1"/>
  <c r="D328" i="7"/>
  <c r="H328" i="7" s="1"/>
  <c r="D547" i="13"/>
  <c r="I709" i="13"/>
  <c r="J784" i="13"/>
  <c r="E10" i="17"/>
  <c r="G498" i="13"/>
  <c r="G310" i="13"/>
  <c r="G491" i="13"/>
  <c r="E921" i="13"/>
  <c r="G237" i="13"/>
  <c r="E238" i="13"/>
  <c r="G1095" i="13"/>
  <c r="I826" i="13"/>
  <c r="G213" i="13"/>
  <c r="I213" i="13" s="1"/>
  <c r="E446" i="13"/>
  <c r="E1058" i="13"/>
  <c r="E1081" i="13"/>
  <c r="I1081" i="13" s="1"/>
  <c r="E1011" i="13"/>
  <c r="E649" i="13"/>
  <c r="D557" i="13"/>
  <c r="D559" i="13"/>
  <c r="I224" i="13"/>
  <c r="I898" i="13"/>
  <c r="H946" i="13"/>
  <c r="H1200" i="13"/>
  <c r="H537" i="13"/>
  <c r="H579" i="13"/>
  <c r="H1186" i="13"/>
  <c r="H1190" i="13"/>
  <c r="I765" i="13"/>
  <c r="I772" i="13"/>
  <c r="J786" i="13"/>
  <c r="I809" i="13"/>
  <c r="D435" i="13"/>
  <c r="D437" i="13"/>
  <c r="H464" i="13"/>
  <c r="D465" i="13"/>
  <c r="D523" i="13"/>
  <c r="E1109" i="13"/>
  <c r="I1059" i="13"/>
  <c r="D63" i="13"/>
  <c r="E614" i="13"/>
  <c r="D423" i="13"/>
  <c r="D421" i="13"/>
  <c r="D1081" i="13"/>
  <c r="D1105" i="13"/>
  <c r="D1136" i="13"/>
  <c r="D1092" i="13"/>
  <c r="G1139" i="13"/>
  <c r="E1141" i="13" s="1"/>
  <c r="G1093" i="13"/>
  <c r="E1147" i="13"/>
  <c r="E1082" i="13"/>
  <c r="G362" i="13"/>
  <c r="I362" i="13" s="1"/>
  <c r="G300" i="13"/>
  <c r="G468" i="13" s="1"/>
  <c r="C473" i="13" s="1"/>
  <c r="H472" i="13"/>
  <c r="H471" i="13"/>
  <c r="G556" i="13"/>
  <c r="E557" i="13" s="1"/>
  <c r="I123" i="13"/>
  <c r="I125" i="13"/>
  <c r="F124" i="13"/>
  <c r="D492" i="13"/>
  <c r="H990" i="13"/>
  <c r="H991" i="13" s="1"/>
  <c r="E1066" i="13"/>
  <c r="I1066" i="13" s="1"/>
  <c r="D242" i="13"/>
  <c r="H242" i="13"/>
  <c r="D238" i="13"/>
  <c r="E256" i="13"/>
  <c r="E255" i="13"/>
  <c r="G1240" i="13"/>
  <c r="H1240" i="13"/>
  <c r="H1239" i="13"/>
  <c r="D29" i="13"/>
  <c r="I31" i="13"/>
  <c r="D135" i="13"/>
  <c r="D56" i="13"/>
  <c r="D76" i="13"/>
  <c r="E103" i="13"/>
  <c r="I103" i="13" s="1"/>
  <c r="E104" i="13"/>
  <c r="G143" i="13"/>
  <c r="D177" i="13"/>
  <c r="D179" i="13"/>
  <c r="D178" i="13"/>
  <c r="G252" i="13"/>
  <c r="E253" i="13" s="1"/>
  <c r="G217" i="13"/>
  <c r="G354" i="13"/>
  <c r="F292" i="13"/>
  <c r="F420" i="13"/>
  <c r="E425" i="13"/>
  <c r="G361" i="13"/>
  <c r="G454" i="13"/>
  <c r="E534" i="13"/>
  <c r="D539" i="13" s="1"/>
  <c r="E317" i="13"/>
  <c r="E678" i="13" s="1"/>
  <c r="E642" i="13"/>
  <c r="E407" i="13"/>
  <c r="C640" i="13"/>
  <c r="E1287" i="13"/>
  <c r="D233" i="13"/>
  <c r="J233" i="13" s="1"/>
  <c r="E231" i="13"/>
  <c r="I298" i="13"/>
  <c r="E279" i="13"/>
  <c r="E278" i="13"/>
  <c r="D478" i="13"/>
  <c r="H478" i="13" s="1"/>
  <c r="D480" i="13"/>
  <c r="D476" i="13"/>
  <c r="E600" i="13"/>
  <c r="D601" i="13" s="1"/>
  <c r="H601" i="13" s="1"/>
  <c r="C604" i="13"/>
  <c r="D735" i="13"/>
  <c r="J735" i="13" s="1"/>
  <c r="J733" i="13"/>
  <c r="D499" i="13"/>
  <c r="D501" i="13"/>
  <c r="D1094" i="13"/>
  <c r="H1171" i="13"/>
  <c r="H1175" i="13"/>
  <c r="H1179" i="13"/>
  <c r="H1181" i="13"/>
  <c r="D773" i="13"/>
  <c r="I773" i="13"/>
  <c r="I802" i="13"/>
  <c r="I120" i="13"/>
  <c r="D918" i="13"/>
  <c r="D917" i="13"/>
  <c r="E270" i="13"/>
  <c r="D624" i="13"/>
  <c r="D657" i="13"/>
  <c r="D659" i="13"/>
  <c r="D660" i="13" s="1"/>
  <c r="H660" i="13" s="1"/>
  <c r="A1" i="24"/>
  <c r="D84" i="13"/>
  <c r="I84" i="13" s="1"/>
  <c r="D85" i="13"/>
  <c r="I85" i="13"/>
  <c r="D83" i="13"/>
  <c r="E301" i="13"/>
  <c r="I299" i="13"/>
  <c r="F461" i="13"/>
  <c r="E466" i="13" s="1"/>
  <c r="I466" i="13" s="1"/>
  <c r="E387" i="13"/>
  <c r="E324" i="13"/>
  <c r="E687" i="13" s="1"/>
  <c r="H687" i="13" s="1"/>
  <c r="E549" i="13"/>
  <c r="E656" i="13"/>
  <c r="D661" i="13" s="1"/>
  <c r="E409" i="13"/>
  <c r="D566" i="13"/>
  <c r="D584" i="13"/>
  <c r="D588" i="13"/>
  <c r="D586" i="13"/>
  <c r="H586" i="13" s="1"/>
  <c r="D629" i="13"/>
  <c r="D631" i="13"/>
  <c r="I799" i="13"/>
  <c r="D912" i="13"/>
  <c r="I672" i="13"/>
  <c r="I679" i="13" s="1"/>
  <c r="G708" i="13"/>
  <c r="I708" i="13"/>
  <c r="G677" i="13"/>
  <c r="G1136" i="13"/>
  <c r="E1138" i="13" s="1"/>
  <c r="G1092" i="13"/>
  <c r="D577" i="13"/>
  <c r="D581" i="13"/>
  <c r="G1084" i="13"/>
  <c r="I821" i="13"/>
  <c r="A2" i="24"/>
  <c r="D9" i="8"/>
  <c r="D17" i="7"/>
  <c r="H17" i="7"/>
  <c r="E137" i="7"/>
  <c r="E266" i="7"/>
  <c r="E381" i="7"/>
  <c r="E175" i="7"/>
  <c r="E76" i="7"/>
  <c r="E75" i="7"/>
  <c r="E14" i="7"/>
  <c r="E289" i="7"/>
  <c r="E371" i="7"/>
  <c r="E342" i="7"/>
  <c r="E63" i="7"/>
  <c r="E31" i="7"/>
  <c r="E172" i="7"/>
  <c r="E40" i="7"/>
  <c r="E334" i="7"/>
  <c r="E136" i="7"/>
  <c r="E265" i="7"/>
  <c r="E352" i="7"/>
  <c r="E215" i="7"/>
  <c r="E379" i="7"/>
  <c r="E316" i="7"/>
  <c r="E52" i="7"/>
  <c r="E126" i="7"/>
  <c r="E277" i="7"/>
  <c r="E370" i="7"/>
  <c r="E64" i="7"/>
  <c r="E186" i="7"/>
  <c r="E42" i="7"/>
  <c r="E98" i="7"/>
  <c r="E216" i="7"/>
  <c r="E110" i="7"/>
  <c r="E241" i="7"/>
  <c r="D324" i="7"/>
  <c r="G324" i="7"/>
  <c r="H609" i="13"/>
  <c r="D603" i="13"/>
  <c r="H603" i="13" s="1"/>
  <c r="D325" i="7"/>
  <c r="F337" i="13"/>
  <c r="F606" i="13"/>
  <c r="E611" i="13" s="1"/>
  <c r="G520" i="13"/>
  <c r="E521" i="13" s="1"/>
  <c r="G315" i="13"/>
  <c r="C633" i="13"/>
  <c r="E629" i="13"/>
  <c r="G379" i="13"/>
  <c r="B47" i="8"/>
  <c r="D424" i="13"/>
  <c r="D175" i="13"/>
  <c r="E568" i="13"/>
  <c r="C568" i="13"/>
  <c r="E564" i="13"/>
  <c r="F583" i="13"/>
  <c r="F330" i="13"/>
  <c r="F590" i="13"/>
  <c r="I1058" i="13"/>
  <c r="D574" i="13"/>
  <c r="H574" i="13" s="1"/>
  <c r="H573" i="13"/>
  <c r="I327" i="13"/>
  <c r="D29" i="11"/>
  <c r="G29" i="11" s="1"/>
  <c r="E1105" i="13"/>
  <c r="D1107" i="13" s="1"/>
  <c r="I1107" i="13" s="1"/>
  <c r="E1106" i="13"/>
  <c r="H1106" i="13" s="1"/>
  <c r="C496" i="13"/>
  <c r="E492" i="13"/>
  <c r="H492" i="13" s="1"/>
  <c r="D493" i="13"/>
  <c r="H493" i="13" s="1"/>
  <c r="G505" i="13"/>
  <c r="H559" i="13"/>
  <c r="D625" i="13"/>
  <c r="H625" i="13"/>
  <c r="H624" i="13"/>
  <c r="E869" i="13"/>
  <c r="D870" i="13"/>
  <c r="I870" i="13"/>
  <c r="G678" i="13"/>
  <c r="H678" i="13"/>
  <c r="E105" i="13"/>
  <c r="H659" i="13"/>
  <c r="H1038" i="13"/>
  <c r="H1040" i="13" s="1"/>
  <c r="E1073" i="13"/>
  <c r="E1039" i="13"/>
  <c r="H1039" i="13" s="1"/>
  <c r="E858" i="13"/>
  <c r="D859" i="13"/>
  <c r="I859" i="13" s="1"/>
  <c r="E712" i="13"/>
  <c r="H712" i="13" s="1"/>
  <c r="E455" i="13"/>
  <c r="C459" i="13"/>
  <c r="D78" i="13"/>
  <c r="D77" i="13"/>
  <c r="D79" i="13"/>
  <c r="I79" i="13"/>
  <c r="I29" i="13"/>
  <c r="D133" i="13"/>
  <c r="E1110" i="13"/>
  <c r="F427" i="13"/>
  <c r="F293" i="13"/>
  <c r="G355" i="13"/>
  <c r="I292" i="13"/>
  <c r="H566" i="13"/>
  <c r="D567" i="13"/>
  <c r="H567" i="13"/>
  <c r="D479" i="13"/>
  <c r="H479" i="13"/>
  <c r="D58" i="13"/>
  <c r="D57" i="13"/>
  <c r="D146" i="13"/>
  <c r="D163" i="13"/>
  <c r="H421" i="13"/>
  <c r="D422" i="13"/>
  <c r="H523" i="13"/>
  <c r="D524" i="13"/>
  <c r="D239" i="13"/>
  <c r="I239" i="13" s="1"/>
  <c r="E1131" i="13"/>
  <c r="D1137" i="13"/>
  <c r="D1106" i="13"/>
  <c r="H437" i="13"/>
  <c r="D438" i="13"/>
  <c r="H438" i="13"/>
  <c r="G527" i="13"/>
  <c r="G316" i="13"/>
  <c r="H564" i="13"/>
  <c r="D565" i="13"/>
  <c r="H565" i="13" s="1"/>
  <c r="C510" i="13"/>
  <c r="E506" i="13"/>
  <c r="E1074" i="13"/>
  <c r="F434" i="13"/>
  <c r="F294" i="13"/>
  <c r="E469" i="13"/>
  <c r="H469" i="13" s="1"/>
  <c r="D59" i="13"/>
  <c r="D522" i="13"/>
  <c r="H521" i="13"/>
  <c r="G534" i="13"/>
  <c r="E535" i="13" s="1"/>
  <c r="D470" i="13"/>
  <c r="H470" i="13" s="1"/>
  <c r="C539" i="13"/>
  <c r="I337" i="13" l="1"/>
  <c r="G402" i="13"/>
  <c r="I402" i="13" s="1"/>
  <c r="F613" i="13"/>
  <c r="E618" i="13" s="1"/>
  <c r="I618" i="13" s="1"/>
  <c r="E245" i="7"/>
  <c r="E202" i="7"/>
  <c r="E162" i="7"/>
  <c r="E127" i="7"/>
  <c r="E304" i="7"/>
  <c r="E87" i="7"/>
  <c r="G57" i="11"/>
  <c r="C8" i="14" s="1"/>
  <c r="I253" i="7"/>
  <c r="D157" i="13"/>
  <c r="D158" i="13" s="1"/>
  <c r="I158" i="13" s="1"/>
  <c r="D144" i="13"/>
  <c r="I133" i="13"/>
  <c r="D1133" i="13"/>
  <c r="I1133" i="13" s="1"/>
  <c r="E1132" i="13"/>
  <c r="H1132" i="13" s="1"/>
  <c r="D653" i="13"/>
  <c r="H653" i="13" s="1"/>
  <c r="H652" i="13"/>
  <c r="D558" i="13"/>
  <c r="H558" i="13" s="1"/>
  <c r="H557" i="13"/>
  <c r="I888" i="13"/>
  <c r="E904" i="13"/>
  <c r="E896" i="13"/>
  <c r="I896" i="13" s="1"/>
  <c r="D256" i="13"/>
  <c r="J256" i="13" s="1"/>
  <c r="D253" i="13"/>
  <c r="E1098" i="13"/>
  <c r="E1154" i="13"/>
  <c r="E1155" i="13" s="1"/>
  <c r="D255" i="13"/>
  <c r="J255" i="13" s="1"/>
  <c r="G1242" i="13"/>
  <c r="G63" i="13"/>
  <c r="G68" i="13" s="1"/>
  <c r="F316" i="13"/>
  <c r="F527" i="13"/>
  <c r="E532" i="13" s="1"/>
  <c r="I315" i="13"/>
  <c r="D922" i="13"/>
  <c r="G922" i="13" s="1"/>
  <c r="G925" i="13" s="1"/>
  <c r="G927" i="13" s="1"/>
  <c r="D236" i="7" s="1"/>
  <c r="D921" i="13"/>
  <c r="G921" i="13" s="1"/>
  <c r="D923" i="13"/>
  <c r="I923" i="13" s="1"/>
  <c r="D554" i="13"/>
  <c r="D550" i="13"/>
  <c r="D552" i="13"/>
  <c r="D553" i="13" s="1"/>
  <c r="H553" i="13" s="1"/>
  <c r="I950" i="13"/>
  <c r="E953" i="13"/>
  <c r="E1282" i="13" s="1"/>
  <c r="H1282" i="13" s="1"/>
  <c r="E964" i="13"/>
  <c r="C503" i="13"/>
  <c r="E499" i="13"/>
  <c r="E622" i="13"/>
  <c r="C626" i="13"/>
  <c r="E626" i="13"/>
  <c r="D64" i="13"/>
  <c r="I64" i="13" s="1"/>
  <c r="I202" i="13"/>
  <c r="J207" i="13" s="1"/>
  <c r="J208" i="13" s="1"/>
  <c r="D94" i="7" s="1"/>
  <c r="D267" i="13"/>
  <c r="D221" i="13"/>
  <c r="I221" i="13" s="1"/>
  <c r="E1097" i="13"/>
  <c r="E1151" i="13"/>
  <c r="I1074" i="13"/>
  <c r="I1073" i="13"/>
  <c r="E1096" i="13"/>
  <c r="I1096" i="13" s="1"/>
  <c r="E1148" i="13"/>
  <c r="G325" i="7"/>
  <c r="G330" i="7" s="1"/>
  <c r="G47" i="8" s="1"/>
  <c r="J47" i="8" s="1"/>
  <c r="E856" i="13"/>
  <c r="D857" i="13" s="1"/>
  <c r="I857" i="13" s="1"/>
  <c r="J860" i="13" s="1"/>
  <c r="E711" i="13"/>
  <c r="H711" i="13" s="1"/>
  <c r="H724" i="13" s="1"/>
  <c r="H677" i="13"/>
  <c r="H679" i="13" s="1"/>
  <c r="J679" i="13" s="1"/>
  <c r="D257" i="13"/>
  <c r="H257" i="13" s="1"/>
  <c r="D632" i="13"/>
  <c r="H631" i="13"/>
  <c r="H1011" i="13"/>
  <c r="E1012" i="13"/>
  <c r="E1069" i="13"/>
  <c r="D249" i="13"/>
  <c r="J249" i="13" s="1"/>
  <c r="D248" i="13"/>
  <c r="J248" i="13" s="1"/>
  <c r="D246" i="13"/>
  <c r="D250" i="13"/>
  <c r="H250" i="13" s="1"/>
  <c r="H632" i="13"/>
  <c r="G1124" i="13"/>
  <c r="E1126" i="13" s="1"/>
  <c r="G1086" i="13"/>
  <c r="D536" i="13"/>
  <c r="H536" i="13" s="1"/>
  <c r="H535" i="13"/>
  <c r="F295" i="13"/>
  <c r="F440" i="13"/>
  <c r="G380" i="13"/>
  <c r="C561" i="13"/>
  <c r="D630" i="13"/>
  <c r="H630" i="13" s="1"/>
  <c r="H629" i="13"/>
  <c r="I1032" i="13"/>
  <c r="G1033" i="13"/>
  <c r="I1033" i="13" s="1"/>
  <c r="E1153" i="13"/>
  <c r="E200" i="7"/>
  <c r="E242" i="7"/>
  <c r="E295" i="7"/>
  <c r="E383" i="7"/>
  <c r="E56" i="7"/>
  <c r="E143" i="7"/>
  <c r="E248" i="7"/>
  <c r="E8" i="7"/>
  <c r="E344" i="7"/>
  <c r="E319" i="7"/>
  <c r="E270" i="7"/>
  <c r="E130" i="7"/>
  <c r="E193" i="7"/>
  <c r="E293" i="7"/>
  <c r="E79" i="7"/>
  <c r="E34" i="7"/>
  <c r="E104" i="7"/>
  <c r="E336" i="7"/>
  <c r="E222" i="7"/>
  <c r="E46" i="7"/>
  <c r="E358" i="7"/>
  <c r="E374" i="7"/>
  <c r="E90" i="7"/>
  <c r="E154" i="7"/>
  <c r="E307" i="7"/>
  <c r="E205" i="7"/>
  <c r="E116" i="7"/>
  <c r="E329" i="7"/>
  <c r="H329" i="7" s="1"/>
  <c r="H330" i="7" s="1"/>
  <c r="H47" i="8" s="1"/>
  <c r="E191" i="7"/>
  <c r="E231" i="7"/>
  <c r="D515" i="13"/>
  <c r="H515" i="13" s="1"/>
  <c r="H424" i="13"/>
  <c r="D1083" i="13"/>
  <c r="D1113" i="13"/>
  <c r="I405" i="13"/>
  <c r="D1110" i="13"/>
  <c r="H1110" i="13" s="1"/>
  <c r="D1111" i="13"/>
  <c r="H506" i="13"/>
  <c r="I146" i="13"/>
  <c r="I105" i="13"/>
  <c r="E283" i="7"/>
  <c r="F19" i="13"/>
  <c r="I19" i="13" s="1"/>
  <c r="J23" i="13" s="1"/>
  <c r="I82" i="13"/>
  <c r="I989" i="13"/>
  <c r="I991" i="13" s="1"/>
  <c r="E991" i="13"/>
  <c r="I787" i="13"/>
  <c r="E18" i="7"/>
  <c r="I300" i="13"/>
  <c r="F468" i="13"/>
  <c r="E473" i="13" s="1"/>
  <c r="I473" i="13" s="1"/>
  <c r="G363" i="13"/>
  <c r="I363" i="13" s="1"/>
  <c r="G157" i="13"/>
  <c r="G144" i="13"/>
  <c r="I379" i="13"/>
  <c r="F39" i="13"/>
  <c r="F40" i="13" s="1"/>
  <c r="I38" i="13"/>
  <c r="E394" i="13"/>
  <c r="E621" i="13"/>
  <c r="D626" i="13" s="1"/>
  <c r="I626" i="13" s="1"/>
  <c r="I341" i="13"/>
  <c r="E346" i="13"/>
  <c r="D441" i="13"/>
  <c r="D443" i="13"/>
  <c r="D445" i="13"/>
  <c r="I952" i="13"/>
  <c r="G1087" i="13"/>
  <c r="G1127" i="13"/>
  <c r="E1129" i="13" s="1"/>
  <c r="D8" i="8"/>
  <c r="D30" i="11"/>
  <c r="G30" i="11" s="1"/>
  <c r="E354" i="7"/>
  <c r="E138" i="7"/>
  <c r="E65" i="7"/>
  <c r="E99" i="7"/>
  <c r="E217" i="7"/>
  <c r="G406" i="13"/>
  <c r="F343" i="13"/>
  <c r="D510" i="13"/>
  <c r="D508" i="13"/>
  <c r="I1015" i="13"/>
  <c r="E1022" i="13"/>
  <c r="H1043" i="13"/>
  <c r="D1075" i="13"/>
  <c r="C525" i="13"/>
  <c r="E114" i="7"/>
  <c r="I380" i="13"/>
  <c r="D457" i="13"/>
  <c r="D455" i="13"/>
  <c r="H455" i="13" s="1"/>
  <c r="D459" i="13"/>
  <c r="I459" i="13" s="1"/>
  <c r="I723" i="13"/>
  <c r="B154" i="13"/>
  <c r="B143" i="13"/>
  <c r="E1087" i="13"/>
  <c r="I1064" i="13"/>
  <c r="H600" i="13"/>
  <c r="I28" i="13"/>
  <c r="D132" i="13"/>
  <c r="D33" i="13"/>
  <c r="E338" i="13"/>
  <c r="E694" i="13" s="1"/>
  <c r="E599" i="13"/>
  <c r="D604" i="13" s="1"/>
  <c r="I604" i="13" s="1"/>
  <c r="I335" i="13"/>
  <c r="E400" i="13"/>
  <c r="I400" i="13" s="1"/>
  <c r="E139" i="7"/>
  <c r="E218" i="7"/>
  <c r="H516" i="13"/>
  <c r="D517" i="13"/>
  <c r="H517" i="13" s="1"/>
  <c r="E590" i="13"/>
  <c r="D595" i="13" s="1"/>
  <c r="J193" i="13"/>
  <c r="C6" i="17" s="1"/>
  <c r="F628" i="13"/>
  <c r="E633" i="13" s="1"/>
  <c r="G13" i="7"/>
  <c r="G19" i="7" s="1"/>
  <c r="G7" i="8" s="1"/>
  <c r="E525" i="13"/>
  <c r="E900" i="13"/>
  <c r="I900" i="13" s="1"/>
  <c r="I892" i="13"/>
  <c r="D8" i="7"/>
  <c r="B6" i="8"/>
  <c r="E1127" i="13"/>
  <c r="E1128" i="13" s="1"/>
  <c r="E69" i="7"/>
  <c r="D231" i="13"/>
  <c r="D234" i="13"/>
  <c r="J234" i="13" s="1"/>
  <c r="D235" i="13"/>
  <c r="H235" i="13" s="1"/>
  <c r="D638" i="13"/>
  <c r="D640" i="13"/>
  <c r="I640" i="13" s="1"/>
  <c r="D636" i="13"/>
  <c r="D495" i="13"/>
  <c r="H495" i="13" s="1"/>
  <c r="H494" i="13"/>
  <c r="D18" i="7"/>
  <c r="H18" i="7" s="1"/>
  <c r="D16" i="7"/>
  <c r="D13" i="7"/>
  <c r="B7" i="8"/>
  <c r="E152" i="7"/>
  <c r="D587" i="13"/>
  <c r="H587" i="13" s="1"/>
  <c r="E165" i="7"/>
  <c r="E528" i="13"/>
  <c r="C532" i="13"/>
  <c r="E180" i="7"/>
  <c r="H1287" i="13"/>
  <c r="I532" i="13"/>
  <c r="H530" i="13"/>
  <c r="D531" i="13"/>
  <c r="H531" i="13" s="1"/>
  <c r="E136" i="13"/>
  <c r="F163" i="13"/>
  <c r="D167" i="13"/>
  <c r="D169" i="13"/>
  <c r="I715" i="13"/>
  <c r="E1045" i="13"/>
  <c r="I1044" i="13"/>
  <c r="I1046" i="13" s="1"/>
  <c r="G1151" i="13"/>
  <c r="G1097" i="13"/>
  <c r="E161" i="7"/>
  <c r="E124" i="7"/>
  <c r="D220" i="13"/>
  <c r="I220" i="13" s="1"/>
  <c r="I201" i="13"/>
  <c r="D260" i="13"/>
  <c r="D90" i="13"/>
  <c r="I90" i="13" s="1"/>
  <c r="D89" i="13"/>
  <c r="D88" i="13"/>
  <c r="I88" i="13" s="1"/>
  <c r="E379" i="13"/>
  <c r="I314" i="13"/>
  <c r="E520" i="13"/>
  <c r="D525" i="13" s="1"/>
  <c r="I525" i="13" s="1"/>
  <c r="I889" i="13"/>
  <c r="E910" i="13"/>
  <c r="I1017" i="13"/>
  <c r="G1018" i="13"/>
  <c r="D1139" i="13"/>
  <c r="E917" i="13"/>
  <c r="I917" i="13" s="1"/>
  <c r="E918" i="13"/>
  <c r="I918" i="13" s="1"/>
  <c r="D94" i="13"/>
  <c r="D93" i="13"/>
  <c r="I93" i="13" s="1"/>
  <c r="D95" i="13"/>
  <c r="I95" i="13" s="1"/>
  <c r="F599" i="13"/>
  <c r="E604" i="13" s="1"/>
  <c r="G400" i="13"/>
  <c r="D748" i="13"/>
  <c r="J748" i="13" s="1"/>
  <c r="J746" i="13"/>
  <c r="I806" i="13"/>
  <c r="I844" i="13" s="1"/>
  <c r="I846" i="13" s="1"/>
  <c r="D198" i="7" s="1"/>
  <c r="I971" i="13"/>
  <c r="I985" i="13" s="1"/>
  <c r="E973" i="13"/>
  <c r="E1286" i="13" s="1"/>
  <c r="H1286" i="13" s="1"/>
  <c r="H1252" i="13"/>
  <c r="I303" i="13"/>
  <c r="G365" i="13"/>
  <c r="G475" i="13"/>
  <c r="E401" i="13"/>
  <c r="I401" i="13" s="1"/>
  <c r="E606" i="13"/>
  <c r="D611" i="13" s="1"/>
  <c r="I611" i="13" s="1"/>
  <c r="F542" i="13"/>
  <c r="E547" i="13" s="1"/>
  <c r="I547" i="13" s="1"/>
  <c r="I321" i="13"/>
  <c r="F322" i="13"/>
  <c r="I390" i="13"/>
  <c r="I135" i="13"/>
  <c r="I336" i="13"/>
  <c r="D122" i="13"/>
  <c r="I122" i="13" s="1"/>
  <c r="J126" i="13" s="1"/>
  <c r="C11" i="17" s="1"/>
  <c r="D121" i="13"/>
  <c r="I121" i="13" s="1"/>
  <c r="D241" i="13"/>
  <c r="J241" i="13" s="1"/>
  <c r="D240" i="13"/>
  <c r="H947" i="13"/>
  <c r="J947" i="13" s="1"/>
  <c r="I1082" i="13"/>
  <c r="D217" i="13"/>
  <c r="I197" i="13"/>
  <c r="J198" i="13" s="1"/>
  <c r="C14" i="17" s="1"/>
  <c r="E296" i="13"/>
  <c r="I291" i="13"/>
  <c r="I110" i="13"/>
  <c r="G293" i="13"/>
  <c r="G427" i="13"/>
  <c r="E432" i="13" s="1"/>
  <c r="I307" i="13"/>
  <c r="E373" i="13"/>
  <c r="I373" i="13" s="1"/>
  <c r="J793" i="13"/>
  <c r="D795" i="13"/>
  <c r="J795" i="13" s="1"/>
  <c r="E248" i="13"/>
  <c r="E249" i="13"/>
  <c r="D494" i="13"/>
  <c r="D496" i="13"/>
  <c r="I1089" i="13"/>
  <c r="G373" i="13"/>
  <c r="F484" i="13"/>
  <c r="E489" i="13" s="1"/>
  <c r="F308" i="13"/>
  <c r="E550" i="13"/>
  <c r="C554" i="13"/>
  <c r="E331" i="13"/>
  <c r="E688" i="13" s="1"/>
  <c r="E563" i="13"/>
  <c r="D568" i="13" s="1"/>
  <c r="I568" i="13" s="1"/>
  <c r="H501" i="13"/>
  <c r="D502" i="13"/>
  <c r="H502" i="13" s="1"/>
  <c r="G10" i="17"/>
  <c r="H10" i="17"/>
  <c r="E146" i="13"/>
  <c r="E163" i="13"/>
  <c r="G570" i="13"/>
  <c r="G328" i="13"/>
  <c r="G391" i="13"/>
  <c r="I391" i="13" s="1"/>
  <c r="D430" i="13"/>
  <c r="D432" i="13"/>
  <c r="J752" i="13"/>
  <c r="D754" i="13"/>
  <c r="J754" i="13" s="1"/>
  <c r="F20" i="13"/>
  <c r="I20" i="13" s="1"/>
  <c r="I39" i="13"/>
  <c r="E607" i="13"/>
  <c r="C611" i="13"/>
  <c r="D447" i="13"/>
  <c r="D449" i="13"/>
  <c r="D451" i="13"/>
  <c r="I951" i="13"/>
  <c r="H422" i="13"/>
  <c r="D1084" i="13"/>
  <c r="D1117" i="13"/>
  <c r="I1233" i="13"/>
  <c r="I1244" i="13" s="1"/>
  <c r="J13" i="13"/>
  <c r="H485" i="13"/>
  <c r="D486" i="13"/>
  <c r="H486" i="13" s="1"/>
  <c r="D645" i="13"/>
  <c r="D646" i="13" s="1"/>
  <c r="H646" i="13" s="1"/>
  <c r="D647" i="13"/>
  <c r="H522" i="13"/>
  <c r="D560" i="13"/>
  <c r="H560" i="13" s="1"/>
  <c r="B145" i="13"/>
  <c r="B160" i="13"/>
  <c r="H1183" i="13"/>
  <c r="I77" i="13"/>
  <c r="I238" i="13"/>
  <c r="D637" i="13"/>
  <c r="H637" i="13" s="1"/>
  <c r="H636" i="13"/>
  <c r="B711" i="13"/>
  <c r="B856" i="13"/>
  <c r="D489" i="13"/>
  <c r="I489" i="13" s="1"/>
  <c r="H524" i="13"/>
  <c r="D134" i="13"/>
  <c r="I30" i="13"/>
  <c r="I35" i="13"/>
  <c r="E47" i="13"/>
  <c r="E56" i="13"/>
  <c r="E138" i="13"/>
  <c r="F173" i="13"/>
  <c r="E175" i="13" s="1"/>
  <c r="I175" i="13" s="1"/>
  <c r="E462" i="13"/>
  <c r="C466" i="13"/>
  <c r="G695" i="13"/>
  <c r="I692" i="13"/>
  <c r="I697" i="13" s="1"/>
  <c r="G694" i="13"/>
  <c r="H1196" i="13"/>
  <c r="H1220" i="13" s="1"/>
  <c r="D616" i="13"/>
  <c r="D617" i="13" s="1"/>
  <c r="H617" i="13" s="1"/>
  <c r="D614" i="13"/>
  <c r="H614" i="13" s="1"/>
  <c r="G275" i="13"/>
  <c r="I205" i="13"/>
  <c r="J206" i="13" s="1"/>
  <c r="C28" i="17" s="1"/>
  <c r="I1013" i="13"/>
  <c r="E228" i="7"/>
  <c r="E290" i="7"/>
  <c r="E325" i="7"/>
  <c r="G343" i="13"/>
  <c r="G6" i="8"/>
  <c r="E913" i="13"/>
  <c r="E914" i="13"/>
  <c r="D911" i="13"/>
  <c r="E1111" i="13"/>
  <c r="B173" i="13"/>
  <c r="E361" i="13"/>
  <c r="I361" i="13" s="1"/>
  <c r="I308" i="13"/>
  <c r="E374" i="13"/>
  <c r="E388" i="13"/>
  <c r="E556" i="13"/>
  <c r="D561" i="13" s="1"/>
  <c r="I707" i="13"/>
  <c r="D1086" i="13"/>
  <c r="D1124" i="13"/>
  <c r="E1159" i="13"/>
  <c r="J740" i="13"/>
  <c r="J844" i="13" s="1"/>
  <c r="J846" i="13" s="1"/>
  <c r="D197" i="7" s="1"/>
  <c r="I217" i="13"/>
  <c r="D1087" i="13"/>
  <c r="D1127" i="13"/>
  <c r="D383" i="7"/>
  <c r="H383" i="7" s="1"/>
  <c r="H384" i="7" s="1"/>
  <c r="H54" i="8" s="1"/>
  <c r="B54" i="8"/>
  <c r="D381" i="7"/>
  <c r="G381" i="7" s="1"/>
  <c r="G384" i="7" s="1"/>
  <c r="G54" i="8" s="1"/>
  <c r="J54" i="8" s="1"/>
  <c r="E54" i="8" s="1"/>
  <c r="E244" i="7"/>
  <c r="G244" i="7" s="1"/>
  <c r="I216" i="13"/>
  <c r="E240" i="13"/>
  <c r="G212" i="13"/>
  <c r="I212" i="13" s="1"/>
  <c r="D633" i="13"/>
  <c r="I633" i="13" s="1"/>
  <c r="E135" i="7"/>
  <c r="E369" i="7"/>
  <c r="E276" i="7"/>
  <c r="E315" i="7"/>
  <c r="E264" i="7"/>
  <c r="E62" i="7"/>
  <c r="E1115" i="13"/>
  <c r="I137" i="13"/>
  <c r="D148" i="13"/>
  <c r="I148" i="13" s="1"/>
  <c r="E543" i="13"/>
  <c r="C547" i="13"/>
  <c r="I365" i="13"/>
  <c r="D174" i="13"/>
  <c r="I174" i="13" s="1"/>
  <c r="D34" i="11"/>
  <c r="G34" i="11" s="1"/>
  <c r="D33" i="11"/>
  <c r="G33" i="11" s="1"/>
  <c r="I704" i="13"/>
  <c r="D439" i="13"/>
  <c r="E74" i="13"/>
  <c r="I74" i="13" s="1"/>
  <c r="E983" i="13"/>
  <c r="I705" i="13"/>
  <c r="E406" i="13"/>
  <c r="I342" i="13"/>
  <c r="E357" i="7"/>
  <c r="E142" i="7"/>
  <c r="E221" i="7"/>
  <c r="E45" i="7"/>
  <c r="E23" i="7"/>
  <c r="I23" i="7" s="1"/>
  <c r="H1235" i="13" l="1"/>
  <c r="J24" i="13"/>
  <c r="D28" i="7" s="1"/>
  <c r="G11" i="17"/>
  <c r="F11" i="17"/>
  <c r="E11" i="17"/>
  <c r="D204" i="7"/>
  <c r="D200" i="7"/>
  <c r="D201" i="7"/>
  <c r="G201" i="7" s="1"/>
  <c r="B27" i="8"/>
  <c r="D202" i="7"/>
  <c r="G202" i="7" s="1"/>
  <c r="D104" i="7"/>
  <c r="H104" i="7" s="1"/>
  <c r="D96" i="7"/>
  <c r="G96" i="7" s="1"/>
  <c r="D97" i="7"/>
  <c r="G97" i="7" s="1"/>
  <c r="D102" i="7"/>
  <c r="H102" i="7" s="1"/>
  <c r="D98" i="7"/>
  <c r="G98" i="7" s="1"/>
  <c r="D103" i="7"/>
  <c r="H103" i="7" s="1"/>
  <c r="D100" i="7"/>
  <c r="D99" i="7"/>
  <c r="B17" i="8"/>
  <c r="D509" i="13"/>
  <c r="H509" i="13" s="1"/>
  <c r="H508" i="13"/>
  <c r="H8" i="7"/>
  <c r="M13" i="13"/>
  <c r="D21" i="7"/>
  <c r="H443" i="13"/>
  <c r="D444" i="13"/>
  <c r="H444" i="13" s="1"/>
  <c r="D1118" i="13"/>
  <c r="E14" i="17"/>
  <c r="H14" i="17"/>
  <c r="G14" i="17"/>
  <c r="D639" i="13"/>
  <c r="H639" i="13" s="1"/>
  <c r="H638" i="13"/>
  <c r="D154" i="13"/>
  <c r="D155" i="13" s="1"/>
  <c r="I155" i="13" s="1"/>
  <c r="D143" i="13"/>
  <c r="I143" i="13" s="1"/>
  <c r="I132" i="13"/>
  <c r="D139" i="13"/>
  <c r="I1111" i="13"/>
  <c r="E1149" i="13"/>
  <c r="H1149" i="13" s="1"/>
  <c r="D1150" i="13"/>
  <c r="I1150" i="13" s="1"/>
  <c r="G73" i="13"/>
  <c r="I68" i="13"/>
  <c r="E1060" i="13"/>
  <c r="H964" i="13"/>
  <c r="E965" i="13"/>
  <c r="C432" i="13"/>
  <c r="E428" i="13"/>
  <c r="D1128" i="13"/>
  <c r="H1128" i="13" s="1"/>
  <c r="D1129" i="13"/>
  <c r="I1129" i="13" s="1"/>
  <c r="G387" i="13"/>
  <c r="I387" i="13" s="1"/>
  <c r="F549" i="13"/>
  <c r="E554" i="13" s="1"/>
  <c r="I322" i="13"/>
  <c r="F323" i="13"/>
  <c r="I246" i="13"/>
  <c r="D247" i="13"/>
  <c r="I247" i="13" s="1"/>
  <c r="H457" i="13"/>
  <c r="D458" i="13"/>
  <c r="H458" i="13" s="1"/>
  <c r="I63" i="13"/>
  <c r="J7" i="8"/>
  <c r="E7" i="8" s="1"/>
  <c r="D463" i="13"/>
  <c r="H463" i="13" s="1"/>
  <c r="H462" i="13"/>
  <c r="H281" i="13"/>
  <c r="H283" i="13" s="1"/>
  <c r="E695" i="13"/>
  <c r="E410" i="13"/>
  <c r="D241" i="7"/>
  <c r="J901" i="13"/>
  <c r="J902" i="13" s="1"/>
  <c r="D224" i="7" s="1"/>
  <c r="D615" i="13"/>
  <c r="H615" i="13" s="1"/>
  <c r="I134" i="13"/>
  <c r="D145" i="13"/>
  <c r="I145" i="13" s="1"/>
  <c r="D160" i="13"/>
  <c r="D161" i="13" s="1"/>
  <c r="I161" i="13" s="1"/>
  <c r="H607" i="13"/>
  <c r="D608" i="13"/>
  <c r="H608" i="13" s="1"/>
  <c r="D914" i="13"/>
  <c r="I914" i="13" s="1"/>
  <c r="E911" i="13"/>
  <c r="E912" i="13" s="1"/>
  <c r="H912" i="13" s="1"/>
  <c r="D913" i="13"/>
  <c r="I913" i="13" s="1"/>
  <c r="G200" i="7"/>
  <c r="H645" i="13"/>
  <c r="I1040" i="13"/>
  <c r="J1040" i="13" s="1"/>
  <c r="H550" i="13"/>
  <c r="D551" i="13"/>
  <c r="H551" i="13" s="1"/>
  <c r="I253" i="13"/>
  <c r="D254" i="13"/>
  <c r="I254" i="13" s="1"/>
  <c r="E984" i="13"/>
  <c r="E1062" i="13"/>
  <c r="H983" i="13"/>
  <c r="D456" i="13"/>
  <c r="H456" i="13" s="1"/>
  <c r="J33" i="13"/>
  <c r="C4" i="17" s="1"/>
  <c r="E1136" i="13"/>
  <c r="I1069" i="13"/>
  <c r="E1092" i="13"/>
  <c r="I1092" i="13" s="1"/>
  <c r="G642" i="13"/>
  <c r="G344" i="13"/>
  <c r="I328" i="13"/>
  <c r="G576" i="13"/>
  <c r="G329" i="13"/>
  <c r="G392" i="13"/>
  <c r="I392" i="13" s="1"/>
  <c r="I496" i="13"/>
  <c r="E165" i="13"/>
  <c r="D164" i="13"/>
  <c r="E6" i="17"/>
  <c r="H6" i="17"/>
  <c r="G6" i="17"/>
  <c r="H1012" i="13"/>
  <c r="E1070" i="13"/>
  <c r="E905" i="13"/>
  <c r="D907" i="13"/>
  <c r="I907" i="13" s="1"/>
  <c r="D908" i="13"/>
  <c r="I908" i="13" s="1"/>
  <c r="I144" i="13"/>
  <c r="E276" i="13"/>
  <c r="I276" i="13" s="1"/>
  <c r="D280" i="13"/>
  <c r="H280" i="13" s="1"/>
  <c r="D278" i="13"/>
  <c r="J278" i="13" s="1"/>
  <c r="D279" i="13"/>
  <c r="J279" i="13" s="1"/>
  <c r="I1087" i="13"/>
  <c r="H694" i="13"/>
  <c r="E879" i="13"/>
  <c r="D880" i="13" s="1"/>
  <c r="I880" i="13" s="1"/>
  <c r="G99" i="7"/>
  <c r="I231" i="13"/>
  <c r="D232" i="13"/>
  <c r="I232" i="13" s="1"/>
  <c r="H1013" i="13"/>
  <c r="J893" i="13"/>
  <c r="J894" i="13" s="1"/>
  <c r="I966" i="13"/>
  <c r="H552" i="13"/>
  <c r="E147" i="13"/>
  <c r="I147" i="13" s="1"/>
  <c r="E166" i="13"/>
  <c r="I136" i="13"/>
  <c r="I724" i="13"/>
  <c r="J725" i="13" s="1"/>
  <c r="J726" i="13" s="1"/>
  <c r="D183" i="7" s="1"/>
  <c r="E58" i="13"/>
  <c r="E116" i="13"/>
  <c r="E57" i="13"/>
  <c r="I57" i="13" s="1"/>
  <c r="E164" i="13"/>
  <c r="D165" i="13"/>
  <c r="C480" i="13"/>
  <c r="E476" i="13"/>
  <c r="E480" i="13"/>
  <c r="I480" i="13" s="1"/>
  <c r="J991" i="13"/>
  <c r="D1114" i="13"/>
  <c r="I260" i="7"/>
  <c r="I34" i="8"/>
  <c r="J34" i="8" s="1"/>
  <c r="G356" i="13"/>
  <c r="I356" i="13" s="1"/>
  <c r="G434" i="13"/>
  <c r="G294" i="13"/>
  <c r="I293" i="13"/>
  <c r="I343" i="13"/>
  <c r="G407" i="13"/>
  <c r="I407" i="13" s="1"/>
  <c r="F344" i="13"/>
  <c r="F642" i="13"/>
  <c r="I432" i="13"/>
  <c r="H528" i="13"/>
  <c r="D529" i="13"/>
  <c r="H529" i="13" s="1"/>
  <c r="I554" i="13"/>
  <c r="I406" i="13"/>
  <c r="E176" i="13"/>
  <c r="E149" i="13"/>
  <c r="I149" i="13" s="1"/>
  <c r="I138" i="13"/>
  <c r="J225" i="13"/>
  <c r="H449" i="13"/>
  <c r="D450" i="13"/>
  <c r="H450" i="13" s="1"/>
  <c r="J240" i="13"/>
  <c r="J281" i="13" s="1"/>
  <c r="J283" i="13" s="1"/>
  <c r="D1140" i="13"/>
  <c r="D261" i="13"/>
  <c r="D265" i="13"/>
  <c r="H265" i="13" s="1"/>
  <c r="D263" i="13"/>
  <c r="J263" i="13" s="1"/>
  <c r="D264" i="13"/>
  <c r="J264" i="13" s="1"/>
  <c r="I1075" i="13"/>
  <c r="D1154" i="13"/>
  <c r="D1098" i="13"/>
  <c r="I1098" i="13" s="1"/>
  <c r="F446" i="13"/>
  <c r="D1153" i="13"/>
  <c r="I1153" i="13" s="1"/>
  <c r="E1152" i="13"/>
  <c r="H1152" i="13" s="1"/>
  <c r="G381" i="13"/>
  <c r="I381" i="13" s="1"/>
  <c r="I316" i="13"/>
  <c r="F534" i="13"/>
  <c r="E539" i="13" s="1"/>
  <c r="I539" i="13" s="1"/>
  <c r="H688" i="13"/>
  <c r="H689" i="13" s="1"/>
  <c r="J689" i="13" s="1"/>
  <c r="C24" i="17" s="1"/>
  <c r="E871" i="13"/>
  <c r="D872" i="13" s="1"/>
  <c r="I872" i="13" s="1"/>
  <c r="J873" i="13" s="1"/>
  <c r="D1125" i="13"/>
  <c r="J1013" i="13"/>
  <c r="C34" i="17" s="1"/>
  <c r="E34" i="17" s="1"/>
  <c r="G1019" i="13"/>
  <c r="I1018" i="13"/>
  <c r="J203" i="13"/>
  <c r="C21" i="17" s="1"/>
  <c r="I1097" i="13"/>
  <c r="H622" i="13"/>
  <c r="D623" i="13"/>
  <c r="H623" i="13" s="1"/>
  <c r="D268" i="13"/>
  <c r="D271" i="13"/>
  <c r="J271" i="13" s="1"/>
  <c r="D272" i="13"/>
  <c r="H272" i="13" s="1"/>
  <c r="D270" i="13"/>
  <c r="J270" i="13" s="1"/>
  <c r="D544" i="13"/>
  <c r="H544" i="13" s="1"/>
  <c r="H543" i="13"/>
  <c r="E1076" i="13"/>
  <c r="H1045" i="13"/>
  <c r="H1046" i="13" s="1"/>
  <c r="F491" i="13"/>
  <c r="E496" i="13" s="1"/>
  <c r="G374" i="13"/>
  <c r="I374" i="13" s="1"/>
  <c r="F309" i="13"/>
  <c r="H616" i="13"/>
  <c r="D431" i="13"/>
  <c r="H431" i="13" s="1"/>
  <c r="H430" i="13"/>
  <c r="C575" i="13"/>
  <c r="E575" i="13"/>
  <c r="I575" i="13" s="1"/>
  <c r="E571" i="13"/>
  <c r="H28" i="17"/>
  <c r="G28" i="17"/>
  <c r="E28" i="17"/>
  <c r="D45" i="11"/>
  <c r="G45" i="11" s="1"/>
  <c r="H16" i="7"/>
  <c r="H19" i="7" s="1"/>
  <c r="H7" i="8" s="1"/>
  <c r="E1283" i="13"/>
  <c r="H1283" i="13" s="1"/>
  <c r="H1291" i="13" s="1"/>
  <c r="J1292" i="13" s="1"/>
  <c r="J1293" i="13" s="1"/>
  <c r="D367" i="7" s="1"/>
  <c r="E1028" i="13"/>
  <c r="F41" i="13"/>
  <c r="I40" i="13"/>
  <c r="C17" i="17"/>
  <c r="H499" i="13"/>
  <c r="D500" i="13"/>
  <c r="H500" i="13" s="1"/>
  <c r="J1046" i="13" l="1"/>
  <c r="D370" i="7"/>
  <c r="G370" i="7" s="1"/>
  <c r="D374" i="7"/>
  <c r="H374" i="7" s="1"/>
  <c r="D373" i="7"/>
  <c r="H373" i="7" s="1"/>
  <c r="H375" i="7" s="1"/>
  <c r="H53" i="8" s="1"/>
  <c r="D369" i="7"/>
  <c r="G369" i="7" s="1"/>
  <c r="B53" i="8"/>
  <c r="D371" i="7"/>
  <c r="G371" i="7" s="1"/>
  <c r="I165" i="13"/>
  <c r="C439" i="13"/>
  <c r="E435" i="13"/>
  <c r="E439" i="13"/>
  <c r="I439" i="13" s="1"/>
  <c r="G649" i="13"/>
  <c r="G345" i="13"/>
  <c r="G656" i="13" s="1"/>
  <c r="E1083" i="13"/>
  <c r="I1083" i="13" s="1"/>
  <c r="E1113" i="13"/>
  <c r="I1060" i="13"/>
  <c r="E1214" i="13"/>
  <c r="I1214" i="13" s="1"/>
  <c r="J226" i="13"/>
  <c r="D107" i="7" s="1"/>
  <c r="D212" i="7"/>
  <c r="C18" i="17"/>
  <c r="D269" i="13"/>
  <c r="I269" i="13" s="1"/>
  <c r="I268" i="13"/>
  <c r="E643" i="13"/>
  <c r="C647" i="13"/>
  <c r="H905" i="13"/>
  <c r="E906" i="13"/>
  <c r="H906" i="13" s="1"/>
  <c r="G78" i="13"/>
  <c r="I73" i="13"/>
  <c r="H204" i="7"/>
  <c r="H206" i="7" s="1"/>
  <c r="H27" i="8" s="1"/>
  <c r="D205" i="7"/>
  <c r="H205" i="7" s="1"/>
  <c r="D180" i="13"/>
  <c r="E179" i="13"/>
  <c r="I179" i="13" s="1"/>
  <c r="E177" i="13"/>
  <c r="I177" i="13" s="1"/>
  <c r="E178" i="13"/>
  <c r="I178" i="13" s="1"/>
  <c r="G17" i="17"/>
  <c r="H17" i="17"/>
  <c r="E17" i="17"/>
  <c r="H105" i="7"/>
  <c r="H17" i="8" s="1"/>
  <c r="I344" i="13"/>
  <c r="F649" i="13"/>
  <c r="E654" i="13" s="1"/>
  <c r="I654" i="13" s="1"/>
  <c r="G408" i="13"/>
  <c r="I408" i="13" s="1"/>
  <c r="F345" i="13"/>
  <c r="E1099" i="13"/>
  <c r="I1099" i="13" s="1"/>
  <c r="E1157" i="13"/>
  <c r="I1076" i="13"/>
  <c r="D572" i="13"/>
  <c r="H572" i="13" s="1"/>
  <c r="H571" i="13"/>
  <c r="E1063" i="13"/>
  <c r="H984" i="13"/>
  <c r="H985" i="13" s="1"/>
  <c r="H24" i="17"/>
  <c r="E24" i="17"/>
  <c r="G24" i="17"/>
  <c r="E167" i="13"/>
  <c r="I167" i="13" s="1"/>
  <c r="E168" i="13"/>
  <c r="I168" i="13" s="1"/>
  <c r="E169" i="13"/>
  <c r="I169" i="13" s="1"/>
  <c r="D170" i="13"/>
  <c r="E1137" i="13"/>
  <c r="H1137" i="13" s="1"/>
  <c r="D1138" i="13"/>
  <c r="I1138" i="13" s="1"/>
  <c r="D226" i="7"/>
  <c r="G226" i="7" s="1"/>
  <c r="B31" i="8"/>
  <c r="D227" i="7"/>
  <c r="G227" i="7" s="1"/>
  <c r="D228" i="7"/>
  <c r="G228" i="7" s="1"/>
  <c r="D230" i="7"/>
  <c r="D231" i="7"/>
  <c r="G388" i="13"/>
  <c r="I388" i="13" s="1"/>
  <c r="F556" i="13"/>
  <c r="E561" i="13" s="1"/>
  <c r="I561" i="13" s="1"/>
  <c r="I323" i="13"/>
  <c r="G1020" i="13"/>
  <c r="I1019" i="13"/>
  <c r="I329" i="13"/>
  <c r="G393" i="13"/>
  <c r="I393" i="13" s="1"/>
  <c r="G330" i="13"/>
  <c r="G583" i="13"/>
  <c r="C581" i="13"/>
  <c r="E577" i="13"/>
  <c r="E581" i="13"/>
  <c r="I581" i="13" s="1"/>
  <c r="I1062" i="13"/>
  <c r="E1085" i="13"/>
  <c r="I1085" i="13" s="1"/>
  <c r="E1121" i="13"/>
  <c r="D1155" i="13"/>
  <c r="H1155" i="13" s="1"/>
  <c r="D1156" i="13"/>
  <c r="I1156" i="13" s="1"/>
  <c r="E1093" i="13"/>
  <c r="I1093" i="13" s="1"/>
  <c r="E1139" i="13"/>
  <c r="I1070" i="13"/>
  <c r="I41" i="13"/>
  <c r="F42" i="13"/>
  <c r="H428" i="13"/>
  <c r="D429" i="13"/>
  <c r="H429" i="13" s="1"/>
  <c r="G295" i="13"/>
  <c r="G357" i="13"/>
  <c r="I357" i="13" s="1"/>
  <c r="G440" i="13"/>
  <c r="I294" i="13"/>
  <c r="H965" i="13"/>
  <c r="H966" i="13" s="1"/>
  <c r="J966" i="13" s="1"/>
  <c r="E1061" i="13"/>
  <c r="E59" i="13"/>
  <c r="I59" i="13" s="1"/>
  <c r="E118" i="13"/>
  <c r="I58" i="13"/>
  <c r="I925" i="13"/>
  <c r="I927" i="13" s="1"/>
  <c r="D238" i="7" s="1"/>
  <c r="D243" i="7" s="1"/>
  <c r="G243" i="7" s="1"/>
  <c r="G100" i="7"/>
  <c r="G105" i="7" s="1"/>
  <c r="G17" i="8" s="1"/>
  <c r="J17" i="8" s="1"/>
  <c r="E17" i="8" s="1"/>
  <c r="D14" i="11"/>
  <c r="G14" i="11" s="1"/>
  <c r="H4" i="17"/>
  <c r="G4" i="17"/>
  <c r="E4" i="17"/>
  <c r="G241" i="7"/>
  <c r="D120" i="7"/>
  <c r="H284" i="13"/>
  <c r="G206" i="7"/>
  <c r="G27" i="8" s="1"/>
  <c r="J27" i="8" s="1"/>
  <c r="H9" i="7"/>
  <c r="H6" i="8" s="1"/>
  <c r="J6" i="8" s="1"/>
  <c r="D262" i="13"/>
  <c r="I262" i="13" s="1"/>
  <c r="I261" i="13"/>
  <c r="I281" i="13" s="1"/>
  <c r="I283" i="13" s="1"/>
  <c r="E21" i="17"/>
  <c r="H21" i="17"/>
  <c r="G21" i="17"/>
  <c r="H911" i="13"/>
  <c r="J139" i="13"/>
  <c r="D33" i="7"/>
  <c r="D30" i="7"/>
  <c r="D34" i="7"/>
  <c r="D31" i="7"/>
  <c r="B9" i="8"/>
  <c r="J284" i="13"/>
  <c r="D122" i="7"/>
  <c r="D125" i="7" s="1"/>
  <c r="G125" i="7" s="1"/>
  <c r="D191" i="7"/>
  <c r="D188" i="7"/>
  <c r="D190" i="7"/>
  <c r="D185" i="7"/>
  <c r="G185" i="7" s="1"/>
  <c r="B26" i="8"/>
  <c r="D187" i="7"/>
  <c r="G187" i="7" s="1"/>
  <c r="D186" i="7"/>
  <c r="G186" i="7" s="1"/>
  <c r="I993" i="13"/>
  <c r="E1029" i="13"/>
  <c r="E1071" i="13"/>
  <c r="H1028" i="13"/>
  <c r="G375" i="13"/>
  <c r="I375" i="13" s="1"/>
  <c r="F498" i="13"/>
  <c r="E503" i="13" s="1"/>
  <c r="I503" i="13" s="1"/>
  <c r="F310" i="13"/>
  <c r="I309" i="13"/>
  <c r="C37" i="17"/>
  <c r="E647" i="13"/>
  <c r="I647" i="13" s="1"/>
  <c r="D477" i="13"/>
  <c r="H477" i="13" s="1"/>
  <c r="H476" i="13"/>
  <c r="I164" i="13"/>
  <c r="I183" i="13" s="1"/>
  <c r="I185" i="13" s="1"/>
  <c r="E881" i="13"/>
  <c r="D882" i="13" s="1"/>
  <c r="I882" i="13" s="1"/>
  <c r="J883" i="13" s="1"/>
  <c r="J884" i="13" s="1"/>
  <c r="D209" i="7" s="1"/>
  <c r="H695" i="13"/>
  <c r="H697" i="13" s="1"/>
  <c r="J697" i="13" s="1"/>
  <c r="J150" i="13"/>
  <c r="J151" i="13" s="1"/>
  <c r="D72" i="7" s="1"/>
  <c r="B8" i="8"/>
  <c r="D24" i="7"/>
  <c r="H993" i="13" l="1"/>
  <c r="J985" i="13"/>
  <c r="C36" i="17" s="1"/>
  <c r="C31" i="17"/>
  <c r="J699" i="13"/>
  <c r="J700" i="13" s="1"/>
  <c r="D169" i="7" s="1"/>
  <c r="D82" i="7"/>
  <c r="I186" i="13"/>
  <c r="G209" i="7"/>
  <c r="G210" i="7" s="1"/>
  <c r="J28" i="8" s="1"/>
  <c r="D16" i="11"/>
  <c r="G16" i="11" s="1"/>
  <c r="I382" i="13"/>
  <c r="J383" i="13" s="1"/>
  <c r="E1216" i="13" s="1"/>
  <c r="I1216" i="13" s="1"/>
  <c r="D121" i="7"/>
  <c r="D124" i="7" s="1"/>
  <c r="G124" i="7" s="1"/>
  <c r="I284" i="13"/>
  <c r="J285" i="13" s="1"/>
  <c r="D119" i="7" s="1"/>
  <c r="G1021" i="13"/>
  <c r="I1021" i="13" s="1"/>
  <c r="I1020" i="13"/>
  <c r="D436" i="13"/>
  <c r="H436" i="13" s="1"/>
  <c r="H435" i="13"/>
  <c r="G31" i="7"/>
  <c r="E1166" i="13"/>
  <c r="I1166" i="13" s="1"/>
  <c r="J994" i="13"/>
  <c r="E18" i="17"/>
  <c r="G18" i="17"/>
  <c r="H18" i="17"/>
  <c r="C25" i="17"/>
  <c r="D114" i="7"/>
  <c r="D113" i="7"/>
  <c r="D110" i="7"/>
  <c r="G110" i="7" s="1"/>
  <c r="D109" i="7"/>
  <c r="G109" i="7" s="1"/>
  <c r="D111" i="7"/>
  <c r="G111" i="7" s="1"/>
  <c r="B18" i="8"/>
  <c r="J180" i="13"/>
  <c r="D181" i="13"/>
  <c r="J181" i="13" s="1"/>
  <c r="H34" i="7"/>
  <c r="I1061" i="13"/>
  <c r="E1117" i="13"/>
  <c r="E1084" i="13"/>
  <c r="I1084" i="13" s="1"/>
  <c r="J331" i="13"/>
  <c r="H1029" i="13"/>
  <c r="H1030" i="13" s="1"/>
  <c r="H1048" i="13" s="1"/>
  <c r="E1072" i="13"/>
  <c r="J140" i="13"/>
  <c r="H1237" i="13"/>
  <c r="D217" i="7"/>
  <c r="G217" i="7" s="1"/>
  <c r="D214" i="7"/>
  <c r="D215" i="7"/>
  <c r="G215" i="7" s="1"/>
  <c r="B30" i="8"/>
  <c r="D221" i="7"/>
  <c r="H221" i="7" s="1"/>
  <c r="D220" i="7"/>
  <c r="H220" i="7" s="1"/>
  <c r="D216" i="7"/>
  <c r="G216" i="7" s="1"/>
  <c r="D222" i="7"/>
  <c r="H222" i="7" s="1"/>
  <c r="G234" i="7"/>
  <c r="G31" i="8" s="1"/>
  <c r="G30" i="7"/>
  <c r="D12" i="11"/>
  <c r="G12" i="11" s="1"/>
  <c r="E1122" i="13"/>
  <c r="H1122" i="13" s="1"/>
  <c r="D1123" i="13"/>
  <c r="I1123" i="13" s="1"/>
  <c r="H643" i="13"/>
  <c r="D644" i="13"/>
  <c r="H644" i="13" s="1"/>
  <c r="C588" i="13"/>
  <c r="E584" i="13"/>
  <c r="E588" i="13"/>
  <c r="I588" i="13" s="1"/>
  <c r="E1114" i="13"/>
  <c r="H1114" i="13" s="1"/>
  <c r="D1115" i="13"/>
  <c r="I1115" i="13" s="1"/>
  <c r="H33" i="7"/>
  <c r="H35" i="7" s="1"/>
  <c r="H9" i="8" s="1"/>
  <c r="C445" i="13"/>
  <c r="E441" i="13"/>
  <c r="E445" i="13"/>
  <c r="I445" i="13" s="1"/>
  <c r="H231" i="7"/>
  <c r="D233" i="7"/>
  <c r="H233" i="7" s="1"/>
  <c r="G375" i="7"/>
  <c r="G53" i="8" s="1"/>
  <c r="J53" i="8" s="1"/>
  <c r="E53" i="8" s="1"/>
  <c r="D232" i="7"/>
  <c r="H232" i="7" s="1"/>
  <c r="H230" i="7"/>
  <c r="E1086" i="13"/>
  <c r="I1086" i="13" s="1"/>
  <c r="I1063" i="13"/>
  <c r="E1124" i="13"/>
  <c r="D578" i="13"/>
  <c r="H578" i="13" s="1"/>
  <c r="H577" i="13"/>
  <c r="D192" i="7"/>
  <c r="H192" i="7" s="1"/>
  <c r="H190" i="7"/>
  <c r="H191" i="7"/>
  <c r="D193" i="7"/>
  <c r="H193" i="7" s="1"/>
  <c r="H925" i="13"/>
  <c r="H927" i="13" s="1"/>
  <c r="D237" i="7" s="1"/>
  <c r="D51" i="11"/>
  <c r="G51" i="11" s="1"/>
  <c r="G52" i="11" s="1"/>
  <c r="I24" i="7"/>
  <c r="D126" i="7"/>
  <c r="C661" i="13"/>
  <c r="E657" i="13"/>
  <c r="D171" i="13"/>
  <c r="J171" i="13" s="1"/>
  <c r="J170" i="13"/>
  <c r="J183" i="13" s="1"/>
  <c r="J185" i="13" s="1"/>
  <c r="F656" i="13"/>
  <c r="E661" i="13" s="1"/>
  <c r="I661" i="13" s="1"/>
  <c r="I345" i="13"/>
  <c r="J347" i="13" s="1"/>
  <c r="G409" i="13"/>
  <c r="I409" i="13" s="1"/>
  <c r="I411" i="13" s="1"/>
  <c r="J412" i="13" s="1"/>
  <c r="E1218" i="13" s="1"/>
  <c r="I1218" i="13" s="1"/>
  <c r="C654" i="13"/>
  <c r="E650" i="13"/>
  <c r="E6" i="8"/>
  <c r="I1071" i="13"/>
  <c r="E1094" i="13"/>
  <c r="I1094" i="13" s="1"/>
  <c r="E1142" i="13"/>
  <c r="D75" i="7"/>
  <c r="D78" i="7"/>
  <c r="B14" i="8"/>
  <c r="D79" i="7"/>
  <c r="H79" i="7" s="1"/>
  <c r="D76" i="7"/>
  <c r="D74" i="7"/>
  <c r="G446" i="13"/>
  <c r="G358" i="13"/>
  <c r="I358" i="13" s="1"/>
  <c r="I368" i="13" s="1"/>
  <c r="I295" i="13"/>
  <c r="J304" i="13" s="1"/>
  <c r="G188" i="7"/>
  <c r="G194" i="7" s="1"/>
  <c r="G26" i="8" s="1"/>
  <c r="D19" i="11"/>
  <c r="G19" i="11" s="1"/>
  <c r="F43" i="13"/>
  <c r="I42" i="13"/>
  <c r="G394" i="13"/>
  <c r="I394" i="13" s="1"/>
  <c r="I395" i="13" s="1"/>
  <c r="J396" i="13" s="1"/>
  <c r="E1217" i="13" s="1"/>
  <c r="I1217" i="13" s="1"/>
  <c r="G590" i="13"/>
  <c r="I330" i="13"/>
  <c r="E1158" i="13"/>
  <c r="H1158" i="13" s="1"/>
  <c r="D1159" i="13"/>
  <c r="I1159" i="13" s="1"/>
  <c r="F505" i="13"/>
  <c r="E510" i="13" s="1"/>
  <c r="I510" i="13" s="1"/>
  <c r="G376" i="13"/>
  <c r="I376" i="13" s="1"/>
  <c r="I310" i="13"/>
  <c r="J317" i="13" s="1"/>
  <c r="E119" i="13"/>
  <c r="E1241" i="13"/>
  <c r="E1140" i="13"/>
  <c r="H1140" i="13" s="1"/>
  <c r="D1141" i="13"/>
  <c r="I1141" i="13" s="1"/>
  <c r="I1030" i="13"/>
  <c r="I78" i="13"/>
  <c r="G83" i="13"/>
  <c r="D127" i="7" l="1"/>
  <c r="G127" i="7" s="1"/>
  <c r="B19" i="8"/>
  <c r="D258" i="7"/>
  <c r="D259" i="7" s="1"/>
  <c r="C30" i="17"/>
  <c r="J26" i="8"/>
  <c r="C9" i="17"/>
  <c r="J348" i="13"/>
  <c r="J349" i="13" s="1"/>
  <c r="D133" i="7" s="1"/>
  <c r="D252" i="7"/>
  <c r="D253" i="7" s="1"/>
  <c r="C16" i="17"/>
  <c r="J1100" i="13"/>
  <c r="J1101" i="13" s="1"/>
  <c r="D286" i="7" s="1"/>
  <c r="D115" i="7"/>
  <c r="H113" i="7"/>
  <c r="G74" i="7"/>
  <c r="D85" i="7"/>
  <c r="G75" i="7"/>
  <c r="D651" i="13"/>
  <c r="H651" i="13" s="1"/>
  <c r="H650" i="13"/>
  <c r="H114" i="7"/>
  <c r="D116" i="7"/>
  <c r="E1253" i="13"/>
  <c r="E367" i="13"/>
  <c r="H367" i="13" s="1"/>
  <c r="H368" i="13" s="1"/>
  <c r="J369" i="13" s="1"/>
  <c r="J414" i="13" s="1"/>
  <c r="J415" i="13" s="1"/>
  <c r="D145" i="7" s="1"/>
  <c r="C451" i="13"/>
  <c r="E447" i="13"/>
  <c r="E451" i="13"/>
  <c r="I451" i="13" s="1"/>
  <c r="E1118" i="13"/>
  <c r="H1118" i="13" s="1"/>
  <c r="D1119" i="13"/>
  <c r="I1119" i="13" s="1"/>
  <c r="G76" i="7"/>
  <c r="H194" i="7"/>
  <c r="H26" i="8" s="1"/>
  <c r="H223" i="7"/>
  <c r="H30" i="8" s="1"/>
  <c r="H78" i="7"/>
  <c r="H80" i="7" s="1"/>
  <c r="H14" i="8" s="1"/>
  <c r="C595" i="13"/>
  <c r="E591" i="13"/>
  <c r="E595" i="13"/>
  <c r="I595" i="13" s="1"/>
  <c r="I663" i="13" s="1"/>
  <c r="I665" i="13" s="1"/>
  <c r="H584" i="13"/>
  <c r="D585" i="13"/>
  <c r="H585" i="13" s="1"/>
  <c r="D218" i="7"/>
  <c r="G218" i="7" s="1"/>
  <c r="G214" i="7"/>
  <c r="D178" i="7"/>
  <c r="H178" i="7" s="1"/>
  <c r="D171" i="7"/>
  <c r="D172" i="7"/>
  <c r="G172" i="7" s="1"/>
  <c r="B25" i="8"/>
  <c r="D179" i="7"/>
  <c r="H179" i="7" s="1"/>
  <c r="D173" i="7"/>
  <c r="G173" i="7" s="1"/>
  <c r="D174" i="7"/>
  <c r="G174" i="7" s="1"/>
  <c r="D180" i="7"/>
  <c r="H180" i="7" s="1"/>
  <c r="D89" i="7"/>
  <c r="D658" i="13"/>
  <c r="H658" i="13" s="1"/>
  <c r="H657" i="13"/>
  <c r="E1143" i="13"/>
  <c r="H1143" i="13" s="1"/>
  <c r="D1144" i="13"/>
  <c r="I1144" i="13" s="1"/>
  <c r="E1125" i="13"/>
  <c r="H1125" i="13" s="1"/>
  <c r="D1126" i="13"/>
  <c r="I1126" i="13" s="1"/>
  <c r="G31" i="17"/>
  <c r="E31" i="17"/>
  <c r="H31" i="17"/>
  <c r="D242" i="7"/>
  <c r="D235" i="7"/>
  <c r="C23" i="17"/>
  <c r="D255" i="7"/>
  <c r="D256" i="7" s="1"/>
  <c r="H1241" i="13"/>
  <c r="E1242" i="13"/>
  <c r="H1242" i="13" s="1"/>
  <c r="E25" i="17"/>
  <c r="G25" i="17"/>
  <c r="H25" i="17"/>
  <c r="D129" i="7"/>
  <c r="G131" i="7"/>
  <c r="G19" i="8" s="1"/>
  <c r="D442" i="13"/>
  <c r="H442" i="13" s="1"/>
  <c r="H441" i="13"/>
  <c r="J186" i="13"/>
  <c r="D86" i="7" s="1"/>
  <c r="D83" i="7"/>
  <c r="G89" i="13"/>
  <c r="I83" i="13"/>
  <c r="I43" i="13"/>
  <c r="F44" i="13"/>
  <c r="G126" i="7"/>
  <c r="D23" i="11"/>
  <c r="G23" i="11" s="1"/>
  <c r="H234" i="7"/>
  <c r="H31" i="8" s="1"/>
  <c r="J31" i="8" s="1"/>
  <c r="G35" i="7"/>
  <c r="G9" i="8" s="1"/>
  <c r="J9" i="8" s="1"/>
  <c r="E9" i="8" s="1"/>
  <c r="D60" i="7"/>
  <c r="C5" i="17"/>
  <c r="G117" i="7"/>
  <c r="G18" i="8" s="1"/>
  <c r="C7" i="24"/>
  <c r="C7" i="14"/>
  <c r="J1030" i="13"/>
  <c r="C35" i="17" s="1"/>
  <c r="I1048" i="13"/>
  <c r="I25" i="7"/>
  <c r="I8" i="8" s="1"/>
  <c r="J8" i="8" s="1"/>
  <c r="I1072" i="13"/>
  <c r="J1077" i="13" s="1"/>
  <c r="J1078" i="13" s="1"/>
  <c r="E1145" i="13"/>
  <c r="E1095" i="13"/>
  <c r="I1095" i="13" s="1"/>
  <c r="D149" i="7" l="1"/>
  <c r="D148" i="7"/>
  <c r="D147" i="7"/>
  <c r="D152" i="7"/>
  <c r="B22" i="8"/>
  <c r="D151" i="7"/>
  <c r="D157" i="7"/>
  <c r="I666" i="13"/>
  <c r="D63" i="7"/>
  <c r="G63" i="7" s="1"/>
  <c r="D69" i="7"/>
  <c r="H69" i="7" s="1"/>
  <c r="D67" i="7"/>
  <c r="H67" i="7" s="1"/>
  <c r="B13" i="8"/>
  <c r="D62" i="7"/>
  <c r="G62" i="7" s="1"/>
  <c r="G70" i="7" s="1"/>
  <c r="G13" i="8" s="1"/>
  <c r="D68" i="7"/>
  <c r="H68" i="7" s="1"/>
  <c r="D65" i="7"/>
  <c r="G65" i="7" s="1"/>
  <c r="D64" i="7"/>
  <c r="G64" i="7" s="1"/>
  <c r="H115" i="7"/>
  <c r="D130" i="7"/>
  <c r="H130" i="7" s="1"/>
  <c r="H129" i="7"/>
  <c r="H131" i="7" s="1"/>
  <c r="H19" i="8" s="1"/>
  <c r="J19" i="8" s="1"/>
  <c r="E19" i="8" s="1"/>
  <c r="D592" i="13"/>
  <c r="H592" i="13" s="1"/>
  <c r="H591" i="13"/>
  <c r="H16" i="17"/>
  <c r="H19" i="17" s="1"/>
  <c r="G16" i="17"/>
  <c r="G19" i="17" s="1"/>
  <c r="E16" i="17"/>
  <c r="E19" i="17" s="1"/>
  <c r="C19" i="17"/>
  <c r="D135" i="7"/>
  <c r="D137" i="7"/>
  <c r="G137" i="7" s="1"/>
  <c r="B21" i="8"/>
  <c r="D136" i="7"/>
  <c r="G136" i="7" s="1"/>
  <c r="D143" i="7"/>
  <c r="H143" i="7" s="1"/>
  <c r="D141" i="7"/>
  <c r="H141" i="7" s="1"/>
  <c r="H144" i="7" s="1"/>
  <c r="H21" i="8" s="1"/>
  <c r="D142" i="7"/>
  <c r="H142" i="7" s="1"/>
  <c r="D138" i="7"/>
  <c r="G138" i="7" s="1"/>
  <c r="G5" i="17"/>
  <c r="E5" i="17"/>
  <c r="H5" i="17"/>
  <c r="H116" i="7"/>
  <c r="H117" i="7" s="1"/>
  <c r="H18" i="8" s="1"/>
  <c r="J18" i="8" s="1"/>
  <c r="E18" i="8" s="1"/>
  <c r="H89" i="7"/>
  <c r="D90" i="7"/>
  <c r="H90" i="7" s="1"/>
  <c r="F45" i="13"/>
  <c r="I44" i="13"/>
  <c r="H23" i="17"/>
  <c r="H26" i="17" s="1"/>
  <c r="E23" i="17"/>
  <c r="E26" i="17" s="1"/>
  <c r="G23" i="17"/>
  <c r="G26" i="17" s="1"/>
  <c r="C26" i="17"/>
  <c r="E1193" i="13"/>
  <c r="I1193" i="13" s="1"/>
  <c r="I1220" i="13" s="1"/>
  <c r="J1221" i="13" s="1"/>
  <c r="J1049" i="13"/>
  <c r="J1051" i="13" s="1"/>
  <c r="J1052" i="13" s="1"/>
  <c r="D262" i="7" s="1"/>
  <c r="H447" i="13"/>
  <c r="H663" i="13" s="1"/>
  <c r="H665" i="13" s="1"/>
  <c r="D448" i="13"/>
  <c r="H448" i="13" s="1"/>
  <c r="H1253" i="13"/>
  <c r="H1254" i="13" s="1"/>
  <c r="J1254" i="13" s="1"/>
  <c r="J1255" i="13" s="1"/>
  <c r="D340" i="7" s="1"/>
  <c r="E1260" i="13"/>
  <c r="H1260" i="13" s="1"/>
  <c r="H1261" i="13" s="1"/>
  <c r="J1262" i="13" s="1"/>
  <c r="D1147" i="13"/>
  <c r="I1147" i="13" s="1"/>
  <c r="I1161" i="13" s="1"/>
  <c r="I1163" i="13" s="1"/>
  <c r="D300" i="7" s="1"/>
  <c r="D303" i="7" s="1"/>
  <c r="E1146" i="13"/>
  <c r="H1146" i="13" s="1"/>
  <c r="H1161" i="13" s="1"/>
  <c r="H1163" i="13" s="1"/>
  <c r="D299" i="7" s="1"/>
  <c r="D274" i="7"/>
  <c r="C39" i="17"/>
  <c r="D245" i="7"/>
  <c r="G245" i="7" s="1"/>
  <c r="B32" i="8"/>
  <c r="G94" i="13"/>
  <c r="I89" i="13"/>
  <c r="G242" i="7"/>
  <c r="D25" i="11"/>
  <c r="G25" i="11" s="1"/>
  <c r="D247" i="7"/>
  <c r="G85" i="7"/>
  <c r="G171" i="7"/>
  <c r="D175" i="7"/>
  <c r="G175" i="7" s="1"/>
  <c r="D81" i="7"/>
  <c r="C32" i="17"/>
  <c r="G30" i="17"/>
  <c r="G32" i="17" s="1"/>
  <c r="H30" i="17"/>
  <c r="H32" i="17" s="1"/>
  <c r="E30" i="17"/>
  <c r="E32" i="17" s="1"/>
  <c r="D54" i="11"/>
  <c r="B34" i="8"/>
  <c r="B36" i="8"/>
  <c r="D55" i="11"/>
  <c r="H181" i="7"/>
  <c r="H25" i="8" s="1"/>
  <c r="B38" i="8"/>
  <c r="D56" i="11"/>
  <c r="G86" i="7"/>
  <c r="G223" i="7"/>
  <c r="G30" i="8" s="1"/>
  <c r="J30" i="8" s="1"/>
  <c r="G80" i="7"/>
  <c r="G14" i="8" s="1"/>
  <c r="J14" i="8" s="1"/>
  <c r="E14" i="8" s="1"/>
  <c r="B44" i="8"/>
  <c r="D290" i="7"/>
  <c r="G290" i="7" s="1"/>
  <c r="D292" i="7"/>
  <c r="D293" i="7"/>
  <c r="D288" i="7"/>
  <c r="G288" i="7" s="1"/>
  <c r="D289" i="7"/>
  <c r="G289" i="7" s="1"/>
  <c r="H9" i="17"/>
  <c r="G9" i="17"/>
  <c r="E9" i="17"/>
  <c r="I387" i="7"/>
  <c r="D158" i="7" l="1"/>
  <c r="D161" i="7" s="1"/>
  <c r="H666" i="13"/>
  <c r="J667" i="13" s="1"/>
  <c r="G303" i="7"/>
  <c r="D22" i="11"/>
  <c r="H292" i="7"/>
  <c r="D294" i="7"/>
  <c r="H294" i="7" s="1"/>
  <c r="I45" i="13"/>
  <c r="F46" i="13"/>
  <c r="I46" i="13" s="1"/>
  <c r="D279" i="7"/>
  <c r="G279" i="7" s="1"/>
  <c r="D282" i="7"/>
  <c r="H282" i="7" s="1"/>
  <c r="B43" i="8"/>
  <c r="D278" i="7"/>
  <c r="G278" i="7" s="1"/>
  <c r="D276" i="7"/>
  <c r="G276" i="7" s="1"/>
  <c r="D283" i="7"/>
  <c r="H283" i="7" s="1"/>
  <c r="D281" i="7"/>
  <c r="H281" i="7" s="1"/>
  <c r="H284" i="7" s="1"/>
  <c r="H43" i="8" s="1"/>
  <c r="D277" i="7"/>
  <c r="G277" i="7" s="1"/>
  <c r="D139" i="7"/>
  <c r="G135" i="7"/>
  <c r="H70" i="7"/>
  <c r="H13" i="8" s="1"/>
  <c r="D87" i="7"/>
  <c r="B15" i="8"/>
  <c r="G181" i="7"/>
  <c r="G25" i="8" s="1"/>
  <c r="J25" i="8" s="1"/>
  <c r="E25" i="8" s="1"/>
  <c r="H247" i="7"/>
  <c r="D248" i="7"/>
  <c r="H248" i="7" s="1"/>
  <c r="D153" i="7"/>
  <c r="H151" i="7"/>
  <c r="D43" i="11"/>
  <c r="G43" i="11" s="1"/>
  <c r="G249" i="7"/>
  <c r="G32" i="8" s="1"/>
  <c r="J1222" i="13"/>
  <c r="D311" i="7" s="1"/>
  <c r="D310" i="7"/>
  <c r="D154" i="7"/>
  <c r="H152" i="7"/>
  <c r="B50" i="8"/>
  <c r="D342" i="7"/>
  <c r="G342" i="7" s="1"/>
  <c r="G345" i="7" s="1"/>
  <c r="G50" i="8" s="1"/>
  <c r="J50" i="8" s="1"/>
  <c r="D344" i="7"/>
  <c r="H344" i="7" s="1"/>
  <c r="H345" i="7" s="1"/>
  <c r="H50" i="8" s="1"/>
  <c r="D160" i="7"/>
  <c r="D265" i="7"/>
  <c r="G265" i="7" s="1"/>
  <c r="B41" i="8"/>
  <c r="D267" i="7"/>
  <c r="D266" i="7"/>
  <c r="G266" i="7" s="1"/>
  <c r="D264" i="7"/>
  <c r="G264" i="7" s="1"/>
  <c r="D269" i="7"/>
  <c r="H269" i="7" s="1"/>
  <c r="D270" i="7"/>
  <c r="H270" i="7" s="1"/>
  <c r="G147" i="7"/>
  <c r="D18" i="11"/>
  <c r="G18" i="11" s="1"/>
  <c r="G99" i="13"/>
  <c r="I94" i="13"/>
  <c r="G148" i="7"/>
  <c r="D17" i="11"/>
  <c r="G17" i="11" s="1"/>
  <c r="H293" i="7"/>
  <c r="D295" i="7"/>
  <c r="H295" i="7" s="1"/>
  <c r="J13" i="8"/>
  <c r="E13" i="8" s="1"/>
  <c r="D306" i="7"/>
  <c r="D302" i="7"/>
  <c r="G302" i="7" s="1"/>
  <c r="D298" i="7"/>
  <c r="H91" i="7"/>
  <c r="H15" i="8" s="1"/>
  <c r="E1266" i="13"/>
  <c r="J1266" i="13" s="1"/>
  <c r="J1267" i="13" s="1"/>
  <c r="J1268" i="13" s="1"/>
  <c r="D361" i="7" s="1"/>
  <c r="J1263" i="13"/>
  <c r="D349" i="7" s="1"/>
  <c r="D348" i="7"/>
  <c r="G149" i="7"/>
  <c r="D20" i="11"/>
  <c r="G20" i="11" s="1"/>
  <c r="G296" i="7"/>
  <c r="G44" i="8" s="1"/>
  <c r="D316" i="7" l="1"/>
  <c r="G316" i="7" s="1"/>
  <c r="B46" i="8"/>
  <c r="D315" i="7"/>
  <c r="G315" i="7" s="1"/>
  <c r="G320" i="7" s="1"/>
  <c r="G46" i="8" s="1"/>
  <c r="B45" i="8"/>
  <c r="D304" i="7"/>
  <c r="G304" i="7" s="1"/>
  <c r="J32" i="8"/>
  <c r="G284" i="7"/>
  <c r="G43" i="8" s="1"/>
  <c r="J43" i="8" s="1"/>
  <c r="E43" i="8" s="1"/>
  <c r="G308" i="7"/>
  <c r="G45" i="8" s="1"/>
  <c r="J45" i="8" s="1"/>
  <c r="E45" i="8" s="1"/>
  <c r="D31" i="11"/>
  <c r="G31" i="11" s="1"/>
  <c r="G267" i="7"/>
  <c r="G271" i="7" s="1"/>
  <c r="G41" i="8" s="1"/>
  <c r="J41" i="8" s="1"/>
  <c r="E41" i="8" s="1"/>
  <c r="H153" i="7"/>
  <c r="H155" i="7" s="1"/>
  <c r="H22" i="8" s="1"/>
  <c r="D44" i="11"/>
  <c r="G44" i="11" s="1"/>
  <c r="D156" i="7"/>
  <c r="J51" i="13"/>
  <c r="J47" i="13"/>
  <c r="C7" i="17" s="1"/>
  <c r="D164" i="7"/>
  <c r="H249" i="7"/>
  <c r="H32" i="8" s="1"/>
  <c r="D307" i="7"/>
  <c r="H307" i="7" s="1"/>
  <c r="H306" i="7"/>
  <c r="H308" i="7" s="1"/>
  <c r="H45" i="8" s="1"/>
  <c r="G160" i="7"/>
  <c r="D24" i="11"/>
  <c r="G24" i="11" s="1"/>
  <c r="H296" i="7"/>
  <c r="H44" i="8" s="1"/>
  <c r="J44" i="8" s="1"/>
  <c r="E44" i="8" s="1"/>
  <c r="G22" i="11"/>
  <c r="D353" i="7"/>
  <c r="G353" i="7" s="1"/>
  <c r="D354" i="7"/>
  <c r="G354" i="7" s="1"/>
  <c r="B51" i="8"/>
  <c r="D356" i="7"/>
  <c r="H356" i="7" s="1"/>
  <c r="D352" i="7"/>
  <c r="G352" i="7" s="1"/>
  <c r="D358" i="7"/>
  <c r="H358" i="7" s="1"/>
  <c r="D357" i="7"/>
  <c r="H357" i="7" s="1"/>
  <c r="D351" i="7"/>
  <c r="G351" i="7" s="1"/>
  <c r="H271" i="7"/>
  <c r="H41" i="8" s="1"/>
  <c r="I99" i="13"/>
  <c r="G104" i="13"/>
  <c r="G144" i="7"/>
  <c r="G21" i="8" s="1"/>
  <c r="J21" i="8" s="1"/>
  <c r="E21" i="8" s="1"/>
  <c r="B52" i="8"/>
  <c r="D362" i="7"/>
  <c r="D364" i="7" s="1"/>
  <c r="D312" i="7"/>
  <c r="G87" i="7"/>
  <c r="G91" i="7" s="1"/>
  <c r="G15" i="8" s="1"/>
  <c r="J15" i="8" s="1"/>
  <c r="E15" i="8" s="1"/>
  <c r="G155" i="7"/>
  <c r="G22" i="8" s="1"/>
  <c r="H154" i="7"/>
  <c r="D41" i="11"/>
  <c r="G41" i="11" s="1"/>
  <c r="D15" i="11"/>
  <c r="G15" i="11" s="1"/>
  <c r="G139" i="7"/>
  <c r="G161" i="7"/>
  <c r="D26" i="11"/>
  <c r="G26" i="11" s="1"/>
  <c r="G364" i="7" l="1"/>
  <c r="G365" i="7" s="1"/>
  <c r="G52" i="8" s="1"/>
  <c r="J52" i="8" s="1"/>
  <c r="E52" i="8" s="1"/>
  <c r="D32" i="11"/>
  <c r="G32" i="11" s="1"/>
  <c r="D27" i="11"/>
  <c r="D165" i="7"/>
  <c r="H165" i="7" s="1"/>
  <c r="H164" i="7"/>
  <c r="D42" i="11"/>
  <c r="G42" i="11" s="1"/>
  <c r="J22" i="8"/>
  <c r="E22" i="8" s="1"/>
  <c r="D162" i="7"/>
  <c r="B23" i="8"/>
  <c r="D313" i="7"/>
  <c r="D318" i="7" s="1"/>
  <c r="H318" i="7" s="1"/>
  <c r="G109" i="13"/>
  <c r="I104" i="13"/>
  <c r="H7" i="17"/>
  <c r="H12" i="17" s="1"/>
  <c r="G7" i="17"/>
  <c r="E7" i="17"/>
  <c r="J52" i="13"/>
  <c r="D37" i="7" s="1"/>
  <c r="H1236" i="13"/>
  <c r="H1244" i="13" s="1"/>
  <c r="J1244" i="13" s="1"/>
  <c r="J1245" i="13" s="1"/>
  <c r="D332" i="7" s="1"/>
  <c r="H359" i="7"/>
  <c r="H51" i="8" s="1"/>
  <c r="G359" i="7"/>
  <c r="G51" i="8" s="1"/>
  <c r="J51" i="8" l="1"/>
  <c r="E51" i="8" s="1"/>
  <c r="H166" i="7"/>
  <c r="H23" i="8" s="1"/>
  <c r="D334" i="7"/>
  <c r="D336" i="7"/>
  <c r="H336" i="7" s="1"/>
  <c r="H337" i="7" s="1"/>
  <c r="H48" i="8" s="1"/>
  <c r="B48" i="8"/>
  <c r="D40" i="7"/>
  <c r="B10" i="8"/>
  <c r="D44" i="7"/>
  <c r="D42" i="7"/>
  <c r="D39" i="7"/>
  <c r="D41" i="7"/>
  <c r="D45" i="7"/>
  <c r="D46" i="7"/>
  <c r="D319" i="7"/>
  <c r="H319" i="7" s="1"/>
  <c r="H320" i="7" s="1"/>
  <c r="H46" i="8" s="1"/>
  <c r="J46" i="8" s="1"/>
  <c r="E46" i="8" s="1"/>
  <c r="I109" i="13"/>
  <c r="G114" i="13"/>
  <c r="I114" i="13" s="1"/>
  <c r="G162" i="7"/>
  <c r="G166" i="7" s="1"/>
  <c r="G23" i="8" s="1"/>
  <c r="J23" i="8" s="1"/>
  <c r="E23" i="8" s="1"/>
  <c r="D28" i="11"/>
  <c r="G28" i="11" s="1"/>
  <c r="H46" i="7" l="1"/>
  <c r="G41" i="7"/>
  <c r="D11" i="11"/>
  <c r="G11" i="11" s="1"/>
  <c r="G40" i="7"/>
  <c r="G39" i="7"/>
  <c r="H44" i="7"/>
  <c r="J127" i="13"/>
  <c r="J128" i="13" s="1"/>
  <c r="D49" i="7" s="1"/>
  <c r="J116" i="13"/>
  <c r="C8" i="17" s="1"/>
  <c r="H45" i="7"/>
  <c r="D39" i="11"/>
  <c r="G39" i="11" s="1"/>
  <c r="G42" i="7"/>
  <c r="D13" i="11"/>
  <c r="G13" i="11" s="1"/>
  <c r="G334" i="7"/>
  <c r="G337" i="7" s="1"/>
  <c r="G48" i="8" s="1"/>
  <c r="J48" i="8" s="1"/>
  <c r="D9" i="11"/>
  <c r="G9" i="11" s="1"/>
  <c r="G8" i="17" l="1"/>
  <c r="G12" i="17" s="1"/>
  <c r="F8" i="17"/>
  <c r="F12" i="17" s="1"/>
  <c r="E8" i="17"/>
  <c r="E12" i="17" s="1"/>
  <c r="D52" i="7"/>
  <c r="D51" i="7"/>
  <c r="D55" i="7"/>
  <c r="D53" i="7"/>
  <c r="B11" i="8"/>
  <c r="D56" i="7"/>
  <c r="H47" i="7"/>
  <c r="H10" i="8" s="1"/>
  <c r="G47" i="7"/>
  <c r="G10" i="8" s="1"/>
  <c r="J10" i="8" s="1"/>
  <c r="G53" i="7" l="1"/>
  <c r="D10" i="11"/>
  <c r="G10" i="11" s="1"/>
  <c r="G51" i="7"/>
  <c r="D7" i="11"/>
  <c r="G7" i="11" s="1"/>
  <c r="E10" i="8"/>
  <c r="H56" i="7"/>
  <c r="D40" i="11"/>
  <c r="G40" i="11" s="1"/>
  <c r="H55" i="7"/>
  <c r="D38" i="11"/>
  <c r="G38" i="11" s="1"/>
  <c r="G52" i="7"/>
  <c r="D8" i="11"/>
  <c r="G8" i="11" s="1"/>
  <c r="G47" i="11" l="1"/>
  <c r="G36" i="11"/>
  <c r="H57" i="7"/>
  <c r="H11" i="8" s="1"/>
  <c r="G57" i="7"/>
  <c r="G11" i="8" s="1"/>
  <c r="J11" i="8" s="1"/>
  <c r="E11" i="8" l="1"/>
  <c r="J56" i="8"/>
  <c r="G387" i="7"/>
  <c r="H387" i="7"/>
  <c r="G59" i="11"/>
  <c r="C5" i="14"/>
  <c r="C5" i="24"/>
  <c r="C6" i="14"/>
  <c r="C6" i="24"/>
  <c r="G58" i="11"/>
  <c r="C8" i="24" l="1"/>
  <c r="C9" i="24"/>
  <c r="G60" i="11"/>
  <c r="G61" i="11"/>
  <c r="G62" i="11" s="1"/>
  <c r="G63" i="11" s="1"/>
  <c r="C14" i="20" s="1"/>
  <c r="C15" i="20" s="1"/>
  <c r="C11" i="14"/>
  <c r="C10" i="14"/>
  <c r="H389" i="7"/>
  <c r="J58" i="8" s="1"/>
  <c r="C13" i="14" l="1"/>
  <c r="C15" i="14" s="1"/>
  <c r="C16" i="14" s="1"/>
  <c r="C19" i="14" s="1"/>
  <c r="C12" i="14"/>
  <c r="C10" i="24"/>
  <c r="C12" i="24" l="1"/>
  <c r="C13" i="24" s="1"/>
  <c r="C16" i="24" s="1"/>
  <c r="C11" i="24"/>
</calcChain>
</file>

<file path=xl/sharedStrings.xml><?xml version="1.0" encoding="utf-8"?>
<sst xmlns="http://schemas.openxmlformats.org/spreadsheetml/2006/main" count="2198" uniqueCount="508">
  <si>
    <t>Item</t>
  </si>
  <si>
    <t>Particular</t>
  </si>
  <si>
    <t>No</t>
  </si>
  <si>
    <t>L</t>
  </si>
  <si>
    <t>B</t>
  </si>
  <si>
    <t>H</t>
  </si>
  <si>
    <t>Contents</t>
  </si>
  <si>
    <t>%Fc</t>
  </si>
  <si>
    <t>Cement</t>
  </si>
  <si>
    <t>Bag</t>
  </si>
  <si>
    <t>Sud</t>
  </si>
  <si>
    <t>Brick</t>
  </si>
  <si>
    <t>%Fs</t>
  </si>
  <si>
    <t>Sht</t>
  </si>
  <si>
    <t>Ton</t>
  </si>
  <si>
    <t>Lb</t>
  </si>
  <si>
    <t>Unit</t>
  </si>
  <si>
    <t>Quantity</t>
  </si>
  <si>
    <t>Rate</t>
  </si>
  <si>
    <t>Per</t>
  </si>
  <si>
    <t>Amount</t>
  </si>
  <si>
    <t>Fs</t>
  </si>
  <si>
    <t>Labour</t>
  </si>
  <si>
    <t>DETAILS OF MEASUREMENT</t>
  </si>
  <si>
    <t>Measurement</t>
  </si>
  <si>
    <t>Deduction</t>
  </si>
  <si>
    <t>Material</t>
  </si>
  <si>
    <t>Total Labour Cost</t>
  </si>
  <si>
    <t>Fc</t>
  </si>
  <si>
    <t>Worker</t>
  </si>
  <si>
    <t>Carpenter</t>
  </si>
  <si>
    <t>Mason</t>
  </si>
  <si>
    <t>Total Material Cost</t>
  </si>
  <si>
    <t>Gal</t>
  </si>
  <si>
    <t>Fr</t>
  </si>
  <si>
    <t>No.</t>
  </si>
  <si>
    <t>R/Sand</t>
  </si>
  <si>
    <t>Binding Wire</t>
  </si>
  <si>
    <t>Particulars</t>
  </si>
  <si>
    <t>M.S Rod</t>
  </si>
  <si>
    <t xml:space="preserve">Amount </t>
  </si>
  <si>
    <t>Say</t>
  </si>
  <si>
    <t>Total Abstract Cost ( Material + Labour)</t>
  </si>
  <si>
    <t>Sr</t>
  </si>
  <si>
    <t>Abstract Of Costs</t>
  </si>
  <si>
    <t>Fuel</t>
  </si>
  <si>
    <t>Operator</t>
  </si>
  <si>
    <t>Wire Nail</t>
  </si>
  <si>
    <t>( c ) Rebar Work</t>
  </si>
  <si>
    <t>Site Clearing Work</t>
  </si>
  <si>
    <t>Staking Works For Preparation of Foundation</t>
  </si>
  <si>
    <t>Lapping</t>
  </si>
  <si>
    <t>16 mm Ø</t>
  </si>
  <si>
    <t>Concrete Casting Work For Column</t>
  </si>
  <si>
    <t>Retaining Wall - Volume</t>
  </si>
  <si>
    <t>8 mm Ø M.S Rod</t>
  </si>
  <si>
    <t xml:space="preserve">Dedcution </t>
  </si>
  <si>
    <t xml:space="preserve"> 3'' thk; (1:3:6) Lean Conc; work</t>
  </si>
  <si>
    <t>Description</t>
  </si>
  <si>
    <t>Remark</t>
  </si>
  <si>
    <t xml:space="preserve"> - Material Cost</t>
  </si>
  <si>
    <t xml:space="preserve"> - Labour Cost</t>
  </si>
  <si>
    <t>Total Amount</t>
  </si>
  <si>
    <t>Total Material + Labour</t>
  </si>
  <si>
    <t>Total of Each</t>
  </si>
  <si>
    <t>Total Ton</t>
  </si>
  <si>
    <t>Concrete Casting Work for Footing</t>
  </si>
  <si>
    <t>Jungle Wood</t>
  </si>
  <si>
    <t>Summary</t>
  </si>
  <si>
    <t>R.C Concrete Casting Work Beam</t>
  </si>
  <si>
    <t>Flooring Work</t>
  </si>
  <si>
    <t>BILL OF QUANTITY</t>
  </si>
  <si>
    <t>BUILDER'S ESTIMATE</t>
  </si>
  <si>
    <t>Total Length</t>
  </si>
  <si>
    <t>Retaining Wall (Beam bottom)</t>
  </si>
  <si>
    <t>Short Column</t>
  </si>
  <si>
    <t>As per 4½"thk; Conc; Area</t>
  </si>
  <si>
    <t>16mm Ø</t>
  </si>
  <si>
    <t xml:space="preserve">Plastic Sheet (3' wide) </t>
  </si>
  <si>
    <t>Yds</t>
  </si>
  <si>
    <t>5 Ply Wood (8' x 4')</t>
  </si>
  <si>
    <t>Plinth Beam Formwork Area</t>
  </si>
  <si>
    <t>Total Beam Formwork Area</t>
  </si>
  <si>
    <t xml:space="preserve">Total Plaster Area </t>
  </si>
  <si>
    <t>Roof Beam Formowrk Area</t>
  </si>
  <si>
    <t>6.5mmØ</t>
  </si>
  <si>
    <t>Around</t>
  </si>
  <si>
    <t>6.5 mm Ø M.S Rod</t>
  </si>
  <si>
    <t>Footing</t>
  </si>
  <si>
    <t xml:space="preserve"> (1:3:6) Lean Conc; Work</t>
  </si>
  <si>
    <t xml:space="preserve">Total Retaining Wall Length (Up to N.G.L) </t>
  </si>
  <si>
    <t>External Walling Work</t>
  </si>
  <si>
    <t>Ground Floor</t>
  </si>
  <si>
    <t>External Wall x 2 side</t>
  </si>
  <si>
    <t>Internal Wall x 2 side</t>
  </si>
  <si>
    <t>Lintel &amp; Stiffener Work</t>
  </si>
  <si>
    <t>Plinth Plaster</t>
  </si>
  <si>
    <t>( a ) 4½" Thk; Brick Walling Work</t>
  </si>
  <si>
    <t>( b ) Formwork</t>
  </si>
  <si>
    <t>( c ) Re Bar Work</t>
  </si>
  <si>
    <t>Ø</t>
  </si>
  <si>
    <t>Ft</t>
  </si>
  <si>
    <t>( a ) (1:2:4) R.C Concrete Work</t>
  </si>
  <si>
    <t xml:space="preserve">( b ) Formwork </t>
  </si>
  <si>
    <t xml:space="preserve">Total Brick Walling Area </t>
  </si>
  <si>
    <t>X-met</t>
  </si>
  <si>
    <t>X-Met</t>
  </si>
  <si>
    <t>Coal Tar</t>
  </si>
  <si>
    <t>Scaffolding Work</t>
  </si>
  <si>
    <t>Bamboo</t>
  </si>
  <si>
    <t>Coin Yarn</t>
  </si>
  <si>
    <t>Viss</t>
  </si>
  <si>
    <t>R/Shingle</t>
  </si>
  <si>
    <t>9" thk; (Up To N.G.L)</t>
  </si>
  <si>
    <t>9" thk; (N.G.L to Bot of PB)</t>
  </si>
  <si>
    <t>( a ) (1:2:4) R.C Conc; Work</t>
  </si>
  <si>
    <t>( a ) (1:2:4) R.C Conc; Casting Work</t>
  </si>
  <si>
    <t>Roof Beam</t>
  </si>
  <si>
    <t xml:space="preserve">Deduction </t>
  </si>
  <si>
    <t>Brick Step (Tread)</t>
  </si>
  <si>
    <t>Brick Step (Riser, Front)</t>
  </si>
  <si>
    <t>Brick Step (Riser, Side)</t>
  </si>
  <si>
    <t xml:space="preserve">Front Brick Step </t>
  </si>
  <si>
    <t>Footing to Plinth Level</t>
  </si>
  <si>
    <t>Plinth Level to 1st Floor Level</t>
  </si>
  <si>
    <t>Plinth Level Beam</t>
  </si>
  <si>
    <t xml:space="preserve">Total Retaining Wall Length (N.G.L to PB) </t>
  </si>
  <si>
    <t>Ded; slab thk</t>
  </si>
  <si>
    <t>3 T 16 mm Ø Top Bar</t>
  </si>
  <si>
    <t>3 T 16 mm Ø Bottom Bar</t>
  </si>
  <si>
    <t>RC Floor Slab Work</t>
  </si>
  <si>
    <t>( a ) (1:2:4) RC Concrete Work</t>
  </si>
  <si>
    <t>RC Stair Work</t>
  </si>
  <si>
    <t>Bed Form</t>
  </si>
  <si>
    <t>( c ) Re bar Work</t>
  </si>
  <si>
    <t>10Ø</t>
  </si>
  <si>
    <t>( a ) RC Concrete Work</t>
  </si>
  <si>
    <t>Landing</t>
  </si>
  <si>
    <t>Step</t>
  </si>
  <si>
    <t>Step (Front)</t>
  </si>
  <si>
    <t>Lintel (4½" x 4½")</t>
  </si>
  <si>
    <t>Internal Walling Work</t>
  </si>
  <si>
    <t>First Floor</t>
  </si>
  <si>
    <t>Deduction Door &amp; Window</t>
  </si>
  <si>
    <t>Deduction Lintel &amp; Stiffener</t>
  </si>
  <si>
    <t>Sill (Lintel - Door Wide)</t>
  </si>
  <si>
    <t>Total Internal Brick Wall Area</t>
  </si>
  <si>
    <t>Total External Brick Wall Area</t>
  </si>
  <si>
    <t>Ground Floor Lintel</t>
  </si>
  <si>
    <t>Ground Floor Sill</t>
  </si>
  <si>
    <t>First Floor Lintel</t>
  </si>
  <si>
    <t>First Floor Sill</t>
  </si>
  <si>
    <t xml:space="preserve"> Lintel @ External Wall</t>
  </si>
  <si>
    <t xml:space="preserve"> Lintel @ Internal Wall</t>
  </si>
  <si>
    <t>10mm Ø</t>
  </si>
  <si>
    <t>6.5mmØ Stirrup @ 6" c/c</t>
  </si>
  <si>
    <t>Deduction for Window &amp; Door</t>
  </si>
  <si>
    <t>Deduction for Door &amp; Window</t>
  </si>
  <si>
    <t>Front Brick Step</t>
  </si>
  <si>
    <t>C1 (Plinth to Roof Beam)</t>
  </si>
  <si>
    <t>1st Floor Beam</t>
  </si>
  <si>
    <t>R/Wall @ Main Building</t>
  </si>
  <si>
    <t>10mmØ</t>
  </si>
  <si>
    <t>16Ø</t>
  </si>
  <si>
    <t>1st Floor Level Beam</t>
  </si>
  <si>
    <t>Total First Floor Beam Formwork Area</t>
  </si>
  <si>
    <t>Waist (Landing to Floor)</t>
  </si>
  <si>
    <t>Ded; Beam Ht</t>
  </si>
  <si>
    <t>1st Floor</t>
  </si>
  <si>
    <t>(1:3) Cement Mortar Plastering Work</t>
  </si>
  <si>
    <t>Retaining Wall Brick Work with (1:3) Cement Mortor</t>
  </si>
  <si>
    <t>8 T 16 mm Ø M.S Rod</t>
  </si>
  <si>
    <t xml:space="preserve">9"thk; (N.G.L to Bot; of PB) </t>
  </si>
  <si>
    <t>6 T 16 mm Ø M.S Rod</t>
  </si>
  <si>
    <t>Roof Slab</t>
  </si>
  <si>
    <t>For Roof Slab</t>
  </si>
  <si>
    <t>For First Floor</t>
  </si>
  <si>
    <t>First Floor Slab</t>
  </si>
  <si>
    <t xml:space="preserve">2T-10mm Ø M.S Rod </t>
  </si>
  <si>
    <t>Footing Conc;Volume</t>
  </si>
  <si>
    <t>For Fornt &amp; Back Brick Step (5' 0" L)</t>
  </si>
  <si>
    <t>13" thk; Brick R/Wall</t>
  </si>
  <si>
    <t>13½" thk; Brick R/Wall</t>
  </si>
  <si>
    <t>9" thk; Up to N.G.L</t>
  </si>
  <si>
    <t>16mmØ 6" c/c, Bothway</t>
  </si>
  <si>
    <t>Parapet Slab</t>
  </si>
  <si>
    <t>12Ø</t>
  </si>
  <si>
    <t>40x½</t>
  </si>
  <si>
    <t xml:space="preserve">12mmØ Bot; Main Bar @ 6"c/c </t>
  </si>
  <si>
    <t xml:space="preserve">12mmØ Top Main Bar @ 6"c/c </t>
  </si>
  <si>
    <t>10mmØ Bot; Dist Bar @ 6" c/c</t>
  </si>
  <si>
    <t>10mmØ Top Dist Bar @ 6" c/c</t>
  </si>
  <si>
    <t>3 T 16 mm Ø Top Main Bar</t>
  </si>
  <si>
    <t>3 T 16 mm Ø Bot; Main Bar</t>
  </si>
  <si>
    <t>6.5Ø</t>
  </si>
  <si>
    <t>Parapet Wall</t>
  </si>
  <si>
    <t>Parapet (Around)</t>
  </si>
  <si>
    <t>Deduction Lintel</t>
  </si>
  <si>
    <t>Stiffener @ Parapet Wall</t>
  </si>
  <si>
    <t>Ded; Stiffener</t>
  </si>
  <si>
    <t>Column Plaster (50% of F/W Area)</t>
  </si>
  <si>
    <t>Beam Plaster (50% of F/W Area)</t>
  </si>
  <si>
    <t>C1 (12" x 12")</t>
  </si>
  <si>
    <t>Ext; Wall Length-Door Wide</t>
  </si>
  <si>
    <t>Internal Wall Length-Door Wide</t>
  </si>
  <si>
    <t>12mmØ</t>
  </si>
  <si>
    <t xml:space="preserve">( e ) Making &amp; Fixing of 5" x 2" Chowket </t>
  </si>
  <si>
    <t xml:space="preserve">Hard Core </t>
  </si>
  <si>
    <t xml:space="preserve"> Hard Core Laying with sand Work</t>
  </si>
  <si>
    <t>SF1 (10' 6" x 33' 6" x 1'-2")</t>
  </si>
  <si>
    <t>F1 (6' 0" x 6' 0" x 0'-10")</t>
  </si>
  <si>
    <t>F2 (7' 0" x 7' 0" x 1'-0")</t>
  </si>
  <si>
    <t>F3 (8' 0" x 8' 0" x 1'-0")</t>
  </si>
  <si>
    <t>Line C, 40' L</t>
  </si>
  <si>
    <t>Line B, 40' L</t>
  </si>
  <si>
    <t xml:space="preserve">Line A, 40' L </t>
  </si>
  <si>
    <t>Line 1, 27' L</t>
  </si>
  <si>
    <t>SF2 (4' 6" x 47' 0" x 1'-0")</t>
  </si>
  <si>
    <t>Line 2, 3, 27' L</t>
  </si>
  <si>
    <t>Line 4, 27' L</t>
  </si>
  <si>
    <t>Line 5, 27' L</t>
  </si>
  <si>
    <t xml:space="preserve">For Fornt Brick Step </t>
  </si>
  <si>
    <t>Y-Dir Bet; A &amp; B, 9' L</t>
  </si>
  <si>
    <t>Y-Dir Bet; B &amp; C, 28' L</t>
  </si>
  <si>
    <t>X-Dir Bet; 2&amp;3, 8' L</t>
  </si>
  <si>
    <t>X-Dir Bet; 3&amp;4, 4' L</t>
  </si>
  <si>
    <t>X-Dir Bet; 4&amp;5, 8' L</t>
  </si>
  <si>
    <t xml:space="preserve">Back Brick Step </t>
  </si>
  <si>
    <t>SB1 (18" X 20")</t>
  </si>
  <si>
    <t>SB2 (18" X 18")</t>
  </si>
  <si>
    <t>16mmØ 4" c/c, Short Dir</t>
  </si>
  <si>
    <t>16mmØ 6" c/c, Long Dir</t>
  </si>
  <si>
    <t xml:space="preserve">10 T 16mmØ Top bar </t>
  </si>
  <si>
    <t xml:space="preserve">10 T 16mmØ Bot bar </t>
  </si>
  <si>
    <t>2 T 16mmØ Torsion</t>
  </si>
  <si>
    <t>16mmØ 6" c/c, Short Dir</t>
  </si>
  <si>
    <t>10mmØ Stirrup 1 @ 5" c/c</t>
  </si>
  <si>
    <t>10mmØ Stirrup 2 @ 5" c/c</t>
  </si>
  <si>
    <t>10 mm Ø</t>
  </si>
  <si>
    <t xml:space="preserve">7 T 16mmØ Top bar </t>
  </si>
  <si>
    <t xml:space="preserve">7 T 16mmØ Bot bar </t>
  </si>
  <si>
    <t>C1 (12" x 12"), Up to G.F</t>
  </si>
  <si>
    <t>C2 (12" x 12"), Up to G.F</t>
  </si>
  <si>
    <t>C2 (12" x 12")</t>
  </si>
  <si>
    <t>1st Floor to 2nd Floor Level</t>
  </si>
  <si>
    <t>2nd Floor to Roof</t>
  </si>
  <si>
    <t>8mm Ø</t>
  </si>
  <si>
    <t>GB1 (10" x 10")</t>
  </si>
  <si>
    <t>Y-Dir Line Bet; A&amp;B, 9' L</t>
  </si>
  <si>
    <t>Y-Dir Line Bet; B&amp;C, 28' L</t>
  </si>
  <si>
    <t>X-Dir Bet; 4&amp;5, 9' 6" L</t>
  </si>
  <si>
    <t>Total Length of GB1 (10" x 10")</t>
  </si>
  <si>
    <t>GB2 (12"x14")</t>
  </si>
  <si>
    <t>Line A, B &amp; C, 40' L</t>
  </si>
  <si>
    <t>Line 1,2,3,5, 27' L</t>
  </si>
  <si>
    <t>Line 4, A-B, 13.5' L</t>
  </si>
  <si>
    <t>GB3 (12"x16")</t>
  </si>
  <si>
    <t>Line 4 (B-C),13.5' L</t>
  </si>
  <si>
    <t>1FB1 (10" x 10")</t>
  </si>
  <si>
    <t>Y-Dir Bet 3-4, 9' L</t>
  </si>
  <si>
    <t>Y-Dir Bet 4-5, 10' L</t>
  </si>
  <si>
    <t xml:space="preserve">X-Dir Bet; 3&amp;4, 4' L </t>
  </si>
  <si>
    <t xml:space="preserve">X-Dir Bet; 4&amp;5, 14' L </t>
  </si>
  <si>
    <t>Line 1', 1, 2, 30' L</t>
  </si>
  <si>
    <t>Line 3,4,5, 27' L</t>
  </si>
  <si>
    <t xml:space="preserve">Line, A', 1'-2, 15' L </t>
  </si>
  <si>
    <t>Line A, B , C, 43' L</t>
  </si>
  <si>
    <t>2nd Floor Level Beam</t>
  </si>
  <si>
    <t>2FB1 (10" x 10")</t>
  </si>
  <si>
    <t>Y-Dir Bet 2-4, 18' L</t>
  </si>
  <si>
    <t>Total Length of 2FB1 (10" x10")</t>
  </si>
  <si>
    <t>Total Length of FB1 (10" x 10")</t>
  </si>
  <si>
    <t>Line 1, 2, 30' L</t>
  </si>
  <si>
    <t>RB1 (10" x 10")</t>
  </si>
  <si>
    <t>Total Length of RB1 (10" x10")</t>
  </si>
  <si>
    <t>2FB2 (12"x14")</t>
  </si>
  <si>
    <t>RB2 (12"x14")</t>
  </si>
  <si>
    <t>Line 2', 23' 2" L</t>
  </si>
  <si>
    <t>Line 2,3,4,5, 27' L</t>
  </si>
  <si>
    <t xml:space="preserve">Line A, (2-5) 28' L </t>
  </si>
  <si>
    <t>Line A', (2'-3) 13' 6" L</t>
  </si>
  <si>
    <t>Line B&amp;C, (2'-5), 32' 6" L</t>
  </si>
  <si>
    <t>Total Length of RB (12" x 14")</t>
  </si>
  <si>
    <t>Total Second Floor Beam Formwork Area</t>
  </si>
  <si>
    <t>10 mm Ø Stirrup 4"~6" c/c</t>
  </si>
  <si>
    <t>4 T 16 mm Ø Top Bar</t>
  </si>
  <si>
    <t>4 T 16 mm Ø Bottom Bar</t>
  </si>
  <si>
    <t>5 T 16 mm Ø Top Bar</t>
  </si>
  <si>
    <t>5 T 16 mm Ø Bottom Bar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</si>
  <si>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</si>
  <si>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Main Building</t>
  </si>
  <si>
    <t>Verendah, Line 1</t>
  </si>
  <si>
    <t>Verendah, Line A</t>
  </si>
  <si>
    <t>For 1st Floor Slab</t>
  </si>
  <si>
    <t>For 2nd Floor Slab</t>
  </si>
  <si>
    <t>Total Length of 2FB2 (12" X 14")</t>
  </si>
  <si>
    <t>1FB2 (12"x14")</t>
  </si>
  <si>
    <t>Total Length of FB (12" x 14")</t>
  </si>
  <si>
    <t>A-C, (2-5)</t>
  </si>
  <si>
    <t>Boundry of Slab</t>
  </si>
  <si>
    <t>Stair Void</t>
  </si>
  <si>
    <t>Boundry of beam</t>
  </si>
  <si>
    <t>Stair Room Sideform</t>
  </si>
  <si>
    <t>Waist (G Floor to Landing)</t>
  </si>
  <si>
    <t>Landing Beam (9' L)</t>
  </si>
  <si>
    <t>10 mm Ø Stirrup 4"-6" c/c</t>
  </si>
  <si>
    <t>Line A &amp; C, 40' L</t>
  </si>
  <si>
    <t>Line 1 &amp; 5, 27' L</t>
  </si>
  <si>
    <t>G1, Alu; &amp; Glass</t>
  </si>
  <si>
    <t>G2, Alu; &amp; Glass</t>
  </si>
  <si>
    <t>W1, Alu; &amp; Glass</t>
  </si>
  <si>
    <t>W2, Alu; &amp; Glass</t>
  </si>
  <si>
    <t>W3, Alu; &amp; Glass</t>
  </si>
  <si>
    <t>D1, Hard wood &amp; Glass</t>
  </si>
  <si>
    <t>D5, Hard wood &amp; Glass</t>
  </si>
  <si>
    <t>G3, Alu; &amp; Glass</t>
  </si>
  <si>
    <t>D2, Hard wood &amp; Glass</t>
  </si>
  <si>
    <t>Roof Floor</t>
  </si>
  <si>
    <t>Line 1 &amp; 4, (A-B), 17' 8" L</t>
  </si>
  <si>
    <t>Y-Dir Line (1-4), 28' L</t>
  </si>
  <si>
    <t>D3, Hard wood &amp; Glass</t>
  </si>
  <si>
    <t>Roof Top</t>
  </si>
  <si>
    <t>X- Dir; Line 3 &amp; 4</t>
  </si>
  <si>
    <t>X- Dir; Line Bet 2 &amp; 3</t>
  </si>
  <si>
    <t>X- Dir; Line Bet; 1 &amp; 2</t>
  </si>
  <si>
    <t>Storage Under Landing</t>
  </si>
  <si>
    <t>Line B, 1-3</t>
  </si>
  <si>
    <t>Bet; Line B &amp; C</t>
  </si>
  <si>
    <t>Line 4, (A-B)</t>
  </si>
  <si>
    <t>Line 3</t>
  </si>
  <si>
    <t>X Line Bet; 1 &amp; 2</t>
  </si>
  <si>
    <t>Line B, (1-3)</t>
  </si>
  <si>
    <t>Y-Dir Bath Room Partition</t>
  </si>
  <si>
    <t>2nd Floor</t>
  </si>
  <si>
    <t>Bath &amp; WC Room Partition</t>
  </si>
  <si>
    <t xml:space="preserve">D3 (3' 3" x 7' 2") </t>
  </si>
  <si>
    <t xml:space="preserve">D4 (3' 3" x 7' 2") </t>
  </si>
  <si>
    <t>Roof Top Parapet</t>
  </si>
  <si>
    <t>Beside Line A (2-3),Pl, G.F, F.F</t>
  </si>
  <si>
    <t>Ded; for Lintel</t>
  </si>
  <si>
    <t>Roof Floor Lintel</t>
  </si>
  <si>
    <t>Roof Floor Sill</t>
  </si>
  <si>
    <t>Roof Top (Parapet Lintel)</t>
  </si>
  <si>
    <t>Second Floor Lintel</t>
  </si>
  <si>
    <t>Second Floor Sill</t>
  </si>
  <si>
    <t>Parapet Lintel</t>
  </si>
  <si>
    <t>2nd Floor Beam</t>
  </si>
  <si>
    <t>D1 (9' 0" x 8' 0")</t>
  </si>
  <si>
    <t>D4 (3' 3" x 7' 2")</t>
  </si>
  <si>
    <t>D5 (3' 3" x 7' 2")</t>
  </si>
  <si>
    <t>D3 (3' 3" x 7' 2")</t>
  </si>
  <si>
    <t>Verendah</t>
  </si>
  <si>
    <t>10 mm Ø Stirrup 5" c/c</t>
  </si>
  <si>
    <t>10 mm Ø tie 5" c/c</t>
  </si>
  <si>
    <t>8mm Dowel bar</t>
  </si>
  <si>
    <t>8mm Ø for dowel bar</t>
  </si>
  <si>
    <t>16 mm Ø Re bar</t>
  </si>
  <si>
    <t>10 mm Ø Re bar</t>
  </si>
  <si>
    <t>5"x2" Chowket</t>
  </si>
  <si>
    <t>Rft</t>
  </si>
  <si>
    <t>12 mm Ø Re bar</t>
  </si>
  <si>
    <t>Top Roof</t>
  </si>
  <si>
    <t>Include 5% Wastage</t>
  </si>
  <si>
    <t>Surveyor</t>
  </si>
  <si>
    <t>Steel Fixer</t>
  </si>
  <si>
    <t>16 mm</t>
  </si>
  <si>
    <t>10 mm</t>
  </si>
  <si>
    <t>Carpenter (Dismantling)</t>
  </si>
  <si>
    <t>Worker (Dismantling)</t>
  </si>
  <si>
    <t xml:space="preserve">½" thk; Plastering with (1:3) Cement Mortar </t>
  </si>
  <si>
    <t>Sft</t>
  </si>
  <si>
    <t xml:space="preserve">¾" thk; Plastering with (1:3) Cement Mortar </t>
  </si>
  <si>
    <t>2nd Floor Slab</t>
  </si>
  <si>
    <t>( a ) Back Filling Work (Foundation)</t>
  </si>
  <si>
    <t>12mmØ Bottom Main @ 6"c/c</t>
  </si>
  <si>
    <t>12mmØ Dist; Main @ 6"c/c</t>
  </si>
  <si>
    <t>1-4, A-C</t>
  </si>
  <si>
    <t>FS1</t>
  </si>
  <si>
    <t>Bath &amp; WC</t>
  </si>
  <si>
    <t>Bet; Line 1&amp;1', A&amp;A'</t>
  </si>
  <si>
    <t>FS2</t>
  </si>
  <si>
    <t>Line 1', 30' 0" L</t>
  </si>
  <si>
    <t>Line 1 Verendah</t>
  </si>
  <si>
    <t>Line A Verendah</t>
  </si>
  <si>
    <t>Line 4-5, A-C</t>
  </si>
  <si>
    <t>FS1 (Bath &amp; WC)</t>
  </si>
  <si>
    <t>FS5</t>
  </si>
  <si>
    <t>12mmØ Top Main @ 6"c/c</t>
  </si>
  <si>
    <t>12mmØ Top Dist; Main @ 6"c/c</t>
  </si>
  <si>
    <t>10mmØ Bottom Main @ 6"c/c</t>
  </si>
  <si>
    <t>10mmØ Dist; Main @ 6"c/c</t>
  </si>
  <si>
    <t>10mmØ Top Main @ 6"c/c</t>
  </si>
  <si>
    <t>10mmØ Top Dist; Main @ 6"c/c</t>
  </si>
  <si>
    <t>12mmØ Bottom Main @ 4"c/c</t>
  </si>
  <si>
    <t>12mmØ Top Main @ 4"c/c</t>
  </si>
  <si>
    <t>1-5, A-C</t>
  </si>
  <si>
    <t>FS3, FS4</t>
  </si>
  <si>
    <t>10mmØ Bottom Main @ 8"c/c</t>
  </si>
  <si>
    <t>10mmØ Bottom Dist; Main @ 8"c/c</t>
  </si>
  <si>
    <t>RS1, RS2</t>
  </si>
  <si>
    <t>2-5, A-C</t>
  </si>
  <si>
    <t>2'-2, A'-C</t>
  </si>
  <si>
    <t>U MYO MIN AUNG (KAN NAR LANN, MAGWAY)</t>
  </si>
  <si>
    <t>Using Mechaniary</t>
  </si>
  <si>
    <t>Excavator</t>
  </si>
  <si>
    <t>Juty</t>
  </si>
  <si>
    <t>Trip</t>
  </si>
  <si>
    <t>Excavator (8 Ton)</t>
  </si>
  <si>
    <t>Faw Car (Earth Removal)</t>
  </si>
  <si>
    <t>Faw  Car (3 Sud) For Earth Removal</t>
  </si>
  <si>
    <t>Total Material,  Labour &amp; Mechinary  Charges</t>
  </si>
  <si>
    <t>Footing Lean</t>
  </si>
  <si>
    <t>Footing Concrete</t>
  </si>
  <si>
    <t>Short Column Concrete</t>
  </si>
  <si>
    <t>R/Wall Lean</t>
  </si>
  <si>
    <t>R/Wall Brick Work</t>
  </si>
  <si>
    <t>PB</t>
  </si>
  <si>
    <t>Work Volume</t>
  </si>
  <si>
    <t>Sand</t>
  </si>
  <si>
    <t>Shingle</t>
  </si>
  <si>
    <t>Brick Step Lean</t>
  </si>
  <si>
    <t>Brick Step Brick Work</t>
  </si>
  <si>
    <t>G.F Column Concrete</t>
  </si>
  <si>
    <t>1st Flloor Slab</t>
  </si>
  <si>
    <t>Stair (G to 1st F)</t>
  </si>
  <si>
    <t>1st Floor Column</t>
  </si>
  <si>
    <t>Stair (1st to 2nd Floor)</t>
  </si>
  <si>
    <t>2nd Floor Column</t>
  </si>
  <si>
    <t>4.5" Thk; G.F Brick Wall</t>
  </si>
  <si>
    <t>4.5" Thk; 1st F Brick Wall</t>
  </si>
  <si>
    <t>4.5" Thk; Roof F Brick Wall</t>
  </si>
  <si>
    <t>4.5" Thk; Roof Top Brick Wall</t>
  </si>
  <si>
    <t>Lintel &amp; Stiffener</t>
  </si>
  <si>
    <t>Total Sub Structure</t>
  </si>
  <si>
    <t>1st Fl Beam &amp; Slab</t>
  </si>
  <si>
    <t>2nd Fl Beam &amp; Slab</t>
  </si>
  <si>
    <t>Roof Beam &amp; Slab</t>
  </si>
  <si>
    <t>1st Floor Beam,Slab &amp; Stair</t>
  </si>
  <si>
    <t>2nd Floor Beam, Slab &amp; Stair</t>
  </si>
  <si>
    <r>
      <t>M</t>
    </r>
    <r>
      <rPr>
        <vertAlign val="superscript"/>
        <sz val="10"/>
        <rFont val="Zawgyi-One"/>
        <family val="2"/>
      </rPr>
      <t>3</t>
    </r>
  </si>
  <si>
    <t>CBE for 1st Floor Slab</t>
  </si>
  <si>
    <t>CBE for 2nd Floor Slab</t>
  </si>
  <si>
    <t>CBE for Roof Slab</t>
  </si>
  <si>
    <t>Mechine</t>
  </si>
  <si>
    <t>Excaavation Volume</t>
  </si>
  <si>
    <t xml:space="preserve"> Earth Work in Medium Soil</t>
  </si>
  <si>
    <t>Excavation &amp; Earth Removal</t>
  </si>
  <si>
    <t>Line 1, 5 &amp;5' 27' L</t>
  </si>
  <si>
    <t>Line B &amp; C, 3' L</t>
  </si>
  <si>
    <t>Handrail, Line 5'</t>
  </si>
  <si>
    <t>Handrail, Line 1 &amp; C</t>
  </si>
  <si>
    <t>Y-Dir (Bet; B &amp; C, 2&amp;3)</t>
  </si>
  <si>
    <t>Pump Charges</t>
  </si>
  <si>
    <t>Transport (Excavator)</t>
  </si>
  <si>
    <t>Total</t>
  </si>
  <si>
    <t xml:space="preserve"> - Transportation Cost (3% of Material)</t>
  </si>
  <si>
    <t xml:space="preserve"> - Preliminary Cost (2% of Total)</t>
  </si>
  <si>
    <t xml:space="preserve"> - Mechinary Charges For RC Conc; Work</t>
  </si>
  <si>
    <t>Transportation (Excavator သြား/ျပန္)</t>
  </si>
  <si>
    <t>R/Sand for Backfill</t>
  </si>
  <si>
    <t>( a ) Sand  Filling Work For Floor</t>
  </si>
  <si>
    <t>( b ) 4½" thk (1:3:6) Cement Concrete Work</t>
  </si>
  <si>
    <t>( c ) Plastic Sheet Laying Work</t>
  </si>
  <si>
    <t>( d ) 1½" Thk; (1:2:4) Concrete Topping Work</t>
  </si>
  <si>
    <t xml:space="preserve"> - Mechinary Charges For Excavation &amp; Earth Removal</t>
  </si>
  <si>
    <t>Qty</t>
  </si>
  <si>
    <t>Content</t>
  </si>
  <si>
    <t>Total Floor Area</t>
  </si>
  <si>
    <t>Mechinary Charges for RC Concrete Casting Work</t>
  </si>
  <si>
    <t>Floor Area</t>
  </si>
  <si>
    <t>PAE</t>
  </si>
  <si>
    <t>27'x40' - 2.5 STOREYED RCC BUILDING</t>
  </si>
  <si>
    <t>Bonding Agent</t>
  </si>
  <si>
    <t>Lit</t>
  </si>
  <si>
    <t>Sikament-9</t>
  </si>
  <si>
    <t>အုတ္စီ၊ ေခ်ာ၊ က်ည္းေဘာင္ေထာင္ျခင္း</t>
  </si>
  <si>
    <t>အထပ္သား၊ သစ္-3 Times used</t>
  </si>
  <si>
    <t>April, 2026 ေစ်းႏႈန္းအရျဖစ္ပါသည္</t>
  </si>
  <si>
    <t>ေငြ Amount အေျပာင္းအလဲရွိႏိုင္ပါသည္</t>
  </si>
  <si>
    <t>တည္ေဆာက္မည့္အခ်ိန္ကာလေစ်းႏႈန္းေပၚမူတည္ၿပီး</t>
  </si>
  <si>
    <t>Mechinary Charges For RC Conc; Work (Price Within 30M³)</t>
  </si>
  <si>
    <t>Transportation Charges (3% of Material)</t>
  </si>
  <si>
    <t>Preliminary Cost (5%)</t>
  </si>
  <si>
    <t>Supervision (10%)</t>
  </si>
  <si>
    <t>Grand Total Cost</t>
  </si>
  <si>
    <t>Say For (1) No</t>
  </si>
  <si>
    <t xml:space="preserve"> - Supervision Charges (10% of Toal)</t>
  </si>
  <si>
    <t>Mechinary For Excavation</t>
  </si>
  <si>
    <t>T-Rental Charges</t>
  </si>
  <si>
    <t>Concrete Nail</t>
  </si>
  <si>
    <t>Box</t>
  </si>
  <si>
    <t>Total Summary</t>
  </si>
  <si>
    <t>Say (For 1 No)</t>
  </si>
  <si>
    <t xml:space="preserve">Total </t>
  </si>
  <si>
    <t>SUM YB</t>
  </si>
  <si>
    <t>Broken Brick</t>
  </si>
  <si>
    <t>GI (1' 6" x 1' 6") Manhole Cover</t>
  </si>
  <si>
    <t xml:space="preserve">4" Ø GI Vent Pipe </t>
  </si>
  <si>
    <t>4" Ø PVC Outlet Pipe (T)</t>
  </si>
  <si>
    <t>4" Ø PVC Inlet Pipe (T)</t>
  </si>
  <si>
    <t>Yard</t>
  </si>
  <si>
    <t>Mechinary  Charges</t>
  </si>
  <si>
    <t>Material Cost</t>
  </si>
  <si>
    <t>Labour Charges</t>
  </si>
  <si>
    <t>Mechinary Charges For Earthwork Excavation</t>
  </si>
  <si>
    <t>27' X 40' 2.5 STOREYED BUILDING (Structure Work)</t>
  </si>
  <si>
    <t>Retaining Wall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</si>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</sst>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72" formatCode="0.0"/>
    <numFmt numFmtId="173" formatCode="_(* #,##0_);_(* \(#,##0\);_(* &quot;-&quot;??_);_(@_)"/>
    <numFmt numFmtId="174" formatCode="_(* #,##0.0_);_(* \(#,##0.0\);_(* &quot;-&quot;??_);_(@_)"/>
    <numFmt numFmtId="175" formatCode="_(* #,##0.000_);_(* \(#,##0.000\);_(* &quot;-&quot;??_);_(@_)"/>
    <numFmt numFmtId="181" formatCode="_(* #,##0.0000_);_(* \(#,##0.0000\);_(* &quot;-&quot;??_);_(@_)"/>
    <numFmt numFmtId="182" formatCode="0.0000"/>
    <numFmt numFmtId="207" formatCode="_(* #,##0.00000_);_(* \(#,##0.00000\);_(* &quot;-&quot;??_);_(@_)"/>
    <numFmt numFmtId="211" formatCode="0.0%"/>
  </numFmts>
  <fonts count="38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Zawgyi-One"/>
      <family val="2"/>
    </font>
    <font>
      <sz val="10"/>
      <name val="Zawgyi-One"/>
      <family val="2"/>
    </font>
    <font>
      <sz val="11"/>
      <name val="Zawgyi-One"/>
      <family val="2"/>
    </font>
    <font>
      <sz val="8"/>
      <name val="Arial"/>
      <family val="2"/>
    </font>
    <font>
      <sz val="11"/>
      <color indexed="8"/>
      <name val="Myanmar2"/>
      <family val="2"/>
    </font>
    <font>
      <sz val="10"/>
      <color indexed="8"/>
      <name val="Zawgyi-One"/>
      <family val="2"/>
    </font>
    <font>
      <b/>
      <sz val="12"/>
      <name val="Zawgyi-One"/>
      <family val="2"/>
    </font>
    <font>
      <sz val="8"/>
      <name val="Arial"/>
      <family val="2"/>
    </font>
    <font>
      <sz val="9"/>
      <name val="Zawgyi-One"/>
      <family val="2"/>
    </font>
    <font>
      <sz val="12"/>
      <name val="Zawgyi-One"/>
      <family val="2"/>
    </font>
    <font>
      <sz val="12"/>
      <color indexed="8"/>
      <name val="Zawgyi-One"/>
      <family val="2"/>
    </font>
    <font>
      <sz val="11"/>
      <color indexed="8"/>
      <name val="Zawgyi-One"/>
      <family val="2"/>
    </font>
    <font>
      <sz val="8"/>
      <name val="Arial"/>
      <family val="2"/>
    </font>
    <font>
      <sz val="9.5"/>
      <name val="Zawgyi-One"/>
      <family val="2"/>
    </font>
    <font>
      <sz val="8"/>
      <name val="Zawgyi-One"/>
      <family val="2"/>
    </font>
    <font>
      <b/>
      <sz val="9"/>
      <name val="Zawgyi-One"/>
      <family val="2"/>
    </font>
    <font>
      <b/>
      <sz val="8"/>
      <name val="Zawgyi-One"/>
      <family val="2"/>
    </font>
    <font>
      <b/>
      <sz val="10"/>
      <name val="Arial"/>
      <family val="2"/>
    </font>
    <font>
      <vertAlign val="superscript"/>
      <sz val="10"/>
      <name val="Zawgyi-One"/>
      <family val="2"/>
    </font>
    <font>
      <b/>
      <sz val="11"/>
      <color indexed="8"/>
      <name val="Zawgyi-One"/>
      <family val="2"/>
    </font>
    <font>
      <b/>
      <u/>
      <sz val="10"/>
      <name val="Zawgyi-One"/>
      <family val="2"/>
    </font>
    <font>
      <b/>
      <u val="singleAccounting"/>
      <sz val="10"/>
      <name val="Zawgyi-One"/>
      <family val="2"/>
    </font>
    <font>
      <b/>
      <sz val="11"/>
      <name val="Zawgyi-One"/>
      <family val="2"/>
    </font>
    <font>
      <sz val="11"/>
      <name val="Arial"/>
      <family val="2"/>
    </font>
    <font>
      <b/>
      <sz val="11"/>
      <name val="Arial"/>
      <family val="2"/>
    </font>
    <font>
      <sz val="10"/>
      <color theme="0"/>
      <name val="Zawgyi-One"/>
      <family val="2"/>
    </font>
    <font>
      <b/>
      <sz val="9"/>
      <color rgb="FFFF0000"/>
      <name val="Zawgyi-One"/>
      <family val="2"/>
    </font>
    <font>
      <sz val="9"/>
      <color rgb="FFFF0000"/>
      <name val="Zawgyi-One"/>
      <family val="2"/>
    </font>
    <font>
      <sz val="9"/>
      <color theme="1"/>
      <name val="Zawgyi-One"/>
      <family val="2"/>
    </font>
    <font>
      <b/>
      <sz val="9"/>
      <color theme="1"/>
      <name val="Zawgyi-One"/>
      <family val="2"/>
    </font>
    <font>
      <sz val="10"/>
      <color rgb="FFFF0000"/>
      <name val="Zawgyi-One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Zawgyi-One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8" fillId="0" borderId="0"/>
    <xf numFmtId="0" fontId="2" fillId="0" borderId="0"/>
  </cellStyleXfs>
  <cellXfs count="506">
    <xf numFmtId="0" fontId="0" fillId="0" borderId="0" xfId="0"/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/>
    </xf>
    <xf numFmtId="43" fontId="5" fillId="0" borderId="0" xfId="1" applyFont="1" applyFill="1" applyBorder="1" applyAlignment="1">
      <alignment vertical="center"/>
    </xf>
    <xf numFmtId="43" fontId="5" fillId="0" borderId="0" xfId="1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173" fontId="5" fillId="0" borderId="0" xfId="1" applyNumberFormat="1" applyFont="1" applyFill="1" applyAlignment="1">
      <alignment horizontal="right" vertical="center"/>
    </xf>
    <xf numFmtId="43" fontId="5" fillId="0" borderId="0" xfId="1" applyFont="1" applyFill="1" applyAlignment="1">
      <alignment horizontal="center" vertical="center"/>
    </xf>
    <xf numFmtId="43" fontId="5" fillId="0" borderId="0" xfId="1" applyFont="1" applyFill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173" fontId="5" fillId="0" borderId="1" xfId="1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43" fontId="5" fillId="0" borderId="2" xfId="1" applyFont="1" applyFill="1" applyBorder="1" applyAlignment="1">
      <alignment horizontal="center" vertical="center"/>
    </xf>
    <xf numFmtId="43" fontId="5" fillId="0" borderId="3" xfId="1" applyFont="1" applyFill="1" applyBorder="1" applyAlignment="1">
      <alignment horizontal="center" vertical="center"/>
    </xf>
    <xf numFmtId="43" fontId="5" fillId="0" borderId="0" xfId="0" applyNumberFormat="1" applyFont="1" applyFill="1" applyAlignment="1">
      <alignment vertical="center"/>
    </xf>
    <xf numFmtId="0" fontId="0" fillId="0" borderId="0" xfId="0" applyFill="1"/>
    <xf numFmtId="0" fontId="5" fillId="0" borderId="0" xfId="0" applyFont="1" applyFill="1" applyAlignment="1">
      <alignment horizontal="left" vertical="center"/>
    </xf>
    <xf numFmtId="43" fontId="5" fillId="0" borderId="1" xfId="1" applyFont="1" applyFill="1" applyBorder="1" applyAlignment="1">
      <alignment horizontal="left" vertical="center"/>
    </xf>
    <xf numFmtId="173" fontId="5" fillId="0" borderId="1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43" fontId="5" fillId="0" borderId="0" xfId="1" applyFont="1" applyFill="1" applyBorder="1" applyAlignment="1">
      <alignment horizontal="center" vertical="center"/>
    </xf>
    <xf numFmtId="43" fontId="5" fillId="0" borderId="4" xfId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43" fontId="5" fillId="0" borderId="5" xfId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center" vertical="center"/>
    </xf>
    <xf numFmtId="43" fontId="5" fillId="0" borderId="1" xfId="0" applyNumberFormat="1" applyFont="1" applyFill="1" applyBorder="1" applyAlignment="1">
      <alignment horizontal="center" vertical="center"/>
    </xf>
    <xf numFmtId="43" fontId="5" fillId="0" borderId="3" xfId="1" applyFont="1" applyFill="1" applyBorder="1" applyAlignment="1">
      <alignment vertical="center"/>
    </xf>
    <xf numFmtId="0" fontId="5" fillId="0" borderId="5" xfId="1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1" xfId="1" applyNumberFormat="1" applyFont="1" applyFill="1" applyBorder="1" applyAlignment="1">
      <alignment horizontal="right" vertical="center"/>
    </xf>
    <xf numFmtId="0" fontId="5" fillId="0" borderId="0" xfId="0" applyFont="1" applyFill="1" applyAlignment="1">
      <alignment horizontal="left"/>
    </xf>
    <xf numFmtId="0" fontId="4" fillId="0" borderId="0" xfId="0" applyFont="1" applyFill="1" applyAlignment="1"/>
    <xf numFmtId="0" fontId="5" fillId="0" borderId="0" xfId="0" applyFont="1" applyAlignment="1"/>
    <xf numFmtId="0" fontId="5" fillId="0" borderId="5" xfId="0" applyFont="1" applyFill="1" applyBorder="1" applyAlignment="1">
      <alignment horizontal="center"/>
    </xf>
    <xf numFmtId="43" fontId="5" fillId="0" borderId="5" xfId="1" applyFont="1" applyFill="1" applyBorder="1" applyAlignment="1">
      <alignment horizontal="center"/>
    </xf>
    <xf numFmtId="43" fontId="5" fillId="0" borderId="5" xfId="0" applyNumberFormat="1" applyFont="1" applyFill="1" applyBorder="1" applyAlignment="1">
      <alignment horizontal="center"/>
    </xf>
    <xf numFmtId="0" fontId="5" fillId="0" borderId="5" xfId="0" applyFont="1" applyFill="1" applyBorder="1" applyAlignment="1">
      <alignment horizontal="left"/>
    </xf>
    <xf numFmtId="0" fontId="5" fillId="0" borderId="5" xfId="9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3" fontId="5" fillId="0" borderId="1" xfId="1" applyFont="1" applyFill="1" applyBorder="1" applyAlignment="1">
      <alignment horizontal="center"/>
    </xf>
    <xf numFmtId="43" fontId="5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43" fontId="5" fillId="0" borderId="1" xfId="1" applyFont="1" applyFill="1" applyBorder="1" applyAlignment="1">
      <alignment horizontal="left"/>
    </xf>
    <xf numFmtId="0" fontId="5" fillId="0" borderId="1" xfId="9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5" fillId="0" borderId="6" xfId="0" applyFont="1" applyFill="1" applyBorder="1" applyAlignment="1">
      <alignment horizontal="center"/>
    </xf>
    <xf numFmtId="43" fontId="5" fillId="0" borderId="6" xfId="1" applyFont="1" applyFill="1" applyBorder="1" applyAlignment="1">
      <alignment horizontal="center"/>
    </xf>
    <xf numFmtId="2" fontId="5" fillId="0" borderId="6" xfId="0" applyNumberFormat="1" applyFont="1" applyFill="1" applyBorder="1" applyAlignment="1">
      <alignment horizontal="center"/>
    </xf>
    <xf numFmtId="43" fontId="5" fillId="0" borderId="6" xfId="0" applyNumberFormat="1" applyFont="1" applyFill="1" applyBorder="1" applyAlignment="1"/>
    <xf numFmtId="43" fontId="5" fillId="0" borderId="6" xfId="1" applyFont="1" applyFill="1" applyBorder="1" applyAlignment="1">
      <alignment horizontal="left"/>
    </xf>
    <xf numFmtId="0" fontId="5" fillId="0" borderId="6" xfId="9" applyFont="1" applyFill="1" applyBorder="1" applyAlignment="1">
      <alignment horizontal="center"/>
    </xf>
    <xf numFmtId="43" fontId="5" fillId="0" borderId="6" xfId="1" applyFont="1" applyFill="1" applyBorder="1" applyAlignment="1">
      <alignment horizontal="right"/>
    </xf>
    <xf numFmtId="173" fontId="4" fillId="0" borderId="0" xfId="1" applyNumberFormat="1" applyFont="1" applyFill="1" applyAlignment="1"/>
    <xf numFmtId="0" fontId="6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Fill="1" applyAlignment="1"/>
    <xf numFmtId="43" fontId="5" fillId="0" borderId="0" xfId="1" applyFont="1" applyFill="1" applyBorder="1" applyAlignment="1"/>
    <xf numFmtId="0" fontId="12" fillId="0" borderId="0" xfId="0" applyFont="1" applyFill="1" applyAlignment="1">
      <alignment vertical="center"/>
    </xf>
    <xf numFmtId="43" fontId="5" fillId="0" borderId="1" xfId="1" applyFont="1" applyFill="1" applyBorder="1" applyAlignment="1">
      <alignment vertical="center"/>
    </xf>
    <xf numFmtId="0" fontId="5" fillId="0" borderId="1" xfId="8" applyFont="1" applyFill="1" applyBorder="1" applyAlignment="1">
      <alignment vertical="center"/>
    </xf>
    <xf numFmtId="43" fontId="5" fillId="0" borderId="5" xfId="1" applyFont="1" applyFill="1" applyBorder="1" applyAlignment="1">
      <alignment vertical="center"/>
    </xf>
    <xf numFmtId="0" fontId="5" fillId="0" borderId="0" xfId="0" applyFont="1" applyFill="1" applyAlignment="1">
      <alignment horizontal="center"/>
    </xf>
    <xf numFmtId="0" fontId="13" fillId="0" borderId="5" xfId="0" applyFont="1" applyBorder="1" applyAlignment="1">
      <alignment vertical="center"/>
    </xf>
    <xf numFmtId="43" fontId="13" fillId="0" borderId="5" xfId="1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43" fontId="13" fillId="0" borderId="1" xfId="1" applyFont="1" applyBorder="1" applyAlignment="1">
      <alignment vertical="center"/>
    </xf>
    <xf numFmtId="43" fontId="13" fillId="0" borderId="1" xfId="0" applyNumberFormat="1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43" fontId="13" fillId="0" borderId="6" xfId="1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43" fontId="13" fillId="0" borderId="0" xfId="1" applyFont="1" applyAlignment="1">
      <alignment vertical="center"/>
    </xf>
    <xf numFmtId="0" fontId="14" fillId="0" borderId="0" xfId="0" applyFont="1" applyAlignment="1">
      <alignment vertical="center"/>
    </xf>
    <xf numFmtId="43" fontId="14" fillId="0" borderId="0" xfId="1" applyFont="1" applyAlignment="1">
      <alignment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43" fontId="5" fillId="0" borderId="6" xfId="1" applyFont="1" applyFill="1" applyBorder="1" applyAlignment="1">
      <alignment vertical="center"/>
    </xf>
    <xf numFmtId="43" fontId="5" fillId="0" borderId="4" xfId="1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173" fontId="4" fillId="0" borderId="0" xfId="1" applyNumberFormat="1" applyFont="1" applyFill="1" applyAlignment="1">
      <alignment vertical="center"/>
    </xf>
    <xf numFmtId="0" fontId="5" fillId="0" borderId="3" xfId="0" applyFont="1" applyFill="1" applyBorder="1" applyAlignment="1">
      <alignment horizontal="left" vertical="center"/>
    </xf>
    <xf numFmtId="173" fontId="4" fillId="0" borderId="0" xfId="1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horizontal="center" vertical="center"/>
    </xf>
    <xf numFmtId="173" fontId="5" fillId="0" borderId="0" xfId="1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43" fontId="17" fillId="0" borderId="1" xfId="0" applyNumberFormat="1" applyFont="1" applyFill="1" applyBorder="1" applyAlignment="1">
      <alignment horizontal="center" vertical="center"/>
    </xf>
    <xf numFmtId="43" fontId="17" fillId="0" borderId="1" xfId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right" vertical="center"/>
    </xf>
    <xf numFmtId="43" fontId="17" fillId="0" borderId="1" xfId="2" applyFont="1" applyFill="1" applyBorder="1" applyAlignment="1">
      <alignment horizontal="center" vertical="center"/>
    </xf>
    <xf numFmtId="43" fontId="17" fillId="0" borderId="1" xfId="1" applyFont="1" applyFill="1" applyBorder="1" applyAlignment="1">
      <alignment vertical="center"/>
    </xf>
    <xf numFmtId="0" fontId="17" fillId="0" borderId="1" xfId="0" applyNumberFormat="1" applyFont="1" applyFill="1" applyBorder="1" applyAlignment="1">
      <alignment horizontal="center" vertical="center"/>
    </xf>
    <xf numFmtId="43" fontId="5" fillId="0" borderId="3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43" fontId="6" fillId="0" borderId="0" xfId="1" applyFont="1" applyAlignment="1">
      <alignment vertical="center"/>
    </xf>
    <xf numFmtId="0" fontId="13" fillId="0" borderId="0" xfId="0" applyFont="1"/>
    <xf numFmtId="0" fontId="1" fillId="0" borderId="0" xfId="0" applyFont="1"/>
    <xf numFmtId="43" fontId="1" fillId="0" borderId="0" xfId="1" applyFont="1"/>
    <xf numFmtId="0" fontId="5" fillId="0" borderId="3" xfId="0" applyFont="1" applyFill="1" applyBorder="1" applyAlignment="1">
      <alignment horizontal="center"/>
    </xf>
    <xf numFmtId="43" fontId="5" fillId="0" borderId="3" xfId="1" applyFont="1" applyFill="1" applyBorder="1" applyAlignment="1">
      <alignment horizontal="center"/>
    </xf>
    <xf numFmtId="43" fontId="5" fillId="0" borderId="3" xfId="0" applyNumberFormat="1" applyFont="1" applyFill="1" applyBorder="1" applyAlignment="1">
      <alignment horizontal="center"/>
    </xf>
    <xf numFmtId="0" fontId="5" fillId="0" borderId="3" xfId="0" applyFont="1" applyFill="1" applyBorder="1" applyAlignment="1">
      <alignment horizontal="left"/>
    </xf>
    <xf numFmtId="0" fontId="5" fillId="0" borderId="3" xfId="9" applyFont="1" applyFill="1" applyBorder="1" applyAlignment="1">
      <alignment horizontal="center"/>
    </xf>
    <xf numFmtId="0" fontId="5" fillId="0" borderId="3" xfId="0" applyNumberFormat="1" applyFont="1" applyFill="1" applyBorder="1" applyAlignment="1">
      <alignment horizontal="center" vertical="center"/>
    </xf>
    <xf numFmtId="43" fontId="5" fillId="0" borderId="1" xfId="0" applyNumberFormat="1" applyFont="1" applyFill="1" applyBorder="1" applyAlignment="1">
      <alignment horizontal="right" vertical="center"/>
    </xf>
    <xf numFmtId="43" fontId="17" fillId="0" borderId="1" xfId="1" applyFont="1" applyFill="1" applyBorder="1" applyAlignment="1">
      <alignment horizontal="right" vertical="center"/>
    </xf>
    <xf numFmtId="0" fontId="17" fillId="0" borderId="1" xfId="0" applyNumberFormat="1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/>
    </xf>
    <xf numFmtId="43" fontId="5" fillId="0" borderId="4" xfId="1" applyFont="1" applyFill="1" applyBorder="1" applyAlignment="1">
      <alignment horizontal="center"/>
    </xf>
    <xf numFmtId="43" fontId="5" fillId="0" borderId="4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left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5" fillId="0" borderId="0" xfId="0" applyFont="1" applyFill="1" applyBorder="1" applyAlignment="1">
      <alignment horizontal="right"/>
    </xf>
    <xf numFmtId="43" fontId="5" fillId="0" borderId="0" xfId="0" applyNumberFormat="1" applyFont="1" applyFill="1" applyAlignment="1"/>
    <xf numFmtId="2" fontId="5" fillId="0" borderId="1" xfId="1" applyNumberFormat="1" applyFont="1" applyFill="1" applyBorder="1" applyAlignment="1">
      <alignment horizontal="center" vertical="center"/>
    </xf>
    <xf numFmtId="2" fontId="17" fillId="0" borderId="1" xfId="2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right" vertical="center"/>
    </xf>
    <xf numFmtId="182" fontId="13" fillId="0" borderId="0" xfId="0" applyNumberFormat="1" applyFont="1" applyFill="1" applyBorder="1" applyAlignment="1">
      <alignment vertical="center"/>
    </xf>
    <xf numFmtId="173" fontId="12" fillId="0" borderId="1" xfId="1" applyNumberFormat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vertical="center"/>
    </xf>
    <xf numFmtId="43" fontId="13" fillId="0" borderId="4" xfId="1" applyFont="1" applyBorder="1" applyAlignment="1">
      <alignment vertical="center"/>
    </xf>
    <xf numFmtId="43" fontId="5" fillId="0" borderId="3" xfId="9" applyNumberFormat="1" applyFont="1" applyFill="1" applyBorder="1" applyAlignment="1">
      <alignment horizontal="center"/>
    </xf>
    <xf numFmtId="173" fontId="5" fillId="0" borderId="0" xfId="1" applyNumberFormat="1" applyFont="1" applyFill="1" applyAlignment="1">
      <alignment vertical="center"/>
    </xf>
    <xf numFmtId="43" fontId="5" fillId="0" borderId="0" xfId="0" applyNumberFormat="1" applyFont="1" applyFill="1"/>
    <xf numFmtId="0" fontId="5" fillId="0" borderId="0" xfId="0" applyFont="1" applyFill="1"/>
    <xf numFmtId="0" fontId="1" fillId="0" borderId="0" xfId="0" applyFont="1" applyFill="1"/>
    <xf numFmtId="43" fontId="5" fillId="0" borderId="5" xfId="0" applyNumberFormat="1" applyFont="1" applyFill="1" applyBorder="1" applyAlignment="1">
      <alignment horizontal="center" vertical="center"/>
    </xf>
    <xf numFmtId="43" fontId="17" fillId="0" borderId="1" xfId="0" applyNumberFormat="1" applyFont="1" applyFill="1" applyBorder="1" applyAlignment="1">
      <alignment horizontal="right" vertical="center"/>
    </xf>
    <xf numFmtId="43" fontId="5" fillId="0" borderId="0" xfId="1" applyFont="1" applyFill="1" applyBorder="1" applyAlignment="1">
      <alignment horizontal="center"/>
    </xf>
    <xf numFmtId="0" fontId="5" fillId="0" borderId="0" xfId="0" applyFont="1" applyFill="1" applyBorder="1" applyAlignment="1"/>
    <xf numFmtId="0" fontId="12" fillId="0" borderId="5" xfId="0" applyFont="1" applyFill="1" applyBorder="1" applyAlignment="1">
      <alignment horizontal="center"/>
    </xf>
    <xf numFmtId="0" fontId="12" fillId="0" borderId="5" xfId="0" applyFont="1" applyFill="1" applyBorder="1" applyAlignment="1">
      <alignment horizontal="left"/>
    </xf>
    <xf numFmtId="173" fontId="12" fillId="0" borderId="5" xfId="1" applyNumberFormat="1" applyFont="1" applyFill="1" applyBorder="1" applyAlignment="1">
      <alignment horizontal="center"/>
    </xf>
    <xf numFmtId="43" fontId="12" fillId="0" borderId="5" xfId="1" applyFont="1" applyFill="1" applyBorder="1" applyAlignment="1"/>
    <xf numFmtId="174" fontId="12" fillId="0" borderId="5" xfId="1" applyNumberFormat="1" applyFont="1" applyFill="1" applyBorder="1" applyAlignment="1"/>
    <xf numFmtId="43" fontId="18" fillId="0" borderId="5" xfId="1" applyFont="1" applyFill="1" applyBorder="1" applyAlignment="1"/>
    <xf numFmtId="43" fontId="12" fillId="0" borderId="5" xfId="1" applyFont="1" applyFill="1" applyBorder="1" applyAlignment="1">
      <alignment horizontal="center"/>
    </xf>
    <xf numFmtId="0" fontId="12" fillId="0" borderId="0" xfId="0" applyFont="1" applyFill="1" applyBorder="1" applyAlignment="1"/>
    <xf numFmtId="0" fontId="12" fillId="0" borderId="0" xfId="0" applyFont="1" applyFill="1" applyAlignment="1"/>
    <xf numFmtId="0" fontId="12" fillId="0" borderId="1" xfId="0" applyFont="1" applyFill="1" applyBorder="1" applyAlignment="1">
      <alignment horizontal="center"/>
    </xf>
    <xf numFmtId="173" fontId="12" fillId="0" borderId="1" xfId="1" applyNumberFormat="1" applyFont="1" applyFill="1" applyBorder="1" applyAlignment="1">
      <alignment horizontal="center"/>
    </xf>
    <xf numFmtId="43" fontId="12" fillId="0" borderId="1" xfId="1" applyFont="1" applyFill="1" applyBorder="1" applyAlignment="1"/>
    <xf numFmtId="43" fontId="12" fillId="0" borderId="1" xfId="1" applyFont="1" applyFill="1" applyBorder="1" applyAlignment="1">
      <alignment horizontal="center"/>
    </xf>
    <xf numFmtId="0" fontId="12" fillId="0" borderId="1" xfId="0" applyFont="1" applyFill="1" applyBorder="1" applyAlignment="1">
      <alignment horizontal="left" wrapText="1"/>
    </xf>
    <xf numFmtId="174" fontId="12" fillId="0" borderId="1" xfId="1" applyNumberFormat="1" applyFont="1" applyFill="1" applyBorder="1" applyAlignment="1"/>
    <xf numFmtId="43" fontId="18" fillId="0" borderId="1" xfId="1" applyFont="1" applyFill="1" applyBorder="1" applyAlignment="1"/>
    <xf numFmtId="0" fontId="12" fillId="0" borderId="1" xfId="0" applyFont="1" applyFill="1" applyBorder="1" applyAlignment="1"/>
    <xf numFmtId="0" fontId="12" fillId="0" borderId="1" xfId="0" applyFont="1" applyFill="1" applyBorder="1" applyAlignment="1">
      <alignment horizontal="right"/>
    </xf>
    <xf numFmtId="2" fontId="12" fillId="0" borderId="1" xfId="1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left"/>
    </xf>
    <xf numFmtId="43" fontId="12" fillId="0" borderId="0" xfId="0" applyNumberFormat="1" applyFont="1" applyFill="1" applyBorder="1" applyAlignment="1"/>
    <xf numFmtId="0" fontId="12" fillId="0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right"/>
    </xf>
    <xf numFmtId="173" fontId="12" fillId="0" borderId="3" xfId="1" applyNumberFormat="1" applyFont="1" applyFill="1" applyBorder="1" applyAlignment="1">
      <alignment horizontal="center"/>
    </xf>
    <xf numFmtId="43" fontId="12" fillId="0" borderId="3" xfId="1" applyFont="1" applyFill="1" applyBorder="1" applyAlignment="1"/>
    <xf numFmtId="174" fontId="12" fillId="0" borderId="3" xfId="1" applyNumberFormat="1" applyFont="1" applyFill="1" applyBorder="1" applyAlignment="1"/>
    <xf numFmtId="43" fontId="12" fillId="0" borderId="3" xfId="1" applyFont="1" applyFill="1" applyBorder="1" applyAlignment="1">
      <alignment horizontal="center"/>
    </xf>
    <xf numFmtId="174" fontId="18" fillId="0" borderId="1" xfId="1" applyNumberFormat="1" applyFont="1" applyFill="1" applyBorder="1" applyAlignment="1"/>
    <xf numFmtId="2" fontId="18" fillId="0" borderId="1" xfId="1" applyNumberFormat="1" applyFont="1" applyFill="1" applyBorder="1" applyAlignment="1">
      <alignment horizontal="center"/>
    </xf>
    <xf numFmtId="43" fontId="12" fillId="0" borderId="1" xfId="1" applyNumberFormat="1" applyFont="1" applyFill="1" applyBorder="1" applyAlignment="1"/>
    <xf numFmtId="173" fontId="12" fillId="0" borderId="4" xfId="1" applyNumberFormat="1" applyFont="1" applyFill="1" applyBorder="1" applyAlignment="1">
      <alignment horizontal="center"/>
    </xf>
    <xf numFmtId="43" fontId="12" fillId="0" borderId="4" xfId="1" applyFont="1" applyFill="1" applyBorder="1" applyAlignment="1"/>
    <xf numFmtId="0" fontId="12" fillId="0" borderId="3" xfId="0" applyFont="1" applyFill="1" applyBorder="1" applyAlignment="1">
      <alignment horizontal="left"/>
    </xf>
    <xf numFmtId="43" fontId="12" fillId="0" borderId="1" xfId="1" applyFont="1" applyFill="1" applyBorder="1" applyAlignment="1">
      <alignment horizontal="right"/>
    </xf>
    <xf numFmtId="0" fontId="12" fillId="0" borderId="6" xfId="0" applyFont="1" applyFill="1" applyBorder="1" applyAlignment="1">
      <alignment horizontal="center"/>
    </xf>
    <xf numFmtId="173" fontId="12" fillId="0" borderId="6" xfId="1" applyNumberFormat="1" applyFont="1" applyFill="1" applyBorder="1" applyAlignment="1">
      <alignment horizontal="center"/>
    </xf>
    <xf numFmtId="43" fontId="12" fillId="0" borderId="6" xfId="1" applyFont="1" applyFill="1" applyBorder="1" applyAlignment="1"/>
    <xf numFmtId="43" fontId="12" fillId="0" borderId="6" xfId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vertical="center"/>
    </xf>
    <xf numFmtId="43" fontId="12" fillId="0" borderId="0" xfId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left" vertical="center"/>
    </xf>
    <xf numFmtId="43" fontId="12" fillId="0" borderId="1" xfId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horizontal="right" vertical="center"/>
    </xf>
    <xf numFmtId="9" fontId="12" fillId="0" borderId="1" xfId="1" applyNumberFormat="1" applyFont="1" applyFill="1" applyBorder="1" applyAlignment="1"/>
    <xf numFmtId="0" fontId="12" fillId="0" borderId="1" xfId="8" applyFont="1" applyFill="1" applyBorder="1" applyAlignment="1">
      <alignment horizontal="center"/>
    </xf>
    <xf numFmtId="0" fontId="12" fillId="0" borderId="1" xfId="8" applyFont="1" applyFill="1" applyBorder="1" applyAlignment="1">
      <alignment horizontal="right"/>
    </xf>
    <xf numFmtId="0" fontId="12" fillId="0" borderId="1" xfId="8" applyFont="1" applyFill="1" applyBorder="1" applyAlignment="1"/>
    <xf numFmtId="174" fontId="12" fillId="0" borderId="1" xfId="1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12" fillId="0" borderId="4" xfId="8" applyFont="1" applyFill="1" applyBorder="1" applyAlignment="1">
      <alignment horizontal="center"/>
    </xf>
    <xf numFmtId="0" fontId="12" fillId="0" borderId="4" xfId="8" applyFont="1" applyFill="1" applyBorder="1" applyAlignment="1"/>
    <xf numFmtId="43" fontId="12" fillId="0" borderId="4" xfId="1" applyFont="1" applyFill="1" applyBorder="1" applyAlignment="1">
      <alignment horizontal="center"/>
    </xf>
    <xf numFmtId="0" fontId="12" fillId="0" borderId="4" xfId="8" applyFont="1" applyFill="1" applyBorder="1" applyAlignment="1">
      <alignment horizontal="right"/>
    </xf>
    <xf numFmtId="0" fontId="5" fillId="0" borderId="6" xfId="8" applyFont="1" applyFill="1" applyBorder="1" applyAlignment="1">
      <alignment horizontal="center"/>
    </xf>
    <xf numFmtId="0" fontId="5" fillId="0" borderId="6" xfId="8" applyFont="1" applyFill="1" applyBorder="1" applyAlignment="1"/>
    <xf numFmtId="173" fontId="5" fillId="0" borderId="6" xfId="1" applyNumberFormat="1" applyFont="1" applyFill="1" applyBorder="1" applyAlignment="1">
      <alignment horizontal="center"/>
    </xf>
    <xf numFmtId="43" fontId="5" fillId="0" borderId="6" xfId="1" applyFont="1" applyFill="1" applyBorder="1" applyAlignment="1"/>
    <xf numFmtId="0" fontId="5" fillId="0" borderId="7" xfId="8" applyFont="1" applyFill="1" applyBorder="1" applyAlignment="1">
      <alignment horizontal="center"/>
    </xf>
    <xf numFmtId="0" fontId="5" fillId="0" borderId="7" xfId="8" applyFont="1" applyFill="1" applyBorder="1" applyAlignment="1"/>
    <xf numFmtId="173" fontId="5" fillId="0" borderId="7" xfId="1" applyNumberFormat="1" applyFont="1" applyFill="1" applyBorder="1" applyAlignment="1">
      <alignment horizontal="center"/>
    </xf>
    <xf numFmtId="43" fontId="5" fillId="0" borderId="7" xfId="1" applyFont="1" applyFill="1" applyBorder="1" applyAlignment="1"/>
    <xf numFmtId="43" fontId="5" fillId="0" borderId="7" xfId="1" applyFont="1" applyFill="1" applyBorder="1" applyAlignment="1">
      <alignment horizontal="center"/>
    </xf>
    <xf numFmtId="0" fontId="5" fillId="0" borderId="0" xfId="8" applyFont="1" applyFill="1" applyBorder="1" applyAlignment="1">
      <alignment horizontal="center"/>
    </xf>
    <xf numFmtId="0" fontId="5" fillId="0" borderId="0" xfId="8" applyFont="1" applyFill="1" applyBorder="1" applyAlignment="1"/>
    <xf numFmtId="173" fontId="5" fillId="0" borderId="0" xfId="1" applyNumberFormat="1" applyFont="1" applyFill="1" applyAlignment="1">
      <alignment horizontal="center"/>
    </xf>
    <xf numFmtId="43" fontId="5" fillId="0" borderId="0" xfId="1" applyFont="1" applyFill="1" applyAlignment="1"/>
    <xf numFmtId="43" fontId="5" fillId="0" borderId="8" xfId="1" applyFont="1" applyFill="1" applyBorder="1" applyAlignment="1"/>
    <xf numFmtId="173" fontId="29" fillId="0" borderId="5" xfId="1" applyNumberFormat="1" applyFont="1" applyFill="1" applyBorder="1" applyAlignment="1">
      <alignment horizontal="center" vertical="center"/>
    </xf>
    <xf numFmtId="173" fontId="5" fillId="0" borderId="6" xfId="1" applyNumberFormat="1" applyFont="1" applyFill="1" applyBorder="1" applyAlignment="1">
      <alignment horizontal="center" vertical="center"/>
    </xf>
    <xf numFmtId="173" fontId="5" fillId="0" borderId="3" xfId="1" applyNumberFormat="1" applyFont="1" applyFill="1" applyBorder="1" applyAlignment="1">
      <alignment horizontal="center" vertical="center"/>
    </xf>
    <xf numFmtId="173" fontId="5" fillId="0" borderId="4" xfId="1" applyNumberFormat="1" applyFont="1" applyFill="1" applyBorder="1" applyAlignment="1">
      <alignment horizontal="center" vertical="center"/>
    </xf>
    <xf numFmtId="43" fontId="5" fillId="0" borderId="9" xfId="1" applyFont="1" applyFill="1" applyBorder="1" applyAlignment="1">
      <alignment horizontal="center" vertical="center"/>
    </xf>
    <xf numFmtId="43" fontId="5" fillId="0" borderId="6" xfId="1" applyFont="1" applyFill="1" applyBorder="1" applyAlignment="1">
      <alignment horizontal="center" vertical="center"/>
    </xf>
    <xf numFmtId="43" fontId="5" fillId="0" borderId="5" xfId="1" applyFont="1" applyFill="1" applyBorder="1" applyAlignment="1">
      <alignment horizontal="left"/>
    </xf>
    <xf numFmtId="43" fontId="5" fillId="0" borderId="3" xfId="1" applyFont="1" applyFill="1" applyBorder="1" applyAlignment="1">
      <alignment horizontal="left"/>
    </xf>
    <xf numFmtId="43" fontId="5" fillId="0" borderId="5" xfId="1" applyNumberFormat="1" applyFont="1" applyFill="1" applyBorder="1" applyAlignment="1">
      <alignment horizontal="right"/>
    </xf>
    <xf numFmtId="43" fontId="5" fillId="0" borderId="1" xfId="1" applyNumberFormat="1" applyFont="1" applyFill="1" applyBorder="1" applyAlignment="1">
      <alignment horizontal="right"/>
    </xf>
    <xf numFmtId="43" fontId="5" fillId="0" borderId="1" xfId="9" applyNumberFormat="1" applyFont="1" applyFill="1" applyBorder="1" applyAlignment="1">
      <alignment horizontal="center"/>
    </xf>
    <xf numFmtId="43" fontId="4" fillId="0" borderId="2" xfId="1" applyNumberFormat="1" applyFont="1" applyFill="1" applyBorder="1" applyAlignment="1"/>
    <xf numFmtId="43" fontId="12" fillId="0" borderId="0" xfId="0" applyNumberFormat="1" applyFont="1" applyFill="1" applyAlignment="1"/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43" fontId="12" fillId="2" borderId="1" xfId="1" applyFont="1" applyFill="1" applyBorder="1" applyAlignment="1"/>
    <xf numFmtId="43" fontId="12" fillId="2" borderId="1" xfId="1" applyFont="1" applyFill="1" applyBorder="1" applyAlignment="1">
      <alignment horizontal="center"/>
    </xf>
    <xf numFmtId="0" fontId="30" fillId="0" borderId="1" xfId="0" applyFont="1" applyFill="1" applyBorder="1" applyAlignment="1">
      <alignment horizontal="left"/>
    </xf>
    <xf numFmtId="173" fontId="30" fillId="0" borderId="1" xfId="1" applyNumberFormat="1" applyFont="1" applyFill="1" applyBorder="1" applyAlignment="1">
      <alignment horizontal="center"/>
    </xf>
    <xf numFmtId="43" fontId="30" fillId="0" borderId="1" xfId="1" applyFont="1" applyFill="1" applyBorder="1" applyAlignment="1"/>
    <xf numFmtId="174" fontId="30" fillId="0" borderId="1" xfId="1" applyNumberFormat="1" applyFont="1" applyFill="1" applyBorder="1" applyAlignment="1"/>
    <xf numFmtId="0" fontId="30" fillId="0" borderId="1" xfId="0" applyFont="1" applyFill="1" applyBorder="1" applyAlignment="1"/>
    <xf numFmtId="0" fontId="30" fillId="2" borderId="1" xfId="0" applyFont="1" applyFill="1" applyBorder="1" applyAlignment="1">
      <alignment horizontal="left"/>
    </xf>
    <xf numFmtId="173" fontId="30" fillId="2" borderId="1" xfId="1" applyNumberFormat="1" applyFont="1" applyFill="1" applyBorder="1" applyAlignment="1">
      <alignment horizontal="center"/>
    </xf>
    <xf numFmtId="43" fontId="30" fillId="2" borderId="1" xfId="1" applyFont="1" applyFill="1" applyBorder="1" applyAlignment="1"/>
    <xf numFmtId="174" fontId="30" fillId="2" borderId="1" xfId="1" applyNumberFormat="1" applyFont="1" applyFill="1" applyBorder="1" applyAlignment="1"/>
    <xf numFmtId="43" fontId="12" fillId="0" borderId="1" xfId="0" applyNumberFormat="1" applyFont="1" applyFill="1" applyBorder="1" applyAlignment="1">
      <alignment horizontal="right"/>
    </xf>
    <xf numFmtId="0" fontId="19" fillId="0" borderId="5" xfId="0" applyFont="1" applyFill="1" applyBorder="1" applyAlignment="1">
      <alignment horizontal="left"/>
    </xf>
    <xf numFmtId="173" fontId="19" fillId="0" borderId="5" xfId="1" applyNumberFormat="1" applyFont="1" applyFill="1" applyBorder="1" applyAlignment="1">
      <alignment horizontal="center"/>
    </xf>
    <xf numFmtId="43" fontId="19" fillId="0" borderId="5" xfId="1" applyFont="1" applyFill="1" applyBorder="1" applyAlignment="1"/>
    <xf numFmtId="43" fontId="19" fillId="0" borderId="5" xfId="1" applyFont="1" applyFill="1" applyBorder="1" applyAlignment="1">
      <alignment horizontal="center"/>
    </xf>
    <xf numFmtId="0" fontId="19" fillId="0" borderId="1" xfId="0" applyFont="1" applyFill="1" applyBorder="1" applyAlignment="1"/>
    <xf numFmtId="173" fontId="19" fillId="0" borderId="1" xfId="1" applyNumberFormat="1" applyFont="1" applyFill="1" applyBorder="1" applyAlignment="1">
      <alignment horizontal="center"/>
    </xf>
    <xf numFmtId="43" fontId="19" fillId="0" borderId="1" xfId="1" applyFont="1" applyFill="1" applyBorder="1" applyAlignment="1"/>
    <xf numFmtId="43" fontId="20" fillId="0" borderId="1" xfId="1" applyFont="1" applyFill="1" applyBorder="1" applyAlignment="1"/>
    <xf numFmtId="0" fontId="19" fillId="0" borderId="0" xfId="0" applyFont="1" applyFill="1" applyAlignment="1"/>
    <xf numFmtId="43" fontId="19" fillId="0" borderId="1" xfId="1" applyFont="1" applyFill="1" applyBorder="1" applyAlignment="1">
      <alignment horizontal="center"/>
    </xf>
    <xf numFmtId="0" fontId="30" fillId="0" borderId="1" xfId="0" applyFont="1" applyFill="1" applyBorder="1" applyAlignment="1">
      <alignment horizontal="right"/>
    </xf>
    <xf numFmtId="0" fontId="30" fillId="0" borderId="1" xfId="0" applyFont="1" applyFill="1" applyBorder="1" applyAlignment="1">
      <alignment horizontal="center"/>
    </xf>
    <xf numFmtId="0" fontId="19" fillId="0" borderId="1" xfId="0" applyFont="1" applyFill="1" applyBorder="1" applyAlignment="1">
      <alignment horizontal="left" vertical="center"/>
    </xf>
    <xf numFmtId="43" fontId="5" fillId="0" borderId="4" xfId="0" applyNumberFormat="1" applyFont="1" applyFill="1" applyBorder="1" applyAlignment="1">
      <alignment horizontal="right" vertical="center"/>
    </xf>
    <xf numFmtId="0" fontId="30" fillId="0" borderId="3" xfId="0" applyFont="1" applyFill="1" applyBorder="1" applyAlignment="1">
      <alignment horizontal="right"/>
    </xf>
    <xf numFmtId="173" fontId="30" fillId="0" borderId="3" xfId="1" applyNumberFormat="1" applyFont="1" applyFill="1" applyBorder="1" applyAlignment="1">
      <alignment horizontal="center"/>
    </xf>
    <xf numFmtId="43" fontId="30" fillId="0" borderId="3" xfId="1" applyFont="1" applyFill="1" applyBorder="1" applyAlignment="1"/>
    <xf numFmtId="43" fontId="30" fillId="0" borderId="1" xfId="1" applyNumberFormat="1" applyFont="1" applyFill="1" applyBorder="1" applyAlignment="1"/>
    <xf numFmtId="43" fontId="13" fillId="0" borderId="0" xfId="0" applyNumberFormat="1" applyFont="1" applyAlignment="1">
      <alignment vertical="center"/>
    </xf>
    <xf numFmtId="43" fontId="30" fillId="0" borderId="1" xfId="0" applyNumberFormat="1" applyFont="1" applyFill="1" applyBorder="1" applyAlignment="1">
      <alignment horizontal="right"/>
    </xf>
    <xf numFmtId="173" fontId="30" fillId="0" borderId="1" xfId="0" applyNumberFormat="1" applyFont="1" applyFill="1" applyBorder="1" applyAlignment="1">
      <alignment horizontal="right"/>
    </xf>
    <xf numFmtId="0" fontId="15" fillId="0" borderId="0" xfId="0" applyFont="1" applyAlignment="1">
      <alignment horizontal="center" vertical="center"/>
    </xf>
    <xf numFmtId="0" fontId="31" fillId="0" borderId="1" xfId="0" applyFont="1" applyFill="1" applyBorder="1" applyAlignment="1">
      <alignment horizontal="right" vertical="center"/>
    </xf>
    <xf numFmtId="173" fontId="31" fillId="0" borderId="1" xfId="1" applyNumberFormat="1" applyFont="1" applyFill="1" applyBorder="1" applyAlignment="1">
      <alignment horizontal="center" vertical="center"/>
    </xf>
    <xf numFmtId="43" fontId="31" fillId="0" borderId="1" xfId="1" applyFont="1" applyFill="1" applyBorder="1" applyAlignment="1">
      <alignment vertical="center"/>
    </xf>
    <xf numFmtId="0" fontId="30" fillId="0" borderId="1" xfId="0" applyFont="1" applyFill="1" applyBorder="1" applyAlignment="1">
      <alignment horizontal="right" vertical="center"/>
    </xf>
    <xf numFmtId="173" fontId="30" fillId="0" borderId="1" xfId="1" applyNumberFormat="1" applyFont="1" applyFill="1" applyBorder="1" applyAlignment="1">
      <alignment horizontal="center" vertical="center"/>
    </xf>
    <xf numFmtId="43" fontId="30" fillId="0" borderId="1" xfId="1" applyFont="1" applyFill="1" applyBorder="1" applyAlignment="1">
      <alignment vertical="center"/>
    </xf>
    <xf numFmtId="0" fontId="30" fillId="0" borderId="1" xfId="0" applyFont="1" applyFill="1" applyBorder="1" applyAlignment="1">
      <alignment horizontal="left"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43" fontId="13" fillId="0" borderId="0" xfId="0" applyNumberFormat="1" applyFont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173" fontId="5" fillId="0" borderId="6" xfId="1" applyNumberFormat="1" applyFont="1" applyFill="1" applyBorder="1" applyAlignment="1">
      <alignment vertical="center"/>
    </xf>
    <xf numFmtId="43" fontId="12" fillId="3" borderId="1" xfId="1" applyFont="1" applyFill="1" applyBorder="1" applyAlignment="1">
      <alignment horizontal="right"/>
    </xf>
    <xf numFmtId="43" fontId="12" fillId="3" borderId="1" xfId="1" applyFont="1" applyFill="1" applyBorder="1" applyAlignment="1"/>
    <xf numFmtId="2" fontId="12" fillId="3" borderId="1" xfId="1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 vertical="center"/>
    </xf>
    <xf numFmtId="43" fontId="5" fillId="3" borderId="1" xfId="1" applyFont="1" applyFill="1" applyBorder="1" applyAlignment="1">
      <alignment vertical="center"/>
    </xf>
    <xf numFmtId="43" fontId="12" fillId="3" borderId="1" xfId="1" applyFont="1" applyFill="1" applyBorder="1" applyAlignment="1">
      <alignment vertical="center"/>
    </xf>
    <xf numFmtId="43" fontId="12" fillId="3" borderId="1" xfId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173" fontId="29" fillId="0" borderId="3" xfId="1" applyNumberFormat="1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43" fontId="32" fillId="0" borderId="1" xfId="1" applyFont="1" applyFill="1" applyBorder="1" applyAlignment="1">
      <alignment horizontal="right" vertical="center"/>
    </xf>
    <xf numFmtId="173" fontId="32" fillId="0" borderId="1" xfId="1" applyNumberFormat="1" applyFont="1" applyFill="1" applyBorder="1" applyAlignment="1">
      <alignment horizontal="center" vertical="center"/>
    </xf>
    <xf numFmtId="43" fontId="32" fillId="0" borderId="1" xfId="1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vertical="center"/>
    </xf>
    <xf numFmtId="43" fontId="32" fillId="0" borderId="0" xfId="1" applyFont="1" applyFill="1" applyBorder="1" applyAlignment="1">
      <alignment vertical="center"/>
    </xf>
    <xf numFmtId="0" fontId="32" fillId="0" borderId="0" xfId="0" applyFont="1" applyFill="1" applyAlignment="1">
      <alignment vertical="center"/>
    </xf>
    <xf numFmtId="0" fontId="32" fillId="0" borderId="1" xfId="0" applyFont="1" applyFill="1" applyBorder="1" applyAlignment="1">
      <alignment horizontal="right" vertical="center"/>
    </xf>
    <xf numFmtId="43" fontId="32" fillId="0" borderId="2" xfId="1" applyFont="1" applyFill="1" applyBorder="1" applyAlignment="1">
      <alignment horizontal="center" vertical="center"/>
    </xf>
    <xf numFmtId="43" fontId="32" fillId="0" borderId="1" xfId="2" applyNumberFormat="1" applyFont="1" applyFill="1" applyBorder="1" applyAlignment="1">
      <alignment horizontal="center" vertical="center"/>
    </xf>
    <xf numFmtId="43" fontId="32" fillId="0" borderId="1" xfId="2" applyNumberFormat="1" applyFont="1" applyFill="1" applyBorder="1" applyAlignment="1">
      <alignment vertical="center"/>
    </xf>
    <xf numFmtId="173" fontId="32" fillId="0" borderId="1" xfId="2" applyNumberFormat="1" applyFont="1" applyFill="1" applyBorder="1" applyAlignment="1">
      <alignment horizontal="center" vertical="center"/>
    </xf>
    <xf numFmtId="43" fontId="32" fillId="0" borderId="1" xfId="2" applyFont="1" applyFill="1" applyBorder="1" applyAlignment="1">
      <alignment horizontal="center" vertical="center"/>
    </xf>
    <xf numFmtId="2" fontId="32" fillId="0" borderId="1" xfId="2" applyNumberFormat="1" applyFont="1" applyFill="1" applyBorder="1" applyAlignment="1">
      <alignment horizontal="center" vertical="center"/>
    </xf>
    <xf numFmtId="0" fontId="32" fillId="0" borderId="1" xfId="8" applyFont="1" applyFill="1" applyBorder="1" applyAlignment="1">
      <alignment horizontal="center" vertical="center"/>
    </xf>
    <xf numFmtId="43" fontId="32" fillId="0" borderId="1" xfId="1" applyNumberFormat="1" applyFont="1" applyFill="1" applyBorder="1" applyAlignment="1">
      <alignment horizontal="center" vertical="center"/>
    </xf>
    <xf numFmtId="2" fontId="32" fillId="0" borderId="1" xfId="1" applyNumberFormat="1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left" vertical="center"/>
    </xf>
    <xf numFmtId="2" fontId="32" fillId="0" borderId="1" xfId="3" applyNumberFormat="1" applyFont="1" applyFill="1" applyBorder="1" applyAlignment="1">
      <alignment horizontal="center" vertical="center"/>
    </xf>
    <xf numFmtId="43" fontId="32" fillId="0" borderId="1" xfId="3" applyNumberFormat="1" applyFont="1" applyFill="1" applyBorder="1" applyAlignment="1">
      <alignment horizontal="center" vertical="center"/>
    </xf>
    <xf numFmtId="173" fontId="32" fillId="0" borderId="1" xfId="3" applyNumberFormat="1" applyFont="1" applyFill="1" applyBorder="1" applyAlignment="1">
      <alignment vertical="center"/>
    </xf>
    <xf numFmtId="2" fontId="32" fillId="0" borderId="1" xfId="3" applyNumberFormat="1" applyFont="1" applyFill="1" applyBorder="1" applyAlignment="1">
      <alignment horizontal="right" vertical="center"/>
    </xf>
    <xf numFmtId="0" fontId="31" fillId="0" borderId="1" xfId="0" applyFont="1" applyFill="1" applyBorder="1" applyAlignment="1">
      <alignment horizontal="center" vertical="center"/>
    </xf>
    <xf numFmtId="43" fontId="31" fillId="0" borderId="1" xfId="1" applyFont="1" applyFill="1" applyBorder="1" applyAlignment="1">
      <alignment horizontal="right" vertical="center"/>
    </xf>
    <xf numFmtId="43" fontId="31" fillId="0" borderId="4" xfId="1" applyFont="1" applyFill="1" applyBorder="1" applyAlignment="1">
      <alignment horizontal="center" vertical="center"/>
    </xf>
    <xf numFmtId="43" fontId="31" fillId="0" borderId="4" xfId="1" applyFont="1" applyFill="1" applyBorder="1" applyAlignment="1">
      <alignment horizontal="right" vertical="center"/>
    </xf>
    <xf numFmtId="43" fontId="31" fillId="0" borderId="1" xfId="2" applyNumberFormat="1" applyFont="1" applyFill="1" applyBorder="1" applyAlignment="1">
      <alignment horizontal="center" vertical="center"/>
    </xf>
    <xf numFmtId="43" fontId="31" fillId="0" borderId="1" xfId="2" applyNumberFormat="1" applyFont="1" applyFill="1" applyBorder="1" applyAlignment="1">
      <alignment vertical="center"/>
    </xf>
    <xf numFmtId="43" fontId="31" fillId="0" borderId="1" xfId="1" applyFont="1" applyFill="1" applyBorder="1" applyAlignment="1">
      <alignment horizontal="center" vertical="center"/>
    </xf>
    <xf numFmtId="0" fontId="31" fillId="0" borderId="1" xfId="8" applyFont="1" applyFill="1" applyBorder="1" applyAlignment="1">
      <alignment horizontal="right" vertical="center"/>
    </xf>
    <xf numFmtId="43" fontId="31" fillId="0" borderId="1" xfId="1" applyNumberFormat="1" applyFont="1" applyFill="1" applyBorder="1" applyAlignment="1">
      <alignment horizontal="center" vertical="center"/>
    </xf>
    <xf numFmtId="173" fontId="31" fillId="0" borderId="1" xfId="2" applyNumberFormat="1" applyFont="1" applyFill="1" applyBorder="1" applyAlignment="1">
      <alignment horizontal="center" vertical="center"/>
    </xf>
    <xf numFmtId="43" fontId="31" fillId="0" borderId="1" xfId="2" applyFont="1" applyFill="1" applyBorder="1" applyAlignment="1">
      <alignment horizontal="center" vertical="center"/>
    </xf>
    <xf numFmtId="2" fontId="31" fillId="0" borderId="1" xfId="3" applyNumberFormat="1" applyFont="1" applyFill="1" applyBorder="1" applyAlignment="1">
      <alignment horizontal="center" vertical="center"/>
    </xf>
    <xf numFmtId="43" fontId="31" fillId="0" borderId="1" xfId="3" applyNumberFormat="1" applyFont="1" applyFill="1" applyBorder="1" applyAlignment="1">
      <alignment horizontal="right" vertical="center"/>
    </xf>
    <xf numFmtId="173" fontId="31" fillId="0" borderId="1" xfId="3" applyNumberFormat="1" applyFont="1" applyFill="1" applyBorder="1" applyAlignment="1">
      <alignment vertical="center"/>
    </xf>
    <xf numFmtId="43" fontId="31" fillId="0" borderId="1" xfId="0" applyNumberFormat="1" applyFont="1" applyFill="1" applyBorder="1" applyAlignment="1">
      <alignment horizontal="center" vertical="center"/>
    </xf>
    <xf numFmtId="2" fontId="31" fillId="0" borderId="1" xfId="1" applyNumberFormat="1" applyFont="1" applyFill="1" applyBorder="1" applyAlignment="1">
      <alignment horizontal="center" vertical="center"/>
    </xf>
    <xf numFmtId="2" fontId="31" fillId="0" borderId="1" xfId="2" applyNumberFormat="1" applyFont="1" applyFill="1" applyBorder="1" applyAlignment="1">
      <alignment horizontal="center" vertical="center"/>
    </xf>
    <xf numFmtId="43" fontId="4" fillId="0" borderId="2" xfId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" fillId="0" borderId="2" xfId="9" applyFont="1" applyFill="1" applyBorder="1" applyAlignment="1">
      <alignment horizontal="center"/>
    </xf>
    <xf numFmtId="43" fontId="12" fillId="0" borderId="0" xfId="0" applyNumberFormat="1" applyFont="1" applyFill="1" applyBorder="1" applyAlignment="1">
      <alignment vertical="center"/>
    </xf>
    <xf numFmtId="0" fontId="17" fillId="0" borderId="6" xfId="0" applyNumberFormat="1" applyFont="1" applyFill="1" applyBorder="1" applyAlignment="1">
      <alignment horizontal="left" vertical="center"/>
    </xf>
    <xf numFmtId="0" fontId="5" fillId="0" borderId="9" xfId="9" applyFont="1" applyFill="1" applyBorder="1" applyAlignment="1">
      <alignment horizontal="center"/>
    </xf>
    <xf numFmtId="43" fontId="5" fillId="0" borderId="5" xfId="9" applyNumberFormat="1" applyFont="1" applyFill="1" applyBorder="1" applyAlignment="1">
      <alignment horizontal="center"/>
    </xf>
    <xf numFmtId="173" fontId="5" fillId="0" borderId="5" xfId="1" applyNumberFormat="1" applyFont="1" applyFill="1" applyBorder="1" applyAlignment="1">
      <alignment horizontal="center" vertical="center"/>
    </xf>
    <xf numFmtId="173" fontId="19" fillId="0" borderId="1" xfId="1" applyNumberFormat="1" applyFont="1" applyFill="1" applyBorder="1" applyAlignment="1">
      <alignment horizontal="center" vertical="center"/>
    </xf>
    <xf numFmtId="43" fontId="19" fillId="0" borderId="1" xfId="1" applyFont="1" applyFill="1" applyBorder="1" applyAlignment="1">
      <alignment vertical="center"/>
    </xf>
    <xf numFmtId="43" fontId="19" fillId="0" borderId="1" xfId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right" vertical="center"/>
    </xf>
    <xf numFmtId="0" fontId="19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vertical="center"/>
    </xf>
    <xf numFmtId="181" fontId="5" fillId="0" borderId="1" xfId="1" applyNumberFormat="1" applyFont="1" applyFill="1" applyBorder="1" applyAlignment="1">
      <alignment horizontal="center" vertical="center"/>
    </xf>
    <xf numFmtId="43" fontId="33" fillId="0" borderId="2" xfId="1" applyFont="1" applyFill="1" applyBorder="1" applyAlignment="1">
      <alignment horizontal="center" vertical="center"/>
    </xf>
    <xf numFmtId="2" fontId="31" fillId="0" borderId="1" xfId="3" applyNumberFormat="1" applyFont="1" applyFill="1" applyBorder="1" applyAlignment="1">
      <alignment horizontal="right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3" fontId="5" fillId="0" borderId="4" xfId="1" applyNumberFormat="1" applyFont="1" applyFill="1" applyBorder="1" applyAlignment="1">
      <alignment vertical="center"/>
    </xf>
    <xf numFmtId="43" fontId="4" fillId="0" borderId="2" xfId="1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2" xfId="0" applyBorder="1"/>
    <xf numFmtId="43" fontId="0" fillId="0" borderId="2" xfId="0" applyNumberFormat="1" applyBorder="1"/>
    <xf numFmtId="173" fontId="0" fillId="0" borderId="2" xfId="0" applyNumberFormat="1" applyBorder="1"/>
    <xf numFmtId="1" fontId="0" fillId="0" borderId="2" xfId="0" applyNumberFormat="1" applyBorder="1"/>
    <xf numFmtId="0" fontId="0" fillId="5" borderId="2" xfId="0" applyFill="1" applyBorder="1"/>
    <xf numFmtId="0" fontId="21" fillId="5" borderId="2" xfId="0" applyFont="1" applyFill="1" applyBorder="1"/>
    <xf numFmtId="173" fontId="21" fillId="5" borderId="2" xfId="0" applyNumberFormat="1" applyFont="1" applyFill="1" applyBorder="1"/>
    <xf numFmtId="43" fontId="21" fillId="5" borderId="2" xfId="0" applyNumberFormat="1" applyFont="1" applyFill="1" applyBorder="1"/>
    <xf numFmtId="1" fontId="21" fillId="5" borderId="2" xfId="0" applyNumberFormat="1" applyFont="1" applyFill="1" applyBorder="1"/>
    <xf numFmtId="0" fontId="21" fillId="6" borderId="2" xfId="0" applyFont="1" applyFill="1" applyBorder="1" applyAlignment="1">
      <alignment horizontal="center" vertical="center"/>
    </xf>
    <xf numFmtId="1" fontId="21" fillId="6" borderId="2" xfId="0" applyNumberFormat="1" applyFont="1" applyFill="1" applyBorder="1" applyAlignment="1">
      <alignment horizontal="center" vertical="center"/>
    </xf>
    <xf numFmtId="173" fontId="34" fillId="0" borderId="1" xfId="1" applyNumberFormat="1" applyFont="1" applyFill="1" applyBorder="1" applyAlignment="1">
      <alignment vertical="center"/>
    </xf>
    <xf numFmtId="173" fontId="13" fillId="0" borderId="0" xfId="1" applyNumberFormat="1" applyFont="1" applyFill="1" applyBorder="1" applyAlignment="1">
      <alignment vertical="center"/>
    </xf>
    <xf numFmtId="43" fontId="13" fillId="0" borderId="0" xfId="1" applyFont="1" applyFill="1" applyBorder="1" applyAlignment="1">
      <alignment vertical="center"/>
    </xf>
    <xf numFmtId="0" fontId="13" fillId="0" borderId="0" xfId="0" applyFont="1" applyFill="1" applyBorder="1" applyAlignment="1">
      <alignment horizontal="right" vertical="center"/>
    </xf>
    <xf numFmtId="9" fontId="13" fillId="0" borderId="0" xfId="0" applyNumberFormat="1" applyFont="1" applyBorder="1" applyAlignment="1">
      <alignment vertical="center"/>
    </xf>
    <xf numFmtId="175" fontId="13" fillId="0" borderId="0" xfId="0" applyNumberFormat="1" applyFont="1" applyFill="1" applyBorder="1" applyAlignment="1">
      <alignment horizontal="center" vertical="center"/>
    </xf>
    <xf numFmtId="207" fontId="13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211" fontId="13" fillId="0" borderId="0" xfId="0" applyNumberFormat="1" applyFont="1" applyFill="1" applyBorder="1" applyAlignment="1">
      <alignment vertical="center"/>
    </xf>
    <xf numFmtId="43" fontId="13" fillId="0" borderId="3" xfId="1" applyFont="1" applyBorder="1" applyAlignment="1">
      <alignment vertical="center"/>
    </xf>
    <xf numFmtId="43" fontId="13" fillId="0" borderId="3" xfId="0" applyNumberFormat="1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43" fontId="10" fillId="0" borderId="2" xfId="1" applyFont="1" applyBorder="1" applyAlignment="1">
      <alignment vertical="center"/>
    </xf>
    <xf numFmtId="0" fontId="10" fillId="0" borderId="12" xfId="0" applyFont="1" applyBorder="1" applyAlignment="1">
      <alignment horizontal="center" vertical="center"/>
    </xf>
    <xf numFmtId="172" fontId="13" fillId="0" borderId="2" xfId="0" applyNumberFormat="1" applyFont="1" applyBorder="1" applyAlignment="1">
      <alignment vertical="center"/>
    </xf>
    <xf numFmtId="9" fontId="13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43" fontId="5" fillId="0" borderId="9" xfId="9" applyNumberFormat="1" applyFont="1" applyFill="1" applyBorder="1" applyAlignment="1">
      <alignment horizontal="center"/>
    </xf>
    <xf numFmtId="43" fontId="5" fillId="0" borderId="1" xfId="0" applyNumberFormat="1" applyFont="1" applyFill="1" applyBorder="1" applyAlignment="1">
      <alignment vertical="center"/>
    </xf>
    <xf numFmtId="43" fontId="4" fillId="0" borderId="1" xfId="1" applyFont="1" applyFill="1" applyBorder="1" applyAlignment="1">
      <alignment horizontal="center" vertical="center"/>
    </xf>
    <xf numFmtId="43" fontId="4" fillId="0" borderId="6" xfId="0" applyNumberFormat="1" applyFont="1" applyFill="1" applyBorder="1" applyAlignment="1">
      <alignment vertical="center"/>
    </xf>
    <xf numFmtId="0" fontId="24" fillId="0" borderId="5" xfId="0" applyFont="1" applyFill="1" applyBorder="1" applyAlignment="1">
      <alignment horizontal="center" vertical="center"/>
    </xf>
    <xf numFmtId="0" fontId="24" fillId="0" borderId="5" xfId="1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center"/>
    </xf>
    <xf numFmtId="0" fontId="24" fillId="0" borderId="1" xfId="0" applyFont="1" applyFill="1" applyBorder="1" applyAlignment="1">
      <alignment horizontal="left" vertical="center"/>
    </xf>
    <xf numFmtId="0" fontId="10" fillId="7" borderId="2" xfId="0" applyFont="1" applyFill="1" applyBorder="1" applyAlignment="1">
      <alignment horizontal="center" vertical="center"/>
    </xf>
    <xf numFmtId="43" fontId="10" fillId="7" borderId="2" xfId="1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vertical="center"/>
    </xf>
    <xf numFmtId="173" fontId="10" fillId="7" borderId="0" xfId="1" applyNumberFormat="1" applyFont="1" applyFill="1" applyAlignment="1">
      <alignment vertical="center"/>
    </xf>
    <xf numFmtId="0" fontId="13" fillId="7" borderId="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vertical="center"/>
    </xf>
    <xf numFmtId="0" fontId="13" fillId="7" borderId="0" xfId="0" applyFont="1" applyFill="1" applyAlignment="1">
      <alignment vertical="center"/>
    </xf>
    <xf numFmtId="0" fontId="24" fillId="0" borderId="3" xfId="0" applyFont="1" applyFill="1" applyBorder="1" applyAlignment="1">
      <alignment horizontal="center" vertical="center"/>
    </xf>
    <xf numFmtId="173" fontId="5" fillId="0" borderId="3" xfId="1" applyNumberFormat="1" applyFont="1" applyFill="1" applyBorder="1" applyAlignment="1">
      <alignment vertical="center"/>
    </xf>
    <xf numFmtId="43" fontId="5" fillId="0" borderId="4" xfId="0" applyNumberFormat="1" applyFont="1" applyFill="1" applyBorder="1" applyAlignment="1">
      <alignment horizontal="center" vertical="center"/>
    </xf>
    <xf numFmtId="43" fontId="5" fillId="0" borderId="4" xfId="1" applyFont="1" applyFill="1" applyBorder="1" applyAlignment="1">
      <alignment horizontal="left" vertical="center"/>
    </xf>
    <xf numFmtId="0" fontId="13" fillId="3" borderId="9" xfId="0" applyFont="1" applyFill="1" applyBorder="1" applyAlignment="1">
      <alignment vertical="center"/>
    </xf>
    <xf numFmtId="0" fontId="13" fillId="3" borderId="11" xfId="0" applyFont="1" applyFill="1" applyBorder="1" applyAlignment="1">
      <alignment vertical="center"/>
    </xf>
    <xf numFmtId="0" fontId="13" fillId="3" borderId="10" xfId="0" applyFont="1" applyFill="1" applyBorder="1" applyAlignment="1">
      <alignment vertical="center"/>
    </xf>
    <xf numFmtId="0" fontId="35" fillId="8" borderId="2" xfId="0" applyFont="1" applyFill="1" applyBorder="1" applyAlignment="1">
      <alignment horizontal="center" vertical="center"/>
    </xf>
    <xf numFmtId="0" fontId="35" fillId="8" borderId="2" xfId="0" applyFont="1" applyFill="1" applyBorder="1" applyAlignment="1">
      <alignment vertical="center"/>
    </xf>
    <xf numFmtId="0" fontId="36" fillId="8" borderId="2" xfId="0" applyFont="1" applyFill="1" applyBorder="1" applyAlignment="1">
      <alignment horizontal="center" vertical="center"/>
    </xf>
    <xf numFmtId="0" fontId="37" fillId="8" borderId="2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Alignment="1">
      <alignment vertical="center"/>
    </xf>
    <xf numFmtId="1" fontId="10" fillId="0" borderId="0" xfId="0" applyNumberFormat="1" applyFont="1" applyAlignment="1">
      <alignment vertical="center"/>
    </xf>
    <xf numFmtId="43" fontId="25" fillId="0" borderId="0" xfId="1" applyFont="1" applyFill="1" applyAlignment="1">
      <alignment vertical="center"/>
    </xf>
    <xf numFmtId="0" fontId="4" fillId="9" borderId="11" xfId="0" applyFont="1" applyFill="1" applyBorder="1" applyAlignment="1">
      <alignment horizontal="center" vertical="center"/>
    </xf>
    <xf numFmtId="43" fontId="4" fillId="9" borderId="2" xfId="1" applyFont="1" applyFill="1" applyBorder="1" applyAlignment="1">
      <alignment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/>
    </xf>
    <xf numFmtId="43" fontId="25" fillId="9" borderId="2" xfId="1" applyFont="1" applyFill="1" applyBorder="1" applyAlignment="1">
      <alignment vertical="center"/>
    </xf>
    <xf numFmtId="0" fontId="5" fillId="10" borderId="5" xfId="0" applyFont="1" applyFill="1" applyBorder="1" applyAlignment="1">
      <alignment vertical="center"/>
    </xf>
    <xf numFmtId="43" fontId="25" fillId="10" borderId="5" xfId="1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43" fontId="25" fillId="10" borderId="1" xfId="1" applyFont="1" applyFill="1" applyBorder="1" applyAlignment="1">
      <alignment vertical="center"/>
    </xf>
    <xf numFmtId="0" fontId="5" fillId="11" borderId="6" xfId="0" applyFont="1" applyFill="1" applyBorder="1" applyAlignment="1">
      <alignment vertical="center"/>
    </xf>
    <xf numFmtId="43" fontId="25" fillId="11" borderId="6" xfId="1" applyFont="1" applyFill="1" applyBorder="1" applyAlignment="1">
      <alignment vertical="center"/>
    </xf>
    <xf numFmtId="0" fontId="10" fillId="0" borderId="0" xfId="0" applyFont="1" applyFill="1" applyBorder="1" applyAlignment="1">
      <alignment horizontal="center" vertical="center"/>
    </xf>
    <xf numFmtId="173" fontId="10" fillId="0" borderId="0" xfId="1" applyNumberFormat="1" applyFont="1" applyFill="1" applyAlignment="1">
      <alignment vertical="center"/>
    </xf>
    <xf numFmtId="0" fontId="31" fillId="0" borderId="1" xfId="0" applyFont="1" applyFill="1" applyBorder="1" applyAlignment="1">
      <alignment horizontal="left" vertical="center"/>
    </xf>
    <xf numFmtId="43" fontId="12" fillId="0" borderId="0" xfId="0" applyNumberFormat="1" applyFont="1" applyFill="1" applyAlignment="1">
      <alignment vertical="center"/>
    </xf>
    <xf numFmtId="43" fontId="19" fillId="3" borderId="1" xfId="1" applyFont="1" applyFill="1" applyBorder="1" applyAlignment="1">
      <alignment vertical="center"/>
    </xf>
    <xf numFmtId="43" fontId="19" fillId="3" borderId="1" xfId="1" applyFont="1" applyFill="1" applyBorder="1" applyAlignment="1">
      <alignment horizontal="center"/>
    </xf>
    <xf numFmtId="0" fontId="5" fillId="0" borderId="0" xfId="0" applyFont="1" applyFill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3" xfId="0" applyFont="1" applyBorder="1"/>
    <xf numFmtId="43" fontId="27" fillId="0" borderId="3" xfId="0" applyNumberFormat="1" applyFont="1" applyBorder="1"/>
    <xf numFmtId="0" fontId="27" fillId="0" borderId="1" xfId="0" applyFont="1" applyBorder="1" applyAlignment="1">
      <alignment horizontal="center"/>
    </xf>
    <xf numFmtId="0" fontId="27" fillId="0" borderId="1" xfId="0" applyFont="1" applyBorder="1"/>
    <xf numFmtId="0" fontId="27" fillId="0" borderId="6" xfId="0" applyFont="1" applyBorder="1" applyAlignment="1">
      <alignment horizontal="center"/>
    </xf>
    <xf numFmtId="0" fontId="27" fillId="0" borderId="6" xfId="0" applyFont="1" applyBorder="1"/>
    <xf numFmtId="0" fontId="27" fillId="0" borderId="2" xfId="0" applyFont="1" applyBorder="1"/>
    <xf numFmtId="43" fontId="27" fillId="0" borderId="2" xfId="0" applyNumberFormat="1" applyFont="1" applyBorder="1"/>
    <xf numFmtId="43" fontId="27" fillId="0" borderId="1" xfId="1" applyFont="1" applyBorder="1"/>
    <xf numFmtId="43" fontId="27" fillId="0" borderId="6" xfId="1" applyFont="1" applyBorder="1"/>
    <xf numFmtId="0" fontId="21" fillId="0" borderId="0" xfId="0" applyFont="1"/>
    <xf numFmtId="43" fontId="21" fillId="0" borderId="0" xfId="0" applyNumberFormat="1" applyFont="1"/>
    <xf numFmtId="0" fontId="28" fillId="7" borderId="2" xfId="0" applyFont="1" applyFill="1" applyBorder="1" applyAlignment="1">
      <alignment horizontal="center"/>
    </xf>
    <xf numFmtId="0" fontId="27" fillId="7" borderId="2" xfId="0" applyFont="1" applyFill="1" applyBorder="1"/>
    <xf numFmtId="0" fontId="28" fillId="7" borderId="2" xfId="0" applyFont="1" applyFill="1" applyBorder="1"/>
    <xf numFmtId="43" fontId="28" fillId="7" borderId="2" xfId="0" applyNumberFormat="1" applyFont="1" applyFill="1" applyBorder="1"/>
    <xf numFmtId="0" fontId="13" fillId="0" borderId="11" xfId="0" applyFont="1" applyFill="1" applyBorder="1" applyAlignment="1">
      <alignment vertical="center"/>
    </xf>
    <xf numFmtId="43" fontId="0" fillId="0" borderId="0" xfId="0" applyNumberFormat="1" applyAlignment="1">
      <alignment vertical="center"/>
    </xf>
    <xf numFmtId="0" fontId="4" fillId="0" borderId="5" xfId="11" applyFont="1" applyFill="1" applyBorder="1" applyAlignment="1">
      <alignment horizontal="center" vertical="center"/>
    </xf>
    <xf numFmtId="43" fontId="4" fillId="0" borderId="5" xfId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43" fontId="6" fillId="0" borderId="1" xfId="1" applyFont="1" applyBorder="1" applyAlignment="1">
      <alignment vertical="center"/>
    </xf>
    <xf numFmtId="0" fontId="5" fillId="0" borderId="6" xfId="0" applyFont="1" applyFill="1" applyBorder="1" applyAlignment="1">
      <alignment horizontal="right" vertical="center"/>
    </xf>
    <xf numFmtId="0" fontId="13" fillId="0" borderId="9" xfId="0" applyFont="1" applyFill="1" applyBorder="1" applyAlignment="1">
      <alignment vertical="center"/>
    </xf>
    <xf numFmtId="0" fontId="37" fillId="8" borderId="12" xfId="0" applyFont="1" applyFill="1" applyBorder="1" applyAlignment="1">
      <alignment horizontal="center" vertical="center"/>
    </xf>
    <xf numFmtId="0" fontId="37" fillId="8" borderId="13" xfId="0" applyFont="1" applyFill="1" applyBorder="1" applyAlignment="1">
      <alignment horizontal="center" vertical="center"/>
    </xf>
    <xf numFmtId="0" fontId="37" fillId="8" borderId="14" xfId="0" applyFont="1" applyFill="1" applyBorder="1" applyAlignment="1">
      <alignment horizontal="center" vertical="center"/>
    </xf>
    <xf numFmtId="0" fontId="36" fillId="8" borderId="0" xfId="0" applyFont="1" applyFill="1" applyAlignment="1">
      <alignment horizontal="center" vertical="center"/>
    </xf>
    <xf numFmtId="0" fontId="36" fillId="8" borderId="15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0" fontId="28" fillId="0" borderId="15" xfId="0" applyFont="1" applyBorder="1" applyAlignment="1">
      <alignment horizontal="center"/>
    </xf>
    <xf numFmtId="0" fontId="4" fillId="9" borderId="2" xfId="0" applyFont="1" applyFill="1" applyBorder="1" applyAlignment="1">
      <alignment horizontal="center" vertical="center"/>
    </xf>
    <xf numFmtId="173" fontId="4" fillId="9" borderId="10" xfId="1" applyNumberFormat="1" applyFont="1" applyFill="1" applyBorder="1" applyAlignment="1">
      <alignment horizontal="center" vertical="center"/>
    </xf>
    <xf numFmtId="173" fontId="4" fillId="9" borderId="11" xfId="1" applyNumberFormat="1" applyFont="1" applyFill="1" applyBorder="1" applyAlignment="1">
      <alignment horizontal="center" vertical="center"/>
    </xf>
    <xf numFmtId="0" fontId="4" fillId="9" borderId="10" xfId="11" applyFont="1" applyFill="1" applyBorder="1" applyAlignment="1">
      <alignment horizontal="center" vertical="center"/>
    </xf>
    <xf numFmtId="0" fontId="4" fillId="9" borderId="11" xfId="11" applyFont="1" applyFill="1" applyBorder="1" applyAlignment="1">
      <alignment horizontal="center" vertical="center"/>
    </xf>
    <xf numFmtId="43" fontId="4" fillId="9" borderId="10" xfId="1" applyFont="1" applyFill="1" applyBorder="1" applyAlignment="1">
      <alignment horizontal="center" vertical="center"/>
    </xf>
    <xf numFmtId="43" fontId="4" fillId="9" borderId="11" xfId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9" borderId="15" xfId="9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5" fillId="0" borderId="10" xfId="9" applyFont="1" applyFill="1" applyBorder="1" applyAlignment="1">
      <alignment horizontal="center" vertical="center"/>
    </xf>
    <xf numFmtId="0" fontId="5" fillId="0" borderId="11" xfId="9" applyFont="1" applyFill="1" applyBorder="1" applyAlignment="1">
      <alignment horizontal="center" vertical="center"/>
    </xf>
    <xf numFmtId="0" fontId="5" fillId="0" borderId="2" xfId="9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0" fontId="4" fillId="0" borderId="2" xfId="9" applyFont="1" applyFill="1" applyBorder="1" applyAlignment="1">
      <alignment horizontal="center"/>
    </xf>
    <xf numFmtId="0" fontId="6" fillId="0" borderId="0" xfId="0" applyFont="1" applyFill="1" applyAlignment="1">
      <alignment horizontal="center" vertical="center"/>
    </xf>
    <xf numFmtId="43" fontId="5" fillId="0" borderId="2" xfId="1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43" fontId="5" fillId="0" borderId="2" xfId="1" applyNumberFormat="1" applyFont="1" applyFill="1" applyBorder="1" applyAlignment="1">
      <alignment horizontal="center" vertical="center"/>
    </xf>
    <xf numFmtId="0" fontId="5" fillId="0" borderId="16" xfId="9" applyFont="1" applyFill="1" applyBorder="1" applyAlignment="1">
      <alignment horizontal="center" vertical="center"/>
    </xf>
    <xf numFmtId="0" fontId="5" fillId="0" borderId="17" xfId="9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2" xfId="5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6" fillId="0" borderId="0" xfId="1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/>
    </xf>
    <xf numFmtId="43" fontId="5" fillId="0" borderId="10" xfId="1" applyFont="1" applyFill="1" applyBorder="1" applyAlignment="1">
      <alignment horizontal="center" vertical="center" wrapText="1"/>
    </xf>
    <xf numFmtId="43" fontId="5" fillId="0" borderId="11" xfId="1" applyFont="1" applyFill="1" applyBorder="1" applyAlignment="1">
      <alignment horizontal="center" vertical="center" wrapText="1"/>
    </xf>
    <xf numFmtId="173" fontId="5" fillId="0" borderId="2" xfId="1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</cellXfs>
  <cellStyles count="12">
    <cellStyle name="Comma" xfId="1" builtinId="3"/>
    <cellStyle name="Comma 2" xfId="2" xr:uid="{B8116142-0FFF-41F0-AADF-18F5DD13BD43}"/>
    <cellStyle name="Comma 2 2" xfId="3" xr:uid="{CEB7695E-7393-48C2-8B7C-F5EE6C2B6ACD}"/>
    <cellStyle name="Comma 3" xfId="4" xr:uid="{31C3857C-F845-4150-B229-0289BCB53C92}"/>
    <cellStyle name="Normal" xfId="0" builtinId="0"/>
    <cellStyle name="Normal 2" xfId="5" xr:uid="{E125FC71-FA46-45AA-89E0-B941D87E6045}"/>
    <cellStyle name="Normal 2 2" xfId="6" xr:uid="{D48077E1-375C-4BB6-B451-58B7CF78E9E7}"/>
    <cellStyle name="Normal 3" xfId="7" xr:uid="{12583E79-EE1F-43DA-96E6-982400275B05}"/>
    <cellStyle name="Normal_(30mx24m) Store 1civil work 2" xfId="8" xr:uid="{738CD64B-1FAD-4B8C-B6ED-9668BC8474E2}"/>
    <cellStyle name="Normal_Concentration Basin Ph-I" xfId="9" xr:uid="{3D0A539B-51B1-4987-BCE4-D367599531E6}"/>
    <cellStyle name="Normal_Police Station (Latest)" xfId="10" xr:uid="{140543A0-0775-4707-86EA-C108501AE9D9}"/>
    <cellStyle name="Normal_Shwe Hlai" xfId="11" xr:uid="{DF79CCD2-DE29-43C1-8C80-D63BA0FF835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660400</xdr:colOff>
      <xdr:row>55</xdr:row>
      <xdr:rowOff>0</xdr:rowOff>
    </xdr:from>
    <xdr:to>
      <xdr:col>2</xdr:col>
      <xdr:colOff>107950</xdr:colOff>
      <xdr:row>55</xdr:row>
      <xdr:rowOff>279400</xdr:rowOff>
    </xdr:to>
    <xdr:sp macro="" textlink="">
      <xdr:nvSpPr>
        <xdr:cNvPr id="392590" name="Text Box 9">
          <a:extLst>
            <a:ext uri="{FF2B5EF4-FFF2-40B4-BE49-F238E27FC236}">
              <a16:creationId xmlns:a16="http://schemas.microsoft.com/office/drawing/2014/main" id="{98440056-B249-BF71-6C49-F0D3667810D4}"/>
            </a:ext>
          </a:extLst>
        </xdr:cNvPr>
        <xdr:cNvSpPr txBox="1">
          <a:spLocks noChangeArrowheads="1"/>
        </xdr:cNvSpPr>
      </xdr:nvSpPr>
      <xdr:spPr bwMode="auto">
        <a:xfrm>
          <a:off x="908050" y="15354300"/>
          <a:ext cx="1651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876300</xdr:colOff>
      <xdr:row>55</xdr:row>
      <xdr:rowOff>0</xdr:rowOff>
    </xdr:from>
    <xdr:to>
      <xdr:col>2</xdr:col>
      <xdr:colOff>31750</xdr:colOff>
      <xdr:row>55</xdr:row>
      <xdr:rowOff>311150</xdr:rowOff>
    </xdr:to>
    <xdr:sp macro="" textlink="">
      <xdr:nvSpPr>
        <xdr:cNvPr id="392591" name="Text Box 11">
          <a:extLst>
            <a:ext uri="{FF2B5EF4-FFF2-40B4-BE49-F238E27FC236}">
              <a16:creationId xmlns:a16="http://schemas.microsoft.com/office/drawing/2014/main" id="{3E5F043D-5D4E-0FA8-0AB5-F440347DCE3F}"/>
            </a:ext>
          </a:extLst>
        </xdr:cNvPr>
        <xdr:cNvSpPr txBox="1">
          <a:spLocks noChangeArrowheads="1"/>
        </xdr:cNvSpPr>
      </xdr:nvSpPr>
      <xdr:spPr bwMode="auto">
        <a:xfrm>
          <a:off x="965200" y="15354300"/>
          <a:ext cx="31750" cy="31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55</xdr:row>
      <xdr:rowOff>0</xdr:rowOff>
    </xdr:from>
    <xdr:to>
      <xdr:col>1</xdr:col>
      <xdr:colOff>419100</xdr:colOff>
      <xdr:row>55</xdr:row>
      <xdr:rowOff>279400</xdr:rowOff>
    </xdr:to>
    <xdr:sp macro="" textlink="">
      <xdr:nvSpPr>
        <xdr:cNvPr id="392592" name="Text Box 47">
          <a:extLst>
            <a:ext uri="{FF2B5EF4-FFF2-40B4-BE49-F238E27FC236}">
              <a16:creationId xmlns:a16="http://schemas.microsoft.com/office/drawing/2014/main" id="{14678BE9-C120-BB32-BCCD-3E363C06A8F5}"/>
            </a:ext>
          </a:extLst>
        </xdr:cNvPr>
        <xdr:cNvSpPr txBox="1">
          <a:spLocks noChangeArrowheads="1"/>
        </xdr:cNvSpPr>
      </xdr:nvSpPr>
      <xdr:spPr bwMode="auto">
        <a:xfrm>
          <a:off x="476250" y="15354300"/>
          <a:ext cx="1905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55</xdr:row>
      <xdr:rowOff>0</xdr:rowOff>
    </xdr:from>
    <xdr:to>
      <xdr:col>1</xdr:col>
      <xdr:colOff>615950</xdr:colOff>
      <xdr:row>55</xdr:row>
      <xdr:rowOff>279400</xdr:rowOff>
    </xdr:to>
    <xdr:sp macro="" textlink="">
      <xdr:nvSpPr>
        <xdr:cNvPr id="392593" name="Text Box 48">
          <a:extLst>
            <a:ext uri="{FF2B5EF4-FFF2-40B4-BE49-F238E27FC236}">
              <a16:creationId xmlns:a16="http://schemas.microsoft.com/office/drawing/2014/main" id="{07E8A948-7BC3-A5F0-8F4C-816B225F294A}"/>
            </a:ext>
          </a:extLst>
        </xdr:cNvPr>
        <xdr:cNvSpPr txBox="1">
          <a:spLocks noChangeArrowheads="1"/>
        </xdr:cNvSpPr>
      </xdr:nvSpPr>
      <xdr:spPr bwMode="auto">
        <a:xfrm>
          <a:off x="704850" y="15354300"/>
          <a:ext cx="15875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698500</xdr:colOff>
      <xdr:row>55</xdr:row>
      <xdr:rowOff>0</xdr:rowOff>
    </xdr:from>
    <xdr:to>
      <xdr:col>2</xdr:col>
      <xdr:colOff>171450</xdr:colOff>
      <xdr:row>55</xdr:row>
      <xdr:rowOff>241300</xdr:rowOff>
    </xdr:to>
    <xdr:sp macro="" textlink="">
      <xdr:nvSpPr>
        <xdr:cNvPr id="392594" name="Text Box 49">
          <a:extLst>
            <a:ext uri="{FF2B5EF4-FFF2-40B4-BE49-F238E27FC236}">
              <a16:creationId xmlns:a16="http://schemas.microsoft.com/office/drawing/2014/main" id="{DC29D17E-5EED-B7B1-0F8A-A4DE83FCEE01}"/>
            </a:ext>
          </a:extLst>
        </xdr:cNvPr>
        <xdr:cNvSpPr txBox="1">
          <a:spLocks noChangeArrowheads="1"/>
        </xdr:cNvSpPr>
      </xdr:nvSpPr>
      <xdr:spPr bwMode="auto">
        <a:xfrm>
          <a:off x="946150" y="15354300"/>
          <a:ext cx="190500" cy="241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55</xdr:row>
      <xdr:rowOff>0</xdr:rowOff>
    </xdr:from>
    <xdr:to>
      <xdr:col>2</xdr:col>
      <xdr:colOff>228600</xdr:colOff>
      <xdr:row>55</xdr:row>
      <xdr:rowOff>279400</xdr:rowOff>
    </xdr:to>
    <xdr:sp macro="" textlink="">
      <xdr:nvSpPr>
        <xdr:cNvPr id="392595" name="Text Box 50">
          <a:extLst>
            <a:ext uri="{FF2B5EF4-FFF2-40B4-BE49-F238E27FC236}">
              <a16:creationId xmlns:a16="http://schemas.microsoft.com/office/drawing/2014/main" id="{D781CA22-0B3C-E5B3-B8ED-7DFF3BFFC0BF}"/>
            </a:ext>
          </a:extLst>
        </xdr:cNvPr>
        <xdr:cNvSpPr txBox="1">
          <a:spLocks noChangeArrowheads="1"/>
        </xdr:cNvSpPr>
      </xdr:nvSpPr>
      <xdr:spPr bwMode="auto">
        <a:xfrm>
          <a:off x="914400" y="15354300"/>
          <a:ext cx="279400" cy="279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321</xdr:row>
      <xdr:rowOff>0</xdr:rowOff>
    </xdr:from>
    <xdr:to>
      <xdr:col>1</xdr:col>
      <xdr:colOff>419100</xdr:colOff>
      <xdr:row>322</xdr:row>
      <xdr:rowOff>19050</xdr:rowOff>
    </xdr:to>
    <xdr:sp macro="" textlink="">
      <xdr:nvSpPr>
        <xdr:cNvPr id="399579" name="Text Box 47">
          <a:extLst>
            <a:ext uri="{FF2B5EF4-FFF2-40B4-BE49-F238E27FC236}">
              <a16:creationId xmlns:a16="http://schemas.microsoft.com/office/drawing/2014/main" id="{6DB7B483-8050-ADA1-DC7C-F0E3CAC3242B}"/>
            </a:ext>
          </a:extLst>
        </xdr:cNvPr>
        <xdr:cNvSpPr txBox="1">
          <a:spLocks noChangeArrowheads="1"/>
        </xdr:cNvSpPr>
      </xdr:nvSpPr>
      <xdr:spPr bwMode="auto">
        <a:xfrm>
          <a:off x="527050" y="79584550"/>
          <a:ext cx="1905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321</xdr:row>
      <xdr:rowOff>0</xdr:rowOff>
    </xdr:from>
    <xdr:to>
      <xdr:col>1</xdr:col>
      <xdr:colOff>615950</xdr:colOff>
      <xdr:row>322</xdr:row>
      <xdr:rowOff>19050</xdr:rowOff>
    </xdr:to>
    <xdr:sp macro="" textlink="">
      <xdr:nvSpPr>
        <xdr:cNvPr id="399580" name="Text Box 48">
          <a:extLst>
            <a:ext uri="{FF2B5EF4-FFF2-40B4-BE49-F238E27FC236}">
              <a16:creationId xmlns:a16="http://schemas.microsoft.com/office/drawing/2014/main" id="{4E6853FE-922B-1161-E2F3-CBC42D230D7A}"/>
            </a:ext>
          </a:extLst>
        </xdr:cNvPr>
        <xdr:cNvSpPr txBox="1">
          <a:spLocks noChangeArrowheads="1"/>
        </xdr:cNvSpPr>
      </xdr:nvSpPr>
      <xdr:spPr bwMode="auto">
        <a:xfrm>
          <a:off x="755650" y="7958455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321</xdr:row>
      <xdr:rowOff>0</xdr:rowOff>
    </xdr:from>
    <xdr:to>
      <xdr:col>1</xdr:col>
      <xdr:colOff>952500</xdr:colOff>
      <xdr:row>322</xdr:row>
      <xdr:rowOff>19050</xdr:rowOff>
    </xdr:to>
    <xdr:sp macro="" textlink="">
      <xdr:nvSpPr>
        <xdr:cNvPr id="399581" name="Text Box 50">
          <a:extLst>
            <a:ext uri="{FF2B5EF4-FFF2-40B4-BE49-F238E27FC236}">
              <a16:creationId xmlns:a16="http://schemas.microsoft.com/office/drawing/2014/main" id="{21B74E74-CC1C-347C-1E84-FEFF32A3284D}"/>
            </a:ext>
          </a:extLst>
        </xdr:cNvPr>
        <xdr:cNvSpPr txBox="1">
          <a:spLocks noChangeArrowheads="1"/>
        </xdr:cNvSpPr>
      </xdr:nvSpPr>
      <xdr:spPr bwMode="auto">
        <a:xfrm>
          <a:off x="965200" y="79584550"/>
          <a:ext cx="285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321</xdr:row>
      <xdr:rowOff>0</xdr:rowOff>
    </xdr:from>
    <xdr:to>
      <xdr:col>1</xdr:col>
      <xdr:colOff>419100</xdr:colOff>
      <xdr:row>322</xdr:row>
      <xdr:rowOff>19050</xdr:rowOff>
    </xdr:to>
    <xdr:sp macro="" textlink="">
      <xdr:nvSpPr>
        <xdr:cNvPr id="399582" name="Text Box 47">
          <a:extLst>
            <a:ext uri="{FF2B5EF4-FFF2-40B4-BE49-F238E27FC236}">
              <a16:creationId xmlns:a16="http://schemas.microsoft.com/office/drawing/2014/main" id="{9687A4A0-070D-F253-9AF5-E966B7634E71}"/>
            </a:ext>
          </a:extLst>
        </xdr:cNvPr>
        <xdr:cNvSpPr txBox="1">
          <a:spLocks noChangeArrowheads="1"/>
        </xdr:cNvSpPr>
      </xdr:nvSpPr>
      <xdr:spPr bwMode="auto">
        <a:xfrm>
          <a:off x="527050" y="79584550"/>
          <a:ext cx="1905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321</xdr:row>
      <xdr:rowOff>0</xdr:rowOff>
    </xdr:from>
    <xdr:to>
      <xdr:col>1</xdr:col>
      <xdr:colOff>615950</xdr:colOff>
      <xdr:row>322</xdr:row>
      <xdr:rowOff>19050</xdr:rowOff>
    </xdr:to>
    <xdr:sp macro="" textlink="">
      <xdr:nvSpPr>
        <xdr:cNvPr id="399583" name="Text Box 48">
          <a:extLst>
            <a:ext uri="{FF2B5EF4-FFF2-40B4-BE49-F238E27FC236}">
              <a16:creationId xmlns:a16="http://schemas.microsoft.com/office/drawing/2014/main" id="{1783B720-6A18-7E8F-93F9-F05C421EEFAA}"/>
            </a:ext>
          </a:extLst>
        </xdr:cNvPr>
        <xdr:cNvSpPr txBox="1">
          <a:spLocks noChangeArrowheads="1"/>
        </xdr:cNvSpPr>
      </xdr:nvSpPr>
      <xdr:spPr bwMode="auto">
        <a:xfrm>
          <a:off x="755650" y="7958455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321</xdr:row>
      <xdr:rowOff>0</xdr:rowOff>
    </xdr:from>
    <xdr:to>
      <xdr:col>1</xdr:col>
      <xdr:colOff>952500</xdr:colOff>
      <xdr:row>322</xdr:row>
      <xdr:rowOff>19050</xdr:rowOff>
    </xdr:to>
    <xdr:sp macro="" textlink="">
      <xdr:nvSpPr>
        <xdr:cNvPr id="399584" name="Text Box 50">
          <a:extLst>
            <a:ext uri="{FF2B5EF4-FFF2-40B4-BE49-F238E27FC236}">
              <a16:creationId xmlns:a16="http://schemas.microsoft.com/office/drawing/2014/main" id="{E33327D1-8186-60BE-9251-C46B2057C913}"/>
            </a:ext>
          </a:extLst>
        </xdr:cNvPr>
        <xdr:cNvSpPr txBox="1">
          <a:spLocks noChangeArrowheads="1"/>
        </xdr:cNvSpPr>
      </xdr:nvSpPr>
      <xdr:spPr bwMode="auto">
        <a:xfrm>
          <a:off x="965200" y="79584550"/>
          <a:ext cx="285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261</xdr:row>
      <xdr:rowOff>0</xdr:rowOff>
    </xdr:from>
    <xdr:to>
      <xdr:col>1</xdr:col>
      <xdr:colOff>615950</xdr:colOff>
      <xdr:row>262</xdr:row>
      <xdr:rowOff>19050</xdr:rowOff>
    </xdr:to>
    <xdr:sp macro="" textlink="">
      <xdr:nvSpPr>
        <xdr:cNvPr id="399585" name="Text Box 48">
          <a:extLst>
            <a:ext uri="{FF2B5EF4-FFF2-40B4-BE49-F238E27FC236}">
              <a16:creationId xmlns:a16="http://schemas.microsoft.com/office/drawing/2014/main" id="{6FC84625-96DE-6938-00D0-3C1B57308B2C}"/>
            </a:ext>
          </a:extLst>
        </xdr:cNvPr>
        <xdr:cNvSpPr txBox="1">
          <a:spLocks noChangeArrowheads="1"/>
        </xdr:cNvSpPr>
      </xdr:nvSpPr>
      <xdr:spPr bwMode="auto">
        <a:xfrm>
          <a:off x="755650" y="6432550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261</xdr:row>
      <xdr:rowOff>0</xdr:rowOff>
    </xdr:from>
    <xdr:to>
      <xdr:col>1</xdr:col>
      <xdr:colOff>952500</xdr:colOff>
      <xdr:row>262</xdr:row>
      <xdr:rowOff>19050</xdr:rowOff>
    </xdr:to>
    <xdr:sp macro="" textlink="">
      <xdr:nvSpPr>
        <xdr:cNvPr id="399586" name="Text Box 50">
          <a:extLst>
            <a:ext uri="{FF2B5EF4-FFF2-40B4-BE49-F238E27FC236}">
              <a16:creationId xmlns:a16="http://schemas.microsoft.com/office/drawing/2014/main" id="{572F6A6A-A7C3-6294-B698-3346473E10BA}"/>
            </a:ext>
          </a:extLst>
        </xdr:cNvPr>
        <xdr:cNvSpPr txBox="1">
          <a:spLocks noChangeArrowheads="1"/>
        </xdr:cNvSpPr>
      </xdr:nvSpPr>
      <xdr:spPr bwMode="auto">
        <a:xfrm>
          <a:off x="965200" y="64325500"/>
          <a:ext cx="285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261</xdr:row>
      <xdr:rowOff>0</xdr:rowOff>
    </xdr:from>
    <xdr:to>
      <xdr:col>1</xdr:col>
      <xdr:colOff>615950</xdr:colOff>
      <xdr:row>262</xdr:row>
      <xdr:rowOff>19050</xdr:rowOff>
    </xdr:to>
    <xdr:sp macro="" textlink="">
      <xdr:nvSpPr>
        <xdr:cNvPr id="399587" name="Text Box 48">
          <a:extLst>
            <a:ext uri="{FF2B5EF4-FFF2-40B4-BE49-F238E27FC236}">
              <a16:creationId xmlns:a16="http://schemas.microsoft.com/office/drawing/2014/main" id="{5063D33F-DFC5-7F65-E54D-81C6ADAFE031}"/>
            </a:ext>
          </a:extLst>
        </xdr:cNvPr>
        <xdr:cNvSpPr txBox="1">
          <a:spLocks noChangeArrowheads="1"/>
        </xdr:cNvSpPr>
      </xdr:nvSpPr>
      <xdr:spPr bwMode="auto">
        <a:xfrm>
          <a:off x="755650" y="6432550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261</xdr:row>
      <xdr:rowOff>0</xdr:rowOff>
    </xdr:from>
    <xdr:to>
      <xdr:col>1</xdr:col>
      <xdr:colOff>952500</xdr:colOff>
      <xdr:row>262</xdr:row>
      <xdr:rowOff>19050</xdr:rowOff>
    </xdr:to>
    <xdr:sp macro="" textlink="">
      <xdr:nvSpPr>
        <xdr:cNvPr id="399588" name="Text Box 50">
          <a:extLst>
            <a:ext uri="{FF2B5EF4-FFF2-40B4-BE49-F238E27FC236}">
              <a16:creationId xmlns:a16="http://schemas.microsoft.com/office/drawing/2014/main" id="{43B85E67-AD23-14AC-8B81-74A21ADD375B}"/>
            </a:ext>
          </a:extLst>
        </xdr:cNvPr>
        <xdr:cNvSpPr txBox="1">
          <a:spLocks noChangeArrowheads="1"/>
        </xdr:cNvSpPr>
      </xdr:nvSpPr>
      <xdr:spPr bwMode="auto">
        <a:xfrm>
          <a:off x="965200" y="64325500"/>
          <a:ext cx="285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321</xdr:row>
      <xdr:rowOff>0</xdr:rowOff>
    </xdr:from>
    <xdr:to>
      <xdr:col>1</xdr:col>
      <xdr:colOff>419100</xdr:colOff>
      <xdr:row>322</xdr:row>
      <xdr:rowOff>19050</xdr:rowOff>
    </xdr:to>
    <xdr:sp macro="" textlink="">
      <xdr:nvSpPr>
        <xdr:cNvPr id="399589" name="Text Box 47">
          <a:extLst>
            <a:ext uri="{FF2B5EF4-FFF2-40B4-BE49-F238E27FC236}">
              <a16:creationId xmlns:a16="http://schemas.microsoft.com/office/drawing/2014/main" id="{0D07D1EB-8337-086D-CDD8-315EE41B62F5}"/>
            </a:ext>
          </a:extLst>
        </xdr:cNvPr>
        <xdr:cNvSpPr txBox="1">
          <a:spLocks noChangeArrowheads="1"/>
        </xdr:cNvSpPr>
      </xdr:nvSpPr>
      <xdr:spPr bwMode="auto">
        <a:xfrm>
          <a:off x="527050" y="79584550"/>
          <a:ext cx="1905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321</xdr:row>
      <xdr:rowOff>0</xdr:rowOff>
    </xdr:from>
    <xdr:to>
      <xdr:col>1</xdr:col>
      <xdr:colOff>615950</xdr:colOff>
      <xdr:row>322</xdr:row>
      <xdr:rowOff>19050</xdr:rowOff>
    </xdr:to>
    <xdr:sp macro="" textlink="">
      <xdr:nvSpPr>
        <xdr:cNvPr id="399590" name="Text Box 48">
          <a:extLst>
            <a:ext uri="{FF2B5EF4-FFF2-40B4-BE49-F238E27FC236}">
              <a16:creationId xmlns:a16="http://schemas.microsoft.com/office/drawing/2014/main" id="{1CB33B6A-8387-A52C-14B3-8F76285672E1}"/>
            </a:ext>
          </a:extLst>
        </xdr:cNvPr>
        <xdr:cNvSpPr txBox="1">
          <a:spLocks noChangeArrowheads="1"/>
        </xdr:cNvSpPr>
      </xdr:nvSpPr>
      <xdr:spPr bwMode="auto">
        <a:xfrm>
          <a:off x="755650" y="7958455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321</xdr:row>
      <xdr:rowOff>0</xdr:rowOff>
    </xdr:from>
    <xdr:to>
      <xdr:col>1</xdr:col>
      <xdr:colOff>952500</xdr:colOff>
      <xdr:row>322</xdr:row>
      <xdr:rowOff>19050</xdr:rowOff>
    </xdr:to>
    <xdr:sp macro="" textlink="">
      <xdr:nvSpPr>
        <xdr:cNvPr id="399591" name="Text Box 50">
          <a:extLst>
            <a:ext uri="{FF2B5EF4-FFF2-40B4-BE49-F238E27FC236}">
              <a16:creationId xmlns:a16="http://schemas.microsoft.com/office/drawing/2014/main" id="{A1269EA4-E7DE-224A-2042-2A600B60B603}"/>
            </a:ext>
          </a:extLst>
        </xdr:cNvPr>
        <xdr:cNvSpPr txBox="1">
          <a:spLocks noChangeArrowheads="1"/>
        </xdr:cNvSpPr>
      </xdr:nvSpPr>
      <xdr:spPr bwMode="auto">
        <a:xfrm>
          <a:off x="965200" y="79584550"/>
          <a:ext cx="285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321</xdr:row>
      <xdr:rowOff>0</xdr:rowOff>
    </xdr:from>
    <xdr:to>
      <xdr:col>1</xdr:col>
      <xdr:colOff>419100</xdr:colOff>
      <xdr:row>322</xdr:row>
      <xdr:rowOff>19050</xdr:rowOff>
    </xdr:to>
    <xdr:sp macro="" textlink="">
      <xdr:nvSpPr>
        <xdr:cNvPr id="399592" name="Text Box 47">
          <a:extLst>
            <a:ext uri="{FF2B5EF4-FFF2-40B4-BE49-F238E27FC236}">
              <a16:creationId xmlns:a16="http://schemas.microsoft.com/office/drawing/2014/main" id="{513CC507-117D-8A57-4825-01B19EC175BF}"/>
            </a:ext>
          </a:extLst>
        </xdr:cNvPr>
        <xdr:cNvSpPr txBox="1">
          <a:spLocks noChangeArrowheads="1"/>
        </xdr:cNvSpPr>
      </xdr:nvSpPr>
      <xdr:spPr bwMode="auto">
        <a:xfrm>
          <a:off x="527050" y="79584550"/>
          <a:ext cx="19050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321</xdr:row>
      <xdr:rowOff>0</xdr:rowOff>
    </xdr:from>
    <xdr:to>
      <xdr:col>1</xdr:col>
      <xdr:colOff>615950</xdr:colOff>
      <xdr:row>322</xdr:row>
      <xdr:rowOff>19050</xdr:rowOff>
    </xdr:to>
    <xdr:sp macro="" textlink="">
      <xdr:nvSpPr>
        <xdr:cNvPr id="399593" name="Text Box 48">
          <a:extLst>
            <a:ext uri="{FF2B5EF4-FFF2-40B4-BE49-F238E27FC236}">
              <a16:creationId xmlns:a16="http://schemas.microsoft.com/office/drawing/2014/main" id="{5A572B85-16FC-F797-8DA9-727B60564536}"/>
            </a:ext>
          </a:extLst>
        </xdr:cNvPr>
        <xdr:cNvSpPr txBox="1">
          <a:spLocks noChangeArrowheads="1"/>
        </xdr:cNvSpPr>
      </xdr:nvSpPr>
      <xdr:spPr bwMode="auto">
        <a:xfrm>
          <a:off x="755650" y="7958455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385</xdr:row>
      <xdr:rowOff>0</xdr:rowOff>
    </xdr:from>
    <xdr:to>
      <xdr:col>1</xdr:col>
      <xdr:colOff>615950</xdr:colOff>
      <xdr:row>386</xdr:row>
      <xdr:rowOff>19050</xdr:rowOff>
    </xdr:to>
    <xdr:sp macro="" textlink="">
      <xdr:nvSpPr>
        <xdr:cNvPr id="399594" name="Text Box 48">
          <a:extLst>
            <a:ext uri="{FF2B5EF4-FFF2-40B4-BE49-F238E27FC236}">
              <a16:creationId xmlns:a16="http://schemas.microsoft.com/office/drawing/2014/main" id="{48211179-A50E-B197-6C04-D05D589CBBE2}"/>
            </a:ext>
          </a:extLst>
        </xdr:cNvPr>
        <xdr:cNvSpPr txBox="1">
          <a:spLocks noChangeArrowheads="1"/>
        </xdr:cNvSpPr>
      </xdr:nvSpPr>
      <xdr:spPr bwMode="auto">
        <a:xfrm>
          <a:off x="755650" y="9551670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385</xdr:row>
      <xdr:rowOff>0</xdr:rowOff>
    </xdr:from>
    <xdr:to>
      <xdr:col>1</xdr:col>
      <xdr:colOff>952500</xdr:colOff>
      <xdr:row>386</xdr:row>
      <xdr:rowOff>19050</xdr:rowOff>
    </xdr:to>
    <xdr:sp macro="" textlink="">
      <xdr:nvSpPr>
        <xdr:cNvPr id="399595" name="Text Box 50">
          <a:extLst>
            <a:ext uri="{FF2B5EF4-FFF2-40B4-BE49-F238E27FC236}">
              <a16:creationId xmlns:a16="http://schemas.microsoft.com/office/drawing/2014/main" id="{23A8AC64-4B2E-E18C-3C05-8B9ADEC862BD}"/>
            </a:ext>
          </a:extLst>
        </xdr:cNvPr>
        <xdr:cNvSpPr txBox="1">
          <a:spLocks noChangeArrowheads="1"/>
        </xdr:cNvSpPr>
      </xdr:nvSpPr>
      <xdr:spPr bwMode="auto">
        <a:xfrm>
          <a:off x="965200" y="95516700"/>
          <a:ext cx="285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457200</xdr:colOff>
      <xdr:row>385</xdr:row>
      <xdr:rowOff>0</xdr:rowOff>
    </xdr:from>
    <xdr:to>
      <xdr:col>1</xdr:col>
      <xdr:colOff>615950</xdr:colOff>
      <xdr:row>386</xdr:row>
      <xdr:rowOff>19050</xdr:rowOff>
    </xdr:to>
    <xdr:sp macro="" textlink="">
      <xdr:nvSpPr>
        <xdr:cNvPr id="399596" name="Text Box 48">
          <a:extLst>
            <a:ext uri="{FF2B5EF4-FFF2-40B4-BE49-F238E27FC236}">
              <a16:creationId xmlns:a16="http://schemas.microsoft.com/office/drawing/2014/main" id="{5A3CAC30-9A22-F040-4C00-7464E4CC1236}"/>
            </a:ext>
          </a:extLst>
        </xdr:cNvPr>
        <xdr:cNvSpPr txBox="1">
          <a:spLocks noChangeArrowheads="1"/>
        </xdr:cNvSpPr>
      </xdr:nvSpPr>
      <xdr:spPr bwMode="auto">
        <a:xfrm>
          <a:off x="755650" y="95516700"/>
          <a:ext cx="158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666750</xdr:colOff>
      <xdr:row>385</xdr:row>
      <xdr:rowOff>0</xdr:rowOff>
    </xdr:from>
    <xdr:to>
      <xdr:col>1</xdr:col>
      <xdr:colOff>952500</xdr:colOff>
      <xdr:row>386</xdr:row>
      <xdr:rowOff>19050</xdr:rowOff>
    </xdr:to>
    <xdr:sp macro="" textlink="">
      <xdr:nvSpPr>
        <xdr:cNvPr id="399597" name="Text Box 50">
          <a:extLst>
            <a:ext uri="{FF2B5EF4-FFF2-40B4-BE49-F238E27FC236}">
              <a16:creationId xmlns:a16="http://schemas.microsoft.com/office/drawing/2014/main" id="{06CDE91F-CFAB-6429-C639-CBDEB50A8884}"/>
            </a:ext>
          </a:extLst>
        </xdr:cNvPr>
        <xdr:cNvSpPr txBox="1">
          <a:spLocks noChangeArrowheads="1"/>
        </xdr:cNvSpPr>
      </xdr:nvSpPr>
      <xdr:spPr bwMode="auto">
        <a:xfrm>
          <a:off x="965200" y="95516700"/>
          <a:ext cx="285750" cy="27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876300</xdr:colOff>
      <xdr:row>1245</xdr:row>
      <xdr:rowOff>0</xdr:rowOff>
    </xdr:from>
    <xdr:to>
      <xdr:col>1</xdr:col>
      <xdr:colOff>908050</xdr:colOff>
      <xdr:row>1245</xdr:row>
      <xdr:rowOff>222250</xdr:rowOff>
    </xdr:to>
    <xdr:sp macro="" textlink="">
      <xdr:nvSpPr>
        <xdr:cNvPr id="397878" name="Text Box 11">
          <a:extLst>
            <a:ext uri="{FF2B5EF4-FFF2-40B4-BE49-F238E27FC236}">
              <a16:creationId xmlns:a16="http://schemas.microsoft.com/office/drawing/2014/main" id="{503C49E2-BD4C-6B29-41D0-C108A4AA4F68}"/>
            </a:ext>
          </a:extLst>
        </xdr:cNvPr>
        <xdr:cNvSpPr txBox="1">
          <a:spLocks noChangeArrowheads="1"/>
        </xdr:cNvSpPr>
      </xdr:nvSpPr>
      <xdr:spPr bwMode="auto">
        <a:xfrm>
          <a:off x="1155700" y="286181800"/>
          <a:ext cx="3175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1245</xdr:row>
      <xdr:rowOff>0</xdr:rowOff>
    </xdr:from>
    <xdr:to>
      <xdr:col>1</xdr:col>
      <xdr:colOff>419100</xdr:colOff>
      <xdr:row>1246</xdr:row>
      <xdr:rowOff>50800</xdr:rowOff>
    </xdr:to>
    <xdr:sp macro="" textlink="">
      <xdr:nvSpPr>
        <xdr:cNvPr id="397879" name="Text Box 47">
          <a:extLst>
            <a:ext uri="{FF2B5EF4-FFF2-40B4-BE49-F238E27FC236}">
              <a16:creationId xmlns:a16="http://schemas.microsoft.com/office/drawing/2014/main" id="{F18AB9E3-765C-37DB-7BAF-8A748D3E03EE}"/>
            </a:ext>
          </a:extLst>
        </xdr:cNvPr>
        <xdr:cNvSpPr txBox="1">
          <a:spLocks noChangeArrowheads="1"/>
        </xdr:cNvSpPr>
      </xdr:nvSpPr>
      <xdr:spPr bwMode="auto">
        <a:xfrm>
          <a:off x="508000" y="286181800"/>
          <a:ext cx="1905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1245</xdr:row>
      <xdr:rowOff>0</xdr:rowOff>
    </xdr:from>
    <xdr:to>
      <xdr:col>10</xdr:col>
      <xdr:colOff>158750</xdr:colOff>
      <xdr:row>1246</xdr:row>
      <xdr:rowOff>19050</xdr:rowOff>
    </xdr:to>
    <xdr:sp macro="" textlink="">
      <xdr:nvSpPr>
        <xdr:cNvPr id="397880" name="Text Box 49">
          <a:extLst>
            <a:ext uri="{FF2B5EF4-FFF2-40B4-BE49-F238E27FC236}">
              <a16:creationId xmlns:a16="http://schemas.microsoft.com/office/drawing/2014/main" id="{48D7572B-2859-8ECA-7547-071503DD908B}"/>
            </a:ext>
          </a:extLst>
        </xdr:cNvPr>
        <xdr:cNvSpPr txBox="1">
          <a:spLocks noChangeArrowheads="1"/>
        </xdr:cNvSpPr>
      </xdr:nvSpPr>
      <xdr:spPr bwMode="auto">
        <a:xfrm>
          <a:off x="6889750" y="286181800"/>
          <a:ext cx="15875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450850</xdr:colOff>
      <xdr:row>1245</xdr:row>
      <xdr:rowOff>0</xdr:rowOff>
    </xdr:from>
    <xdr:to>
      <xdr:col>1</xdr:col>
      <xdr:colOff>622300</xdr:colOff>
      <xdr:row>1245</xdr:row>
      <xdr:rowOff>171450</xdr:rowOff>
    </xdr:to>
    <xdr:sp macro="" textlink="">
      <xdr:nvSpPr>
        <xdr:cNvPr id="397881" name="Text Box 8">
          <a:extLst>
            <a:ext uri="{FF2B5EF4-FFF2-40B4-BE49-F238E27FC236}">
              <a16:creationId xmlns:a16="http://schemas.microsoft.com/office/drawing/2014/main" id="{39BE0F94-A273-DF3D-F6F3-39A43793B827}"/>
            </a:ext>
          </a:extLst>
        </xdr:cNvPr>
        <xdr:cNvSpPr txBox="1">
          <a:spLocks noChangeArrowheads="1"/>
        </xdr:cNvSpPr>
      </xdr:nvSpPr>
      <xdr:spPr bwMode="auto">
        <a:xfrm>
          <a:off x="730250" y="286181800"/>
          <a:ext cx="1714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660400</xdr:colOff>
      <xdr:row>1245</xdr:row>
      <xdr:rowOff>0</xdr:rowOff>
    </xdr:from>
    <xdr:to>
      <xdr:col>1</xdr:col>
      <xdr:colOff>660400</xdr:colOff>
      <xdr:row>1245</xdr:row>
      <xdr:rowOff>171450</xdr:rowOff>
    </xdr:to>
    <xdr:sp macro="" textlink="">
      <xdr:nvSpPr>
        <xdr:cNvPr id="397882" name="Text Box 9">
          <a:extLst>
            <a:ext uri="{FF2B5EF4-FFF2-40B4-BE49-F238E27FC236}">
              <a16:creationId xmlns:a16="http://schemas.microsoft.com/office/drawing/2014/main" id="{A8ADBE26-54A9-68E5-C098-436059D82B54}"/>
            </a:ext>
          </a:extLst>
        </xdr:cNvPr>
        <xdr:cNvSpPr txBox="1">
          <a:spLocks noChangeArrowheads="1"/>
        </xdr:cNvSpPr>
      </xdr:nvSpPr>
      <xdr:spPr bwMode="auto">
        <a:xfrm>
          <a:off x="939800" y="286181800"/>
          <a:ext cx="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450850</xdr:colOff>
      <xdr:row>1245</xdr:row>
      <xdr:rowOff>0</xdr:rowOff>
    </xdr:from>
    <xdr:to>
      <xdr:col>7</xdr:col>
      <xdr:colOff>69850</xdr:colOff>
      <xdr:row>1245</xdr:row>
      <xdr:rowOff>171450</xdr:rowOff>
    </xdr:to>
    <xdr:sp macro="" textlink="">
      <xdr:nvSpPr>
        <xdr:cNvPr id="397883" name="Text Box 8">
          <a:extLst>
            <a:ext uri="{FF2B5EF4-FFF2-40B4-BE49-F238E27FC236}">
              <a16:creationId xmlns:a16="http://schemas.microsoft.com/office/drawing/2014/main" id="{8155C718-171A-5EAE-9763-C0B652C42268}"/>
            </a:ext>
          </a:extLst>
        </xdr:cNvPr>
        <xdr:cNvSpPr txBox="1">
          <a:spLocks noChangeArrowheads="1"/>
        </xdr:cNvSpPr>
      </xdr:nvSpPr>
      <xdr:spPr bwMode="auto">
        <a:xfrm>
          <a:off x="4552950" y="286181800"/>
          <a:ext cx="1587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660400</xdr:colOff>
      <xdr:row>1245</xdr:row>
      <xdr:rowOff>0</xdr:rowOff>
    </xdr:from>
    <xdr:to>
      <xdr:col>7</xdr:col>
      <xdr:colOff>50800</xdr:colOff>
      <xdr:row>1245</xdr:row>
      <xdr:rowOff>171450</xdr:rowOff>
    </xdr:to>
    <xdr:sp macro="" textlink="">
      <xdr:nvSpPr>
        <xdr:cNvPr id="397884" name="Text Box 9">
          <a:extLst>
            <a:ext uri="{FF2B5EF4-FFF2-40B4-BE49-F238E27FC236}">
              <a16:creationId xmlns:a16="http://schemas.microsoft.com/office/drawing/2014/main" id="{0B094139-A437-A007-7134-DEAA327D8124}"/>
            </a:ext>
          </a:extLst>
        </xdr:cNvPr>
        <xdr:cNvSpPr txBox="1">
          <a:spLocks noChangeArrowheads="1"/>
        </xdr:cNvSpPr>
      </xdr:nvSpPr>
      <xdr:spPr bwMode="auto">
        <a:xfrm>
          <a:off x="4641850" y="286181800"/>
          <a:ext cx="508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450850</xdr:colOff>
      <xdr:row>1245</xdr:row>
      <xdr:rowOff>0</xdr:rowOff>
    </xdr:from>
    <xdr:to>
      <xdr:col>7</xdr:col>
      <xdr:colOff>69850</xdr:colOff>
      <xdr:row>1245</xdr:row>
      <xdr:rowOff>171450</xdr:rowOff>
    </xdr:to>
    <xdr:sp macro="" textlink="">
      <xdr:nvSpPr>
        <xdr:cNvPr id="397885" name="Text Box 8">
          <a:extLst>
            <a:ext uri="{FF2B5EF4-FFF2-40B4-BE49-F238E27FC236}">
              <a16:creationId xmlns:a16="http://schemas.microsoft.com/office/drawing/2014/main" id="{273C053E-E677-7013-C01F-EDF34FB71F8F}"/>
            </a:ext>
          </a:extLst>
        </xdr:cNvPr>
        <xdr:cNvSpPr txBox="1">
          <a:spLocks noChangeArrowheads="1"/>
        </xdr:cNvSpPr>
      </xdr:nvSpPr>
      <xdr:spPr bwMode="auto">
        <a:xfrm>
          <a:off x="4552950" y="286181800"/>
          <a:ext cx="15875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660400</xdr:colOff>
      <xdr:row>1245</xdr:row>
      <xdr:rowOff>0</xdr:rowOff>
    </xdr:from>
    <xdr:to>
      <xdr:col>7</xdr:col>
      <xdr:colOff>50800</xdr:colOff>
      <xdr:row>1245</xdr:row>
      <xdr:rowOff>171450</xdr:rowOff>
    </xdr:to>
    <xdr:sp macro="" textlink="">
      <xdr:nvSpPr>
        <xdr:cNvPr id="397886" name="Text Box 9">
          <a:extLst>
            <a:ext uri="{FF2B5EF4-FFF2-40B4-BE49-F238E27FC236}">
              <a16:creationId xmlns:a16="http://schemas.microsoft.com/office/drawing/2014/main" id="{35034F1E-8AD1-53E2-71BC-441352F32BCC}"/>
            </a:ext>
          </a:extLst>
        </xdr:cNvPr>
        <xdr:cNvSpPr txBox="1">
          <a:spLocks noChangeArrowheads="1"/>
        </xdr:cNvSpPr>
      </xdr:nvSpPr>
      <xdr:spPr bwMode="auto">
        <a:xfrm>
          <a:off x="4641850" y="286181800"/>
          <a:ext cx="508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222250</xdr:colOff>
      <xdr:row>1245</xdr:row>
      <xdr:rowOff>0</xdr:rowOff>
    </xdr:from>
    <xdr:to>
      <xdr:col>1</xdr:col>
      <xdr:colOff>412750</xdr:colOff>
      <xdr:row>1245</xdr:row>
      <xdr:rowOff>165100</xdr:rowOff>
    </xdr:to>
    <xdr:sp macro="" textlink="">
      <xdr:nvSpPr>
        <xdr:cNvPr id="397887" name="Text Box 47">
          <a:extLst>
            <a:ext uri="{FF2B5EF4-FFF2-40B4-BE49-F238E27FC236}">
              <a16:creationId xmlns:a16="http://schemas.microsoft.com/office/drawing/2014/main" id="{07D999BE-1B2F-25E3-7B28-43447EBF2E7B}"/>
            </a:ext>
          </a:extLst>
        </xdr:cNvPr>
        <xdr:cNvSpPr txBox="1">
          <a:spLocks noChangeArrowheads="1"/>
        </xdr:cNvSpPr>
      </xdr:nvSpPr>
      <xdr:spPr bwMode="auto">
        <a:xfrm>
          <a:off x="501650" y="286181800"/>
          <a:ext cx="1905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450850</xdr:colOff>
      <xdr:row>1245</xdr:row>
      <xdr:rowOff>0</xdr:rowOff>
    </xdr:from>
    <xdr:to>
      <xdr:col>1</xdr:col>
      <xdr:colOff>622300</xdr:colOff>
      <xdr:row>1245</xdr:row>
      <xdr:rowOff>165100</xdr:rowOff>
    </xdr:to>
    <xdr:sp macro="" textlink="">
      <xdr:nvSpPr>
        <xdr:cNvPr id="397888" name="Text Box 48">
          <a:extLst>
            <a:ext uri="{FF2B5EF4-FFF2-40B4-BE49-F238E27FC236}">
              <a16:creationId xmlns:a16="http://schemas.microsoft.com/office/drawing/2014/main" id="{D081027C-22ED-B45F-389A-23312B104CF9}"/>
            </a:ext>
          </a:extLst>
        </xdr:cNvPr>
        <xdr:cNvSpPr txBox="1">
          <a:spLocks noChangeArrowheads="1"/>
        </xdr:cNvSpPr>
      </xdr:nvSpPr>
      <xdr:spPr bwMode="auto">
        <a:xfrm>
          <a:off x="730250" y="286181800"/>
          <a:ext cx="17145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222250</xdr:colOff>
      <xdr:row>1245</xdr:row>
      <xdr:rowOff>0</xdr:rowOff>
    </xdr:from>
    <xdr:to>
      <xdr:col>1</xdr:col>
      <xdr:colOff>412750</xdr:colOff>
      <xdr:row>1245</xdr:row>
      <xdr:rowOff>165100</xdr:rowOff>
    </xdr:to>
    <xdr:sp macro="" textlink="">
      <xdr:nvSpPr>
        <xdr:cNvPr id="397889" name="Text Box 47">
          <a:extLst>
            <a:ext uri="{FF2B5EF4-FFF2-40B4-BE49-F238E27FC236}">
              <a16:creationId xmlns:a16="http://schemas.microsoft.com/office/drawing/2014/main" id="{3883B38D-E832-BC21-3CB7-6C82C4DF3FFE}"/>
            </a:ext>
          </a:extLst>
        </xdr:cNvPr>
        <xdr:cNvSpPr txBox="1">
          <a:spLocks noChangeArrowheads="1"/>
        </xdr:cNvSpPr>
      </xdr:nvSpPr>
      <xdr:spPr bwMode="auto">
        <a:xfrm>
          <a:off x="501650" y="286181800"/>
          <a:ext cx="1905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450850</xdr:colOff>
      <xdr:row>1245</xdr:row>
      <xdr:rowOff>0</xdr:rowOff>
    </xdr:from>
    <xdr:to>
      <xdr:col>1</xdr:col>
      <xdr:colOff>622300</xdr:colOff>
      <xdr:row>1245</xdr:row>
      <xdr:rowOff>165100</xdr:rowOff>
    </xdr:to>
    <xdr:sp macro="" textlink="">
      <xdr:nvSpPr>
        <xdr:cNvPr id="397890" name="Text Box 48">
          <a:extLst>
            <a:ext uri="{FF2B5EF4-FFF2-40B4-BE49-F238E27FC236}">
              <a16:creationId xmlns:a16="http://schemas.microsoft.com/office/drawing/2014/main" id="{06772DD8-7317-DE66-8236-A019416BABCC}"/>
            </a:ext>
          </a:extLst>
        </xdr:cNvPr>
        <xdr:cNvSpPr txBox="1">
          <a:spLocks noChangeArrowheads="1"/>
        </xdr:cNvSpPr>
      </xdr:nvSpPr>
      <xdr:spPr bwMode="auto">
        <a:xfrm>
          <a:off x="730250" y="286181800"/>
          <a:ext cx="17145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660400</xdr:colOff>
      <xdr:row>1245</xdr:row>
      <xdr:rowOff>0</xdr:rowOff>
    </xdr:from>
    <xdr:to>
      <xdr:col>1</xdr:col>
      <xdr:colOff>660400</xdr:colOff>
      <xdr:row>1245</xdr:row>
      <xdr:rowOff>184150</xdr:rowOff>
    </xdr:to>
    <xdr:sp macro="" textlink="">
      <xdr:nvSpPr>
        <xdr:cNvPr id="397891" name="Text Box 50">
          <a:extLst>
            <a:ext uri="{FF2B5EF4-FFF2-40B4-BE49-F238E27FC236}">
              <a16:creationId xmlns:a16="http://schemas.microsoft.com/office/drawing/2014/main" id="{7B2F04DA-6EB1-B1E3-9226-25BCB5949E2E}"/>
            </a:ext>
          </a:extLst>
        </xdr:cNvPr>
        <xdr:cNvSpPr txBox="1">
          <a:spLocks noChangeArrowheads="1"/>
        </xdr:cNvSpPr>
      </xdr:nvSpPr>
      <xdr:spPr bwMode="auto">
        <a:xfrm>
          <a:off x="939800" y="28618180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660400</xdr:colOff>
      <xdr:row>1245</xdr:row>
      <xdr:rowOff>0</xdr:rowOff>
    </xdr:from>
    <xdr:to>
      <xdr:col>1</xdr:col>
      <xdr:colOff>660400</xdr:colOff>
      <xdr:row>1245</xdr:row>
      <xdr:rowOff>184150</xdr:rowOff>
    </xdr:to>
    <xdr:sp macro="" textlink="">
      <xdr:nvSpPr>
        <xdr:cNvPr id="397892" name="Text Box 50">
          <a:extLst>
            <a:ext uri="{FF2B5EF4-FFF2-40B4-BE49-F238E27FC236}">
              <a16:creationId xmlns:a16="http://schemas.microsoft.com/office/drawing/2014/main" id="{B1131162-D0CB-09A3-7111-31302E8E70B3}"/>
            </a:ext>
          </a:extLst>
        </xdr:cNvPr>
        <xdr:cNvSpPr txBox="1">
          <a:spLocks noChangeArrowheads="1"/>
        </xdr:cNvSpPr>
      </xdr:nvSpPr>
      <xdr:spPr bwMode="auto">
        <a:xfrm>
          <a:off x="939800" y="28618180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450850</xdr:colOff>
      <xdr:row>1245</xdr:row>
      <xdr:rowOff>0</xdr:rowOff>
    </xdr:from>
    <xdr:to>
      <xdr:col>1</xdr:col>
      <xdr:colOff>622300</xdr:colOff>
      <xdr:row>1245</xdr:row>
      <xdr:rowOff>165100</xdr:rowOff>
    </xdr:to>
    <xdr:sp macro="" textlink="">
      <xdr:nvSpPr>
        <xdr:cNvPr id="397893" name="Text Box 8">
          <a:extLst>
            <a:ext uri="{FF2B5EF4-FFF2-40B4-BE49-F238E27FC236}">
              <a16:creationId xmlns:a16="http://schemas.microsoft.com/office/drawing/2014/main" id="{8312D3CA-7658-9373-53BC-C10BF29591E6}"/>
            </a:ext>
          </a:extLst>
        </xdr:cNvPr>
        <xdr:cNvSpPr txBox="1">
          <a:spLocks noChangeArrowheads="1"/>
        </xdr:cNvSpPr>
      </xdr:nvSpPr>
      <xdr:spPr bwMode="auto">
        <a:xfrm>
          <a:off x="730250" y="286181800"/>
          <a:ext cx="17145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660400</xdr:colOff>
      <xdr:row>1245</xdr:row>
      <xdr:rowOff>0</xdr:rowOff>
    </xdr:from>
    <xdr:to>
      <xdr:col>1</xdr:col>
      <xdr:colOff>660400</xdr:colOff>
      <xdr:row>1245</xdr:row>
      <xdr:rowOff>165100</xdr:rowOff>
    </xdr:to>
    <xdr:sp macro="" textlink="">
      <xdr:nvSpPr>
        <xdr:cNvPr id="397894" name="Text Box 9">
          <a:extLst>
            <a:ext uri="{FF2B5EF4-FFF2-40B4-BE49-F238E27FC236}">
              <a16:creationId xmlns:a16="http://schemas.microsoft.com/office/drawing/2014/main" id="{782183B2-F93E-CE28-8BDC-728C5B66FAFE}"/>
            </a:ext>
          </a:extLst>
        </xdr:cNvPr>
        <xdr:cNvSpPr txBox="1">
          <a:spLocks noChangeArrowheads="1"/>
        </xdr:cNvSpPr>
      </xdr:nvSpPr>
      <xdr:spPr bwMode="auto">
        <a:xfrm>
          <a:off x="939800" y="286181800"/>
          <a:ext cx="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222250</xdr:colOff>
      <xdr:row>1245</xdr:row>
      <xdr:rowOff>0</xdr:rowOff>
    </xdr:from>
    <xdr:to>
      <xdr:col>1</xdr:col>
      <xdr:colOff>412750</xdr:colOff>
      <xdr:row>1245</xdr:row>
      <xdr:rowOff>165100</xdr:rowOff>
    </xdr:to>
    <xdr:sp macro="" textlink="">
      <xdr:nvSpPr>
        <xdr:cNvPr id="397895" name="Text Box 47">
          <a:extLst>
            <a:ext uri="{FF2B5EF4-FFF2-40B4-BE49-F238E27FC236}">
              <a16:creationId xmlns:a16="http://schemas.microsoft.com/office/drawing/2014/main" id="{60CBFDCC-033B-3613-20F3-A0BECC38C581}"/>
            </a:ext>
          </a:extLst>
        </xdr:cNvPr>
        <xdr:cNvSpPr txBox="1">
          <a:spLocks noChangeArrowheads="1"/>
        </xdr:cNvSpPr>
      </xdr:nvSpPr>
      <xdr:spPr bwMode="auto">
        <a:xfrm>
          <a:off x="501650" y="286181800"/>
          <a:ext cx="1905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450850</xdr:colOff>
      <xdr:row>1245</xdr:row>
      <xdr:rowOff>0</xdr:rowOff>
    </xdr:from>
    <xdr:to>
      <xdr:col>1</xdr:col>
      <xdr:colOff>622300</xdr:colOff>
      <xdr:row>1245</xdr:row>
      <xdr:rowOff>165100</xdr:rowOff>
    </xdr:to>
    <xdr:sp macro="" textlink="">
      <xdr:nvSpPr>
        <xdr:cNvPr id="397896" name="Text Box 48">
          <a:extLst>
            <a:ext uri="{FF2B5EF4-FFF2-40B4-BE49-F238E27FC236}">
              <a16:creationId xmlns:a16="http://schemas.microsoft.com/office/drawing/2014/main" id="{AC95EEA5-BBA4-DC88-9583-97027B441BAD}"/>
            </a:ext>
          </a:extLst>
        </xdr:cNvPr>
        <xdr:cNvSpPr txBox="1">
          <a:spLocks noChangeArrowheads="1"/>
        </xdr:cNvSpPr>
      </xdr:nvSpPr>
      <xdr:spPr bwMode="auto">
        <a:xfrm>
          <a:off x="730250" y="286181800"/>
          <a:ext cx="17145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222250</xdr:colOff>
      <xdr:row>1245</xdr:row>
      <xdr:rowOff>0</xdr:rowOff>
    </xdr:from>
    <xdr:to>
      <xdr:col>1</xdr:col>
      <xdr:colOff>412750</xdr:colOff>
      <xdr:row>1245</xdr:row>
      <xdr:rowOff>165100</xdr:rowOff>
    </xdr:to>
    <xdr:sp macro="" textlink="">
      <xdr:nvSpPr>
        <xdr:cNvPr id="397897" name="Text Box 47">
          <a:extLst>
            <a:ext uri="{FF2B5EF4-FFF2-40B4-BE49-F238E27FC236}">
              <a16:creationId xmlns:a16="http://schemas.microsoft.com/office/drawing/2014/main" id="{D2B11F88-808E-26CF-6AD1-2F0A4D81E7B6}"/>
            </a:ext>
          </a:extLst>
        </xdr:cNvPr>
        <xdr:cNvSpPr txBox="1">
          <a:spLocks noChangeArrowheads="1"/>
        </xdr:cNvSpPr>
      </xdr:nvSpPr>
      <xdr:spPr bwMode="auto">
        <a:xfrm>
          <a:off x="501650" y="286181800"/>
          <a:ext cx="19050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450850</xdr:colOff>
      <xdr:row>1245</xdr:row>
      <xdr:rowOff>0</xdr:rowOff>
    </xdr:from>
    <xdr:to>
      <xdr:col>1</xdr:col>
      <xdr:colOff>622300</xdr:colOff>
      <xdr:row>1245</xdr:row>
      <xdr:rowOff>165100</xdr:rowOff>
    </xdr:to>
    <xdr:sp macro="" textlink="">
      <xdr:nvSpPr>
        <xdr:cNvPr id="397898" name="Text Box 48">
          <a:extLst>
            <a:ext uri="{FF2B5EF4-FFF2-40B4-BE49-F238E27FC236}">
              <a16:creationId xmlns:a16="http://schemas.microsoft.com/office/drawing/2014/main" id="{3842B2A5-43E8-A00F-CD37-D648961C7B1E}"/>
            </a:ext>
          </a:extLst>
        </xdr:cNvPr>
        <xdr:cNvSpPr txBox="1">
          <a:spLocks noChangeArrowheads="1"/>
        </xdr:cNvSpPr>
      </xdr:nvSpPr>
      <xdr:spPr bwMode="auto">
        <a:xfrm>
          <a:off x="730250" y="286181800"/>
          <a:ext cx="171450" cy="165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660400</xdr:colOff>
      <xdr:row>1245</xdr:row>
      <xdr:rowOff>0</xdr:rowOff>
    </xdr:from>
    <xdr:to>
      <xdr:col>1</xdr:col>
      <xdr:colOff>660400</xdr:colOff>
      <xdr:row>1245</xdr:row>
      <xdr:rowOff>184150</xdr:rowOff>
    </xdr:to>
    <xdr:sp macro="" textlink="">
      <xdr:nvSpPr>
        <xdr:cNvPr id="397899" name="Text Box 50">
          <a:extLst>
            <a:ext uri="{FF2B5EF4-FFF2-40B4-BE49-F238E27FC236}">
              <a16:creationId xmlns:a16="http://schemas.microsoft.com/office/drawing/2014/main" id="{353A3364-98B7-D64C-2CD5-BEB88634A31E}"/>
            </a:ext>
          </a:extLst>
        </xdr:cNvPr>
        <xdr:cNvSpPr txBox="1">
          <a:spLocks noChangeArrowheads="1"/>
        </xdr:cNvSpPr>
      </xdr:nvSpPr>
      <xdr:spPr bwMode="auto">
        <a:xfrm>
          <a:off x="939800" y="28618180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660400</xdr:colOff>
      <xdr:row>1245</xdr:row>
      <xdr:rowOff>0</xdr:rowOff>
    </xdr:from>
    <xdr:to>
      <xdr:col>1</xdr:col>
      <xdr:colOff>660400</xdr:colOff>
      <xdr:row>1245</xdr:row>
      <xdr:rowOff>184150</xdr:rowOff>
    </xdr:to>
    <xdr:sp macro="" textlink="">
      <xdr:nvSpPr>
        <xdr:cNvPr id="397900" name="Text Box 50">
          <a:extLst>
            <a:ext uri="{FF2B5EF4-FFF2-40B4-BE49-F238E27FC236}">
              <a16:creationId xmlns:a16="http://schemas.microsoft.com/office/drawing/2014/main" id="{D0FC29CB-20E1-E7ED-F7BF-A83A15FE2C34}"/>
            </a:ext>
          </a:extLst>
        </xdr:cNvPr>
        <xdr:cNvSpPr txBox="1">
          <a:spLocks noChangeArrowheads="1"/>
        </xdr:cNvSpPr>
      </xdr:nvSpPr>
      <xdr:spPr bwMode="auto">
        <a:xfrm>
          <a:off x="939800" y="286181800"/>
          <a:ext cx="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228600</xdr:colOff>
      <xdr:row>1245</xdr:row>
      <xdr:rowOff>0</xdr:rowOff>
    </xdr:from>
    <xdr:to>
      <xdr:col>1</xdr:col>
      <xdr:colOff>419100</xdr:colOff>
      <xdr:row>1246</xdr:row>
      <xdr:rowOff>50800</xdr:rowOff>
    </xdr:to>
    <xdr:sp macro="" textlink="">
      <xdr:nvSpPr>
        <xdr:cNvPr id="397901" name="Text Box 47">
          <a:extLst>
            <a:ext uri="{FF2B5EF4-FFF2-40B4-BE49-F238E27FC236}">
              <a16:creationId xmlns:a16="http://schemas.microsoft.com/office/drawing/2014/main" id="{6B2D2551-C78A-36F2-1A33-32E12BBFA5DF}"/>
            </a:ext>
          </a:extLst>
        </xdr:cNvPr>
        <xdr:cNvSpPr txBox="1">
          <a:spLocks noChangeArrowheads="1"/>
        </xdr:cNvSpPr>
      </xdr:nvSpPr>
      <xdr:spPr bwMode="auto">
        <a:xfrm>
          <a:off x="508000" y="286181800"/>
          <a:ext cx="1905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1046A-E385-4C0F-9055-0CE95F60B15D}">
  <sheetPr>
    <tabColor rgb="FFFF0000"/>
  </sheetPr>
  <dimension ref="A1:F168"/>
  <sheetViews>
    <sheetView zoomScale="130" zoomScaleNormal="130" workbookViewId="0">
      <selection activeCell="B35" sqref="B35"/>
    </sheetView>
  </sheetViews>
  <sheetFormatPr defaultRowHeight="12.5"/>
  <cols>
    <col min="1" max="1" width="59" style="103" bestFit="1" customWidth="1"/>
    <col min="2" max="2" width="5.54296875" style="104" customWidth="1"/>
    <col min="3" max="3" width="15.81640625" style="103" customWidth="1"/>
    <col min="4" max="5" width="18.1796875" style="20" customWidth="1"/>
  </cols>
  <sheetData>
    <row r="1" spans="1:6" s="78" customFormat="1" ht="30" customHeight="1">
      <c r="A1" s="445" t="s">
        <v>26</v>
      </c>
      <c r="B1" s="445" t="s">
        <v>16</v>
      </c>
      <c r="C1" s="446" t="s">
        <v>18</v>
      </c>
      <c r="D1" s="82"/>
      <c r="E1" s="352"/>
      <c r="F1" s="265"/>
    </row>
    <row r="2" spans="1:6" s="78" customFormat="1" ht="30" customHeight="1">
      <c r="A2" s="16" t="s">
        <v>8</v>
      </c>
      <c r="B2" s="12" t="s">
        <v>9</v>
      </c>
      <c r="C2" s="351">
        <v>25000</v>
      </c>
      <c r="D2" s="82"/>
      <c r="E2" s="352"/>
      <c r="F2" s="265"/>
    </row>
    <row r="3" spans="1:6" s="78" customFormat="1" ht="30" customHeight="1">
      <c r="A3" s="16" t="s">
        <v>36</v>
      </c>
      <c r="B3" s="12" t="s">
        <v>10</v>
      </c>
      <c r="C3" s="351">
        <v>50000</v>
      </c>
      <c r="D3" s="127"/>
      <c r="E3" s="352"/>
      <c r="F3" s="265"/>
    </row>
    <row r="4" spans="1:6" s="78" customFormat="1" ht="30" customHeight="1">
      <c r="A4" s="16" t="s">
        <v>459</v>
      </c>
      <c r="B4" s="12" t="s">
        <v>10</v>
      </c>
      <c r="C4" s="351">
        <v>50000</v>
      </c>
      <c r="D4" s="127"/>
      <c r="E4" s="352"/>
      <c r="F4" s="265"/>
    </row>
    <row r="5" spans="1:6" s="78" customFormat="1" ht="30" customHeight="1">
      <c r="A5" s="16" t="s">
        <v>11</v>
      </c>
      <c r="B5" s="12" t="s">
        <v>2</v>
      </c>
      <c r="C5" s="351">
        <v>500</v>
      </c>
      <c r="D5" s="82"/>
      <c r="E5" s="352"/>
      <c r="F5" s="265"/>
    </row>
    <row r="6" spans="1:6" s="78" customFormat="1" ht="30" customHeight="1">
      <c r="A6" s="16" t="s">
        <v>112</v>
      </c>
      <c r="B6" s="12" t="s">
        <v>10</v>
      </c>
      <c r="C6" s="351">
        <v>130000</v>
      </c>
      <c r="D6" s="82"/>
      <c r="E6" s="352"/>
      <c r="F6" s="265"/>
    </row>
    <row r="7" spans="1:6" s="78" customFormat="1" ht="30" customHeight="1">
      <c r="A7" s="16" t="s">
        <v>207</v>
      </c>
      <c r="B7" s="12" t="s">
        <v>10</v>
      </c>
      <c r="C7" s="351">
        <v>220000</v>
      </c>
      <c r="D7" s="82"/>
      <c r="E7" s="352"/>
      <c r="F7" s="265"/>
    </row>
    <row r="8" spans="1:6" s="83" customFormat="1" ht="30" customHeight="1">
      <c r="A8" s="16" t="s">
        <v>45</v>
      </c>
      <c r="B8" s="12" t="s">
        <v>33</v>
      </c>
      <c r="C8" s="23">
        <v>20000</v>
      </c>
      <c r="D8" s="82"/>
      <c r="E8" s="352"/>
      <c r="F8" s="82"/>
    </row>
    <row r="9" spans="1:6" s="83" customFormat="1" ht="30" customHeight="1">
      <c r="A9" s="16" t="s">
        <v>472</v>
      </c>
      <c r="B9" s="12" t="s">
        <v>473</v>
      </c>
      <c r="C9" s="23">
        <v>25000</v>
      </c>
      <c r="D9" s="82"/>
      <c r="E9" s="352"/>
      <c r="F9" s="82"/>
    </row>
    <row r="10" spans="1:6" s="83" customFormat="1" ht="30" customHeight="1">
      <c r="A10" s="16" t="s">
        <v>474</v>
      </c>
      <c r="B10" s="12" t="s">
        <v>473</v>
      </c>
      <c r="C10" s="23">
        <v>7000</v>
      </c>
      <c r="D10" s="82"/>
      <c r="E10" s="352"/>
      <c r="F10" s="82"/>
    </row>
    <row r="11" spans="1:6" s="83" customFormat="1" ht="30" customHeight="1">
      <c r="A11" s="16" t="s">
        <v>488</v>
      </c>
      <c r="B11" s="12" t="s">
        <v>2</v>
      </c>
      <c r="C11" s="23">
        <f>(14+14+7)*250</f>
        <v>8750</v>
      </c>
      <c r="D11" s="82"/>
      <c r="E11" s="352"/>
      <c r="F11" s="82"/>
    </row>
    <row r="12" spans="1:6" s="83" customFormat="1" ht="30" customHeight="1">
      <c r="A12" s="16" t="s">
        <v>80</v>
      </c>
      <c r="B12" s="12" t="s">
        <v>13</v>
      </c>
      <c r="C12" s="23">
        <v>75000</v>
      </c>
      <c r="D12" s="82"/>
      <c r="E12" s="352"/>
      <c r="F12" s="82"/>
    </row>
    <row r="13" spans="1:6" s="83" customFormat="1" ht="30" customHeight="1">
      <c r="A13" s="24" t="s">
        <v>67</v>
      </c>
      <c r="B13" s="12" t="s">
        <v>14</v>
      </c>
      <c r="C13" s="23">
        <v>1500000</v>
      </c>
      <c r="D13" s="82"/>
      <c r="E13" s="352"/>
      <c r="F13" s="82"/>
    </row>
    <row r="14" spans="1:6" s="83" customFormat="1" ht="30" customHeight="1">
      <c r="A14" s="16" t="s">
        <v>489</v>
      </c>
      <c r="B14" s="12" t="s">
        <v>490</v>
      </c>
      <c r="C14" s="23">
        <v>10000</v>
      </c>
      <c r="D14" s="82"/>
      <c r="E14" s="352"/>
      <c r="F14" s="82"/>
    </row>
    <row r="15" spans="1:6" s="83" customFormat="1" ht="30" customHeight="1">
      <c r="A15" s="16" t="s">
        <v>47</v>
      </c>
      <c r="B15" s="12" t="s">
        <v>15</v>
      </c>
      <c r="C15" s="23">
        <f>12000/3.6</f>
        <v>3333</v>
      </c>
      <c r="D15" s="82"/>
      <c r="E15" s="352"/>
      <c r="F15" s="82"/>
    </row>
    <row r="16" spans="1:6" s="83" customFormat="1" ht="30" customHeight="1">
      <c r="A16" s="16" t="s">
        <v>39</v>
      </c>
      <c r="B16" s="12"/>
      <c r="C16" s="23"/>
      <c r="D16" s="82"/>
      <c r="E16" s="352"/>
      <c r="F16" s="82"/>
    </row>
    <row r="17" spans="1:6" s="83" customFormat="1" ht="30" customHeight="1">
      <c r="A17" s="36" t="s">
        <v>87</v>
      </c>
      <c r="B17" s="12" t="s">
        <v>14</v>
      </c>
      <c r="C17" s="23">
        <v>2800000</v>
      </c>
      <c r="D17" s="352"/>
      <c r="E17" s="352"/>
      <c r="F17" s="82"/>
    </row>
    <row r="18" spans="1:6" s="78" customFormat="1" ht="30" customHeight="1">
      <c r="A18" s="36" t="s">
        <v>55</v>
      </c>
      <c r="B18" s="12" t="s">
        <v>14</v>
      </c>
      <c r="C18" s="23">
        <v>2700000</v>
      </c>
      <c r="D18" s="352"/>
      <c r="E18" s="354"/>
      <c r="F18" s="355"/>
    </row>
    <row r="19" spans="1:6" s="78" customFormat="1" ht="30" customHeight="1">
      <c r="A19" s="36" t="s">
        <v>357</v>
      </c>
      <c r="B19" s="12" t="s">
        <v>14</v>
      </c>
      <c r="C19" s="351">
        <v>3100000</v>
      </c>
      <c r="D19" s="352"/>
      <c r="E19" s="356"/>
      <c r="F19" s="355"/>
    </row>
    <row r="20" spans="1:6" s="78" customFormat="1" ht="30" customHeight="1">
      <c r="A20" s="36" t="s">
        <v>360</v>
      </c>
      <c r="B20" s="12" t="s">
        <v>14</v>
      </c>
      <c r="C20" s="351">
        <v>2550000</v>
      </c>
      <c r="D20" s="352"/>
      <c r="E20" s="357"/>
      <c r="F20" s="359"/>
    </row>
    <row r="21" spans="1:6" s="78" customFormat="1" ht="30" customHeight="1">
      <c r="A21" s="36" t="s">
        <v>356</v>
      </c>
      <c r="B21" s="12" t="s">
        <v>14</v>
      </c>
      <c r="C21" s="351">
        <v>2980000</v>
      </c>
      <c r="D21" s="352"/>
      <c r="E21" s="358"/>
      <c r="F21" s="265"/>
    </row>
    <row r="22" spans="1:6" s="78" customFormat="1" ht="30" customHeight="1">
      <c r="A22" s="36"/>
      <c r="B22" s="12" t="s">
        <v>14</v>
      </c>
      <c r="C22" s="23"/>
      <c r="D22" s="352"/>
      <c r="E22" s="358"/>
      <c r="F22" s="265"/>
    </row>
    <row r="23" spans="1:6" s="78" customFormat="1" ht="30" customHeight="1">
      <c r="A23" s="16" t="s">
        <v>37</v>
      </c>
      <c r="B23" s="12" t="s">
        <v>15</v>
      </c>
      <c r="C23" s="23">
        <f>12000/3.6</f>
        <v>3333</v>
      </c>
      <c r="D23" s="353"/>
      <c r="E23" s="82"/>
      <c r="F23" s="265"/>
    </row>
    <row r="24" spans="1:6" s="78" customFormat="1" ht="30" customHeight="1">
      <c r="A24" s="113" t="s">
        <v>358</v>
      </c>
      <c r="B24" s="125" t="s">
        <v>101</v>
      </c>
      <c r="C24" s="23">
        <v>12000</v>
      </c>
      <c r="D24" s="353"/>
      <c r="E24" s="82"/>
      <c r="F24" s="265"/>
    </row>
    <row r="25" spans="1:6" s="78" customFormat="1" ht="30" customHeight="1">
      <c r="A25" s="113" t="s">
        <v>107</v>
      </c>
      <c r="B25" s="125" t="s">
        <v>33</v>
      </c>
      <c r="C25" s="23">
        <v>12000</v>
      </c>
      <c r="D25" s="82"/>
      <c r="E25" s="352"/>
      <c r="F25" s="265"/>
    </row>
    <row r="26" spans="1:6" s="78" customFormat="1" ht="30" customHeight="1">
      <c r="A26" s="16" t="s">
        <v>106</v>
      </c>
      <c r="B26" s="12" t="s">
        <v>34</v>
      </c>
      <c r="C26" s="23">
        <v>170</v>
      </c>
      <c r="D26" s="82"/>
      <c r="E26" s="352"/>
      <c r="F26" s="265"/>
    </row>
    <row r="27" spans="1:6" s="78" customFormat="1" ht="30" customHeight="1">
      <c r="A27" s="67" t="s">
        <v>78</v>
      </c>
      <c r="B27" s="32" t="s">
        <v>500</v>
      </c>
      <c r="C27" s="23">
        <v>5000</v>
      </c>
      <c r="D27" s="100"/>
      <c r="E27" s="79"/>
    </row>
    <row r="28" spans="1:6" s="78" customFormat="1" ht="30" customHeight="1">
      <c r="A28" s="16" t="s">
        <v>109</v>
      </c>
      <c r="B28" s="12" t="s">
        <v>2</v>
      </c>
      <c r="C28" s="23">
        <v>2000</v>
      </c>
      <c r="D28" s="100"/>
      <c r="E28" s="79"/>
    </row>
    <row r="29" spans="1:6" s="35" customFormat="1" ht="30" customHeight="1">
      <c r="A29" s="16" t="s">
        <v>110</v>
      </c>
      <c r="B29" s="12" t="s">
        <v>111</v>
      </c>
      <c r="C29" s="23">
        <v>15000</v>
      </c>
      <c r="D29" s="78"/>
      <c r="E29" s="79"/>
    </row>
    <row r="30" spans="1:6" s="35" customFormat="1" ht="30" customHeight="1">
      <c r="A30" s="16" t="s">
        <v>495</v>
      </c>
      <c r="B30" s="12" t="s">
        <v>10</v>
      </c>
      <c r="C30" s="23">
        <v>40000</v>
      </c>
      <c r="D30" s="78"/>
      <c r="E30" s="79"/>
    </row>
    <row r="31" spans="1:6" s="35" customFormat="1" ht="30" customHeight="1">
      <c r="A31" s="16" t="s">
        <v>496</v>
      </c>
      <c r="B31" s="12" t="s">
        <v>2</v>
      </c>
      <c r="C31" s="23">
        <v>30000</v>
      </c>
      <c r="D31" s="78"/>
      <c r="E31" s="79"/>
    </row>
    <row r="32" spans="1:6" s="35" customFormat="1" ht="30" customHeight="1">
      <c r="A32" s="16" t="s">
        <v>497</v>
      </c>
      <c r="B32" s="12" t="s">
        <v>2</v>
      </c>
      <c r="C32" s="23">
        <v>12000</v>
      </c>
      <c r="D32" s="78"/>
      <c r="E32" s="79"/>
    </row>
    <row r="33" spans="1:5" s="35" customFormat="1" ht="30" customHeight="1">
      <c r="A33" s="16" t="s">
        <v>498</v>
      </c>
      <c r="B33" s="12" t="s">
        <v>2</v>
      </c>
      <c r="C33" s="23">
        <v>15000</v>
      </c>
      <c r="D33" s="78"/>
      <c r="E33" s="79"/>
    </row>
    <row r="34" spans="1:5" s="35" customFormat="1" ht="30" customHeight="1">
      <c r="A34" s="16" t="s">
        <v>499</v>
      </c>
      <c r="B34" s="12" t="s">
        <v>2</v>
      </c>
      <c r="C34" s="23">
        <v>15000</v>
      </c>
      <c r="D34" s="78"/>
      <c r="E34" s="79"/>
    </row>
    <row r="35" spans="1:5" s="35" customFormat="1" ht="30" customHeight="1">
      <c r="A35" s="16"/>
      <c r="B35" s="12"/>
      <c r="C35" s="23"/>
      <c r="D35" s="78"/>
      <c r="E35" s="79"/>
    </row>
    <row r="36" spans="1:5" s="35" customFormat="1" ht="30" customHeight="1">
      <c r="A36" s="447"/>
      <c r="B36" s="448"/>
      <c r="C36" s="447"/>
      <c r="D36" s="61"/>
      <c r="E36" s="61"/>
    </row>
    <row r="37" spans="1:5" s="35" customFormat="1" ht="30" customHeight="1">
      <c r="A37" s="16" t="s">
        <v>31</v>
      </c>
      <c r="B37" s="12" t="s">
        <v>2</v>
      </c>
      <c r="C37" s="23">
        <v>27000</v>
      </c>
      <c r="D37" s="61"/>
      <c r="E37" s="61"/>
    </row>
    <row r="38" spans="1:5" s="35" customFormat="1" ht="30" customHeight="1">
      <c r="A38" s="16" t="s">
        <v>46</v>
      </c>
      <c r="B38" s="12" t="s">
        <v>2</v>
      </c>
      <c r="C38" s="23">
        <f>C37</f>
        <v>27000</v>
      </c>
      <c r="D38" s="61"/>
      <c r="E38" s="61"/>
    </row>
    <row r="39" spans="1:5" s="35" customFormat="1" ht="30" customHeight="1">
      <c r="A39" s="16" t="s">
        <v>29</v>
      </c>
      <c r="B39" s="12" t="s">
        <v>2</v>
      </c>
      <c r="C39" s="23">
        <v>20000</v>
      </c>
      <c r="D39" s="61"/>
      <c r="E39" s="61"/>
    </row>
    <row r="40" spans="1:5" s="35" customFormat="1" ht="30" customHeight="1">
      <c r="A40" s="419" t="s">
        <v>368</v>
      </c>
      <c r="B40" s="12" t="s">
        <v>2</v>
      </c>
      <c r="C40" s="23">
        <f>C39</f>
        <v>20000</v>
      </c>
      <c r="D40" s="61"/>
      <c r="E40" s="61"/>
    </row>
    <row r="41" spans="1:5" s="35" customFormat="1" ht="30" customHeight="1">
      <c r="A41" s="16" t="s">
        <v>364</v>
      </c>
      <c r="B41" s="12" t="s">
        <v>2</v>
      </c>
      <c r="C41" s="23">
        <f>C37</f>
        <v>27000</v>
      </c>
      <c r="D41" s="61"/>
      <c r="E41" s="61"/>
    </row>
    <row r="42" spans="1:5" s="35" customFormat="1" ht="30" customHeight="1">
      <c r="A42" s="16" t="s">
        <v>30</v>
      </c>
      <c r="B42" s="12" t="s">
        <v>2</v>
      </c>
      <c r="C42" s="23">
        <f>C37</f>
        <v>27000</v>
      </c>
      <c r="D42" s="61"/>
      <c r="E42" s="61"/>
    </row>
    <row r="43" spans="1:5" s="35" customFormat="1" ht="30" customHeight="1">
      <c r="A43" s="419" t="s">
        <v>367</v>
      </c>
      <c r="B43" s="12" t="s">
        <v>2</v>
      </c>
      <c r="C43" s="23">
        <f>C37</f>
        <v>27000</v>
      </c>
      <c r="D43" s="61"/>
      <c r="E43" s="61"/>
    </row>
    <row r="44" spans="1:5" s="35" customFormat="1" ht="30" customHeight="1">
      <c r="A44" s="16" t="s">
        <v>363</v>
      </c>
      <c r="B44" s="12" t="s">
        <v>2</v>
      </c>
      <c r="C44" s="23">
        <f>C37</f>
        <v>27000</v>
      </c>
      <c r="D44" s="61"/>
      <c r="E44" s="61"/>
    </row>
    <row r="45" spans="1:5" s="35" customFormat="1" ht="30" customHeight="1">
      <c r="A45" s="447"/>
      <c r="B45" s="448"/>
      <c r="C45" s="447"/>
      <c r="D45" s="61"/>
      <c r="E45" s="61"/>
    </row>
    <row r="46" spans="1:5" s="35" customFormat="1" ht="30" customHeight="1">
      <c r="A46" s="377" t="s">
        <v>487</v>
      </c>
      <c r="B46" s="448"/>
      <c r="C46" s="447"/>
      <c r="D46" s="61"/>
      <c r="E46" s="61"/>
    </row>
    <row r="47" spans="1:5" s="35" customFormat="1" ht="30" customHeight="1">
      <c r="A47" s="12" t="s">
        <v>404</v>
      </c>
      <c r="B47" s="12" t="s">
        <v>405</v>
      </c>
      <c r="C47" s="12">
        <v>800000</v>
      </c>
      <c r="D47" s="61"/>
      <c r="E47" s="61"/>
    </row>
    <row r="48" spans="1:5" s="35" customFormat="1" ht="30" customHeight="1">
      <c r="A48" s="12" t="s">
        <v>453</v>
      </c>
      <c r="B48" s="12" t="s">
        <v>406</v>
      </c>
      <c r="C48" s="12">
        <v>100000</v>
      </c>
      <c r="D48" s="61"/>
      <c r="E48" s="61"/>
    </row>
    <row r="49" spans="1:5" s="35" customFormat="1" ht="30" customHeight="1">
      <c r="A49" s="12" t="s">
        <v>408</v>
      </c>
      <c r="B49" s="12" t="s">
        <v>406</v>
      </c>
      <c r="C49" s="12">
        <v>40000</v>
      </c>
      <c r="D49" s="61"/>
      <c r="E49" s="61"/>
    </row>
    <row r="50" spans="1:5" s="35" customFormat="1" ht="30" customHeight="1">
      <c r="A50" s="12"/>
      <c r="B50" s="448"/>
      <c r="C50" s="447"/>
      <c r="D50" s="61"/>
      <c r="E50" s="61"/>
    </row>
    <row r="51" spans="1:5" s="35" customFormat="1" ht="30" customHeight="1">
      <c r="A51" s="377" t="s">
        <v>480</v>
      </c>
      <c r="B51" s="12"/>
      <c r="C51" s="447"/>
      <c r="D51" s="61"/>
      <c r="E51" s="61"/>
    </row>
    <row r="52" spans="1:5" s="35" customFormat="1" ht="30" customHeight="1">
      <c r="A52" s="14" t="s">
        <v>440</v>
      </c>
      <c r="B52" s="12" t="s">
        <v>439</v>
      </c>
      <c r="C52" s="66">
        <v>1600000</v>
      </c>
      <c r="D52" s="61"/>
      <c r="E52" s="61"/>
    </row>
    <row r="53" spans="1:5" s="35" customFormat="1" ht="30" customHeight="1">
      <c r="A53" s="14" t="s">
        <v>441</v>
      </c>
      <c r="B53" s="12" t="s">
        <v>439</v>
      </c>
      <c r="C53" s="66">
        <v>1800000</v>
      </c>
      <c r="D53" s="61"/>
      <c r="E53" s="61"/>
    </row>
    <row r="54" spans="1:5" s="35" customFormat="1" ht="30" customHeight="1">
      <c r="A54" s="449" t="s">
        <v>442</v>
      </c>
      <c r="B54" s="31" t="s">
        <v>439</v>
      </c>
      <c r="C54" s="84">
        <v>2000000</v>
      </c>
      <c r="D54" s="61"/>
      <c r="E54" s="61"/>
    </row>
    <row r="55" spans="1:5" s="35" customFormat="1" ht="30" customHeight="1">
      <c r="B55" s="101"/>
      <c r="D55" s="61"/>
      <c r="E55" s="61"/>
    </row>
    <row r="56" spans="1:5" s="35" customFormat="1" ht="30" customHeight="1">
      <c r="B56" s="101"/>
      <c r="D56" s="61"/>
      <c r="E56" s="61"/>
    </row>
    <row r="57" spans="1:5" s="35" customFormat="1" ht="30" customHeight="1">
      <c r="B57" s="101"/>
      <c r="D57" s="61"/>
      <c r="E57" s="61"/>
    </row>
    <row r="58" spans="1:5" s="35" customFormat="1" ht="30" customHeight="1">
      <c r="B58" s="101"/>
      <c r="D58" s="61"/>
      <c r="E58" s="61"/>
    </row>
    <row r="59" spans="1:5" s="35" customFormat="1" ht="30" customHeight="1">
      <c r="B59" s="101"/>
      <c r="D59" s="61"/>
      <c r="E59" s="61"/>
    </row>
    <row r="60" spans="1:5" s="35" customFormat="1" ht="30" customHeight="1">
      <c r="B60" s="101"/>
      <c r="D60" s="61"/>
      <c r="E60" s="61"/>
    </row>
    <row r="61" spans="1:5" s="35" customFormat="1" ht="30" customHeight="1">
      <c r="B61" s="101"/>
      <c r="D61" s="61"/>
      <c r="E61" s="61"/>
    </row>
    <row r="62" spans="1:5" s="35" customFormat="1" ht="30" customHeight="1">
      <c r="B62" s="101"/>
      <c r="D62" s="61"/>
      <c r="E62" s="61"/>
    </row>
    <row r="63" spans="1:5" s="35" customFormat="1" ht="30" customHeight="1">
      <c r="B63" s="101"/>
      <c r="D63" s="61"/>
      <c r="E63" s="61"/>
    </row>
    <row r="64" spans="1:5" s="35" customFormat="1" ht="30" customHeight="1">
      <c r="B64" s="101"/>
      <c r="D64" s="61"/>
      <c r="E64" s="61"/>
    </row>
    <row r="65" spans="2:5" s="35" customFormat="1" ht="30" customHeight="1">
      <c r="B65" s="101"/>
      <c r="D65" s="61"/>
      <c r="E65" s="61"/>
    </row>
    <row r="66" spans="2:5" s="35" customFormat="1" ht="30" customHeight="1">
      <c r="B66" s="101"/>
      <c r="D66" s="61"/>
      <c r="E66" s="61"/>
    </row>
    <row r="67" spans="2:5" s="35" customFormat="1" ht="30" customHeight="1">
      <c r="B67" s="101"/>
      <c r="D67" s="61"/>
      <c r="E67" s="61"/>
    </row>
    <row r="68" spans="2:5" s="35" customFormat="1" ht="30" customHeight="1">
      <c r="B68" s="101"/>
      <c r="D68" s="61"/>
      <c r="E68" s="61"/>
    </row>
    <row r="69" spans="2:5" s="35" customFormat="1" ht="30" customHeight="1">
      <c r="B69" s="101"/>
      <c r="D69" s="61"/>
      <c r="E69" s="61"/>
    </row>
    <row r="70" spans="2:5" s="35" customFormat="1" ht="30" customHeight="1">
      <c r="B70" s="101"/>
      <c r="D70" s="61"/>
      <c r="E70" s="61"/>
    </row>
    <row r="71" spans="2:5" s="35" customFormat="1" ht="30" customHeight="1">
      <c r="B71" s="101"/>
      <c r="D71" s="61"/>
      <c r="E71" s="61"/>
    </row>
    <row r="72" spans="2:5" s="35" customFormat="1" ht="30" customHeight="1">
      <c r="B72" s="101"/>
      <c r="D72" s="61"/>
      <c r="E72" s="61"/>
    </row>
    <row r="73" spans="2:5" s="35" customFormat="1" ht="30" customHeight="1">
      <c r="B73" s="101"/>
      <c r="D73" s="61"/>
      <c r="E73" s="61"/>
    </row>
    <row r="74" spans="2:5" s="35" customFormat="1" ht="30" customHeight="1">
      <c r="B74" s="101"/>
      <c r="D74" s="61"/>
      <c r="E74" s="61"/>
    </row>
    <row r="75" spans="2:5" s="35" customFormat="1" ht="30" customHeight="1">
      <c r="B75" s="101"/>
      <c r="D75" s="61"/>
      <c r="E75" s="61"/>
    </row>
    <row r="76" spans="2:5" s="35" customFormat="1" ht="30" customHeight="1">
      <c r="B76" s="101"/>
      <c r="D76" s="61"/>
      <c r="E76" s="61"/>
    </row>
    <row r="77" spans="2:5" s="35" customFormat="1" ht="30" customHeight="1">
      <c r="B77" s="101"/>
      <c r="D77" s="61"/>
      <c r="E77" s="61"/>
    </row>
    <row r="78" spans="2:5" s="35" customFormat="1" ht="30" customHeight="1">
      <c r="B78" s="101"/>
      <c r="D78" s="61"/>
      <c r="E78" s="61"/>
    </row>
    <row r="79" spans="2:5" s="35" customFormat="1" ht="30" customHeight="1">
      <c r="B79" s="101"/>
      <c r="D79" s="61"/>
      <c r="E79" s="61"/>
    </row>
    <row r="80" spans="2:5" s="35" customFormat="1" ht="30" customHeight="1">
      <c r="B80" s="101"/>
      <c r="D80" s="61"/>
      <c r="E80" s="61"/>
    </row>
    <row r="81" spans="2:5" s="35" customFormat="1" ht="30" customHeight="1">
      <c r="B81" s="101"/>
      <c r="D81" s="61"/>
      <c r="E81" s="61"/>
    </row>
    <row r="82" spans="2:5" s="35" customFormat="1" ht="30" customHeight="1">
      <c r="B82" s="101"/>
      <c r="D82" s="61"/>
      <c r="E82" s="61"/>
    </row>
    <row r="83" spans="2:5" s="35" customFormat="1" ht="30" customHeight="1">
      <c r="B83" s="101"/>
      <c r="D83" s="61"/>
      <c r="E83" s="61"/>
    </row>
    <row r="84" spans="2:5" s="35" customFormat="1" ht="30" customHeight="1">
      <c r="B84" s="101"/>
      <c r="D84" s="61"/>
      <c r="E84" s="61"/>
    </row>
    <row r="85" spans="2:5" s="35" customFormat="1" ht="30" customHeight="1">
      <c r="B85" s="101"/>
      <c r="D85" s="61"/>
      <c r="E85" s="61"/>
    </row>
    <row r="86" spans="2:5" s="35" customFormat="1" ht="30" customHeight="1">
      <c r="B86" s="101"/>
      <c r="D86" s="61"/>
      <c r="E86" s="61"/>
    </row>
    <row r="87" spans="2:5" s="35" customFormat="1" ht="30" customHeight="1">
      <c r="B87" s="101"/>
      <c r="D87" s="61"/>
      <c r="E87" s="61"/>
    </row>
    <row r="88" spans="2:5" s="35" customFormat="1" ht="30" customHeight="1">
      <c r="B88" s="101"/>
      <c r="D88" s="61"/>
      <c r="E88" s="61"/>
    </row>
    <row r="89" spans="2:5" s="35" customFormat="1" ht="30" customHeight="1">
      <c r="B89" s="101"/>
      <c r="D89" s="61"/>
      <c r="E89" s="61"/>
    </row>
    <row r="90" spans="2:5" s="35" customFormat="1" ht="30" customHeight="1">
      <c r="B90" s="101"/>
      <c r="D90" s="61"/>
      <c r="E90" s="61"/>
    </row>
    <row r="91" spans="2:5" s="35" customFormat="1" ht="30" customHeight="1">
      <c r="B91" s="101"/>
      <c r="D91" s="61"/>
      <c r="E91" s="61"/>
    </row>
    <row r="92" spans="2:5" s="35" customFormat="1" ht="30" customHeight="1">
      <c r="B92" s="101"/>
      <c r="D92" s="61"/>
      <c r="E92" s="61"/>
    </row>
    <row r="93" spans="2:5" s="35" customFormat="1" ht="30" customHeight="1">
      <c r="B93" s="101"/>
      <c r="D93" s="61"/>
      <c r="E93" s="61"/>
    </row>
    <row r="94" spans="2:5" s="35" customFormat="1" ht="30" customHeight="1">
      <c r="B94" s="101"/>
      <c r="D94" s="61"/>
      <c r="E94" s="61"/>
    </row>
    <row r="95" spans="2:5" s="35" customFormat="1" ht="30" customHeight="1">
      <c r="B95" s="101"/>
      <c r="D95" s="61"/>
      <c r="E95" s="61"/>
    </row>
    <row r="96" spans="2:5" s="35" customFormat="1" ht="30" customHeight="1">
      <c r="B96" s="101"/>
      <c r="D96" s="61"/>
      <c r="E96" s="61"/>
    </row>
    <row r="97" spans="2:5" s="35" customFormat="1" ht="30" customHeight="1">
      <c r="B97" s="101"/>
      <c r="D97" s="61"/>
      <c r="E97" s="61"/>
    </row>
    <row r="98" spans="2:5" s="35" customFormat="1" ht="30" customHeight="1">
      <c r="B98" s="101"/>
      <c r="D98" s="61"/>
      <c r="E98" s="61"/>
    </row>
    <row r="99" spans="2:5" s="35" customFormat="1" ht="30" customHeight="1">
      <c r="B99" s="101"/>
      <c r="D99" s="61"/>
      <c r="E99" s="61"/>
    </row>
    <row r="100" spans="2:5" s="35" customFormat="1" ht="30" customHeight="1">
      <c r="B100" s="101"/>
      <c r="D100" s="61"/>
      <c r="E100" s="61"/>
    </row>
    <row r="101" spans="2:5" s="35" customFormat="1" ht="30" customHeight="1">
      <c r="B101" s="101"/>
      <c r="D101" s="61"/>
      <c r="E101" s="61"/>
    </row>
    <row r="102" spans="2:5" s="35" customFormat="1" ht="30" customHeight="1">
      <c r="B102" s="101"/>
      <c r="D102" s="61"/>
      <c r="E102" s="61"/>
    </row>
    <row r="103" spans="2:5" s="35" customFormat="1" ht="30" customHeight="1">
      <c r="B103" s="101"/>
      <c r="D103" s="61"/>
      <c r="E103" s="61"/>
    </row>
    <row r="104" spans="2:5" s="35" customFormat="1" ht="30" customHeight="1">
      <c r="B104" s="101"/>
      <c r="D104" s="61"/>
      <c r="E104" s="61"/>
    </row>
    <row r="105" spans="2:5" s="35" customFormat="1" ht="30" customHeight="1">
      <c r="B105" s="101"/>
      <c r="D105" s="61"/>
      <c r="E105" s="61"/>
    </row>
    <row r="106" spans="2:5" s="35" customFormat="1" ht="30" customHeight="1">
      <c r="B106" s="101"/>
      <c r="D106" s="61"/>
      <c r="E106" s="61"/>
    </row>
    <row r="107" spans="2:5" s="35" customFormat="1" ht="30" customHeight="1">
      <c r="B107" s="101"/>
      <c r="D107" s="61"/>
      <c r="E107" s="61"/>
    </row>
    <row r="108" spans="2:5" s="35" customFormat="1" ht="30" customHeight="1">
      <c r="B108" s="101"/>
      <c r="D108" s="61"/>
      <c r="E108" s="61"/>
    </row>
    <row r="109" spans="2:5" s="35" customFormat="1" ht="30" customHeight="1">
      <c r="B109" s="101"/>
      <c r="D109" s="61"/>
      <c r="E109" s="61"/>
    </row>
    <row r="110" spans="2:5" s="35" customFormat="1" ht="30" customHeight="1">
      <c r="B110" s="101"/>
      <c r="D110" s="61"/>
      <c r="E110" s="61"/>
    </row>
    <row r="111" spans="2:5" s="35" customFormat="1" ht="30" customHeight="1">
      <c r="B111" s="101"/>
      <c r="D111" s="61"/>
      <c r="E111" s="61"/>
    </row>
    <row r="112" spans="2:5" s="35" customFormat="1" ht="30" customHeight="1">
      <c r="B112" s="101"/>
      <c r="D112" s="61"/>
      <c r="E112" s="61"/>
    </row>
    <row r="113" spans="2:5" s="35" customFormat="1" ht="30" customHeight="1">
      <c r="B113" s="101"/>
      <c r="D113" s="61"/>
      <c r="E113" s="61"/>
    </row>
    <row r="114" spans="2:5" s="35" customFormat="1" ht="30" customHeight="1">
      <c r="B114" s="101"/>
      <c r="D114" s="61"/>
      <c r="E114" s="61"/>
    </row>
    <row r="115" spans="2:5" s="35" customFormat="1" ht="30" customHeight="1">
      <c r="B115" s="101"/>
      <c r="D115" s="61"/>
      <c r="E115" s="61"/>
    </row>
    <row r="116" spans="2:5" s="35" customFormat="1" ht="30" customHeight="1">
      <c r="B116" s="101"/>
      <c r="D116" s="61"/>
      <c r="E116" s="61"/>
    </row>
    <row r="117" spans="2:5" s="35" customFormat="1" ht="30" customHeight="1">
      <c r="B117" s="101"/>
      <c r="D117" s="61"/>
      <c r="E117" s="61"/>
    </row>
    <row r="118" spans="2:5" s="35" customFormat="1" ht="30" customHeight="1">
      <c r="B118" s="101"/>
      <c r="D118" s="61"/>
      <c r="E118" s="61"/>
    </row>
    <row r="119" spans="2:5" s="35" customFormat="1" ht="30" customHeight="1">
      <c r="B119" s="101"/>
      <c r="D119" s="61"/>
      <c r="E119" s="61"/>
    </row>
    <row r="120" spans="2:5" s="35" customFormat="1" ht="30" customHeight="1">
      <c r="B120" s="101"/>
      <c r="D120" s="61"/>
      <c r="E120" s="61"/>
    </row>
    <row r="121" spans="2:5" s="35" customFormat="1" ht="30" customHeight="1">
      <c r="B121" s="101"/>
      <c r="D121" s="61"/>
      <c r="E121" s="61"/>
    </row>
    <row r="122" spans="2:5" s="35" customFormat="1" ht="30" customHeight="1">
      <c r="B122" s="101"/>
      <c r="D122" s="61"/>
      <c r="E122" s="61"/>
    </row>
    <row r="123" spans="2:5" s="35" customFormat="1" ht="30" customHeight="1">
      <c r="B123" s="101"/>
      <c r="D123" s="61"/>
      <c r="E123" s="61"/>
    </row>
    <row r="124" spans="2:5" s="35" customFormat="1" ht="30" customHeight="1">
      <c r="B124" s="101"/>
      <c r="D124" s="61"/>
      <c r="E124" s="61"/>
    </row>
    <row r="125" spans="2:5" s="35" customFormat="1" ht="30" customHeight="1">
      <c r="B125" s="101"/>
      <c r="D125" s="61"/>
      <c r="E125" s="61"/>
    </row>
    <row r="126" spans="2:5" s="35" customFormat="1" ht="30" customHeight="1">
      <c r="B126" s="101"/>
      <c r="D126" s="61"/>
      <c r="E126" s="61"/>
    </row>
    <row r="127" spans="2:5" s="35" customFormat="1" ht="30" customHeight="1">
      <c r="B127" s="101"/>
      <c r="D127" s="61"/>
      <c r="E127" s="61"/>
    </row>
    <row r="128" spans="2:5" s="35" customFormat="1" ht="30" customHeight="1">
      <c r="B128" s="101"/>
      <c r="D128" s="61"/>
      <c r="E128" s="61"/>
    </row>
    <row r="129" spans="2:5" s="35" customFormat="1" ht="30" customHeight="1">
      <c r="B129" s="101"/>
      <c r="D129" s="61"/>
      <c r="E129" s="61"/>
    </row>
    <row r="130" spans="2:5" s="35" customFormat="1" ht="30" customHeight="1">
      <c r="B130" s="101"/>
      <c r="D130" s="61"/>
      <c r="E130" s="61"/>
    </row>
    <row r="131" spans="2:5" s="35" customFormat="1" ht="30" customHeight="1">
      <c r="B131" s="101"/>
      <c r="D131" s="61"/>
      <c r="E131" s="61"/>
    </row>
    <row r="132" spans="2:5" s="35" customFormat="1" ht="30" customHeight="1">
      <c r="B132" s="101"/>
      <c r="D132" s="61"/>
      <c r="E132" s="61"/>
    </row>
    <row r="133" spans="2:5" s="35" customFormat="1" ht="30" customHeight="1">
      <c r="B133" s="101"/>
      <c r="D133" s="61"/>
      <c r="E133" s="61"/>
    </row>
    <row r="134" spans="2:5" s="35" customFormat="1" ht="30" customHeight="1">
      <c r="B134" s="101"/>
      <c r="D134" s="61"/>
      <c r="E134" s="61"/>
    </row>
    <row r="135" spans="2:5" s="35" customFormat="1" ht="30" customHeight="1">
      <c r="B135" s="101"/>
      <c r="D135" s="61"/>
      <c r="E135" s="61"/>
    </row>
    <row r="136" spans="2:5" s="35" customFormat="1" ht="30" customHeight="1">
      <c r="B136" s="101"/>
      <c r="D136" s="61"/>
      <c r="E136" s="61"/>
    </row>
    <row r="137" spans="2:5" s="35" customFormat="1" ht="30" customHeight="1">
      <c r="B137" s="101"/>
      <c r="D137" s="61"/>
      <c r="E137" s="61"/>
    </row>
    <row r="138" spans="2:5" s="35" customFormat="1" ht="30" customHeight="1">
      <c r="B138" s="101"/>
      <c r="D138" s="61"/>
      <c r="E138" s="61"/>
    </row>
    <row r="139" spans="2:5" s="35" customFormat="1" ht="30" customHeight="1">
      <c r="B139" s="101"/>
      <c r="D139" s="61"/>
      <c r="E139" s="61"/>
    </row>
    <row r="140" spans="2:5" s="35" customFormat="1" ht="30" customHeight="1">
      <c r="B140" s="101"/>
      <c r="D140" s="61"/>
      <c r="E140" s="61"/>
    </row>
    <row r="141" spans="2:5" s="35" customFormat="1" ht="30" customHeight="1">
      <c r="B141" s="101"/>
      <c r="D141" s="61"/>
      <c r="E141" s="61"/>
    </row>
    <row r="142" spans="2:5" s="35" customFormat="1" ht="30" customHeight="1">
      <c r="B142" s="101"/>
      <c r="D142" s="61"/>
      <c r="E142" s="61"/>
    </row>
    <row r="143" spans="2:5" s="35" customFormat="1" ht="30" customHeight="1">
      <c r="B143" s="101"/>
      <c r="D143" s="61"/>
      <c r="E143" s="61"/>
    </row>
    <row r="144" spans="2:5" s="35" customFormat="1" ht="30" customHeight="1">
      <c r="B144" s="101"/>
      <c r="D144" s="61"/>
      <c r="E144" s="61"/>
    </row>
    <row r="145" spans="2:5" s="35" customFormat="1" ht="30" customHeight="1">
      <c r="B145" s="101"/>
      <c r="D145" s="61"/>
      <c r="E145" s="61"/>
    </row>
    <row r="146" spans="2:5" s="35" customFormat="1" ht="30" customHeight="1">
      <c r="B146" s="101"/>
      <c r="D146" s="61"/>
      <c r="E146" s="61"/>
    </row>
    <row r="147" spans="2:5" s="35" customFormat="1" ht="30" customHeight="1">
      <c r="B147" s="101"/>
      <c r="D147" s="61"/>
      <c r="E147" s="61"/>
    </row>
    <row r="148" spans="2:5" s="35" customFormat="1" ht="30" customHeight="1">
      <c r="B148" s="101"/>
      <c r="D148" s="61"/>
      <c r="E148" s="61"/>
    </row>
    <row r="149" spans="2:5" s="35" customFormat="1" ht="30" customHeight="1">
      <c r="B149" s="101"/>
      <c r="D149" s="61"/>
      <c r="E149" s="61"/>
    </row>
    <row r="150" spans="2:5" s="35" customFormat="1" ht="30" customHeight="1">
      <c r="B150" s="101"/>
      <c r="D150" s="61"/>
      <c r="E150" s="61"/>
    </row>
    <row r="151" spans="2:5" s="35" customFormat="1" ht="30" customHeight="1">
      <c r="B151" s="101"/>
      <c r="D151" s="61"/>
      <c r="E151" s="61"/>
    </row>
    <row r="152" spans="2:5" s="35" customFormat="1" ht="30" customHeight="1">
      <c r="B152" s="101"/>
      <c r="D152" s="61"/>
      <c r="E152" s="61"/>
    </row>
    <row r="153" spans="2:5" s="35" customFormat="1" ht="30" customHeight="1">
      <c r="B153" s="101"/>
      <c r="D153" s="61"/>
      <c r="E153" s="61"/>
    </row>
    <row r="154" spans="2:5" s="35" customFormat="1" ht="30" customHeight="1">
      <c r="B154" s="101"/>
      <c r="D154" s="61"/>
      <c r="E154" s="61"/>
    </row>
    <row r="155" spans="2:5" s="35" customFormat="1" ht="30" customHeight="1">
      <c r="B155" s="101"/>
      <c r="D155" s="61"/>
      <c r="E155" s="61"/>
    </row>
    <row r="156" spans="2:5" s="35" customFormat="1" ht="30" customHeight="1">
      <c r="B156" s="101"/>
      <c r="D156" s="61"/>
      <c r="E156" s="61"/>
    </row>
    <row r="157" spans="2:5" s="35" customFormat="1" ht="30" customHeight="1">
      <c r="B157" s="101"/>
      <c r="D157" s="61"/>
      <c r="E157" s="61"/>
    </row>
    <row r="158" spans="2:5" s="35" customFormat="1" ht="30" customHeight="1">
      <c r="B158" s="101"/>
      <c r="D158" s="61"/>
      <c r="E158" s="61"/>
    </row>
    <row r="159" spans="2:5" s="35" customFormat="1" ht="30" customHeight="1">
      <c r="B159" s="101"/>
      <c r="D159" s="61"/>
      <c r="E159" s="61"/>
    </row>
    <row r="160" spans="2:5" s="35" customFormat="1" ht="30" customHeight="1">
      <c r="B160" s="101"/>
      <c r="D160" s="61"/>
      <c r="E160" s="61"/>
    </row>
    <row r="161" spans="2:5" s="35" customFormat="1" ht="30" customHeight="1">
      <c r="B161" s="101"/>
      <c r="D161" s="61"/>
      <c r="E161" s="61"/>
    </row>
    <row r="162" spans="2:5" s="35" customFormat="1" ht="30" customHeight="1">
      <c r="B162" s="101"/>
      <c r="D162" s="61"/>
      <c r="E162" s="61"/>
    </row>
    <row r="163" spans="2:5" s="35" customFormat="1" ht="30" customHeight="1">
      <c r="B163" s="101"/>
      <c r="D163" s="61"/>
      <c r="E163" s="61"/>
    </row>
    <row r="164" spans="2:5" s="35" customFormat="1" ht="30" customHeight="1">
      <c r="B164" s="101"/>
      <c r="D164" s="61"/>
      <c r="E164" s="61"/>
    </row>
    <row r="165" spans="2:5" s="35" customFormat="1" ht="30" customHeight="1">
      <c r="B165" s="101"/>
      <c r="D165" s="61"/>
      <c r="E165" s="61"/>
    </row>
    <row r="166" spans="2:5" s="35" customFormat="1" ht="30" customHeight="1">
      <c r="B166" s="101"/>
      <c r="D166" s="61"/>
      <c r="E166" s="61"/>
    </row>
    <row r="167" spans="2:5" s="35" customFormat="1" ht="30" customHeight="1">
      <c r="B167" s="101"/>
      <c r="C167" s="103"/>
      <c r="D167" s="61"/>
      <c r="E167" s="61"/>
    </row>
    <row r="168" spans="2:5" s="35" customFormat="1" ht="30" customHeight="1">
      <c r="B168" s="101"/>
      <c r="C168" s="103"/>
      <c r="D168" s="61"/>
      <c r="E168" s="61"/>
    </row>
  </sheetData>
  <phoneticPr fontId="16" type="noConversion"/>
  <printOptions horizontalCentered="1"/>
  <pageMargins left="0.5" right="0.5" top="0.75" bottom="0.5" header="0.5" footer="0.25"/>
  <pageSetup paperSize="9" orientation="portrait" r:id="rId1"/>
  <headerFooter>
    <oddHeader>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B3A7-5B72-42DE-8B51-EE33891189DC}">
  <sheetPr>
    <tabColor rgb="FFFF0000"/>
  </sheetPr>
  <dimension ref="A1:H15"/>
  <sheetViews>
    <sheetView zoomScale="150" zoomScaleNormal="150" workbookViewId="0">
      <selection activeCell="F14" sqref="F14"/>
    </sheetView>
  </sheetViews>
  <sheetFormatPr defaultColWidth="9.1796875" defaultRowHeight="12.5"/>
  <cols>
    <col min="1" max="1" width="7.26953125" style="369" customWidth="1"/>
    <col min="2" max="2" width="14.81640625" style="367" bestFit="1" customWidth="1"/>
    <col min="3" max="3" width="15.54296875" style="367" bestFit="1" customWidth="1"/>
    <col min="4" max="6" width="9.7265625" style="367" customWidth="1"/>
    <col min="7" max="7" width="12.1796875" style="367" bestFit="1" customWidth="1"/>
    <col min="8" max="16384" width="9.1796875" style="367"/>
  </cols>
  <sheetData>
    <row r="1" spans="1:8">
      <c r="A1" s="454" t="str">
        <f>SUM!A1</f>
        <v>U MYO MIN AUNG (KAN NAR LANN, MAGWAY)</v>
      </c>
      <c r="B1" s="454"/>
      <c r="C1" s="454"/>
      <c r="D1" s="454"/>
      <c r="E1" s="454"/>
      <c r="F1" s="454"/>
      <c r="G1" s="454"/>
      <c r="H1" s="454"/>
    </row>
    <row r="2" spans="1:8">
      <c r="A2" s="455" t="str">
        <f>SUM!A2</f>
        <v>27'x40' - 2.5 STOREYED RCC BUILDING</v>
      </c>
      <c r="B2" s="455"/>
      <c r="C2" s="455"/>
      <c r="D2" s="455"/>
      <c r="E2" s="455"/>
      <c r="F2" s="455"/>
      <c r="G2" s="455"/>
      <c r="H2" s="455"/>
    </row>
    <row r="3" spans="1:8" ht="27.75" customHeight="1">
      <c r="A3" s="397" t="s">
        <v>0</v>
      </c>
      <c r="B3" s="397" t="s">
        <v>1</v>
      </c>
      <c r="C3" s="397" t="s">
        <v>465</v>
      </c>
      <c r="D3" s="397" t="s">
        <v>3</v>
      </c>
      <c r="E3" s="397" t="s">
        <v>4</v>
      </c>
      <c r="F3" s="398"/>
      <c r="G3" s="397" t="s">
        <v>466</v>
      </c>
      <c r="H3" s="397" t="s">
        <v>16</v>
      </c>
    </row>
    <row r="4" spans="1:8" ht="15.5">
      <c r="A4" s="399">
        <v>1</v>
      </c>
      <c r="B4" s="77" t="s">
        <v>92</v>
      </c>
      <c r="C4" s="77">
        <v>1</v>
      </c>
      <c r="D4" s="77">
        <v>27</v>
      </c>
      <c r="E4" s="77">
        <v>40</v>
      </c>
      <c r="F4" s="77"/>
      <c r="G4" s="365">
        <f t="shared" ref="G4:G9" si="0">C4*D4*E4</f>
        <v>1080</v>
      </c>
      <c r="H4" s="368" t="s">
        <v>21</v>
      </c>
    </row>
    <row r="5" spans="1:8" ht="15.5">
      <c r="A5" s="399">
        <v>2</v>
      </c>
      <c r="B5" s="77" t="s">
        <v>168</v>
      </c>
      <c r="C5" s="77">
        <v>1</v>
      </c>
      <c r="D5" s="77">
        <v>27</v>
      </c>
      <c r="E5" s="77">
        <v>40</v>
      </c>
      <c r="F5" s="77"/>
      <c r="G5" s="365">
        <f t="shared" si="0"/>
        <v>1080</v>
      </c>
      <c r="H5" s="368" t="s">
        <v>21</v>
      </c>
    </row>
    <row r="6" spans="1:8" ht="15.5">
      <c r="A6" s="399"/>
      <c r="B6" s="77"/>
      <c r="C6" s="77">
        <v>1</v>
      </c>
      <c r="D6" s="77">
        <v>27</v>
      </c>
      <c r="E6" s="77">
        <v>3</v>
      </c>
      <c r="F6" s="77"/>
      <c r="G6" s="365">
        <f t="shared" si="0"/>
        <v>81</v>
      </c>
      <c r="H6" s="368" t="s">
        <v>21</v>
      </c>
    </row>
    <row r="7" spans="1:8" ht="15.5">
      <c r="A7" s="399"/>
      <c r="B7" s="77"/>
      <c r="C7" s="77">
        <v>1</v>
      </c>
      <c r="D7" s="77">
        <v>3</v>
      </c>
      <c r="E7" s="77">
        <v>11.5</v>
      </c>
      <c r="F7" s="77"/>
      <c r="G7" s="365">
        <f t="shared" si="0"/>
        <v>34.5</v>
      </c>
      <c r="H7" s="368" t="s">
        <v>21</v>
      </c>
    </row>
    <row r="8" spans="1:8" ht="15.5">
      <c r="A8" s="399">
        <v>3</v>
      </c>
      <c r="B8" s="77" t="s">
        <v>317</v>
      </c>
      <c r="C8" s="77">
        <v>1</v>
      </c>
      <c r="D8" s="77">
        <v>27</v>
      </c>
      <c r="E8" s="77">
        <v>43</v>
      </c>
      <c r="F8" s="77"/>
      <c r="G8" s="365">
        <f t="shared" si="0"/>
        <v>1161</v>
      </c>
      <c r="H8" s="368" t="s">
        <v>21</v>
      </c>
    </row>
    <row r="9" spans="1:8" ht="15.5">
      <c r="A9" s="399"/>
      <c r="B9" s="77"/>
      <c r="C9" s="77">
        <v>1</v>
      </c>
      <c r="D9" s="77">
        <v>3</v>
      </c>
      <c r="E9" s="77">
        <v>14.5</v>
      </c>
      <c r="F9" s="77"/>
      <c r="G9" s="77">
        <f t="shared" si="0"/>
        <v>43.5</v>
      </c>
      <c r="H9" s="368" t="s">
        <v>21</v>
      </c>
    </row>
    <row r="10" spans="1:8" ht="15.5">
      <c r="A10" s="399">
        <v>4</v>
      </c>
      <c r="B10" s="77" t="s">
        <v>361</v>
      </c>
      <c r="C10" s="77">
        <v>1</v>
      </c>
      <c r="D10" s="77">
        <v>17.5</v>
      </c>
      <c r="E10" s="77">
        <v>28.5</v>
      </c>
      <c r="F10" s="366">
        <v>0.5</v>
      </c>
      <c r="G10" s="77">
        <f>ROUND(C10*D10*E10*F10,1)</f>
        <v>249.4</v>
      </c>
      <c r="H10" s="368" t="s">
        <v>21</v>
      </c>
    </row>
    <row r="11" spans="1:8" ht="15.5">
      <c r="A11" s="399"/>
      <c r="B11" s="451" t="s">
        <v>467</v>
      </c>
      <c r="C11" s="452"/>
      <c r="D11" s="452"/>
      <c r="E11" s="452"/>
      <c r="F11" s="453"/>
      <c r="G11" s="400">
        <f>SUM(G4:G10)</f>
        <v>3729.4</v>
      </c>
      <c r="H11" s="398" t="s">
        <v>21</v>
      </c>
    </row>
    <row r="14" spans="1:8">
      <c r="B14" s="367" t="s">
        <v>494</v>
      </c>
      <c r="C14" s="444">
        <f>'BQ-YB'!G63</f>
        <v>356040000</v>
      </c>
    </row>
    <row r="15" spans="1:8">
      <c r="B15" s="367" t="s">
        <v>470</v>
      </c>
      <c r="C15" s="444">
        <f>C14/G11</f>
        <v>95468.44</v>
      </c>
    </row>
  </sheetData>
  <mergeCells count="3">
    <mergeCell ref="B11:F11"/>
    <mergeCell ref="A1:H1"/>
    <mergeCell ref="A2:H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EC55-595F-4739-A92C-FF1E949FDA5B}">
  <sheetPr>
    <tabColor rgb="FFFF0000"/>
  </sheetPr>
  <dimension ref="A1:H162"/>
  <sheetViews>
    <sheetView topLeftCell="A4" zoomScale="130" zoomScaleNormal="130" workbookViewId="0">
      <selection activeCell="D5" sqref="D5:D9"/>
    </sheetView>
  </sheetViews>
  <sheetFormatPr defaultRowHeight="15.5"/>
  <cols>
    <col min="1" max="1" width="6.54296875" style="102" bestFit="1" customWidth="1"/>
    <col min="2" max="2" width="58" style="102" bestFit="1" customWidth="1"/>
    <col min="3" max="3" width="22" style="102" bestFit="1" customWidth="1"/>
    <col min="4" max="4" width="49.81640625" style="102" bestFit="1" customWidth="1"/>
    <col min="5" max="5" width="20.54296875" style="102" customWidth="1"/>
  </cols>
  <sheetData>
    <row r="1" spans="1:8" s="80" customFormat="1" ht="26.15" customHeight="1">
      <c r="A1" s="457" t="str">
        <f>Detail!A1</f>
        <v>U MYO MIN AUNG (KAN NAR LANN, MAGWAY)</v>
      </c>
      <c r="B1" s="457"/>
      <c r="C1" s="457"/>
      <c r="D1" s="457"/>
      <c r="E1" s="256"/>
      <c r="H1" s="81"/>
    </row>
    <row r="2" spans="1:8" s="80" customFormat="1" ht="26.15" customHeight="1">
      <c r="A2" s="457" t="s">
        <v>471</v>
      </c>
      <c r="B2" s="457"/>
      <c r="C2" s="457"/>
      <c r="D2" s="457"/>
      <c r="E2" s="256"/>
      <c r="H2" s="81"/>
    </row>
    <row r="3" spans="1:8" s="78" customFormat="1" ht="26.15" customHeight="1">
      <c r="A3" s="458" t="s">
        <v>68</v>
      </c>
      <c r="B3" s="458"/>
      <c r="C3" s="458"/>
      <c r="D3" s="458"/>
      <c r="E3" s="264"/>
    </row>
    <row r="4" spans="1:8" s="78" customFormat="1" ht="26.15" customHeight="1">
      <c r="A4" s="378" t="s">
        <v>0</v>
      </c>
      <c r="B4" s="378" t="s">
        <v>58</v>
      </c>
      <c r="C4" s="379" t="s">
        <v>20</v>
      </c>
      <c r="D4" s="378" t="s">
        <v>59</v>
      </c>
      <c r="E4" s="266"/>
    </row>
    <row r="5" spans="1:8" s="78" customFormat="1" ht="26.15" customHeight="1">
      <c r="A5" s="380">
        <v>1</v>
      </c>
      <c r="B5" s="70" t="s">
        <v>60</v>
      </c>
      <c r="C5" s="71">
        <f>'BQ-YB'!G36</f>
        <v>208044765.83000001</v>
      </c>
      <c r="D5" s="396" t="s">
        <v>475</v>
      </c>
      <c r="E5" s="265"/>
    </row>
    <row r="6" spans="1:8" s="78" customFormat="1" ht="26.15" customHeight="1">
      <c r="A6" s="381">
        <v>2</v>
      </c>
      <c r="B6" s="72" t="s">
        <v>61</v>
      </c>
      <c r="C6" s="73">
        <f>'BQ-YB'!G47</f>
        <v>84491740</v>
      </c>
      <c r="D6" s="394" t="s">
        <v>476</v>
      </c>
      <c r="E6" s="265"/>
    </row>
    <row r="7" spans="1:8" s="78" customFormat="1" ht="26.15" customHeight="1">
      <c r="A7" s="381">
        <v>3</v>
      </c>
      <c r="B7" s="72" t="s">
        <v>464</v>
      </c>
      <c r="C7" s="73">
        <f>'BQ-YB'!G52</f>
        <v>4382400</v>
      </c>
      <c r="D7" s="394" t="s">
        <v>477</v>
      </c>
      <c r="E7" s="265"/>
    </row>
    <row r="8" spans="1:8" s="78" customFormat="1" ht="26.15" customHeight="1">
      <c r="A8" s="381">
        <v>4</v>
      </c>
      <c r="B8" s="72" t="s">
        <v>457</v>
      </c>
      <c r="C8" s="73">
        <f>'BQ-YB'!G57</f>
        <v>5400000</v>
      </c>
      <c r="D8" s="394" t="s">
        <v>479</v>
      </c>
      <c r="E8" s="265"/>
    </row>
    <row r="9" spans="1:8" s="78" customFormat="1" ht="26.15" customHeight="1">
      <c r="A9" s="382"/>
      <c r="B9" s="75"/>
      <c r="C9" s="76"/>
      <c r="D9" s="395" t="s">
        <v>478</v>
      </c>
      <c r="E9" s="265"/>
    </row>
    <row r="10" spans="1:8" s="78" customFormat="1" ht="26.15" customHeight="1">
      <c r="A10" s="387"/>
      <c r="B10" s="362" t="s">
        <v>454</v>
      </c>
      <c r="C10" s="363">
        <f>SUM(C5:C8)</f>
        <v>302318905.82999998</v>
      </c>
      <c r="D10" s="77"/>
      <c r="E10" s="266"/>
    </row>
    <row r="11" spans="1:8" s="78" customFormat="1" ht="26.15" customHeight="1">
      <c r="A11" s="383">
        <v>5</v>
      </c>
      <c r="B11" s="120" t="s">
        <v>455</v>
      </c>
      <c r="C11" s="360">
        <f>C5*0.03</f>
        <v>6241342.9699999997</v>
      </c>
      <c r="D11" s="361"/>
      <c r="E11" s="266"/>
    </row>
    <row r="12" spans="1:8" s="78" customFormat="1" ht="26.15" customHeight="1">
      <c r="A12" s="381">
        <v>6</v>
      </c>
      <c r="B12" s="72" t="s">
        <v>456</v>
      </c>
      <c r="C12" s="73">
        <f>C10*0.05</f>
        <v>15115945.289999999</v>
      </c>
      <c r="D12" s="74"/>
      <c r="E12" s="265"/>
    </row>
    <row r="13" spans="1:8" s="78" customFormat="1" ht="26.15" customHeight="1">
      <c r="A13" s="384">
        <v>8</v>
      </c>
      <c r="B13" s="72" t="s">
        <v>486</v>
      </c>
      <c r="C13" s="130">
        <f>C10*0.1</f>
        <v>30231890.579999998</v>
      </c>
      <c r="D13" s="121"/>
      <c r="E13" s="265"/>
    </row>
    <row r="14" spans="1:8" s="78" customFormat="1" ht="26.15" customHeight="1">
      <c r="A14" s="385"/>
      <c r="B14" s="75"/>
      <c r="C14" s="76"/>
      <c r="D14" s="75"/>
      <c r="E14" s="265"/>
    </row>
    <row r="15" spans="1:8" s="83" customFormat="1" ht="26.15" customHeight="1">
      <c r="A15" s="388"/>
      <c r="B15" s="364" t="s">
        <v>62</v>
      </c>
      <c r="C15" s="363">
        <f>SUM(C10:C14)</f>
        <v>353908084.67000002</v>
      </c>
      <c r="D15" s="77"/>
    </row>
    <row r="16" spans="1:8" s="78" customFormat="1" ht="26.15" customHeight="1">
      <c r="A16" s="456" t="s">
        <v>41</v>
      </c>
      <c r="B16" s="456"/>
      <c r="C16" s="386">
        <f>ROUND(C15,-4)</f>
        <v>353910000</v>
      </c>
      <c r="D16" s="389"/>
    </row>
    <row r="17" spans="1:5" s="83" customFormat="1" ht="26.15" customHeight="1">
      <c r="A17" s="417"/>
      <c r="B17" s="417"/>
      <c r="C17" s="418"/>
    </row>
    <row r="18" spans="1:5" s="78" customFormat="1" ht="30" customHeight="1">
      <c r="B18" s="401" t="s">
        <v>469</v>
      </c>
      <c r="C18" s="402">
        <f>'Floor Area'!G11</f>
        <v>3729.4</v>
      </c>
    </row>
    <row r="19" spans="1:5" s="78" customFormat="1" ht="30" customHeight="1">
      <c r="B19" s="401" t="s">
        <v>470</v>
      </c>
      <c r="C19" s="403">
        <f>C16/C18</f>
        <v>94897</v>
      </c>
      <c r="E19" s="253"/>
    </row>
    <row r="20" spans="1:5" s="78" customFormat="1" ht="30" customHeight="1">
      <c r="E20" s="253"/>
    </row>
    <row r="21" spans="1:5" s="78" customFormat="1" ht="30" customHeight="1"/>
    <row r="22" spans="1:5" s="78" customFormat="1" ht="30" customHeight="1"/>
    <row r="23" spans="1:5" s="78" customFormat="1" ht="30" customHeight="1"/>
    <row r="24" spans="1:5" s="78" customFormat="1" ht="30" customHeight="1"/>
    <row r="25" spans="1:5" s="78" customFormat="1" ht="30" customHeight="1"/>
    <row r="26" spans="1:5" s="78" customFormat="1" ht="30" customHeight="1"/>
    <row r="27" spans="1:5" s="35" customFormat="1" ht="30" customHeight="1">
      <c r="A27" s="78"/>
      <c r="B27" s="78"/>
      <c r="C27" s="78"/>
      <c r="D27" s="78"/>
      <c r="E27" s="78"/>
    </row>
    <row r="28" spans="1:5" s="35" customFormat="1" ht="30" customHeight="1">
      <c r="A28" s="78"/>
      <c r="B28" s="78"/>
      <c r="C28" s="78"/>
      <c r="D28" s="78"/>
      <c r="E28" s="78"/>
    </row>
    <row r="29" spans="1:5" s="35" customFormat="1" ht="30" customHeight="1">
      <c r="A29" s="78"/>
      <c r="B29" s="78"/>
      <c r="C29" s="78"/>
      <c r="D29" s="78"/>
      <c r="E29" s="78"/>
    </row>
    <row r="30" spans="1:5" s="35" customFormat="1" ht="30" customHeight="1">
      <c r="A30" s="78"/>
      <c r="B30" s="78"/>
      <c r="C30" s="78"/>
      <c r="D30" s="78"/>
      <c r="E30" s="78"/>
    </row>
    <row r="31" spans="1:5" s="35" customFormat="1" ht="30" customHeight="1">
      <c r="A31" s="78"/>
      <c r="B31" s="78"/>
      <c r="C31" s="78"/>
      <c r="D31" s="78"/>
      <c r="E31" s="78"/>
    </row>
    <row r="32" spans="1:5" s="35" customFormat="1" ht="30" customHeight="1">
      <c r="A32" s="78"/>
      <c r="B32" s="78"/>
      <c r="C32" s="78"/>
      <c r="D32" s="78"/>
      <c r="E32" s="78"/>
    </row>
    <row r="33" spans="1:5" s="35" customFormat="1" ht="30" customHeight="1">
      <c r="A33" s="78"/>
      <c r="B33" s="78"/>
      <c r="C33" s="78"/>
      <c r="D33" s="78"/>
      <c r="E33" s="78"/>
    </row>
    <row r="34" spans="1:5" s="35" customFormat="1" ht="30" customHeight="1">
      <c r="A34" s="78"/>
      <c r="B34" s="78"/>
      <c r="C34" s="78"/>
      <c r="D34" s="78"/>
      <c r="E34" s="78"/>
    </row>
    <row r="35" spans="1:5" s="35" customFormat="1" ht="30" customHeight="1">
      <c r="A35" s="78"/>
      <c r="B35" s="78"/>
      <c r="C35" s="78"/>
      <c r="D35" s="78"/>
      <c r="E35" s="78"/>
    </row>
    <row r="36" spans="1:5" s="35" customFormat="1" ht="30" customHeight="1">
      <c r="A36" s="78"/>
      <c r="B36" s="78"/>
      <c r="C36" s="78"/>
      <c r="D36" s="78"/>
      <c r="E36" s="78"/>
    </row>
    <row r="37" spans="1:5" s="35" customFormat="1" ht="30" customHeight="1">
      <c r="A37" s="78"/>
      <c r="B37" s="78"/>
      <c r="C37" s="78"/>
      <c r="D37" s="78"/>
      <c r="E37" s="78"/>
    </row>
    <row r="38" spans="1:5" s="35" customFormat="1" ht="30" customHeight="1">
      <c r="A38" s="78"/>
      <c r="B38" s="78"/>
      <c r="C38" s="78"/>
      <c r="D38" s="78"/>
      <c r="E38" s="78"/>
    </row>
    <row r="39" spans="1:5" s="35" customFormat="1" ht="30" customHeight="1">
      <c r="A39" s="78"/>
      <c r="B39" s="78"/>
      <c r="C39" s="78"/>
      <c r="D39" s="78"/>
      <c r="E39" s="78"/>
    </row>
    <row r="40" spans="1:5" s="35" customFormat="1" ht="30" customHeight="1">
      <c r="A40" s="78"/>
      <c r="B40" s="78"/>
      <c r="C40" s="78"/>
      <c r="D40" s="78"/>
      <c r="E40" s="78"/>
    </row>
    <row r="41" spans="1:5" s="35" customFormat="1" ht="30" customHeight="1">
      <c r="A41" s="78"/>
      <c r="B41" s="78"/>
      <c r="C41" s="78"/>
      <c r="D41" s="78"/>
      <c r="E41" s="78"/>
    </row>
    <row r="42" spans="1:5" s="35" customFormat="1" ht="30" customHeight="1">
      <c r="A42" s="78"/>
      <c r="B42" s="78"/>
      <c r="C42" s="78"/>
      <c r="D42" s="78"/>
      <c r="E42" s="78"/>
    </row>
    <row r="43" spans="1:5" s="35" customFormat="1" ht="30" customHeight="1">
      <c r="A43" s="78"/>
      <c r="B43" s="78"/>
      <c r="C43" s="78"/>
      <c r="D43" s="78"/>
      <c r="E43" s="78"/>
    </row>
    <row r="44" spans="1:5" s="35" customFormat="1" ht="30" customHeight="1">
      <c r="A44" s="78"/>
      <c r="B44" s="78"/>
      <c r="C44" s="78"/>
      <c r="D44" s="78"/>
      <c r="E44" s="78"/>
    </row>
    <row r="45" spans="1:5" s="35" customFormat="1" ht="30" customHeight="1">
      <c r="A45" s="78"/>
      <c r="B45" s="78"/>
      <c r="C45" s="78"/>
      <c r="D45" s="78"/>
      <c r="E45" s="78"/>
    </row>
    <row r="46" spans="1:5" s="35" customFormat="1" ht="30" customHeight="1">
      <c r="A46" s="78"/>
      <c r="B46" s="78"/>
      <c r="C46" s="78"/>
      <c r="D46" s="78"/>
      <c r="E46" s="78"/>
    </row>
    <row r="47" spans="1:5" s="35" customFormat="1" ht="30" customHeight="1">
      <c r="A47" s="78"/>
      <c r="B47" s="78"/>
      <c r="C47" s="78"/>
      <c r="D47" s="78"/>
      <c r="E47" s="78"/>
    </row>
    <row r="48" spans="1:5" s="35" customFormat="1" ht="30" customHeight="1">
      <c r="A48" s="78"/>
      <c r="B48" s="78"/>
      <c r="C48" s="78"/>
      <c r="D48" s="78"/>
      <c r="E48" s="78"/>
    </row>
    <row r="49" spans="1:5" s="35" customFormat="1" ht="30" customHeight="1">
      <c r="A49" s="78"/>
      <c r="B49" s="78"/>
      <c r="C49" s="78"/>
      <c r="D49" s="78"/>
      <c r="E49" s="78"/>
    </row>
    <row r="50" spans="1:5" s="35" customFormat="1" ht="30" customHeight="1">
      <c r="A50" s="78"/>
      <c r="B50" s="78"/>
      <c r="C50" s="78"/>
      <c r="D50" s="78"/>
      <c r="E50" s="78"/>
    </row>
    <row r="51" spans="1:5" s="35" customFormat="1" ht="30" customHeight="1">
      <c r="A51" s="78"/>
      <c r="B51" s="78"/>
      <c r="C51" s="78"/>
      <c r="D51" s="78"/>
      <c r="E51" s="78"/>
    </row>
    <row r="52" spans="1:5" s="35" customFormat="1" ht="30" customHeight="1">
      <c r="A52" s="78"/>
      <c r="B52" s="78"/>
      <c r="C52" s="78"/>
      <c r="D52" s="78"/>
      <c r="E52" s="78"/>
    </row>
    <row r="53" spans="1:5" s="35" customFormat="1" ht="30" customHeight="1">
      <c r="A53" s="78"/>
      <c r="B53" s="78"/>
      <c r="C53" s="78"/>
      <c r="D53" s="78"/>
      <c r="E53" s="78"/>
    </row>
    <row r="54" spans="1:5" s="35" customFormat="1" ht="30" customHeight="1">
      <c r="A54" s="78"/>
      <c r="B54" s="78"/>
      <c r="C54" s="78"/>
      <c r="D54" s="78"/>
      <c r="E54" s="78"/>
    </row>
    <row r="55" spans="1:5" s="35" customFormat="1" ht="30" customHeight="1">
      <c r="A55" s="78"/>
      <c r="B55" s="78"/>
      <c r="C55" s="78"/>
      <c r="D55" s="78"/>
      <c r="E55" s="78"/>
    </row>
    <row r="56" spans="1:5" s="35" customFormat="1" ht="30" customHeight="1">
      <c r="A56" s="78"/>
      <c r="B56" s="78"/>
      <c r="C56" s="78"/>
      <c r="D56" s="78"/>
      <c r="E56" s="78"/>
    </row>
    <row r="57" spans="1:5" s="35" customFormat="1" ht="30" customHeight="1">
      <c r="A57" s="78"/>
      <c r="B57" s="78"/>
      <c r="C57" s="78"/>
      <c r="D57" s="78"/>
      <c r="E57" s="78"/>
    </row>
    <row r="58" spans="1:5" s="35" customFormat="1" ht="30" customHeight="1">
      <c r="A58" s="78"/>
      <c r="B58" s="78"/>
      <c r="C58" s="78"/>
      <c r="D58" s="78"/>
      <c r="E58" s="78"/>
    </row>
    <row r="59" spans="1:5" s="35" customFormat="1" ht="30" customHeight="1">
      <c r="A59" s="78"/>
      <c r="B59" s="78"/>
      <c r="C59" s="78"/>
      <c r="D59" s="78"/>
      <c r="E59" s="78"/>
    </row>
    <row r="60" spans="1:5" s="35" customFormat="1" ht="30" customHeight="1">
      <c r="A60" s="78"/>
      <c r="B60" s="78"/>
      <c r="C60" s="78"/>
      <c r="D60" s="78"/>
      <c r="E60" s="78"/>
    </row>
    <row r="61" spans="1:5" s="35" customFormat="1" ht="30" customHeight="1">
      <c r="A61" s="78"/>
      <c r="B61" s="78"/>
      <c r="C61" s="78"/>
      <c r="D61" s="78"/>
      <c r="E61" s="78"/>
    </row>
    <row r="62" spans="1:5" s="35" customFormat="1" ht="30" customHeight="1">
      <c r="A62" s="78"/>
      <c r="B62" s="78"/>
      <c r="C62" s="78"/>
      <c r="D62" s="78"/>
      <c r="E62" s="78"/>
    </row>
    <row r="63" spans="1:5" s="35" customFormat="1" ht="30" customHeight="1">
      <c r="A63" s="78"/>
      <c r="B63" s="78"/>
      <c r="C63" s="78"/>
      <c r="D63" s="78"/>
      <c r="E63" s="78"/>
    </row>
    <row r="64" spans="1:5" s="35" customFormat="1" ht="30" customHeight="1">
      <c r="A64" s="78"/>
      <c r="B64" s="78"/>
      <c r="C64" s="78"/>
      <c r="D64" s="78"/>
      <c r="E64" s="78"/>
    </row>
    <row r="65" spans="1:5" s="35" customFormat="1" ht="30" customHeight="1">
      <c r="A65" s="78"/>
      <c r="B65" s="78"/>
      <c r="C65" s="78"/>
      <c r="D65" s="78"/>
      <c r="E65" s="78"/>
    </row>
    <row r="66" spans="1:5" s="35" customFormat="1" ht="30" customHeight="1">
      <c r="A66" s="78"/>
      <c r="B66" s="78"/>
      <c r="C66" s="78"/>
      <c r="D66" s="78"/>
      <c r="E66" s="78"/>
    </row>
    <row r="67" spans="1:5" s="35" customFormat="1" ht="30" customHeight="1">
      <c r="A67" s="78"/>
      <c r="B67" s="78"/>
      <c r="C67" s="78"/>
      <c r="D67" s="78"/>
      <c r="E67" s="78"/>
    </row>
    <row r="68" spans="1:5" s="35" customFormat="1" ht="30" customHeight="1">
      <c r="A68" s="78"/>
      <c r="B68" s="78"/>
      <c r="C68" s="78"/>
      <c r="D68" s="78"/>
      <c r="E68" s="78"/>
    </row>
    <row r="69" spans="1:5" s="35" customFormat="1" ht="30" customHeight="1">
      <c r="A69" s="78"/>
      <c r="B69" s="78"/>
      <c r="C69" s="78"/>
      <c r="D69" s="78"/>
      <c r="E69" s="78"/>
    </row>
    <row r="70" spans="1:5" s="35" customFormat="1" ht="30" customHeight="1">
      <c r="A70" s="78"/>
      <c r="B70" s="78"/>
      <c r="C70" s="78"/>
      <c r="D70" s="78"/>
      <c r="E70" s="78"/>
    </row>
    <row r="71" spans="1:5" s="35" customFormat="1" ht="30" customHeight="1">
      <c r="A71" s="78"/>
      <c r="B71" s="78"/>
      <c r="C71" s="78"/>
      <c r="D71" s="78"/>
      <c r="E71" s="78"/>
    </row>
    <row r="72" spans="1:5" s="35" customFormat="1" ht="30" customHeight="1">
      <c r="A72" s="78"/>
      <c r="B72" s="78"/>
      <c r="C72" s="78"/>
      <c r="D72" s="78"/>
      <c r="E72" s="78"/>
    </row>
    <row r="73" spans="1:5" s="35" customFormat="1" ht="30" customHeight="1">
      <c r="A73" s="78"/>
      <c r="B73" s="78"/>
      <c r="C73" s="78"/>
      <c r="D73" s="78"/>
      <c r="E73" s="78"/>
    </row>
    <row r="74" spans="1:5" s="35" customFormat="1" ht="30" customHeight="1">
      <c r="A74" s="78"/>
      <c r="B74" s="78"/>
      <c r="C74" s="78"/>
      <c r="D74" s="78"/>
      <c r="E74" s="78"/>
    </row>
    <row r="75" spans="1:5" s="35" customFormat="1" ht="30" customHeight="1">
      <c r="A75" s="78"/>
      <c r="B75" s="78"/>
      <c r="C75" s="78"/>
      <c r="D75" s="78"/>
      <c r="E75" s="78"/>
    </row>
    <row r="76" spans="1:5" s="35" customFormat="1" ht="30" customHeight="1">
      <c r="A76" s="78"/>
      <c r="B76" s="78"/>
      <c r="C76" s="78"/>
      <c r="D76" s="78"/>
      <c r="E76" s="78"/>
    </row>
    <row r="77" spans="1:5" s="35" customFormat="1" ht="30" customHeight="1">
      <c r="A77" s="78"/>
      <c r="B77" s="78"/>
      <c r="C77" s="78"/>
      <c r="D77" s="78"/>
      <c r="E77" s="78"/>
    </row>
    <row r="78" spans="1:5" s="35" customFormat="1" ht="30" customHeight="1">
      <c r="A78" s="78"/>
      <c r="B78" s="78"/>
      <c r="C78" s="78"/>
      <c r="D78" s="78"/>
      <c r="E78" s="78"/>
    </row>
    <row r="79" spans="1:5" s="35" customFormat="1" ht="30" customHeight="1">
      <c r="A79" s="78"/>
      <c r="B79" s="78"/>
      <c r="C79" s="78"/>
      <c r="D79" s="78"/>
      <c r="E79" s="78"/>
    </row>
    <row r="80" spans="1:5" s="35" customFormat="1" ht="30" customHeight="1">
      <c r="A80" s="78"/>
      <c r="B80" s="78"/>
      <c r="C80" s="78"/>
      <c r="D80" s="78"/>
      <c r="E80" s="78"/>
    </row>
    <row r="81" spans="1:5" s="35" customFormat="1" ht="30" customHeight="1">
      <c r="A81" s="78"/>
      <c r="B81" s="78"/>
      <c r="C81" s="78"/>
      <c r="D81" s="78"/>
      <c r="E81" s="78"/>
    </row>
    <row r="82" spans="1:5" s="35" customFormat="1" ht="30" customHeight="1">
      <c r="A82" s="78"/>
      <c r="B82" s="78"/>
      <c r="C82" s="78"/>
      <c r="D82" s="78"/>
      <c r="E82" s="78"/>
    </row>
    <row r="83" spans="1:5" s="35" customFormat="1" ht="30" customHeight="1">
      <c r="A83" s="78"/>
      <c r="B83" s="78"/>
      <c r="C83" s="78"/>
      <c r="D83" s="78"/>
      <c r="E83" s="78"/>
    </row>
    <row r="84" spans="1:5" s="35" customFormat="1" ht="30" customHeight="1">
      <c r="A84" s="78"/>
      <c r="B84" s="78"/>
      <c r="C84" s="78"/>
      <c r="D84" s="78"/>
      <c r="E84" s="78"/>
    </row>
    <row r="85" spans="1:5" s="35" customFormat="1" ht="30" customHeight="1">
      <c r="A85" s="78"/>
      <c r="B85" s="78"/>
      <c r="C85" s="78"/>
      <c r="D85" s="78"/>
      <c r="E85" s="78"/>
    </row>
    <row r="86" spans="1:5" s="35" customFormat="1" ht="30" customHeight="1">
      <c r="A86" s="78"/>
      <c r="B86" s="78"/>
      <c r="C86" s="78"/>
      <c r="D86" s="78"/>
      <c r="E86" s="78"/>
    </row>
    <row r="87" spans="1:5" s="35" customFormat="1" ht="30" customHeight="1">
      <c r="A87" s="78"/>
      <c r="B87" s="78"/>
      <c r="C87" s="78"/>
      <c r="D87" s="78"/>
      <c r="E87" s="78"/>
    </row>
    <row r="88" spans="1:5" s="35" customFormat="1" ht="30" customHeight="1">
      <c r="A88" s="78"/>
      <c r="B88" s="78"/>
      <c r="C88" s="78"/>
      <c r="D88" s="78"/>
      <c r="E88" s="78"/>
    </row>
    <row r="89" spans="1:5" s="35" customFormat="1" ht="30" customHeight="1">
      <c r="A89" s="78"/>
      <c r="B89" s="78"/>
      <c r="C89" s="78"/>
      <c r="D89" s="78"/>
      <c r="E89" s="78"/>
    </row>
    <row r="90" spans="1:5" s="35" customFormat="1" ht="30" customHeight="1">
      <c r="A90" s="78"/>
      <c r="B90" s="78"/>
      <c r="C90" s="78"/>
      <c r="D90" s="78"/>
      <c r="E90" s="78"/>
    </row>
    <row r="91" spans="1:5" s="35" customFormat="1" ht="30" customHeight="1">
      <c r="A91" s="78"/>
      <c r="B91" s="78"/>
      <c r="C91" s="78"/>
      <c r="D91" s="78"/>
      <c r="E91" s="78"/>
    </row>
    <row r="92" spans="1:5" s="35" customFormat="1" ht="30" customHeight="1">
      <c r="A92" s="78"/>
      <c r="B92" s="78"/>
      <c r="C92" s="78"/>
      <c r="D92" s="78"/>
      <c r="E92" s="78"/>
    </row>
    <row r="93" spans="1:5" s="35" customFormat="1" ht="30" customHeight="1">
      <c r="A93" s="78"/>
      <c r="B93" s="78"/>
      <c r="C93" s="78"/>
      <c r="D93" s="78"/>
      <c r="E93" s="78"/>
    </row>
    <row r="94" spans="1:5" s="35" customFormat="1" ht="30" customHeight="1">
      <c r="A94" s="78"/>
      <c r="B94" s="78"/>
      <c r="C94" s="78"/>
      <c r="D94" s="78"/>
      <c r="E94" s="78"/>
    </row>
    <row r="95" spans="1:5" s="35" customFormat="1" ht="30" customHeight="1">
      <c r="A95" s="78"/>
      <c r="B95" s="78"/>
      <c r="C95" s="78"/>
      <c r="D95" s="78"/>
      <c r="E95" s="78"/>
    </row>
    <row r="96" spans="1:5" s="35" customFormat="1" ht="30" customHeight="1">
      <c r="A96" s="78"/>
      <c r="B96" s="78"/>
      <c r="C96" s="78"/>
      <c r="D96" s="78"/>
      <c r="E96" s="78"/>
    </row>
    <row r="97" spans="1:5" s="35" customFormat="1" ht="30" customHeight="1">
      <c r="A97" s="78"/>
      <c r="B97" s="78"/>
      <c r="C97" s="78"/>
      <c r="D97" s="78"/>
      <c r="E97" s="78"/>
    </row>
    <row r="98" spans="1:5" s="35" customFormat="1" ht="30" customHeight="1">
      <c r="A98" s="78"/>
      <c r="B98" s="78"/>
      <c r="C98" s="78"/>
      <c r="D98" s="78"/>
      <c r="E98" s="78"/>
    </row>
    <row r="99" spans="1:5" s="35" customFormat="1" ht="30" customHeight="1">
      <c r="A99" s="78"/>
      <c r="B99" s="78"/>
      <c r="C99" s="78"/>
      <c r="D99" s="78"/>
      <c r="E99" s="78"/>
    </row>
    <row r="100" spans="1:5" s="35" customFormat="1" ht="30" customHeight="1">
      <c r="A100" s="78"/>
      <c r="B100" s="78"/>
      <c r="C100" s="78"/>
      <c r="D100" s="78"/>
      <c r="E100" s="78"/>
    </row>
    <row r="101" spans="1:5" s="35" customFormat="1" ht="30" customHeight="1">
      <c r="A101" s="78"/>
      <c r="B101" s="78"/>
      <c r="C101" s="78"/>
      <c r="D101" s="78"/>
      <c r="E101" s="78"/>
    </row>
    <row r="102" spans="1:5" s="35" customFormat="1" ht="30" customHeight="1">
      <c r="A102" s="78"/>
      <c r="B102" s="78"/>
      <c r="C102" s="78"/>
      <c r="D102" s="78"/>
      <c r="E102" s="78"/>
    </row>
    <row r="103" spans="1:5" s="35" customFormat="1" ht="30" customHeight="1">
      <c r="A103" s="78"/>
      <c r="B103" s="78"/>
      <c r="C103" s="78"/>
      <c r="D103" s="78"/>
      <c r="E103" s="78"/>
    </row>
    <row r="104" spans="1:5" s="35" customFormat="1" ht="30" customHeight="1">
      <c r="A104" s="78"/>
      <c r="B104" s="78"/>
      <c r="C104" s="78"/>
      <c r="D104" s="78"/>
      <c r="E104" s="78"/>
    </row>
    <row r="105" spans="1:5" s="35" customFormat="1" ht="30" customHeight="1">
      <c r="A105" s="78"/>
      <c r="B105" s="78"/>
      <c r="C105" s="78"/>
      <c r="D105" s="78"/>
      <c r="E105" s="78"/>
    </row>
    <row r="106" spans="1:5" s="35" customFormat="1" ht="30" customHeight="1">
      <c r="A106" s="78"/>
      <c r="B106" s="78"/>
      <c r="C106" s="78"/>
      <c r="D106" s="78"/>
      <c r="E106" s="78"/>
    </row>
    <row r="107" spans="1:5" s="35" customFormat="1" ht="30" customHeight="1">
      <c r="A107" s="78"/>
      <c r="B107" s="78"/>
      <c r="C107" s="78"/>
      <c r="D107" s="78"/>
      <c r="E107" s="78"/>
    </row>
    <row r="108" spans="1:5" s="35" customFormat="1" ht="30" customHeight="1">
      <c r="A108" s="78"/>
      <c r="B108" s="78"/>
      <c r="C108" s="78"/>
      <c r="D108" s="78"/>
      <c r="E108" s="78"/>
    </row>
    <row r="109" spans="1:5" s="35" customFormat="1" ht="30" customHeight="1">
      <c r="A109" s="78"/>
      <c r="B109" s="78"/>
      <c r="C109" s="78"/>
      <c r="D109" s="78"/>
      <c r="E109" s="78"/>
    </row>
    <row r="110" spans="1:5" s="35" customFormat="1" ht="30" customHeight="1">
      <c r="A110" s="78"/>
      <c r="B110" s="78"/>
      <c r="C110" s="78"/>
      <c r="D110" s="78"/>
      <c r="E110" s="78"/>
    </row>
    <row r="111" spans="1:5" s="35" customFormat="1" ht="30" customHeight="1">
      <c r="A111" s="78"/>
      <c r="B111" s="78"/>
      <c r="C111" s="78"/>
      <c r="D111" s="78"/>
      <c r="E111" s="78"/>
    </row>
    <row r="112" spans="1:5" s="35" customFormat="1" ht="30" customHeight="1">
      <c r="A112" s="78"/>
      <c r="B112" s="78"/>
      <c r="C112" s="78"/>
      <c r="D112" s="78"/>
      <c r="E112" s="78"/>
    </row>
    <row r="113" spans="1:5" s="35" customFormat="1" ht="30" customHeight="1">
      <c r="A113" s="78"/>
      <c r="B113" s="78"/>
      <c r="C113" s="78"/>
      <c r="D113" s="78"/>
      <c r="E113" s="78"/>
    </row>
    <row r="114" spans="1:5" s="35" customFormat="1" ht="30" customHeight="1">
      <c r="A114" s="78"/>
      <c r="B114" s="78"/>
      <c r="C114" s="78"/>
      <c r="D114" s="78"/>
      <c r="E114" s="78"/>
    </row>
    <row r="115" spans="1:5" s="35" customFormat="1" ht="30" customHeight="1">
      <c r="A115" s="78"/>
      <c r="B115" s="78"/>
      <c r="C115" s="78"/>
      <c r="D115" s="78"/>
      <c r="E115" s="78"/>
    </row>
    <row r="116" spans="1:5" s="35" customFormat="1" ht="30" customHeight="1">
      <c r="A116" s="78"/>
      <c r="B116" s="78"/>
      <c r="C116" s="78"/>
      <c r="D116" s="78"/>
      <c r="E116" s="78"/>
    </row>
    <row r="117" spans="1:5" s="35" customFormat="1" ht="30" customHeight="1">
      <c r="A117" s="78"/>
      <c r="B117" s="78"/>
      <c r="C117" s="78"/>
      <c r="D117" s="78"/>
      <c r="E117" s="78"/>
    </row>
    <row r="118" spans="1:5" s="35" customFormat="1" ht="30" customHeight="1">
      <c r="A118" s="78"/>
      <c r="B118" s="78"/>
      <c r="C118" s="78"/>
      <c r="D118" s="78"/>
      <c r="E118" s="78"/>
    </row>
    <row r="119" spans="1:5" s="35" customFormat="1" ht="30" customHeight="1">
      <c r="A119" s="78"/>
      <c r="B119" s="78"/>
      <c r="C119" s="78"/>
      <c r="D119" s="78"/>
      <c r="E119" s="78"/>
    </row>
    <row r="120" spans="1:5" s="35" customFormat="1" ht="30" customHeight="1">
      <c r="A120" s="78"/>
      <c r="B120" s="78"/>
      <c r="C120" s="78"/>
      <c r="D120" s="78"/>
      <c r="E120" s="78"/>
    </row>
    <row r="121" spans="1:5" s="35" customFormat="1" ht="30" customHeight="1">
      <c r="A121" s="78"/>
      <c r="B121" s="78"/>
      <c r="C121" s="78"/>
      <c r="D121" s="78"/>
      <c r="E121" s="78"/>
    </row>
    <row r="122" spans="1:5" s="35" customFormat="1" ht="30" customHeight="1">
      <c r="A122" s="78"/>
      <c r="B122" s="78"/>
      <c r="C122" s="78"/>
      <c r="D122" s="78"/>
      <c r="E122" s="78"/>
    </row>
    <row r="123" spans="1:5" s="35" customFormat="1" ht="30" customHeight="1">
      <c r="A123" s="78"/>
      <c r="B123" s="78"/>
      <c r="C123" s="78"/>
      <c r="D123" s="78"/>
      <c r="E123" s="78"/>
    </row>
    <row r="124" spans="1:5" s="35" customFormat="1" ht="30" customHeight="1">
      <c r="A124" s="78"/>
      <c r="B124" s="78"/>
      <c r="C124" s="78"/>
      <c r="D124" s="78"/>
      <c r="E124" s="78"/>
    </row>
    <row r="125" spans="1:5" s="35" customFormat="1" ht="30" customHeight="1">
      <c r="A125" s="78"/>
      <c r="B125" s="78"/>
      <c r="C125" s="78"/>
      <c r="D125" s="78"/>
      <c r="E125" s="78"/>
    </row>
    <row r="126" spans="1:5" s="35" customFormat="1" ht="30" customHeight="1">
      <c r="A126" s="78"/>
      <c r="B126" s="78"/>
      <c r="C126" s="78"/>
      <c r="D126" s="78"/>
      <c r="E126" s="78"/>
    </row>
    <row r="127" spans="1:5" s="35" customFormat="1" ht="30" customHeight="1">
      <c r="A127" s="78"/>
      <c r="B127" s="78"/>
      <c r="C127" s="78"/>
      <c r="D127" s="78"/>
      <c r="E127" s="78"/>
    </row>
    <row r="128" spans="1:5" s="35" customFormat="1" ht="30" customHeight="1">
      <c r="A128" s="78"/>
      <c r="B128" s="78"/>
      <c r="C128" s="78"/>
      <c r="D128" s="78"/>
      <c r="E128" s="78"/>
    </row>
    <row r="129" spans="1:5" s="35" customFormat="1" ht="30" customHeight="1">
      <c r="A129" s="78"/>
      <c r="B129" s="78"/>
      <c r="C129" s="78"/>
      <c r="D129" s="78"/>
      <c r="E129" s="78"/>
    </row>
    <row r="130" spans="1:5" s="35" customFormat="1" ht="30" customHeight="1">
      <c r="A130" s="78"/>
      <c r="B130" s="78"/>
      <c r="C130" s="78"/>
      <c r="D130" s="78"/>
      <c r="E130" s="78"/>
    </row>
    <row r="131" spans="1:5" s="35" customFormat="1" ht="30" customHeight="1">
      <c r="A131" s="78"/>
      <c r="B131" s="78"/>
      <c r="C131" s="78"/>
      <c r="D131" s="78"/>
      <c r="E131" s="78"/>
    </row>
    <row r="132" spans="1:5" s="35" customFormat="1" ht="30" customHeight="1">
      <c r="A132" s="78"/>
      <c r="B132" s="78"/>
      <c r="C132" s="78"/>
      <c r="D132" s="78"/>
      <c r="E132" s="78"/>
    </row>
    <row r="133" spans="1:5" s="35" customFormat="1" ht="30" customHeight="1">
      <c r="A133" s="78"/>
      <c r="B133" s="78"/>
      <c r="C133" s="78"/>
      <c r="D133" s="78"/>
      <c r="E133" s="78"/>
    </row>
    <row r="134" spans="1:5" s="35" customFormat="1" ht="30" customHeight="1">
      <c r="A134" s="78"/>
      <c r="B134" s="78"/>
      <c r="C134" s="78"/>
      <c r="D134" s="78"/>
      <c r="E134" s="78"/>
    </row>
    <row r="135" spans="1:5" s="35" customFormat="1" ht="30" customHeight="1">
      <c r="A135" s="78"/>
      <c r="B135" s="78"/>
      <c r="C135" s="78"/>
      <c r="D135" s="78"/>
      <c r="E135" s="78"/>
    </row>
    <row r="136" spans="1:5" s="35" customFormat="1" ht="30" customHeight="1">
      <c r="A136" s="78"/>
      <c r="B136" s="78"/>
      <c r="C136" s="78"/>
      <c r="D136" s="78"/>
      <c r="E136" s="78"/>
    </row>
    <row r="137" spans="1:5" s="35" customFormat="1" ht="30" customHeight="1">
      <c r="A137" s="78"/>
      <c r="B137" s="78"/>
      <c r="C137" s="78"/>
      <c r="D137" s="78"/>
      <c r="E137" s="78"/>
    </row>
    <row r="138" spans="1:5" s="35" customFormat="1" ht="30" customHeight="1">
      <c r="A138" s="78"/>
      <c r="B138" s="78"/>
      <c r="C138" s="78"/>
      <c r="D138" s="78"/>
      <c r="E138" s="78"/>
    </row>
    <row r="139" spans="1:5" s="35" customFormat="1" ht="30" customHeight="1">
      <c r="A139" s="78"/>
      <c r="B139" s="78"/>
      <c r="C139" s="78"/>
      <c r="D139" s="78"/>
      <c r="E139" s="78"/>
    </row>
    <row r="140" spans="1:5" s="35" customFormat="1" ht="30" customHeight="1">
      <c r="A140" s="78"/>
      <c r="B140" s="78"/>
      <c r="C140" s="78"/>
      <c r="D140" s="78"/>
      <c r="E140" s="78"/>
    </row>
    <row r="141" spans="1:5" s="35" customFormat="1" ht="30" customHeight="1">
      <c r="A141" s="78"/>
      <c r="B141" s="78"/>
      <c r="C141" s="78"/>
      <c r="D141" s="78"/>
      <c r="E141" s="78"/>
    </row>
    <row r="142" spans="1:5" s="35" customFormat="1" ht="30" customHeight="1">
      <c r="A142" s="78"/>
      <c r="B142" s="78"/>
      <c r="C142" s="78"/>
      <c r="D142" s="78"/>
      <c r="E142" s="78"/>
    </row>
    <row r="143" spans="1:5" s="35" customFormat="1" ht="30" customHeight="1">
      <c r="A143" s="78"/>
      <c r="B143" s="78"/>
      <c r="C143" s="78"/>
      <c r="D143" s="78"/>
      <c r="E143" s="78"/>
    </row>
    <row r="144" spans="1:5" s="35" customFormat="1" ht="30" customHeight="1">
      <c r="A144" s="78"/>
      <c r="B144" s="78"/>
      <c r="C144" s="78"/>
      <c r="D144" s="78"/>
      <c r="E144" s="78"/>
    </row>
    <row r="145" spans="1:5" s="35" customFormat="1" ht="30" customHeight="1">
      <c r="A145" s="78"/>
      <c r="B145" s="78"/>
      <c r="C145" s="78"/>
      <c r="D145" s="78"/>
      <c r="E145" s="78"/>
    </row>
    <row r="146" spans="1:5" s="35" customFormat="1" ht="30" customHeight="1">
      <c r="A146" s="78"/>
      <c r="B146" s="78"/>
      <c r="C146" s="78"/>
      <c r="D146" s="78"/>
      <c r="E146" s="78"/>
    </row>
    <row r="147" spans="1:5" s="35" customFormat="1" ht="30" customHeight="1">
      <c r="A147" s="78"/>
      <c r="B147" s="78"/>
      <c r="C147" s="78"/>
      <c r="D147" s="78"/>
      <c r="E147" s="78"/>
    </row>
    <row r="148" spans="1:5" s="35" customFormat="1" ht="30" customHeight="1">
      <c r="A148" s="78"/>
      <c r="B148" s="78"/>
      <c r="C148" s="78"/>
      <c r="D148" s="78"/>
      <c r="E148" s="78"/>
    </row>
    <row r="149" spans="1:5" s="35" customFormat="1" ht="30" customHeight="1">
      <c r="A149" s="78"/>
      <c r="B149" s="78"/>
      <c r="C149" s="78"/>
      <c r="D149" s="78"/>
      <c r="E149" s="78"/>
    </row>
    <row r="150" spans="1:5" s="35" customFormat="1" ht="30" customHeight="1">
      <c r="A150" s="78"/>
      <c r="B150" s="78"/>
      <c r="C150" s="78"/>
      <c r="D150" s="78"/>
      <c r="E150" s="78"/>
    </row>
    <row r="151" spans="1:5" s="35" customFormat="1" ht="30" customHeight="1">
      <c r="A151" s="78"/>
      <c r="B151" s="78"/>
      <c r="C151" s="78"/>
      <c r="D151" s="78"/>
      <c r="E151" s="78"/>
    </row>
    <row r="152" spans="1:5" s="35" customFormat="1" ht="30" customHeight="1">
      <c r="A152" s="78"/>
      <c r="B152" s="78"/>
      <c r="C152" s="78"/>
      <c r="D152" s="78"/>
      <c r="E152" s="78"/>
    </row>
    <row r="153" spans="1:5" s="35" customFormat="1" ht="30" customHeight="1">
      <c r="A153" s="78"/>
      <c r="B153" s="78"/>
      <c r="C153" s="78"/>
      <c r="D153" s="78"/>
      <c r="E153" s="78"/>
    </row>
    <row r="154" spans="1:5" s="35" customFormat="1" ht="30" customHeight="1">
      <c r="A154" s="78"/>
      <c r="B154" s="78"/>
      <c r="C154" s="78"/>
      <c r="D154" s="78"/>
      <c r="E154" s="78"/>
    </row>
    <row r="155" spans="1:5" s="35" customFormat="1" ht="30" customHeight="1">
      <c r="A155" s="78"/>
      <c r="B155" s="78"/>
      <c r="C155" s="78"/>
      <c r="D155" s="78"/>
      <c r="E155" s="78"/>
    </row>
    <row r="156" spans="1:5" s="35" customFormat="1" ht="30" customHeight="1">
      <c r="A156" s="78"/>
      <c r="B156" s="78"/>
      <c r="C156" s="78"/>
      <c r="D156" s="78"/>
      <c r="E156" s="78"/>
    </row>
    <row r="157" spans="1:5" s="35" customFormat="1" ht="30" customHeight="1">
      <c r="A157" s="78"/>
      <c r="B157" s="78"/>
      <c r="C157" s="78"/>
      <c r="D157" s="78"/>
      <c r="E157" s="78"/>
    </row>
    <row r="158" spans="1:5" s="35" customFormat="1" ht="30" customHeight="1">
      <c r="A158" s="78"/>
      <c r="B158" s="78"/>
      <c r="C158" s="78"/>
      <c r="D158" s="78"/>
      <c r="E158" s="78"/>
    </row>
    <row r="159" spans="1:5" s="35" customFormat="1" ht="30" customHeight="1">
      <c r="A159" s="78"/>
      <c r="B159" s="78"/>
      <c r="C159" s="78"/>
      <c r="D159" s="78"/>
      <c r="E159" s="78"/>
    </row>
    <row r="160" spans="1:5" s="35" customFormat="1" ht="30" customHeight="1">
      <c r="A160" s="78"/>
      <c r="B160" s="78"/>
      <c r="C160" s="78"/>
      <c r="D160" s="78"/>
      <c r="E160" s="78"/>
    </row>
    <row r="161" spans="1:5" s="35" customFormat="1" ht="30" customHeight="1">
      <c r="A161" s="78"/>
      <c r="B161" s="78"/>
      <c r="C161" s="78"/>
      <c r="D161" s="78"/>
      <c r="E161" s="78"/>
    </row>
    <row r="162" spans="1:5">
      <c r="A162" s="78"/>
      <c r="B162" s="78"/>
      <c r="C162" s="78"/>
      <c r="D162" s="78"/>
    </row>
  </sheetData>
  <mergeCells count="4">
    <mergeCell ref="A16:B16"/>
    <mergeCell ref="A1:D1"/>
    <mergeCell ref="A3:D3"/>
    <mergeCell ref="A2:D2"/>
  </mergeCells>
  <phoneticPr fontId="11" type="noConversion"/>
  <printOptions horizontalCentered="1"/>
  <pageMargins left="0.5" right="0.5" top="0.5" bottom="0.25" header="0.5" footer="0.25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998B3-0A98-4C74-B58E-029F33391BAA}">
  <dimension ref="A1:D16"/>
  <sheetViews>
    <sheetView tabSelected="1" zoomScale="120" zoomScaleNormal="120" workbookViewId="0">
      <selection activeCell="D9" sqref="D9"/>
    </sheetView>
  </sheetViews>
  <sheetFormatPr defaultRowHeight="12.5"/>
  <cols>
    <col min="2" max="2" width="40.1796875" bestFit="1" customWidth="1"/>
    <col min="3" max="3" width="17.54296875" bestFit="1" customWidth="1"/>
    <col min="4" max="4" width="49.26953125" bestFit="1" customWidth="1"/>
  </cols>
  <sheetData>
    <row r="1" spans="1:4" ht="13">
      <c r="A1" s="459" t="str">
        <f>'BQ-YB'!A1:G1</f>
        <v>U MYO MIN AUNG (KAN NAR LANN, MAGWAY)</v>
      </c>
      <c r="B1" s="459"/>
      <c r="C1" s="459"/>
      <c r="D1" s="459"/>
    </row>
    <row r="2" spans="1:4" ht="13">
      <c r="A2" s="459" t="str">
        <f>'BQ-YB'!A2:G2</f>
        <v>27' X 40' 2.5 STOREYED BUILDING (Structure Work)</v>
      </c>
      <c r="B2" s="459"/>
      <c r="C2" s="459"/>
      <c r="D2" s="459"/>
    </row>
    <row r="3" spans="1:4" ht="14">
      <c r="A3" s="460" t="s">
        <v>491</v>
      </c>
      <c r="B3" s="460"/>
      <c r="C3" s="460"/>
      <c r="D3" s="460"/>
    </row>
    <row r="4" spans="1:4" ht="14">
      <c r="A4" s="439" t="s">
        <v>2</v>
      </c>
      <c r="B4" s="439" t="s">
        <v>1</v>
      </c>
      <c r="C4" s="439" t="s">
        <v>20</v>
      </c>
      <c r="D4" s="439" t="s">
        <v>59</v>
      </c>
    </row>
    <row r="5" spans="1:4" ht="15.5">
      <c r="A5" s="426">
        <v>1</v>
      </c>
      <c r="B5" s="427" t="s">
        <v>502</v>
      </c>
      <c r="C5" s="428">
        <f>'BQ-YB'!G36</f>
        <v>208044765.83000001</v>
      </c>
      <c r="D5" s="396" t="s">
        <v>475</v>
      </c>
    </row>
    <row r="6" spans="1:4" ht="15.5">
      <c r="A6" s="429">
        <v>2</v>
      </c>
      <c r="B6" s="430" t="s">
        <v>503</v>
      </c>
      <c r="C6" s="435">
        <f>'BQ-YB'!G47</f>
        <v>84491740</v>
      </c>
      <c r="D6" s="394" t="s">
        <v>477</v>
      </c>
    </row>
    <row r="7" spans="1:4" ht="15.5">
      <c r="A7" s="431">
        <v>3</v>
      </c>
      <c r="B7" s="432" t="s">
        <v>501</v>
      </c>
      <c r="C7" s="436">
        <f>'BQ-YB'!G52+'BQ-YB'!G57</f>
        <v>9782400</v>
      </c>
      <c r="D7" s="394" t="s">
        <v>479</v>
      </c>
    </row>
    <row r="8" spans="1:4" ht="15.5">
      <c r="A8" s="433"/>
      <c r="B8" s="425" t="s">
        <v>493</v>
      </c>
      <c r="C8" s="434">
        <f>SUM(C5:C7)</f>
        <v>302318905.82999998</v>
      </c>
      <c r="D8" s="394" t="s">
        <v>478</v>
      </c>
    </row>
    <row r="9" spans="1:4" ht="15.5">
      <c r="A9" s="433"/>
      <c r="B9" s="425" t="s">
        <v>481</v>
      </c>
      <c r="C9" s="434">
        <f>C5*0.03</f>
        <v>6241342.9699999997</v>
      </c>
      <c r="D9" s="450"/>
    </row>
    <row r="10" spans="1:4" ht="15.5">
      <c r="A10" s="433"/>
      <c r="B10" s="425" t="s">
        <v>482</v>
      </c>
      <c r="C10" s="434">
        <f>C8*0.05</f>
        <v>15115945.289999999</v>
      </c>
      <c r="D10" s="450"/>
    </row>
    <row r="11" spans="1:4" ht="15.5">
      <c r="A11" s="433"/>
      <c r="B11" s="425" t="s">
        <v>483</v>
      </c>
      <c r="C11" s="434">
        <f>ROUND((C8+C9+C10)*0.1,-3)</f>
        <v>32368000</v>
      </c>
      <c r="D11" s="450"/>
    </row>
    <row r="12" spans="1:4" ht="15.5">
      <c r="A12" s="433"/>
      <c r="B12" s="425" t="s">
        <v>484</v>
      </c>
      <c r="C12" s="434">
        <f>SUM(C8:C11)</f>
        <v>356044194.08999997</v>
      </c>
      <c r="D12" s="450"/>
    </row>
    <row r="13" spans="1:4" ht="15.5">
      <c r="A13" s="440"/>
      <c r="B13" s="441" t="s">
        <v>492</v>
      </c>
      <c r="C13" s="442">
        <f>ROUND(C12,-4)</f>
        <v>356040000</v>
      </c>
      <c r="D13" s="443"/>
    </row>
    <row r="15" spans="1:4" ht="13">
      <c r="B15" s="437" t="s">
        <v>469</v>
      </c>
      <c r="C15" s="437">
        <f>'Floor Area'!G11</f>
        <v>3729.4</v>
      </c>
    </row>
    <row r="16" spans="1:4" ht="13">
      <c r="B16" s="437" t="s">
        <v>470</v>
      </c>
      <c r="C16" s="438">
        <f>C13/C15</f>
        <v>95468.44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9B70-4DF7-4FF6-931A-3ED0E17455CD}">
  <sheetPr>
    <tabColor indexed="40"/>
  </sheetPr>
  <dimension ref="A1:J109"/>
  <sheetViews>
    <sheetView topLeftCell="A46" zoomScale="130" zoomScaleNormal="130" workbookViewId="0">
      <selection activeCell="A2" sqref="A2:G2"/>
    </sheetView>
  </sheetViews>
  <sheetFormatPr defaultColWidth="9.1796875" defaultRowHeight="12.5"/>
  <cols>
    <col min="1" max="1" width="4.26953125" style="1" customWidth="1"/>
    <col min="2" max="2" width="34.81640625" style="1" customWidth="1"/>
    <col min="3" max="3" width="5.7265625" style="8" customWidth="1"/>
    <col min="4" max="4" width="11.7265625" style="7" customWidth="1"/>
    <col min="5" max="5" width="10.453125" style="132" customWidth="1"/>
    <col min="6" max="6" width="6" style="1" customWidth="1"/>
    <col min="7" max="7" width="17.7265625" style="7" bestFit="1" customWidth="1"/>
    <col min="8" max="8" width="15.26953125" style="134" bestFit="1" customWidth="1"/>
    <col min="9" max="9" width="9.1796875" style="134" customWidth="1"/>
    <col min="10" max="16384" width="9.1796875" style="135"/>
  </cols>
  <sheetData>
    <row r="1" spans="1:10" s="1" customFormat="1" ht="19.899999999999999" customHeight="1">
      <c r="A1" s="472" t="str">
        <f>Detail!A1</f>
        <v>U MYO MIN AUNG (KAN NAR LANN, MAGWAY)</v>
      </c>
      <c r="B1" s="472"/>
      <c r="C1" s="472"/>
      <c r="D1" s="472"/>
      <c r="E1" s="472"/>
      <c r="F1" s="472"/>
      <c r="G1" s="472"/>
      <c r="I1" s="7"/>
    </row>
    <row r="2" spans="1:10" s="3" customFormat="1" ht="19.899999999999999" customHeight="1">
      <c r="A2" s="472" t="str">
        <f>Detail!A2</f>
        <v>27' X 40' 2.5 STOREYED BUILDING (Structure Work)</v>
      </c>
      <c r="B2" s="472"/>
      <c r="C2" s="472"/>
      <c r="D2" s="472"/>
      <c r="E2" s="472"/>
      <c r="F2" s="472"/>
      <c r="G2" s="472"/>
      <c r="H2" s="1"/>
      <c r="I2" s="21"/>
      <c r="J2" s="21"/>
    </row>
    <row r="3" spans="1:10" s="1" customFormat="1" ht="19.899999999999999" customHeight="1">
      <c r="A3" s="471" t="s">
        <v>71</v>
      </c>
      <c r="B3" s="471"/>
      <c r="C3" s="471"/>
      <c r="D3" s="471"/>
      <c r="E3" s="471"/>
      <c r="F3" s="471"/>
      <c r="G3" s="471"/>
    </row>
    <row r="4" spans="1:10" s="1" customFormat="1" ht="19.899999999999999" customHeight="1">
      <c r="A4" s="464" t="s">
        <v>35</v>
      </c>
      <c r="B4" s="464" t="s">
        <v>1</v>
      </c>
      <c r="C4" s="464" t="s">
        <v>16</v>
      </c>
      <c r="D4" s="466" t="s">
        <v>17</v>
      </c>
      <c r="E4" s="462" t="s">
        <v>18</v>
      </c>
      <c r="F4" s="464" t="s">
        <v>19</v>
      </c>
      <c r="G4" s="466" t="s">
        <v>20</v>
      </c>
    </row>
    <row r="5" spans="1:10" s="1" customFormat="1" ht="19.899999999999999" customHeight="1">
      <c r="A5" s="465"/>
      <c r="B5" s="465"/>
      <c r="C5" s="465"/>
      <c r="D5" s="467"/>
      <c r="E5" s="463"/>
      <c r="F5" s="465"/>
      <c r="G5" s="467"/>
    </row>
    <row r="6" spans="1:10" s="1" customFormat="1" ht="19.899999999999999" customHeight="1">
      <c r="A6" s="34"/>
      <c r="B6" s="375" t="s">
        <v>26</v>
      </c>
      <c r="C6" s="34"/>
      <c r="D6" s="28"/>
      <c r="E6" s="325"/>
      <c r="F6" s="34"/>
      <c r="G6" s="68"/>
    </row>
    <row r="7" spans="1:10" s="1" customFormat="1" ht="19.899999999999999" customHeight="1">
      <c r="A7" s="12">
        <v>1</v>
      </c>
      <c r="B7" s="16" t="s">
        <v>8</v>
      </c>
      <c r="C7" s="12" t="s">
        <v>9</v>
      </c>
      <c r="D7" s="22">
        <f>SUMIF(BE!$B$6:$B$386,B7,BE!$D$6:$D$386)</f>
        <v>1501.97</v>
      </c>
      <c r="E7" s="351">
        <f>VLOOKUP(B7,Rate!$A$2:$C$29,3,FALSE)</f>
        <v>25000</v>
      </c>
      <c r="F7" s="12" t="str">
        <f t="shared" ref="F7:F20" si="0">C7</f>
        <v>Bag</v>
      </c>
      <c r="G7" s="66">
        <f t="shared" ref="G7:G20" si="1">D7*E7</f>
        <v>37549250</v>
      </c>
      <c r="I7" s="19"/>
    </row>
    <row r="8" spans="1:10" s="1" customFormat="1" ht="19.899999999999999" customHeight="1">
      <c r="A8" s="12">
        <v>2</v>
      </c>
      <c r="B8" s="16" t="s">
        <v>36</v>
      </c>
      <c r="C8" s="12" t="s">
        <v>10</v>
      </c>
      <c r="D8" s="22">
        <f>SUMIF(BE!$B$6:$B$386,B8,BE!$D$6:$D$386)</f>
        <v>73.680000000000007</v>
      </c>
      <c r="E8" s="351">
        <f>VLOOKUP(B8,Rate!$A$2:$C$29,3,FALSE)</f>
        <v>50000</v>
      </c>
      <c r="F8" s="12" t="str">
        <f t="shared" si="0"/>
        <v>Sud</v>
      </c>
      <c r="G8" s="66">
        <f t="shared" si="1"/>
        <v>3684000</v>
      </c>
      <c r="I8" s="19"/>
      <c r="J8" s="19"/>
    </row>
    <row r="9" spans="1:10" s="1" customFormat="1" ht="19.899999999999999" customHeight="1">
      <c r="A9" s="12">
        <v>3</v>
      </c>
      <c r="B9" s="16" t="s">
        <v>459</v>
      </c>
      <c r="C9" s="12" t="s">
        <v>10</v>
      </c>
      <c r="D9" s="22">
        <f>SUMIF(BE!$B$6:$B$386,B9,BE!$D$6:$D$386)</f>
        <v>122.81</v>
      </c>
      <c r="E9" s="351">
        <f>VLOOKUP(B9,Rate!$A$2:$C$29,3,FALSE)</f>
        <v>50000</v>
      </c>
      <c r="F9" s="12" t="str">
        <f>C9</f>
        <v>Sud</v>
      </c>
      <c r="G9" s="66">
        <f>D9*E9</f>
        <v>6140500</v>
      </c>
      <c r="I9" s="19"/>
    </row>
    <row r="10" spans="1:10" s="1" customFormat="1" ht="19.899999999999999" customHeight="1">
      <c r="A10" s="12">
        <v>4</v>
      </c>
      <c r="B10" s="16" t="s">
        <v>11</v>
      </c>
      <c r="C10" s="12" t="s">
        <v>2</v>
      </c>
      <c r="D10" s="22">
        <f>SUMIF(BE!$B$6:$B$386,B10,BE!$D$6:$D$386)</f>
        <v>41691</v>
      </c>
      <c r="E10" s="351">
        <f>VLOOKUP(B10,Rate!$A$2:$C$29,3,FALSE)</f>
        <v>500</v>
      </c>
      <c r="F10" s="12" t="str">
        <f t="shared" si="0"/>
        <v>No</v>
      </c>
      <c r="G10" s="66">
        <f t="shared" si="1"/>
        <v>20845500</v>
      </c>
      <c r="I10" s="19"/>
    </row>
    <row r="11" spans="1:10" s="1" customFormat="1" ht="19.899999999999999" customHeight="1">
      <c r="A11" s="12">
        <v>5</v>
      </c>
      <c r="B11" s="16" t="s">
        <v>112</v>
      </c>
      <c r="C11" s="12" t="s">
        <v>10</v>
      </c>
      <c r="D11" s="22">
        <f>SUMIF(BE!$B$6:$B$386,B11,BE!$D$6:$D$386)</f>
        <v>54.72</v>
      </c>
      <c r="E11" s="351">
        <f>VLOOKUP(B11,Rate!$A$2:$C$29,3,FALSE)</f>
        <v>130000</v>
      </c>
      <c r="F11" s="12" t="str">
        <f t="shared" si="0"/>
        <v>Sud</v>
      </c>
      <c r="G11" s="66">
        <f t="shared" si="1"/>
        <v>7113600</v>
      </c>
      <c r="I11" s="19"/>
    </row>
    <row r="12" spans="1:10" s="1" customFormat="1" ht="19.899999999999999" customHeight="1">
      <c r="A12" s="12">
        <v>6</v>
      </c>
      <c r="B12" s="16" t="s">
        <v>207</v>
      </c>
      <c r="C12" s="12" t="s">
        <v>10</v>
      </c>
      <c r="D12" s="22">
        <f>SUMIF(BE!$B$6:$B$386,B12,BE!$D$6:$D$386)</f>
        <v>5.33</v>
      </c>
      <c r="E12" s="351">
        <f>VLOOKUP(B12,Rate!$A$2:$C$29,3,FALSE)</f>
        <v>220000</v>
      </c>
      <c r="F12" s="12" t="str">
        <f t="shared" si="0"/>
        <v>Sud</v>
      </c>
      <c r="G12" s="66">
        <f t="shared" si="1"/>
        <v>1172600</v>
      </c>
      <c r="I12" s="19"/>
    </row>
    <row r="13" spans="1:10" s="1" customFormat="1" ht="19.899999999999999" customHeight="1">
      <c r="A13" s="12">
        <v>7</v>
      </c>
      <c r="B13" s="16" t="s">
        <v>45</v>
      </c>
      <c r="C13" s="12" t="s">
        <v>33</v>
      </c>
      <c r="D13" s="22">
        <f>SUMIF(BE!$B$6:$B$386,B13,BE!$D$6:$D$386)</f>
        <v>108.92</v>
      </c>
      <c r="E13" s="351">
        <f>VLOOKUP(B13,Rate!$A$2:$C$29,3,FALSE)</f>
        <v>20000</v>
      </c>
      <c r="F13" s="12" t="str">
        <f t="shared" si="0"/>
        <v>Gal</v>
      </c>
      <c r="G13" s="66">
        <f t="shared" si="1"/>
        <v>2178400</v>
      </c>
      <c r="I13" s="19"/>
    </row>
    <row r="14" spans="1:10" s="1" customFormat="1" ht="19.899999999999999" customHeight="1">
      <c r="A14" s="12">
        <v>8</v>
      </c>
      <c r="B14" s="16" t="s">
        <v>472</v>
      </c>
      <c r="C14" s="12" t="s">
        <v>473</v>
      </c>
      <c r="D14" s="22">
        <f>SUMIF(BE!$B$6:$B$386,B14,BE!$D$6:$D$386)</f>
        <v>59</v>
      </c>
      <c r="E14" s="351">
        <f>VLOOKUP(B14,Rate!$A$2:$C$29,3,FALSE)</f>
        <v>25000</v>
      </c>
      <c r="F14" s="12" t="str">
        <f t="shared" si="0"/>
        <v>Lit</v>
      </c>
      <c r="G14" s="66">
        <f t="shared" si="1"/>
        <v>1475000</v>
      </c>
      <c r="I14" s="19"/>
    </row>
    <row r="15" spans="1:10" s="1" customFormat="1" ht="19.899999999999999" customHeight="1">
      <c r="A15" s="12">
        <v>9</v>
      </c>
      <c r="B15" s="16" t="s">
        <v>474</v>
      </c>
      <c r="C15" s="12" t="s">
        <v>473</v>
      </c>
      <c r="D15" s="22">
        <f>SUMIF(BE!$B$6:$B$386,B15,BE!$D$6:$D$386)</f>
        <v>220.59</v>
      </c>
      <c r="E15" s="351">
        <f>VLOOKUP(B15,Rate!$A$2:$C$29,3,FALSE)</f>
        <v>7000</v>
      </c>
      <c r="F15" s="12" t="str">
        <f t="shared" si="0"/>
        <v>Lit</v>
      </c>
      <c r="G15" s="66">
        <f t="shared" si="1"/>
        <v>1544130</v>
      </c>
      <c r="I15" s="19"/>
    </row>
    <row r="16" spans="1:10" s="1" customFormat="1" ht="19.899999999999999" customHeight="1">
      <c r="A16" s="12">
        <v>10</v>
      </c>
      <c r="B16" s="35" t="s">
        <v>488</v>
      </c>
      <c r="C16" s="12" t="s">
        <v>2</v>
      </c>
      <c r="D16" s="22">
        <f>SUMIF(BE!$B$6:$B$386,B16,BE!$D$6:$D$386)</f>
        <v>1167</v>
      </c>
      <c r="E16" s="351">
        <f>VLOOKUP(B16,Rate!$A$2:$C$29,3,FALSE)</f>
        <v>8750</v>
      </c>
      <c r="F16" s="12" t="str">
        <f t="shared" si="0"/>
        <v>No</v>
      </c>
      <c r="G16" s="66">
        <f t="shared" si="1"/>
        <v>10211250</v>
      </c>
      <c r="I16" s="19"/>
    </row>
    <row r="17" spans="1:9" s="1" customFormat="1" ht="19.899999999999999" customHeight="1">
      <c r="A17" s="12">
        <v>11</v>
      </c>
      <c r="B17" s="16" t="s">
        <v>80</v>
      </c>
      <c r="C17" s="12" t="s">
        <v>13</v>
      </c>
      <c r="D17" s="22">
        <f>SUMIF(BE!$B$6:$B$386,B17,BE!$D$6:$D$386)</f>
        <v>125.61</v>
      </c>
      <c r="E17" s="351">
        <f>VLOOKUP(B17,Rate!$A$2:$C$29,3,FALSE)</f>
        <v>75000</v>
      </c>
      <c r="F17" s="12" t="str">
        <f t="shared" si="0"/>
        <v>Sht</v>
      </c>
      <c r="G17" s="66">
        <f t="shared" si="1"/>
        <v>9420750</v>
      </c>
      <c r="I17" s="19"/>
    </row>
    <row r="18" spans="1:9" s="1" customFormat="1" ht="19.899999999999999" customHeight="1">
      <c r="A18" s="12">
        <v>12</v>
      </c>
      <c r="B18" s="24" t="s">
        <v>67</v>
      </c>
      <c r="C18" s="12" t="s">
        <v>14</v>
      </c>
      <c r="D18" s="22">
        <f>SUMIF(BE!$B$6:$B$386,B18,BE!$D$6:$D$386)</f>
        <v>14.02</v>
      </c>
      <c r="E18" s="351">
        <f>VLOOKUP(B18,Rate!$A$2:$C$29,3,FALSE)</f>
        <v>1500000</v>
      </c>
      <c r="F18" s="12" t="str">
        <f t="shared" si="0"/>
        <v>Ton</v>
      </c>
      <c r="G18" s="66">
        <f t="shared" si="1"/>
        <v>21030000</v>
      </c>
      <c r="I18" s="19"/>
    </row>
    <row r="19" spans="1:9" s="1" customFormat="1" ht="19.899999999999999" customHeight="1">
      <c r="A19" s="12">
        <v>13</v>
      </c>
      <c r="B19" s="423" t="s">
        <v>489</v>
      </c>
      <c r="C19" s="12" t="s">
        <v>490</v>
      </c>
      <c r="D19" s="22">
        <f>SUMIF(BE!$B$6:$B$386,B19,BE!$D$6:$D$386)</f>
        <v>16</v>
      </c>
      <c r="E19" s="351">
        <f>VLOOKUP(B19,Rate!$A$2:$C$29,3,FALSE)</f>
        <v>10000</v>
      </c>
      <c r="F19" s="12" t="str">
        <f>C19</f>
        <v>Box</v>
      </c>
      <c r="G19" s="66">
        <f t="shared" si="1"/>
        <v>160000</v>
      </c>
      <c r="I19" s="19"/>
    </row>
    <row r="20" spans="1:9" s="1" customFormat="1" ht="19.899999999999999" customHeight="1">
      <c r="A20" s="12">
        <v>14</v>
      </c>
      <c r="B20" s="16" t="s">
        <v>47</v>
      </c>
      <c r="C20" s="12" t="s">
        <v>15</v>
      </c>
      <c r="D20" s="22">
        <f>SUMIF(BE!$B$6:$B$386,B20,BE!$D$6:$D$386)</f>
        <v>605.29</v>
      </c>
      <c r="E20" s="351">
        <f>VLOOKUP(B20,Rate!$A$2:$C$29,3,FALSE)</f>
        <v>3333</v>
      </c>
      <c r="F20" s="12" t="str">
        <f t="shared" si="0"/>
        <v>Lb</v>
      </c>
      <c r="G20" s="66">
        <f t="shared" si="1"/>
        <v>2017431.57</v>
      </c>
      <c r="I20" s="19"/>
    </row>
    <row r="21" spans="1:9" s="1" customFormat="1" ht="19.899999999999999" customHeight="1">
      <c r="A21" s="12">
        <v>15</v>
      </c>
      <c r="B21" s="16" t="s">
        <v>39</v>
      </c>
      <c r="C21" s="12"/>
      <c r="D21" s="22"/>
      <c r="E21" s="23"/>
      <c r="F21" s="12"/>
      <c r="G21" s="66"/>
      <c r="I21" s="19"/>
    </row>
    <row r="22" spans="1:9" s="1" customFormat="1" ht="19.899999999999999" customHeight="1">
      <c r="A22" s="12"/>
      <c r="B22" s="36" t="s">
        <v>87</v>
      </c>
      <c r="C22" s="12" t="s">
        <v>14</v>
      </c>
      <c r="D22" s="22">
        <f>SUMIF(BE!$B$6:$B$386,B22,BE!$D$6:$D$386)</f>
        <v>0.32</v>
      </c>
      <c r="E22" s="351">
        <f>VLOOKUP(B22,Rate!$A$2:$C$29,3,FALSE)</f>
        <v>2800000</v>
      </c>
      <c r="F22" s="12" t="str">
        <f>C22</f>
        <v>Ton</v>
      </c>
      <c r="G22" s="66">
        <f>D22*E22</f>
        <v>896000</v>
      </c>
      <c r="I22" s="19"/>
    </row>
    <row r="23" spans="1:9" s="1" customFormat="1" ht="19.899999999999999" customHeight="1">
      <c r="A23" s="12"/>
      <c r="B23" s="36" t="s">
        <v>55</v>
      </c>
      <c r="C23" s="12" t="s">
        <v>14</v>
      </c>
      <c r="D23" s="22">
        <f>SUMIF(BE!$B$6:$B$386,B23,BE!$D$6:$D$386)</f>
        <v>0.24</v>
      </c>
      <c r="E23" s="351">
        <f>VLOOKUP(B23,Rate!$A$2:$C$29,3,FALSE)</f>
        <v>2700000</v>
      </c>
      <c r="F23" s="12" t="str">
        <f>C23</f>
        <v>Ton</v>
      </c>
      <c r="G23" s="66">
        <f>D23*E23</f>
        <v>648000</v>
      </c>
      <c r="I23" s="19"/>
    </row>
    <row r="24" spans="1:9" s="1" customFormat="1" ht="19.899999999999999" customHeight="1">
      <c r="A24" s="12"/>
      <c r="B24" s="36" t="s">
        <v>357</v>
      </c>
      <c r="C24" s="12" t="s">
        <v>14</v>
      </c>
      <c r="D24" s="22">
        <f>SUMIF(BE!$B$6:$B$386,B24,BE!$D$6:$D$386)</f>
        <v>9.59</v>
      </c>
      <c r="E24" s="351">
        <f>VLOOKUP(B24,Rate!$A$2:$C$29,3,FALSE)</f>
        <v>3100000</v>
      </c>
      <c r="F24" s="12" t="str">
        <f>C24</f>
        <v>Ton</v>
      </c>
      <c r="G24" s="66">
        <f>D24*E24</f>
        <v>29729000</v>
      </c>
      <c r="I24" s="19"/>
    </row>
    <row r="25" spans="1:9" s="1" customFormat="1" ht="19.899999999999999" customHeight="1">
      <c r="A25" s="12"/>
      <c r="B25" s="36" t="s">
        <v>360</v>
      </c>
      <c r="C25" s="12" t="s">
        <v>14</v>
      </c>
      <c r="D25" s="22">
        <f>SUMIF(BE!$B$6:$B$386,B25,BE!$D$6:$D$386)</f>
        <v>2.4500000000000002</v>
      </c>
      <c r="E25" s="351">
        <f>VLOOKUP(B25,Rate!$A$2:$C$29,3,FALSE)</f>
        <v>2550000</v>
      </c>
      <c r="F25" s="12" t="str">
        <f>C25</f>
        <v>Ton</v>
      </c>
      <c r="G25" s="66">
        <f>D25*E25</f>
        <v>6247500</v>
      </c>
      <c r="I25" s="19"/>
    </row>
    <row r="26" spans="1:9" s="1" customFormat="1" ht="19.899999999999999" customHeight="1">
      <c r="A26" s="12"/>
      <c r="B26" s="36" t="s">
        <v>356</v>
      </c>
      <c r="C26" s="12" t="s">
        <v>14</v>
      </c>
      <c r="D26" s="22">
        <f>SUMIF(BE!$B$6:$B$386,B26,BE!$D$6:$D$386)</f>
        <v>12.5</v>
      </c>
      <c r="E26" s="351">
        <f>VLOOKUP(B26,Rate!$A$2:$C$29,3,FALSE)</f>
        <v>2980000</v>
      </c>
      <c r="F26" s="12" t="str">
        <f>C26</f>
        <v>Ton</v>
      </c>
      <c r="G26" s="66">
        <f>D26*E26</f>
        <v>37250000</v>
      </c>
      <c r="I26" s="19"/>
    </row>
    <row r="27" spans="1:9" s="1" customFormat="1" ht="19.899999999999999" customHeight="1">
      <c r="A27" s="12"/>
      <c r="B27" s="36"/>
      <c r="C27" s="12" t="s">
        <v>14</v>
      </c>
      <c r="D27" s="22">
        <f>SUM(D22:D26)</f>
        <v>25.1</v>
      </c>
      <c r="E27" s="23"/>
      <c r="F27" s="12"/>
      <c r="G27" s="66"/>
      <c r="H27" s="87"/>
      <c r="I27" s="19"/>
    </row>
    <row r="28" spans="1:9" s="1" customFormat="1" ht="19.899999999999999" customHeight="1">
      <c r="A28" s="12">
        <v>16</v>
      </c>
      <c r="B28" s="16" t="s">
        <v>37</v>
      </c>
      <c r="C28" s="12" t="s">
        <v>15</v>
      </c>
      <c r="D28" s="22">
        <f>SUMIF(BE!$B$6:$B$386,B28,BE!$D$6:$D$386)</f>
        <v>827.22</v>
      </c>
      <c r="E28" s="351">
        <f>VLOOKUP(B28,Rate!$A$2:$C$29,3,FALSE)</f>
        <v>3333</v>
      </c>
      <c r="F28" s="12" t="str">
        <f t="shared" ref="F28:F34" si="2">C28</f>
        <v>Lb</v>
      </c>
      <c r="G28" s="66">
        <f t="shared" ref="G28:G34" si="3">D28*E28</f>
        <v>2757124.26</v>
      </c>
      <c r="I28" s="19"/>
    </row>
    <row r="29" spans="1:9" s="1" customFormat="1" ht="19.899999999999999" customHeight="1">
      <c r="A29" s="12">
        <v>17</v>
      </c>
      <c r="B29" s="113" t="s">
        <v>358</v>
      </c>
      <c r="C29" s="125" t="str">
        <f>BE!C324</f>
        <v>Rft</v>
      </c>
      <c r="D29" s="22">
        <f>SUMIF(BE!$B$6:$B$386,B29,BE!$D$6:$D$386)</f>
        <v>310.76</v>
      </c>
      <c r="E29" s="351">
        <f>VLOOKUP(B29,Rate!$A$2:$C$29,3,FALSE)</f>
        <v>12000</v>
      </c>
      <c r="F29" s="29" t="str">
        <f t="shared" si="2"/>
        <v>Rft</v>
      </c>
      <c r="G29" s="66">
        <f t="shared" si="3"/>
        <v>3729120</v>
      </c>
      <c r="I29" s="19"/>
    </row>
    <row r="30" spans="1:9" s="1" customFormat="1" ht="19.899999999999999" customHeight="1">
      <c r="A30" s="12">
        <v>18</v>
      </c>
      <c r="B30" s="113" t="s">
        <v>107</v>
      </c>
      <c r="C30" s="125" t="s">
        <v>33</v>
      </c>
      <c r="D30" s="22">
        <f>SUMIF(BE!$B$6:$B$386,B30,BE!$D$6:$D$386)</f>
        <v>3</v>
      </c>
      <c r="E30" s="351">
        <f>VLOOKUP(B30,Rate!$A$2:$C$29,3,FALSE)</f>
        <v>12000</v>
      </c>
      <c r="F30" s="29" t="str">
        <f t="shared" si="2"/>
        <v>Gal</v>
      </c>
      <c r="G30" s="66">
        <f t="shared" si="3"/>
        <v>36000</v>
      </c>
      <c r="I30" s="19"/>
    </row>
    <row r="31" spans="1:9" s="1" customFormat="1" ht="19.899999999999999" customHeight="1">
      <c r="A31" s="12">
        <v>19</v>
      </c>
      <c r="B31" s="16" t="s">
        <v>106</v>
      </c>
      <c r="C31" s="12" t="s">
        <v>34</v>
      </c>
      <c r="D31" s="22">
        <f>SUMIF(BE!$B$6:$B$386,B31,BE!$D$6:$D$386)</f>
        <v>5773</v>
      </c>
      <c r="E31" s="351">
        <f>VLOOKUP(B31,Rate!$A$2:$C$29,3,FALSE)</f>
        <v>170</v>
      </c>
      <c r="F31" s="12" t="str">
        <f t="shared" si="2"/>
        <v>Fr</v>
      </c>
      <c r="G31" s="66">
        <f t="shared" si="3"/>
        <v>981410</v>
      </c>
      <c r="I31" s="19"/>
    </row>
    <row r="32" spans="1:9" s="1" customFormat="1" ht="19.899999999999999" customHeight="1">
      <c r="A32" s="12">
        <v>20</v>
      </c>
      <c r="B32" s="67" t="s">
        <v>78</v>
      </c>
      <c r="C32" s="32" t="str">
        <f>BE!C364</f>
        <v>Yds</v>
      </c>
      <c r="D32" s="22">
        <f>SUMIF(BE!$B$6:$B$386,B32,BE!$D$6:$D$386)</f>
        <v>101.97</v>
      </c>
      <c r="E32" s="351">
        <f>VLOOKUP(B32,Rate!$A$2:$C$29,3,FALSE)</f>
        <v>5000</v>
      </c>
      <c r="F32" s="12" t="str">
        <f t="shared" si="2"/>
        <v>Yds</v>
      </c>
      <c r="G32" s="66">
        <f t="shared" si="3"/>
        <v>509850</v>
      </c>
      <c r="I32" s="19"/>
    </row>
    <row r="33" spans="1:9" s="1" customFormat="1" ht="19.899999999999999" customHeight="1">
      <c r="A33" s="12">
        <v>21</v>
      </c>
      <c r="B33" s="115" t="s">
        <v>109</v>
      </c>
      <c r="C33" s="92" t="s">
        <v>2</v>
      </c>
      <c r="D33" s="22">
        <f>SUMIF(BE!$B$6:$B$386,B33,BE!$D$6:$D$386)</f>
        <v>173.4</v>
      </c>
      <c r="E33" s="351">
        <f>VLOOKUP(B33,Rate!$A$2:$C$29,3,FALSE)</f>
        <v>2000</v>
      </c>
      <c r="F33" s="32" t="str">
        <f t="shared" si="2"/>
        <v>No</v>
      </c>
      <c r="G33" s="85">
        <f t="shared" si="3"/>
        <v>346800</v>
      </c>
      <c r="I33" s="19"/>
    </row>
    <row r="34" spans="1:9" s="1" customFormat="1" ht="19.899999999999999" customHeight="1">
      <c r="A34" s="12">
        <v>22</v>
      </c>
      <c r="B34" s="115" t="s">
        <v>110</v>
      </c>
      <c r="C34" s="92" t="s">
        <v>111</v>
      </c>
      <c r="D34" s="22">
        <f>SUMIF(BE!$B$6:$B$386,B34,BE!$D$6:$D$386)</f>
        <v>24.77</v>
      </c>
      <c r="E34" s="351">
        <f>VLOOKUP(B34,Rate!$A$2:$C$29,3,FALSE)</f>
        <v>15000</v>
      </c>
      <c r="F34" s="32" t="str">
        <f t="shared" si="2"/>
        <v>Viss</v>
      </c>
      <c r="G34" s="85">
        <f t="shared" si="3"/>
        <v>371550</v>
      </c>
      <c r="I34" s="19"/>
    </row>
    <row r="35" spans="1:9" s="1" customFormat="1" ht="19.899999999999999" customHeight="1">
      <c r="A35" s="31"/>
      <c r="B35" s="322"/>
      <c r="C35" s="392"/>
      <c r="D35" s="393"/>
      <c r="E35" s="337"/>
      <c r="F35" s="392"/>
      <c r="G35" s="85"/>
    </row>
    <row r="36" spans="1:9" s="1" customFormat="1" ht="19.899999999999999" customHeight="1">
      <c r="A36" s="405"/>
      <c r="B36" s="474" t="s">
        <v>32</v>
      </c>
      <c r="C36" s="475"/>
      <c r="D36" s="475"/>
      <c r="E36" s="475"/>
      <c r="F36" s="476"/>
      <c r="G36" s="406">
        <f>SUM(G7:G35)</f>
        <v>208044765.83000001</v>
      </c>
    </row>
    <row r="37" spans="1:9" s="1" customFormat="1" ht="19.899999999999999" customHeight="1">
      <c r="A37" s="86"/>
      <c r="B37" s="390" t="s">
        <v>22</v>
      </c>
      <c r="C37" s="86"/>
      <c r="D37" s="33"/>
      <c r="E37" s="391"/>
      <c r="F37" s="86"/>
      <c r="G37" s="33"/>
    </row>
    <row r="38" spans="1:9" s="1" customFormat="1" ht="19.899999999999999" customHeight="1">
      <c r="A38" s="12">
        <v>1</v>
      </c>
      <c r="B38" s="16" t="s">
        <v>31</v>
      </c>
      <c r="C38" s="12" t="s">
        <v>2</v>
      </c>
      <c r="D38" s="22">
        <f>SUMIF(BE!$B$6:$B$386,B38,BE!$D$6:$D$386)</f>
        <v>476.34</v>
      </c>
      <c r="E38" s="23">
        <f>VLOOKUP(B38,Rate!$A$37:$C$44,3,FALSE)</f>
        <v>27000</v>
      </c>
      <c r="F38" s="12" t="str">
        <f t="shared" ref="F38:F45" si="4">C38</f>
        <v>No</v>
      </c>
      <c r="G38" s="66">
        <f t="shared" ref="G38:G45" si="5">D38*E38</f>
        <v>12861180</v>
      </c>
      <c r="I38" s="19"/>
    </row>
    <row r="39" spans="1:9" s="1" customFormat="1" ht="19.899999999999999" customHeight="1">
      <c r="A39" s="12">
        <v>2</v>
      </c>
      <c r="B39" s="16" t="s">
        <v>46</v>
      </c>
      <c r="C39" s="12" t="s">
        <v>2</v>
      </c>
      <c r="D39" s="22">
        <f>SUMIF(BE!$B$6:$B$386,B39,BE!$D$6:$D$386)</f>
        <v>27.24</v>
      </c>
      <c r="E39" s="23">
        <f>VLOOKUP(B39,Rate!$A$37:$C$44,3,FALSE)</f>
        <v>27000</v>
      </c>
      <c r="F39" s="12" t="str">
        <f t="shared" si="4"/>
        <v>No</v>
      </c>
      <c r="G39" s="66">
        <f t="shared" si="5"/>
        <v>735480</v>
      </c>
      <c r="I39" s="19"/>
    </row>
    <row r="40" spans="1:9" s="1" customFormat="1" ht="19.899999999999999" customHeight="1">
      <c r="A40" s="12">
        <v>3</v>
      </c>
      <c r="B40" s="16" t="s">
        <v>29</v>
      </c>
      <c r="C40" s="12" t="s">
        <v>2</v>
      </c>
      <c r="D40" s="22">
        <f>SUMIF(BE!$B$6:$B$386,B40,BE!$D$6:$D$386)</f>
        <v>2060.86</v>
      </c>
      <c r="E40" s="23">
        <f>VLOOKUP(B40,Rate!$A$37:$C$44,3,FALSE)</f>
        <v>20000</v>
      </c>
      <c r="F40" s="12" t="str">
        <f t="shared" si="4"/>
        <v>No</v>
      </c>
      <c r="G40" s="66">
        <f t="shared" si="5"/>
        <v>41217200</v>
      </c>
      <c r="I40" s="19"/>
    </row>
    <row r="41" spans="1:9" s="1" customFormat="1" ht="19.899999999999999" customHeight="1">
      <c r="A41" s="12">
        <v>4</v>
      </c>
      <c r="B41" s="419" t="s">
        <v>368</v>
      </c>
      <c r="C41" s="12" t="s">
        <v>2</v>
      </c>
      <c r="D41" s="22">
        <f>SUMIF(BE!$B$6:$B$386,B41,BE!$D$6:$D$386)</f>
        <v>66.88</v>
      </c>
      <c r="E41" s="23">
        <f>VLOOKUP(B41,Rate!$A$37:$C$44,3,FALSE)</f>
        <v>20000</v>
      </c>
      <c r="F41" s="12" t="s">
        <v>2</v>
      </c>
      <c r="G41" s="66">
        <f t="shared" si="5"/>
        <v>1337600</v>
      </c>
      <c r="I41" s="19"/>
    </row>
    <row r="42" spans="1:9" s="1" customFormat="1" ht="19.899999999999999" customHeight="1">
      <c r="A42" s="12">
        <v>5</v>
      </c>
      <c r="B42" s="16" t="s">
        <v>364</v>
      </c>
      <c r="C42" s="12" t="s">
        <v>2</v>
      </c>
      <c r="D42" s="22">
        <f>SUMIF(BE!$B$6:$B$386,B42,BE!$D$6:$D$386)</f>
        <v>476.65</v>
      </c>
      <c r="E42" s="23">
        <f>VLOOKUP(B42,Rate!$A$37:$C$44,3,FALSE)</f>
        <v>27000</v>
      </c>
      <c r="F42" s="12" t="str">
        <f t="shared" si="4"/>
        <v>No</v>
      </c>
      <c r="G42" s="66">
        <f t="shared" si="5"/>
        <v>12869550</v>
      </c>
      <c r="I42" s="19"/>
    </row>
    <row r="43" spans="1:9" s="1" customFormat="1" ht="19.899999999999999" customHeight="1">
      <c r="A43" s="12">
        <v>6</v>
      </c>
      <c r="B43" s="16" t="s">
        <v>30</v>
      </c>
      <c r="C43" s="12" t="s">
        <v>2</v>
      </c>
      <c r="D43" s="22">
        <f>SUMIF(BE!$B$6:$B$386,B43,BE!$D$6:$D$386)</f>
        <v>439.02</v>
      </c>
      <c r="E43" s="23">
        <f>VLOOKUP(B43,Rate!$A$37:$C$44,3,FALSE)</f>
        <v>27000</v>
      </c>
      <c r="F43" s="12" t="str">
        <f t="shared" si="4"/>
        <v>No</v>
      </c>
      <c r="G43" s="66">
        <f t="shared" si="5"/>
        <v>11853540</v>
      </c>
      <c r="I43" s="19"/>
    </row>
    <row r="44" spans="1:9" s="1" customFormat="1" ht="19.899999999999999" customHeight="1">
      <c r="A44" s="12">
        <v>7</v>
      </c>
      <c r="B44" s="419" t="s">
        <v>367</v>
      </c>
      <c r="C44" s="92" t="s">
        <v>2</v>
      </c>
      <c r="D44" s="22">
        <f>SUMIF(BE!$B$6:$B$386,B44,BE!$D$6:$D$386)</f>
        <v>133.78</v>
      </c>
      <c r="E44" s="23">
        <f>VLOOKUP(B44,Rate!$A$37:$C$44,3,FALSE)</f>
        <v>27000</v>
      </c>
      <c r="F44" s="92" t="str">
        <f t="shared" si="4"/>
        <v>No</v>
      </c>
      <c r="G44" s="66">
        <f t="shared" si="5"/>
        <v>3612060</v>
      </c>
      <c r="I44" s="19"/>
    </row>
    <row r="45" spans="1:9" s="1" customFormat="1" ht="19.899999999999999" customHeight="1">
      <c r="A45" s="12">
        <v>8</v>
      </c>
      <c r="B45" s="115" t="s">
        <v>363</v>
      </c>
      <c r="C45" s="92" t="s">
        <v>2</v>
      </c>
      <c r="D45" s="22">
        <f>SUMIF(BE!$B$6:$B$386,B45,BE!$D$6:$D$386)</f>
        <v>0.19</v>
      </c>
      <c r="E45" s="23">
        <f>VLOOKUP(B45,Rate!$A$37:$C$44,3,FALSE)</f>
        <v>27000</v>
      </c>
      <c r="F45" s="92" t="str">
        <f t="shared" si="4"/>
        <v>No</v>
      </c>
      <c r="G45" s="85">
        <f t="shared" si="5"/>
        <v>5130</v>
      </c>
      <c r="I45" s="19"/>
    </row>
    <row r="46" spans="1:9" s="1" customFormat="1" ht="19.899999999999999" customHeight="1">
      <c r="A46" s="267"/>
      <c r="B46" s="31"/>
      <c r="C46" s="31"/>
      <c r="D46" s="84"/>
      <c r="E46" s="268"/>
      <c r="F46" s="31"/>
      <c r="G46" s="84"/>
    </row>
    <row r="47" spans="1:9" s="1" customFormat="1" ht="19.899999999999999" customHeight="1">
      <c r="A47" s="461" t="s">
        <v>27</v>
      </c>
      <c r="B47" s="461"/>
      <c r="C47" s="461"/>
      <c r="D47" s="461"/>
      <c r="E47" s="461"/>
      <c r="F47" s="461"/>
      <c r="G47" s="406">
        <f>SUM(G38:G46)</f>
        <v>84491740</v>
      </c>
    </row>
    <row r="48" spans="1:9" s="1" customFormat="1" ht="19.899999999999999" customHeight="1">
      <c r="A48" s="27"/>
      <c r="B48" s="374" t="s">
        <v>504</v>
      </c>
      <c r="C48" s="27"/>
      <c r="D48" s="27"/>
      <c r="E48" s="27"/>
      <c r="F48" s="27"/>
      <c r="G48" s="68"/>
    </row>
    <row r="49" spans="1:8" s="1" customFormat="1" ht="19.899999999999999" customHeight="1">
      <c r="A49" s="12"/>
      <c r="B49" s="12" t="s">
        <v>404</v>
      </c>
      <c r="C49" s="12" t="s">
        <v>405</v>
      </c>
      <c r="D49" s="32">
        <f>BE!D22</f>
        <v>2</v>
      </c>
      <c r="E49" s="12">
        <f>VLOOKUP(B49,Rate!A47:C49,3,FALSE)</f>
        <v>800000</v>
      </c>
      <c r="F49" s="12" t="str">
        <f>C49</f>
        <v>Juty</v>
      </c>
      <c r="G49" s="66">
        <f>D49*E49</f>
        <v>1600000</v>
      </c>
    </row>
    <row r="50" spans="1:8" s="1" customFormat="1" ht="19.899999999999999" customHeight="1">
      <c r="A50" s="12"/>
      <c r="B50" s="12" t="s">
        <v>453</v>
      </c>
      <c r="C50" s="12" t="s">
        <v>406</v>
      </c>
      <c r="D50" s="32">
        <f>BE!D23</f>
        <v>2</v>
      </c>
      <c r="E50" s="12">
        <f>VLOOKUP(B50,Rate!A48:C50,3,FALSE)</f>
        <v>100000</v>
      </c>
      <c r="F50" s="12" t="str">
        <f>C50</f>
        <v>Trip</v>
      </c>
      <c r="G50" s="66">
        <f>D50*E50</f>
        <v>200000</v>
      </c>
    </row>
    <row r="51" spans="1:8" s="1" customFormat="1" ht="19.899999999999999" customHeight="1">
      <c r="A51" s="12"/>
      <c r="B51" s="12" t="s">
        <v>408</v>
      </c>
      <c r="C51" s="12" t="s">
        <v>406</v>
      </c>
      <c r="D51" s="32">
        <f>BE!D24</f>
        <v>64.56</v>
      </c>
      <c r="E51" s="12">
        <f>VLOOKUP(B51,Rate!A49:C51,3,FALSE)</f>
        <v>40000</v>
      </c>
      <c r="F51" s="12" t="str">
        <f>C51</f>
        <v>Trip</v>
      </c>
      <c r="G51" s="66">
        <f>D51*E51</f>
        <v>2582400</v>
      </c>
    </row>
    <row r="52" spans="1:8" s="1" customFormat="1" ht="19.899999999999999" customHeight="1">
      <c r="A52" s="407"/>
      <c r="B52" s="408"/>
      <c r="C52" s="407"/>
      <c r="D52" s="407"/>
      <c r="E52" s="407"/>
      <c r="F52" s="407"/>
      <c r="G52" s="406">
        <f>SUM(G49:G51)</f>
        <v>4382400</v>
      </c>
    </row>
    <row r="53" spans="1:8" s="1" customFormat="1" ht="19.899999999999999" customHeight="1">
      <c r="A53" s="12"/>
      <c r="B53" s="377" t="s">
        <v>480</v>
      </c>
      <c r="C53" s="12"/>
      <c r="D53" s="12"/>
      <c r="E53" s="12"/>
      <c r="F53" s="12"/>
      <c r="G53" s="33"/>
    </row>
    <row r="54" spans="1:8" s="1" customFormat="1" ht="19.899999999999999" customHeight="1">
      <c r="A54" s="12"/>
      <c r="B54" s="14" t="s">
        <v>440</v>
      </c>
      <c r="C54" s="12" t="s">
        <v>439</v>
      </c>
      <c r="D54" s="32">
        <f>BE!D253</f>
        <v>21.78</v>
      </c>
      <c r="E54" s="12"/>
      <c r="F54" s="12"/>
      <c r="G54" s="66">
        <f>VLOOKUP(B54,Rate!A52:C54,3,FALSE)</f>
        <v>1600000</v>
      </c>
    </row>
    <row r="55" spans="1:8" s="1" customFormat="1" ht="19.899999999999999" customHeight="1">
      <c r="A55" s="12"/>
      <c r="B55" s="14" t="s">
        <v>441</v>
      </c>
      <c r="C55" s="12" t="s">
        <v>439</v>
      </c>
      <c r="D55" s="32">
        <f>BE!D256</f>
        <v>21.82</v>
      </c>
      <c r="E55" s="12"/>
      <c r="F55" s="12"/>
      <c r="G55" s="66">
        <f>VLOOKUP(B55,Rate!A53:C55,3,FALSE)</f>
        <v>1800000</v>
      </c>
    </row>
    <row r="56" spans="1:8" s="1" customFormat="1" ht="19.899999999999999" customHeight="1">
      <c r="A56" s="12"/>
      <c r="B56" s="14" t="s">
        <v>442</v>
      </c>
      <c r="C56" s="12" t="s">
        <v>439</v>
      </c>
      <c r="D56" s="32">
        <f>BE!D259</f>
        <v>15.37</v>
      </c>
      <c r="E56" s="12"/>
      <c r="F56" s="12"/>
      <c r="G56" s="66">
        <f>VLOOKUP(B56,Rate!A54:C55,3,FALSE)</f>
        <v>2000000</v>
      </c>
    </row>
    <row r="57" spans="1:8" s="1" customFormat="1" ht="19.899999999999999" customHeight="1">
      <c r="A57" s="409"/>
      <c r="B57" s="409"/>
      <c r="C57" s="409"/>
      <c r="D57" s="409"/>
      <c r="E57" s="409"/>
      <c r="F57" s="409"/>
      <c r="G57" s="406">
        <f>SUM(G54:G56)</f>
        <v>5400000</v>
      </c>
    </row>
    <row r="58" spans="1:8" s="1" customFormat="1" ht="19.899999999999999" customHeight="1">
      <c r="A58" s="461" t="s">
        <v>410</v>
      </c>
      <c r="B58" s="461"/>
      <c r="C58" s="461"/>
      <c r="D58" s="461"/>
      <c r="E58" s="461"/>
      <c r="F58" s="461"/>
      <c r="G58" s="410">
        <f>G47+G36+G52+G57</f>
        <v>302318905.82999998</v>
      </c>
      <c r="H58" s="19"/>
    </row>
    <row r="59" spans="1:8" s="134" customFormat="1" ht="19.899999999999999" customHeight="1">
      <c r="A59" s="411"/>
      <c r="B59" s="473" t="s">
        <v>481</v>
      </c>
      <c r="C59" s="473"/>
      <c r="D59" s="473"/>
      <c r="E59" s="473"/>
      <c r="F59" s="473"/>
      <c r="G59" s="412">
        <f>G36*0.03</f>
        <v>6241342.9699999997</v>
      </c>
      <c r="H59" s="133"/>
    </row>
    <row r="60" spans="1:8" s="134" customFormat="1" ht="19.899999999999999" customHeight="1">
      <c r="A60" s="413"/>
      <c r="B60" s="468" t="s">
        <v>482</v>
      </c>
      <c r="C60" s="468"/>
      <c r="D60" s="468"/>
      <c r="E60" s="468"/>
      <c r="F60" s="468"/>
      <c r="G60" s="414">
        <f>G58*0.05</f>
        <v>15115945.289999999</v>
      </c>
      <c r="H60" s="133"/>
    </row>
    <row r="61" spans="1:8" s="134" customFormat="1" ht="19.899999999999999" customHeight="1">
      <c r="A61" s="413"/>
      <c r="B61" s="468" t="s">
        <v>483</v>
      </c>
      <c r="C61" s="468"/>
      <c r="D61" s="468"/>
      <c r="E61" s="468"/>
      <c r="F61" s="468"/>
      <c r="G61" s="414">
        <f>ROUND((G58+G59+G60)*0.1,-3)</f>
        <v>32368000</v>
      </c>
      <c r="H61" s="133"/>
    </row>
    <row r="62" spans="1:8" s="134" customFormat="1" ht="19.899999999999999" customHeight="1">
      <c r="A62" s="415"/>
      <c r="B62" s="469" t="s">
        <v>484</v>
      </c>
      <c r="C62" s="469"/>
      <c r="D62" s="469"/>
      <c r="E62" s="469"/>
      <c r="F62" s="469"/>
      <c r="G62" s="416">
        <f>SUM(G58:G61)</f>
        <v>356044194.08999997</v>
      </c>
      <c r="H62" s="133"/>
    </row>
    <row r="63" spans="1:8" s="134" customFormat="1" ht="19.899999999999999" customHeight="1">
      <c r="A63" s="1"/>
      <c r="B63" s="470" t="s">
        <v>485</v>
      </c>
      <c r="C63" s="470"/>
      <c r="D63" s="470"/>
      <c r="E63" s="470"/>
      <c r="F63" s="470"/>
      <c r="G63" s="404">
        <f>ROUND(G62,-4)</f>
        <v>356040000</v>
      </c>
    </row>
    <row r="64" spans="1:8" s="134" customFormat="1" ht="19.899999999999999" customHeight="1">
      <c r="A64" s="1"/>
      <c r="B64" s="8"/>
      <c r="C64" s="8"/>
      <c r="D64" s="8"/>
      <c r="E64" s="8"/>
      <c r="F64" s="8"/>
      <c r="G64" s="7"/>
    </row>
    <row r="65" spans="1:7" s="134" customFormat="1" ht="19.899999999999999" customHeight="1">
      <c r="A65" s="1"/>
      <c r="B65" s="8"/>
      <c r="C65" s="8"/>
      <c r="D65" s="8"/>
      <c r="E65" s="8"/>
      <c r="F65" s="8"/>
      <c r="G65" s="7"/>
    </row>
    <row r="66" spans="1:7" s="134" customFormat="1" ht="19.899999999999999" customHeight="1">
      <c r="A66" s="1"/>
      <c r="B66" s="8"/>
      <c r="C66" s="8"/>
      <c r="D66" s="8"/>
      <c r="E66" s="8"/>
      <c r="F66" s="8"/>
      <c r="G66" s="7"/>
    </row>
    <row r="67" spans="1:7" s="134" customFormat="1" ht="19.899999999999999" customHeight="1">
      <c r="A67" s="1"/>
      <c r="B67" s="1"/>
      <c r="C67" s="8"/>
      <c r="D67" s="7"/>
      <c r="E67" s="132"/>
      <c r="F67" s="1"/>
      <c r="G67" s="7"/>
    </row>
    <row r="68" spans="1:7" s="134" customFormat="1" ht="19.899999999999999" customHeight="1">
      <c r="A68" s="1"/>
      <c r="B68" s="1"/>
      <c r="C68" s="8"/>
      <c r="D68" s="7"/>
      <c r="E68" s="132"/>
      <c r="F68" s="1"/>
      <c r="G68" s="7"/>
    </row>
    <row r="69" spans="1:7" s="134" customFormat="1" ht="19.899999999999999" customHeight="1">
      <c r="A69" s="1"/>
      <c r="B69" s="1"/>
      <c r="C69" s="8"/>
      <c r="D69" s="7"/>
      <c r="E69" s="132"/>
      <c r="F69" s="1"/>
      <c r="G69" s="7"/>
    </row>
    <row r="70" spans="1:7" s="134" customFormat="1" ht="19.899999999999999" customHeight="1">
      <c r="A70" s="1"/>
      <c r="B70" s="1"/>
      <c r="C70" s="8"/>
      <c r="D70" s="7"/>
      <c r="E70" s="132"/>
      <c r="F70" s="1"/>
      <c r="G70" s="7"/>
    </row>
    <row r="71" spans="1:7" s="134" customFormat="1" ht="19.899999999999999" customHeight="1">
      <c r="A71" s="1"/>
      <c r="B71" s="1"/>
      <c r="C71" s="8"/>
      <c r="D71" s="7"/>
      <c r="E71" s="132"/>
      <c r="F71" s="1"/>
      <c r="G71" s="7"/>
    </row>
    <row r="72" spans="1:7" s="134" customFormat="1" ht="19.899999999999999" customHeight="1">
      <c r="A72" s="1"/>
      <c r="B72" s="1"/>
      <c r="C72" s="8"/>
      <c r="D72" s="7"/>
      <c r="E72" s="132"/>
      <c r="F72" s="1"/>
      <c r="G72" s="7"/>
    </row>
    <row r="73" spans="1:7" s="134" customFormat="1" ht="19.899999999999999" customHeight="1">
      <c r="A73" s="1"/>
      <c r="B73" s="1"/>
      <c r="C73" s="8"/>
      <c r="D73" s="7"/>
      <c r="E73" s="132"/>
      <c r="F73" s="1"/>
      <c r="G73" s="7"/>
    </row>
    <row r="74" spans="1:7" s="134" customFormat="1" ht="19.899999999999999" customHeight="1">
      <c r="A74" s="1"/>
      <c r="B74" s="1"/>
      <c r="C74" s="8"/>
      <c r="D74" s="7"/>
      <c r="E74" s="132"/>
      <c r="F74" s="1"/>
      <c r="G74" s="7"/>
    </row>
    <row r="75" spans="1:7" s="134" customFormat="1" ht="19.899999999999999" customHeight="1">
      <c r="A75" s="1"/>
      <c r="B75" s="1"/>
      <c r="C75" s="8"/>
      <c r="D75" s="7"/>
      <c r="E75" s="132"/>
      <c r="F75" s="1"/>
      <c r="G75" s="7"/>
    </row>
    <row r="76" spans="1:7" s="134" customFormat="1" ht="19.899999999999999" customHeight="1">
      <c r="A76" s="1"/>
      <c r="B76" s="1"/>
      <c r="C76" s="8"/>
      <c r="D76" s="7"/>
      <c r="E76" s="132"/>
      <c r="F76" s="1"/>
      <c r="G76" s="7"/>
    </row>
    <row r="77" spans="1:7" s="134" customFormat="1" ht="19.899999999999999" customHeight="1">
      <c r="A77" s="1"/>
      <c r="B77" s="1"/>
      <c r="C77" s="8"/>
      <c r="D77" s="7"/>
      <c r="E77" s="132"/>
      <c r="F77" s="1"/>
      <c r="G77" s="7"/>
    </row>
    <row r="78" spans="1:7" s="134" customFormat="1" ht="19.899999999999999" customHeight="1">
      <c r="A78" s="1"/>
      <c r="B78" s="1"/>
      <c r="C78" s="8"/>
      <c r="D78" s="7"/>
      <c r="E78" s="132"/>
      <c r="F78" s="1"/>
      <c r="G78" s="7"/>
    </row>
    <row r="79" spans="1:7" s="134" customFormat="1" ht="19.899999999999999" customHeight="1">
      <c r="A79" s="1"/>
      <c r="B79" s="1"/>
      <c r="C79" s="8"/>
      <c r="D79" s="7"/>
      <c r="E79" s="132"/>
      <c r="F79" s="1"/>
      <c r="G79" s="7"/>
    </row>
    <row r="80" spans="1:7" s="134" customFormat="1" ht="19.899999999999999" customHeight="1">
      <c r="A80" s="1"/>
      <c r="B80" s="1"/>
      <c r="C80" s="8"/>
      <c r="D80" s="7"/>
      <c r="E80" s="132"/>
      <c r="F80" s="1"/>
      <c r="G80" s="7"/>
    </row>
    <row r="81" spans="1:7" s="134" customFormat="1" ht="19.899999999999999" customHeight="1">
      <c r="A81" s="1"/>
      <c r="B81" s="1"/>
      <c r="C81" s="8"/>
      <c r="D81" s="7"/>
      <c r="E81" s="132"/>
      <c r="F81" s="1"/>
      <c r="G81" s="7"/>
    </row>
    <row r="82" spans="1:7" s="134" customFormat="1" ht="19.899999999999999" customHeight="1">
      <c r="A82" s="1"/>
      <c r="B82" s="1"/>
      <c r="C82" s="8"/>
      <c r="D82" s="7"/>
      <c r="E82" s="132"/>
      <c r="F82" s="1"/>
      <c r="G82" s="7"/>
    </row>
    <row r="83" spans="1:7" s="134" customFormat="1" ht="19.899999999999999" customHeight="1">
      <c r="A83" s="1"/>
      <c r="B83" s="1"/>
      <c r="C83" s="8"/>
      <c r="D83" s="7"/>
      <c r="E83" s="132"/>
      <c r="F83" s="1"/>
      <c r="G83" s="7"/>
    </row>
    <row r="84" spans="1:7" s="134" customFormat="1" ht="19.899999999999999" customHeight="1">
      <c r="A84" s="1"/>
      <c r="B84" s="1"/>
      <c r="C84" s="8"/>
      <c r="D84" s="7"/>
      <c r="E84" s="132"/>
      <c r="F84" s="1"/>
      <c r="G84" s="7"/>
    </row>
    <row r="85" spans="1:7" s="134" customFormat="1" ht="19.899999999999999" customHeight="1">
      <c r="A85" s="1"/>
      <c r="B85" s="1"/>
      <c r="C85" s="8"/>
      <c r="D85" s="7"/>
      <c r="E85" s="132"/>
      <c r="F85" s="1"/>
      <c r="G85" s="7"/>
    </row>
    <row r="86" spans="1:7" s="134" customFormat="1" ht="19.899999999999999" customHeight="1">
      <c r="A86" s="1"/>
      <c r="B86" s="1"/>
      <c r="C86" s="8"/>
      <c r="D86" s="7"/>
      <c r="E86" s="132"/>
      <c r="F86" s="1"/>
      <c r="G86" s="7"/>
    </row>
    <row r="87" spans="1:7" s="134" customFormat="1" ht="19.899999999999999" customHeight="1">
      <c r="A87" s="1"/>
      <c r="B87" s="1"/>
      <c r="C87" s="8"/>
      <c r="D87" s="7"/>
      <c r="E87" s="132"/>
      <c r="F87" s="1"/>
      <c r="G87" s="7"/>
    </row>
    <row r="88" spans="1:7" s="134" customFormat="1" ht="19.899999999999999" customHeight="1">
      <c r="A88" s="1"/>
      <c r="B88" s="1"/>
      <c r="C88" s="8"/>
      <c r="D88" s="7"/>
      <c r="E88" s="132"/>
      <c r="F88" s="1"/>
      <c r="G88" s="7"/>
    </row>
    <row r="89" spans="1:7" s="134" customFormat="1" ht="19.899999999999999" customHeight="1">
      <c r="A89" s="1"/>
      <c r="B89" s="1"/>
      <c r="C89" s="8"/>
      <c r="D89" s="7"/>
      <c r="E89" s="132"/>
      <c r="F89" s="1"/>
      <c r="G89" s="7"/>
    </row>
    <row r="90" spans="1:7" s="134" customFormat="1" ht="19.899999999999999" customHeight="1">
      <c r="A90" s="1"/>
      <c r="B90" s="1"/>
      <c r="C90" s="8"/>
      <c r="D90" s="7"/>
      <c r="E90" s="132"/>
      <c r="F90" s="1"/>
      <c r="G90" s="7"/>
    </row>
    <row r="91" spans="1:7" s="134" customFormat="1" ht="19.899999999999999" customHeight="1">
      <c r="A91" s="1"/>
      <c r="B91" s="1"/>
      <c r="C91" s="8"/>
      <c r="D91" s="7"/>
      <c r="E91" s="132"/>
      <c r="F91" s="1"/>
      <c r="G91" s="7"/>
    </row>
    <row r="92" spans="1:7" s="134" customFormat="1" ht="19.899999999999999" customHeight="1">
      <c r="A92" s="1"/>
      <c r="B92" s="1"/>
      <c r="C92" s="8"/>
      <c r="D92" s="7"/>
      <c r="E92" s="132"/>
      <c r="F92" s="1"/>
      <c r="G92" s="7"/>
    </row>
    <row r="93" spans="1:7" s="134" customFormat="1" ht="19.899999999999999" customHeight="1">
      <c r="A93" s="1"/>
      <c r="B93" s="1"/>
      <c r="C93" s="8"/>
      <c r="D93" s="7"/>
      <c r="E93" s="132"/>
      <c r="F93" s="1"/>
      <c r="G93" s="7"/>
    </row>
    <row r="94" spans="1:7" s="134" customFormat="1" ht="19.899999999999999" customHeight="1">
      <c r="A94" s="1"/>
      <c r="B94" s="1"/>
      <c r="C94" s="8"/>
      <c r="D94" s="7"/>
      <c r="E94" s="132"/>
      <c r="F94" s="1"/>
      <c r="G94" s="7"/>
    </row>
    <row r="95" spans="1:7" s="134" customFormat="1" ht="19.899999999999999" customHeight="1">
      <c r="A95" s="1"/>
      <c r="B95" s="1"/>
      <c r="C95" s="8"/>
      <c r="D95" s="7"/>
      <c r="E95" s="132"/>
      <c r="F95" s="1"/>
      <c r="G95" s="7"/>
    </row>
    <row r="96" spans="1:7" s="134" customFormat="1" ht="19.899999999999999" customHeight="1">
      <c r="A96" s="1"/>
      <c r="B96" s="1"/>
      <c r="C96" s="8"/>
      <c r="D96" s="7"/>
      <c r="E96" s="132"/>
      <c r="F96" s="1"/>
      <c r="G96" s="7"/>
    </row>
    <row r="97" spans="1:7" s="134" customFormat="1" ht="19.899999999999999" customHeight="1">
      <c r="A97" s="1"/>
      <c r="B97" s="1"/>
      <c r="C97" s="8"/>
      <c r="D97" s="7"/>
      <c r="E97" s="132"/>
      <c r="F97" s="1"/>
      <c r="G97" s="7"/>
    </row>
    <row r="98" spans="1:7" s="134" customFormat="1" ht="19.899999999999999" customHeight="1">
      <c r="A98" s="1"/>
      <c r="B98" s="1"/>
      <c r="C98" s="8"/>
      <c r="D98" s="7"/>
      <c r="E98" s="132"/>
      <c r="F98" s="1"/>
      <c r="G98" s="7"/>
    </row>
    <row r="99" spans="1:7" s="134" customFormat="1" ht="19.899999999999999" customHeight="1">
      <c r="A99" s="1"/>
      <c r="B99" s="1"/>
      <c r="C99" s="8"/>
      <c r="D99" s="7"/>
      <c r="E99" s="132"/>
      <c r="F99" s="1"/>
      <c r="G99" s="7"/>
    </row>
    <row r="100" spans="1:7" s="134" customFormat="1" ht="19.899999999999999" customHeight="1">
      <c r="A100" s="1"/>
      <c r="B100" s="1"/>
      <c r="C100" s="8"/>
      <c r="D100" s="7"/>
      <c r="E100" s="132"/>
      <c r="F100" s="1"/>
      <c r="G100" s="7"/>
    </row>
    <row r="101" spans="1:7" s="134" customFormat="1" ht="19.899999999999999" customHeight="1">
      <c r="A101" s="1"/>
      <c r="B101" s="1"/>
      <c r="C101" s="8"/>
      <c r="D101" s="7"/>
      <c r="E101" s="132"/>
      <c r="F101" s="1"/>
      <c r="G101" s="7"/>
    </row>
    <row r="102" spans="1:7" s="134" customFormat="1" ht="19.899999999999999" customHeight="1">
      <c r="A102" s="1"/>
      <c r="B102" s="1"/>
      <c r="C102" s="8"/>
      <c r="D102" s="7"/>
      <c r="E102" s="132"/>
      <c r="F102" s="1"/>
      <c r="G102" s="7"/>
    </row>
    <row r="103" spans="1:7" s="134" customFormat="1" ht="19.899999999999999" customHeight="1">
      <c r="A103" s="1"/>
      <c r="B103" s="1"/>
      <c r="C103" s="8"/>
      <c r="D103" s="7"/>
      <c r="E103" s="132"/>
      <c r="F103" s="1"/>
      <c r="G103" s="7"/>
    </row>
    <row r="104" spans="1:7" s="134" customFormat="1" ht="19.899999999999999" customHeight="1">
      <c r="A104" s="1"/>
      <c r="B104" s="1"/>
      <c r="C104" s="8"/>
      <c r="D104" s="7"/>
      <c r="E104" s="132"/>
      <c r="F104" s="1"/>
      <c r="G104" s="7"/>
    </row>
    <row r="105" spans="1:7" s="134" customFormat="1" ht="19.899999999999999" customHeight="1">
      <c r="A105" s="1"/>
      <c r="B105" s="1"/>
      <c r="C105" s="8"/>
      <c r="D105" s="7"/>
      <c r="E105" s="132"/>
      <c r="F105" s="1"/>
      <c r="G105" s="7"/>
    </row>
    <row r="106" spans="1:7" s="134" customFormat="1" ht="19.899999999999999" customHeight="1">
      <c r="A106" s="1"/>
      <c r="B106" s="1"/>
      <c r="C106" s="8"/>
      <c r="D106" s="7"/>
      <c r="E106" s="132"/>
      <c r="F106" s="1"/>
      <c r="G106" s="7"/>
    </row>
    <row r="107" spans="1:7" s="134" customFormat="1" ht="19.899999999999999" customHeight="1">
      <c r="A107" s="1"/>
      <c r="B107" s="1"/>
      <c r="C107" s="8"/>
      <c r="D107" s="7"/>
      <c r="E107" s="132"/>
      <c r="F107" s="1"/>
      <c r="G107" s="7"/>
    </row>
    <row r="108" spans="1:7" s="134" customFormat="1" ht="19.899999999999999" customHeight="1">
      <c r="A108" s="1"/>
      <c r="B108" s="1"/>
      <c r="C108" s="8"/>
      <c r="D108" s="7"/>
      <c r="E108" s="132"/>
      <c r="F108" s="1"/>
      <c r="G108" s="7"/>
    </row>
    <row r="109" spans="1:7" s="134" customFormat="1" ht="19.899999999999999" customHeight="1">
      <c r="A109" s="1"/>
      <c r="B109" s="1"/>
      <c r="C109" s="8"/>
      <c r="D109" s="7"/>
      <c r="E109" s="132"/>
      <c r="F109" s="1"/>
      <c r="G109" s="7"/>
    </row>
  </sheetData>
  <autoFilter ref="B6:B35" xr:uid="{401D3D21-B27C-459F-A159-3B2DD37492F8}"/>
  <mergeCells count="18">
    <mergeCell ref="B61:F61"/>
    <mergeCell ref="B62:F62"/>
    <mergeCell ref="B63:F63"/>
    <mergeCell ref="A3:G3"/>
    <mergeCell ref="A2:G2"/>
    <mergeCell ref="A1:G1"/>
    <mergeCell ref="G4:G5"/>
    <mergeCell ref="B59:F59"/>
    <mergeCell ref="B60:F60"/>
    <mergeCell ref="B36:F36"/>
    <mergeCell ref="A58:F58"/>
    <mergeCell ref="E4:E5"/>
    <mergeCell ref="A47:F47"/>
    <mergeCell ref="B4:B5"/>
    <mergeCell ref="C4:C5"/>
    <mergeCell ref="A4:A5"/>
    <mergeCell ref="D4:D5"/>
    <mergeCell ref="F4:F5"/>
  </mergeCells>
  <phoneticPr fontId="7" type="noConversion"/>
  <printOptions horizontalCentered="1"/>
  <pageMargins left="0.5" right="0" top="0.75" bottom="0.5" header="0.5" footer="0.25"/>
  <pageSetup paperSize="9" orientation="portrait" verticalDpi="1200" r:id="rId1"/>
  <headerFoot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9172-5BF8-4CB8-8798-90908ED12BFD}">
  <sheetPr>
    <tabColor indexed="40"/>
  </sheetPr>
  <dimension ref="A1:K58"/>
  <sheetViews>
    <sheetView zoomScale="130" zoomScaleNormal="130" workbookViewId="0">
      <selection activeCell="D4" sqref="D4:D5"/>
    </sheetView>
  </sheetViews>
  <sheetFormatPr defaultColWidth="9.1796875" defaultRowHeight="12.5"/>
  <cols>
    <col min="1" max="1" width="3.54296875" style="63" customWidth="1"/>
    <col min="2" max="2" width="10.26953125" style="63" customWidth="1"/>
    <col min="3" max="3" width="6.26953125" style="69" bestFit="1" customWidth="1"/>
    <col min="4" max="4" width="41" style="63" customWidth="1"/>
    <col min="5" max="5" width="13.453125" style="63" customWidth="1"/>
    <col min="6" max="6" width="4.7265625" style="63" customWidth="1"/>
    <col min="7" max="9" width="14.26953125" style="63" hidden="1" customWidth="1"/>
    <col min="10" max="10" width="17" style="123" customWidth="1"/>
    <col min="11" max="16384" width="9.1796875" style="39"/>
  </cols>
  <sheetData>
    <row r="1" spans="1:11" ht="25" customHeight="1">
      <c r="A1" s="482" t="str">
        <f>Detail!A1</f>
        <v>U MYO MIN AUNG (KAN NAR LANN, MAGWAY)</v>
      </c>
      <c r="B1" s="482"/>
      <c r="C1" s="482"/>
      <c r="D1" s="482"/>
      <c r="E1" s="482"/>
      <c r="F1" s="482"/>
      <c r="G1" s="482"/>
      <c r="H1" s="482"/>
      <c r="I1" s="482"/>
      <c r="J1" s="482"/>
    </row>
    <row r="2" spans="1:11" s="38" customFormat="1" ht="25" customHeight="1">
      <c r="A2" s="482" t="str">
        <f>Detail!A2</f>
        <v>27' X 40' 2.5 STOREYED BUILDING (Structure Work)</v>
      </c>
      <c r="B2" s="482"/>
      <c r="C2" s="482"/>
      <c r="D2" s="482"/>
      <c r="E2" s="482"/>
      <c r="F2" s="482"/>
      <c r="G2" s="482"/>
      <c r="H2" s="482"/>
      <c r="I2" s="482"/>
      <c r="J2" s="482"/>
      <c r="K2" s="37"/>
    </row>
    <row r="3" spans="1:11" ht="25" customHeight="1">
      <c r="A3" s="484" t="s">
        <v>44</v>
      </c>
      <c r="B3" s="484"/>
      <c r="C3" s="484"/>
      <c r="D3" s="484"/>
      <c r="E3" s="484"/>
      <c r="F3" s="484"/>
      <c r="G3" s="484"/>
      <c r="H3" s="484"/>
      <c r="I3" s="484"/>
      <c r="J3" s="484"/>
    </row>
    <row r="4" spans="1:11" ht="16" customHeight="1">
      <c r="A4" s="479" t="s">
        <v>43</v>
      </c>
      <c r="B4" s="486" t="s">
        <v>17</v>
      </c>
      <c r="C4" s="477" t="s">
        <v>16</v>
      </c>
      <c r="D4" s="479" t="s">
        <v>38</v>
      </c>
      <c r="E4" s="483" t="s">
        <v>18</v>
      </c>
      <c r="F4" s="479" t="s">
        <v>19</v>
      </c>
      <c r="G4" s="477" t="s">
        <v>26</v>
      </c>
      <c r="H4" s="477" t="s">
        <v>22</v>
      </c>
      <c r="I4" s="477" t="s">
        <v>443</v>
      </c>
      <c r="J4" s="485" t="s">
        <v>20</v>
      </c>
    </row>
    <row r="5" spans="1:11" ht="16" customHeight="1">
      <c r="A5" s="479"/>
      <c r="B5" s="487"/>
      <c r="C5" s="478"/>
      <c r="D5" s="479"/>
      <c r="E5" s="483"/>
      <c r="F5" s="479"/>
      <c r="G5" s="478"/>
      <c r="H5" s="478"/>
      <c r="I5" s="478"/>
      <c r="J5" s="485"/>
    </row>
    <row r="6" spans="1:11" ht="22" customHeight="1">
      <c r="A6" s="40">
        <f>BE!A6</f>
        <v>1</v>
      </c>
      <c r="B6" s="41">
        <f>BE!D6</f>
        <v>24</v>
      </c>
      <c r="C6" s="42" t="str">
        <f>BE!C6</f>
        <v>%Fs</v>
      </c>
      <c r="D6" s="43" t="str">
        <f>BE!B6</f>
        <v>Site Clearing Work</v>
      </c>
      <c r="E6" s="214">
        <f t="shared" ref="E6:E11" si="0">J6/B6</f>
        <v>5000</v>
      </c>
      <c r="F6" s="44" t="str">
        <f t="shared" ref="F6:F11" si="1">C6</f>
        <v>%Fs</v>
      </c>
      <c r="G6" s="324">
        <f>BE!G9</f>
        <v>0</v>
      </c>
      <c r="H6" s="44">
        <f>BE!H9</f>
        <v>120000</v>
      </c>
      <c r="I6" s="44"/>
      <c r="J6" s="216">
        <f>SUM(G6:H6)</f>
        <v>120000</v>
      </c>
    </row>
    <row r="7" spans="1:11" ht="22" customHeight="1">
      <c r="A7" s="45">
        <f>BE!A11</f>
        <v>2</v>
      </c>
      <c r="B7" s="46">
        <f>BE!D11</f>
        <v>1850</v>
      </c>
      <c r="C7" s="47" t="str">
        <f>BE!C11</f>
        <v>Fs</v>
      </c>
      <c r="D7" s="48" t="str">
        <f>BE!B11</f>
        <v>Staking Works For Preparation of Foundation</v>
      </c>
      <c r="E7" s="49">
        <f t="shared" si="0"/>
        <v>71.28</v>
      </c>
      <c r="F7" s="50" t="str">
        <f t="shared" si="1"/>
        <v>Fs</v>
      </c>
      <c r="G7" s="218">
        <f>BE!G19</f>
        <v>64632.87</v>
      </c>
      <c r="H7" s="218">
        <f>BE!H19</f>
        <v>67240</v>
      </c>
      <c r="I7" s="218"/>
      <c r="J7" s="217">
        <f>SUM(G7:I7)</f>
        <v>131872.87</v>
      </c>
    </row>
    <row r="8" spans="1:11" ht="22" customHeight="1">
      <c r="A8" s="45"/>
      <c r="B8" s="46">
        <f>BE!D21</f>
        <v>129.12</v>
      </c>
      <c r="C8" s="51" t="str">
        <f>BE!C21</f>
        <v>%Fc</v>
      </c>
      <c r="D8" s="52" t="str">
        <f>BE!B21</f>
        <v>Excavation &amp; Earth Removal</v>
      </c>
      <c r="E8" s="49"/>
      <c r="F8" s="50"/>
      <c r="G8" s="218"/>
      <c r="H8" s="218"/>
      <c r="I8" s="218">
        <f>BE!I25</f>
        <v>4382400</v>
      </c>
      <c r="J8" s="217">
        <f t="shared" ref="J8:J54" si="2">SUM(G8:I8)</f>
        <v>4382400</v>
      </c>
    </row>
    <row r="9" spans="1:11" ht="22" customHeight="1">
      <c r="A9" s="45">
        <f>BE!A28</f>
        <v>4</v>
      </c>
      <c r="B9" s="46">
        <f>BE!D28</f>
        <v>5.33</v>
      </c>
      <c r="C9" s="51" t="str">
        <f>BE!C28</f>
        <v>%Fc</v>
      </c>
      <c r="D9" s="52" t="str">
        <f>BE!B28</f>
        <v xml:space="preserve"> Hard Core Laying with sand Work</v>
      </c>
      <c r="E9" s="49">
        <f t="shared" si="0"/>
        <v>286001.88</v>
      </c>
      <c r="F9" s="50" t="str">
        <f t="shared" si="1"/>
        <v>%Fc</v>
      </c>
      <c r="G9" s="218">
        <f>BE!G35</f>
        <v>1239100</v>
      </c>
      <c r="H9" s="218">
        <f>BE!H35</f>
        <v>285290</v>
      </c>
      <c r="I9" s="218"/>
      <c r="J9" s="217">
        <f t="shared" si="2"/>
        <v>1524390</v>
      </c>
    </row>
    <row r="10" spans="1:11" ht="22" customHeight="1">
      <c r="A10" s="45">
        <f>BE!A37</f>
        <v>5</v>
      </c>
      <c r="B10" s="46">
        <f>BE!D37</f>
        <v>9.5500000000000007</v>
      </c>
      <c r="C10" s="51" t="str">
        <f>BE!C37</f>
        <v>%Fc</v>
      </c>
      <c r="D10" s="52" t="str">
        <f>BE!B37</f>
        <v xml:space="preserve"> (1:3:6) Lean Conc; Work</v>
      </c>
      <c r="E10" s="49">
        <f>J10/B10</f>
        <v>670760.21</v>
      </c>
      <c r="F10" s="50" t="str">
        <f t="shared" si="1"/>
        <v>%Fc</v>
      </c>
      <c r="G10" s="218">
        <f>BE!G47</f>
        <v>4872850</v>
      </c>
      <c r="H10" s="218">
        <f>BE!H47</f>
        <v>1532910</v>
      </c>
      <c r="I10" s="218"/>
      <c r="J10" s="217">
        <f t="shared" si="2"/>
        <v>6405760</v>
      </c>
    </row>
    <row r="11" spans="1:11" ht="22" customHeight="1">
      <c r="A11" s="45">
        <f>BE!A49</f>
        <v>6</v>
      </c>
      <c r="B11" s="46">
        <f>BE!D49</f>
        <v>10.43</v>
      </c>
      <c r="C11" s="51" t="str">
        <f>BE!C49</f>
        <v>%Fc</v>
      </c>
      <c r="D11" s="52" t="str">
        <f>BE!B49</f>
        <v>Retaining Wall Brick Work with (1:3) Cement Mortor</v>
      </c>
      <c r="E11" s="49">
        <f t="shared" si="0"/>
        <v>1090128.48</v>
      </c>
      <c r="F11" s="50" t="str">
        <f t="shared" si="1"/>
        <v>%Fc</v>
      </c>
      <c r="G11" s="218">
        <f>BE!G57</f>
        <v>8992000</v>
      </c>
      <c r="H11" s="218">
        <f>BE!H57</f>
        <v>2378040</v>
      </c>
      <c r="I11" s="218"/>
      <c r="J11" s="217">
        <f t="shared" si="2"/>
        <v>11370040</v>
      </c>
    </row>
    <row r="12" spans="1:11" ht="22" customHeight="1">
      <c r="A12" s="45">
        <f>BE!A59</f>
        <v>7</v>
      </c>
      <c r="B12" s="46"/>
      <c r="C12" s="45"/>
      <c r="D12" s="52" t="str">
        <f>BE!B59</f>
        <v>Concrete Casting Work for Footing</v>
      </c>
      <c r="E12" s="49"/>
      <c r="F12" s="50"/>
      <c r="G12" s="50"/>
      <c r="H12" s="50"/>
      <c r="I12" s="50"/>
      <c r="J12" s="217">
        <f t="shared" si="2"/>
        <v>0</v>
      </c>
    </row>
    <row r="13" spans="1:11" ht="22" customHeight="1">
      <c r="A13" s="45"/>
      <c r="B13" s="46">
        <f>BE!D60</f>
        <v>9.84</v>
      </c>
      <c r="C13" s="51" t="str">
        <f>BE!C60</f>
        <v>%Fc</v>
      </c>
      <c r="D13" s="52" t="str">
        <f>BE!B60</f>
        <v>( a ) (1:2:4) R.C Conc; Work</v>
      </c>
      <c r="E13" s="49">
        <f>J13/B13</f>
        <v>892123.98</v>
      </c>
      <c r="F13" s="50" t="str">
        <f>C13</f>
        <v>%Fc</v>
      </c>
      <c r="G13" s="218">
        <f>BE!G70</f>
        <v>6343100</v>
      </c>
      <c r="H13" s="218">
        <f>BE!H70</f>
        <v>2435400</v>
      </c>
      <c r="I13" s="218"/>
      <c r="J13" s="217">
        <f t="shared" si="2"/>
        <v>8778500</v>
      </c>
    </row>
    <row r="14" spans="1:11" ht="22" customHeight="1">
      <c r="A14" s="45"/>
      <c r="B14" s="46">
        <f>BE!D72</f>
        <v>4.53</v>
      </c>
      <c r="C14" s="51" t="str">
        <f>BE!C72</f>
        <v>%Fs</v>
      </c>
      <c r="D14" s="52" t="str">
        <f>BE!B72</f>
        <v xml:space="preserve">( b ) Formwork </v>
      </c>
      <c r="E14" s="49">
        <f>J14/B14</f>
        <v>453572.25</v>
      </c>
      <c r="F14" s="50" t="str">
        <f>C14</f>
        <v>%Fs</v>
      </c>
      <c r="G14" s="218">
        <f>BE!G80</f>
        <v>1384242.3</v>
      </c>
      <c r="H14" s="218">
        <f>BE!H80</f>
        <v>670440</v>
      </c>
      <c r="I14" s="218"/>
      <c r="J14" s="217">
        <f t="shared" si="2"/>
        <v>2054682.3</v>
      </c>
    </row>
    <row r="15" spans="1:11" ht="22" customHeight="1">
      <c r="A15" s="45"/>
      <c r="B15" s="46">
        <f>BE!D81</f>
        <v>3.18</v>
      </c>
      <c r="C15" s="51" t="str">
        <f>BE!C81</f>
        <v>Ton</v>
      </c>
      <c r="D15" s="52" t="str">
        <f>BE!B81</f>
        <v>( c ) Rebar Work</v>
      </c>
      <c r="E15" s="49">
        <f>J15/B15</f>
        <v>3804894.33</v>
      </c>
      <c r="F15" s="50" t="str">
        <f>C15</f>
        <v>Ton</v>
      </c>
      <c r="G15" s="218">
        <f>BE!G91</f>
        <v>9881163.9600000009</v>
      </c>
      <c r="H15" s="218">
        <f>BE!H91</f>
        <v>2218400</v>
      </c>
      <c r="I15" s="218"/>
      <c r="J15" s="217">
        <f t="shared" si="2"/>
        <v>12099563.960000001</v>
      </c>
    </row>
    <row r="16" spans="1:11" ht="22" customHeight="1">
      <c r="A16" s="45">
        <f>BE!A93</f>
        <v>8</v>
      </c>
      <c r="B16" s="46"/>
      <c r="C16" s="45"/>
      <c r="D16" s="52" t="str">
        <f>BE!B93</f>
        <v>Concrete Casting Work For Column</v>
      </c>
      <c r="E16" s="49"/>
      <c r="F16" s="50"/>
      <c r="G16" s="50"/>
      <c r="H16" s="50"/>
      <c r="I16" s="50"/>
      <c r="J16" s="217">
        <f t="shared" si="2"/>
        <v>0</v>
      </c>
    </row>
    <row r="17" spans="1:10" ht="22" customHeight="1">
      <c r="A17" s="45"/>
      <c r="B17" s="46">
        <f>BE!D94</f>
        <v>5.9</v>
      </c>
      <c r="C17" s="51" t="str">
        <f>BE!C94</f>
        <v>%Fc</v>
      </c>
      <c r="D17" s="52" t="str">
        <f>BE!B94</f>
        <v>( a ) (1:2:4) R.C Conc; Work</v>
      </c>
      <c r="E17" s="49">
        <f>J17/B17</f>
        <v>1202144.07</v>
      </c>
      <c r="F17" s="50" t="str">
        <f>C17</f>
        <v>%Fc</v>
      </c>
      <c r="G17" s="218">
        <f>BE!G105</f>
        <v>5278400</v>
      </c>
      <c r="H17" s="218">
        <f>BE!H105</f>
        <v>1814250</v>
      </c>
      <c r="I17" s="218"/>
      <c r="J17" s="217">
        <f t="shared" si="2"/>
        <v>7092650</v>
      </c>
    </row>
    <row r="18" spans="1:10" ht="22" customHeight="1">
      <c r="A18" s="45"/>
      <c r="B18" s="46">
        <f>BE!D107</f>
        <v>23.61</v>
      </c>
      <c r="C18" s="51" t="str">
        <f>BE!C107</f>
        <v>%Fs</v>
      </c>
      <c r="D18" s="52" t="str">
        <f>BE!B107</f>
        <v xml:space="preserve">( b ) Formwork </v>
      </c>
      <c r="E18" s="49">
        <f>J18/B18</f>
        <v>504293.37</v>
      </c>
      <c r="F18" s="50" t="str">
        <f>C18</f>
        <v>%Fs</v>
      </c>
      <c r="G18" s="218">
        <f>BE!G117</f>
        <v>7247326.5300000003</v>
      </c>
      <c r="H18" s="218">
        <f>BE!H117</f>
        <v>4659040</v>
      </c>
      <c r="I18" s="218"/>
      <c r="J18" s="217">
        <f t="shared" si="2"/>
        <v>11906366.529999999</v>
      </c>
    </row>
    <row r="19" spans="1:10" ht="22" customHeight="1">
      <c r="A19" s="45"/>
      <c r="B19" s="46">
        <f>BE!D119</f>
        <v>5.85</v>
      </c>
      <c r="C19" s="47" t="str">
        <f>BE!C119</f>
        <v>Ton</v>
      </c>
      <c r="D19" s="52" t="str">
        <f>BE!B119</f>
        <v>( c ) Rebar Work</v>
      </c>
      <c r="E19" s="49">
        <f>J19/B19</f>
        <v>4206091.2300000004</v>
      </c>
      <c r="F19" s="50" t="str">
        <f>C19</f>
        <v>Ton</v>
      </c>
      <c r="G19" s="218">
        <f>BE!G131</f>
        <v>18265333.699999999</v>
      </c>
      <c r="H19" s="218">
        <f>BE!H131</f>
        <v>6340300</v>
      </c>
      <c r="I19" s="218"/>
      <c r="J19" s="217">
        <f t="shared" si="2"/>
        <v>24605633.699999999</v>
      </c>
    </row>
    <row r="20" spans="1:10" ht="22" customHeight="1">
      <c r="A20" s="45">
        <f>BE!A132</f>
        <v>9</v>
      </c>
      <c r="B20" s="46"/>
      <c r="C20" s="45"/>
      <c r="D20" s="52" t="str">
        <f>BE!B132</f>
        <v>R.C Concrete Casting Work Beam</v>
      </c>
      <c r="E20" s="49"/>
      <c r="F20" s="50"/>
      <c r="G20" s="50"/>
      <c r="H20" s="50"/>
      <c r="I20" s="50"/>
      <c r="J20" s="217">
        <f t="shared" si="2"/>
        <v>0</v>
      </c>
    </row>
    <row r="21" spans="1:10" ht="22" customHeight="1">
      <c r="A21" s="45"/>
      <c r="B21" s="46">
        <f>BE!D133</f>
        <v>13.14</v>
      </c>
      <c r="C21" s="51" t="str">
        <f>BE!C133</f>
        <v>%Fc</v>
      </c>
      <c r="D21" s="52" t="str">
        <f>BE!B133</f>
        <v>( a ) (1:2:4) R.C Conc; Casting Work</v>
      </c>
      <c r="E21" s="49">
        <f>J21/B21</f>
        <v>1016846.27</v>
      </c>
      <c r="F21" s="50" t="str">
        <f>C21</f>
        <v>%Fc</v>
      </c>
      <c r="G21" s="218">
        <f>BE!G144</f>
        <v>9320810</v>
      </c>
      <c r="H21" s="218">
        <f>BE!H144</f>
        <v>4040550</v>
      </c>
      <c r="I21" s="218"/>
      <c r="J21" s="217">
        <f t="shared" si="2"/>
        <v>13361360</v>
      </c>
    </row>
    <row r="22" spans="1:10" ht="22" customHeight="1">
      <c r="A22" s="45"/>
      <c r="B22" s="46">
        <f>BE!D145</f>
        <v>29.84</v>
      </c>
      <c r="C22" s="51" t="str">
        <f>BE!C145</f>
        <v>%Fs</v>
      </c>
      <c r="D22" s="52" t="str">
        <f>BE!B145</f>
        <v xml:space="preserve">( b ) Formwork </v>
      </c>
      <c r="E22" s="49">
        <f>J22/B22</f>
        <v>504253.22</v>
      </c>
      <c r="F22" s="50" t="str">
        <f>C22</f>
        <v>%Fs</v>
      </c>
      <c r="G22" s="218">
        <f>BE!G155</f>
        <v>9158465.9399999995</v>
      </c>
      <c r="H22" s="218">
        <f>BE!H155</f>
        <v>5888450</v>
      </c>
      <c r="I22" s="218"/>
      <c r="J22" s="217">
        <f t="shared" si="2"/>
        <v>15046915.939999999</v>
      </c>
    </row>
    <row r="23" spans="1:10" ht="22" customHeight="1">
      <c r="A23" s="45"/>
      <c r="B23" s="46">
        <f>BE!D156</f>
        <v>8.26</v>
      </c>
      <c r="C23" s="51" t="str">
        <f>BE!C156</f>
        <v>Ton</v>
      </c>
      <c r="D23" s="52" t="str">
        <f>BE!B156</f>
        <v>( c ) Rebar Work</v>
      </c>
      <c r="E23" s="49">
        <f>J23/B23</f>
        <v>4050870.43</v>
      </c>
      <c r="F23" s="50" t="str">
        <f>C23</f>
        <v>Ton</v>
      </c>
      <c r="G23" s="218">
        <f>BE!G166</f>
        <v>27094039.719999999</v>
      </c>
      <c r="H23" s="218">
        <f>BE!H166</f>
        <v>6366150</v>
      </c>
      <c r="I23" s="218"/>
      <c r="J23" s="217">
        <f t="shared" si="2"/>
        <v>33460189.719999999</v>
      </c>
    </row>
    <row r="24" spans="1:10" ht="22" customHeight="1">
      <c r="A24" s="45">
        <f>BE!A168</f>
        <v>10</v>
      </c>
      <c r="B24" s="46"/>
      <c r="C24" s="51"/>
      <c r="D24" s="52" t="str">
        <f>BE!B168</f>
        <v>RC Floor Slab Work</v>
      </c>
      <c r="E24" s="215"/>
      <c r="F24" s="109"/>
      <c r="G24" s="109"/>
      <c r="H24" s="109"/>
      <c r="I24" s="109"/>
      <c r="J24" s="217">
        <f t="shared" si="2"/>
        <v>0</v>
      </c>
    </row>
    <row r="25" spans="1:10" ht="22" customHeight="1">
      <c r="A25" s="45"/>
      <c r="B25" s="46">
        <f>BE!D169</f>
        <v>8.44</v>
      </c>
      <c r="C25" s="51" t="str">
        <f>BE!C169</f>
        <v>%Fc</v>
      </c>
      <c r="D25" s="52" t="str">
        <f>BE!B169</f>
        <v>( a ) (1:2:4) RC Concrete Work</v>
      </c>
      <c r="E25" s="49">
        <f>J25/B25</f>
        <v>956759.48</v>
      </c>
      <c r="F25" s="50" t="str">
        <f>C25</f>
        <v>%Fc</v>
      </c>
      <c r="G25" s="218">
        <f>BE!G181</f>
        <v>5986150</v>
      </c>
      <c r="H25" s="218">
        <f>BE!H181</f>
        <v>2088900</v>
      </c>
      <c r="I25" s="218"/>
      <c r="J25" s="217">
        <f t="shared" si="2"/>
        <v>8075050</v>
      </c>
    </row>
    <row r="26" spans="1:10" ht="22" customHeight="1">
      <c r="A26" s="45"/>
      <c r="B26" s="46">
        <f>BE!D183</f>
        <v>31.09</v>
      </c>
      <c r="C26" s="51" t="str">
        <f>BE!C183</f>
        <v>%Fs</v>
      </c>
      <c r="D26" s="52" t="str">
        <f>BE!B183</f>
        <v>( b ) Formwork</v>
      </c>
      <c r="E26" s="215"/>
      <c r="F26" s="109"/>
      <c r="G26" s="131">
        <f>BE!G194</f>
        <v>9706480.4800000004</v>
      </c>
      <c r="H26" s="131">
        <f>BE!H194</f>
        <v>6135070</v>
      </c>
      <c r="I26" s="131"/>
      <c r="J26" s="217">
        <f t="shared" si="2"/>
        <v>15841550.48</v>
      </c>
    </row>
    <row r="27" spans="1:10" ht="22" customHeight="1">
      <c r="A27" s="45"/>
      <c r="B27" s="46">
        <f>BE!D198</f>
        <v>3.58</v>
      </c>
      <c r="C27" s="51"/>
      <c r="D27" s="52" t="str">
        <f>BE!B196</f>
        <v>( c ) Re bar Work</v>
      </c>
      <c r="E27" s="215"/>
      <c r="F27" s="109"/>
      <c r="G27" s="131">
        <f>BE!G206</f>
        <v>17536803.879999999</v>
      </c>
      <c r="H27" s="131">
        <f>BE!H206</f>
        <v>5207600</v>
      </c>
      <c r="I27" s="131"/>
      <c r="J27" s="217">
        <f t="shared" si="2"/>
        <v>22744403.879999999</v>
      </c>
    </row>
    <row r="28" spans="1:10" ht="22" customHeight="1">
      <c r="A28" s="45">
        <f>BE!A209</f>
        <v>11</v>
      </c>
      <c r="B28" s="46">
        <v>1</v>
      </c>
      <c r="C28" s="51" t="s">
        <v>507</v>
      </c>
      <c r="D28" s="52" t="str">
        <f>BE!B209</f>
        <v>T-Rental Charges</v>
      </c>
      <c r="E28" s="215"/>
      <c r="F28" s="109"/>
      <c r="G28" s="131"/>
      <c r="H28" s="131"/>
      <c r="I28" s="131"/>
      <c r="J28" s="217">
        <f>BE!G210</f>
        <v>10211250</v>
      </c>
    </row>
    <row r="29" spans="1:10" ht="22" customHeight="1">
      <c r="A29" s="45">
        <f>BE!A211</f>
        <v>12</v>
      </c>
      <c r="B29" s="46"/>
      <c r="C29" s="51"/>
      <c r="D29" s="52" t="str">
        <f>BE!B211</f>
        <v>RC Stair Work</v>
      </c>
      <c r="E29" s="215"/>
      <c r="F29" s="109"/>
      <c r="G29" s="109"/>
      <c r="H29" s="109"/>
      <c r="I29" s="109"/>
      <c r="J29" s="217">
        <f t="shared" si="2"/>
        <v>0</v>
      </c>
    </row>
    <row r="30" spans="1:10" ht="22" customHeight="1">
      <c r="A30" s="45"/>
      <c r="B30" s="46">
        <f>BE!D212</f>
        <v>2.29</v>
      </c>
      <c r="C30" s="51" t="str">
        <f>BE!C212</f>
        <v>%Fc</v>
      </c>
      <c r="D30" s="52" t="str">
        <f>BE!B212</f>
        <v>( a ) RC Concrete Work</v>
      </c>
      <c r="E30" s="215"/>
      <c r="F30" s="109"/>
      <c r="G30" s="131">
        <f>BE!G223</f>
        <v>1624520</v>
      </c>
      <c r="H30" s="131">
        <f>BE!H223</f>
        <v>566910</v>
      </c>
      <c r="I30" s="131"/>
      <c r="J30" s="217">
        <f t="shared" si="2"/>
        <v>2191430</v>
      </c>
    </row>
    <row r="31" spans="1:10" ht="22" customHeight="1">
      <c r="A31" s="45"/>
      <c r="B31" s="46">
        <f>BE!D224</f>
        <v>5.36</v>
      </c>
      <c r="C31" s="51" t="str">
        <f>BE!C224</f>
        <v>%Fs</v>
      </c>
      <c r="D31" s="52" t="str">
        <f>BE!B224</f>
        <v>( b ) Formwork</v>
      </c>
      <c r="E31" s="215"/>
      <c r="F31" s="109"/>
      <c r="G31" s="131">
        <f>BE!G234</f>
        <v>1637624.22</v>
      </c>
      <c r="H31" s="131">
        <f>BE!H234</f>
        <v>1057730</v>
      </c>
      <c r="I31" s="131"/>
      <c r="J31" s="217">
        <f t="shared" si="2"/>
        <v>2695354.22</v>
      </c>
    </row>
    <row r="32" spans="1:10" ht="22" customHeight="1">
      <c r="A32" s="45"/>
      <c r="B32" s="46">
        <f>BE!D235</f>
        <v>0.69</v>
      </c>
      <c r="C32" s="51" t="str">
        <f>BE!C235</f>
        <v>Ton</v>
      </c>
      <c r="D32" s="52" t="str">
        <f>BE!B235</f>
        <v>( c ) Re bar Work</v>
      </c>
      <c r="E32" s="215"/>
      <c r="F32" s="109"/>
      <c r="G32" s="131">
        <f>BE!G249</f>
        <v>2088492.18</v>
      </c>
      <c r="H32" s="131">
        <f>BE!H249</f>
        <v>987000</v>
      </c>
      <c r="I32" s="131"/>
      <c r="J32" s="217">
        <f t="shared" si="2"/>
        <v>3075492.18</v>
      </c>
    </row>
    <row r="33" spans="1:10" ht="22" customHeight="1">
      <c r="A33" s="45">
        <f>BE!A251</f>
        <v>13</v>
      </c>
      <c r="B33" s="46"/>
      <c r="C33" s="51"/>
      <c r="D33" s="52" t="str">
        <f>BE!B251</f>
        <v>Mechinary Charges for RC Concrete Casting Work</v>
      </c>
      <c r="E33" s="215"/>
      <c r="F33" s="109"/>
      <c r="G33" s="109"/>
      <c r="H33" s="109"/>
      <c r="I33" s="109"/>
      <c r="J33" s="217">
        <f t="shared" si="2"/>
        <v>0</v>
      </c>
    </row>
    <row r="34" spans="1:10" ht="22" customHeight="1">
      <c r="A34" s="45"/>
      <c r="B34" s="46">
        <f>BE!D253</f>
        <v>21.78</v>
      </c>
      <c r="C34" s="51" t="str">
        <f>BE!C253</f>
        <v>M3</v>
      </c>
      <c r="D34" s="52" t="str">
        <f>BE!B252</f>
        <v>1st Floor Beam,Slab &amp; Stair</v>
      </c>
      <c r="E34" s="215"/>
      <c r="F34" s="109"/>
      <c r="G34" s="109"/>
      <c r="H34" s="109"/>
      <c r="I34" s="109">
        <f>BE!I253</f>
        <v>1600000</v>
      </c>
      <c r="J34" s="217">
        <f t="shared" si="2"/>
        <v>1600000</v>
      </c>
    </row>
    <row r="35" spans="1:10" ht="22" customHeight="1">
      <c r="A35" s="45"/>
      <c r="B35" s="46"/>
      <c r="C35" s="51"/>
      <c r="D35" s="52" t="s">
        <v>452</v>
      </c>
      <c r="E35" s="215"/>
      <c r="F35" s="109"/>
      <c r="G35" s="109"/>
      <c r="H35" s="109"/>
      <c r="I35" s="109"/>
      <c r="J35" s="217"/>
    </row>
    <row r="36" spans="1:10" ht="22" customHeight="1">
      <c r="A36" s="45"/>
      <c r="B36" s="46">
        <f>BE!D256</f>
        <v>21.82</v>
      </c>
      <c r="C36" s="51" t="str">
        <f>C34</f>
        <v>M3</v>
      </c>
      <c r="D36" s="52" t="str">
        <f>BE!B255</f>
        <v>2nd Floor Beam, Slab &amp; Stair</v>
      </c>
      <c r="E36" s="215"/>
      <c r="F36" s="109"/>
      <c r="G36" s="109"/>
      <c r="H36" s="109"/>
      <c r="I36" s="109">
        <f>BE!I256</f>
        <v>1800000</v>
      </c>
      <c r="J36" s="217">
        <f t="shared" si="2"/>
        <v>1800000</v>
      </c>
    </row>
    <row r="37" spans="1:10" ht="22" customHeight="1">
      <c r="A37" s="45"/>
      <c r="B37" s="46"/>
      <c r="C37" s="51"/>
      <c r="D37" s="52" t="s">
        <v>452</v>
      </c>
      <c r="E37" s="215"/>
      <c r="F37" s="109"/>
      <c r="G37" s="109"/>
      <c r="H37" s="109"/>
      <c r="I37" s="109"/>
      <c r="J37" s="217"/>
    </row>
    <row r="38" spans="1:10" ht="22" customHeight="1">
      <c r="A38" s="45"/>
      <c r="B38" s="46">
        <f>BE!D259</f>
        <v>15.37</v>
      </c>
      <c r="C38" s="51" t="str">
        <f>C36</f>
        <v>M3</v>
      </c>
      <c r="D38" s="52" t="str">
        <f>BE!B258</f>
        <v>Roof Beam &amp; Slab</v>
      </c>
      <c r="E38" s="215"/>
      <c r="F38" s="109"/>
      <c r="G38" s="109"/>
      <c r="H38" s="109"/>
      <c r="I38" s="109">
        <f>BE!I259</f>
        <v>2000000</v>
      </c>
      <c r="J38" s="217">
        <f t="shared" si="2"/>
        <v>2000000</v>
      </c>
    </row>
    <row r="39" spans="1:10" ht="22" customHeight="1">
      <c r="A39" s="45"/>
      <c r="B39" s="46"/>
      <c r="C39" s="51"/>
      <c r="D39" s="52" t="s">
        <v>452</v>
      </c>
      <c r="E39" s="215"/>
      <c r="F39" s="109"/>
      <c r="G39" s="109"/>
      <c r="H39" s="109"/>
      <c r="I39" s="109"/>
      <c r="J39" s="217"/>
    </row>
    <row r="40" spans="1:10" ht="22" customHeight="1">
      <c r="A40" s="45"/>
      <c r="B40" s="46"/>
      <c r="C40" s="51"/>
      <c r="D40" s="52"/>
      <c r="E40" s="215"/>
      <c r="F40" s="109"/>
      <c r="G40" s="109"/>
      <c r="H40" s="109"/>
      <c r="I40" s="109"/>
      <c r="J40" s="217">
        <f t="shared" si="2"/>
        <v>0</v>
      </c>
    </row>
    <row r="41" spans="1:10" ht="22" customHeight="1">
      <c r="A41" s="45">
        <f>BE!A262</f>
        <v>14</v>
      </c>
      <c r="B41" s="46">
        <f>BE!D262</f>
        <v>50.2</v>
      </c>
      <c r="C41" s="51" t="str">
        <f>BE!C262</f>
        <v>%Fs</v>
      </c>
      <c r="D41" s="52" t="str">
        <f>BE!B262</f>
        <v>( a ) 4½" Thk; Brick Walling Work</v>
      </c>
      <c r="E41" s="215">
        <f>J41/B41</f>
        <v>479844.82</v>
      </c>
      <c r="F41" s="109" t="str">
        <f>C41</f>
        <v>%Fs</v>
      </c>
      <c r="G41" s="131">
        <f>BE!G271</f>
        <v>18365410</v>
      </c>
      <c r="H41" s="131">
        <f>BE!H271</f>
        <v>5722800</v>
      </c>
      <c r="I41" s="131"/>
      <c r="J41" s="217">
        <f t="shared" si="2"/>
        <v>24088210</v>
      </c>
    </row>
    <row r="42" spans="1:10" ht="22" customHeight="1">
      <c r="A42" s="45">
        <f>BE!A273</f>
        <v>15</v>
      </c>
      <c r="B42" s="46"/>
      <c r="C42" s="51"/>
      <c r="D42" s="52" t="str">
        <f>BE!B273</f>
        <v>Lintel &amp; Stiffener Work</v>
      </c>
      <c r="E42" s="49"/>
      <c r="F42" s="50"/>
      <c r="G42" s="50"/>
      <c r="H42" s="50"/>
      <c r="I42" s="50"/>
      <c r="J42" s="217">
        <f t="shared" si="2"/>
        <v>0</v>
      </c>
    </row>
    <row r="43" spans="1:10" ht="22" customHeight="1">
      <c r="A43" s="45"/>
      <c r="B43" s="46">
        <f>BE!D274</f>
        <v>1.98</v>
      </c>
      <c r="C43" s="51" t="str">
        <f>BE!C274</f>
        <v>%Fc</v>
      </c>
      <c r="D43" s="52" t="str">
        <f>BE!B274</f>
        <v>( a ) (1:2:4) R.C Concrete Work</v>
      </c>
      <c r="E43" s="215">
        <f>J43/B43</f>
        <v>951969.7</v>
      </c>
      <c r="F43" s="109" t="str">
        <f>C43</f>
        <v>%Fc</v>
      </c>
      <c r="G43" s="131">
        <f>BE!G284</f>
        <v>1276050</v>
      </c>
      <c r="H43" s="131">
        <f>BE!H284</f>
        <v>608850</v>
      </c>
      <c r="I43" s="131"/>
      <c r="J43" s="217">
        <f t="shared" si="2"/>
        <v>1884900</v>
      </c>
    </row>
    <row r="44" spans="1:10" ht="22" customHeight="1">
      <c r="A44" s="45"/>
      <c r="B44" s="46">
        <f>BE!D286</f>
        <v>10.43</v>
      </c>
      <c r="C44" s="51" t="str">
        <f>BE!C286</f>
        <v>%Fs</v>
      </c>
      <c r="D44" s="52" t="str">
        <f>BE!B286</f>
        <v>( b ) Formwork</v>
      </c>
      <c r="E44" s="215">
        <f>J44/B44</f>
        <v>504050.07</v>
      </c>
      <c r="F44" s="109" t="str">
        <f>C44</f>
        <v>%Fs</v>
      </c>
      <c r="G44" s="131">
        <f>BE!G296</f>
        <v>3199032.27</v>
      </c>
      <c r="H44" s="131">
        <f>BE!H296</f>
        <v>2058210</v>
      </c>
      <c r="I44" s="131"/>
      <c r="J44" s="217">
        <f t="shared" si="2"/>
        <v>5257242.2699999996</v>
      </c>
    </row>
    <row r="45" spans="1:10" ht="22" customHeight="1">
      <c r="A45" s="45"/>
      <c r="B45" s="46">
        <f>BE!D298</f>
        <v>0.81</v>
      </c>
      <c r="C45" s="51" t="str">
        <f>BE!C298</f>
        <v>Ton</v>
      </c>
      <c r="D45" s="52" t="str">
        <f>BE!B298</f>
        <v>( c ) Re Bar Work</v>
      </c>
      <c r="E45" s="215">
        <f>J45/B45</f>
        <v>4870235.58</v>
      </c>
      <c r="F45" s="109" t="str">
        <f>C45</f>
        <v>Ton</v>
      </c>
      <c r="G45" s="131">
        <f>BE!G308</f>
        <v>2661790.8199999998</v>
      </c>
      <c r="H45" s="131">
        <f>BE!H308</f>
        <v>1283100</v>
      </c>
      <c r="I45" s="131"/>
      <c r="J45" s="217">
        <f t="shared" si="2"/>
        <v>3944890.82</v>
      </c>
    </row>
    <row r="46" spans="1:10" ht="22" customHeight="1">
      <c r="A46" s="45">
        <f>BE!A310</f>
        <v>16</v>
      </c>
      <c r="B46" s="46">
        <f>BE!D311</f>
        <v>139.16</v>
      </c>
      <c r="C46" s="51" t="str">
        <f>BE!C311</f>
        <v>%Fs</v>
      </c>
      <c r="D46" s="52" t="str">
        <f>BE!B310</f>
        <v>(1:3) Cement Mortar Plastering Work</v>
      </c>
      <c r="E46" s="49">
        <f>J46/B46</f>
        <v>154473.84</v>
      </c>
      <c r="F46" s="50" t="str">
        <f>C46</f>
        <v>%Fs</v>
      </c>
      <c r="G46" s="218">
        <f>BE!G320</f>
        <v>7511000</v>
      </c>
      <c r="H46" s="218">
        <f>BE!H320</f>
        <v>13985580</v>
      </c>
      <c r="I46" s="218"/>
      <c r="J46" s="217">
        <f t="shared" si="2"/>
        <v>21496580</v>
      </c>
    </row>
    <row r="47" spans="1:10" ht="22" customHeight="1">
      <c r="A47" s="45">
        <f>BE!A322</f>
        <v>17</v>
      </c>
      <c r="B47" s="46">
        <f>BE!D322</f>
        <v>310.76</v>
      </c>
      <c r="C47" s="51" t="str">
        <f>BE!C322</f>
        <v>Ft</v>
      </c>
      <c r="D47" s="52" t="str">
        <f>BE!B322</f>
        <v xml:space="preserve">( e ) Making &amp; Fixing of 5" x 2" Chowket </v>
      </c>
      <c r="E47" s="49"/>
      <c r="F47" s="50"/>
      <c r="G47" s="218">
        <f>BE!G330</f>
        <v>3785851.26</v>
      </c>
      <c r="H47" s="218">
        <f>BE!H330</f>
        <v>513350</v>
      </c>
      <c r="I47" s="218"/>
      <c r="J47" s="217">
        <f t="shared" si="2"/>
        <v>4299201.26</v>
      </c>
    </row>
    <row r="48" spans="1:10" ht="22" customHeight="1">
      <c r="A48" s="45">
        <f>BE!A332</f>
        <v>18</v>
      </c>
      <c r="B48" s="46">
        <f>BE!D332</f>
        <v>98.25</v>
      </c>
      <c r="C48" s="51" t="str">
        <f>BE!C332</f>
        <v>%Fc</v>
      </c>
      <c r="D48" s="52" t="str">
        <f>BE!B332</f>
        <v>( a ) Back Filling Work (Foundation)</v>
      </c>
      <c r="E48" s="49"/>
      <c r="F48" s="50" t="str">
        <f>C48</f>
        <v>%Fc</v>
      </c>
      <c r="G48" s="218">
        <f>BE!G337</f>
        <v>6140500</v>
      </c>
      <c r="H48" s="218">
        <f>BE!H337</f>
        <v>1965000</v>
      </c>
      <c r="I48" s="218">
        <f>BE!I337</f>
        <v>0</v>
      </c>
      <c r="J48" s="217">
        <f t="shared" si="2"/>
        <v>8105500</v>
      </c>
    </row>
    <row r="49" spans="1:10" ht="23.15" customHeight="1">
      <c r="A49" s="45">
        <f>BE!A339</f>
        <v>19</v>
      </c>
      <c r="B49" s="45"/>
      <c r="C49" s="46"/>
      <c r="D49" s="52" t="str">
        <f>BE!B339</f>
        <v>Flooring Work</v>
      </c>
      <c r="E49" s="52"/>
      <c r="F49" s="49"/>
      <c r="G49" s="49"/>
      <c r="H49" s="49"/>
      <c r="I49" s="49"/>
      <c r="J49" s="217">
        <f t="shared" si="2"/>
        <v>0</v>
      </c>
    </row>
    <row r="50" spans="1:10" ht="23.15" customHeight="1">
      <c r="A50" s="45"/>
      <c r="B50" s="47">
        <f>BE!D340</f>
        <v>21.47</v>
      </c>
      <c r="C50" s="46" t="str">
        <f>BE!C340</f>
        <v>%Fc</v>
      </c>
      <c r="D50" s="52" t="str">
        <f>BE!B340</f>
        <v>( a ) Sand  Filling Work For Floor</v>
      </c>
      <c r="E50" s="49"/>
      <c r="F50" s="50" t="str">
        <f>C50</f>
        <v>%Fc</v>
      </c>
      <c r="G50" s="218">
        <f>BE!G345</f>
        <v>1342000</v>
      </c>
      <c r="H50" s="218">
        <f>BE!H345</f>
        <v>429400</v>
      </c>
      <c r="I50" s="218">
        <f>BE!I345</f>
        <v>0</v>
      </c>
      <c r="J50" s="217">
        <f t="shared" si="2"/>
        <v>1771400</v>
      </c>
    </row>
    <row r="51" spans="1:10" ht="22" customHeight="1">
      <c r="A51" s="45"/>
      <c r="B51" s="46">
        <f>BE!D349</f>
        <v>3.32</v>
      </c>
      <c r="C51" s="47" t="str">
        <f>BE!C349</f>
        <v>%Fc</v>
      </c>
      <c r="D51" s="52" t="str">
        <f>BE!B347</f>
        <v>( b ) 4½" thk (1:3:6) Cement Concrete Work</v>
      </c>
      <c r="E51" s="49">
        <f>J51/B51</f>
        <v>670816.27</v>
      </c>
      <c r="F51" s="50" t="str">
        <f>C51</f>
        <v>%Fc</v>
      </c>
      <c r="G51" s="218">
        <f>BE!G359</f>
        <v>1694250</v>
      </c>
      <c r="H51" s="218">
        <f>BE!H359</f>
        <v>532860</v>
      </c>
      <c r="I51" s="50"/>
      <c r="J51" s="217">
        <f t="shared" si="2"/>
        <v>2227110</v>
      </c>
    </row>
    <row r="52" spans="1:10" ht="22" customHeight="1">
      <c r="A52" s="45"/>
      <c r="B52" s="46">
        <f>BE!D361</f>
        <v>8.74</v>
      </c>
      <c r="C52" s="47" t="str">
        <f>BE!C361</f>
        <v>%Fs</v>
      </c>
      <c r="D52" s="52" t="str">
        <f>BE!B361</f>
        <v>( c ) Plastic Sheet Laying Work</v>
      </c>
      <c r="E52" s="49">
        <f>J52/B52</f>
        <v>58335.24</v>
      </c>
      <c r="F52" s="50" t="str">
        <f>C52</f>
        <v>%Fs</v>
      </c>
      <c r="G52" s="218">
        <f>BE!G365</f>
        <v>509850</v>
      </c>
      <c r="H52" s="218">
        <f>BE!H365</f>
        <v>0</v>
      </c>
      <c r="I52" s="50"/>
      <c r="J52" s="217">
        <f t="shared" si="2"/>
        <v>509850</v>
      </c>
    </row>
    <row r="53" spans="1:10" ht="22" customHeight="1">
      <c r="A53" s="105"/>
      <c r="B53" s="106">
        <f>BE!D367</f>
        <v>35.68</v>
      </c>
      <c r="C53" s="107" t="str">
        <f>BE!C367</f>
        <v>%Fs</v>
      </c>
      <c r="D53" s="108" t="str">
        <f>BE!B367</f>
        <v>( d ) 1½" Thk; (1:2:4) Concrete Topping Work</v>
      </c>
      <c r="E53" s="215">
        <f>J53/B53</f>
        <v>125873.60000000001</v>
      </c>
      <c r="F53" s="109" t="str">
        <f>C53</f>
        <v>%Fs</v>
      </c>
      <c r="G53" s="131">
        <f>BE!G375</f>
        <v>2698250</v>
      </c>
      <c r="H53" s="131">
        <f>BE!H375</f>
        <v>1792920</v>
      </c>
      <c r="I53" s="109"/>
      <c r="J53" s="217">
        <f t="shared" si="2"/>
        <v>4491170</v>
      </c>
    </row>
    <row r="54" spans="1:10" ht="22" customHeight="1">
      <c r="A54" s="116">
        <f>BE!A377</f>
        <v>20</v>
      </c>
      <c r="B54" s="117">
        <f>BE!D377</f>
        <v>7134</v>
      </c>
      <c r="C54" s="118" t="str">
        <f>BE!C377</f>
        <v>Fs</v>
      </c>
      <c r="D54" s="119" t="str">
        <f>BE!B377</f>
        <v>Scaffolding Work</v>
      </c>
      <c r="E54" s="215">
        <f>J54/B54</f>
        <v>233.81</v>
      </c>
      <c r="F54" s="109" t="str">
        <f>C54</f>
        <v>Fs</v>
      </c>
      <c r="G54" s="370">
        <f>BE!G384</f>
        <v>927995.7</v>
      </c>
      <c r="H54" s="370">
        <f>BE!H384</f>
        <v>740000</v>
      </c>
      <c r="I54" s="323"/>
      <c r="J54" s="217">
        <f t="shared" si="2"/>
        <v>1667995.7</v>
      </c>
    </row>
    <row r="55" spans="1:10" ht="22" customHeight="1">
      <c r="A55" s="53"/>
      <c r="B55" s="54"/>
      <c r="C55" s="55"/>
      <c r="D55" s="56"/>
      <c r="E55" s="57"/>
      <c r="F55" s="58"/>
      <c r="G55" s="58"/>
      <c r="H55" s="58"/>
      <c r="I55" s="58"/>
      <c r="J55" s="59"/>
    </row>
    <row r="56" spans="1:10" ht="30" customHeight="1">
      <c r="A56" s="481" t="s">
        <v>42</v>
      </c>
      <c r="B56" s="481"/>
      <c r="C56" s="481"/>
      <c r="D56" s="481"/>
      <c r="E56" s="481"/>
      <c r="F56" s="481"/>
      <c r="G56" s="320"/>
      <c r="H56" s="320"/>
      <c r="I56" s="320"/>
      <c r="J56" s="219">
        <f>SUM(J6:J55)</f>
        <v>302318905.82999998</v>
      </c>
    </row>
    <row r="57" spans="1:10" ht="30" customHeight="1">
      <c r="A57" s="62"/>
      <c r="B57" s="122"/>
      <c r="C57" s="91"/>
      <c r="D57" s="64"/>
      <c r="E57" s="480"/>
      <c r="F57" s="480"/>
      <c r="G57" s="319"/>
      <c r="H57" s="319"/>
      <c r="I57" s="319"/>
      <c r="J57" s="60"/>
    </row>
    <row r="58" spans="1:10">
      <c r="J58" s="123">
        <f>J56-BE!H389</f>
        <v>0</v>
      </c>
    </row>
  </sheetData>
  <mergeCells count="15">
    <mergeCell ref="A1:J1"/>
    <mergeCell ref="E4:E5"/>
    <mergeCell ref="F4:F5"/>
    <mergeCell ref="A3:J3"/>
    <mergeCell ref="J4:J5"/>
    <mergeCell ref="A4:A5"/>
    <mergeCell ref="B4:B5"/>
    <mergeCell ref="A2:J2"/>
    <mergeCell ref="C4:C5"/>
    <mergeCell ref="D4:D5"/>
    <mergeCell ref="G4:G5"/>
    <mergeCell ref="H4:H5"/>
    <mergeCell ref="I4:I5"/>
    <mergeCell ref="E57:F57"/>
    <mergeCell ref="A56:F56"/>
  </mergeCells>
  <phoneticPr fontId="7" type="noConversion"/>
  <printOptions horizontalCentered="1"/>
  <pageMargins left="0.5" right="0" top="0.75" bottom="0.5" header="0.5" footer="0.25"/>
  <pageSetup paperSize="9" orientation="portrait" r:id="rId1"/>
  <headerFooter>
    <oddFooter>&amp;R&amp;P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F02A-7DFA-425B-84AD-1D84AF8B1613}">
  <sheetPr>
    <tabColor indexed="40"/>
  </sheetPr>
  <dimension ref="A1:K390"/>
  <sheetViews>
    <sheetView topLeftCell="A381" zoomScale="115" zoomScaleNormal="115" workbookViewId="0">
      <selection activeCell="D391" sqref="D391"/>
    </sheetView>
  </sheetViews>
  <sheetFormatPr defaultColWidth="9.1796875" defaultRowHeight="12.5"/>
  <cols>
    <col min="1" max="1" width="4.26953125" style="8" customWidth="1"/>
    <col min="2" max="2" width="33.453125" style="1" customWidth="1"/>
    <col min="3" max="3" width="6.7265625" style="10" customWidth="1"/>
    <col min="4" max="4" width="11.81640625" style="7" customWidth="1"/>
    <col min="5" max="5" width="11.1796875" style="9" customWidth="1"/>
    <col min="6" max="6" width="5.81640625" style="10" customWidth="1"/>
    <col min="7" max="8" width="17.7265625" style="11" bestFit="1" customWidth="1"/>
    <col min="9" max="9" width="16.81640625" style="2" customWidth="1"/>
    <col min="10" max="10" width="15" style="2" customWidth="1"/>
    <col min="11" max="11" width="14" style="6" customWidth="1"/>
    <col min="12" max="16384" width="9.1796875" style="1"/>
  </cols>
  <sheetData>
    <row r="1" spans="1:11" ht="25" customHeight="1">
      <c r="A1" s="482" t="str">
        <f>Detail!A1</f>
        <v>U MYO MIN AUNG (KAN NAR LANN, MAGWAY)</v>
      </c>
      <c r="B1" s="482"/>
      <c r="C1" s="482"/>
      <c r="D1" s="482"/>
      <c r="E1" s="482"/>
      <c r="F1" s="482"/>
      <c r="G1" s="482"/>
      <c r="H1" s="1"/>
      <c r="I1" s="1"/>
      <c r="J1" s="7"/>
      <c r="K1" s="1"/>
    </row>
    <row r="2" spans="1:11" s="3" customFormat="1" ht="25" customHeight="1">
      <c r="A2" s="482" t="str">
        <f>Detail!A2</f>
        <v>27' X 40' 2.5 STOREYED BUILDING (Structure Work)</v>
      </c>
      <c r="B2" s="482"/>
      <c r="C2" s="482"/>
      <c r="D2" s="482"/>
      <c r="E2" s="482"/>
      <c r="F2" s="482"/>
      <c r="G2" s="482"/>
      <c r="H2" s="1"/>
      <c r="I2" s="1"/>
      <c r="J2" s="21"/>
      <c r="K2" s="21"/>
    </row>
    <row r="3" spans="1:11" ht="25" customHeight="1">
      <c r="A3" s="492" t="s">
        <v>72</v>
      </c>
      <c r="B3" s="492"/>
      <c r="C3" s="492"/>
      <c r="D3" s="492"/>
      <c r="E3" s="492"/>
      <c r="F3" s="492"/>
      <c r="G3" s="492"/>
      <c r="H3" s="4"/>
      <c r="I3" s="1"/>
      <c r="J3" s="1"/>
      <c r="K3" s="7"/>
    </row>
    <row r="4" spans="1:11" ht="17.149999999999999" customHeight="1">
      <c r="A4" s="490" t="s">
        <v>0</v>
      </c>
      <c r="B4" s="490" t="s">
        <v>1</v>
      </c>
      <c r="C4" s="490" t="s">
        <v>16</v>
      </c>
      <c r="D4" s="490" t="s">
        <v>17</v>
      </c>
      <c r="E4" s="490" t="s">
        <v>18</v>
      </c>
      <c r="F4" s="490" t="s">
        <v>19</v>
      </c>
      <c r="G4" s="494" t="s">
        <v>40</v>
      </c>
      <c r="H4" s="495"/>
      <c r="I4" s="488"/>
    </row>
    <row r="5" spans="1:11" ht="13">
      <c r="A5" s="491"/>
      <c r="B5" s="491"/>
      <c r="C5" s="491"/>
      <c r="D5" s="491"/>
      <c r="E5" s="491"/>
      <c r="F5" s="491"/>
      <c r="G5" s="335" t="s">
        <v>26</v>
      </c>
      <c r="H5" s="336" t="s">
        <v>22</v>
      </c>
      <c r="I5" s="489"/>
    </row>
    <row r="6" spans="1:11" ht="20.149999999999999" customHeight="1">
      <c r="A6" s="27">
        <f>Detail!A6</f>
        <v>1</v>
      </c>
      <c r="B6" s="30" t="str">
        <f>Detail!B6</f>
        <v>Site Clearing Work</v>
      </c>
      <c r="C6" s="136" t="str">
        <f>Detail!K7</f>
        <v>%Fs</v>
      </c>
      <c r="D6" s="68">
        <f>Detail!J7</f>
        <v>24</v>
      </c>
      <c r="E6" s="208"/>
      <c r="F6" s="27"/>
      <c r="G6" s="28"/>
      <c r="H6" s="18"/>
      <c r="I6" s="24"/>
    </row>
    <row r="7" spans="1:11" s="285" customFormat="1" ht="20.149999999999999" customHeight="1">
      <c r="A7" s="279"/>
      <c r="B7" s="279" t="s">
        <v>22</v>
      </c>
      <c r="C7" s="279"/>
      <c r="D7" s="280"/>
      <c r="E7" s="281"/>
      <c r="F7" s="279"/>
      <c r="G7" s="282"/>
      <c r="H7" s="279"/>
      <c r="I7" s="331"/>
      <c r="J7" s="283"/>
      <c r="K7" s="284"/>
    </row>
    <row r="8" spans="1:11" s="285" customFormat="1" ht="20.149999999999999" customHeight="1">
      <c r="A8" s="279"/>
      <c r="B8" s="257" t="s">
        <v>29</v>
      </c>
      <c r="C8" s="301" t="s">
        <v>2</v>
      </c>
      <c r="D8" s="302">
        <f>D6*0.25</f>
        <v>6</v>
      </c>
      <c r="E8" s="258">
        <f>'BQ-YB'!E40</f>
        <v>20000</v>
      </c>
      <c r="F8" s="301" t="str">
        <f>C8</f>
        <v>No</v>
      </c>
      <c r="G8" s="303"/>
      <c r="H8" s="304">
        <f>D8*E8</f>
        <v>120000</v>
      </c>
      <c r="I8" s="331"/>
      <c r="J8" s="283"/>
      <c r="K8" s="284"/>
    </row>
    <row r="9" spans="1:11" s="285" customFormat="1" ht="20.149999999999999" customHeight="1">
      <c r="A9" s="279"/>
      <c r="B9" s="279"/>
      <c r="C9" s="279"/>
      <c r="D9" s="280"/>
      <c r="E9" s="281"/>
      <c r="F9" s="279"/>
      <c r="G9" s="287">
        <f>SUM(G8)</f>
        <v>0</v>
      </c>
      <c r="H9" s="333">
        <f>SUM(H8)</f>
        <v>120000</v>
      </c>
      <c r="I9" s="331"/>
      <c r="J9" s="283"/>
      <c r="K9" s="284"/>
    </row>
    <row r="10" spans="1:11" ht="20.149999999999999" customHeight="1">
      <c r="A10" s="86"/>
      <c r="B10" s="88"/>
      <c r="C10" s="99"/>
      <c r="D10" s="33"/>
      <c r="E10" s="278"/>
      <c r="F10" s="86"/>
      <c r="G10" s="18"/>
      <c r="H10" s="18"/>
      <c r="I10" s="24"/>
    </row>
    <row r="11" spans="1:11" ht="20.149999999999999" customHeight="1">
      <c r="A11" s="12">
        <f>Detail!A9</f>
        <v>2</v>
      </c>
      <c r="B11" s="16" t="str">
        <f>Detail!B9</f>
        <v>Staking Works For Preparation of Foundation</v>
      </c>
      <c r="C11" s="32" t="str">
        <f>Detail!K9</f>
        <v>Fs</v>
      </c>
      <c r="D11" s="66">
        <f>Detail!J9</f>
        <v>1850</v>
      </c>
      <c r="E11" s="15"/>
      <c r="F11" s="12"/>
      <c r="G11" s="13"/>
      <c r="H11" s="13"/>
      <c r="I11" s="24"/>
    </row>
    <row r="12" spans="1:11" ht="20.149999999999999" customHeight="1">
      <c r="A12" s="12"/>
      <c r="B12" s="12" t="s">
        <v>26</v>
      </c>
      <c r="C12" s="12"/>
      <c r="D12" s="66"/>
      <c r="E12" s="15"/>
      <c r="F12" s="12"/>
      <c r="G12" s="13"/>
      <c r="H12" s="13"/>
      <c r="I12" s="24"/>
    </row>
    <row r="13" spans="1:11" ht="20.149999999999999" customHeight="1">
      <c r="A13" s="12"/>
      <c r="B13" s="14" t="s">
        <v>67</v>
      </c>
      <c r="C13" s="12" t="s">
        <v>14</v>
      </c>
      <c r="D13" s="66">
        <f>D11/(100*100)*30/50/3</f>
        <v>0.04</v>
      </c>
      <c r="E13" s="15">
        <f>'BQ-YB'!E18</f>
        <v>1500000</v>
      </c>
      <c r="F13" s="12" t="str">
        <f>C13</f>
        <v>Ton</v>
      </c>
      <c r="G13" s="13">
        <f>E13*D13</f>
        <v>60000</v>
      </c>
      <c r="H13" s="13"/>
      <c r="I13" s="24"/>
    </row>
    <row r="14" spans="1:11" ht="20.149999999999999" customHeight="1">
      <c r="A14" s="12"/>
      <c r="B14" s="14" t="s">
        <v>47</v>
      </c>
      <c r="C14" s="12" t="s">
        <v>15</v>
      </c>
      <c r="D14" s="66">
        <f>D11/(100*100)*7.5</f>
        <v>1.39</v>
      </c>
      <c r="E14" s="15">
        <f>'BQ-YB'!E20</f>
        <v>3333</v>
      </c>
      <c r="F14" s="12" t="str">
        <f>C14</f>
        <v>Lb</v>
      </c>
      <c r="G14" s="13">
        <f>E14*D14</f>
        <v>4632.87</v>
      </c>
      <c r="H14" s="13"/>
      <c r="I14" s="24"/>
    </row>
    <row r="15" spans="1:11" s="285" customFormat="1" ht="20.149999999999999" customHeight="1">
      <c r="A15" s="279"/>
      <c r="B15" s="279" t="s">
        <v>22</v>
      </c>
      <c r="C15" s="279"/>
      <c r="D15" s="280"/>
      <c r="E15" s="281"/>
      <c r="F15" s="279"/>
      <c r="G15" s="282"/>
      <c r="H15" s="279"/>
      <c r="I15" s="331"/>
      <c r="J15" s="283"/>
      <c r="K15" s="284"/>
    </row>
    <row r="16" spans="1:11" s="285" customFormat="1" ht="20.149999999999999" customHeight="1">
      <c r="A16" s="279"/>
      <c r="B16" s="286" t="s">
        <v>363</v>
      </c>
      <c r="C16" s="279" t="s">
        <v>2</v>
      </c>
      <c r="D16" s="280">
        <f>D11/(100*100)*1</f>
        <v>0.19</v>
      </c>
      <c r="E16" s="281">
        <f>'BQ-YB'!E45</f>
        <v>27000</v>
      </c>
      <c r="F16" s="279" t="str">
        <f>C16</f>
        <v>No</v>
      </c>
      <c r="G16" s="282"/>
      <c r="H16" s="282">
        <f>D16*E16</f>
        <v>5130</v>
      </c>
      <c r="I16" s="331"/>
      <c r="J16" s="283"/>
      <c r="K16" s="284"/>
    </row>
    <row r="17" spans="1:11" s="285" customFormat="1" ht="20.149999999999999" customHeight="1">
      <c r="A17" s="279"/>
      <c r="B17" s="257" t="s">
        <v>30</v>
      </c>
      <c r="C17" s="301" t="s">
        <v>2</v>
      </c>
      <c r="D17" s="302">
        <f>D11/(100*100)*5</f>
        <v>0.93</v>
      </c>
      <c r="E17" s="258">
        <f>'BQ-YB'!E43</f>
        <v>27000</v>
      </c>
      <c r="F17" s="301" t="str">
        <f>C17</f>
        <v>No</v>
      </c>
      <c r="G17" s="307"/>
      <c r="H17" s="307">
        <f>D17*E17</f>
        <v>25110</v>
      </c>
      <c r="I17" s="331"/>
      <c r="J17" s="283"/>
      <c r="K17" s="284"/>
    </row>
    <row r="18" spans="1:11" s="285" customFormat="1" ht="20.149999999999999" customHeight="1">
      <c r="A18" s="279"/>
      <c r="B18" s="257" t="s">
        <v>29</v>
      </c>
      <c r="C18" s="301" t="s">
        <v>2</v>
      </c>
      <c r="D18" s="302">
        <f>D11/(100*100)*10</f>
        <v>1.85</v>
      </c>
      <c r="E18" s="258">
        <f>'BQ-YB'!E40</f>
        <v>20000</v>
      </c>
      <c r="F18" s="301" t="str">
        <f>C18</f>
        <v>No</v>
      </c>
      <c r="G18" s="303"/>
      <c r="H18" s="304">
        <f>D18*E18</f>
        <v>37000</v>
      </c>
      <c r="I18" s="331"/>
      <c r="J18" s="283"/>
      <c r="K18" s="284"/>
    </row>
    <row r="19" spans="1:11" ht="20.149999999999999" customHeight="1">
      <c r="A19" s="12"/>
      <c r="B19" s="12"/>
      <c r="C19" s="12"/>
      <c r="D19" s="66"/>
      <c r="E19" s="15"/>
      <c r="F19" s="12"/>
      <c r="G19" s="318">
        <f>SUM(G13:G18)</f>
        <v>64632.87</v>
      </c>
      <c r="H19" s="318">
        <f>SUM(H13:H18)</f>
        <v>67240</v>
      </c>
      <c r="I19" s="24"/>
    </row>
    <row r="20" spans="1:11" ht="20.149999999999999" customHeight="1">
      <c r="A20" s="12"/>
      <c r="B20" s="12"/>
      <c r="C20" s="12"/>
      <c r="D20" s="66"/>
      <c r="E20" s="15"/>
      <c r="F20" s="12"/>
      <c r="G20" s="18"/>
      <c r="H20" s="18"/>
      <c r="I20" s="24"/>
    </row>
    <row r="21" spans="1:11" ht="20.149999999999999" customHeight="1">
      <c r="A21" s="12">
        <v>3</v>
      </c>
      <c r="B21" s="16" t="str">
        <f>Detail!B12</f>
        <v>Excavation &amp; Earth Removal</v>
      </c>
      <c r="C21" s="29" t="str">
        <f>Detail!K13</f>
        <v>%Fc</v>
      </c>
      <c r="D21" s="66">
        <f>Detail!J13</f>
        <v>129.12</v>
      </c>
      <c r="E21" s="15"/>
      <c r="F21" s="12"/>
      <c r="G21" s="13"/>
      <c r="H21" s="18"/>
      <c r="I21" s="24"/>
    </row>
    <row r="22" spans="1:11" ht="20.149999999999999" customHeight="1">
      <c r="A22" s="12"/>
      <c r="B22" s="14" t="s">
        <v>407</v>
      </c>
      <c r="C22" s="29" t="s">
        <v>405</v>
      </c>
      <c r="D22" s="66">
        <v>2</v>
      </c>
      <c r="E22" s="15">
        <f>'BQ-YB'!E49</f>
        <v>800000</v>
      </c>
      <c r="F22" s="29" t="str">
        <f>C22</f>
        <v>Juty</v>
      </c>
      <c r="G22" s="13"/>
      <c r="H22" s="18"/>
      <c r="I22" s="66">
        <f>D22*E22</f>
        <v>1600000</v>
      </c>
    </row>
    <row r="23" spans="1:11" ht="20.149999999999999" customHeight="1">
      <c r="A23" s="12"/>
      <c r="B23" s="14" t="s">
        <v>458</v>
      </c>
      <c r="C23" s="29" t="s">
        <v>406</v>
      </c>
      <c r="D23" s="66">
        <v>2</v>
      </c>
      <c r="E23" s="15">
        <f>'BQ-YB'!E50</f>
        <v>100000</v>
      </c>
      <c r="F23" s="29" t="str">
        <f>C23</f>
        <v>Trip</v>
      </c>
      <c r="G23" s="13"/>
      <c r="H23" s="18"/>
      <c r="I23" s="66">
        <f>D23*E23</f>
        <v>200000</v>
      </c>
    </row>
    <row r="24" spans="1:11" ht="20.149999999999999" customHeight="1">
      <c r="A24" s="12"/>
      <c r="B24" s="14" t="s">
        <v>409</v>
      </c>
      <c r="C24" s="29" t="s">
        <v>406</v>
      </c>
      <c r="D24" s="66">
        <f>D21*1.5/3</f>
        <v>64.56</v>
      </c>
      <c r="E24" s="15">
        <f>'BQ-YB'!E51</f>
        <v>40000</v>
      </c>
      <c r="F24" s="29" t="str">
        <f>C24</f>
        <v>Trip</v>
      </c>
      <c r="G24" s="13"/>
      <c r="H24" s="18"/>
      <c r="I24" s="85">
        <f>D24*E24</f>
        <v>2582400</v>
      </c>
    </row>
    <row r="25" spans="1:11" ht="20.149999999999999" customHeight="1">
      <c r="A25" s="12"/>
      <c r="B25" s="16"/>
      <c r="C25" s="29"/>
      <c r="D25" s="66"/>
      <c r="E25" s="15"/>
      <c r="F25" s="12"/>
      <c r="G25" s="13"/>
      <c r="H25" s="18"/>
      <c r="I25" s="338">
        <f>SUM(I22:I24)</f>
        <v>4382400</v>
      </c>
    </row>
    <row r="26" spans="1:11" ht="20.149999999999999" customHeight="1">
      <c r="A26" s="12"/>
      <c r="B26" s="16"/>
      <c r="C26" s="29"/>
      <c r="D26" s="66"/>
      <c r="E26" s="15"/>
      <c r="F26" s="12"/>
      <c r="G26" s="13"/>
      <c r="H26" s="18"/>
      <c r="I26" s="33"/>
    </row>
    <row r="27" spans="1:11" ht="19" customHeight="1">
      <c r="A27" s="12"/>
      <c r="B27" s="12"/>
      <c r="C27" s="12"/>
      <c r="D27" s="66"/>
      <c r="E27" s="15"/>
      <c r="F27" s="12"/>
      <c r="G27" s="13"/>
      <c r="H27" s="13"/>
      <c r="I27" s="24"/>
    </row>
    <row r="28" spans="1:11" ht="19" customHeight="1">
      <c r="A28" s="12">
        <f>Detail!A16</f>
        <v>4</v>
      </c>
      <c r="B28" s="16" t="str">
        <f>Detail!B16</f>
        <v xml:space="preserve"> Hard Core Laying with sand Work</v>
      </c>
      <c r="C28" s="32" t="str">
        <f>Detail!K24</f>
        <v>%Fc</v>
      </c>
      <c r="D28" s="66">
        <f>Detail!J24</f>
        <v>5.33</v>
      </c>
      <c r="E28" s="15"/>
      <c r="F28" s="12"/>
      <c r="G28" s="13"/>
      <c r="H28" s="13"/>
      <c r="I28" s="24"/>
    </row>
    <row r="29" spans="1:11" ht="19" customHeight="1">
      <c r="A29" s="12"/>
      <c r="B29" s="12" t="s">
        <v>26</v>
      </c>
      <c r="C29" s="12"/>
      <c r="D29" s="66"/>
      <c r="E29" s="15"/>
      <c r="F29" s="12"/>
      <c r="G29" s="13"/>
      <c r="H29" s="13"/>
      <c r="I29" s="24"/>
    </row>
    <row r="30" spans="1:11" ht="19" customHeight="1">
      <c r="A30" s="12"/>
      <c r="B30" s="14" t="s">
        <v>207</v>
      </c>
      <c r="C30" s="12" t="s">
        <v>10</v>
      </c>
      <c r="D30" s="66">
        <f>D28</f>
        <v>5.33</v>
      </c>
      <c r="E30" s="15">
        <f>'BQ-YB'!E12</f>
        <v>220000</v>
      </c>
      <c r="F30" s="12" t="str">
        <f>C30</f>
        <v>Sud</v>
      </c>
      <c r="G30" s="13">
        <f>D30*E30</f>
        <v>1172600</v>
      </c>
      <c r="H30" s="13"/>
      <c r="I30" s="24"/>
    </row>
    <row r="31" spans="1:11" ht="19" customHeight="1">
      <c r="A31" s="12"/>
      <c r="B31" s="14" t="s">
        <v>36</v>
      </c>
      <c r="C31" s="12" t="s">
        <v>10</v>
      </c>
      <c r="D31" s="66">
        <f>D28*0.25</f>
        <v>1.33</v>
      </c>
      <c r="E31" s="15">
        <f>'BQ-YB'!E8</f>
        <v>50000</v>
      </c>
      <c r="F31" s="12" t="str">
        <f>C31</f>
        <v>Sud</v>
      </c>
      <c r="G31" s="13">
        <f>D31*E31</f>
        <v>66500</v>
      </c>
      <c r="H31" s="13"/>
      <c r="I31" s="24"/>
    </row>
    <row r="32" spans="1:11" s="285" customFormat="1" ht="20.149999999999999" customHeight="1">
      <c r="A32" s="279"/>
      <c r="B32" s="279" t="s">
        <v>22</v>
      </c>
      <c r="C32" s="279"/>
      <c r="D32" s="280"/>
      <c r="E32" s="281"/>
      <c r="F32" s="279"/>
      <c r="G32" s="282"/>
      <c r="H32" s="279"/>
      <c r="I32" s="331"/>
      <c r="J32" s="283"/>
      <c r="K32" s="284"/>
    </row>
    <row r="33" spans="1:11" s="285" customFormat="1" ht="20.149999999999999" customHeight="1">
      <c r="A33" s="279"/>
      <c r="B33" s="257" t="s">
        <v>31</v>
      </c>
      <c r="C33" s="301" t="s">
        <v>2</v>
      </c>
      <c r="D33" s="302">
        <f>D28*0.5</f>
        <v>2.67</v>
      </c>
      <c r="E33" s="258">
        <f>'BQ-YB'!E38</f>
        <v>27000</v>
      </c>
      <c r="F33" s="315" t="str">
        <f>C33</f>
        <v>No</v>
      </c>
      <c r="G33" s="303"/>
      <c r="H33" s="307">
        <f>D33*E33</f>
        <v>72090</v>
      </c>
      <c r="I33" s="331"/>
      <c r="J33" s="283"/>
      <c r="K33" s="284"/>
    </row>
    <row r="34" spans="1:11" s="285" customFormat="1" ht="20.149999999999999" customHeight="1">
      <c r="A34" s="279"/>
      <c r="B34" s="257" t="s">
        <v>29</v>
      </c>
      <c r="C34" s="301" t="s">
        <v>2</v>
      </c>
      <c r="D34" s="302">
        <f>D28*2</f>
        <v>10.66</v>
      </c>
      <c r="E34" s="258">
        <f>'BQ-YB'!E40</f>
        <v>20000</v>
      </c>
      <c r="F34" s="301" t="str">
        <f>C34</f>
        <v>No</v>
      </c>
      <c r="G34" s="303"/>
      <c r="H34" s="304">
        <f>D34*E34</f>
        <v>213200</v>
      </c>
      <c r="I34" s="331"/>
      <c r="J34" s="283"/>
      <c r="K34" s="284"/>
    </row>
    <row r="35" spans="1:11" ht="19" customHeight="1">
      <c r="A35" s="12"/>
      <c r="B35" s="14"/>
      <c r="C35" s="12"/>
      <c r="D35" s="66"/>
      <c r="E35" s="15"/>
      <c r="F35" s="12"/>
      <c r="G35" s="318">
        <f>SUM(G30:G34)</f>
        <v>1239100</v>
      </c>
      <c r="H35" s="318">
        <f>SUM(H30:H34)</f>
        <v>285290</v>
      </c>
      <c r="I35" s="24"/>
    </row>
    <row r="36" spans="1:11" ht="19" customHeight="1">
      <c r="A36" s="12"/>
      <c r="B36" s="12"/>
      <c r="C36" s="12"/>
      <c r="D36" s="66"/>
      <c r="E36" s="15"/>
      <c r="F36" s="12"/>
      <c r="G36" s="18"/>
      <c r="H36" s="18"/>
      <c r="I36" s="24"/>
    </row>
    <row r="37" spans="1:11" ht="19" customHeight="1">
      <c r="A37" s="12">
        <f>Detail!A26</f>
        <v>5</v>
      </c>
      <c r="B37" s="16" t="str">
        <f>Detail!B26</f>
        <v xml:space="preserve"> (1:3:6) Lean Conc; Work</v>
      </c>
      <c r="C37" s="29" t="str">
        <f>Detail!K52</f>
        <v>%Fc</v>
      </c>
      <c r="D37" s="66">
        <f>Detail!J52</f>
        <v>9.5500000000000007</v>
      </c>
      <c r="E37" s="15"/>
      <c r="F37" s="12"/>
      <c r="G37" s="13"/>
      <c r="H37" s="13"/>
      <c r="I37" s="24"/>
    </row>
    <row r="38" spans="1:11" ht="19" customHeight="1">
      <c r="A38" s="12"/>
      <c r="B38" s="12" t="s">
        <v>26</v>
      </c>
      <c r="C38" s="12"/>
      <c r="D38" s="66"/>
      <c r="E38" s="15"/>
      <c r="F38" s="12"/>
      <c r="G38" s="13"/>
      <c r="H38" s="13"/>
      <c r="I38" s="24"/>
    </row>
    <row r="39" spans="1:11" ht="19" customHeight="1">
      <c r="A39" s="12"/>
      <c r="B39" s="14" t="s">
        <v>8</v>
      </c>
      <c r="C39" s="12" t="s">
        <v>9</v>
      </c>
      <c r="D39" s="66">
        <f>D37*1440/112</f>
        <v>122.79</v>
      </c>
      <c r="E39" s="15">
        <f>'BQ-YB'!E7</f>
        <v>25000</v>
      </c>
      <c r="F39" s="12" t="str">
        <f>C39</f>
        <v>Bag</v>
      </c>
      <c r="G39" s="13">
        <f>E39*D39</f>
        <v>3069750</v>
      </c>
      <c r="H39" s="13"/>
      <c r="I39" s="24"/>
    </row>
    <row r="40" spans="1:11" ht="19" customHeight="1">
      <c r="A40" s="12"/>
      <c r="B40" s="14" t="s">
        <v>36</v>
      </c>
      <c r="C40" s="12" t="s">
        <v>10</v>
      </c>
      <c r="D40" s="66">
        <f>D37*0.48</f>
        <v>4.58</v>
      </c>
      <c r="E40" s="15">
        <f>'BQ-YB'!E8</f>
        <v>50000</v>
      </c>
      <c r="F40" s="12" t="str">
        <f>C40</f>
        <v>Sud</v>
      </c>
      <c r="G40" s="13">
        <f>E40*D40</f>
        <v>229000</v>
      </c>
      <c r="H40" s="13"/>
      <c r="I40" s="24"/>
    </row>
    <row r="41" spans="1:11" ht="19" customHeight="1">
      <c r="A41" s="12"/>
      <c r="B41" s="14" t="s">
        <v>112</v>
      </c>
      <c r="C41" s="12" t="s">
        <v>10</v>
      </c>
      <c r="D41" s="66">
        <f>D37*0.96</f>
        <v>9.17</v>
      </c>
      <c r="E41" s="15">
        <f>'BQ-YB'!E11</f>
        <v>130000</v>
      </c>
      <c r="F41" s="12" t="str">
        <f>C41</f>
        <v>Sud</v>
      </c>
      <c r="G41" s="13">
        <f>E41*D41</f>
        <v>1192100</v>
      </c>
      <c r="H41" s="13"/>
      <c r="I41" s="24"/>
    </row>
    <row r="42" spans="1:11" ht="19" customHeight="1">
      <c r="A42" s="12"/>
      <c r="B42" s="14" t="s">
        <v>45</v>
      </c>
      <c r="C42" s="12" t="s">
        <v>33</v>
      </c>
      <c r="D42" s="66">
        <f>D37*2</f>
        <v>19.100000000000001</v>
      </c>
      <c r="E42" s="15">
        <f>'BQ-YB'!E13</f>
        <v>20000</v>
      </c>
      <c r="F42" s="12" t="str">
        <f>C42</f>
        <v>Gal</v>
      </c>
      <c r="G42" s="13">
        <f>E42*D42</f>
        <v>382000</v>
      </c>
      <c r="H42" s="13"/>
      <c r="I42" s="24"/>
    </row>
    <row r="43" spans="1:11" s="285" customFormat="1" ht="20.149999999999999" customHeight="1">
      <c r="A43" s="279"/>
      <c r="B43" s="279" t="s">
        <v>22</v>
      </c>
      <c r="C43" s="279"/>
      <c r="D43" s="280"/>
      <c r="E43" s="281"/>
      <c r="F43" s="279"/>
      <c r="G43" s="282"/>
      <c r="H43" s="279"/>
      <c r="I43" s="331"/>
      <c r="J43" s="283"/>
      <c r="K43" s="284"/>
    </row>
    <row r="44" spans="1:11" s="285" customFormat="1" ht="20.149999999999999" customHeight="1">
      <c r="A44" s="279"/>
      <c r="B44" s="257" t="s">
        <v>31</v>
      </c>
      <c r="C44" s="301" t="s">
        <v>2</v>
      </c>
      <c r="D44" s="302">
        <f>D37*1</f>
        <v>9.5500000000000007</v>
      </c>
      <c r="E44" s="258">
        <f>'BQ-YB'!E38</f>
        <v>27000</v>
      </c>
      <c r="F44" s="301" t="str">
        <f>C44</f>
        <v>No</v>
      </c>
      <c r="G44" s="307"/>
      <c r="H44" s="307">
        <f>D44*E44</f>
        <v>257850</v>
      </c>
      <c r="I44" s="331"/>
      <c r="J44" s="283"/>
      <c r="K44" s="284"/>
    </row>
    <row r="45" spans="1:11" s="285" customFormat="1" ht="20.149999999999999" customHeight="1">
      <c r="A45" s="279"/>
      <c r="B45" s="257" t="s">
        <v>46</v>
      </c>
      <c r="C45" s="301" t="s">
        <v>2</v>
      </c>
      <c r="D45" s="302">
        <f>D37*0.5</f>
        <v>4.78</v>
      </c>
      <c r="E45" s="258">
        <f>'BQ-YB'!E39</f>
        <v>27000</v>
      </c>
      <c r="F45" s="301" t="str">
        <f>C45</f>
        <v>No</v>
      </c>
      <c r="G45" s="307"/>
      <c r="H45" s="307">
        <f>D45*E45</f>
        <v>129060</v>
      </c>
      <c r="I45" s="331"/>
      <c r="J45" s="283"/>
      <c r="K45" s="284"/>
    </row>
    <row r="46" spans="1:11" s="285" customFormat="1" ht="20.149999999999999" customHeight="1">
      <c r="A46" s="279"/>
      <c r="B46" s="257" t="s">
        <v>29</v>
      </c>
      <c r="C46" s="301" t="s">
        <v>2</v>
      </c>
      <c r="D46" s="302">
        <f>D37*6</f>
        <v>57.3</v>
      </c>
      <c r="E46" s="258">
        <f>'BQ-YB'!E40</f>
        <v>20000</v>
      </c>
      <c r="F46" s="301" t="str">
        <f>C46</f>
        <v>No</v>
      </c>
      <c r="G46" s="303"/>
      <c r="H46" s="304">
        <f>D46*E46</f>
        <v>1146000</v>
      </c>
      <c r="I46" s="331"/>
      <c r="J46" s="283"/>
      <c r="K46" s="284"/>
    </row>
    <row r="47" spans="1:11" ht="19" customHeight="1">
      <c r="A47" s="12"/>
      <c r="B47" s="12"/>
      <c r="C47" s="12"/>
      <c r="D47" s="66"/>
      <c r="E47" s="15"/>
      <c r="F47" s="12"/>
      <c r="G47" s="318">
        <f>SUM(G39:G46)</f>
        <v>4872850</v>
      </c>
      <c r="H47" s="318">
        <f>SUM(H39:H46)</f>
        <v>1532910</v>
      </c>
      <c r="I47" s="24"/>
    </row>
    <row r="48" spans="1:11" ht="19" customHeight="1">
      <c r="A48" s="12"/>
      <c r="B48" s="12"/>
      <c r="C48" s="12"/>
      <c r="D48" s="66"/>
      <c r="E48" s="15"/>
      <c r="F48" s="12"/>
      <c r="G48" s="212"/>
      <c r="H48" s="18"/>
      <c r="I48" s="24"/>
    </row>
    <row r="49" spans="1:11" ht="25">
      <c r="A49" s="12">
        <f>Detail!A54</f>
        <v>6</v>
      </c>
      <c r="B49" s="114" t="str">
        <f>Detail!B54</f>
        <v>Retaining Wall Brick Work with (1:3) Cement Mortor</v>
      </c>
      <c r="C49" s="29" t="str">
        <f>Detail!K128</f>
        <v>%Fc</v>
      </c>
      <c r="D49" s="66">
        <f>Detail!J128</f>
        <v>10.43</v>
      </c>
      <c r="E49" s="15"/>
      <c r="F49" s="12"/>
      <c r="G49" s="13"/>
      <c r="H49" s="13"/>
      <c r="I49" s="24"/>
    </row>
    <row r="50" spans="1:11" ht="18.75" customHeight="1">
      <c r="A50" s="12"/>
      <c r="B50" s="12" t="s">
        <v>26</v>
      </c>
      <c r="C50" s="12"/>
      <c r="D50" s="66"/>
      <c r="E50" s="15"/>
      <c r="F50" s="12"/>
      <c r="G50" s="13"/>
      <c r="H50" s="13"/>
      <c r="I50" s="24"/>
    </row>
    <row r="51" spans="1:11" ht="18.75" customHeight="1">
      <c r="A51" s="12"/>
      <c r="B51" s="14" t="s">
        <v>8</v>
      </c>
      <c r="C51" s="12" t="s">
        <v>9</v>
      </c>
      <c r="D51" s="66">
        <f>D49*780/112</f>
        <v>72.64</v>
      </c>
      <c r="E51" s="15">
        <f>'BQ-YB'!E7</f>
        <v>25000</v>
      </c>
      <c r="F51" s="12" t="str">
        <f>C51</f>
        <v>Bag</v>
      </c>
      <c r="G51" s="13">
        <f>E51*D51</f>
        <v>1816000</v>
      </c>
      <c r="H51" s="13"/>
      <c r="I51" s="24"/>
    </row>
    <row r="52" spans="1:11" ht="18.75" customHeight="1">
      <c r="A52" s="12"/>
      <c r="B52" s="14" t="s">
        <v>36</v>
      </c>
      <c r="C52" s="12" t="s">
        <v>10</v>
      </c>
      <c r="D52" s="66">
        <f>D49*0.26</f>
        <v>2.71</v>
      </c>
      <c r="E52" s="15">
        <f>'BQ-YB'!E8</f>
        <v>50000</v>
      </c>
      <c r="F52" s="12" t="str">
        <f>C52</f>
        <v>Sud</v>
      </c>
      <c r="G52" s="13">
        <f>E52*D52</f>
        <v>135500</v>
      </c>
      <c r="H52" s="13"/>
      <c r="I52" s="24"/>
    </row>
    <row r="53" spans="1:11" ht="18.75" customHeight="1">
      <c r="A53" s="12"/>
      <c r="B53" s="14" t="s">
        <v>11</v>
      </c>
      <c r="C53" s="12" t="s">
        <v>2</v>
      </c>
      <c r="D53" s="23">
        <f>D49*1350</f>
        <v>14081</v>
      </c>
      <c r="E53" s="15">
        <f>'BQ-YB'!E10</f>
        <v>500</v>
      </c>
      <c r="F53" s="12" t="str">
        <f>C53</f>
        <v>No</v>
      </c>
      <c r="G53" s="13">
        <f>E53*D53</f>
        <v>7040500</v>
      </c>
      <c r="H53" s="13"/>
      <c r="I53" s="371"/>
    </row>
    <row r="54" spans="1:11" s="285" customFormat="1" ht="20.149999999999999" customHeight="1">
      <c r="A54" s="279"/>
      <c r="B54" s="279" t="s">
        <v>22</v>
      </c>
      <c r="C54" s="279"/>
      <c r="D54" s="280"/>
      <c r="E54" s="281"/>
      <c r="F54" s="279"/>
      <c r="G54" s="282"/>
      <c r="H54" s="279"/>
      <c r="I54" s="331"/>
      <c r="J54" s="283"/>
      <c r="K54" s="284"/>
    </row>
    <row r="55" spans="1:11" s="285" customFormat="1" ht="20.149999999999999" customHeight="1">
      <c r="A55" s="279"/>
      <c r="B55" s="257" t="s">
        <v>31</v>
      </c>
      <c r="C55" s="301" t="s">
        <v>2</v>
      </c>
      <c r="D55" s="302">
        <f>D49*4</f>
        <v>41.72</v>
      </c>
      <c r="E55" s="258">
        <f>'BQ-YB'!E38</f>
        <v>27000</v>
      </c>
      <c r="F55" s="301" t="str">
        <f>C55</f>
        <v>No</v>
      </c>
      <c r="G55" s="307"/>
      <c r="H55" s="307">
        <f>D55*E55</f>
        <v>1126440</v>
      </c>
      <c r="I55" s="331"/>
      <c r="J55" s="283"/>
      <c r="K55" s="284"/>
    </row>
    <row r="56" spans="1:11" s="285" customFormat="1" ht="20.149999999999999" customHeight="1">
      <c r="A56" s="279"/>
      <c r="B56" s="257" t="s">
        <v>29</v>
      </c>
      <c r="C56" s="301" t="s">
        <v>2</v>
      </c>
      <c r="D56" s="302">
        <f>D49*6</f>
        <v>62.58</v>
      </c>
      <c r="E56" s="258">
        <f>'BQ-YB'!E40</f>
        <v>20000</v>
      </c>
      <c r="F56" s="301" t="str">
        <f>C56</f>
        <v>No</v>
      </c>
      <c r="G56" s="303"/>
      <c r="H56" s="304">
        <f>D56*E56</f>
        <v>1251600</v>
      </c>
      <c r="I56" s="331"/>
      <c r="J56" s="283"/>
      <c r="K56" s="284"/>
    </row>
    <row r="57" spans="1:11" ht="18.75" customHeight="1">
      <c r="A57" s="12"/>
      <c r="B57" s="12"/>
      <c r="C57" s="12"/>
      <c r="D57" s="66"/>
      <c r="E57" s="15"/>
      <c r="F57" s="12"/>
      <c r="G57" s="318">
        <f>SUM(G51:G56)</f>
        <v>8992000</v>
      </c>
      <c r="H57" s="318">
        <f>SUM(H51:H56)</f>
        <v>2378040</v>
      </c>
      <c r="I57" s="24"/>
    </row>
    <row r="58" spans="1:11" ht="18.75" customHeight="1">
      <c r="A58" s="12"/>
      <c r="B58" s="12"/>
      <c r="C58" s="12"/>
      <c r="D58" s="66"/>
      <c r="E58" s="15"/>
      <c r="F58" s="12"/>
      <c r="G58" s="212"/>
      <c r="H58" s="18"/>
      <c r="I58" s="24"/>
    </row>
    <row r="59" spans="1:11" ht="18.75" customHeight="1">
      <c r="A59" s="12">
        <f>Detail!A130</f>
        <v>7</v>
      </c>
      <c r="B59" s="16" t="str">
        <f>Detail!B130</f>
        <v>Concrete Casting Work for Footing</v>
      </c>
      <c r="C59" s="12"/>
      <c r="D59" s="66"/>
      <c r="E59" s="15"/>
      <c r="F59" s="12"/>
      <c r="G59" s="13"/>
      <c r="H59" s="13"/>
      <c r="I59" s="24"/>
    </row>
    <row r="60" spans="1:11" ht="18.75" customHeight="1">
      <c r="A60" s="12"/>
      <c r="B60" s="16" t="str">
        <f>Detail!B131</f>
        <v>( a ) (1:2:4) R.C Conc; Work</v>
      </c>
      <c r="C60" s="29" t="str">
        <f>Detail!K140</f>
        <v>%Fc</v>
      </c>
      <c r="D60" s="66">
        <f>Detail!J140</f>
        <v>9.84</v>
      </c>
      <c r="E60" s="15"/>
      <c r="F60" s="12"/>
      <c r="G60" s="13"/>
      <c r="H60" s="13"/>
      <c r="I60" s="24"/>
    </row>
    <row r="61" spans="1:11" ht="18.75" customHeight="1">
      <c r="A61" s="12"/>
      <c r="B61" s="12" t="s">
        <v>26</v>
      </c>
      <c r="C61" s="12"/>
      <c r="D61" s="66"/>
      <c r="E61" s="15"/>
      <c r="F61" s="12"/>
      <c r="G61" s="13"/>
      <c r="H61" s="13"/>
      <c r="I61" s="24"/>
    </row>
    <row r="62" spans="1:11" ht="18.75" customHeight="1">
      <c r="A62" s="12"/>
      <c r="B62" s="14" t="s">
        <v>8</v>
      </c>
      <c r="C62" s="12" t="s">
        <v>9</v>
      </c>
      <c r="D62" s="66">
        <f>D60*2070/112</f>
        <v>181.86</v>
      </c>
      <c r="E62" s="15">
        <f>'BQ-YB'!E7</f>
        <v>25000</v>
      </c>
      <c r="F62" s="12" t="str">
        <f>C62</f>
        <v>Bag</v>
      </c>
      <c r="G62" s="13">
        <f>E62*D62</f>
        <v>4546500</v>
      </c>
      <c r="H62" s="13"/>
      <c r="I62" s="24"/>
    </row>
    <row r="63" spans="1:11" ht="18.75" customHeight="1">
      <c r="A63" s="12"/>
      <c r="B63" s="14" t="s">
        <v>36</v>
      </c>
      <c r="C63" s="12" t="s">
        <v>10</v>
      </c>
      <c r="D63" s="66">
        <f>D60*0.46</f>
        <v>4.53</v>
      </c>
      <c r="E63" s="15">
        <f>'BQ-YB'!E8</f>
        <v>50000</v>
      </c>
      <c r="F63" s="12" t="str">
        <f>C63</f>
        <v>Sud</v>
      </c>
      <c r="G63" s="13">
        <f>E63*D63</f>
        <v>226500</v>
      </c>
      <c r="H63" s="13"/>
      <c r="I63" s="24"/>
    </row>
    <row r="64" spans="1:11" ht="18.75" customHeight="1">
      <c r="A64" s="12"/>
      <c r="B64" s="14" t="s">
        <v>112</v>
      </c>
      <c r="C64" s="12" t="s">
        <v>10</v>
      </c>
      <c r="D64" s="66">
        <f>D60*0.92</f>
        <v>9.0500000000000007</v>
      </c>
      <c r="E64" s="15">
        <f>'BQ-YB'!E11</f>
        <v>130000</v>
      </c>
      <c r="F64" s="12" t="str">
        <f>C64</f>
        <v>Sud</v>
      </c>
      <c r="G64" s="13">
        <f>E64*D64</f>
        <v>1176500</v>
      </c>
      <c r="H64" s="13"/>
      <c r="I64" s="24"/>
    </row>
    <row r="65" spans="1:11" ht="18.75" customHeight="1">
      <c r="A65" s="12"/>
      <c r="B65" s="14" t="s">
        <v>45</v>
      </c>
      <c r="C65" s="12" t="s">
        <v>33</v>
      </c>
      <c r="D65" s="66">
        <f>D60*2</f>
        <v>19.68</v>
      </c>
      <c r="E65" s="15">
        <f>'BQ-YB'!E13</f>
        <v>20000</v>
      </c>
      <c r="F65" s="12" t="str">
        <f>C65</f>
        <v>Gal</v>
      </c>
      <c r="G65" s="13">
        <f>E65*D65</f>
        <v>393600</v>
      </c>
      <c r="H65" s="13"/>
      <c r="I65" s="24"/>
    </row>
    <row r="66" spans="1:11" s="285" customFormat="1" ht="19.5" customHeight="1">
      <c r="A66" s="279"/>
      <c r="B66" s="279" t="s">
        <v>22</v>
      </c>
      <c r="C66" s="279"/>
      <c r="D66" s="280"/>
      <c r="E66" s="281"/>
      <c r="F66" s="279"/>
      <c r="G66" s="282"/>
      <c r="H66" s="279"/>
      <c r="I66" s="331"/>
      <c r="J66" s="283"/>
      <c r="K66" s="284"/>
    </row>
    <row r="67" spans="1:11" s="285" customFormat="1" ht="19.5" customHeight="1">
      <c r="A67" s="279"/>
      <c r="B67" s="257" t="s">
        <v>31</v>
      </c>
      <c r="C67" s="301" t="s">
        <v>2</v>
      </c>
      <c r="D67" s="302">
        <f>D60*2</f>
        <v>19.68</v>
      </c>
      <c r="E67" s="258">
        <f>'BQ-YB'!E38</f>
        <v>27000</v>
      </c>
      <c r="F67" s="301" t="str">
        <f>C67</f>
        <v>No</v>
      </c>
      <c r="G67" s="307"/>
      <c r="H67" s="307">
        <f>D67*E67</f>
        <v>531360</v>
      </c>
      <c r="I67" s="331"/>
      <c r="J67" s="283"/>
      <c r="K67" s="284"/>
    </row>
    <row r="68" spans="1:11" s="285" customFormat="1" ht="19.5" customHeight="1">
      <c r="A68" s="279"/>
      <c r="B68" s="257" t="s">
        <v>46</v>
      </c>
      <c r="C68" s="301" t="s">
        <v>2</v>
      </c>
      <c r="D68" s="302">
        <f>D60*0.5</f>
        <v>4.92</v>
      </c>
      <c r="E68" s="258">
        <f>'BQ-YB'!E39</f>
        <v>27000</v>
      </c>
      <c r="F68" s="301" t="str">
        <f>C68</f>
        <v>No</v>
      </c>
      <c r="G68" s="307"/>
      <c r="H68" s="307">
        <f>D68*E68</f>
        <v>132840</v>
      </c>
      <c r="I68" s="331"/>
      <c r="J68" s="283"/>
      <c r="K68" s="284"/>
    </row>
    <row r="69" spans="1:11" s="285" customFormat="1" ht="19.5" customHeight="1">
      <c r="A69" s="279"/>
      <c r="B69" s="257" t="s">
        <v>29</v>
      </c>
      <c r="C69" s="301" t="s">
        <v>2</v>
      </c>
      <c r="D69" s="302">
        <f>D60*9</f>
        <v>88.56</v>
      </c>
      <c r="E69" s="258">
        <f>'BQ-YB'!E40</f>
        <v>20000</v>
      </c>
      <c r="F69" s="301" t="str">
        <f>C69</f>
        <v>No</v>
      </c>
      <c r="G69" s="303"/>
      <c r="H69" s="304">
        <f>D69*E69</f>
        <v>1771200</v>
      </c>
      <c r="I69" s="331"/>
      <c r="J69" s="283"/>
      <c r="K69" s="284"/>
    </row>
    <row r="70" spans="1:11" ht="18.75" customHeight="1">
      <c r="A70" s="12"/>
      <c r="B70" s="12"/>
      <c r="C70" s="12"/>
      <c r="D70" s="66"/>
      <c r="E70" s="15"/>
      <c r="F70" s="12"/>
      <c r="G70" s="318">
        <f>SUM(G62:G69)</f>
        <v>6343100</v>
      </c>
      <c r="H70" s="318">
        <f>SUM(H62:H69)</f>
        <v>2435400</v>
      </c>
      <c r="I70" s="371"/>
    </row>
    <row r="71" spans="1:11" ht="18.75" customHeight="1">
      <c r="A71" s="12"/>
      <c r="B71" s="12"/>
      <c r="C71" s="12"/>
      <c r="D71" s="66"/>
      <c r="E71" s="15"/>
      <c r="F71" s="12"/>
      <c r="G71" s="18"/>
      <c r="H71" s="18"/>
      <c r="I71" s="24"/>
    </row>
    <row r="72" spans="1:11" ht="18.75" customHeight="1">
      <c r="A72" s="12"/>
      <c r="B72" s="16" t="str">
        <f>Detail!B142</f>
        <v xml:space="preserve">( b ) Formwork </v>
      </c>
      <c r="C72" s="29" t="str">
        <f>Detail!K151</f>
        <v>%Fs</v>
      </c>
      <c r="D72" s="66">
        <f>Detail!J151</f>
        <v>4.53</v>
      </c>
      <c r="E72" s="15"/>
      <c r="F72" s="12"/>
      <c r="G72" s="13"/>
      <c r="H72" s="13"/>
      <c r="I72" s="24"/>
    </row>
    <row r="73" spans="1:11" ht="18.75" customHeight="1">
      <c r="A73" s="12"/>
      <c r="B73" s="12" t="s">
        <v>26</v>
      </c>
      <c r="C73" s="12"/>
      <c r="D73" s="66"/>
      <c r="E73" s="15"/>
      <c r="F73" s="12"/>
      <c r="G73" s="13"/>
      <c r="H73" s="13"/>
      <c r="I73" s="24"/>
    </row>
    <row r="74" spans="1:11" ht="18.75" customHeight="1">
      <c r="A74" s="12"/>
      <c r="B74" s="14" t="s">
        <v>67</v>
      </c>
      <c r="C74" s="12" t="s">
        <v>14</v>
      </c>
      <c r="D74" s="66">
        <f>D72*20/50/3</f>
        <v>0.6</v>
      </c>
      <c r="E74" s="15">
        <f>'BQ-YB'!E18</f>
        <v>1500000</v>
      </c>
      <c r="F74" s="12" t="str">
        <f>C74</f>
        <v>Ton</v>
      </c>
      <c r="G74" s="13">
        <f>E74*D74</f>
        <v>900000</v>
      </c>
      <c r="H74" s="13"/>
      <c r="I74" s="24"/>
    </row>
    <row r="75" spans="1:11" ht="18.75" customHeight="1">
      <c r="A75" s="12"/>
      <c r="B75" s="14" t="s">
        <v>80</v>
      </c>
      <c r="C75" s="124" t="s">
        <v>13</v>
      </c>
      <c r="D75" s="66">
        <f>D72/0.32/3*1.15</f>
        <v>5.43</v>
      </c>
      <c r="E75" s="15">
        <f>'BQ-YB'!E17</f>
        <v>75000</v>
      </c>
      <c r="F75" s="12" t="str">
        <f>C75</f>
        <v>Sht</v>
      </c>
      <c r="G75" s="13">
        <f>E75*D75</f>
        <v>407250</v>
      </c>
      <c r="H75" s="13"/>
      <c r="I75" s="24"/>
    </row>
    <row r="76" spans="1:11" ht="18.75" customHeight="1">
      <c r="A76" s="12"/>
      <c r="B76" s="14" t="s">
        <v>47</v>
      </c>
      <c r="C76" s="12" t="s">
        <v>15</v>
      </c>
      <c r="D76" s="66">
        <f>D72*3*1.7</f>
        <v>23.1</v>
      </c>
      <c r="E76" s="15">
        <f>'BQ-YB'!E20</f>
        <v>3333</v>
      </c>
      <c r="F76" s="12" t="str">
        <f>C76</f>
        <v>Lb</v>
      </c>
      <c r="G76" s="13">
        <f>E76*D76</f>
        <v>76992.3</v>
      </c>
      <c r="H76" s="13"/>
      <c r="I76" s="24"/>
    </row>
    <row r="77" spans="1:11" s="285" customFormat="1" ht="19.5" customHeight="1">
      <c r="A77" s="279"/>
      <c r="B77" s="279" t="s">
        <v>22</v>
      </c>
      <c r="C77" s="279"/>
      <c r="D77" s="280"/>
      <c r="E77" s="281"/>
      <c r="F77" s="279"/>
      <c r="G77" s="282"/>
      <c r="H77" s="279"/>
      <c r="I77" s="331"/>
      <c r="J77" s="283"/>
      <c r="K77" s="284"/>
    </row>
    <row r="78" spans="1:11" s="285" customFormat="1" ht="19.5" customHeight="1">
      <c r="A78" s="279"/>
      <c r="B78" s="257" t="s">
        <v>30</v>
      </c>
      <c r="C78" s="301" t="s">
        <v>2</v>
      </c>
      <c r="D78" s="302">
        <f>D72*4</f>
        <v>18.12</v>
      </c>
      <c r="E78" s="258">
        <f>'BQ-YB'!E43</f>
        <v>27000</v>
      </c>
      <c r="F78" s="301" t="str">
        <f>C78</f>
        <v>No</v>
      </c>
      <c r="G78" s="307"/>
      <c r="H78" s="307">
        <f>D78*E78</f>
        <v>489240</v>
      </c>
      <c r="I78" s="331"/>
      <c r="J78" s="283"/>
      <c r="K78" s="284"/>
    </row>
    <row r="79" spans="1:11" s="285" customFormat="1" ht="19.5" customHeight="1">
      <c r="A79" s="279"/>
      <c r="B79" s="257" t="s">
        <v>29</v>
      </c>
      <c r="C79" s="301" t="s">
        <v>2</v>
      </c>
      <c r="D79" s="302">
        <f>D72*2</f>
        <v>9.06</v>
      </c>
      <c r="E79" s="258">
        <f>'BQ-YB'!E40</f>
        <v>20000</v>
      </c>
      <c r="F79" s="301" t="str">
        <f>C79</f>
        <v>No</v>
      </c>
      <c r="G79" s="303"/>
      <c r="H79" s="304">
        <f>D79*E79</f>
        <v>181200</v>
      </c>
      <c r="I79" s="331"/>
      <c r="J79" s="283"/>
      <c r="K79" s="284"/>
    </row>
    <row r="80" spans="1:11" ht="18.75" customHeight="1">
      <c r="A80" s="12"/>
      <c r="B80" s="12"/>
      <c r="C80" s="12"/>
      <c r="D80" s="66"/>
      <c r="E80" s="15"/>
      <c r="F80" s="12"/>
      <c r="G80" s="318">
        <f>SUM(G74:G79)</f>
        <v>1384242.3</v>
      </c>
      <c r="H80" s="318">
        <f>SUM(H74:H79)</f>
        <v>670440</v>
      </c>
      <c r="I80" s="24"/>
    </row>
    <row r="81" spans="1:11" ht="20.149999999999999" customHeight="1">
      <c r="A81" s="12"/>
      <c r="B81" s="16" t="str">
        <f>Detail!B153</f>
        <v>( c ) Rebar Work</v>
      </c>
      <c r="C81" s="12" t="s">
        <v>14</v>
      </c>
      <c r="D81" s="66">
        <f>Detail!I186+Detail!J186</f>
        <v>3.18</v>
      </c>
      <c r="E81" s="15"/>
      <c r="F81" s="12"/>
      <c r="G81" s="18"/>
      <c r="H81" s="18"/>
      <c r="I81" s="24"/>
    </row>
    <row r="82" spans="1:11" ht="20.149999999999999" customHeight="1">
      <c r="A82" s="12"/>
      <c r="B82" s="14" t="s">
        <v>365</v>
      </c>
      <c r="C82" s="12" t="s">
        <v>14</v>
      </c>
      <c r="D82" s="66">
        <f>Detail!I185</f>
        <v>2.68</v>
      </c>
      <c r="E82" s="15"/>
      <c r="F82" s="12"/>
      <c r="G82" s="13"/>
      <c r="H82" s="13"/>
      <c r="I82" s="24"/>
    </row>
    <row r="83" spans="1:11" ht="20.149999999999999" customHeight="1">
      <c r="A83" s="12"/>
      <c r="B83" s="14" t="s">
        <v>366</v>
      </c>
      <c r="C83" s="12" t="s">
        <v>14</v>
      </c>
      <c r="D83" s="66">
        <f>Detail!J185</f>
        <v>0.35</v>
      </c>
      <c r="E83" s="15"/>
      <c r="F83" s="12"/>
      <c r="G83" s="13"/>
      <c r="H83" s="13"/>
      <c r="I83" s="24"/>
    </row>
    <row r="84" spans="1:11" ht="20.149999999999999" customHeight="1">
      <c r="A84" s="12"/>
      <c r="B84" s="12" t="s">
        <v>26</v>
      </c>
      <c r="C84" s="12"/>
      <c r="D84" s="66"/>
      <c r="E84" s="15"/>
      <c r="F84" s="12"/>
      <c r="G84" s="13"/>
      <c r="H84" s="13"/>
      <c r="I84" s="24"/>
    </row>
    <row r="85" spans="1:11" ht="20.149999999999999" customHeight="1">
      <c r="A85" s="12"/>
      <c r="B85" s="14" t="s">
        <v>356</v>
      </c>
      <c r="C85" s="12" t="s">
        <v>14</v>
      </c>
      <c r="D85" s="66">
        <f>Detail!I186</f>
        <v>2.81</v>
      </c>
      <c r="E85" s="15">
        <f>'BQ-YB'!E26</f>
        <v>2980000</v>
      </c>
      <c r="F85" s="12" t="str">
        <f>C85</f>
        <v>Ton</v>
      </c>
      <c r="G85" s="13">
        <f>E85*D85</f>
        <v>8373800</v>
      </c>
      <c r="H85" s="13"/>
      <c r="I85" s="24"/>
    </row>
    <row r="86" spans="1:11" ht="20.149999999999999" customHeight="1">
      <c r="A86" s="12"/>
      <c r="B86" s="14" t="s">
        <v>357</v>
      </c>
      <c r="C86" s="12" t="s">
        <v>14</v>
      </c>
      <c r="D86" s="66">
        <f>Detail!J186</f>
        <v>0.37</v>
      </c>
      <c r="E86" s="15">
        <f>'BQ-YB'!E24</f>
        <v>3100000</v>
      </c>
      <c r="F86" s="12" t="str">
        <f>C86</f>
        <v>Ton</v>
      </c>
      <c r="G86" s="13">
        <f>E86*D86</f>
        <v>1147000</v>
      </c>
      <c r="H86" s="13"/>
      <c r="I86" s="24"/>
    </row>
    <row r="87" spans="1:11" ht="20.149999999999999" customHeight="1">
      <c r="A87" s="12"/>
      <c r="B87" s="14" t="s">
        <v>37</v>
      </c>
      <c r="C87" s="12" t="s">
        <v>15</v>
      </c>
      <c r="D87" s="66">
        <f>D81*20*1.7</f>
        <v>108.12</v>
      </c>
      <c r="E87" s="15">
        <f>'BQ-YB'!E28</f>
        <v>3333</v>
      </c>
      <c r="F87" s="12" t="str">
        <f>C87</f>
        <v>Lb</v>
      </c>
      <c r="G87" s="13">
        <f>E87*D87</f>
        <v>360363.96</v>
      </c>
      <c r="H87" s="13"/>
      <c r="I87" s="24"/>
    </row>
    <row r="88" spans="1:11" s="285" customFormat="1" ht="19" customHeight="1">
      <c r="A88" s="279"/>
      <c r="B88" s="279" t="s">
        <v>22</v>
      </c>
      <c r="C88" s="279"/>
      <c r="D88" s="280"/>
      <c r="E88" s="281"/>
      <c r="F88" s="279"/>
      <c r="G88" s="282"/>
      <c r="H88" s="279"/>
      <c r="I88" s="331"/>
      <c r="J88" s="283"/>
      <c r="K88" s="284"/>
    </row>
    <row r="89" spans="1:11" s="285" customFormat="1" ht="19" customHeight="1">
      <c r="A89" s="279"/>
      <c r="B89" s="257" t="s">
        <v>364</v>
      </c>
      <c r="C89" s="301" t="s">
        <v>2</v>
      </c>
      <c r="D89" s="302">
        <f>D82*20*0.75+D83*20*1</f>
        <v>47.2</v>
      </c>
      <c r="E89" s="258">
        <f>'BQ-YB'!E42</f>
        <v>27000</v>
      </c>
      <c r="F89" s="301" t="str">
        <f>C89</f>
        <v>No</v>
      </c>
      <c r="G89" s="307"/>
      <c r="H89" s="307">
        <f>D89*E89</f>
        <v>1274400</v>
      </c>
      <c r="I89" s="331"/>
      <c r="J89" s="283"/>
      <c r="K89" s="284"/>
    </row>
    <row r="90" spans="1:11" s="285" customFormat="1" ht="19" customHeight="1">
      <c r="A90" s="279"/>
      <c r="B90" s="257" t="s">
        <v>29</v>
      </c>
      <c r="C90" s="301" t="s">
        <v>2</v>
      </c>
      <c r="D90" s="302">
        <f>D89</f>
        <v>47.2</v>
      </c>
      <c r="E90" s="258">
        <f>'BQ-YB'!E40</f>
        <v>20000</v>
      </c>
      <c r="F90" s="301" t="str">
        <f>C90</f>
        <v>No</v>
      </c>
      <c r="G90" s="303"/>
      <c r="H90" s="304">
        <f>D90*E90</f>
        <v>944000</v>
      </c>
      <c r="I90" s="331"/>
      <c r="J90" s="283"/>
      <c r="K90" s="284"/>
    </row>
    <row r="91" spans="1:11" ht="20.149999999999999" customHeight="1">
      <c r="A91" s="92"/>
      <c r="B91" s="92"/>
      <c r="C91" s="92"/>
      <c r="D91" s="85"/>
      <c r="E91" s="211"/>
      <c r="F91" s="92"/>
      <c r="G91" s="318">
        <f>SUM(G85:G90)</f>
        <v>9881163.9600000009</v>
      </c>
      <c r="H91" s="318">
        <f>SUM(H85:H90)</f>
        <v>2218400</v>
      </c>
      <c r="I91" s="24"/>
    </row>
    <row r="92" spans="1:11" ht="20.149999999999999" customHeight="1">
      <c r="A92" s="12"/>
      <c r="B92" s="12"/>
      <c r="C92" s="12"/>
      <c r="D92" s="66"/>
      <c r="E92" s="15"/>
      <c r="F92" s="12"/>
      <c r="G92" s="18"/>
      <c r="H92" s="18"/>
      <c r="I92" s="24"/>
    </row>
    <row r="93" spans="1:11" ht="21" customHeight="1">
      <c r="A93" s="86">
        <f>Detail!A188</f>
        <v>8</v>
      </c>
      <c r="B93" s="88" t="str">
        <f>Detail!B188</f>
        <v>Concrete Casting Work For Column</v>
      </c>
      <c r="C93" s="86"/>
      <c r="D93" s="33"/>
      <c r="E93" s="210"/>
      <c r="F93" s="86"/>
      <c r="G93" s="18"/>
      <c r="H93" s="13"/>
      <c r="I93" s="24"/>
    </row>
    <row r="94" spans="1:11" ht="21" customHeight="1">
      <c r="A94" s="12"/>
      <c r="B94" s="16" t="str">
        <f>Detail!B189</f>
        <v>( a ) (1:2:4) R.C Conc; Work</v>
      </c>
      <c r="C94" s="29" t="str">
        <f>Detail!K208</f>
        <v>%Fc</v>
      </c>
      <c r="D94" s="66">
        <f>Detail!J208</f>
        <v>5.9</v>
      </c>
      <c r="E94" s="15"/>
      <c r="F94" s="12"/>
      <c r="G94" s="13"/>
      <c r="H94" s="13"/>
      <c r="I94" s="24"/>
    </row>
    <row r="95" spans="1:11" ht="21" customHeight="1">
      <c r="A95" s="12"/>
      <c r="B95" s="12" t="s">
        <v>26</v>
      </c>
      <c r="C95" s="12"/>
      <c r="D95" s="66"/>
      <c r="E95" s="15"/>
      <c r="F95" s="12"/>
      <c r="G95" s="13"/>
      <c r="H95" s="13"/>
      <c r="I95" s="24"/>
    </row>
    <row r="96" spans="1:11" ht="21" customHeight="1">
      <c r="A96" s="12"/>
      <c r="B96" s="14" t="s">
        <v>8</v>
      </c>
      <c r="C96" s="12" t="s">
        <v>9</v>
      </c>
      <c r="D96" s="66">
        <f>D94*2070/112</f>
        <v>109.04</v>
      </c>
      <c r="E96" s="15">
        <f>'BQ-YB'!E7</f>
        <v>25000</v>
      </c>
      <c r="F96" s="12" t="str">
        <f>C96</f>
        <v>Bag</v>
      </c>
      <c r="G96" s="13">
        <f>E96*D96</f>
        <v>2726000</v>
      </c>
      <c r="H96" s="13"/>
      <c r="I96" s="24"/>
    </row>
    <row r="97" spans="1:11" ht="21" customHeight="1">
      <c r="A97" s="12"/>
      <c r="B97" s="14" t="s">
        <v>36</v>
      </c>
      <c r="C97" s="12" t="s">
        <v>10</v>
      </c>
      <c r="D97" s="66">
        <f>D94*0.46</f>
        <v>2.71</v>
      </c>
      <c r="E97" s="15">
        <f>'BQ-YB'!E8</f>
        <v>50000</v>
      </c>
      <c r="F97" s="12" t="str">
        <f>C97</f>
        <v>Sud</v>
      </c>
      <c r="G97" s="13">
        <f>E97*D97</f>
        <v>135500</v>
      </c>
      <c r="H97" s="13"/>
      <c r="I97" s="24"/>
    </row>
    <row r="98" spans="1:11" ht="21" customHeight="1">
      <c r="A98" s="12"/>
      <c r="B98" s="14" t="s">
        <v>112</v>
      </c>
      <c r="C98" s="12" t="s">
        <v>10</v>
      </c>
      <c r="D98" s="66">
        <f>D94*0.92</f>
        <v>5.43</v>
      </c>
      <c r="E98" s="15">
        <f>'BQ-YB'!E11</f>
        <v>130000</v>
      </c>
      <c r="F98" s="12" t="str">
        <f>C98</f>
        <v>Sud</v>
      </c>
      <c r="G98" s="13">
        <f>E98*D98</f>
        <v>705900</v>
      </c>
      <c r="H98" s="13"/>
      <c r="I98" s="24"/>
    </row>
    <row r="99" spans="1:11" ht="21" customHeight="1">
      <c r="A99" s="12"/>
      <c r="B99" s="14" t="s">
        <v>45</v>
      </c>
      <c r="C99" s="12" t="s">
        <v>33</v>
      </c>
      <c r="D99" s="66">
        <f>D94*2</f>
        <v>11.8</v>
      </c>
      <c r="E99" s="15">
        <f>'BQ-YB'!E13</f>
        <v>20000</v>
      </c>
      <c r="F99" s="12" t="str">
        <f>C99</f>
        <v>Gal</v>
      </c>
      <c r="G99" s="13">
        <f>E99*D99</f>
        <v>236000</v>
      </c>
      <c r="H99" s="13"/>
      <c r="I99" s="24"/>
    </row>
    <row r="100" spans="1:11" ht="21" customHeight="1">
      <c r="A100" s="12"/>
      <c r="B100" s="14" t="s">
        <v>472</v>
      </c>
      <c r="C100" s="12" t="s">
        <v>473</v>
      </c>
      <c r="D100" s="66">
        <f>D94*0.1*100</f>
        <v>59</v>
      </c>
      <c r="E100" s="15">
        <f>'BQ-YB'!E14</f>
        <v>25000</v>
      </c>
      <c r="F100" s="12" t="str">
        <f>C100</f>
        <v>Lit</v>
      </c>
      <c r="G100" s="13">
        <f>E100*D100</f>
        <v>1475000</v>
      </c>
      <c r="H100" s="13"/>
      <c r="I100" s="24"/>
    </row>
    <row r="101" spans="1:11" s="285" customFormat="1" ht="19.5" customHeight="1">
      <c r="A101" s="279"/>
      <c r="B101" s="279" t="s">
        <v>22</v>
      </c>
      <c r="C101" s="279"/>
      <c r="D101" s="280"/>
      <c r="E101" s="281"/>
      <c r="F101" s="279"/>
      <c r="G101" s="282"/>
      <c r="H101" s="279"/>
      <c r="I101" s="331"/>
      <c r="J101" s="283"/>
      <c r="K101" s="284"/>
    </row>
    <row r="102" spans="1:11" s="285" customFormat="1" ht="19.5" customHeight="1">
      <c r="A102" s="279"/>
      <c r="B102" s="257" t="s">
        <v>31</v>
      </c>
      <c r="C102" s="301" t="s">
        <v>2</v>
      </c>
      <c r="D102" s="302">
        <f>D94*2</f>
        <v>11.8</v>
      </c>
      <c r="E102" s="258">
        <f>'BQ-YB'!E38</f>
        <v>27000</v>
      </c>
      <c r="F102" s="301" t="str">
        <f>C102</f>
        <v>No</v>
      </c>
      <c r="G102" s="307"/>
      <c r="H102" s="307">
        <f>D102*E102</f>
        <v>318600</v>
      </c>
      <c r="I102" s="331"/>
      <c r="J102" s="283"/>
      <c r="K102" s="284"/>
    </row>
    <row r="103" spans="1:11" s="285" customFormat="1" ht="19.5" customHeight="1">
      <c r="A103" s="279"/>
      <c r="B103" s="257" t="s">
        <v>46</v>
      </c>
      <c r="C103" s="301" t="s">
        <v>2</v>
      </c>
      <c r="D103" s="302">
        <f>D94*0.5</f>
        <v>2.95</v>
      </c>
      <c r="E103" s="258">
        <f>'BQ-YB'!E39</f>
        <v>27000</v>
      </c>
      <c r="F103" s="301" t="str">
        <f>C103</f>
        <v>No</v>
      </c>
      <c r="G103" s="307"/>
      <c r="H103" s="307">
        <f>D103*E103</f>
        <v>79650</v>
      </c>
      <c r="I103" s="331"/>
      <c r="J103" s="283"/>
      <c r="K103" s="284"/>
    </row>
    <row r="104" spans="1:11" s="285" customFormat="1" ht="19.5" customHeight="1">
      <c r="A104" s="279"/>
      <c r="B104" s="257" t="s">
        <v>29</v>
      </c>
      <c r="C104" s="301" t="s">
        <v>2</v>
      </c>
      <c r="D104" s="302">
        <f>D94*12</f>
        <v>70.8</v>
      </c>
      <c r="E104" s="258">
        <f>'BQ-YB'!E40</f>
        <v>20000</v>
      </c>
      <c r="F104" s="301" t="str">
        <f>C104</f>
        <v>No</v>
      </c>
      <c r="G104" s="303"/>
      <c r="H104" s="304">
        <f>D104*E104</f>
        <v>1416000</v>
      </c>
      <c r="I104" s="331"/>
      <c r="J104" s="283"/>
      <c r="K104" s="284"/>
    </row>
    <row r="105" spans="1:11" ht="21" customHeight="1">
      <c r="A105" s="12"/>
      <c r="B105" s="12"/>
      <c r="C105" s="12"/>
      <c r="D105" s="66"/>
      <c r="E105" s="15"/>
      <c r="F105" s="12"/>
      <c r="G105" s="318">
        <f>SUM(G96:G104)</f>
        <v>5278400</v>
      </c>
      <c r="H105" s="318">
        <f>SUM(H96:H104)</f>
        <v>1814250</v>
      </c>
      <c r="I105" s="24"/>
    </row>
    <row r="106" spans="1:11" ht="21" customHeight="1">
      <c r="A106" s="12"/>
      <c r="B106" s="12"/>
      <c r="C106" s="12"/>
      <c r="D106" s="66"/>
      <c r="E106" s="15"/>
      <c r="F106" s="12"/>
      <c r="G106" s="18"/>
      <c r="H106" s="18"/>
      <c r="I106" s="24"/>
    </row>
    <row r="107" spans="1:11" ht="21" customHeight="1">
      <c r="A107" s="12"/>
      <c r="B107" s="16" t="str">
        <f>Detail!B210</f>
        <v xml:space="preserve">( b ) Formwork </v>
      </c>
      <c r="C107" s="29" t="str">
        <f>Detail!K226</f>
        <v>%Fs</v>
      </c>
      <c r="D107" s="66">
        <f>Detail!J226</f>
        <v>23.61</v>
      </c>
      <c r="E107" s="15"/>
      <c r="F107" s="12"/>
      <c r="G107" s="13"/>
      <c r="H107" s="13"/>
      <c r="I107" s="24"/>
    </row>
    <row r="108" spans="1:11" ht="21" customHeight="1">
      <c r="A108" s="12"/>
      <c r="B108" s="12" t="s">
        <v>26</v>
      </c>
      <c r="C108" s="12"/>
      <c r="D108" s="66"/>
      <c r="E108" s="15"/>
      <c r="F108" s="12"/>
      <c r="G108" s="13"/>
      <c r="H108" s="13"/>
      <c r="I108" s="24"/>
    </row>
    <row r="109" spans="1:11" ht="21" customHeight="1">
      <c r="A109" s="12"/>
      <c r="B109" s="14" t="s">
        <v>67</v>
      </c>
      <c r="C109" s="12" t="s">
        <v>14</v>
      </c>
      <c r="D109" s="66">
        <f>D107*20/50/3</f>
        <v>3.15</v>
      </c>
      <c r="E109" s="15">
        <f>'BQ-YB'!E18</f>
        <v>1500000</v>
      </c>
      <c r="F109" s="12" t="str">
        <f>C109</f>
        <v>Ton</v>
      </c>
      <c r="G109" s="13">
        <f>E109*D109</f>
        <v>4725000</v>
      </c>
      <c r="H109" s="13"/>
      <c r="I109" s="24"/>
    </row>
    <row r="110" spans="1:11" ht="21" customHeight="1">
      <c r="A110" s="12"/>
      <c r="B110" s="14" t="s">
        <v>80</v>
      </c>
      <c r="C110" s="124" t="s">
        <v>13</v>
      </c>
      <c r="D110" s="66">
        <f>D107/0.32/3*1.15</f>
        <v>28.28</v>
      </c>
      <c r="E110" s="15">
        <f>'BQ-YB'!E17</f>
        <v>75000</v>
      </c>
      <c r="F110" s="12" t="str">
        <f>C110</f>
        <v>Sht</v>
      </c>
      <c r="G110" s="13">
        <f>E110*D110</f>
        <v>2121000</v>
      </c>
      <c r="H110" s="13"/>
      <c r="I110" s="24"/>
    </row>
    <row r="111" spans="1:11" ht="21" customHeight="1">
      <c r="A111" s="12"/>
      <c r="B111" s="14" t="s">
        <v>47</v>
      </c>
      <c r="C111" s="12" t="s">
        <v>15</v>
      </c>
      <c r="D111" s="66">
        <f>D107*3*1.7</f>
        <v>120.41</v>
      </c>
      <c r="E111" s="15">
        <f>'BQ-YB'!E20</f>
        <v>3333</v>
      </c>
      <c r="F111" s="12" t="str">
        <f>C111</f>
        <v>Lb</v>
      </c>
      <c r="G111" s="13">
        <f>E111*D111</f>
        <v>401326.53</v>
      </c>
      <c r="H111" s="13"/>
      <c r="I111" s="24"/>
    </row>
    <row r="112" spans="1:11" s="285" customFormat="1" ht="19.5" customHeight="1">
      <c r="A112" s="279"/>
      <c r="B112" s="279" t="s">
        <v>22</v>
      </c>
      <c r="C112" s="279"/>
      <c r="D112" s="280"/>
      <c r="E112" s="281"/>
      <c r="F112" s="279"/>
      <c r="G112" s="282"/>
      <c r="H112" s="279"/>
      <c r="I112" s="331"/>
      <c r="J112" s="283"/>
      <c r="K112" s="284"/>
    </row>
    <row r="113" spans="1:11" s="285" customFormat="1" ht="19.5" customHeight="1">
      <c r="A113" s="279"/>
      <c r="B113" s="257" t="s">
        <v>30</v>
      </c>
      <c r="C113" s="301" t="s">
        <v>2</v>
      </c>
      <c r="D113" s="302">
        <f>D107*4</f>
        <v>94.44</v>
      </c>
      <c r="E113" s="258">
        <f>'BQ-YB'!E43</f>
        <v>27000</v>
      </c>
      <c r="F113" s="301" t="str">
        <f>C113</f>
        <v>No</v>
      </c>
      <c r="G113" s="307"/>
      <c r="H113" s="307">
        <f>D113*E113</f>
        <v>2549880</v>
      </c>
      <c r="I113" s="331"/>
      <c r="J113" s="283"/>
      <c r="K113" s="284"/>
    </row>
    <row r="114" spans="1:11" s="285" customFormat="1" ht="19.5" customHeight="1">
      <c r="A114" s="279"/>
      <c r="B114" s="257" t="s">
        <v>29</v>
      </c>
      <c r="C114" s="301" t="s">
        <v>2</v>
      </c>
      <c r="D114" s="302">
        <f>D107*2</f>
        <v>47.22</v>
      </c>
      <c r="E114" s="258">
        <f>'BQ-YB'!E40</f>
        <v>20000</v>
      </c>
      <c r="F114" s="301" t="str">
        <f>C114</f>
        <v>No</v>
      </c>
      <c r="G114" s="303"/>
      <c r="H114" s="302">
        <f>D114*E114</f>
        <v>944400</v>
      </c>
      <c r="I114" s="331"/>
      <c r="J114" s="283"/>
      <c r="K114" s="284"/>
    </row>
    <row r="115" spans="1:11" s="285" customFormat="1" ht="19.5" customHeight="1">
      <c r="A115" s="279"/>
      <c r="B115" s="257" t="s">
        <v>367</v>
      </c>
      <c r="C115" s="301" t="s">
        <v>2</v>
      </c>
      <c r="D115" s="302">
        <f>D113/3</f>
        <v>31.48</v>
      </c>
      <c r="E115" s="258">
        <f>'BQ-YB'!E44</f>
        <v>27000</v>
      </c>
      <c r="F115" s="301" t="str">
        <f>C115</f>
        <v>No</v>
      </c>
      <c r="G115" s="303"/>
      <c r="H115" s="307">
        <f>D115*E115</f>
        <v>849960</v>
      </c>
      <c r="I115" s="331"/>
      <c r="J115" s="283"/>
      <c r="K115" s="284"/>
    </row>
    <row r="116" spans="1:11" s="285" customFormat="1" ht="19.5" customHeight="1">
      <c r="A116" s="279"/>
      <c r="B116" s="257" t="s">
        <v>368</v>
      </c>
      <c r="C116" s="301" t="s">
        <v>2</v>
      </c>
      <c r="D116" s="302">
        <f>D114/3</f>
        <v>15.74</v>
      </c>
      <c r="E116" s="258">
        <f>'BQ-YB'!E40</f>
        <v>20000</v>
      </c>
      <c r="F116" s="301" t="str">
        <f>C116</f>
        <v>No</v>
      </c>
      <c r="G116" s="303"/>
      <c r="H116" s="304">
        <f>D116*E116</f>
        <v>314800</v>
      </c>
      <c r="I116" s="331"/>
      <c r="J116" s="283"/>
      <c r="K116" s="284"/>
    </row>
    <row r="117" spans="1:11" ht="21" customHeight="1">
      <c r="A117" s="12"/>
      <c r="B117" s="12"/>
      <c r="C117" s="12"/>
      <c r="D117" s="66"/>
      <c r="E117" s="15"/>
      <c r="F117" s="12"/>
      <c r="G117" s="318">
        <f>SUM(G109:G116)</f>
        <v>7247326.5300000003</v>
      </c>
      <c r="H117" s="318">
        <f>SUM(H109:H116)</f>
        <v>4659040</v>
      </c>
      <c r="I117" s="24"/>
    </row>
    <row r="118" spans="1:11" ht="21" customHeight="1">
      <c r="A118" s="12"/>
      <c r="B118" s="12"/>
      <c r="C118" s="12"/>
      <c r="D118" s="66"/>
      <c r="E118" s="15"/>
      <c r="F118" s="12"/>
      <c r="G118" s="18"/>
      <c r="H118" s="18"/>
      <c r="I118" s="24"/>
    </row>
    <row r="119" spans="1:11" ht="21" customHeight="1">
      <c r="A119" s="12"/>
      <c r="B119" s="16" t="str">
        <f>Detail!B228</f>
        <v>( c ) Rebar Work</v>
      </c>
      <c r="C119" s="32" t="s">
        <v>14</v>
      </c>
      <c r="D119" s="66">
        <f>Detail!J285</f>
        <v>5.85</v>
      </c>
      <c r="E119" s="15"/>
      <c r="F119" s="12"/>
      <c r="G119" s="13"/>
      <c r="H119" s="13"/>
      <c r="I119" s="24"/>
    </row>
    <row r="120" spans="1:11" ht="21" customHeight="1">
      <c r="A120" s="92"/>
      <c r="B120" s="248" t="s">
        <v>355</v>
      </c>
      <c r="C120" s="92" t="s">
        <v>14</v>
      </c>
      <c r="D120" s="85">
        <f>Detail!H283</f>
        <v>0.24</v>
      </c>
      <c r="E120" s="211"/>
      <c r="F120" s="92"/>
      <c r="G120" s="26"/>
      <c r="H120" s="13"/>
      <c r="I120" s="24"/>
    </row>
    <row r="121" spans="1:11" ht="21" customHeight="1">
      <c r="A121" s="12"/>
      <c r="B121" s="111" t="str">
        <f>Detail!I282</f>
        <v>16mm Ø</v>
      </c>
      <c r="C121" s="12" t="s">
        <v>14</v>
      </c>
      <c r="D121" s="66">
        <f>Detail!I283</f>
        <v>3.22</v>
      </c>
      <c r="E121" s="15"/>
      <c r="F121" s="12"/>
      <c r="G121" s="13"/>
      <c r="H121" s="13"/>
      <c r="I121" s="24"/>
    </row>
    <row r="122" spans="1:11" ht="21" customHeight="1">
      <c r="A122" s="92"/>
      <c r="B122" s="248" t="str">
        <f>Detail!J282</f>
        <v>10mm Ø</v>
      </c>
      <c r="C122" s="92" t="s">
        <v>14</v>
      </c>
      <c r="D122" s="85">
        <f>Detail!J283</f>
        <v>2.11</v>
      </c>
      <c r="E122" s="211"/>
      <c r="F122" s="92"/>
      <c r="G122" s="26"/>
      <c r="H122" s="13"/>
      <c r="I122" s="24"/>
    </row>
    <row r="123" spans="1:11" ht="19" customHeight="1">
      <c r="A123" s="12"/>
      <c r="B123" s="12" t="s">
        <v>26</v>
      </c>
      <c r="C123" s="12"/>
      <c r="D123" s="66"/>
      <c r="E123" s="15"/>
      <c r="F123" s="12"/>
      <c r="G123" s="13"/>
      <c r="H123" s="13"/>
      <c r="I123" s="24"/>
    </row>
    <row r="124" spans="1:11" ht="19" customHeight="1">
      <c r="A124" s="12"/>
      <c r="B124" s="14" t="s">
        <v>356</v>
      </c>
      <c r="C124" s="12" t="s">
        <v>14</v>
      </c>
      <c r="D124" s="33">
        <f>D121*1.05</f>
        <v>3.38</v>
      </c>
      <c r="E124" s="15">
        <f>'BQ-YB'!E26</f>
        <v>2980000</v>
      </c>
      <c r="F124" s="12" t="str">
        <f>C124</f>
        <v>Ton</v>
      </c>
      <c r="G124" s="13">
        <f>E124*D124</f>
        <v>10072400</v>
      </c>
      <c r="H124" s="13"/>
      <c r="I124" s="24"/>
    </row>
    <row r="125" spans="1:11" ht="19" customHeight="1">
      <c r="A125" s="12"/>
      <c r="B125" s="14" t="s">
        <v>357</v>
      </c>
      <c r="C125" s="12" t="s">
        <v>14</v>
      </c>
      <c r="D125" s="33">
        <f>D122*1.05</f>
        <v>2.2200000000000002</v>
      </c>
      <c r="E125" s="15">
        <f>'BQ-YB'!E24</f>
        <v>3100000</v>
      </c>
      <c r="F125" s="12" t="str">
        <f>C125</f>
        <v>Ton</v>
      </c>
      <c r="G125" s="13">
        <f>E125*D125</f>
        <v>6882000</v>
      </c>
      <c r="H125" s="13"/>
      <c r="I125" s="24"/>
    </row>
    <row r="126" spans="1:11" ht="19" customHeight="1">
      <c r="A126" s="12"/>
      <c r="B126" s="14" t="s">
        <v>55</v>
      </c>
      <c r="C126" s="12" t="s">
        <v>14</v>
      </c>
      <c r="D126" s="33">
        <f>D120</f>
        <v>0.24</v>
      </c>
      <c r="E126" s="15">
        <f>'BQ-YB'!E23</f>
        <v>2700000</v>
      </c>
      <c r="F126" s="12" t="str">
        <f>C126</f>
        <v>Ton</v>
      </c>
      <c r="G126" s="13">
        <f>E126*D126</f>
        <v>648000</v>
      </c>
      <c r="H126" s="13"/>
      <c r="I126" s="24"/>
    </row>
    <row r="127" spans="1:11" ht="19" customHeight="1">
      <c r="A127" s="12"/>
      <c r="B127" s="14" t="s">
        <v>37</v>
      </c>
      <c r="C127" s="12" t="s">
        <v>15</v>
      </c>
      <c r="D127" s="66">
        <f>D119*20*1.7</f>
        <v>198.9</v>
      </c>
      <c r="E127" s="15">
        <f>'BQ-YB'!E28</f>
        <v>3333</v>
      </c>
      <c r="F127" s="12" t="str">
        <f>C127</f>
        <v>Lb</v>
      </c>
      <c r="G127" s="13">
        <f>E127*D127</f>
        <v>662933.69999999995</v>
      </c>
      <c r="H127" s="13"/>
      <c r="I127" s="24"/>
    </row>
    <row r="128" spans="1:11" s="285" customFormat="1" ht="19" customHeight="1">
      <c r="A128" s="279"/>
      <c r="B128" s="279" t="s">
        <v>22</v>
      </c>
      <c r="C128" s="279"/>
      <c r="D128" s="280"/>
      <c r="E128" s="281"/>
      <c r="F128" s="279"/>
      <c r="G128" s="282"/>
      <c r="H128" s="279"/>
      <c r="I128" s="331"/>
      <c r="J128" s="283"/>
      <c r="K128" s="284"/>
    </row>
    <row r="129" spans="1:11" s="285" customFormat="1" ht="19" customHeight="1">
      <c r="A129" s="279"/>
      <c r="B129" s="257" t="s">
        <v>364</v>
      </c>
      <c r="C129" s="301" t="s">
        <v>2</v>
      </c>
      <c r="D129" s="302">
        <f>D120*20*1.5+D121*20*1+D122*20*1.5</f>
        <v>134.9</v>
      </c>
      <c r="E129" s="258">
        <f>'BQ-YB'!E42</f>
        <v>27000</v>
      </c>
      <c r="F129" s="301" t="str">
        <f>C129</f>
        <v>No</v>
      </c>
      <c r="G129" s="307"/>
      <c r="H129" s="307">
        <f>D129*E129</f>
        <v>3642300</v>
      </c>
      <c r="I129" s="331"/>
      <c r="J129" s="283"/>
      <c r="K129" s="284"/>
    </row>
    <row r="130" spans="1:11" s="285" customFormat="1" ht="19" customHeight="1">
      <c r="A130" s="279"/>
      <c r="B130" s="257" t="s">
        <v>29</v>
      </c>
      <c r="C130" s="301" t="s">
        <v>2</v>
      </c>
      <c r="D130" s="302">
        <f>D129</f>
        <v>134.9</v>
      </c>
      <c r="E130" s="258">
        <f>'BQ-YB'!E40</f>
        <v>20000</v>
      </c>
      <c r="F130" s="301" t="str">
        <f>C130</f>
        <v>No</v>
      </c>
      <c r="G130" s="303"/>
      <c r="H130" s="304">
        <f>D130*E130</f>
        <v>2698000</v>
      </c>
      <c r="I130" s="331"/>
      <c r="J130" s="283"/>
      <c r="K130" s="284"/>
    </row>
    <row r="131" spans="1:11" ht="19" customHeight="1">
      <c r="A131" s="12"/>
      <c r="B131" s="12"/>
      <c r="C131" s="12"/>
      <c r="D131" s="66"/>
      <c r="E131" s="15"/>
      <c r="F131" s="12"/>
      <c r="G131" s="318">
        <f>SUM(G124:G130)</f>
        <v>18265333.699999999</v>
      </c>
      <c r="H131" s="318">
        <f>SUM(H124:H130)</f>
        <v>6340300</v>
      </c>
      <c r="I131" s="24"/>
    </row>
    <row r="132" spans="1:11" ht="19" customHeight="1">
      <c r="A132" s="12">
        <f>Detail!A287</f>
        <v>9</v>
      </c>
      <c r="B132" s="16" t="str">
        <f>Detail!B287</f>
        <v>R.C Concrete Casting Work Beam</v>
      </c>
      <c r="C132" s="12"/>
      <c r="D132" s="66"/>
      <c r="E132" s="15"/>
      <c r="F132" s="12"/>
      <c r="G132" s="18"/>
      <c r="H132" s="18"/>
      <c r="I132" s="24"/>
    </row>
    <row r="133" spans="1:11" ht="19" customHeight="1">
      <c r="A133" s="12"/>
      <c r="B133" s="16" t="str">
        <f>Detail!B288</f>
        <v>( a ) (1:2:4) R.C Conc; Casting Work</v>
      </c>
      <c r="C133" s="272" t="str">
        <f>Detail!K349</f>
        <v>%Fc</v>
      </c>
      <c r="D133" s="273">
        <f>Detail!J349</f>
        <v>13.14</v>
      </c>
      <c r="E133" s="15"/>
      <c r="F133" s="12"/>
      <c r="G133" s="13"/>
      <c r="H133" s="13"/>
      <c r="I133" s="24"/>
    </row>
    <row r="134" spans="1:11" ht="19" customHeight="1">
      <c r="A134" s="12"/>
      <c r="B134" s="12" t="s">
        <v>26</v>
      </c>
      <c r="C134" s="12"/>
      <c r="D134" s="66"/>
      <c r="E134" s="15"/>
      <c r="F134" s="12"/>
      <c r="G134" s="13"/>
      <c r="H134" s="13"/>
      <c r="I134" s="24"/>
    </row>
    <row r="135" spans="1:11" ht="19" customHeight="1">
      <c r="A135" s="12"/>
      <c r="B135" s="14" t="s">
        <v>8</v>
      </c>
      <c r="C135" s="12" t="s">
        <v>9</v>
      </c>
      <c r="D135" s="66">
        <f>D133*2070/112</f>
        <v>242.86</v>
      </c>
      <c r="E135" s="15">
        <f>'BQ-YB'!E7</f>
        <v>25000</v>
      </c>
      <c r="F135" s="12" t="str">
        <f>C135</f>
        <v>Bag</v>
      </c>
      <c r="G135" s="13">
        <f>E135*D135</f>
        <v>6071500</v>
      </c>
      <c r="H135" s="13"/>
      <c r="I135" s="24"/>
    </row>
    <row r="136" spans="1:11" ht="19" customHeight="1">
      <c r="A136" s="12"/>
      <c r="B136" s="14" t="s">
        <v>36</v>
      </c>
      <c r="C136" s="12" t="s">
        <v>10</v>
      </c>
      <c r="D136" s="66">
        <f>D133*0.46</f>
        <v>6.04</v>
      </c>
      <c r="E136" s="15">
        <f>'BQ-YB'!E8</f>
        <v>50000</v>
      </c>
      <c r="F136" s="12" t="str">
        <f>C136</f>
        <v>Sud</v>
      </c>
      <c r="G136" s="13">
        <f>E136*D136</f>
        <v>302000</v>
      </c>
      <c r="H136" s="13"/>
      <c r="I136" s="24"/>
    </row>
    <row r="137" spans="1:11" ht="19" customHeight="1">
      <c r="A137" s="12"/>
      <c r="B137" s="14" t="s">
        <v>112</v>
      </c>
      <c r="C137" s="12" t="s">
        <v>10</v>
      </c>
      <c r="D137" s="66">
        <f>D133*0.92</f>
        <v>12.09</v>
      </c>
      <c r="E137" s="15">
        <f>'BQ-YB'!E11</f>
        <v>130000</v>
      </c>
      <c r="F137" s="12" t="str">
        <f>C137</f>
        <v>Sud</v>
      </c>
      <c r="G137" s="13">
        <f>E137*D137</f>
        <v>1571700</v>
      </c>
      <c r="H137" s="13"/>
      <c r="I137" s="24"/>
    </row>
    <row r="138" spans="1:11" ht="19" customHeight="1">
      <c r="A138" s="12"/>
      <c r="B138" s="14" t="s">
        <v>45</v>
      </c>
      <c r="C138" s="12" t="s">
        <v>33</v>
      </c>
      <c r="D138" s="66">
        <f>D133*2</f>
        <v>26.28</v>
      </c>
      <c r="E138" s="15">
        <f>'BQ-YB'!E13</f>
        <v>20000</v>
      </c>
      <c r="F138" s="12" t="str">
        <f>C138</f>
        <v>Gal</v>
      </c>
      <c r="G138" s="13">
        <f>E138*D138</f>
        <v>525600</v>
      </c>
      <c r="H138" s="13"/>
      <c r="I138" s="24"/>
    </row>
    <row r="139" spans="1:11" ht="19" customHeight="1">
      <c r="A139" s="12"/>
      <c r="B139" s="14" t="s">
        <v>474</v>
      </c>
      <c r="C139" s="12" t="s">
        <v>473</v>
      </c>
      <c r="D139" s="66">
        <f>D135/2</f>
        <v>121.43</v>
      </c>
      <c r="E139" s="15">
        <f>'BQ-YB'!E15</f>
        <v>7000</v>
      </c>
      <c r="F139" s="12" t="str">
        <f>C139</f>
        <v>Lit</v>
      </c>
      <c r="G139" s="13">
        <f>E139*D139</f>
        <v>850010</v>
      </c>
      <c r="H139" s="13"/>
      <c r="I139" s="24"/>
    </row>
    <row r="140" spans="1:11" s="285" customFormat="1" ht="19" customHeight="1">
      <c r="A140" s="279"/>
      <c r="B140" s="279" t="s">
        <v>22</v>
      </c>
      <c r="C140" s="279"/>
      <c r="D140" s="280"/>
      <c r="E140" s="281"/>
      <c r="F140" s="279"/>
      <c r="G140" s="282"/>
      <c r="H140" s="279"/>
      <c r="I140" s="331"/>
      <c r="J140" s="283"/>
      <c r="K140" s="284"/>
    </row>
    <row r="141" spans="1:11" s="285" customFormat="1" ht="19" customHeight="1">
      <c r="A141" s="279"/>
      <c r="B141" s="257" t="s">
        <v>31</v>
      </c>
      <c r="C141" s="301" t="s">
        <v>2</v>
      </c>
      <c r="D141" s="302">
        <f>D133*2</f>
        <v>26.28</v>
      </c>
      <c r="E141" s="258">
        <f>'BQ-YB'!E38</f>
        <v>27000</v>
      </c>
      <c r="F141" s="301" t="str">
        <f>C141</f>
        <v>No</v>
      </c>
      <c r="G141" s="307"/>
      <c r="H141" s="307">
        <f>D141*E141</f>
        <v>709560</v>
      </c>
      <c r="I141" s="331"/>
      <c r="J141" s="283"/>
      <c r="K141" s="284"/>
    </row>
    <row r="142" spans="1:11" s="285" customFormat="1" ht="19" customHeight="1">
      <c r="A142" s="279"/>
      <c r="B142" s="257" t="s">
        <v>46</v>
      </c>
      <c r="C142" s="301" t="s">
        <v>2</v>
      </c>
      <c r="D142" s="302">
        <f>D133*0.5</f>
        <v>6.57</v>
      </c>
      <c r="E142" s="258">
        <f>'BQ-YB'!E39</f>
        <v>27000</v>
      </c>
      <c r="F142" s="301" t="str">
        <f>C142</f>
        <v>No</v>
      </c>
      <c r="G142" s="307"/>
      <c r="H142" s="307">
        <f>D142*E142</f>
        <v>177390</v>
      </c>
      <c r="I142" s="331"/>
      <c r="J142" s="283"/>
      <c r="K142" s="284"/>
    </row>
    <row r="143" spans="1:11" s="285" customFormat="1" ht="19" customHeight="1">
      <c r="A143" s="279"/>
      <c r="B143" s="257" t="s">
        <v>29</v>
      </c>
      <c r="C143" s="301" t="s">
        <v>2</v>
      </c>
      <c r="D143" s="302">
        <f>D133*12</f>
        <v>157.68</v>
      </c>
      <c r="E143" s="258">
        <f>'BQ-YB'!E40</f>
        <v>20000</v>
      </c>
      <c r="F143" s="301" t="str">
        <f>C143</f>
        <v>No</v>
      </c>
      <c r="G143" s="303"/>
      <c r="H143" s="304">
        <f>D143*E143</f>
        <v>3153600</v>
      </c>
      <c r="I143" s="331"/>
      <c r="J143" s="283"/>
      <c r="K143" s="284"/>
    </row>
    <row r="144" spans="1:11" ht="19" customHeight="1">
      <c r="A144" s="12"/>
      <c r="B144" s="12"/>
      <c r="C144" s="12"/>
      <c r="D144" s="66"/>
      <c r="E144" s="15"/>
      <c r="F144" s="12"/>
      <c r="G144" s="318">
        <f>SUM(G135:G143)</f>
        <v>9320810</v>
      </c>
      <c r="H144" s="318">
        <f>SUM(H135:H143)</f>
        <v>4040550</v>
      </c>
      <c r="I144" s="24"/>
    </row>
    <row r="145" spans="1:11" ht="19" customHeight="1">
      <c r="A145" s="12"/>
      <c r="B145" s="16" t="str">
        <f>Detail!B351</f>
        <v xml:space="preserve">( b ) Formwork </v>
      </c>
      <c r="C145" s="272" t="str">
        <f>Detail!K415</f>
        <v>%Fs</v>
      </c>
      <c r="D145" s="273">
        <f>Detail!J415</f>
        <v>29.84</v>
      </c>
      <c r="E145" s="15"/>
      <c r="F145" s="12"/>
      <c r="G145" s="18"/>
      <c r="H145" s="18"/>
      <c r="I145" s="24"/>
    </row>
    <row r="146" spans="1:11" ht="19" customHeight="1">
      <c r="A146" s="12"/>
      <c r="B146" s="12" t="s">
        <v>26</v>
      </c>
      <c r="C146" s="12"/>
      <c r="D146" s="66"/>
      <c r="E146" s="15"/>
      <c r="F146" s="12"/>
      <c r="G146" s="13"/>
      <c r="H146" s="13"/>
      <c r="I146" s="24"/>
    </row>
    <row r="147" spans="1:11" ht="19" customHeight="1">
      <c r="A147" s="12"/>
      <c r="B147" s="14" t="s">
        <v>67</v>
      </c>
      <c r="C147" s="12" t="s">
        <v>14</v>
      </c>
      <c r="D147" s="66">
        <f>D145*20/50/3</f>
        <v>3.98</v>
      </c>
      <c r="E147" s="15">
        <f>'BQ-YB'!E18</f>
        <v>1500000</v>
      </c>
      <c r="F147" s="12" t="str">
        <f>C147</f>
        <v>Ton</v>
      </c>
      <c r="G147" s="13">
        <f>E147*D147</f>
        <v>5970000</v>
      </c>
      <c r="H147" s="13"/>
      <c r="I147" s="24"/>
    </row>
    <row r="148" spans="1:11" ht="19" customHeight="1">
      <c r="A148" s="12"/>
      <c r="B148" s="14" t="s">
        <v>80</v>
      </c>
      <c r="C148" s="124" t="s">
        <v>13</v>
      </c>
      <c r="D148" s="66">
        <f>D145/0.32/3*1.15</f>
        <v>35.75</v>
      </c>
      <c r="E148" s="15">
        <f>'BQ-YB'!E17</f>
        <v>75000</v>
      </c>
      <c r="F148" s="12" t="str">
        <f>C148</f>
        <v>Sht</v>
      </c>
      <c r="G148" s="13">
        <f>E148*D148</f>
        <v>2681250</v>
      </c>
      <c r="H148" s="13"/>
      <c r="I148" s="24"/>
    </row>
    <row r="149" spans="1:11" ht="19" customHeight="1">
      <c r="A149" s="12"/>
      <c r="B149" s="14" t="s">
        <v>47</v>
      </c>
      <c r="C149" s="12" t="s">
        <v>15</v>
      </c>
      <c r="D149" s="66">
        <f>D145*3*1.7</f>
        <v>152.18</v>
      </c>
      <c r="E149" s="15">
        <f>'BQ-YB'!E20</f>
        <v>3333</v>
      </c>
      <c r="F149" s="12" t="str">
        <f>C149</f>
        <v>Lb</v>
      </c>
      <c r="G149" s="13">
        <f>E149*D149</f>
        <v>507215.94</v>
      </c>
      <c r="H149" s="13"/>
      <c r="I149" s="24"/>
    </row>
    <row r="150" spans="1:11" s="285" customFormat="1" ht="19.5" customHeight="1">
      <c r="A150" s="279"/>
      <c r="B150" s="279" t="s">
        <v>22</v>
      </c>
      <c r="C150" s="279"/>
      <c r="D150" s="280"/>
      <c r="E150" s="281"/>
      <c r="F150" s="279"/>
      <c r="G150" s="282"/>
      <c r="H150" s="279"/>
      <c r="I150" s="331"/>
      <c r="J150" s="283"/>
      <c r="K150" s="284"/>
    </row>
    <row r="151" spans="1:11" s="285" customFormat="1" ht="19.5" customHeight="1">
      <c r="A151" s="279"/>
      <c r="B151" s="257" t="s">
        <v>30</v>
      </c>
      <c r="C151" s="301" t="s">
        <v>2</v>
      </c>
      <c r="D151" s="302">
        <f>D145*4</f>
        <v>119.36</v>
      </c>
      <c r="E151" s="258">
        <f>'BQ-YB'!E43</f>
        <v>27000</v>
      </c>
      <c r="F151" s="301" t="str">
        <f>C151</f>
        <v>No</v>
      </c>
      <c r="G151" s="307"/>
      <c r="H151" s="307">
        <f>D151*E151</f>
        <v>3222720</v>
      </c>
      <c r="I151" s="331"/>
      <c r="J151" s="283"/>
      <c r="K151" s="284"/>
    </row>
    <row r="152" spans="1:11" s="285" customFormat="1" ht="19.5" customHeight="1">
      <c r="A152" s="279"/>
      <c r="B152" s="257" t="s">
        <v>29</v>
      </c>
      <c r="C152" s="301" t="s">
        <v>2</v>
      </c>
      <c r="D152" s="302">
        <f>D145*2</f>
        <v>59.68</v>
      </c>
      <c r="E152" s="258">
        <f>'BQ-YB'!E40</f>
        <v>20000</v>
      </c>
      <c r="F152" s="301" t="str">
        <f>C152</f>
        <v>No</v>
      </c>
      <c r="G152" s="303"/>
      <c r="H152" s="302">
        <f>D152*E152</f>
        <v>1193600</v>
      </c>
      <c r="I152" s="331"/>
      <c r="J152" s="283"/>
      <c r="K152" s="284"/>
    </row>
    <row r="153" spans="1:11" s="285" customFormat="1" ht="19.5" customHeight="1">
      <c r="A153" s="279"/>
      <c r="B153" s="257" t="s">
        <v>367</v>
      </c>
      <c r="C153" s="301" t="s">
        <v>2</v>
      </c>
      <c r="D153" s="302">
        <f>D151/3</f>
        <v>39.79</v>
      </c>
      <c r="E153" s="258">
        <f>'BQ-YB'!E44</f>
        <v>27000</v>
      </c>
      <c r="F153" s="301" t="str">
        <f>C153</f>
        <v>No</v>
      </c>
      <c r="G153" s="303"/>
      <c r="H153" s="307">
        <f>D153*E153</f>
        <v>1074330</v>
      </c>
      <c r="I153" s="331"/>
      <c r="J153" s="283"/>
      <c r="K153" s="284"/>
    </row>
    <row r="154" spans="1:11" s="285" customFormat="1" ht="19.5" customHeight="1">
      <c r="A154" s="279"/>
      <c r="B154" s="257" t="s">
        <v>368</v>
      </c>
      <c r="C154" s="301" t="s">
        <v>2</v>
      </c>
      <c r="D154" s="302">
        <f>D152/3</f>
        <v>19.89</v>
      </c>
      <c r="E154" s="258">
        <f>'BQ-YB'!E40</f>
        <v>20000</v>
      </c>
      <c r="F154" s="301" t="str">
        <f>C154</f>
        <v>No</v>
      </c>
      <c r="G154" s="303"/>
      <c r="H154" s="304">
        <f>D154*E154</f>
        <v>397800</v>
      </c>
      <c r="I154" s="331"/>
      <c r="J154" s="283"/>
      <c r="K154" s="284"/>
    </row>
    <row r="155" spans="1:11" ht="20.149999999999999" customHeight="1">
      <c r="A155" s="12"/>
      <c r="B155" s="12"/>
      <c r="C155" s="12"/>
      <c r="D155" s="66"/>
      <c r="E155" s="15"/>
      <c r="F155" s="12"/>
      <c r="G155" s="318">
        <f>SUM(G147:G154)</f>
        <v>9158465.9399999995</v>
      </c>
      <c r="H155" s="318">
        <f>SUM(H147:H154)</f>
        <v>5888450</v>
      </c>
      <c r="I155" s="24"/>
    </row>
    <row r="156" spans="1:11" ht="19" customHeight="1">
      <c r="A156" s="86"/>
      <c r="B156" s="88" t="str">
        <f>Detail!B417</f>
        <v>( c ) Rebar Work</v>
      </c>
      <c r="C156" s="110" t="s">
        <v>14</v>
      </c>
      <c r="D156" s="33">
        <f>D157+D158</f>
        <v>8.26</v>
      </c>
      <c r="E156" s="210"/>
      <c r="F156" s="86"/>
      <c r="G156" s="18"/>
      <c r="H156" s="18"/>
      <c r="I156" s="24"/>
    </row>
    <row r="157" spans="1:11" ht="19" customHeight="1">
      <c r="A157" s="12"/>
      <c r="B157" s="111" t="str">
        <f>Detail!I664</f>
        <v>10mm Ø</v>
      </c>
      <c r="C157" s="12" t="s">
        <v>14</v>
      </c>
      <c r="D157" s="66">
        <f>Detail!I665</f>
        <v>2.31</v>
      </c>
      <c r="E157" s="15"/>
      <c r="F157" s="12"/>
      <c r="G157" s="13"/>
      <c r="H157" s="13"/>
      <c r="I157" s="371"/>
    </row>
    <row r="158" spans="1:11" ht="19" customHeight="1">
      <c r="A158" s="12"/>
      <c r="B158" s="111" t="str">
        <f>Detail!H664</f>
        <v>16mm Ø</v>
      </c>
      <c r="C158" s="12" t="s">
        <v>14</v>
      </c>
      <c r="D158" s="66">
        <f>Detail!H665</f>
        <v>5.95</v>
      </c>
      <c r="E158" s="15"/>
      <c r="F158" s="12"/>
      <c r="G158" s="13"/>
      <c r="H158" s="13"/>
      <c r="I158" s="24"/>
    </row>
    <row r="159" spans="1:11" ht="19" customHeight="1">
      <c r="A159" s="12"/>
      <c r="B159" s="12" t="s">
        <v>26</v>
      </c>
      <c r="C159" s="12"/>
      <c r="D159" s="66"/>
      <c r="E159" s="15"/>
      <c r="F159" s="12"/>
      <c r="G159" s="13"/>
      <c r="H159" s="13"/>
      <c r="I159" s="24"/>
    </row>
    <row r="160" spans="1:11" ht="19" customHeight="1">
      <c r="A160" s="12"/>
      <c r="B160" s="14" t="s">
        <v>357</v>
      </c>
      <c r="C160" s="12" t="s">
        <v>14</v>
      </c>
      <c r="D160" s="66">
        <f>D157*1.05</f>
        <v>2.4300000000000002</v>
      </c>
      <c r="E160" s="15">
        <f>'BQ-YB'!E24</f>
        <v>3100000</v>
      </c>
      <c r="F160" s="12" t="str">
        <f>C160</f>
        <v>Ton</v>
      </c>
      <c r="G160" s="13">
        <f>E160*D160</f>
        <v>7533000</v>
      </c>
      <c r="H160" s="13"/>
      <c r="I160" s="24"/>
    </row>
    <row r="161" spans="1:11" ht="19" customHeight="1">
      <c r="A161" s="12"/>
      <c r="B161" s="14" t="s">
        <v>356</v>
      </c>
      <c r="C161" s="12" t="s">
        <v>14</v>
      </c>
      <c r="D161" s="66">
        <f>D158*1.05</f>
        <v>6.25</v>
      </c>
      <c r="E161" s="15">
        <f>'BQ-YB'!E26</f>
        <v>2980000</v>
      </c>
      <c r="F161" s="12" t="str">
        <f>C161</f>
        <v>Ton</v>
      </c>
      <c r="G161" s="13">
        <f>E161*D161</f>
        <v>18625000</v>
      </c>
      <c r="H161" s="13"/>
      <c r="I161" s="24"/>
    </row>
    <row r="162" spans="1:11" ht="19" customHeight="1">
      <c r="A162" s="12"/>
      <c r="B162" s="14" t="s">
        <v>37</v>
      </c>
      <c r="C162" s="12" t="s">
        <v>15</v>
      </c>
      <c r="D162" s="66">
        <f>D156*20*1.7</f>
        <v>280.83999999999997</v>
      </c>
      <c r="E162" s="15">
        <f>'BQ-YB'!E28</f>
        <v>3333</v>
      </c>
      <c r="F162" s="12" t="str">
        <f>C162</f>
        <v>Lb</v>
      </c>
      <c r="G162" s="13">
        <f>E162*D162</f>
        <v>936039.72</v>
      </c>
      <c r="H162" s="13"/>
      <c r="I162" s="24"/>
    </row>
    <row r="163" spans="1:11" s="285" customFormat="1" ht="19" customHeight="1">
      <c r="A163" s="279"/>
      <c r="B163" s="279" t="s">
        <v>22</v>
      </c>
      <c r="C163" s="279"/>
      <c r="D163" s="280"/>
      <c r="E163" s="281"/>
      <c r="F163" s="279"/>
      <c r="G163" s="282"/>
      <c r="H163" s="279"/>
      <c r="I163" s="331"/>
      <c r="J163" s="283"/>
      <c r="K163" s="284"/>
    </row>
    <row r="164" spans="1:11" s="285" customFormat="1" ht="19" customHeight="1">
      <c r="A164" s="279"/>
      <c r="B164" s="257" t="s">
        <v>364</v>
      </c>
      <c r="C164" s="301" t="s">
        <v>2</v>
      </c>
      <c r="D164" s="302">
        <f>D157*20*1+D158*20*0.75</f>
        <v>135.44999999999999</v>
      </c>
      <c r="E164" s="258">
        <f>'BQ-YB'!E42</f>
        <v>27000</v>
      </c>
      <c r="F164" s="301" t="str">
        <f>C164</f>
        <v>No</v>
      </c>
      <c r="G164" s="307"/>
      <c r="H164" s="307">
        <f>D164*E164</f>
        <v>3657150</v>
      </c>
      <c r="I164" s="331"/>
      <c r="J164" s="283"/>
      <c r="K164" s="284"/>
    </row>
    <row r="165" spans="1:11" s="285" customFormat="1" ht="19" customHeight="1">
      <c r="A165" s="279"/>
      <c r="B165" s="257" t="s">
        <v>29</v>
      </c>
      <c r="C165" s="301" t="s">
        <v>2</v>
      </c>
      <c r="D165" s="302">
        <f>D164</f>
        <v>135.44999999999999</v>
      </c>
      <c r="E165" s="258">
        <f>'BQ-YB'!E40</f>
        <v>20000</v>
      </c>
      <c r="F165" s="301" t="str">
        <f>C165</f>
        <v>No</v>
      </c>
      <c r="G165" s="303"/>
      <c r="H165" s="304">
        <f>D165*E165</f>
        <v>2709000</v>
      </c>
      <c r="I165" s="331"/>
      <c r="J165" s="283"/>
      <c r="K165" s="284"/>
    </row>
    <row r="166" spans="1:11" ht="19" customHeight="1">
      <c r="A166" s="12"/>
      <c r="B166" s="12"/>
      <c r="C166" s="12"/>
      <c r="D166" s="66"/>
      <c r="E166" s="15"/>
      <c r="F166" s="12"/>
      <c r="G166" s="318">
        <f>SUM(G160:G165)</f>
        <v>27094039.719999999</v>
      </c>
      <c r="H166" s="318">
        <f>SUM(H160:H165)</f>
        <v>6366150</v>
      </c>
      <c r="I166" s="24"/>
    </row>
    <row r="167" spans="1:11" ht="19" customHeight="1">
      <c r="A167" s="12"/>
      <c r="B167" s="12"/>
      <c r="C167" s="12"/>
      <c r="D167" s="66"/>
      <c r="E167" s="15"/>
      <c r="F167" s="12"/>
      <c r="G167" s="18"/>
      <c r="H167" s="18"/>
      <c r="I167" s="24"/>
    </row>
    <row r="168" spans="1:11" ht="19" customHeight="1">
      <c r="A168" s="12">
        <f>Detail!A669</f>
        <v>10</v>
      </c>
      <c r="B168" s="16" t="str">
        <f>Detail!B669</f>
        <v>RC Floor Slab Work</v>
      </c>
      <c r="C168" s="12"/>
      <c r="D168" s="66"/>
      <c r="E168" s="15"/>
      <c r="F168" s="12"/>
      <c r="G168" s="18"/>
      <c r="H168" s="13"/>
      <c r="I168" s="24"/>
    </row>
    <row r="169" spans="1:11" ht="19" customHeight="1">
      <c r="A169" s="12"/>
      <c r="B169" s="16" t="str">
        <f>Detail!B670</f>
        <v>( a ) (1:2:4) RC Concrete Work</v>
      </c>
      <c r="C169" s="32" t="str">
        <f>Detail!K700</f>
        <v>%Fc</v>
      </c>
      <c r="D169" s="66">
        <f>Detail!J700</f>
        <v>8.44</v>
      </c>
      <c r="E169" s="15"/>
      <c r="F169" s="12"/>
      <c r="G169" s="18"/>
      <c r="H169" s="13"/>
      <c r="I169" s="24"/>
    </row>
    <row r="170" spans="1:11" ht="19" customHeight="1">
      <c r="A170" s="12"/>
      <c r="B170" s="12" t="s">
        <v>26</v>
      </c>
      <c r="C170" s="12"/>
      <c r="D170" s="66"/>
      <c r="E170" s="15"/>
      <c r="F170" s="12"/>
      <c r="G170" s="13"/>
      <c r="H170" s="13"/>
      <c r="I170" s="24"/>
    </row>
    <row r="171" spans="1:11" ht="19" customHeight="1">
      <c r="A171" s="12"/>
      <c r="B171" s="14" t="s">
        <v>8</v>
      </c>
      <c r="C171" s="12" t="s">
        <v>9</v>
      </c>
      <c r="D171" s="66">
        <f>D169*2070/112</f>
        <v>155.99</v>
      </c>
      <c r="E171" s="15">
        <f>'BQ-YB'!E7</f>
        <v>25000</v>
      </c>
      <c r="F171" s="12" t="str">
        <f>C171</f>
        <v>Bag</v>
      </c>
      <c r="G171" s="13">
        <f>E171*D171</f>
        <v>3899750</v>
      </c>
      <c r="H171" s="13"/>
      <c r="I171" s="24"/>
    </row>
    <row r="172" spans="1:11" ht="19" customHeight="1">
      <c r="A172" s="12"/>
      <c r="B172" s="14" t="s">
        <v>36</v>
      </c>
      <c r="C172" s="12" t="s">
        <v>10</v>
      </c>
      <c r="D172" s="66">
        <f>D169*0.46</f>
        <v>3.88</v>
      </c>
      <c r="E172" s="15">
        <f>'BQ-YB'!E8</f>
        <v>50000</v>
      </c>
      <c r="F172" s="12" t="str">
        <f>C172</f>
        <v>Sud</v>
      </c>
      <c r="G172" s="13">
        <f>E172*D172</f>
        <v>194000</v>
      </c>
      <c r="H172" s="13"/>
      <c r="I172" s="24"/>
    </row>
    <row r="173" spans="1:11" ht="19" customHeight="1">
      <c r="A173" s="12"/>
      <c r="B173" s="14" t="s">
        <v>112</v>
      </c>
      <c r="C173" s="12" t="s">
        <v>10</v>
      </c>
      <c r="D173" s="66">
        <f>D169*0.92</f>
        <v>7.76</v>
      </c>
      <c r="E173" s="15">
        <f>'BQ-YB'!E11</f>
        <v>130000</v>
      </c>
      <c r="F173" s="12" t="str">
        <f>C173</f>
        <v>Sud</v>
      </c>
      <c r="G173" s="13">
        <f>E173*D173</f>
        <v>1008800</v>
      </c>
      <c r="H173" s="13"/>
      <c r="I173" s="24"/>
    </row>
    <row r="174" spans="1:11" ht="19" customHeight="1">
      <c r="A174" s="12"/>
      <c r="B174" s="14" t="s">
        <v>45</v>
      </c>
      <c r="C174" s="12" t="s">
        <v>33</v>
      </c>
      <c r="D174" s="66">
        <f>D169*2</f>
        <v>16.88</v>
      </c>
      <c r="E174" s="15">
        <f>'BQ-YB'!E13</f>
        <v>20000</v>
      </c>
      <c r="F174" s="12" t="str">
        <f>C174</f>
        <v>Gal</v>
      </c>
      <c r="G174" s="13">
        <f>E174*D174</f>
        <v>337600</v>
      </c>
      <c r="H174" s="13"/>
      <c r="I174" s="24"/>
    </row>
    <row r="175" spans="1:11" ht="19" customHeight="1">
      <c r="A175" s="12"/>
      <c r="B175" s="14" t="s">
        <v>474</v>
      </c>
      <c r="C175" s="12" t="s">
        <v>473</v>
      </c>
      <c r="D175" s="66">
        <f>D171/2</f>
        <v>78</v>
      </c>
      <c r="E175" s="15">
        <f>'BQ-YB'!E15</f>
        <v>7000</v>
      </c>
      <c r="F175" s="12" t="str">
        <f>C175</f>
        <v>Lit</v>
      </c>
      <c r="G175" s="13">
        <f>E175*D175</f>
        <v>546000</v>
      </c>
      <c r="H175" s="13"/>
      <c r="I175" s="24"/>
    </row>
    <row r="176" spans="1:11" ht="19" customHeight="1">
      <c r="A176" s="12"/>
      <c r="B176" s="14"/>
      <c r="C176" s="12"/>
      <c r="D176" s="66"/>
      <c r="E176" s="15"/>
      <c r="F176" s="12"/>
      <c r="G176" s="13"/>
      <c r="H176" s="13"/>
      <c r="I176" s="24"/>
    </row>
    <row r="177" spans="1:11" s="285" customFormat="1" ht="19" customHeight="1">
      <c r="A177" s="279"/>
      <c r="B177" s="279" t="s">
        <v>22</v>
      </c>
      <c r="C177" s="279"/>
      <c r="D177" s="280"/>
      <c r="E177" s="281"/>
      <c r="F177" s="279"/>
      <c r="G177" s="282"/>
      <c r="H177" s="279"/>
      <c r="I177" s="331"/>
      <c r="J177" s="283"/>
      <c r="K177" s="284"/>
    </row>
    <row r="178" spans="1:11" s="285" customFormat="1" ht="19" customHeight="1">
      <c r="A178" s="279"/>
      <c r="B178" s="257" t="s">
        <v>31</v>
      </c>
      <c r="C178" s="301" t="s">
        <v>2</v>
      </c>
      <c r="D178" s="302">
        <f>D169*2</f>
        <v>16.88</v>
      </c>
      <c r="E178" s="258">
        <f>'BQ-YB'!E38</f>
        <v>27000</v>
      </c>
      <c r="F178" s="301" t="str">
        <f>C178</f>
        <v>No</v>
      </c>
      <c r="G178" s="307"/>
      <c r="H178" s="307">
        <f>D178*E178</f>
        <v>455760</v>
      </c>
      <c r="I178" s="331"/>
      <c r="J178" s="283"/>
      <c r="K178" s="284"/>
    </row>
    <row r="179" spans="1:11" s="285" customFormat="1" ht="19" customHeight="1">
      <c r="A179" s="279"/>
      <c r="B179" s="257" t="s">
        <v>46</v>
      </c>
      <c r="C179" s="301" t="s">
        <v>2</v>
      </c>
      <c r="D179" s="302">
        <f>D169*0.5</f>
        <v>4.22</v>
      </c>
      <c r="E179" s="258">
        <f>'BQ-YB'!E39</f>
        <v>27000</v>
      </c>
      <c r="F179" s="301" t="str">
        <f>C179</f>
        <v>No</v>
      </c>
      <c r="G179" s="307"/>
      <c r="H179" s="307">
        <f>D179*E179</f>
        <v>113940</v>
      </c>
      <c r="I179" s="331"/>
      <c r="J179" s="283"/>
      <c r="K179" s="284"/>
    </row>
    <row r="180" spans="1:11" s="285" customFormat="1" ht="19" customHeight="1">
      <c r="A180" s="279"/>
      <c r="B180" s="257" t="s">
        <v>29</v>
      </c>
      <c r="C180" s="301" t="s">
        <v>2</v>
      </c>
      <c r="D180" s="302">
        <f>D169*9</f>
        <v>75.959999999999994</v>
      </c>
      <c r="E180" s="258">
        <f>'BQ-YB'!E40</f>
        <v>20000</v>
      </c>
      <c r="F180" s="301" t="str">
        <f>C180</f>
        <v>No</v>
      </c>
      <c r="G180" s="303"/>
      <c r="H180" s="304">
        <f>D180*E180</f>
        <v>1519200</v>
      </c>
      <c r="I180" s="331"/>
      <c r="J180" s="283"/>
      <c r="K180" s="284"/>
    </row>
    <row r="181" spans="1:11" ht="19" customHeight="1">
      <c r="A181" s="12"/>
      <c r="B181" s="12"/>
      <c r="C181" s="12"/>
      <c r="D181" s="66"/>
      <c r="E181" s="15"/>
      <c r="F181" s="12"/>
      <c r="G181" s="318">
        <f>SUM(G171:G180)</f>
        <v>5986150</v>
      </c>
      <c r="H181" s="318">
        <f>SUM(H171:H180)</f>
        <v>2088900</v>
      </c>
      <c r="I181" s="24"/>
    </row>
    <row r="182" spans="1:11" ht="19" customHeight="1">
      <c r="A182" s="12"/>
      <c r="B182" s="12"/>
      <c r="C182" s="12"/>
      <c r="D182" s="66"/>
      <c r="E182" s="15"/>
      <c r="F182" s="12"/>
      <c r="G182" s="18"/>
      <c r="H182" s="18"/>
      <c r="I182" s="24"/>
    </row>
    <row r="183" spans="1:11" ht="19" customHeight="1">
      <c r="A183" s="12"/>
      <c r="B183" s="16" t="str">
        <f>Detail!B701</f>
        <v>( b ) Formwork</v>
      </c>
      <c r="C183" s="32" t="str">
        <f>Detail!K726</f>
        <v>%Fs</v>
      </c>
      <c r="D183" s="66">
        <f>Detail!J726</f>
        <v>31.09</v>
      </c>
      <c r="E183" s="15"/>
      <c r="F183" s="12"/>
      <c r="G183" s="18"/>
      <c r="H183" s="13"/>
      <c r="I183" s="24"/>
    </row>
    <row r="184" spans="1:11" ht="19" customHeight="1">
      <c r="A184" s="12"/>
      <c r="B184" s="12" t="s">
        <v>26</v>
      </c>
      <c r="C184" s="12"/>
      <c r="D184" s="66"/>
      <c r="E184" s="15"/>
      <c r="F184" s="12"/>
      <c r="G184" s="13"/>
      <c r="H184" s="13"/>
      <c r="I184" s="24"/>
    </row>
    <row r="185" spans="1:11" ht="19" customHeight="1">
      <c r="A185" s="12"/>
      <c r="B185" s="14" t="s">
        <v>67</v>
      </c>
      <c r="C185" s="12" t="s">
        <v>14</v>
      </c>
      <c r="D185" s="66">
        <f>D183*20/50/3</f>
        <v>4.1500000000000004</v>
      </c>
      <c r="E185" s="15">
        <f>'BQ-YB'!E18</f>
        <v>1500000</v>
      </c>
      <c r="F185" s="12" t="str">
        <f>C185</f>
        <v>Ton</v>
      </c>
      <c r="G185" s="13">
        <f>E185*D185</f>
        <v>6225000</v>
      </c>
      <c r="H185" s="13"/>
      <c r="I185" s="24"/>
    </row>
    <row r="186" spans="1:11" ht="19" customHeight="1">
      <c r="A186" s="12"/>
      <c r="B186" s="14" t="s">
        <v>80</v>
      </c>
      <c r="C186" s="124" t="s">
        <v>13</v>
      </c>
      <c r="D186" s="66">
        <f>D183/0.32/3*1.15</f>
        <v>37.24</v>
      </c>
      <c r="E186" s="15">
        <f>'BQ-YB'!E17</f>
        <v>75000</v>
      </c>
      <c r="F186" s="12" t="str">
        <f>C186</f>
        <v>Sht</v>
      </c>
      <c r="G186" s="13">
        <f>E186*D186</f>
        <v>2793000</v>
      </c>
      <c r="H186" s="13"/>
      <c r="I186" s="24"/>
    </row>
    <row r="187" spans="1:11" ht="19" customHeight="1">
      <c r="A187" s="12"/>
      <c r="B187" s="14" t="s">
        <v>47</v>
      </c>
      <c r="C187" s="12" t="s">
        <v>15</v>
      </c>
      <c r="D187" s="66">
        <f>D183*3*1.7</f>
        <v>158.56</v>
      </c>
      <c r="E187" s="15">
        <f>'BQ-YB'!E20</f>
        <v>3333</v>
      </c>
      <c r="F187" s="12" t="str">
        <f>C187</f>
        <v>Lb</v>
      </c>
      <c r="G187" s="13">
        <f>E187*D187</f>
        <v>528480.48</v>
      </c>
      <c r="H187" s="13"/>
      <c r="I187" s="24"/>
    </row>
    <row r="188" spans="1:11" ht="19" customHeight="1">
      <c r="A188" s="12"/>
      <c r="B188" s="5" t="s">
        <v>489</v>
      </c>
      <c r="C188" s="12" t="s">
        <v>490</v>
      </c>
      <c r="D188" s="66">
        <f>ROUND(D183*0.5,0)</f>
        <v>16</v>
      </c>
      <c r="E188" s="15">
        <f>'BQ-YB'!E19</f>
        <v>10000</v>
      </c>
      <c r="F188" s="12" t="str">
        <f>C188</f>
        <v>Box</v>
      </c>
      <c r="G188" s="13">
        <f>E188*D188</f>
        <v>160000</v>
      </c>
      <c r="H188" s="13"/>
      <c r="I188" s="24"/>
    </row>
    <row r="189" spans="1:11" s="285" customFormat="1" ht="19.5" customHeight="1">
      <c r="A189" s="279"/>
      <c r="B189" s="279" t="s">
        <v>22</v>
      </c>
      <c r="C189" s="279"/>
      <c r="D189" s="280"/>
      <c r="E189" s="281"/>
      <c r="F189" s="279"/>
      <c r="G189" s="282"/>
      <c r="H189" s="279"/>
      <c r="I189" s="331"/>
      <c r="J189" s="283"/>
      <c r="K189" s="284"/>
    </row>
    <row r="190" spans="1:11" s="285" customFormat="1" ht="19.5" customHeight="1">
      <c r="A190" s="279"/>
      <c r="B190" s="257" t="s">
        <v>30</v>
      </c>
      <c r="C190" s="301" t="s">
        <v>2</v>
      </c>
      <c r="D190" s="302">
        <f>D183*4</f>
        <v>124.36</v>
      </c>
      <c r="E190" s="258">
        <f>'BQ-YB'!E43</f>
        <v>27000</v>
      </c>
      <c r="F190" s="301" t="str">
        <f>C190</f>
        <v>No</v>
      </c>
      <c r="G190" s="307"/>
      <c r="H190" s="307">
        <f>D190*E190</f>
        <v>3357720</v>
      </c>
      <c r="I190" s="331"/>
      <c r="J190" s="283"/>
      <c r="K190" s="284"/>
    </row>
    <row r="191" spans="1:11" s="285" customFormat="1" ht="19.5" customHeight="1">
      <c r="A191" s="279"/>
      <c r="B191" s="257" t="s">
        <v>29</v>
      </c>
      <c r="C191" s="301" t="s">
        <v>2</v>
      </c>
      <c r="D191" s="302">
        <f>D183*2</f>
        <v>62.18</v>
      </c>
      <c r="E191" s="258">
        <f>'BQ-YB'!E40</f>
        <v>20000</v>
      </c>
      <c r="F191" s="301" t="str">
        <f>C191</f>
        <v>No</v>
      </c>
      <c r="G191" s="303"/>
      <c r="H191" s="302">
        <f>D191*E191</f>
        <v>1243600</v>
      </c>
      <c r="I191" s="331"/>
      <c r="J191" s="283"/>
      <c r="K191" s="284"/>
    </row>
    <row r="192" spans="1:11" s="285" customFormat="1" ht="19.5" customHeight="1">
      <c r="A192" s="279"/>
      <c r="B192" s="257" t="s">
        <v>367</v>
      </c>
      <c r="C192" s="301" t="s">
        <v>2</v>
      </c>
      <c r="D192" s="302">
        <f>D190/3</f>
        <v>41.45</v>
      </c>
      <c r="E192" s="258">
        <f>'BQ-YB'!E44</f>
        <v>27000</v>
      </c>
      <c r="F192" s="301" t="str">
        <f>C192</f>
        <v>No</v>
      </c>
      <c r="G192" s="303"/>
      <c r="H192" s="307">
        <f>D192*E192</f>
        <v>1119150</v>
      </c>
      <c r="I192" s="331"/>
      <c r="J192" s="283"/>
      <c r="K192" s="284"/>
    </row>
    <row r="193" spans="1:11" s="285" customFormat="1" ht="19.5" customHeight="1">
      <c r="A193" s="279"/>
      <c r="B193" s="257" t="s">
        <v>368</v>
      </c>
      <c r="C193" s="301" t="s">
        <v>2</v>
      </c>
      <c r="D193" s="302">
        <f>D191/3</f>
        <v>20.73</v>
      </c>
      <c r="E193" s="258">
        <f>'BQ-YB'!E40</f>
        <v>20000</v>
      </c>
      <c r="F193" s="301" t="str">
        <f>C193</f>
        <v>No</v>
      </c>
      <c r="G193" s="303"/>
      <c r="H193" s="304">
        <f>D193*E193</f>
        <v>414600</v>
      </c>
      <c r="I193" s="331"/>
      <c r="J193" s="283"/>
      <c r="K193" s="284"/>
    </row>
    <row r="194" spans="1:11" ht="20.149999999999999" customHeight="1">
      <c r="A194" s="12"/>
      <c r="B194" s="12"/>
      <c r="C194" s="12"/>
      <c r="D194" s="66"/>
      <c r="E194" s="15"/>
      <c r="F194" s="12"/>
      <c r="G194" s="318">
        <f>SUM(G185:G193)</f>
        <v>9706480.4800000004</v>
      </c>
      <c r="H194" s="318">
        <f>SUM(H185:H193)</f>
        <v>6135070</v>
      </c>
      <c r="I194" s="24"/>
    </row>
    <row r="195" spans="1:11" ht="19" customHeight="1">
      <c r="A195" s="12"/>
      <c r="B195" s="12"/>
      <c r="C195" s="12"/>
      <c r="D195" s="66"/>
      <c r="E195" s="15"/>
      <c r="F195" s="12"/>
      <c r="G195" s="18"/>
      <c r="H195" s="18"/>
      <c r="I195" s="24"/>
    </row>
    <row r="196" spans="1:11" ht="19" customHeight="1">
      <c r="A196" s="12"/>
      <c r="B196" s="16" t="str">
        <f>Detail!B729</f>
        <v>( c ) Re bar Work</v>
      </c>
      <c r="C196" s="12"/>
      <c r="D196" s="66"/>
      <c r="E196" s="15"/>
      <c r="F196" s="12"/>
      <c r="G196" s="18"/>
      <c r="H196" s="13"/>
      <c r="I196" s="24"/>
    </row>
    <row r="197" spans="1:11" ht="19" customHeight="1">
      <c r="A197" s="12"/>
      <c r="B197" s="14" t="s">
        <v>205</v>
      </c>
      <c r="C197" s="12" t="s">
        <v>14</v>
      </c>
      <c r="D197" s="66">
        <f>Detail!J846</f>
        <v>1.96</v>
      </c>
      <c r="E197" s="15"/>
      <c r="F197" s="12"/>
      <c r="G197" s="18"/>
      <c r="H197" s="13"/>
      <c r="I197" s="24"/>
    </row>
    <row r="198" spans="1:11" ht="19" customHeight="1">
      <c r="A198" s="12"/>
      <c r="B198" s="14" t="s">
        <v>162</v>
      </c>
      <c r="C198" s="32" t="s">
        <v>14</v>
      </c>
      <c r="D198" s="66">
        <f>Detail!I846</f>
        <v>3.58</v>
      </c>
      <c r="E198" s="15"/>
      <c r="F198" s="12"/>
      <c r="G198" s="18"/>
      <c r="H198" s="13"/>
      <c r="I198" s="24"/>
    </row>
    <row r="199" spans="1:11" ht="19" customHeight="1">
      <c r="A199" s="12"/>
      <c r="B199" s="12" t="s">
        <v>26</v>
      </c>
      <c r="C199" s="12"/>
      <c r="D199" s="66"/>
      <c r="E199" s="15"/>
      <c r="F199" s="12"/>
      <c r="G199" s="13"/>
      <c r="H199" s="13"/>
      <c r="I199" s="24"/>
    </row>
    <row r="200" spans="1:11" ht="19" customHeight="1">
      <c r="A200" s="12"/>
      <c r="B200" s="14" t="s">
        <v>360</v>
      </c>
      <c r="C200" s="12" t="s">
        <v>14</v>
      </c>
      <c r="D200" s="66">
        <f>D197*1.05</f>
        <v>2.06</v>
      </c>
      <c r="E200" s="15">
        <f>'BQ-YB'!E25</f>
        <v>2550000</v>
      </c>
      <c r="F200" s="12" t="str">
        <f>C200</f>
        <v>Ton</v>
      </c>
      <c r="G200" s="13">
        <f>E200*D200</f>
        <v>5253000</v>
      </c>
      <c r="H200" s="13"/>
      <c r="I200" s="24"/>
    </row>
    <row r="201" spans="1:11" ht="19" customHeight="1">
      <c r="A201" s="12"/>
      <c r="B201" s="14" t="s">
        <v>357</v>
      </c>
      <c r="C201" s="12" t="s">
        <v>14</v>
      </c>
      <c r="D201" s="66">
        <f>D198*1.05</f>
        <v>3.76</v>
      </c>
      <c r="E201" s="15">
        <f>'BQ-YB'!E24</f>
        <v>3100000</v>
      </c>
      <c r="F201" s="12" t="str">
        <f>C201</f>
        <v>Ton</v>
      </c>
      <c r="G201" s="13">
        <f>E201*D201</f>
        <v>11656000</v>
      </c>
      <c r="H201" s="13"/>
      <c r="I201" s="24"/>
    </row>
    <row r="202" spans="1:11" ht="19" customHeight="1">
      <c r="A202" s="12"/>
      <c r="B202" s="14" t="s">
        <v>37</v>
      </c>
      <c r="C202" s="12" t="s">
        <v>15</v>
      </c>
      <c r="D202" s="66">
        <f>(D198+D197)*20*1.7</f>
        <v>188.36</v>
      </c>
      <c r="E202" s="15">
        <f>'BQ-YB'!E28</f>
        <v>3333</v>
      </c>
      <c r="F202" s="12" t="str">
        <f>C202</f>
        <v>Lb</v>
      </c>
      <c r="G202" s="13">
        <f>E202*D202</f>
        <v>627803.88</v>
      </c>
      <c r="H202" s="13"/>
      <c r="I202" s="24"/>
    </row>
    <row r="203" spans="1:11" s="285" customFormat="1" ht="19" customHeight="1">
      <c r="A203" s="279"/>
      <c r="B203" s="279" t="s">
        <v>22</v>
      </c>
      <c r="C203" s="279"/>
      <c r="D203" s="280"/>
      <c r="E203" s="281"/>
      <c r="F203" s="279"/>
      <c r="G203" s="282"/>
      <c r="H203" s="279"/>
      <c r="I203" s="331"/>
      <c r="J203" s="283"/>
      <c r="K203" s="284"/>
    </row>
    <row r="204" spans="1:11" s="285" customFormat="1" ht="19" customHeight="1">
      <c r="A204" s="279"/>
      <c r="B204" s="257" t="s">
        <v>364</v>
      </c>
      <c r="C204" s="301" t="s">
        <v>2</v>
      </c>
      <c r="D204" s="302">
        <f>D197*20*1+D198*20*1</f>
        <v>110.8</v>
      </c>
      <c r="E204" s="258">
        <f>'BQ-YB'!E42</f>
        <v>27000</v>
      </c>
      <c r="F204" s="301" t="str">
        <f>C204</f>
        <v>No</v>
      </c>
      <c r="G204" s="307"/>
      <c r="H204" s="307">
        <f>D204*E204</f>
        <v>2991600</v>
      </c>
      <c r="I204" s="331"/>
      <c r="J204" s="283"/>
      <c r="K204" s="284"/>
    </row>
    <row r="205" spans="1:11" s="285" customFormat="1" ht="19" customHeight="1">
      <c r="A205" s="279"/>
      <c r="B205" s="257" t="s">
        <v>29</v>
      </c>
      <c r="C205" s="301" t="s">
        <v>2</v>
      </c>
      <c r="D205" s="302">
        <f>D204</f>
        <v>110.8</v>
      </c>
      <c r="E205" s="258">
        <f>'BQ-YB'!E40</f>
        <v>20000</v>
      </c>
      <c r="F205" s="301" t="str">
        <f>C205</f>
        <v>No</v>
      </c>
      <c r="G205" s="307"/>
      <c r="H205" s="302">
        <f>D205*E205</f>
        <v>2216000</v>
      </c>
      <c r="I205" s="331"/>
      <c r="J205" s="283"/>
      <c r="K205" s="284"/>
    </row>
    <row r="206" spans="1:11" ht="19" customHeight="1">
      <c r="A206" s="12"/>
      <c r="B206" s="12"/>
      <c r="C206" s="12"/>
      <c r="D206" s="66"/>
      <c r="E206" s="15"/>
      <c r="F206" s="12"/>
      <c r="G206" s="318">
        <f>SUM(G200:G205)</f>
        <v>17536803.879999999</v>
      </c>
      <c r="H206" s="318">
        <f>SUM(H200:H205)</f>
        <v>5207600</v>
      </c>
      <c r="I206" s="24"/>
    </row>
    <row r="207" spans="1:11" ht="19" customHeight="1">
      <c r="A207" s="12"/>
      <c r="B207" s="12"/>
      <c r="C207" s="12"/>
      <c r="D207" s="66"/>
      <c r="E207" s="15"/>
      <c r="F207" s="12"/>
      <c r="G207" s="13"/>
      <c r="H207" s="13"/>
      <c r="I207" s="24"/>
    </row>
    <row r="208" spans="1:11" ht="19" customHeight="1">
      <c r="A208" s="12"/>
      <c r="B208" s="12"/>
      <c r="C208" s="12"/>
      <c r="D208" s="66"/>
      <c r="E208" s="15"/>
      <c r="F208" s="12"/>
      <c r="G208" s="13"/>
      <c r="H208" s="13"/>
      <c r="I208" s="24"/>
    </row>
    <row r="209" spans="1:11" ht="19" customHeight="1">
      <c r="A209" s="339">
        <v>11</v>
      </c>
      <c r="B209" s="424" t="s">
        <v>488</v>
      </c>
      <c r="C209" s="12" t="s">
        <v>2</v>
      </c>
      <c r="D209" s="66">
        <f>Detail!J884</f>
        <v>1167</v>
      </c>
      <c r="E209" s="15">
        <f>'BQ-YB'!E16</f>
        <v>8750</v>
      </c>
      <c r="F209" s="12" t="str">
        <f>C209</f>
        <v>No</v>
      </c>
      <c r="G209" s="26">
        <f>E209*D209</f>
        <v>10211250</v>
      </c>
      <c r="H209" s="13"/>
      <c r="I209" s="24"/>
    </row>
    <row r="210" spans="1:11" ht="19" customHeight="1">
      <c r="A210" s="12"/>
      <c r="B210" s="12"/>
      <c r="C210" s="12"/>
      <c r="D210" s="66"/>
      <c r="E210" s="15"/>
      <c r="F210" s="12"/>
      <c r="G210" s="318">
        <f>SUM(G209)</f>
        <v>10211250</v>
      </c>
      <c r="H210" s="13"/>
      <c r="I210" s="24"/>
    </row>
    <row r="211" spans="1:11" ht="19" customHeight="1">
      <c r="A211" s="12">
        <f>Detail!A886</f>
        <v>12</v>
      </c>
      <c r="B211" s="16" t="str">
        <f>Detail!B886</f>
        <v>RC Stair Work</v>
      </c>
      <c r="C211" s="12"/>
      <c r="D211" s="66"/>
      <c r="E211" s="15"/>
      <c r="F211" s="12"/>
      <c r="G211" s="18"/>
      <c r="H211" s="13"/>
      <c r="I211" s="24"/>
    </row>
    <row r="212" spans="1:11" ht="19" customHeight="1">
      <c r="A212" s="12"/>
      <c r="B212" s="16" t="str">
        <f>Detail!B887</f>
        <v>( a ) RC Concrete Work</v>
      </c>
      <c r="C212" s="32" t="str">
        <f>Detail!K894</f>
        <v>%Fc</v>
      </c>
      <c r="D212" s="66">
        <f>Detail!J894</f>
        <v>2.29</v>
      </c>
      <c r="E212" s="15"/>
      <c r="F212" s="12"/>
      <c r="G212" s="13"/>
      <c r="H212" s="13"/>
      <c r="I212" s="24"/>
    </row>
    <row r="213" spans="1:11" ht="19" customHeight="1">
      <c r="A213" s="12"/>
      <c r="B213" s="12" t="s">
        <v>26</v>
      </c>
      <c r="C213" s="12"/>
      <c r="D213" s="66"/>
      <c r="E213" s="15"/>
      <c r="F213" s="12"/>
      <c r="G213" s="13"/>
      <c r="H213" s="13"/>
      <c r="I213" s="24"/>
    </row>
    <row r="214" spans="1:11" ht="19" customHeight="1">
      <c r="A214" s="12"/>
      <c r="B214" s="14" t="s">
        <v>8</v>
      </c>
      <c r="C214" s="12" t="s">
        <v>9</v>
      </c>
      <c r="D214" s="66">
        <f>D212*2070/112</f>
        <v>42.32</v>
      </c>
      <c r="E214" s="15">
        <f>'BQ-YB'!E7</f>
        <v>25000</v>
      </c>
      <c r="F214" s="12" t="str">
        <f>C214</f>
        <v>Bag</v>
      </c>
      <c r="G214" s="13">
        <f>E214*D214</f>
        <v>1058000</v>
      </c>
      <c r="H214" s="13"/>
      <c r="I214" s="24"/>
    </row>
    <row r="215" spans="1:11" ht="19" customHeight="1">
      <c r="A215" s="12"/>
      <c r="B215" s="14" t="s">
        <v>36</v>
      </c>
      <c r="C215" s="12" t="s">
        <v>10</v>
      </c>
      <c r="D215" s="66">
        <f>D212*0.46</f>
        <v>1.05</v>
      </c>
      <c r="E215" s="15">
        <f>'BQ-YB'!E8</f>
        <v>50000</v>
      </c>
      <c r="F215" s="12" t="str">
        <f>C215</f>
        <v>Sud</v>
      </c>
      <c r="G215" s="13">
        <f>E215*D215</f>
        <v>52500</v>
      </c>
      <c r="H215" s="13"/>
      <c r="I215" s="24"/>
    </row>
    <row r="216" spans="1:11" ht="19" customHeight="1">
      <c r="A216" s="12"/>
      <c r="B216" s="14" t="s">
        <v>112</v>
      </c>
      <c r="C216" s="12" t="s">
        <v>10</v>
      </c>
      <c r="D216" s="66">
        <f>D212*0.92</f>
        <v>2.11</v>
      </c>
      <c r="E216" s="15">
        <f>'BQ-YB'!E11</f>
        <v>130000</v>
      </c>
      <c r="F216" s="12" t="str">
        <f>C216</f>
        <v>Sud</v>
      </c>
      <c r="G216" s="13">
        <f>E216*D216</f>
        <v>274300</v>
      </c>
      <c r="H216" s="13"/>
      <c r="I216" s="24"/>
    </row>
    <row r="217" spans="1:11" ht="19" customHeight="1">
      <c r="A217" s="12"/>
      <c r="B217" s="14" t="s">
        <v>45</v>
      </c>
      <c r="C217" s="12" t="s">
        <v>33</v>
      </c>
      <c r="D217" s="66">
        <f>D212*2</f>
        <v>4.58</v>
      </c>
      <c r="E217" s="15">
        <f>'BQ-YB'!E13</f>
        <v>20000</v>
      </c>
      <c r="F217" s="12" t="str">
        <f>C217</f>
        <v>Gal</v>
      </c>
      <c r="G217" s="13">
        <f>E217*D217</f>
        <v>91600</v>
      </c>
      <c r="H217" s="13"/>
      <c r="I217" s="24"/>
    </row>
    <row r="218" spans="1:11" ht="19" customHeight="1">
      <c r="A218" s="12"/>
      <c r="B218" s="14" t="s">
        <v>474</v>
      </c>
      <c r="C218" s="12" t="s">
        <v>473</v>
      </c>
      <c r="D218" s="66">
        <f>D214/2</f>
        <v>21.16</v>
      </c>
      <c r="E218" s="15">
        <f>'BQ-YB'!E15</f>
        <v>7000</v>
      </c>
      <c r="F218" s="12" t="str">
        <f>C218</f>
        <v>Lit</v>
      </c>
      <c r="G218" s="13">
        <f>E218*D218</f>
        <v>148120</v>
      </c>
      <c r="H218" s="13"/>
      <c r="I218" s="24"/>
    </row>
    <row r="219" spans="1:11" s="285" customFormat="1" ht="19" customHeight="1">
      <c r="A219" s="279"/>
      <c r="B219" s="279" t="s">
        <v>22</v>
      </c>
      <c r="C219" s="279"/>
      <c r="D219" s="280"/>
      <c r="E219" s="281"/>
      <c r="F219" s="279"/>
      <c r="G219" s="282"/>
      <c r="H219" s="279"/>
      <c r="I219" s="331"/>
      <c r="J219" s="283"/>
      <c r="K219" s="284"/>
    </row>
    <row r="220" spans="1:11" s="285" customFormat="1" ht="19" customHeight="1">
      <c r="A220" s="279"/>
      <c r="B220" s="257" t="s">
        <v>31</v>
      </c>
      <c r="C220" s="301" t="s">
        <v>2</v>
      </c>
      <c r="D220" s="302">
        <f>D212*2</f>
        <v>4.58</v>
      </c>
      <c r="E220" s="258">
        <f>'BQ-YB'!E38</f>
        <v>27000</v>
      </c>
      <c r="F220" s="301" t="str">
        <f>C220</f>
        <v>No</v>
      </c>
      <c r="G220" s="307"/>
      <c r="H220" s="307">
        <f>D220*E220</f>
        <v>123660</v>
      </c>
      <c r="I220" s="331"/>
      <c r="J220" s="283"/>
      <c r="K220" s="284"/>
    </row>
    <row r="221" spans="1:11" s="285" customFormat="1" ht="19" customHeight="1">
      <c r="A221" s="279"/>
      <c r="B221" s="257" t="s">
        <v>46</v>
      </c>
      <c r="C221" s="301" t="s">
        <v>2</v>
      </c>
      <c r="D221" s="302">
        <f>D212*0.5</f>
        <v>1.1499999999999999</v>
      </c>
      <c r="E221" s="258">
        <f>'BQ-YB'!E39</f>
        <v>27000</v>
      </c>
      <c r="F221" s="301" t="str">
        <f>C221</f>
        <v>No</v>
      </c>
      <c r="G221" s="307"/>
      <c r="H221" s="307">
        <f>D221*E221</f>
        <v>31050</v>
      </c>
      <c r="I221" s="331"/>
      <c r="J221" s="283"/>
      <c r="K221" s="284"/>
    </row>
    <row r="222" spans="1:11" s="285" customFormat="1" ht="19" customHeight="1">
      <c r="A222" s="279"/>
      <c r="B222" s="257" t="s">
        <v>29</v>
      </c>
      <c r="C222" s="301" t="s">
        <v>2</v>
      </c>
      <c r="D222" s="302">
        <f>D212*9</f>
        <v>20.61</v>
      </c>
      <c r="E222" s="258">
        <f>'BQ-YB'!E40</f>
        <v>20000</v>
      </c>
      <c r="F222" s="301" t="str">
        <f>C222</f>
        <v>No</v>
      </c>
      <c r="G222" s="307"/>
      <c r="H222" s="302">
        <f>D222*E222</f>
        <v>412200</v>
      </c>
      <c r="I222" s="331"/>
      <c r="J222" s="283"/>
      <c r="K222" s="284"/>
    </row>
    <row r="223" spans="1:11" ht="19" customHeight="1">
      <c r="A223" s="12"/>
      <c r="B223" s="12"/>
      <c r="C223" s="12"/>
      <c r="D223" s="66"/>
      <c r="E223" s="15"/>
      <c r="F223" s="12"/>
      <c r="G223" s="318">
        <f>SUM(G214:G222)</f>
        <v>1624520</v>
      </c>
      <c r="H223" s="318">
        <f>SUM(H214:H222)</f>
        <v>566910</v>
      </c>
      <c r="I223" s="24"/>
    </row>
    <row r="224" spans="1:11" ht="19" customHeight="1">
      <c r="A224" s="12"/>
      <c r="B224" s="16" t="str">
        <f>Detail!B895</f>
        <v>( b ) Formwork</v>
      </c>
      <c r="C224" s="32" t="str">
        <f>Detail!K902</f>
        <v>%Fs</v>
      </c>
      <c r="D224" s="66">
        <f>Detail!J902</f>
        <v>5.36</v>
      </c>
      <c r="E224" s="15"/>
      <c r="F224" s="12"/>
      <c r="G224" s="13"/>
      <c r="H224" s="13"/>
      <c r="I224" s="24"/>
    </row>
    <row r="225" spans="1:11" ht="19" customHeight="1">
      <c r="A225" s="12"/>
      <c r="B225" s="12" t="s">
        <v>26</v>
      </c>
      <c r="C225" s="12"/>
      <c r="D225" s="66"/>
      <c r="E225" s="15"/>
      <c r="F225" s="12"/>
      <c r="G225" s="13"/>
      <c r="H225" s="13"/>
      <c r="I225" s="24"/>
    </row>
    <row r="226" spans="1:11" ht="19" customHeight="1">
      <c r="A226" s="12"/>
      <c r="B226" s="14" t="s">
        <v>67</v>
      </c>
      <c r="C226" s="12" t="s">
        <v>14</v>
      </c>
      <c r="D226" s="66">
        <f>D224*20/50/3</f>
        <v>0.71</v>
      </c>
      <c r="E226" s="15">
        <f>'BQ-YB'!E18</f>
        <v>1500000</v>
      </c>
      <c r="F226" s="12" t="str">
        <f>C226</f>
        <v>Ton</v>
      </c>
      <c r="G226" s="13">
        <f>E226*D226</f>
        <v>1065000</v>
      </c>
      <c r="H226" s="13"/>
      <c r="I226" s="24"/>
    </row>
    <row r="227" spans="1:11" ht="19" customHeight="1">
      <c r="A227" s="12"/>
      <c r="B227" s="14" t="s">
        <v>80</v>
      </c>
      <c r="C227" s="124" t="s">
        <v>13</v>
      </c>
      <c r="D227" s="66">
        <f>D224/0.32/3*1.15</f>
        <v>6.42</v>
      </c>
      <c r="E227" s="15">
        <f>'BQ-YB'!E17</f>
        <v>75000</v>
      </c>
      <c r="F227" s="12" t="str">
        <f>C227</f>
        <v>Sht</v>
      </c>
      <c r="G227" s="13">
        <f>E227*D227</f>
        <v>481500</v>
      </c>
      <c r="H227" s="13"/>
      <c r="I227" s="24"/>
    </row>
    <row r="228" spans="1:11" ht="19" customHeight="1">
      <c r="A228" s="12"/>
      <c r="B228" s="14" t="s">
        <v>47</v>
      </c>
      <c r="C228" s="12" t="s">
        <v>15</v>
      </c>
      <c r="D228" s="66">
        <f>D224*3*1.7</f>
        <v>27.34</v>
      </c>
      <c r="E228" s="15">
        <f>'BQ-YB'!E20</f>
        <v>3333</v>
      </c>
      <c r="F228" s="12" t="str">
        <f>C228</f>
        <v>Lb</v>
      </c>
      <c r="G228" s="13">
        <f>E228*D228</f>
        <v>91124.22</v>
      </c>
      <c r="H228" s="13"/>
      <c r="I228" s="24"/>
    </row>
    <row r="229" spans="1:11" s="285" customFormat="1" ht="19.5" customHeight="1">
      <c r="A229" s="279"/>
      <c r="B229" s="279" t="s">
        <v>22</v>
      </c>
      <c r="C229" s="279"/>
      <c r="D229" s="280"/>
      <c r="E229" s="281"/>
      <c r="F229" s="279"/>
      <c r="G229" s="282"/>
      <c r="H229" s="279"/>
      <c r="I229" s="331"/>
      <c r="J229" s="283"/>
      <c r="K229" s="284"/>
    </row>
    <row r="230" spans="1:11" s="285" customFormat="1" ht="19.5" customHeight="1">
      <c r="A230" s="279"/>
      <c r="B230" s="257" t="s">
        <v>30</v>
      </c>
      <c r="C230" s="301" t="s">
        <v>2</v>
      </c>
      <c r="D230" s="302">
        <f>D224*4</f>
        <v>21.44</v>
      </c>
      <c r="E230" s="258">
        <f>'BQ-YB'!E43</f>
        <v>27000</v>
      </c>
      <c r="F230" s="301" t="str">
        <f>C230</f>
        <v>No</v>
      </c>
      <c r="G230" s="307"/>
      <c r="H230" s="307">
        <f>D230*E230</f>
        <v>578880</v>
      </c>
      <c r="I230" s="331"/>
      <c r="J230" s="283"/>
      <c r="K230" s="284"/>
    </row>
    <row r="231" spans="1:11" s="285" customFormat="1" ht="19.5" customHeight="1">
      <c r="A231" s="279"/>
      <c r="B231" s="257" t="s">
        <v>29</v>
      </c>
      <c r="C231" s="301" t="s">
        <v>2</v>
      </c>
      <c r="D231" s="302">
        <f>D224*2</f>
        <v>10.72</v>
      </c>
      <c r="E231" s="258">
        <f>'BQ-YB'!E40</f>
        <v>20000</v>
      </c>
      <c r="F231" s="301" t="str">
        <f>C231</f>
        <v>No</v>
      </c>
      <c r="G231" s="307"/>
      <c r="H231" s="302">
        <f>D231*E231</f>
        <v>214400</v>
      </c>
      <c r="I231" s="331"/>
      <c r="J231" s="283"/>
      <c r="K231" s="284"/>
    </row>
    <row r="232" spans="1:11" s="285" customFormat="1" ht="19.5" customHeight="1">
      <c r="A232" s="279"/>
      <c r="B232" s="257" t="s">
        <v>367</v>
      </c>
      <c r="C232" s="301" t="s">
        <v>2</v>
      </c>
      <c r="D232" s="302">
        <f>D230/3</f>
        <v>7.15</v>
      </c>
      <c r="E232" s="258">
        <f>'BQ-YB'!E44</f>
        <v>27000</v>
      </c>
      <c r="F232" s="301" t="str">
        <f>C232</f>
        <v>No</v>
      </c>
      <c r="G232" s="307"/>
      <c r="H232" s="307">
        <f>D232*E232</f>
        <v>193050</v>
      </c>
      <c r="I232" s="331"/>
      <c r="J232" s="283"/>
      <c r="K232" s="284"/>
    </row>
    <row r="233" spans="1:11" s="285" customFormat="1" ht="19.5" customHeight="1">
      <c r="A233" s="279"/>
      <c r="B233" s="257" t="s">
        <v>368</v>
      </c>
      <c r="C233" s="301" t="s">
        <v>2</v>
      </c>
      <c r="D233" s="302">
        <f>D231/3</f>
        <v>3.57</v>
      </c>
      <c r="E233" s="258">
        <f>'BQ-YB'!E40</f>
        <v>20000</v>
      </c>
      <c r="F233" s="301" t="str">
        <f>C233</f>
        <v>No</v>
      </c>
      <c r="G233" s="307"/>
      <c r="H233" s="302">
        <f>D233*E233</f>
        <v>71400</v>
      </c>
      <c r="I233" s="331"/>
      <c r="J233" s="283"/>
      <c r="K233" s="284"/>
    </row>
    <row r="234" spans="1:11" ht="20.149999999999999" customHeight="1">
      <c r="A234" s="12"/>
      <c r="B234" s="12"/>
      <c r="C234" s="12"/>
      <c r="D234" s="66"/>
      <c r="E234" s="15"/>
      <c r="F234" s="12"/>
      <c r="G234" s="318">
        <f>SUM(G226:G233)</f>
        <v>1637624.22</v>
      </c>
      <c r="H234" s="318">
        <f>SUM(H226:H233)</f>
        <v>1057730</v>
      </c>
      <c r="I234" s="24"/>
    </row>
    <row r="235" spans="1:11" ht="19" customHeight="1">
      <c r="A235" s="12"/>
      <c r="B235" s="16" t="str">
        <f>Detail!B903</f>
        <v>( c ) Re bar Work</v>
      </c>
      <c r="C235" s="12" t="s">
        <v>14</v>
      </c>
      <c r="D235" s="66">
        <f>SUM(D236:D239)</f>
        <v>0.69</v>
      </c>
      <c r="E235" s="15"/>
      <c r="F235" s="12"/>
      <c r="G235" s="13"/>
      <c r="H235" s="13"/>
      <c r="I235" s="24"/>
    </row>
    <row r="236" spans="1:11" ht="19" customHeight="1">
      <c r="A236" s="12"/>
      <c r="B236" s="14" t="s">
        <v>163</v>
      </c>
      <c r="C236" s="12" t="s">
        <v>14</v>
      </c>
      <c r="D236" s="66">
        <f>Detail!G927</f>
        <v>0.06</v>
      </c>
      <c r="E236" s="15"/>
      <c r="F236" s="12"/>
      <c r="G236" s="13"/>
      <c r="H236" s="13"/>
      <c r="I236" s="24"/>
    </row>
    <row r="237" spans="1:11" ht="19" customHeight="1">
      <c r="A237" s="12"/>
      <c r="B237" s="14" t="s">
        <v>186</v>
      </c>
      <c r="C237" s="12" t="s">
        <v>14</v>
      </c>
      <c r="D237" s="66">
        <f>Detail!H927</f>
        <v>0.37</v>
      </c>
      <c r="E237" s="15"/>
      <c r="F237" s="12"/>
      <c r="G237" s="13"/>
      <c r="H237" s="13"/>
      <c r="I237" s="24"/>
    </row>
    <row r="238" spans="1:11" ht="19" customHeight="1">
      <c r="A238" s="12"/>
      <c r="B238" s="111" t="str">
        <f>Detail!I926</f>
        <v>10Ø</v>
      </c>
      <c r="C238" s="12" t="s">
        <v>14</v>
      </c>
      <c r="D238" s="66">
        <f>Detail!I927</f>
        <v>0.26</v>
      </c>
      <c r="E238" s="15"/>
      <c r="F238" s="12"/>
      <c r="G238" s="13"/>
      <c r="H238" s="13"/>
      <c r="I238" s="24"/>
    </row>
    <row r="239" spans="1:11" ht="19" customHeight="1">
      <c r="A239" s="12"/>
      <c r="B239" s="14" t="s">
        <v>194</v>
      </c>
      <c r="C239" s="12" t="s">
        <v>14</v>
      </c>
      <c r="D239" s="66">
        <f>Detail!J927</f>
        <v>0</v>
      </c>
      <c r="E239" s="15"/>
      <c r="F239" s="12"/>
      <c r="G239" s="13"/>
      <c r="H239" s="13"/>
      <c r="I239" s="24"/>
    </row>
    <row r="240" spans="1:11" ht="19" customHeight="1">
      <c r="A240" s="12"/>
      <c r="B240" s="12" t="s">
        <v>26</v>
      </c>
      <c r="C240" s="12"/>
      <c r="D240" s="66"/>
      <c r="E240" s="15"/>
      <c r="F240" s="12"/>
      <c r="G240" s="13"/>
      <c r="H240" s="13"/>
      <c r="I240" s="24"/>
    </row>
    <row r="241" spans="1:11" ht="19" customHeight="1">
      <c r="A241" s="12"/>
      <c r="B241" s="14" t="s">
        <v>356</v>
      </c>
      <c r="C241" s="12" t="s">
        <v>14</v>
      </c>
      <c r="D241" s="66">
        <f>D236*1.05</f>
        <v>0.06</v>
      </c>
      <c r="E241" s="15">
        <f>'BQ-YB'!E26</f>
        <v>2980000</v>
      </c>
      <c r="F241" s="12" t="str">
        <f>C241</f>
        <v>Ton</v>
      </c>
      <c r="G241" s="13">
        <f>E241*D241</f>
        <v>178800</v>
      </c>
      <c r="H241" s="13"/>
      <c r="I241" s="24"/>
    </row>
    <row r="242" spans="1:11" ht="19" customHeight="1">
      <c r="A242" s="12"/>
      <c r="B242" s="14" t="s">
        <v>360</v>
      </c>
      <c r="C242" s="12" t="s">
        <v>14</v>
      </c>
      <c r="D242" s="66">
        <f>D237*1.05</f>
        <v>0.39</v>
      </c>
      <c r="E242" s="15">
        <f>'BQ-YB'!E25</f>
        <v>2550000</v>
      </c>
      <c r="F242" s="12" t="str">
        <f>C242</f>
        <v>Ton</v>
      </c>
      <c r="G242" s="13">
        <f>E242*D242</f>
        <v>994500</v>
      </c>
      <c r="H242" s="13"/>
      <c r="I242" s="24"/>
    </row>
    <row r="243" spans="1:11" ht="19" customHeight="1">
      <c r="A243" s="12"/>
      <c r="B243" s="14" t="s">
        <v>357</v>
      </c>
      <c r="C243" s="12" t="s">
        <v>14</v>
      </c>
      <c r="D243" s="66">
        <f>D238*1.05</f>
        <v>0.27</v>
      </c>
      <c r="E243" s="15">
        <f>'BQ-YB'!E24</f>
        <v>3100000</v>
      </c>
      <c r="F243" s="12" t="str">
        <f>C243</f>
        <v>Ton</v>
      </c>
      <c r="G243" s="13">
        <f>E243*D243</f>
        <v>837000</v>
      </c>
      <c r="H243" s="13"/>
      <c r="I243" s="24"/>
    </row>
    <row r="244" spans="1:11" ht="19" customHeight="1">
      <c r="A244" s="12"/>
      <c r="B244" s="14" t="s">
        <v>87</v>
      </c>
      <c r="C244" s="12" t="s">
        <v>14</v>
      </c>
      <c r="D244" s="66">
        <f>D239*1.05</f>
        <v>0</v>
      </c>
      <c r="E244" s="15">
        <f>'BQ-YB'!E22</f>
        <v>2800000</v>
      </c>
      <c r="F244" s="12" t="str">
        <f>C244</f>
        <v>Ton</v>
      </c>
      <c r="G244" s="13">
        <f>E244*D244</f>
        <v>0</v>
      </c>
      <c r="H244" s="13"/>
      <c r="I244" s="24"/>
    </row>
    <row r="245" spans="1:11" ht="19" customHeight="1">
      <c r="A245" s="12"/>
      <c r="B245" s="14" t="s">
        <v>37</v>
      </c>
      <c r="C245" s="12" t="s">
        <v>15</v>
      </c>
      <c r="D245" s="66">
        <f>D235*20*1.7</f>
        <v>23.46</v>
      </c>
      <c r="E245" s="15">
        <f>'BQ-YB'!E28</f>
        <v>3333</v>
      </c>
      <c r="F245" s="12" t="str">
        <f>C245</f>
        <v>Lb</v>
      </c>
      <c r="G245" s="13">
        <f>E245*D245</f>
        <v>78192.179999999993</v>
      </c>
      <c r="H245" s="13"/>
      <c r="I245" s="24"/>
    </row>
    <row r="246" spans="1:11" s="285" customFormat="1" ht="19" customHeight="1">
      <c r="A246" s="279"/>
      <c r="B246" s="279" t="s">
        <v>22</v>
      </c>
      <c r="C246" s="279"/>
      <c r="D246" s="280"/>
      <c r="E246" s="281"/>
      <c r="F246" s="279"/>
      <c r="G246" s="282"/>
      <c r="H246" s="279"/>
      <c r="I246" s="331"/>
      <c r="J246" s="283"/>
      <c r="K246" s="284"/>
    </row>
    <row r="247" spans="1:11" s="285" customFormat="1" ht="19" customHeight="1">
      <c r="A247" s="279"/>
      <c r="B247" s="257" t="s">
        <v>364</v>
      </c>
      <c r="C247" s="301" t="s">
        <v>2</v>
      </c>
      <c r="D247" s="302">
        <f>D241*20*1+D242*20*1.5+D243*20*1.5+D244*20*2</f>
        <v>21</v>
      </c>
      <c r="E247" s="258">
        <f>'BQ-YB'!E42</f>
        <v>27000</v>
      </c>
      <c r="F247" s="301" t="str">
        <f>C247</f>
        <v>No</v>
      </c>
      <c r="G247" s="307"/>
      <c r="H247" s="307">
        <f>D247*E247</f>
        <v>567000</v>
      </c>
      <c r="I247" s="331"/>
      <c r="J247" s="283"/>
      <c r="K247" s="284"/>
    </row>
    <row r="248" spans="1:11" s="285" customFormat="1" ht="19" customHeight="1">
      <c r="A248" s="279"/>
      <c r="B248" s="257" t="s">
        <v>29</v>
      </c>
      <c r="C248" s="301" t="s">
        <v>2</v>
      </c>
      <c r="D248" s="302">
        <f>D247</f>
        <v>21</v>
      </c>
      <c r="E248" s="258">
        <f>'BQ-YB'!E40</f>
        <v>20000</v>
      </c>
      <c r="F248" s="301" t="str">
        <f>C248</f>
        <v>No</v>
      </c>
      <c r="G248" s="307"/>
      <c r="H248" s="302">
        <f>D248*E248</f>
        <v>420000</v>
      </c>
      <c r="I248" s="331"/>
      <c r="J248" s="283"/>
      <c r="K248" s="284"/>
    </row>
    <row r="249" spans="1:11" ht="19" customHeight="1">
      <c r="A249" s="12"/>
      <c r="B249" s="12"/>
      <c r="C249" s="12"/>
      <c r="D249" s="66"/>
      <c r="E249" s="15"/>
      <c r="F249" s="12"/>
      <c r="G249" s="318">
        <f>SUM(G241:G248)</f>
        <v>2088492.18</v>
      </c>
      <c r="H249" s="318">
        <f>SUM(H241:H248)</f>
        <v>987000</v>
      </c>
      <c r="I249" s="24"/>
    </row>
    <row r="250" spans="1:11" ht="19" customHeight="1">
      <c r="A250" s="12"/>
      <c r="B250" s="12"/>
      <c r="C250" s="12"/>
      <c r="D250" s="66"/>
      <c r="E250" s="15"/>
      <c r="F250" s="12"/>
      <c r="G250" s="13"/>
      <c r="H250" s="13"/>
      <c r="I250" s="24"/>
    </row>
    <row r="251" spans="1:11" ht="19" customHeight="1">
      <c r="A251" s="12">
        <v>13</v>
      </c>
      <c r="B251" s="16" t="s">
        <v>468</v>
      </c>
      <c r="C251" s="12"/>
      <c r="D251" s="66"/>
      <c r="E251" s="15"/>
      <c r="F251" s="12"/>
      <c r="G251" s="13"/>
      <c r="H251" s="13"/>
      <c r="I251" s="24"/>
    </row>
    <row r="252" spans="1:11" ht="19" customHeight="1">
      <c r="A252" s="12"/>
      <c r="B252" s="14" t="s">
        <v>437</v>
      </c>
      <c r="C252" s="12" t="s">
        <v>28</v>
      </c>
      <c r="D252" s="66">
        <f>Detail!J317+Detail!J679+Detail!J893/2</f>
        <v>769.34</v>
      </c>
      <c r="E252" s="15"/>
      <c r="F252" s="12"/>
      <c r="G252" s="13"/>
      <c r="H252" s="13"/>
      <c r="I252" s="24"/>
    </row>
    <row r="253" spans="1:11" ht="19" customHeight="1">
      <c r="A253" s="12"/>
      <c r="B253" s="14" t="s">
        <v>440</v>
      </c>
      <c r="C253" s="12" t="s">
        <v>439</v>
      </c>
      <c r="D253" s="66">
        <f>D252/35.32</f>
        <v>21.78</v>
      </c>
      <c r="E253" s="15">
        <f>'BQ-YB'!E54</f>
        <v>0</v>
      </c>
      <c r="F253" s="12" t="s">
        <v>439</v>
      </c>
      <c r="G253" s="13"/>
      <c r="H253" s="13"/>
      <c r="I253" s="371">
        <f>'BQ-YB'!G54</f>
        <v>1600000</v>
      </c>
    </row>
    <row r="254" spans="1:11" ht="19" customHeight="1">
      <c r="A254" s="12"/>
      <c r="B254" s="14"/>
      <c r="C254" s="12"/>
      <c r="D254" s="66"/>
      <c r="E254" s="15"/>
      <c r="F254" s="12"/>
      <c r="G254" s="13"/>
      <c r="H254" s="13"/>
      <c r="I254" s="24"/>
    </row>
    <row r="255" spans="1:11" ht="19" customHeight="1">
      <c r="A255" s="12"/>
      <c r="B255" s="14" t="s">
        <v>438</v>
      </c>
      <c r="C255" s="12" t="s">
        <v>28</v>
      </c>
      <c r="D255" s="66">
        <f>Detail!J331+Detail!J689+Detail!J893/2</f>
        <v>770.78</v>
      </c>
      <c r="E255" s="15"/>
      <c r="F255" s="12"/>
      <c r="G255" s="13"/>
      <c r="H255" s="13"/>
      <c r="I255" s="24"/>
    </row>
    <row r="256" spans="1:11" ht="19" customHeight="1">
      <c r="A256" s="12"/>
      <c r="B256" s="14" t="s">
        <v>441</v>
      </c>
      <c r="C256" s="12" t="s">
        <v>439</v>
      </c>
      <c r="D256" s="66">
        <f>D255/35.32</f>
        <v>21.82</v>
      </c>
      <c r="E256" s="15">
        <f>'BQ-YB'!E55</f>
        <v>0</v>
      </c>
      <c r="F256" s="12" t="s">
        <v>439</v>
      </c>
      <c r="G256" s="13"/>
      <c r="H256" s="13"/>
      <c r="I256" s="371">
        <f>'BQ-YB'!G55</f>
        <v>1800000</v>
      </c>
    </row>
    <row r="257" spans="1:11" ht="19" customHeight="1">
      <c r="A257" s="12"/>
      <c r="B257" s="14"/>
      <c r="C257" s="12"/>
      <c r="D257" s="66"/>
      <c r="E257" s="15"/>
      <c r="F257" s="12"/>
      <c r="G257" s="13"/>
      <c r="H257" s="13"/>
      <c r="I257" s="24"/>
    </row>
    <row r="258" spans="1:11" ht="19" customHeight="1">
      <c r="A258" s="12"/>
      <c r="B258" s="14" t="s">
        <v>436</v>
      </c>
      <c r="C258" s="12" t="s">
        <v>28</v>
      </c>
      <c r="D258" s="66">
        <f>Detail!J347+Detail!J697</f>
        <v>542.74</v>
      </c>
      <c r="E258" s="15"/>
      <c r="F258" s="12"/>
      <c r="G258" s="13"/>
      <c r="H258" s="13"/>
      <c r="I258" s="24"/>
    </row>
    <row r="259" spans="1:11" ht="19" customHeight="1">
      <c r="A259" s="12"/>
      <c r="B259" s="14" t="s">
        <v>442</v>
      </c>
      <c r="C259" s="12" t="s">
        <v>439</v>
      </c>
      <c r="D259" s="66">
        <f>D258/35.32</f>
        <v>15.37</v>
      </c>
      <c r="E259" s="15">
        <f>'BQ-YB'!E56</f>
        <v>0</v>
      </c>
      <c r="F259" s="12" t="s">
        <v>439</v>
      </c>
      <c r="G259" s="13"/>
      <c r="H259" s="13"/>
      <c r="I259" s="371">
        <f>'BQ-YB'!G56</f>
        <v>2000000</v>
      </c>
    </row>
    <row r="260" spans="1:11" ht="19" customHeight="1">
      <c r="A260" s="12"/>
      <c r="B260" s="12"/>
      <c r="C260" s="12"/>
      <c r="D260" s="66"/>
      <c r="E260" s="15"/>
      <c r="F260" s="12"/>
      <c r="G260" s="13"/>
      <c r="H260" s="13"/>
      <c r="I260" s="338">
        <f>SUM(I253:I259)</f>
        <v>5400000</v>
      </c>
    </row>
    <row r="261" spans="1:11" ht="19" customHeight="1">
      <c r="A261" s="12"/>
      <c r="B261" s="12"/>
      <c r="C261" s="12"/>
      <c r="D261" s="66"/>
      <c r="E261" s="15"/>
      <c r="F261" s="12"/>
      <c r="G261" s="13"/>
      <c r="H261" s="13"/>
      <c r="I261" s="376"/>
    </row>
    <row r="262" spans="1:11" ht="20.149999999999999" customHeight="1">
      <c r="A262" s="12">
        <v>14</v>
      </c>
      <c r="B262" s="16" t="str">
        <f>Detail!B930</f>
        <v>( a ) 4½" Thk; Brick Walling Work</v>
      </c>
      <c r="C262" s="32" t="str">
        <f>Detail!K1052</f>
        <v>%Fs</v>
      </c>
      <c r="D262" s="66">
        <f>Detail!J1052</f>
        <v>50.2</v>
      </c>
      <c r="E262" s="15"/>
      <c r="F262" s="12"/>
      <c r="G262" s="13"/>
      <c r="H262" s="13"/>
      <c r="I262" s="24"/>
    </row>
    <row r="263" spans="1:11" ht="20.149999999999999" customHeight="1">
      <c r="A263" s="12"/>
      <c r="B263" s="98" t="s">
        <v>26</v>
      </c>
      <c r="C263" s="93"/>
      <c r="D263" s="112"/>
      <c r="E263" s="15"/>
      <c r="F263" s="12"/>
      <c r="G263" s="13"/>
      <c r="H263" s="13"/>
      <c r="I263" s="24"/>
    </row>
    <row r="264" spans="1:11" ht="20.149999999999999" customHeight="1">
      <c r="A264" s="12"/>
      <c r="B264" s="95" t="s">
        <v>8</v>
      </c>
      <c r="C264" s="96" t="s">
        <v>9</v>
      </c>
      <c r="D264" s="97">
        <f>D262*297/112</f>
        <v>133.12</v>
      </c>
      <c r="E264" s="15">
        <f>'BQ-YB'!E7</f>
        <v>25000</v>
      </c>
      <c r="F264" s="32" t="str">
        <f>C264</f>
        <v>Bag</v>
      </c>
      <c r="G264" s="13">
        <f>D264*E264</f>
        <v>3328000</v>
      </c>
      <c r="H264" s="13"/>
      <c r="I264" s="24"/>
    </row>
    <row r="265" spans="1:11" ht="20.149999999999999" customHeight="1">
      <c r="A265" s="12"/>
      <c r="B265" s="95" t="s">
        <v>36</v>
      </c>
      <c r="C265" s="96" t="s">
        <v>10</v>
      </c>
      <c r="D265" s="97">
        <f>(D262*10/100)</f>
        <v>5.0199999999999996</v>
      </c>
      <c r="E265" s="15">
        <f>'BQ-YB'!E8</f>
        <v>50000</v>
      </c>
      <c r="F265" s="32" t="str">
        <f>C265</f>
        <v>Sud</v>
      </c>
      <c r="G265" s="13">
        <f>D265*E265</f>
        <v>251000</v>
      </c>
      <c r="H265" s="13"/>
      <c r="I265" s="24"/>
    </row>
    <row r="266" spans="1:11" ht="20.149999999999999" customHeight="1">
      <c r="A266" s="12"/>
      <c r="B266" s="95" t="s">
        <v>11</v>
      </c>
      <c r="C266" s="96" t="s">
        <v>2</v>
      </c>
      <c r="D266" s="97">
        <f>D262*550</f>
        <v>27610</v>
      </c>
      <c r="E266" s="15">
        <f>'BQ-YB'!E10</f>
        <v>500</v>
      </c>
      <c r="F266" s="32" t="str">
        <f>C266</f>
        <v>No</v>
      </c>
      <c r="G266" s="13">
        <f>D266*E266</f>
        <v>13805000</v>
      </c>
      <c r="H266" s="13"/>
      <c r="I266" s="371"/>
    </row>
    <row r="267" spans="1:11" ht="20.149999999999999" customHeight="1">
      <c r="A267" s="12"/>
      <c r="B267" s="95" t="s">
        <v>105</v>
      </c>
      <c r="C267" s="96" t="s">
        <v>34</v>
      </c>
      <c r="D267" s="97">
        <f>D262*115</f>
        <v>5773</v>
      </c>
      <c r="E267" s="15">
        <f>'BQ-YB'!E31</f>
        <v>170</v>
      </c>
      <c r="F267" s="32" t="str">
        <f>C267</f>
        <v>Fr</v>
      </c>
      <c r="G267" s="13">
        <f>D267*E267</f>
        <v>981410</v>
      </c>
      <c r="H267" s="13"/>
      <c r="I267" s="24"/>
    </row>
    <row r="268" spans="1:11" s="285" customFormat="1" ht="20.149999999999999" customHeight="1">
      <c r="A268" s="279"/>
      <c r="B268" s="279" t="s">
        <v>22</v>
      </c>
      <c r="C268" s="279"/>
      <c r="D268" s="280"/>
      <c r="E268" s="281"/>
      <c r="F268" s="279"/>
      <c r="G268" s="282"/>
      <c r="H268" s="279"/>
      <c r="I268" s="331"/>
      <c r="J268" s="283"/>
      <c r="K268" s="284"/>
    </row>
    <row r="269" spans="1:11" s="285" customFormat="1" ht="20.149999999999999" customHeight="1">
      <c r="A269" s="279"/>
      <c r="B269" s="257" t="s">
        <v>31</v>
      </c>
      <c r="C269" s="301" t="s">
        <v>2</v>
      </c>
      <c r="D269" s="302">
        <f>D262*2</f>
        <v>100.4</v>
      </c>
      <c r="E269" s="258">
        <f>'BQ-YB'!E38</f>
        <v>27000</v>
      </c>
      <c r="F269" s="301" t="str">
        <f>C269</f>
        <v>No</v>
      </c>
      <c r="G269" s="307"/>
      <c r="H269" s="307">
        <f>D269*E269</f>
        <v>2710800</v>
      </c>
      <c r="I269" s="331"/>
      <c r="J269" s="283"/>
      <c r="K269" s="284"/>
    </row>
    <row r="270" spans="1:11" s="285" customFormat="1" ht="20.149999999999999" customHeight="1">
      <c r="A270" s="279"/>
      <c r="B270" s="257" t="s">
        <v>29</v>
      </c>
      <c r="C270" s="301" t="s">
        <v>2</v>
      </c>
      <c r="D270" s="302">
        <f>D262*3</f>
        <v>150.6</v>
      </c>
      <c r="E270" s="258">
        <f>'BQ-YB'!E40</f>
        <v>20000</v>
      </c>
      <c r="F270" s="301" t="str">
        <f>C270</f>
        <v>No</v>
      </c>
      <c r="G270" s="307"/>
      <c r="H270" s="302">
        <f>D270*E270</f>
        <v>3012000</v>
      </c>
      <c r="I270" s="331"/>
      <c r="J270" s="283"/>
      <c r="K270" s="284"/>
    </row>
    <row r="271" spans="1:11" ht="20.149999999999999" customHeight="1">
      <c r="A271" s="12"/>
      <c r="B271" s="95"/>
      <c r="C271" s="96"/>
      <c r="D271" s="97"/>
      <c r="E271" s="15"/>
      <c r="F271" s="12"/>
      <c r="G271" s="318">
        <f>SUM(G264:G270)</f>
        <v>18365410</v>
      </c>
      <c r="H271" s="318">
        <f>SUM(H264:H270)</f>
        <v>5722800</v>
      </c>
      <c r="I271" s="24"/>
    </row>
    <row r="272" spans="1:11" ht="20.149999999999999" customHeight="1">
      <c r="A272" s="12"/>
      <c r="B272" s="95"/>
      <c r="C272" s="96"/>
      <c r="D272" s="97"/>
      <c r="E272" s="15"/>
      <c r="F272" s="12"/>
      <c r="G272" s="13"/>
      <c r="H272" s="13"/>
      <c r="I272" s="24"/>
    </row>
    <row r="273" spans="1:11" ht="20.149999999999999" customHeight="1">
      <c r="A273" s="12">
        <v>15</v>
      </c>
      <c r="B273" s="113" t="str">
        <f>Detail!B1055</f>
        <v>Lintel &amp; Stiffener Work</v>
      </c>
      <c r="C273" s="96"/>
      <c r="D273" s="97"/>
      <c r="E273" s="15"/>
      <c r="F273" s="12"/>
      <c r="G273" s="13"/>
      <c r="H273" s="13"/>
      <c r="I273" s="24"/>
    </row>
    <row r="274" spans="1:11" ht="20.149999999999999" customHeight="1">
      <c r="A274" s="12"/>
      <c r="B274" s="113" t="str">
        <f>Detail!B1056</f>
        <v>( a ) (1:2:4) R.C Concrete Work</v>
      </c>
      <c r="C274" s="96" t="str">
        <f>Detail!K1078</f>
        <v>%Fc</v>
      </c>
      <c r="D274" s="97">
        <f>Detail!J1078</f>
        <v>1.98</v>
      </c>
      <c r="E274" s="15"/>
      <c r="F274" s="12"/>
      <c r="G274" s="13"/>
      <c r="H274" s="13"/>
      <c r="I274" s="24"/>
    </row>
    <row r="275" spans="1:11" ht="21" customHeight="1">
      <c r="A275" s="12"/>
      <c r="B275" s="12" t="s">
        <v>26</v>
      </c>
      <c r="C275" s="12"/>
      <c r="D275" s="66"/>
      <c r="E275" s="15"/>
      <c r="F275" s="12"/>
      <c r="G275" s="13"/>
      <c r="H275" s="13"/>
      <c r="I275" s="24"/>
    </row>
    <row r="276" spans="1:11" ht="21" customHeight="1">
      <c r="A276" s="12"/>
      <c r="B276" s="14" t="s">
        <v>8</v>
      </c>
      <c r="C276" s="12" t="s">
        <v>9</v>
      </c>
      <c r="D276" s="66">
        <f>D274*2070/112</f>
        <v>36.590000000000003</v>
      </c>
      <c r="E276" s="15">
        <f>'BQ-YB'!E7</f>
        <v>25000</v>
      </c>
      <c r="F276" s="12" t="str">
        <f>C276</f>
        <v>Bag</v>
      </c>
      <c r="G276" s="13">
        <f>E276*D276</f>
        <v>914750</v>
      </c>
      <c r="H276" s="13"/>
      <c r="I276" s="24"/>
    </row>
    <row r="277" spans="1:11" ht="21" customHeight="1">
      <c r="A277" s="12"/>
      <c r="B277" s="14" t="s">
        <v>36</v>
      </c>
      <c r="C277" s="12" t="s">
        <v>10</v>
      </c>
      <c r="D277" s="66">
        <f>D274*0.46</f>
        <v>0.91</v>
      </c>
      <c r="E277" s="15">
        <f>'BQ-YB'!E8</f>
        <v>50000</v>
      </c>
      <c r="F277" s="12" t="str">
        <f>C277</f>
        <v>Sud</v>
      </c>
      <c r="G277" s="13">
        <f>E277*D277</f>
        <v>45500</v>
      </c>
      <c r="H277" s="13"/>
      <c r="I277" s="24"/>
    </row>
    <row r="278" spans="1:11" ht="21" customHeight="1">
      <c r="A278" s="12"/>
      <c r="B278" s="14" t="s">
        <v>112</v>
      </c>
      <c r="C278" s="12" t="s">
        <v>10</v>
      </c>
      <c r="D278" s="66">
        <f>D274*0.92</f>
        <v>1.82</v>
      </c>
      <c r="E278" s="15">
        <f>'BQ-YB'!E11</f>
        <v>130000</v>
      </c>
      <c r="F278" s="12" t="str">
        <f>C278</f>
        <v>Sud</v>
      </c>
      <c r="G278" s="13">
        <f>E278*D278</f>
        <v>236600</v>
      </c>
      <c r="H278" s="13"/>
      <c r="I278" s="24"/>
    </row>
    <row r="279" spans="1:11" ht="21" customHeight="1">
      <c r="A279" s="12"/>
      <c r="B279" s="14" t="s">
        <v>45</v>
      </c>
      <c r="C279" s="12" t="s">
        <v>33</v>
      </c>
      <c r="D279" s="66">
        <f>D274*2</f>
        <v>3.96</v>
      </c>
      <c r="E279" s="15">
        <f>'BQ-YB'!E13</f>
        <v>20000</v>
      </c>
      <c r="F279" s="12" t="str">
        <f>C279</f>
        <v>Gal</v>
      </c>
      <c r="G279" s="13">
        <f>E279*D279</f>
        <v>79200</v>
      </c>
      <c r="H279" s="13"/>
      <c r="I279" s="24"/>
    </row>
    <row r="280" spans="1:11" s="285" customFormat="1" ht="19" customHeight="1">
      <c r="A280" s="279"/>
      <c r="B280" s="279" t="s">
        <v>22</v>
      </c>
      <c r="C280" s="279"/>
      <c r="D280" s="280"/>
      <c r="E280" s="281"/>
      <c r="F280" s="279"/>
      <c r="G280" s="282"/>
      <c r="H280" s="279"/>
      <c r="I280" s="331"/>
      <c r="J280" s="283"/>
      <c r="K280" s="284"/>
    </row>
    <row r="281" spans="1:11" s="285" customFormat="1" ht="19" customHeight="1">
      <c r="A281" s="279"/>
      <c r="B281" s="257" t="s">
        <v>31</v>
      </c>
      <c r="C281" s="301" t="s">
        <v>2</v>
      </c>
      <c r="D281" s="302">
        <f>D274*2</f>
        <v>3.96</v>
      </c>
      <c r="E281" s="258">
        <f>'BQ-YB'!E38</f>
        <v>27000</v>
      </c>
      <c r="F281" s="301" t="str">
        <f>C281</f>
        <v>No</v>
      </c>
      <c r="G281" s="307"/>
      <c r="H281" s="307">
        <f>D281*E281</f>
        <v>106920</v>
      </c>
      <c r="I281" s="331"/>
      <c r="J281" s="283"/>
      <c r="K281" s="284"/>
    </row>
    <row r="282" spans="1:11" s="285" customFormat="1" ht="19" customHeight="1">
      <c r="A282" s="279"/>
      <c r="B282" s="257" t="s">
        <v>46</v>
      </c>
      <c r="C282" s="301" t="s">
        <v>2</v>
      </c>
      <c r="D282" s="302">
        <f>D274*0.5</f>
        <v>0.99</v>
      </c>
      <c r="E282" s="258">
        <f>'BQ-YB'!E39</f>
        <v>27000</v>
      </c>
      <c r="F282" s="301" t="str">
        <f>C282</f>
        <v>No</v>
      </c>
      <c r="G282" s="307"/>
      <c r="H282" s="307">
        <f>D282*E282</f>
        <v>26730</v>
      </c>
      <c r="I282" s="331"/>
      <c r="J282" s="283"/>
      <c r="K282" s="284"/>
    </row>
    <row r="283" spans="1:11" s="285" customFormat="1" ht="19" customHeight="1">
      <c r="A283" s="279"/>
      <c r="B283" s="257" t="s">
        <v>29</v>
      </c>
      <c r="C283" s="301" t="s">
        <v>2</v>
      </c>
      <c r="D283" s="302">
        <f>D274*12</f>
        <v>23.76</v>
      </c>
      <c r="E283" s="258">
        <f>'BQ-YB'!E40</f>
        <v>20000</v>
      </c>
      <c r="F283" s="301" t="str">
        <f>C283</f>
        <v>No</v>
      </c>
      <c r="G283" s="307"/>
      <c r="H283" s="302">
        <f>D283*E283</f>
        <v>475200</v>
      </c>
      <c r="I283" s="331"/>
      <c r="J283" s="283"/>
      <c r="K283" s="284"/>
    </row>
    <row r="284" spans="1:11" ht="21" customHeight="1">
      <c r="A284" s="12"/>
      <c r="B284" s="12"/>
      <c r="C284" s="12"/>
      <c r="D284" s="66"/>
      <c r="E284" s="15"/>
      <c r="F284" s="12"/>
      <c r="G284" s="318">
        <f>SUM(G276:G283)</f>
        <v>1276050</v>
      </c>
      <c r="H284" s="318">
        <f>SUM(H276:H283)</f>
        <v>608850</v>
      </c>
      <c r="I284" s="24"/>
    </row>
    <row r="285" spans="1:11" ht="20.149999999999999" customHeight="1">
      <c r="A285" s="12"/>
      <c r="B285" s="95"/>
      <c r="C285" s="96"/>
      <c r="D285" s="97"/>
      <c r="E285" s="15"/>
      <c r="F285" s="12"/>
      <c r="G285" s="13"/>
      <c r="H285" s="13"/>
      <c r="I285" s="24"/>
    </row>
    <row r="286" spans="1:11" ht="20.149999999999999" customHeight="1">
      <c r="A286" s="12"/>
      <c r="B286" s="113" t="str">
        <f>Detail!B1079</f>
        <v>( b ) Formwork</v>
      </c>
      <c r="C286" s="96" t="str">
        <f>Detail!K1101</f>
        <v>%Fs</v>
      </c>
      <c r="D286" s="97">
        <f>Detail!J1101</f>
        <v>10.43</v>
      </c>
      <c r="E286" s="15"/>
      <c r="F286" s="12"/>
      <c r="G286" s="13"/>
      <c r="H286" s="13"/>
      <c r="I286" s="24"/>
    </row>
    <row r="287" spans="1:11" ht="21" customHeight="1">
      <c r="A287" s="12"/>
      <c r="B287" s="12" t="s">
        <v>26</v>
      </c>
      <c r="C287" s="12"/>
      <c r="D287" s="66"/>
      <c r="E287" s="15"/>
      <c r="F287" s="12"/>
      <c r="G287" s="13"/>
      <c r="H287" s="13"/>
      <c r="I287" s="24"/>
    </row>
    <row r="288" spans="1:11" ht="21" customHeight="1">
      <c r="A288" s="12"/>
      <c r="B288" s="14" t="s">
        <v>67</v>
      </c>
      <c r="C288" s="12" t="s">
        <v>14</v>
      </c>
      <c r="D288" s="66">
        <f>D286*20/50/3</f>
        <v>1.39</v>
      </c>
      <c r="E288" s="15">
        <f>'BQ-YB'!E18</f>
        <v>1500000</v>
      </c>
      <c r="F288" s="12" t="str">
        <f>C288</f>
        <v>Ton</v>
      </c>
      <c r="G288" s="13">
        <f>E288*D288</f>
        <v>2085000</v>
      </c>
      <c r="H288" s="13"/>
      <c r="I288" s="24"/>
    </row>
    <row r="289" spans="1:11" ht="21" customHeight="1">
      <c r="A289" s="12"/>
      <c r="B289" s="14" t="s">
        <v>80</v>
      </c>
      <c r="C289" s="124" t="s">
        <v>13</v>
      </c>
      <c r="D289" s="66">
        <f>D286/0.32/3*1.15</f>
        <v>12.49</v>
      </c>
      <c r="E289" s="15">
        <f>'BQ-YB'!E17</f>
        <v>75000</v>
      </c>
      <c r="F289" s="12" t="str">
        <f>C289</f>
        <v>Sht</v>
      </c>
      <c r="G289" s="13">
        <f>E289*D289</f>
        <v>936750</v>
      </c>
      <c r="H289" s="13"/>
      <c r="I289" s="24"/>
    </row>
    <row r="290" spans="1:11" ht="21" customHeight="1">
      <c r="A290" s="12"/>
      <c r="B290" s="14" t="s">
        <v>47</v>
      </c>
      <c r="C290" s="12" t="s">
        <v>15</v>
      </c>
      <c r="D290" s="66">
        <f>D286*3*1.7</f>
        <v>53.19</v>
      </c>
      <c r="E290" s="15">
        <f>'BQ-YB'!E20</f>
        <v>3333</v>
      </c>
      <c r="F290" s="12" t="str">
        <f>C290</f>
        <v>Lb</v>
      </c>
      <c r="G290" s="13">
        <f>E290*D290</f>
        <v>177282.27</v>
      </c>
      <c r="H290" s="13"/>
      <c r="I290" s="24"/>
    </row>
    <row r="291" spans="1:11" s="285" customFormat="1" ht="19.5" customHeight="1">
      <c r="A291" s="279"/>
      <c r="B291" s="279" t="s">
        <v>22</v>
      </c>
      <c r="C291" s="279"/>
      <c r="D291" s="280"/>
      <c r="E291" s="281"/>
      <c r="F291" s="279"/>
      <c r="G291" s="282"/>
      <c r="H291" s="279"/>
      <c r="I291" s="331"/>
      <c r="J291" s="283"/>
      <c r="K291" s="284"/>
    </row>
    <row r="292" spans="1:11" s="285" customFormat="1" ht="19.5" customHeight="1">
      <c r="A292" s="279"/>
      <c r="B292" s="257" t="s">
        <v>30</v>
      </c>
      <c r="C292" s="301" t="s">
        <v>2</v>
      </c>
      <c r="D292" s="302">
        <f>D286*4</f>
        <v>41.72</v>
      </c>
      <c r="E292" s="258">
        <f>'BQ-YB'!E43</f>
        <v>27000</v>
      </c>
      <c r="F292" s="301" t="str">
        <f>C292</f>
        <v>No</v>
      </c>
      <c r="G292" s="307"/>
      <c r="H292" s="307">
        <f>D292*E292</f>
        <v>1126440</v>
      </c>
      <c r="I292" s="331"/>
      <c r="J292" s="283"/>
      <c r="K292" s="284"/>
    </row>
    <row r="293" spans="1:11" s="285" customFormat="1" ht="19.5" customHeight="1">
      <c r="A293" s="279"/>
      <c r="B293" s="257" t="s">
        <v>29</v>
      </c>
      <c r="C293" s="301" t="s">
        <v>2</v>
      </c>
      <c r="D293" s="302">
        <f>D286*2</f>
        <v>20.86</v>
      </c>
      <c r="E293" s="258">
        <f>'BQ-YB'!E40</f>
        <v>20000</v>
      </c>
      <c r="F293" s="301" t="str">
        <f>C293</f>
        <v>No</v>
      </c>
      <c r="G293" s="307"/>
      <c r="H293" s="302">
        <f>D293*E293</f>
        <v>417200</v>
      </c>
      <c r="I293" s="331"/>
      <c r="J293" s="283"/>
      <c r="K293" s="284"/>
    </row>
    <row r="294" spans="1:11" s="285" customFormat="1" ht="19.5" customHeight="1">
      <c r="A294" s="279"/>
      <c r="B294" s="257" t="s">
        <v>367</v>
      </c>
      <c r="C294" s="301" t="s">
        <v>2</v>
      </c>
      <c r="D294" s="302">
        <f>D292/3</f>
        <v>13.91</v>
      </c>
      <c r="E294" s="258">
        <f>'BQ-YB'!E44</f>
        <v>27000</v>
      </c>
      <c r="F294" s="301" t="str">
        <f>C294</f>
        <v>No</v>
      </c>
      <c r="G294" s="307"/>
      <c r="H294" s="307">
        <f>D294*E294</f>
        <v>375570</v>
      </c>
      <c r="I294" s="331"/>
      <c r="J294" s="283"/>
      <c r="K294" s="284"/>
    </row>
    <row r="295" spans="1:11" s="285" customFormat="1" ht="19.5" customHeight="1">
      <c r="A295" s="279"/>
      <c r="B295" s="257" t="s">
        <v>368</v>
      </c>
      <c r="C295" s="301" t="s">
        <v>2</v>
      </c>
      <c r="D295" s="302">
        <f>D293/3</f>
        <v>6.95</v>
      </c>
      <c r="E295" s="258">
        <f>'BQ-YB'!E40</f>
        <v>20000</v>
      </c>
      <c r="F295" s="301" t="str">
        <f>C295</f>
        <v>No</v>
      </c>
      <c r="G295" s="307"/>
      <c r="H295" s="302">
        <f>D295*E295</f>
        <v>139000</v>
      </c>
      <c r="I295" s="331"/>
      <c r="J295" s="283"/>
      <c r="K295" s="284"/>
    </row>
    <row r="296" spans="1:11" ht="21" customHeight="1">
      <c r="A296" s="12"/>
      <c r="B296" s="12"/>
      <c r="C296" s="12"/>
      <c r="D296" s="66"/>
      <c r="E296" s="15"/>
      <c r="F296" s="12"/>
      <c r="G296" s="318">
        <f>SUM(G288:G295)</f>
        <v>3199032.27</v>
      </c>
      <c r="H296" s="318">
        <f>SUM(H288:H295)</f>
        <v>2058210</v>
      </c>
      <c r="I296" s="24"/>
    </row>
    <row r="297" spans="1:11" ht="20.149999999999999" customHeight="1">
      <c r="A297" s="12"/>
      <c r="B297" s="95"/>
      <c r="C297" s="96"/>
      <c r="D297" s="97"/>
      <c r="E297" s="15"/>
      <c r="F297" s="12"/>
      <c r="G297" s="13"/>
      <c r="H297" s="13"/>
      <c r="I297" s="24"/>
    </row>
    <row r="298" spans="1:11" ht="20.149999999999999" customHeight="1">
      <c r="A298" s="12"/>
      <c r="B298" s="113" t="str">
        <f>Detail!B1103</f>
        <v>( c ) Re Bar Work</v>
      </c>
      <c r="C298" s="96" t="s">
        <v>14</v>
      </c>
      <c r="D298" s="97">
        <f>D299+D300</f>
        <v>0.81</v>
      </c>
      <c r="E298" s="15"/>
      <c r="F298" s="12"/>
      <c r="G298" s="13"/>
      <c r="H298" s="13"/>
      <c r="I298" s="24"/>
    </row>
    <row r="299" spans="1:11" ht="20.149999999999999" customHeight="1">
      <c r="A299" s="12"/>
      <c r="B299" s="137" t="str">
        <f>Detail!H1162</f>
        <v>10mm Ø</v>
      </c>
      <c r="C299" s="96" t="s">
        <v>14</v>
      </c>
      <c r="D299" s="97">
        <f>Detail!H1163</f>
        <v>0.51</v>
      </c>
      <c r="E299" s="15"/>
      <c r="F299" s="12"/>
      <c r="G299" s="13"/>
      <c r="H299" s="13"/>
      <c r="I299" s="24"/>
    </row>
    <row r="300" spans="1:11" ht="20.149999999999999" customHeight="1">
      <c r="A300" s="12"/>
      <c r="B300" s="137" t="str">
        <f>Detail!I1162</f>
        <v>6.5mmØ</v>
      </c>
      <c r="C300" s="96" t="s">
        <v>14</v>
      </c>
      <c r="D300" s="97">
        <f>Detail!I1163</f>
        <v>0.3</v>
      </c>
      <c r="E300" s="15"/>
      <c r="F300" s="12"/>
      <c r="G300" s="13"/>
      <c r="H300" s="13"/>
      <c r="I300" s="24"/>
    </row>
    <row r="301" spans="1:11" ht="20.149999999999999" customHeight="1">
      <c r="A301" s="12"/>
      <c r="B301" s="98" t="s">
        <v>26</v>
      </c>
      <c r="C301" s="96"/>
      <c r="D301" s="97"/>
      <c r="E301" s="15"/>
      <c r="F301" s="12"/>
      <c r="G301" s="13"/>
      <c r="H301" s="13"/>
      <c r="I301" s="24"/>
    </row>
    <row r="302" spans="1:11" ht="20.149999999999999" customHeight="1">
      <c r="A302" s="12"/>
      <c r="B302" s="95" t="s">
        <v>357</v>
      </c>
      <c r="C302" s="96" t="s">
        <v>14</v>
      </c>
      <c r="D302" s="97">
        <f>D299*1.05</f>
        <v>0.54</v>
      </c>
      <c r="E302" s="15">
        <f>'BQ-YB'!E24</f>
        <v>3100000</v>
      </c>
      <c r="F302" s="32" t="str">
        <f>C302</f>
        <v>Ton</v>
      </c>
      <c r="G302" s="13">
        <f>D302*E302</f>
        <v>1674000</v>
      </c>
      <c r="H302" s="13"/>
      <c r="I302" s="24"/>
    </row>
    <row r="303" spans="1:11" ht="20.149999999999999" customHeight="1">
      <c r="A303" s="12"/>
      <c r="B303" s="95" t="s">
        <v>87</v>
      </c>
      <c r="C303" s="96" t="s">
        <v>14</v>
      </c>
      <c r="D303" s="97">
        <f>D300*1.05</f>
        <v>0.32</v>
      </c>
      <c r="E303" s="15">
        <f>'BQ-YB'!E22</f>
        <v>2800000</v>
      </c>
      <c r="F303" s="32" t="str">
        <f>C303</f>
        <v>Ton</v>
      </c>
      <c r="G303" s="13">
        <f>D303*E303</f>
        <v>896000</v>
      </c>
      <c r="H303" s="13"/>
      <c r="I303" s="24"/>
    </row>
    <row r="304" spans="1:11" ht="20.149999999999999" customHeight="1">
      <c r="A304" s="12"/>
      <c r="B304" s="95" t="s">
        <v>37</v>
      </c>
      <c r="C304" s="96" t="s">
        <v>15</v>
      </c>
      <c r="D304" s="97">
        <f>D298*20*1.7</f>
        <v>27.54</v>
      </c>
      <c r="E304" s="15">
        <f>'BQ-YB'!E28</f>
        <v>3333</v>
      </c>
      <c r="F304" s="32" t="str">
        <f>C304</f>
        <v>Lb</v>
      </c>
      <c r="G304" s="13">
        <f>D304*E304</f>
        <v>91790.82</v>
      </c>
      <c r="H304" s="13"/>
      <c r="I304" s="24"/>
    </row>
    <row r="305" spans="1:11" s="285" customFormat="1" ht="19" customHeight="1">
      <c r="A305" s="279"/>
      <c r="B305" s="279" t="s">
        <v>22</v>
      </c>
      <c r="C305" s="279"/>
      <c r="D305" s="280"/>
      <c r="E305" s="281"/>
      <c r="F305" s="279"/>
      <c r="G305" s="282"/>
      <c r="H305" s="279"/>
      <c r="I305" s="331"/>
      <c r="J305" s="283"/>
      <c r="K305" s="284"/>
    </row>
    <row r="306" spans="1:11" s="285" customFormat="1" ht="19" customHeight="1">
      <c r="A306" s="279"/>
      <c r="B306" s="257" t="s">
        <v>364</v>
      </c>
      <c r="C306" s="301" t="s">
        <v>2</v>
      </c>
      <c r="D306" s="302">
        <f>D299*20*1.5+D300*20*2</f>
        <v>27.3</v>
      </c>
      <c r="E306" s="258">
        <f>'BQ-YB'!E42</f>
        <v>27000</v>
      </c>
      <c r="F306" s="301" t="str">
        <f>C306</f>
        <v>No</v>
      </c>
      <c r="G306" s="307"/>
      <c r="H306" s="307">
        <f>D306*E306</f>
        <v>737100</v>
      </c>
      <c r="I306" s="331"/>
      <c r="J306" s="283"/>
      <c r="K306" s="284"/>
    </row>
    <row r="307" spans="1:11" s="285" customFormat="1" ht="19" customHeight="1">
      <c r="A307" s="279"/>
      <c r="B307" s="257" t="s">
        <v>29</v>
      </c>
      <c r="C307" s="301" t="s">
        <v>2</v>
      </c>
      <c r="D307" s="302">
        <f>D306</f>
        <v>27.3</v>
      </c>
      <c r="E307" s="258">
        <f>'BQ-YB'!E40</f>
        <v>20000</v>
      </c>
      <c r="F307" s="301" t="str">
        <f>C307</f>
        <v>No</v>
      </c>
      <c r="G307" s="307"/>
      <c r="H307" s="302">
        <f>D307*E307</f>
        <v>546000</v>
      </c>
      <c r="I307" s="331"/>
      <c r="J307" s="283"/>
      <c r="K307" s="284"/>
    </row>
    <row r="308" spans="1:11" ht="20.149999999999999" customHeight="1">
      <c r="A308" s="12"/>
      <c r="B308" s="95"/>
      <c r="C308" s="96"/>
      <c r="D308" s="97"/>
      <c r="E308" s="15"/>
      <c r="F308" s="32"/>
      <c r="G308" s="318">
        <f>SUM(G302:G307)</f>
        <v>2661790.8199999998</v>
      </c>
      <c r="H308" s="318">
        <f>SUM(H302:H307)</f>
        <v>1283100</v>
      </c>
      <c r="I308" s="24"/>
    </row>
    <row r="309" spans="1:11" ht="20.149999999999999" customHeight="1">
      <c r="A309" s="12"/>
      <c r="B309" s="95"/>
      <c r="C309" s="96"/>
      <c r="D309" s="97"/>
      <c r="E309" s="15"/>
      <c r="F309" s="12"/>
      <c r="G309" s="13"/>
      <c r="H309" s="13"/>
      <c r="I309" s="24"/>
    </row>
    <row r="310" spans="1:11" ht="20.149999999999999" customHeight="1">
      <c r="A310" s="12">
        <v>16</v>
      </c>
      <c r="B310" s="16" t="str">
        <f>Detail!B1165</f>
        <v>(1:3) Cement Mortar Plastering Work</v>
      </c>
      <c r="C310" s="32" t="str">
        <f>Detail!K1221</f>
        <v>Fs</v>
      </c>
      <c r="D310" s="66">
        <f>Detail!J1221</f>
        <v>13915.98</v>
      </c>
      <c r="E310" s="15"/>
      <c r="F310" s="12"/>
      <c r="G310" s="13"/>
      <c r="H310" s="13"/>
      <c r="I310" s="24"/>
    </row>
    <row r="311" spans="1:11" ht="20.149999999999999" customHeight="1">
      <c r="A311" s="12"/>
      <c r="B311" s="12"/>
      <c r="C311" s="12" t="s">
        <v>12</v>
      </c>
      <c r="D311" s="66">
        <f>Detail!J1222</f>
        <v>139.16</v>
      </c>
      <c r="E311" s="15"/>
      <c r="F311" s="12"/>
      <c r="G311" s="13"/>
      <c r="H311" s="13"/>
      <c r="I311" s="24"/>
    </row>
    <row r="312" spans="1:11" ht="20.149999999999999" customHeight="1">
      <c r="A312" s="12"/>
      <c r="B312" s="296" t="s">
        <v>369</v>
      </c>
      <c r="C312" s="288" t="s">
        <v>370</v>
      </c>
      <c r="D312" s="66">
        <f>D310/2</f>
        <v>6957.99</v>
      </c>
      <c r="E312" s="15"/>
      <c r="F312" s="12"/>
      <c r="G312" s="13"/>
      <c r="H312" s="13"/>
      <c r="I312" s="24"/>
    </row>
    <row r="313" spans="1:11" ht="20.149999999999999" customHeight="1">
      <c r="A313" s="12"/>
      <c r="B313" s="296" t="s">
        <v>371</v>
      </c>
      <c r="C313" s="288" t="s">
        <v>370</v>
      </c>
      <c r="D313" s="66">
        <f>D310-D312</f>
        <v>6957.99</v>
      </c>
      <c r="E313" s="15"/>
      <c r="F313" s="12"/>
      <c r="G313" s="13"/>
      <c r="H313" s="13"/>
      <c r="I313" s="24"/>
    </row>
    <row r="314" spans="1:11" ht="20.149999999999999" customHeight="1">
      <c r="A314" s="12"/>
      <c r="B314" s="12" t="s">
        <v>26</v>
      </c>
      <c r="C314" s="12"/>
      <c r="D314" s="66"/>
      <c r="E314" s="15"/>
      <c r="F314" s="12"/>
      <c r="G314" s="13"/>
      <c r="H314" s="13"/>
      <c r="I314" s="24"/>
    </row>
    <row r="315" spans="1:11" ht="20.149999999999999" customHeight="1">
      <c r="A315" s="12"/>
      <c r="B315" s="14" t="s">
        <v>8</v>
      </c>
      <c r="C315" s="12" t="s">
        <v>9</v>
      </c>
      <c r="D315" s="66">
        <f>D311*(225+225)/2/112</f>
        <v>279.56</v>
      </c>
      <c r="E315" s="15">
        <f>'BQ-YB'!E7</f>
        <v>25000</v>
      </c>
      <c r="F315" s="12" t="str">
        <f>C315</f>
        <v>Bag</v>
      </c>
      <c r="G315" s="13">
        <f>D315*E315</f>
        <v>6989000</v>
      </c>
      <c r="H315" s="13"/>
      <c r="I315" s="24"/>
    </row>
    <row r="316" spans="1:11" ht="20.149999999999999" customHeight="1">
      <c r="A316" s="12"/>
      <c r="B316" s="14" t="s">
        <v>36</v>
      </c>
      <c r="C316" s="12" t="s">
        <v>10</v>
      </c>
      <c r="D316" s="66">
        <f>D311*(0.075+0.075)/2</f>
        <v>10.44</v>
      </c>
      <c r="E316" s="15">
        <f>'BQ-YB'!E8</f>
        <v>50000</v>
      </c>
      <c r="F316" s="12" t="str">
        <f>C316</f>
        <v>Sud</v>
      </c>
      <c r="G316" s="13">
        <f>D316*E316</f>
        <v>522000</v>
      </c>
      <c r="H316" s="13"/>
      <c r="I316" s="24"/>
    </row>
    <row r="317" spans="1:11" s="285" customFormat="1" ht="20.149999999999999" customHeight="1">
      <c r="A317" s="279"/>
      <c r="B317" s="279" t="s">
        <v>22</v>
      </c>
      <c r="C317" s="288"/>
      <c r="D317" s="289"/>
      <c r="E317" s="281"/>
      <c r="F317" s="282"/>
      <c r="G317" s="295"/>
      <c r="H317" s="331"/>
      <c r="I317" s="331"/>
    </row>
    <row r="318" spans="1:11" s="285" customFormat="1" ht="20.149999999999999" customHeight="1">
      <c r="A318" s="279"/>
      <c r="B318" s="257" t="s">
        <v>31</v>
      </c>
      <c r="C318" s="305" t="s">
        <v>2</v>
      </c>
      <c r="D318" s="306">
        <f>D312/100*1.5+D313/100*1.5</f>
        <v>208.74</v>
      </c>
      <c r="E318" s="258">
        <f>'BQ-YB'!E38</f>
        <v>27000</v>
      </c>
      <c r="F318" s="307" t="str">
        <f>C318</f>
        <v>No</v>
      </c>
      <c r="G318" s="316"/>
      <c r="H318" s="259">
        <f>D318*E318</f>
        <v>5635980</v>
      </c>
      <c r="I318" s="331"/>
    </row>
    <row r="319" spans="1:11" s="285" customFormat="1" ht="20.149999999999999" customHeight="1">
      <c r="A319" s="279"/>
      <c r="B319" s="257" t="s">
        <v>29</v>
      </c>
      <c r="C319" s="305" t="s">
        <v>2</v>
      </c>
      <c r="D319" s="306">
        <f>D312/100*3+D313/100*3</f>
        <v>417.48</v>
      </c>
      <c r="E319" s="258">
        <f>'BQ-YB'!E40</f>
        <v>20000</v>
      </c>
      <c r="F319" s="307" t="str">
        <f>C319</f>
        <v>No</v>
      </c>
      <c r="G319" s="316"/>
      <c r="H319" s="302">
        <f>D319*E319</f>
        <v>8349600</v>
      </c>
      <c r="I319" s="331"/>
    </row>
    <row r="320" spans="1:11" ht="20.149999999999999" customHeight="1">
      <c r="A320" s="12"/>
      <c r="B320" s="12"/>
      <c r="C320" s="12"/>
      <c r="D320" s="66"/>
      <c r="E320" s="15"/>
      <c r="F320" s="12"/>
      <c r="G320" s="318">
        <f>SUM(G315:G319)</f>
        <v>7511000</v>
      </c>
      <c r="H320" s="318">
        <f>SUM(H315:H319)</f>
        <v>13985580</v>
      </c>
      <c r="I320" s="24"/>
    </row>
    <row r="321" spans="1:11" ht="20.149999999999999" customHeight="1">
      <c r="A321" s="12"/>
      <c r="B321" s="12"/>
      <c r="C321" s="12"/>
      <c r="D321" s="66"/>
      <c r="E321" s="15"/>
      <c r="F321" s="12"/>
      <c r="G321" s="13"/>
      <c r="H321" s="13"/>
      <c r="I321" s="24"/>
    </row>
    <row r="322" spans="1:11" ht="20.149999999999999" customHeight="1">
      <c r="A322" s="12">
        <v>17</v>
      </c>
      <c r="B322" s="16" t="str">
        <f>Detail!B1224</f>
        <v xml:space="preserve">( e ) Making &amp; Fixing of 5" x 2" Chowket </v>
      </c>
      <c r="C322" s="12" t="s">
        <v>101</v>
      </c>
      <c r="D322" s="66">
        <f>Detail!J1229</f>
        <v>310.76</v>
      </c>
      <c r="E322" s="15"/>
      <c r="F322" s="12"/>
      <c r="G322" s="13"/>
      <c r="H322" s="13"/>
      <c r="I322" s="24"/>
    </row>
    <row r="323" spans="1:11" ht="20.149999999999999" customHeight="1">
      <c r="A323" s="12"/>
      <c r="B323" s="98" t="s">
        <v>26</v>
      </c>
      <c r="C323" s="125"/>
      <c r="D323" s="94"/>
      <c r="E323" s="15"/>
      <c r="F323" s="12"/>
      <c r="G323" s="13"/>
      <c r="H323" s="13"/>
      <c r="I323" s="24"/>
    </row>
    <row r="324" spans="1:11" ht="20.149999999999999" customHeight="1">
      <c r="A324" s="12"/>
      <c r="B324" s="95" t="s">
        <v>358</v>
      </c>
      <c r="C324" s="125" t="s">
        <v>359</v>
      </c>
      <c r="D324" s="112">
        <f>D322</f>
        <v>310.76</v>
      </c>
      <c r="E324" s="15">
        <f>'BQ-YB'!E29</f>
        <v>12000</v>
      </c>
      <c r="F324" s="29" t="str">
        <f>C324</f>
        <v>Rft</v>
      </c>
      <c r="G324" s="13">
        <f>D324*E324</f>
        <v>3729120</v>
      </c>
      <c r="H324" s="13"/>
      <c r="I324" s="24"/>
    </row>
    <row r="325" spans="1:11" ht="20.149999999999999" customHeight="1">
      <c r="A325" s="12"/>
      <c r="B325" s="95" t="s">
        <v>47</v>
      </c>
      <c r="C325" s="125" t="s">
        <v>15</v>
      </c>
      <c r="D325" s="112">
        <f>D322/100*2</f>
        <v>6.22</v>
      </c>
      <c r="E325" s="15">
        <f>'BQ-YB'!E20</f>
        <v>3333</v>
      </c>
      <c r="F325" s="29" t="str">
        <f>C325</f>
        <v>Lb</v>
      </c>
      <c r="G325" s="13">
        <f>D325*E325</f>
        <v>20731.259999999998</v>
      </c>
      <c r="H325" s="13"/>
      <c r="I325" s="24"/>
    </row>
    <row r="326" spans="1:11" ht="20.149999999999999" customHeight="1">
      <c r="A326" s="12"/>
      <c r="B326" s="95" t="s">
        <v>107</v>
      </c>
      <c r="C326" s="125" t="s">
        <v>33</v>
      </c>
      <c r="D326" s="112">
        <v>3</v>
      </c>
      <c r="E326" s="15">
        <f>'BQ-YB'!E30</f>
        <v>12000</v>
      </c>
      <c r="F326" s="29" t="str">
        <f>C326</f>
        <v>Gal</v>
      </c>
      <c r="G326" s="13">
        <f>D326*E326</f>
        <v>36000</v>
      </c>
      <c r="H326" s="13"/>
      <c r="I326" s="24"/>
    </row>
    <row r="327" spans="1:11" s="285" customFormat="1" ht="20.149999999999999" customHeight="1">
      <c r="A327" s="279"/>
      <c r="B327" s="293" t="s">
        <v>22</v>
      </c>
      <c r="C327" s="294"/>
      <c r="D327" s="294"/>
      <c r="E327" s="281"/>
      <c r="F327" s="282"/>
      <c r="G327" s="295"/>
      <c r="H327" s="331"/>
      <c r="I327" s="331"/>
    </row>
    <row r="328" spans="1:11" s="285" customFormat="1" ht="20.149999999999999" customHeight="1">
      <c r="A328" s="279"/>
      <c r="B328" s="308" t="s">
        <v>30</v>
      </c>
      <c r="C328" s="309" t="s">
        <v>2</v>
      </c>
      <c r="D328" s="309">
        <f>D322*6/100</f>
        <v>18.649999999999999</v>
      </c>
      <c r="E328" s="258">
        <f>'BQ-YB'!E43</f>
        <v>27000</v>
      </c>
      <c r="F328" s="307" t="str">
        <f>C328</f>
        <v>No</v>
      </c>
      <c r="G328" s="316"/>
      <c r="H328" s="259">
        <f>D328*E328</f>
        <v>503550</v>
      </c>
      <c r="I328" s="331"/>
    </row>
    <row r="329" spans="1:11" s="285" customFormat="1" ht="20.149999999999999" customHeight="1">
      <c r="A329" s="279"/>
      <c r="B329" s="308" t="s">
        <v>29</v>
      </c>
      <c r="C329" s="309" t="s">
        <v>2</v>
      </c>
      <c r="D329" s="309">
        <f>(D322*5/12)*(3/8)/100</f>
        <v>0.49</v>
      </c>
      <c r="E329" s="258">
        <f>'BQ-YB'!E40</f>
        <v>20000</v>
      </c>
      <c r="F329" s="307" t="str">
        <f>C329</f>
        <v>No</v>
      </c>
      <c r="G329" s="312"/>
      <c r="H329" s="302">
        <f>D329*E329</f>
        <v>9800</v>
      </c>
      <c r="I329" s="331"/>
    </row>
    <row r="330" spans="1:11" ht="20.149999999999999" customHeight="1">
      <c r="A330" s="12"/>
      <c r="B330" s="12"/>
      <c r="C330" s="12"/>
      <c r="D330" s="66"/>
      <c r="E330" s="15"/>
      <c r="F330" s="12"/>
      <c r="G330" s="318">
        <f>SUM(G324:G329)</f>
        <v>3785851.26</v>
      </c>
      <c r="H330" s="318">
        <f>SUM(H324:H329)</f>
        <v>513350</v>
      </c>
      <c r="I330" s="24"/>
    </row>
    <row r="331" spans="1:11" ht="20.149999999999999" customHeight="1">
      <c r="A331" s="12"/>
      <c r="B331" s="12"/>
      <c r="C331" s="12"/>
      <c r="D331" s="66"/>
      <c r="E331" s="15"/>
      <c r="F331" s="12"/>
      <c r="G331" s="13"/>
      <c r="H331" s="13"/>
      <c r="I331" s="24"/>
    </row>
    <row r="332" spans="1:11" ht="20.149999999999999" customHeight="1">
      <c r="A332" s="12">
        <v>18</v>
      </c>
      <c r="B332" s="16" t="str">
        <f>Detail!B1232</f>
        <v>( a ) Back Filling Work (Foundation)</v>
      </c>
      <c r="C332" s="29" t="str">
        <f>Detail!K1245</f>
        <v>%Fc</v>
      </c>
      <c r="D332" s="66">
        <f>Detail!J1245</f>
        <v>98.25</v>
      </c>
      <c r="E332" s="15"/>
      <c r="F332" s="12"/>
      <c r="G332" s="13"/>
      <c r="H332" s="13"/>
      <c r="I332" s="24"/>
    </row>
    <row r="333" spans="1:11" ht="20.149999999999999" customHeight="1">
      <c r="A333" s="12"/>
      <c r="B333" s="12" t="s">
        <v>26</v>
      </c>
      <c r="C333" s="29"/>
      <c r="D333" s="66"/>
      <c r="E333" s="15"/>
      <c r="F333" s="12"/>
      <c r="G333" s="13"/>
      <c r="H333" s="13"/>
      <c r="I333" s="24"/>
    </row>
    <row r="334" spans="1:11" ht="20.149999999999999" customHeight="1">
      <c r="A334" s="12"/>
      <c r="B334" s="14" t="s">
        <v>459</v>
      </c>
      <c r="C334" s="29" t="s">
        <v>10</v>
      </c>
      <c r="D334" s="66">
        <f>D332*1.25</f>
        <v>122.81</v>
      </c>
      <c r="E334" s="15">
        <f>'BQ-YB'!E8</f>
        <v>50000</v>
      </c>
      <c r="F334" s="29" t="str">
        <f>C334</f>
        <v>Sud</v>
      </c>
      <c r="G334" s="13">
        <f>D334*E334</f>
        <v>6140500</v>
      </c>
      <c r="H334" s="13"/>
      <c r="I334" s="24"/>
    </row>
    <row r="335" spans="1:11" s="285" customFormat="1" ht="19.5" customHeight="1">
      <c r="A335" s="279"/>
      <c r="B335" s="279" t="s">
        <v>22</v>
      </c>
      <c r="C335" s="279"/>
      <c r="D335" s="280"/>
      <c r="E335" s="281"/>
      <c r="F335" s="279"/>
      <c r="G335" s="282"/>
      <c r="H335" s="279"/>
      <c r="I335" s="331"/>
      <c r="J335" s="283"/>
      <c r="K335" s="284"/>
    </row>
    <row r="336" spans="1:11" s="285" customFormat="1" ht="19.5" customHeight="1">
      <c r="A336" s="279"/>
      <c r="B336" s="257" t="s">
        <v>29</v>
      </c>
      <c r="C336" s="301" t="s">
        <v>2</v>
      </c>
      <c r="D336" s="302">
        <f>D332*1</f>
        <v>98.25</v>
      </c>
      <c r="E336" s="258">
        <f>'BQ-YB'!E40</f>
        <v>20000</v>
      </c>
      <c r="F336" s="301" t="str">
        <f>C336</f>
        <v>No</v>
      </c>
      <c r="G336" s="307"/>
      <c r="H336" s="302">
        <f>D336*E336</f>
        <v>1965000</v>
      </c>
      <c r="I336" s="331"/>
      <c r="J336" s="283"/>
      <c r="K336" s="284"/>
    </row>
    <row r="337" spans="1:11" s="285" customFormat="1" ht="19.5" customHeight="1">
      <c r="A337" s="279"/>
      <c r="B337" s="279"/>
      <c r="C337" s="279"/>
      <c r="D337" s="280"/>
      <c r="E337" s="281"/>
      <c r="F337" s="279"/>
      <c r="G337" s="318">
        <f>SUM(G334:G336)</f>
        <v>6140500</v>
      </c>
      <c r="H337" s="318">
        <f>SUM(H334:H336)</f>
        <v>1965000</v>
      </c>
      <c r="I337" s="372">
        <f>SUM(I336:I336)</f>
        <v>0</v>
      </c>
      <c r="J337" s="283"/>
      <c r="K337" s="284"/>
    </row>
    <row r="338" spans="1:11" ht="20.149999999999999" customHeight="1">
      <c r="A338" s="12"/>
      <c r="B338" s="12"/>
      <c r="C338" s="12"/>
      <c r="D338" s="66"/>
      <c r="E338" s="15"/>
      <c r="F338" s="12"/>
      <c r="G338" s="13"/>
      <c r="H338" s="13"/>
      <c r="I338" s="24"/>
    </row>
    <row r="339" spans="1:11" ht="19.5" customHeight="1">
      <c r="A339" s="12">
        <v>19</v>
      </c>
      <c r="B339" s="24" t="str">
        <f>Detail!B1247</f>
        <v>Flooring Work</v>
      </c>
      <c r="C339" s="12"/>
      <c r="D339" s="66"/>
      <c r="E339" s="15"/>
      <c r="F339" s="12"/>
      <c r="G339" s="13"/>
      <c r="H339" s="13"/>
      <c r="I339" s="24"/>
    </row>
    <row r="340" spans="1:11" ht="19.5" customHeight="1">
      <c r="A340" s="12"/>
      <c r="B340" s="24" t="str">
        <f>Detail!B1248</f>
        <v>( a ) Sand  Filling Work For Floor</v>
      </c>
      <c r="C340" s="32" t="str">
        <f>Detail!K1255</f>
        <v>%Fc</v>
      </c>
      <c r="D340" s="66">
        <f>Detail!J1255</f>
        <v>21.47</v>
      </c>
      <c r="E340" s="15"/>
      <c r="F340" s="12"/>
      <c r="G340" s="13"/>
      <c r="H340" s="13"/>
      <c r="I340" s="24"/>
    </row>
    <row r="341" spans="1:11" ht="19.5" customHeight="1">
      <c r="A341" s="12"/>
      <c r="B341" s="12" t="s">
        <v>26</v>
      </c>
      <c r="C341" s="12"/>
      <c r="D341" s="66"/>
      <c r="E341" s="15"/>
      <c r="F341" s="12"/>
      <c r="G341" s="13"/>
      <c r="H341" s="13"/>
      <c r="I341" s="24"/>
    </row>
    <row r="342" spans="1:11" ht="19.5" customHeight="1">
      <c r="A342" s="12"/>
      <c r="B342" s="14" t="s">
        <v>36</v>
      </c>
      <c r="C342" s="12" t="s">
        <v>10</v>
      </c>
      <c r="D342" s="66">
        <f>D340*1.25</f>
        <v>26.84</v>
      </c>
      <c r="E342" s="15">
        <f>'BQ-YB'!E8</f>
        <v>50000</v>
      </c>
      <c r="F342" s="12" t="str">
        <f>C342</f>
        <v>Sud</v>
      </c>
      <c r="G342" s="13">
        <f>D342*E342</f>
        <v>1342000</v>
      </c>
      <c r="H342" s="13"/>
      <c r="I342" s="24"/>
    </row>
    <row r="343" spans="1:11" ht="19.5" customHeight="1">
      <c r="A343" s="12"/>
      <c r="B343" s="12" t="s">
        <v>22</v>
      </c>
      <c r="C343" s="12"/>
      <c r="D343" s="66"/>
      <c r="E343" s="15"/>
      <c r="F343" s="12"/>
      <c r="G343" s="13"/>
      <c r="H343" s="13"/>
      <c r="I343" s="24"/>
    </row>
    <row r="344" spans="1:11" ht="19.5" customHeight="1">
      <c r="A344" s="12"/>
      <c r="B344" s="14" t="s">
        <v>29</v>
      </c>
      <c r="C344" s="12" t="s">
        <v>2</v>
      </c>
      <c r="D344" s="66">
        <f>D340*1</f>
        <v>21.47</v>
      </c>
      <c r="E344" s="15">
        <f>'BQ-YB'!E40</f>
        <v>20000</v>
      </c>
      <c r="F344" s="12" t="str">
        <f>C344</f>
        <v>No</v>
      </c>
      <c r="G344" s="13"/>
      <c r="H344" s="13">
        <f>D344*E344</f>
        <v>429400</v>
      </c>
      <c r="I344" s="24"/>
    </row>
    <row r="345" spans="1:11" ht="19.5" customHeight="1">
      <c r="A345" s="12"/>
      <c r="B345" s="24"/>
      <c r="C345" s="12"/>
      <c r="D345" s="66"/>
      <c r="E345" s="15"/>
      <c r="F345" s="12"/>
      <c r="G345" s="318">
        <f>SUM(G342:G344)</f>
        <v>1342000</v>
      </c>
      <c r="H345" s="318">
        <f>SUM(H342:H344)</f>
        <v>429400</v>
      </c>
      <c r="I345" s="372">
        <f>SUM(I342:I344)</f>
        <v>0</v>
      </c>
    </row>
    <row r="346" spans="1:11" ht="19.5" customHeight="1">
      <c r="A346" s="12"/>
      <c r="B346" s="24"/>
      <c r="C346" s="12"/>
      <c r="D346" s="66"/>
      <c r="E346" s="15"/>
      <c r="F346" s="12"/>
      <c r="G346" s="13"/>
      <c r="H346" s="13"/>
      <c r="I346" s="24"/>
    </row>
    <row r="347" spans="1:11" ht="19.5" customHeight="1">
      <c r="A347" s="12"/>
      <c r="B347" s="24" t="str">
        <f>Detail!B1257</f>
        <v>( b ) 4½" thk (1:3:6) Cement Concrete Work</v>
      </c>
      <c r="C347" s="12"/>
      <c r="D347" s="66"/>
      <c r="E347" s="15"/>
      <c r="F347" s="12"/>
      <c r="G347" s="13"/>
      <c r="H347" s="13"/>
      <c r="I347" s="24"/>
    </row>
    <row r="348" spans="1:11" ht="19.5" customHeight="1">
      <c r="A348" s="12"/>
      <c r="B348" s="24"/>
      <c r="C348" s="32" t="str">
        <f>Detail!K1262</f>
        <v>Fc</v>
      </c>
      <c r="D348" s="66">
        <f>Detail!J1262</f>
        <v>331.98</v>
      </c>
      <c r="E348" s="15"/>
      <c r="F348" s="12"/>
      <c r="G348" s="13"/>
      <c r="H348" s="13"/>
      <c r="I348" s="24"/>
    </row>
    <row r="349" spans="1:11" ht="19.5" customHeight="1">
      <c r="A349" s="12"/>
      <c r="B349" s="24"/>
      <c r="C349" s="32" t="str">
        <f>Detail!K1263</f>
        <v>%Fc</v>
      </c>
      <c r="D349" s="66">
        <f>Detail!J1263</f>
        <v>3.32</v>
      </c>
      <c r="E349" s="15"/>
      <c r="F349" s="12"/>
      <c r="G349" s="13"/>
      <c r="H349" s="13"/>
      <c r="I349" s="24"/>
    </row>
    <row r="350" spans="1:11" ht="19.5" customHeight="1">
      <c r="A350" s="12"/>
      <c r="B350" s="12" t="s">
        <v>26</v>
      </c>
      <c r="C350" s="12"/>
      <c r="D350" s="66"/>
      <c r="E350" s="15"/>
      <c r="F350" s="12"/>
      <c r="G350" s="13"/>
      <c r="H350" s="13"/>
      <c r="I350" s="24"/>
    </row>
    <row r="351" spans="1:11" ht="19.5" customHeight="1">
      <c r="A351" s="12"/>
      <c r="B351" s="14" t="s">
        <v>8</v>
      </c>
      <c r="C351" s="12" t="s">
        <v>9</v>
      </c>
      <c r="D351" s="66">
        <f>D349*1440/112</f>
        <v>42.69</v>
      </c>
      <c r="E351" s="15">
        <f>'BQ-YB'!E7</f>
        <v>25000</v>
      </c>
      <c r="F351" s="12" t="str">
        <f>C351</f>
        <v>Bag</v>
      </c>
      <c r="G351" s="13">
        <f>E351*D351</f>
        <v>1067250</v>
      </c>
      <c r="H351" s="13"/>
      <c r="I351" s="24"/>
    </row>
    <row r="352" spans="1:11" ht="19.5" customHeight="1">
      <c r="A352" s="12"/>
      <c r="B352" s="14" t="s">
        <v>36</v>
      </c>
      <c r="C352" s="12" t="s">
        <v>10</v>
      </c>
      <c r="D352" s="66">
        <f>D349*0.48</f>
        <v>1.59</v>
      </c>
      <c r="E352" s="15">
        <f>'BQ-YB'!E8</f>
        <v>50000</v>
      </c>
      <c r="F352" s="12" t="str">
        <f>C352</f>
        <v>Sud</v>
      </c>
      <c r="G352" s="13">
        <f>E352*D352</f>
        <v>79500</v>
      </c>
      <c r="H352" s="13"/>
      <c r="I352" s="24"/>
    </row>
    <row r="353" spans="1:11" ht="19.5" customHeight="1">
      <c r="A353" s="12"/>
      <c r="B353" s="14" t="s">
        <v>112</v>
      </c>
      <c r="C353" s="12" t="s">
        <v>10</v>
      </c>
      <c r="D353" s="66">
        <f>D349*0.96</f>
        <v>3.19</v>
      </c>
      <c r="E353" s="15">
        <f>'BQ-YB'!E11</f>
        <v>130000</v>
      </c>
      <c r="F353" s="12" t="str">
        <f>C353</f>
        <v>Sud</v>
      </c>
      <c r="G353" s="13">
        <f>E353*D353</f>
        <v>414700</v>
      </c>
      <c r="H353" s="13"/>
      <c r="I353" s="24"/>
    </row>
    <row r="354" spans="1:11" ht="19.5" customHeight="1">
      <c r="A354" s="12"/>
      <c r="B354" s="14" t="s">
        <v>45</v>
      </c>
      <c r="C354" s="12" t="s">
        <v>33</v>
      </c>
      <c r="D354" s="66">
        <f>D349*2</f>
        <v>6.64</v>
      </c>
      <c r="E354" s="15">
        <f>'BQ-YB'!E13</f>
        <v>20000</v>
      </c>
      <c r="F354" s="12" t="str">
        <f>C354</f>
        <v>Gal</v>
      </c>
      <c r="G354" s="13">
        <f>E354*D354</f>
        <v>132800</v>
      </c>
      <c r="H354" s="13"/>
      <c r="I354" s="371"/>
    </row>
    <row r="355" spans="1:11" s="285" customFormat="1" ht="20.149999999999999" customHeight="1">
      <c r="A355" s="279"/>
      <c r="B355" s="279" t="s">
        <v>22</v>
      </c>
      <c r="C355" s="279"/>
      <c r="D355" s="280"/>
      <c r="E355" s="281"/>
      <c r="F355" s="279"/>
      <c r="G355" s="282"/>
      <c r="H355" s="279"/>
      <c r="I355" s="331"/>
      <c r="J355" s="283"/>
      <c r="K355" s="284"/>
    </row>
    <row r="356" spans="1:11" s="285" customFormat="1" ht="20.149999999999999" customHeight="1">
      <c r="A356" s="279"/>
      <c r="B356" s="257" t="s">
        <v>31</v>
      </c>
      <c r="C356" s="301" t="s">
        <v>2</v>
      </c>
      <c r="D356" s="302">
        <f>D349*1</f>
        <v>3.32</v>
      </c>
      <c r="E356" s="258">
        <f>'BQ-YB'!E38</f>
        <v>27000</v>
      </c>
      <c r="F356" s="301" t="str">
        <f>C356</f>
        <v>No</v>
      </c>
      <c r="G356" s="307"/>
      <c r="H356" s="307">
        <f>D356*E356</f>
        <v>89640</v>
      </c>
      <c r="I356" s="331"/>
      <c r="J356" s="283"/>
      <c r="K356" s="284"/>
    </row>
    <row r="357" spans="1:11" s="285" customFormat="1" ht="20.149999999999999" customHeight="1">
      <c r="A357" s="279"/>
      <c r="B357" s="257" t="s">
        <v>46</v>
      </c>
      <c r="C357" s="301" t="s">
        <v>2</v>
      </c>
      <c r="D357" s="302">
        <f>D349*0.5</f>
        <v>1.66</v>
      </c>
      <c r="E357" s="258">
        <f>'BQ-YB'!E39</f>
        <v>27000</v>
      </c>
      <c r="F357" s="301" t="str">
        <f>C357</f>
        <v>No</v>
      </c>
      <c r="G357" s="307"/>
      <c r="H357" s="307">
        <f>D357*E357</f>
        <v>44820</v>
      </c>
      <c r="I357" s="331"/>
      <c r="J357" s="283"/>
      <c r="K357" s="284"/>
    </row>
    <row r="358" spans="1:11" s="285" customFormat="1" ht="20.149999999999999" customHeight="1">
      <c r="A358" s="279"/>
      <c r="B358" s="257" t="s">
        <v>29</v>
      </c>
      <c r="C358" s="301" t="s">
        <v>2</v>
      </c>
      <c r="D358" s="302">
        <f>D349*6</f>
        <v>19.920000000000002</v>
      </c>
      <c r="E358" s="258">
        <f>'BQ-YB'!E40</f>
        <v>20000</v>
      </c>
      <c r="F358" s="301" t="str">
        <f>C358</f>
        <v>No</v>
      </c>
      <c r="G358" s="307"/>
      <c r="H358" s="302">
        <f>D358*E358</f>
        <v>398400</v>
      </c>
      <c r="I358" s="331"/>
      <c r="J358" s="283"/>
      <c r="K358" s="284"/>
    </row>
    <row r="359" spans="1:11" ht="19.5" customHeight="1">
      <c r="A359" s="12"/>
      <c r="B359" s="12"/>
      <c r="C359" s="12"/>
      <c r="D359" s="66"/>
      <c r="E359" s="15"/>
      <c r="F359" s="12"/>
      <c r="G359" s="318">
        <f>SUM(G351:G358)</f>
        <v>1694250</v>
      </c>
      <c r="H359" s="318">
        <f>SUM(H351:H358)</f>
        <v>532860</v>
      </c>
      <c r="I359" s="24"/>
    </row>
    <row r="360" spans="1:11" ht="19.5" customHeight="1">
      <c r="A360" s="12"/>
      <c r="B360" s="12"/>
      <c r="C360" s="12"/>
      <c r="D360" s="66"/>
      <c r="E360" s="15"/>
      <c r="F360" s="12"/>
      <c r="G360" s="13"/>
      <c r="H360" s="13"/>
      <c r="I360" s="24"/>
    </row>
    <row r="361" spans="1:11" ht="19.5" customHeight="1">
      <c r="A361" s="12"/>
      <c r="B361" s="16" t="str">
        <f>Detail!B1265</f>
        <v>( c ) Plastic Sheet Laying Work</v>
      </c>
      <c r="C361" s="32" t="str">
        <f>Detail!K1268</f>
        <v>%Fs</v>
      </c>
      <c r="D361" s="66">
        <f>Detail!J1268</f>
        <v>8.74</v>
      </c>
      <c r="E361" s="15"/>
      <c r="F361" s="12"/>
      <c r="G361" s="13"/>
      <c r="H361" s="13"/>
      <c r="I361" s="24"/>
    </row>
    <row r="362" spans="1:11" ht="19.5" customHeight="1">
      <c r="A362" s="12"/>
      <c r="B362" s="16"/>
      <c r="C362" s="32" t="s">
        <v>21</v>
      </c>
      <c r="D362" s="66">
        <f>D361*100</f>
        <v>874</v>
      </c>
      <c r="E362" s="15"/>
      <c r="F362" s="12"/>
      <c r="G362" s="13"/>
      <c r="H362" s="13"/>
      <c r="I362" s="24"/>
    </row>
    <row r="363" spans="1:11" ht="19.5" customHeight="1">
      <c r="A363" s="12"/>
      <c r="B363" s="12" t="s">
        <v>26</v>
      </c>
      <c r="C363" s="12"/>
      <c r="D363" s="66"/>
      <c r="E363" s="15"/>
      <c r="F363" s="12"/>
      <c r="G363" s="13"/>
      <c r="H363" s="13"/>
      <c r="I363" s="24"/>
    </row>
    <row r="364" spans="1:11" ht="19.5" customHeight="1">
      <c r="A364" s="12"/>
      <c r="B364" s="14" t="s">
        <v>78</v>
      </c>
      <c r="C364" s="12" t="s">
        <v>79</v>
      </c>
      <c r="D364" s="66">
        <f>D362/3/3*1.05</f>
        <v>101.97</v>
      </c>
      <c r="E364" s="15">
        <f>'BQ-YB'!E32</f>
        <v>5000</v>
      </c>
      <c r="F364" s="12" t="str">
        <f>C364</f>
        <v>Yds</v>
      </c>
      <c r="G364" s="13">
        <f>D364*E364</f>
        <v>509850</v>
      </c>
      <c r="H364" s="13"/>
      <c r="I364" s="24"/>
    </row>
    <row r="365" spans="1:11" ht="19.5" customHeight="1">
      <c r="A365" s="12"/>
      <c r="B365" s="12"/>
      <c r="C365" s="12"/>
      <c r="D365" s="66"/>
      <c r="E365" s="15"/>
      <c r="F365" s="12"/>
      <c r="G365" s="318">
        <f>SUM(G364:G364)</f>
        <v>509850</v>
      </c>
      <c r="H365" s="318"/>
      <c r="I365" s="24"/>
    </row>
    <row r="366" spans="1:11" ht="19.5" customHeight="1">
      <c r="A366" s="12"/>
      <c r="B366" s="12"/>
      <c r="C366" s="12"/>
      <c r="D366" s="66"/>
      <c r="E366" s="15"/>
      <c r="F366" s="12"/>
      <c r="G366" s="13"/>
      <c r="H366" s="13"/>
      <c r="I366" s="24"/>
    </row>
    <row r="367" spans="1:11" ht="19.5" customHeight="1">
      <c r="A367" s="12"/>
      <c r="B367" s="16" t="str">
        <f>Detail!B1270</f>
        <v>( d ) 1½" Thk; (1:2:4) Concrete Topping Work</v>
      </c>
      <c r="C367" s="32" t="str">
        <f>Detail!K1293</f>
        <v>%Fs</v>
      </c>
      <c r="D367" s="66">
        <f>Detail!J1293</f>
        <v>35.68</v>
      </c>
      <c r="E367" s="15"/>
      <c r="F367" s="12"/>
      <c r="G367" s="13"/>
      <c r="H367" s="13"/>
      <c r="I367" s="24"/>
    </row>
    <row r="368" spans="1:11" ht="19" customHeight="1">
      <c r="A368" s="12"/>
      <c r="B368" s="12" t="s">
        <v>26</v>
      </c>
      <c r="C368" s="12"/>
      <c r="D368" s="66"/>
      <c r="E368" s="15"/>
      <c r="F368" s="12"/>
      <c r="G368" s="13"/>
      <c r="H368" s="13"/>
      <c r="I368" s="24"/>
    </row>
    <row r="369" spans="1:9" ht="19" customHeight="1">
      <c r="A369" s="12"/>
      <c r="B369" s="14" t="s">
        <v>8</v>
      </c>
      <c r="C369" s="12" t="s">
        <v>9</v>
      </c>
      <c r="D369" s="66">
        <f>D367*259/112</f>
        <v>82.51</v>
      </c>
      <c r="E369" s="15">
        <f>'BQ-YB'!E7</f>
        <v>25000</v>
      </c>
      <c r="F369" s="12" t="str">
        <f>C369</f>
        <v>Bag</v>
      </c>
      <c r="G369" s="13">
        <f>E369*D369</f>
        <v>2062750</v>
      </c>
      <c r="H369" s="13"/>
      <c r="I369" s="24"/>
    </row>
    <row r="370" spans="1:9" ht="19" customHeight="1">
      <c r="A370" s="12"/>
      <c r="B370" s="14" t="s">
        <v>36</v>
      </c>
      <c r="C370" s="12" t="s">
        <v>10</v>
      </c>
      <c r="D370" s="66">
        <f>D367*0.0575</f>
        <v>2.0499999999999998</v>
      </c>
      <c r="E370" s="15">
        <f>'BQ-YB'!E8</f>
        <v>50000</v>
      </c>
      <c r="F370" s="12" t="str">
        <f>C370</f>
        <v>Sud</v>
      </c>
      <c r="G370" s="13">
        <f>E370*D370</f>
        <v>102500</v>
      </c>
      <c r="H370" s="332"/>
      <c r="I370" s="24"/>
    </row>
    <row r="371" spans="1:9" ht="19" customHeight="1">
      <c r="A371" s="12"/>
      <c r="B371" s="14" t="s">
        <v>112</v>
      </c>
      <c r="C371" s="12" t="s">
        <v>10</v>
      </c>
      <c r="D371" s="66">
        <f>D367*0.115</f>
        <v>4.0999999999999996</v>
      </c>
      <c r="E371" s="15">
        <f>'BQ-YB'!E11</f>
        <v>130000</v>
      </c>
      <c r="F371" s="12" t="str">
        <f>C371</f>
        <v>Sud</v>
      </c>
      <c r="G371" s="13">
        <f>E371*D371</f>
        <v>533000</v>
      </c>
      <c r="H371" s="332"/>
      <c r="I371" s="24"/>
    </row>
    <row r="372" spans="1:9" s="285" customFormat="1" ht="18" customHeight="1">
      <c r="A372" s="279"/>
      <c r="B372" s="279" t="s">
        <v>22</v>
      </c>
      <c r="C372" s="288"/>
      <c r="D372" s="289"/>
      <c r="E372" s="290"/>
      <c r="F372" s="291"/>
      <c r="G372" s="292"/>
      <c r="H372" s="331"/>
      <c r="I372" s="331"/>
    </row>
    <row r="373" spans="1:9" s="285" customFormat="1" ht="18" customHeight="1">
      <c r="A373" s="279"/>
      <c r="B373" s="257" t="s">
        <v>31</v>
      </c>
      <c r="C373" s="305" t="s">
        <v>35</v>
      </c>
      <c r="D373" s="306">
        <f>D367*0.75</f>
        <v>26.76</v>
      </c>
      <c r="E373" s="310">
        <f>'BQ-YB'!E38</f>
        <v>27000</v>
      </c>
      <c r="F373" s="311" t="str">
        <f>C373</f>
        <v>No.</v>
      </c>
      <c r="G373" s="317"/>
      <c r="H373" s="259">
        <f>D373*E373</f>
        <v>722520</v>
      </c>
      <c r="I373" s="331"/>
    </row>
    <row r="374" spans="1:9" s="285" customFormat="1" ht="18" customHeight="1">
      <c r="A374" s="279"/>
      <c r="B374" s="257" t="s">
        <v>29</v>
      </c>
      <c r="C374" s="305" t="s">
        <v>35</v>
      </c>
      <c r="D374" s="306">
        <f>D367*1.5</f>
        <v>53.52</v>
      </c>
      <c r="E374" s="310">
        <f>'BQ-YB'!E40</f>
        <v>20000</v>
      </c>
      <c r="F374" s="311" t="str">
        <f>C374</f>
        <v>No.</v>
      </c>
      <c r="G374" s="317"/>
      <c r="H374" s="302">
        <f>D374*E374</f>
        <v>1070400</v>
      </c>
      <c r="I374" s="331"/>
    </row>
    <row r="375" spans="1:9" ht="19" customHeight="1">
      <c r="A375" s="12"/>
      <c r="B375" s="12"/>
      <c r="C375" s="12"/>
      <c r="D375" s="66"/>
      <c r="E375" s="15"/>
      <c r="F375" s="12"/>
      <c r="G375" s="318">
        <f>SUM(G369:G374)</f>
        <v>2698250</v>
      </c>
      <c r="H375" s="318">
        <f>SUM(H369:H374)</f>
        <v>1792920</v>
      </c>
      <c r="I375" s="24"/>
    </row>
    <row r="376" spans="1:9" ht="19.5" customHeight="1">
      <c r="A376" s="12"/>
      <c r="B376" s="12"/>
      <c r="C376" s="12"/>
      <c r="D376" s="66"/>
      <c r="E376" s="15"/>
      <c r="F376" s="12"/>
      <c r="G376" s="13"/>
      <c r="H376" s="13"/>
      <c r="I376" s="24"/>
    </row>
    <row r="377" spans="1:9" ht="20.149999999999999" customHeight="1">
      <c r="A377" s="12">
        <v>20</v>
      </c>
      <c r="B377" s="16" t="str">
        <f>Detail!B1295</f>
        <v>Scaffolding Work</v>
      </c>
      <c r="C377" s="32" t="str">
        <f>Detail!K1297</f>
        <v>Fs</v>
      </c>
      <c r="D377" s="66">
        <f>Detail!J1297</f>
        <v>7134</v>
      </c>
      <c r="E377" s="15"/>
      <c r="F377" s="12"/>
      <c r="G377" s="13"/>
      <c r="H377" s="13"/>
      <c r="I377" s="24"/>
    </row>
    <row r="378" spans="1:9" ht="20.149999999999999" customHeight="1">
      <c r="A378" s="12"/>
      <c r="B378" s="12" t="s">
        <v>26</v>
      </c>
      <c r="C378" s="12"/>
      <c r="D378" s="66"/>
      <c r="E378" s="15"/>
      <c r="F378" s="12"/>
      <c r="G378" s="13"/>
      <c r="H378" s="13"/>
      <c r="I378" s="24"/>
    </row>
    <row r="379" spans="1:9" ht="20.149999999999999" customHeight="1">
      <c r="A379" s="12"/>
      <c r="B379" s="14" t="s">
        <v>109</v>
      </c>
      <c r="C379" s="12" t="s">
        <v>2</v>
      </c>
      <c r="D379" s="66">
        <f>D377*7/144/2</f>
        <v>173.4</v>
      </c>
      <c r="E379" s="15">
        <f>'BQ-YB'!E33</f>
        <v>2000</v>
      </c>
      <c r="F379" s="12" t="str">
        <f>C379</f>
        <v>No</v>
      </c>
      <c r="G379" s="13">
        <f>D379*E379</f>
        <v>346800</v>
      </c>
      <c r="H379" s="13"/>
      <c r="I379" s="24"/>
    </row>
    <row r="380" spans="1:9" ht="20.149999999999999" customHeight="1">
      <c r="A380" s="12"/>
      <c r="B380" s="14" t="s">
        <v>110</v>
      </c>
      <c r="C380" s="12" t="s">
        <v>111</v>
      </c>
      <c r="D380" s="66">
        <f>D377*0.5/144</f>
        <v>24.77</v>
      </c>
      <c r="E380" s="15">
        <f>'BQ-YB'!E34</f>
        <v>15000</v>
      </c>
      <c r="F380" s="12" t="str">
        <f>C380</f>
        <v>Viss</v>
      </c>
      <c r="G380" s="13">
        <f>D380*E380</f>
        <v>371550</v>
      </c>
      <c r="H380" s="13"/>
      <c r="I380" s="24"/>
    </row>
    <row r="381" spans="1:9" ht="20.149999999999999" customHeight="1">
      <c r="A381" s="12"/>
      <c r="B381" s="14" t="s">
        <v>47</v>
      </c>
      <c r="C381" s="12" t="s">
        <v>15</v>
      </c>
      <c r="D381" s="66">
        <f>ROUND(D377*0.75/144,0)*1.7</f>
        <v>62.9</v>
      </c>
      <c r="E381" s="15">
        <f>'BQ-YB'!E20</f>
        <v>3333</v>
      </c>
      <c r="F381" s="12" t="str">
        <f>C381</f>
        <v>Lb</v>
      </c>
      <c r="G381" s="13">
        <f>D381*E381</f>
        <v>209645.7</v>
      </c>
      <c r="H381" s="13"/>
      <c r="I381" s="24"/>
    </row>
    <row r="382" spans="1:9" s="285" customFormat="1" ht="20.149999999999999" customHeight="1">
      <c r="A382" s="279"/>
      <c r="B382" s="279" t="s">
        <v>22</v>
      </c>
      <c r="C382" s="297"/>
      <c r="D382" s="298"/>
      <c r="E382" s="299"/>
      <c r="F382" s="297"/>
      <c r="G382" s="300"/>
      <c r="H382" s="331"/>
      <c r="I382" s="331"/>
    </row>
    <row r="383" spans="1:9" s="285" customFormat="1" ht="20.149999999999999" customHeight="1">
      <c r="A383" s="279"/>
      <c r="B383" s="257" t="s">
        <v>29</v>
      </c>
      <c r="C383" s="312" t="s">
        <v>2</v>
      </c>
      <c r="D383" s="313">
        <f>ROUND(D377/144*0.75,0)</f>
        <v>37</v>
      </c>
      <c r="E383" s="314">
        <f>'BQ-YB'!E40</f>
        <v>20000</v>
      </c>
      <c r="F383" s="312" t="str">
        <f>C383</f>
        <v>No</v>
      </c>
      <c r="G383" s="334"/>
      <c r="H383" s="302">
        <f>D383*E383</f>
        <v>740000</v>
      </c>
      <c r="I383" s="331"/>
    </row>
    <row r="384" spans="1:9" ht="20.149999999999999" customHeight="1">
      <c r="A384" s="12"/>
      <c r="B384" s="12"/>
      <c r="C384" s="12"/>
      <c r="D384" s="66"/>
      <c r="E384" s="15"/>
      <c r="F384" s="12"/>
      <c r="G384" s="318">
        <f>SUM(G379:G383)</f>
        <v>927995.7</v>
      </c>
      <c r="H384" s="318">
        <f>SUM(H379:H383)</f>
        <v>740000</v>
      </c>
      <c r="I384" s="24"/>
    </row>
    <row r="385" spans="1:11" ht="20.149999999999999" customHeight="1">
      <c r="A385" s="12"/>
      <c r="B385" s="12"/>
      <c r="C385" s="12"/>
      <c r="D385" s="66"/>
      <c r="E385" s="15"/>
      <c r="F385" s="12"/>
      <c r="G385" s="13"/>
      <c r="H385" s="13"/>
      <c r="I385" s="24"/>
    </row>
    <row r="386" spans="1:11" ht="20.149999999999999" customHeight="1">
      <c r="A386" s="31"/>
      <c r="B386" s="31"/>
      <c r="C386" s="31"/>
      <c r="D386" s="84"/>
      <c r="E386" s="209"/>
      <c r="F386" s="31"/>
      <c r="G386" s="213"/>
      <c r="H386" s="13"/>
      <c r="I386" s="24"/>
    </row>
    <row r="387" spans="1:11" ht="25" customHeight="1">
      <c r="A387" s="493" t="s">
        <v>63</v>
      </c>
      <c r="B387" s="493"/>
      <c r="C387" s="493"/>
      <c r="D387" s="493"/>
      <c r="E387" s="493"/>
      <c r="F387" s="493"/>
      <c r="G387" s="373">
        <f>SUM(G6:G386)/2</f>
        <v>208044765.83000001</v>
      </c>
      <c r="H387" s="373">
        <f>SUM(H6:H386)/2</f>
        <v>84491740</v>
      </c>
      <c r="I387" s="373">
        <f>SUM(I6:I386)/2</f>
        <v>9782400</v>
      </c>
      <c r="J387" s="1"/>
      <c r="K387" s="7"/>
    </row>
    <row r="388" spans="1:11" ht="25" customHeight="1">
      <c r="A388" s="4"/>
      <c r="B388" s="5"/>
      <c r="C388" s="4"/>
      <c r="D388" s="6"/>
      <c r="E388" s="89"/>
      <c r="F388" s="90"/>
      <c r="G388" s="87"/>
      <c r="H388" s="25"/>
      <c r="I388" s="1"/>
      <c r="J388" s="1"/>
      <c r="K388" s="7"/>
    </row>
    <row r="389" spans="1:11" ht="19.899999999999999" customHeight="1">
      <c r="H389" s="25">
        <f>G387+H387+I387</f>
        <v>302318905.82999998</v>
      </c>
    </row>
    <row r="390" spans="1:11" ht="19.899999999999999" customHeight="1">
      <c r="H390" s="25"/>
    </row>
  </sheetData>
  <autoFilter ref="A4:G390" xr:uid="{A7711234-58F2-41C5-9A8F-5E5CBE0CB63F}"/>
  <mergeCells count="12">
    <mergeCell ref="A387:F387"/>
    <mergeCell ref="F4:F5"/>
    <mergeCell ref="A4:A5"/>
    <mergeCell ref="G4:H4"/>
    <mergeCell ref="I4:I5"/>
    <mergeCell ref="A1:G1"/>
    <mergeCell ref="E4:E5"/>
    <mergeCell ref="D4:D5"/>
    <mergeCell ref="A2:G2"/>
    <mergeCell ref="A3:G3"/>
    <mergeCell ref="B4:B5"/>
    <mergeCell ref="C4:C5"/>
  </mergeCells>
  <phoneticPr fontId="7" type="noConversion"/>
  <printOptions horizontalCentered="1"/>
  <pageMargins left="0.5" right="0" top="0.75" bottom="0.5" header="0.5" footer="0.25"/>
  <pageSetup paperSize="9" orientation="portrait" horizontalDpi="300" verticalDpi="300" r:id="rId1"/>
  <headerFooter alignWithMargins="0">
    <oddFooter>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528D-27B9-4211-A872-59A73BCB957B}">
  <sheetPr>
    <tabColor indexed="40"/>
  </sheetPr>
  <dimension ref="A1:N1329"/>
  <sheetViews>
    <sheetView zoomScale="130" zoomScaleNormal="130" workbookViewId="0">
      <selection activeCell="G9" sqref="G9"/>
    </sheetView>
  </sheetViews>
  <sheetFormatPr defaultColWidth="9.1796875" defaultRowHeight="12.5"/>
  <cols>
    <col min="1" max="1" width="4" style="69" customWidth="1"/>
    <col min="2" max="2" width="24.453125" style="63" customWidth="1"/>
    <col min="3" max="3" width="6.54296875" style="63" customWidth="1"/>
    <col min="4" max="4" width="6.54296875" style="205" customWidth="1"/>
    <col min="5" max="5" width="9.1796875" style="206" customWidth="1"/>
    <col min="6" max="6" width="8" style="206" bestFit="1" customWidth="1"/>
    <col min="7" max="7" width="7.7265625" style="206" customWidth="1"/>
    <col min="8" max="8" width="11.1796875" style="206" customWidth="1"/>
    <col min="9" max="9" width="10.7265625" style="206" customWidth="1"/>
    <col min="10" max="10" width="10.26953125" style="207" customWidth="1"/>
    <col min="11" max="11" width="6.1796875" style="138" customWidth="1"/>
    <col min="12" max="12" width="8.26953125" style="139" customWidth="1"/>
    <col min="13" max="13" width="15.1796875" style="63" customWidth="1"/>
    <col min="14" max="16384" width="9.1796875" style="63"/>
  </cols>
  <sheetData>
    <row r="1" spans="1:13" s="1" customFormat="1" ht="25" customHeight="1">
      <c r="A1" s="482" t="s">
        <v>402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</row>
    <row r="2" spans="1:13" s="3" customFormat="1" ht="25" customHeight="1">
      <c r="A2" s="498" t="s">
        <v>505</v>
      </c>
      <c r="B2" s="498"/>
      <c r="C2" s="498"/>
      <c r="D2" s="498"/>
      <c r="E2" s="498"/>
      <c r="F2" s="498"/>
      <c r="G2" s="498"/>
      <c r="H2" s="498"/>
      <c r="I2" s="498"/>
      <c r="J2" s="498"/>
      <c r="K2" s="498"/>
    </row>
    <row r="3" spans="1:13" s="38" customFormat="1" ht="19.899999999999999" customHeight="1">
      <c r="A3" s="499" t="s">
        <v>23</v>
      </c>
      <c r="B3" s="499"/>
      <c r="C3" s="499"/>
      <c r="D3" s="499"/>
      <c r="E3" s="499"/>
      <c r="F3" s="499"/>
      <c r="G3" s="499"/>
      <c r="H3" s="499"/>
      <c r="I3" s="499"/>
      <c r="J3" s="499"/>
      <c r="K3" s="499"/>
    </row>
    <row r="4" spans="1:13" ht="17.149999999999999" customHeight="1">
      <c r="A4" s="503" t="s">
        <v>0</v>
      </c>
      <c r="B4" s="496" t="s">
        <v>1</v>
      </c>
      <c r="C4" s="221"/>
      <c r="D4" s="502" t="s">
        <v>35</v>
      </c>
      <c r="E4" s="483" t="s">
        <v>24</v>
      </c>
      <c r="F4" s="483"/>
      <c r="G4" s="483"/>
      <c r="H4" s="483" t="s">
        <v>25</v>
      </c>
      <c r="I4" s="483" t="s">
        <v>6</v>
      </c>
      <c r="J4" s="500" t="s">
        <v>64</v>
      </c>
      <c r="K4" s="483" t="s">
        <v>16</v>
      </c>
    </row>
    <row r="5" spans="1:13" ht="17.149999999999999" customHeight="1">
      <c r="A5" s="503"/>
      <c r="B5" s="497"/>
      <c r="C5" s="222"/>
      <c r="D5" s="502"/>
      <c r="E5" s="17" t="s">
        <v>3</v>
      </c>
      <c r="F5" s="17" t="s">
        <v>4</v>
      </c>
      <c r="G5" s="17" t="s">
        <v>5</v>
      </c>
      <c r="H5" s="483"/>
      <c r="I5" s="483"/>
      <c r="J5" s="501"/>
      <c r="K5" s="483"/>
    </row>
    <row r="6" spans="1:13" s="148" customFormat="1" ht="18.649999999999999" customHeight="1">
      <c r="A6" s="140">
        <v>1</v>
      </c>
      <c r="B6" s="141" t="s">
        <v>49</v>
      </c>
      <c r="C6" s="141"/>
      <c r="D6" s="142">
        <v>1</v>
      </c>
      <c r="E6" s="143">
        <f>40+20</f>
        <v>60</v>
      </c>
      <c r="F6" s="143">
        <f>27+13</f>
        <v>40</v>
      </c>
      <c r="G6" s="143"/>
      <c r="H6" s="143"/>
      <c r="I6" s="144">
        <f>F6*E6*D6</f>
        <v>2400</v>
      </c>
      <c r="J6" s="145">
        <f>SUM(I6)</f>
        <v>2400</v>
      </c>
      <c r="K6" s="146" t="s">
        <v>21</v>
      </c>
      <c r="L6" s="147"/>
    </row>
    <row r="7" spans="1:13" s="148" customFormat="1" ht="18.649999999999999" customHeight="1">
      <c r="A7" s="149"/>
      <c r="B7" s="149"/>
      <c r="C7" s="149"/>
      <c r="D7" s="150"/>
      <c r="E7" s="151"/>
      <c r="F7" s="151"/>
      <c r="G7" s="151"/>
      <c r="H7" s="151"/>
      <c r="I7" s="151"/>
      <c r="J7" s="151">
        <f>J6/100</f>
        <v>24</v>
      </c>
      <c r="K7" s="152" t="s">
        <v>12</v>
      </c>
      <c r="L7" s="147"/>
    </row>
    <row r="8" spans="1:13" s="148" customFormat="1" ht="18.649999999999999" customHeight="1">
      <c r="A8" s="149"/>
      <c r="B8" s="149"/>
      <c r="C8" s="149"/>
      <c r="D8" s="150"/>
      <c r="E8" s="151"/>
      <c r="F8" s="151"/>
      <c r="G8" s="151"/>
      <c r="H8" s="151"/>
      <c r="I8" s="151"/>
      <c r="J8" s="151"/>
      <c r="K8" s="152"/>
      <c r="L8" s="147"/>
    </row>
    <row r="9" spans="1:13" s="148" customFormat="1" ht="23">
      <c r="A9" s="149">
        <v>2</v>
      </c>
      <c r="B9" s="153" t="s">
        <v>50</v>
      </c>
      <c r="C9" s="153"/>
      <c r="D9" s="150">
        <f>D6</f>
        <v>1</v>
      </c>
      <c r="E9" s="151">
        <f>40+10</f>
        <v>50</v>
      </c>
      <c r="F9" s="151">
        <f>27+10</f>
        <v>37</v>
      </c>
      <c r="G9" s="151"/>
      <c r="H9" s="151"/>
      <c r="I9" s="154">
        <f>F9*E9*D9</f>
        <v>1850</v>
      </c>
      <c r="J9" s="155">
        <f>SUM(I9)</f>
        <v>1850</v>
      </c>
      <c r="K9" s="152" t="s">
        <v>21</v>
      </c>
      <c r="L9" s="147"/>
    </row>
    <row r="10" spans="1:13" s="148" customFormat="1" ht="18.649999999999999" customHeight="1">
      <c r="A10" s="149"/>
      <c r="B10" s="149"/>
      <c r="C10" s="149"/>
      <c r="D10" s="150"/>
      <c r="E10" s="151"/>
      <c r="F10" s="151"/>
      <c r="G10" s="151"/>
      <c r="H10" s="151"/>
      <c r="I10" s="151"/>
      <c r="J10" s="151"/>
      <c r="K10" s="152"/>
      <c r="L10" s="147"/>
    </row>
    <row r="11" spans="1:13" s="148" customFormat="1" ht="18.649999999999999" customHeight="1">
      <c r="A11" s="149">
        <v>3</v>
      </c>
      <c r="B11" s="156" t="s">
        <v>445</v>
      </c>
      <c r="C11" s="156"/>
      <c r="D11" s="150"/>
      <c r="E11" s="151"/>
      <c r="F11" s="151"/>
      <c r="G11" s="151"/>
      <c r="H11" s="151"/>
      <c r="I11" s="151"/>
      <c r="J11" s="151"/>
      <c r="K11" s="152"/>
      <c r="L11" s="147"/>
    </row>
    <row r="12" spans="1:13" s="148" customFormat="1" ht="18.649999999999999" customHeight="1">
      <c r="A12" s="149"/>
      <c r="B12" s="149" t="s">
        <v>446</v>
      </c>
      <c r="C12" s="149"/>
      <c r="D12" s="150"/>
      <c r="E12" s="151"/>
      <c r="F12" s="151"/>
      <c r="G12" s="151"/>
      <c r="H12" s="151"/>
      <c r="I12" s="151"/>
      <c r="J12" s="151"/>
      <c r="K12" s="152"/>
      <c r="L12" s="147"/>
    </row>
    <row r="13" spans="1:13" s="148" customFormat="1" ht="18.649999999999999" customHeight="1">
      <c r="A13" s="149"/>
      <c r="B13" s="149" t="s">
        <v>403</v>
      </c>
      <c r="C13" s="149"/>
      <c r="D13" s="150">
        <v>1</v>
      </c>
      <c r="E13" s="151">
        <v>34</v>
      </c>
      <c r="F13" s="151">
        <v>49</v>
      </c>
      <c r="G13" s="151">
        <f>7.75</f>
        <v>7.75</v>
      </c>
      <c r="H13" s="151"/>
      <c r="I13" s="151">
        <f>D13*E13*F13*G13</f>
        <v>12911.5</v>
      </c>
      <c r="J13" s="151">
        <f>I13/100</f>
        <v>129.12</v>
      </c>
      <c r="K13" s="158" t="s">
        <v>7</v>
      </c>
      <c r="L13" s="147"/>
      <c r="M13" s="220">
        <f>J13*35000</f>
        <v>4519200</v>
      </c>
    </row>
    <row r="14" spans="1:13" s="148" customFormat="1" ht="18.649999999999999" customHeight="1">
      <c r="A14" s="149"/>
      <c r="B14" s="149"/>
      <c r="C14" s="149"/>
      <c r="D14" s="150"/>
      <c r="E14" s="151"/>
      <c r="F14" s="151"/>
      <c r="G14" s="151"/>
      <c r="H14" s="151"/>
      <c r="I14" s="151"/>
      <c r="J14" s="151"/>
      <c r="K14" s="152"/>
      <c r="L14" s="147"/>
    </row>
    <row r="15" spans="1:13" s="148" customFormat="1" ht="18.649999999999999" customHeight="1">
      <c r="A15" s="149"/>
      <c r="B15" s="149"/>
      <c r="C15" s="149"/>
      <c r="D15" s="150"/>
      <c r="E15" s="151"/>
      <c r="F15" s="151"/>
      <c r="G15" s="151"/>
      <c r="H15" s="151"/>
      <c r="I15" s="151"/>
      <c r="J15" s="151"/>
      <c r="K15" s="152"/>
      <c r="L15" s="147"/>
    </row>
    <row r="16" spans="1:13" s="148" customFormat="1" ht="18.649999999999999" customHeight="1">
      <c r="A16" s="149">
        <v>4</v>
      </c>
      <c r="B16" s="159" t="s">
        <v>208</v>
      </c>
      <c r="C16" s="159"/>
      <c r="D16" s="150"/>
      <c r="E16" s="151"/>
      <c r="F16" s="151"/>
      <c r="G16" s="151"/>
      <c r="H16" s="151"/>
      <c r="I16" s="151"/>
      <c r="J16" s="151"/>
      <c r="K16" s="152"/>
      <c r="L16" s="147"/>
    </row>
    <row r="17" spans="1:12" s="148" customFormat="1" ht="18.649999999999999" customHeight="1">
      <c r="A17" s="149"/>
      <c r="B17" s="149" t="s">
        <v>88</v>
      </c>
      <c r="C17" s="149"/>
      <c r="D17" s="150"/>
      <c r="E17" s="151"/>
      <c r="F17" s="151"/>
      <c r="G17" s="151"/>
      <c r="H17" s="151"/>
      <c r="I17" s="151"/>
      <c r="J17" s="151"/>
      <c r="K17" s="152"/>
      <c r="L17" s="147"/>
    </row>
    <row r="18" spans="1:12" s="148" customFormat="1" ht="18.649999999999999" customHeight="1">
      <c r="A18" s="149"/>
      <c r="B18" s="157" t="s">
        <v>210</v>
      </c>
      <c r="C18" s="157"/>
      <c r="D18" s="150">
        <v>2</v>
      </c>
      <c r="E18" s="151">
        <f>6+1</f>
        <v>7</v>
      </c>
      <c r="F18" s="151">
        <f>E18</f>
        <v>7</v>
      </c>
      <c r="G18" s="151">
        <f>0.5</f>
        <v>0.5</v>
      </c>
      <c r="H18" s="151"/>
      <c r="I18" s="154">
        <f>D18*E18*F18*G18</f>
        <v>49</v>
      </c>
      <c r="J18" s="151"/>
      <c r="K18" s="152" t="s">
        <v>28</v>
      </c>
      <c r="L18" s="147"/>
    </row>
    <row r="19" spans="1:12" s="148" customFormat="1" ht="18.649999999999999" customHeight="1">
      <c r="A19" s="149"/>
      <c r="B19" s="157" t="s">
        <v>211</v>
      </c>
      <c r="C19" s="157"/>
      <c r="D19" s="150">
        <v>1</v>
      </c>
      <c r="E19" s="151">
        <f>7+1</f>
        <v>8</v>
      </c>
      <c r="F19" s="151">
        <f>E19</f>
        <v>8</v>
      </c>
      <c r="G19" s="151">
        <f>0.5</f>
        <v>0.5</v>
      </c>
      <c r="H19" s="151"/>
      <c r="I19" s="154">
        <f>D19*E19*F19*G19</f>
        <v>32</v>
      </c>
      <c r="J19" s="151"/>
      <c r="K19" s="152" t="s">
        <v>28</v>
      </c>
      <c r="L19" s="147"/>
    </row>
    <row r="20" spans="1:12" s="148" customFormat="1" ht="18.649999999999999" customHeight="1">
      <c r="A20" s="149"/>
      <c r="B20" s="157" t="s">
        <v>212</v>
      </c>
      <c r="C20" s="157"/>
      <c r="D20" s="150">
        <v>3</v>
      </c>
      <c r="E20" s="151">
        <f>8+1</f>
        <v>9</v>
      </c>
      <c r="F20" s="151">
        <f>E20</f>
        <v>9</v>
      </c>
      <c r="G20" s="151">
        <f>0.5</f>
        <v>0.5</v>
      </c>
      <c r="H20" s="151"/>
      <c r="I20" s="154">
        <f>D20*E20*F20*G20</f>
        <v>121.5</v>
      </c>
      <c r="J20" s="151"/>
      <c r="K20" s="152" t="s">
        <v>28</v>
      </c>
      <c r="L20" s="147"/>
    </row>
    <row r="21" spans="1:12" s="148" customFormat="1" ht="18.649999999999999" customHeight="1">
      <c r="A21" s="149"/>
      <c r="B21" s="157" t="s">
        <v>209</v>
      </c>
      <c r="C21" s="157"/>
      <c r="D21" s="150">
        <v>1</v>
      </c>
      <c r="E21" s="151">
        <f>10.5+1</f>
        <v>11.5</v>
      </c>
      <c r="F21" s="151">
        <f>33.5+1</f>
        <v>34.5</v>
      </c>
      <c r="G21" s="151">
        <f>0.5</f>
        <v>0.5</v>
      </c>
      <c r="H21" s="151"/>
      <c r="I21" s="154">
        <f>D21*E21*F21*G21</f>
        <v>198.4</v>
      </c>
      <c r="J21" s="151"/>
      <c r="K21" s="152" t="s">
        <v>28</v>
      </c>
      <c r="L21" s="147"/>
    </row>
    <row r="22" spans="1:12" s="148" customFormat="1" ht="18.649999999999999" customHeight="1">
      <c r="A22" s="149"/>
      <c r="B22" s="157" t="s">
        <v>217</v>
      </c>
      <c r="C22" s="157"/>
      <c r="D22" s="150">
        <v>1</v>
      </c>
      <c r="E22" s="151">
        <f>4.5+1</f>
        <v>5.5</v>
      </c>
      <c r="F22" s="151">
        <f>47+1</f>
        <v>48</v>
      </c>
      <c r="G22" s="151">
        <f>0.5</f>
        <v>0.5</v>
      </c>
      <c r="H22" s="151"/>
      <c r="I22" s="154">
        <f>D22*E22*F22*G22</f>
        <v>132</v>
      </c>
      <c r="J22" s="151"/>
      <c r="K22" s="152" t="s">
        <v>28</v>
      </c>
      <c r="L22" s="147"/>
    </row>
    <row r="23" spans="1:12" s="148" customFormat="1" ht="18.649999999999999" customHeight="1">
      <c r="A23" s="149"/>
      <c r="B23" s="149"/>
      <c r="C23" s="149"/>
      <c r="D23" s="150"/>
      <c r="E23" s="151"/>
      <c r="F23" s="151"/>
      <c r="G23" s="151"/>
      <c r="H23" s="151"/>
      <c r="I23" s="151"/>
      <c r="J23" s="151">
        <f>SUM(I18:I23)</f>
        <v>532.9</v>
      </c>
      <c r="K23" s="152" t="s">
        <v>28</v>
      </c>
      <c r="L23" s="147"/>
    </row>
    <row r="24" spans="1:12" s="148" customFormat="1" ht="18.649999999999999" customHeight="1">
      <c r="A24" s="149"/>
      <c r="B24" s="149"/>
      <c r="C24" s="149"/>
      <c r="D24" s="150"/>
      <c r="E24" s="151"/>
      <c r="F24" s="151"/>
      <c r="G24" s="151"/>
      <c r="H24" s="151"/>
      <c r="I24" s="151"/>
      <c r="J24" s="151">
        <f>J23/100</f>
        <v>5.33</v>
      </c>
      <c r="K24" s="152" t="s">
        <v>7</v>
      </c>
      <c r="L24" s="147"/>
    </row>
    <row r="25" spans="1:12" s="148" customFormat="1" ht="18.649999999999999" customHeight="1">
      <c r="A25" s="149"/>
      <c r="B25" s="149"/>
      <c r="C25" s="149"/>
      <c r="D25" s="150"/>
      <c r="E25" s="151"/>
      <c r="F25" s="151"/>
      <c r="G25" s="151"/>
      <c r="H25" s="151"/>
      <c r="I25" s="151"/>
      <c r="J25" s="151"/>
      <c r="K25" s="152"/>
      <c r="L25" s="147"/>
    </row>
    <row r="26" spans="1:12" s="148" customFormat="1" ht="18.649999999999999" customHeight="1">
      <c r="A26" s="149">
        <v>5</v>
      </c>
      <c r="B26" s="159" t="s">
        <v>89</v>
      </c>
      <c r="C26" s="159"/>
      <c r="D26" s="150"/>
      <c r="E26" s="151"/>
      <c r="F26" s="151"/>
      <c r="G26" s="151"/>
      <c r="H26" s="151"/>
      <c r="I26" s="151"/>
      <c r="J26" s="151"/>
      <c r="K26" s="152"/>
      <c r="L26" s="147"/>
    </row>
    <row r="27" spans="1:12" s="148" customFormat="1" ht="18.649999999999999" customHeight="1">
      <c r="A27" s="149"/>
      <c r="B27" s="159" t="s">
        <v>88</v>
      </c>
      <c r="C27" s="159"/>
      <c r="D27" s="150"/>
      <c r="E27" s="151"/>
      <c r="F27" s="151"/>
      <c r="G27" s="151"/>
      <c r="H27" s="151"/>
      <c r="I27" s="151"/>
      <c r="J27" s="151"/>
      <c r="K27" s="152"/>
      <c r="L27" s="147"/>
    </row>
    <row r="28" spans="1:12" s="148" customFormat="1" ht="18.649999999999999" customHeight="1">
      <c r="A28" s="149"/>
      <c r="B28" s="157" t="str">
        <f>B18</f>
        <v>F1 (6' 0" x 6' 0" x 0'-10")</v>
      </c>
      <c r="C28" s="157"/>
      <c r="D28" s="150">
        <f>D18</f>
        <v>2</v>
      </c>
      <c r="E28" s="151">
        <v>6</v>
      </c>
      <c r="F28" s="151">
        <v>6</v>
      </c>
      <c r="G28" s="151">
        <f>0.25</f>
        <v>0.25</v>
      </c>
      <c r="H28" s="151"/>
      <c r="I28" s="154">
        <f>D28*E28*F28*G28</f>
        <v>18</v>
      </c>
      <c r="J28" s="151"/>
      <c r="K28" s="152" t="s">
        <v>28</v>
      </c>
      <c r="L28" s="147"/>
    </row>
    <row r="29" spans="1:12" s="148" customFormat="1" ht="18.649999999999999" customHeight="1">
      <c r="A29" s="149"/>
      <c r="B29" s="157" t="str">
        <f>B19</f>
        <v>F2 (7' 0" x 7' 0" x 1'-0")</v>
      </c>
      <c r="C29" s="157"/>
      <c r="D29" s="150">
        <f>D19</f>
        <v>1</v>
      </c>
      <c r="E29" s="151">
        <v>7</v>
      </c>
      <c r="F29" s="151">
        <v>7</v>
      </c>
      <c r="G29" s="151">
        <f>0.25</f>
        <v>0.25</v>
      </c>
      <c r="H29" s="151"/>
      <c r="I29" s="154">
        <f>D29*E29*F29*G29</f>
        <v>12.3</v>
      </c>
      <c r="J29" s="151"/>
      <c r="K29" s="152" t="s">
        <v>28</v>
      </c>
      <c r="L29" s="147"/>
    </row>
    <row r="30" spans="1:12" s="148" customFormat="1" ht="18.649999999999999" customHeight="1">
      <c r="A30" s="149"/>
      <c r="B30" s="157" t="str">
        <f>B20</f>
        <v>F3 (8' 0" x 8' 0" x 1'-0")</v>
      </c>
      <c r="C30" s="157"/>
      <c r="D30" s="150">
        <f>D20</f>
        <v>3</v>
      </c>
      <c r="E30" s="151">
        <v>8</v>
      </c>
      <c r="F30" s="151">
        <v>8</v>
      </c>
      <c r="G30" s="151">
        <f>0.25</f>
        <v>0.25</v>
      </c>
      <c r="H30" s="151"/>
      <c r="I30" s="154">
        <f>D30*E30*F30*G30</f>
        <v>48</v>
      </c>
      <c r="J30" s="151"/>
      <c r="K30" s="152" t="s">
        <v>28</v>
      </c>
      <c r="L30" s="147"/>
    </row>
    <row r="31" spans="1:12" s="148" customFormat="1" ht="18.649999999999999" customHeight="1">
      <c r="A31" s="149"/>
      <c r="B31" s="157" t="str">
        <f>B21</f>
        <v>SF1 (10' 6" x 33' 6" x 1'-2")</v>
      </c>
      <c r="C31" s="157"/>
      <c r="D31" s="150">
        <f>D21</f>
        <v>1</v>
      </c>
      <c r="E31" s="151">
        <v>10.5</v>
      </c>
      <c r="F31" s="151">
        <v>33.5</v>
      </c>
      <c r="G31" s="151">
        <f>1.17</f>
        <v>1.17</v>
      </c>
      <c r="H31" s="151"/>
      <c r="I31" s="154">
        <f>D31*E31*F31*G31</f>
        <v>411.5</v>
      </c>
      <c r="J31" s="151"/>
      <c r="K31" s="152" t="s">
        <v>28</v>
      </c>
      <c r="L31" s="147"/>
    </row>
    <row r="32" spans="1:12" s="148" customFormat="1" ht="18.649999999999999" customHeight="1">
      <c r="A32" s="149"/>
      <c r="B32" s="157" t="str">
        <f>B22</f>
        <v>SF2 (4' 6" x 47' 0" x 1'-0")</v>
      </c>
      <c r="C32" s="157"/>
      <c r="D32" s="150">
        <f>D22</f>
        <v>1</v>
      </c>
      <c r="E32" s="151">
        <f>4.5</f>
        <v>4.5</v>
      </c>
      <c r="F32" s="151">
        <v>47</v>
      </c>
      <c r="G32" s="151">
        <v>1</v>
      </c>
      <c r="H32" s="151"/>
      <c r="I32" s="154">
        <f>D32*E32*F32*G32</f>
        <v>211.5</v>
      </c>
      <c r="J32" s="151"/>
      <c r="K32" s="152" t="s">
        <v>28</v>
      </c>
      <c r="L32" s="147"/>
    </row>
    <row r="33" spans="1:12" s="148" customFormat="1" ht="18.649999999999999" customHeight="1">
      <c r="A33" s="149"/>
      <c r="B33" s="157"/>
      <c r="C33" s="157"/>
      <c r="D33" s="150">
        <f>SUM(D28:D32)</f>
        <v>8</v>
      </c>
      <c r="E33" s="151"/>
      <c r="F33" s="151"/>
      <c r="G33" s="151"/>
      <c r="H33" s="151"/>
      <c r="I33" s="151"/>
      <c r="J33" s="151">
        <f>SUM(I28:I33)</f>
        <v>701.3</v>
      </c>
      <c r="K33" s="152" t="s">
        <v>28</v>
      </c>
      <c r="L33" s="147"/>
    </row>
    <row r="34" spans="1:12" s="148" customFormat="1" ht="18.649999999999999" customHeight="1">
      <c r="A34" s="149"/>
      <c r="B34" s="156" t="s">
        <v>506</v>
      </c>
      <c r="C34" s="156"/>
      <c r="D34" s="150"/>
      <c r="E34" s="151"/>
      <c r="F34" s="151"/>
      <c r="G34" s="151"/>
      <c r="H34" s="151"/>
      <c r="I34" s="151"/>
      <c r="J34" s="151"/>
      <c r="K34" s="152"/>
      <c r="L34" s="147"/>
    </row>
    <row r="35" spans="1:12" s="148" customFormat="1" ht="18.649999999999999" customHeight="1">
      <c r="A35" s="149"/>
      <c r="B35" s="157" t="s">
        <v>215</v>
      </c>
      <c r="C35" s="157"/>
      <c r="D35" s="150">
        <v>1</v>
      </c>
      <c r="E35" s="151">
        <f>40-5*1</f>
        <v>35</v>
      </c>
      <c r="F35" s="151">
        <f>1.67</f>
        <v>1.67</v>
      </c>
      <c r="G35" s="151">
        <v>0.5</v>
      </c>
      <c r="H35" s="151"/>
      <c r="I35" s="151">
        <f>D35*E35*F35*G35</f>
        <v>29.23</v>
      </c>
      <c r="J35" s="151"/>
      <c r="K35" s="152" t="s">
        <v>28</v>
      </c>
      <c r="L35" s="147"/>
    </row>
    <row r="36" spans="1:12" s="148" customFormat="1" ht="18.649999999999999" customHeight="1">
      <c r="A36" s="149"/>
      <c r="B36" s="157" t="s">
        <v>214</v>
      </c>
      <c r="C36" s="157"/>
      <c r="D36" s="150">
        <v>1</v>
      </c>
      <c r="E36" s="151">
        <f>40-5*1</f>
        <v>35</v>
      </c>
      <c r="F36" s="151">
        <f>F35</f>
        <v>1.67</v>
      </c>
      <c r="G36" s="151">
        <f>G35</f>
        <v>0.5</v>
      </c>
      <c r="H36" s="151"/>
      <c r="I36" s="151">
        <f>D36*E36*F36*G36</f>
        <v>29.23</v>
      </c>
      <c r="J36" s="151"/>
      <c r="K36" s="152" t="s">
        <v>28</v>
      </c>
      <c r="L36" s="147"/>
    </row>
    <row r="37" spans="1:12" s="148" customFormat="1" ht="18.649999999999999" customHeight="1">
      <c r="A37" s="149"/>
      <c r="B37" s="157" t="s">
        <v>213</v>
      </c>
      <c r="C37" s="157"/>
      <c r="D37" s="150">
        <v>1</v>
      </c>
      <c r="E37" s="151">
        <f>40-1*5</f>
        <v>35</v>
      </c>
      <c r="F37" s="151">
        <f t="shared" ref="F37:F46" si="0">F36</f>
        <v>1.67</v>
      </c>
      <c r="G37" s="151">
        <f t="shared" ref="G37:G46" si="1">G36</f>
        <v>0.5</v>
      </c>
      <c r="H37" s="151"/>
      <c r="I37" s="151">
        <f t="shared" ref="I37:I46" si="2">D37*E37*F37*G37</f>
        <v>29.23</v>
      </c>
      <c r="J37" s="151"/>
      <c r="K37" s="152" t="s">
        <v>28</v>
      </c>
      <c r="L37" s="147"/>
    </row>
    <row r="38" spans="1:12" s="148" customFormat="1" ht="18.649999999999999" customHeight="1">
      <c r="A38" s="149"/>
      <c r="B38" s="157" t="s">
        <v>216</v>
      </c>
      <c r="C38" s="157"/>
      <c r="D38" s="150">
        <v>1</v>
      </c>
      <c r="E38" s="151">
        <f>27-3</f>
        <v>24</v>
      </c>
      <c r="F38" s="151">
        <f t="shared" si="0"/>
        <v>1.67</v>
      </c>
      <c r="G38" s="151">
        <f t="shared" si="1"/>
        <v>0.5</v>
      </c>
      <c r="H38" s="151"/>
      <c r="I38" s="151">
        <f t="shared" si="2"/>
        <v>20.04</v>
      </c>
      <c r="J38" s="151"/>
      <c r="K38" s="152" t="s">
        <v>28</v>
      </c>
      <c r="L38" s="147"/>
    </row>
    <row r="39" spans="1:12" s="148" customFormat="1" ht="18.649999999999999" customHeight="1">
      <c r="A39" s="149"/>
      <c r="B39" s="157" t="s">
        <v>218</v>
      </c>
      <c r="C39" s="157"/>
      <c r="D39" s="150">
        <v>2</v>
      </c>
      <c r="E39" s="151">
        <f>27-3</f>
        <v>24</v>
      </c>
      <c r="F39" s="151">
        <f t="shared" si="0"/>
        <v>1.67</v>
      </c>
      <c r="G39" s="151">
        <f t="shared" si="1"/>
        <v>0.5</v>
      </c>
      <c r="H39" s="151"/>
      <c r="I39" s="151">
        <f t="shared" si="2"/>
        <v>40.08</v>
      </c>
      <c r="J39" s="151"/>
      <c r="K39" s="152" t="s">
        <v>28</v>
      </c>
      <c r="L39" s="147"/>
    </row>
    <row r="40" spans="1:12" s="148" customFormat="1" ht="18.649999999999999" customHeight="1">
      <c r="A40" s="149"/>
      <c r="B40" s="157" t="s">
        <v>219</v>
      </c>
      <c r="C40" s="157"/>
      <c r="D40" s="150">
        <v>1</v>
      </c>
      <c r="E40" s="151">
        <f>27-3</f>
        <v>24</v>
      </c>
      <c r="F40" s="151">
        <f t="shared" si="0"/>
        <v>1.67</v>
      </c>
      <c r="G40" s="151">
        <f t="shared" si="1"/>
        <v>0.5</v>
      </c>
      <c r="H40" s="151"/>
      <c r="I40" s="151">
        <f t="shared" si="2"/>
        <v>20.04</v>
      </c>
      <c r="J40" s="151"/>
      <c r="K40" s="152" t="s">
        <v>28</v>
      </c>
      <c r="L40" s="147"/>
    </row>
    <row r="41" spans="1:12" s="148" customFormat="1" ht="18.649999999999999" customHeight="1">
      <c r="A41" s="149"/>
      <c r="B41" s="157" t="s">
        <v>220</v>
      </c>
      <c r="C41" s="157"/>
      <c r="D41" s="150">
        <v>1</v>
      </c>
      <c r="E41" s="151">
        <f>27-3</f>
        <v>24</v>
      </c>
      <c r="F41" s="151">
        <f t="shared" si="0"/>
        <v>1.67</v>
      </c>
      <c r="G41" s="151">
        <f t="shared" si="1"/>
        <v>0.5</v>
      </c>
      <c r="H41" s="151"/>
      <c r="I41" s="151">
        <f t="shared" si="2"/>
        <v>20.04</v>
      </c>
      <c r="J41" s="151"/>
      <c r="K41" s="152" t="s">
        <v>28</v>
      </c>
      <c r="L41" s="147"/>
    </row>
    <row r="42" spans="1:12" s="148" customFormat="1" ht="18.649999999999999" customHeight="1">
      <c r="A42" s="149"/>
      <c r="B42" s="157" t="s">
        <v>222</v>
      </c>
      <c r="C42" s="157"/>
      <c r="D42" s="150">
        <v>1</v>
      </c>
      <c r="E42" s="151">
        <f>9-1.67</f>
        <v>7.33</v>
      </c>
      <c r="F42" s="151">
        <f t="shared" si="0"/>
        <v>1.67</v>
      </c>
      <c r="G42" s="151">
        <f t="shared" si="1"/>
        <v>0.5</v>
      </c>
      <c r="H42" s="151"/>
      <c r="I42" s="151">
        <f t="shared" si="2"/>
        <v>6.12</v>
      </c>
      <c r="J42" s="151"/>
      <c r="K42" s="152" t="s">
        <v>28</v>
      </c>
      <c r="L42" s="147"/>
    </row>
    <row r="43" spans="1:12" s="148" customFormat="1" ht="18.649999999999999" customHeight="1">
      <c r="A43" s="149"/>
      <c r="B43" s="157" t="s">
        <v>223</v>
      </c>
      <c r="C43" s="157"/>
      <c r="D43" s="150">
        <v>1</v>
      </c>
      <c r="E43" s="151">
        <f>28-1.67*4</f>
        <v>21.32</v>
      </c>
      <c r="F43" s="151">
        <f t="shared" si="0"/>
        <v>1.67</v>
      </c>
      <c r="G43" s="151">
        <f t="shared" si="1"/>
        <v>0.5</v>
      </c>
      <c r="H43" s="151"/>
      <c r="I43" s="151">
        <f t="shared" si="2"/>
        <v>17.8</v>
      </c>
      <c r="J43" s="151"/>
      <c r="K43" s="152" t="s">
        <v>28</v>
      </c>
      <c r="L43" s="147"/>
    </row>
    <row r="44" spans="1:12" s="148" customFormat="1" ht="18.649999999999999" customHeight="1">
      <c r="A44" s="149"/>
      <c r="B44" s="157" t="s">
        <v>224</v>
      </c>
      <c r="C44" s="157"/>
      <c r="D44" s="150">
        <v>1</v>
      </c>
      <c r="E44" s="151">
        <f>8-1.67</f>
        <v>6.33</v>
      </c>
      <c r="F44" s="151">
        <f t="shared" si="0"/>
        <v>1.67</v>
      </c>
      <c r="G44" s="151">
        <f t="shared" si="1"/>
        <v>0.5</v>
      </c>
      <c r="H44" s="151"/>
      <c r="I44" s="151">
        <f t="shared" si="2"/>
        <v>5.29</v>
      </c>
      <c r="J44" s="151"/>
      <c r="K44" s="152" t="s">
        <v>28</v>
      </c>
      <c r="L44" s="147"/>
    </row>
    <row r="45" spans="1:12" s="148" customFormat="1" ht="18.649999999999999" customHeight="1">
      <c r="A45" s="149"/>
      <c r="B45" s="157" t="s">
        <v>225</v>
      </c>
      <c r="C45" s="157"/>
      <c r="D45" s="150">
        <v>1</v>
      </c>
      <c r="E45" s="151">
        <f>4-1.67</f>
        <v>2.33</v>
      </c>
      <c r="F45" s="151">
        <f t="shared" si="0"/>
        <v>1.67</v>
      </c>
      <c r="G45" s="151">
        <f t="shared" si="1"/>
        <v>0.5</v>
      </c>
      <c r="H45" s="151"/>
      <c r="I45" s="151">
        <f t="shared" si="2"/>
        <v>1.95</v>
      </c>
      <c r="J45" s="151"/>
      <c r="K45" s="152" t="s">
        <v>28</v>
      </c>
      <c r="L45" s="147"/>
    </row>
    <row r="46" spans="1:12" s="148" customFormat="1" ht="18.649999999999999" customHeight="1">
      <c r="A46" s="149"/>
      <c r="B46" s="157" t="s">
        <v>226</v>
      </c>
      <c r="C46" s="157"/>
      <c r="D46" s="150">
        <v>1</v>
      </c>
      <c r="E46" s="151">
        <f>8-1.67</f>
        <v>6.33</v>
      </c>
      <c r="F46" s="151">
        <f t="shared" si="0"/>
        <v>1.67</v>
      </c>
      <c r="G46" s="151">
        <f t="shared" si="1"/>
        <v>0.5</v>
      </c>
      <c r="H46" s="151"/>
      <c r="I46" s="151">
        <f t="shared" si="2"/>
        <v>5.29</v>
      </c>
      <c r="J46" s="151"/>
      <c r="K46" s="152" t="s">
        <v>28</v>
      </c>
      <c r="L46" s="147"/>
    </row>
    <row r="47" spans="1:12" s="148" customFormat="1" ht="18.649999999999999" customHeight="1">
      <c r="A47" s="149"/>
      <c r="B47" s="149" t="s">
        <v>73</v>
      </c>
      <c r="C47" s="149"/>
      <c r="D47" s="151" t="s">
        <v>34</v>
      </c>
      <c r="E47" s="151">
        <f>D35*E35+D36*E36+D37*E37+D38*E38+D39*E39+D40*E40+D41*E41+D42*E42+D43*E43+D44*E44+D45*E45+D46*E46</f>
        <v>268.64</v>
      </c>
      <c r="F47" s="151"/>
      <c r="G47" s="151"/>
      <c r="H47" s="151"/>
      <c r="I47" s="151"/>
      <c r="J47" s="151">
        <f>SUM(I34:I47)</f>
        <v>224.34</v>
      </c>
      <c r="K47" s="152"/>
      <c r="L47" s="147"/>
    </row>
    <row r="48" spans="1:12" s="148" customFormat="1" ht="18.649999999999999" customHeight="1">
      <c r="A48" s="149"/>
      <c r="B48" s="149" t="s">
        <v>221</v>
      </c>
      <c r="C48" s="149"/>
      <c r="D48" s="150">
        <v>1</v>
      </c>
      <c r="E48" s="151">
        <v>11</v>
      </c>
      <c r="F48" s="151">
        <v>4</v>
      </c>
      <c r="G48" s="151">
        <f>0.5</f>
        <v>0.5</v>
      </c>
      <c r="H48" s="151"/>
      <c r="I48" s="151">
        <f>D48*E48*F48*G48</f>
        <v>22</v>
      </c>
      <c r="J48" s="151"/>
      <c r="K48" s="152" t="s">
        <v>28</v>
      </c>
      <c r="L48" s="147"/>
    </row>
    <row r="49" spans="1:12" s="148" customFormat="1" ht="18.649999999999999" customHeight="1">
      <c r="A49" s="149"/>
      <c r="B49" s="149" t="s">
        <v>227</v>
      </c>
      <c r="C49" s="149"/>
      <c r="D49" s="150">
        <v>1</v>
      </c>
      <c r="E49" s="151">
        <v>5</v>
      </c>
      <c r="F49" s="151">
        <v>3</v>
      </c>
      <c r="G49" s="151">
        <f>0.5</f>
        <v>0.5</v>
      </c>
      <c r="H49" s="151"/>
      <c r="I49" s="151">
        <f>D49*E49*F49*G49</f>
        <v>7.5</v>
      </c>
      <c r="J49" s="151"/>
      <c r="K49" s="152" t="s">
        <v>28</v>
      </c>
      <c r="L49" s="147"/>
    </row>
    <row r="50" spans="1:12" s="148" customFormat="1" ht="18.649999999999999" customHeight="1">
      <c r="A50" s="149"/>
      <c r="B50" s="149"/>
      <c r="C50" s="149"/>
      <c r="D50" s="150"/>
      <c r="E50" s="151"/>
      <c r="F50" s="151"/>
      <c r="G50" s="151"/>
      <c r="H50" s="151"/>
      <c r="I50" s="151"/>
      <c r="J50" s="151">
        <f>SUM(I48:I50)</f>
        <v>29.5</v>
      </c>
      <c r="K50" s="152" t="s">
        <v>28</v>
      </c>
      <c r="L50" s="147"/>
    </row>
    <row r="51" spans="1:12" s="148" customFormat="1" ht="18.649999999999999" customHeight="1">
      <c r="A51" s="149"/>
      <c r="B51" s="157"/>
      <c r="C51" s="157"/>
      <c r="D51" s="150"/>
      <c r="E51" s="151"/>
      <c r="F51" s="151"/>
      <c r="G51" s="151"/>
      <c r="H51" s="151"/>
      <c r="I51" s="151"/>
      <c r="J51" s="151">
        <f>SUM(I28:I51)</f>
        <v>955.14</v>
      </c>
      <c r="K51" s="158" t="s">
        <v>28</v>
      </c>
      <c r="L51" s="147"/>
    </row>
    <row r="52" spans="1:12" s="148" customFormat="1" ht="18.649999999999999" customHeight="1">
      <c r="A52" s="149"/>
      <c r="B52" s="157"/>
      <c r="C52" s="157"/>
      <c r="D52" s="150"/>
      <c r="E52" s="151"/>
      <c r="F52" s="151"/>
      <c r="G52" s="151"/>
      <c r="H52" s="151"/>
      <c r="I52" s="151"/>
      <c r="J52" s="151">
        <f>J51/100</f>
        <v>9.5500000000000007</v>
      </c>
      <c r="K52" s="158" t="s">
        <v>7</v>
      </c>
      <c r="L52" s="147"/>
    </row>
    <row r="53" spans="1:12" s="148" customFormat="1" ht="18.649999999999999" customHeight="1">
      <c r="A53" s="149"/>
      <c r="B53" s="149"/>
      <c r="C53" s="149"/>
      <c r="D53" s="150"/>
      <c r="E53" s="151"/>
      <c r="F53" s="151"/>
      <c r="G53" s="151"/>
      <c r="H53" s="151"/>
      <c r="I53" s="151"/>
      <c r="J53" s="151"/>
      <c r="K53" s="152"/>
      <c r="L53" s="147"/>
    </row>
    <row r="54" spans="1:12" s="148" customFormat="1" ht="18.649999999999999" customHeight="1">
      <c r="A54" s="149">
        <v>6</v>
      </c>
      <c r="B54" s="159" t="s">
        <v>170</v>
      </c>
      <c r="C54" s="159"/>
      <c r="D54" s="150"/>
      <c r="E54" s="151"/>
      <c r="F54" s="151"/>
      <c r="G54" s="151"/>
      <c r="H54" s="151"/>
      <c r="I54" s="151"/>
      <c r="J54" s="151"/>
      <c r="K54" s="152"/>
      <c r="L54" s="147"/>
    </row>
    <row r="55" spans="1:12" s="148" customFormat="1" ht="18.649999999999999" customHeight="1">
      <c r="A55" s="149"/>
      <c r="B55" s="149" t="str">
        <f>B34</f>
        <v>Retaining Wall</v>
      </c>
      <c r="C55" s="149"/>
      <c r="D55" s="150"/>
      <c r="E55" s="151"/>
      <c r="F55" s="151"/>
      <c r="G55" s="151"/>
      <c r="H55" s="151"/>
      <c r="I55" s="151"/>
      <c r="J55" s="151"/>
      <c r="K55" s="152"/>
      <c r="L55" s="147"/>
    </row>
    <row r="56" spans="1:12" s="148" customFormat="1" ht="18.649999999999999" customHeight="1">
      <c r="A56" s="149"/>
      <c r="B56" s="157" t="str">
        <f>B35</f>
        <v xml:space="preserve">Line A, 40' L </v>
      </c>
      <c r="C56" s="157"/>
      <c r="D56" s="150">
        <f>D35</f>
        <v>1</v>
      </c>
      <c r="E56" s="151">
        <f>E35</f>
        <v>35</v>
      </c>
      <c r="F56" s="151"/>
      <c r="G56" s="151"/>
      <c r="H56" s="151"/>
      <c r="I56" s="151"/>
      <c r="J56" s="151"/>
      <c r="K56" s="152"/>
      <c r="L56" s="147"/>
    </row>
    <row r="57" spans="1:12" s="148" customFormat="1" ht="18.649999999999999" customHeight="1">
      <c r="A57" s="149"/>
      <c r="B57" s="157" t="s">
        <v>181</v>
      </c>
      <c r="C57" s="157"/>
      <c r="D57" s="150">
        <f>D56</f>
        <v>1</v>
      </c>
      <c r="E57" s="151">
        <f>E56</f>
        <v>35</v>
      </c>
      <c r="F57" s="151">
        <f>13.5/12</f>
        <v>1.1299999999999999</v>
      </c>
      <c r="G57" s="151">
        <f>0.25</f>
        <v>0.25</v>
      </c>
      <c r="H57" s="151"/>
      <c r="I57" s="151">
        <f>D57*E57*F57*G57</f>
        <v>9.89</v>
      </c>
      <c r="J57" s="151"/>
      <c r="K57" s="152" t="s">
        <v>28</v>
      </c>
      <c r="L57" s="147"/>
    </row>
    <row r="58" spans="1:12" s="148" customFormat="1" ht="18.649999999999999" customHeight="1">
      <c r="A58" s="149"/>
      <c r="B58" s="157" t="s">
        <v>113</v>
      </c>
      <c r="C58" s="157"/>
      <c r="D58" s="150">
        <f>D56</f>
        <v>1</v>
      </c>
      <c r="E58" s="151">
        <f>E56</f>
        <v>35</v>
      </c>
      <c r="F58" s="151">
        <v>0.75</v>
      </c>
      <c r="G58" s="151">
        <f>3-0.5-0.25</f>
        <v>2.25</v>
      </c>
      <c r="H58" s="151"/>
      <c r="I58" s="151">
        <f>D58*E58*F58*G58</f>
        <v>59.06</v>
      </c>
      <c r="J58" s="151"/>
      <c r="K58" s="152" t="s">
        <v>28</v>
      </c>
      <c r="L58" s="147"/>
    </row>
    <row r="59" spans="1:12" s="148" customFormat="1" ht="18.649999999999999" customHeight="1">
      <c r="A59" s="149"/>
      <c r="B59" s="157" t="s">
        <v>114</v>
      </c>
      <c r="C59" s="157"/>
      <c r="D59" s="150">
        <f>D58</f>
        <v>1</v>
      </c>
      <c r="E59" s="151">
        <f>E58</f>
        <v>35</v>
      </c>
      <c r="F59" s="151">
        <f>0.75</f>
        <v>0.75</v>
      </c>
      <c r="G59" s="151">
        <f>3-1.17</f>
        <v>1.83</v>
      </c>
      <c r="H59" s="151"/>
      <c r="I59" s="151">
        <f>D59*E59*F59*G59</f>
        <v>48.04</v>
      </c>
      <c r="J59" s="151"/>
      <c r="K59" s="152" t="s">
        <v>28</v>
      </c>
      <c r="L59" s="147"/>
    </row>
    <row r="60" spans="1:12" s="148" customFormat="1" ht="18.649999999999999" customHeight="1">
      <c r="A60" s="149"/>
      <c r="B60" s="157"/>
      <c r="C60" s="157"/>
      <c r="D60" s="150"/>
      <c r="E60" s="151"/>
      <c r="F60" s="151"/>
      <c r="G60" s="151"/>
      <c r="H60" s="151"/>
      <c r="I60" s="151"/>
      <c r="J60" s="151"/>
      <c r="K60" s="152"/>
      <c r="L60" s="147"/>
    </row>
    <row r="61" spans="1:12" s="148" customFormat="1" ht="18.649999999999999" customHeight="1">
      <c r="A61" s="149"/>
      <c r="B61" s="157" t="str">
        <f>B36</f>
        <v>Line B, 40' L</v>
      </c>
      <c r="C61" s="157"/>
      <c r="D61" s="150">
        <f>D36</f>
        <v>1</v>
      </c>
      <c r="E61" s="151">
        <f>E36</f>
        <v>35</v>
      </c>
      <c r="F61" s="151"/>
      <c r="G61" s="151"/>
      <c r="H61" s="151"/>
      <c r="I61" s="151"/>
      <c r="J61" s="151"/>
      <c r="K61" s="152"/>
      <c r="L61" s="147"/>
    </row>
    <row r="62" spans="1:12" s="148" customFormat="1" ht="18.649999999999999" customHeight="1">
      <c r="A62" s="149"/>
      <c r="B62" s="157" t="s">
        <v>181</v>
      </c>
      <c r="C62" s="157"/>
      <c r="D62" s="150">
        <f>D61</f>
        <v>1</v>
      </c>
      <c r="E62" s="151">
        <f>E61</f>
        <v>35</v>
      </c>
      <c r="F62" s="151">
        <f>13.5/12</f>
        <v>1.1299999999999999</v>
      </c>
      <c r="G62" s="151">
        <f>0.25</f>
        <v>0.25</v>
      </c>
      <c r="H62" s="151"/>
      <c r="I62" s="151">
        <f>D62*E62*F62*G62</f>
        <v>9.89</v>
      </c>
      <c r="J62" s="151"/>
      <c r="K62" s="152" t="s">
        <v>28</v>
      </c>
      <c r="L62" s="147"/>
    </row>
    <row r="63" spans="1:12" s="148" customFormat="1" ht="18.649999999999999" customHeight="1">
      <c r="A63" s="149"/>
      <c r="B63" s="157" t="s">
        <v>113</v>
      </c>
      <c r="C63" s="157"/>
      <c r="D63" s="150">
        <f>D61</f>
        <v>1</v>
      </c>
      <c r="E63" s="151">
        <f>E61</f>
        <v>35</v>
      </c>
      <c r="F63" s="151">
        <v>0.75</v>
      </c>
      <c r="G63" s="151">
        <f>G58</f>
        <v>2.25</v>
      </c>
      <c r="H63" s="151"/>
      <c r="I63" s="151">
        <f>D63*E63*F63*G63</f>
        <v>59.06</v>
      </c>
      <c r="J63" s="151"/>
      <c r="K63" s="152" t="s">
        <v>28</v>
      </c>
      <c r="L63" s="147"/>
    </row>
    <row r="64" spans="1:12" s="148" customFormat="1" ht="18.649999999999999" customHeight="1">
      <c r="A64" s="149"/>
      <c r="B64" s="157" t="s">
        <v>114</v>
      </c>
      <c r="C64" s="157"/>
      <c r="D64" s="150">
        <f>D63</f>
        <v>1</v>
      </c>
      <c r="E64" s="151">
        <f>E63</f>
        <v>35</v>
      </c>
      <c r="F64" s="151">
        <f>0.75</f>
        <v>0.75</v>
      </c>
      <c r="G64" s="151">
        <f>3-1.17</f>
        <v>1.83</v>
      </c>
      <c r="H64" s="151"/>
      <c r="I64" s="151">
        <f>D64*E64*F64*G64</f>
        <v>48.04</v>
      </c>
      <c r="J64" s="151"/>
      <c r="K64" s="152" t="s">
        <v>28</v>
      </c>
      <c r="L64" s="147"/>
    </row>
    <row r="65" spans="1:12" s="148" customFormat="1" ht="18.649999999999999" customHeight="1">
      <c r="A65" s="149"/>
      <c r="B65" s="157"/>
      <c r="C65" s="157"/>
      <c r="D65" s="150"/>
      <c r="E65" s="151"/>
      <c r="F65" s="151"/>
      <c r="G65" s="151"/>
      <c r="H65" s="151"/>
      <c r="I65" s="151"/>
      <c r="J65" s="151"/>
      <c r="K65" s="152"/>
      <c r="L65" s="147"/>
    </row>
    <row r="66" spans="1:12" s="148" customFormat="1" ht="18.649999999999999" customHeight="1">
      <c r="A66" s="149"/>
      <c r="B66" s="157" t="str">
        <f>B37</f>
        <v>Line C, 40' L</v>
      </c>
      <c r="C66" s="157"/>
      <c r="D66" s="150">
        <f>D37</f>
        <v>1</v>
      </c>
      <c r="E66" s="151">
        <f>E37</f>
        <v>35</v>
      </c>
      <c r="F66" s="151"/>
      <c r="G66" s="151"/>
      <c r="H66" s="151"/>
      <c r="I66" s="151"/>
      <c r="J66" s="151"/>
      <c r="K66" s="152"/>
      <c r="L66" s="147"/>
    </row>
    <row r="67" spans="1:12" s="148" customFormat="1" ht="18.649999999999999" customHeight="1">
      <c r="A67" s="149"/>
      <c r="B67" s="157" t="s">
        <v>181</v>
      </c>
      <c r="C67" s="157"/>
      <c r="D67" s="150">
        <f>D66</f>
        <v>1</v>
      </c>
      <c r="E67" s="151">
        <f>E66</f>
        <v>35</v>
      </c>
      <c r="F67" s="151">
        <f>13.5/12</f>
        <v>1.1299999999999999</v>
      </c>
      <c r="G67" s="151">
        <f>0.25</f>
        <v>0.25</v>
      </c>
      <c r="H67" s="151"/>
      <c r="I67" s="151">
        <f>D67*E67*F67*G67</f>
        <v>9.89</v>
      </c>
      <c r="J67" s="151"/>
      <c r="K67" s="152" t="s">
        <v>28</v>
      </c>
      <c r="L67" s="147"/>
    </row>
    <row r="68" spans="1:12" s="148" customFormat="1" ht="18.649999999999999" customHeight="1">
      <c r="A68" s="149"/>
      <c r="B68" s="157" t="s">
        <v>113</v>
      </c>
      <c r="C68" s="157"/>
      <c r="D68" s="150">
        <f>D66</f>
        <v>1</v>
      </c>
      <c r="E68" s="151">
        <f>E66</f>
        <v>35</v>
      </c>
      <c r="F68" s="151">
        <v>0.75</v>
      </c>
      <c r="G68" s="151">
        <f>G63</f>
        <v>2.25</v>
      </c>
      <c r="H68" s="151"/>
      <c r="I68" s="151">
        <f>D68*E68*F68*G68</f>
        <v>59.06</v>
      </c>
      <c r="J68" s="151"/>
      <c r="K68" s="152" t="s">
        <v>28</v>
      </c>
      <c r="L68" s="147"/>
    </row>
    <row r="69" spans="1:12" s="148" customFormat="1" ht="18.649999999999999" customHeight="1">
      <c r="A69" s="149"/>
      <c r="B69" s="157" t="s">
        <v>114</v>
      </c>
      <c r="C69" s="157"/>
      <c r="D69" s="150">
        <f>D68</f>
        <v>1</v>
      </c>
      <c r="E69" s="151">
        <f>E68</f>
        <v>35</v>
      </c>
      <c r="F69" s="151">
        <f>0.75</f>
        <v>0.75</v>
      </c>
      <c r="G69" s="151">
        <f>3-1.17</f>
        <v>1.83</v>
      </c>
      <c r="H69" s="151"/>
      <c r="I69" s="151">
        <f>D69*E69*F69*G69</f>
        <v>48.04</v>
      </c>
      <c r="J69" s="151"/>
      <c r="K69" s="152" t="s">
        <v>28</v>
      </c>
      <c r="L69" s="147"/>
    </row>
    <row r="70" spans="1:12" s="148" customFormat="1" ht="18.649999999999999" customHeight="1">
      <c r="A70" s="149"/>
      <c r="B70" s="157"/>
      <c r="C70" s="157"/>
      <c r="D70" s="150"/>
      <c r="E70" s="151"/>
      <c r="F70" s="151"/>
      <c r="G70" s="151"/>
      <c r="H70" s="151"/>
      <c r="I70" s="151"/>
      <c r="J70" s="151"/>
      <c r="K70" s="152"/>
      <c r="L70" s="147"/>
    </row>
    <row r="71" spans="1:12" s="148" customFormat="1" ht="18.649999999999999" customHeight="1">
      <c r="A71" s="149"/>
      <c r="B71" s="157" t="str">
        <f>B38</f>
        <v>Line 1, 27' L</v>
      </c>
      <c r="C71" s="157"/>
      <c r="D71" s="150">
        <f>D38</f>
        <v>1</v>
      </c>
      <c r="E71" s="151">
        <f>E38</f>
        <v>24</v>
      </c>
      <c r="F71" s="151"/>
      <c r="G71" s="151"/>
      <c r="H71" s="151"/>
      <c r="I71" s="151"/>
      <c r="J71" s="151"/>
      <c r="K71" s="152"/>
      <c r="L71" s="147"/>
    </row>
    <row r="72" spans="1:12" s="148" customFormat="1" ht="18.649999999999999" customHeight="1">
      <c r="A72" s="149"/>
      <c r="B72" s="157" t="s">
        <v>181</v>
      </c>
      <c r="C72" s="157"/>
      <c r="D72" s="150">
        <f>D71</f>
        <v>1</v>
      </c>
      <c r="E72" s="151">
        <f>E71</f>
        <v>24</v>
      </c>
      <c r="F72" s="151">
        <f>13.5/12</f>
        <v>1.1299999999999999</v>
      </c>
      <c r="G72" s="151">
        <f>0.25</f>
        <v>0.25</v>
      </c>
      <c r="H72" s="151"/>
      <c r="I72" s="151">
        <f>D72*E72*F72*G72</f>
        <v>6.78</v>
      </c>
      <c r="J72" s="151"/>
      <c r="K72" s="152" t="s">
        <v>28</v>
      </c>
      <c r="L72" s="147"/>
    </row>
    <row r="73" spans="1:12" s="148" customFormat="1" ht="18.649999999999999" customHeight="1">
      <c r="A73" s="149"/>
      <c r="B73" s="157" t="str">
        <f>B58</f>
        <v>9" thk; (Up To N.G.L)</v>
      </c>
      <c r="C73" s="157"/>
      <c r="D73" s="150">
        <f>D71</f>
        <v>1</v>
      </c>
      <c r="E73" s="151">
        <f>E71</f>
        <v>24</v>
      </c>
      <c r="F73" s="151">
        <v>0.75</v>
      </c>
      <c r="G73" s="151">
        <f>G68</f>
        <v>2.25</v>
      </c>
      <c r="H73" s="151"/>
      <c r="I73" s="151">
        <f>D73*E73*F73*G73</f>
        <v>40.5</v>
      </c>
      <c r="J73" s="151"/>
      <c r="K73" s="152" t="s">
        <v>28</v>
      </c>
      <c r="L73" s="147"/>
    </row>
    <row r="74" spans="1:12" s="148" customFormat="1" ht="18.649999999999999" customHeight="1">
      <c r="A74" s="149"/>
      <c r="B74" s="157" t="s">
        <v>172</v>
      </c>
      <c r="C74" s="157"/>
      <c r="D74" s="150">
        <f>D71</f>
        <v>1</v>
      </c>
      <c r="E74" s="151">
        <f>E71</f>
        <v>24</v>
      </c>
      <c r="F74" s="151">
        <v>0.75</v>
      </c>
      <c r="G74" s="151">
        <f>3-1.17</f>
        <v>1.83</v>
      </c>
      <c r="H74" s="151"/>
      <c r="I74" s="151">
        <f>D74*E74*F74*G74</f>
        <v>32.94</v>
      </c>
      <c r="J74" s="151"/>
      <c r="K74" s="152" t="s">
        <v>28</v>
      </c>
      <c r="L74" s="147"/>
    </row>
    <row r="75" spans="1:12" s="148" customFormat="1" ht="18.649999999999999" customHeight="1">
      <c r="A75" s="149"/>
      <c r="B75" s="157"/>
      <c r="C75" s="157"/>
      <c r="D75" s="150"/>
      <c r="E75" s="151"/>
      <c r="F75" s="151"/>
      <c r="G75" s="151"/>
      <c r="H75" s="151"/>
      <c r="I75" s="151"/>
      <c r="J75" s="151"/>
      <c r="K75" s="152"/>
      <c r="L75" s="147"/>
    </row>
    <row r="76" spans="1:12" s="148" customFormat="1" ht="18.649999999999999" customHeight="1">
      <c r="A76" s="149"/>
      <c r="B76" s="157" t="str">
        <f>B39</f>
        <v>Line 2, 3, 27' L</v>
      </c>
      <c r="C76" s="157"/>
      <c r="D76" s="150">
        <f>D39</f>
        <v>2</v>
      </c>
      <c r="E76" s="151">
        <f>E39</f>
        <v>24</v>
      </c>
      <c r="F76" s="151"/>
      <c r="G76" s="151"/>
      <c r="H76" s="151"/>
      <c r="I76" s="151"/>
      <c r="J76" s="151"/>
      <c r="K76" s="152"/>
      <c r="L76" s="147"/>
    </row>
    <row r="77" spans="1:12" s="148" customFormat="1" ht="18.649999999999999" customHeight="1">
      <c r="A77" s="149"/>
      <c r="B77" s="157" t="s">
        <v>181</v>
      </c>
      <c r="C77" s="157"/>
      <c r="D77" s="150">
        <f>D76</f>
        <v>2</v>
      </c>
      <c r="E77" s="151">
        <f>E76</f>
        <v>24</v>
      </c>
      <c r="F77" s="151">
        <f>13.5/12</f>
        <v>1.1299999999999999</v>
      </c>
      <c r="G77" s="151">
        <f>0.25</f>
        <v>0.25</v>
      </c>
      <c r="H77" s="151"/>
      <c r="I77" s="151">
        <f>D77*E77*F77*G77</f>
        <v>13.56</v>
      </c>
      <c r="J77" s="151"/>
      <c r="K77" s="152" t="s">
        <v>28</v>
      </c>
      <c r="L77" s="147"/>
    </row>
    <row r="78" spans="1:12" s="148" customFormat="1" ht="18.649999999999999" customHeight="1">
      <c r="A78" s="149"/>
      <c r="B78" s="157" t="str">
        <f>B63</f>
        <v>9" thk; (Up To N.G.L)</v>
      </c>
      <c r="C78" s="157"/>
      <c r="D78" s="150">
        <f>D76</f>
        <v>2</v>
      </c>
      <c r="E78" s="151">
        <f>E76</f>
        <v>24</v>
      </c>
      <c r="F78" s="151">
        <v>0.75</v>
      </c>
      <c r="G78" s="151">
        <f>G73</f>
        <v>2.25</v>
      </c>
      <c r="H78" s="151"/>
      <c r="I78" s="151">
        <f>D78*E78*F78*G78</f>
        <v>81</v>
      </c>
      <c r="J78" s="151"/>
      <c r="K78" s="152" t="s">
        <v>28</v>
      </c>
      <c r="L78" s="147"/>
    </row>
    <row r="79" spans="1:12" s="148" customFormat="1" ht="18.649999999999999" customHeight="1">
      <c r="A79" s="149"/>
      <c r="B79" s="157" t="s">
        <v>172</v>
      </c>
      <c r="C79" s="157"/>
      <c r="D79" s="150">
        <f>D76</f>
        <v>2</v>
      </c>
      <c r="E79" s="151">
        <f>E76</f>
        <v>24</v>
      </c>
      <c r="F79" s="151">
        <v>0.75</v>
      </c>
      <c r="G79" s="151">
        <f>3-1.17</f>
        <v>1.83</v>
      </c>
      <c r="H79" s="151"/>
      <c r="I79" s="151">
        <f>D79*E79*F79*G79</f>
        <v>65.88</v>
      </c>
      <c r="J79" s="151"/>
      <c r="K79" s="152" t="s">
        <v>28</v>
      </c>
      <c r="L79" s="147"/>
    </row>
    <row r="80" spans="1:12" s="148" customFormat="1" ht="18.649999999999999" customHeight="1">
      <c r="A80" s="149"/>
      <c r="B80" s="157"/>
      <c r="C80" s="157"/>
      <c r="D80" s="150"/>
      <c r="E80" s="151"/>
      <c r="F80" s="151"/>
      <c r="G80" s="151"/>
      <c r="H80" s="151"/>
      <c r="I80" s="151"/>
      <c r="J80" s="151"/>
      <c r="K80" s="152"/>
      <c r="L80" s="147"/>
    </row>
    <row r="81" spans="1:12" s="148" customFormat="1" ht="18.649999999999999" customHeight="1">
      <c r="A81" s="149"/>
      <c r="B81" s="157" t="str">
        <f>B40</f>
        <v>Line 4, 27' L</v>
      </c>
      <c r="C81" s="157"/>
      <c r="D81" s="150">
        <f>D40</f>
        <v>1</v>
      </c>
      <c r="E81" s="151">
        <f>E40</f>
        <v>24</v>
      </c>
      <c r="F81" s="151"/>
      <c r="G81" s="151"/>
      <c r="H81" s="151"/>
      <c r="I81" s="151"/>
      <c r="J81" s="151"/>
      <c r="K81" s="152"/>
      <c r="L81" s="147"/>
    </row>
    <row r="82" spans="1:12" s="148" customFormat="1" ht="18.649999999999999" customHeight="1">
      <c r="A82" s="149"/>
      <c r="B82" s="157" t="s">
        <v>181</v>
      </c>
      <c r="C82" s="157"/>
      <c r="D82" s="150">
        <f>D81</f>
        <v>1</v>
      </c>
      <c r="E82" s="151">
        <f>E81</f>
        <v>24</v>
      </c>
      <c r="F82" s="151">
        <f>13.5/12</f>
        <v>1.1299999999999999</v>
      </c>
      <c r="G82" s="151">
        <f>0.25</f>
        <v>0.25</v>
      </c>
      <c r="H82" s="151"/>
      <c r="I82" s="151">
        <f>D82*E82*F82*G82</f>
        <v>6.78</v>
      </c>
      <c r="J82" s="151"/>
      <c r="K82" s="152" t="s">
        <v>28</v>
      </c>
      <c r="L82" s="147"/>
    </row>
    <row r="83" spans="1:12" s="148" customFormat="1" ht="18.649999999999999" customHeight="1">
      <c r="A83" s="149"/>
      <c r="B83" s="157" t="str">
        <f>B68</f>
        <v>9" thk; (Up To N.G.L)</v>
      </c>
      <c r="C83" s="157"/>
      <c r="D83" s="150">
        <f>D81</f>
        <v>1</v>
      </c>
      <c r="E83" s="151">
        <f>E82</f>
        <v>24</v>
      </c>
      <c r="F83" s="151">
        <v>0.75</v>
      </c>
      <c r="G83" s="151">
        <f>G78</f>
        <v>2.25</v>
      </c>
      <c r="H83" s="151"/>
      <c r="I83" s="151">
        <f>D83*E83*F83*G83</f>
        <v>40.5</v>
      </c>
      <c r="J83" s="151"/>
      <c r="K83" s="152" t="s">
        <v>28</v>
      </c>
      <c r="L83" s="147"/>
    </row>
    <row r="84" spans="1:12" s="148" customFormat="1" ht="18.649999999999999" customHeight="1">
      <c r="A84" s="149"/>
      <c r="B84" s="157" t="s">
        <v>172</v>
      </c>
      <c r="C84" s="157"/>
      <c r="D84" s="150">
        <f>D81</f>
        <v>1</v>
      </c>
      <c r="E84" s="151">
        <f>13.5-0.5</f>
        <v>13</v>
      </c>
      <c r="F84" s="151">
        <v>0.75</v>
      </c>
      <c r="G84" s="151">
        <f>3-1.17</f>
        <v>1.83</v>
      </c>
      <c r="H84" s="151"/>
      <c r="I84" s="151">
        <f>D84*E84*F84*G84</f>
        <v>17.84</v>
      </c>
      <c r="J84" s="151"/>
      <c r="K84" s="152" t="s">
        <v>28</v>
      </c>
      <c r="L84" s="147"/>
    </row>
    <row r="85" spans="1:12" s="148" customFormat="1" ht="18.649999999999999" customHeight="1">
      <c r="A85" s="149"/>
      <c r="B85" s="157" t="s">
        <v>172</v>
      </c>
      <c r="C85" s="157"/>
      <c r="D85" s="150">
        <f>D81</f>
        <v>1</v>
      </c>
      <c r="E85" s="151">
        <f>13.5-0.5</f>
        <v>13</v>
      </c>
      <c r="F85" s="151">
        <v>0.75</v>
      </c>
      <c r="G85" s="151">
        <f>3-1.33</f>
        <v>1.67</v>
      </c>
      <c r="H85" s="151"/>
      <c r="I85" s="151">
        <f>D85*E85*F85*G85</f>
        <v>16.28</v>
      </c>
      <c r="J85" s="151"/>
      <c r="K85" s="152" t="s">
        <v>28</v>
      </c>
      <c r="L85" s="147"/>
    </row>
    <row r="86" spans="1:12" s="148" customFormat="1" ht="18.649999999999999" customHeight="1">
      <c r="A86" s="149"/>
      <c r="B86" s="157"/>
      <c r="C86" s="157"/>
      <c r="D86" s="150"/>
      <c r="E86" s="151"/>
      <c r="F86" s="151"/>
      <c r="G86" s="151"/>
      <c r="H86" s="151"/>
      <c r="I86" s="151"/>
      <c r="J86" s="151"/>
      <c r="K86" s="152"/>
      <c r="L86" s="147"/>
    </row>
    <row r="87" spans="1:12" s="148" customFormat="1" ht="18.649999999999999" customHeight="1">
      <c r="A87" s="149"/>
      <c r="B87" s="157" t="str">
        <f>B41</f>
        <v>Line 5, 27' L</v>
      </c>
      <c r="C87" s="157"/>
      <c r="D87" s="150">
        <f>D41</f>
        <v>1</v>
      </c>
      <c r="E87" s="151">
        <f>E41</f>
        <v>24</v>
      </c>
      <c r="F87" s="151"/>
      <c r="G87" s="151"/>
      <c r="H87" s="151"/>
      <c r="I87" s="151"/>
      <c r="J87" s="151"/>
      <c r="K87" s="152"/>
      <c r="L87" s="147"/>
    </row>
    <row r="88" spans="1:12" s="148" customFormat="1" ht="18.649999999999999" customHeight="1">
      <c r="A88" s="149"/>
      <c r="B88" s="157" t="s">
        <v>181</v>
      </c>
      <c r="C88" s="157"/>
      <c r="D88" s="150">
        <f>D87</f>
        <v>1</v>
      </c>
      <c r="E88" s="151">
        <f>E87</f>
        <v>24</v>
      </c>
      <c r="F88" s="151">
        <f>13.5/12</f>
        <v>1.1299999999999999</v>
      </c>
      <c r="G88" s="151">
        <f>0.25</f>
        <v>0.25</v>
      </c>
      <c r="H88" s="151"/>
      <c r="I88" s="151">
        <f>D88*E88*F88*G88</f>
        <v>6.78</v>
      </c>
      <c r="J88" s="151"/>
      <c r="K88" s="152" t="s">
        <v>28</v>
      </c>
      <c r="L88" s="147"/>
    </row>
    <row r="89" spans="1:12" s="148" customFormat="1" ht="18.649999999999999" customHeight="1">
      <c r="A89" s="149"/>
      <c r="B89" s="157" t="str">
        <f>B73</f>
        <v>9" thk; (Up To N.G.L)</v>
      </c>
      <c r="C89" s="157"/>
      <c r="D89" s="150">
        <f>D87</f>
        <v>1</v>
      </c>
      <c r="E89" s="151">
        <f>E87</f>
        <v>24</v>
      </c>
      <c r="F89" s="151">
        <v>0.75</v>
      </c>
      <c r="G89" s="151">
        <f>G83</f>
        <v>2.25</v>
      </c>
      <c r="H89" s="151"/>
      <c r="I89" s="151">
        <f>D89*E89*F89*G89</f>
        <v>40.5</v>
      </c>
      <c r="J89" s="151"/>
      <c r="K89" s="152" t="s">
        <v>28</v>
      </c>
      <c r="L89" s="147"/>
    </row>
    <row r="90" spans="1:12" s="148" customFormat="1" ht="18.649999999999999" customHeight="1">
      <c r="A90" s="149"/>
      <c r="B90" s="157" t="s">
        <v>172</v>
      </c>
      <c r="C90" s="157"/>
      <c r="D90" s="150">
        <f>D87</f>
        <v>1</v>
      </c>
      <c r="E90" s="151">
        <f>E87</f>
        <v>24</v>
      </c>
      <c r="F90" s="151">
        <v>0.75</v>
      </c>
      <c r="G90" s="151">
        <f>3-1.17</f>
        <v>1.83</v>
      </c>
      <c r="H90" s="151"/>
      <c r="I90" s="151">
        <f>D90*E90*F90*G90</f>
        <v>32.94</v>
      </c>
      <c r="J90" s="151"/>
      <c r="K90" s="152" t="s">
        <v>28</v>
      </c>
      <c r="L90" s="147"/>
    </row>
    <row r="91" spans="1:12" s="148" customFormat="1" ht="18.649999999999999" customHeight="1">
      <c r="A91" s="149"/>
      <c r="B91" s="157"/>
      <c r="C91" s="157"/>
      <c r="D91" s="150"/>
      <c r="E91" s="151"/>
      <c r="F91" s="151"/>
      <c r="G91" s="151"/>
      <c r="H91" s="151"/>
      <c r="I91" s="151"/>
      <c r="J91" s="151"/>
      <c r="K91" s="152"/>
      <c r="L91" s="147"/>
    </row>
    <row r="92" spans="1:12" s="148" customFormat="1" ht="18.649999999999999" customHeight="1">
      <c r="A92" s="149"/>
      <c r="B92" s="157" t="str">
        <f>B42</f>
        <v>Y-Dir Bet; A &amp; B, 9' L</v>
      </c>
      <c r="C92" s="157"/>
      <c r="D92" s="150">
        <f>D42</f>
        <v>1</v>
      </c>
      <c r="E92" s="151">
        <f>9-1</f>
        <v>8</v>
      </c>
      <c r="F92" s="151"/>
      <c r="G92" s="151"/>
      <c r="H92" s="151"/>
      <c r="I92" s="151"/>
      <c r="J92" s="151"/>
      <c r="K92" s="152"/>
      <c r="L92" s="147"/>
    </row>
    <row r="93" spans="1:12" s="148" customFormat="1" ht="18.649999999999999" customHeight="1">
      <c r="A93" s="149"/>
      <c r="B93" s="157" t="s">
        <v>181</v>
      </c>
      <c r="C93" s="157"/>
      <c r="D93" s="150">
        <f>D92</f>
        <v>1</v>
      </c>
      <c r="E93" s="151">
        <f>E92</f>
        <v>8</v>
      </c>
      <c r="F93" s="151">
        <f>13.5/12</f>
        <v>1.1299999999999999</v>
      </c>
      <c r="G93" s="151">
        <f>0.25</f>
        <v>0.25</v>
      </c>
      <c r="H93" s="151"/>
      <c r="I93" s="151">
        <f>D93*E93*F93*G93</f>
        <v>2.2599999999999998</v>
      </c>
      <c r="J93" s="151"/>
      <c r="K93" s="152" t="s">
        <v>28</v>
      </c>
      <c r="L93" s="147"/>
    </row>
    <row r="94" spans="1:12" s="148" customFormat="1" ht="18.649999999999999" customHeight="1">
      <c r="A94" s="149"/>
      <c r="B94" s="157" t="str">
        <f>B78</f>
        <v>9" thk; (Up To N.G.L)</v>
      </c>
      <c r="C94" s="157"/>
      <c r="D94" s="150">
        <f>D92</f>
        <v>1</v>
      </c>
      <c r="E94" s="151">
        <f>E92</f>
        <v>8</v>
      </c>
      <c r="F94" s="151">
        <v>0.75</v>
      </c>
      <c r="G94" s="151">
        <f>G89</f>
        <v>2.25</v>
      </c>
      <c r="H94" s="151"/>
      <c r="I94" s="151">
        <f>D94*E94*F94*G94</f>
        <v>13.5</v>
      </c>
      <c r="J94" s="151"/>
      <c r="K94" s="152" t="s">
        <v>28</v>
      </c>
      <c r="L94" s="147"/>
    </row>
    <row r="95" spans="1:12" s="148" customFormat="1" ht="18.649999999999999" customHeight="1">
      <c r="A95" s="149"/>
      <c r="B95" s="157" t="s">
        <v>172</v>
      </c>
      <c r="C95" s="157"/>
      <c r="D95" s="150">
        <f>D92</f>
        <v>1</v>
      </c>
      <c r="E95" s="151">
        <f>E92</f>
        <v>8</v>
      </c>
      <c r="F95" s="151">
        <v>0.75</v>
      </c>
      <c r="G95" s="151">
        <f>3-0.83</f>
        <v>2.17</v>
      </c>
      <c r="H95" s="151"/>
      <c r="I95" s="151">
        <f>D95*E95*F95*G95</f>
        <v>13.02</v>
      </c>
      <c r="J95" s="151"/>
      <c r="K95" s="152" t="s">
        <v>28</v>
      </c>
      <c r="L95" s="147"/>
    </row>
    <row r="96" spans="1:12" s="148" customFormat="1" ht="18.649999999999999" customHeight="1">
      <c r="A96" s="149"/>
      <c r="B96" s="157"/>
      <c r="C96" s="157"/>
      <c r="D96" s="150"/>
      <c r="E96" s="151"/>
      <c r="F96" s="151"/>
      <c r="G96" s="151"/>
      <c r="H96" s="151"/>
      <c r="I96" s="151"/>
      <c r="J96" s="151"/>
      <c r="K96" s="152"/>
      <c r="L96" s="147"/>
    </row>
    <row r="97" spans="1:12" s="148" customFormat="1" ht="18.649999999999999" customHeight="1">
      <c r="A97" s="149"/>
      <c r="B97" s="157" t="str">
        <f>B43</f>
        <v>Y-Dir Bet; B &amp; C, 28' L</v>
      </c>
      <c r="C97" s="157"/>
      <c r="D97" s="150">
        <f>D43</f>
        <v>1</v>
      </c>
      <c r="E97" s="151">
        <f>28-3.5</f>
        <v>24.5</v>
      </c>
      <c r="F97" s="151"/>
      <c r="G97" s="151"/>
      <c r="H97" s="151"/>
      <c r="I97" s="151"/>
      <c r="J97" s="151"/>
      <c r="K97" s="152"/>
      <c r="L97" s="147"/>
    </row>
    <row r="98" spans="1:12" s="148" customFormat="1" ht="18.649999999999999" customHeight="1">
      <c r="A98" s="149"/>
      <c r="B98" s="157" t="s">
        <v>181</v>
      </c>
      <c r="C98" s="157"/>
      <c r="D98" s="150">
        <f>D97</f>
        <v>1</v>
      </c>
      <c r="E98" s="151">
        <f>E97</f>
        <v>24.5</v>
      </c>
      <c r="F98" s="151">
        <f>13.5/12</f>
        <v>1.1299999999999999</v>
      </c>
      <c r="G98" s="151">
        <f>0.25</f>
        <v>0.25</v>
      </c>
      <c r="H98" s="151"/>
      <c r="I98" s="151">
        <f>D98*E98*F98*G98</f>
        <v>6.92</v>
      </c>
      <c r="J98" s="151"/>
      <c r="K98" s="152" t="s">
        <v>28</v>
      </c>
      <c r="L98" s="147"/>
    </row>
    <row r="99" spans="1:12" s="148" customFormat="1" ht="18.649999999999999" customHeight="1">
      <c r="A99" s="149"/>
      <c r="B99" s="157" t="str">
        <f>B83</f>
        <v>9" thk; (Up To N.G.L)</v>
      </c>
      <c r="C99" s="157"/>
      <c r="D99" s="150">
        <f>D97</f>
        <v>1</v>
      </c>
      <c r="E99" s="151">
        <f>E97</f>
        <v>24.5</v>
      </c>
      <c r="F99" s="151">
        <v>0.75</v>
      </c>
      <c r="G99" s="151">
        <f>G94</f>
        <v>2.25</v>
      </c>
      <c r="H99" s="151"/>
      <c r="I99" s="151">
        <f>D99*E99*F99*G99</f>
        <v>41.34</v>
      </c>
      <c r="J99" s="151"/>
      <c r="K99" s="152" t="s">
        <v>28</v>
      </c>
      <c r="L99" s="147"/>
    </row>
    <row r="100" spans="1:12" s="148" customFormat="1" ht="18.649999999999999" customHeight="1">
      <c r="A100" s="149"/>
      <c r="B100" s="157" t="s">
        <v>172</v>
      </c>
      <c r="C100" s="157"/>
      <c r="D100" s="150">
        <f>D99</f>
        <v>1</v>
      </c>
      <c r="E100" s="151">
        <f>E99</f>
        <v>24.5</v>
      </c>
      <c r="F100" s="151">
        <f>F99</f>
        <v>0.75</v>
      </c>
      <c r="G100" s="151">
        <f>3-0.83</f>
        <v>2.17</v>
      </c>
      <c r="H100" s="151"/>
      <c r="I100" s="151">
        <f>D100*E100*F100*G100</f>
        <v>39.869999999999997</v>
      </c>
      <c r="J100" s="151"/>
      <c r="K100" s="152" t="s">
        <v>28</v>
      </c>
      <c r="L100" s="147"/>
    </row>
    <row r="101" spans="1:12" s="148" customFormat="1" ht="18.649999999999999" customHeight="1">
      <c r="A101" s="149"/>
      <c r="B101" s="157"/>
      <c r="C101" s="157"/>
      <c r="D101" s="150"/>
      <c r="E101" s="151"/>
      <c r="F101" s="151"/>
      <c r="G101" s="151"/>
      <c r="H101" s="151"/>
      <c r="I101" s="151"/>
      <c r="J101" s="151"/>
      <c r="K101" s="152"/>
      <c r="L101" s="147"/>
    </row>
    <row r="102" spans="1:12" s="148" customFormat="1" ht="18.649999999999999" customHeight="1">
      <c r="A102" s="149"/>
      <c r="B102" s="157" t="str">
        <f>B44</f>
        <v>X-Dir Bet; 2&amp;3, 8' L</v>
      </c>
      <c r="C102" s="157"/>
      <c r="D102" s="150">
        <f>D44</f>
        <v>1</v>
      </c>
      <c r="E102" s="151">
        <f>8-1</f>
        <v>7</v>
      </c>
      <c r="F102" s="151"/>
      <c r="G102" s="151"/>
      <c r="H102" s="151"/>
      <c r="I102" s="151"/>
      <c r="J102" s="151"/>
      <c r="K102" s="152"/>
      <c r="L102" s="147"/>
    </row>
    <row r="103" spans="1:12" s="148" customFormat="1" ht="18.649999999999999" customHeight="1">
      <c r="A103" s="149"/>
      <c r="B103" s="157" t="s">
        <v>182</v>
      </c>
      <c r="C103" s="157"/>
      <c r="D103" s="150">
        <f>D102</f>
        <v>1</v>
      </c>
      <c r="E103" s="151">
        <f>E102</f>
        <v>7</v>
      </c>
      <c r="F103" s="151">
        <f>13.5/12</f>
        <v>1.1299999999999999</v>
      </c>
      <c r="G103" s="151">
        <f>0.25</f>
        <v>0.25</v>
      </c>
      <c r="H103" s="151"/>
      <c r="I103" s="151">
        <f>D103*E103*F103*G103</f>
        <v>1.98</v>
      </c>
      <c r="J103" s="151"/>
      <c r="K103" s="152" t="s">
        <v>28</v>
      </c>
      <c r="L103" s="147"/>
    </row>
    <row r="104" spans="1:12" s="148" customFormat="1" ht="18.649999999999999" customHeight="1">
      <c r="A104" s="149"/>
      <c r="B104" s="157" t="s">
        <v>183</v>
      </c>
      <c r="C104" s="157"/>
      <c r="D104" s="150">
        <f>D102</f>
        <v>1</v>
      </c>
      <c r="E104" s="151">
        <f>E102</f>
        <v>7</v>
      </c>
      <c r="F104" s="151">
        <v>0.75</v>
      </c>
      <c r="G104" s="151">
        <f>G99</f>
        <v>2.25</v>
      </c>
      <c r="H104" s="151"/>
      <c r="I104" s="151">
        <f>D104*E104*F104*G104</f>
        <v>11.81</v>
      </c>
      <c r="J104" s="151"/>
      <c r="K104" s="152" t="s">
        <v>28</v>
      </c>
      <c r="L104" s="147"/>
    </row>
    <row r="105" spans="1:12" s="148" customFormat="1" ht="18.649999999999999" customHeight="1">
      <c r="A105" s="149"/>
      <c r="B105" s="157" t="s">
        <v>172</v>
      </c>
      <c r="C105" s="157"/>
      <c r="D105" s="150">
        <f>D104</f>
        <v>1</v>
      </c>
      <c r="E105" s="151">
        <f>E104</f>
        <v>7</v>
      </c>
      <c r="F105" s="151">
        <f>F104</f>
        <v>0.75</v>
      </c>
      <c r="G105" s="151">
        <f>3-0.83</f>
        <v>2.17</v>
      </c>
      <c r="H105" s="151"/>
      <c r="I105" s="151">
        <f>D105*E105*F105*G105</f>
        <v>11.39</v>
      </c>
      <c r="J105" s="151"/>
      <c r="K105" s="152" t="s">
        <v>28</v>
      </c>
      <c r="L105" s="147"/>
    </row>
    <row r="106" spans="1:12" s="148" customFormat="1" ht="18.649999999999999" customHeight="1">
      <c r="A106" s="149"/>
      <c r="B106" s="157"/>
      <c r="C106" s="157"/>
      <c r="D106" s="150"/>
      <c r="E106" s="151"/>
      <c r="F106" s="151"/>
      <c r="G106" s="151"/>
      <c r="H106" s="151"/>
      <c r="I106" s="151"/>
      <c r="J106" s="151"/>
      <c r="K106" s="152"/>
      <c r="L106" s="147"/>
    </row>
    <row r="107" spans="1:12" s="148" customFormat="1" ht="18.649999999999999" customHeight="1">
      <c r="A107" s="149"/>
      <c r="B107" s="157" t="str">
        <f>B45</f>
        <v>X-Dir Bet; 3&amp;4, 4' L</v>
      </c>
      <c r="C107" s="157"/>
      <c r="D107" s="150">
        <f>D45</f>
        <v>1</v>
      </c>
      <c r="E107" s="151">
        <f>4-1</f>
        <v>3</v>
      </c>
      <c r="F107" s="151"/>
      <c r="G107" s="151"/>
      <c r="H107" s="151"/>
      <c r="I107" s="151"/>
      <c r="J107" s="151"/>
      <c r="K107" s="152"/>
      <c r="L107" s="147"/>
    </row>
    <row r="108" spans="1:12" s="148" customFormat="1" ht="18.649999999999999" customHeight="1">
      <c r="A108" s="149"/>
      <c r="B108" s="157" t="s">
        <v>182</v>
      </c>
      <c r="C108" s="157"/>
      <c r="D108" s="150">
        <f>D107</f>
        <v>1</v>
      </c>
      <c r="E108" s="151">
        <f>E107</f>
        <v>3</v>
      </c>
      <c r="F108" s="151">
        <f>13.5/12</f>
        <v>1.1299999999999999</v>
      </c>
      <c r="G108" s="151">
        <f>0.25</f>
        <v>0.25</v>
      </c>
      <c r="H108" s="151"/>
      <c r="I108" s="151">
        <f>D108*E108*F108*G108</f>
        <v>0.85</v>
      </c>
      <c r="J108" s="151"/>
      <c r="K108" s="152" t="s">
        <v>28</v>
      </c>
      <c r="L108" s="147"/>
    </row>
    <row r="109" spans="1:12" s="148" customFormat="1" ht="18.649999999999999" customHeight="1">
      <c r="A109" s="149"/>
      <c r="B109" s="157" t="s">
        <v>183</v>
      </c>
      <c r="C109" s="157"/>
      <c r="D109" s="150">
        <f>D107</f>
        <v>1</v>
      </c>
      <c r="E109" s="151">
        <f>E107</f>
        <v>3</v>
      </c>
      <c r="F109" s="151">
        <v>0.75</v>
      </c>
      <c r="G109" s="151">
        <f>G104</f>
        <v>2.25</v>
      </c>
      <c r="H109" s="151"/>
      <c r="I109" s="151">
        <f>D109*E109*F109*G109</f>
        <v>5.0599999999999996</v>
      </c>
      <c r="J109" s="151"/>
      <c r="K109" s="152" t="s">
        <v>28</v>
      </c>
      <c r="L109" s="147"/>
    </row>
    <row r="110" spans="1:12" s="148" customFormat="1" ht="18.649999999999999" customHeight="1">
      <c r="A110" s="149"/>
      <c r="B110" s="157" t="s">
        <v>172</v>
      </c>
      <c r="C110" s="157"/>
      <c r="D110" s="150">
        <f>D109</f>
        <v>1</v>
      </c>
      <c r="E110" s="151">
        <f>E109</f>
        <v>3</v>
      </c>
      <c r="F110" s="151">
        <f>F109</f>
        <v>0.75</v>
      </c>
      <c r="G110" s="151">
        <f>3-0.83</f>
        <v>2.17</v>
      </c>
      <c r="H110" s="151"/>
      <c r="I110" s="151">
        <f>D110*E110*F110*G110</f>
        <v>4.88</v>
      </c>
      <c r="J110" s="151"/>
      <c r="K110" s="152" t="s">
        <v>28</v>
      </c>
      <c r="L110" s="147"/>
    </row>
    <row r="111" spans="1:12" s="148" customFormat="1" ht="18.649999999999999" customHeight="1">
      <c r="A111" s="149"/>
      <c r="B111" s="157"/>
      <c r="C111" s="157"/>
      <c r="D111" s="150"/>
      <c r="E111" s="151"/>
      <c r="F111" s="151"/>
      <c r="G111" s="151"/>
      <c r="H111" s="151"/>
      <c r="I111" s="151"/>
      <c r="J111" s="151"/>
      <c r="K111" s="152"/>
      <c r="L111" s="147"/>
    </row>
    <row r="112" spans="1:12" s="148" customFormat="1" ht="18.649999999999999" customHeight="1">
      <c r="A112" s="149"/>
      <c r="B112" s="157" t="str">
        <f>B46</f>
        <v>X-Dir Bet; 4&amp;5, 8' L</v>
      </c>
      <c r="C112" s="157"/>
      <c r="D112" s="150">
        <f>D46</f>
        <v>1</v>
      </c>
      <c r="E112" s="151">
        <f>9.5-0.83-1</f>
        <v>7.67</v>
      </c>
      <c r="F112" s="151"/>
      <c r="G112" s="151"/>
      <c r="H112" s="151"/>
      <c r="I112" s="151"/>
      <c r="J112" s="151"/>
      <c r="K112" s="152"/>
      <c r="L112" s="147"/>
    </row>
    <row r="113" spans="1:12" s="148" customFormat="1" ht="18.649999999999999" customHeight="1">
      <c r="A113" s="149"/>
      <c r="B113" s="157" t="s">
        <v>182</v>
      </c>
      <c r="C113" s="157"/>
      <c r="D113" s="150">
        <f>D112</f>
        <v>1</v>
      </c>
      <c r="E113" s="151">
        <f>E112</f>
        <v>7.67</v>
      </c>
      <c r="F113" s="151">
        <f>13.5/12</f>
        <v>1.1299999999999999</v>
      </c>
      <c r="G113" s="151">
        <f>0.25</f>
        <v>0.25</v>
      </c>
      <c r="H113" s="151"/>
      <c r="I113" s="151">
        <f>D113*E113*F113*G113</f>
        <v>2.17</v>
      </c>
      <c r="J113" s="151"/>
      <c r="K113" s="152" t="s">
        <v>28</v>
      </c>
      <c r="L113" s="147"/>
    </row>
    <row r="114" spans="1:12" s="148" customFormat="1" ht="18.649999999999999" customHeight="1">
      <c r="A114" s="149"/>
      <c r="B114" s="157" t="s">
        <v>183</v>
      </c>
      <c r="C114" s="157"/>
      <c r="D114" s="150">
        <f>D112</f>
        <v>1</v>
      </c>
      <c r="E114" s="151">
        <f>E112</f>
        <v>7.67</v>
      </c>
      <c r="F114" s="151">
        <v>0.75</v>
      </c>
      <c r="G114" s="151">
        <f>G109</f>
        <v>2.25</v>
      </c>
      <c r="H114" s="151"/>
      <c r="I114" s="151">
        <f>D114*E114*F114*G114</f>
        <v>12.94</v>
      </c>
      <c r="J114" s="151"/>
      <c r="K114" s="152" t="s">
        <v>28</v>
      </c>
      <c r="L114" s="147"/>
    </row>
    <row r="115" spans="1:12" s="148" customFormat="1" ht="18.649999999999999" customHeight="1">
      <c r="A115" s="149"/>
      <c r="B115" s="157" t="s">
        <v>172</v>
      </c>
      <c r="C115" s="157"/>
      <c r="D115" s="150">
        <f>D114</f>
        <v>1</v>
      </c>
      <c r="E115" s="151">
        <f>E114</f>
        <v>7.67</v>
      </c>
      <c r="F115" s="151">
        <f>F114</f>
        <v>0.75</v>
      </c>
      <c r="G115" s="151">
        <f>3-0.83</f>
        <v>2.17</v>
      </c>
      <c r="H115" s="151"/>
      <c r="I115" s="151">
        <f>D115*E115*F115*G115</f>
        <v>12.48</v>
      </c>
      <c r="J115" s="151"/>
      <c r="K115" s="152" t="s">
        <v>28</v>
      </c>
      <c r="L115" s="147"/>
    </row>
    <row r="116" spans="1:12" s="148" customFormat="1" ht="18.649999999999999" customHeight="1">
      <c r="A116" s="149"/>
      <c r="B116" s="157" t="str">
        <f>B47</f>
        <v>Total Length</v>
      </c>
      <c r="C116" s="157"/>
      <c r="D116" s="150" t="str">
        <f>D47</f>
        <v>Fr</v>
      </c>
      <c r="E116" s="151">
        <f>D56*E56+D61*E61+D66*E66+D71*E71+D76*E76+D81*E81+D87*E87+D92*E92+D97*E97+D102*E102+D107*E107+D112*E112</f>
        <v>275.17</v>
      </c>
      <c r="F116" s="151"/>
      <c r="G116" s="151"/>
      <c r="H116" s="151"/>
      <c r="I116" s="151"/>
      <c r="J116" s="151">
        <f>SUM(I56:I116)</f>
        <v>933.72</v>
      </c>
      <c r="K116" s="152" t="s">
        <v>28</v>
      </c>
      <c r="L116" s="147"/>
    </row>
    <row r="117" spans="1:12" s="148" customFormat="1" ht="18.649999999999999" customHeight="1">
      <c r="A117" s="149"/>
      <c r="B117" s="157"/>
      <c r="C117" s="157"/>
      <c r="D117" s="150"/>
      <c r="E117" s="151"/>
      <c r="F117" s="151"/>
      <c r="G117" s="151"/>
      <c r="H117" s="151"/>
      <c r="I117" s="151"/>
      <c r="J117" s="151"/>
      <c r="K117" s="152"/>
      <c r="L117" s="147"/>
    </row>
    <row r="118" spans="1:12" s="148" customFormat="1" ht="18.649999999999999" customHeight="1">
      <c r="A118" s="149"/>
      <c r="B118" s="157" t="s">
        <v>90</v>
      </c>
      <c r="C118" s="157"/>
      <c r="D118" s="150" t="s">
        <v>101</v>
      </c>
      <c r="E118" s="151">
        <f>D58*E58+D63*E63+D68*E68+D73*E73+D78*E78+D83*E83+D89*E89+D94*E94+D99*E99+D104*E104+D109*E109+D114*E114</f>
        <v>275.17</v>
      </c>
      <c r="F118" s="151"/>
      <c r="G118" s="151"/>
      <c r="H118" s="151"/>
      <c r="I118" s="151"/>
      <c r="J118" s="151"/>
      <c r="K118" s="152"/>
      <c r="L118" s="147"/>
    </row>
    <row r="119" spans="1:12" s="148" customFormat="1" ht="18.649999999999999" customHeight="1">
      <c r="A119" s="149"/>
      <c r="B119" s="157" t="s">
        <v>126</v>
      </c>
      <c r="C119" s="157"/>
      <c r="D119" s="150" t="s">
        <v>101</v>
      </c>
      <c r="E119" s="151">
        <f>E118</f>
        <v>275.17</v>
      </c>
      <c r="F119" s="151"/>
      <c r="G119" s="151"/>
      <c r="H119" s="151"/>
      <c r="I119" s="151"/>
      <c r="J119" s="151"/>
      <c r="K119" s="152"/>
      <c r="L119" s="147"/>
    </row>
    <row r="120" spans="1:12" s="148" customFormat="1" ht="18.649999999999999" customHeight="1">
      <c r="A120" s="149"/>
      <c r="B120" s="157" t="s">
        <v>122</v>
      </c>
      <c r="C120" s="157"/>
      <c r="D120" s="150">
        <f>D48</f>
        <v>1</v>
      </c>
      <c r="E120" s="151">
        <v>13.5</v>
      </c>
      <c r="F120" s="151">
        <f>13.5/12</f>
        <v>1.1299999999999999</v>
      </c>
      <c r="G120" s="151">
        <f>1+7.5/12*2+0.5</f>
        <v>2.75</v>
      </c>
      <c r="H120" s="151"/>
      <c r="I120" s="151">
        <f t="shared" ref="I120:I125" si="3">D120*E120*F120*G120</f>
        <v>41.95</v>
      </c>
      <c r="J120" s="151"/>
      <c r="K120" s="152" t="s">
        <v>28</v>
      </c>
      <c r="L120" s="147"/>
    </row>
    <row r="121" spans="1:12" s="148" customFormat="1" ht="18.649999999999999" customHeight="1">
      <c r="A121" s="149"/>
      <c r="B121" s="157"/>
      <c r="C121" s="157"/>
      <c r="D121" s="150">
        <f>D120</f>
        <v>1</v>
      </c>
      <c r="E121" s="151">
        <f>E120</f>
        <v>13.5</v>
      </c>
      <c r="F121" s="151">
        <f>F120</f>
        <v>1.1299999999999999</v>
      </c>
      <c r="G121" s="151">
        <f>1+7.5/12+0.5</f>
        <v>2.13</v>
      </c>
      <c r="H121" s="151"/>
      <c r="I121" s="151">
        <f t="shared" si="3"/>
        <v>32.49</v>
      </c>
      <c r="J121" s="151"/>
      <c r="K121" s="152" t="s">
        <v>28</v>
      </c>
      <c r="L121" s="147"/>
    </row>
    <row r="122" spans="1:12" s="148" customFormat="1" ht="18.649999999999999" customHeight="1">
      <c r="A122" s="149"/>
      <c r="B122" s="157"/>
      <c r="C122" s="157"/>
      <c r="D122" s="150">
        <f>D120</f>
        <v>1</v>
      </c>
      <c r="E122" s="151">
        <f>E120</f>
        <v>13.5</v>
      </c>
      <c r="F122" s="151">
        <f>F120</f>
        <v>1.1299999999999999</v>
      </c>
      <c r="G122" s="151">
        <f>1+0.5</f>
        <v>1.5</v>
      </c>
      <c r="H122" s="151"/>
      <c r="I122" s="151">
        <f t="shared" si="3"/>
        <v>22.88</v>
      </c>
      <c r="J122" s="151"/>
      <c r="K122" s="152" t="s">
        <v>28</v>
      </c>
      <c r="L122" s="147"/>
    </row>
    <row r="123" spans="1:12" s="148" customFormat="1" ht="18.649999999999999" customHeight="1">
      <c r="A123" s="149"/>
      <c r="B123" s="149" t="s">
        <v>180</v>
      </c>
      <c r="C123" s="149"/>
      <c r="D123" s="150">
        <f>D49</f>
        <v>1</v>
      </c>
      <c r="E123" s="151">
        <v>5</v>
      </c>
      <c r="F123" s="151">
        <f>13.5/12</f>
        <v>1.1299999999999999</v>
      </c>
      <c r="G123" s="151">
        <v>0.25</v>
      </c>
      <c r="H123" s="151"/>
      <c r="I123" s="151">
        <f t="shared" si="3"/>
        <v>1.41</v>
      </c>
      <c r="J123" s="151"/>
      <c r="K123" s="152" t="s">
        <v>28</v>
      </c>
      <c r="L123" s="147"/>
    </row>
    <row r="124" spans="1:12" s="148" customFormat="1" ht="18.649999999999999" customHeight="1">
      <c r="A124" s="149"/>
      <c r="B124" s="149"/>
      <c r="C124" s="149"/>
      <c r="D124" s="150">
        <f>D123</f>
        <v>1</v>
      </c>
      <c r="E124" s="151">
        <f>E123</f>
        <v>5</v>
      </c>
      <c r="F124" s="151">
        <f>F123</f>
        <v>1.1299999999999999</v>
      </c>
      <c r="G124" s="151">
        <f>1+7.5/12+0.5</f>
        <v>2.13</v>
      </c>
      <c r="H124" s="151"/>
      <c r="I124" s="151">
        <f t="shared" si="3"/>
        <v>12.03</v>
      </c>
      <c r="J124" s="151"/>
      <c r="K124" s="152" t="s">
        <v>28</v>
      </c>
      <c r="L124" s="147"/>
    </row>
    <row r="125" spans="1:12" s="148" customFormat="1" ht="18.649999999999999" customHeight="1">
      <c r="A125" s="149"/>
      <c r="B125" s="149"/>
      <c r="C125" s="149"/>
      <c r="D125" s="150">
        <f>D123</f>
        <v>1</v>
      </c>
      <c r="E125" s="151">
        <f>E123</f>
        <v>5</v>
      </c>
      <c r="F125" s="151">
        <f>F123</f>
        <v>1.1299999999999999</v>
      </c>
      <c r="G125" s="151">
        <f>1+0.5</f>
        <v>1.5</v>
      </c>
      <c r="H125" s="151"/>
      <c r="I125" s="151">
        <f t="shared" si="3"/>
        <v>8.48</v>
      </c>
      <c r="J125" s="151"/>
      <c r="K125" s="152" t="s">
        <v>28</v>
      </c>
      <c r="L125" s="147"/>
    </row>
    <row r="126" spans="1:12" s="148" customFormat="1" ht="18.649999999999999" customHeight="1">
      <c r="A126" s="149"/>
      <c r="B126" s="149"/>
      <c r="C126" s="149"/>
      <c r="D126" s="150"/>
      <c r="E126" s="151"/>
      <c r="F126" s="151"/>
      <c r="G126" s="151"/>
      <c r="H126" s="151"/>
      <c r="I126" s="151"/>
      <c r="J126" s="151">
        <f>SUM(I120:I126)</f>
        <v>119.24</v>
      </c>
      <c r="K126" s="152" t="s">
        <v>28</v>
      </c>
      <c r="L126" s="147"/>
    </row>
    <row r="127" spans="1:12" s="148" customFormat="1" ht="19.399999999999999" customHeight="1">
      <c r="A127" s="149"/>
      <c r="B127" s="157"/>
      <c r="C127" s="157"/>
      <c r="D127" s="150"/>
      <c r="E127" s="151"/>
      <c r="F127" s="151"/>
      <c r="G127" s="151"/>
      <c r="H127" s="151"/>
      <c r="I127" s="151"/>
      <c r="J127" s="151">
        <f>SUM(I58:I127)</f>
        <v>1043.07</v>
      </c>
      <c r="K127" s="158" t="s">
        <v>28</v>
      </c>
      <c r="L127" s="147"/>
    </row>
    <row r="128" spans="1:12" s="148" customFormat="1" ht="19.399999999999999" customHeight="1">
      <c r="A128" s="149"/>
      <c r="B128" s="157"/>
      <c r="C128" s="157"/>
      <c r="D128" s="150"/>
      <c r="E128" s="151"/>
      <c r="F128" s="151"/>
      <c r="G128" s="151"/>
      <c r="H128" s="151"/>
      <c r="I128" s="151"/>
      <c r="J128" s="151">
        <f>J127/100</f>
        <v>10.43</v>
      </c>
      <c r="K128" s="158" t="s">
        <v>7</v>
      </c>
      <c r="L128" s="147"/>
    </row>
    <row r="129" spans="1:12" s="148" customFormat="1" ht="19.399999999999999" customHeight="1">
      <c r="A129" s="149"/>
      <c r="B129" s="149"/>
      <c r="C129" s="149"/>
      <c r="D129" s="150"/>
      <c r="E129" s="151"/>
      <c r="F129" s="151"/>
      <c r="G129" s="151"/>
      <c r="H129" s="151"/>
      <c r="I129" s="151"/>
      <c r="J129" s="151"/>
      <c r="K129" s="152"/>
      <c r="L129" s="147"/>
    </row>
    <row r="130" spans="1:12" s="148" customFormat="1" ht="19.399999999999999" customHeight="1">
      <c r="A130" s="149">
        <v>7</v>
      </c>
      <c r="B130" s="159" t="s">
        <v>66</v>
      </c>
      <c r="C130" s="159"/>
      <c r="D130" s="150"/>
      <c r="E130" s="151"/>
      <c r="F130" s="151"/>
      <c r="G130" s="151"/>
      <c r="H130" s="151"/>
      <c r="I130" s="151"/>
      <c r="J130" s="151"/>
      <c r="K130" s="152"/>
      <c r="L130" s="147"/>
    </row>
    <row r="131" spans="1:12" s="148" customFormat="1" ht="19.399999999999999" customHeight="1">
      <c r="A131" s="149"/>
      <c r="B131" s="159" t="s">
        <v>115</v>
      </c>
      <c r="C131" s="159"/>
      <c r="D131" s="150"/>
      <c r="E131" s="151"/>
      <c r="F131" s="151"/>
      <c r="G131" s="151"/>
      <c r="H131" s="151"/>
      <c r="I131" s="151"/>
      <c r="J131" s="151"/>
      <c r="K131" s="152"/>
      <c r="L131" s="147"/>
    </row>
    <row r="132" spans="1:12" s="148" customFormat="1" ht="19.399999999999999" customHeight="1">
      <c r="A132" s="149"/>
      <c r="B132" s="157" t="str">
        <f>B28</f>
        <v>F1 (6' 0" x 6' 0" x 0'-10")</v>
      </c>
      <c r="C132" s="157"/>
      <c r="D132" s="150">
        <f>D28</f>
        <v>2</v>
      </c>
      <c r="E132" s="151">
        <v>6</v>
      </c>
      <c r="F132" s="151">
        <v>6</v>
      </c>
      <c r="G132" s="151">
        <f>10/12</f>
        <v>0.83</v>
      </c>
      <c r="H132" s="151"/>
      <c r="I132" s="151">
        <f t="shared" ref="I132:I138" si="4">D132*E132*F132*G132</f>
        <v>59.76</v>
      </c>
      <c r="J132" s="151"/>
      <c r="K132" s="152" t="s">
        <v>28</v>
      </c>
      <c r="L132" s="147"/>
    </row>
    <row r="133" spans="1:12" s="148" customFormat="1" ht="19.399999999999999" customHeight="1">
      <c r="A133" s="149"/>
      <c r="B133" s="157" t="str">
        <f>B29</f>
        <v>F2 (7' 0" x 7' 0" x 1'-0")</v>
      </c>
      <c r="C133" s="157"/>
      <c r="D133" s="150">
        <f>D29</f>
        <v>1</v>
      </c>
      <c r="E133" s="151">
        <v>7</v>
      </c>
      <c r="F133" s="151">
        <v>7</v>
      </c>
      <c r="G133" s="151">
        <f>1</f>
        <v>1</v>
      </c>
      <c r="H133" s="151"/>
      <c r="I133" s="151">
        <f t="shared" si="4"/>
        <v>49</v>
      </c>
      <c r="J133" s="151"/>
      <c r="K133" s="152" t="s">
        <v>28</v>
      </c>
      <c r="L133" s="147"/>
    </row>
    <row r="134" spans="1:12" s="148" customFormat="1" ht="19.399999999999999" customHeight="1">
      <c r="A134" s="149"/>
      <c r="B134" s="157" t="str">
        <f>B30</f>
        <v>F3 (8' 0" x 8' 0" x 1'-0")</v>
      </c>
      <c r="C134" s="157"/>
      <c r="D134" s="150">
        <f>D30</f>
        <v>3</v>
      </c>
      <c r="E134" s="151">
        <v>8</v>
      </c>
      <c r="F134" s="151">
        <v>8</v>
      </c>
      <c r="G134" s="151">
        <v>1</v>
      </c>
      <c r="H134" s="151"/>
      <c r="I134" s="151">
        <f t="shared" si="4"/>
        <v>192</v>
      </c>
      <c r="J134" s="151"/>
      <c r="K134" s="152" t="s">
        <v>28</v>
      </c>
      <c r="L134" s="147"/>
    </row>
    <row r="135" spans="1:12" s="148" customFormat="1" ht="19.399999999999999" customHeight="1">
      <c r="A135" s="149"/>
      <c r="B135" s="157" t="str">
        <f>B31</f>
        <v>SF1 (10' 6" x 33' 6" x 1'-2")</v>
      </c>
      <c r="C135" s="157"/>
      <c r="D135" s="150">
        <f>D31</f>
        <v>1</v>
      </c>
      <c r="E135" s="151">
        <f>10.5</f>
        <v>10.5</v>
      </c>
      <c r="F135" s="151">
        <f>33.5</f>
        <v>33.5</v>
      </c>
      <c r="G135" s="151">
        <f>1.17</f>
        <v>1.17</v>
      </c>
      <c r="H135" s="151"/>
      <c r="I135" s="151">
        <f t="shared" si="4"/>
        <v>411.55</v>
      </c>
      <c r="J135" s="151"/>
      <c r="K135" s="152" t="s">
        <v>28</v>
      </c>
      <c r="L135" s="147"/>
    </row>
    <row r="136" spans="1:12" s="148" customFormat="1" ht="19.399999999999999" customHeight="1">
      <c r="A136" s="149"/>
      <c r="B136" s="157" t="s">
        <v>228</v>
      </c>
      <c r="C136" s="157"/>
      <c r="D136" s="150">
        <v>1</v>
      </c>
      <c r="E136" s="151">
        <f>F135</f>
        <v>33.5</v>
      </c>
      <c r="F136" s="151">
        <f>1.5</f>
        <v>1.5</v>
      </c>
      <c r="G136" s="151">
        <f>0.5</f>
        <v>0.5</v>
      </c>
      <c r="H136" s="151"/>
      <c r="I136" s="151">
        <f t="shared" si="4"/>
        <v>25.13</v>
      </c>
      <c r="J136" s="151"/>
      <c r="K136" s="152" t="s">
        <v>28</v>
      </c>
      <c r="L136" s="147"/>
    </row>
    <row r="137" spans="1:12" s="148" customFormat="1" ht="19.399999999999999" customHeight="1">
      <c r="A137" s="149"/>
      <c r="B137" s="157" t="str">
        <f>B32</f>
        <v>SF2 (4' 6" x 47' 0" x 1'-0")</v>
      </c>
      <c r="C137" s="157"/>
      <c r="D137" s="150">
        <f>D32</f>
        <v>1</v>
      </c>
      <c r="E137" s="151">
        <f>4.5</f>
        <v>4.5</v>
      </c>
      <c r="F137" s="151">
        <f>47</f>
        <v>47</v>
      </c>
      <c r="G137" s="151">
        <f>1</f>
        <v>1</v>
      </c>
      <c r="H137" s="151"/>
      <c r="I137" s="151">
        <f t="shared" si="4"/>
        <v>211.5</v>
      </c>
      <c r="J137" s="151"/>
      <c r="K137" s="152" t="s">
        <v>28</v>
      </c>
      <c r="L137" s="147"/>
    </row>
    <row r="138" spans="1:12" s="148" customFormat="1" ht="19.399999999999999" customHeight="1">
      <c r="A138" s="149"/>
      <c r="B138" s="157" t="s">
        <v>229</v>
      </c>
      <c r="C138" s="157"/>
      <c r="D138" s="150">
        <v>1</v>
      </c>
      <c r="E138" s="151">
        <f>F137</f>
        <v>47</v>
      </c>
      <c r="F138" s="151">
        <f>1.5</f>
        <v>1.5</v>
      </c>
      <c r="G138" s="151">
        <f>0.5</f>
        <v>0.5</v>
      </c>
      <c r="H138" s="151"/>
      <c r="I138" s="151">
        <f t="shared" si="4"/>
        <v>35.25</v>
      </c>
      <c r="J138" s="151"/>
      <c r="K138" s="152" t="s">
        <v>28</v>
      </c>
      <c r="L138" s="147"/>
    </row>
    <row r="139" spans="1:12" s="148" customFormat="1" ht="19.399999999999999" customHeight="1">
      <c r="A139" s="149"/>
      <c r="B139" s="157"/>
      <c r="C139" s="157"/>
      <c r="D139" s="150">
        <f>SUM(D132:D134)</f>
        <v>6</v>
      </c>
      <c r="E139" s="151"/>
      <c r="F139" s="151"/>
      <c r="G139" s="151"/>
      <c r="H139" s="151"/>
      <c r="I139" s="151"/>
      <c r="J139" s="151">
        <f>SUM(I132:I139)</f>
        <v>984.19</v>
      </c>
      <c r="K139" s="158" t="s">
        <v>28</v>
      </c>
      <c r="L139" s="147"/>
    </row>
    <row r="140" spans="1:12" s="148" customFormat="1" ht="19.399999999999999" customHeight="1">
      <c r="A140" s="149"/>
      <c r="B140" s="157"/>
      <c r="C140" s="157"/>
      <c r="D140" s="150"/>
      <c r="E140" s="151"/>
      <c r="F140" s="151"/>
      <c r="G140" s="151"/>
      <c r="H140" s="151"/>
      <c r="I140" s="151"/>
      <c r="J140" s="151">
        <f>J139/100</f>
        <v>9.84</v>
      </c>
      <c r="K140" s="158" t="s">
        <v>7</v>
      </c>
      <c r="L140" s="147"/>
    </row>
    <row r="141" spans="1:12" s="148" customFormat="1" ht="19.399999999999999" customHeight="1">
      <c r="A141" s="149"/>
      <c r="B141" s="149"/>
      <c r="C141" s="149"/>
      <c r="D141" s="150"/>
      <c r="E141" s="151"/>
      <c r="F141" s="151"/>
      <c r="G141" s="151"/>
      <c r="H141" s="151"/>
      <c r="I141" s="151"/>
      <c r="J141" s="151"/>
      <c r="K141" s="152"/>
      <c r="L141" s="147"/>
    </row>
    <row r="142" spans="1:12" s="148" customFormat="1" ht="19.399999999999999" customHeight="1">
      <c r="A142" s="149"/>
      <c r="B142" s="159" t="s">
        <v>103</v>
      </c>
      <c r="C142" s="159"/>
      <c r="D142" s="150"/>
      <c r="E142" s="151"/>
      <c r="F142" s="151"/>
      <c r="G142" s="151"/>
      <c r="H142" s="151"/>
      <c r="I142" s="151"/>
      <c r="J142" s="151"/>
      <c r="K142" s="152"/>
      <c r="L142" s="147"/>
    </row>
    <row r="143" spans="1:12" s="148" customFormat="1" ht="18.649999999999999" customHeight="1">
      <c r="A143" s="149"/>
      <c r="B143" s="157" t="str">
        <f>B132</f>
        <v>F1 (6' 0" x 6' 0" x 0'-10")</v>
      </c>
      <c r="C143" s="157"/>
      <c r="D143" s="150">
        <f>D132</f>
        <v>2</v>
      </c>
      <c r="E143" s="151">
        <f t="shared" ref="E143:E149" si="5">E132*2+F132*2</f>
        <v>24</v>
      </c>
      <c r="F143" s="151"/>
      <c r="G143" s="151">
        <f t="shared" ref="G143:G149" si="6">G132</f>
        <v>0.83</v>
      </c>
      <c r="H143" s="151"/>
      <c r="I143" s="151">
        <f t="shared" ref="I143:I149" si="7">D143*E143*G143</f>
        <v>39.840000000000003</v>
      </c>
      <c r="J143" s="151"/>
      <c r="K143" s="152" t="s">
        <v>21</v>
      </c>
      <c r="L143" s="147"/>
    </row>
    <row r="144" spans="1:12" s="148" customFormat="1" ht="18.649999999999999" customHeight="1">
      <c r="A144" s="149"/>
      <c r="B144" s="157" t="str">
        <f>B133</f>
        <v>F2 (7' 0" x 7' 0" x 1'-0")</v>
      </c>
      <c r="C144" s="157"/>
      <c r="D144" s="150">
        <f>D133</f>
        <v>1</v>
      </c>
      <c r="E144" s="151">
        <f t="shared" si="5"/>
        <v>28</v>
      </c>
      <c r="F144" s="151"/>
      <c r="G144" s="151">
        <f t="shared" si="6"/>
        <v>1</v>
      </c>
      <c r="H144" s="151"/>
      <c r="I144" s="151">
        <f t="shared" si="7"/>
        <v>28</v>
      </c>
      <c r="J144" s="151"/>
      <c r="K144" s="152" t="s">
        <v>21</v>
      </c>
      <c r="L144" s="147"/>
    </row>
    <row r="145" spans="1:12" s="148" customFormat="1" ht="18.649999999999999" customHeight="1">
      <c r="A145" s="149"/>
      <c r="B145" s="157" t="str">
        <f>B134</f>
        <v>F3 (8' 0" x 8' 0" x 1'-0")</v>
      </c>
      <c r="C145" s="157"/>
      <c r="D145" s="150">
        <f>D134</f>
        <v>3</v>
      </c>
      <c r="E145" s="151">
        <f t="shared" si="5"/>
        <v>32</v>
      </c>
      <c r="F145" s="151"/>
      <c r="G145" s="151">
        <f t="shared" si="6"/>
        <v>1</v>
      </c>
      <c r="H145" s="151"/>
      <c r="I145" s="151">
        <f t="shared" si="7"/>
        <v>96</v>
      </c>
      <c r="J145" s="151"/>
      <c r="K145" s="152" t="s">
        <v>21</v>
      </c>
      <c r="L145" s="147"/>
    </row>
    <row r="146" spans="1:12" s="148" customFormat="1" ht="18.649999999999999" customHeight="1">
      <c r="A146" s="149"/>
      <c r="B146" s="157" t="str">
        <f>B135</f>
        <v>SF1 (10' 6" x 33' 6" x 1'-2")</v>
      </c>
      <c r="C146" s="157"/>
      <c r="D146" s="150">
        <f>D135</f>
        <v>1</v>
      </c>
      <c r="E146" s="151">
        <f t="shared" si="5"/>
        <v>88</v>
      </c>
      <c r="F146" s="151"/>
      <c r="G146" s="151">
        <f t="shared" si="6"/>
        <v>1.17</v>
      </c>
      <c r="H146" s="151"/>
      <c r="I146" s="151">
        <f t="shared" si="7"/>
        <v>102.96</v>
      </c>
      <c r="J146" s="151"/>
      <c r="K146" s="152" t="s">
        <v>21</v>
      </c>
      <c r="L146" s="147"/>
    </row>
    <row r="147" spans="1:12" s="148" customFormat="1" ht="18.649999999999999" customHeight="1">
      <c r="A147" s="149"/>
      <c r="B147" s="157" t="s">
        <v>228</v>
      </c>
      <c r="C147" s="157"/>
      <c r="D147" s="150">
        <v>1</v>
      </c>
      <c r="E147" s="151">
        <f t="shared" si="5"/>
        <v>70</v>
      </c>
      <c r="F147" s="151"/>
      <c r="G147" s="151">
        <f t="shared" si="6"/>
        <v>0.5</v>
      </c>
      <c r="H147" s="151"/>
      <c r="I147" s="151">
        <f t="shared" si="7"/>
        <v>35</v>
      </c>
      <c r="J147" s="151"/>
      <c r="K147" s="152" t="s">
        <v>21</v>
      </c>
      <c r="L147" s="147"/>
    </row>
    <row r="148" spans="1:12" s="148" customFormat="1" ht="18.649999999999999" customHeight="1">
      <c r="A148" s="149"/>
      <c r="B148" s="157" t="str">
        <f>B137</f>
        <v>SF2 (4' 6" x 47' 0" x 1'-0")</v>
      </c>
      <c r="C148" s="157"/>
      <c r="D148" s="150">
        <f>D137</f>
        <v>1</v>
      </c>
      <c r="E148" s="151">
        <f t="shared" si="5"/>
        <v>103</v>
      </c>
      <c r="F148" s="151"/>
      <c r="G148" s="151">
        <f t="shared" si="6"/>
        <v>1</v>
      </c>
      <c r="H148" s="151"/>
      <c r="I148" s="151">
        <f t="shared" si="7"/>
        <v>103</v>
      </c>
      <c r="J148" s="151"/>
      <c r="K148" s="152" t="s">
        <v>21</v>
      </c>
      <c r="L148" s="147"/>
    </row>
    <row r="149" spans="1:12" s="148" customFormat="1" ht="18.649999999999999" customHeight="1">
      <c r="A149" s="149"/>
      <c r="B149" s="157" t="str">
        <f>B138</f>
        <v>SB2 (18" X 18")</v>
      </c>
      <c r="C149" s="157"/>
      <c r="D149" s="150">
        <f>D138</f>
        <v>1</v>
      </c>
      <c r="E149" s="151">
        <f t="shared" si="5"/>
        <v>97</v>
      </c>
      <c r="F149" s="151"/>
      <c r="G149" s="151">
        <f t="shared" si="6"/>
        <v>0.5</v>
      </c>
      <c r="H149" s="151"/>
      <c r="I149" s="151">
        <f t="shared" si="7"/>
        <v>48.5</v>
      </c>
      <c r="J149" s="151"/>
      <c r="K149" s="152"/>
      <c r="L149" s="147"/>
    </row>
    <row r="150" spans="1:12" s="148" customFormat="1" ht="18.649999999999999" customHeight="1">
      <c r="A150" s="149"/>
      <c r="B150" s="157"/>
      <c r="C150" s="157"/>
      <c r="D150" s="150"/>
      <c r="E150" s="151"/>
      <c r="F150" s="151"/>
      <c r="G150" s="151"/>
      <c r="H150" s="151"/>
      <c r="I150" s="151"/>
      <c r="J150" s="151">
        <f>SUM(I143:I150)</f>
        <v>453.3</v>
      </c>
      <c r="K150" s="158" t="s">
        <v>21</v>
      </c>
      <c r="L150" s="147"/>
    </row>
    <row r="151" spans="1:12" s="148" customFormat="1" ht="18.649999999999999" customHeight="1">
      <c r="A151" s="149"/>
      <c r="B151" s="157"/>
      <c r="C151" s="157"/>
      <c r="D151" s="150"/>
      <c r="E151" s="151"/>
      <c r="F151" s="151"/>
      <c r="G151" s="151"/>
      <c r="H151" s="151"/>
      <c r="I151" s="151"/>
      <c r="J151" s="151">
        <f>J150/100</f>
        <v>4.53</v>
      </c>
      <c r="K151" s="158" t="s">
        <v>12</v>
      </c>
      <c r="L151" s="147"/>
    </row>
    <row r="152" spans="1:12" s="148" customFormat="1" ht="18.649999999999999" customHeight="1">
      <c r="A152" s="149"/>
      <c r="B152" s="149"/>
      <c r="C152" s="149"/>
      <c r="D152" s="150"/>
      <c r="E152" s="151"/>
      <c r="F152" s="151"/>
      <c r="G152" s="151"/>
      <c r="H152" s="151"/>
      <c r="I152" s="151"/>
      <c r="J152" s="151"/>
      <c r="K152" s="152"/>
      <c r="L152" s="147"/>
    </row>
    <row r="153" spans="1:12" s="148" customFormat="1" ht="18.649999999999999" customHeight="1">
      <c r="A153" s="149"/>
      <c r="B153" s="159" t="s">
        <v>48</v>
      </c>
      <c r="C153" s="159"/>
      <c r="D153" s="150"/>
      <c r="E153" s="151"/>
      <c r="F153" s="151"/>
      <c r="G153" s="151"/>
      <c r="H153" s="151"/>
      <c r="I153" s="151" t="s">
        <v>52</v>
      </c>
      <c r="J153" s="151" t="s">
        <v>238</v>
      </c>
      <c r="K153" s="152"/>
      <c r="L153" s="147"/>
    </row>
    <row r="154" spans="1:12" s="148" customFormat="1" ht="18.649999999999999" customHeight="1">
      <c r="A154" s="149"/>
      <c r="B154" s="157" t="str">
        <f>B132</f>
        <v>F1 (6' 0" x 6' 0" x 0'-10")</v>
      </c>
      <c r="C154" s="157"/>
      <c r="D154" s="150">
        <f>D132</f>
        <v>2</v>
      </c>
      <c r="E154" s="151">
        <f>E132</f>
        <v>6</v>
      </c>
      <c r="F154" s="151">
        <f>F132</f>
        <v>6</v>
      </c>
      <c r="G154" s="151">
        <f>G132</f>
        <v>0.83</v>
      </c>
      <c r="H154" s="151"/>
      <c r="I154" s="151"/>
      <c r="J154" s="151"/>
      <c r="K154" s="152"/>
      <c r="L154" s="147"/>
    </row>
    <row r="155" spans="1:12" s="148" customFormat="1" ht="18.649999999999999" customHeight="1">
      <c r="A155" s="149"/>
      <c r="B155" s="157" t="s">
        <v>184</v>
      </c>
      <c r="C155" s="157"/>
      <c r="D155" s="150">
        <f>D154*ROUND((E154-0.25*2)/0.5+1,0)*2</f>
        <v>48</v>
      </c>
      <c r="E155" s="151">
        <f>E154-0.25*2+18*16/1000*3.281</f>
        <v>6.44</v>
      </c>
      <c r="F155" s="151"/>
      <c r="G155" s="151"/>
      <c r="H155" s="154"/>
      <c r="I155" s="151">
        <f>D155*E155</f>
        <v>309.12</v>
      </c>
      <c r="J155" s="151"/>
      <c r="K155" s="152" t="s">
        <v>34</v>
      </c>
      <c r="L155" s="160"/>
    </row>
    <row r="156" spans="1:12" s="148" customFormat="1" ht="18.649999999999999" customHeight="1">
      <c r="A156" s="149"/>
      <c r="B156" s="157"/>
      <c r="C156" s="157"/>
      <c r="D156" s="150"/>
      <c r="E156" s="151"/>
      <c r="F156" s="151"/>
      <c r="G156" s="151"/>
      <c r="H156" s="154"/>
      <c r="I156" s="151"/>
      <c r="J156" s="151"/>
      <c r="K156" s="152"/>
      <c r="L156" s="160"/>
    </row>
    <row r="157" spans="1:12" s="148" customFormat="1" ht="18.649999999999999" customHeight="1">
      <c r="A157" s="149"/>
      <c r="B157" s="157" t="str">
        <f>B133</f>
        <v>F2 (7' 0" x 7' 0" x 1'-0")</v>
      </c>
      <c r="C157" s="157"/>
      <c r="D157" s="150">
        <f>D133</f>
        <v>1</v>
      </c>
      <c r="E157" s="151">
        <f>E133</f>
        <v>7</v>
      </c>
      <c r="F157" s="151">
        <f>F133</f>
        <v>7</v>
      </c>
      <c r="G157" s="151">
        <f>G133</f>
        <v>1</v>
      </c>
      <c r="H157" s="154"/>
      <c r="I157" s="151"/>
      <c r="J157" s="151"/>
      <c r="K157" s="152"/>
      <c r="L157" s="160"/>
    </row>
    <row r="158" spans="1:12" s="148" customFormat="1" ht="18.649999999999999" customHeight="1">
      <c r="A158" s="149"/>
      <c r="B158" s="157" t="s">
        <v>184</v>
      </c>
      <c r="C158" s="157"/>
      <c r="D158" s="150">
        <f>D157*ROUND((E157-0.25*2)/0.5+1,0)*2</f>
        <v>28</v>
      </c>
      <c r="E158" s="151">
        <f>E157-0.25*2+18*16/1000*3.281</f>
        <v>7.44</v>
      </c>
      <c r="F158" s="151"/>
      <c r="G158" s="151"/>
      <c r="H158" s="154"/>
      <c r="I158" s="151">
        <f>D158*E158</f>
        <v>208.32</v>
      </c>
      <c r="J158" s="151"/>
      <c r="K158" s="152" t="s">
        <v>34</v>
      </c>
      <c r="L158" s="160"/>
    </row>
    <row r="159" spans="1:12" s="148" customFormat="1" ht="18.649999999999999" customHeight="1">
      <c r="A159" s="149"/>
      <c r="B159" s="157"/>
      <c r="C159" s="157"/>
      <c r="D159" s="150"/>
      <c r="E159" s="151"/>
      <c r="F159" s="151"/>
      <c r="G159" s="151"/>
      <c r="H159" s="154"/>
      <c r="I159" s="151"/>
      <c r="J159" s="151"/>
      <c r="K159" s="152"/>
      <c r="L159" s="160"/>
    </row>
    <row r="160" spans="1:12" s="148" customFormat="1" ht="18.649999999999999" customHeight="1">
      <c r="A160" s="149"/>
      <c r="B160" s="157" t="str">
        <f>B134</f>
        <v>F3 (8' 0" x 8' 0" x 1'-0")</v>
      </c>
      <c r="C160" s="157"/>
      <c r="D160" s="150">
        <f>D134</f>
        <v>3</v>
      </c>
      <c r="E160" s="151">
        <f>E134</f>
        <v>8</v>
      </c>
      <c r="F160" s="151">
        <f>F134</f>
        <v>8</v>
      </c>
      <c r="G160" s="151">
        <f>G134</f>
        <v>1</v>
      </c>
      <c r="H160" s="154"/>
      <c r="I160" s="151"/>
      <c r="J160" s="151"/>
      <c r="K160" s="152"/>
      <c r="L160" s="160"/>
    </row>
    <row r="161" spans="1:12" s="148" customFormat="1" ht="18.649999999999999" customHeight="1">
      <c r="A161" s="149"/>
      <c r="B161" s="157" t="s">
        <v>184</v>
      </c>
      <c r="C161" s="157"/>
      <c r="D161" s="150">
        <f>D160*ROUND((E160-0.25*2)/0.5+1,0)*2</f>
        <v>96</v>
      </c>
      <c r="E161" s="151">
        <f>E160-0.25*2+18*16/1000*3.281</f>
        <v>8.44</v>
      </c>
      <c r="F161" s="151"/>
      <c r="G161" s="151"/>
      <c r="H161" s="154"/>
      <c r="I161" s="151">
        <f>D161*E161</f>
        <v>810.24</v>
      </c>
      <c r="J161" s="151"/>
      <c r="K161" s="152" t="s">
        <v>34</v>
      </c>
      <c r="L161" s="160"/>
    </row>
    <row r="162" spans="1:12" s="148" customFormat="1" ht="18.649999999999999" customHeight="1">
      <c r="A162" s="149"/>
      <c r="B162" s="157"/>
      <c r="C162" s="157"/>
      <c r="D162" s="150"/>
      <c r="E162" s="151"/>
      <c r="F162" s="151"/>
      <c r="G162" s="151"/>
      <c r="H162" s="154"/>
      <c r="I162" s="151"/>
      <c r="J162" s="151"/>
      <c r="K162" s="152"/>
      <c r="L162" s="160"/>
    </row>
    <row r="163" spans="1:12" s="148" customFormat="1" ht="18.649999999999999" customHeight="1">
      <c r="A163" s="149"/>
      <c r="B163" s="157" t="str">
        <f>B135</f>
        <v>SF1 (10' 6" x 33' 6" x 1'-2")</v>
      </c>
      <c r="C163" s="157"/>
      <c r="D163" s="150">
        <f>D135</f>
        <v>1</v>
      </c>
      <c r="E163" s="151">
        <f>E135</f>
        <v>10.5</v>
      </c>
      <c r="F163" s="151">
        <f>F135</f>
        <v>33.5</v>
      </c>
      <c r="G163" s="151">
        <f>G135</f>
        <v>1.17</v>
      </c>
      <c r="H163" s="154"/>
      <c r="I163" s="151"/>
      <c r="J163" s="151"/>
      <c r="K163" s="152"/>
      <c r="L163" s="160"/>
    </row>
    <row r="164" spans="1:12" s="148" customFormat="1" ht="18.649999999999999" customHeight="1">
      <c r="A164" s="149"/>
      <c r="B164" s="157" t="s">
        <v>230</v>
      </c>
      <c r="C164" s="157"/>
      <c r="D164" s="150">
        <f>D163*ROUND((F163-0.25*2)/0.33+1,0)</f>
        <v>101</v>
      </c>
      <c r="E164" s="151">
        <f>E163-0.25*2+18*16/1000*3.281</f>
        <v>10.94</v>
      </c>
      <c r="F164" s="151"/>
      <c r="G164" s="151"/>
      <c r="H164" s="154"/>
      <c r="I164" s="151">
        <f>D164*E164</f>
        <v>1104.94</v>
      </c>
      <c r="J164" s="151"/>
      <c r="K164" s="152" t="s">
        <v>34</v>
      </c>
      <c r="L164" s="160"/>
    </row>
    <row r="165" spans="1:12" s="148" customFormat="1" ht="18.649999999999999" customHeight="1">
      <c r="A165" s="149"/>
      <c r="B165" s="157" t="s">
        <v>231</v>
      </c>
      <c r="C165" s="157"/>
      <c r="D165" s="150">
        <f>D163*ROUND((E163-0.25*2)/0.5+1,0)</f>
        <v>21</v>
      </c>
      <c r="E165" s="151">
        <f>F163-0.25+18*16/1000*3.281</f>
        <v>34.19</v>
      </c>
      <c r="F165" s="151"/>
      <c r="G165" s="151"/>
      <c r="H165" s="154"/>
      <c r="I165" s="151">
        <f>D165*E165</f>
        <v>717.99</v>
      </c>
      <c r="J165" s="151"/>
      <c r="K165" s="152" t="s">
        <v>34</v>
      </c>
      <c r="L165" s="160"/>
    </row>
    <row r="166" spans="1:12" s="148" customFormat="1" ht="18.649999999999999" customHeight="1">
      <c r="A166" s="149"/>
      <c r="B166" s="157" t="str">
        <f>B136</f>
        <v>SB1 (18" X 20")</v>
      </c>
      <c r="C166" s="157"/>
      <c r="D166" s="150">
        <f>D136</f>
        <v>1</v>
      </c>
      <c r="E166" s="151">
        <f>E136</f>
        <v>33.5</v>
      </c>
      <c r="F166" s="151">
        <f>F136</f>
        <v>1.5</v>
      </c>
      <c r="G166" s="151">
        <f>20/12</f>
        <v>1.67</v>
      </c>
      <c r="H166" s="154"/>
      <c r="I166" s="151"/>
      <c r="J166" s="151"/>
      <c r="K166" s="152"/>
      <c r="L166" s="160"/>
    </row>
    <row r="167" spans="1:12" s="148" customFormat="1" ht="18.649999999999999" customHeight="1">
      <c r="A167" s="149"/>
      <c r="B167" s="157" t="s">
        <v>232</v>
      </c>
      <c r="C167" s="157"/>
      <c r="D167" s="150">
        <f>D166*10</f>
        <v>10</v>
      </c>
      <c r="E167" s="151">
        <f>E166-0.25+(G166-0.25)*2</f>
        <v>36.090000000000003</v>
      </c>
      <c r="F167" s="151"/>
      <c r="G167" s="151"/>
      <c r="H167" s="154"/>
      <c r="I167" s="151">
        <f>D167*E167</f>
        <v>360.9</v>
      </c>
      <c r="J167" s="151"/>
      <c r="K167" s="152" t="s">
        <v>34</v>
      </c>
      <c r="L167" s="160"/>
    </row>
    <row r="168" spans="1:12" s="148" customFormat="1" ht="18.649999999999999" customHeight="1">
      <c r="A168" s="149"/>
      <c r="B168" s="157" t="s">
        <v>233</v>
      </c>
      <c r="C168" s="157"/>
      <c r="D168" s="150">
        <v>10</v>
      </c>
      <c r="E168" s="151">
        <f>E166-0.25+18*16/1000*3.281</f>
        <v>34.19</v>
      </c>
      <c r="F168" s="151"/>
      <c r="G168" s="151"/>
      <c r="H168" s="154"/>
      <c r="I168" s="151">
        <f>D168*E168</f>
        <v>341.9</v>
      </c>
      <c r="J168" s="151"/>
      <c r="K168" s="152" t="s">
        <v>34</v>
      </c>
      <c r="L168" s="160"/>
    </row>
    <row r="169" spans="1:12" s="148" customFormat="1" ht="18.649999999999999" customHeight="1">
      <c r="A169" s="149"/>
      <c r="B169" s="157" t="s">
        <v>234</v>
      </c>
      <c r="C169" s="157"/>
      <c r="D169" s="150">
        <f>D166*2</f>
        <v>2</v>
      </c>
      <c r="E169" s="151">
        <f>E166-0.25+18*16/1000*3.281</f>
        <v>34.19</v>
      </c>
      <c r="F169" s="151"/>
      <c r="G169" s="151"/>
      <c r="H169" s="154"/>
      <c r="I169" s="151">
        <f>D169*E169</f>
        <v>68.38</v>
      </c>
      <c r="J169" s="151"/>
      <c r="K169" s="152" t="s">
        <v>34</v>
      </c>
      <c r="L169" s="160"/>
    </row>
    <row r="170" spans="1:12" s="148" customFormat="1" ht="18.649999999999999" customHeight="1">
      <c r="A170" s="149"/>
      <c r="B170" s="157" t="s">
        <v>236</v>
      </c>
      <c r="C170" s="157"/>
      <c r="D170" s="150">
        <f>D166*ROUND((E166-0.25*2)/0.42,0)+18*16/1000*3.281</f>
        <v>80</v>
      </c>
      <c r="E170" s="151">
        <f>ROUND((F166-0.17*2)*2+(G166-0.42)*2+18*10/1000*3.281,2)</f>
        <v>5.41</v>
      </c>
      <c r="F170" s="151"/>
      <c r="G170" s="151"/>
      <c r="H170" s="154"/>
      <c r="I170" s="151"/>
      <c r="J170" s="151">
        <f>D170*E170</f>
        <v>432.8</v>
      </c>
      <c r="K170" s="152" t="s">
        <v>34</v>
      </c>
      <c r="L170" s="160"/>
    </row>
    <row r="171" spans="1:12" s="148" customFormat="1" ht="18.649999999999999" customHeight="1">
      <c r="A171" s="149"/>
      <c r="B171" s="157" t="s">
        <v>237</v>
      </c>
      <c r="C171" s="157"/>
      <c r="D171" s="150">
        <f>D170</f>
        <v>80</v>
      </c>
      <c r="E171" s="151">
        <f>ROUND((0.8)*2+(G166-0.42)*2+18*10/1000*3.281,2)</f>
        <v>4.6900000000000004</v>
      </c>
      <c r="F171" s="151"/>
      <c r="G171" s="151"/>
      <c r="H171" s="154"/>
      <c r="I171" s="151"/>
      <c r="J171" s="151">
        <f>D171*E171</f>
        <v>375.2</v>
      </c>
      <c r="K171" s="152" t="s">
        <v>34</v>
      </c>
      <c r="L171" s="160"/>
    </row>
    <row r="172" spans="1:12" s="148" customFormat="1" ht="18.649999999999999" customHeight="1">
      <c r="A172" s="149"/>
      <c r="B172" s="157"/>
      <c r="C172" s="157"/>
      <c r="D172" s="150"/>
      <c r="E172" s="151"/>
      <c r="F172" s="151"/>
      <c r="G172" s="151"/>
      <c r="H172" s="154"/>
      <c r="I172" s="151"/>
      <c r="J172" s="151"/>
      <c r="K172" s="152"/>
      <c r="L172" s="160"/>
    </row>
    <row r="173" spans="1:12" s="148" customFormat="1" ht="18.649999999999999" customHeight="1">
      <c r="A173" s="149"/>
      <c r="B173" s="157" t="str">
        <f>B137</f>
        <v>SF2 (4' 6" x 47' 0" x 1'-0")</v>
      </c>
      <c r="C173" s="157"/>
      <c r="D173" s="150">
        <f>D137</f>
        <v>1</v>
      </c>
      <c r="E173" s="151">
        <f>E137</f>
        <v>4.5</v>
      </c>
      <c r="F173" s="151">
        <f>F137</f>
        <v>47</v>
      </c>
      <c r="G173" s="151">
        <f>G137</f>
        <v>1</v>
      </c>
      <c r="H173" s="154"/>
      <c r="I173" s="151"/>
      <c r="J173" s="151"/>
      <c r="K173" s="152"/>
      <c r="L173" s="160"/>
    </row>
    <row r="174" spans="1:12" s="148" customFormat="1" ht="18.649999999999999" customHeight="1">
      <c r="A174" s="149"/>
      <c r="B174" s="157" t="s">
        <v>235</v>
      </c>
      <c r="C174" s="157"/>
      <c r="D174" s="150">
        <f>D173*ROUND((F173-0.25*2)/0.5+1,0)</f>
        <v>94</v>
      </c>
      <c r="E174" s="151">
        <f>E173-0.25*2+18*16/1000*3.281</f>
        <v>4.9400000000000004</v>
      </c>
      <c r="F174" s="151"/>
      <c r="G174" s="151"/>
      <c r="H174" s="154"/>
      <c r="I174" s="151">
        <f>D174*E174</f>
        <v>464.36</v>
      </c>
      <c r="J174" s="151"/>
      <c r="K174" s="152" t="s">
        <v>34</v>
      </c>
      <c r="L174" s="160"/>
    </row>
    <row r="175" spans="1:12" s="148" customFormat="1" ht="18.649999999999999" customHeight="1">
      <c r="A175" s="149"/>
      <c r="B175" s="157" t="s">
        <v>231</v>
      </c>
      <c r="C175" s="157"/>
      <c r="D175" s="150">
        <f>D173*ROUND((E173-0.25*2)/0.5+1,0)</f>
        <v>9</v>
      </c>
      <c r="E175" s="151">
        <f>F173-0.25+18*16/1000*3.281</f>
        <v>47.69</v>
      </c>
      <c r="F175" s="151"/>
      <c r="G175" s="151"/>
      <c r="H175" s="154"/>
      <c r="I175" s="151">
        <f>D175*E175</f>
        <v>429.21</v>
      </c>
      <c r="J175" s="151"/>
      <c r="K175" s="152" t="s">
        <v>34</v>
      </c>
      <c r="L175" s="160"/>
    </row>
    <row r="176" spans="1:12" s="148" customFormat="1" ht="18.649999999999999" customHeight="1">
      <c r="A176" s="149"/>
      <c r="B176" s="157" t="str">
        <f>B138</f>
        <v>SB2 (18" X 18")</v>
      </c>
      <c r="C176" s="157"/>
      <c r="D176" s="150">
        <f>D138</f>
        <v>1</v>
      </c>
      <c r="E176" s="151">
        <f>E138</f>
        <v>47</v>
      </c>
      <c r="F176" s="151">
        <f>F138</f>
        <v>1.5</v>
      </c>
      <c r="G176" s="151">
        <v>1.5</v>
      </c>
      <c r="H176" s="154"/>
      <c r="I176" s="151"/>
      <c r="J176" s="151"/>
      <c r="K176" s="152"/>
      <c r="L176" s="160"/>
    </row>
    <row r="177" spans="1:12" s="148" customFormat="1" ht="18.649999999999999" customHeight="1">
      <c r="A177" s="149"/>
      <c r="B177" s="157" t="s">
        <v>239</v>
      </c>
      <c r="C177" s="157"/>
      <c r="D177" s="150">
        <f>D176*7</f>
        <v>7</v>
      </c>
      <c r="E177" s="151">
        <f>E176-0.25+(G176-0.25)*2</f>
        <v>49.25</v>
      </c>
      <c r="F177" s="151"/>
      <c r="G177" s="151"/>
      <c r="H177" s="154"/>
      <c r="I177" s="151">
        <f>D177*E177</f>
        <v>344.75</v>
      </c>
      <c r="J177" s="151"/>
      <c r="K177" s="152" t="s">
        <v>34</v>
      </c>
      <c r="L177" s="160"/>
    </row>
    <row r="178" spans="1:12" s="148" customFormat="1" ht="18.649999999999999" customHeight="1">
      <c r="A178" s="149"/>
      <c r="B178" s="157" t="s">
        <v>240</v>
      </c>
      <c r="C178" s="157"/>
      <c r="D178" s="150">
        <f>D176*7</f>
        <v>7</v>
      </c>
      <c r="E178" s="151">
        <f>E176-0.25+18*16/1000*3.281</f>
        <v>47.69</v>
      </c>
      <c r="F178" s="151"/>
      <c r="G178" s="151"/>
      <c r="H178" s="154"/>
      <c r="I178" s="151">
        <f>D178*E178</f>
        <v>333.83</v>
      </c>
      <c r="J178" s="151"/>
      <c r="K178" s="152" t="s">
        <v>34</v>
      </c>
      <c r="L178" s="160"/>
    </row>
    <row r="179" spans="1:12" s="148" customFormat="1" ht="18.649999999999999" customHeight="1">
      <c r="A179" s="149"/>
      <c r="B179" s="157" t="s">
        <v>234</v>
      </c>
      <c r="C179" s="157"/>
      <c r="D179" s="150">
        <f>D176*2</f>
        <v>2</v>
      </c>
      <c r="E179" s="151">
        <f>E176-0.25+18*16/1000*3.281</f>
        <v>47.69</v>
      </c>
      <c r="F179" s="151"/>
      <c r="G179" s="151"/>
      <c r="H179" s="154"/>
      <c r="I179" s="151">
        <f>D179*E179</f>
        <v>95.38</v>
      </c>
      <c r="J179" s="151"/>
      <c r="K179" s="152" t="s">
        <v>34</v>
      </c>
      <c r="L179" s="160"/>
    </row>
    <row r="180" spans="1:12" s="148" customFormat="1" ht="18.649999999999999" customHeight="1">
      <c r="A180" s="149"/>
      <c r="B180" s="157" t="s">
        <v>236</v>
      </c>
      <c r="C180" s="157"/>
      <c r="D180" s="150">
        <f>D176*ROUND((E176-0.25*2)/0.42,0)+18*16/1000*3.281</f>
        <v>112</v>
      </c>
      <c r="E180" s="151">
        <f>ROUND((F176-0.17*2)*2+(G176-0.42)*2+18*10/1000*3.281,2)</f>
        <v>5.07</v>
      </c>
      <c r="F180" s="151"/>
      <c r="G180" s="151"/>
      <c r="H180" s="154"/>
      <c r="I180" s="151"/>
      <c r="J180" s="151">
        <f>D180*E180</f>
        <v>567.84</v>
      </c>
      <c r="K180" s="152" t="s">
        <v>34</v>
      </c>
      <c r="L180" s="160"/>
    </row>
    <row r="181" spans="1:12" s="148" customFormat="1" ht="18.649999999999999" customHeight="1">
      <c r="A181" s="149"/>
      <c r="B181" s="157" t="s">
        <v>237</v>
      </c>
      <c r="C181" s="157"/>
      <c r="D181" s="150">
        <f>D180</f>
        <v>112</v>
      </c>
      <c r="E181" s="151">
        <f>ROUND((0.8)*2+(G176-0.42)*2+18*10/1000*3.281,2)</f>
        <v>4.3499999999999996</v>
      </c>
      <c r="F181" s="151"/>
      <c r="G181" s="151"/>
      <c r="H181" s="154"/>
      <c r="I181" s="151"/>
      <c r="J181" s="151">
        <f>D181*E181</f>
        <v>487.2</v>
      </c>
      <c r="K181" s="152" t="s">
        <v>34</v>
      </c>
      <c r="L181" s="160"/>
    </row>
    <row r="182" spans="1:12" s="148" customFormat="1" ht="18.649999999999999" customHeight="1">
      <c r="A182" s="149"/>
      <c r="B182" s="157"/>
      <c r="C182" s="157"/>
      <c r="D182" s="150"/>
      <c r="E182" s="151"/>
      <c r="F182" s="151"/>
      <c r="G182" s="151"/>
      <c r="H182" s="155"/>
      <c r="I182" s="151"/>
      <c r="J182" s="151"/>
      <c r="K182" s="152"/>
      <c r="L182" s="147"/>
    </row>
    <row r="183" spans="1:12" s="148" customFormat="1" ht="18.649999999999999" customHeight="1">
      <c r="A183" s="149"/>
      <c r="B183" s="149"/>
      <c r="C183" s="149"/>
      <c r="D183" s="150"/>
      <c r="E183" s="151"/>
      <c r="F183" s="151"/>
      <c r="G183" s="151"/>
      <c r="H183" s="155"/>
      <c r="I183" s="151">
        <f>SUM(I154:I182)</f>
        <v>5589.32</v>
      </c>
      <c r="J183" s="151">
        <f>SUM(J154:J182)</f>
        <v>1863.04</v>
      </c>
      <c r="K183" s="158" t="s">
        <v>34</v>
      </c>
      <c r="L183" s="147"/>
    </row>
    <row r="184" spans="1:12" s="148" customFormat="1" ht="18.649999999999999" customHeight="1">
      <c r="A184" s="149"/>
      <c r="B184" s="149"/>
      <c r="C184" s="149"/>
      <c r="D184" s="150"/>
      <c r="E184" s="151"/>
      <c r="F184" s="151"/>
      <c r="G184" s="151"/>
      <c r="H184" s="155"/>
      <c r="I184" s="151" t="str">
        <f>I153</f>
        <v>16 mm Ø</v>
      </c>
      <c r="J184" s="151" t="str">
        <f>J153</f>
        <v>10 mm Ø</v>
      </c>
      <c r="K184" s="158"/>
      <c r="L184" s="147"/>
    </row>
    <row r="185" spans="1:12" s="148" customFormat="1" ht="18.649999999999999" customHeight="1">
      <c r="A185" s="149"/>
      <c r="B185" s="149"/>
      <c r="C185" s="149"/>
      <c r="D185" s="150"/>
      <c r="E185" s="151"/>
      <c r="F185" s="151"/>
      <c r="G185" s="151"/>
      <c r="H185" s="151"/>
      <c r="I185" s="151">
        <f>I183/39.33/53</f>
        <v>2.68</v>
      </c>
      <c r="J185" s="151">
        <f>J183/39.33/135</f>
        <v>0.35</v>
      </c>
      <c r="K185" s="158" t="s">
        <v>14</v>
      </c>
      <c r="L185" s="147"/>
    </row>
    <row r="186" spans="1:12" s="148" customFormat="1" ht="18.649999999999999" customHeight="1">
      <c r="A186" s="149"/>
      <c r="B186" s="149"/>
      <c r="C186" s="149"/>
      <c r="D186" s="150"/>
      <c r="E186" s="151"/>
      <c r="F186" s="151"/>
      <c r="G186" s="151"/>
      <c r="H186" s="269" t="s">
        <v>362</v>
      </c>
      <c r="I186" s="270">
        <f>I185*1.05</f>
        <v>2.81</v>
      </c>
      <c r="J186" s="270">
        <f>J185*1.05</f>
        <v>0.37</v>
      </c>
      <c r="K186" s="271" t="s">
        <v>14</v>
      </c>
      <c r="L186" s="147"/>
    </row>
    <row r="187" spans="1:12" s="148" customFormat="1" ht="18.649999999999999" customHeight="1">
      <c r="A187" s="149"/>
      <c r="B187" s="149"/>
      <c r="C187" s="149"/>
      <c r="D187" s="150"/>
      <c r="E187" s="151"/>
      <c r="F187" s="151"/>
      <c r="G187" s="151"/>
      <c r="H187" s="151"/>
      <c r="I187" s="151"/>
      <c r="J187" s="151"/>
      <c r="K187" s="158"/>
      <c r="L187" s="147"/>
    </row>
    <row r="188" spans="1:12" s="148" customFormat="1" ht="18.649999999999999" customHeight="1">
      <c r="A188" s="149">
        <v>8</v>
      </c>
      <c r="B188" s="159" t="s">
        <v>53</v>
      </c>
      <c r="C188" s="159"/>
      <c r="D188" s="150"/>
      <c r="E188" s="151"/>
      <c r="F188" s="151"/>
      <c r="G188" s="151"/>
      <c r="H188" s="151"/>
      <c r="I188" s="151"/>
      <c r="J188" s="151"/>
      <c r="K188" s="152"/>
      <c r="L188" s="147"/>
    </row>
    <row r="189" spans="1:12" s="148" customFormat="1" ht="18.649999999999999" customHeight="1">
      <c r="A189" s="149"/>
      <c r="B189" s="159" t="s">
        <v>115</v>
      </c>
      <c r="C189" s="159"/>
      <c r="D189" s="150"/>
      <c r="E189" s="151"/>
      <c r="F189" s="151"/>
      <c r="G189" s="151"/>
      <c r="H189" s="151"/>
      <c r="I189" s="151"/>
      <c r="J189" s="151"/>
      <c r="K189" s="152"/>
      <c r="L189" s="147"/>
    </row>
    <row r="190" spans="1:12" s="148" customFormat="1" ht="18.649999999999999" customHeight="1">
      <c r="A190" s="149"/>
      <c r="B190" s="157" t="s">
        <v>123</v>
      </c>
      <c r="C190" s="157"/>
      <c r="D190" s="150"/>
      <c r="E190" s="151"/>
      <c r="F190" s="151"/>
      <c r="G190" s="151"/>
      <c r="H190" s="151"/>
      <c r="I190" s="151"/>
      <c r="J190" s="151"/>
      <c r="K190" s="152"/>
      <c r="L190" s="147"/>
    </row>
    <row r="191" spans="1:12" s="148" customFormat="1" ht="18.649999999999999" customHeight="1">
      <c r="A191" s="149"/>
      <c r="B191" s="157" t="s">
        <v>241</v>
      </c>
      <c r="C191" s="157"/>
      <c r="D191" s="150">
        <v>12</v>
      </c>
      <c r="E191" s="151">
        <v>1</v>
      </c>
      <c r="F191" s="151">
        <v>1</v>
      </c>
      <c r="G191" s="151">
        <f>7-1+4-14/12</f>
        <v>8.83</v>
      </c>
      <c r="H191" s="151"/>
      <c r="I191" s="151">
        <f>D191*E191*F191*G191</f>
        <v>105.96</v>
      </c>
      <c r="J191" s="151"/>
      <c r="K191" s="152" t="s">
        <v>28</v>
      </c>
      <c r="L191" s="147"/>
    </row>
    <row r="192" spans="1:12" s="148" customFormat="1" ht="18.649999999999999" customHeight="1">
      <c r="A192" s="149"/>
      <c r="B192" s="157" t="s">
        <v>242</v>
      </c>
      <c r="C192" s="157"/>
      <c r="D192" s="150">
        <v>3</v>
      </c>
      <c r="E192" s="151">
        <v>1</v>
      </c>
      <c r="F192" s="151">
        <v>1</v>
      </c>
      <c r="G192" s="151">
        <f>7-1+4-14/12</f>
        <v>8.83</v>
      </c>
      <c r="H192" s="151"/>
      <c r="I192" s="151">
        <f>D192*E192*F192*G192</f>
        <v>26.49</v>
      </c>
      <c r="J192" s="151"/>
      <c r="K192" s="152" t="s">
        <v>28</v>
      </c>
      <c r="L192" s="147"/>
    </row>
    <row r="193" spans="1:12" s="148" customFormat="1" ht="18.649999999999999" customHeight="1">
      <c r="A193" s="149"/>
      <c r="B193" s="157"/>
      <c r="C193" s="157"/>
      <c r="D193" s="150"/>
      <c r="E193" s="151"/>
      <c r="F193" s="151"/>
      <c r="G193" s="151"/>
      <c r="H193" s="151"/>
      <c r="I193" s="151"/>
      <c r="J193" s="151">
        <f>SUM(I191:I193)</f>
        <v>132.44999999999999</v>
      </c>
      <c r="K193" s="152" t="s">
        <v>28</v>
      </c>
      <c r="L193" s="147"/>
    </row>
    <row r="194" spans="1:12" s="148" customFormat="1" ht="18.649999999999999" customHeight="1">
      <c r="A194" s="149"/>
      <c r="B194" s="157"/>
      <c r="C194" s="157"/>
      <c r="D194" s="150"/>
      <c r="E194" s="151"/>
      <c r="F194" s="151"/>
      <c r="G194" s="151"/>
      <c r="H194" s="151"/>
      <c r="I194" s="151"/>
      <c r="J194" s="151"/>
      <c r="K194" s="152"/>
      <c r="L194" s="147"/>
    </row>
    <row r="195" spans="1:12" s="148" customFormat="1" ht="18.649999999999999" customHeight="1">
      <c r="A195" s="149"/>
      <c r="B195" s="157" t="s">
        <v>124</v>
      </c>
      <c r="C195" s="157"/>
      <c r="D195" s="150"/>
      <c r="E195" s="151"/>
      <c r="F195" s="151"/>
      <c r="G195" s="151"/>
      <c r="H195" s="151"/>
      <c r="I195" s="151"/>
      <c r="J195" s="151"/>
      <c r="K195" s="152"/>
      <c r="L195" s="147"/>
    </row>
    <row r="196" spans="1:12" s="148" customFormat="1" ht="18.649999999999999" customHeight="1">
      <c r="A196" s="149"/>
      <c r="B196" s="157" t="s">
        <v>202</v>
      </c>
      <c r="C196" s="157"/>
      <c r="D196" s="150">
        <f>D191</f>
        <v>12</v>
      </c>
      <c r="E196" s="151">
        <v>1</v>
      </c>
      <c r="F196" s="151">
        <v>1</v>
      </c>
      <c r="G196" s="151">
        <f>13-1.17</f>
        <v>11.83</v>
      </c>
      <c r="H196" s="151"/>
      <c r="I196" s="151">
        <f>D196*E196*F196*G196</f>
        <v>141.96</v>
      </c>
      <c r="J196" s="151"/>
      <c r="K196" s="152" t="s">
        <v>28</v>
      </c>
      <c r="L196" s="147"/>
    </row>
    <row r="197" spans="1:12" s="148" customFormat="1" ht="18.649999999999999" customHeight="1">
      <c r="A197" s="149"/>
      <c r="B197" s="157" t="s">
        <v>243</v>
      </c>
      <c r="C197" s="157"/>
      <c r="D197" s="150">
        <f>D192</f>
        <v>3</v>
      </c>
      <c r="E197" s="151">
        <v>1</v>
      </c>
      <c r="F197" s="151">
        <v>1</v>
      </c>
      <c r="G197" s="151">
        <f>13-1.17</f>
        <v>11.83</v>
      </c>
      <c r="H197" s="151"/>
      <c r="I197" s="151">
        <f>D197*E197*F197*G197</f>
        <v>35.49</v>
      </c>
      <c r="J197" s="151"/>
      <c r="K197" s="152" t="s">
        <v>28</v>
      </c>
      <c r="L197" s="147"/>
    </row>
    <row r="198" spans="1:12" s="148" customFormat="1" ht="18.649999999999999" customHeight="1">
      <c r="A198" s="149"/>
      <c r="B198" s="157"/>
      <c r="C198" s="157"/>
      <c r="D198" s="150"/>
      <c r="E198" s="151"/>
      <c r="F198" s="151"/>
      <c r="G198" s="151"/>
      <c r="H198" s="151"/>
      <c r="I198" s="151"/>
      <c r="J198" s="151">
        <f>SUM(I196:I198)</f>
        <v>177.45</v>
      </c>
      <c r="K198" s="152" t="s">
        <v>28</v>
      </c>
      <c r="L198" s="147"/>
    </row>
    <row r="199" spans="1:12" s="148" customFormat="1" ht="18.649999999999999" customHeight="1">
      <c r="A199" s="149"/>
      <c r="B199" s="157"/>
      <c r="C199" s="157"/>
      <c r="D199" s="150"/>
      <c r="E199" s="151"/>
      <c r="F199" s="151"/>
      <c r="G199" s="151"/>
      <c r="H199" s="151"/>
      <c r="I199" s="151"/>
      <c r="J199" s="151"/>
      <c r="K199" s="152"/>
      <c r="L199" s="147"/>
    </row>
    <row r="200" spans="1:12" s="148" customFormat="1" ht="18.649999999999999" customHeight="1">
      <c r="A200" s="149"/>
      <c r="B200" s="157" t="s">
        <v>244</v>
      </c>
      <c r="C200" s="157"/>
      <c r="D200" s="150"/>
      <c r="E200" s="151"/>
      <c r="F200" s="151"/>
      <c r="G200" s="154"/>
      <c r="H200" s="151"/>
      <c r="I200" s="151"/>
      <c r="J200" s="151"/>
      <c r="K200" s="152"/>
      <c r="L200" s="147"/>
    </row>
    <row r="201" spans="1:12" s="148" customFormat="1" ht="18.649999999999999" customHeight="1">
      <c r="A201" s="149"/>
      <c r="B201" s="157" t="s">
        <v>202</v>
      </c>
      <c r="C201" s="157"/>
      <c r="D201" s="150">
        <f>D196</f>
        <v>12</v>
      </c>
      <c r="E201" s="151">
        <v>1</v>
      </c>
      <c r="F201" s="151">
        <v>1</v>
      </c>
      <c r="G201" s="151">
        <f>12-14/12</f>
        <v>10.83</v>
      </c>
      <c r="H201" s="151"/>
      <c r="I201" s="151">
        <f>D201*E201*F201*G201</f>
        <v>129.96</v>
      </c>
      <c r="J201" s="151"/>
      <c r="K201" s="152" t="s">
        <v>28</v>
      </c>
      <c r="L201" s="147"/>
    </row>
    <row r="202" spans="1:12" s="148" customFormat="1" ht="18.649999999999999" customHeight="1">
      <c r="A202" s="149"/>
      <c r="B202" s="157" t="s">
        <v>243</v>
      </c>
      <c r="C202" s="157"/>
      <c r="D202" s="150">
        <f>D197</f>
        <v>3</v>
      </c>
      <c r="E202" s="151">
        <v>1</v>
      </c>
      <c r="F202" s="151">
        <v>1</v>
      </c>
      <c r="G202" s="151">
        <f>12-14/12</f>
        <v>10.83</v>
      </c>
      <c r="H202" s="151"/>
      <c r="I202" s="151">
        <f>D202*E202*F202*G202</f>
        <v>32.49</v>
      </c>
      <c r="J202" s="151"/>
      <c r="K202" s="152" t="s">
        <v>28</v>
      </c>
      <c r="L202" s="147"/>
    </row>
    <row r="203" spans="1:12" s="148" customFormat="1" ht="18.649999999999999" customHeight="1">
      <c r="A203" s="149"/>
      <c r="B203" s="157"/>
      <c r="C203" s="157"/>
      <c r="D203" s="150"/>
      <c r="E203" s="151"/>
      <c r="F203" s="151"/>
      <c r="G203" s="151"/>
      <c r="H203" s="151"/>
      <c r="I203" s="151"/>
      <c r="J203" s="151">
        <f>SUM(I201:I203)</f>
        <v>162.44999999999999</v>
      </c>
      <c r="K203" s="152"/>
      <c r="L203" s="147"/>
    </row>
    <row r="204" spans="1:12" s="148" customFormat="1" ht="18.649999999999999" customHeight="1">
      <c r="A204" s="149"/>
      <c r="B204" s="157" t="s">
        <v>245</v>
      </c>
      <c r="C204" s="157"/>
      <c r="D204" s="150"/>
      <c r="E204" s="151"/>
      <c r="F204" s="151"/>
      <c r="G204" s="154"/>
      <c r="H204" s="151"/>
      <c r="I204" s="151"/>
      <c r="J204" s="151"/>
      <c r="K204" s="152"/>
      <c r="L204" s="147"/>
    </row>
    <row r="205" spans="1:12" s="148" customFormat="1" ht="18.649999999999999" customHeight="1">
      <c r="A205" s="149"/>
      <c r="B205" s="157" t="s">
        <v>202</v>
      </c>
      <c r="C205" s="157"/>
      <c r="D205" s="150">
        <v>12</v>
      </c>
      <c r="E205" s="151">
        <v>1</v>
      </c>
      <c r="F205" s="151">
        <v>1</v>
      </c>
      <c r="G205" s="151">
        <f>11-14/12</f>
        <v>9.83</v>
      </c>
      <c r="H205" s="151"/>
      <c r="I205" s="151">
        <f>D205*E205*F205*G205</f>
        <v>117.96</v>
      </c>
      <c r="J205" s="151"/>
      <c r="K205" s="152" t="s">
        <v>28</v>
      </c>
      <c r="L205" s="147"/>
    </row>
    <row r="206" spans="1:12" s="148" customFormat="1" ht="18.649999999999999" customHeight="1">
      <c r="A206" s="149"/>
      <c r="B206" s="157"/>
      <c r="C206" s="157"/>
      <c r="D206" s="150"/>
      <c r="E206" s="151"/>
      <c r="F206" s="151"/>
      <c r="G206" s="151"/>
      <c r="H206" s="151"/>
      <c r="I206" s="151"/>
      <c r="J206" s="151">
        <f>SUM(I205:I206)</f>
        <v>117.96</v>
      </c>
      <c r="K206" s="152"/>
      <c r="L206" s="147"/>
    </row>
    <row r="207" spans="1:12" s="148" customFormat="1" ht="18.649999999999999" customHeight="1">
      <c r="A207" s="149"/>
      <c r="B207" s="157"/>
      <c r="C207" s="157"/>
      <c r="D207" s="150"/>
      <c r="E207" s="151"/>
      <c r="F207" s="151"/>
      <c r="G207" s="151"/>
      <c r="H207" s="151"/>
      <c r="I207" s="151"/>
      <c r="J207" s="151">
        <f>SUM(I191:I207)</f>
        <v>590.30999999999995</v>
      </c>
      <c r="K207" s="158" t="s">
        <v>28</v>
      </c>
      <c r="L207" s="147"/>
    </row>
    <row r="208" spans="1:12" s="148" customFormat="1" ht="18.649999999999999" customHeight="1">
      <c r="A208" s="149"/>
      <c r="B208" s="159"/>
      <c r="C208" s="159"/>
      <c r="D208" s="150"/>
      <c r="E208" s="151"/>
      <c r="F208" s="151"/>
      <c r="G208" s="151"/>
      <c r="H208" s="151"/>
      <c r="I208" s="151"/>
      <c r="J208" s="270">
        <f>J207/100</f>
        <v>5.9</v>
      </c>
      <c r="K208" s="271" t="s">
        <v>7</v>
      </c>
      <c r="L208" s="147"/>
    </row>
    <row r="209" spans="1:12" s="148" customFormat="1" ht="18.649999999999999" customHeight="1">
      <c r="A209" s="149"/>
      <c r="B209" s="159"/>
      <c r="C209" s="159"/>
      <c r="D209" s="150"/>
      <c r="E209" s="151"/>
      <c r="F209" s="151"/>
      <c r="G209" s="151"/>
      <c r="H209" s="151"/>
      <c r="I209" s="151"/>
      <c r="J209" s="151"/>
      <c r="K209" s="152"/>
      <c r="L209" s="147"/>
    </row>
    <row r="210" spans="1:12" s="148" customFormat="1" ht="18.649999999999999" customHeight="1">
      <c r="A210" s="149"/>
      <c r="B210" s="159" t="s">
        <v>103</v>
      </c>
      <c r="C210" s="159"/>
      <c r="D210" s="150"/>
      <c r="E210" s="151"/>
      <c r="F210" s="151"/>
      <c r="G210" s="151"/>
      <c r="H210" s="151"/>
      <c r="I210" s="151"/>
      <c r="J210" s="151"/>
      <c r="K210" s="152"/>
      <c r="L210" s="147"/>
    </row>
    <row r="211" spans="1:12" s="148" customFormat="1" ht="18.649999999999999" customHeight="1">
      <c r="A211" s="149"/>
      <c r="B211" s="159" t="str">
        <f>B190</f>
        <v>Footing to Plinth Level</v>
      </c>
      <c r="C211" s="159"/>
      <c r="D211" s="150"/>
      <c r="E211" s="151"/>
      <c r="F211" s="151"/>
      <c r="G211" s="151"/>
      <c r="H211" s="151"/>
      <c r="I211" s="151"/>
      <c r="J211" s="151"/>
      <c r="K211" s="152"/>
      <c r="L211" s="147"/>
    </row>
    <row r="212" spans="1:12" s="148" customFormat="1" ht="18.649999999999999" customHeight="1">
      <c r="A212" s="149"/>
      <c r="B212" s="157" t="str">
        <f>B191</f>
        <v>C1 (12" x 12"), Up to G.F</v>
      </c>
      <c r="C212" s="157"/>
      <c r="D212" s="150">
        <f>D191</f>
        <v>12</v>
      </c>
      <c r="E212" s="151">
        <f>E191*2+F191*2</f>
        <v>4</v>
      </c>
      <c r="F212" s="151"/>
      <c r="G212" s="151">
        <f>G191</f>
        <v>8.83</v>
      </c>
      <c r="H212" s="151"/>
      <c r="I212" s="151">
        <f>G212*E212*D212</f>
        <v>423.84</v>
      </c>
      <c r="J212" s="151"/>
      <c r="K212" s="152" t="s">
        <v>21</v>
      </c>
      <c r="L212" s="147"/>
    </row>
    <row r="213" spans="1:12" s="148" customFormat="1" ht="18.649999999999999" customHeight="1">
      <c r="A213" s="149"/>
      <c r="B213" s="157" t="str">
        <f>B192</f>
        <v>C2 (12" x 12"), Up to G.F</v>
      </c>
      <c r="C213" s="157"/>
      <c r="D213" s="150">
        <f>D192</f>
        <v>3</v>
      </c>
      <c r="E213" s="151">
        <f>E192*2+F192*2</f>
        <v>4</v>
      </c>
      <c r="F213" s="151"/>
      <c r="G213" s="151">
        <f>G192</f>
        <v>8.83</v>
      </c>
      <c r="H213" s="151"/>
      <c r="I213" s="151">
        <f>G213*E213*D213</f>
        <v>105.96</v>
      </c>
      <c r="J213" s="151"/>
      <c r="K213" s="152" t="s">
        <v>21</v>
      </c>
      <c r="L213" s="147"/>
    </row>
    <row r="214" spans="1:12" s="148" customFormat="1" ht="18.649999999999999" customHeight="1">
      <c r="A214" s="149"/>
      <c r="B214" s="157"/>
      <c r="C214" s="157"/>
      <c r="D214" s="150"/>
      <c r="E214" s="151"/>
      <c r="F214" s="151"/>
      <c r="G214" s="151"/>
      <c r="H214" s="151"/>
      <c r="I214" s="151"/>
      <c r="J214" s="151"/>
      <c r="K214" s="152"/>
      <c r="L214" s="147"/>
    </row>
    <row r="215" spans="1:12" s="148" customFormat="1" ht="18.649999999999999" customHeight="1">
      <c r="A215" s="149"/>
      <c r="B215" s="157" t="str">
        <f>B195</f>
        <v>Plinth Level to 1st Floor Level</v>
      </c>
      <c r="C215" s="157"/>
      <c r="D215" s="150"/>
      <c r="E215" s="151"/>
      <c r="F215" s="151"/>
      <c r="G215" s="151"/>
      <c r="H215" s="151"/>
      <c r="I215" s="151"/>
      <c r="J215" s="151"/>
      <c r="K215" s="152"/>
      <c r="L215" s="147"/>
    </row>
    <row r="216" spans="1:12" s="148" customFormat="1" ht="18.649999999999999" customHeight="1">
      <c r="A216" s="149"/>
      <c r="B216" s="157" t="str">
        <f>B196</f>
        <v>C1 (12" x 12")</v>
      </c>
      <c r="C216" s="157"/>
      <c r="D216" s="150">
        <f>D196</f>
        <v>12</v>
      </c>
      <c r="E216" s="151">
        <f>E196*2+F196*2</f>
        <v>4</v>
      </c>
      <c r="F216" s="151"/>
      <c r="G216" s="151">
        <f>G196</f>
        <v>11.83</v>
      </c>
      <c r="H216" s="151"/>
      <c r="I216" s="151">
        <f>G216*E216*D216</f>
        <v>567.84</v>
      </c>
      <c r="J216" s="151"/>
      <c r="K216" s="152" t="s">
        <v>21</v>
      </c>
      <c r="L216" s="147"/>
    </row>
    <row r="217" spans="1:12" s="148" customFormat="1" ht="18.649999999999999" customHeight="1">
      <c r="A217" s="149"/>
      <c r="B217" s="157" t="str">
        <f>B197</f>
        <v>C2 (12" x 12")</v>
      </c>
      <c r="C217" s="157"/>
      <c r="D217" s="150">
        <f>D197</f>
        <v>3</v>
      </c>
      <c r="E217" s="151">
        <f>E197*2+F197*2</f>
        <v>4</v>
      </c>
      <c r="F217" s="151"/>
      <c r="G217" s="151">
        <f>G197</f>
        <v>11.83</v>
      </c>
      <c r="H217" s="151"/>
      <c r="I217" s="151">
        <f>G217*E217*D217</f>
        <v>141.96</v>
      </c>
      <c r="J217" s="151"/>
      <c r="K217" s="152" t="s">
        <v>21</v>
      </c>
      <c r="L217" s="147"/>
    </row>
    <row r="218" spans="1:12" s="148" customFormat="1" ht="18.649999999999999" customHeight="1">
      <c r="A218" s="149"/>
      <c r="B218" s="157"/>
      <c r="C218" s="157"/>
      <c r="D218" s="150"/>
      <c r="E218" s="151"/>
      <c r="F218" s="151"/>
      <c r="G218" s="151"/>
      <c r="H218" s="151"/>
      <c r="I218" s="151"/>
      <c r="J218" s="151"/>
      <c r="K218" s="152"/>
      <c r="L218" s="147"/>
    </row>
    <row r="219" spans="1:12" s="148" customFormat="1" ht="18.649999999999999" customHeight="1">
      <c r="A219" s="149"/>
      <c r="B219" s="157" t="str">
        <f>B200</f>
        <v>1st Floor to 2nd Floor Level</v>
      </c>
      <c r="C219" s="157"/>
      <c r="D219" s="150"/>
      <c r="E219" s="151"/>
      <c r="F219" s="151"/>
      <c r="G219" s="151"/>
      <c r="H219" s="151"/>
      <c r="I219" s="151"/>
      <c r="J219" s="151"/>
      <c r="K219" s="152"/>
      <c r="L219" s="147"/>
    </row>
    <row r="220" spans="1:12" s="148" customFormat="1" ht="18.649999999999999" customHeight="1">
      <c r="A220" s="149"/>
      <c r="B220" s="157" t="str">
        <f>B201</f>
        <v>C1 (12" x 12")</v>
      </c>
      <c r="C220" s="157"/>
      <c r="D220" s="150">
        <f>D201</f>
        <v>12</v>
      </c>
      <c r="E220" s="151">
        <f>E201*2+F201*2</f>
        <v>4</v>
      </c>
      <c r="F220" s="151"/>
      <c r="G220" s="151">
        <f>G201</f>
        <v>10.83</v>
      </c>
      <c r="H220" s="151"/>
      <c r="I220" s="151">
        <f>G220*E220*D220</f>
        <v>519.84</v>
      </c>
      <c r="J220" s="151"/>
      <c r="K220" s="152" t="s">
        <v>21</v>
      </c>
      <c r="L220" s="147"/>
    </row>
    <row r="221" spans="1:12" s="148" customFormat="1" ht="18.649999999999999" customHeight="1">
      <c r="A221" s="149"/>
      <c r="B221" s="157" t="str">
        <f>B202</f>
        <v>C2 (12" x 12")</v>
      </c>
      <c r="C221" s="157"/>
      <c r="D221" s="150">
        <f>D202</f>
        <v>3</v>
      </c>
      <c r="E221" s="151">
        <f>E202*2+F202*2</f>
        <v>4</v>
      </c>
      <c r="F221" s="151"/>
      <c r="G221" s="151">
        <f>G202</f>
        <v>10.83</v>
      </c>
      <c r="H221" s="151"/>
      <c r="I221" s="151">
        <f>G221*E221*D221</f>
        <v>129.96</v>
      </c>
      <c r="J221" s="151"/>
      <c r="K221" s="152" t="s">
        <v>21</v>
      </c>
      <c r="L221" s="147"/>
    </row>
    <row r="222" spans="1:12" s="148" customFormat="1" ht="18.649999999999999" customHeight="1">
      <c r="A222" s="149"/>
      <c r="B222" s="157"/>
      <c r="C222" s="157"/>
      <c r="D222" s="150"/>
      <c r="E222" s="151"/>
      <c r="F222" s="151"/>
      <c r="G222" s="151"/>
      <c r="H222" s="151"/>
      <c r="I222" s="151"/>
      <c r="J222" s="151"/>
      <c r="K222" s="152"/>
      <c r="L222" s="147"/>
    </row>
    <row r="223" spans="1:12" s="148" customFormat="1" ht="18.649999999999999" customHeight="1">
      <c r="A223" s="149"/>
      <c r="B223" s="157" t="str">
        <f>B204</f>
        <v>2nd Floor to Roof</v>
      </c>
      <c r="C223" s="157"/>
      <c r="D223" s="150"/>
      <c r="E223" s="151"/>
      <c r="F223" s="151"/>
      <c r="G223" s="151"/>
      <c r="H223" s="151"/>
      <c r="I223" s="151"/>
      <c r="J223" s="151"/>
      <c r="K223" s="152"/>
      <c r="L223" s="147"/>
    </row>
    <row r="224" spans="1:12" s="148" customFormat="1" ht="18.649999999999999" customHeight="1">
      <c r="A224" s="149"/>
      <c r="B224" s="157" t="str">
        <f>B205</f>
        <v>C1 (12" x 12")</v>
      </c>
      <c r="C224" s="157"/>
      <c r="D224" s="150">
        <f>D205</f>
        <v>12</v>
      </c>
      <c r="E224" s="151">
        <f>E205*2+F205*2</f>
        <v>4</v>
      </c>
      <c r="F224" s="151"/>
      <c r="G224" s="151">
        <f>G205</f>
        <v>9.83</v>
      </c>
      <c r="H224" s="151"/>
      <c r="I224" s="151">
        <f>G224*E224*D224</f>
        <v>471.84</v>
      </c>
      <c r="J224" s="151"/>
      <c r="K224" s="152" t="s">
        <v>21</v>
      </c>
      <c r="L224" s="147"/>
    </row>
    <row r="225" spans="1:12" s="148" customFormat="1" ht="18.649999999999999" customHeight="1">
      <c r="A225" s="149"/>
      <c r="B225" s="157"/>
      <c r="C225" s="157"/>
      <c r="D225" s="150"/>
      <c r="E225" s="151"/>
      <c r="F225" s="151"/>
      <c r="G225" s="151"/>
      <c r="H225" s="151"/>
      <c r="I225" s="151"/>
      <c r="J225" s="155">
        <f>SUM(I212:I225)</f>
        <v>2361.2399999999998</v>
      </c>
      <c r="K225" s="158" t="s">
        <v>21</v>
      </c>
      <c r="L225" s="147"/>
    </row>
    <row r="226" spans="1:12" s="148" customFormat="1" ht="18.649999999999999" customHeight="1">
      <c r="A226" s="149"/>
      <c r="B226" s="157"/>
      <c r="C226" s="157"/>
      <c r="D226" s="150"/>
      <c r="E226" s="151"/>
      <c r="F226" s="151"/>
      <c r="G226" s="151"/>
      <c r="H226" s="151"/>
      <c r="I226" s="151"/>
      <c r="J226" s="151">
        <f>J225/100</f>
        <v>23.61</v>
      </c>
      <c r="K226" s="158" t="s">
        <v>12</v>
      </c>
      <c r="L226" s="147"/>
    </row>
    <row r="227" spans="1:12" s="148" customFormat="1" ht="18.649999999999999" customHeight="1">
      <c r="A227" s="149"/>
      <c r="B227" s="159"/>
      <c r="C227" s="159"/>
      <c r="D227" s="150"/>
      <c r="E227" s="151"/>
      <c r="F227" s="151"/>
      <c r="G227" s="151"/>
      <c r="H227" s="151"/>
      <c r="I227" s="151"/>
      <c r="J227" s="151"/>
      <c r="K227" s="152"/>
      <c r="L227" s="147"/>
    </row>
    <row r="228" spans="1:12" s="148" customFormat="1" ht="18.649999999999999" customHeight="1">
      <c r="A228" s="149"/>
      <c r="B228" s="159" t="s">
        <v>48</v>
      </c>
      <c r="C228" s="159"/>
      <c r="D228" s="150"/>
      <c r="E228" s="151"/>
      <c r="F228" s="151"/>
      <c r="G228" s="151"/>
      <c r="H228" s="151"/>
      <c r="I228" s="151"/>
      <c r="J228" s="151"/>
      <c r="K228" s="152"/>
      <c r="L228" s="147"/>
    </row>
    <row r="229" spans="1:12" s="148" customFormat="1" ht="18.649999999999999" customHeight="1">
      <c r="A229" s="149"/>
      <c r="B229" s="159" t="str">
        <f>B190</f>
        <v>Footing to Plinth Level</v>
      </c>
      <c r="C229" s="159"/>
      <c r="D229" s="150"/>
      <c r="E229" s="151"/>
      <c r="F229" s="151"/>
      <c r="G229" s="151"/>
      <c r="H229" s="151" t="s">
        <v>246</v>
      </c>
      <c r="I229" s="151" t="s">
        <v>77</v>
      </c>
      <c r="J229" s="152" t="s">
        <v>154</v>
      </c>
      <c r="K229" s="152"/>
      <c r="L229" s="147"/>
    </row>
    <row r="230" spans="1:12" s="148" customFormat="1" ht="18.649999999999999" customHeight="1">
      <c r="A230" s="149"/>
      <c r="B230" s="229" t="str">
        <f>B191</f>
        <v>C1 (12" x 12"), Up to G.F</v>
      </c>
      <c r="C230" s="229"/>
      <c r="D230" s="226">
        <f>D191</f>
        <v>12</v>
      </c>
      <c r="E230" s="227">
        <f>E191</f>
        <v>1</v>
      </c>
      <c r="F230" s="227">
        <f>F191</f>
        <v>1</v>
      </c>
      <c r="G230" s="227">
        <f>G191+1.17+1.17</f>
        <v>11.17</v>
      </c>
      <c r="H230" s="151"/>
      <c r="I230" s="151"/>
      <c r="J230" s="151"/>
      <c r="K230" s="152"/>
      <c r="L230" s="147"/>
    </row>
    <row r="231" spans="1:12" s="148" customFormat="1" ht="18.649999999999999" customHeight="1">
      <c r="A231" s="149"/>
      <c r="B231" s="157" t="s">
        <v>171</v>
      </c>
      <c r="C231" s="157"/>
      <c r="D231" s="150">
        <f>D230*8</f>
        <v>96</v>
      </c>
      <c r="E231" s="151">
        <f>G230-0.25+15/12</f>
        <v>12.17</v>
      </c>
      <c r="F231" s="151"/>
      <c r="G231" s="151"/>
      <c r="H231" s="154"/>
      <c r="I231" s="151">
        <f>D231*E231</f>
        <v>1168.32</v>
      </c>
      <c r="J231" s="151"/>
      <c r="K231" s="152"/>
      <c r="L231" s="147"/>
    </row>
    <row r="232" spans="1:12" s="148" customFormat="1" ht="18.649999999999999" customHeight="1">
      <c r="A232" s="149"/>
      <c r="B232" s="157" t="s">
        <v>51</v>
      </c>
      <c r="C232" s="157"/>
      <c r="D232" s="150">
        <f>D231</f>
        <v>96</v>
      </c>
      <c r="E232" s="151">
        <f>2.83</f>
        <v>2.83</v>
      </c>
      <c r="F232" s="151"/>
      <c r="G232" s="151"/>
      <c r="H232" s="154"/>
      <c r="I232" s="151">
        <f>D232*E232</f>
        <v>271.68</v>
      </c>
      <c r="J232" s="151"/>
      <c r="K232" s="152"/>
      <c r="L232" s="147"/>
    </row>
    <row r="233" spans="1:12" s="148" customFormat="1" ht="18.649999999999999" customHeight="1">
      <c r="A233" s="149"/>
      <c r="B233" s="157" t="s">
        <v>352</v>
      </c>
      <c r="C233" s="157"/>
      <c r="D233" s="150">
        <f>D230*ROUND((G230-0.25)/0.42+1,0)</f>
        <v>324</v>
      </c>
      <c r="E233" s="151">
        <f>(E230-0.25+F230-0.25)*2+24*10/1000*3.281</f>
        <v>3.79</v>
      </c>
      <c r="F233" s="151"/>
      <c r="G233" s="151"/>
      <c r="H233" s="154"/>
      <c r="I233" s="151"/>
      <c r="J233" s="151">
        <f>D233*E233</f>
        <v>1227.96</v>
      </c>
      <c r="K233" s="152"/>
      <c r="L233" s="147"/>
    </row>
    <row r="234" spans="1:12" s="148" customFormat="1" ht="18.649999999999999" customHeight="1">
      <c r="A234" s="161"/>
      <c r="B234" s="157" t="s">
        <v>353</v>
      </c>
      <c r="C234" s="162"/>
      <c r="D234" s="163">
        <f>D230*ROUND((G230-0.25)/0.42+1,0)*2</f>
        <v>648</v>
      </c>
      <c r="E234" s="164">
        <f>ROUND((E230-0.25)+24*10/1000*3.281,2)</f>
        <v>1.54</v>
      </c>
      <c r="F234" s="164"/>
      <c r="G234" s="164"/>
      <c r="H234" s="165"/>
      <c r="I234" s="164"/>
      <c r="J234" s="151">
        <f>D234*E234</f>
        <v>997.92</v>
      </c>
      <c r="K234" s="166"/>
      <c r="L234" s="147"/>
    </row>
    <row r="235" spans="1:12" s="148" customFormat="1" ht="18.649999999999999" customHeight="1">
      <c r="A235" s="161"/>
      <c r="B235" s="162" t="s">
        <v>354</v>
      </c>
      <c r="C235" s="162"/>
      <c r="D235" s="163">
        <f>D230*2*2</f>
        <v>48</v>
      </c>
      <c r="E235" s="164">
        <v>2</v>
      </c>
      <c r="F235" s="164"/>
      <c r="G235" s="164"/>
      <c r="H235" s="165">
        <f>D235*E235</f>
        <v>96</v>
      </c>
      <c r="I235" s="164"/>
      <c r="J235" s="164"/>
      <c r="K235" s="166"/>
      <c r="L235" s="147"/>
    </row>
    <row r="236" spans="1:12" s="148" customFormat="1" ht="18.649999999999999" customHeight="1">
      <c r="A236" s="161"/>
      <c r="B236" s="162"/>
      <c r="C236" s="162"/>
      <c r="D236" s="163"/>
      <c r="E236" s="164"/>
      <c r="F236" s="164"/>
      <c r="G236" s="164"/>
      <c r="H236" s="165"/>
      <c r="I236" s="164"/>
      <c r="J236" s="164"/>
      <c r="K236" s="166"/>
      <c r="L236" s="147"/>
    </row>
    <row r="237" spans="1:12" s="148" customFormat="1" ht="18.649999999999999" customHeight="1">
      <c r="A237" s="161"/>
      <c r="B237" s="249" t="str">
        <f>B192</f>
        <v>C2 (12" x 12"), Up to G.F</v>
      </c>
      <c r="C237" s="249"/>
      <c r="D237" s="250">
        <f>D192</f>
        <v>3</v>
      </c>
      <c r="E237" s="251">
        <f>E192</f>
        <v>1</v>
      </c>
      <c r="F237" s="251">
        <f>F192</f>
        <v>1</v>
      </c>
      <c r="G237" s="251">
        <f>G192+1.17+1.17</f>
        <v>11.17</v>
      </c>
      <c r="H237" s="165"/>
      <c r="I237" s="164"/>
      <c r="J237" s="164"/>
      <c r="K237" s="166"/>
      <c r="L237" s="147"/>
    </row>
    <row r="238" spans="1:12" s="148" customFormat="1" ht="18.649999999999999" customHeight="1">
      <c r="A238" s="149"/>
      <c r="B238" s="157" t="s">
        <v>171</v>
      </c>
      <c r="C238" s="157"/>
      <c r="D238" s="150">
        <f>D237*8</f>
        <v>24</v>
      </c>
      <c r="E238" s="151">
        <f>G237-0.25+15/12</f>
        <v>12.17</v>
      </c>
      <c r="F238" s="151"/>
      <c r="G238" s="151"/>
      <c r="H238" s="154"/>
      <c r="I238" s="151">
        <f>D238*E238</f>
        <v>292.08</v>
      </c>
      <c r="J238" s="151"/>
      <c r="K238" s="152"/>
      <c r="L238" s="147"/>
    </row>
    <row r="239" spans="1:12" s="148" customFormat="1" ht="18.649999999999999" customHeight="1">
      <c r="A239" s="149"/>
      <c r="B239" s="157" t="s">
        <v>51</v>
      </c>
      <c r="C239" s="157"/>
      <c r="D239" s="150">
        <f>D238</f>
        <v>24</v>
      </c>
      <c r="E239" s="151">
        <f>2.83</f>
        <v>2.83</v>
      </c>
      <c r="F239" s="151"/>
      <c r="G239" s="151"/>
      <c r="H239" s="154"/>
      <c r="I239" s="151">
        <f>D239*E239</f>
        <v>67.92</v>
      </c>
      <c r="J239" s="151"/>
      <c r="K239" s="152"/>
      <c r="L239" s="147"/>
    </row>
    <row r="240" spans="1:12" s="148" customFormat="1" ht="18.649999999999999" customHeight="1">
      <c r="A240" s="149"/>
      <c r="B240" s="157" t="s">
        <v>352</v>
      </c>
      <c r="C240" s="157"/>
      <c r="D240" s="150">
        <f>D237*ROUND((G237-0.25)/0.42+1,0)</f>
        <v>81</v>
      </c>
      <c r="E240" s="151">
        <f>(E237-0.25+F237-0.25)*2+24*10/1000*3.281</f>
        <v>3.79</v>
      </c>
      <c r="F240" s="151"/>
      <c r="G240" s="151"/>
      <c r="H240" s="154"/>
      <c r="I240" s="151"/>
      <c r="J240" s="151">
        <f>D240*E240</f>
        <v>306.99</v>
      </c>
      <c r="K240" s="152"/>
      <c r="L240" s="147"/>
    </row>
    <row r="241" spans="1:12" s="148" customFormat="1" ht="18.649999999999999" customHeight="1">
      <c r="A241" s="161"/>
      <c r="B241" s="157" t="s">
        <v>353</v>
      </c>
      <c r="C241" s="162"/>
      <c r="D241" s="163">
        <f>D237*ROUND((G237-0.25)/0.42+1,0)*2</f>
        <v>162</v>
      </c>
      <c r="E241" s="164">
        <f>ROUND((E237-0.25)+24*10/1000*3.281,2)</f>
        <v>1.54</v>
      </c>
      <c r="F241" s="164"/>
      <c r="G241" s="164"/>
      <c r="H241" s="165"/>
      <c r="I241" s="164"/>
      <c r="J241" s="151">
        <f>D241*E241</f>
        <v>249.48</v>
      </c>
      <c r="K241" s="166"/>
      <c r="L241" s="147"/>
    </row>
    <row r="242" spans="1:12" s="148" customFormat="1" ht="18.649999999999999" customHeight="1">
      <c r="A242" s="161"/>
      <c r="B242" s="162" t="s">
        <v>354</v>
      </c>
      <c r="C242" s="162"/>
      <c r="D242" s="163">
        <f>D237*4*2</f>
        <v>24</v>
      </c>
      <c r="E242" s="164">
        <v>2</v>
      </c>
      <c r="F242" s="164"/>
      <c r="G242" s="164"/>
      <c r="H242" s="165">
        <f>D242*E242</f>
        <v>48</v>
      </c>
      <c r="I242" s="164"/>
      <c r="J242" s="164"/>
      <c r="K242" s="166"/>
      <c r="L242" s="147"/>
    </row>
    <row r="243" spans="1:12" s="148" customFormat="1" ht="18.649999999999999" customHeight="1">
      <c r="A243" s="161"/>
      <c r="B243" s="162"/>
      <c r="C243" s="162"/>
      <c r="D243" s="163"/>
      <c r="E243" s="164"/>
      <c r="F243" s="164"/>
      <c r="G243" s="164"/>
      <c r="H243" s="165"/>
      <c r="I243" s="164"/>
      <c r="J243" s="164"/>
      <c r="K243" s="166"/>
      <c r="L243" s="147"/>
    </row>
    <row r="244" spans="1:12" s="148" customFormat="1" ht="18.649999999999999" customHeight="1">
      <c r="A244" s="149"/>
      <c r="B244" s="225" t="str">
        <f>B195</f>
        <v>Plinth Level to 1st Floor Level</v>
      </c>
      <c r="C244" s="225"/>
      <c r="D244" s="226"/>
      <c r="E244" s="227"/>
      <c r="F244" s="227"/>
      <c r="G244" s="228"/>
      <c r="H244" s="151"/>
      <c r="I244" s="151"/>
      <c r="J244" s="151"/>
      <c r="K244" s="152"/>
      <c r="L244" s="147"/>
    </row>
    <row r="245" spans="1:12" s="148" customFormat="1" ht="18.649999999999999" customHeight="1">
      <c r="A245" s="149"/>
      <c r="B245" s="245" t="str">
        <f>B196</f>
        <v>C1 (12" x 12")</v>
      </c>
      <c r="C245" s="225"/>
      <c r="D245" s="226">
        <f>D196</f>
        <v>12</v>
      </c>
      <c r="E245" s="227">
        <f>E196</f>
        <v>1</v>
      </c>
      <c r="F245" s="227">
        <f>F196</f>
        <v>1</v>
      </c>
      <c r="G245" s="228">
        <f>G196+1.17</f>
        <v>13</v>
      </c>
      <c r="H245" s="151"/>
      <c r="I245" s="151"/>
      <c r="J245" s="151"/>
      <c r="K245" s="152"/>
      <c r="L245" s="147"/>
    </row>
    <row r="246" spans="1:12" s="148" customFormat="1" ht="18.649999999999999" customHeight="1">
      <c r="A246" s="149"/>
      <c r="B246" s="157" t="s">
        <v>171</v>
      </c>
      <c r="C246" s="157"/>
      <c r="D246" s="150">
        <f>D245*8</f>
        <v>96</v>
      </c>
      <c r="E246" s="151">
        <f>G245</f>
        <v>13</v>
      </c>
      <c r="F246" s="151"/>
      <c r="G246" s="151"/>
      <c r="H246" s="154"/>
      <c r="I246" s="151">
        <f>D246*E246</f>
        <v>1248</v>
      </c>
      <c r="J246" s="151"/>
      <c r="K246" s="152"/>
      <c r="L246" s="147"/>
    </row>
    <row r="247" spans="1:12" s="148" customFormat="1" ht="18.649999999999999" customHeight="1">
      <c r="A247" s="149"/>
      <c r="B247" s="157" t="s">
        <v>51</v>
      </c>
      <c r="C247" s="157"/>
      <c r="D247" s="150">
        <f>D246</f>
        <v>96</v>
      </c>
      <c r="E247" s="151">
        <f>2.83</f>
        <v>2.83</v>
      </c>
      <c r="F247" s="151"/>
      <c r="G247" s="151"/>
      <c r="H247" s="154"/>
      <c r="I247" s="151">
        <f>D247*E247</f>
        <v>271.68</v>
      </c>
      <c r="J247" s="151"/>
      <c r="K247" s="152"/>
      <c r="L247" s="147"/>
    </row>
    <row r="248" spans="1:12" s="148" customFormat="1" ht="18.649999999999999" customHeight="1">
      <c r="A248" s="149"/>
      <c r="B248" s="157" t="s">
        <v>352</v>
      </c>
      <c r="C248" s="157"/>
      <c r="D248" s="150">
        <f>D245*ROUND((G245-0.25)/0.42+1,0)</f>
        <v>372</v>
      </c>
      <c r="E248" s="151">
        <f>(E245-0.25+F245-0.25)*2+24*10/1000*3.281</f>
        <v>3.79</v>
      </c>
      <c r="F248" s="151"/>
      <c r="G248" s="151"/>
      <c r="H248" s="154"/>
      <c r="I248" s="151"/>
      <c r="J248" s="151">
        <f>D248*E248</f>
        <v>1409.88</v>
      </c>
      <c r="K248" s="152"/>
      <c r="L248" s="147"/>
    </row>
    <row r="249" spans="1:12" s="148" customFormat="1" ht="18.649999999999999" customHeight="1">
      <c r="A249" s="161"/>
      <c r="B249" s="157" t="s">
        <v>353</v>
      </c>
      <c r="C249" s="162"/>
      <c r="D249" s="163">
        <f>D245*ROUND((G245-0.25)/0.42+1,0)*2</f>
        <v>744</v>
      </c>
      <c r="E249" s="164">
        <f>ROUND((E245-0.25)+24*10/1000*3.281,2)</f>
        <v>1.54</v>
      </c>
      <c r="F249" s="164"/>
      <c r="G249" s="164"/>
      <c r="H249" s="165"/>
      <c r="I249" s="164"/>
      <c r="J249" s="151">
        <f>D249*E249</f>
        <v>1145.76</v>
      </c>
      <c r="K249" s="166"/>
      <c r="L249" s="147"/>
    </row>
    <row r="250" spans="1:12" s="148" customFormat="1" ht="18.649999999999999" customHeight="1">
      <c r="A250" s="161"/>
      <c r="B250" s="162" t="s">
        <v>354</v>
      </c>
      <c r="C250" s="162"/>
      <c r="D250" s="163">
        <f>D245*3*(G245/1.5)</f>
        <v>312</v>
      </c>
      <c r="E250" s="164">
        <v>2</v>
      </c>
      <c r="F250" s="164"/>
      <c r="G250" s="164"/>
      <c r="H250" s="165">
        <f>D250*E250</f>
        <v>624</v>
      </c>
      <c r="I250" s="164"/>
      <c r="J250" s="164"/>
      <c r="K250" s="166"/>
      <c r="L250" s="147"/>
    </row>
    <row r="251" spans="1:12" s="148" customFormat="1" ht="18.649999999999999" customHeight="1">
      <c r="A251" s="161"/>
      <c r="B251" s="162"/>
      <c r="C251" s="162"/>
      <c r="D251" s="163"/>
      <c r="E251" s="164"/>
      <c r="F251" s="164"/>
      <c r="G251" s="164"/>
      <c r="H251" s="165"/>
      <c r="I251" s="164"/>
      <c r="J251" s="164"/>
      <c r="K251" s="166"/>
      <c r="L251" s="147"/>
    </row>
    <row r="252" spans="1:12" s="148" customFormat="1" ht="18.649999999999999" customHeight="1">
      <c r="A252" s="161"/>
      <c r="B252" s="249" t="str">
        <f>B197</f>
        <v>C2 (12" x 12")</v>
      </c>
      <c r="C252" s="249"/>
      <c r="D252" s="250">
        <f>D197</f>
        <v>3</v>
      </c>
      <c r="E252" s="251">
        <f>E197</f>
        <v>1</v>
      </c>
      <c r="F252" s="251">
        <f>F197</f>
        <v>1</v>
      </c>
      <c r="G252" s="251">
        <f>G197+1.17</f>
        <v>13</v>
      </c>
      <c r="H252" s="165"/>
      <c r="I252" s="164"/>
      <c r="J252" s="164"/>
      <c r="K252" s="166"/>
      <c r="L252" s="147"/>
    </row>
    <row r="253" spans="1:12" s="148" customFormat="1" ht="18.649999999999999" customHeight="1">
      <c r="A253" s="149"/>
      <c r="B253" s="157" t="s">
        <v>173</v>
      </c>
      <c r="C253" s="157"/>
      <c r="D253" s="150">
        <f>D252*6</f>
        <v>18</v>
      </c>
      <c r="E253" s="151">
        <f>G252</f>
        <v>13</v>
      </c>
      <c r="F253" s="151"/>
      <c r="G253" s="151"/>
      <c r="H253" s="154"/>
      <c r="I253" s="151">
        <f>D253*E253</f>
        <v>234</v>
      </c>
      <c r="J253" s="151"/>
      <c r="K253" s="152"/>
      <c r="L253" s="147"/>
    </row>
    <row r="254" spans="1:12" s="148" customFormat="1" ht="18.649999999999999" customHeight="1">
      <c r="A254" s="149"/>
      <c r="B254" s="157" t="s">
        <v>51</v>
      </c>
      <c r="C254" s="157"/>
      <c r="D254" s="150">
        <f>D253</f>
        <v>18</v>
      </c>
      <c r="E254" s="151">
        <f>2.83</f>
        <v>2.83</v>
      </c>
      <c r="F254" s="151"/>
      <c r="G254" s="151"/>
      <c r="H254" s="154"/>
      <c r="I254" s="151">
        <f>D254*E254</f>
        <v>50.94</v>
      </c>
      <c r="J254" s="151"/>
      <c r="K254" s="152"/>
      <c r="L254" s="147"/>
    </row>
    <row r="255" spans="1:12" s="148" customFormat="1" ht="18.649999999999999" customHeight="1">
      <c r="A255" s="149"/>
      <c r="B255" s="157" t="s">
        <v>352</v>
      </c>
      <c r="C255" s="157"/>
      <c r="D255" s="150">
        <f>D252*ROUND((G252-0.25)/0.42+1,0)</f>
        <v>93</v>
      </c>
      <c r="E255" s="151">
        <f>(E252-0.25+F252-0.25)*2+24*10/1000*3.281</f>
        <v>3.79</v>
      </c>
      <c r="F255" s="151"/>
      <c r="G255" s="151"/>
      <c r="H255" s="154"/>
      <c r="I255" s="151"/>
      <c r="J255" s="151">
        <f>D255*E255</f>
        <v>352.47</v>
      </c>
      <c r="K255" s="152"/>
      <c r="L255" s="147"/>
    </row>
    <row r="256" spans="1:12" s="148" customFormat="1" ht="18.649999999999999" customHeight="1">
      <c r="A256" s="161"/>
      <c r="B256" s="157" t="s">
        <v>353</v>
      </c>
      <c r="C256" s="162"/>
      <c r="D256" s="163">
        <f>D252*ROUND((G252-0.25)/0.42+1,0)*2</f>
        <v>186</v>
      </c>
      <c r="E256" s="164">
        <f>ROUND((E252-0.25)+24*10/1000*3.281,2)</f>
        <v>1.54</v>
      </c>
      <c r="F256" s="164"/>
      <c r="G256" s="164"/>
      <c r="H256" s="165"/>
      <c r="I256" s="164"/>
      <c r="J256" s="151">
        <f>D256*E256</f>
        <v>286.44</v>
      </c>
      <c r="K256" s="166"/>
      <c r="L256" s="147"/>
    </row>
    <row r="257" spans="1:12" s="148" customFormat="1" ht="18.649999999999999" customHeight="1">
      <c r="A257" s="161"/>
      <c r="B257" s="162" t="s">
        <v>354</v>
      </c>
      <c r="C257" s="162"/>
      <c r="D257" s="163">
        <f>D252*3*(G252/1.5)</f>
        <v>78</v>
      </c>
      <c r="E257" s="164">
        <v>2</v>
      </c>
      <c r="F257" s="164"/>
      <c r="G257" s="164"/>
      <c r="H257" s="165">
        <f>D257*E257</f>
        <v>156</v>
      </c>
      <c r="I257" s="164"/>
      <c r="J257" s="164"/>
      <c r="K257" s="166"/>
      <c r="L257" s="147"/>
    </row>
    <row r="258" spans="1:12" s="148" customFormat="1" ht="18.649999999999999" customHeight="1">
      <c r="A258" s="161"/>
      <c r="B258" s="162"/>
      <c r="C258" s="162"/>
      <c r="D258" s="163"/>
      <c r="E258" s="164"/>
      <c r="F258" s="164"/>
      <c r="G258" s="164"/>
      <c r="H258" s="165"/>
      <c r="I258" s="164"/>
      <c r="J258" s="164"/>
      <c r="K258" s="166"/>
      <c r="L258" s="147"/>
    </row>
    <row r="259" spans="1:12" s="148" customFormat="1" ht="18.649999999999999" customHeight="1">
      <c r="A259" s="149"/>
      <c r="B259" s="230" t="str">
        <f>B200</f>
        <v>1st Floor to 2nd Floor Level</v>
      </c>
      <c r="C259" s="230"/>
      <c r="D259" s="231"/>
      <c r="E259" s="232"/>
      <c r="F259" s="232"/>
      <c r="G259" s="233"/>
      <c r="H259" s="223"/>
      <c r="I259" s="223"/>
      <c r="J259" s="223"/>
      <c r="K259" s="224"/>
      <c r="L259" s="147"/>
    </row>
    <row r="260" spans="1:12" s="148" customFormat="1" ht="18.649999999999999" customHeight="1">
      <c r="A260" s="149"/>
      <c r="B260" s="225" t="str">
        <f>B201</f>
        <v>C1 (12" x 12")</v>
      </c>
      <c r="C260" s="225"/>
      <c r="D260" s="226">
        <f>D201</f>
        <v>12</v>
      </c>
      <c r="E260" s="227">
        <f>E201</f>
        <v>1</v>
      </c>
      <c r="F260" s="227">
        <f>F201</f>
        <v>1</v>
      </c>
      <c r="G260" s="252">
        <f>G201+1.17</f>
        <v>12</v>
      </c>
      <c r="H260" s="151"/>
      <c r="I260" s="151"/>
      <c r="J260" s="151"/>
      <c r="K260" s="152"/>
      <c r="L260" s="147"/>
    </row>
    <row r="261" spans="1:12" s="148" customFormat="1" ht="18.649999999999999" customHeight="1">
      <c r="A261" s="149"/>
      <c r="B261" s="157" t="s">
        <v>171</v>
      </c>
      <c r="C261" s="157"/>
      <c r="D261" s="150">
        <f>D260*8</f>
        <v>96</v>
      </c>
      <c r="E261" s="151">
        <f>G260</f>
        <v>12</v>
      </c>
      <c r="F261" s="151"/>
      <c r="G261" s="151"/>
      <c r="H261" s="154"/>
      <c r="I261" s="151">
        <f>D261*E261</f>
        <v>1152</v>
      </c>
      <c r="J261" s="151"/>
      <c r="K261" s="152"/>
      <c r="L261" s="147"/>
    </row>
    <row r="262" spans="1:12" s="148" customFormat="1" ht="18.649999999999999" customHeight="1">
      <c r="A262" s="149"/>
      <c r="B262" s="157" t="s">
        <v>51</v>
      </c>
      <c r="C262" s="157"/>
      <c r="D262" s="150">
        <f>D261</f>
        <v>96</v>
      </c>
      <c r="E262" s="151">
        <f>2.83</f>
        <v>2.83</v>
      </c>
      <c r="F262" s="151"/>
      <c r="G262" s="151"/>
      <c r="H262" s="154"/>
      <c r="I262" s="151">
        <f>D262*E262</f>
        <v>271.68</v>
      </c>
      <c r="J262" s="151"/>
      <c r="K262" s="152"/>
      <c r="L262" s="147"/>
    </row>
    <row r="263" spans="1:12" s="148" customFormat="1" ht="18.649999999999999" customHeight="1">
      <c r="A263" s="149"/>
      <c r="B263" s="157" t="s">
        <v>352</v>
      </c>
      <c r="C263" s="157"/>
      <c r="D263" s="150">
        <f>D260*ROUND((G260-0.25)/0.42+1,0)</f>
        <v>348</v>
      </c>
      <c r="E263" s="151">
        <f>(E260-0.25+F260-0.25)*2+24*10/1000*3.281</f>
        <v>3.79</v>
      </c>
      <c r="F263" s="151"/>
      <c r="G263" s="151"/>
      <c r="H263" s="154"/>
      <c r="I263" s="151"/>
      <c r="J263" s="151">
        <f>D263*E263</f>
        <v>1318.92</v>
      </c>
      <c r="K263" s="152"/>
      <c r="L263" s="147"/>
    </row>
    <row r="264" spans="1:12" s="148" customFormat="1" ht="18.649999999999999" customHeight="1">
      <c r="A264" s="161"/>
      <c r="B264" s="157" t="s">
        <v>353</v>
      </c>
      <c r="C264" s="162"/>
      <c r="D264" s="163">
        <f>D260*ROUND((G260-0.25)/0.42+1,0)*2</f>
        <v>696</v>
      </c>
      <c r="E264" s="164">
        <f>ROUND((E260-0.25)+24*10/1000*3.281,2)</f>
        <v>1.54</v>
      </c>
      <c r="F264" s="164"/>
      <c r="G264" s="164"/>
      <c r="H264" s="165"/>
      <c r="I264" s="164"/>
      <c r="J264" s="151">
        <f>D264*E264</f>
        <v>1071.8399999999999</v>
      </c>
      <c r="K264" s="166"/>
      <c r="L264" s="147"/>
    </row>
    <row r="265" spans="1:12" s="148" customFormat="1" ht="18.649999999999999" customHeight="1">
      <c r="A265" s="161"/>
      <c r="B265" s="162" t="s">
        <v>354</v>
      </c>
      <c r="C265" s="162"/>
      <c r="D265" s="163">
        <f>D260*3*(G260/1.5)</f>
        <v>288</v>
      </c>
      <c r="E265" s="164">
        <v>2</v>
      </c>
      <c r="F265" s="164"/>
      <c r="G265" s="164"/>
      <c r="H265" s="165">
        <f>D265*E265</f>
        <v>576</v>
      </c>
      <c r="I265" s="164"/>
      <c r="J265" s="164"/>
      <c r="K265" s="166"/>
      <c r="L265" s="147"/>
    </row>
    <row r="266" spans="1:12" s="148" customFormat="1" ht="18.649999999999999" customHeight="1">
      <c r="A266" s="161"/>
      <c r="B266" s="162"/>
      <c r="C266" s="162"/>
      <c r="D266" s="163"/>
      <c r="E266" s="164"/>
      <c r="F266" s="164"/>
      <c r="G266" s="164"/>
      <c r="H266" s="165"/>
      <c r="I266" s="164"/>
      <c r="J266" s="164"/>
      <c r="K266" s="166"/>
      <c r="L266" s="147"/>
    </row>
    <row r="267" spans="1:12" s="148" customFormat="1" ht="18.649999999999999" customHeight="1">
      <c r="A267" s="161"/>
      <c r="B267" s="249" t="str">
        <f>B202</f>
        <v>C2 (12" x 12")</v>
      </c>
      <c r="C267" s="249"/>
      <c r="D267" s="250">
        <f>D202</f>
        <v>3</v>
      </c>
      <c r="E267" s="251">
        <f>E202</f>
        <v>1</v>
      </c>
      <c r="F267" s="251">
        <f>F202</f>
        <v>1</v>
      </c>
      <c r="G267" s="251">
        <f>G202+1.17</f>
        <v>12</v>
      </c>
      <c r="H267" s="165"/>
      <c r="I267" s="164"/>
      <c r="J267" s="164"/>
      <c r="K267" s="166"/>
      <c r="L267" s="147"/>
    </row>
    <row r="268" spans="1:12" s="148" customFormat="1" ht="18.649999999999999" customHeight="1">
      <c r="A268" s="149"/>
      <c r="B268" s="157" t="s">
        <v>171</v>
      </c>
      <c r="C268" s="157"/>
      <c r="D268" s="150">
        <f>D267*8</f>
        <v>24</v>
      </c>
      <c r="E268" s="151">
        <f>G267</f>
        <v>12</v>
      </c>
      <c r="F268" s="151"/>
      <c r="G268" s="151"/>
      <c r="H268" s="154"/>
      <c r="I268" s="151">
        <f>D268*E268</f>
        <v>288</v>
      </c>
      <c r="J268" s="151"/>
      <c r="K268" s="152"/>
      <c r="L268" s="147"/>
    </row>
    <row r="269" spans="1:12" s="148" customFormat="1" ht="18.649999999999999" customHeight="1">
      <c r="A269" s="149"/>
      <c r="B269" s="157" t="s">
        <v>51</v>
      </c>
      <c r="C269" s="157"/>
      <c r="D269" s="150">
        <f>D268</f>
        <v>24</v>
      </c>
      <c r="E269" s="151">
        <f>2.83</f>
        <v>2.83</v>
      </c>
      <c r="F269" s="151"/>
      <c r="G269" s="151"/>
      <c r="H269" s="154"/>
      <c r="I269" s="151">
        <f>D269*E269</f>
        <v>67.92</v>
      </c>
      <c r="J269" s="151"/>
      <c r="K269" s="152"/>
      <c r="L269" s="147"/>
    </row>
    <row r="270" spans="1:12" s="148" customFormat="1" ht="18.649999999999999" customHeight="1">
      <c r="A270" s="149"/>
      <c r="B270" s="157" t="s">
        <v>352</v>
      </c>
      <c r="C270" s="157"/>
      <c r="D270" s="150">
        <f>D267*ROUND((G267-0.25)/0.42+1,0)</f>
        <v>87</v>
      </c>
      <c r="E270" s="151">
        <f>(E267-0.25+F267-0.25)*2+24*10/1000*3.281</f>
        <v>3.79</v>
      </c>
      <c r="F270" s="151"/>
      <c r="G270" s="151"/>
      <c r="H270" s="154"/>
      <c r="I270" s="151"/>
      <c r="J270" s="151">
        <f>D270*E270</f>
        <v>329.73</v>
      </c>
      <c r="K270" s="152"/>
      <c r="L270" s="147"/>
    </row>
    <row r="271" spans="1:12" s="148" customFormat="1" ht="18.649999999999999" customHeight="1">
      <c r="A271" s="161"/>
      <c r="B271" s="157" t="s">
        <v>353</v>
      </c>
      <c r="C271" s="162"/>
      <c r="D271" s="163">
        <f>D267*ROUND((G267-0.25)/0.42+1,0)*2</f>
        <v>174</v>
      </c>
      <c r="E271" s="164">
        <f>ROUND((E267-0.25)+24*10/1000*3.281,2)</f>
        <v>1.54</v>
      </c>
      <c r="F271" s="164"/>
      <c r="G271" s="164"/>
      <c r="H271" s="165"/>
      <c r="I271" s="164"/>
      <c r="J271" s="151">
        <f>D271*E271</f>
        <v>267.95999999999998</v>
      </c>
      <c r="K271" s="166"/>
      <c r="L271" s="147"/>
    </row>
    <row r="272" spans="1:12" s="148" customFormat="1" ht="18.649999999999999" customHeight="1">
      <c r="A272" s="161"/>
      <c r="B272" s="162" t="s">
        <v>354</v>
      </c>
      <c r="C272" s="162"/>
      <c r="D272" s="163">
        <f>D267*3*(G267/1.5)</f>
        <v>72</v>
      </c>
      <c r="E272" s="164">
        <v>2</v>
      </c>
      <c r="F272" s="164"/>
      <c r="G272" s="164"/>
      <c r="H272" s="165">
        <f>D272*E272</f>
        <v>144</v>
      </c>
      <c r="I272" s="164"/>
      <c r="J272" s="151"/>
      <c r="K272" s="166"/>
      <c r="L272" s="147"/>
    </row>
    <row r="273" spans="1:12" s="148" customFormat="1" ht="18.649999999999999" customHeight="1">
      <c r="A273" s="161"/>
      <c r="B273" s="157"/>
      <c r="C273" s="162"/>
      <c r="D273" s="163"/>
      <c r="E273" s="164"/>
      <c r="F273" s="164"/>
      <c r="G273" s="164"/>
      <c r="H273" s="165"/>
      <c r="I273" s="164"/>
      <c r="J273" s="151"/>
      <c r="K273" s="166"/>
      <c r="L273" s="147"/>
    </row>
    <row r="274" spans="1:12" s="148" customFormat="1" ht="18.649999999999999" customHeight="1">
      <c r="A274" s="149"/>
      <c r="B274" s="230" t="str">
        <f>B204</f>
        <v>2nd Floor to Roof</v>
      </c>
      <c r="C274" s="230"/>
      <c r="D274" s="231"/>
      <c r="E274" s="232"/>
      <c r="F274" s="232"/>
      <c r="G274" s="233"/>
      <c r="H274" s="223"/>
      <c r="I274" s="223"/>
      <c r="J274" s="223"/>
      <c r="K274" s="224"/>
      <c r="L274" s="147"/>
    </row>
    <row r="275" spans="1:12" s="148" customFormat="1" ht="18.649999999999999" customHeight="1">
      <c r="A275" s="149"/>
      <c r="B275" s="225" t="str">
        <f>B205</f>
        <v>C1 (12" x 12")</v>
      </c>
      <c r="C275" s="225"/>
      <c r="D275" s="226">
        <f>D205</f>
        <v>12</v>
      </c>
      <c r="E275" s="227">
        <f>E205</f>
        <v>1</v>
      </c>
      <c r="F275" s="227">
        <f>F205</f>
        <v>1</v>
      </c>
      <c r="G275" s="228">
        <f>G205+1.17</f>
        <v>11</v>
      </c>
      <c r="H275" s="151"/>
      <c r="I275" s="151"/>
      <c r="J275" s="151"/>
      <c r="K275" s="152"/>
      <c r="L275" s="147"/>
    </row>
    <row r="276" spans="1:12" s="148" customFormat="1" ht="18.649999999999999" customHeight="1">
      <c r="A276" s="149"/>
      <c r="B276" s="157" t="s">
        <v>171</v>
      </c>
      <c r="C276" s="157"/>
      <c r="D276" s="150">
        <f>D275*8</f>
        <v>96</v>
      </c>
      <c r="E276" s="151">
        <f>G275</f>
        <v>11</v>
      </c>
      <c r="F276" s="151"/>
      <c r="G276" s="151"/>
      <c r="H276" s="154"/>
      <c r="I276" s="151">
        <f>D276*E276</f>
        <v>1056</v>
      </c>
      <c r="J276" s="151"/>
      <c r="K276" s="152"/>
      <c r="L276" s="147"/>
    </row>
    <row r="277" spans="1:12" s="148" customFormat="1" ht="18.649999999999999" customHeight="1">
      <c r="A277" s="149"/>
      <c r="B277" s="157" t="s">
        <v>51</v>
      </c>
      <c r="C277" s="157"/>
      <c r="D277" s="150">
        <f>D276</f>
        <v>96</v>
      </c>
      <c r="E277" s="151">
        <f>2.83</f>
        <v>2.83</v>
      </c>
      <c r="F277" s="151"/>
      <c r="G277" s="151"/>
      <c r="H277" s="154"/>
      <c r="I277" s="151">
        <f>D277*E277</f>
        <v>271.68</v>
      </c>
      <c r="J277" s="151"/>
      <c r="K277" s="152"/>
      <c r="L277" s="147"/>
    </row>
    <row r="278" spans="1:12" s="148" customFormat="1" ht="18.649999999999999" customHeight="1">
      <c r="A278" s="149"/>
      <c r="B278" s="157" t="s">
        <v>352</v>
      </c>
      <c r="C278" s="157"/>
      <c r="D278" s="150">
        <f>D275*ROUND((G275-0.25)/0.42+1,0)</f>
        <v>324</v>
      </c>
      <c r="E278" s="151">
        <f>(E275-0.25+F275-0.25)*2+24*10/1000*3.281</f>
        <v>3.79</v>
      </c>
      <c r="F278" s="151"/>
      <c r="G278" s="151"/>
      <c r="H278" s="154"/>
      <c r="I278" s="151"/>
      <c r="J278" s="151">
        <f>D278*E278</f>
        <v>1227.96</v>
      </c>
      <c r="K278" s="152"/>
      <c r="L278" s="147"/>
    </row>
    <row r="279" spans="1:12" s="148" customFormat="1" ht="18.649999999999999" customHeight="1">
      <c r="A279" s="149"/>
      <c r="B279" s="157" t="s">
        <v>353</v>
      </c>
      <c r="C279" s="162"/>
      <c r="D279" s="163">
        <f>D275*ROUND((G275-0.25)/0.42+1,0)*2</f>
        <v>648</v>
      </c>
      <c r="E279" s="164">
        <f>ROUND((E275-0.25)+24*10/1000*3.281,2)</f>
        <v>1.54</v>
      </c>
      <c r="F279" s="164"/>
      <c r="G279" s="164"/>
      <c r="H279" s="165"/>
      <c r="I279" s="164"/>
      <c r="J279" s="151">
        <f>D279*E279</f>
        <v>997.92</v>
      </c>
      <c r="K279" s="166"/>
      <c r="L279" s="147"/>
    </row>
    <row r="280" spans="1:12" s="148" customFormat="1" ht="18.649999999999999" customHeight="1">
      <c r="A280" s="149"/>
      <c r="B280" s="162" t="s">
        <v>354</v>
      </c>
      <c r="C280" s="157"/>
      <c r="D280" s="150">
        <f>D275*2*(G275/1.5)</f>
        <v>176</v>
      </c>
      <c r="E280" s="151">
        <v>2</v>
      </c>
      <c r="F280" s="151"/>
      <c r="G280" s="154"/>
      <c r="H280" s="165">
        <f>D280*E280</f>
        <v>352</v>
      </c>
      <c r="I280" s="151"/>
      <c r="J280" s="151"/>
      <c r="K280" s="152"/>
      <c r="L280" s="147"/>
    </row>
    <row r="281" spans="1:12" s="148" customFormat="1" ht="18.649999999999999" customHeight="1">
      <c r="A281" s="149"/>
      <c r="B281" s="159"/>
      <c r="C281" s="159"/>
      <c r="D281" s="150"/>
      <c r="E281" s="151"/>
      <c r="F281" s="158"/>
      <c r="G281" s="158" t="s">
        <v>34</v>
      </c>
      <c r="H281" s="167">
        <f>SUM(H231:H280)</f>
        <v>1996</v>
      </c>
      <c r="I281" s="154">
        <f>SUM(I230:I280)</f>
        <v>6711.9</v>
      </c>
      <c r="J281" s="155">
        <f>SUM(J230:J280)</f>
        <v>11191.23</v>
      </c>
      <c r="K281" s="168"/>
      <c r="L281" s="147"/>
    </row>
    <row r="282" spans="1:12" s="148" customFormat="1" ht="18.649999999999999" customHeight="1">
      <c r="A282" s="149"/>
      <c r="B282" s="159"/>
      <c r="C282" s="159"/>
      <c r="D282" s="150"/>
      <c r="E282" s="151"/>
      <c r="F282" s="158"/>
      <c r="G282" s="158"/>
      <c r="H282" s="151" t="s">
        <v>246</v>
      </c>
      <c r="I282" s="151" t="str">
        <f>I229</f>
        <v>16mm Ø</v>
      </c>
      <c r="J282" s="151" t="str">
        <f>J229</f>
        <v>10mm Ø</v>
      </c>
      <c r="K282" s="151"/>
      <c r="L282" s="147"/>
    </row>
    <row r="283" spans="1:12" s="148" customFormat="1" ht="18.649999999999999" customHeight="1">
      <c r="A283" s="149"/>
      <c r="B283" s="159"/>
      <c r="C283" s="159"/>
      <c r="D283" s="150"/>
      <c r="E283" s="151"/>
      <c r="F283" s="158"/>
      <c r="G283" s="158" t="s">
        <v>14</v>
      </c>
      <c r="H283" s="129">
        <f>H281/3.281*(8*8/162)/1000</f>
        <v>0.24</v>
      </c>
      <c r="I283" s="151">
        <f>I281/39.33/53</f>
        <v>3.22</v>
      </c>
      <c r="J283" s="169">
        <f>J281/39.33/135</f>
        <v>2.11</v>
      </c>
      <c r="K283" s="158"/>
      <c r="L283" s="147"/>
    </row>
    <row r="284" spans="1:12" s="148" customFormat="1" ht="18.649999999999999" customHeight="1">
      <c r="A284" s="149"/>
      <c r="B284" s="159"/>
      <c r="C284" s="159"/>
      <c r="D284" s="150"/>
      <c r="E284" s="151"/>
      <c r="F284" s="158"/>
      <c r="G284" s="158"/>
      <c r="H284" s="129">
        <f>H283*1.05</f>
        <v>0.25</v>
      </c>
      <c r="I284" s="129">
        <f>I283*1.05</f>
        <v>3.38</v>
      </c>
      <c r="J284" s="129">
        <f>J283*1.05</f>
        <v>2.2200000000000002</v>
      </c>
      <c r="K284" s="158"/>
      <c r="L284" s="147"/>
    </row>
    <row r="285" spans="1:12" s="148" customFormat="1" ht="18.649999999999999" customHeight="1">
      <c r="A285" s="149"/>
      <c r="B285" s="159"/>
      <c r="C285" s="159"/>
      <c r="D285" s="150"/>
      <c r="E285" s="151"/>
      <c r="F285" s="151"/>
      <c r="G285" s="151"/>
      <c r="H285" s="151"/>
      <c r="I285" s="151" t="s">
        <v>65</v>
      </c>
      <c r="J285" s="151">
        <f>H284+I284+J284</f>
        <v>5.85</v>
      </c>
      <c r="K285" s="152"/>
      <c r="L285" s="147"/>
    </row>
    <row r="286" spans="1:12" s="148" customFormat="1" ht="18.649999999999999" customHeight="1">
      <c r="A286" s="149"/>
      <c r="B286" s="159"/>
      <c r="C286" s="159"/>
      <c r="D286" s="150"/>
      <c r="E286" s="151"/>
      <c r="F286" s="151"/>
      <c r="G286" s="151"/>
      <c r="H286" s="151"/>
      <c r="I286" s="151"/>
      <c r="J286" s="151"/>
      <c r="K286" s="152"/>
      <c r="L286" s="147"/>
    </row>
    <row r="287" spans="1:12" s="148" customFormat="1" ht="18.649999999999999" customHeight="1">
      <c r="A287" s="149">
        <v>9</v>
      </c>
      <c r="B287" s="159" t="s">
        <v>69</v>
      </c>
      <c r="C287" s="159"/>
      <c r="D287" s="150"/>
      <c r="E287" s="151"/>
      <c r="F287" s="151"/>
      <c r="G287" s="151"/>
      <c r="H287" s="151"/>
      <c r="I287" s="151"/>
      <c r="J287" s="151"/>
      <c r="K287" s="152"/>
      <c r="L287" s="147"/>
    </row>
    <row r="288" spans="1:12" s="148" customFormat="1" ht="18.649999999999999" customHeight="1">
      <c r="A288" s="149"/>
      <c r="B288" s="159" t="s">
        <v>116</v>
      </c>
      <c r="C288" s="159"/>
      <c r="D288" s="150"/>
      <c r="E288" s="151"/>
      <c r="F288" s="151"/>
      <c r="G288" s="151"/>
      <c r="H288" s="151"/>
      <c r="I288" s="151"/>
      <c r="J288" s="151"/>
      <c r="K288" s="152"/>
      <c r="L288" s="147"/>
    </row>
    <row r="289" spans="1:12" s="148" customFormat="1" ht="18.649999999999999" customHeight="1">
      <c r="A289" s="149"/>
      <c r="B289" s="156" t="s">
        <v>125</v>
      </c>
      <c r="C289" s="156"/>
      <c r="D289" s="150"/>
      <c r="E289" s="151"/>
      <c r="F289" s="151"/>
      <c r="G289" s="151"/>
      <c r="H289" s="151"/>
      <c r="I289" s="151"/>
      <c r="J289" s="151"/>
      <c r="K289" s="152"/>
      <c r="L289" s="147"/>
    </row>
    <row r="290" spans="1:12" s="148" customFormat="1" ht="18.649999999999999" customHeight="1">
      <c r="A290" s="149"/>
      <c r="B290" s="156" t="s">
        <v>247</v>
      </c>
      <c r="C290" s="156"/>
      <c r="D290" s="150"/>
      <c r="E290" s="151"/>
      <c r="F290" s="151"/>
      <c r="G290" s="151"/>
      <c r="H290" s="151"/>
      <c r="I290" s="151"/>
      <c r="J290" s="151"/>
      <c r="K290" s="152"/>
      <c r="L290" s="147"/>
    </row>
    <row r="291" spans="1:12" s="148" customFormat="1" ht="18.649999999999999" customHeight="1">
      <c r="A291" s="149"/>
      <c r="B291" s="157" t="s">
        <v>248</v>
      </c>
      <c r="C291" s="157"/>
      <c r="D291" s="150">
        <v>1</v>
      </c>
      <c r="E291" s="151">
        <f>9-1</f>
        <v>8</v>
      </c>
      <c r="F291" s="151">
        <f>0.83</f>
        <v>0.83</v>
      </c>
      <c r="G291" s="151">
        <v>0.83</v>
      </c>
      <c r="H291" s="151"/>
      <c r="I291" s="151">
        <f>D291*E291*F291*G291</f>
        <v>5.51</v>
      </c>
      <c r="J291" s="151"/>
      <c r="K291" s="152" t="s">
        <v>28</v>
      </c>
      <c r="L291" s="147"/>
    </row>
    <row r="292" spans="1:12" s="148" customFormat="1" ht="18.649999999999999" customHeight="1">
      <c r="A292" s="149"/>
      <c r="B292" s="157" t="s">
        <v>249</v>
      </c>
      <c r="C292" s="157"/>
      <c r="D292" s="150">
        <v>1</v>
      </c>
      <c r="E292" s="151">
        <f>28-3</f>
        <v>25</v>
      </c>
      <c r="F292" s="151">
        <f t="shared" ref="F292:G295" si="8">F291</f>
        <v>0.83</v>
      </c>
      <c r="G292" s="151">
        <f t="shared" si="8"/>
        <v>0.83</v>
      </c>
      <c r="H292" s="151"/>
      <c r="I292" s="151">
        <f>D292*E292*F292*G292</f>
        <v>17.22</v>
      </c>
      <c r="J292" s="151"/>
      <c r="K292" s="152" t="s">
        <v>28</v>
      </c>
      <c r="L292" s="147"/>
    </row>
    <row r="293" spans="1:12" s="148" customFormat="1" ht="18.649999999999999" customHeight="1">
      <c r="A293" s="149"/>
      <c r="B293" s="157" t="s">
        <v>224</v>
      </c>
      <c r="C293" s="157"/>
      <c r="D293" s="150">
        <v>1</v>
      </c>
      <c r="E293" s="151">
        <f>8-0.5</f>
        <v>7.5</v>
      </c>
      <c r="F293" s="151">
        <f t="shared" si="8"/>
        <v>0.83</v>
      </c>
      <c r="G293" s="151">
        <f t="shared" si="8"/>
        <v>0.83</v>
      </c>
      <c r="H293" s="151"/>
      <c r="I293" s="151">
        <f>D293*E293*F293*G293</f>
        <v>5.17</v>
      </c>
      <c r="J293" s="151"/>
      <c r="K293" s="152" t="s">
        <v>28</v>
      </c>
      <c r="L293" s="147"/>
    </row>
    <row r="294" spans="1:12" s="148" customFormat="1" ht="18.649999999999999" customHeight="1">
      <c r="A294" s="149"/>
      <c r="B294" s="157" t="s">
        <v>225</v>
      </c>
      <c r="C294" s="157"/>
      <c r="D294" s="150">
        <v>1</v>
      </c>
      <c r="E294" s="151">
        <f>13.5-9.5-0.5</f>
        <v>3.5</v>
      </c>
      <c r="F294" s="151">
        <f t="shared" si="8"/>
        <v>0.83</v>
      </c>
      <c r="G294" s="151">
        <f t="shared" si="8"/>
        <v>0.83</v>
      </c>
      <c r="H294" s="151"/>
      <c r="I294" s="151">
        <f>D294*E294*F294*G294</f>
        <v>2.41</v>
      </c>
      <c r="J294" s="151"/>
      <c r="K294" s="152" t="s">
        <v>28</v>
      </c>
      <c r="L294" s="147"/>
    </row>
    <row r="295" spans="1:12" s="148" customFormat="1" ht="18.649999999999999" customHeight="1">
      <c r="A295" s="149"/>
      <c r="B295" s="157" t="s">
        <v>250</v>
      </c>
      <c r="C295" s="157"/>
      <c r="D295" s="150">
        <v>1</v>
      </c>
      <c r="E295" s="151">
        <f>9.5-0.83-1</f>
        <v>7.67</v>
      </c>
      <c r="F295" s="151">
        <f t="shared" si="8"/>
        <v>0.83</v>
      </c>
      <c r="G295" s="151">
        <f t="shared" si="8"/>
        <v>0.83</v>
      </c>
      <c r="H295" s="151"/>
      <c r="I295" s="151">
        <f>D295*E295*F295*G295</f>
        <v>5.28</v>
      </c>
      <c r="J295" s="151"/>
      <c r="K295" s="152" t="s">
        <v>28</v>
      </c>
      <c r="L295" s="147"/>
    </row>
    <row r="296" spans="1:12" s="148" customFormat="1" ht="18.649999999999999" customHeight="1">
      <c r="A296" s="149"/>
      <c r="B296" s="157" t="s">
        <v>251</v>
      </c>
      <c r="C296" s="157"/>
      <c r="D296" s="150" t="s">
        <v>101</v>
      </c>
      <c r="E296" s="151">
        <f>D291*E291+D292*E292+D293*E293+D294*E294+D295*E295</f>
        <v>51.67</v>
      </c>
      <c r="F296" s="151"/>
      <c r="G296" s="151"/>
      <c r="H296" s="151"/>
      <c r="I296" s="151"/>
      <c r="J296" s="151"/>
      <c r="K296" s="152"/>
      <c r="L296" s="147"/>
    </row>
    <row r="297" spans="1:12" s="148" customFormat="1" ht="18.649999999999999" customHeight="1">
      <c r="A297" s="149"/>
      <c r="B297" s="159" t="s">
        <v>252</v>
      </c>
      <c r="C297" s="159"/>
      <c r="D297" s="150"/>
      <c r="E297" s="151"/>
      <c r="F297" s="151"/>
      <c r="G297" s="151"/>
      <c r="H297" s="151"/>
      <c r="I297" s="151"/>
      <c r="J297" s="151"/>
      <c r="K297" s="152"/>
      <c r="L297" s="147"/>
    </row>
    <row r="298" spans="1:12" s="148" customFormat="1" ht="18.649999999999999" customHeight="1">
      <c r="A298" s="149"/>
      <c r="B298" s="157" t="s">
        <v>253</v>
      </c>
      <c r="C298" s="157"/>
      <c r="D298" s="150">
        <v>3</v>
      </c>
      <c r="E298" s="151">
        <f>40-4</f>
        <v>36</v>
      </c>
      <c r="F298" s="151">
        <v>1</v>
      </c>
      <c r="G298" s="151">
        <f>14/12</f>
        <v>1.17</v>
      </c>
      <c r="H298" s="151"/>
      <c r="I298" s="151">
        <f t="shared" ref="I298:I303" si="9">D298*E298*F298*G298</f>
        <v>126.36</v>
      </c>
      <c r="J298" s="151"/>
      <c r="K298" s="152" t="s">
        <v>28</v>
      </c>
      <c r="L298" s="147"/>
    </row>
    <row r="299" spans="1:12" s="148" customFormat="1" ht="18.649999999999999" customHeight="1">
      <c r="A299" s="149"/>
      <c r="B299" s="157" t="s">
        <v>254</v>
      </c>
      <c r="C299" s="157"/>
      <c r="D299" s="150">
        <v>4</v>
      </c>
      <c r="E299" s="151">
        <f>27-3</f>
        <v>24</v>
      </c>
      <c r="F299" s="151">
        <f>F298</f>
        <v>1</v>
      </c>
      <c r="G299" s="151">
        <f>G298</f>
        <v>1.17</v>
      </c>
      <c r="H299" s="151"/>
      <c r="I299" s="151">
        <f t="shared" si="9"/>
        <v>112.32</v>
      </c>
      <c r="J299" s="151"/>
      <c r="K299" s="152" t="s">
        <v>28</v>
      </c>
      <c r="L299" s="147"/>
    </row>
    <row r="300" spans="1:12" s="148" customFormat="1" ht="18.649999999999999" customHeight="1">
      <c r="A300" s="149"/>
      <c r="B300" s="157" t="s">
        <v>255</v>
      </c>
      <c r="C300" s="157"/>
      <c r="D300" s="150">
        <v>1</v>
      </c>
      <c r="E300" s="151">
        <f>13.5-1.5</f>
        <v>12</v>
      </c>
      <c r="F300" s="151">
        <f>F299</f>
        <v>1</v>
      </c>
      <c r="G300" s="151">
        <f>G299</f>
        <v>1.17</v>
      </c>
      <c r="H300" s="151"/>
      <c r="I300" s="151">
        <f t="shared" si="9"/>
        <v>14.04</v>
      </c>
      <c r="J300" s="151"/>
      <c r="K300" s="152" t="s">
        <v>28</v>
      </c>
      <c r="L300" s="147"/>
    </row>
    <row r="301" spans="1:12" s="148" customFormat="1" ht="18.649999999999999" customHeight="1">
      <c r="A301" s="149"/>
      <c r="B301" s="157"/>
      <c r="C301" s="157"/>
      <c r="D301" s="150" t="s">
        <v>101</v>
      </c>
      <c r="E301" s="151">
        <f>D298*E298+D299*E299+D300*E300</f>
        <v>216</v>
      </c>
      <c r="F301" s="151"/>
      <c r="G301" s="151"/>
      <c r="H301" s="151"/>
      <c r="I301" s="151"/>
      <c r="J301" s="151"/>
      <c r="K301" s="152"/>
      <c r="L301" s="147"/>
    </row>
    <row r="302" spans="1:12" s="148" customFormat="1" ht="18.649999999999999" customHeight="1">
      <c r="A302" s="149"/>
      <c r="B302" s="159" t="s">
        <v>256</v>
      </c>
      <c r="C302" s="157"/>
      <c r="D302" s="150"/>
      <c r="E302" s="151"/>
      <c r="F302" s="151"/>
      <c r="G302" s="151"/>
      <c r="H302" s="151"/>
      <c r="I302" s="151"/>
      <c r="J302" s="151"/>
      <c r="K302" s="152"/>
      <c r="L302" s="147"/>
    </row>
    <row r="303" spans="1:12" s="148" customFormat="1" ht="18.649999999999999" customHeight="1">
      <c r="A303" s="149"/>
      <c r="B303" s="157" t="s">
        <v>257</v>
      </c>
      <c r="C303" s="157"/>
      <c r="D303" s="150">
        <v>1</v>
      </c>
      <c r="E303" s="151">
        <f>13.5-1.5</f>
        <v>12</v>
      </c>
      <c r="F303" s="151">
        <v>1</v>
      </c>
      <c r="G303" s="151">
        <f>16/12</f>
        <v>1.33</v>
      </c>
      <c r="H303" s="151"/>
      <c r="I303" s="151">
        <f t="shared" si="9"/>
        <v>15.96</v>
      </c>
      <c r="J303" s="151"/>
      <c r="K303" s="152" t="s">
        <v>28</v>
      </c>
      <c r="L303" s="147"/>
    </row>
    <row r="304" spans="1:12" s="148" customFormat="1" ht="18.649999999999999" customHeight="1">
      <c r="A304" s="149"/>
      <c r="B304" s="157"/>
      <c r="C304" s="157"/>
      <c r="D304" s="150" t="s">
        <v>101</v>
      </c>
      <c r="E304" s="151">
        <f>D303*E303</f>
        <v>12</v>
      </c>
      <c r="F304" s="151"/>
      <c r="G304" s="151"/>
      <c r="H304" s="151"/>
      <c r="I304" s="151"/>
      <c r="J304" s="151">
        <f>SUM(I290:I304)</f>
        <v>304.27</v>
      </c>
      <c r="K304" s="152" t="s">
        <v>28</v>
      </c>
      <c r="L304" s="147"/>
    </row>
    <row r="305" spans="1:12" s="148" customFormat="1" ht="18.649999999999999" customHeight="1">
      <c r="A305" s="149"/>
      <c r="B305" s="159" t="s">
        <v>164</v>
      </c>
      <c r="C305" s="159"/>
      <c r="D305" s="150"/>
      <c r="E305" s="151"/>
      <c r="F305" s="151"/>
      <c r="G305" s="151"/>
      <c r="H305" s="151"/>
      <c r="I305" s="151"/>
      <c r="J305" s="151"/>
      <c r="K305" s="152"/>
      <c r="L305" s="147"/>
    </row>
    <row r="306" spans="1:12" s="148" customFormat="1" ht="18.649999999999999" customHeight="1">
      <c r="A306" s="149"/>
      <c r="B306" s="156" t="s">
        <v>258</v>
      </c>
      <c r="C306" s="156"/>
      <c r="D306" s="150"/>
      <c r="E306" s="151"/>
      <c r="F306" s="151"/>
      <c r="G306" s="151"/>
      <c r="H306" s="151"/>
      <c r="I306" s="151"/>
      <c r="J306" s="151"/>
      <c r="K306" s="152"/>
      <c r="L306" s="147"/>
    </row>
    <row r="307" spans="1:12" s="148" customFormat="1" ht="18.649999999999999" customHeight="1">
      <c r="A307" s="149"/>
      <c r="B307" s="157" t="s">
        <v>259</v>
      </c>
      <c r="C307" s="157"/>
      <c r="D307" s="150">
        <v>1</v>
      </c>
      <c r="E307" s="151">
        <f>9-1</f>
        <v>8</v>
      </c>
      <c r="F307" s="151">
        <f>0.83</f>
        <v>0.83</v>
      </c>
      <c r="G307" s="151">
        <v>0.83</v>
      </c>
      <c r="H307" s="151"/>
      <c r="I307" s="151">
        <f>D307*E307*F307*G307</f>
        <v>5.51</v>
      </c>
      <c r="J307" s="151"/>
      <c r="K307" s="152" t="s">
        <v>28</v>
      </c>
      <c r="L307" s="147"/>
    </row>
    <row r="308" spans="1:12" s="148" customFormat="1" ht="18.649999999999999" customHeight="1">
      <c r="A308" s="149"/>
      <c r="B308" s="157" t="s">
        <v>260</v>
      </c>
      <c r="C308" s="157"/>
      <c r="D308" s="150">
        <v>2</v>
      </c>
      <c r="E308" s="151">
        <f>10-1.5</f>
        <v>8.5</v>
      </c>
      <c r="F308" s="151">
        <f t="shared" ref="F308:G310" si="10">F307</f>
        <v>0.83</v>
      </c>
      <c r="G308" s="151">
        <f t="shared" si="10"/>
        <v>0.83</v>
      </c>
      <c r="H308" s="151"/>
      <c r="I308" s="151">
        <f>D308*E308*F308*G308</f>
        <v>11.71</v>
      </c>
      <c r="J308" s="151"/>
      <c r="K308" s="152" t="s">
        <v>28</v>
      </c>
      <c r="L308" s="147"/>
    </row>
    <row r="309" spans="1:12" s="148" customFormat="1" ht="18.649999999999999" customHeight="1">
      <c r="A309" s="149"/>
      <c r="B309" s="157" t="s">
        <v>261</v>
      </c>
      <c r="C309" s="157"/>
      <c r="D309" s="150">
        <v>1</v>
      </c>
      <c r="E309" s="151">
        <f>3.5</f>
        <v>3.5</v>
      </c>
      <c r="F309" s="151">
        <f t="shared" si="10"/>
        <v>0.83</v>
      </c>
      <c r="G309" s="151">
        <f t="shared" si="10"/>
        <v>0.83</v>
      </c>
      <c r="H309" s="151"/>
      <c r="I309" s="151">
        <f>D309*E309*F309*G309</f>
        <v>2.41</v>
      </c>
      <c r="J309" s="151"/>
      <c r="K309" s="152" t="s">
        <v>28</v>
      </c>
      <c r="L309" s="147"/>
    </row>
    <row r="310" spans="1:12" s="148" customFormat="1" ht="18.649999999999999" customHeight="1">
      <c r="A310" s="149"/>
      <c r="B310" s="157" t="s">
        <v>262</v>
      </c>
      <c r="C310" s="157"/>
      <c r="D310" s="150">
        <v>1</v>
      </c>
      <c r="E310" s="151">
        <f>14.17-0.42</f>
        <v>13.75</v>
      </c>
      <c r="F310" s="151">
        <f t="shared" si="10"/>
        <v>0.83</v>
      </c>
      <c r="G310" s="151">
        <f t="shared" si="10"/>
        <v>0.83</v>
      </c>
      <c r="H310" s="151"/>
      <c r="I310" s="151">
        <f>D310*E310*F310*G310</f>
        <v>9.4700000000000006</v>
      </c>
      <c r="J310" s="151"/>
      <c r="K310" s="152" t="s">
        <v>28</v>
      </c>
      <c r="L310" s="147"/>
    </row>
    <row r="311" spans="1:12" s="148" customFormat="1" ht="18.649999999999999" customHeight="1">
      <c r="A311" s="149"/>
      <c r="B311" s="157" t="s">
        <v>271</v>
      </c>
      <c r="C311" s="157"/>
      <c r="D311" s="150" t="s">
        <v>101</v>
      </c>
      <c r="E311" s="151">
        <f>D307*E307+D308*E308+D309*E309+D310*E310</f>
        <v>42.25</v>
      </c>
      <c r="F311" s="151"/>
      <c r="G311" s="151"/>
      <c r="H311" s="151"/>
      <c r="I311" s="151"/>
      <c r="J311" s="151"/>
      <c r="K311" s="152"/>
      <c r="L311" s="147"/>
    </row>
    <row r="312" spans="1:12" s="148" customFormat="1" ht="18.649999999999999" customHeight="1">
      <c r="A312" s="149"/>
      <c r="B312" s="159" t="s">
        <v>296</v>
      </c>
      <c r="C312" s="159"/>
      <c r="D312" s="150"/>
      <c r="E312" s="151"/>
      <c r="F312" s="151"/>
      <c r="G312" s="151"/>
      <c r="H312" s="151"/>
      <c r="I312" s="151"/>
      <c r="J312" s="151"/>
      <c r="K312" s="152"/>
      <c r="L312" s="147"/>
    </row>
    <row r="313" spans="1:12" s="148" customFormat="1" ht="18.649999999999999" customHeight="1">
      <c r="A313" s="149"/>
      <c r="B313" s="157" t="s">
        <v>263</v>
      </c>
      <c r="C313" s="157"/>
      <c r="D313" s="150">
        <v>3</v>
      </c>
      <c r="E313" s="151">
        <f>30-3</f>
        <v>27</v>
      </c>
      <c r="F313" s="151">
        <v>1</v>
      </c>
      <c r="G313" s="151">
        <f>1.17</f>
        <v>1.17</v>
      </c>
      <c r="H313" s="151"/>
      <c r="I313" s="151">
        <f>D313*E313*F313*G313</f>
        <v>94.77</v>
      </c>
      <c r="J313" s="151"/>
      <c r="K313" s="152" t="s">
        <v>28</v>
      </c>
      <c r="L313" s="147"/>
    </row>
    <row r="314" spans="1:12" s="148" customFormat="1" ht="18.649999999999999" customHeight="1">
      <c r="A314" s="149"/>
      <c r="B314" s="157" t="s">
        <v>264</v>
      </c>
      <c r="C314" s="157"/>
      <c r="D314" s="150">
        <v>3</v>
      </c>
      <c r="E314" s="151">
        <f>27-3</f>
        <v>24</v>
      </c>
      <c r="F314" s="151">
        <f t="shared" ref="F314:G316" si="11">F313</f>
        <v>1</v>
      </c>
      <c r="G314" s="151">
        <f t="shared" si="11"/>
        <v>1.17</v>
      </c>
      <c r="H314" s="151"/>
      <c r="I314" s="151">
        <f>D314*E314*F314*G314</f>
        <v>84.24</v>
      </c>
      <c r="J314" s="151"/>
      <c r="K314" s="152" t="s">
        <v>28</v>
      </c>
      <c r="L314" s="147"/>
    </row>
    <row r="315" spans="1:12" s="148" customFormat="1" ht="18.649999999999999" customHeight="1">
      <c r="A315" s="149"/>
      <c r="B315" s="157" t="s">
        <v>265</v>
      </c>
      <c r="C315" s="157"/>
      <c r="D315" s="150">
        <v>1</v>
      </c>
      <c r="E315" s="151">
        <f>15</f>
        <v>15</v>
      </c>
      <c r="F315" s="151">
        <f t="shared" si="11"/>
        <v>1</v>
      </c>
      <c r="G315" s="151">
        <f t="shared" si="11"/>
        <v>1.17</v>
      </c>
      <c r="H315" s="151"/>
      <c r="I315" s="151">
        <f>D315*E315*F315*G315</f>
        <v>17.55</v>
      </c>
      <c r="J315" s="151"/>
      <c r="K315" s="152" t="s">
        <v>28</v>
      </c>
      <c r="L315" s="147"/>
    </row>
    <row r="316" spans="1:12" s="148" customFormat="1" ht="18.649999999999999" customHeight="1">
      <c r="A316" s="149"/>
      <c r="B316" s="157" t="s">
        <v>266</v>
      </c>
      <c r="C316" s="157"/>
      <c r="D316" s="150">
        <v>3</v>
      </c>
      <c r="E316" s="151">
        <f>43-5</f>
        <v>38</v>
      </c>
      <c r="F316" s="151">
        <f t="shared" si="11"/>
        <v>1</v>
      </c>
      <c r="G316" s="151">
        <f t="shared" si="11"/>
        <v>1.17</v>
      </c>
      <c r="H316" s="151"/>
      <c r="I316" s="151">
        <f>D316*E316*F316*G316</f>
        <v>133.38</v>
      </c>
      <c r="J316" s="151"/>
      <c r="K316" s="152" t="s">
        <v>28</v>
      </c>
      <c r="L316" s="147"/>
    </row>
    <row r="317" spans="1:12" s="148" customFormat="1" ht="18.649999999999999" customHeight="1">
      <c r="A317" s="149"/>
      <c r="B317" s="157" t="s">
        <v>297</v>
      </c>
      <c r="C317" s="157"/>
      <c r="D317" s="150" t="s">
        <v>101</v>
      </c>
      <c r="E317" s="151">
        <f>D313*E313+D314*E314+D315*E315+D316*E316</f>
        <v>282</v>
      </c>
      <c r="F317" s="151"/>
      <c r="G317" s="151"/>
      <c r="H317" s="151"/>
      <c r="I317" s="151"/>
      <c r="J317" s="151">
        <f>SUM(I307:I317)</f>
        <v>359.04</v>
      </c>
      <c r="K317" s="152"/>
      <c r="L317" s="147"/>
    </row>
    <row r="318" spans="1:12" s="148" customFormat="1" ht="18.649999999999999" customHeight="1">
      <c r="A318" s="149"/>
      <c r="B318" s="157"/>
      <c r="C318" s="157"/>
      <c r="D318" s="150"/>
      <c r="E318" s="151"/>
      <c r="F318" s="151"/>
      <c r="G318" s="151"/>
      <c r="H318" s="151"/>
      <c r="I318" s="151"/>
      <c r="J318" s="151"/>
      <c r="K318" s="152"/>
      <c r="L318" s="147"/>
    </row>
    <row r="319" spans="1:12" s="148" customFormat="1" ht="18.649999999999999" customHeight="1">
      <c r="A319" s="149"/>
      <c r="B319" s="159" t="s">
        <v>267</v>
      </c>
      <c r="C319" s="157"/>
      <c r="D319" s="150"/>
      <c r="E319" s="151"/>
      <c r="F319" s="151"/>
      <c r="G319" s="151"/>
      <c r="H319" s="151"/>
      <c r="I319" s="151"/>
      <c r="J319" s="151"/>
      <c r="K319" s="152"/>
      <c r="L319" s="147"/>
    </row>
    <row r="320" spans="1:12" s="148" customFormat="1" ht="18.649999999999999" customHeight="1">
      <c r="A320" s="149"/>
      <c r="B320" s="156" t="s">
        <v>268</v>
      </c>
      <c r="C320" s="156"/>
      <c r="D320" s="150"/>
      <c r="E320" s="151"/>
      <c r="F320" s="151"/>
      <c r="G320" s="151"/>
      <c r="H320" s="151"/>
      <c r="I320" s="151"/>
      <c r="J320" s="151"/>
      <c r="K320" s="152"/>
      <c r="L320" s="147"/>
    </row>
    <row r="321" spans="1:12" s="148" customFormat="1" ht="18.649999999999999" customHeight="1">
      <c r="A321" s="149"/>
      <c r="B321" s="157" t="s">
        <v>269</v>
      </c>
      <c r="C321" s="157"/>
      <c r="D321" s="150">
        <v>1</v>
      </c>
      <c r="E321" s="151">
        <f>18-1</f>
        <v>17</v>
      </c>
      <c r="F321" s="151">
        <f>0.83</f>
        <v>0.83</v>
      </c>
      <c r="G321" s="151">
        <v>0.83</v>
      </c>
      <c r="H321" s="151"/>
      <c r="I321" s="151">
        <f>D321*E321*F321*G321</f>
        <v>11.71</v>
      </c>
      <c r="J321" s="151"/>
      <c r="K321" s="152" t="s">
        <v>28</v>
      </c>
      <c r="L321" s="147"/>
    </row>
    <row r="322" spans="1:12" s="148" customFormat="1" ht="18.649999999999999" customHeight="1">
      <c r="A322" s="149"/>
      <c r="B322" s="157" t="s">
        <v>260</v>
      </c>
      <c r="C322" s="157"/>
      <c r="D322" s="150">
        <v>2</v>
      </c>
      <c r="E322" s="151">
        <f>10-1.5</f>
        <v>8.5</v>
      </c>
      <c r="F322" s="151">
        <f>F321</f>
        <v>0.83</v>
      </c>
      <c r="G322" s="151">
        <f>G321</f>
        <v>0.83</v>
      </c>
      <c r="H322" s="151"/>
      <c r="I322" s="151">
        <f>D322*E322*F322*G322</f>
        <v>11.71</v>
      </c>
      <c r="J322" s="151"/>
      <c r="K322" s="152" t="s">
        <v>28</v>
      </c>
      <c r="L322" s="147"/>
    </row>
    <row r="323" spans="1:12" s="148" customFormat="1" ht="18.649999999999999" customHeight="1">
      <c r="A323" s="149"/>
      <c r="B323" s="157" t="s">
        <v>262</v>
      </c>
      <c r="C323" s="157"/>
      <c r="D323" s="150">
        <v>1</v>
      </c>
      <c r="E323" s="151">
        <f>14.17-0.42</f>
        <v>13.75</v>
      </c>
      <c r="F323" s="151">
        <f>F322</f>
        <v>0.83</v>
      </c>
      <c r="G323" s="151">
        <f>G322</f>
        <v>0.83</v>
      </c>
      <c r="H323" s="151"/>
      <c r="I323" s="151">
        <f>D323*E323*F323*G323</f>
        <v>9.4700000000000006</v>
      </c>
      <c r="J323" s="151"/>
      <c r="K323" s="152" t="s">
        <v>28</v>
      </c>
      <c r="L323" s="147"/>
    </row>
    <row r="324" spans="1:12" s="148" customFormat="1" ht="18.649999999999999" customHeight="1">
      <c r="A324" s="149"/>
      <c r="B324" s="157" t="s">
        <v>270</v>
      </c>
      <c r="C324" s="157"/>
      <c r="D324" s="150" t="s">
        <v>101</v>
      </c>
      <c r="E324" s="151">
        <f>D321*E321+D322*E322+D323*E323</f>
        <v>47.75</v>
      </c>
      <c r="F324" s="151"/>
      <c r="G324" s="151"/>
      <c r="H324" s="151"/>
      <c r="I324" s="151"/>
      <c r="J324" s="151"/>
      <c r="K324" s="152"/>
      <c r="L324" s="147"/>
    </row>
    <row r="325" spans="1:12" s="148" customFormat="1" ht="18.649999999999999" customHeight="1">
      <c r="A325" s="149"/>
      <c r="B325" s="159" t="s">
        <v>275</v>
      </c>
      <c r="C325" s="159"/>
      <c r="D325" s="150"/>
      <c r="E325" s="151"/>
      <c r="F325" s="151"/>
      <c r="G325" s="151"/>
      <c r="H325" s="151"/>
      <c r="I325" s="151"/>
      <c r="J325" s="151"/>
      <c r="K325" s="152"/>
      <c r="L325" s="147"/>
    </row>
    <row r="326" spans="1:12" s="148" customFormat="1" ht="18.649999999999999" customHeight="1">
      <c r="A326" s="149"/>
      <c r="B326" s="157" t="s">
        <v>381</v>
      </c>
      <c r="C326" s="157"/>
      <c r="D326" s="150">
        <v>1</v>
      </c>
      <c r="E326" s="151">
        <f>30-4</f>
        <v>26</v>
      </c>
      <c r="F326" s="151">
        <v>1</v>
      </c>
      <c r="G326" s="151">
        <f>1.17</f>
        <v>1.17</v>
      </c>
      <c r="H326" s="151"/>
      <c r="I326" s="151">
        <f>D326*E326*F326*G326</f>
        <v>30.42</v>
      </c>
      <c r="J326" s="151"/>
      <c r="K326" s="152" t="s">
        <v>28</v>
      </c>
      <c r="L326" s="147"/>
    </row>
    <row r="327" spans="1:12" s="148" customFormat="1" ht="18.649999999999999" customHeight="1">
      <c r="A327" s="149"/>
      <c r="B327" s="157" t="s">
        <v>272</v>
      </c>
      <c r="C327" s="157"/>
      <c r="D327" s="150">
        <v>2</v>
      </c>
      <c r="E327" s="151">
        <f>30-3</f>
        <v>27</v>
      </c>
      <c r="F327" s="151">
        <v>1</v>
      </c>
      <c r="G327" s="151">
        <f>G326</f>
        <v>1.17</v>
      </c>
      <c r="H327" s="151"/>
      <c r="I327" s="151">
        <f>D327*E327*F327*G327</f>
        <v>63.18</v>
      </c>
      <c r="J327" s="151"/>
      <c r="K327" s="152" t="s">
        <v>28</v>
      </c>
      <c r="L327" s="147"/>
    </row>
    <row r="328" spans="1:12" s="148" customFormat="1" ht="18.649999999999999" customHeight="1">
      <c r="A328" s="149"/>
      <c r="B328" s="157" t="s">
        <v>264</v>
      </c>
      <c r="C328" s="157"/>
      <c r="D328" s="150">
        <v>3</v>
      </c>
      <c r="E328" s="151">
        <f>27-3</f>
        <v>24</v>
      </c>
      <c r="F328" s="151">
        <f>F326</f>
        <v>1</v>
      </c>
      <c r="G328" s="151">
        <f>G327</f>
        <v>1.17</v>
      </c>
      <c r="H328" s="151"/>
      <c r="I328" s="151">
        <f>D328*E328*F328*G328</f>
        <v>84.24</v>
      </c>
      <c r="J328" s="151"/>
      <c r="K328" s="152" t="s">
        <v>28</v>
      </c>
      <c r="L328" s="147"/>
    </row>
    <row r="329" spans="1:12" s="148" customFormat="1" ht="18.649999999999999" customHeight="1">
      <c r="A329" s="149"/>
      <c r="B329" s="157" t="s">
        <v>265</v>
      </c>
      <c r="C329" s="157"/>
      <c r="D329" s="150">
        <v>1</v>
      </c>
      <c r="E329" s="151">
        <f>15</f>
        <v>15</v>
      </c>
      <c r="F329" s="151">
        <f>F328</f>
        <v>1</v>
      </c>
      <c r="G329" s="151">
        <f>G328</f>
        <v>1.17</v>
      </c>
      <c r="H329" s="151"/>
      <c r="I329" s="151">
        <f>D329*E329*F329*G329</f>
        <v>17.55</v>
      </c>
      <c r="J329" s="151"/>
      <c r="K329" s="152" t="s">
        <v>28</v>
      </c>
      <c r="L329" s="147"/>
    </row>
    <row r="330" spans="1:12" s="148" customFormat="1" ht="18.649999999999999" customHeight="1">
      <c r="A330" s="149"/>
      <c r="B330" s="157" t="s">
        <v>266</v>
      </c>
      <c r="C330" s="157"/>
      <c r="D330" s="150">
        <v>3</v>
      </c>
      <c r="E330" s="151">
        <f>43-5</f>
        <v>38</v>
      </c>
      <c r="F330" s="151">
        <f>F329</f>
        <v>1</v>
      </c>
      <c r="G330" s="151">
        <f>G329</f>
        <v>1.17</v>
      </c>
      <c r="H330" s="151"/>
      <c r="I330" s="151">
        <f>D330*E330*F330*G330</f>
        <v>133.38</v>
      </c>
      <c r="J330" s="151"/>
      <c r="K330" s="152" t="s">
        <v>28</v>
      </c>
      <c r="L330" s="147"/>
    </row>
    <row r="331" spans="1:12" s="148" customFormat="1" ht="18.649999999999999" customHeight="1">
      <c r="A331" s="149"/>
      <c r="B331" s="157" t="s">
        <v>295</v>
      </c>
      <c r="C331" s="157"/>
      <c r="D331" s="150" t="s">
        <v>101</v>
      </c>
      <c r="E331" s="151">
        <f>D326*E326+D327*E327+D328*E328+D329*E329+D330*E330</f>
        <v>281</v>
      </c>
      <c r="F331" s="151"/>
      <c r="G331" s="151"/>
      <c r="H331" s="151"/>
      <c r="I331" s="151"/>
      <c r="J331" s="151">
        <f>SUM(I321:I331)</f>
        <v>361.66</v>
      </c>
      <c r="K331" s="152"/>
      <c r="L331" s="147"/>
    </row>
    <row r="332" spans="1:12" s="148" customFormat="1" ht="18.649999999999999" customHeight="1">
      <c r="A332" s="149"/>
      <c r="B332" s="157"/>
      <c r="C332" s="157"/>
      <c r="D332" s="150"/>
      <c r="E332" s="151"/>
      <c r="F332" s="151"/>
      <c r="G332" s="151"/>
      <c r="H332" s="151"/>
      <c r="I332" s="151"/>
      <c r="J332" s="151"/>
      <c r="K332" s="152"/>
      <c r="L332" s="147"/>
    </row>
    <row r="333" spans="1:12" s="148" customFormat="1" ht="18.649999999999999" customHeight="1">
      <c r="A333" s="149"/>
      <c r="B333" s="159" t="s">
        <v>117</v>
      </c>
      <c r="C333" s="159"/>
      <c r="D333" s="150"/>
      <c r="E333" s="151"/>
      <c r="F333" s="151"/>
      <c r="G333" s="151"/>
      <c r="H333" s="151"/>
      <c r="I333" s="151"/>
      <c r="J333" s="151"/>
      <c r="K333" s="152"/>
      <c r="L333" s="147"/>
    </row>
    <row r="334" spans="1:12" s="148" customFormat="1" ht="18.649999999999999" customHeight="1">
      <c r="A334" s="149"/>
      <c r="B334" s="156" t="s">
        <v>273</v>
      </c>
      <c r="C334" s="156"/>
      <c r="D334" s="150"/>
      <c r="E334" s="151"/>
      <c r="F334" s="151"/>
      <c r="G334" s="151"/>
      <c r="H334" s="151"/>
      <c r="I334" s="151"/>
      <c r="J334" s="151"/>
      <c r="K334" s="152"/>
      <c r="L334" s="147"/>
    </row>
    <row r="335" spans="1:12" s="148" customFormat="1" ht="18.649999999999999" customHeight="1">
      <c r="A335" s="149"/>
      <c r="B335" s="157" t="s">
        <v>269</v>
      </c>
      <c r="C335" s="157"/>
      <c r="D335" s="150">
        <v>1</v>
      </c>
      <c r="E335" s="151">
        <f>18-1</f>
        <v>17</v>
      </c>
      <c r="F335" s="151">
        <f>0.83</f>
        <v>0.83</v>
      </c>
      <c r="G335" s="151">
        <v>0.83</v>
      </c>
      <c r="H335" s="151"/>
      <c r="I335" s="151">
        <f>D335*E335*F335*G335</f>
        <v>11.71</v>
      </c>
      <c r="J335" s="151"/>
      <c r="K335" s="152" t="s">
        <v>28</v>
      </c>
      <c r="L335" s="147"/>
    </row>
    <row r="336" spans="1:12" s="148" customFormat="1" ht="18.649999999999999" customHeight="1">
      <c r="A336" s="149"/>
      <c r="B336" s="157" t="s">
        <v>260</v>
      </c>
      <c r="C336" s="157"/>
      <c r="D336" s="150">
        <v>2</v>
      </c>
      <c r="E336" s="151">
        <f>10-1.5</f>
        <v>8.5</v>
      </c>
      <c r="F336" s="151">
        <f>F335</f>
        <v>0.83</v>
      </c>
      <c r="G336" s="151">
        <f>G335</f>
        <v>0.83</v>
      </c>
      <c r="H336" s="151"/>
      <c r="I336" s="151">
        <f>D336*E336*F336*G336</f>
        <v>11.71</v>
      </c>
      <c r="J336" s="151"/>
      <c r="K336" s="152" t="s">
        <v>28</v>
      </c>
      <c r="L336" s="147"/>
    </row>
    <row r="337" spans="1:12" s="148" customFormat="1" ht="18.649999999999999" customHeight="1">
      <c r="A337" s="149"/>
      <c r="B337" s="157" t="s">
        <v>262</v>
      </c>
      <c r="C337" s="157"/>
      <c r="D337" s="150">
        <v>1</v>
      </c>
      <c r="E337" s="151">
        <f>14.17-0.42</f>
        <v>13.75</v>
      </c>
      <c r="F337" s="151">
        <f>F336</f>
        <v>0.83</v>
      </c>
      <c r="G337" s="151">
        <f>G336</f>
        <v>0.83</v>
      </c>
      <c r="H337" s="151"/>
      <c r="I337" s="151">
        <f>D337*E337*F337*G337</f>
        <v>9.4700000000000006</v>
      </c>
      <c r="J337" s="151"/>
      <c r="K337" s="152" t="s">
        <v>28</v>
      </c>
      <c r="L337" s="147"/>
    </row>
    <row r="338" spans="1:12" s="148" customFormat="1" ht="18.649999999999999" customHeight="1">
      <c r="A338" s="149"/>
      <c r="B338" s="157" t="s">
        <v>274</v>
      </c>
      <c r="C338" s="157"/>
      <c r="D338" s="150" t="s">
        <v>101</v>
      </c>
      <c r="E338" s="151">
        <f>D335*E335+D336*E336+D337*E337</f>
        <v>47.75</v>
      </c>
      <c r="F338" s="151"/>
      <c r="G338" s="151"/>
      <c r="H338" s="151"/>
      <c r="I338" s="151"/>
      <c r="J338" s="151"/>
      <c r="K338" s="152"/>
      <c r="L338" s="147"/>
    </row>
    <row r="339" spans="1:12" s="148" customFormat="1" ht="18.649999999999999" customHeight="1">
      <c r="A339" s="149"/>
      <c r="B339" s="157"/>
      <c r="C339" s="157"/>
      <c r="D339" s="150"/>
      <c r="E339" s="151"/>
      <c r="F339" s="151"/>
      <c r="G339" s="151"/>
      <c r="H339" s="151"/>
      <c r="I339" s="151"/>
      <c r="J339" s="151"/>
      <c r="K339" s="152"/>
      <c r="L339" s="147"/>
    </row>
    <row r="340" spans="1:12" s="148" customFormat="1" ht="18.649999999999999" customHeight="1">
      <c r="A340" s="149"/>
      <c r="B340" s="159" t="s">
        <v>276</v>
      </c>
      <c r="C340" s="159"/>
      <c r="D340" s="150"/>
      <c r="E340" s="151"/>
      <c r="F340" s="151"/>
      <c r="G340" s="151"/>
      <c r="H340" s="151"/>
      <c r="I340" s="151"/>
      <c r="J340" s="151"/>
      <c r="K340" s="152"/>
      <c r="L340" s="147"/>
    </row>
    <row r="341" spans="1:12" s="148" customFormat="1" ht="18.649999999999999" customHeight="1">
      <c r="A341" s="149"/>
      <c r="B341" s="157" t="s">
        <v>277</v>
      </c>
      <c r="C341" s="157"/>
      <c r="D341" s="150">
        <v>1</v>
      </c>
      <c r="E341" s="151">
        <f>23.17-3</f>
        <v>20.170000000000002</v>
      </c>
      <c r="F341" s="151">
        <v>1</v>
      </c>
      <c r="G341" s="151">
        <f>1.17</f>
        <v>1.17</v>
      </c>
      <c r="H341" s="151"/>
      <c r="I341" s="151">
        <f>D341*E341*F341*G341</f>
        <v>23.6</v>
      </c>
      <c r="J341" s="151"/>
      <c r="K341" s="152" t="s">
        <v>28</v>
      </c>
      <c r="L341" s="147"/>
    </row>
    <row r="342" spans="1:12" s="148" customFormat="1" ht="18.649999999999999" customHeight="1">
      <c r="A342" s="149"/>
      <c r="B342" s="157" t="s">
        <v>278</v>
      </c>
      <c r="C342" s="157"/>
      <c r="D342" s="150">
        <v>4</v>
      </c>
      <c r="E342" s="151">
        <f>27-3</f>
        <v>24</v>
      </c>
      <c r="F342" s="151">
        <f t="shared" ref="F342:G345" si="12">F341</f>
        <v>1</v>
      </c>
      <c r="G342" s="151">
        <f t="shared" si="12"/>
        <v>1.17</v>
      </c>
      <c r="H342" s="151"/>
      <c r="I342" s="151">
        <f>D342*E342*F342*G342</f>
        <v>112.32</v>
      </c>
      <c r="J342" s="151"/>
      <c r="K342" s="152" t="s">
        <v>28</v>
      </c>
      <c r="L342" s="147"/>
    </row>
    <row r="343" spans="1:12" s="148" customFormat="1" ht="18.649999999999999" customHeight="1">
      <c r="A343" s="149"/>
      <c r="B343" s="157" t="s">
        <v>279</v>
      </c>
      <c r="C343" s="157"/>
      <c r="D343" s="150">
        <v>1</v>
      </c>
      <c r="E343" s="151">
        <f>28-3</f>
        <v>25</v>
      </c>
      <c r="F343" s="151">
        <f t="shared" si="12"/>
        <v>1</v>
      </c>
      <c r="G343" s="151">
        <f t="shared" si="12"/>
        <v>1.17</v>
      </c>
      <c r="H343" s="151"/>
      <c r="I343" s="151">
        <f>D343*E343*F343*G343</f>
        <v>29.25</v>
      </c>
      <c r="J343" s="151"/>
      <c r="K343" s="152" t="s">
        <v>28</v>
      </c>
      <c r="L343" s="147"/>
    </row>
    <row r="344" spans="1:12" s="148" customFormat="1" ht="18.649999999999999" customHeight="1">
      <c r="A344" s="149"/>
      <c r="B344" s="157" t="s">
        <v>280</v>
      </c>
      <c r="C344" s="157"/>
      <c r="D344" s="150">
        <v>1</v>
      </c>
      <c r="E344" s="151">
        <f>13.5-0.5</f>
        <v>13</v>
      </c>
      <c r="F344" s="151">
        <f t="shared" si="12"/>
        <v>1</v>
      </c>
      <c r="G344" s="151">
        <f t="shared" si="12"/>
        <v>1.17</v>
      </c>
      <c r="H344" s="151"/>
      <c r="I344" s="151">
        <f>D344*E344*F344*G344</f>
        <v>15.21</v>
      </c>
      <c r="J344" s="151"/>
      <c r="K344" s="152" t="s">
        <v>28</v>
      </c>
      <c r="L344" s="147"/>
    </row>
    <row r="345" spans="1:12" s="148" customFormat="1" ht="18.649999999999999" customHeight="1">
      <c r="A345" s="149"/>
      <c r="B345" s="157" t="s">
        <v>281</v>
      </c>
      <c r="C345" s="157"/>
      <c r="D345" s="150">
        <v>2</v>
      </c>
      <c r="E345" s="151">
        <f>32.5</f>
        <v>32.5</v>
      </c>
      <c r="F345" s="151">
        <f t="shared" si="12"/>
        <v>1</v>
      </c>
      <c r="G345" s="151">
        <f t="shared" si="12"/>
        <v>1.17</v>
      </c>
      <c r="H345" s="151"/>
      <c r="I345" s="151">
        <f>D345*E345*F345*G345</f>
        <v>76.05</v>
      </c>
      <c r="J345" s="151"/>
      <c r="K345" s="152" t="s">
        <v>28</v>
      </c>
      <c r="L345" s="147"/>
    </row>
    <row r="346" spans="1:12" s="148" customFormat="1" ht="18.649999999999999" customHeight="1">
      <c r="A346" s="149"/>
      <c r="B346" s="157" t="s">
        <v>282</v>
      </c>
      <c r="C346" s="157"/>
      <c r="D346" s="150" t="s">
        <v>101</v>
      </c>
      <c r="E346" s="151">
        <f>D341*E341+D342*E342+D343*E343+D344*E344+D345*E345</f>
        <v>219.17</v>
      </c>
      <c r="F346" s="151"/>
      <c r="G346" s="151"/>
      <c r="H346" s="151"/>
      <c r="I346" s="151"/>
      <c r="J346" s="151"/>
      <c r="K346" s="152"/>
      <c r="L346" s="147"/>
    </row>
    <row r="347" spans="1:12" s="148" customFormat="1" ht="18.649999999999999" customHeight="1">
      <c r="A347" s="149"/>
      <c r="B347" s="157"/>
      <c r="C347" s="157"/>
      <c r="D347" s="150"/>
      <c r="E347" s="151"/>
      <c r="F347" s="151"/>
      <c r="G347" s="151"/>
      <c r="H347" s="151"/>
      <c r="I347" s="151"/>
      <c r="J347" s="151">
        <f>SUM(I335:I347)</f>
        <v>289.32</v>
      </c>
      <c r="K347" s="152" t="s">
        <v>28</v>
      </c>
      <c r="L347" s="147"/>
    </row>
    <row r="348" spans="1:12" s="148" customFormat="1" ht="17.899999999999999" customHeight="1">
      <c r="A348" s="149"/>
      <c r="B348" s="157"/>
      <c r="C348" s="157"/>
      <c r="D348" s="150"/>
      <c r="E348" s="151"/>
      <c r="F348" s="151"/>
      <c r="G348" s="151"/>
      <c r="H348" s="151"/>
      <c r="I348" s="151"/>
      <c r="J348" s="155">
        <f>SUM(J289:J347)</f>
        <v>1314.29</v>
      </c>
      <c r="K348" s="158" t="s">
        <v>28</v>
      </c>
      <c r="L348" s="147"/>
    </row>
    <row r="349" spans="1:12" s="148" customFormat="1" ht="17.899999999999999" customHeight="1">
      <c r="A349" s="149"/>
      <c r="B349" s="149"/>
      <c r="C349" s="149"/>
      <c r="D349" s="150"/>
      <c r="E349" s="151"/>
      <c r="F349" s="151"/>
      <c r="G349" s="151"/>
      <c r="H349" s="151"/>
      <c r="I349" s="151"/>
      <c r="J349" s="270">
        <f>J348/100</f>
        <v>13.14</v>
      </c>
      <c r="K349" s="271" t="s">
        <v>7</v>
      </c>
      <c r="L349" s="147"/>
    </row>
    <row r="350" spans="1:12" s="148" customFormat="1" ht="17.899999999999999" customHeight="1">
      <c r="A350" s="149"/>
      <c r="B350" s="149"/>
      <c r="C350" s="149"/>
      <c r="D350" s="150"/>
      <c r="E350" s="151"/>
      <c r="F350" s="151"/>
      <c r="G350" s="151"/>
      <c r="H350" s="151"/>
      <c r="I350" s="151"/>
      <c r="J350" s="151"/>
      <c r="K350" s="158"/>
      <c r="L350" s="147"/>
    </row>
    <row r="351" spans="1:12" s="148" customFormat="1" ht="18.649999999999999" customHeight="1">
      <c r="A351" s="161"/>
      <c r="B351" s="172" t="s">
        <v>103</v>
      </c>
      <c r="C351" s="172"/>
      <c r="D351" s="163"/>
      <c r="E351" s="164"/>
      <c r="F351" s="164"/>
      <c r="G351" s="164"/>
      <c r="H351" s="164"/>
      <c r="I351" s="164"/>
      <c r="J351" s="164"/>
      <c r="K351" s="166"/>
      <c r="L351" s="147"/>
    </row>
    <row r="352" spans="1:12" s="148" customFormat="1" ht="18.649999999999999" customHeight="1">
      <c r="A352" s="149"/>
      <c r="B352" s="156" t="str">
        <f t="shared" ref="B352:B358" si="13">B289</f>
        <v>Plinth Level Beam</v>
      </c>
      <c r="C352" s="156"/>
      <c r="D352" s="150"/>
      <c r="E352" s="151"/>
      <c r="F352" s="151"/>
      <c r="G352" s="151"/>
      <c r="H352" s="151"/>
      <c r="I352" s="151"/>
      <c r="J352" s="151"/>
      <c r="K352" s="152"/>
      <c r="L352" s="147"/>
    </row>
    <row r="353" spans="1:12" s="148" customFormat="1" ht="18.649999999999999" customHeight="1">
      <c r="A353" s="149"/>
      <c r="B353" s="156" t="str">
        <f t="shared" si="13"/>
        <v>GB1 (10" x 10")</v>
      </c>
      <c r="C353" s="156"/>
      <c r="D353" s="150"/>
      <c r="E353" s="151"/>
      <c r="F353" s="151"/>
      <c r="G353" s="151"/>
      <c r="H353" s="151"/>
      <c r="I353" s="151"/>
      <c r="J353" s="151"/>
      <c r="K353" s="152"/>
      <c r="L353" s="147"/>
    </row>
    <row r="354" spans="1:12" s="148" customFormat="1" ht="18.649999999999999" customHeight="1">
      <c r="A354" s="149"/>
      <c r="B354" s="157" t="str">
        <f t="shared" si="13"/>
        <v>Y-Dir Line Bet; A&amp;B, 9' L</v>
      </c>
      <c r="C354" s="157"/>
      <c r="D354" s="150">
        <f t="shared" ref="D354:E358" si="14">D291</f>
        <v>1</v>
      </c>
      <c r="E354" s="151">
        <f t="shared" si="14"/>
        <v>8</v>
      </c>
      <c r="F354" s="151"/>
      <c r="G354" s="151">
        <f>G291*2+F291</f>
        <v>2.4900000000000002</v>
      </c>
      <c r="H354" s="151"/>
      <c r="I354" s="151">
        <f>D354*E354*G354</f>
        <v>19.920000000000002</v>
      </c>
      <c r="J354" s="151"/>
      <c r="K354" s="152" t="s">
        <v>21</v>
      </c>
      <c r="L354" s="147"/>
    </row>
    <row r="355" spans="1:12" s="148" customFormat="1" ht="18.649999999999999" customHeight="1">
      <c r="A355" s="149"/>
      <c r="B355" s="157" t="str">
        <f t="shared" si="13"/>
        <v>Y-Dir Line Bet; B&amp;C, 28' L</v>
      </c>
      <c r="C355" s="157"/>
      <c r="D355" s="150">
        <f t="shared" si="14"/>
        <v>1</v>
      </c>
      <c r="E355" s="151">
        <f t="shared" si="14"/>
        <v>25</v>
      </c>
      <c r="F355" s="151"/>
      <c r="G355" s="151">
        <f>G292*2+F292</f>
        <v>2.4900000000000002</v>
      </c>
      <c r="H355" s="151"/>
      <c r="I355" s="151">
        <f>D355*E355*G355</f>
        <v>62.25</v>
      </c>
      <c r="J355" s="151"/>
      <c r="K355" s="152" t="s">
        <v>21</v>
      </c>
      <c r="L355" s="147"/>
    </row>
    <row r="356" spans="1:12" s="148" customFormat="1" ht="18.649999999999999" customHeight="1">
      <c r="A356" s="149"/>
      <c r="B356" s="157" t="str">
        <f t="shared" si="13"/>
        <v>X-Dir Bet; 2&amp;3, 8' L</v>
      </c>
      <c r="C356" s="157"/>
      <c r="D356" s="150">
        <f t="shared" si="14"/>
        <v>1</v>
      </c>
      <c r="E356" s="151">
        <f t="shared" si="14"/>
        <v>7.5</v>
      </c>
      <c r="F356" s="151"/>
      <c r="G356" s="151">
        <f>G293*2+F293</f>
        <v>2.4900000000000002</v>
      </c>
      <c r="H356" s="151"/>
      <c r="I356" s="151">
        <f>D356*E356*G356</f>
        <v>18.68</v>
      </c>
      <c r="J356" s="151"/>
      <c r="K356" s="152" t="s">
        <v>21</v>
      </c>
      <c r="L356" s="147"/>
    </row>
    <row r="357" spans="1:12" s="148" customFormat="1" ht="18.649999999999999" customHeight="1">
      <c r="A357" s="149"/>
      <c r="B357" s="157" t="str">
        <f t="shared" si="13"/>
        <v>X-Dir Bet; 3&amp;4, 4' L</v>
      </c>
      <c r="C357" s="157"/>
      <c r="D357" s="150">
        <f t="shared" si="14"/>
        <v>1</v>
      </c>
      <c r="E357" s="151">
        <f t="shared" si="14"/>
        <v>3.5</v>
      </c>
      <c r="F357" s="151"/>
      <c r="G357" s="151">
        <f>G294*2+F294</f>
        <v>2.4900000000000002</v>
      </c>
      <c r="H357" s="151"/>
      <c r="I357" s="151">
        <f>D357*E357*G357</f>
        <v>8.7200000000000006</v>
      </c>
      <c r="J357" s="151"/>
      <c r="K357" s="152" t="s">
        <v>21</v>
      </c>
      <c r="L357" s="147"/>
    </row>
    <row r="358" spans="1:12" s="148" customFormat="1" ht="18.649999999999999" customHeight="1">
      <c r="A358" s="149"/>
      <c r="B358" s="157" t="str">
        <f t="shared" si="13"/>
        <v>X-Dir Bet; 4&amp;5, 9' 6" L</v>
      </c>
      <c r="C358" s="157"/>
      <c r="D358" s="150">
        <f t="shared" si="14"/>
        <v>1</v>
      </c>
      <c r="E358" s="151">
        <f t="shared" si="14"/>
        <v>7.67</v>
      </c>
      <c r="F358" s="151"/>
      <c r="G358" s="151">
        <f>G295*2+F295</f>
        <v>2.4900000000000002</v>
      </c>
      <c r="H358" s="151"/>
      <c r="I358" s="151">
        <f>D358*E358*G358</f>
        <v>19.100000000000001</v>
      </c>
      <c r="J358" s="151"/>
      <c r="K358" s="152" t="s">
        <v>21</v>
      </c>
      <c r="L358" s="147"/>
    </row>
    <row r="359" spans="1:12" s="148" customFormat="1" ht="18.649999999999999" customHeight="1">
      <c r="A359" s="149"/>
      <c r="B359" s="157"/>
      <c r="C359" s="157"/>
      <c r="D359" s="150"/>
      <c r="E359" s="151"/>
      <c r="F359" s="151"/>
      <c r="G359" s="151"/>
      <c r="H359" s="151"/>
      <c r="I359" s="151"/>
      <c r="J359" s="151"/>
      <c r="K359" s="152"/>
      <c r="L359" s="147"/>
    </row>
    <row r="360" spans="1:12" s="148" customFormat="1" ht="18.649999999999999" customHeight="1">
      <c r="A360" s="149"/>
      <c r="B360" s="159" t="str">
        <f>B297</f>
        <v>GB2 (12"x14")</v>
      </c>
      <c r="C360" s="159"/>
      <c r="D360" s="150"/>
      <c r="E360" s="151"/>
      <c r="F360" s="151"/>
      <c r="G360" s="151"/>
      <c r="H360" s="151"/>
      <c r="I360" s="151"/>
      <c r="J360" s="151"/>
      <c r="K360" s="152"/>
      <c r="L360" s="147"/>
    </row>
    <row r="361" spans="1:12" s="148" customFormat="1" ht="18.649999999999999" customHeight="1">
      <c r="A361" s="149"/>
      <c r="B361" s="157" t="str">
        <f>B298</f>
        <v>Line A, B &amp; C, 40' L</v>
      </c>
      <c r="C361" s="157"/>
      <c r="D361" s="150">
        <f t="shared" ref="D361:E363" si="15">D298</f>
        <v>3</v>
      </c>
      <c r="E361" s="151">
        <f t="shared" si="15"/>
        <v>36</v>
      </c>
      <c r="F361" s="151"/>
      <c r="G361" s="151">
        <f>F298+G298*2</f>
        <v>3.34</v>
      </c>
      <c r="H361" s="151"/>
      <c r="I361" s="151">
        <f>D361*E361*G361</f>
        <v>360.72</v>
      </c>
      <c r="J361" s="151"/>
      <c r="K361" s="152" t="s">
        <v>21</v>
      </c>
      <c r="L361" s="147"/>
    </row>
    <row r="362" spans="1:12" s="148" customFormat="1" ht="18.649999999999999" customHeight="1">
      <c r="A362" s="149"/>
      <c r="B362" s="157" t="str">
        <f>B299</f>
        <v>Line 1,2,3,5, 27' L</v>
      </c>
      <c r="C362" s="157"/>
      <c r="D362" s="150">
        <f t="shared" si="15"/>
        <v>4</v>
      </c>
      <c r="E362" s="151">
        <f t="shared" si="15"/>
        <v>24</v>
      </c>
      <c r="F362" s="151"/>
      <c r="G362" s="151">
        <f>F299+G299*2</f>
        <v>3.34</v>
      </c>
      <c r="H362" s="151"/>
      <c r="I362" s="151">
        <f>D362*E362*G362</f>
        <v>320.64</v>
      </c>
      <c r="J362" s="151"/>
      <c r="K362" s="152" t="s">
        <v>21</v>
      </c>
      <c r="L362" s="147"/>
    </row>
    <row r="363" spans="1:12" s="148" customFormat="1" ht="18.649999999999999" customHeight="1">
      <c r="A363" s="149"/>
      <c r="B363" s="157" t="str">
        <f>B300</f>
        <v>Line 4, A-B, 13.5' L</v>
      </c>
      <c r="C363" s="157"/>
      <c r="D363" s="150">
        <f t="shared" si="15"/>
        <v>1</v>
      </c>
      <c r="E363" s="151">
        <f t="shared" si="15"/>
        <v>12</v>
      </c>
      <c r="F363" s="151"/>
      <c r="G363" s="151">
        <f>F300+G300*2</f>
        <v>3.34</v>
      </c>
      <c r="H363" s="151"/>
      <c r="I363" s="151">
        <f>D363*E363*G363</f>
        <v>40.08</v>
      </c>
      <c r="J363" s="151"/>
      <c r="K363" s="152" t="s">
        <v>21</v>
      </c>
      <c r="L363" s="147"/>
    </row>
    <row r="364" spans="1:12" s="148" customFormat="1" ht="18.649999999999999" customHeight="1">
      <c r="A364" s="149"/>
      <c r="B364" s="159" t="str">
        <f>B302</f>
        <v>GB3 (12"x16")</v>
      </c>
      <c r="C364" s="157"/>
      <c r="D364" s="150"/>
      <c r="E364" s="151"/>
      <c r="F364" s="151"/>
      <c r="G364" s="151"/>
      <c r="H364" s="151"/>
      <c r="I364" s="151"/>
      <c r="J364" s="151"/>
      <c r="K364" s="152"/>
      <c r="L364" s="147"/>
    </row>
    <row r="365" spans="1:12" s="148" customFormat="1" ht="18.649999999999999" customHeight="1">
      <c r="A365" s="149"/>
      <c r="B365" s="157" t="str">
        <f>B303</f>
        <v>Line 4 (B-C),13.5' L</v>
      </c>
      <c r="C365" s="157"/>
      <c r="D365" s="150">
        <f>D303</f>
        <v>1</v>
      </c>
      <c r="E365" s="151">
        <f>E303</f>
        <v>12</v>
      </c>
      <c r="F365" s="151"/>
      <c r="G365" s="151">
        <f>F303+G303*2</f>
        <v>3.66</v>
      </c>
      <c r="H365" s="151"/>
      <c r="I365" s="151">
        <f>D365*E365*G365</f>
        <v>43.92</v>
      </c>
      <c r="J365" s="151"/>
      <c r="K365" s="152" t="s">
        <v>21</v>
      </c>
      <c r="L365" s="147"/>
    </row>
    <row r="366" spans="1:12" s="148" customFormat="1" ht="18.649999999999999" customHeight="1">
      <c r="A366" s="149"/>
      <c r="B366" s="149" t="s">
        <v>25</v>
      </c>
      <c r="C366" s="149"/>
      <c r="D366" s="150"/>
      <c r="E366" s="151"/>
      <c r="F366" s="151"/>
      <c r="G366" s="151"/>
      <c r="H366" s="151"/>
      <c r="I366" s="151"/>
      <c r="J366" s="151"/>
      <c r="K366" s="152"/>
      <c r="L366" s="147"/>
    </row>
    <row r="367" spans="1:12" s="148" customFormat="1" ht="18.649999999999999" customHeight="1">
      <c r="A367" s="149"/>
      <c r="B367" s="157" t="s">
        <v>74</v>
      </c>
      <c r="C367" s="157"/>
      <c r="D367" s="150">
        <v>1</v>
      </c>
      <c r="E367" s="151">
        <f>E119</f>
        <v>275.17</v>
      </c>
      <c r="F367" s="151">
        <v>0.75</v>
      </c>
      <c r="G367" s="151"/>
      <c r="H367" s="151">
        <f>D367*E367*F367</f>
        <v>206.38</v>
      </c>
      <c r="I367" s="151"/>
      <c r="J367" s="151"/>
      <c r="K367" s="152" t="s">
        <v>21</v>
      </c>
      <c r="L367" s="147"/>
    </row>
    <row r="368" spans="1:12" s="148" customFormat="1" ht="18.649999999999999" customHeight="1">
      <c r="A368" s="149"/>
      <c r="B368" s="157"/>
      <c r="C368" s="157"/>
      <c r="D368" s="150"/>
      <c r="E368" s="151"/>
      <c r="F368" s="151"/>
      <c r="G368" s="151"/>
      <c r="H368" s="151">
        <f>SUM(H354:H367)</f>
        <v>206.38</v>
      </c>
      <c r="I368" s="151">
        <f>SUM(I354:I367)</f>
        <v>894.03</v>
      </c>
      <c r="J368" s="151"/>
      <c r="K368" s="152" t="s">
        <v>21</v>
      </c>
      <c r="L368" s="147"/>
    </row>
    <row r="369" spans="1:12" s="148" customFormat="1" ht="18.649999999999999" customHeight="1">
      <c r="A369" s="149"/>
      <c r="B369" s="157"/>
      <c r="C369" s="157"/>
      <c r="D369" s="150"/>
      <c r="E369" s="151"/>
      <c r="F369" s="151"/>
      <c r="G369" s="151"/>
      <c r="H369" s="151"/>
      <c r="I369" s="173" t="s">
        <v>81</v>
      </c>
      <c r="J369" s="151">
        <f>I368-H368</f>
        <v>687.65</v>
      </c>
      <c r="K369" s="152" t="s">
        <v>21</v>
      </c>
      <c r="L369" s="147"/>
    </row>
    <row r="370" spans="1:12" s="148" customFormat="1" ht="18.649999999999999" customHeight="1">
      <c r="A370" s="149"/>
      <c r="B370" s="159"/>
      <c r="C370" s="159"/>
      <c r="D370" s="150"/>
      <c r="E370" s="151"/>
      <c r="F370" s="151"/>
      <c r="G370" s="151"/>
      <c r="H370" s="151"/>
      <c r="I370" s="151"/>
      <c r="J370" s="151"/>
      <c r="K370" s="152"/>
      <c r="L370" s="147"/>
    </row>
    <row r="371" spans="1:12" s="148" customFormat="1" ht="18.649999999999999" customHeight="1">
      <c r="A371" s="149"/>
      <c r="B371" s="159" t="str">
        <f t="shared" ref="B371:B376" si="16">B305</f>
        <v>1st Floor Level Beam</v>
      </c>
      <c r="C371" s="159"/>
      <c r="D371" s="150"/>
      <c r="E371" s="151"/>
      <c r="F371" s="151"/>
      <c r="G371" s="151"/>
      <c r="H371" s="151"/>
      <c r="I371" s="151"/>
      <c r="J371" s="151"/>
      <c r="K371" s="152"/>
      <c r="L371" s="147"/>
    </row>
    <row r="372" spans="1:12" s="148" customFormat="1" ht="18.649999999999999" customHeight="1">
      <c r="A372" s="149"/>
      <c r="B372" s="159" t="str">
        <f t="shared" si="16"/>
        <v>1FB1 (10" x 10")</v>
      </c>
      <c r="C372" s="159"/>
      <c r="D372" s="150"/>
      <c r="E372" s="151"/>
      <c r="F372" s="151"/>
      <c r="G372" s="151" t="s">
        <v>127</v>
      </c>
      <c r="H372" s="151"/>
      <c r="I372" s="151"/>
      <c r="J372" s="151"/>
      <c r="K372" s="152"/>
      <c r="L372" s="147"/>
    </row>
    <row r="373" spans="1:12" s="148" customFormat="1" ht="18.649999999999999" customHeight="1">
      <c r="A373" s="149"/>
      <c r="B373" s="157" t="str">
        <f t="shared" si="16"/>
        <v>Y-Dir Bet 3-4, 9' L</v>
      </c>
      <c r="C373" s="157"/>
      <c r="D373" s="150">
        <f t="shared" ref="D373:E376" si="17">D307</f>
        <v>1</v>
      </c>
      <c r="E373" s="151">
        <f t="shared" si="17"/>
        <v>8</v>
      </c>
      <c r="F373" s="151"/>
      <c r="G373" s="151">
        <f>F307+(G307-4/12)*2</f>
        <v>1.82</v>
      </c>
      <c r="H373" s="151"/>
      <c r="I373" s="151">
        <f>D373*E373*G373</f>
        <v>14.56</v>
      </c>
      <c r="J373" s="151"/>
      <c r="K373" s="152" t="s">
        <v>21</v>
      </c>
      <c r="L373" s="147"/>
    </row>
    <row r="374" spans="1:12" s="148" customFormat="1" ht="18.649999999999999" customHeight="1">
      <c r="A374" s="149"/>
      <c r="B374" s="157" t="str">
        <f t="shared" si="16"/>
        <v>Y-Dir Bet 4-5, 10' L</v>
      </c>
      <c r="C374" s="157"/>
      <c r="D374" s="150">
        <f t="shared" si="17"/>
        <v>2</v>
      </c>
      <c r="E374" s="151">
        <f t="shared" si="17"/>
        <v>8.5</v>
      </c>
      <c r="F374" s="151"/>
      <c r="G374" s="151">
        <f>F308+(G308-4/12)*2</f>
        <v>1.82</v>
      </c>
      <c r="H374" s="151"/>
      <c r="I374" s="151">
        <f>D374*E374*G374</f>
        <v>30.94</v>
      </c>
      <c r="J374" s="151"/>
      <c r="K374" s="152" t="s">
        <v>21</v>
      </c>
      <c r="L374" s="147"/>
    </row>
    <row r="375" spans="1:12" s="148" customFormat="1" ht="18.649999999999999" customHeight="1">
      <c r="A375" s="149"/>
      <c r="B375" s="157" t="str">
        <f t="shared" si="16"/>
        <v xml:space="preserve">X-Dir Bet; 3&amp;4, 4' L </v>
      </c>
      <c r="C375" s="157"/>
      <c r="D375" s="150">
        <f t="shared" si="17"/>
        <v>1</v>
      </c>
      <c r="E375" s="151">
        <f t="shared" si="17"/>
        <v>3.5</v>
      </c>
      <c r="F375" s="151"/>
      <c r="G375" s="151">
        <f>F309+(G309-4/12)*2</f>
        <v>1.82</v>
      </c>
      <c r="H375" s="151"/>
      <c r="I375" s="151">
        <f>D375*E375*G375</f>
        <v>6.37</v>
      </c>
      <c r="J375" s="151"/>
      <c r="K375" s="152" t="s">
        <v>21</v>
      </c>
      <c r="L375" s="147"/>
    </row>
    <row r="376" spans="1:12" s="148" customFormat="1" ht="18.649999999999999" customHeight="1">
      <c r="A376" s="149"/>
      <c r="B376" s="157" t="str">
        <f t="shared" si="16"/>
        <v xml:space="preserve">X-Dir Bet; 4&amp;5, 14' L </v>
      </c>
      <c r="C376" s="157"/>
      <c r="D376" s="150">
        <f t="shared" si="17"/>
        <v>1</v>
      </c>
      <c r="E376" s="151">
        <f t="shared" si="17"/>
        <v>13.75</v>
      </c>
      <c r="F376" s="151"/>
      <c r="G376" s="151">
        <f>F310+(G310-4/12)*2</f>
        <v>1.82</v>
      </c>
      <c r="H376" s="151"/>
      <c r="I376" s="151">
        <f>D376*E376*G376</f>
        <v>25.03</v>
      </c>
      <c r="J376" s="151"/>
      <c r="K376" s="152" t="s">
        <v>21</v>
      </c>
      <c r="L376" s="147"/>
    </row>
    <row r="377" spans="1:12" s="148" customFormat="1" ht="18.649999999999999" customHeight="1">
      <c r="A377" s="149"/>
      <c r="B377" s="159" t="str">
        <f>B312</f>
        <v>1FB2 (12"x14")</v>
      </c>
      <c r="C377" s="159"/>
      <c r="D377" s="150"/>
      <c r="E377" s="151"/>
      <c r="F377" s="151"/>
      <c r="G377" s="151"/>
      <c r="H377" s="151"/>
      <c r="I377" s="151"/>
      <c r="J377" s="151"/>
      <c r="K377" s="152"/>
      <c r="L377" s="147"/>
    </row>
    <row r="378" spans="1:12" s="148" customFormat="1" ht="18.649999999999999" customHeight="1">
      <c r="A378" s="149"/>
      <c r="B378" s="157" t="str">
        <f>B313</f>
        <v>Line 1', 1, 2, 30' L</v>
      </c>
      <c r="C378" s="157"/>
      <c r="D378" s="150">
        <f t="shared" ref="D378:E381" si="18">D313</f>
        <v>3</v>
      </c>
      <c r="E378" s="151">
        <f t="shared" si="18"/>
        <v>27</v>
      </c>
      <c r="F378" s="151"/>
      <c r="G378" s="151">
        <f>F313+(G313-4/12)*2</f>
        <v>2.67</v>
      </c>
      <c r="H378" s="151"/>
      <c r="I378" s="151">
        <f t="shared" ref="I378:I390" si="19">D378*E378*G378</f>
        <v>216.27</v>
      </c>
      <c r="J378" s="151"/>
      <c r="K378" s="152" t="s">
        <v>21</v>
      </c>
      <c r="L378" s="147"/>
    </row>
    <row r="379" spans="1:12" s="148" customFormat="1" ht="18.649999999999999" customHeight="1">
      <c r="A379" s="149"/>
      <c r="B379" s="157" t="str">
        <f>B314</f>
        <v>Line 3,4,5, 27' L</v>
      </c>
      <c r="C379" s="157"/>
      <c r="D379" s="150">
        <f t="shared" si="18"/>
        <v>3</v>
      </c>
      <c r="E379" s="151">
        <f t="shared" si="18"/>
        <v>24</v>
      </c>
      <c r="F379" s="151"/>
      <c r="G379" s="151">
        <f>F314+(G314-4/12)*2</f>
        <v>2.67</v>
      </c>
      <c r="H379" s="151"/>
      <c r="I379" s="151">
        <f t="shared" si="19"/>
        <v>192.24</v>
      </c>
      <c r="J379" s="151"/>
      <c r="K379" s="152" t="s">
        <v>21</v>
      </c>
      <c r="L379" s="147"/>
    </row>
    <row r="380" spans="1:12" s="148" customFormat="1" ht="18.649999999999999" customHeight="1">
      <c r="A380" s="149"/>
      <c r="B380" s="157" t="str">
        <f>B315</f>
        <v xml:space="preserve">Line, A', 1'-2, 15' L </v>
      </c>
      <c r="C380" s="157"/>
      <c r="D380" s="150">
        <f t="shared" si="18"/>
        <v>1</v>
      </c>
      <c r="E380" s="151">
        <f t="shared" si="18"/>
        <v>15</v>
      </c>
      <c r="F380" s="151"/>
      <c r="G380" s="151">
        <f>F315+(G315-4/12)*2</f>
        <v>2.67</v>
      </c>
      <c r="H380" s="151"/>
      <c r="I380" s="151">
        <f t="shared" si="19"/>
        <v>40.049999999999997</v>
      </c>
      <c r="J380" s="151"/>
      <c r="K380" s="152" t="s">
        <v>21</v>
      </c>
      <c r="L380" s="147"/>
    </row>
    <row r="381" spans="1:12" s="148" customFormat="1" ht="18.649999999999999" customHeight="1">
      <c r="A381" s="149"/>
      <c r="B381" s="157" t="str">
        <f>B316</f>
        <v>Line A, B , C, 43' L</v>
      </c>
      <c r="C381" s="157"/>
      <c r="D381" s="150">
        <f t="shared" si="18"/>
        <v>3</v>
      </c>
      <c r="E381" s="151">
        <f t="shared" si="18"/>
        <v>38</v>
      </c>
      <c r="F381" s="151"/>
      <c r="G381" s="151">
        <f>F316+(G316-4/12)*2</f>
        <v>2.67</v>
      </c>
      <c r="H381" s="151"/>
      <c r="I381" s="151">
        <f t="shared" si="19"/>
        <v>304.38</v>
      </c>
      <c r="J381" s="151"/>
      <c r="K381" s="152" t="s">
        <v>21</v>
      </c>
      <c r="L381" s="147"/>
    </row>
    <row r="382" spans="1:12" s="148" customFormat="1" ht="18.649999999999999" customHeight="1">
      <c r="A382" s="149"/>
      <c r="B382" s="157"/>
      <c r="C382" s="157"/>
      <c r="D382" s="150"/>
      <c r="E382" s="151"/>
      <c r="F382" s="151"/>
      <c r="G382" s="151"/>
      <c r="H382" s="151">
        <f>SUM(H373:H381)</f>
        <v>0</v>
      </c>
      <c r="I382" s="151">
        <f>SUM(I373:I381)</f>
        <v>829.84</v>
      </c>
      <c r="J382" s="151"/>
      <c r="K382" s="152" t="s">
        <v>21</v>
      </c>
      <c r="L382" s="147"/>
    </row>
    <row r="383" spans="1:12" s="148" customFormat="1" ht="18.649999999999999" customHeight="1">
      <c r="A383" s="149"/>
      <c r="B383" s="157"/>
      <c r="C383" s="157"/>
      <c r="D383" s="150"/>
      <c r="E383" s="151"/>
      <c r="F383" s="151"/>
      <c r="G383" s="151"/>
      <c r="H383" s="151"/>
      <c r="I383" s="173" t="s">
        <v>165</v>
      </c>
      <c r="J383" s="151">
        <f>I382-H382</f>
        <v>829.84</v>
      </c>
      <c r="K383" s="152" t="s">
        <v>21</v>
      </c>
      <c r="L383" s="147"/>
    </row>
    <row r="384" spans="1:12" s="148" customFormat="1" ht="18.649999999999999" customHeight="1">
      <c r="A384" s="149"/>
      <c r="B384" s="159" t="str">
        <f>B319</f>
        <v>2nd Floor Level Beam</v>
      </c>
      <c r="C384" s="157"/>
      <c r="D384" s="150"/>
      <c r="E384" s="151"/>
      <c r="F384" s="151"/>
      <c r="G384" s="151"/>
      <c r="H384" s="151"/>
      <c r="I384" s="151"/>
      <c r="J384" s="151"/>
      <c r="K384" s="152"/>
      <c r="L384" s="147"/>
    </row>
    <row r="385" spans="1:12" s="148" customFormat="1" ht="18.649999999999999" customHeight="1">
      <c r="A385" s="149"/>
      <c r="B385" s="159" t="str">
        <f>B320</f>
        <v>2FB1 (10" x 10")</v>
      </c>
      <c r="C385" s="157"/>
      <c r="D385" s="150"/>
      <c r="E385" s="151"/>
      <c r="F385" s="151"/>
      <c r="G385" s="151"/>
      <c r="H385" s="151"/>
      <c r="I385" s="151"/>
      <c r="J385" s="151"/>
      <c r="K385" s="152"/>
      <c r="L385" s="147"/>
    </row>
    <row r="386" spans="1:12" s="148" customFormat="1" ht="18.649999999999999" customHeight="1">
      <c r="A386" s="149"/>
      <c r="B386" s="157" t="str">
        <f>B321</f>
        <v>Y-Dir Bet 2-4, 18' L</v>
      </c>
      <c r="C386" s="157"/>
      <c r="D386" s="150">
        <f t="shared" ref="D386:E388" si="20">D321</f>
        <v>1</v>
      </c>
      <c r="E386" s="151">
        <f t="shared" si="20"/>
        <v>17</v>
      </c>
      <c r="F386" s="151"/>
      <c r="G386" s="151">
        <f>F321+(G321-4/12)*2</f>
        <v>1.82</v>
      </c>
      <c r="H386" s="151"/>
      <c r="I386" s="151">
        <f t="shared" si="19"/>
        <v>30.94</v>
      </c>
      <c r="J386" s="151"/>
      <c r="K386" s="152" t="s">
        <v>21</v>
      </c>
      <c r="L386" s="147"/>
    </row>
    <row r="387" spans="1:12" s="148" customFormat="1" ht="18.649999999999999" customHeight="1">
      <c r="A387" s="149"/>
      <c r="B387" s="157" t="str">
        <f>B322</f>
        <v>Y-Dir Bet 4-5, 10' L</v>
      </c>
      <c r="C387" s="157"/>
      <c r="D387" s="150">
        <f t="shared" si="20"/>
        <v>2</v>
      </c>
      <c r="E387" s="151">
        <f t="shared" si="20"/>
        <v>8.5</v>
      </c>
      <c r="F387" s="151"/>
      <c r="G387" s="151">
        <f>F322+(G322-4/12)*2</f>
        <v>1.82</v>
      </c>
      <c r="H387" s="151"/>
      <c r="I387" s="151">
        <f>D387*E387*G387</f>
        <v>30.94</v>
      </c>
      <c r="J387" s="151"/>
      <c r="K387" s="152" t="s">
        <v>21</v>
      </c>
      <c r="L387" s="147"/>
    </row>
    <row r="388" spans="1:12" s="148" customFormat="1" ht="18.649999999999999" customHeight="1">
      <c r="A388" s="149"/>
      <c r="B388" s="157" t="str">
        <f>B323</f>
        <v xml:space="preserve">X-Dir Bet; 4&amp;5, 14' L </v>
      </c>
      <c r="C388" s="157"/>
      <c r="D388" s="150">
        <f t="shared" si="20"/>
        <v>1</v>
      </c>
      <c r="E388" s="151">
        <f t="shared" si="20"/>
        <v>13.75</v>
      </c>
      <c r="F388" s="151"/>
      <c r="G388" s="151">
        <f>F323+(G323-4/12)*2</f>
        <v>1.82</v>
      </c>
      <c r="H388" s="151"/>
      <c r="I388" s="151">
        <f>D388*E388*G388</f>
        <v>25.03</v>
      </c>
      <c r="J388" s="151"/>
      <c r="K388" s="152" t="s">
        <v>21</v>
      </c>
      <c r="L388" s="147"/>
    </row>
    <row r="389" spans="1:12" s="148" customFormat="1" ht="18.649999999999999" customHeight="1">
      <c r="A389" s="149"/>
      <c r="B389" s="157" t="str">
        <f t="shared" ref="B389:B394" si="21">B325</f>
        <v>2FB2 (12"x14")</v>
      </c>
      <c r="C389" s="157"/>
      <c r="D389" s="150"/>
      <c r="E389" s="151"/>
      <c r="F389" s="151"/>
      <c r="G389" s="151"/>
      <c r="H389" s="151"/>
      <c r="I389" s="151"/>
      <c r="J389" s="151"/>
      <c r="K389" s="152"/>
      <c r="L389" s="147"/>
    </row>
    <row r="390" spans="1:12" s="148" customFormat="1" ht="18.649999999999999" customHeight="1">
      <c r="A390" s="149"/>
      <c r="B390" s="157" t="str">
        <f t="shared" si="21"/>
        <v>Line 1', 30' 0" L</v>
      </c>
      <c r="C390" s="157"/>
      <c r="D390" s="150">
        <f t="shared" ref="D390:E394" si="22">D326</f>
        <v>1</v>
      </c>
      <c r="E390" s="151">
        <f t="shared" si="22"/>
        <v>26</v>
      </c>
      <c r="F390" s="151"/>
      <c r="G390" s="151">
        <f>F326+(G326-4/12)*2</f>
        <v>2.67</v>
      </c>
      <c r="H390" s="151"/>
      <c r="I390" s="151">
        <f t="shared" si="19"/>
        <v>69.42</v>
      </c>
      <c r="J390" s="151"/>
      <c r="K390" s="152" t="s">
        <v>21</v>
      </c>
      <c r="L390" s="147"/>
    </row>
    <row r="391" spans="1:12" s="148" customFormat="1" ht="18.649999999999999" customHeight="1">
      <c r="A391" s="149"/>
      <c r="B391" s="157" t="str">
        <f t="shared" si="21"/>
        <v>Line 1, 2, 30' L</v>
      </c>
      <c r="C391" s="157"/>
      <c r="D391" s="150">
        <f t="shared" si="22"/>
        <v>2</v>
      </c>
      <c r="E391" s="151">
        <f t="shared" si="22"/>
        <v>27</v>
      </c>
      <c r="F391" s="151"/>
      <c r="G391" s="151">
        <f>F327+(G327-4/12)*2</f>
        <v>2.67</v>
      </c>
      <c r="H391" s="151"/>
      <c r="I391" s="151">
        <f>D391*E391*G391</f>
        <v>144.18</v>
      </c>
      <c r="J391" s="151"/>
      <c r="K391" s="152" t="s">
        <v>21</v>
      </c>
      <c r="L391" s="147"/>
    </row>
    <row r="392" spans="1:12" s="148" customFormat="1" ht="18.649999999999999" customHeight="1">
      <c r="A392" s="149"/>
      <c r="B392" s="157" t="str">
        <f t="shared" si="21"/>
        <v>Line 3,4,5, 27' L</v>
      </c>
      <c r="C392" s="157"/>
      <c r="D392" s="150">
        <f t="shared" si="22"/>
        <v>3</v>
      </c>
      <c r="E392" s="151">
        <f t="shared" si="22"/>
        <v>24</v>
      </c>
      <c r="F392" s="151"/>
      <c r="G392" s="151">
        <f>F328+(G328-4/12)*2</f>
        <v>2.67</v>
      </c>
      <c r="H392" s="151"/>
      <c r="I392" s="151">
        <f>D392*E392*G392</f>
        <v>192.24</v>
      </c>
      <c r="J392" s="151"/>
      <c r="K392" s="152" t="s">
        <v>21</v>
      </c>
      <c r="L392" s="147"/>
    </row>
    <row r="393" spans="1:12" s="148" customFormat="1" ht="18.649999999999999" customHeight="1">
      <c r="A393" s="149"/>
      <c r="B393" s="157" t="str">
        <f t="shared" si="21"/>
        <v xml:space="preserve">Line, A', 1'-2, 15' L </v>
      </c>
      <c r="C393" s="157"/>
      <c r="D393" s="150">
        <f t="shared" si="22"/>
        <v>1</v>
      </c>
      <c r="E393" s="151">
        <f t="shared" si="22"/>
        <v>15</v>
      </c>
      <c r="F393" s="151"/>
      <c r="G393" s="151">
        <f>F329+(G329-4/12)*2</f>
        <v>2.67</v>
      </c>
      <c r="H393" s="151"/>
      <c r="I393" s="151">
        <f>D393*E393*G393</f>
        <v>40.049999999999997</v>
      </c>
      <c r="J393" s="151"/>
      <c r="K393" s="152" t="s">
        <v>21</v>
      </c>
      <c r="L393" s="147"/>
    </row>
    <row r="394" spans="1:12" s="148" customFormat="1" ht="18.649999999999999" customHeight="1">
      <c r="A394" s="149"/>
      <c r="B394" s="157" t="str">
        <f t="shared" si="21"/>
        <v>Line A, B , C, 43' L</v>
      </c>
      <c r="C394" s="157"/>
      <c r="D394" s="150">
        <f t="shared" si="22"/>
        <v>3</v>
      </c>
      <c r="E394" s="151">
        <f t="shared" si="22"/>
        <v>38</v>
      </c>
      <c r="F394" s="151"/>
      <c r="G394" s="151">
        <f>F330+(G330-4/12)*2</f>
        <v>2.67</v>
      </c>
      <c r="H394" s="151"/>
      <c r="I394" s="151">
        <f>D394*E394*G394</f>
        <v>304.38</v>
      </c>
      <c r="J394" s="151"/>
      <c r="K394" s="152" t="s">
        <v>21</v>
      </c>
      <c r="L394" s="147"/>
    </row>
    <row r="395" spans="1:12" s="148" customFormat="1" ht="18.649999999999999" customHeight="1">
      <c r="A395" s="149"/>
      <c r="B395" s="157"/>
      <c r="C395" s="157"/>
      <c r="D395" s="150"/>
      <c r="E395" s="151"/>
      <c r="F395" s="151"/>
      <c r="G395" s="151"/>
      <c r="H395" s="151">
        <f>SUM(H386:H394)</f>
        <v>0</v>
      </c>
      <c r="I395" s="151">
        <f>SUM(I386:I394)</f>
        <v>837.18</v>
      </c>
      <c r="J395" s="151"/>
      <c r="K395" s="152" t="s">
        <v>21</v>
      </c>
      <c r="L395" s="147"/>
    </row>
    <row r="396" spans="1:12" s="148" customFormat="1" ht="18.649999999999999" customHeight="1">
      <c r="A396" s="149"/>
      <c r="B396" s="157"/>
      <c r="C396" s="157"/>
      <c r="D396" s="150"/>
      <c r="E396" s="151"/>
      <c r="F396" s="151"/>
      <c r="G396" s="151"/>
      <c r="H396" s="151"/>
      <c r="I396" s="173" t="s">
        <v>283</v>
      </c>
      <c r="J396" s="151">
        <f>I395-H395</f>
        <v>837.18</v>
      </c>
      <c r="K396" s="152" t="s">
        <v>21</v>
      </c>
      <c r="L396" s="147"/>
    </row>
    <row r="397" spans="1:12" s="148" customFormat="1" ht="18.649999999999999" customHeight="1">
      <c r="A397" s="149"/>
      <c r="B397" s="157"/>
      <c r="C397" s="157"/>
      <c r="D397" s="150"/>
      <c r="E397" s="151"/>
      <c r="F397" s="151"/>
      <c r="G397" s="151"/>
      <c r="H397" s="151"/>
      <c r="I397" s="151"/>
      <c r="J397" s="151"/>
      <c r="K397" s="152"/>
      <c r="L397" s="147"/>
    </row>
    <row r="398" spans="1:12" s="148" customFormat="1" ht="18.649999999999999" customHeight="1">
      <c r="A398" s="149"/>
      <c r="B398" s="159" t="str">
        <f>B333</f>
        <v>Roof Beam</v>
      </c>
      <c r="C398" s="159"/>
      <c r="D398" s="150"/>
      <c r="E398" s="151"/>
      <c r="F398" s="151"/>
      <c r="G398" s="151"/>
      <c r="H398" s="151"/>
      <c r="I398" s="151"/>
      <c r="J398" s="151"/>
      <c r="K398" s="152"/>
      <c r="L398" s="147"/>
    </row>
    <row r="399" spans="1:12" s="148" customFormat="1" ht="18.649999999999999" customHeight="1">
      <c r="A399" s="149"/>
      <c r="B399" s="159" t="str">
        <f>B334</f>
        <v>RB1 (10" x 10")</v>
      </c>
      <c r="C399" s="159"/>
      <c r="D399" s="150"/>
      <c r="E399" s="151"/>
      <c r="F399" s="151"/>
      <c r="G399" s="151"/>
      <c r="H399" s="151"/>
      <c r="I399" s="151"/>
      <c r="J399" s="151"/>
      <c r="K399" s="152"/>
      <c r="L399" s="147"/>
    </row>
    <row r="400" spans="1:12" s="148" customFormat="1" ht="18.649999999999999" customHeight="1">
      <c r="A400" s="149"/>
      <c r="B400" s="157" t="str">
        <f>B335</f>
        <v>Y-Dir Bet 2-4, 18' L</v>
      </c>
      <c r="C400" s="157"/>
      <c r="D400" s="150">
        <f t="shared" ref="D400:E402" si="23">D335</f>
        <v>1</v>
      </c>
      <c r="E400" s="151">
        <f t="shared" si="23"/>
        <v>17</v>
      </c>
      <c r="F400" s="151"/>
      <c r="G400" s="151">
        <f>F335+(G335-5/12)*2</f>
        <v>1.66</v>
      </c>
      <c r="H400" s="151"/>
      <c r="I400" s="151">
        <f>D400*E400*G400</f>
        <v>28.22</v>
      </c>
      <c r="J400" s="151"/>
      <c r="K400" s="152" t="s">
        <v>21</v>
      </c>
      <c r="L400" s="147"/>
    </row>
    <row r="401" spans="1:12" s="148" customFormat="1" ht="18.649999999999999" customHeight="1">
      <c r="A401" s="149"/>
      <c r="B401" s="157" t="str">
        <f>B336</f>
        <v>Y-Dir Bet 4-5, 10' L</v>
      </c>
      <c r="C401" s="157"/>
      <c r="D401" s="150">
        <f t="shared" si="23"/>
        <v>2</v>
      </c>
      <c r="E401" s="151">
        <f t="shared" si="23"/>
        <v>8.5</v>
      </c>
      <c r="F401" s="151"/>
      <c r="G401" s="151">
        <f>F336+(G336-5/12)*2</f>
        <v>1.66</v>
      </c>
      <c r="H401" s="151"/>
      <c r="I401" s="151">
        <f>D401*E401*G401</f>
        <v>28.22</v>
      </c>
      <c r="J401" s="151"/>
      <c r="K401" s="152" t="s">
        <v>21</v>
      </c>
      <c r="L401" s="147"/>
    </row>
    <row r="402" spans="1:12" s="148" customFormat="1" ht="18.649999999999999" customHeight="1">
      <c r="A402" s="149"/>
      <c r="B402" s="157" t="str">
        <f>B337</f>
        <v xml:space="preserve">X-Dir Bet; 4&amp;5, 14' L </v>
      </c>
      <c r="C402" s="157"/>
      <c r="D402" s="150">
        <f t="shared" si="23"/>
        <v>1</v>
      </c>
      <c r="E402" s="151">
        <f t="shared" si="23"/>
        <v>13.75</v>
      </c>
      <c r="F402" s="151"/>
      <c r="G402" s="151">
        <f>F337+(G337-5/12)*2</f>
        <v>1.66</v>
      </c>
      <c r="H402" s="151"/>
      <c r="I402" s="151">
        <f>D402*E402*G402</f>
        <v>22.83</v>
      </c>
      <c r="J402" s="151"/>
      <c r="K402" s="152" t="s">
        <v>21</v>
      </c>
      <c r="L402" s="147"/>
    </row>
    <row r="403" spans="1:12" s="148" customFormat="1" ht="18.649999999999999" customHeight="1">
      <c r="A403" s="149"/>
      <c r="B403" s="157"/>
      <c r="C403" s="157"/>
      <c r="D403" s="150"/>
      <c r="E403" s="151"/>
      <c r="F403" s="151"/>
      <c r="G403" s="151"/>
      <c r="H403" s="151"/>
      <c r="I403" s="151"/>
      <c r="J403" s="151"/>
      <c r="K403" s="152"/>
      <c r="L403" s="147"/>
    </row>
    <row r="404" spans="1:12" s="148" customFormat="1" ht="18.649999999999999" customHeight="1">
      <c r="A404" s="149"/>
      <c r="B404" s="159" t="str">
        <f t="shared" ref="B404:B410" si="24">B340</f>
        <v>RB2 (12"x14")</v>
      </c>
      <c r="C404" s="159"/>
      <c r="D404" s="150"/>
      <c r="E404" s="151"/>
      <c r="F404" s="151"/>
      <c r="G404" s="151"/>
      <c r="H404" s="151"/>
      <c r="I404" s="151"/>
      <c r="J404" s="151"/>
      <c r="K404" s="152"/>
      <c r="L404" s="147"/>
    </row>
    <row r="405" spans="1:12" s="148" customFormat="1" ht="18.649999999999999" customHeight="1">
      <c r="A405" s="149"/>
      <c r="B405" s="157" t="str">
        <f t="shared" si="24"/>
        <v>Line 2', 23' 2" L</v>
      </c>
      <c r="C405" s="157"/>
      <c r="D405" s="150">
        <f t="shared" ref="D405:E410" si="25">D341</f>
        <v>1</v>
      </c>
      <c r="E405" s="151">
        <f t="shared" si="25"/>
        <v>20.170000000000002</v>
      </c>
      <c r="F405" s="151"/>
      <c r="G405" s="151">
        <f>F341+(G341-5/12)*2</f>
        <v>2.5099999999999998</v>
      </c>
      <c r="H405" s="151"/>
      <c r="I405" s="151">
        <f>D405*E405*G405</f>
        <v>50.63</v>
      </c>
      <c r="J405" s="151"/>
      <c r="K405" s="152" t="s">
        <v>21</v>
      </c>
      <c r="L405" s="147"/>
    </row>
    <row r="406" spans="1:12" s="148" customFormat="1" ht="18.649999999999999" customHeight="1">
      <c r="A406" s="149"/>
      <c r="B406" s="157" t="str">
        <f t="shared" si="24"/>
        <v>Line 2,3,4,5, 27' L</v>
      </c>
      <c r="C406" s="157"/>
      <c r="D406" s="150">
        <f t="shared" si="25"/>
        <v>4</v>
      </c>
      <c r="E406" s="151">
        <f t="shared" si="25"/>
        <v>24</v>
      </c>
      <c r="F406" s="151"/>
      <c r="G406" s="151">
        <f>F342+(G342-5/12)*2</f>
        <v>2.5099999999999998</v>
      </c>
      <c r="H406" s="151"/>
      <c r="I406" s="151">
        <f>D406*E406*G406</f>
        <v>240.96</v>
      </c>
      <c r="J406" s="151"/>
      <c r="K406" s="152" t="s">
        <v>21</v>
      </c>
      <c r="L406" s="147"/>
    </row>
    <row r="407" spans="1:12" s="148" customFormat="1" ht="18.649999999999999" customHeight="1">
      <c r="A407" s="149"/>
      <c r="B407" s="157" t="str">
        <f t="shared" si="24"/>
        <v xml:space="preserve">Line A, (2-5) 28' L </v>
      </c>
      <c r="C407" s="157"/>
      <c r="D407" s="150">
        <f t="shared" si="25"/>
        <v>1</v>
      </c>
      <c r="E407" s="151">
        <f t="shared" si="25"/>
        <v>25</v>
      </c>
      <c r="F407" s="151"/>
      <c r="G407" s="151">
        <f>F343+(G343-5/12)*2</f>
        <v>2.5099999999999998</v>
      </c>
      <c r="H407" s="151"/>
      <c r="I407" s="151">
        <f>D407*E407*G407</f>
        <v>62.75</v>
      </c>
      <c r="J407" s="151"/>
      <c r="K407" s="152" t="s">
        <v>21</v>
      </c>
      <c r="L407" s="147"/>
    </row>
    <row r="408" spans="1:12" s="148" customFormat="1" ht="18.649999999999999" customHeight="1">
      <c r="A408" s="149"/>
      <c r="B408" s="157" t="str">
        <f t="shared" si="24"/>
        <v>Line A', (2'-3) 13' 6" L</v>
      </c>
      <c r="C408" s="157"/>
      <c r="D408" s="150">
        <f t="shared" si="25"/>
        <v>1</v>
      </c>
      <c r="E408" s="151">
        <f t="shared" si="25"/>
        <v>13</v>
      </c>
      <c r="F408" s="151"/>
      <c r="G408" s="151">
        <f>F344+(G344-5/12)*2</f>
        <v>2.5099999999999998</v>
      </c>
      <c r="H408" s="151"/>
      <c r="I408" s="151">
        <f>D408*E408*G408</f>
        <v>32.630000000000003</v>
      </c>
      <c r="J408" s="151"/>
      <c r="K408" s="152" t="s">
        <v>21</v>
      </c>
      <c r="L408" s="147"/>
    </row>
    <row r="409" spans="1:12" s="148" customFormat="1" ht="18.649999999999999" customHeight="1">
      <c r="A409" s="149"/>
      <c r="B409" s="157" t="str">
        <f t="shared" si="24"/>
        <v>Line B&amp;C, (2'-5), 32' 6" L</v>
      </c>
      <c r="C409" s="157"/>
      <c r="D409" s="150">
        <f t="shared" si="25"/>
        <v>2</v>
      </c>
      <c r="E409" s="151">
        <f t="shared" si="25"/>
        <v>32.5</v>
      </c>
      <c r="F409" s="151"/>
      <c r="G409" s="151">
        <f>F345+(G345-5/12)*2</f>
        <v>2.5099999999999998</v>
      </c>
      <c r="H409" s="151"/>
      <c r="I409" s="151">
        <f>D409*E409*G409</f>
        <v>163.15</v>
      </c>
      <c r="J409" s="151"/>
      <c r="K409" s="152" t="s">
        <v>21</v>
      </c>
      <c r="L409" s="147"/>
    </row>
    <row r="410" spans="1:12" s="148" customFormat="1" ht="18.649999999999999" customHeight="1">
      <c r="A410" s="149"/>
      <c r="B410" s="157" t="str">
        <f t="shared" si="24"/>
        <v>Total Length of RB (12" x 14")</v>
      </c>
      <c r="C410" s="157"/>
      <c r="D410" s="150" t="str">
        <f t="shared" si="25"/>
        <v>Ft</v>
      </c>
      <c r="E410" s="151">
        <f t="shared" si="25"/>
        <v>219.17</v>
      </c>
      <c r="F410" s="151"/>
      <c r="G410" s="151"/>
      <c r="H410" s="151"/>
      <c r="I410" s="151"/>
      <c r="J410" s="151"/>
      <c r="K410" s="152"/>
      <c r="L410" s="147"/>
    </row>
    <row r="411" spans="1:12" s="148" customFormat="1" ht="18.649999999999999" customHeight="1">
      <c r="A411" s="149"/>
      <c r="B411" s="157"/>
      <c r="C411" s="157"/>
      <c r="D411" s="150"/>
      <c r="E411" s="151"/>
      <c r="F411" s="151"/>
      <c r="G411" s="151"/>
      <c r="H411" s="151">
        <f>SUM(H400:H410)</f>
        <v>0</v>
      </c>
      <c r="I411" s="151">
        <f>SUM(I400:I410)</f>
        <v>629.39</v>
      </c>
      <c r="J411" s="151"/>
      <c r="K411" s="152"/>
      <c r="L411" s="147"/>
    </row>
    <row r="412" spans="1:12" s="148" customFormat="1" ht="18.649999999999999" customHeight="1">
      <c r="A412" s="149"/>
      <c r="B412" s="157"/>
      <c r="C412" s="157"/>
      <c r="D412" s="150"/>
      <c r="E412" s="151"/>
      <c r="F412" s="151"/>
      <c r="G412" s="151"/>
      <c r="H412" s="151"/>
      <c r="I412" s="173" t="s">
        <v>84</v>
      </c>
      <c r="J412" s="151">
        <f>I411-H411</f>
        <v>629.39</v>
      </c>
      <c r="K412" s="152" t="s">
        <v>21</v>
      </c>
      <c r="L412" s="147"/>
    </row>
    <row r="413" spans="1:12" s="148" customFormat="1" ht="18.649999999999999" customHeight="1">
      <c r="A413" s="149"/>
      <c r="B413" s="157"/>
      <c r="C413" s="157"/>
      <c r="D413" s="150"/>
      <c r="E413" s="151"/>
      <c r="F413" s="151"/>
      <c r="G413" s="151"/>
      <c r="H413" s="151"/>
      <c r="I413" s="151"/>
      <c r="J413" s="151"/>
      <c r="K413" s="152"/>
      <c r="L413" s="147"/>
    </row>
    <row r="414" spans="1:12" s="148" customFormat="1" ht="18.649999999999999" customHeight="1">
      <c r="A414" s="149"/>
      <c r="B414" s="157"/>
      <c r="C414" s="157"/>
      <c r="D414" s="150"/>
      <c r="E414" s="151"/>
      <c r="F414" s="151"/>
      <c r="G414" s="151"/>
      <c r="H414" s="151"/>
      <c r="I414" s="173" t="s">
        <v>82</v>
      </c>
      <c r="J414" s="155">
        <f>SUM(J354:J413)</f>
        <v>2984.06</v>
      </c>
      <c r="K414" s="158" t="s">
        <v>21</v>
      </c>
      <c r="L414" s="147"/>
    </row>
    <row r="415" spans="1:12" s="148" customFormat="1" ht="18.649999999999999" customHeight="1">
      <c r="A415" s="149"/>
      <c r="B415" s="149"/>
      <c r="C415" s="149"/>
      <c r="D415" s="150"/>
      <c r="E415" s="151"/>
      <c r="F415" s="151"/>
      <c r="G415" s="151"/>
      <c r="H415" s="151"/>
      <c r="I415" s="151"/>
      <c r="J415" s="270">
        <f>J414/100</f>
        <v>29.84</v>
      </c>
      <c r="K415" s="271" t="s">
        <v>12</v>
      </c>
      <c r="L415" s="147"/>
    </row>
    <row r="416" spans="1:12" s="148" customFormat="1" ht="18.649999999999999" customHeight="1">
      <c r="A416" s="174"/>
      <c r="B416" s="174"/>
      <c r="C416" s="174"/>
      <c r="D416" s="175"/>
      <c r="E416" s="176"/>
      <c r="F416" s="176"/>
      <c r="G416" s="176"/>
      <c r="H416" s="176"/>
      <c r="I416" s="176"/>
      <c r="J416" s="176"/>
      <c r="K416" s="177"/>
      <c r="L416" s="147"/>
    </row>
    <row r="417" spans="1:12" s="148" customFormat="1" ht="18.649999999999999" customHeight="1">
      <c r="A417" s="140"/>
      <c r="B417" s="235" t="s">
        <v>48</v>
      </c>
      <c r="C417" s="235"/>
      <c r="D417" s="236"/>
      <c r="E417" s="237"/>
      <c r="F417" s="237"/>
      <c r="G417" s="237"/>
      <c r="H417" s="237"/>
      <c r="I417" s="237"/>
      <c r="J417" s="237"/>
      <c r="K417" s="238"/>
      <c r="L417" s="147"/>
    </row>
    <row r="418" spans="1:12" s="148" customFormat="1" ht="18.649999999999999" customHeight="1">
      <c r="A418" s="149"/>
      <c r="B418" s="239" t="str">
        <f>B289</f>
        <v>Plinth Level Beam</v>
      </c>
      <c r="C418" s="239"/>
      <c r="D418" s="240"/>
      <c r="E418" s="241"/>
      <c r="F418" s="241"/>
      <c r="G418" s="242"/>
      <c r="H418" s="241" t="s">
        <v>77</v>
      </c>
      <c r="I418" s="241" t="s">
        <v>154</v>
      </c>
      <c r="J418" s="243"/>
      <c r="K418" s="244"/>
      <c r="L418" s="147"/>
    </row>
    <row r="419" spans="1:12" s="148" customFormat="1" ht="18.649999999999999" customHeight="1">
      <c r="A419" s="149"/>
      <c r="B419" s="229" t="str">
        <f>B290</f>
        <v>GB1 (10" x 10")</v>
      </c>
      <c r="C419" s="239"/>
      <c r="D419" s="240"/>
      <c r="E419" s="241"/>
      <c r="F419" s="241"/>
      <c r="G419" s="241"/>
      <c r="H419" s="241"/>
      <c r="I419" s="241"/>
      <c r="J419" s="241"/>
      <c r="K419" s="244"/>
      <c r="L419" s="147"/>
    </row>
    <row r="420" spans="1:12" s="148" customFormat="1" ht="18.649999999999999" customHeight="1">
      <c r="A420" s="149"/>
      <c r="B420" s="229" t="str">
        <f>B291</f>
        <v>Y-Dir Line Bet; A&amp;B, 9' L</v>
      </c>
      <c r="C420" s="229">
        <v>9</v>
      </c>
      <c r="D420" s="226">
        <f>D291</f>
        <v>1</v>
      </c>
      <c r="E420" s="227">
        <f>E291</f>
        <v>8</v>
      </c>
      <c r="F420" s="227">
        <f>F291</f>
        <v>0.83</v>
      </c>
      <c r="G420" s="227">
        <f>G291</f>
        <v>0.83</v>
      </c>
      <c r="H420" s="151"/>
      <c r="I420" s="151"/>
      <c r="J420" s="151"/>
      <c r="K420" s="152"/>
      <c r="L420" s="147"/>
    </row>
    <row r="421" spans="1:12" s="148" customFormat="1" ht="18.649999999999999" customHeight="1">
      <c r="A421" s="149"/>
      <c r="B421" s="157" t="s">
        <v>128</v>
      </c>
      <c r="C421" s="157"/>
      <c r="D421" s="150">
        <f>D420*3</f>
        <v>3</v>
      </c>
      <c r="E421" s="151">
        <f>C420-0.25+(G420-0.25)*2</f>
        <v>9.91</v>
      </c>
      <c r="F421" s="151"/>
      <c r="G421" s="151"/>
      <c r="H421" s="154">
        <f>E421*D421</f>
        <v>29.7</v>
      </c>
      <c r="I421" s="151"/>
      <c r="J421" s="151"/>
      <c r="K421" s="152"/>
      <c r="L421" s="147"/>
    </row>
    <row r="422" spans="1:12" s="148" customFormat="1" ht="18.649999999999999" customHeight="1">
      <c r="A422" s="149"/>
      <c r="B422" s="157" t="s">
        <v>51</v>
      </c>
      <c r="C422" s="157"/>
      <c r="D422" s="150">
        <f>ROUNDDOWN(E421/40,0)*D421</f>
        <v>0</v>
      </c>
      <c r="E422" s="151">
        <f>40*16/1000*3.281</f>
        <v>2.1</v>
      </c>
      <c r="F422" s="151"/>
      <c r="G422" s="151"/>
      <c r="H422" s="154">
        <f>E422*D422</f>
        <v>0</v>
      </c>
      <c r="I422" s="151"/>
      <c r="J422" s="151"/>
      <c r="K422" s="152"/>
      <c r="L422" s="147"/>
    </row>
    <row r="423" spans="1:12" s="148" customFormat="1" ht="18.649999999999999" customHeight="1">
      <c r="A423" s="149"/>
      <c r="B423" s="157" t="s">
        <v>129</v>
      </c>
      <c r="C423" s="157"/>
      <c r="D423" s="150">
        <f>D420*3</f>
        <v>3</v>
      </c>
      <c r="E423" s="151">
        <f>C420-0.25+18*16/1000*3.281</f>
        <v>9.69</v>
      </c>
      <c r="F423" s="151"/>
      <c r="G423" s="151"/>
      <c r="H423" s="154">
        <f>E423*D423</f>
        <v>29.1</v>
      </c>
      <c r="I423" s="151"/>
      <c r="J423" s="151"/>
      <c r="K423" s="152"/>
      <c r="L423" s="160"/>
    </row>
    <row r="424" spans="1:12" s="148" customFormat="1" ht="18.649999999999999" customHeight="1">
      <c r="A424" s="149"/>
      <c r="B424" s="157" t="s">
        <v>51</v>
      </c>
      <c r="C424" s="157"/>
      <c r="D424" s="150">
        <f>ROUNDDOWN(E423/40,0)*D423</f>
        <v>0</v>
      </c>
      <c r="E424" s="151">
        <f>40*16/1000*3.281</f>
        <v>2.1</v>
      </c>
      <c r="F424" s="151"/>
      <c r="G424" s="151"/>
      <c r="H424" s="154">
        <f>E424*D424</f>
        <v>0</v>
      </c>
      <c r="I424" s="151"/>
      <c r="J424" s="151"/>
      <c r="K424" s="152"/>
      <c r="L424" s="160"/>
    </row>
    <row r="425" spans="1:12" s="148" customFormat="1" ht="18.649999999999999" customHeight="1">
      <c r="A425" s="149"/>
      <c r="B425" s="157" t="s">
        <v>284</v>
      </c>
      <c r="C425" s="234">
        <f>2*G420</f>
        <v>1.66</v>
      </c>
      <c r="D425" s="150">
        <f>D420*ROUND(E420/0.42,0)</f>
        <v>19</v>
      </c>
      <c r="E425" s="151">
        <f>ROUND((F420-0.25+G420-0.25)*2+24*10/1000*3.281,2)</f>
        <v>3.11</v>
      </c>
      <c r="F425" s="151"/>
      <c r="G425" s="151"/>
      <c r="H425" s="151"/>
      <c r="I425" s="151">
        <f>D425*E425</f>
        <v>59.09</v>
      </c>
      <c r="J425" s="151"/>
      <c r="K425" s="152"/>
      <c r="L425" s="160"/>
    </row>
    <row r="426" spans="1:12" s="148" customFormat="1" ht="18.649999999999999" customHeight="1">
      <c r="A426" s="149"/>
      <c r="B426" s="157"/>
      <c r="C426" s="157"/>
      <c r="D426" s="150"/>
      <c r="E426" s="151"/>
      <c r="F426" s="151"/>
      <c r="G426" s="151"/>
      <c r="H426" s="151"/>
      <c r="I426" s="151"/>
      <c r="J426" s="151"/>
      <c r="K426" s="152"/>
      <c r="L426" s="160"/>
    </row>
    <row r="427" spans="1:12" s="148" customFormat="1" ht="18.649999999999999" customHeight="1">
      <c r="A427" s="149"/>
      <c r="B427" s="245" t="str">
        <f>B292</f>
        <v>Y-Dir Line Bet; B&amp;C, 28' L</v>
      </c>
      <c r="C427" s="245">
        <v>28</v>
      </c>
      <c r="D427" s="226">
        <f>D292</f>
        <v>1</v>
      </c>
      <c r="E427" s="227">
        <f>E292</f>
        <v>25</v>
      </c>
      <c r="F427" s="227">
        <f>F292</f>
        <v>0.83</v>
      </c>
      <c r="G427" s="227">
        <f>G292</f>
        <v>0.83</v>
      </c>
      <c r="H427" s="151"/>
      <c r="I427" s="151"/>
      <c r="J427" s="151"/>
      <c r="K427" s="152"/>
      <c r="L427" s="160"/>
    </row>
    <row r="428" spans="1:12" s="148" customFormat="1" ht="18.649999999999999" customHeight="1">
      <c r="A428" s="149"/>
      <c r="B428" s="157" t="s">
        <v>128</v>
      </c>
      <c r="C428" s="157"/>
      <c r="D428" s="150">
        <f>D427*3</f>
        <v>3</v>
      </c>
      <c r="E428" s="151">
        <f>C427-0.25+(G427-0.25)*2</f>
        <v>28.91</v>
      </c>
      <c r="F428" s="151"/>
      <c r="G428" s="151"/>
      <c r="H428" s="154">
        <f>E428*D428</f>
        <v>86.7</v>
      </c>
      <c r="I428" s="151"/>
      <c r="J428" s="151"/>
      <c r="K428" s="152"/>
      <c r="L428" s="147"/>
    </row>
    <row r="429" spans="1:12" s="148" customFormat="1" ht="18.649999999999999" customHeight="1">
      <c r="A429" s="149"/>
      <c r="B429" s="157" t="s">
        <v>51</v>
      </c>
      <c r="C429" s="157"/>
      <c r="D429" s="150">
        <f>ROUNDDOWN(E428/40,0)*D428</f>
        <v>0</v>
      </c>
      <c r="E429" s="151">
        <f>40*16/1000*3.281</f>
        <v>2.1</v>
      </c>
      <c r="F429" s="151"/>
      <c r="G429" s="151"/>
      <c r="H429" s="154">
        <f>E429*D429</f>
        <v>0</v>
      </c>
      <c r="I429" s="151"/>
      <c r="J429" s="151"/>
      <c r="K429" s="152"/>
      <c r="L429" s="147"/>
    </row>
    <row r="430" spans="1:12" s="148" customFormat="1" ht="18.649999999999999" customHeight="1">
      <c r="A430" s="149"/>
      <c r="B430" s="157" t="s">
        <v>129</v>
      </c>
      <c r="C430" s="157"/>
      <c r="D430" s="150">
        <f>D427*3</f>
        <v>3</v>
      </c>
      <c r="E430" s="151">
        <f>C427-0.25+18*16/1000*3.281</f>
        <v>28.69</v>
      </c>
      <c r="F430" s="151"/>
      <c r="G430" s="151"/>
      <c r="H430" s="154">
        <f>E430*D430</f>
        <v>86.1</v>
      </c>
      <c r="I430" s="151"/>
      <c r="J430" s="151"/>
      <c r="K430" s="152"/>
      <c r="L430" s="160"/>
    </row>
    <row r="431" spans="1:12" s="148" customFormat="1" ht="18.649999999999999" customHeight="1">
      <c r="A431" s="149"/>
      <c r="B431" s="157" t="s">
        <v>51</v>
      </c>
      <c r="C431" s="157"/>
      <c r="D431" s="150">
        <f>ROUNDDOWN(E430/40,0)*D430</f>
        <v>0</v>
      </c>
      <c r="E431" s="151">
        <f>40*16/1000*3.281</f>
        <v>2.1</v>
      </c>
      <c r="F431" s="151"/>
      <c r="G431" s="151"/>
      <c r="H431" s="154">
        <f>E431*D431</f>
        <v>0</v>
      </c>
      <c r="I431" s="151"/>
      <c r="J431" s="151"/>
      <c r="K431" s="152"/>
      <c r="L431" s="160"/>
    </row>
    <row r="432" spans="1:12" s="148" customFormat="1" ht="18.649999999999999" customHeight="1">
      <c r="A432" s="149"/>
      <c r="B432" s="157" t="s">
        <v>284</v>
      </c>
      <c r="C432" s="234">
        <f>2*G427</f>
        <v>1.66</v>
      </c>
      <c r="D432" s="150">
        <f>D427*ROUND(E427/0.42+1,0)</f>
        <v>61</v>
      </c>
      <c r="E432" s="151">
        <f>ROUND((F427-0.25+G427-0.25)*2+24*10/1000*3.281,2)</f>
        <v>3.11</v>
      </c>
      <c r="F432" s="151"/>
      <c r="G432" s="151"/>
      <c r="H432" s="151"/>
      <c r="I432" s="151">
        <f>D432*E432</f>
        <v>189.71</v>
      </c>
      <c r="J432" s="151"/>
      <c r="K432" s="152"/>
      <c r="L432" s="160"/>
    </row>
    <row r="433" spans="1:12" s="148" customFormat="1" ht="18.649999999999999" customHeight="1">
      <c r="A433" s="149"/>
      <c r="B433" s="157"/>
      <c r="C433" s="234"/>
      <c r="D433" s="150"/>
      <c r="E433" s="151"/>
      <c r="F433" s="151"/>
      <c r="G433" s="151"/>
      <c r="H433" s="151"/>
      <c r="I433" s="151"/>
      <c r="J433" s="151"/>
      <c r="K433" s="152"/>
      <c r="L433" s="160"/>
    </row>
    <row r="434" spans="1:12" s="148" customFormat="1" ht="18.649999999999999" customHeight="1">
      <c r="A434" s="149"/>
      <c r="B434" s="245" t="str">
        <f>B293</f>
        <v>X-Dir Bet; 2&amp;3, 8' L</v>
      </c>
      <c r="C434" s="245">
        <v>8</v>
      </c>
      <c r="D434" s="226">
        <f>D293</f>
        <v>1</v>
      </c>
      <c r="E434" s="227">
        <f>E293</f>
        <v>7.5</v>
      </c>
      <c r="F434" s="227">
        <f>F293</f>
        <v>0.83</v>
      </c>
      <c r="G434" s="227">
        <f>G293</f>
        <v>0.83</v>
      </c>
      <c r="H434" s="151"/>
      <c r="I434" s="151"/>
      <c r="J434" s="151"/>
      <c r="K434" s="152"/>
      <c r="L434" s="160"/>
    </row>
    <row r="435" spans="1:12" s="148" customFormat="1" ht="18.649999999999999" customHeight="1">
      <c r="A435" s="149"/>
      <c r="B435" s="157" t="s">
        <v>128</v>
      </c>
      <c r="C435" s="157"/>
      <c r="D435" s="150">
        <f>D434*3</f>
        <v>3</v>
      </c>
      <c r="E435" s="151">
        <f>C434-0.25+(G434-0.25)*2</f>
        <v>8.91</v>
      </c>
      <c r="F435" s="151"/>
      <c r="G435" s="151"/>
      <c r="H435" s="154">
        <f>E435*D435</f>
        <v>26.7</v>
      </c>
      <c r="I435" s="151"/>
      <c r="J435" s="151"/>
      <c r="K435" s="152"/>
      <c r="L435" s="160"/>
    </row>
    <row r="436" spans="1:12" s="148" customFormat="1" ht="18.649999999999999" customHeight="1">
      <c r="A436" s="149"/>
      <c r="B436" s="157" t="s">
        <v>51</v>
      </c>
      <c r="C436" s="157"/>
      <c r="D436" s="150">
        <f>ROUNDDOWN(E435/40,0)*D435</f>
        <v>0</v>
      </c>
      <c r="E436" s="151">
        <f>40*16/1000*3.281</f>
        <v>2.1</v>
      </c>
      <c r="F436" s="151"/>
      <c r="G436" s="151"/>
      <c r="H436" s="154">
        <f>E436*D436</f>
        <v>0</v>
      </c>
      <c r="I436" s="151"/>
      <c r="J436" s="151"/>
      <c r="K436" s="152"/>
      <c r="L436" s="160"/>
    </row>
    <row r="437" spans="1:12" s="148" customFormat="1" ht="18.649999999999999" customHeight="1">
      <c r="A437" s="149"/>
      <c r="B437" s="157" t="s">
        <v>129</v>
      </c>
      <c r="C437" s="157"/>
      <c r="D437" s="150">
        <f>D434*3</f>
        <v>3</v>
      </c>
      <c r="E437" s="151">
        <f>C434-0.25+18*16/1000*3.281</f>
        <v>8.69</v>
      </c>
      <c r="F437" s="151"/>
      <c r="G437" s="151"/>
      <c r="H437" s="154">
        <f>E437*D437</f>
        <v>26.1</v>
      </c>
      <c r="I437" s="151"/>
      <c r="J437" s="151"/>
      <c r="K437" s="152"/>
      <c r="L437" s="160"/>
    </row>
    <row r="438" spans="1:12" s="148" customFormat="1" ht="18.649999999999999" customHeight="1">
      <c r="A438" s="149"/>
      <c r="B438" s="157" t="s">
        <v>51</v>
      </c>
      <c r="C438" s="157"/>
      <c r="D438" s="150">
        <f>ROUNDDOWN(E437/40,0)*D437</f>
        <v>0</v>
      </c>
      <c r="E438" s="151">
        <f>40*16/1000*3.281</f>
        <v>2.1</v>
      </c>
      <c r="F438" s="151"/>
      <c r="G438" s="151"/>
      <c r="H438" s="154">
        <f>E438*D438</f>
        <v>0</v>
      </c>
      <c r="I438" s="151"/>
      <c r="J438" s="151"/>
      <c r="K438" s="152"/>
      <c r="L438" s="160"/>
    </row>
    <row r="439" spans="1:12" s="148" customFormat="1" ht="18.649999999999999" customHeight="1">
      <c r="A439" s="149"/>
      <c r="B439" s="157" t="s">
        <v>284</v>
      </c>
      <c r="C439" s="234">
        <f>2*G434</f>
        <v>1.66</v>
      </c>
      <c r="D439" s="150">
        <f>D434*ROUND(E434/0.42,0)</f>
        <v>18</v>
      </c>
      <c r="E439" s="151">
        <f>ROUND((F434-0.25+G434-0.25)*2+24*10/1000*3.281,2)</f>
        <v>3.11</v>
      </c>
      <c r="F439" s="151"/>
      <c r="G439" s="151"/>
      <c r="H439" s="151"/>
      <c r="I439" s="151">
        <f>D439*E439</f>
        <v>55.98</v>
      </c>
      <c r="J439" s="151"/>
      <c r="K439" s="152"/>
      <c r="L439" s="160"/>
    </row>
    <row r="440" spans="1:12" s="148" customFormat="1" ht="18.649999999999999" customHeight="1">
      <c r="A440" s="149"/>
      <c r="B440" s="245" t="str">
        <f>B294</f>
        <v>X-Dir Bet; 3&amp;4, 4' L</v>
      </c>
      <c r="C440" s="254">
        <v>4</v>
      </c>
      <c r="D440" s="226">
        <f>D294</f>
        <v>1</v>
      </c>
      <c r="E440" s="227">
        <f>E294</f>
        <v>3.5</v>
      </c>
      <c r="F440" s="227">
        <f>F294</f>
        <v>0.83</v>
      </c>
      <c r="G440" s="227">
        <f>G294</f>
        <v>0.83</v>
      </c>
      <c r="H440" s="151"/>
      <c r="I440" s="151"/>
      <c r="J440" s="151"/>
      <c r="K440" s="152"/>
      <c r="L440" s="160"/>
    </row>
    <row r="441" spans="1:12" s="148" customFormat="1" ht="18.649999999999999" customHeight="1">
      <c r="A441" s="149"/>
      <c r="B441" s="157" t="s">
        <v>128</v>
      </c>
      <c r="C441" s="157"/>
      <c r="D441" s="150">
        <f>D440*3</f>
        <v>3</v>
      </c>
      <c r="E441" s="151">
        <f>C440-0.25+(G440-0.25)*2</f>
        <v>4.91</v>
      </c>
      <c r="F441" s="151"/>
      <c r="G441" s="151"/>
      <c r="H441" s="154">
        <f>E441*D441</f>
        <v>14.7</v>
      </c>
      <c r="I441" s="151"/>
      <c r="J441" s="151"/>
      <c r="K441" s="152"/>
      <c r="L441" s="160"/>
    </row>
    <row r="442" spans="1:12" s="148" customFormat="1" ht="18.649999999999999" customHeight="1">
      <c r="A442" s="149"/>
      <c r="B442" s="157" t="s">
        <v>51</v>
      </c>
      <c r="C442" s="157"/>
      <c r="D442" s="150">
        <f>ROUNDDOWN(E441/40,0)*D441</f>
        <v>0</v>
      </c>
      <c r="E442" s="151">
        <f>40*16/1000*3.281</f>
        <v>2.1</v>
      </c>
      <c r="F442" s="151"/>
      <c r="G442" s="151"/>
      <c r="H442" s="154">
        <f>E442*D442</f>
        <v>0</v>
      </c>
      <c r="I442" s="151"/>
      <c r="J442" s="151"/>
      <c r="K442" s="152"/>
      <c r="L442" s="160"/>
    </row>
    <row r="443" spans="1:12" s="148" customFormat="1" ht="18.649999999999999" customHeight="1">
      <c r="A443" s="149"/>
      <c r="B443" s="157" t="s">
        <v>129</v>
      </c>
      <c r="C443" s="157"/>
      <c r="D443" s="150">
        <f>D440*3</f>
        <v>3</v>
      </c>
      <c r="E443" s="151">
        <f>C440-0.25+18*16/1000*3.281</f>
        <v>4.6900000000000004</v>
      </c>
      <c r="F443" s="151"/>
      <c r="G443" s="151"/>
      <c r="H443" s="154">
        <f>E443*D443</f>
        <v>14.1</v>
      </c>
      <c r="I443" s="151"/>
      <c r="J443" s="151"/>
      <c r="K443" s="152"/>
      <c r="L443" s="160"/>
    </row>
    <row r="444" spans="1:12" s="148" customFormat="1" ht="18.649999999999999" customHeight="1">
      <c r="A444" s="149"/>
      <c r="B444" s="157" t="s">
        <v>51</v>
      </c>
      <c r="C444" s="157"/>
      <c r="D444" s="150">
        <f>ROUNDDOWN(E443/40,0)*D443</f>
        <v>0</v>
      </c>
      <c r="E444" s="151">
        <f>40*16/1000*3.281</f>
        <v>2.1</v>
      </c>
      <c r="F444" s="151"/>
      <c r="G444" s="151"/>
      <c r="H444" s="154">
        <f>E444*D444</f>
        <v>0</v>
      </c>
      <c r="I444" s="151"/>
      <c r="J444" s="151"/>
      <c r="K444" s="152"/>
      <c r="L444" s="160"/>
    </row>
    <row r="445" spans="1:12" s="148" customFormat="1" ht="18.649999999999999" customHeight="1">
      <c r="A445" s="149"/>
      <c r="B445" s="157" t="s">
        <v>284</v>
      </c>
      <c r="C445" s="234">
        <f>2*G440</f>
        <v>1.66</v>
      </c>
      <c r="D445" s="150">
        <f>D440*ROUND(E440/0.42,0)</f>
        <v>8</v>
      </c>
      <c r="E445" s="151">
        <f>ROUND((F440-0.25+G440-0.25)*2+24*10/1000*3.281,2)</f>
        <v>3.11</v>
      </c>
      <c r="F445" s="151"/>
      <c r="G445" s="151"/>
      <c r="H445" s="151"/>
      <c r="I445" s="151">
        <f>D445*E445</f>
        <v>24.88</v>
      </c>
      <c r="J445" s="151"/>
      <c r="K445" s="152"/>
      <c r="L445" s="160"/>
    </row>
    <row r="446" spans="1:12" s="148" customFormat="1" ht="18.649999999999999" customHeight="1">
      <c r="A446" s="149"/>
      <c r="B446" s="245" t="str">
        <f>B295</f>
        <v>X-Dir Bet; 4&amp;5, 9' 6" L</v>
      </c>
      <c r="C446" s="254">
        <v>9.5</v>
      </c>
      <c r="D446" s="226">
        <f>D295</f>
        <v>1</v>
      </c>
      <c r="E446" s="227">
        <f>E295</f>
        <v>7.67</v>
      </c>
      <c r="F446" s="227">
        <f>F295</f>
        <v>0.83</v>
      </c>
      <c r="G446" s="227">
        <f>G295</f>
        <v>0.83</v>
      </c>
      <c r="H446" s="151"/>
      <c r="I446" s="151"/>
      <c r="J446" s="151"/>
      <c r="K446" s="152"/>
      <c r="L446" s="160"/>
    </row>
    <row r="447" spans="1:12" s="148" customFormat="1" ht="18.649999999999999" customHeight="1">
      <c r="A447" s="149"/>
      <c r="B447" s="157" t="s">
        <v>128</v>
      </c>
      <c r="C447" s="157"/>
      <c r="D447" s="150">
        <f>D446*3</f>
        <v>3</v>
      </c>
      <c r="E447" s="151">
        <f>C446-0.25+(G446-0.25)*2</f>
        <v>10.41</v>
      </c>
      <c r="F447" s="151"/>
      <c r="G447" s="151"/>
      <c r="H447" s="154">
        <f>E447*D447</f>
        <v>31.2</v>
      </c>
      <c r="I447" s="151"/>
      <c r="J447" s="151"/>
      <c r="K447" s="152"/>
      <c r="L447" s="160"/>
    </row>
    <row r="448" spans="1:12" s="148" customFormat="1" ht="18.649999999999999" customHeight="1">
      <c r="A448" s="149"/>
      <c r="B448" s="157" t="s">
        <v>51</v>
      </c>
      <c r="C448" s="157"/>
      <c r="D448" s="150">
        <f>ROUNDDOWN(E447/40,0)*D447</f>
        <v>0</v>
      </c>
      <c r="E448" s="151">
        <f>40*16/1000*3.281</f>
        <v>2.1</v>
      </c>
      <c r="F448" s="151"/>
      <c r="G448" s="151"/>
      <c r="H448" s="154">
        <f>E448*D448</f>
        <v>0</v>
      </c>
      <c r="I448" s="151"/>
      <c r="J448" s="151"/>
      <c r="K448" s="152"/>
      <c r="L448" s="160"/>
    </row>
    <row r="449" spans="1:12" s="148" customFormat="1" ht="18.649999999999999" customHeight="1">
      <c r="A449" s="149"/>
      <c r="B449" s="157" t="s">
        <v>129</v>
      </c>
      <c r="C449" s="157"/>
      <c r="D449" s="150">
        <f>D446*3</f>
        <v>3</v>
      </c>
      <c r="E449" s="151">
        <f>C446-0.25+18*16/1000*3.281</f>
        <v>10.19</v>
      </c>
      <c r="F449" s="151"/>
      <c r="G449" s="151"/>
      <c r="H449" s="154">
        <f>E449*D449</f>
        <v>30.6</v>
      </c>
      <c r="I449" s="151"/>
      <c r="J449" s="151"/>
      <c r="K449" s="152"/>
      <c r="L449" s="160"/>
    </row>
    <row r="450" spans="1:12" s="148" customFormat="1" ht="18.649999999999999" customHeight="1">
      <c r="A450" s="149"/>
      <c r="B450" s="157" t="s">
        <v>51</v>
      </c>
      <c r="C450" s="157"/>
      <c r="D450" s="150">
        <f>ROUNDDOWN(E449/40,0)*D449</f>
        <v>0</v>
      </c>
      <c r="E450" s="151">
        <f>40*16/1000*3.281</f>
        <v>2.1</v>
      </c>
      <c r="F450" s="151"/>
      <c r="G450" s="151"/>
      <c r="H450" s="154">
        <f>E450*D450</f>
        <v>0</v>
      </c>
      <c r="I450" s="151"/>
      <c r="J450" s="151"/>
      <c r="K450" s="152"/>
      <c r="L450" s="160"/>
    </row>
    <row r="451" spans="1:12" s="148" customFormat="1" ht="18.649999999999999" customHeight="1">
      <c r="A451" s="149"/>
      <c r="B451" s="157" t="s">
        <v>284</v>
      </c>
      <c r="C451" s="234">
        <f>2*G446</f>
        <v>1.66</v>
      </c>
      <c r="D451" s="150">
        <f>D446*ROUND(E446/0.42,0)</f>
        <v>18</v>
      </c>
      <c r="E451" s="151">
        <f>ROUND((F446-0.25+G446-0.25)*2+24*10/1000*3.281,2)</f>
        <v>3.11</v>
      </c>
      <c r="F451" s="151"/>
      <c r="G451" s="151"/>
      <c r="H451" s="151"/>
      <c r="I451" s="151">
        <f>D451*E451</f>
        <v>55.98</v>
      </c>
      <c r="J451" s="151"/>
      <c r="K451" s="152"/>
      <c r="L451" s="160"/>
    </row>
    <row r="452" spans="1:12" s="148" customFormat="1" ht="18.649999999999999" customHeight="1">
      <c r="A452" s="149"/>
      <c r="B452" s="157"/>
      <c r="C452" s="157"/>
      <c r="D452" s="150"/>
      <c r="E452" s="151"/>
      <c r="F452" s="151"/>
      <c r="G452" s="151"/>
      <c r="H452" s="151"/>
      <c r="I452" s="151"/>
      <c r="J452" s="151"/>
      <c r="K452" s="152"/>
      <c r="L452" s="160"/>
    </row>
    <row r="453" spans="1:12" s="148" customFormat="1" ht="18.649999999999999" customHeight="1">
      <c r="A453" s="149"/>
      <c r="B453" s="225" t="str">
        <f>B297</f>
        <v>GB2 (12"x14")</v>
      </c>
      <c r="C453" s="245"/>
      <c r="D453" s="226"/>
      <c r="E453" s="227"/>
      <c r="F453" s="227"/>
      <c r="G453" s="227"/>
      <c r="H453" s="151"/>
      <c r="I453" s="151"/>
      <c r="J453" s="151"/>
      <c r="K453" s="152"/>
      <c r="L453" s="160"/>
    </row>
    <row r="454" spans="1:12" s="148" customFormat="1" ht="18.649999999999999" customHeight="1">
      <c r="A454" s="149"/>
      <c r="B454" s="245" t="str">
        <f>B298</f>
        <v>Line A, B &amp; C, 40' L</v>
      </c>
      <c r="C454" s="245">
        <v>40</v>
      </c>
      <c r="D454" s="226">
        <f>D298</f>
        <v>3</v>
      </c>
      <c r="E454" s="227">
        <f>E298</f>
        <v>36</v>
      </c>
      <c r="F454" s="227">
        <f>F298</f>
        <v>1</v>
      </c>
      <c r="G454" s="227">
        <f>G298</f>
        <v>1.17</v>
      </c>
      <c r="H454" s="151"/>
      <c r="I454" s="151"/>
      <c r="J454" s="151"/>
      <c r="K454" s="152"/>
      <c r="L454" s="160"/>
    </row>
    <row r="455" spans="1:12" s="148" customFormat="1" ht="18.649999999999999" customHeight="1">
      <c r="A455" s="149"/>
      <c r="B455" s="157" t="s">
        <v>285</v>
      </c>
      <c r="C455" s="157"/>
      <c r="D455" s="150">
        <f>D454*4</f>
        <v>12</v>
      </c>
      <c r="E455" s="151">
        <f>C454-0.25+(G454-0.25)*2</f>
        <v>41.59</v>
      </c>
      <c r="F455" s="151"/>
      <c r="G455" s="151"/>
      <c r="H455" s="154">
        <f>E455*D455</f>
        <v>499.1</v>
      </c>
      <c r="I455" s="151"/>
      <c r="J455" s="151"/>
      <c r="K455" s="152"/>
      <c r="L455" s="147"/>
    </row>
    <row r="456" spans="1:12" s="148" customFormat="1" ht="18.649999999999999" customHeight="1">
      <c r="A456" s="149"/>
      <c r="B456" s="157" t="s">
        <v>51</v>
      </c>
      <c r="C456" s="157"/>
      <c r="D456" s="150">
        <f>ROUNDDOWN(E455/40,0)*D455</f>
        <v>12</v>
      </c>
      <c r="E456" s="151">
        <f>40*16/1000*3.281</f>
        <v>2.1</v>
      </c>
      <c r="F456" s="151"/>
      <c r="G456" s="151"/>
      <c r="H456" s="154">
        <f>E456*D456</f>
        <v>25.2</v>
      </c>
      <c r="I456" s="151"/>
      <c r="J456" s="151"/>
      <c r="K456" s="152"/>
      <c r="L456" s="147"/>
    </row>
    <row r="457" spans="1:12" s="148" customFormat="1" ht="18.649999999999999" customHeight="1">
      <c r="A457" s="149"/>
      <c r="B457" s="157" t="s">
        <v>286</v>
      </c>
      <c r="C457" s="157"/>
      <c r="D457" s="150">
        <f>D454*4</f>
        <v>12</v>
      </c>
      <c r="E457" s="151">
        <f>C454-0.25+18*16/1000*3.281</f>
        <v>40.69</v>
      </c>
      <c r="F457" s="151"/>
      <c r="G457" s="151"/>
      <c r="H457" s="154">
        <f>E457*D457</f>
        <v>488.3</v>
      </c>
      <c r="I457" s="151"/>
      <c r="J457" s="151"/>
      <c r="K457" s="152"/>
      <c r="L457" s="160"/>
    </row>
    <row r="458" spans="1:12" s="148" customFormat="1" ht="18.649999999999999" customHeight="1">
      <c r="A458" s="149"/>
      <c r="B458" s="157" t="s">
        <v>51</v>
      </c>
      <c r="C458" s="157"/>
      <c r="D458" s="150">
        <f>ROUNDDOWN(E457/40,0)*D457</f>
        <v>12</v>
      </c>
      <c r="E458" s="151">
        <f>40*16/1000*3.281</f>
        <v>2.1</v>
      </c>
      <c r="F458" s="151"/>
      <c r="G458" s="151"/>
      <c r="H458" s="154">
        <f>E458*D458</f>
        <v>25.2</v>
      </c>
      <c r="I458" s="151"/>
      <c r="J458" s="151"/>
      <c r="K458" s="152"/>
      <c r="L458" s="160"/>
    </row>
    <row r="459" spans="1:12" s="148" customFormat="1" ht="18.649999999999999" customHeight="1">
      <c r="A459" s="149"/>
      <c r="B459" s="157" t="s">
        <v>284</v>
      </c>
      <c r="C459" s="234">
        <f>2*G454</f>
        <v>2.34</v>
      </c>
      <c r="D459" s="150">
        <f>D454*ROUND(E454/0.42,0)</f>
        <v>258</v>
      </c>
      <c r="E459" s="151">
        <f>ROUND((F454-0.25+G454-0.25)*2+24*10/1000*3.281,2)</f>
        <v>4.13</v>
      </c>
      <c r="F459" s="151"/>
      <c r="G459" s="151"/>
      <c r="H459" s="151"/>
      <c r="I459" s="151">
        <f>D459*E459</f>
        <v>1065.54</v>
      </c>
      <c r="J459" s="151"/>
      <c r="K459" s="152"/>
      <c r="L459" s="160"/>
    </row>
    <row r="460" spans="1:12" s="148" customFormat="1" ht="18.649999999999999" customHeight="1">
      <c r="A460" s="149"/>
      <c r="B460" s="157"/>
      <c r="C460" s="157"/>
      <c r="D460" s="150"/>
      <c r="E460" s="151"/>
      <c r="F460" s="151"/>
      <c r="G460" s="151"/>
      <c r="H460" s="151"/>
      <c r="I460" s="151"/>
      <c r="J460" s="151"/>
      <c r="K460" s="152"/>
      <c r="L460" s="160"/>
    </row>
    <row r="461" spans="1:12" s="148" customFormat="1" ht="18.649999999999999" customHeight="1">
      <c r="A461" s="149"/>
      <c r="B461" s="245" t="str">
        <f>B299</f>
        <v>Line 1,2,3,5, 27' L</v>
      </c>
      <c r="C461" s="245">
        <v>27</v>
      </c>
      <c r="D461" s="226">
        <f>D299</f>
        <v>4</v>
      </c>
      <c r="E461" s="227">
        <f>E299</f>
        <v>24</v>
      </c>
      <c r="F461" s="227">
        <f>F299</f>
        <v>1</v>
      </c>
      <c r="G461" s="227">
        <f>G299</f>
        <v>1.17</v>
      </c>
      <c r="H461" s="151"/>
      <c r="I461" s="151"/>
      <c r="J461" s="151"/>
      <c r="K461" s="152"/>
      <c r="L461" s="160"/>
    </row>
    <row r="462" spans="1:12" s="148" customFormat="1" ht="18.649999999999999" customHeight="1">
      <c r="A462" s="149"/>
      <c r="B462" s="157" t="s">
        <v>285</v>
      </c>
      <c r="C462" s="157"/>
      <c r="D462" s="150">
        <f>D461*4</f>
        <v>16</v>
      </c>
      <c r="E462" s="151">
        <f>C461-0.25+(G461-0.25)*2</f>
        <v>28.59</v>
      </c>
      <c r="F462" s="151"/>
      <c r="G462" s="151"/>
      <c r="H462" s="154">
        <f>E462*D462</f>
        <v>457.4</v>
      </c>
      <c r="I462" s="151"/>
      <c r="J462" s="151"/>
      <c r="K462" s="152"/>
      <c r="L462" s="147"/>
    </row>
    <row r="463" spans="1:12" s="148" customFormat="1" ht="18.649999999999999" customHeight="1">
      <c r="A463" s="149"/>
      <c r="B463" s="157" t="s">
        <v>51</v>
      </c>
      <c r="C463" s="157"/>
      <c r="D463" s="150">
        <f>ROUNDDOWN(E462/40,0)*D462</f>
        <v>0</v>
      </c>
      <c r="E463" s="151">
        <f>40*16/1000*3.281</f>
        <v>2.1</v>
      </c>
      <c r="F463" s="151"/>
      <c r="G463" s="151"/>
      <c r="H463" s="154">
        <f>E463*D463</f>
        <v>0</v>
      </c>
      <c r="I463" s="151"/>
      <c r="J463" s="151"/>
      <c r="K463" s="152"/>
      <c r="L463" s="147"/>
    </row>
    <row r="464" spans="1:12" s="148" customFormat="1" ht="18.649999999999999" customHeight="1">
      <c r="A464" s="149"/>
      <c r="B464" s="157" t="s">
        <v>286</v>
      </c>
      <c r="C464" s="157"/>
      <c r="D464" s="150">
        <f>D461*4</f>
        <v>16</v>
      </c>
      <c r="E464" s="151">
        <f>C461-0.25+18*16/1000*3.281</f>
        <v>27.69</v>
      </c>
      <c r="F464" s="151"/>
      <c r="G464" s="151"/>
      <c r="H464" s="154">
        <f>E464*D464</f>
        <v>443</v>
      </c>
      <c r="I464" s="151"/>
      <c r="J464" s="151"/>
      <c r="K464" s="152"/>
      <c r="L464" s="160"/>
    </row>
    <row r="465" spans="1:12" s="148" customFormat="1" ht="18.649999999999999" customHeight="1">
      <c r="A465" s="149"/>
      <c r="B465" s="157" t="s">
        <v>51</v>
      </c>
      <c r="C465" s="157"/>
      <c r="D465" s="150">
        <f>ROUNDDOWN(E464/40,0)*D464</f>
        <v>0</v>
      </c>
      <c r="E465" s="151">
        <f>40*16/1000*3.281</f>
        <v>2.1</v>
      </c>
      <c r="F465" s="151"/>
      <c r="G465" s="151"/>
      <c r="H465" s="154">
        <f>E465*D465</f>
        <v>0</v>
      </c>
      <c r="I465" s="151"/>
      <c r="J465" s="151"/>
      <c r="K465" s="152"/>
      <c r="L465" s="160"/>
    </row>
    <row r="466" spans="1:12" s="148" customFormat="1" ht="18.649999999999999" customHeight="1">
      <c r="A466" s="149"/>
      <c r="B466" s="157" t="s">
        <v>284</v>
      </c>
      <c r="C466" s="234">
        <f>2*G461</f>
        <v>2.34</v>
      </c>
      <c r="D466" s="150">
        <f>D461*ROUND(E461/0.42,0)</f>
        <v>228</v>
      </c>
      <c r="E466" s="151">
        <f>ROUND((F461-0.25+G461-0.25)*2+24*10/1000*3.281,2)</f>
        <v>4.13</v>
      </c>
      <c r="F466" s="151"/>
      <c r="G466" s="151"/>
      <c r="H466" s="151"/>
      <c r="I466" s="151">
        <f>D466*E466</f>
        <v>941.64</v>
      </c>
      <c r="J466" s="151"/>
      <c r="K466" s="152"/>
      <c r="L466" s="160"/>
    </row>
    <row r="467" spans="1:12" s="148" customFormat="1" ht="18.649999999999999" customHeight="1">
      <c r="A467" s="149"/>
      <c r="B467" s="157"/>
      <c r="C467" s="157"/>
      <c r="D467" s="150"/>
      <c r="E467" s="151"/>
      <c r="F467" s="151"/>
      <c r="G467" s="151"/>
      <c r="H467" s="151"/>
      <c r="I467" s="151"/>
      <c r="J467" s="151"/>
      <c r="K467" s="152"/>
      <c r="L467" s="160"/>
    </row>
    <row r="468" spans="1:12" s="148" customFormat="1" ht="18.649999999999999" customHeight="1">
      <c r="A468" s="149"/>
      <c r="B468" s="245" t="str">
        <f>B300</f>
        <v>Line 4, A-B, 13.5' L</v>
      </c>
      <c r="C468" s="245">
        <v>13.5</v>
      </c>
      <c r="D468" s="226">
        <f>D300</f>
        <v>1</v>
      </c>
      <c r="E468" s="227">
        <f>E300</f>
        <v>12</v>
      </c>
      <c r="F468" s="227">
        <f>F300</f>
        <v>1</v>
      </c>
      <c r="G468" s="227">
        <f>G300</f>
        <v>1.17</v>
      </c>
      <c r="H468" s="151"/>
      <c r="I468" s="151"/>
      <c r="J468" s="151"/>
      <c r="K468" s="152"/>
      <c r="L468" s="160"/>
    </row>
    <row r="469" spans="1:12" s="148" customFormat="1" ht="18.649999999999999" customHeight="1">
      <c r="A469" s="149"/>
      <c r="B469" s="157" t="s">
        <v>285</v>
      </c>
      <c r="C469" s="157"/>
      <c r="D469" s="150">
        <f>D468*4</f>
        <v>4</v>
      </c>
      <c r="E469" s="151">
        <f>C468-0.25+(G468-0.25)*2</f>
        <v>15.09</v>
      </c>
      <c r="F469" s="151"/>
      <c r="G469" s="151"/>
      <c r="H469" s="154">
        <f>E469*D469</f>
        <v>60.4</v>
      </c>
      <c r="I469" s="151"/>
      <c r="J469" s="151"/>
      <c r="K469" s="152"/>
      <c r="L469" s="147"/>
    </row>
    <row r="470" spans="1:12" s="148" customFormat="1" ht="18.649999999999999" customHeight="1">
      <c r="A470" s="149"/>
      <c r="B470" s="157" t="s">
        <v>51</v>
      </c>
      <c r="C470" s="157"/>
      <c r="D470" s="150">
        <f>ROUNDDOWN(E469/40,0)*D469</f>
        <v>0</v>
      </c>
      <c r="E470" s="151">
        <f>40*16/1000*3.281</f>
        <v>2.1</v>
      </c>
      <c r="F470" s="151"/>
      <c r="G470" s="151"/>
      <c r="H470" s="154">
        <f>E470*D470</f>
        <v>0</v>
      </c>
      <c r="I470" s="151"/>
      <c r="J470" s="151"/>
      <c r="K470" s="152"/>
      <c r="L470" s="147"/>
    </row>
    <row r="471" spans="1:12" s="148" customFormat="1" ht="18.649999999999999" customHeight="1">
      <c r="A471" s="149"/>
      <c r="B471" s="157" t="s">
        <v>286</v>
      </c>
      <c r="C471" s="157"/>
      <c r="D471" s="150">
        <f>D468*4</f>
        <v>4</v>
      </c>
      <c r="E471" s="151">
        <f>C468-0.25+18*16/1000*3.281</f>
        <v>14.19</v>
      </c>
      <c r="F471" s="151"/>
      <c r="G471" s="151"/>
      <c r="H471" s="154">
        <f>E471*D471</f>
        <v>56.8</v>
      </c>
      <c r="I471" s="151"/>
      <c r="J471" s="151"/>
      <c r="K471" s="152"/>
      <c r="L471" s="160"/>
    </row>
    <row r="472" spans="1:12" s="148" customFormat="1" ht="18.649999999999999" customHeight="1">
      <c r="A472" s="149"/>
      <c r="B472" s="157" t="s">
        <v>51</v>
      </c>
      <c r="C472" s="157"/>
      <c r="D472" s="150">
        <f>ROUNDDOWN(E471/40,0)*D471</f>
        <v>0</v>
      </c>
      <c r="E472" s="151">
        <f>40*16/1000*3.281</f>
        <v>2.1</v>
      </c>
      <c r="F472" s="151"/>
      <c r="G472" s="151"/>
      <c r="H472" s="154">
        <f>E472*D472</f>
        <v>0</v>
      </c>
      <c r="I472" s="151"/>
      <c r="J472" s="151"/>
      <c r="K472" s="152"/>
      <c r="L472" s="160"/>
    </row>
    <row r="473" spans="1:12" s="148" customFormat="1" ht="18.649999999999999" customHeight="1">
      <c r="A473" s="149"/>
      <c r="B473" s="157" t="s">
        <v>284</v>
      </c>
      <c r="C473" s="234">
        <f>2*G468</f>
        <v>2.34</v>
      </c>
      <c r="D473" s="150">
        <f>D468*ROUND(E468/0.42,0)</f>
        <v>29</v>
      </c>
      <c r="E473" s="151">
        <f>ROUND((F468-0.25+G468-0.25)*2+24*10/1000*3.281,2)</f>
        <v>4.13</v>
      </c>
      <c r="F473" s="151"/>
      <c r="G473" s="151"/>
      <c r="H473" s="151"/>
      <c r="I473" s="151">
        <f>D473*E473</f>
        <v>119.77</v>
      </c>
      <c r="J473" s="151"/>
      <c r="K473" s="152"/>
      <c r="L473" s="160"/>
    </row>
    <row r="474" spans="1:12" s="148" customFormat="1" ht="18.649999999999999" customHeight="1">
      <c r="A474" s="149"/>
      <c r="B474" s="159" t="str">
        <f>B302</f>
        <v>GB3 (12"x16")</v>
      </c>
      <c r="C474" s="157"/>
      <c r="D474" s="150"/>
      <c r="E474" s="151"/>
      <c r="F474" s="151"/>
      <c r="G474" s="151"/>
      <c r="H474" s="151"/>
      <c r="I474" s="151"/>
      <c r="J474" s="151"/>
      <c r="K474" s="152"/>
      <c r="L474" s="160"/>
    </row>
    <row r="475" spans="1:12" s="148" customFormat="1" ht="18.649999999999999" customHeight="1">
      <c r="A475" s="149"/>
      <c r="B475" s="245" t="str">
        <f>B303</f>
        <v>Line 4 (B-C),13.5' L</v>
      </c>
      <c r="C475" s="245">
        <v>13.5</v>
      </c>
      <c r="D475" s="226">
        <f>D303</f>
        <v>1</v>
      </c>
      <c r="E475" s="227">
        <f>E303</f>
        <v>12</v>
      </c>
      <c r="F475" s="227">
        <f>F303</f>
        <v>1</v>
      </c>
      <c r="G475" s="227">
        <f>G303</f>
        <v>1.33</v>
      </c>
      <c r="H475" s="151"/>
      <c r="I475" s="151"/>
      <c r="J475" s="151"/>
      <c r="K475" s="152"/>
      <c r="L475" s="160"/>
    </row>
    <row r="476" spans="1:12" s="148" customFormat="1" ht="18.649999999999999" customHeight="1">
      <c r="A476" s="149"/>
      <c r="B476" s="157" t="s">
        <v>285</v>
      </c>
      <c r="C476" s="157"/>
      <c r="D476" s="150">
        <f>D475*4</f>
        <v>4</v>
      </c>
      <c r="E476" s="151">
        <f>C475-0.25+(G475-0.25)*2</f>
        <v>15.41</v>
      </c>
      <c r="F476" s="151"/>
      <c r="G476" s="151"/>
      <c r="H476" s="154">
        <f>E476*D476</f>
        <v>61.6</v>
      </c>
      <c r="I476" s="151"/>
      <c r="J476" s="151"/>
      <c r="K476" s="152"/>
      <c r="L476" s="147"/>
    </row>
    <row r="477" spans="1:12" s="148" customFormat="1" ht="18.649999999999999" customHeight="1">
      <c r="A477" s="149"/>
      <c r="B477" s="157" t="s">
        <v>51</v>
      </c>
      <c r="C477" s="157"/>
      <c r="D477" s="150">
        <f>ROUNDDOWN(E476/40,0)*D476</f>
        <v>0</v>
      </c>
      <c r="E477" s="151">
        <f>40*16/1000*3.281</f>
        <v>2.1</v>
      </c>
      <c r="F477" s="151"/>
      <c r="G477" s="151"/>
      <c r="H477" s="154">
        <f>E477*D477</f>
        <v>0</v>
      </c>
      <c r="I477" s="151"/>
      <c r="J477" s="151"/>
      <c r="K477" s="152"/>
      <c r="L477" s="147"/>
    </row>
    <row r="478" spans="1:12" s="148" customFormat="1" ht="18.649999999999999" customHeight="1">
      <c r="A478" s="149"/>
      <c r="B478" s="157" t="s">
        <v>286</v>
      </c>
      <c r="C478" s="157"/>
      <c r="D478" s="150">
        <f>D475*4</f>
        <v>4</v>
      </c>
      <c r="E478" s="151">
        <f>C475-0.25+18*16/1000*3.281</f>
        <v>14.19</v>
      </c>
      <c r="F478" s="151"/>
      <c r="G478" s="151"/>
      <c r="H478" s="154">
        <f>E478*D478</f>
        <v>56.8</v>
      </c>
      <c r="I478" s="151"/>
      <c r="J478" s="151"/>
      <c r="K478" s="152"/>
      <c r="L478" s="160"/>
    </row>
    <row r="479" spans="1:12" s="148" customFormat="1" ht="18.649999999999999" customHeight="1">
      <c r="A479" s="149"/>
      <c r="B479" s="157" t="s">
        <v>51</v>
      </c>
      <c r="C479" s="157"/>
      <c r="D479" s="150">
        <f>ROUNDDOWN(E478/40,0)*D478</f>
        <v>0</v>
      </c>
      <c r="E479" s="151">
        <f>40*16/1000*3.281</f>
        <v>2.1</v>
      </c>
      <c r="F479" s="151"/>
      <c r="G479" s="151"/>
      <c r="H479" s="154">
        <f>E479*D479</f>
        <v>0</v>
      </c>
      <c r="I479" s="151"/>
      <c r="J479" s="151"/>
      <c r="K479" s="152"/>
      <c r="L479" s="160"/>
    </row>
    <row r="480" spans="1:12" s="148" customFormat="1" ht="18.649999999999999" customHeight="1">
      <c r="A480" s="149"/>
      <c r="B480" s="157" t="s">
        <v>284</v>
      </c>
      <c r="C480" s="234">
        <f>2*G475</f>
        <v>2.66</v>
      </c>
      <c r="D480" s="150">
        <f>D475*ROUND(E475/0.42,0)</f>
        <v>29</v>
      </c>
      <c r="E480" s="151">
        <f>ROUND((F475-0.25+G475-0.25)*2+24*10/1000*3.281,2)</f>
        <v>4.45</v>
      </c>
      <c r="F480" s="151"/>
      <c r="G480" s="151"/>
      <c r="H480" s="151"/>
      <c r="I480" s="151">
        <f>D480*E480</f>
        <v>129.05000000000001</v>
      </c>
      <c r="J480" s="151"/>
      <c r="K480" s="152"/>
      <c r="L480" s="160"/>
    </row>
    <row r="481" spans="1:12" s="148" customFormat="1" ht="18.649999999999999" customHeight="1">
      <c r="A481" s="149"/>
      <c r="B481" s="157"/>
      <c r="C481" s="157"/>
      <c r="D481" s="150"/>
      <c r="E481" s="151"/>
      <c r="F481" s="151"/>
      <c r="G481" s="151"/>
      <c r="H481" s="151"/>
      <c r="I481" s="151"/>
      <c r="J481" s="151"/>
      <c r="K481" s="152"/>
      <c r="L481" s="160"/>
    </row>
    <row r="482" spans="1:12" s="148" customFormat="1" ht="18.649999999999999" customHeight="1">
      <c r="A482" s="149"/>
      <c r="B482" s="225" t="str">
        <f>B305</f>
        <v>1st Floor Level Beam</v>
      </c>
      <c r="C482" s="245"/>
      <c r="D482" s="226"/>
      <c r="E482" s="227"/>
      <c r="F482" s="227"/>
      <c r="G482" s="227"/>
      <c r="H482" s="151"/>
      <c r="I482" s="151"/>
      <c r="J482" s="151"/>
      <c r="K482" s="152"/>
      <c r="L482" s="160"/>
    </row>
    <row r="483" spans="1:12" s="148" customFormat="1" ht="18.649999999999999" customHeight="1">
      <c r="A483" s="149"/>
      <c r="B483" s="246" t="str">
        <f>B306</f>
        <v>1FB1 (10" x 10")</v>
      </c>
      <c r="C483" s="245"/>
      <c r="D483" s="226"/>
      <c r="E483" s="227"/>
      <c r="F483" s="227"/>
      <c r="G483" s="227"/>
      <c r="H483" s="151"/>
      <c r="I483" s="151"/>
      <c r="J483" s="151"/>
      <c r="K483" s="152"/>
      <c r="L483" s="160"/>
    </row>
    <row r="484" spans="1:12" s="148" customFormat="1" ht="18.649999999999999" customHeight="1">
      <c r="A484" s="149"/>
      <c r="B484" s="245" t="str">
        <f>B307</f>
        <v>Y-Dir Bet 3-4, 9' L</v>
      </c>
      <c r="C484" s="245">
        <v>9</v>
      </c>
      <c r="D484" s="226">
        <f>D307</f>
        <v>1</v>
      </c>
      <c r="E484" s="227">
        <f>E307</f>
        <v>8</v>
      </c>
      <c r="F484" s="227">
        <f>F307</f>
        <v>0.83</v>
      </c>
      <c r="G484" s="227">
        <f>G307</f>
        <v>0.83</v>
      </c>
      <c r="H484" s="151"/>
      <c r="I484" s="151"/>
      <c r="J484" s="151"/>
      <c r="K484" s="152"/>
      <c r="L484" s="160"/>
    </row>
    <row r="485" spans="1:12" s="148" customFormat="1" ht="18.649999999999999" customHeight="1">
      <c r="A485" s="149"/>
      <c r="B485" s="157" t="s">
        <v>128</v>
      </c>
      <c r="C485" s="157"/>
      <c r="D485" s="150">
        <f>D484*3</f>
        <v>3</v>
      </c>
      <c r="E485" s="151">
        <f>C484-0.25+(G484-0.25)*2</f>
        <v>9.91</v>
      </c>
      <c r="F485" s="151"/>
      <c r="G485" s="151"/>
      <c r="H485" s="154">
        <f>E485*D485</f>
        <v>29.7</v>
      </c>
      <c r="I485" s="151"/>
      <c r="J485" s="151"/>
      <c r="K485" s="152"/>
      <c r="L485" s="147"/>
    </row>
    <row r="486" spans="1:12" s="148" customFormat="1" ht="18.649999999999999" customHeight="1">
      <c r="A486" s="149"/>
      <c r="B486" s="157" t="s">
        <v>51</v>
      </c>
      <c r="C486" s="157"/>
      <c r="D486" s="150">
        <f>ROUNDDOWN(E485/40,0)*D485</f>
        <v>0</v>
      </c>
      <c r="E486" s="151">
        <f>40*16/1000*3.281</f>
        <v>2.1</v>
      </c>
      <c r="F486" s="151"/>
      <c r="G486" s="151"/>
      <c r="H486" s="154">
        <f>E486*D486</f>
        <v>0</v>
      </c>
      <c r="I486" s="151"/>
      <c r="J486" s="151"/>
      <c r="K486" s="152"/>
      <c r="L486" s="147"/>
    </row>
    <row r="487" spans="1:12" s="148" customFormat="1" ht="18.649999999999999" customHeight="1">
      <c r="A487" s="149"/>
      <c r="B487" s="157" t="s">
        <v>129</v>
      </c>
      <c r="C487" s="157"/>
      <c r="D487" s="150">
        <f>D484*3</f>
        <v>3</v>
      </c>
      <c r="E487" s="151">
        <f>C484-0.25+18*16/1000*3.281</f>
        <v>9.69</v>
      </c>
      <c r="F487" s="151"/>
      <c r="G487" s="151"/>
      <c r="H487" s="154">
        <f>E487*D487</f>
        <v>29.1</v>
      </c>
      <c r="I487" s="151"/>
      <c r="J487" s="151"/>
      <c r="K487" s="152"/>
      <c r="L487" s="160"/>
    </row>
    <row r="488" spans="1:12" s="148" customFormat="1" ht="18.649999999999999" customHeight="1">
      <c r="A488" s="149"/>
      <c r="B488" s="157" t="s">
        <v>51</v>
      </c>
      <c r="C488" s="157"/>
      <c r="D488" s="150">
        <f>ROUNDDOWN(E487/40,0)*D487</f>
        <v>0</v>
      </c>
      <c r="E488" s="151">
        <f>40*16/1000*3.281</f>
        <v>2.1</v>
      </c>
      <c r="F488" s="151"/>
      <c r="G488" s="151"/>
      <c r="H488" s="154">
        <f>E488*D488</f>
        <v>0</v>
      </c>
      <c r="I488" s="151"/>
      <c r="J488" s="151"/>
      <c r="K488" s="152"/>
      <c r="L488" s="160"/>
    </row>
    <row r="489" spans="1:12" s="148" customFormat="1" ht="18.649999999999999" customHeight="1">
      <c r="A489" s="149"/>
      <c r="B489" s="157" t="s">
        <v>284</v>
      </c>
      <c r="C489" s="234">
        <f>2*G484</f>
        <v>1.66</v>
      </c>
      <c r="D489" s="150">
        <f>D484*ROUND(E484/0.42,0)</f>
        <v>19</v>
      </c>
      <c r="E489" s="151">
        <f>ROUND((F484-0.25+G484-0.25)*2+24*10/1000*3.281,2)</f>
        <v>3.11</v>
      </c>
      <c r="F489" s="151"/>
      <c r="G489" s="151"/>
      <c r="H489" s="151"/>
      <c r="I489" s="151">
        <f>D489*E489</f>
        <v>59.09</v>
      </c>
      <c r="J489" s="151"/>
      <c r="K489" s="152"/>
      <c r="L489" s="160"/>
    </row>
    <row r="490" spans="1:12" s="148" customFormat="1" ht="18.649999999999999" customHeight="1">
      <c r="A490" s="149"/>
      <c r="B490" s="157"/>
      <c r="C490" s="157"/>
      <c r="D490" s="150"/>
      <c r="E490" s="151"/>
      <c r="F490" s="151"/>
      <c r="G490" s="151"/>
      <c r="H490" s="151"/>
      <c r="I490" s="151"/>
      <c r="J490" s="151"/>
      <c r="K490" s="152"/>
      <c r="L490" s="160"/>
    </row>
    <row r="491" spans="1:12" s="148" customFormat="1" ht="18.649999999999999" customHeight="1">
      <c r="A491" s="149"/>
      <c r="B491" s="245" t="str">
        <f>B308</f>
        <v>Y-Dir Bet 4-5, 10' L</v>
      </c>
      <c r="C491" s="245">
        <v>10</v>
      </c>
      <c r="D491" s="226">
        <f>D308</f>
        <v>2</v>
      </c>
      <c r="E491" s="227">
        <f>E308</f>
        <v>8.5</v>
      </c>
      <c r="F491" s="227">
        <f>F308</f>
        <v>0.83</v>
      </c>
      <c r="G491" s="227">
        <f>G308</f>
        <v>0.83</v>
      </c>
      <c r="H491" s="151"/>
      <c r="I491" s="151"/>
      <c r="J491" s="151"/>
      <c r="K491" s="152"/>
      <c r="L491" s="160"/>
    </row>
    <row r="492" spans="1:12" s="148" customFormat="1" ht="18.649999999999999" customHeight="1">
      <c r="A492" s="149"/>
      <c r="B492" s="157" t="s">
        <v>128</v>
      </c>
      <c r="C492" s="157"/>
      <c r="D492" s="150">
        <f>D491*3</f>
        <v>6</v>
      </c>
      <c r="E492" s="151">
        <f>C491-0.25+(G491-0.25)*2</f>
        <v>10.91</v>
      </c>
      <c r="F492" s="151"/>
      <c r="G492" s="151"/>
      <c r="H492" s="154">
        <f>E492*D492</f>
        <v>65.5</v>
      </c>
      <c r="I492" s="151"/>
      <c r="J492" s="151"/>
      <c r="K492" s="152"/>
      <c r="L492" s="147"/>
    </row>
    <row r="493" spans="1:12" s="148" customFormat="1" ht="18.649999999999999" customHeight="1">
      <c r="A493" s="149"/>
      <c r="B493" s="157" t="s">
        <v>51</v>
      </c>
      <c r="C493" s="157"/>
      <c r="D493" s="150">
        <f>ROUNDDOWN(E492/40,0)*D492</f>
        <v>0</v>
      </c>
      <c r="E493" s="151">
        <f>40*16/1000*3.281</f>
        <v>2.1</v>
      </c>
      <c r="F493" s="151"/>
      <c r="G493" s="151"/>
      <c r="H493" s="154">
        <f>E493*D493</f>
        <v>0</v>
      </c>
      <c r="I493" s="151"/>
      <c r="J493" s="151"/>
      <c r="K493" s="152"/>
      <c r="L493" s="147"/>
    </row>
    <row r="494" spans="1:12" s="148" customFormat="1" ht="18.649999999999999" customHeight="1">
      <c r="A494" s="149"/>
      <c r="B494" s="157" t="s">
        <v>129</v>
      </c>
      <c r="C494" s="157"/>
      <c r="D494" s="150">
        <f>D491*3</f>
        <v>6</v>
      </c>
      <c r="E494" s="151">
        <f>C491-0.25+18*16/1000*3.281</f>
        <v>10.69</v>
      </c>
      <c r="F494" s="151"/>
      <c r="G494" s="151"/>
      <c r="H494" s="154">
        <f>E494*D494</f>
        <v>64.099999999999994</v>
      </c>
      <c r="I494" s="151"/>
      <c r="J494" s="151"/>
      <c r="K494" s="152"/>
      <c r="L494" s="160"/>
    </row>
    <row r="495" spans="1:12" s="148" customFormat="1" ht="18.649999999999999" customHeight="1">
      <c r="A495" s="149"/>
      <c r="B495" s="157" t="s">
        <v>51</v>
      </c>
      <c r="C495" s="157"/>
      <c r="D495" s="150">
        <f>ROUNDDOWN(E494/40,0)*D494</f>
        <v>0</v>
      </c>
      <c r="E495" s="151">
        <f>40*16/1000*3.281</f>
        <v>2.1</v>
      </c>
      <c r="F495" s="151"/>
      <c r="G495" s="151"/>
      <c r="H495" s="154">
        <f>E495*D495</f>
        <v>0</v>
      </c>
      <c r="I495" s="151"/>
      <c r="J495" s="151"/>
      <c r="K495" s="152"/>
      <c r="L495" s="160"/>
    </row>
    <row r="496" spans="1:12" s="148" customFormat="1" ht="18.649999999999999" customHeight="1">
      <c r="A496" s="149"/>
      <c r="B496" s="157" t="s">
        <v>284</v>
      </c>
      <c r="C496" s="234">
        <f>2*G491</f>
        <v>1.66</v>
      </c>
      <c r="D496" s="150">
        <f>D491*ROUND(E491/0.42,0)</f>
        <v>40</v>
      </c>
      <c r="E496" s="151">
        <f>ROUND((F491-0.25+G491-0.25)*2+24*10/1000*3.281,2)</f>
        <v>3.11</v>
      </c>
      <c r="F496" s="151"/>
      <c r="G496" s="151"/>
      <c r="H496" s="151"/>
      <c r="I496" s="151">
        <f>D496*E496</f>
        <v>124.4</v>
      </c>
      <c r="J496" s="151"/>
      <c r="K496" s="152"/>
      <c r="L496" s="160"/>
    </row>
    <row r="497" spans="1:12" s="148" customFormat="1" ht="18.649999999999999" customHeight="1">
      <c r="A497" s="149"/>
      <c r="B497" s="157"/>
      <c r="C497" s="234"/>
      <c r="D497" s="150"/>
      <c r="E497" s="151"/>
      <c r="F497" s="151"/>
      <c r="G497" s="151"/>
      <c r="H497" s="151"/>
      <c r="I497" s="151"/>
      <c r="J497" s="151"/>
      <c r="K497" s="152"/>
      <c r="L497" s="160"/>
    </row>
    <row r="498" spans="1:12" s="148" customFormat="1" ht="18.649999999999999" customHeight="1">
      <c r="A498" s="149"/>
      <c r="B498" s="245" t="str">
        <f>B309</f>
        <v xml:space="preserve">X-Dir Bet; 3&amp;4, 4' L </v>
      </c>
      <c r="C498" s="255">
        <v>4</v>
      </c>
      <c r="D498" s="226">
        <f>D309</f>
        <v>1</v>
      </c>
      <c r="E498" s="227">
        <f>E309</f>
        <v>3.5</v>
      </c>
      <c r="F498" s="227">
        <f>F309</f>
        <v>0.83</v>
      </c>
      <c r="G498" s="227">
        <f>G309</f>
        <v>0.83</v>
      </c>
      <c r="H498" s="151"/>
      <c r="I498" s="151"/>
      <c r="J498" s="151"/>
      <c r="K498" s="152"/>
      <c r="L498" s="160"/>
    </row>
    <row r="499" spans="1:12" s="148" customFormat="1" ht="18.649999999999999" customHeight="1">
      <c r="A499" s="149"/>
      <c r="B499" s="157" t="s">
        <v>128</v>
      </c>
      <c r="C499" s="157"/>
      <c r="D499" s="150">
        <f>D498*3</f>
        <v>3</v>
      </c>
      <c r="E499" s="151">
        <f>C498-0.25+(G498-0.25)*2</f>
        <v>4.91</v>
      </c>
      <c r="F499" s="151"/>
      <c r="G499" s="151"/>
      <c r="H499" s="154">
        <f>E499*D499</f>
        <v>14.7</v>
      </c>
      <c r="I499" s="151"/>
      <c r="J499" s="151"/>
      <c r="K499" s="152"/>
      <c r="L499" s="147"/>
    </row>
    <row r="500" spans="1:12" s="148" customFormat="1" ht="18.649999999999999" customHeight="1">
      <c r="A500" s="149"/>
      <c r="B500" s="157" t="s">
        <v>51</v>
      </c>
      <c r="C500" s="157"/>
      <c r="D500" s="150">
        <f>ROUNDDOWN(E499/40,0)*D499</f>
        <v>0</v>
      </c>
      <c r="E500" s="151">
        <f>40*16/1000*3.281</f>
        <v>2.1</v>
      </c>
      <c r="F500" s="151"/>
      <c r="G500" s="151"/>
      <c r="H500" s="154">
        <f>E500*D500</f>
        <v>0</v>
      </c>
      <c r="I500" s="151"/>
      <c r="J500" s="151"/>
      <c r="K500" s="152"/>
      <c r="L500" s="147"/>
    </row>
    <row r="501" spans="1:12" s="148" customFormat="1" ht="18.649999999999999" customHeight="1">
      <c r="A501" s="149"/>
      <c r="B501" s="157" t="s">
        <v>129</v>
      </c>
      <c r="C501" s="157"/>
      <c r="D501" s="150">
        <f>D498*3</f>
        <v>3</v>
      </c>
      <c r="E501" s="151">
        <f>C498-0.25+18*16/1000*3.281</f>
        <v>4.6900000000000004</v>
      </c>
      <c r="F501" s="151"/>
      <c r="G501" s="151"/>
      <c r="H501" s="154">
        <f>E501*D501</f>
        <v>14.1</v>
      </c>
      <c r="I501" s="151"/>
      <c r="J501" s="151"/>
      <c r="K501" s="152"/>
      <c r="L501" s="160"/>
    </row>
    <row r="502" spans="1:12" s="148" customFormat="1" ht="18.649999999999999" customHeight="1">
      <c r="A502" s="149"/>
      <c r="B502" s="157" t="s">
        <v>51</v>
      </c>
      <c r="C502" s="157"/>
      <c r="D502" s="150">
        <f>ROUNDDOWN(E501/40,0)*D501</f>
        <v>0</v>
      </c>
      <c r="E502" s="151">
        <f>40*16/1000*3.281</f>
        <v>2.1</v>
      </c>
      <c r="F502" s="151"/>
      <c r="G502" s="151"/>
      <c r="H502" s="154">
        <f>E502*D502</f>
        <v>0</v>
      </c>
      <c r="I502" s="151"/>
      <c r="J502" s="151"/>
      <c r="K502" s="152"/>
      <c r="L502" s="160"/>
    </row>
    <row r="503" spans="1:12" s="148" customFormat="1" ht="18.649999999999999" customHeight="1">
      <c r="A503" s="149"/>
      <c r="B503" s="157" t="s">
        <v>284</v>
      </c>
      <c r="C503" s="234">
        <f>2*G498</f>
        <v>1.66</v>
      </c>
      <c r="D503" s="150">
        <f>D498*ROUND(E498/0.42,0)</f>
        <v>8</v>
      </c>
      <c r="E503" s="151">
        <f>ROUND((F498-0.25+G498-0.25)*2+24*10/1000*3.281,2)</f>
        <v>3.11</v>
      </c>
      <c r="F503" s="151"/>
      <c r="G503" s="151"/>
      <c r="H503" s="151"/>
      <c r="I503" s="151">
        <f>D503*E503</f>
        <v>24.88</v>
      </c>
      <c r="J503" s="151"/>
      <c r="K503" s="152"/>
      <c r="L503" s="160"/>
    </row>
    <row r="504" spans="1:12" s="148" customFormat="1" ht="18.649999999999999" customHeight="1">
      <c r="A504" s="149"/>
      <c r="B504" s="157"/>
      <c r="C504" s="234"/>
      <c r="D504" s="150"/>
      <c r="E504" s="151"/>
      <c r="F504" s="151"/>
      <c r="G504" s="151"/>
      <c r="H504" s="151"/>
      <c r="I504" s="151"/>
      <c r="J504" s="151"/>
      <c r="K504" s="152"/>
      <c r="L504" s="160"/>
    </row>
    <row r="505" spans="1:12" s="148" customFormat="1" ht="18.649999999999999" customHeight="1">
      <c r="A505" s="149"/>
      <c r="B505" s="245" t="str">
        <f>B310</f>
        <v xml:space="preserve">X-Dir Bet; 4&amp;5, 14' L </v>
      </c>
      <c r="C505" s="255">
        <v>14</v>
      </c>
      <c r="D505" s="226">
        <f>D310</f>
        <v>1</v>
      </c>
      <c r="E505" s="227">
        <f>E310</f>
        <v>13.75</v>
      </c>
      <c r="F505" s="227">
        <f>F310</f>
        <v>0.83</v>
      </c>
      <c r="G505" s="227">
        <f>G310</f>
        <v>0.83</v>
      </c>
      <c r="H505" s="151"/>
      <c r="I505" s="151"/>
      <c r="J505" s="151"/>
      <c r="K505" s="152"/>
      <c r="L505" s="160"/>
    </row>
    <row r="506" spans="1:12" s="148" customFormat="1" ht="18.649999999999999" customHeight="1">
      <c r="A506" s="149"/>
      <c r="B506" s="157" t="s">
        <v>128</v>
      </c>
      <c r="C506" s="157"/>
      <c r="D506" s="150">
        <f>D505*3</f>
        <v>3</v>
      </c>
      <c r="E506" s="151">
        <f>C505-0.25+(G505-0.25)*2</f>
        <v>14.91</v>
      </c>
      <c r="F506" s="151"/>
      <c r="G506" s="151"/>
      <c r="H506" s="154">
        <f>E506*D506</f>
        <v>44.7</v>
      </c>
      <c r="I506" s="151"/>
      <c r="J506" s="151"/>
      <c r="K506" s="152"/>
      <c r="L506" s="147"/>
    </row>
    <row r="507" spans="1:12" s="148" customFormat="1" ht="18.649999999999999" customHeight="1">
      <c r="A507" s="149"/>
      <c r="B507" s="157" t="s">
        <v>51</v>
      </c>
      <c r="C507" s="157"/>
      <c r="D507" s="150">
        <f>ROUNDDOWN(E506/40,0)*D506</f>
        <v>0</v>
      </c>
      <c r="E507" s="151">
        <f>40*16/1000*3.281</f>
        <v>2.1</v>
      </c>
      <c r="F507" s="151"/>
      <c r="G507" s="151"/>
      <c r="H507" s="154">
        <f>E507*D507</f>
        <v>0</v>
      </c>
      <c r="I507" s="151"/>
      <c r="J507" s="151"/>
      <c r="K507" s="152"/>
      <c r="L507" s="147"/>
    </row>
    <row r="508" spans="1:12" s="148" customFormat="1" ht="18.649999999999999" customHeight="1">
      <c r="A508" s="149"/>
      <c r="B508" s="157" t="s">
        <v>129</v>
      </c>
      <c r="C508" s="157"/>
      <c r="D508" s="150">
        <f>D505*3</f>
        <v>3</v>
      </c>
      <c r="E508" s="151">
        <f>C505-0.25+18*16/1000*3.281</f>
        <v>14.69</v>
      </c>
      <c r="F508" s="151"/>
      <c r="G508" s="151"/>
      <c r="H508" s="154">
        <f>E508*D508</f>
        <v>44.1</v>
      </c>
      <c r="I508" s="151"/>
      <c r="J508" s="151"/>
      <c r="K508" s="152"/>
      <c r="L508" s="160"/>
    </row>
    <row r="509" spans="1:12" s="148" customFormat="1" ht="18.649999999999999" customHeight="1">
      <c r="A509" s="149"/>
      <c r="B509" s="157" t="s">
        <v>51</v>
      </c>
      <c r="C509" s="157"/>
      <c r="D509" s="150">
        <f>ROUNDDOWN(E508/40,0)*D508</f>
        <v>0</v>
      </c>
      <c r="E509" s="151">
        <f>40*16/1000*3.281</f>
        <v>2.1</v>
      </c>
      <c r="F509" s="151"/>
      <c r="G509" s="151"/>
      <c r="H509" s="154">
        <f>E509*D509</f>
        <v>0</v>
      </c>
      <c r="I509" s="151"/>
      <c r="J509" s="151"/>
      <c r="K509" s="152"/>
      <c r="L509" s="160"/>
    </row>
    <row r="510" spans="1:12" s="148" customFormat="1" ht="18.649999999999999" customHeight="1">
      <c r="A510" s="149"/>
      <c r="B510" s="157" t="s">
        <v>284</v>
      </c>
      <c r="C510" s="234">
        <f>2*G505</f>
        <v>1.66</v>
      </c>
      <c r="D510" s="150">
        <f>D505*ROUND(E505/0.42,0)</f>
        <v>33</v>
      </c>
      <c r="E510" s="151">
        <f>ROUND((F505-0.25+G505-0.25)*2+24*10/1000*3.281,2)</f>
        <v>3.11</v>
      </c>
      <c r="F510" s="151"/>
      <c r="G510" s="151"/>
      <c r="H510" s="151"/>
      <c r="I510" s="151">
        <f>D510*E510</f>
        <v>102.63</v>
      </c>
      <c r="J510" s="151"/>
      <c r="K510" s="152"/>
      <c r="L510" s="160"/>
    </row>
    <row r="511" spans="1:12" s="148" customFormat="1" ht="18.649999999999999" customHeight="1">
      <c r="A511" s="149"/>
      <c r="B511" s="245"/>
      <c r="C511" s="245"/>
      <c r="D511" s="226"/>
      <c r="E511" s="227"/>
      <c r="F511" s="227"/>
      <c r="G511" s="227"/>
      <c r="H511" s="151"/>
      <c r="I511" s="151"/>
      <c r="J511" s="151"/>
      <c r="K511" s="152"/>
      <c r="L511" s="160"/>
    </row>
    <row r="512" spans="1:12" s="148" customFormat="1" ht="18.649999999999999" customHeight="1">
      <c r="A512" s="149"/>
      <c r="B512" s="246" t="str">
        <f>B312</f>
        <v>1FB2 (12"x14")</v>
      </c>
      <c r="C512" s="245"/>
      <c r="D512" s="226"/>
      <c r="E512" s="227"/>
      <c r="F512" s="227"/>
      <c r="G512" s="227"/>
      <c r="H512" s="151"/>
      <c r="I512" s="151"/>
      <c r="J512" s="151"/>
      <c r="K512" s="152"/>
      <c r="L512" s="160"/>
    </row>
    <row r="513" spans="1:12" s="148" customFormat="1" ht="18.649999999999999" customHeight="1">
      <c r="A513" s="149"/>
      <c r="B513" s="245" t="str">
        <f>B313</f>
        <v>Line 1', 1, 2, 30' L</v>
      </c>
      <c r="C513" s="245">
        <v>30</v>
      </c>
      <c r="D513" s="226">
        <f>D313</f>
        <v>3</v>
      </c>
      <c r="E513" s="227">
        <f>E313</f>
        <v>27</v>
      </c>
      <c r="F513" s="227">
        <f>F313</f>
        <v>1</v>
      </c>
      <c r="G513" s="227">
        <f>G313</f>
        <v>1.17</v>
      </c>
      <c r="H513" s="151"/>
      <c r="I513" s="151"/>
      <c r="J513" s="151"/>
      <c r="K513" s="152"/>
      <c r="L513" s="160"/>
    </row>
    <row r="514" spans="1:12" s="148" customFormat="1" ht="18.649999999999999" customHeight="1">
      <c r="A514" s="149"/>
      <c r="B514" s="157" t="s">
        <v>285</v>
      </c>
      <c r="C514" s="157"/>
      <c r="D514" s="150">
        <f>D513*4</f>
        <v>12</v>
      </c>
      <c r="E514" s="151">
        <f>C513-0.25+(G513-0.25)*2</f>
        <v>31.59</v>
      </c>
      <c r="F514" s="151"/>
      <c r="G514" s="151"/>
      <c r="H514" s="154">
        <f>E514*D514</f>
        <v>379.1</v>
      </c>
      <c r="I514" s="151"/>
      <c r="J514" s="151"/>
      <c r="K514" s="152"/>
      <c r="L514" s="147"/>
    </row>
    <row r="515" spans="1:12" s="148" customFormat="1" ht="18.649999999999999" customHeight="1">
      <c r="A515" s="149"/>
      <c r="B515" s="157" t="s">
        <v>51</v>
      </c>
      <c r="C515" s="157"/>
      <c r="D515" s="150">
        <f>ROUNDDOWN(E514/40,0)*D514</f>
        <v>0</v>
      </c>
      <c r="E515" s="151">
        <f>40*16/1000*3.281</f>
        <v>2.1</v>
      </c>
      <c r="F515" s="151"/>
      <c r="G515" s="151"/>
      <c r="H515" s="154">
        <f>E515*D515</f>
        <v>0</v>
      </c>
      <c r="I515" s="151"/>
      <c r="J515" s="151"/>
      <c r="K515" s="152"/>
      <c r="L515" s="147"/>
    </row>
    <row r="516" spans="1:12" s="148" customFormat="1" ht="18.649999999999999" customHeight="1">
      <c r="A516" s="149"/>
      <c r="B516" s="157" t="s">
        <v>286</v>
      </c>
      <c r="C516" s="157"/>
      <c r="D516" s="150">
        <f>D513*4</f>
        <v>12</v>
      </c>
      <c r="E516" s="151">
        <f>C513-0.25+18*16/1000*3.281</f>
        <v>30.69</v>
      </c>
      <c r="F516" s="151"/>
      <c r="G516" s="151"/>
      <c r="H516" s="154">
        <f>E516*D516</f>
        <v>368.3</v>
      </c>
      <c r="I516" s="151"/>
      <c r="J516" s="151"/>
      <c r="K516" s="152"/>
      <c r="L516" s="160"/>
    </row>
    <row r="517" spans="1:12" s="148" customFormat="1" ht="18.649999999999999" customHeight="1">
      <c r="A517" s="149"/>
      <c r="B517" s="157" t="s">
        <v>51</v>
      </c>
      <c r="C517" s="157"/>
      <c r="D517" s="150">
        <f>ROUNDDOWN(E516/40,0)*D516</f>
        <v>0</v>
      </c>
      <c r="E517" s="151">
        <f>40*16/1000*3.281</f>
        <v>2.1</v>
      </c>
      <c r="F517" s="151"/>
      <c r="G517" s="151"/>
      <c r="H517" s="154">
        <f>E517*D517</f>
        <v>0</v>
      </c>
      <c r="I517" s="151"/>
      <c r="J517" s="151"/>
      <c r="K517" s="152"/>
      <c r="L517" s="160"/>
    </row>
    <row r="518" spans="1:12" s="148" customFormat="1" ht="18.649999999999999" customHeight="1">
      <c r="A518" s="149"/>
      <c r="B518" s="157" t="s">
        <v>284</v>
      </c>
      <c r="C518" s="234">
        <f>2*G513</f>
        <v>2.34</v>
      </c>
      <c r="D518" s="150">
        <f>D513*ROUND(E513/0.42,0)</f>
        <v>192</v>
      </c>
      <c r="E518" s="151">
        <f>ROUND((F513-0.25+G513-0.25)*2+24*10/1000*3.281,2)</f>
        <v>4.13</v>
      </c>
      <c r="F518" s="151"/>
      <c r="G518" s="151"/>
      <c r="H518" s="151"/>
      <c r="I518" s="151">
        <f>D518*E518</f>
        <v>792.96</v>
      </c>
      <c r="J518" s="151"/>
      <c r="K518" s="152"/>
      <c r="L518" s="160"/>
    </row>
    <row r="519" spans="1:12" s="148" customFormat="1" ht="18.649999999999999" customHeight="1">
      <c r="A519" s="149"/>
      <c r="B519" s="157"/>
      <c r="C519" s="157"/>
      <c r="D519" s="150"/>
      <c r="E519" s="151"/>
      <c r="F519" s="151"/>
      <c r="G519" s="151"/>
      <c r="H519" s="151"/>
      <c r="I519" s="151"/>
      <c r="J519" s="151"/>
      <c r="K519" s="152"/>
      <c r="L519" s="160"/>
    </row>
    <row r="520" spans="1:12" s="148" customFormat="1" ht="18.649999999999999" customHeight="1">
      <c r="A520" s="149"/>
      <c r="B520" s="245" t="str">
        <f>B314</f>
        <v>Line 3,4,5, 27' L</v>
      </c>
      <c r="C520" s="245">
        <v>27</v>
      </c>
      <c r="D520" s="226">
        <f>D314</f>
        <v>3</v>
      </c>
      <c r="E520" s="227">
        <f>E314</f>
        <v>24</v>
      </c>
      <c r="F520" s="227">
        <f>F314</f>
        <v>1</v>
      </c>
      <c r="G520" s="227">
        <f>G314</f>
        <v>1.17</v>
      </c>
      <c r="H520" s="151"/>
      <c r="I520" s="151"/>
      <c r="J520" s="151"/>
      <c r="K520" s="152"/>
      <c r="L520" s="160"/>
    </row>
    <row r="521" spans="1:12" s="148" customFormat="1" ht="18.649999999999999" customHeight="1">
      <c r="A521" s="149"/>
      <c r="B521" s="157" t="s">
        <v>285</v>
      </c>
      <c r="C521" s="157"/>
      <c r="D521" s="150">
        <f>D520*4</f>
        <v>12</v>
      </c>
      <c r="E521" s="151">
        <f>C520-0.25+(G520-0.25)*2</f>
        <v>28.59</v>
      </c>
      <c r="F521" s="151"/>
      <c r="G521" s="151"/>
      <c r="H521" s="154">
        <f>E521*D521</f>
        <v>343.1</v>
      </c>
      <c r="I521" s="151"/>
      <c r="J521" s="151"/>
      <c r="K521" s="152"/>
      <c r="L521" s="147"/>
    </row>
    <row r="522" spans="1:12" s="148" customFormat="1" ht="18.649999999999999" customHeight="1">
      <c r="A522" s="149"/>
      <c r="B522" s="157" t="s">
        <v>51</v>
      </c>
      <c r="C522" s="157"/>
      <c r="D522" s="150">
        <f>ROUNDDOWN(E521/40,0)*D521</f>
        <v>0</v>
      </c>
      <c r="E522" s="151">
        <f>40*16/1000*3.281</f>
        <v>2.1</v>
      </c>
      <c r="F522" s="151"/>
      <c r="G522" s="151"/>
      <c r="H522" s="154">
        <f>E522*D522</f>
        <v>0</v>
      </c>
      <c r="I522" s="151"/>
      <c r="J522" s="151"/>
      <c r="K522" s="152"/>
      <c r="L522" s="147"/>
    </row>
    <row r="523" spans="1:12" s="148" customFormat="1" ht="18.649999999999999" customHeight="1">
      <c r="A523" s="149"/>
      <c r="B523" s="157" t="s">
        <v>286</v>
      </c>
      <c r="C523" s="157"/>
      <c r="D523" s="150">
        <f>D520*4</f>
        <v>12</v>
      </c>
      <c r="E523" s="151">
        <f>C520-0.25+18*16/1000*3.281</f>
        <v>27.69</v>
      </c>
      <c r="F523" s="151"/>
      <c r="G523" s="151"/>
      <c r="H523" s="154">
        <f>E523*D523</f>
        <v>332.3</v>
      </c>
      <c r="I523" s="151"/>
      <c r="J523" s="151"/>
      <c r="K523" s="152"/>
      <c r="L523" s="160"/>
    </row>
    <row r="524" spans="1:12" s="148" customFormat="1" ht="18.649999999999999" customHeight="1">
      <c r="A524" s="149"/>
      <c r="B524" s="157" t="s">
        <v>51</v>
      </c>
      <c r="C524" s="157"/>
      <c r="D524" s="150">
        <f>ROUNDDOWN(E523/40,0)*D523</f>
        <v>0</v>
      </c>
      <c r="E524" s="151">
        <f>40*16/1000*3.281</f>
        <v>2.1</v>
      </c>
      <c r="F524" s="151"/>
      <c r="G524" s="151"/>
      <c r="H524" s="154">
        <f>E524*D524</f>
        <v>0</v>
      </c>
      <c r="I524" s="151"/>
      <c r="J524" s="151"/>
      <c r="K524" s="152"/>
      <c r="L524" s="160"/>
    </row>
    <row r="525" spans="1:12" s="148" customFormat="1" ht="18.649999999999999" customHeight="1">
      <c r="A525" s="149"/>
      <c r="B525" s="157" t="s">
        <v>284</v>
      </c>
      <c r="C525" s="234">
        <f>2*G520</f>
        <v>2.34</v>
      </c>
      <c r="D525" s="150">
        <f>D520*ROUND(E520/0.42,0)</f>
        <v>171</v>
      </c>
      <c r="E525" s="151">
        <f>ROUND((F520-0.25+G520-0.25)*2+24*10/1000*3.281,2)</f>
        <v>4.13</v>
      </c>
      <c r="F525" s="151"/>
      <c r="G525" s="151"/>
      <c r="H525" s="151"/>
      <c r="I525" s="151">
        <f>D525*E525</f>
        <v>706.23</v>
      </c>
      <c r="J525" s="151"/>
      <c r="K525" s="152"/>
      <c r="L525" s="160"/>
    </row>
    <row r="526" spans="1:12" s="148" customFormat="1" ht="18.649999999999999" customHeight="1">
      <c r="A526" s="149"/>
      <c r="B526" s="157"/>
      <c r="C526" s="157"/>
      <c r="D526" s="150"/>
      <c r="E526" s="151"/>
      <c r="F526" s="151"/>
      <c r="G526" s="151"/>
      <c r="H526" s="151"/>
      <c r="I526" s="151"/>
      <c r="J526" s="151"/>
      <c r="K526" s="152"/>
      <c r="L526" s="160"/>
    </row>
    <row r="527" spans="1:12" s="148" customFormat="1" ht="18.649999999999999" customHeight="1">
      <c r="A527" s="149"/>
      <c r="B527" s="245" t="str">
        <f>B315</f>
        <v xml:space="preserve">Line, A', 1'-2, 15' L </v>
      </c>
      <c r="C527" s="245">
        <v>10.5</v>
      </c>
      <c r="D527" s="226">
        <f>D315</f>
        <v>1</v>
      </c>
      <c r="E527" s="227">
        <f>E315</f>
        <v>15</v>
      </c>
      <c r="F527" s="227">
        <f>F315</f>
        <v>1</v>
      </c>
      <c r="G527" s="227">
        <f>G315</f>
        <v>1.17</v>
      </c>
      <c r="H527" s="151"/>
      <c r="I527" s="151"/>
      <c r="J527" s="151"/>
      <c r="K527" s="152"/>
      <c r="L527" s="160"/>
    </row>
    <row r="528" spans="1:12" s="148" customFormat="1" ht="18.649999999999999" customHeight="1">
      <c r="A528" s="149"/>
      <c r="B528" s="157" t="s">
        <v>285</v>
      </c>
      <c r="C528" s="157"/>
      <c r="D528" s="150">
        <f>D527*4</f>
        <v>4</v>
      </c>
      <c r="E528" s="151">
        <f>C527-0.25+(G527-0.25)*2</f>
        <v>12.09</v>
      </c>
      <c r="F528" s="151"/>
      <c r="G528" s="151"/>
      <c r="H528" s="154">
        <f>E528*D528</f>
        <v>48.4</v>
      </c>
      <c r="I528" s="151"/>
      <c r="J528" s="151"/>
      <c r="K528" s="152"/>
      <c r="L528" s="147"/>
    </row>
    <row r="529" spans="1:12" s="148" customFormat="1" ht="18.649999999999999" customHeight="1">
      <c r="A529" s="149"/>
      <c r="B529" s="157" t="s">
        <v>51</v>
      </c>
      <c r="C529" s="157"/>
      <c r="D529" s="150">
        <f>ROUNDDOWN(E528/40,0)*D528</f>
        <v>0</v>
      </c>
      <c r="E529" s="151">
        <f>40*16/1000*3.281</f>
        <v>2.1</v>
      </c>
      <c r="F529" s="151"/>
      <c r="G529" s="151"/>
      <c r="H529" s="154">
        <f>E529*D529</f>
        <v>0</v>
      </c>
      <c r="I529" s="151"/>
      <c r="J529" s="151"/>
      <c r="K529" s="152"/>
      <c r="L529" s="147"/>
    </row>
    <row r="530" spans="1:12" s="148" customFormat="1" ht="18.649999999999999" customHeight="1">
      <c r="A530" s="149"/>
      <c r="B530" s="157" t="s">
        <v>286</v>
      </c>
      <c r="C530" s="157"/>
      <c r="D530" s="150">
        <f>D527*4</f>
        <v>4</v>
      </c>
      <c r="E530" s="151">
        <f>C527-0.25+18*16/1000*3.281</f>
        <v>11.19</v>
      </c>
      <c r="F530" s="151"/>
      <c r="G530" s="151"/>
      <c r="H530" s="154">
        <f>E530*D530</f>
        <v>44.8</v>
      </c>
      <c r="I530" s="151"/>
      <c r="J530" s="151"/>
      <c r="K530" s="152"/>
      <c r="L530" s="160"/>
    </row>
    <row r="531" spans="1:12" s="148" customFormat="1" ht="18.649999999999999" customHeight="1">
      <c r="A531" s="149"/>
      <c r="B531" s="157" t="s">
        <v>51</v>
      </c>
      <c r="C531" s="157"/>
      <c r="D531" s="150">
        <f>ROUNDDOWN(E530/40,0)*D530</f>
        <v>0</v>
      </c>
      <c r="E531" s="151">
        <f>40*16/1000*3.281</f>
        <v>2.1</v>
      </c>
      <c r="F531" s="151"/>
      <c r="G531" s="151"/>
      <c r="H531" s="154">
        <f>E531*D531</f>
        <v>0</v>
      </c>
      <c r="I531" s="151"/>
      <c r="J531" s="151"/>
      <c r="K531" s="152"/>
      <c r="L531" s="160"/>
    </row>
    <row r="532" spans="1:12" s="148" customFormat="1" ht="18.649999999999999" customHeight="1">
      <c r="A532" s="149"/>
      <c r="B532" s="157" t="s">
        <v>284</v>
      </c>
      <c r="C532" s="234">
        <f>2*G527</f>
        <v>2.34</v>
      </c>
      <c r="D532" s="150">
        <f>D527*ROUND(E527/0.42,0)</f>
        <v>36</v>
      </c>
      <c r="E532" s="151">
        <f>ROUND((F527-0.25+G527-0.25)*2+24*10/1000*3.281,2)</f>
        <v>4.13</v>
      </c>
      <c r="F532" s="151"/>
      <c r="G532" s="151"/>
      <c r="H532" s="151"/>
      <c r="I532" s="151">
        <f>D532*E532</f>
        <v>148.68</v>
      </c>
      <c r="J532" s="151"/>
      <c r="K532" s="152"/>
      <c r="L532" s="160"/>
    </row>
    <row r="533" spans="1:12" s="148" customFormat="1" ht="18.649999999999999" customHeight="1">
      <c r="A533" s="149"/>
      <c r="B533" s="157"/>
      <c r="C533" s="157"/>
      <c r="D533" s="150"/>
      <c r="E533" s="151"/>
      <c r="F533" s="151"/>
      <c r="G533" s="151"/>
      <c r="H533" s="151"/>
      <c r="I533" s="151"/>
      <c r="J533" s="151"/>
      <c r="K533" s="152"/>
      <c r="L533" s="160"/>
    </row>
    <row r="534" spans="1:12" s="148" customFormat="1" ht="18.649999999999999" customHeight="1">
      <c r="A534" s="149"/>
      <c r="B534" s="245" t="str">
        <f>B316</f>
        <v>Line A, B , C, 43' L</v>
      </c>
      <c r="C534" s="245">
        <v>43</v>
      </c>
      <c r="D534" s="226">
        <f>D316</f>
        <v>3</v>
      </c>
      <c r="E534" s="227">
        <f>E316</f>
        <v>38</v>
      </c>
      <c r="F534" s="227">
        <f>F316</f>
        <v>1</v>
      </c>
      <c r="G534" s="227">
        <f>G316</f>
        <v>1.17</v>
      </c>
      <c r="H534" s="151"/>
      <c r="I534" s="151"/>
      <c r="J534" s="151"/>
      <c r="K534" s="152"/>
      <c r="L534" s="160"/>
    </row>
    <row r="535" spans="1:12" s="148" customFormat="1" ht="18.649999999999999" customHeight="1">
      <c r="A535" s="149"/>
      <c r="B535" s="157" t="s">
        <v>285</v>
      </c>
      <c r="C535" s="157"/>
      <c r="D535" s="150">
        <f>D534*4</f>
        <v>12</v>
      </c>
      <c r="E535" s="151">
        <f>C534-0.25+(G534-0.25)*2</f>
        <v>44.59</v>
      </c>
      <c r="F535" s="151"/>
      <c r="G535" s="151"/>
      <c r="H535" s="154">
        <f>E535*D535</f>
        <v>535.1</v>
      </c>
      <c r="I535" s="151"/>
      <c r="J535" s="151"/>
      <c r="K535" s="152"/>
      <c r="L535" s="147"/>
    </row>
    <row r="536" spans="1:12" s="148" customFormat="1" ht="18.649999999999999" customHeight="1">
      <c r="A536" s="149"/>
      <c r="B536" s="157" t="s">
        <v>51</v>
      </c>
      <c r="C536" s="157"/>
      <c r="D536" s="150">
        <f>ROUNDDOWN(E535/40,0)*D535</f>
        <v>12</v>
      </c>
      <c r="E536" s="151">
        <f>40*16/1000*3.281</f>
        <v>2.1</v>
      </c>
      <c r="F536" s="151"/>
      <c r="G536" s="151"/>
      <c r="H536" s="154">
        <f>E536*D536</f>
        <v>25.2</v>
      </c>
      <c r="I536" s="151"/>
      <c r="J536" s="151"/>
      <c r="K536" s="152"/>
      <c r="L536" s="147"/>
    </row>
    <row r="537" spans="1:12" s="148" customFormat="1" ht="18.649999999999999" customHeight="1">
      <c r="A537" s="149"/>
      <c r="B537" s="157" t="s">
        <v>286</v>
      </c>
      <c r="C537" s="157"/>
      <c r="D537" s="150">
        <f>D534*4</f>
        <v>12</v>
      </c>
      <c r="E537" s="151">
        <f>C534-0.25+18*16/1000*3.281</f>
        <v>43.69</v>
      </c>
      <c r="F537" s="151"/>
      <c r="G537" s="151"/>
      <c r="H537" s="154">
        <f>E537*D537</f>
        <v>524.29999999999995</v>
      </c>
      <c r="I537" s="151"/>
      <c r="J537" s="151"/>
      <c r="K537" s="152"/>
      <c r="L537" s="160"/>
    </row>
    <row r="538" spans="1:12" s="148" customFormat="1" ht="18.649999999999999" customHeight="1">
      <c r="A538" s="149"/>
      <c r="B538" s="157" t="s">
        <v>51</v>
      </c>
      <c r="C538" s="157"/>
      <c r="D538" s="150">
        <f>ROUNDDOWN(E537/40,0)*D537</f>
        <v>12</v>
      </c>
      <c r="E538" s="151">
        <f>40*16/1000*3.281</f>
        <v>2.1</v>
      </c>
      <c r="F538" s="151"/>
      <c r="G538" s="151"/>
      <c r="H538" s="154">
        <f>E538*D538</f>
        <v>25.2</v>
      </c>
      <c r="I538" s="151"/>
      <c r="J538" s="151"/>
      <c r="K538" s="152"/>
      <c r="L538" s="160"/>
    </row>
    <row r="539" spans="1:12" s="148" customFormat="1" ht="18.649999999999999" customHeight="1">
      <c r="A539" s="149"/>
      <c r="B539" s="157" t="s">
        <v>284</v>
      </c>
      <c r="C539" s="234">
        <f>2*G534</f>
        <v>2.34</v>
      </c>
      <c r="D539" s="150">
        <f>D534*ROUND(E534/0.42,0)</f>
        <v>270</v>
      </c>
      <c r="E539" s="151">
        <f>ROUND((F534-0.25+G534-0.25)*2+24*10/1000*3.281,2)</f>
        <v>4.13</v>
      </c>
      <c r="F539" s="151"/>
      <c r="G539" s="151"/>
      <c r="H539" s="151"/>
      <c r="I539" s="151">
        <f>D539*E539</f>
        <v>1115.0999999999999</v>
      </c>
      <c r="J539" s="151"/>
      <c r="K539" s="152"/>
      <c r="L539" s="160"/>
    </row>
    <row r="540" spans="1:12" s="148" customFormat="1" ht="18.649999999999999" customHeight="1">
      <c r="A540" s="149"/>
      <c r="B540" s="159" t="str">
        <f>B319</f>
        <v>2nd Floor Level Beam</v>
      </c>
      <c r="C540" s="157"/>
      <c r="D540" s="150"/>
      <c r="E540" s="151"/>
      <c r="F540" s="151"/>
      <c r="G540" s="151"/>
      <c r="H540" s="151"/>
      <c r="I540" s="151"/>
      <c r="J540" s="151"/>
      <c r="K540" s="152"/>
      <c r="L540" s="160"/>
    </row>
    <row r="541" spans="1:12" s="148" customFormat="1" ht="18.649999999999999" customHeight="1">
      <c r="A541" s="149"/>
      <c r="B541" s="225" t="str">
        <f>B320</f>
        <v>2FB1 (10" x 10")</v>
      </c>
      <c r="C541" s="157"/>
      <c r="D541" s="150"/>
      <c r="E541" s="151"/>
      <c r="F541" s="151"/>
      <c r="G541" s="151"/>
      <c r="H541" s="151"/>
      <c r="I541" s="151"/>
      <c r="J541" s="151"/>
      <c r="K541" s="152"/>
      <c r="L541" s="160"/>
    </row>
    <row r="542" spans="1:12" s="148" customFormat="1" ht="18.649999999999999" customHeight="1">
      <c r="A542" s="149"/>
      <c r="B542" s="245" t="str">
        <f>B321</f>
        <v>Y-Dir Bet 2-4, 18' L</v>
      </c>
      <c r="C542" s="245">
        <v>18</v>
      </c>
      <c r="D542" s="226">
        <f>D321</f>
        <v>1</v>
      </c>
      <c r="E542" s="227">
        <f>E321</f>
        <v>17</v>
      </c>
      <c r="F542" s="227">
        <f>F321</f>
        <v>0.83</v>
      </c>
      <c r="G542" s="227">
        <f>G321</f>
        <v>0.83</v>
      </c>
      <c r="H542" s="151"/>
      <c r="I542" s="151"/>
      <c r="J542" s="151"/>
      <c r="K542" s="152"/>
      <c r="L542" s="160"/>
    </row>
    <row r="543" spans="1:12" s="148" customFormat="1" ht="18.649999999999999" customHeight="1">
      <c r="A543" s="149"/>
      <c r="B543" s="157" t="s">
        <v>128</v>
      </c>
      <c r="C543" s="157"/>
      <c r="D543" s="150">
        <f>D542*3</f>
        <v>3</v>
      </c>
      <c r="E543" s="151">
        <f>C542-0.25+(G542-0.25)*2</f>
        <v>18.91</v>
      </c>
      <c r="F543" s="151"/>
      <c r="G543" s="151"/>
      <c r="H543" s="154">
        <f>E543*D543</f>
        <v>56.7</v>
      </c>
      <c r="I543" s="151"/>
      <c r="J543" s="151"/>
      <c r="K543" s="152"/>
      <c r="L543" s="147"/>
    </row>
    <row r="544" spans="1:12" s="148" customFormat="1" ht="18.649999999999999" customHeight="1">
      <c r="A544" s="149"/>
      <c r="B544" s="157" t="s">
        <v>51</v>
      </c>
      <c r="C544" s="157"/>
      <c r="D544" s="150">
        <f>ROUNDDOWN(E543/40,0)*D543</f>
        <v>0</v>
      </c>
      <c r="E544" s="151">
        <f>40*16/1000*3.281</f>
        <v>2.1</v>
      </c>
      <c r="F544" s="151"/>
      <c r="G544" s="151"/>
      <c r="H544" s="154">
        <f>E544*D544</f>
        <v>0</v>
      </c>
      <c r="I544" s="151"/>
      <c r="J544" s="151"/>
      <c r="K544" s="152"/>
      <c r="L544" s="147"/>
    </row>
    <row r="545" spans="1:12" s="148" customFormat="1" ht="18.649999999999999" customHeight="1">
      <c r="A545" s="149"/>
      <c r="B545" s="157" t="s">
        <v>129</v>
      </c>
      <c r="C545" s="157"/>
      <c r="D545" s="150">
        <f>D542*3</f>
        <v>3</v>
      </c>
      <c r="E545" s="151">
        <f>C542-0.25+18*16/1000*3.281</f>
        <v>18.690000000000001</v>
      </c>
      <c r="F545" s="151"/>
      <c r="G545" s="151"/>
      <c r="H545" s="154">
        <f>E545*D545</f>
        <v>56.1</v>
      </c>
      <c r="I545" s="151"/>
      <c r="J545" s="151"/>
      <c r="K545" s="152"/>
      <c r="L545" s="160"/>
    </row>
    <row r="546" spans="1:12" s="148" customFormat="1" ht="18.649999999999999" customHeight="1">
      <c r="A546" s="149"/>
      <c r="B546" s="157" t="s">
        <v>51</v>
      </c>
      <c r="C546" s="157"/>
      <c r="D546" s="150">
        <f>ROUNDDOWN(E545/40,0)*D545</f>
        <v>0</v>
      </c>
      <c r="E546" s="151">
        <f>40*16/1000*3.281</f>
        <v>2.1</v>
      </c>
      <c r="F546" s="151"/>
      <c r="G546" s="151"/>
      <c r="H546" s="154">
        <f>E546*D546</f>
        <v>0</v>
      </c>
      <c r="I546" s="151"/>
      <c r="J546" s="151"/>
      <c r="K546" s="152"/>
      <c r="L546" s="160"/>
    </row>
    <row r="547" spans="1:12" s="148" customFormat="1" ht="18.649999999999999" customHeight="1">
      <c r="A547" s="149"/>
      <c r="B547" s="157" t="s">
        <v>284</v>
      </c>
      <c r="C547" s="234">
        <f>2*G542</f>
        <v>1.66</v>
      </c>
      <c r="D547" s="150">
        <f>D542*ROUND(E542/0.42,0)</f>
        <v>40</v>
      </c>
      <c r="E547" s="151">
        <f>ROUND((F542-0.25+G542-0.25)*2+24*10/1000*3.281,2)</f>
        <v>3.11</v>
      </c>
      <c r="F547" s="151"/>
      <c r="G547" s="151"/>
      <c r="H547" s="151"/>
      <c r="I547" s="151">
        <f>D547*E547</f>
        <v>124.4</v>
      </c>
      <c r="J547" s="151"/>
      <c r="K547" s="152"/>
      <c r="L547" s="160"/>
    </row>
    <row r="548" spans="1:12" s="148" customFormat="1" ht="18.649999999999999" customHeight="1">
      <c r="A548" s="149"/>
      <c r="B548" s="157"/>
      <c r="C548" s="157"/>
      <c r="D548" s="150"/>
      <c r="E548" s="151"/>
      <c r="F548" s="151"/>
      <c r="G548" s="151"/>
      <c r="H548" s="151"/>
      <c r="I548" s="151"/>
      <c r="J548" s="151"/>
      <c r="K548" s="152"/>
      <c r="L548" s="160"/>
    </row>
    <row r="549" spans="1:12" s="148" customFormat="1" ht="18.649999999999999" customHeight="1">
      <c r="A549" s="149"/>
      <c r="B549" s="245" t="str">
        <f>B322</f>
        <v>Y-Dir Bet 4-5, 10' L</v>
      </c>
      <c r="C549" s="245">
        <v>10</v>
      </c>
      <c r="D549" s="226">
        <f>D322</f>
        <v>2</v>
      </c>
      <c r="E549" s="227">
        <f>E322</f>
        <v>8.5</v>
      </c>
      <c r="F549" s="227">
        <f>F322</f>
        <v>0.83</v>
      </c>
      <c r="G549" s="227">
        <f>G322</f>
        <v>0.83</v>
      </c>
      <c r="H549" s="151"/>
      <c r="I549" s="151"/>
      <c r="J549" s="151"/>
      <c r="K549" s="152"/>
      <c r="L549" s="160"/>
    </row>
    <row r="550" spans="1:12" s="148" customFormat="1" ht="18.649999999999999" customHeight="1">
      <c r="A550" s="149"/>
      <c r="B550" s="157" t="s">
        <v>128</v>
      </c>
      <c r="C550" s="157"/>
      <c r="D550" s="150">
        <f>D549*3</f>
        <v>6</v>
      </c>
      <c r="E550" s="151">
        <f>C549-0.25+(G549-0.25)*2</f>
        <v>10.91</v>
      </c>
      <c r="F550" s="151"/>
      <c r="G550" s="151"/>
      <c r="H550" s="154">
        <f>E550*D550</f>
        <v>65.5</v>
      </c>
      <c r="I550" s="151"/>
      <c r="J550" s="151"/>
      <c r="K550" s="152"/>
      <c r="L550" s="147"/>
    </row>
    <row r="551" spans="1:12" s="148" customFormat="1" ht="18.649999999999999" customHeight="1">
      <c r="A551" s="149"/>
      <c r="B551" s="157" t="s">
        <v>51</v>
      </c>
      <c r="C551" s="157"/>
      <c r="D551" s="150">
        <f>ROUNDDOWN(E550/40,0)*D550</f>
        <v>0</v>
      </c>
      <c r="E551" s="151">
        <f>40*16/1000*3.281</f>
        <v>2.1</v>
      </c>
      <c r="F551" s="151"/>
      <c r="G551" s="151"/>
      <c r="H551" s="154">
        <f>E551*D551</f>
        <v>0</v>
      </c>
      <c r="I551" s="151"/>
      <c r="J551" s="151"/>
      <c r="K551" s="152"/>
      <c r="L551" s="147"/>
    </row>
    <row r="552" spans="1:12" s="148" customFormat="1" ht="18.649999999999999" customHeight="1">
      <c r="A552" s="149"/>
      <c r="B552" s="157" t="s">
        <v>129</v>
      </c>
      <c r="C552" s="157"/>
      <c r="D552" s="150">
        <f>D549*3</f>
        <v>6</v>
      </c>
      <c r="E552" s="151">
        <f>C549-0.25+18*16/1000*3.281</f>
        <v>10.69</v>
      </c>
      <c r="F552" s="151"/>
      <c r="G552" s="151"/>
      <c r="H552" s="154">
        <f>E552*D552</f>
        <v>64.099999999999994</v>
      </c>
      <c r="I552" s="151"/>
      <c r="J552" s="151"/>
      <c r="K552" s="152"/>
      <c r="L552" s="160"/>
    </row>
    <row r="553" spans="1:12" s="148" customFormat="1" ht="18.649999999999999" customHeight="1">
      <c r="A553" s="149"/>
      <c r="B553" s="157" t="s">
        <v>51</v>
      </c>
      <c r="C553" s="157"/>
      <c r="D553" s="150">
        <f>ROUNDDOWN(E552/40,0)*D552</f>
        <v>0</v>
      </c>
      <c r="E553" s="151">
        <f>40*16/1000*3.281</f>
        <v>2.1</v>
      </c>
      <c r="F553" s="151"/>
      <c r="G553" s="151"/>
      <c r="H553" s="154">
        <f>E553*D553</f>
        <v>0</v>
      </c>
      <c r="I553" s="151"/>
      <c r="J553" s="151"/>
      <c r="K553" s="152"/>
      <c r="L553" s="160"/>
    </row>
    <row r="554" spans="1:12" s="148" customFormat="1" ht="18.649999999999999" customHeight="1">
      <c r="A554" s="149"/>
      <c r="B554" s="157" t="s">
        <v>284</v>
      </c>
      <c r="C554" s="234">
        <f>2*G549</f>
        <v>1.66</v>
      </c>
      <c r="D554" s="150">
        <f>D549*ROUND(E549/0.42,0)</f>
        <v>40</v>
      </c>
      <c r="E554" s="151">
        <f>ROUND((F549-0.25+G549-0.25)*2+24*10/1000*3.281,2)</f>
        <v>3.11</v>
      </c>
      <c r="F554" s="151"/>
      <c r="G554" s="151"/>
      <c r="H554" s="151"/>
      <c r="I554" s="151">
        <f>D554*E554</f>
        <v>124.4</v>
      </c>
      <c r="J554" s="151"/>
      <c r="K554" s="152"/>
      <c r="L554" s="160"/>
    </row>
    <row r="555" spans="1:12" s="148" customFormat="1" ht="18.649999999999999" customHeight="1">
      <c r="A555" s="149"/>
      <c r="B555" s="157"/>
      <c r="C555" s="157"/>
      <c r="D555" s="150"/>
      <c r="E555" s="151"/>
      <c r="F555" s="151"/>
      <c r="G555" s="151"/>
      <c r="H555" s="151"/>
      <c r="I555" s="151"/>
      <c r="J555" s="151"/>
      <c r="K555" s="152"/>
      <c r="L555" s="160"/>
    </row>
    <row r="556" spans="1:12" s="148" customFormat="1" ht="18.649999999999999" customHeight="1">
      <c r="A556" s="149"/>
      <c r="B556" s="245" t="str">
        <f>B323</f>
        <v xml:space="preserve">X-Dir Bet; 4&amp;5, 14' L </v>
      </c>
      <c r="C556" s="245">
        <v>14</v>
      </c>
      <c r="D556" s="226">
        <f>D323</f>
        <v>1</v>
      </c>
      <c r="E556" s="227">
        <f>E323</f>
        <v>13.75</v>
      </c>
      <c r="F556" s="227">
        <f>F323</f>
        <v>0.83</v>
      </c>
      <c r="G556" s="227">
        <f>G323</f>
        <v>0.83</v>
      </c>
      <c r="H556" s="151"/>
      <c r="I556" s="151"/>
      <c r="J556" s="151"/>
      <c r="K556" s="152"/>
      <c r="L556" s="160"/>
    </row>
    <row r="557" spans="1:12" s="148" customFormat="1" ht="18.649999999999999" customHeight="1">
      <c r="A557" s="149"/>
      <c r="B557" s="157" t="s">
        <v>128</v>
      </c>
      <c r="C557" s="157"/>
      <c r="D557" s="150">
        <f>D556*3</f>
        <v>3</v>
      </c>
      <c r="E557" s="151">
        <f>C556-0.25+(G556-0.25)*2</f>
        <v>14.91</v>
      </c>
      <c r="F557" s="151"/>
      <c r="G557" s="151"/>
      <c r="H557" s="154">
        <f>E557*D557</f>
        <v>44.7</v>
      </c>
      <c r="I557" s="151"/>
      <c r="J557" s="151"/>
      <c r="K557" s="152"/>
      <c r="L557" s="147"/>
    </row>
    <row r="558" spans="1:12" s="148" customFormat="1" ht="18.649999999999999" customHeight="1">
      <c r="A558" s="149"/>
      <c r="B558" s="157" t="s">
        <v>51</v>
      </c>
      <c r="C558" s="157"/>
      <c r="D558" s="150">
        <f>ROUNDDOWN(E557/40,0)*D557</f>
        <v>0</v>
      </c>
      <c r="E558" s="151">
        <f>40*16/1000*3.281</f>
        <v>2.1</v>
      </c>
      <c r="F558" s="151"/>
      <c r="G558" s="151"/>
      <c r="H558" s="154">
        <f>E558*D558</f>
        <v>0</v>
      </c>
      <c r="I558" s="151"/>
      <c r="J558" s="151"/>
      <c r="K558" s="152"/>
      <c r="L558" s="147"/>
    </row>
    <row r="559" spans="1:12" s="148" customFormat="1" ht="18.649999999999999" customHeight="1">
      <c r="A559" s="149"/>
      <c r="B559" s="157" t="s">
        <v>129</v>
      </c>
      <c r="C559" s="157"/>
      <c r="D559" s="150">
        <f>D556*3</f>
        <v>3</v>
      </c>
      <c r="E559" s="151">
        <f>C556-0.25+18*16/1000*3.281</f>
        <v>14.69</v>
      </c>
      <c r="F559" s="151"/>
      <c r="G559" s="151"/>
      <c r="H559" s="154">
        <f>E559*D559</f>
        <v>44.1</v>
      </c>
      <c r="I559" s="151"/>
      <c r="J559" s="151"/>
      <c r="K559" s="152"/>
      <c r="L559" s="160"/>
    </row>
    <row r="560" spans="1:12" s="148" customFormat="1" ht="18.649999999999999" customHeight="1">
      <c r="A560" s="149"/>
      <c r="B560" s="157" t="s">
        <v>51</v>
      </c>
      <c r="C560" s="157"/>
      <c r="D560" s="150">
        <f>ROUNDDOWN(E559/40,0)*D559</f>
        <v>0</v>
      </c>
      <c r="E560" s="151">
        <f>40*16/1000*3.281</f>
        <v>2.1</v>
      </c>
      <c r="F560" s="151"/>
      <c r="G560" s="151"/>
      <c r="H560" s="154">
        <f>E560*D560</f>
        <v>0</v>
      </c>
      <c r="I560" s="151"/>
      <c r="J560" s="151"/>
      <c r="K560" s="152"/>
      <c r="L560" s="160"/>
    </row>
    <row r="561" spans="1:12" s="148" customFormat="1" ht="18.649999999999999" customHeight="1">
      <c r="A561" s="149"/>
      <c r="B561" s="157" t="s">
        <v>284</v>
      </c>
      <c r="C561" s="234">
        <f>2*G556</f>
        <v>1.66</v>
      </c>
      <c r="D561" s="150">
        <f>D556*ROUND(E556/0.42,0)</f>
        <v>33</v>
      </c>
      <c r="E561" s="151">
        <f>ROUND((F556-0.25+G556-0.25)*2+24*10/1000*3.281,2)</f>
        <v>3.11</v>
      </c>
      <c r="F561" s="151"/>
      <c r="G561" s="151"/>
      <c r="H561" s="151"/>
      <c r="I561" s="151">
        <f>D561*E561</f>
        <v>102.63</v>
      </c>
      <c r="J561" s="151"/>
      <c r="K561" s="152"/>
      <c r="L561" s="160"/>
    </row>
    <row r="562" spans="1:12" s="148" customFormat="1" ht="18.649999999999999" customHeight="1">
      <c r="A562" s="149"/>
      <c r="B562" s="225" t="str">
        <f>B325</f>
        <v>2FB2 (12"x14")</v>
      </c>
      <c r="C562" s="234"/>
      <c r="D562" s="150"/>
      <c r="E562" s="151"/>
      <c r="F562" s="151"/>
      <c r="G562" s="151"/>
      <c r="H562" s="151"/>
      <c r="I562" s="151"/>
      <c r="J562" s="151"/>
      <c r="K562" s="152"/>
      <c r="L562" s="160"/>
    </row>
    <row r="563" spans="1:12" s="148" customFormat="1" ht="18.649999999999999" customHeight="1">
      <c r="A563" s="149"/>
      <c r="B563" s="245" t="str">
        <f>B326</f>
        <v>Line 1', 30' 0" L</v>
      </c>
      <c r="C563" s="245">
        <v>30</v>
      </c>
      <c r="D563" s="226">
        <f>D326</f>
        <v>1</v>
      </c>
      <c r="E563" s="227">
        <f>E326</f>
        <v>26</v>
      </c>
      <c r="F563" s="227">
        <f>F326</f>
        <v>1</v>
      </c>
      <c r="G563" s="227">
        <f>G326</f>
        <v>1.17</v>
      </c>
      <c r="H563" s="151"/>
      <c r="I563" s="151"/>
      <c r="J563" s="151"/>
      <c r="K563" s="152"/>
      <c r="L563" s="160"/>
    </row>
    <row r="564" spans="1:12" s="148" customFormat="1" ht="18.649999999999999" customHeight="1">
      <c r="A564" s="149"/>
      <c r="B564" s="157" t="s">
        <v>285</v>
      </c>
      <c r="C564" s="157"/>
      <c r="D564" s="150">
        <f>D563*4</f>
        <v>4</v>
      </c>
      <c r="E564" s="151">
        <f>C563-0.25+(G563-0.25)*2</f>
        <v>31.59</v>
      </c>
      <c r="F564" s="151"/>
      <c r="G564" s="151"/>
      <c r="H564" s="154">
        <f>E564*D564</f>
        <v>126.4</v>
      </c>
      <c r="I564" s="151"/>
      <c r="J564" s="151"/>
      <c r="K564" s="152"/>
      <c r="L564" s="147"/>
    </row>
    <row r="565" spans="1:12" s="148" customFormat="1" ht="18.649999999999999" customHeight="1">
      <c r="A565" s="149"/>
      <c r="B565" s="157" t="s">
        <v>51</v>
      </c>
      <c r="C565" s="157"/>
      <c r="D565" s="150">
        <f>ROUNDDOWN(E564/40,0)*D564</f>
        <v>0</v>
      </c>
      <c r="E565" s="151">
        <f>40*16/1000*3.281</f>
        <v>2.1</v>
      </c>
      <c r="F565" s="151"/>
      <c r="G565" s="151"/>
      <c r="H565" s="154">
        <f>E565*D565</f>
        <v>0</v>
      </c>
      <c r="I565" s="151"/>
      <c r="J565" s="151"/>
      <c r="K565" s="152"/>
      <c r="L565" s="147"/>
    </row>
    <row r="566" spans="1:12" s="148" customFormat="1" ht="18.649999999999999" customHeight="1">
      <c r="A566" s="149"/>
      <c r="B566" s="157" t="s">
        <v>286</v>
      </c>
      <c r="C566" s="157"/>
      <c r="D566" s="150">
        <f>D563*4</f>
        <v>4</v>
      </c>
      <c r="E566" s="151">
        <f>C563-0.25+18*16/1000*3.281</f>
        <v>30.69</v>
      </c>
      <c r="F566" s="151"/>
      <c r="G566" s="151"/>
      <c r="H566" s="154">
        <f>E566*D566</f>
        <v>122.8</v>
      </c>
      <c r="I566" s="151"/>
      <c r="J566" s="151"/>
      <c r="K566" s="152"/>
      <c r="L566" s="160"/>
    </row>
    <row r="567" spans="1:12" s="148" customFormat="1" ht="18.649999999999999" customHeight="1">
      <c r="A567" s="149"/>
      <c r="B567" s="157" t="s">
        <v>51</v>
      </c>
      <c r="C567" s="157"/>
      <c r="D567" s="150">
        <f>ROUNDDOWN(E566/40,0)*D566</f>
        <v>0</v>
      </c>
      <c r="E567" s="151">
        <f>40*16/1000*3.281</f>
        <v>2.1</v>
      </c>
      <c r="F567" s="151"/>
      <c r="G567" s="151"/>
      <c r="H567" s="154">
        <f>E567*D567</f>
        <v>0</v>
      </c>
      <c r="I567" s="151"/>
      <c r="J567" s="151"/>
      <c r="K567" s="152"/>
      <c r="L567" s="160"/>
    </row>
    <row r="568" spans="1:12" s="148" customFormat="1" ht="18.649999999999999" customHeight="1">
      <c r="A568" s="149"/>
      <c r="B568" s="157" t="s">
        <v>284</v>
      </c>
      <c r="C568" s="234">
        <f>2*G563</f>
        <v>2.34</v>
      </c>
      <c r="D568" s="150">
        <f>D563*ROUND(E563/0.42,0)</f>
        <v>62</v>
      </c>
      <c r="E568" s="151">
        <f>ROUND((F563-0.25+G563-0.25)*2+24*10/1000*3.281,2)</f>
        <v>4.13</v>
      </c>
      <c r="F568" s="151"/>
      <c r="G568" s="151"/>
      <c r="H568" s="151"/>
      <c r="I568" s="151">
        <f>D568*E568</f>
        <v>256.06</v>
      </c>
      <c r="J568" s="151"/>
      <c r="K568" s="152"/>
      <c r="L568" s="160"/>
    </row>
    <row r="569" spans="1:12" s="148" customFormat="1" ht="18.649999999999999" customHeight="1">
      <c r="A569" s="149"/>
      <c r="B569" s="157"/>
      <c r="C569" s="157"/>
      <c r="D569" s="150"/>
      <c r="E569" s="151"/>
      <c r="F569" s="151"/>
      <c r="G569" s="151"/>
      <c r="H569" s="151"/>
      <c r="I569" s="151"/>
      <c r="J569" s="151"/>
      <c r="K569" s="152"/>
      <c r="L569" s="160"/>
    </row>
    <row r="570" spans="1:12" s="148" customFormat="1" ht="18.649999999999999" customHeight="1">
      <c r="A570" s="149"/>
      <c r="B570" s="245" t="str">
        <f>B327</f>
        <v>Line 1, 2, 30' L</v>
      </c>
      <c r="C570" s="245">
        <v>30</v>
      </c>
      <c r="D570" s="226">
        <f>D327</f>
        <v>2</v>
      </c>
      <c r="E570" s="227">
        <f>E327</f>
        <v>27</v>
      </c>
      <c r="F570" s="227">
        <f>F327</f>
        <v>1</v>
      </c>
      <c r="G570" s="227">
        <f>G327</f>
        <v>1.17</v>
      </c>
      <c r="H570" s="151"/>
      <c r="I570" s="151"/>
      <c r="J570" s="151"/>
      <c r="K570" s="152"/>
      <c r="L570" s="160"/>
    </row>
    <row r="571" spans="1:12" s="148" customFormat="1" ht="18.649999999999999" customHeight="1">
      <c r="A571" s="149"/>
      <c r="B571" s="157" t="s">
        <v>285</v>
      </c>
      <c r="C571" s="157"/>
      <c r="D571" s="150">
        <f>D570*4</f>
        <v>8</v>
      </c>
      <c r="E571" s="151">
        <f>C570-0.25+(G570-0.25)*2</f>
        <v>31.59</v>
      </c>
      <c r="F571" s="151"/>
      <c r="G571" s="151"/>
      <c r="H571" s="154">
        <f>E571*D571</f>
        <v>252.7</v>
      </c>
      <c r="I571" s="151"/>
      <c r="J571" s="151"/>
      <c r="K571" s="152"/>
      <c r="L571" s="147"/>
    </row>
    <row r="572" spans="1:12" s="148" customFormat="1" ht="18.649999999999999" customHeight="1">
      <c r="A572" s="149"/>
      <c r="B572" s="157" t="s">
        <v>51</v>
      </c>
      <c r="C572" s="157"/>
      <c r="D572" s="150">
        <f>ROUNDDOWN(E571/40,0)*D571</f>
        <v>0</v>
      </c>
      <c r="E572" s="151">
        <f>40*16/1000*3.281</f>
        <v>2.1</v>
      </c>
      <c r="F572" s="151"/>
      <c r="G572" s="151"/>
      <c r="H572" s="154">
        <f>E572*D572</f>
        <v>0</v>
      </c>
      <c r="I572" s="151"/>
      <c r="J572" s="151"/>
      <c r="K572" s="152"/>
      <c r="L572" s="147"/>
    </row>
    <row r="573" spans="1:12" s="148" customFormat="1" ht="18.649999999999999" customHeight="1">
      <c r="A573" s="149"/>
      <c r="B573" s="157" t="s">
        <v>286</v>
      </c>
      <c r="C573" s="157"/>
      <c r="D573" s="150">
        <f>D570*4</f>
        <v>8</v>
      </c>
      <c r="E573" s="151">
        <f>C570-0.25+18*16/1000*3.281</f>
        <v>30.69</v>
      </c>
      <c r="F573" s="151"/>
      <c r="G573" s="151"/>
      <c r="H573" s="154">
        <f>E573*D573</f>
        <v>245.5</v>
      </c>
      <c r="I573" s="151"/>
      <c r="J573" s="151"/>
      <c r="K573" s="152"/>
      <c r="L573" s="160"/>
    </row>
    <row r="574" spans="1:12" s="148" customFormat="1" ht="18.649999999999999" customHeight="1">
      <c r="A574" s="149"/>
      <c r="B574" s="157" t="s">
        <v>51</v>
      </c>
      <c r="C574" s="157"/>
      <c r="D574" s="150">
        <f>ROUNDDOWN(E573/40,0)*D573</f>
        <v>0</v>
      </c>
      <c r="E574" s="151">
        <f>40*16/1000*3.281</f>
        <v>2.1</v>
      </c>
      <c r="F574" s="151"/>
      <c r="G574" s="151"/>
      <c r="H574" s="154">
        <f>E574*D574</f>
        <v>0</v>
      </c>
      <c r="I574" s="151"/>
      <c r="J574" s="151"/>
      <c r="K574" s="152"/>
      <c r="L574" s="160"/>
    </row>
    <row r="575" spans="1:12" s="148" customFormat="1" ht="18.649999999999999" customHeight="1">
      <c r="A575" s="149"/>
      <c r="B575" s="157" t="s">
        <v>284</v>
      </c>
      <c r="C575" s="234">
        <f>2*G570</f>
        <v>2.34</v>
      </c>
      <c r="D575" s="150">
        <f>D570*ROUND(E570/0.42,0)</f>
        <v>128</v>
      </c>
      <c r="E575" s="151">
        <f>ROUND((F570-0.25+G570-0.25)*2+24*10/1000*3.281,2)</f>
        <v>4.13</v>
      </c>
      <c r="F575" s="151"/>
      <c r="G575" s="151"/>
      <c r="H575" s="151"/>
      <c r="I575" s="151">
        <f>D575*E575</f>
        <v>528.64</v>
      </c>
      <c r="J575" s="151"/>
      <c r="K575" s="152"/>
      <c r="L575" s="160"/>
    </row>
    <row r="576" spans="1:12" s="148" customFormat="1" ht="18.649999999999999" customHeight="1">
      <c r="A576" s="149"/>
      <c r="B576" s="245" t="str">
        <f>B328</f>
        <v>Line 3,4,5, 27' L</v>
      </c>
      <c r="C576" s="245">
        <v>27</v>
      </c>
      <c r="D576" s="226">
        <f>D328</f>
        <v>3</v>
      </c>
      <c r="E576" s="227">
        <f>E328</f>
        <v>24</v>
      </c>
      <c r="F576" s="227">
        <f>F328</f>
        <v>1</v>
      </c>
      <c r="G576" s="227">
        <f>G328</f>
        <v>1.17</v>
      </c>
      <c r="H576" s="151"/>
      <c r="I576" s="151"/>
      <c r="J576" s="151"/>
      <c r="K576" s="152"/>
      <c r="L576" s="160"/>
    </row>
    <row r="577" spans="1:12" s="148" customFormat="1" ht="18.649999999999999" customHeight="1">
      <c r="A577" s="149"/>
      <c r="B577" s="157" t="s">
        <v>285</v>
      </c>
      <c r="C577" s="157"/>
      <c r="D577" s="150">
        <f>D576*4</f>
        <v>12</v>
      </c>
      <c r="E577" s="151">
        <f>C576-0.25+(G576-0.25)*2</f>
        <v>28.59</v>
      </c>
      <c r="F577" s="151"/>
      <c r="G577" s="151"/>
      <c r="H577" s="154">
        <f>E577*D577</f>
        <v>343.1</v>
      </c>
      <c r="I577" s="151"/>
      <c r="J577" s="151"/>
      <c r="K577" s="152"/>
      <c r="L577" s="147"/>
    </row>
    <row r="578" spans="1:12" s="148" customFormat="1" ht="18.649999999999999" customHeight="1">
      <c r="A578" s="149"/>
      <c r="B578" s="157" t="s">
        <v>51</v>
      </c>
      <c r="C578" s="157"/>
      <c r="D578" s="150">
        <f>ROUNDDOWN(E577/40,0)*D577</f>
        <v>0</v>
      </c>
      <c r="E578" s="151">
        <f>40*16/1000*3.281</f>
        <v>2.1</v>
      </c>
      <c r="F578" s="151"/>
      <c r="G578" s="151"/>
      <c r="H578" s="154">
        <f>E578*D578</f>
        <v>0</v>
      </c>
      <c r="I578" s="151"/>
      <c r="J578" s="151"/>
      <c r="K578" s="152"/>
      <c r="L578" s="147"/>
    </row>
    <row r="579" spans="1:12" s="148" customFormat="1" ht="18.649999999999999" customHeight="1">
      <c r="A579" s="149"/>
      <c r="B579" s="157" t="s">
        <v>286</v>
      </c>
      <c r="C579" s="157"/>
      <c r="D579" s="150">
        <f>D576*4</f>
        <v>12</v>
      </c>
      <c r="E579" s="151">
        <f>C576-0.25+18*16/1000*3.281</f>
        <v>27.69</v>
      </c>
      <c r="F579" s="151"/>
      <c r="G579" s="151"/>
      <c r="H579" s="154">
        <f>E579*D579</f>
        <v>332.3</v>
      </c>
      <c r="I579" s="151"/>
      <c r="J579" s="151"/>
      <c r="K579" s="152"/>
      <c r="L579" s="160"/>
    </row>
    <row r="580" spans="1:12" s="148" customFormat="1" ht="18.649999999999999" customHeight="1">
      <c r="A580" s="149"/>
      <c r="B580" s="157" t="s">
        <v>51</v>
      </c>
      <c r="C580" s="157"/>
      <c r="D580" s="150">
        <f>ROUNDDOWN(E579/40,0)*D579</f>
        <v>0</v>
      </c>
      <c r="E580" s="151">
        <f>40*16/1000*3.281</f>
        <v>2.1</v>
      </c>
      <c r="F580" s="151"/>
      <c r="G580" s="151"/>
      <c r="H580" s="154">
        <f>E580*D580</f>
        <v>0</v>
      </c>
      <c r="I580" s="151"/>
      <c r="J580" s="151"/>
      <c r="K580" s="152"/>
      <c r="L580" s="160"/>
    </row>
    <row r="581" spans="1:12" s="148" customFormat="1" ht="18.649999999999999" customHeight="1">
      <c r="A581" s="149"/>
      <c r="B581" s="157" t="s">
        <v>284</v>
      </c>
      <c r="C581" s="234">
        <f>2*G576</f>
        <v>2.34</v>
      </c>
      <c r="D581" s="150">
        <f>D576*ROUND(E576/0.42,0)</f>
        <v>171</v>
      </c>
      <c r="E581" s="151">
        <f>ROUND((F576-0.25+G576-0.25)*2+24*10/1000*3.281,2)</f>
        <v>4.13</v>
      </c>
      <c r="F581" s="151"/>
      <c r="G581" s="151"/>
      <c r="H581" s="151"/>
      <c r="I581" s="151">
        <f>D581*E581</f>
        <v>706.23</v>
      </c>
      <c r="J581" s="151"/>
      <c r="K581" s="152"/>
      <c r="L581" s="160"/>
    </row>
    <row r="582" spans="1:12" s="148" customFormat="1" ht="18.649999999999999" customHeight="1">
      <c r="A582" s="149"/>
      <c r="B582" s="157"/>
      <c r="C582" s="234"/>
      <c r="D582" s="150"/>
      <c r="E582" s="151"/>
      <c r="F582" s="151"/>
      <c r="G582" s="151"/>
      <c r="H582" s="151"/>
      <c r="I582" s="151"/>
      <c r="J582" s="151"/>
      <c r="K582" s="152"/>
      <c r="L582" s="160"/>
    </row>
    <row r="583" spans="1:12" s="148" customFormat="1" ht="18.649999999999999" customHeight="1">
      <c r="A583" s="149"/>
      <c r="B583" s="245" t="str">
        <f>B329</f>
        <v xml:space="preserve">Line, A', 1'-2, 15' L </v>
      </c>
      <c r="C583" s="245">
        <v>15</v>
      </c>
      <c r="D583" s="226">
        <f>D329</f>
        <v>1</v>
      </c>
      <c r="E583" s="227">
        <f>E329</f>
        <v>15</v>
      </c>
      <c r="F583" s="227">
        <f>F329</f>
        <v>1</v>
      </c>
      <c r="G583" s="227">
        <f>G329</f>
        <v>1.17</v>
      </c>
      <c r="H583" s="151"/>
      <c r="I583" s="151"/>
      <c r="J583" s="151"/>
      <c r="K583" s="152"/>
      <c r="L583" s="160"/>
    </row>
    <row r="584" spans="1:12" s="148" customFormat="1" ht="18.649999999999999" customHeight="1">
      <c r="A584" s="149"/>
      <c r="B584" s="157" t="s">
        <v>285</v>
      </c>
      <c r="C584" s="157"/>
      <c r="D584" s="150">
        <f>D583*4</f>
        <v>4</v>
      </c>
      <c r="E584" s="151">
        <f>C583-0.25+(G583-0.25)*2</f>
        <v>16.59</v>
      </c>
      <c r="F584" s="151"/>
      <c r="G584" s="151"/>
      <c r="H584" s="154">
        <f>E584*D584</f>
        <v>66.400000000000006</v>
      </c>
      <c r="I584" s="151"/>
      <c r="J584" s="151"/>
      <c r="K584" s="152"/>
      <c r="L584" s="147"/>
    </row>
    <row r="585" spans="1:12" s="148" customFormat="1" ht="18.649999999999999" customHeight="1">
      <c r="A585" s="149"/>
      <c r="B585" s="157" t="s">
        <v>51</v>
      </c>
      <c r="C585" s="157"/>
      <c r="D585" s="150">
        <f>ROUNDDOWN(E584/40,0)*D584</f>
        <v>0</v>
      </c>
      <c r="E585" s="151">
        <f>40*16/1000*3.281</f>
        <v>2.1</v>
      </c>
      <c r="F585" s="151"/>
      <c r="G585" s="151"/>
      <c r="H585" s="154">
        <f>E585*D585</f>
        <v>0</v>
      </c>
      <c r="I585" s="151"/>
      <c r="J585" s="151"/>
      <c r="K585" s="152"/>
      <c r="L585" s="147"/>
    </row>
    <row r="586" spans="1:12" s="148" customFormat="1" ht="18.649999999999999" customHeight="1">
      <c r="A586" s="149"/>
      <c r="B586" s="157" t="s">
        <v>286</v>
      </c>
      <c r="C586" s="157"/>
      <c r="D586" s="150">
        <f>D583*4</f>
        <v>4</v>
      </c>
      <c r="E586" s="151">
        <f>C583-0.25+18*16/1000*3.281</f>
        <v>15.69</v>
      </c>
      <c r="F586" s="151"/>
      <c r="G586" s="151"/>
      <c r="H586" s="154">
        <f>E586*D586</f>
        <v>62.8</v>
      </c>
      <c r="I586" s="151"/>
      <c r="J586" s="151"/>
      <c r="K586" s="152"/>
      <c r="L586" s="160"/>
    </row>
    <row r="587" spans="1:12" s="148" customFormat="1" ht="18.649999999999999" customHeight="1">
      <c r="A587" s="149"/>
      <c r="B587" s="157" t="s">
        <v>51</v>
      </c>
      <c r="C587" s="157"/>
      <c r="D587" s="150">
        <f>ROUNDDOWN(E586/40,0)*D586</f>
        <v>0</v>
      </c>
      <c r="E587" s="151">
        <f>40*16/1000*3.281</f>
        <v>2.1</v>
      </c>
      <c r="F587" s="151"/>
      <c r="G587" s="151"/>
      <c r="H587" s="154">
        <f>E587*D587</f>
        <v>0</v>
      </c>
      <c r="I587" s="151"/>
      <c r="J587" s="151"/>
      <c r="K587" s="152"/>
      <c r="L587" s="160"/>
    </row>
    <row r="588" spans="1:12" s="148" customFormat="1" ht="18.649999999999999" customHeight="1">
      <c r="A588" s="149"/>
      <c r="B588" s="157" t="s">
        <v>284</v>
      </c>
      <c r="C588" s="234">
        <f>2*G583</f>
        <v>2.34</v>
      </c>
      <c r="D588" s="150">
        <f>D583*ROUND(E583/0.42,0)</f>
        <v>36</v>
      </c>
      <c r="E588" s="151">
        <f>ROUND((F583-0.25+G583-0.25)*2+24*10/1000*3.281,2)</f>
        <v>4.13</v>
      </c>
      <c r="F588" s="151"/>
      <c r="G588" s="151"/>
      <c r="H588" s="151"/>
      <c r="I588" s="151">
        <f>D588*E588</f>
        <v>148.68</v>
      </c>
      <c r="J588" s="151"/>
      <c r="K588" s="152"/>
      <c r="L588" s="160"/>
    </row>
    <row r="589" spans="1:12" s="148" customFormat="1" ht="18.649999999999999" customHeight="1">
      <c r="A589" s="149"/>
      <c r="B589" s="157"/>
      <c r="C589" s="234"/>
      <c r="D589" s="150"/>
      <c r="E589" s="151"/>
      <c r="F589" s="151"/>
      <c r="G589" s="151"/>
      <c r="H589" s="151"/>
      <c r="I589" s="151"/>
      <c r="J589" s="151"/>
      <c r="K589" s="152"/>
      <c r="L589" s="160"/>
    </row>
    <row r="590" spans="1:12" s="148" customFormat="1" ht="18.649999999999999" customHeight="1">
      <c r="A590" s="149"/>
      <c r="B590" s="245" t="str">
        <f>B330</f>
        <v>Line A, B , C, 43' L</v>
      </c>
      <c r="C590" s="245">
        <v>43</v>
      </c>
      <c r="D590" s="226">
        <f>D330</f>
        <v>3</v>
      </c>
      <c r="E590" s="227">
        <f>E330</f>
        <v>38</v>
      </c>
      <c r="F590" s="227">
        <f>F330</f>
        <v>1</v>
      </c>
      <c r="G590" s="227">
        <f>G330</f>
        <v>1.17</v>
      </c>
      <c r="H590" s="151"/>
      <c r="I590" s="151"/>
      <c r="J590" s="151"/>
      <c r="K590" s="152"/>
      <c r="L590" s="160"/>
    </row>
    <row r="591" spans="1:12" s="148" customFormat="1" ht="18.649999999999999" customHeight="1">
      <c r="A591" s="149"/>
      <c r="B591" s="157" t="s">
        <v>285</v>
      </c>
      <c r="C591" s="157"/>
      <c r="D591" s="150">
        <f>D590*4</f>
        <v>12</v>
      </c>
      <c r="E591" s="151">
        <f>C590-0.25+(G590-0.25)*2</f>
        <v>44.59</v>
      </c>
      <c r="F591" s="151"/>
      <c r="G591" s="151"/>
      <c r="H591" s="154">
        <f>E591*D591</f>
        <v>535.1</v>
      </c>
      <c r="I591" s="151"/>
      <c r="J591" s="151"/>
      <c r="K591" s="152"/>
      <c r="L591" s="147"/>
    </row>
    <row r="592" spans="1:12" s="148" customFormat="1" ht="18.649999999999999" customHeight="1">
      <c r="A592" s="149"/>
      <c r="B592" s="157" t="s">
        <v>51</v>
      </c>
      <c r="C592" s="157"/>
      <c r="D592" s="150">
        <f>ROUNDDOWN(E591/40,0)*D591</f>
        <v>12</v>
      </c>
      <c r="E592" s="151">
        <f>40*16/1000*3.281</f>
        <v>2.1</v>
      </c>
      <c r="F592" s="151"/>
      <c r="G592" s="151"/>
      <c r="H592" s="154">
        <f>E592*D592</f>
        <v>25.2</v>
      </c>
      <c r="I592" s="151"/>
      <c r="J592" s="151"/>
      <c r="K592" s="152"/>
      <c r="L592" s="147"/>
    </row>
    <row r="593" spans="1:12" s="148" customFormat="1" ht="18.649999999999999" customHeight="1">
      <c r="A593" s="149"/>
      <c r="B593" s="157" t="s">
        <v>286</v>
      </c>
      <c r="C593" s="157"/>
      <c r="D593" s="150">
        <f>D590*4</f>
        <v>12</v>
      </c>
      <c r="E593" s="151">
        <f>C590-0.25+18*16/1000*3.281</f>
        <v>43.69</v>
      </c>
      <c r="F593" s="151"/>
      <c r="G593" s="151"/>
      <c r="H593" s="154">
        <f>E593*D593</f>
        <v>524.29999999999995</v>
      </c>
      <c r="I593" s="151"/>
      <c r="J593" s="151"/>
      <c r="K593" s="152"/>
      <c r="L593" s="160"/>
    </row>
    <row r="594" spans="1:12" s="148" customFormat="1" ht="18.649999999999999" customHeight="1">
      <c r="A594" s="149"/>
      <c r="B594" s="157" t="s">
        <v>51</v>
      </c>
      <c r="C594" s="157"/>
      <c r="D594" s="150">
        <f>ROUNDDOWN(E593/40,0)*D593</f>
        <v>12</v>
      </c>
      <c r="E594" s="151">
        <f>40*16/1000*3.281</f>
        <v>2.1</v>
      </c>
      <c r="F594" s="151"/>
      <c r="G594" s="151"/>
      <c r="H594" s="154">
        <f>E594*D594</f>
        <v>25.2</v>
      </c>
      <c r="I594" s="151"/>
      <c r="J594" s="151"/>
      <c r="K594" s="152"/>
      <c r="L594" s="160"/>
    </row>
    <row r="595" spans="1:12" s="148" customFormat="1" ht="18.649999999999999" customHeight="1">
      <c r="A595" s="149"/>
      <c r="B595" s="157" t="s">
        <v>284</v>
      </c>
      <c r="C595" s="234">
        <f>2*G590</f>
        <v>2.34</v>
      </c>
      <c r="D595" s="150">
        <f>D590*ROUND(E590/0.42,0)</f>
        <v>270</v>
      </c>
      <c r="E595" s="151">
        <f>ROUND((F590-0.25+G590-0.25)*2+24*10/1000*3.281,2)</f>
        <v>4.13</v>
      </c>
      <c r="F595" s="151"/>
      <c r="G595" s="151"/>
      <c r="H595" s="151"/>
      <c r="I595" s="151">
        <f>D595*E595</f>
        <v>1115.0999999999999</v>
      </c>
      <c r="J595" s="151"/>
      <c r="K595" s="152"/>
      <c r="L595" s="160"/>
    </row>
    <row r="596" spans="1:12" s="148" customFormat="1" ht="18.649999999999999" customHeight="1">
      <c r="A596" s="149"/>
      <c r="B596" s="157"/>
      <c r="C596" s="157"/>
      <c r="D596" s="150"/>
      <c r="E596" s="151"/>
      <c r="F596" s="151"/>
      <c r="G596" s="151"/>
      <c r="H596" s="151"/>
      <c r="I596" s="151"/>
      <c r="J596" s="151"/>
      <c r="K596" s="152"/>
      <c r="L596" s="160"/>
    </row>
    <row r="597" spans="1:12" s="148" customFormat="1" ht="18.649999999999999" customHeight="1">
      <c r="A597" s="149"/>
      <c r="B597" s="246" t="str">
        <f>B333</f>
        <v>Roof Beam</v>
      </c>
      <c r="C597" s="245"/>
      <c r="D597" s="226"/>
      <c r="E597" s="227"/>
      <c r="F597" s="227"/>
      <c r="G597" s="227"/>
      <c r="H597" s="151"/>
      <c r="I597" s="151"/>
      <c r="J597" s="151"/>
      <c r="K597" s="152"/>
      <c r="L597" s="160"/>
    </row>
    <row r="598" spans="1:12" s="148" customFormat="1" ht="18.649999999999999" customHeight="1">
      <c r="A598" s="149"/>
      <c r="B598" s="246" t="str">
        <f>B334</f>
        <v>RB1 (10" x 10")</v>
      </c>
      <c r="C598" s="245"/>
      <c r="D598" s="226"/>
      <c r="E598" s="227"/>
      <c r="F598" s="227"/>
      <c r="G598" s="227"/>
      <c r="H598" s="151"/>
      <c r="I598" s="151"/>
      <c r="J598" s="151"/>
      <c r="K598" s="152"/>
      <c r="L598" s="160"/>
    </row>
    <row r="599" spans="1:12" s="148" customFormat="1" ht="18.649999999999999" customHeight="1">
      <c r="A599" s="149"/>
      <c r="B599" s="245" t="str">
        <f>B335</f>
        <v>Y-Dir Bet 2-4, 18' L</v>
      </c>
      <c r="C599" s="245">
        <v>18</v>
      </c>
      <c r="D599" s="226">
        <f>D335</f>
        <v>1</v>
      </c>
      <c r="E599" s="227">
        <f>E335</f>
        <v>17</v>
      </c>
      <c r="F599" s="227">
        <f>F335</f>
        <v>0.83</v>
      </c>
      <c r="G599" s="227">
        <f>G335</f>
        <v>0.83</v>
      </c>
      <c r="H599" s="151"/>
      <c r="I599" s="151"/>
      <c r="J599" s="151"/>
      <c r="K599" s="152"/>
      <c r="L599" s="160"/>
    </row>
    <row r="600" spans="1:12" s="148" customFormat="1" ht="18.649999999999999" customHeight="1">
      <c r="A600" s="149"/>
      <c r="B600" s="157" t="s">
        <v>128</v>
      </c>
      <c r="C600" s="157"/>
      <c r="D600" s="150">
        <f>D599*3</f>
        <v>3</v>
      </c>
      <c r="E600" s="151">
        <f>C599-0.25+(G599-0.25)*2</f>
        <v>18.91</v>
      </c>
      <c r="F600" s="151"/>
      <c r="G600" s="151"/>
      <c r="H600" s="154">
        <f>E600*D600</f>
        <v>56.7</v>
      </c>
      <c r="I600" s="151"/>
      <c r="J600" s="151"/>
      <c r="K600" s="152"/>
      <c r="L600" s="147"/>
    </row>
    <row r="601" spans="1:12" s="148" customFormat="1" ht="18.649999999999999" customHeight="1">
      <c r="A601" s="149"/>
      <c r="B601" s="157" t="s">
        <v>51</v>
      </c>
      <c r="C601" s="157"/>
      <c r="D601" s="150">
        <f>ROUNDDOWN(E600/40,0)*D600</f>
        <v>0</v>
      </c>
      <c r="E601" s="151">
        <f>40*16/1000*3.281</f>
        <v>2.1</v>
      </c>
      <c r="F601" s="151"/>
      <c r="G601" s="151"/>
      <c r="H601" s="154">
        <f>E601*D601</f>
        <v>0</v>
      </c>
      <c r="I601" s="151"/>
      <c r="J601" s="151"/>
      <c r="K601" s="152"/>
      <c r="L601" s="147"/>
    </row>
    <row r="602" spans="1:12" s="148" customFormat="1" ht="18.649999999999999" customHeight="1">
      <c r="A602" s="149"/>
      <c r="B602" s="157" t="s">
        <v>129</v>
      </c>
      <c r="C602" s="157"/>
      <c r="D602" s="150">
        <f>D599*3</f>
        <v>3</v>
      </c>
      <c r="E602" s="151">
        <f>C599-0.25+18*16/1000*3.281</f>
        <v>18.690000000000001</v>
      </c>
      <c r="F602" s="151"/>
      <c r="G602" s="151"/>
      <c r="H602" s="154">
        <f>E602*D602</f>
        <v>56.1</v>
      </c>
      <c r="I602" s="151"/>
      <c r="J602" s="151"/>
      <c r="K602" s="152"/>
      <c r="L602" s="160"/>
    </row>
    <row r="603" spans="1:12" s="148" customFormat="1" ht="18.649999999999999" customHeight="1">
      <c r="A603" s="149"/>
      <c r="B603" s="157" t="s">
        <v>51</v>
      </c>
      <c r="C603" s="157"/>
      <c r="D603" s="150">
        <f>ROUNDDOWN(E602/40,0)*D602</f>
        <v>0</v>
      </c>
      <c r="E603" s="151">
        <f>40*16/1000*3.281</f>
        <v>2.1</v>
      </c>
      <c r="F603" s="151"/>
      <c r="G603" s="151"/>
      <c r="H603" s="154">
        <f>E603*D603</f>
        <v>0</v>
      </c>
      <c r="I603" s="151"/>
      <c r="J603" s="151"/>
      <c r="K603" s="152"/>
      <c r="L603" s="160"/>
    </row>
    <row r="604" spans="1:12" s="148" customFormat="1" ht="18.649999999999999" customHeight="1">
      <c r="A604" s="149"/>
      <c r="B604" s="157" t="s">
        <v>284</v>
      </c>
      <c r="C604" s="234">
        <f>2*G599</f>
        <v>1.66</v>
      </c>
      <c r="D604" s="150">
        <f>D599*ROUND(E599/0.42,0)</f>
        <v>40</v>
      </c>
      <c r="E604" s="151">
        <f>ROUND((F599-0.25+G599-0.25)*2+24*10/1000*3.281,2)</f>
        <v>3.11</v>
      </c>
      <c r="F604" s="151"/>
      <c r="G604" s="151"/>
      <c r="H604" s="151"/>
      <c r="I604" s="151">
        <f>D604*E604</f>
        <v>124.4</v>
      </c>
      <c r="J604" s="151"/>
      <c r="K604" s="152"/>
      <c r="L604" s="160"/>
    </row>
    <row r="605" spans="1:12" s="148" customFormat="1" ht="18.649999999999999" customHeight="1">
      <c r="A605" s="149"/>
      <c r="B605" s="157"/>
      <c r="C605" s="157"/>
      <c r="D605" s="150"/>
      <c r="E605" s="151"/>
      <c r="F605" s="151"/>
      <c r="G605" s="151"/>
      <c r="H605" s="151"/>
      <c r="I605" s="151"/>
      <c r="J605" s="151"/>
      <c r="K605" s="152"/>
      <c r="L605" s="160"/>
    </row>
    <row r="606" spans="1:12" s="148" customFormat="1" ht="18.649999999999999" customHeight="1">
      <c r="A606" s="149"/>
      <c r="B606" s="245" t="str">
        <f>B336</f>
        <v>Y-Dir Bet 4-5, 10' L</v>
      </c>
      <c r="C606" s="245">
        <v>10</v>
      </c>
      <c r="D606" s="226">
        <f>D336</f>
        <v>2</v>
      </c>
      <c r="E606" s="227">
        <f>E336</f>
        <v>8.5</v>
      </c>
      <c r="F606" s="227">
        <f>F336</f>
        <v>0.83</v>
      </c>
      <c r="G606" s="227">
        <f>G336</f>
        <v>0.83</v>
      </c>
      <c r="H606" s="151"/>
      <c r="I606" s="151"/>
      <c r="J606" s="151"/>
      <c r="K606" s="152"/>
      <c r="L606" s="160"/>
    </row>
    <row r="607" spans="1:12" s="148" customFormat="1" ht="18.649999999999999" customHeight="1">
      <c r="A607" s="149"/>
      <c r="B607" s="157" t="s">
        <v>128</v>
      </c>
      <c r="C607" s="157"/>
      <c r="D607" s="150">
        <f>D606*3</f>
        <v>6</v>
      </c>
      <c r="E607" s="151">
        <f>C606-0.25+(G606-0.25)*2</f>
        <v>10.91</v>
      </c>
      <c r="F607" s="151"/>
      <c r="G607" s="151"/>
      <c r="H607" s="154">
        <f>E607*D607</f>
        <v>65.5</v>
      </c>
      <c r="I607" s="151"/>
      <c r="J607" s="151"/>
      <c r="K607" s="152"/>
      <c r="L607" s="147"/>
    </row>
    <row r="608" spans="1:12" s="148" customFormat="1" ht="18.649999999999999" customHeight="1">
      <c r="A608" s="149"/>
      <c r="B608" s="157" t="s">
        <v>51</v>
      </c>
      <c r="C608" s="157"/>
      <c r="D608" s="150">
        <f>ROUNDDOWN(E607/40,0)*D607</f>
        <v>0</v>
      </c>
      <c r="E608" s="151">
        <f>40*16/1000*3.281</f>
        <v>2.1</v>
      </c>
      <c r="F608" s="151"/>
      <c r="G608" s="151"/>
      <c r="H608" s="154">
        <f>E608*D608</f>
        <v>0</v>
      </c>
      <c r="I608" s="151"/>
      <c r="J608" s="151"/>
      <c r="K608" s="152"/>
      <c r="L608" s="147"/>
    </row>
    <row r="609" spans="1:12" s="148" customFormat="1" ht="18.649999999999999" customHeight="1">
      <c r="A609" s="149"/>
      <c r="B609" s="157" t="s">
        <v>129</v>
      </c>
      <c r="C609" s="157"/>
      <c r="D609" s="150">
        <f>D606*3</f>
        <v>6</v>
      </c>
      <c r="E609" s="151">
        <f>C606-0.25+18*16/1000*3.281</f>
        <v>10.69</v>
      </c>
      <c r="F609" s="151"/>
      <c r="G609" s="151"/>
      <c r="H609" s="154">
        <f>E609*D609</f>
        <v>64.099999999999994</v>
      </c>
      <c r="I609" s="151"/>
      <c r="J609" s="151"/>
      <c r="K609" s="152"/>
      <c r="L609" s="160"/>
    </row>
    <row r="610" spans="1:12" s="148" customFormat="1" ht="18.649999999999999" customHeight="1">
      <c r="A610" s="149"/>
      <c r="B610" s="157" t="s">
        <v>51</v>
      </c>
      <c r="C610" s="157"/>
      <c r="D610" s="150">
        <f>ROUNDDOWN(E609/40,0)*D609</f>
        <v>0</v>
      </c>
      <c r="E610" s="151">
        <f>40*16/1000*3.281</f>
        <v>2.1</v>
      </c>
      <c r="F610" s="151"/>
      <c r="G610" s="151"/>
      <c r="H610" s="154">
        <f>E610*D610</f>
        <v>0</v>
      </c>
      <c r="I610" s="151"/>
      <c r="J610" s="151"/>
      <c r="K610" s="152"/>
      <c r="L610" s="160"/>
    </row>
    <row r="611" spans="1:12" s="148" customFormat="1" ht="18.649999999999999" customHeight="1">
      <c r="A611" s="149"/>
      <c r="B611" s="157" t="s">
        <v>284</v>
      </c>
      <c r="C611" s="234">
        <f>2*G606</f>
        <v>1.66</v>
      </c>
      <c r="D611" s="150">
        <f>D606*ROUND(E606/0.42,0)</f>
        <v>40</v>
      </c>
      <c r="E611" s="151">
        <f>ROUND((F606-0.25+G606-0.25)*2+24*10/1000*3.281,2)</f>
        <v>3.11</v>
      </c>
      <c r="F611" s="151"/>
      <c r="G611" s="151"/>
      <c r="H611" s="151"/>
      <c r="I611" s="151">
        <f>D611*E611</f>
        <v>124.4</v>
      </c>
      <c r="J611" s="151"/>
      <c r="K611" s="152"/>
      <c r="L611" s="160"/>
    </row>
    <row r="612" spans="1:12" s="148" customFormat="1" ht="18.649999999999999" customHeight="1">
      <c r="A612" s="149"/>
      <c r="B612" s="157"/>
      <c r="C612" s="157"/>
      <c r="D612" s="150"/>
      <c r="E612" s="151"/>
      <c r="F612" s="151"/>
      <c r="G612" s="151"/>
      <c r="H612" s="151"/>
      <c r="I612" s="151"/>
      <c r="J612" s="151"/>
      <c r="K612" s="152"/>
      <c r="L612" s="160"/>
    </row>
    <row r="613" spans="1:12" s="148" customFormat="1" ht="18.649999999999999" customHeight="1">
      <c r="A613" s="149"/>
      <c r="B613" s="245" t="str">
        <f>B337</f>
        <v xml:space="preserve">X-Dir Bet; 4&amp;5, 14' L </v>
      </c>
      <c r="C613" s="245">
        <v>14</v>
      </c>
      <c r="D613" s="226">
        <f>D337</f>
        <v>1</v>
      </c>
      <c r="E613" s="227">
        <f>E337</f>
        <v>13.75</v>
      </c>
      <c r="F613" s="227">
        <f>F337</f>
        <v>0.83</v>
      </c>
      <c r="G613" s="227">
        <f>G337</f>
        <v>0.83</v>
      </c>
      <c r="H613" s="151"/>
      <c r="I613" s="151"/>
      <c r="J613" s="151"/>
      <c r="K613" s="152"/>
      <c r="L613" s="160"/>
    </row>
    <row r="614" spans="1:12" s="148" customFormat="1" ht="18.649999999999999" customHeight="1">
      <c r="A614" s="149"/>
      <c r="B614" s="157" t="s">
        <v>128</v>
      </c>
      <c r="C614" s="157"/>
      <c r="D614" s="150">
        <f>D613*3</f>
        <v>3</v>
      </c>
      <c r="E614" s="151">
        <f>C613-0.25+(G613-0.25)*2</f>
        <v>14.91</v>
      </c>
      <c r="F614" s="151"/>
      <c r="G614" s="151"/>
      <c r="H614" s="154">
        <f>E614*D614</f>
        <v>44.7</v>
      </c>
      <c r="I614" s="151"/>
      <c r="J614" s="151"/>
      <c r="K614" s="152"/>
      <c r="L614" s="147"/>
    </row>
    <row r="615" spans="1:12" s="148" customFormat="1" ht="18.649999999999999" customHeight="1">
      <c r="A615" s="149"/>
      <c r="B615" s="157" t="s">
        <v>51</v>
      </c>
      <c r="C615" s="157"/>
      <c r="D615" s="150">
        <f>ROUNDDOWN(E614/40,0)*D614</f>
        <v>0</v>
      </c>
      <c r="E615" s="151">
        <f>40*16/1000*3.281</f>
        <v>2.1</v>
      </c>
      <c r="F615" s="151"/>
      <c r="G615" s="151"/>
      <c r="H615" s="154">
        <f>E615*D615</f>
        <v>0</v>
      </c>
      <c r="I615" s="151"/>
      <c r="J615" s="151"/>
      <c r="K615" s="152"/>
      <c r="L615" s="147"/>
    </row>
    <row r="616" spans="1:12" s="148" customFormat="1" ht="18.649999999999999" customHeight="1">
      <c r="A616" s="149"/>
      <c r="B616" s="157" t="s">
        <v>129</v>
      </c>
      <c r="C616" s="157"/>
      <c r="D616" s="150">
        <f>D613*3</f>
        <v>3</v>
      </c>
      <c r="E616" s="151">
        <f>C613-0.25+18*16/1000*3.281</f>
        <v>14.69</v>
      </c>
      <c r="F616" s="151"/>
      <c r="G616" s="151"/>
      <c r="H616" s="154">
        <f>E616*D616</f>
        <v>44.1</v>
      </c>
      <c r="I616" s="151"/>
      <c r="J616" s="151"/>
      <c r="K616" s="152"/>
      <c r="L616" s="160"/>
    </row>
    <row r="617" spans="1:12" s="148" customFormat="1" ht="18.649999999999999" customHeight="1">
      <c r="A617" s="149"/>
      <c r="B617" s="157" t="s">
        <v>51</v>
      </c>
      <c r="C617" s="157"/>
      <c r="D617" s="150">
        <f>ROUNDDOWN(E616/40,0)*D616</f>
        <v>0</v>
      </c>
      <c r="E617" s="151">
        <f>40*16/1000*3.281</f>
        <v>2.1</v>
      </c>
      <c r="F617" s="151"/>
      <c r="G617" s="151"/>
      <c r="H617" s="154">
        <f>E617*D617</f>
        <v>0</v>
      </c>
      <c r="I617" s="151"/>
      <c r="J617" s="151"/>
      <c r="K617" s="152"/>
      <c r="L617" s="160"/>
    </row>
    <row r="618" spans="1:12" s="148" customFormat="1" ht="18.649999999999999" customHeight="1">
      <c r="A618" s="149"/>
      <c r="B618" s="157" t="s">
        <v>284</v>
      </c>
      <c r="C618" s="234">
        <f>2*G613</f>
        <v>1.66</v>
      </c>
      <c r="D618" s="150">
        <f>D613*ROUND(E613/0.42,0)</f>
        <v>33</v>
      </c>
      <c r="E618" s="151">
        <f>ROUND((F613-0.25+G613-0.25)*2+24*10/1000*3.281,2)</f>
        <v>3.11</v>
      </c>
      <c r="F618" s="151"/>
      <c r="G618" s="151"/>
      <c r="H618" s="151"/>
      <c r="I618" s="151">
        <f>D618*E618</f>
        <v>102.63</v>
      </c>
      <c r="J618" s="151"/>
      <c r="K618" s="152"/>
      <c r="L618" s="160"/>
    </row>
    <row r="619" spans="1:12" s="148" customFormat="1" ht="18.649999999999999" customHeight="1">
      <c r="A619" s="149"/>
      <c r="B619" s="157"/>
      <c r="C619" s="157"/>
      <c r="D619" s="150"/>
      <c r="E619" s="151"/>
      <c r="F619" s="151"/>
      <c r="G619" s="151"/>
      <c r="H619" s="151"/>
      <c r="I619" s="151"/>
      <c r="J619" s="151"/>
      <c r="K619" s="152"/>
      <c r="L619" s="160"/>
    </row>
    <row r="620" spans="1:12" s="148" customFormat="1" ht="18.649999999999999" customHeight="1">
      <c r="A620" s="149"/>
      <c r="B620" s="246" t="str">
        <f>B340</f>
        <v>RB2 (12"x14")</v>
      </c>
      <c r="C620" s="245"/>
      <c r="D620" s="226"/>
      <c r="E620" s="227"/>
      <c r="F620" s="227"/>
      <c r="G620" s="227"/>
      <c r="H620" s="151"/>
      <c r="I620" s="151"/>
      <c r="J620" s="151"/>
      <c r="K620" s="152"/>
      <c r="L620" s="160"/>
    </row>
    <row r="621" spans="1:12" s="148" customFormat="1" ht="18.649999999999999" customHeight="1">
      <c r="A621" s="149"/>
      <c r="B621" s="245" t="str">
        <f>B341</f>
        <v>Line 2', 23' 2" L</v>
      </c>
      <c r="C621" s="245">
        <v>23.17</v>
      </c>
      <c r="D621" s="226">
        <f>D341</f>
        <v>1</v>
      </c>
      <c r="E621" s="227">
        <f>E341</f>
        <v>20.170000000000002</v>
      </c>
      <c r="F621" s="227">
        <f>F341</f>
        <v>1</v>
      </c>
      <c r="G621" s="227">
        <f>G341</f>
        <v>1.17</v>
      </c>
      <c r="H621" s="151"/>
      <c r="I621" s="151"/>
      <c r="J621" s="151"/>
      <c r="K621" s="152"/>
      <c r="L621" s="160"/>
    </row>
    <row r="622" spans="1:12" s="148" customFormat="1" ht="18.649999999999999" customHeight="1">
      <c r="A622" s="149"/>
      <c r="B622" s="157" t="s">
        <v>287</v>
      </c>
      <c r="C622" s="157"/>
      <c r="D622" s="150">
        <f>D621*5</f>
        <v>5</v>
      </c>
      <c r="E622" s="151">
        <f>C621-0.25+(G621-0.25)*2</f>
        <v>24.76</v>
      </c>
      <c r="F622" s="151"/>
      <c r="G622" s="151"/>
      <c r="H622" s="154">
        <f>E622*D622</f>
        <v>123.8</v>
      </c>
      <c r="I622" s="151"/>
      <c r="J622" s="151"/>
      <c r="K622" s="152"/>
      <c r="L622" s="147"/>
    </row>
    <row r="623" spans="1:12" s="148" customFormat="1" ht="18.649999999999999" customHeight="1">
      <c r="A623" s="149"/>
      <c r="B623" s="157" t="s">
        <v>51</v>
      </c>
      <c r="C623" s="157"/>
      <c r="D623" s="150">
        <f>ROUNDDOWN(E622/40,0)*D622</f>
        <v>0</v>
      </c>
      <c r="E623" s="151">
        <f>40*16/1000*3.281</f>
        <v>2.1</v>
      </c>
      <c r="F623" s="151"/>
      <c r="G623" s="151"/>
      <c r="H623" s="154">
        <f>E623*D623</f>
        <v>0</v>
      </c>
      <c r="I623" s="151"/>
      <c r="J623" s="151"/>
      <c r="K623" s="152"/>
      <c r="L623" s="147"/>
    </row>
    <row r="624" spans="1:12" s="148" customFormat="1" ht="18.649999999999999" customHeight="1">
      <c r="A624" s="149"/>
      <c r="B624" s="157" t="s">
        <v>288</v>
      </c>
      <c r="C624" s="157"/>
      <c r="D624" s="150">
        <f>D621*5</f>
        <v>5</v>
      </c>
      <c r="E624" s="151">
        <f>C621-0.25+18*16/1000*3.281</f>
        <v>23.86</v>
      </c>
      <c r="F624" s="151"/>
      <c r="G624" s="151"/>
      <c r="H624" s="154">
        <f>E624*D624</f>
        <v>119.3</v>
      </c>
      <c r="I624" s="151"/>
      <c r="J624" s="151"/>
      <c r="K624" s="152"/>
      <c r="L624" s="160"/>
    </row>
    <row r="625" spans="1:12" s="148" customFormat="1" ht="18.649999999999999" customHeight="1">
      <c r="A625" s="149"/>
      <c r="B625" s="157" t="s">
        <v>51</v>
      </c>
      <c r="C625" s="157"/>
      <c r="D625" s="150">
        <f>ROUNDDOWN(E624/40,0)*D624</f>
        <v>0</v>
      </c>
      <c r="E625" s="151">
        <f>40*16/1000*3.281</f>
        <v>2.1</v>
      </c>
      <c r="F625" s="151"/>
      <c r="G625" s="151"/>
      <c r="H625" s="154">
        <f>E625*D625</f>
        <v>0</v>
      </c>
      <c r="I625" s="151"/>
      <c r="J625" s="151"/>
      <c r="K625" s="152"/>
      <c r="L625" s="160"/>
    </row>
    <row r="626" spans="1:12" s="148" customFormat="1" ht="18.649999999999999" customHeight="1">
      <c r="A626" s="149"/>
      <c r="B626" s="157" t="s">
        <v>284</v>
      </c>
      <c r="C626" s="234">
        <f>2*G621</f>
        <v>2.34</v>
      </c>
      <c r="D626" s="150">
        <f>D621*ROUND(E621/0.42,0)</f>
        <v>48</v>
      </c>
      <c r="E626" s="151">
        <f>ROUND((F621-0.25+G621-0.25)*2+24*10/1000*3.281,2)</f>
        <v>4.13</v>
      </c>
      <c r="F626" s="151"/>
      <c r="G626" s="151"/>
      <c r="H626" s="151"/>
      <c r="I626" s="151">
        <f>D626*E626</f>
        <v>198.24</v>
      </c>
      <c r="J626" s="151"/>
      <c r="K626" s="152"/>
      <c r="L626" s="160"/>
    </row>
    <row r="627" spans="1:12" s="148" customFormat="1" ht="18.649999999999999" customHeight="1">
      <c r="A627" s="149"/>
      <c r="B627" s="157" t="s">
        <v>289</v>
      </c>
      <c r="C627" s="157"/>
      <c r="D627" s="150"/>
      <c r="E627" s="151"/>
      <c r="F627" s="151"/>
      <c r="G627" s="151"/>
      <c r="H627" s="151"/>
      <c r="I627" s="151"/>
      <c r="J627" s="151"/>
      <c r="K627" s="152"/>
      <c r="L627" s="160"/>
    </row>
    <row r="628" spans="1:12" s="148" customFormat="1" ht="18.649999999999999" customHeight="1">
      <c r="A628" s="149"/>
      <c r="B628" s="245" t="str">
        <f>B342</f>
        <v>Line 2,3,4,5, 27' L</v>
      </c>
      <c r="C628" s="245">
        <v>27</v>
      </c>
      <c r="D628" s="226">
        <f>D342</f>
        <v>4</v>
      </c>
      <c r="E628" s="227">
        <f>E342</f>
        <v>24</v>
      </c>
      <c r="F628" s="227">
        <f>F342</f>
        <v>1</v>
      </c>
      <c r="G628" s="227">
        <f>G342</f>
        <v>1.17</v>
      </c>
      <c r="H628" s="151"/>
      <c r="I628" s="151"/>
      <c r="J628" s="151"/>
      <c r="K628" s="152"/>
      <c r="L628" s="160"/>
    </row>
    <row r="629" spans="1:12" s="148" customFormat="1" ht="18.649999999999999" customHeight="1">
      <c r="A629" s="149"/>
      <c r="B629" s="157" t="s">
        <v>287</v>
      </c>
      <c r="C629" s="157"/>
      <c r="D629" s="150">
        <f>D628*5</f>
        <v>20</v>
      </c>
      <c r="E629" s="151">
        <f>C628-0.25+(G628-0.25)*2</f>
        <v>28.59</v>
      </c>
      <c r="F629" s="151"/>
      <c r="G629" s="151"/>
      <c r="H629" s="154">
        <f>E629*D629</f>
        <v>571.79999999999995</v>
      </c>
      <c r="I629" s="151"/>
      <c r="J629" s="151"/>
      <c r="K629" s="152"/>
      <c r="L629" s="147"/>
    </row>
    <row r="630" spans="1:12" s="148" customFormat="1" ht="18.649999999999999" customHeight="1">
      <c r="A630" s="149"/>
      <c r="B630" s="157" t="s">
        <v>51</v>
      </c>
      <c r="C630" s="157"/>
      <c r="D630" s="150">
        <f>ROUNDDOWN(E629/40,0)*D629</f>
        <v>0</v>
      </c>
      <c r="E630" s="151">
        <f>40*16/1000*3.281</f>
        <v>2.1</v>
      </c>
      <c r="F630" s="151"/>
      <c r="G630" s="151"/>
      <c r="H630" s="154">
        <f>E630*D630</f>
        <v>0</v>
      </c>
      <c r="I630" s="151"/>
      <c r="J630" s="151"/>
      <c r="K630" s="152"/>
      <c r="L630" s="147"/>
    </row>
    <row r="631" spans="1:12" s="148" customFormat="1" ht="18.649999999999999" customHeight="1">
      <c r="A631" s="149"/>
      <c r="B631" s="157" t="s">
        <v>288</v>
      </c>
      <c r="C631" s="157"/>
      <c r="D631" s="150">
        <f>D628*5</f>
        <v>20</v>
      </c>
      <c r="E631" s="151">
        <f>C628-0.25+18*16/1000*3.281</f>
        <v>27.69</v>
      </c>
      <c r="F631" s="151"/>
      <c r="G631" s="151"/>
      <c r="H631" s="154">
        <f>E631*D631</f>
        <v>553.79999999999995</v>
      </c>
      <c r="I631" s="151"/>
      <c r="J631" s="151"/>
      <c r="K631" s="152"/>
      <c r="L631" s="160"/>
    </row>
    <row r="632" spans="1:12" s="148" customFormat="1" ht="18.649999999999999" customHeight="1">
      <c r="A632" s="149"/>
      <c r="B632" s="157" t="s">
        <v>51</v>
      </c>
      <c r="C632" s="157"/>
      <c r="D632" s="150">
        <f>ROUNDDOWN(E631/40,0)*D631</f>
        <v>0</v>
      </c>
      <c r="E632" s="151">
        <f>40*16/1000*3.281</f>
        <v>2.1</v>
      </c>
      <c r="F632" s="151"/>
      <c r="G632" s="151"/>
      <c r="H632" s="154">
        <f>E632*D632</f>
        <v>0</v>
      </c>
      <c r="I632" s="151"/>
      <c r="J632" s="151"/>
      <c r="K632" s="152"/>
      <c r="L632" s="160"/>
    </row>
    <row r="633" spans="1:12" s="148" customFormat="1" ht="18.649999999999999" customHeight="1">
      <c r="A633" s="149"/>
      <c r="B633" s="157" t="s">
        <v>284</v>
      </c>
      <c r="C633" s="234">
        <f>2*G628</f>
        <v>2.34</v>
      </c>
      <c r="D633" s="150">
        <f>D628*ROUND(E628/0.42,0)</f>
        <v>228</v>
      </c>
      <c r="E633" s="151">
        <f>ROUND((F628-0.25+G628-0.25)*2+24*10/1000*3.281,2)</f>
        <v>4.13</v>
      </c>
      <c r="F633" s="151"/>
      <c r="G633" s="151"/>
      <c r="H633" s="151"/>
      <c r="I633" s="151">
        <f>D633*E633</f>
        <v>941.64</v>
      </c>
      <c r="J633" s="151"/>
      <c r="K633" s="152"/>
      <c r="L633" s="160"/>
    </row>
    <row r="634" spans="1:12" s="148" customFormat="1" ht="18.649999999999999" customHeight="1">
      <c r="A634" s="149"/>
      <c r="B634" s="157" t="s">
        <v>289</v>
      </c>
      <c r="C634" s="157"/>
      <c r="D634" s="150"/>
      <c r="E634" s="151"/>
      <c r="F634" s="151"/>
      <c r="G634" s="151"/>
      <c r="H634" s="151"/>
      <c r="I634" s="151"/>
      <c r="J634" s="151"/>
      <c r="K634" s="152"/>
      <c r="L634" s="160"/>
    </row>
    <row r="635" spans="1:12" s="148" customFormat="1" ht="18.649999999999999" customHeight="1">
      <c r="A635" s="149"/>
      <c r="B635" s="245" t="str">
        <f>B342</f>
        <v>Line 2,3,4,5, 27' L</v>
      </c>
      <c r="C635" s="245">
        <v>27</v>
      </c>
      <c r="D635" s="226">
        <f>D342</f>
        <v>4</v>
      </c>
      <c r="E635" s="227">
        <f>E342</f>
        <v>24</v>
      </c>
      <c r="F635" s="227">
        <f>F342</f>
        <v>1</v>
      </c>
      <c r="G635" s="227">
        <f>G342</f>
        <v>1.17</v>
      </c>
      <c r="H635" s="151"/>
      <c r="I635" s="151"/>
      <c r="J635" s="151"/>
      <c r="K635" s="152"/>
      <c r="L635" s="160"/>
    </row>
    <row r="636" spans="1:12" s="148" customFormat="1" ht="18.649999999999999" customHeight="1">
      <c r="A636" s="149"/>
      <c r="B636" s="157" t="s">
        <v>287</v>
      </c>
      <c r="C636" s="157"/>
      <c r="D636" s="150">
        <f>D635*5</f>
        <v>20</v>
      </c>
      <c r="E636" s="151">
        <f>C635-0.25+(G635-0.25)*2</f>
        <v>28.59</v>
      </c>
      <c r="F636" s="151"/>
      <c r="G636" s="151"/>
      <c r="H636" s="154">
        <f>E636*D636</f>
        <v>571.79999999999995</v>
      </c>
      <c r="I636" s="151"/>
      <c r="J636" s="151"/>
      <c r="K636" s="152"/>
      <c r="L636" s="147"/>
    </row>
    <row r="637" spans="1:12" s="148" customFormat="1" ht="18.649999999999999" customHeight="1">
      <c r="A637" s="149"/>
      <c r="B637" s="157" t="s">
        <v>51</v>
      </c>
      <c r="C637" s="157"/>
      <c r="D637" s="150">
        <f>ROUNDDOWN(E636/40,0)*D636</f>
        <v>0</v>
      </c>
      <c r="E637" s="151">
        <f>40*16/1000*3.281</f>
        <v>2.1</v>
      </c>
      <c r="F637" s="151"/>
      <c r="G637" s="151"/>
      <c r="H637" s="154">
        <f>E637*D637</f>
        <v>0</v>
      </c>
      <c r="I637" s="151"/>
      <c r="J637" s="151"/>
      <c r="K637" s="152"/>
      <c r="L637" s="147"/>
    </row>
    <row r="638" spans="1:12" s="148" customFormat="1" ht="18.649999999999999" customHeight="1">
      <c r="A638" s="149"/>
      <c r="B638" s="157" t="s">
        <v>288</v>
      </c>
      <c r="C638" s="157"/>
      <c r="D638" s="150">
        <f>D635*5</f>
        <v>20</v>
      </c>
      <c r="E638" s="151">
        <f>C635-0.25+18*16/1000*3.281</f>
        <v>27.69</v>
      </c>
      <c r="F638" s="151"/>
      <c r="G638" s="151"/>
      <c r="H638" s="154">
        <f>E638*D638</f>
        <v>553.79999999999995</v>
      </c>
      <c r="I638" s="151"/>
      <c r="J638" s="151"/>
      <c r="K638" s="152"/>
      <c r="L638" s="160"/>
    </row>
    <row r="639" spans="1:12" s="148" customFormat="1" ht="18.649999999999999" customHeight="1">
      <c r="A639" s="149"/>
      <c r="B639" s="157" t="s">
        <v>51</v>
      </c>
      <c r="C639" s="157"/>
      <c r="D639" s="150">
        <f>ROUNDDOWN(E638/40,0)*D638</f>
        <v>0</v>
      </c>
      <c r="E639" s="151">
        <f>40*16/1000*3.281</f>
        <v>2.1</v>
      </c>
      <c r="F639" s="151"/>
      <c r="G639" s="151"/>
      <c r="H639" s="154">
        <f>E639*D639</f>
        <v>0</v>
      </c>
      <c r="I639" s="151"/>
      <c r="J639" s="151"/>
      <c r="K639" s="152"/>
      <c r="L639" s="160"/>
    </row>
    <row r="640" spans="1:12" s="148" customFormat="1" ht="18.649999999999999" customHeight="1">
      <c r="A640" s="149"/>
      <c r="B640" s="157" t="s">
        <v>284</v>
      </c>
      <c r="C640" s="234">
        <f>2*G635</f>
        <v>2.34</v>
      </c>
      <c r="D640" s="150">
        <f>D635*ROUND(E635/0.42,0)</f>
        <v>228</v>
      </c>
      <c r="E640" s="151">
        <f>ROUND((F635-0.25+G635-0.25)*2+24*10/1000*3.281,2)</f>
        <v>4.13</v>
      </c>
      <c r="F640" s="151"/>
      <c r="G640" s="151"/>
      <c r="H640" s="151"/>
      <c r="I640" s="151">
        <f>D640*E640</f>
        <v>941.64</v>
      </c>
      <c r="J640" s="151"/>
      <c r="K640" s="152"/>
      <c r="L640" s="160"/>
    </row>
    <row r="641" spans="1:12" s="148" customFormat="1" ht="18.649999999999999" customHeight="1">
      <c r="A641" s="149"/>
      <c r="B641" s="157" t="s">
        <v>289</v>
      </c>
      <c r="C641" s="157"/>
      <c r="D641" s="150"/>
      <c r="E641" s="151"/>
      <c r="F641" s="151"/>
      <c r="G641" s="151"/>
      <c r="H641" s="151"/>
      <c r="I641" s="151"/>
      <c r="J641" s="151"/>
      <c r="K641" s="152"/>
      <c r="L641" s="160"/>
    </row>
    <row r="642" spans="1:12" s="148" customFormat="1" ht="18.649999999999999" customHeight="1">
      <c r="A642" s="149"/>
      <c r="B642" s="245" t="str">
        <f>B343</f>
        <v xml:space="preserve">Line A, (2-5) 28' L </v>
      </c>
      <c r="C642" s="245">
        <v>28</v>
      </c>
      <c r="D642" s="226">
        <f>D343</f>
        <v>1</v>
      </c>
      <c r="E642" s="227">
        <f>E343</f>
        <v>25</v>
      </c>
      <c r="F642" s="227">
        <f>F343</f>
        <v>1</v>
      </c>
      <c r="G642" s="227">
        <f>G343</f>
        <v>1.17</v>
      </c>
      <c r="H642" s="151"/>
      <c r="I642" s="151"/>
      <c r="J642" s="151"/>
      <c r="K642" s="152"/>
      <c r="L642" s="160"/>
    </row>
    <row r="643" spans="1:12" s="148" customFormat="1" ht="18.649999999999999" customHeight="1">
      <c r="A643" s="149"/>
      <c r="B643" s="157" t="s">
        <v>287</v>
      </c>
      <c r="C643" s="157"/>
      <c r="D643" s="150">
        <f>D642*5</f>
        <v>5</v>
      </c>
      <c r="E643" s="151">
        <f>C642-0.25+(G642-0.25)*2</f>
        <v>29.59</v>
      </c>
      <c r="F643" s="151"/>
      <c r="G643" s="151"/>
      <c r="H643" s="154">
        <f>E643*D643</f>
        <v>148</v>
      </c>
      <c r="I643" s="151"/>
      <c r="J643" s="151"/>
      <c r="K643" s="152"/>
      <c r="L643" s="147"/>
    </row>
    <row r="644" spans="1:12" s="148" customFormat="1" ht="18.649999999999999" customHeight="1">
      <c r="A644" s="149"/>
      <c r="B644" s="157" t="s">
        <v>51</v>
      </c>
      <c r="C644" s="157"/>
      <c r="D644" s="150">
        <f>ROUNDDOWN(E643/40,0)*D643</f>
        <v>0</v>
      </c>
      <c r="E644" s="151">
        <f>40*16/1000*3.281</f>
        <v>2.1</v>
      </c>
      <c r="F644" s="151"/>
      <c r="G644" s="151"/>
      <c r="H644" s="154">
        <f>E644*D644</f>
        <v>0</v>
      </c>
      <c r="I644" s="151"/>
      <c r="J644" s="151"/>
      <c r="K644" s="152"/>
      <c r="L644" s="147"/>
    </row>
    <row r="645" spans="1:12" s="148" customFormat="1" ht="18.649999999999999" customHeight="1">
      <c r="A645" s="149"/>
      <c r="B645" s="157" t="s">
        <v>288</v>
      </c>
      <c r="C645" s="157"/>
      <c r="D645" s="150">
        <f>D642*5</f>
        <v>5</v>
      </c>
      <c r="E645" s="151">
        <f>C642-0.25+18*16/1000*3.281</f>
        <v>28.69</v>
      </c>
      <c r="F645" s="151"/>
      <c r="G645" s="151"/>
      <c r="H645" s="154">
        <f>E645*D645</f>
        <v>143.5</v>
      </c>
      <c r="I645" s="151"/>
      <c r="J645" s="151"/>
      <c r="K645" s="152"/>
      <c r="L645" s="160"/>
    </row>
    <row r="646" spans="1:12" s="148" customFormat="1" ht="18.649999999999999" customHeight="1">
      <c r="A646" s="149"/>
      <c r="B646" s="157" t="s">
        <v>51</v>
      </c>
      <c r="C646" s="157"/>
      <c r="D646" s="150">
        <f>ROUNDDOWN(E645/40,0)*D645</f>
        <v>0</v>
      </c>
      <c r="E646" s="151">
        <f>40*16/1000*3.281</f>
        <v>2.1</v>
      </c>
      <c r="F646" s="151"/>
      <c r="G646" s="151"/>
      <c r="H646" s="154">
        <f>E646*D646</f>
        <v>0</v>
      </c>
      <c r="I646" s="151"/>
      <c r="J646" s="151"/>
      <c r="K646" s="152"/>
      <c r="L646" s="160"/>
    </row>
    <row r="647" spans="1:12" s="148" customFormat="1" ht="18.649999999999999" customHeight="1">
      <c r="A647" s="149"/>
      <c r="B647" s="157" t="s">
        <v>284</v>
      </c>
      <c r="C647" s="234">
        <f>2*G642</f>
        <v>2.34</v>
      </c>
      <c r="D647" s="150">
        <f>D642*ROUND(E642/0.42,0)</f>
        <v>60</v>
      </c>
      <c r="E647" s="151">
        <f>ROUND((F642-0.25+G642-0.25)*2+24*10/1000*3.281,2)</f>
        <v>4.13</v>
      </c>
      <c r="F647" s="151"/>
      <c r="G647" s="151"/>
      <c r="H647" s="151"/>
      <c r="I647" s="151">
        <f>D647*E647</f>
        <v>247.8</v>
      </c>
      <c r="J647" s="151"/>
      <c r="K647" s="152"/>
      <c r="L647" s="160"/>
    </row>
    <row r="648" spans="1:12" s="148" customFormat="1" ht="18.649999999999999" customHeight="1">
      <c r="A648" s="149"/>
      <c r="B648" s="157" t="s">
        <v>289</v>
      </c>
      <c r="C648" s="157"/>
      <c r="D648" s="150"/>
      <c r="E648" s="151"/>
      <c r="F648" s="151"/>
      <c r="G648" s="151"/>
      <c r="H648" s="151"/>
      <c r="I648" s="151"/>
      <c r="J648" s="151"/>
      <c r="K648" s="152"/>
      <c r="L648" s="160"/>
    </row>
    <row r="649" spans="1:12" s="148" customFormat="1" ht="18.649999999999999" customHeight="1">
      <c r="A649" s="149"/>
      <c r="B649" s="245" t="str">
        <f>B344</f>
        <v>Line A', (2'-3) 13' 6" L</v>
      </c>
      <c r="C649" s="245">
        <v>13.5</v>
      </c>
      <c r="D649" s="226">
        <f>D344</f>
        <v>1</v>
      </c>
      <c r="E649" s="227">
        <f>E344</f>
        <v>13</v>
      </c>
      <c r="F649" s="227">
        <f>F344</f>
        <v>1</v>
      </c>
      <c r="G649" s="227">
        <f>G344</f>
        <v>1.17</v>
      </c>
      <c r="H649" s="151"/>
      <c r="I649" s="151"/>
      <c r="J649" s="151"/>
      <c r="K649" s="152"/>
      <c r="L649" s="160"/>
    </row>
    <row r="650" spans="1:12" s="148" customFormat="1" ht="18.649999999999999" customHeight="1">
      <c r="A650" s="149"/>
      <c r="B650" s="157" t="s">
        <v>287</v>
      </c>
      <c r="C650" s="157"/>
      <c r="D650" s="150">
        <f>D649*5</f>
        <v>5</v>
      </c>
      <c r="E650" s="151">
        <f>C649-0.25+(G649-0.25)*2</f>
        <v>15.09</v>
      </c>
      <c r="F650" s="151"/>
      <c r="G650" s="151"/>
      <c r="H650" s="154">
        <f>E650*D650</f>
        <v>75.5</v>
      </c>
      <c r="I650" s="151"/>
      <c r="J650" s="151"/>
      <c r="K650" s="152"/>
      <c r="L650" s="147"/>
    </row>
    <row r="651" spans="1:12" s="148" customFormat="1" ht="18.649999999999999" customHeight="1">
      <c r="A651" s="149"/>
      <c r="B651" s="157" t="s">
        <v>51</v>
      </c>
      <c r="C651" s="157"/>
      <c r="D651" s="150">
        <f>ROUNDDOWN(E650/40,0)*D650</f>
        <v>0</v>
      </c>
      <c r="E651" s="151">
        <f>40*16/1000*3.281</f>
        <v>2.1</v>
      </c>
      <c r="F651" s="151"/>
      <c r="G651" s="151"/>
      <c r="H651" s="154">
        <f>E651*D651</f>
        <v>0</v>
      </c>
      <c r="I651" s="151"/>
      <c r="J651" s="151"/>
      <c r="K651" s="152"/>
      <c r="L651" s="147"/>
    </row>
    <row r="652" spans="1:12" s="148" customFormat="1" ht="18.649999999999999" customHeight="1">
      <c r="A652" s="149"/>
      <c r="B652" s="157" t="s">
        <v>288</v>
      </c>
      <c r="C652" s="157"/>
      <c r="D652" s="150">
        <f>D649*5</f>
        <v>5</v>
      </c>
      <c r="E652" s="151">
        <f>C649-0.25+18*16/1000*3.281</f>
        <v>14.19</v>
      </c>
      <c r="F652" s="151"/>
      <c r="G652" s="151"/>
      <c r="H652" s="154">
        <f>E652*D652</f>
        <v>71</v>
      </c>
      <c r="I652" s="151"/>
      <c r="J652" s="151"/>
      <c r="K652" s="152"/>
      <c r="L652" s="160"/>
    </row>
    <row r="653" spans="1:12" s="148" customFormat="1" ht="18.649999999999999" customHeight="1">
      <c r="A653" s="149"/>
      <c r="B653" s="157" t="s">
        <v>51</v>
      </c>
      <c r="C653" s="157"/>
      <c r="D653" s="150">
        <f>ROUNDDOWN(E652/40,0)*D652</f>
        <v>0</v>
      </c>
      <c r="E653" s="151">
        <f>40*16/1000*3.281</f>
        <v>2.1</v>
      </c>
      <c r="F653" s="151"/>
      <c r="G653" s="151"/>
      <c r="H653" s="154">
        <f>E653*D653</f>
        <v>0</v>
      </c>
      <c r="I653" s="151"/>
      <c r="J653" s="151"/>
      <c r="K653" s="152"/>
      <c r="L653" s="160"/>
    </row>
    <row r="654" spans="1:12" s="148" customFormat="1" ht="18.649999999999999" customHeight="1">
      <c r="A654" s="149"/>
      <c r="B654" s="157" t="s">
        <v>284</v>
      </c>
      <c r="C654" s="234">
        <f>2*G649</f>
        <v>2.34</v>
      </c>
      <c r="D654" s="150">
        <f>D649*ROUND(E649/0.42,0)</f>
        <v>31</v>
      </c>
      <c r="E654" s="151">
        <f>ROUND((F649-0.25+G649-0.25)*2+24*10/1000*3.281,2)</f>
        <v>4.13</v>
      </c>
      <c r="F654" s="151"/>
      <c r="G654" s="151"/>
      <c r="H654" s="151"/>
      <c r="I654" s="151">
        <f>D654*E654</f>
        <v>128.03</v>
      </c>
      <c r="J654" s="151"/>
      <c r="K654" s="152"/>
      <c r="L654" s="160"/>
    </row>
    <row r="655" spans="1:12" s="148" customFormat="1" ht="18.649999999999999" customHeight="1">
      <c r="A655" s="149"/>
      <c r="B655" s="157" t="s">
        <v>289</v>
      </c>
      <c r="C655" s="157"/>
      <c r="D655" s="150"/>
      <c r="E655" s="151"/>
      <c r="F655" s="151"/>
      <c r="G655" s="151"/>
      <c r="H655" s="151"/>
      <c r="I655" s="151"/>
      <c r="J655" s="151"/>
      <c r="K655" s="152"/>
      <c r="L655" s="160"/>
    </row>
    <row r="656" spans="1:12" s="148" customFormat="1" ht="18.649999999999999" customHeight="1">
      <c r="A656" s="149"/>
      <c r="B656" s="245" t="str">
        <f>B345</f>
        <v>Line B&amp;C, (2'-5), 32' 6" L</v>
      </c>
      <c r="C656" s="245">
        <v>32.5</v>
      </c>
      <c r="D656" s="226">
        <f>D345</f>
        <v>2</v>
      </c>
      <c r="E656" s="227">
        <f>E345</f>
        <v>32.5</v>
      </c>
      <c r="F656" s="227">
        <f>F345</f>
        <v>1</v>
      </c>
      <c r="G656" s="227">
        <f>G345</f>
        <v>1.17</v>
      </c>
      <c r="H656" s="151"/>
      <c r="I656" s="151"/>
      <c r="J656" s="151"/>
      <c r="K656" s="152"/>
      <c r="L656" s="160"/>
    </row>
    <row r="657" spans="1:13" s="148" customFormat="1" ht="18.649999999999999" customHeight="1">
      <c r="A657" s="149"/>
      <c r="B657" s="157" t="s">
        <v>287</v>
      </c>
      <c r="C657" s="157"/>
      <c r="D657" s="150">
        <f>D656*5</f>
        <v>10</v>
      </c>
      <c r="E657" s="151">
        <f>C656-0.25+(G656-0.25)*2</f>
        <v>34.090000000000003</v>
      </c>
      <c r="F657" s="151"/>
      <c r="G657" s="151"/>
      <c r="H657" s="154">
        <f>E657*D657</f>
        <v>340.9</v>
      </c>
      <c r="I657" s="151"/>
      <c r="J657" s="151"/>
      <c r="K657" s="152"/>
      <c r="L657" s="147"/>
    </row>
    <row r="658" spans="1:13" s="148" customFormat="1" ht="18.649999999999999" customHeight="1">
      <c r="A658" s="149"/>
      <c r="B658" s="157" t="s">
        <v>51</v>
      </c>
      <c r="C658" s="157"/>
      <c r="D658" s="150">
        <f>ROUNDDOWN(E657/40,0)*D657</f>
        <v>0</v>
      </c>
      <c r="E658" s="151">
        <f>40*16/1000*3.281</f>
        <v>2.1</v>
      </c>
      <c r="F658" s="151"/>
      <c r="G658" s="151"/>
      <c r="H658" s="154">
        <f>E658*D658</f>
        <v>0</v>
      </c>
      <c r="I658" s="151"/>
      <c r="J658" s="151"/>
      <c r="K658" s="152"/>
      <c r="L658" s="147"/>
    </row>
    <row r="659" spans="1:13" s="148" customFormat="1" ht="18.649999999999999" customHeight="1">
      <c r="A659" s="149"/>
      <c r="B659" s="157" t="s">
        <v>288</v>
      </c>
      <c r="C659" s="157"/>
      <c r="D659" s="150">
        <f>D656*5</f>
        <v>10</v>
      </c>
      <c r="E659" s="151">
        <f>C656-0.25+18*16/1000*3.281</f>
        <v>33.19</v>
      </c>
      <c r="F659" s="151"/>
      <c r="G659" s="151"/>
      <c r="H659" s="154">
        <f>E659*D659</f>
        <v>331.9</v>
      </c>
      <c r="I659" s="151"/>
      <c r="J659" s="151"/>
      <c r="K659" s="152"/>
      <c r="L659" s="160"/>
    </row>
    <row r="660" spans="1:13" s="148" customFormat="1" ht="18.649999999999999" customHeight="1">
      <c r="A660" s="149"/>
      <c r="B660" s="157" t="s">
        <v>51</v>
      </c>
      <c r="C660" s="157"/>
      <c r="D660" s="150">
        <f>ROUNDDOWN(E659/40,0)*D659</f>
        <v>0</v>
      </c>
      <c r="E660" s="151">
        <f>40*16/1000*3.281</f>
        <v>2.1</v>
      </c>
      <c r="F660" s="151"/>
      <c r="G660" s="151"/>
      <c r="H660" s="154">
        <f>E660*D660</f>
        <v>0</v>
      </c>
      <c r="I660" s="151"/>
      <c r="J660" s="151"/>
      <c r="K660" s="152"/>
      <c r="L660" s="160"/>
    </row>
    <row r="661" spans="1:13" s="148" customFormat="1" ht="18.649999999999999" customHeight="1">
      <c r="A661" s="149"/>
      <c r="B661" s="157" t="s">
        <v>284</v>
      </c>
      <c r="C661" s="234">
        <f>2*G656</f>
        <v>2.34</v>
      </c>
      <c r="D661" s="150">
        <f>D656*ROUND(E656/0.42,0)</f>
        <v>154</v>
      </c>
      <c r="E661" s="151">
        <f>ROUND((F656-0.25+G656-0.25)*2+24*10/1000*3.281,2)</f>
        <v>4.13</v>
      </c>
      <c r="F661" s="151"/>
      <c r="G661" s="151"/>
      <c r="H661" s="151"/>
      <c r="I661" s="151">
        <f>D661*E661</f>
        <v>636.02</v>
      </c>
      <c r="J661" s="151"/>
      <c r="K661" s="152"/>
      <c r="L661" s="160"/>
    </row>
    <row r="662" spans="1:13" s="148" customFormat="1" ht="18.649999999999999" customHeight="1">
      <c r="A662" s="149"/>
      <c r="B662" s="157" t="s">
        <v>289</v>
      </c>
      <c r="C662" s="157"/>
      <c r="D662" s="150"/>
      <c r="E662" s="151"/>
      <c r="F662" s="151"/>
      <c r="G662" s="151"/>
      <c r="H662" s="151"/>
      <c r="I662" s="151"/>
      <c r="J662" s="151"/>
      <c r="K662" s="152"/>
      <c r="L662" s="160"/>
    </row>
    <row r="663" spans="1:13" s="148" customFormat="1" ht="18.649999999999999" customHeight="1">
      <c r="A663" s="149"/>
      <c r="B663" s="157"/>
      <c r="C663" s="157"/>
      <c r="D663" s="150"/>
      <c r="E663" s="151"/>
      <c r="F663" s="151" t="s">
        <v>34</v>
      </c>
      <c r="G663" s="154"/>
      <c r="H663" s="155">
        <f>SUM(H419:H662)</f>
        <v>12409.9</v>
      </c>
      <c r="I663" s="154">
        <f>SUM(I419:I662)</f>
        <v>12266.6</v>
      </c>
      <c r="J663" s="151"/>
      <c r="K663" s="158"/>
      <c r="L663" s="147"/>
    </row>
    <row r="664" spans="1:13" s="148" customFormat="1" ht="18.649999999999999" customHeight="1">
      <c r="A664" s="149"/>
      <c r="B664" s="157"/>
      <c r="C664" s="157"/>
      <c r="D664" s="150"/>
      <c r="E664" s="151"/>
      <c r="F664" s="151"/>
      <c r="G664" s="155"/>
      <c r="H664" s="151" t="str">
        <f>H418</f>
        <v>16mm Ø</v>
      </c>
      <c r="I664" s="151" t="str">
        <f>I418</f>
        <v>10mm Ø</v>
      </c>
      <c r="J664" s="151"/>
      <c r="K664" s="152"/>
      <c r="L664" s="147"/>
    </row>
    <row r="665" spans="1:13" s="148" customFormat="1" ht="18.649999999999999" customHeight="1">
      <c r="A665" s="149"/>
      <c r="B665" s="157"/>
      <c r="C665" s="157"/>
      <c r="D665" s="150"/>
      <c r="E665" s="151"/>
      <c r="F665" s="151" t="s">
        <v>14</v>
      </c>
      <c r="G665" s="151"/>
      <c r="H665" s="151">
        <f>H663/39.33/53</f>
        <v>5.95</v>
      </c>
      <c r="I665" s="151">
        <f>I663/39.33/135</f>
        <v>2.31</v>
      </c>
      <c r="J665" s="151"/>
      <c r="K665" s="158"/>
      <c r="L665" s="147"/>
    </row>
    <row r="666" spans="1:13" s="148" customFormat="1" ht="18.649999999999999" customHeight="1">
      <c r="A666" s="149"/>
      <c r="B666" s="157"/>
      <c r="C666" s="157"/>
      <c r="D666" s="150"/>
      <c r="E666" s="151"/>
      <c r="F666" s="151"/>
      <c r="G666" s="151"/>
      <c r="H666" s="151">
        <f>H665*1.05</f>
        <v>6.25</v>
      </c>
      <c r="I666" s="151">
        <f>I665*1.05</f>
        <v>2.4300000000000002</v>
      </c>
      <c r="J666" s="151"/>
      <c r="K666" s="158"/>
      <c r="L666" s="147"/>
    </row>
    <row r="667" spans="1:13" s="148" customFormat="1" ht="18.649999999999999" customHeight="1">
      <c r="A667" s="149"/>
      <c r="B667" s="149"/>
      <c r="C667" s="149"/>
      <c r="D667" s="150"/>
      <c r="E667" s="151"/>
      <c r="F667" s="151"/>
      <c r="G667" s="151"/>
      <c r="H667" s="151"/>
      <c r="I667" s="151"/>
      <c r="J667" s="151">
        <f>H666+I666</f>
        <v>8.68</v>
      </c>
      <c r="K667" s="152" t="s">
        <v>14</v>
      </c>
      <c r="L667" s="147"/>
    </row>
    <row r="668" spans="1:13" s="65" customFormat="1" ht="17.5" customHeight="1">
      <c r="A668" s="178"/>
      <c r="B668" s="126"/>
      <c r="C668" s="126"/>
      <c r="D668" s="128"/>
      <c r="E668" s="129"/>
      <c r="F668" s="129"/>
      <c r="G668" s="129"/>
      <c r="H668" s="129"/>
      <c r="I668" s="129"/>
      <c r="J668" s="129"/>
      <c r="K668" s="152"/>
      <c r="L668" s="179"/>
      <c r="M668" s="180"/>
    </row>
    <row r="669" spans="1:13" s="65" customFormat="1" ht="17.5" customHeight="1">
      <c r="A669" s="178">
        <v>10</v>
      </c>
      <c r="B669" s="181" t="s">
        <v>130</v>
      </c>
      <c r="C669" s="181"/>
      <c r="D669" s="128"/>
      <c r="E669" s="129"/>
      <c r="F669" s="129"/>
      <c r="G669" s="129"/>
      <c r="H669" s="129"/>
      <c r="I669" s="129"/>
      <c r="J669" s="129"/>
      <c r="K669" s="152"/>
      <c r="L669" s="179"/>
      <c r="M669" s="180"/>
    </row>
    <row r="670" spans="1:13" s="65" customFormat="1" ht="17.5" customHeight="1">
      <c r="A670" s="178"/>
      <c r="B670" s="181" t="s">
        <v>131</v>
      </c>
      <c r="C670" s="181"/>
      <c r="D670" s="128"/>
      <c r="E670" s="129"/>
      <c r="F670" s="129"/>
      <c r="G670" s="129"/>
      <c r="H670" s="129"/>
      <c r="I670" s="129"/>
      <c r="J670" s="129"/>
      <c r="K670" s="152"/>
      <c r="L670" s="179"/>
      <c r="M670" s="180"/>
    </row>
    <row r="671" spans="1:13" s="65" customFormat="1" ht="17.5" customHeight="1">
      <c r="A671" s="178"/>
      <c r="B671" s="181" t="s">
        <v>293</v>
      </c>
      <c r="C671" s="181"/>
      <c r="D671" s="128"/>
      <c r="E671" s="129"/>
      <c r="F671" s="129"/>
      <c r="G671" s="129"/>
      <c r="H671" s="129"/>
      <c r="I671" s="129"/>
      <c r="J671" s="129"/>
      <c r="K671" s="152"/>
      <c r="L671" s="179"/>
      <c r="M671" s="180"/>
    </row>
    <row r="672" spans="1:13" s="65" customFormat="1" ht="17.5" customHeight="1">
      <c r="A672" s="178"/>
      <c r="B672" s="126" t="s">
        <v>290</v>
      </c>
      <c r="C672" s="126"/>
      <c r="D672" s="128">
        <v>1</v>
      </c>
      <c r="E672" s="129">
        <v>40</v>
      </c>
      <c r="F672" s="129">
        <v>27</v>
      </c>
      <c r="G672" s="129">
        <f>0.33</f>
        <v>0.33</v>
      </c>
      <c r="H672" s="129"/>
      <c r="I672" s="129">
        <f>D672*E672*F672*G672</f>
        <v>356.4</v>
      </c>
      <c r="J672" s="129"/>
      <c r="K672" s="152" t="s">
        <v>28</v>
      </c>
      <c r="L672" s="179"/>
      <c r="M672" s="180"/>
    </row>
    <row r="673" spans="1:13" s="65" customFormat="1" ht="17.5" customHeight="1">
      <c r="A673" s="178"/>
      <c r="B673" s="126" t="s">
        <v>291</v>
      </c>
      <c r="C673" s="126"/>
      <c r="D673" s="128">
        <v>1</v>
      </c>
      <c r="E673" s="129">
        <v>30</v>
      </c>
      <c r="F673" s="129">
        <v>3</v>
      </c>
      <c r="G673" s="129">
        <f>0.33</f>
        <v>0.33</v>
      </c>
      <c r="H673" s="129"/>
      <c r="I673" s="129">
        <f>D673*E673*F673*G673</f>
        <v>29.7</v>
      </c>
      <c r="J673" s="129"/>
      <c r="K673" s="152" t="s">
        <v>28</v>
      </c>
      <c r="L673" s="179"/>
      <c r="M673" s="180"/>
    </row>
    <row r="674" spans="1:13" s="65" customFormat="1" ht="17.5" customHeight="1">
      <c r="A674" s="178"/>
      <c r="B674" s="126" t="s">
        <v>292</v>
      </c>
      <c r="C674" s="126"/>
      <c r="D674" s="128">
        <v>1</v>
      </c>
      <c r="E674" s="129">
        <v>11.5</v>
      </c>
      <c r="F674" s="129">
        <v>3</v>
      </c>
      <c r="G674" s="129">
        <v>0.33</v>
      </c>
      <c r="H674" s="129"/>
      <c r="I674" s="129">
        <f>D674*E674*F674*G674</f>
        <v>11.39</v>
      </c>
      <c r="J674" s="129"/>
      <c r="K674" s="152" t="s">
        <v>28</v>
      </c>
      <c r="L674" s="179"/>
      <c r="M674" s="180"/>
    </row>
    <row r="675" spans="1:13" s="65" customFormat="1" ht="17.5" customHeight="1">
      <c r="A675" s="178"/>
      <c r="B675" s="126"/>
      <c r="C675" s="126"/>
      <c r="D675" s="128">
        <v>1</v>
      </c>
      <c r="E675" s="129">
        <v>6</v>
      </c>
      <c r="F675" s="129">
        <v>1</v>
      </c>
      <c r="G675" s="129">
        <v>0.5</v>
      </c>
      <c r="H675" s="129"/>
      <c r="I675" s="129">
        <f>D675*E675*F675*G675</f>
        <v>3</v>
      </c>
      <c r="J675" s="129"/>
      <c r="K675" s="152" t="s">
        <v>28</v>
      </c>
      <c r="L675" s="179"/>
      <c r="M675" s="180"/>
    </row>
    <row r="676" spans="1:13" s="65" customFormat="1" ht="17.5" customHeight="1">
      <c r="A676" s="178"/>
      <c r="B676" s="178" t="s">
        <v>25</v>
      </c>
      <c r="C676" s="126"/>
      <c r="D676" s="128"/>
      <c r="E676" s="129"/>
      <c r="F676" s="129"/>
      <c r="G676" s="129"/>
      <c r="H676" s="129"/>
      <c r="I676" s="129"/>
      <c r="J676" s="129"/>
      <c r="K676" s="152"/>
      <c r="L676" s="179"/>
      <c r="M676" s="180"/>
    </row>
    <row r="677" spans="1:13" s="65" customFormat="1" ht="17.5" customHeight="1">
      <c r="A677" s="178"/>
      <c r="B677" s="126" t="str">
        <f>B311</f>
        <v>Total Length of FB1 (10" x 10")</v>
      </c>
      <c r="C677" s="126"/>
      <c r="D677" s="128">
        <v>1</v>
      </c>
      <c r="E677" s="129">
        <f>E311</f>
        <v>42.25</v>
      </c>
      <c r="F677" s="129">
        <f>0.83</f>
        <v>0.83</v>
      </c>
      <c r="G677" s="129">
        <f>G672</f>
        <v>0.33</v>
      </c>
      <c r="H677" s="129">
        <f>D677*E677*F677*G677</f>
        <v>11.57</v>
      </c>
      <c r="I677" s="129"/>
      <c r="J677" s="129"/>
      <c r="K677" s="152" t="s">
        <v>28</v>
      </c>
      <c r="L677" s="179"/>
      <c r="M677" s="180"/>
    </row>
    <row r="678" spans="1:13" s="65" customFormat="1" ht="17.5" customHeight="1">
      <c r="A678" s="178"/>
      <c r="B678" s="126" t="str">
        <f>B317</f>
        <v>Total Length of FB (12" x 14")</v>
      </c>
      <c r="C678" s="126"/>
      <c r="D678" s="128">
        <v>1</v>
      </c>
      <c r="E678" s="129">
        <f>E317</f>
        <v>282</v>
      </c>
      <c r="F678" s="129">
        <v>1</v>
      </c>
      <c r="G678" s="129">
        <f>G677</f>
        <v>0.33</v>
      </c>
      <c r="H678" s="129">
        <f>D678*E678*F678*G678</f>
        <v>93.06</v>
      </c>
      <c r="I678" s="129"/>
      <c r="J678" s="129"/>
      <c r="K678" s="152" t="s">
        <v>28</v>
      </c>
      <c r="L678" s="179"/>
      <c r="M678" s="180"/>
    </row>
    <row r="679" spans="1:13" s="65" customFormat="1" ht="17.5" customHeight="1">
      <c r="A679" s="178"/>
      <c r="B679" s="126"/>
      <c r="C679" s="126"/>
      <c r="D679" s="128"/>
      <c r="E679" s="129"/>
      <c r="F679" s="129"/>
      <c r="G679" s="129"/>
      <c r="H679" s="274">
        <f>SUM(H672:H678)</f>
        <v>104.63</v>
      </c>
      <c r="I679" s="274">
        <f>SUM(I672:I678)</f>
        <v>400.49</v>
      </c>
      <c r="J679" s="274">
        <f>I679-H679</f>
        <v>295.86</v>
      </c>
      <c r="K679" s="275" t="s">
        <v>28</v>
      </c>
      <c r="L679" s="179"/>
      <c r="M679" s="180"/>
    </row>
    <row r="680" spans="1:13" s="65" customFormat="1" ht="17.5" customHeight="1">
      <c r="A680" s="178"/>
      <c r="B680" s="126"/>
      <c r="C680" s="126"/>
      <c r="D680" s="128"/>
      <c r="E680" s="129"/>
      <c r="F680" s="129"/>
      <c r="G680" s="129"/>
      <c r="H680" s="129"/>
      <c r="I680" s="129"/>
      <c r="J680" s="129"/>
      <c r="K680" s="152"/>
      <c r="L680" s="179"/>
      <c r="M680" s="180"/>
    </row>
    <row r="681" spans="1:13" s="65" customFormat="1" ht="17.5" customHeight="1">
      <c r="A681" s="178"/>
      <c r="B681" s="181" t="s">
        <v>294</v>
      </c>
      <c r="C681" s="126"/>
      <c r="D681" s="128"/>
      <c r="E681" s="129"/>
      <c r="F681" s="129"/>
      <c r="G681" s="129"/>
      <c r="H681" s="129"/>
      <c r="I681" s="129"/>
      <c r="J681" s="129"/>
      <c r="K681" s="152"/>
      <c r="L681" s="179"/>
      <c r="M681" s="180"/>
    </row>
    <row r="682" spans="1:13" s="65" customFormat="1" ht="17.5" customHeight="1">
      <c r="A682" s="178"/>
      <c r="B682" s="126" t="s">
        <v>290</v>
      </c>
      <c r="C682" s="126"/>
      <c r="D682" s="128">
        <v>1</v>
      </c>
      <c r="E682" s="129">
        <v>40</v>
      </c>
      <c r="F682" s="129">
        <v>27</v>
      </c>
      <c r="G682" s="129">
        <f>0.33</f>
        <v>0.33</v>
      </c>
      <c r="H682" s="129"/>
      <c r="I682" s="129">
        <f>D682*E682*F682*G682</f>
        <v>356.4</v>
      </c>
      <c r="J682" s="129"/>
      <c r="K682" s="152" t="s">
        <v>28</v>
      </c>
      <c r="L682" s="179"/>
      <c r="M682" s="180"/>
    </row>
    <row r="683" spans="1:13" s="65" customFormat="1" ht="17.5" customHeight="1">
      <c r="A683" s="178"/>
      <c r="B683" s="126" t="s">
        <v>291</v>
      </c>
      <c r="C683" s="126"/>
      <c r="D683" s="128">
        <v>1</v>
      </c>
      <c r="E683" s="129">
        <v>30</v>
      </c>
      <c r="F683" s="129">
        <v>3</v>
      </c>
      <c r="G683" s="129">
        <f>0.33</f>
        <v>0.33</v>
      </c>
      <c r="H683" s="129"/>
      <c r="I683" s="129">
        <f>D683*E683*F683*G683</f>
        <v>29.7</v>
      </c>
      <c r="J683" s="129"/>
      <c r="K683" s="152" t="s">
        <v>28</v>
      </c>
      <c r="L683" s="179"/>
      <c r="M683" s="180"/>
    </row>
    <row r="684" spans="1:13" s="65" customFormat="1" ht="17.5" customHeight="1">
      <c r="A684" s="178"/>
      <c r="B684" s="126" t="s">
        <v>292</v>
      </c>
      <c r="C684" s="126"/>
      <c r="D684" s="128">
        <v>1</v>
      </c>
      <c r="E684" s="129">
        <v>11.5</v>
      </c>
      <c r="F684" s="129">
        <v>3</v>
      </c>
      <c r="G684" s="129">
        <v>0.33</v>
      </c>
      <c r="H684" s="129"/>
      <c r="I684" s="129">
        <f>D684*E684*F684*G684</f>
        <v>11.39</v>
      </c>
      <c r="J684" s="129"/>
      <c r="K684" s="152" t="s">
        <v>28</v>
      </c>
      <c r="L684" s="179"/>
      <c r="M684" s="180"/>
    </row>
    <row r="685" spans="1:13" s="65" customFormat="1" ht="17.5" customHeight="1">
      <c r="A685" s="178"/>
      <c r="B685" s="126"/>
      <c r="C685" s="126"/>
      <c r="D685" s="128">
        <v>1</v>
      </c>
      <c r="E685" s="129">
        <v>6</v>
      </c>
      <c r="F685" s="129">
        <v>1</v>
      </c>
      <c r="G685" s="129">
        <v>0.5</v>
      </c>
      <c r="H685" s="129"/>
      <c r="I685" s="129">
        <f>D685*E685*F685*G685</f>
        <v>3</v>
      </c>
      <c r="J685" s="129"/>
      <c r="K685" s="152" t="s">
        <v>28</v>
      </c>
      <c r="L685" s="179"/>
      <c r="M685" s="180"/>
    </row>
    <row r="686" spans="1:13" s="65" customFormat="1" ht="17.5" customHeight="1">
      <c r="A686" s="178"/>
      <c r="B686" s="178" t="s">
        <v>25</v>
      </c>
      <c r="C686" s="126"/>
      <c r="D686" s="128"/>
      <c r="E686" s="129"/>
      <c r="F686" s="129"/>
      <c r="G686" s="129"/>
      <c r="H686" s="129"/>
      <c r="I686" s="129"/>
      <c r="J686" s="129"/>
      <c r="K686" s="152"/>
      <c r="L686" s="179"/>
      <c r="M686" s="180"/>
    </row>
    <row r="687" spans="1:13" s="65" customFormat="1" ht="17.5" customHeight="1">
      <c r="A687" s="178"/>
      <c r="B687" s="126" t="str">
        <f>B324</f>
        <v>Total Length of 2FB1 (10" x10")</v>
      </c>
      <c r="C687" s="126"/>
      <c r="D687" s="128">
        <v>1</v>
      </c>
      <c r="E687" s="129">
        <f>E324</f>
        <v>47.75</v>
      </c>
      <c r="F687" s="129">
        <f>0.83</f>
        <v>0.83</v>
      </c>
      <c r="G687" s="129">
        <v>0.33</v>
      </c>
      <c r="H687" s="129">
        <f>D687*E687*F687*G687</f>
        <v>13.08</v>
      </c>
      <c r="I687" s="129"/>
      <c r="J687" s="129"/>
      <c r="K687" s="152" t="s">
        <v>28</v>
      </c>
      <c r="L687" s="179"/>
      <c r="M687" s="180"/>
    </row>
    <row r="688" spans="1:13" s="65" customFormat="1" ht="17.5" customHeight="1">
      <c r="A688" s="178"/>
      <c r="B688" s="126" t="str">
        <f>B331</f>
        <v>Total Length of 2FB2 (12" X 14")</v>
      </c>
      <c r="C688" s="126"/>
      <c r="D688" s="128">
        <v>1</v>
      </c>
      <c r="E688" s="129">
        <f>E331</f>
        <v>281</v>
      </c>
      <c r="F688" s="129">
        <v>1</v>
      </c>
      <c r="G688" s="129">
        <v>0.33</v>
      </c>
      <c r="H688" s="129">
        <f>D688*E688*F688*G688</f>
        <v>92.73</v>
      </c>
      <c r="I688" s="129"/>
      <c r="J688" s="129"/>
      <c r="K688" s="152" t="s">
        <v>28</v>
      </c>
      <c r="L688" s="179"/>
      <c r="M688" s="180"/>
    </row>
    <row r="689" spans="1:13" s="65" customFormat="1" ht="17.5" customHeight="1">
      <c r="A689" s="178"/>
      <c r="B689" s="126"/>
      <c r="C689" s="126"/>
      <c r="D689" s="128"/>
      <c r="E689" s="129"/>
      <c r="F689" s="129"/>
      <c r="G689" s="129"/>
      <c r="H689" s="274">
        <f>SUM(H682:H688)</f>
        <v>105.81</v>
      </c>
      <c r="I689" s="274">
        <f>SUM(I682:I688)</f>
        <v>400.49</v>
      </c>
      <c r="J689" s="274">
        <f>I689-H689</f>
        <v>294.68</v>
      </c>
      <c r="K689" s="275" t="s">
        <v>28</v>
      </c>
      <c r="L689" s="179"/>
      <c r="M689" s="180"/>
    </row>
    <row r="690" spans="1:13" s="65" customFormat="1" ht="17.5" customHeight="1">
      <c r="A690" s="178"/>
      <c r="B690" s="126"/>
      <c r="C690" s="126"/>
      <c r="D690" s="128"/>
      <c r="E690" s="129"/>
      <c r="F690" s="129"/>
      <c r="G690" s="129"/>
      <c r="H690" s="129"/>
      <c r="I690" s="129"/>
      <c r="J690" s="129"/>
      <c r="K690" s="152"/>
      <c r="L690" s="179"/>
      <c r="M690" s="180"/>
    </row>
    <row r="691" spans="1:13" s="65" customFormat="1" ht="17.5" customHeight="1">
      <c r="A691" s="178"/>
      <c r="B691" s="181" t="s">
        <v>175</v>
      </c>
      <c r="C691" s="126"/>
      <c r="D691" s="128"/>
      <c r="E691" s="129"/>
      <c r="F691" s="129"/>
      <c r="G691" s="129"/>
      <c r="H691" s="129"/>
      <c r="I691" s="129"/>
      <c r="J691" s="129"/>
      <c r="K691" s="152"/>
      <c r="L691" s="179"/>
      <c r="M691" s="180"/>
    </row>
    <row r="692" spans="1:13" s="65" customFormat="1" ht="17.5" customHeight="1">
      <c r="A692" s="178"/>
      <c r="B692" s="126" t="s">
        <v>298</v>
      </c>
      <c r="C692" s="126"/>
      <c r="D692" s="128">
        <v>1</v>
      </c>
      <c r="E692" s="129">
        <v>27</v>
      </c>
      <c r="F692" s="129">
        <f>28+0.5</f>
        <v>28.5</v>
      </c>
      <c r="G692" s="129">
        <f>0.42</f>
        <v>0.42</v>
      </c>
      <c r="H692" s="129"/>
      <c r="I692" s="129">
        <f>D692*E692*F692*G692</f>
        <v>323.19</v>
      </c>
      <c r="J692" s="129"/>
      <c r="K692" s="152" t="s">
        <v>28</v>
      </c>
      <c r="L692" s="179"/>
      <c r="M692" s="180"/>
    </row>
    <row r="693" spans="1:13" s="65" customFormat="1" ht="17.5" customHeight="1">
      <c r="A693" s="178"/>
      <c r="B693" s="126"/>
      <c r="C693" s="126"/>
      <c r="D693" s="128">
        <v>1</v>
      </c>
      <c r="E693" s="129">
        <f>9.67+13.5</f>
        <v>23.17</v>
      </c>
      <c r="F693" s="129">
        <v>4</v>
      </c>
      <c r="G693" s="129">
        <f>0.42</f>
        <v>0.42</v>
      </c>
      <c r="H693" s="129"/>
      <c r="I693" s="129">
        <f>D693*E693*F693*G693</f>
        <v>38.93</v>
      </c>
      <c r="J693" s="129"/>
      <c r="K693" s="152" t="s">
        <v>28</v>
      </c>
      <c r="L693" s="179"/>
      <c r="M693" s="180"/>
    </row>
    <row r="694" spans="1:13" s="65" customFormat="1" ht="17.5" customHeight="1">
      <c r="A694" s="178"/>
      <c r="B694" s="126" t="str">
        <f>B338</f>
        <v>Total Length of RB1 (10" x10")</v>
      </c>
      <c r="C694" s="126"/>
      <c r="D694" s="128">
        <v>1</v>
      </c>
      <c r="E694" s="129">
        <f>E338</f>
        <v>47.75</v>
      </c>
      <c r="F694" s="129">
        <f>10/12</f>
        <v>0.83</v>
      </c>
      <c r="G694" s="129">
        <f>G692</f>
        <v>0.42</v>
      </c>
      <c r="H694" s="129">
        <f>D694*E694*F694*G694</f>
        <v>16.649999999999999</v>
      </c>
      <c r="I694" s="129"/>
      <c r="J694" s="129"/>
      <c r="K694" s="152" t="s">
        <v>28</v>
      </c>
      <c r="L694" s="179"/>
      <c r="M694" s="180"/>
    </row>
    <row r="695" spans="1:13" s="65" customFormat="1" ht="17.5" customHeight="1">
      <c r="A695" s="178"/>
      <c r="B695" s="126" t="str">
        <f>B346</f>
        <v>Total Length of RB (12" x 14")</v>
      </c>
      <c r="C695" s="126"/>
      <c r="D695" s="128">
        <v>1</v>
      </c>
      <c r="E695" s="129">
        <f>E346</f>
        <v>219.17</v>
      </c>
      <c r="F695" s="129">
        <v>1</v>
      </c>
      <c r="G695" s="129">
        <f>G692</f>
        <v>0.42</v>
      </c>
      <c r="H695" s="129">
        <f>D695*E695*F695*G695</f>
        <v>92.05</v>
      </c>
      <c r="I695" s="129"/>
      <c r="J695" s="129"/>
      <c r="K695" s="152" t="s">
        <v>28</v>
      </c>
      <c r="L695" s="179"/>
      <c r="M695" s="180"/>
    </row>
    <row r="696" spans="1:13" s="65" customFormat="1" ht="17.5" customHeight="1">
      <c r="A696" s="178"/>
      <c r="B696" s="126"/>
      <c r="C696" s="126"/>
      <c r="D696" s="128"/>
      <c r="E696" s="129"/>
      <c r="F696" s="129"/>
      <c r="G696" s="129"/>
      <c r="H696" s="129"/>
      <c r="I696" s="129"/>
      <c r="J696" s="129"/>
      <c r="K696" s="152"/>
      <c r="L696" s="179"/>
      <c r="M696" s="180"/>
    </row>
    <row r="697" spans="1:13" s="65" customFormat="1" ht="17.5" customHeight="1">
      <c r="A697" s="178"/>
      <c r="B697" s="126"/>
      <c r="C697" s="126"/>
      <c r="D697" s="128"/>
      <c r="E697" s="129"/>
      <c r="F697" s="129"/>
      <c r="G697" s="129"/>
      <c r="H697" s="274">
        <f>SUM(H692:H696)</f>
        <v>108.7</v>
      </c>
      <c r="I697" s="274">
        <f>SUM(I692:I696)</f>
        <v>362.12</v>
      </c>
      <c r="J697" s="274">
        <f>I697-H697</f>
        <v>253.42</v>
      </c>
      <c r="K697" s="275" t="s">
        <v>28</v>
      </c>
      <c r="L697" s="179"/>
      <c r="M697" s="180"/>
    </row>
    <row r="698" spans="1:13" s="65" customFormat="1" ht="17.5" customHeight="1">
      <c r="A698" s="178"/>
      <c r="B698" s="126"/>
      <c r="C698" s="126"/>
      <c r="D698" s="128"/>
      <c r="E698" s="129"/>
      <c r="F698" s="129"/>
      <c r="G698" s="129"/>
      <c r="H698" s="129"/>
      <c r="I698" s="129"/>
      <c r="J698" s="129"/>
      <c r="K698" s="152"/>
      <c r="L698" s="179"/>
      <c r="M698" s="180"/>
    </row>
    <row r="699" spans="1:13" s="65" customFormat="1" ht="17.5" customHeight="1">
      <c r="A699" s="178"/>
      <c r="B699" s="126"/>
      <c r="C699" s="126"/>
      <c r="D699" s="128"/>
      <c r="E699" s="129"/>
      <c r="F699" s="129"/>
      <c r="G699" s="129"/>
      <c r="H699" s="129"/>
      <c r="I699" s="129"/>
      <c r="J699" s="274">
        <f>SUM(J672:J697)</f>
        <v>843.96</v>
      </c>
      <c r="K699" s="275" t="s">
        <v>28</v>
      </c>
      <c r="L699" s="179"/>
      <c r="M699" s="180"/>
    </row>
    <row r="700" spans="1:13" s="65" customFormat="1" ht="17.5" customHeight="1">
      <c r="A700" s="178"/>
      <c r="B700" s="126"/>
      <c r="C700" s="126"/>
      <c r="D700" s="128"/>
      <c r="E700" s="129"/>
      <c r="F700" s="129"/>
      <c r="G700" s="129"/>
      <c r="H700" s="129"/>
      <c r="I700" s="129"/>
      <c r="J700" s="274">
        <f>J699/100</f>
        <v>8.44</v>
      </c>
      <c r="K700" s="275" t="s">
        <v>7</v>
      </c>
      <c r="L700" s="179"/>
      <c r="M700" s="180"/>
    </row>
    <row r="701" spans="1:13" s="65" customFormat="1" ht="17.5" customHeight="1">
      <c r="A701" s="178"/>
      <c r="B701" s="181" t="s">
        <v>98</v>
      </c>
      <c r="C701" s="181"/>
      <c r="D701" s="128"/>
      <c r="E701" s="129"/>
      <c r="F701" s="129"/>
      <c r="G701" s="129"/>
      <c r="H701" s="129"/>
      <c r="I701" s="129"/>
      <c r="J701" s="129"/>
      <c r="K701" s="152"/>
      <c r="L701" s="179"/>
      <c r="M701" s="180"/>
    </row>
    <row r="702" spans="1:13" s="65" customFormat="1" ht="17.5" customHeight="1">
      <c r="A702" s="178"/>
      <c r="B702" s="181" t="s">
        <v>176</v>
      </c>
      <c r="C702" s="181"/>
      <c r="D702" s="128"/>
      <c r="E702" s="129"/>
      <c r="F702" s="129"/>
      <c r="G702" s="129"/>
      <c r="H702" s="129"/>
      <c r="I702" s="129"/>
      <c r="J702" s="129"/>
      <c r="K702" s="152"/>
      <c r="L702" s="179"/>
      <c r="M702" s="180"/>
    </row>
    <row r="703" spans="1:13" s="65" customFormat="1" ht="17.5" customHeight="1">
      <c r="A703" s="178"/>
      <c r="B703" s="181" t="s">
        <v>133</v>
      </c>
      <c r="C703" s="181"/>
      <c r="D703" s="128"/>
      <c r="E703" s="129"/>
      <c r="F703" s="129"/>
      <c r="G703" s="129"/>
      <c r="H703" s="129"/>
      <c r="I703" s="129"/>
      <c r="J703" s="129"/>
      <c r="K703" s="152"/>
      <c r="L703" s="179"/>
      <c r="M703" s="180"/>
    </row>
    <row r="704" spans="1:13" s="65" customFormat="1" ht="17.5" customHeight="1">
      <c r="A704" s="178"/>
      <c r="B704" s="126" t="str">
        <f>B672</f>
        <v>Main Building</v>
      </c>
      <c r="C704" s="126"/>
      <c r="D704" s="128">
        <f t="shared" ref="D704:F707" si="26">D672</f>
        <v>1</v>
      </c>
      <c r="E704" s="129">
        <f t="shared" si="26"/>
        <v>40</v>
      </c>
      <c r="F704" s="129">
        <f t="shared" si="26"/>
        <v>27</v>
      </c>
      <c r="G704" s="129"/>
      <c r="H704" s="129"/>
      <c r="I704" s="129">
        <f>D704*E704*F704</f>
        <v>1080</v>
      </c>
      <c r="J704" s="129"/>
      <c r="K704" s="152" t="s">
        <v>21</v>
      </c>
      <c r="L704" s="179"/>
      <c r="M704" s="180"/>
    </row>
    <row r="705" spans="1:13" s="65" customFormat="1" ht="17.5" customHeight="1">
      <c r="A705" s="178"/>
      <c r="B705" s="126" t="str">
        <f>B673</f>
        <v>Verendah, Line 1</v>
      </c>
      <c r="C705" s="126"/>
      <c r="D705" s="128">
        <f t="shared" si="26"/>
        <v>1</v>
      </c>
      <c r="E705" s="129">
        <f t="shared" si="26"/>
        <v>30</v>
      </c>
      <c r="F705" s="129">
        <f t="shared" si="26"/>
        <v>3</v>
      </c>
      <c r="G705" s="129"/>
      <c r="H705" s="129"/>
      <c r="I705" s="129">
        <f>D705*E705*F705</f>
        <v>90</v>
      </c>
      <c r="J705" s="129"/>
      <c r="K705" s="152" t="s">
        <v>21</v>
      </c>
      <c r="L705" s="179"/>
      <c r="M705" s="180"/>
    </row>
    <row r="706" spans="1:13" s="65" customFormat="1" ht="17.5" customHeight="1">
      <c r="A706" s="178"/>
      <c r="B706" s="126" t="str">
        <f>B674</f>
        <v>Verendah, Line A</v>
      </c>
      <c r="C706" s="126"/>
      <c r="D706" s="128">
        <f t="shared" si="26"/>
        <v>1</v>
      </c>
      <c r="E706" s="129">
        <f t="shared" si="26"/>
        <v>11.5</v>
      </c>
      <c r="F706" s="129">
        <f t="shared" si="26"/>
        <v>3</v>
      </c>
      <c r="G706" s="129"/>
      <c r="H706" s="129"/>
      <c r="I706" s="129">
        <f>D706*E706*F706</f>
        <v>34.5</v>
      </c>
      <c r="J706" s="129"/>
      <c r="K706" s="152" t="s">
        <v>21</v>
      </c>
      <c r="L706" s="179"/>
      <c r="M706" s="180"/>
    </row>
    <row r="707" spans="1:13" s="65" customFormat="1" ht="17.5" customHeight="1">
      <c r="A707" s="178"/>
      <c r="B707" s="126"/>
      <c r="C707" s="126"/>
      <c r="D707" s="128">
        <f t="shared" si="26"/>
        <v>1</v>
      </c>
      <c r="E707" s="129">
        <f t="shared" si="26"/>
        <v>6</v>
      </c>
      <c r="F707" s="129">
        <f t="shared" si="26"/>
        <v>1</v>
      </c>
      <c r="G707" s="129"/>
      <c r="H707" s="129"/>
      <c r="I707" s="129">
        <f>D707*E707*F707</f>
        <v>6</v>
      </c>
      <c r="J707" s="129"/>
      <c r="K707" s="152" t="s">
        <v>21</v>
      </c>
      <c r="L707" s="179"/>
      <c r="M707" s="180"/>
    </row>
    <row r="708" spans="1:13" s="65" customFormat="1" ht="17.5" customHeight="1">
      <c r="A708" s="178"/>
      <c r="B708" s="126" t="s">
        <v>299</v>
      </c>
      <c r="C708" s="126"/>
      <c r="D708" s="128">
        <v>1</v>
      </c>
      <c r="E708" s="129">
        <f>43*2+30*2</f>
        <v>146</v>
      </c>
      <c r="F708" s="129"/>
      <c r="G708" s="129">
        <f>G672</f>
        <v>0.33</v>
      </c>
      <c r="H708" s="129"/>
      <c r="I708" s="129">
        <f>D708*E708*G708</f>
        <v>48.18</v>
      </c>
      <c r="J708" s="129"/>
      <c r="K708" s="152" t="s">
        <v>21</v>
      </c>
      <c r="L708" s="179"/>
      <c r="M708" s="180"/>
    </row>
    <row r="709" spans="1:13" s="65" customFormat="1" ht="17.5" customHeight="1">
      <c r="A709" s="178"/>
      <c r="B709" s="126" t="s">
        <v>300</v>
      </c>
      <c r="C709" s="126"/>
      <c r="D709" s="128">
        <v>1</v>
      </c>
      <c r="E709" s="129">
        <f>13.5*2+9*2</f>
        <v>45</v>
      </c>
      <c r="F709" s="129"/>
      <c r="G709" s="129">
        <f>0.33</f>
        <v>0.33</v>
      </c>
      <c r="H709" s="129"/>
      <c r="I709" s="129">
        <f>D709*E709*G709</f>
        <v>14.85</v>
      </c>
      <c r="J709" s="129"/>
      <c r="K709" s="152" t="s">
        <v>21</v>
      </c>
      <c r="L709" s="179"/>
      <c r="M709" s="180"/>
    </row>
    <row r="710" spans="1:13" s="65" customFormat="1" ht="17.5" customHeight="1">
      <c r="A710" s="178"/>
      <c r="B710" s="178" t="s">
        <v>25</v>
      </c>
      <c r="C710" s="178"/>
      <c r="D710" s="128"/>
      <c r="E710" s="129"/>
      <c r="F710" s="129"/>
      <c r="G710" s="129"/>
      <c r="H710" s="129"/>
      <c r="I710" s="129"/>
      <c r="J710" s="129"/>
      <c r="K710" s="152"/>
      <c r="L710" s="179"/>
      <c r="M710" s="180"/>
    </row>
    <row r="711" spans="1:13" s="65" customFormat="1" ht="17.5" customHeight="1">
      <c r="A711" s="178"/>
      <c r="B711" s="126" t="str">
        <f>B677</f>
        <v>Total Length of FB1 (10" x 10")</v>
      </c>
      <c r="C711" s="126"/>
      <c r="D711" s="128">
        <f t="shared" ref="D711:F712" si="27">D677</f>
        <v>1</v>
      </c>
      <c r="E711" s="129">
        <f t="shared" si="27"/>
        <v>42.25</v>
      </c>
      <c r="F711" s="129">
        <f t="shared" si="27"/>
        <v>0.83</v>
      </c>
      <c r="G711" s="129"/>
      <c r="H711" s="129">
        <f>D711*E711*F711</f>
        <v>35.07</v>
      </c>
      <c r="I711" s="129"/>
      <c r="J711" s="129"/>
      <c r="K711" s="152" t="s">
        <v>21</v>
      </c>
      <c r="L711" s="179"/>
      <c r="M711" s="180"/>
    </row>
    <row r="712" spans="1:13" s="65" customFormat="1" ht="17.5" customHeight="1">
      <c r="A712" s="178"/>
      <c r="B712" s="126" t="str">
        <f>B678</f>
        <v>Total Length of FB (12" x 14")</v>
      </c>
      <c r="C712" s="126"/>
      <c r="D712" s="128">
        <f t="shared" si="27"/>
        <v>1</v>
      </c>
      <c r="E712" s="129">
        <f t="shared" si="27"/>
        <v>282</v>
      </c>
      <c r="F712" s="129">
        <f t="shared" si="27"/>
        <v>1</v>
      </c>
      <c r="G712" s="129"/>
      <c r="H712" s="129">
        <f>D712*E712*F712</f>
        <v>282</v>
      </c>
      <c r="I712" s="129"/>
      <c r="J712" s="129"/>
      <c r="K712" s="152" t="s">
        <v>21</v>
      </c>
      <c r="L712" s="179"/>
      <c r="M712" s="180"/>
    </row>
    <row r="713" spans="1:13" s="65" customFormat="1" ht="17.5" customHeight="1">
      <c r="A713" s="178"/>
      <c r="B713" s="181" t="str">
        <f>B681</f>
        <v>For 2nd Floor Slab</v>
      </c>
      <c r="C713" s="126"/>
      <c r="D713" s="128"/>
      <c r="E713" s="129"/>
      <c r="F713" s="129"/>
      <c r="G713" s="129"/>
      <c r="H713" s="129"/>
      <c r="I713" s="129"/>
      <c r="J713" s="129"/>
      <c r="K713" s="152"/>
      <c r="L713" s="179"/>
      <c r="M713" s="180"/>
    </row>
    <row r="714" spans="1:13" s="65" customFormat="1" ht="17.5" customHeight="1">
      <c r="A714" s="178"/>
      <c r="B714" s="181" t="s">
        <v>133</v>
      </c>
      <c r="C714" s="126"/>
      <c r="D714" s="128"/>
      <c r="E714" s="129"/>
      <c r="F714" s="129"/>
      <c r="G714" s="129"/>
      <c r="H714" s="129"/>
      <c r="I714" s="129"/>
      <c r="J714" s="129"/>
      <c r="K714" s="152"/>
      <c r="L714" s="179"/>
      <c r="M714" s="180"/>
    </row>
    <row r="715" spans="1:13" s="65" customFormat="1" ht="17.5" customHeight="1">
      <c r="A715" s="178"/>
      <c r="B715" s="126" t="str">
        <f>B682</f>
        <v>Main Building</v>
      </c>
      <c r="C715" s="126"/>
      <c r="D715" s="128">
        <f t="shared" ref="D715:F718" si="28">D682</f>
        <v>1</v>
      </c>
      <c r="E715" s="129">
        <f t="shared" si="28"/>
        <v>40</v>
      </c>
      <c r="F715" s="129">
        <f t="shared" si="28"/>
        <v>27</v>
      </c>
      <c r="G715" s="129"/>
      <c r="H715" s="129"/>
      <c r="I715" s="129">
        <f>D715*E715*F715</f>
        <v>1080</v>
      </c>
      <c r="J715" s="129"/>
      <c r="K715" s="152" t="s">
        <v>21</v>
      </c>
      <c r="L715" s="179"/>
      <c r="M715" s="180"/>
    </row>
    <row r="716" spans="1:13" s="65" customFormat="1" ht="17.5" customHeight="1">
      <c r="A716" s="178"/>
      <c r="B716" s="126" t="str">
        <f>B683</f>
        <v>Verendah, Line 1</v>
      </c>
      <c r="C716" s="126"/>
      <c r="D716" s="128">
        <f t="shared" si="28"/>
        <v>1</v>
      </c>
      <c r="E716" s="129">
        <f t="shared" si="28"/>
        <v>30</v>
      </c>
      <c r="F716" s="129">
        <f t="shared" si="28"/>
        <v>3</v>
      </c>
      <c r="G716" s="129"/>
      <c r="H716" s="129"/>
      <c r="I716" s="129">
        <f>D716*E716*F716</f>
        <v>90</v>
      </c>
      <c r="J716" s="129"/>
      <c r="K716" s="152" t="s">
        <v>21</v>
      </c>
      <c r="L716" s="179"/>
      <c r="M716" s="180"/>
    </row>
    <row r="717" spans="1:13" s="65" customFormat="1" ht="17.5" customHeight="1">
      <c r="A717" s="178"/>
      <c r="B717" s="126" t="str">
        <f>B684</f>
        <v>Verendah, Line A</v>
      </c>
      <c r="C717" s="126"/>
      <c r="D717" s="128">
        <f t="shared" si="28"/>
        <v>1</v>
      </c>
      <c r="E717" s="129">
        <f t="shared" si="28"/>
        <v>11.5</v>
      </c>
      <c r="F717" s="129">
        <f t="shared" si="28"/>
        <v>3</v>
      </c>
      <c r="G717" s="129"/>
      <c r="H717" s="129"/>
      <c r="I717" s="129">
        <f>D717*E717*F717</f>
        <v>34.5</v>
      </c>
      <c r="J717" s="129"/>
      <c r="K717" s="152" t="s">
        <v>21</v>
      </c>
      <c r="L717" s="179"/>
      <c r="M717" s="180"/>
    </row>
    <row r="718" spans="1:13" s="65" customFormat="1" ht="17.5" customHeight="1">
      <c r="A718" s="178"/>
      <c r="B718" s="126"/>
      <c r="C718" s="126"/>
      <c r="D718" s="128">
        <f t="shared" si="28"/>
        <v>1</v>
      </c>
      <c r="E718" s="129">
        <f t="shared" si="28"/>
        <v>6</v>
      </c>
      <c r="F718" s="129">
        <f t="shared" si="28"/>
        <v>1</v>
      </c>
      <c r="G718" s="129"/>
      <c r="H718" s="129"/>
      <c r="I718" s="129">
        <f>D718*E718*F718</f>
        <v>6</v>
      </c>
      <c r="J718" s="129"/>
      <c r="K718" s="152" t="s">
        <v>21</v>
      </c>
      <c r="L718" s="179"/>
      <c r="M718" s="180"/>
    </row>
    <row r="719" spans="1:13" s="65" customFormat="1" ht="17.5" customHeight="1">
      <c r="A719" s="178"/>
      <c r="B719" s="126" t="s">
        <v>301</v>
      </c>
      <c r="C719" s="126"/>
      <c r="D719" s="128">
        <v>1</v>
      </c>
      <c r="E719" s="129">
        <f>30*2+43*2+3*2</f>
        <v>152</v>
      </c>
      <c r="F719" s="129"/>
      <c r="G719" s="129">
        <f>0.33</f>
        <v>0.33</v>
      </c>
      <c r="H719" s="129"/>
      <c r="I719" s="129">
        <f>D719*E719*G719</f>
        <v>50.16</v>
      </c>
      <c r="J719" s="129"/>
      <c r="K719" s="152" t="s">
        <v>21</v>
      </c>
      <c r="L719" s="179"/>
      <c r="M719" s="180"/>
    </row>
    <row r="720" spans="1:13" s="65" customFormat="1" ht="17.5" customHeight="1">
      <c r="A720" s="178"/>
      <c r="B720" s="126" t="s">
        <v>302</v>
      </c>
      <c r="C720" s="126"/>
      <c r="D720" s="128">
        <v>1</v>
      </c>
      <c r="E720" s="129">
        <f>13.5*2+9*2</f>
        <v>45</v>
      </c>
      <c r="F720" s="129"/>
      <c r="G720" s="129">
        <f>G719</f>
        <v>0.33</v>
      </c>
      <c r="H720" s="129"/>
      <c r="I720" s="129">
        <f>D720*E720*G720</f>
        <v>14.85</v>
      </c>
      <c r="J720" s="129"/>
      <c r="K720" s="152" t="s">
        <v>21</v>
      </c>
      <c r="L720" s="179"/>
      <c r="M720" s="180"/>
    </row>
    <row r="721" spans="1:13" s="65" customFormat="1" ht="17.5" customHeight="1">
      <c r="A721" s="178"/>
      <c r="B721" s="126"/>
      <c r="C721" s="126"/>
      <c r="D721" s="128"/>
      <c r="E721" s="129"/>
      <c r="F721" s="129"/>
      <c r="G721" s="129"/>
      <c r="H721" s="129"/>
      <c r="I721" s="129"/>
      <c r="J721" s="129"/>
      <c r="K721" s="152"/>
      <c r="L721" s="179"/>
      <c r="M721" s="180"/>
    </row>
    <row r="722" spans="1:13" s="65" customFormat="1" ht="17.5" customHeight="1">
      <c r="A722" s="178"/>
      <c r="B722" s="181" t="s">
        <v>175</v>
      </c>
      <c r="C722" s="126"/>
      <c r="D722" s="128"/>
      <c r="E722" s="129"/>
      <c r="F722" s="129"/>
      <c r="G722" s="129"/>
      <c r="H722" s="129"/>
      <c r="I722" s="129"/>
      <c r="J722" s="129"/>
      <c r="K722" s="152"/>
      <c r="L722" s="179"/>
      <c r="M722" s="180"/>
    </row>
    <row r="723" spans="1:13" s="65" customFormat="1" ht="17.5" customHeight="1">
      <c r="A723" s="178"/>
      <c r="B723" s="126"/>
      <c r="C723" s="126"/>
      <c r="D723" s="128">
        <f>D692</f>
        <v>1</v>
      </c>
      <c r="E723" s="129">
        <f>28+4.5</f>
        <v>32.5</v>
      </c>
      <c r="F723" s="129">
        <f>27</f>
        <v>27</v>
      </c>
      <c r="G723" s="129"/>
      <c r="H723" s="129"/>
      <c r="I723" s="129">
        <f>D723*E723*F723</f>
        <v>877.5</v>
      </c>
      <c r="J723" s="129"/>
      <c r="K723" s="152" t="s">
        <v>21</v>
      </c>
      <c r="L723" s="179"/>
      <c r="M723" s="180"/>
    </row>
    <row r="724" spans="1:13" s="65" customFormat="1" ht="17.5" customHeight="1">
      <c r="A724" s="178"/>
      <c r="B724" s="126"/>
      <c r="C724" s="126"/>
      <c r="D724" s="128"/>
      <c r="E724" s="129"/>
      <c r="F724" s="129"/>
      <c r="G724" s="129"/>
      <c r="H724" s="129">
        <f>SUM(H704:H723)</f>
        <v>317.07</v>
      </c>
      <c r="I724" s="129">
        <f>SUM(I704:I723)</f>
        <v>3426.54</v>
      </c>
      <c r="J724" s="129"/>
      <c r="K724" s="152"/>
      <c r="L724" s="179"/>
      <c r="M724" s="180"/>
    </row>
    <row r="725" spans="1:13" s="65" customFormat="1" ht="17.5" customHeight="1">
      <c r="A725" s="178"/>
      <c r="B725" s="126"/>
      <c r="C725" s="126"/>
      <c r="D725" s="128"/>
      <c r="E725" s="129"/>
      <c r="F725" s="129"/>
      <c r="G725" s="129"/>
      <c r="H725" s="129"/>
      <c r="I725" s="129"/>
      <c r="J725" s="129">
        <f>I724-H724</f>
        <v>3109.47</v>
      </c>
      <c r="K725" s="152" t="s">
        <v>21</v>
      </c>
      <c r="L725" s="179"/>
      <c r="M725" s="180"/>
    </row>
    <row r="726" spans="1:13" s="65" customFormat="1" ht="17.5" customHeight="1">
      <c r="A726" s="178"/>
      <c r="B726" s="126"/>
      <c r="C726" s="126"/>
      <c r="D726" s="128"/>
      <c r="E726" s="129"/>
      <c r="F726" s="129"/>
      <c r="G726" s="129"/>
      <c r="H726" s="129"/>
      <c r="I726" s="129"/>
      <c r="J726" s="274">
        <f>J725/100</f>
        <v>31.09</v>
      </c>
      <c r="K726" s="275" t="s">
        <v>12</v>
      </c>
      <c r="L726" s="179"/>
      <c r="M726" s="180"/>
    </row>
    <row r="727" spans="1:13" s="65" customFormat="1" ht="17.5" customHeight="1">
      <c r="A727" s="178"/>
      <c r="B727" s="126"/>
      <c r="C727" s="126"/>
      <c r="D727" s="128"/>
      <c r="E727" s="129"/>
      <c r="F727" s="129"/>
      <c r="G727" s="129"/>
      <c r="H727" s="129"/>
      <c r="I727" s="129"/>
      <c r="J727" s="129"/>
      <c r="K727" s="152"/>
      <c r="L727" s="179"/>
      <c r="M727" s="180"/>
    </row>
    <row r="728" spans="1:13" s="65" customFormat="1" ht="17.5" customHeight="1">
      <c r="A728" s="178"/>
      <c r="B728" s="126"/>
      <c r="C728" s="126"/>
      <c r="D728" s="128"/>
      <c r="E728" s="129"/>
      <c r="F728" s="129"/>
      <c r="G728" s="129"/>
      <c r="H728" s="129"/>
      <c r="I728" s="129"/>
      <c r="J728" s="129"/>
      <c r="K728" s="152"/>
      <c r="L728" s="179"/>
      <c r="M728" s="180"/>
    </row>
    <row r="729" spans="1:13" s="65" customFormat="1" ht="17.5" customHeight="1">
      <c r="A729" s="178"/>
      <c r="B729" s="247" t="s">
        <v>134</v>
      </c>
      <c r="C729" s="181"/>
      <c r="D729" s="128"/>
      <c r="E729" s="129"/>
      <c r="F729" s="129"/>
      <c r="G729" s="129"/>
      <c r="H729" s="129"/>
      <c r="I729" s="129"/>
      <c r="J729" s="129"/>
      <c r="K729" s="152"/>
      <c r="L729" s="179"/>
      <c r="M729" s="180"/>
    </row>
    <row r="730" spans="1:13" s="65" customFormat="1" ht="17.5" customHeight="1">
      <c r="A730" s="178"/>
      <c r="B730" s="247" t="s">
        <v>177</v>
      </c>
      <c r="C730" s="181"/>
      <c r="D730" s="128"/>
      <c r="E730" s="129"/>
      <c r="F730" s="129"/>
      <c r="G730" s="129"/>
      <c r="H730" s="129"/>
      <c r="I730" s="129"/>
      <c r="J730" s="129"/>
      <c r="K730" s="152"/>
      <c r="L730" s="179"/>
      <c r="M730" s="180"/>
    </row>
    <row r="731" spans="1:13" s="65" customFormat="1" ht="17.5" customHeight="1">
      <c r="A731" s="178"/>
      <c r="B731" s="247" t="s">
        <v>377</v>
      </c>
      <c r="C731" s="181"/>
      <c r="D731" s="128"/>
      <c r="E731" s="129"/>
      <c r="F731" s="129"/>
      <c r="G731" s="129"/>
      <c r="H731" s="129"/>
      <c r="I731" s="129"/>
      <c r="J731" s="129"/>
      <c r="K731" s="152"/>
      <c r="L731" s="179"/>
      <c r="M731" s="180"/>
    </row>
    <row r="732" spans="1:13" s="65" customFormat="1" ht="17.5" customHeight="1">
      <c r="A732" s="178"/>
      <c r="B732" s="329" t="s">
        <v>376</v>
      </c>
      <c r="C732" s="247"/>
      <c r="D732" s="326">
        <v>1</v>
      </c>
      <c r="E732" s="327">
        <v>30.5</v>
      </c>
      <c r="F732" s="327">
        <v>27</v>
      </c>
      <c r="G732" s="129"/>
      <c r="H732" s="129"/>
      <c r="I732" s="328" t="s">
        <v>135</v>
      </c>
      <c r="J732" s="328" t="s">
        <v>186</v>
      </c>
      <c r="K732" s="152"/>
      <c r="L732" s="179"/>
      <c r="M732" s="180"/>
    </row>
    <row r="733" spans="1:13" s="65" customFormat="1" ht="17.5" customHeight="1">
      <c r="A733" s="178"/>
      <c r="B733" s="126" t="s">
        <v>374</v>
      </c>
      <c r="C733" s="126"/>
      <c r="D733" s="128">
        <f>D732*(ROUND(11/0.5+1,0)+ROUND(8/0.5+1,0)+ROUND(8/0.5+1,0))</f>
        <v>57</v>
      </c>
      <c r="E733" s="129">
        <f>F732-0.25+18*12/1000*3.281</f>
        <v>27.46</v>
      </c>
      <c r="F733" s="129"/>
      <c r="G733" s="129"/>
      <c r="H733" s="129"/>
      <c r="I733" s="129"/>
      <c r="J733" s="129">
        <f>D733*E733</f>
        <v>1565.22</v>
      </c>
      <c r="K733" s="152" t="s">
        <v>186</v>
      </c>
      <c r="L733" s="179"/>
      <c r="M733" s="180"/>
    </row>
    <row r="734" spans="1:13" s="65" customFormat="1" ht="17.5" customHeight="1">
      <c r="A734" s="178"/>
      <c r="B734" s="126" t="s">
        <v>375</v>
      </c>
      <c r="C734" s="126"/>
      <c r="D734" s="128">
        <f>D732*(ROUND(12.5/0.5+1,0)+ROUND(12.5/0.5+1,0))</f>
        <v>52</v>
      </c>
      <c r="E734" s="129">
        <f>E732-0.25+18*12/1000*3.281</f>
        <v>30.96</v>
      </c>
      <c r="F734" s="129"/>
      <c r="G734" s="129"/>
      <c r="H734" s="129"/>
      <c r="I734" s="129"/>
      <c r="J734" s="129">
        <f>D734*E734</f>
        <v>1609.92</v>
      </c>
      <c r="K734" s="152" t="s">
        <v>186</v>
      </c>
      <c r="L734" s="179"/>
      <c r="M734" s="180"/>
    </row>
    <row r="735" spans="1:13" s="65" customFormat="1" ht="17.5" customHeight="1">
      <c r="A735" s="178"/>
      <c r="B735" s="126" t="s">
        <v>387</v>
      </c>
      <c r="C735" s="126"/>
      <c r="D735" s="128">
        <f>D733</f>
        <v>57</v>
      </c>
      <c r="E735" s="129">
        <f>F732-0.25+0.58*2</f>
        <v>27.91</v>
      </c>
      <c r="F735" s="129"/>
      <c r="G735" s="129"/>
      <c r="H735" s="129"/>
      <c r="I735" s="129"/>
      <c r="J735" s="129">
        <f>D735*E735</f>
        <v>1590.87</v>
      </c>
      <c r="K735" s="152" t="s">
        <v>186</v>
      </c>
      <c r="L735" s="179"/>
      <c r="M735" s="180"/>
    </row>
    <row r="736" spans="1:13" s="65" customFormat="1" ht="17.5" customHeight="1">
      <c r="A736" s="178"/>
      <c r="B736" s="126" t="s">
        <v>388</v>
      </c>
      <c r="C736" s="126"/>
      <c r="D736" s="128">
        <f>D734</f>
        <v>52</v>
      </c>
      <c r="E736" s="129">
        <f>E732-0.25+0.58*2</f>
        <v>31.41</v>
      </c>
      <c r="F736" s="129"/>
      <c r="G736" s="129"/>
      <c r="H736" s="129"/>
      <c r="I736" s="129"/>
      <c r="J736" s="129">
        <f>D736*E736</f>
        <v>1633.32</v>
      </c>
      <c r="K736" s="152" t="s">
        <v>186</v>
      </c>
      <c r="L736" s="179"/>
      <c r="M736" s="180"/>
    </row>
    <row r="737" spans="1:13" s="65" customFormat="1" ht="17.5" customHeight="1">
      <c r="A737" s="178"/>
      <c r="B737" s="126"/>
      <c r="C737" s="126"/>
      <c r="D737" s="128"/>
      <c r="E737" s="129"/>
      <c r="F737" s="129"/>
      <c r="G737" s="129"/>
      <c r="H737" s="129"/>
      <c r="I737" s="129"/>
      <c r="J737" s="129"/>
      <c r="K737" s="152"/>
      <c r="L737" s="179"/>
      <c r="M737" s="180"/>
    </row>
    <row r="738" spans="1:13" s="65" customFormat="1" ht="17.5" customHeight="1">
      <c r="A738" s="178"/>
      <c r="B738" s="329" t="s">
        <v>378</v>
      </c>
      <c r="C738" s="329"/>
      <c r="D738" s="326">
        <v>1</v>
      </c>
      <c r="E738" s="327">
        <v>17.829999999999998</v>
      </c>
      <c r="F738" s="327">
        <v>6.42</v>
      </c>
      <c r="G738" s="129"/>
      <c r="H738" s="129"/>
      <c r="I738" s="129"/>
      <c r="J738" s="129"/>
      <c r="K738" s="152"/>
      <c r="L738" s="179"/>
      <c r="M738" s="180"/>
    </row>
    <row r="739" spans="1:13" s="65" customFormat="1" ht="17.5" customHeight="1">
      <c r="A739" s="178"/>
      <c r="B739" s="126" t="s">
        <v>374</v>
      </c>
      <c r="C739" s="126"/>
      <c r="D739" s="128">
        <f>D738*(ROUND(7.33/4+1,0)+ROUND(7.83/0.5+1,0))</f>
        <v>20</v>
      </c>
      <c r="E739" s="129">
        <f>F738-0.25+18*12/1000*3.281</f>
        <v>6.88</v>
      </c>
      <c r="F739" s="129"/>
      <c r="G739" s="129"/>
      <c r="H739" s="129"/>
      <c r="I739" s="129"/>
      <c r="J739" s="129">
        <f>D739*E739</f>
        <v>137.6</v>
      </c>
      <c r="K739" s="152" t="s">
        <v>186</v>
      </c>
      <c r="L739" s="179"/>
      <c r="M739" s="180"/>
    </row>
    <row r="740" spans="1:13" s="65" customFormat="1" ht="17.5" customHeight="1">
      <c r="A740" s="178"/>
      <c r="B740" s="126" t="s">
        <v>375</v>
      </c>
      <c r="C740" s="126"/>
      <c r="D740" s="128">
        <f>D738*ROUND(4.58/0.5+1,0)</f>
        <v>10</v>
      </c>
      <c r="E740" s="129">
        <f>E738-0.25+18*12/1000*3.281</f>
        <v>18.29</v>
      </c>
      <c r="F740" s="129"/>
      <c r="G740" s="129"/>
      <c r="H740" s="129"/>
      <c r="I740" s="129"/>
      <c r="J740" s="129">
        <f>D740*E740</f>
        <v>182.9</v>
      </c>
      <c r="K740" s="152" t="s">
        <v>186</v>
      </c>
      <c r="L740" s="179"/>
      <c r="M740" s="180"/>
    </row>
    <row r="741" spans="1:13" s="65" customFormat="1" ht="17.5" customHeight="1">
      <c r="A741" s="178"/>
      <c r="B741" s="126" t="s">
        <v>387</v>
      </c>
      <c r="C741" s="126"/>
      <c r="D741" s="128">
        <f>D739</f>
        <v>20</v>
      </c>
      <c r="E741" s="129">
        <f>F738-0.25+0.58*2</f>
        <v>7.33</v>
      </c>
      <c r="F741" s="129"/>
      <c r="G741" s="129"/>
      <c r="H741" s="129"/>
      <c r="I741" s="129"/>
      <c r="J741" s="129">
        <f>D741*E741</f>
        <v>146.6</v>
      </c>
      <c r="K741" s="152" t="s">
        <v>186</v>
      </c>
      <c r="L741" s="179"/>
      <c r="M741" s="180"/>
    </row>
    <row r="742" spans="1:13" s="65" customFormat="1" ht="17.5" customHeight="1">
      <c r="A742" s="178"/>
      <c r="B742" s="126" t="s">
        <v>388</v>
      </c>
      <c r="C742" s="126"/>
      <c r="D742" s="128">
        <f>D740</f>
        <v>10</v>
      </c>
      <c r="E742" s="129">
        <f>E738-0.25+0.58*2</f>
        <v>18.739999999999998</v>
      </c>
      <c r="F742" s="129"/>
      <c r="G742" s="129"/>
      <c r="H742" s="129"/>
      <c r="I742" s="129"/>
      <c r="J742" s="129">
        <f>D742*E742</f>
        <v>187.4</v>
      </c>
      <c r="K742" s="152" t="s">
        <v>186</v>
      </c>
      <c r="L742" s="179"/>
      <c r="M742" s="180"/>
    </row>
    <row r="743" spans="1:13" s="65" customFormat="1" ht="17.5" customHeight="1">
      <c r="A743" s="178"/>
      <c r="B743" s="329"/>
      <c r="C743" s="329"/>
      <c r="D743" s="326"/>
      <c r="E743" s="327"/>
      <c r="F743" s="327"/>
      <c r="G743" s="129"/>
      <c r="H743" s="129"/>
      <c r="I743" s="129"/>
      <c r="J743" s="129"/>
      <c r="K743" s="152"/>
      <c r="L743" s="179"/>
      <c r="M743" s="180"/>
    </row>
    <row r="744" spans="1:13" s="65" customFormat="1" ht="17.5" customHeight="1">
      <c r="A744" s="178"/>
      <c r="B744" s="329" t="s">
        <v>379</v>
      </c>
      <c r="C744" s="329"/>
      <c r="D744" s="326">
        <v>1</v>
      </c>
      <c r="E744" s="327">
        <v>4</v>
      </c>
      <c r="F744" s="327">
        <v>4</v>
      </c>
      <c r="G744" s="129"/>
      <c r="H744" s="129"/>
      <c r="I744" s="129"/>
      <c r="J744" s="129"/>
      <c r="K744" s="152"/>
      <c r="L744" s="179"/>
      <c r="M744" s="180"/>
    </row>
    <row r="745" spans="1:13" s="65" customFormat="1" ht="17.5" customHeight="1">
      <c r="A745" s="178"/>
      <c r="B745" s="126" t="s">
        <v>374</v>
      </c>
      <c r="C745" s="126"/>
      <c r="D745" s="128">
        <f>D744*(ROUND(2/0.5+1,0))</f>
        <v>5</v>
      </c>
      <c r="E745" s="129">
        <f>F744-0.25+18*12/1000*3.281</f>
        <v>4.46</v>
      </c>
      <c r="F745" s="129"/>
      <c r="G745" s="129"/>
      <c r="H745" s="129"/>
      <c r="I745" s="129"/>
      <c r="J745" s="129">
        <f>D745*E745</f>
        <v>22.3</v>
      </c>
      <c r="K745" s="152" t="s">
        <v>186</v>
      </c>
      <c r="L745" s="179"/>
      <c r="M745" s="180"/>
    </row>
    <row r="746" spans="1:13" s="65" customFormat="1" ht="17.5" customHeight="1">
      <c r="A746" s="178"/>
      <c r="B746" s="126" t="s">
        <v>375</v>
      </c>
      <c r="C746" s="126"/>
      <c r="D746" s="128">
        <f>D744*ROUND(2/0.5+1,0)</f>
        <v>5</v>
      </c>
      <c r="E746" s="129">
        <f>E744-0.25+18*12/1000*3.281</f>
        <v>4.46</v>
      </c>
      <c r="F746" s="129"/>
      <c r="G746" s="129"/>
      <c r="H746" s="129"/>
      <c r="I746" s="129"/>
      <c r="J746" s="129">
        <f>D746*E746</f>
        <v>22.3</v>
      </c>
      <c r="K746" s="152" t="s">
        <v>186</v>
      </c>
      <c r="L746" s="179"/>
      <c r="M746" s="180"/>
    </row>
    <row r="747" spans="1:13" s="65" customFormat="1" ht="17.5" customHeight="1">
      <c r="A747" s="178"/>
      <c r="B747" s="126" t="s">
        <v>387</v>
      </c>
      <c r="C747" s="126"/>
      <c r="D747" s="128">
        <f>D745</f>
        <v>5</v>
      </c>
      <c r="E747" s="129">
        <f>F744-0.25+0.58*2</f>
        <v>4.91</v>
      </c>
      <c r="F747" s="129"/>
      <c r="G747" s="129"/>
      <c r="H747" s="129"/>
      <c r="I747" s="129"/>
      <c r="J747" s="129">
        <f>D747*E747</f>
        <v>24.55</v>
      </c>
      <c r="K747" s="152" t="s">
        <v>186</v>
      </c>
      <c r="L747" s="179"/>
      <c r="M747" s="180"/>
    </row>
    <row r="748" spans="1:13" s="65" customFormat="1" ht="17.5" customHeight="1">
      <c r="A748" s="178"/>
      <c r="B748" s="126" t="s">
        <v>388</v>
      </c>
      <c r="C748" s="126"/>
      <c r="D748" s="128">
        <f>D746</f>
        <v>5</v>
      </c>
      <c r="E748" s="129">
        <f>E744-0.25+0.58*2</f>
        <v>4.91</v>
      </c>
      <c r="F748" s="129"/>
      <c r="G748" s="129"/>
      <c r="H748" s="129"/>
      <c r="I748" s="129"/>
      <c r="J748" s="129">
        <f>D748*E748</f>
        <v>24.55</v>
      </c>
      <c r="K748" s="152" t="s">
        <v>186</v>
      </c>
      <c r="L748" s="179"/>
      <c r="M748" s="180"/>
    </row>
    <row r="749" spans="1:13" s="65" customFormat="1" ht="17.5" customHeight="1">
      <c r="A749" s="178"/>
      <c r="B749" s="329"/>
      <c r="C749" s="329"/>
      <c r="D749" s="326"/>
      <c r="E749" s="327"/>
      <c r="F749" s="327"/>
      <c r="G749" s="129"/>
      <c r="H749" s="129"/>
      <c r="I749" s="129"/>
      <c r="J749" s="129"/>
      <c r="K749" s="152"/>
      <c r="L749" s="179"/>
      <c r="M749" s="180"/>
    </row>
    <row r="750" spans="1:13" s="65" customFormat="1" ht="17.5" customHeight="1">
      <c r="A750" s="178"/>
      <c r="B750" s="330" t="s">
        <v>25</v>
      </c>
      <c r="C750" s="329"/>
      <c r="D750" s="326"/>
      <c r="E750" s="327"/>
      <c r="F750" s="327"/>
      <c r="G750" s="129"/>
      <c r="H750" s="129"/>
      <c r="I750" s="129"/>
      <c r="J750" s="129"/>
      <c r="K750" s="152"/>
      <c r="L750" s="179"/>
      <c r="M750" s="180"/>
    </row>
    <row r="751" spans="1:13" s="65" customFormat="1" ht="17.5" customHeight="1">
      <c r="A751" s="178"/>
      <c r="B751" s="329" t="s">
        <v>300</v>
      </c>
      <c r="C751" s="329"/>
      <c r="D751" s="326">
        <v>1</v>
      </c>
      <c r="E751" s="327">
        <v>12</v>
      </c>
      <c r="F751" s="327">
        <v>8</v>
      </c>
      <c r="G751" s="129"/>
      <c r="H751" s="129"/>
      <c r="I751" s="129"/>
      <c r="J751" s="129"/>
      <c r="K751" s="152"/>
      <c r="L751" s="179"/>
      <c r="M751" s="180"/>
    </row>
    <row r="752" spans="1:13" s="65" customFormat="1" ht="17.5" customHeight="1">
      <c r="A752" s="178"/>
      <c r="B752" s="126" t="s">
        <v>374</v>
      </c>
      <c r="C752" s="126"/>
      <c r="D752" s="128">
        <f>D751*(ROUND(E751/0.5,0))</f>
        <v>24</v>
      </c>
      <c r="E752" s="129">
        <f>F751</f>
        <v>8</v>
      </c>
      <c r="F752" s="129"/>
      <c r="G752" s="129"/>
      <c r="H752" s="129"/>
      <c r="I752" s="129"/>
      <c r="J752" s="129">
        <f>-D752*E752</f>
        <v>-192</v>
      </c>
      <c r="K752" s="152" t="s">
        <v>186</v>
      </c>
      <c r="L752" s="179"/>
      <c r="M752" s="180"/>
    </row>
    <row r="753" spans="1:13" s="65" customFormat="1" ht="17.5" customHeight="1">
      <c r="A753" s="178"/>
      <c r="B753" s="126" t="s">
        <v>375</v>
      </c>
      <c r="C753" s="126"/>
      <c r="D753" s="128">
        <f>D751*ROUND(F751/0.5,0)</f>
        <v>16</v>
      </c>
      <c r="E753" s="129">
        <f>E751</f>
        <v>12</v>
      </c>
      <c r="F753" s="129"/>
      <c r="G753" s="129"/>
      <c r="H753" s="129"/>
      <c r="I753" s="129"/>
      <c r="J753" s="129">
        <f>-D753*E753</f>
        <v>-192</v>
      </c>
      <c r="K753" s="152" t="s">
        <v>186</v>
      </c>
      <c r="L753" s="179"/>
      <c r="M753" s="180"/>
    </row>
    <row r="754" spans="1:13" s="65" customFormat="1" ht="17.5" customHeight="1">
      <c r="A754" s="178"/>
      <c r="B754" s="126" t="s">
        <v>387</v>
      </c>
      <c r="C754" s="126"/>
      <c r="D754" s="128">
        <f>D752</f>
        <v>24</v>
      </c>
      <c r="E754" s="129">
        <f>F751</f>
        <v>8</v>
      </c>
      <c r="F754" s="129"/>
      <c r="G754" s="129"/>
      <c r="H754" s="129"/>
      <c r="I754" s="129"/>
      <c r="J754" s="129">
        <f>-D754*E754</f>
        <v>-192</v>
      </c>
      <c r="K754" s="152" t="s">
        <v>186</v>
      </c>
      <c r="L754" s="179"/>
      <c r="M754" s="180"/>
    </row>
    <row r="755" spans="1:13" s="65" customFormat="1" ht="17.5" customHeight="1">
      <c r="A755" s="178"/>
      <c r="B755" s="126" t="s">
        <v>388</v>
      </c>
      <c r="C755" s="126"/>
      <c r="D755" s="128">
        <f>D753</f>
        <v>16</v>
      </c>
      <c r="E755" s="129">
        <f>E751</f>
        <v>12</v>
      </c>
      <c r="F755" s="129"/>
      <c r="G755" s="129"/>
      <c r="H755" s="129"/>
      <c r="I755" s="129"/>
      <c r="J755" s="129">
        <f>-D755*E755</f>
        <v>-192</v>
      </c>
      <c r="K755" s="152" t="s">
        <v>186</v>
      </c>
      <c r="L755" s="179"/>
      <c r="M755" s="180"/>
    </row>
    <row r="756" spans="1:13" s="65" customFormat="1" ht="17.5" customHeight="1">
      <c r="A756" s="178"/>
      <c r="B756" s="329"/>
      <c r="C756" s="329"/>
      <c r="D756" s="326"/>
      <c r="E756" s="327"/>
      <c r="F756" s="327"/>
      <c r="G756" s="129"/>
      <c r="H756" s="129"/>
      <c r="I756" s="129"/>
      <c r="J756" s="129"/>
      <c r="K756" s="152"/>
      <c r="L756" s="179"/>
      <c r="M756" s="180"/>
    </row>
    <row r="757" spans="1:13" s="65" customFormat="1" ht="17.5" customHeight="1">
      <c r="A757" s="178"/>
      <c r="B757" s="247" t="s">
        <v>380</v>
      </c>
      <c r="C757" s="126"/>
      <c r="D757" s="128"/>
      <c r="E757" s="129"/>
      <c r="F757" s="129"/>
      <c r="G757" s="129"/>
      <c r="H757" s="129"/>
      <c r="I757" s="129"/>
      <c r="J757" s="129"/>
      <c r="K757" s="152"/>
      <c r="L757" s="179"/>
      <c r="M757" s="180"/>
    </row>
    <row r="758" spans="1:13" s="65" customFormat="1" ht="17.5" customHeight="1">
      <c r="A758" s="178"/>
      <c r="B758" s="329" t="s">
        <v>382</v>
      </c>
      <c r="C758" s="329"/>
      <c r="D758" s="326">
        <v>1</v>
      </c>
      <c r="E758" s="327">
        <v>27</v>
      </c>
      <c r="F758" s="327">
        <v>3</v>
      </c>
      <c r="G758" s="129"/>
      <c r="H758" s="129"/>
      <c r="I758" s="129"/>
      <c r="J758" s="129"/>
      <c r="K758" s="152"/>
      <c r="L758" s="179"/>
      <c r="M758" s="180"/>
    </row>
    <row r="759" spans="1:13" s="65" customFormat="1" ht="17.5" customHeight="1">
      <c r="A759" s="178"/>
      <c r="B759" s="126" t="s">
        <v>389</v>
      </c>
      <c r="C759" s="126"/>
      <c r="D759" s="128">
        <f>D758*((ROUND(12/0.5+1,0))+(ROUND(12/0.5+1,0)))</f>
        <v>50</v>
      </c>
      <c r="E759" s="129">
        <f>F758-0.25+18*10/1000*3.281</f>
        <v>3.34</v>
      </c>
      <c r="F759" s="129"/>
      <c r="G759" s="129"/>
      <c r="H759" s="129"/>
      <c r="I759" s="129">
        <f>D759*E759</f>
        <v>167</v>
      </c>
      <c r="J759" s="129"/>
      <c r="K759" s="152" t="s">
        <v>135</v>
      </c>
      <c r="L759" s="179"/>
      <c r="M759" s="180"/>
    </row>
    <row r="760" spans="1:13" s="65" customFormat="1" ht="17.5" customHeight="1">
      <c r="A760" s="178"/>
      <c r="B760" s="126" t="s">
        <v>390</v>
      </c>
      <c r="C760" s="126"/>
      <c r="D760" s="128">
        <f>D758*ROUND(2/0.5+1,0)</f>
        <v>5</v>
      </c>
      <c r="E760" s="129">
        <f>E758-0.25+18*10/1000*3.281</f>
        <v>27.34</v>
      </c>
      <c r="F760" s="129"/>
      <c r="G760" s="129"/>
      <c r="H760" s="129"/>
      <c r="I760" s="129">
        <f>D760*E760</f>
        <v>136.69999999999999</v>
      </c>
      <c r="J760" s="129"/>
      <c r="K760" s="152" t="s">
        <v>135</v>
      </c>
      <c r="L760" s="179"/>
      <c r="M760" s="180"/>
    </row>
    <row r="761" spans="1:13" s="65" customFormat="1" ht="17.5" customHeight="1">
      <c r="A761" s="178"/>
      <c r="B761" s="126" t="s">
        <v>391</v>
      </c>
      <c r="C761" s="126"/>
      <c r="D761" s="128">
        <f>D759</f>
        <v>50</v>
      </c>
      <c r="E761" s="129">
        <f>F758-0.25+0.58*2</f>
        <v>3.91</v>
      </c>
      <c r="F761" s="129"/>
      <c r="G761" s="129"/>
      <c r="H761" s="129"/>
      <c r="I761" s="129">
        <f>D761*E761</f>
        <v>195.5</v>
      </c>
      <c r="J761" s="129"/>
      <c r="K761" s="152" t="s">
        <v>135</v>
      </c>
      <c r="L761" s="179"/>
      <c r="M761" s="180"/>
    </row>
    <row r="762" spans="1:13" s="65" customFormat="1" ht="17.5" customHeight="1">
      <c r="A762" s="178"/>
      <c r="B762" s="126" t="s">
        <v>392</v>
      </c>
      <c r="C762" s="126"/>
      <c r="D762" s="128">
        <f>D760</f>
        <v>5</v>
      </c>
      <c r="E762" s="129">
        <f>E758-0.25+0.58*2</f>
        <v>27.91</v>
      </c>
      <c r="F762" s="129"/>
      <c r="G762" s="129"/>
      <c r="H762" s="129"/>
      <c r="I762" s="129">
        <f>D762*E762</f>
        <v>139.55000000000001</v>
      </c>
      <c r="J762" s="129"/>
      <c r="K762" s="152" t="s">
        <v>135</v>
      </c>
      <c r="L762" s="179"/>
      <c r="M762" s="180"/>
    </row>
    <row r="763" spans="1:13" s="65" customFormat="1" ht="17.5" customHeight="1">
      <c r="A763" s="178"/>
      <c r="B763" s="329"/>
      <c r="C763" s="329"/>
      <c r="D763" s="326"/>
      <c r="E763" s="327"/>
      <c r="F763" s="327"/>
      <c r="G763" s="129"/>
      <c r="H763" s="129"/>
      <c r="I763" s="129"/>
      <c r="J763" s="129"/>
      <c r="K763" s="152"/>
      <c r="L763" s="179"/>
      <c r="M763" s="180"/>
    </row>
    <row r="764" spans="1:13" s="65" customFormat="1" ht="17.5" customHeight="1">
      <c r="A764" s="178"/>
      <c r="B764" s="329" t="s">
        <v>383</v>
      </c>
      <c r="C764" s="329"/>
      <c r="D764" s="326">
        <v>1</v>
      </c>
      <c r="E764" s="327">
        <v>11.5</v>
      </c>
      <c r="F764" s="327">
        <v>3</v>
      </c>
      <c r="G764" s="129"/>
      <c r="H764" s="129"/>
      <c r="I764" s="129"/>
      <c r="J764" s="129"/>
      <c r="K764" s="152"/>
      <c r="L764" s="179"/>
      <c r="M764" s="180"/>
    </row>
    <row r="765" spans="1:13" s="65" customFormat="1" ht="17.5" customHeight="1">
      <c r="A765" s="178"/>
      <c r="B765" s="126" t="s">
        <v>389</v>
      </c>
      <c r="C765" s="126"/>
      <c r="D765" s="128">
        <f>D764*((ROUND(9.5/0.5+1,0)))</f>
        <v>20</v>
      </c>
      <c r="E765" s="129">
        <f>F764-0.25+18*10/1000*3.281</f>
        <v>3.34</v>
      </c>
      <c r="F765" s="129"/>
      <c r="G765" s="129"/>
      <c r="H765" s="129"/>
      <c r="I765" s="129">
        <f>D765*E765</f>
        <v>66.8</v>
      </c>
      <c r="J765" s="129"/>
      <c r="K765" s="152" t="s">
        <v>135</v>
      </c>
      <c r="L765" s="179"/>
      <c r="M765" s="180"/>
    </row>
    <row r="766" spans="1:13" s="65" customFormat="1" ht="17.5" customHeight="1">
      <c r="A766" s="178"/>
      <c r="B766" s="126" t="s">
        <v>390</v>
      </c>
      <c r="C766" s="126"/>
      <c r="D766" s="128">
        <f>D764*ROUND(2/0.5+1,0)</f>
        <v>5</v>
      </c>
      <c r="E766" s="129">
        <f>E764-0.25+18*10/1000*3.281</f>
        <v>11.84</v>
      </c>
      <c r="F766" s="129"/>
      <c r="G766" s="129"/>
      <c r="H766" s="129"/>
      <c r="I766" s="129">
        <f>D766*E766</f>
        <v>59.2</v>
      </c>
      <c r="J766" s="129"/>
      <c r="K766" s="152" t="s">
        <v>135</v>
      </c>
      <c r="L766" s="179"/>
      <c r="M766" s="180"/>
    </row>
    <row r="767" spans="1:13" s="65" customFormat="1" ht="17.5" customHeight="1">
      <c r="A767" s="178"/>
      <c r="B767" s="126" t="s">
        <v>391</v>
      </c>
      <c r="C767" s="126"/>
      <c r="D767" s="128">
        <f>D765</f>
        <v>20</v>
      </c>
      <c r="E767" s="129">
        <f>F764-0.25+0.58*2</f>
        <v>3.91</v>
      </c>
      <c r="F767" s="129"/>
      <c r="G767" s="129"/>
      <c r="H767" s="129"/>
      <c r="I767" s="129">
        <f>D767*E767</f>
        <v>78.2</v>
      </c>
      <c r="J767" s="129"/>
      <c r="K767" s="152" t="s">
        <v>135</v>
      </c>
      <c r="L767" s="179"/>
      <c r="M767" s="180"/>
    </row>
    <row r="768" spans="1:13" s="65" customFormat="1" ht="17.5" customHeight="1">
      <c r="A768" s="178"/>
      <c r="B768" s="126" t="s">
        <v>392</v>
      </c>
      <c r="C768" s="126"/>
      <c r="D768" s="128">
        <f>D766</f>
        <v>5</v>
      </c>
      <c r="E768" s="129">
        <f>E764-0.25+0.58*2</f>
        <v>12.41</v>
      </c>
      <c r="F768" s="129"/>
      <c r="G768" s="129"/>
      <c r="H768" s="129"/>
      <c r="I768" s="129">
        <f>D768*E768</f>
        <v>62.05</v>
      </c>
      <c r="J768" s="129"/>
      <c r="K768" s="152" t="s">
        <v>135</v>
      </c>
      <c r="L768" s="179"/>
      <c r="M768" s="180"/>
    </row>
    <row r="769" spans="1:13" s="65" customFormat="1" ht="17.5" customHeight="1">
      <c r="A769" s="178"/>
      <c r="B769" s="329"/>
      <c r="C769" s="329"/>
      <c r="D769" s="326"/>
      <c r="E769" s="327"/>
      <c r="F769" s="327"/>
      <c r="G769" s="129"/>
      <c r="H769" s="129"/>
      <c r="I769" s="129"/>
      <c r="J769" s="129"/>
      <c r="K769" s="152"/>
      <c r="L769" s="179"/>
      <c r="M769" s="180"/>
    </row>
    <row r="770" spans="1:13" s="65" customFormat="1" ht="17.5" customHeight="1">
      <c r="A770" s="178"/>
      <c r="B770" s="329" t="s">
        <v>384</v>
      </c>
      <c r="C770" s="329"/>
      <c r="D770" s="326">
        <v>1</v>
      </c>
      <c r="E770" s="327">
        <v>27</v>
      </c>
      <c r="F770" s="327">
        <v>10</v>
      </c>
      <c r="G770" s="129"/>
      <c r="H770" s="129"/>
      <c r="I770" s="129"/>
      <c r="J770" s="129"/>
      <c r="K770" s="152"/>
      <c r="L770" s="179"/>
      <c r="M770" s="180"/>
    </row>
    <row r="771" spans="1:13" s="65" customFormat="1" ht="17.5" customHeight="1">
      <c r="A771" s="178"/>
      <c r="B771" s="126" t="s">
        <v>389</v>
      </c>
      <c r="C771" s="126"/>
      <c r="D771" s="128">
        <f>D770*(((ROUND(3.33/0.5+1,0))+ROUND(7.83/0.5+1,0)+ROUND(3.83/0.5+1,0)+ROUND(7.33/0.5+1,0)))</f>
        <v>50</v>
      </c>
      <c r="E771" s="129">
        <f>F770-0.25+18*10/1000*3.281</f>
        <v>10.34</v>
      </c>
      <c r="F771" s="129"/>
      <c r="G771" s="129"/>
      <c r="H771" s="129"/>
      <c r="I771" s="129">
        <f>D771*E771</f>
        <v>517</v>
      </c>
      <c r="J771" s="129"/>
      <c r="K771" s="152" t="s">
        <v>135</v>
      </c>
      <c r="L771" s="179"/>
      <c r="M771" s="321"/>
    </row>
    <row r="772" spans="1:13" s="65" customFormat="1" ht="17.5" customHeight="1">
      <c r="A772" s="178"/>
      <c r="B772" s="126" t="s">
        <v>390</v>
      </c>
      <c r="C772" s="126"/>
      <c r="D772" s="128">
        <f>D770*ROUND(8.5/0.5+1,0)</f>
        <v>18</v>
      </c>
      <c r="E772" s="129">
        <f>E770-0.25+18*10/1000*3.281</f>
        <v>27.34</v>
      </c>
      <c r="F772" s="129"/>
      <c r="G772" s="129"/>
      <c r="H772" s="129"/>
      <c r="I772" s="129">
        <f>D772*E772</f>
        <v>492.12</v>
      </c>
      <c r="J772" s="129"/>
      <c r="K772" s="152" t="s">
        <v>135</v>
      </c>
      <c r="L772" s="179"/>
      <c r="M772" s="180"/>
    </row>
    <row r="773" spans="1:13" s="65" customFormat="1" ht="17.5" customHeight="1">
      <c r="A773" s="178"/>
      <c r="B773" s="126" t="s">
        <v>391</v>
      </c>
      <c r="C773" s="126"/>
      <c r="D773" s="128">
        <f>D771</f>
        <v>50</v>
      </c>
      <c r="E773" s="129">
        <f>F770-0.25+0.58*2</f>
        <v>10.91</v>
      </c>
      <c r="F773" s="129"/>
      <c r="G773" s="129"/>
      <c r="H773" s="129"/>
      <c r="I773" s="129">
        <f>D773*E773</f>
        <v>545.5</v>
      </c>
      <c r="J773" s="129"/>
      <c r="K773" s="152" t="s">
        <v>135</v>
      </c>
      <c r="L773" s="179"/>
      <c r="M773" s="180"/>
    </row>
    <row r="774" spans="1:13" s="65" customFormat="1" ht="17.5" customHeight="1">
      <c r="A774" s="178"/>
      <c r="B774" s="126" t="s">
        <v>392</v>
      </c>
      <c r="C774" s="126"/>
      <c r="D774" s="128">
        <f>D772</f>
        <v>18</v>
      </c>
      <c r="E774" s="129">
        <f>E770-0.25+0.58*2</f>
        <v>27.91</v>
      </c>
      <c r="F774" s="129"/>
      <c r="G774" s="129"/>
      <c r="H774" s="129"/>
      <c r="I774" s="129">
        <f>D774*E774</f>
        <v>502.38</v>
      </c>
      <c r="J774" s="129"/>
      <c r="K774" s="152" t="s">
        <v>135</v>
      </c>
      <c r="L774" s="179"/>
      <c r="M774" s="180"/>
    </row>
    <row r="775" spans="1:13" s="65" customFormat="1" ht="17.5" customHeight="1">
      <c r="A775" s="178"/>
      <c r="B775" s="329"/>
      <c r="C775" s="329"/>
      <c r="D775" s="326"/>
      <c r="E775" s="327"/>
      <c r="F775" s="327"/>
      <c r="G775" s="129"/>
      <c r="H775" s="129"/>
      <c r="I775" s="129"/>
      <c r="J775" s="129"/>
      <c r="K775" s="152"/>
      <c r="L775" s="179"/>
      <c r="M775" s="180"/>
    </row>
    <row r="776" spans="1:13" s="65" customFormat="1" ht="17.5" customHeight="1">
      <c r="A776" s="178"/>
      <c r="B776" s="330" t="s">
        <v>25</v>
      </c>
      <c r="C776" s="329"/>
      <c r="D776" s="326"/>
      <c r="E776" s="327"/>
      <c r="F776" s="327"/>
      <c r="G776" s="129"/>
      <c r="H776" s="129"/>
      <c r="I776" s="129"/>
      <c r="J776" s="129"/>
      <c r="K776" s="152"/>
      <c r="L776" s="179"/>
      <c r="M776" s="180"/>
    </row>
    <row r="777" spans="1:13" s="65" customFormat="1" ht="17.5" customHeight="1">
      <c r="A777" s="178"/>
      <c r="B777" s="329" t="s">
        <v>385</v>
      </c>
      <c r="C777" s="329"/>
      <c r="D777" s="326">
        <v>1</v>
      </c>
      <c r="E777" s="327">
        <v>17.829999999999998</v>
      </c>
      <c r="F777" s="327">
        <v>6.42</v>
      </c>
      <c r="G777" s="129"/>
      <c r="H777" s="129"/>
      <c r="I777" s="129"/>
      <c r="J777" s="129"/>
      <c r="K777" s="152" t="s">
        <v>135</v>
      </c>
      <c r="L777" s="179"/>
      <c r="M777" s="180"/>
    </row>
    <row r="778" spans="1:13" s="65" customFormat="1" ht="17.5" customHeight="1">
      <c r="A778" s="178"/>
      <c r="B778" s="126" t="s">
        <v>389</v>
      </c>
      <c r="C778" s="126"/>
      <c r="D778" s="128">
        <f>D777*ROUND(E777/0.5,0)</f>
        <v>36</v>
      </c>
      <c r="E778" s="129">
        <f>F777</f>
        <v>6.42</v>
      </c>
      <c r="F778" s="129"/>
      <c r="G778" s="129"/>
      <c r="H778" s="129"/>
      <c r="I778" s="129">
        <f>-D778*E778</f>
        <v>-231.12</v>
      </c>
      <c r="J778" s="129"/>
      <c r="K778" s="152" t="s">
        <v>135</v>
      </c>
      <c r="L778" s="179"/>
      <c r="M778" s="321"/>
    </row>
    <row r="779" spans="1:13" s="65" customFormat="1" ht="17.5" customHeight="1">
      <c r="A779" s="178"/>
      <c r="B779" s="126" t="s">
        <v>390</v>
      </c>
      <c r="C779" s="126"/>
      <c r="D779" s="128">
        <f>D777*ROUND(F777/0.5,0)</f>
        <v>13</v>
      </c>
      <c r="E779" s="129">
        <f>E777</f>
        <v>17.829999999999998</v>
      </c>
      <c r="F779" s="129"/>
      <c r="G779" s="129"/>
      <c r="H779" s="129"/>
      <c r="I779" s="129">
        <f>-D779*E779</f>
        <v>-231.79</v>
      </c>
      <c r="J779" s="129"/>
      <c r="K779" s="152" t="s">
        <v>135</v>
      </c>
      <c r="L779" s="179"/>
      <c r="M779" s="180"/>
    </row>
    <row r="780" spans="1:13" s="65" customFormat="1" ht="17.5" customHeight="1">
      <c r="A780" s="178"/>
      <c r="B780" s="126" t="s">
        <v>391</v>
      </c>
      <c r="C780" s="126"/>
      <c r="D780" s="128">
        <f>D778</f>
        <v>36</v>
      </c>
      <c r="E780" s="129">
        <f>F777</f>
        <v>6.42</v>
      </c>
      <c r="F780" s="129"/>
      <c r="G780" s="129"/>
      <c r="H780" s="129"/>
      <c r="I780" s="129">
        <f>-D780*E780</f>
        <v>-231.12</v>
      </c>
      <c r="J780" s="129"/>
      <c r="K780" s="152" t="s">
        <v>135</v>
      </c>
      <c r="L780" s="179"/>
      <c r="M780" s="180"/>
    </row>
    <row r="781" spans="1:13" s="65" customFormat="1" ht="17.5" customHeight="1">
      <c r="A781" s="178"/>
      <c r="B781" s="126" t="s">
        <v>392</v>
      </c>
      <c r="C781" s="126"/>
      <c r="D781" s="128">
        <f>D779</f>
        <v>13</v>
      </c>
      <c r="E781" s="129">
        <f>E777</f>
        <v>17.829999999999998</v>
      </c>
      <c r="F781" s="129"/>
      <c r="G781" s="129"/>
      <c r="H781" s="129"/>
      <c r="I781" s="129">
        <f>-D781*E781</f>
        <v>-231.79</v>
      </c>
      <c r="J781" s="129"/>
      <c r="K781" s="152" t="s">
        <v>135</v>
      </c>
      <c r="L781" s="179"/>
      <c r="M781" s="180"/>
    </row>
    <row r="782" spans="1:13" s="65" customFormat="1" ht="17.5" customHeight="1">
      <c r="A782" s="178"/>
      <c r="B782" s="126"/>
      <c r="C782" s="126"/>
      <c r="D782" s="128"/>
      <c r="E782" s="129"/>
      <c r="F782" s="129"/>
      <c r="G782" s="129"/>
      <c r="H782" s="129"/>
      <c r="I782" s="129"/>
      <c r="J782" s="129"/>
      <c r="K782" s="152"/>
      <c r="L782" s="179"/>
      <c r="M782" s="180"/>
    </row>
    <row r="783" spans="1:13" s="65" customFormat="1" ht="17.5" customHeight="1">
      <c r="A783" s="178"/>
      <c r="B783" s="247" t="s">
        <v>386</v>
      </c>
      <c r="C783" s="126"/>
      <c r="D783" s="326">
        <v>1</v>
      </c>
      <c r="E783" s="327">
        <v>8</v>
      </c>
      <c r="F783" s="327">
        <v>1</v>
      </c>
      <c r="G783" s="129"/>
      <c r="H783" s="129"/>
      <c r="I783" s="129"/>
      <c r="J783" s="129"/>
      <c r="K783" s="152"/>
      <c r="L783" s="179"/>
      <c r="M783" s="180"/>
    </row>
    <row r="784" spans="1:13" s="65" customFormat="1" ht="17.5" customHeight="1">
      <c r="A784" s="178"/>
      <c r="B784" s="126" t="s">
        <v>393</v>
      </c>
      <c r="C784" s="126"/>
      <c r="D784" s="128">
        <f>D783*ROUND(E783/0.33+1,0)</f>
        <v>25</v>
      </c>
      <c r="E784" s="129">
        <f>0.33+0.92+0.25+0.58+0.67</f>
        <v>2.75</v>
      </c>
      <c r="F784" s="129"/>
      <c r="G784" s="129"/>
      <c r="H784" s="129"/>
      <c r="I784" s="129"/>
      <c r="J784" s="129">
        <f>D784*E784</f>
        <v>68.75</v>
      </c>
      <c r="K784" s="152" t="s">
        <v>186</v>
      </c>
      <c r="L784" s="179"/>
      <c r="M784" s="180"/>
    </row>
    <row r="785" spans="1:13" s="65" customFormat="1" ht="17.5" customHeight="1">
      <c r="A785" s="178"/>
      <c r="B785" s="126" t="s">
        <v>390</v>
      </c>
      <c r="C785" s="126"/>
      <c r="D785" s="128">
        <f>D783*ROUND(F783/0.33+1,0)</f>
        <v>4</v>
      </c>
      <c r="E785" s="129">
        <f>E783-0.25+18*10/1000*3.281</f>
        <v>8.34</v>
      </c>
      <c r="F785" s="129"/>
      <c r="G785" s="129"/>
      <c r="H785" s="129"/>
      <c r="I785" s="129">
        <f>D785*E785</f>
        <v>33.36</v>
      </c>
      <c r="J785" s="129"/>
      <c r="K785" s="152" t="s">
        <v>135</v>
      </c>
      <c r="L785" s="179"/>
      <c r="M785" s="180"/>
    </row>
    <row r="786" spans="1:13" s="65" customFormat="1" ht="17.5" customHeight="1">
      <c r="A786" s="178"/>
      <c r="B786" s="126" t="s">
        <v>394</v>
      </c>
      <c r="C786" s="126"/>
      <c r="D786" s="128">
        <f>D783*ROUND(E783/0.33+1,0)</f>
        <v>25</v>
      </c>
      <c r="E786" s="129">
        <f>0.42+1.75+0.67+0.5</f>
        <v>3.34</v>
      </c>
      <c r="F786" s="129"/>
      <c r="G786" s="129"/>
      <c r="H786" s="129"/>
      <c r="I786" s="129"/>
      <c r="J786" s="129">
        <f>D786*E786</f>
        <v>83.5</v>
      </c>
      <c r="K786" s="152" t="s">
        <v>186</v>
      </c>
      <c r="L786" s="179"/>
      <c r="M786" s="180"/>
    </row>
    <row r="787" spans="1:13" s="65" customFormat="1" ht="17.5" customHeight="1">
      <c r="A787" s="178"/>
      <c r="B787" s="126" t="s">
        <v>392</v>
      </c>
      <c r="C787" s="126"/>
      <c r="D787" s="128">
        <f>D785</f>
        <v>4</v>
      </c>
      <c r="E787" s="129">
        <f>E785</f>
        <v>8.34</v>
      </c>
      <c r="F787" s="129"/>
      <c r="G787" s="129"/>
      <c r="H787" s="129"/>
      <c r="I787" s="129">
        <f>D787*E787</f>
        <v>33.36</v>
      </c>
      <c r="J787" s="129"/>
      <c r="K787" s="152" t="s">
        <v>135</v>
      </c>
      <c r="L787" s="179"/>
      <c r="M787" s="180"/>
    </row>
    <row r="788" spans="1:13" s="65" customFormat="1" ht="17.5" customHeight="1">
      <c r="A788" s="178"/>
      <c r="B788" s="329"/>
      <c r="C788" s="329"/>
      <c r="D788" s="326"/>
      <c r="E788" s="327"/>
      <c r="F788" s="327"/>
      <c r="G788" s="129"/>
      <c r="H788" s="129"/>
      <c r="I788" s="129"/>
      <c r="J788" s="129"/>
      <c r="K788" s="152"/>
      <c r="L788" s="179"/>
      <c r="M788" s="180"/>
    </row>
    <row r="789" spans="1:13" s="65" customFormat="1" ht="17.5" customHeight="1">
      <c r="A789" s="178"/>
      <c r="B789" s="247" t="s">
        <v>372</v>
      </c>
      <c r="C789" s="126"/>
      <c r="D789" s="128"/>
      <c r="E789" s="129"/>
      <c r="F789" s="129"/>
      <c r="G789" s="129"/>
      <c r="H789" s="129"/>
      <c r="I789" s="129"/>
      <c r="J789" s="129"/>
      <c r="K789" s="152"/>
      <c r="L789" s="179"/>
      <c r="M789" s="180"/>
    </row>
    <row r="790" spans="1:13" s="65" customFormat="1" ht="17.5" customHeight="1">
      <c r="A790" s="178"/>
      <c r="B790" s="247" t="s">
        <v>377</v>
      </c>
      <c r="C790" s="126"/>
      <c r="D790" s="128"/>
      <c r="E790" s="129"/>
      <c r="F790" s="129"/>
      <c r="G790" s="129"/>
      <c r="H790" s="129"/>
      <c r="I790" s="129"/>
      <c r="J790" s="129"/>
      <c r="K790" s="152"/>
      <c r="L790" s="179"/>
      <c r="M790" s="180"/>
    </row>
    <row r="791" spans="1:13" s="65" customFormat="1" ht="17.5" customHeight="1">
      <c r="A791" s="178"/>
      <c r="B791" s="329" t="s">
        <v>379</v>
      </c>
      <c r="C791" s="329"/>
      <c r="D791" s="326">
        <v>1</v>
      </c>
      <c r="E791" s="327">
        <v>4</v>
      </c>
      <c r="F791" s="327">
        <v>4</v>
      </c>
      <c r="G791" s="129"/>
      <c r="H791" s="129"/>
      <c r="I791" s="129"/>
      <c r="J791" s="129"/>
      <c r="K791" s="152"/>
      <c r="L791" s="179"/>
      <c r="M791" s="180"/>
    </row>
    <row r="792" spans="1:13" s="65" customFormat="1" ht="17.5" customHeight="1">
      <c r="A792" s="178"/>
      <c r="B792" s="126" t="s">
        <v>374</v>
      </c>
      <c r="C792" s="126"/>
      <c r="D792" s="128">
        <f>D791*(ROUND(2/0.5+1,0))</f>
        <v>5</v>
      </c>
      <c r="E792" s="129">
        <f>F791-0.25+18*12/1000*3.281</f>
        <v>4.46</v>
      </c>
      <c r="F792" s="129"/>
      <c r="G792" s="129"/>
      <c r="H792" s="129"/>
      <c r="I792" s="129"/>
      <c r="J792" s="129">
        <f>D792*E792</f>
        <v>22.3</v>
      </c>
      <c r="K792" s="152" t="s">
        <v>186</v>
      </c>
      <c r="L792" s="179"/>
      <c r="M792" s="180"/>
    </row>
    <row r="793" spans="1:13" s="65" customFormat="1" ht="17.5" customHeight="1">
      <c r="A793" s="178"/>
      <c r="B793" s="126" t="s">
        <v>375</v>
      </c>
      <c r="C793" s="126"/>
      <c r="D793" s="128">
        <f>D791*ROUND(2/0.5+1,0)</f>
        <v>5</v>
      </c>
      <c r="E793" s="129">
        <f>E791-0.25+18*12/1000*3.281</f>
        <v>4.46</v>
      </c>
      <c r="F793" s="129"/>
      <c r="G793" s="129"/>
      <c r="H793" s="129"/>
      <c r="I793" s="129"/>
      <c r="J793" s="129">
        <f>D793*E793</f>
        <v>22.3</v>
      </c>
      <c r="K793" s="152" t="s">
        <v>186</v>
      </c>
      <c r="L793" s="179"/>
      <c r="M793" s="180"/>
    </row>
    <row r="794" spans="1:13" s="65" customFormat="1" ht="17.5" customHeight="1">
      <c r="A794" s="178"/>
      <c r="B794" s="126" t="s">
        <v>387</v>
      </c>
      <c r="C794" s="126"/>
      <c r="D794" s="128">
        <f>D792</f>
        <v>5</v>
      </c>
      <c r="E794" s="129">
        <f>F791-0.25+0.58*2</f>
        <v>4.91</v>
      </c>
      <c r="F794" s="129"/>
      <c r="G794" s="129"/>
      <c r="H794" s="129"/>
      <c r="I794" s="129"/>
      <c r="J794" s="129">
        <f>D794*E794</f>
        <v>24.55</v>
      </c>
      <c r="K794" s="152" t="s">
        <v>186</v>
      </c>
      <c r="L794" s="179"/>
      <c r="M794" s="180"/>
    </row>
    <row r="795" spans="1:13" s="65" customFormat="1" ht="17.5" customHeight="1">
      <c r="A795" s="178"/>
      <c r="B795" s="126" t="s">
        <v>388</v>
      </c>
      <c r="C795" s="126"/>
      <c r="D795" s="128">
        <f>D793</f>
        <v>5</v>
      </c>
      <c r="E795" s="129">
        <f>E791-0.25+0.58*2</f>
        <v>4.91</v>
      </c>
      <c r="F795" s="129"/>
      <c r="G795" s="129"/>
      <c r="H795" s="129"/>
      <c r="I795" s="129"/>
      <c r="J795" s="129">
        <f>D795*E795</f>
        <v>24.55</v>
      </c>
      <c r="K795" s="152" t="s">
        <v>186</v>
      </c>
      <c r="L795" s="179"/>
      <c r="M795" s="180"/>
    </row>
    <row r="796" spans="1:13" s="65" customFormat="1" ht="17.5" customHeight="1">
      <c r="A796" s="178"/>
      <c r="B796" s="247"/>
      <c r="C796" s="126"/>
      <c r="D796" s="128"/>
      <c r="E796" s="129"/>
      <c r="F796" s="129"/>
      <c r="G796" s="129"/>
      <c r="H796" s="129"/>
      <c r="I796" s="129"/>
      <c r="J796" s="129"/>
      <c r="K796" s="152"/>
      <c r="L796" s="179"/>
      <c r="M796" s="180"/>
    </row>
    <row r="797" spans="1:13" s="65" customFormat="1" ht="17.5" customHeight="1">
      <c r="A797" s="178"/>
      <c r="B797" s="247" t="s">
        <v>396</v>
      </c>
      <c r="C797" s="126"/>
      <c r="D797" s="128"/>
      <c r="E797" s="129"/>
      <c r="F797" s="129"/>
      <c r="G797" s="129"/>
      <c r="H797" s="129"/>
      <c r="I797" s="129"/>
      <c r="J797" s="129"/>
      <c r="K797" s="152"/>
      <c r="L797" s="179"/>
      <c r="M797" s="180"/>
    </row>
    <row r="798" spans="1:13" s="65" customFormat="1" ht="17.5" customHeight="1">
      <c r="A798" s="178"/>
      <c r="B798" s="329" t="s">
        <v>395</v>
      </c>
      <c r="C798" s="247"/>
      <c r="D798" s="326">
        <v>1</v>
      </c>
      <c r="E798" s="327">
        <v>40</v>
      </c>
      <c r="F798" s="327">
        <v>27</v>
      </c>
      <c r="G798" s="129"/>
      <c r="H798" s="129"/>
      <c r="I798" s="129"/>
      <c r="J798" s="129"/>
      <c r="K798" s="152"/>
      <c r="L798" s="179"/>
      <c r="M798" s="180"/>
    </row>
    <row r="799" spans="1:13" s="65" customFormat="1" ht="17.5" customHeight="1">
      <c r="A799" s="178"/>
      <c r="B799" s="126" t="s">
        <v>397</v>
      </c>
      <c r="C799" s="126"/>
      <c r="D799" s="128">
        <f>D798*((ROUND(10.5/0.67+1,0))+(ROUND(8/0.67+1,0))+ROUND(8/0.67+1,0)+ROUND(8.5/0.67+1,0))</f>
        <v>57</v>
      </c>
      <c r="E799" s="129">
        <f>F798-0.25+18*10/1000*3.281</f>
        <v>27.34</v>
      </c>
      <c r="F799" s="129"/>
      <c r="G799" s="129"/>
      <c r="H799" s="129"/>
      <c r="I799" s="129">
        <f>D799*E799</f>
        <v>1558.38</v>
      </c>
      <c r="J799" s="129"/>
      <c r="K799" s="152" t="s">
        <v>135</v>
      </c>
      <c r="L799" s="179"/>
      <c r="M799" s="180"/>
    </row>
    <row r="800" spans="1:13" s="65" customFormat="1" ht="17.5" customHeight="1">
      <c r="A800" s="178"/>
      <c r="B800" s="126" t="s">
        <v>398</v>
      </c>
      <c r="C800" s="126"/>
      <c r="D800" s="128">
        <f>D798*(ROUND(12/0.67+1,0)+ROUND(12/0.67+1,0))</f>
        <v>38</v>
      </c>
      <c r="E800" s="129">
        <f>E798-0.25+18*10/1000*3.281</f>
        <v>40.340000000000003</v>
      </c>
      <c r="F800" s="129"/>
      <c r="G800" s="129"/>
      <c r="H800" s="129"/>
      <c r="I800" s="129">
        <f>D800*E800</f>
        <v>1532.92</v>
      </c>
      <c r="J800" s="129"/>
      <c r="K800" s="152" t="s">
        <v>135</v>
      </c>
      <c r="L800" s="179"/>
      <c r="M800" s="180"/>
    </row>
    <row r="801" spans="1:13" s="65" customFormat="1" ht="17.5" customHeight="1">
      <c r="A801" s="178"/>
      <c r="B801" s="126" t="s">
        <v>391</v>
      </c>
      <c r="C801" s="126"/>
      <c r="D801" s="128">
        <f>D798*((ROUND(10.5/0.5+1,0))+(ROUND(8/0.5+1,0))+ROUND(8/0.5+1,0)+ROUND(8.5/0.5+1,0))</f>
        <v>74</v>
      </c>
      <c r="E801" s="129">
        <f>F798-0.25+0.58*2</f>
        <v>27.91</v>
      </c>
      <c r="F801" s="129"/>
      <c r="G801" s="129"/>
      <c r="H801" s="129"/>
      <c r="I801" s="129">
        <f>D801*E801</f>
        <v>2065.34</v>
      </c>
      <c r="J801" s="129"/>
      <c r="K801" s="152" t="s">
        <v>135</v>
      </c>
      <c r="L801" s="179"/>
      <c r="M801" s="180"/>
    </row>
    <row r="802" spans="1:13" s="65" customFormat="1" ht="17.5" customHeight="1">
      <c r="A802" s="178"/>
      <c r="B802" s="126" t="s">
        <v>392</v>
      </c>
      <c r="C802" s="126"/>
      <c r="D802" s="128">
        <f>D798*(ROUND(12/0.5+1,0)+ROUND(12/0.5+1,0))</f>
        <v>50</v>
      </c>
      <c r="E802" s="129">
        <f>E798-0.25+0.58*2</f>
        <v>40.909999999999997</v>
      </c>
      <c r="F802" s="129"/>
      <c r="G802" s="129"/>
      <c r="H802" s="129"/>
      <c r="I802" s="129">
        <f>D802*E802</f>
        <v>2045.5</v>
      </c>
      <c r="J802" s="129"/>
      <c r="K802" s="152" t="s">
        <v>135</v>
      </c>
      <c r="L802" s="179"/>
      <c r="M802" s="180"/>
    </row>
    <row r="803" spans="1:13" s="65" customFormat="1" ht="17.5" customHeight="1">
      <c r="A803" s="178"/>
      <c r="B803" s="329"/>
      <c r="C803" s="247"/>
      <c r="D803" s="326"/>
      <c r="E803" s="327"/>
      <c r="F803" s="327"/>
      <c r="G803" s="129"/>
      <c r="H803" s="129"/>
      <c r="I803" s="129"/>
      <c r="J803" s="129"/>
      <c r="K803" s="152"/>
      <c r="L803" s="179"/>
      <c r="M803" s="180"/>
    </row>
    <row r="804" spans="1:13" s="65" customFormat="1" ht="17.5" customHeight="1">
      <c r="A804" s="178"/>
      <c r="B804" s="330" t="s">
        <v>25</v>
      </c>
      <c r="C804" s="329"/>
      <c r="D804" s="326"/>
      <c r="E804" s="327"/>
      <c r="F804" s="327"/>
      <c r="G804" s="129"/>
      <c r="H804" s="129"/>
      <c r="I804" s="129"/>
      <c r="J804" s="129"/>
      <c r="K804" s="152"/>
      <c r="L804" s="179"/>
      <c r="M804" s="180"/>
    </row>
    <row r="805" spans="1:13" s="65" customFormat="1" ht="17.5" customHeight="1">
      <c r="A805" s="178"/>
      <c r="B805" s="329" t="s">
        <v>300</v>
      </c>
      <c r="C805" s="329"/>
      <c r="D805" s="326">
        <v>1</v>
      </c>
      <c r="E805" s="327">
        <v>12</v>
      </c>
      <c r="F805" s="327">
        <v>8</v>
      </c>
      <c r="G805" s="129"/>
      <c r="H805" s="129"/>
      <c r="I805" s="129"/>
      <c r="J805" s="129"/>
      <c r="K805" s="152"/>
      <c r="L805" s="179"/>
      <c r="M805" s="180"/>
    </row>
    <row r="806" spans="1:13" s="65" customFormat="1" ht="17.5" customHeight="1">
      <c r="A806" s="178"/>
      <c r="B806" s="126" t="s">
        <v>397</v>
      </c>
      <c r="C806" s="329"/>
      <c r="D806" s="128">
        <f>D805*ROUND(E805/0.67,0)</f>
        <v>18</v>
      </c>
      <c r="E806" s="129">
        <f>F805</f>
        <v>8</v>
      </c>
      <c r="F806" s="327"/>
      <c r="G806" s="129"/>
      <c r="H806" s="129"/>
      <c r="I806" s="129">
        <f>D806*E806</f>
        <v>144</v>
      </c>
      <c r="J806" s="129"/>
      <c r="K806" s="152" t="s">
        <v>135</v>
      </c>
      <c r="L806" s="179"/>
      <c r="M806" s="180"/>
    </row>
    <row r="807" spans="1:13" s="65" customFormat="1" ht="17.5" customHeight="1">
      <c r="A807" s="178"/>
      <c r="B807" s="126" t="s">
        <v>398</v>
      </c>
      <c r="C807" s="329"/>
      <c r="D807" s="128">
        <f>D805*ROUND(F805/0.67,0)</f>
        <v>12</v>
      </c>
      <c r="E807" s="129">
        <f>E805</f>
        <v>12</v>
      </c>
      <c r="F807" s="327"/>
      <c r="G807" s="129"/>
      <c r="H807" s="129"/>
      <c r="I807" s="129">
        <f>D807*E807</f>
        <v>144</v>
      </c>
      <c r="J807" s="129"/>
      <c r="K807" s="152" t="s">
        <v>135</v>
      </c>
      <c r="L807" s="179"/>
      <c r="M807" s="180"/>
    </row>
    <row r="808" spans="1:13" s="65" customFormat="1" ht="17.5" customHeight="1">
      <c r="A808" s="178"/>
      <c r="B808" s="126" t="s">
        <v>391</v>
      </c>
      <c r="C808" s="329"/>
      <c r="D808" s="128">
        <f>D805*ROUND(E805/0.5,0)</f>
        <v>24</v>
      </c>
      <c r="E808" s="129">
        <f>F805</f>
        <v>8</v>
      </c>
      <c r="F808" s="327"/>
      <c r="G808" s="129"/>
      <c r="H808" s="129"/>
      <c r="I808" s="129">
        <f>D808*E808</f>
        <v>192</v>
      </c>
      <c r="J808" s="129"/>
      <c r="K808" s="152" t="s">
        <v>135</v>
      </c>
      <c r="L808" s="179"/>
      <c r="M808" s="180"/>
    </row>
    <row r="809" spans="1:13" s="65" customFormat="1" ht="17.5" customHeight="1">
      <c r="A809" s="178"/>
      <c r="B809" s="126" t="s">
        <v>392</v>
      </c>
      <c r="C809" s="329"/>
      <c r="D809" s="128">
        <f>D805*ROUND(F805/0.5,0)</f>
        <v>16</v>
      </c>
      <c r="E809" s="129">
        <f>E805</f>
        <v>12</v>
      </c>
      <c r="F809" s="327"/>
      <c r="G809" s="129"/>
      <c r="H809" s="129"/>
      <c r="I809" s="129">
        <f>D809*E809</f>
        <v>192</v>
      </c>
      <c r="J809" s="129"/>
      <c r="K809" s="152" t="s">
        <v>135</v>
      </c>
      <c r="L809" s="179"/>
      <c r="M809" s="180"/>
    </row>
    <row r="810" spans="1:13" s="65" customFormat="1" ht="17.5" customHeight="1">
      <c r="A810" s="178"/>
      <c r="B810" s="329"/>
      <c r="C810" s="329"/>
      <c r="D810" s="326"/>
      <c r="E810" s="327"/>
      <c r="F810" s="327"/>
      <c r="G810" s="129"/>
      <c r="H810" s="129"/>
      <c r="I810" s="129"/>
      <c r="J810" s="129"/>
      <c r="K810" s="152"/>
      <c r="L810" s="179"/>
      <c r="M810" s="180"/>
    </row>
    <row r="811" spans="1:13" s="65" customFormat="1" ht="17.5" customHeight="1">
      <c r="A811" s="178"/>
      <c r="B811" s="247" t="s">
        <v>380</v>
      </c>
      <c r="C811" s="126"/>
      <c r="D811" s="128"/>
      <c r="E811" s="129"/>
      <c r="F811" s="129"/>
      <c r="G811" s="129"/>
      <c r="H811" s="129"/>
      <c r="I811" s="129"/>
      <c r="J811" s="129"/>
      <c r="K811" s="152"/>
      <c r="L811" s="179"/>
      <c r="M811" s="180"/>
    </row>
    <row r="812" spans="1:13" s="65" customFormat="1" ht="17.5" customHeight="1">
      <c r="A812" s="178"/>
      <c r="B812" s="329" t="s">
        <v>382</v>
      </c>
      <c r="C812" s="329"/>
      <c r="D812" s="326">
        <v>1</v>
      </c>
      <c r="E812" s="327">
        <v>27</v>
      </c>
      <c r="F812" s="327">
        <v>3</v>
      </c>
      <c r="G812" s="129"/>
      <c r="H812" s="129"/>
      <c r="I812" s="129"/>
      <c r="J812" s="129"/>
      <c r="K812" s="152"/>
      <c r="L812" s="179"/>
      <c r="M812" s="180"/>
    </row>
    <row r="813" spans="1:13" s="65" customFormat="1" ht="17.5" customHeight="1">
      <c r="A813" s="178"/>
      <c r="B813" s="126" t="s">
        <v>389</v>
      </c>
      <c r="C813" s="126"/>
      <c r="D813" s="128">
        <f>D812*((ROUND(12/0.5+1,0))+(ROUND(12/0.5+1,0)))</f>
        <v>50</v>
      </c>
      <c r="E813" s="129">
        <f>F812-0.25+18*10/1000*3.281</f>
        <v>3.34</v>
      </c>
      <c r="F813" s="129"/>
      <c r="G813" s="129"/>
      <c r="H813" s="129"/>
      <c r="I813" s="129">
        <f>D813*E813</f>
        <v>167</v>
      </c>
      <c r="J813" s="129"/>
      <c r="K813" s="152" t="s">
        <v>135</v>
      </c>
      <c r="L813" s="179"/>
      <c r="M813" s="180"/>
    </row>
    <row r="814" spans="1:13" s="65" customFormat="1" ht="17.5" customHeight="1">
      <c r="A814" s="178"/>
      <c r="B814" s="126" t="s">
        <v>390</v>
      </c>
      <c r="C814" s="126"/>
      <c r="D814" s="128">
        <f>D812*ROUND(2/0.5+1,0)</f>
        <v>5</v>
      </c>
      <c r="E814" s="129">
        <f>E812-0.25+18*10/1000*3.281</f>
        <v>27.34</v>
      </c>
      <c r="F814" s="129"/>
      <c r="G814" s="129"/>
      <c r="H814" s="129"/>
      <c r="I814" s="129">
        <f>D814*E814</f>
        <v>136.69999999999999</v>
      </c>
      <c r="J814" s="129"/>
      <c r="K814" s="152" t="s">
        <v>135</v>
      </c>
      <c r="L814" s="179"/>
      <c r="M814" s="180"/>
    </row>
    <row r="815" spans="1:13" s="65" customFormat="1" ht="17.5" customHeight="1">
      <c r="A815" s="178"/>
      <c r="B815" s="126" t="s">
        <v>391</v>
      </c>
      <c r="C815" s="126"/>
      <c r="D815" s="128">
        <f>D813</f>
        <v>50</v>
      </c>
      <c r="E815" s="129">
        <f>F812-0.25+0.58*2</f>
        <v>3.91</v>
      </c>
      <c r="F815" s="129"/>
      <c r="G815" s="129"/>
      <c r="H815" s="129"/>
      <c r="I815" s="129">
        <f>D815*E815</f>
        <v>195.5</v>
      </c>
      <c r="J815" s="129"/>
      <c r="K815" s="152" t="s">
        <v>135</v>
      </c>
      <c r="L815" s="179"/>
      <c r="M815" s="180"/>
    </row>
    <row r="816" spans="1:13" s="65" customFormat="1" ht="17.5" customHeight="1">
      <c r="A816" s="178"/>
      <c r="B816" s="126" t="s">
        <v>392</v>
      </c>
      <c r="C816" s="126"/>
      <c r="D816" s="128">
        <f>D814</f>
        <v>5</v>
      </c>
      <c r="E816" s="129">
        <f>E812-0.25+0.58*2</f>
        <v>27.91</v>
      </c>
      <c r="F816" s="129"/>
      <c r="G816" s="129"/>
      <c r="H816" s="129"/>
      <c r="I816" s="129">
        <f>D816*E816</f>
        <v>139.55000000000001</v>
      </c>
      <c r="J816" s="129"/>
      <c r="K816" s="152" t="s">
        <v>135</v>
      </c>
      <c r="L816" s="179"/>
      <c r="M816" s="180"/>
    </row>
    <row r="817" spans="1:13" s="65" customFormat="1" ht="17.5" customHeight="1">
      <c r="A817" s="178"/>
      <c r="B817" s="329"/>
      <c r="C817" s="329"/>
      <c r="D817" s="326"/>
      <c r="E817" s="327"/>
      <c r="F817" s="327"/>
      <c r="G817" s="129"/>
      <c r="H817" s="129"/>
      <c r="I817" s="129"/>
      <c r="J817" s="129"/>
      <c r="K817" s="152"/>
      <c r="L817" s="179"/>
      <c r="M817" s="180"/>
    </row>
    <row r="818" spans="1:13" s="65" customFormat="1" ht="17.5" customHeight="1">
      <c r="A818" s="178"/>
      <c r="B818" s="329" t="s">
        <v>383</v>
      </c>
      <c r="C818" s="329"/>
      <c r="D818" s="326">
        <v>1</v>
      </c>
      <c r="E818" s="327">
        <v>11.5</v>
      </c>
      <c r="F818" s="327">
        <v>3</v>
      </c>
      <c r="G818" s="129"/>
      <c r="H818" s="129"/>
      <c r="I818" s="129"/>
      <c r="J818" s="129"/>
      <c r="K818" s="152"/>
      <c r="L818" s="179"/>
      <c r="M818" s="180"/>
    </row>
    <row r="819" spans="1:13" s="65" customFormat="1" ht="17.5" customHeight="1">
      <c r="A819" s="178"/>
      <c r="B819" s="126" t="s">
        <v>389</v>
      </c>
      <c r="C819" s="126"/>
      <c r="D819" s="128">
        <f>D818*((ROUND(9.5/0.5+1,0)))</f>
        <v>20</v>
      </c>
      <c r="E819" s="129">
        <f>F818-0.25+18*10/1000*3.281</f>
        <v>3.34</v>
      </c>
      <c r="F819" s="129"/>
      <c r="G819" s="129"/>
      <c r="H819" s="129"/>
      <c r="I819" s="129">
        <f>D819*E819</f>
        <v>66.8</v>
      </c>
      <c r="J819" s="129"/>
      <c r="K819" s="152" t="s">
        <v>135</v>
      </c>
      <c r="L819" s="179"/>
      <c r="M819" s="180"/>
    </row>
    <row r="820" spans="1:13" s="65" customFormat="1" ht="17.5" customHeight="1">
      <c r="A820" s="178"/>
      <c r="B820" s="126" t="s">
        <v>390</v>
      </c>
      <c r="C820" s="126"/>
      <c r="D820" s="128">
        <f>D818*ROUND(2/0.5+1,0)</f>
        <v>5</v>
      </c>
      <c r="E820" s="129">
        <f>E818-0.25+18*10/1000*3.281</f>
        <v>11.84</v>
      </c>
      <c r="F820" s="129"/>
      <c r="G820" s="129"/>
      <c r="H820" s="129"/>
      <c r="I820" s="129">
        <f>D820*E820</f>
        <v>59.2</v>
      </c>
      <c r="J820" s="129"/>
      <c r="K820" s="152" t="s">
        <v>135</v>
      </c>
      <c r="L820" s="179"/>
      <c r="M820" s="180"/>
    </row>
    <row r="821" spans="1:13" s="65" customFormat="1" ht="17.5" customHeight="1">
      <c r="A821" s="178"/>
      <c r="B821" s="126" t="s">
        <v>391</v>
      </c>
      <c r="C821" s="126"/>
      <c r="D821" s="128">
        <f>D819</f>
        <v>20</v>
      </c>
      <c r="E821" s="129">
        <f>F818-0.25+0.58*2</f>
        <v>3.91</v>
      </c>
      <c r="F821" s="129"/>
      <c r="G821" s="129"/>
      <c r="H821" s="129"/>
      <c r="I821" s="129">
        <f>D821*E821</f>
        <v>78.2</v>
      </c>
      <c r="J821" s="129"/>
      <c r="K821" s="152" t="s">
        <v>135</v>
      </c>
      <c r="L821" s="179"/>
      <c r="M821" s="180"/>
    </row>
    <row r="822" spans="1:13" s="65" customFormat="1" ht="17.5" customHeight="1">
      <c r="A822" s="178"/>
      <c r="B822" s="126" t="s">
        <v>392</v>
      </c>
      <c r="C822" s="126"/>
      <c r="D822" s="128">
        <f>D820</f>
        <v>5</v>
      </c>
      <c r="E822" s="129">
        <f>E818-0.25+0.58*2</f>
        <v>12.41</v>
      </c>
      <c r="F822" s="129"/>
      <c r="G822" s="129"/>
      <c r="H822" s="129"/>
      <c r="I822" s="129">
        <f>D822*E822</f>
        <v>62.05</v>
      </c>
      <c r="J822" s="129"/>
      <c r="K822" s="152" t="s">
        <v>135</v>
      </c>
      <c r="L822" s="179"/>
      <c r="M822" s="180"/>
    </row>
    <row r="823" spans="1:13" s="65" customFormat="1" ht="17.5" customHeight="1">
      <c r="A823" s="178"/>
      <c r="B823" s="329"/>
      <c r="C823" s="329"/>
      <c r="D823" s="326"/>
      <c r="E823" s="327"/>
      <c r="F823" s="327"/>
      <c r="G823" s="129"/>
      <c r="H823" s="129"/>
      <c r="I823" s="129"/>
      <c r="J823" s="129"/>
      <c r="K823" s="152"/>
      <c r="L823" s="179"/>
      <c r="M823" s="180"/>
    </row>
    <row r="824" spans="1:13" s="65" customFormat="1" ht="17.5" customHeight="1">
      <c r="A824" s="178"/>
      <c r="B824" s="247" t="s">
        <v>386</v>
      </c>
      <c r="C824" s="126"/>
      <c r="D824" s="326">
        <v>1</v>
      </c>
      <c r="E824" s="327">
        <v>8</v>
      </c>
      <c r="F824" s="327">
        <v>1</v>
      </c>
      <c r="G824" s="129"/>
      <c r="H824" s="129"/>
      <c r="I824" s="129"/>
      <c r="J824" s="129"/>
      <c r="K824" s="152"/>
      <c r="L824" s="179"/>
      <c r="M824" s="180"/>
    </row>
    <row r="825" spans="1:13" s="65" customFormat="1" ht="17.5" customHeight="1">
      <c r="A825" s="178"/>
      <c r="B825" s="126" t="s">
        <v>393</v>
      </c>
      <c r="C825" s="126"/>
      <c r="D825" s="128">
        <f>D824*ROUND(E824/0.33+1,0)</f>
        <v>25</v>
      </c>
      <c r="E825" s="129">
        <f>0.33+0.92+0.25+0.58+0.67</f>
        <v>2.75</v>
      </c>
      <c r="F825" s="129"/>
      <c r="G825" s="129"/>
      <c r="H825" s="129"/>
      <c r="I825" s="129"/>
      <c r="J825" s="129">
        <f>D825*E825</f>
        <v>68.75</v>
      </c>
      <c r="K825" s="152" t="s">
        <v>186</v>
      </c>
      <c r="L825" s="179"/>
      <c r="M825" s="180"/>
    </row>
    <row r="826" spans="1:13" s="65" customFormat="1" ht="17.5" customHeight="1">
      <c r="A826" s="178"/>
      <c r="B826" s="126" t="s">
        <v>390</v>
      </c>
      <c r="C826" s="126"/>
      <c r="D826" s="128">
        <f>D824*ROUND(F824/0.33+1,0)</f>
        <v>4</v>
      </c>
      <c r="E826" s="129">
        <f>E824-0.25+18*10/1000*3.281</f>
        <v>8.34</v>
      </c>
      <c r="F826" s="129"/>
      <c r="G826" s="129"/>
      <c r="H826" s="129"/>
      <c r="I826" s="129">
        <f>D826*E826</f>
        <v>33.36</v>
      </c>
      <c r="J826" s="129"/>
      <c r="K826" s="152" t="s">
        <v>135</v>
      </c>
      <c r="L826" s="179"/>
      <c r="M826" s="180"/>
    </row>
    <row r="827" spans="1:13" s="65" customFormat="1" ht="17.5" customHeight="1">
      <c r="A827" s="178"/>
      <c r="B827" s="126" t="s">
        <v>394</v>
      </c>
      <c r="C827" s="126"/>
      <c r="D827" s="128">
        <f>D824*ROUND(E824/0.33+1,0)</f>
        <v>25</v>
      </c>
      <c r="E827" s="129">
        <f>0.42+1.75+0.67+0.5</f>
        <v>3.34</v>
      </c>
      <c r="F827" s="129"/>
      <c r="G827" s="129"/>
      <c r="H827" s="129"/>
      <c r="I827" s="129"/>
      <c r="J827" s="129">
        <f>D827*E827</f>
        <v>83.5</v>
      </c>
      <c r="K827" s="152" t="s">
        <v>186</v>
      </c>
      <c r="L827" s="179"/>
      <c r="M827" s="180"/>
    </row>
    <row r="828" spans="1:13" s="65" customFormat="1" ht="17.5" customHeight="1">
      <c r="A828" s="178"/>
      <c r="B828" s="126" t="s">
        <v>392</v>
      </c>
      <c r="C828" s="126"/>
      <c r="D828" s="128">
        <f>D826</f>
        <v>4</v>
      </c>
      <c r="E828" s="129">
        <f>E826</f>
        <v>8.34</v>
      </c>
      <c r="F828" s="129"/>
      <c r="G828" s="129"/>
      <c r="H828" s="129"/>
      <c r="I828" s="129">
        <f>D828*E828</f>
        <v>33.36</v>
      </c>
      <c r="J828" s="129"/>
      <c r="K828" s="152" t="s">
        <v>135</v>
      </c>
      <c r="L828" s="179"/>
      <c r="M828" s="180"/>
    </row>
    <row r="829" spans="1:13" s="65" customFormat="1" ht="17.5" customHeight="1">
      <c r="A829" s="178"/>
      <c r="B829" s="329"/>
      <c r="C829" s="329"/>
      <c r="D829" s="326"/>
      <c r="E829" s="327"/>
      <c r="F829" s="327"/>
      <c r="G829" s="129"/>
      <c r="H829" s="129"/>
      <c r="I829" s="129"/>
      <c r="J829" s="129"/>
      <c r="K829" s="152"/>
      <c r="L829" s="179"/>
      <c r="M829" s="180"/>
    </row>
    <row r="830" spans="1:13" s="65" customFormat="1" ht="17.5" customHeight="1">
      <c r="A830" s="178"/>
      <c r="B830" s="330" t="s">
        <v>174</v>
      </c>
      <c r="C830" s="126"/>
      <c r="D830" s="128"/>
      <c r="E830" s="129"/>
      <c r="F830" s="129"/>
      <c r="G830" s="129"/>
      <c r="H830" s="129"/>
      <c r="I830" s="129"/>
      <c r="J830" s="129"/>
      <c r="K830" s="152"/>
      <c r="L830" s="179"/>
      <c r="M830" s="180"/>
    </row>
    <row r="831" spans="1:13" s="65" customFormat="1" ht="17.5" customHeight="1">
      <c r="A831" s="178"/>
      <c r="B831" s="330" t="s">
        <v>399</v>
      </c>
      <c r="C831" s="126"/>
      <c r="D831" s="128"/>
      <c r="E831" s="129"/>
      <c r="F831" s="129"/>
      <c r="G831" s="129"/>
      <c r="H831" s="129"/>
      <c r="I831" s="129"/>
      <c r="J831" s="129"/>
      <c r="K831" s="152"/>
      <c r="L831" s="179"/>
      <c r="M831" s="180"/>
    </row>
    <row r="832" spans="1:13" s="65" customFormat="1" ht="17.5" customHeight="1">
      <c r="A832" s="178"/>
      <c r="B832" s="329" t="s">
        <v>400</v>
      </c>
      <c r="C832" s="126"/>
      <c r="D832" s="326">
        <v>1</v>
      </c>
      <c r="E832" s="327">
        <v>28.5</v>
      </c>
      <c r="F832" s="327">
        <v>27</v>
      </c>
      <c r="G832" s="129"/>
      <c r="H832" s="129"/>
      <c r="I832" s="129"/>
      <c r="J832" s="129"/>
      <c r="K832" s="152"/>
      <c r="L832" s="179"/>
      <c r="M832" s="180"/>
    </row>
    <row r="833" spans="1:13" s="65" customFormat="1" ht="17.5" customHeight="1">
      <c r="A833" s="178"/>
      <c r="B833" s="126" t="s">
        <v>389</v>
      </c>
      <c r="C833" s="126"/>
      <c r="D833" s="128">
        <f>D832*((ROUND(8/0.5+1,0))+ROUND(8/0.5+1,0)+ROUND(8.5/0.5+1,0))</f>
        <v>52</v>
      </c>
      <c r="E833" s="129">
        <f>F832-0.25+18*10/1000*3.281</f>
        <v>27.34</v>
      </c>
      <c r="F833" s="129"/>
      <c r="G833" s="129"/>
      <c r="H833" s="129"/>
      <c r="I833" s="129">
        <f>D833*E833</f>
        <v>1421.68</v>
      </c>
      <c r="J833" s="129"/>
      <c r="K833" s="152" t="s">
        <v>135</v>
      </c>
      <c r="L833" s="179"/>
      <c r="M833" s="180"/>
    </row>
    <row r="834" spans="1:13" s="65" customFormat="1" ht="17.5" customHeight="1">
      <c r="A834" s="178"/>
      <c r="B834" s="126" t="s">
        <v>390</v>
      </c>
      <c r="C834" s="126"/>
      <c r="D834" s="128">
        <f>D832*(ROUND(12/0.5+1,0)+ROUND(2.83/0.5+1,0)+ROUND(8.33/0.5+1,0))</f>
        <v>50</v>
      </c>
      <c r="E834" s="129">
        <f>E832-0.25+18*10/1000*3.281</f>
        <v>28.84</v>
      </c>
      <c r="F834" s="129"/>
      <c r="G834" s="129"/>
      <c r="H834" s="129"/>
      <c r="I834" s="129">
        <f>D834*E834</f>
        <v>1442</v>
      </c>
      <c r="J834" s="129"/>
      <c r="K834" s="152" t="s">
        <v>135</v>
      </c>
      <c r="L834" s="179"/>
      <c r="M834" s="180"/>
    </row>
    <row r="835" spans="1:13" s="65" customFormat="1" ht="17.5" customHeight="1">
      <c r="A835" s="178"/>
      <c r="B835" s="126" t="s">
        <v>391</v>
      </c>
      <c r="C835" s="126"/>
      <c r="D835" s="128">
        <f>D832*((ROUND(8/0.33+1,0))+ROUND(8/0.33+1,0)+ROUND(8.5/0.33+1,0))</f>
        <v>77</v>
      </c>
      <c r="E835" s="129">
        <f>F832-0.25+0.58*2</f>
        <v>27.91</v>
      </c>
      <c r="F835" s="129"/>
      <c r="G835" s="129"/>
      <c r="H835" s="129"/>
      <c r="I835" s="129">
        <f>D835*E835</f>
        <v>2149.0700000000002</v>
      </c>
      <c r="J835" s="129"/>
      <c r="K835" s="152" t="s">
        <v>135</v>
      </c>
      <c r="L835" s="179"/>
      <c r="M835" s="180"/>
    </row>
    <row r="836" spans="1:13" s="65" customFormat="1" ht="17.5" customHeight="1">
      <c r="A836" s="178"/>
      <c r="B836" s="126" t="s">
        <v>392</v>
      </c>
      <c r="C836" s="126"/>
      <c r="D836" s="128">
        <f>D832*(ROUND(12/0.33+1,0)+ROUND(2.83/0.33+1,0)+ROUND(8.33/0.33+1,0))</f>
        <v>73</v>
      </c>
      <c r="E836" s="129">
        <f>E832-0.25+0.58*2</f>
        <v>29.41</v>
      </c>
      <c r="F836" s="129"/>
      <c r="G836" s="129"/>
      <c r="H836" s="129"/>
      <c r="I836" s="129">
        <f>D836*E836</f>
        <v>2146.9299999999998</v>
      </c>
      <c r="J836" s="129"/>
      <c r="K836" s="152" t="s">
        <v>135</v>
      </c>
      <c r="L836" s="179"/>
      <c r="M836" s="180"/>
    </row>
    <row r="837" spans="1:13" s="65" customFormat="1" ht="17.5" customHeight="1">
      <c r="A837" s="178"/>
      <c r="B837" s="329"/>
      <c r="C837" s="329"/>
      <c r="D837" s="326"/>
      <c r="E837" s="327"/>
      <c r="F837" s="327"/>
      <c r="G837" s="129"/>
      <c r="H837" s="129"/>
      <c r="I837" s="129"/>
      <c r="J837" s="129"/>
      <c r="K837" s="152"/>
      <c r="L837" s="179"/>
      <c r="M837" s="180"/>
    </row>
    <row r="838" spans="1:13" s="65" customFormat="1" ht="17.5" customHeight="1">
      <c r="A838" s="178"/>
      <c r="B838" s="329" t="s">
        <v>401</v>
      </c>
      <c r="C838" s="126"/>
      <c r="D838" s="326">
        <v>1</v>
      </c>
      <c r="E838" s="327">
        <v>4</v>
      </c>
      <c r="F838" s="327">
        <v>23.17</v>
      </c>
      <c r="G838" s="129"/>
      <c r="H838" s="129"/>
      <c r="I838" s="129"/>
      <c r="J838" s="129"/>
      <c r="K838" s="152"/>
      <c r="L838" s="179"/>
      <c r="M838" s="180"/>
    </row>
    <row r="839" spans="1:13" s="65" customFormat="1" ht="17.5" customHeight="1">
      <c r="A839" s="178"/>
      <c r="B839" s="126" t="s">
        <v>389</v>
      </c>
      <c r="C839" s="126"/>
      <c r="D839" s="128">
        <f>D838*(ROUND(3/0.5+1,0))</f>
        <v>7</v>
      </c>
      <c r="E839" s="129">
        <f>F838-0.25+18*10/1000*3.281</f>
        <v>23.51</v>
      </c>
      <c r="F839" s="129"/>
      <c r="G839" s="129"/>
      <c r="H839" s="129"/>
      <c r="I839" s="129">
        <f>D839*E839</f>
        <v>164.57</v>
      </c>
      <c r="J839" s="129"/>
      <c r="K839" s="152" t="s">
        <v>135</v>
      </c>
      <c r="L839" s="179"/>
      <c r="M839" s="180"/>
    </row>
    <row r="840" spans="1:13" s="65" customFormat="1" ht="17.5" customHeight="1">
      <c r="A840" s="178"/>
      <c r="B840" s="126" t="s">
        <v>390</v>
      </c>
      <c r="C840" s="126"/>
      <c r="D840" s="128">
        <f>D838*(ROUND(8.17/0.5+1,0)+ROUND(12/0.5+1,0))</f>
        <v>42</v>
      </c>
      <c r="E840" s="129">
        <f>E838-0.25+18*10/1000*3.281</f>
        <v>4.34</v>
      </c>
      <c r="F840" s="129"/>
      <c r="G840" s="129"/>
      <c r="H840" s="129"/>
      <c r="I840" s="129">
        <f>D840*E840</f>
        <v>182.28</v>
      </c>
      <c r="J840" s="129"/>
      <c r="K840" s="152" t="s">
        <v>135</v>
      </c>
      <c r="L840" s="179"/>
      <c r="M840" s="180"/>
    </row>
    <row r="841" spans="1:13" s="65" customFormat="1" ht="17.5" customHeight="1">
      <c r="A841" s="178"/>
      <c r="B841" s="126" t="s">
        <v>391</v>
      </c>
      <c r="C841" s="126"/>
      <c r="D841" s="128">
        <f>D838*(ROUND(3/0.33+1,0))</f>
        <v>10</v>
      </c>
      <c r="E841" s="129">
        <f>F838-0.25+0.58*2</f>
        <v>24.08</v>
      </c>
      <c r="F841" s="129"/>
      <c r="G841" s="129"/>
      <c r="H841" s="129"/>
      <c r="I841" s="129">
        <f>D841*E841</f>
        <v>240.8</v>
      </c>
      <c r="J841" s="129"/>
      <c r="K841" s="152" t="s">
        <v>135</v>
      </c>
      <c r="L841" s="179"/>
      <c r="M841" s="180"/>
    </row>
    <row r="842" spans="1:13" s="65" customFormat="1" ht="17.5" customHeight="1">
      <c r="A842" s="178"/>
      <c r="B842" s="126" t="s">
        <v>392</v>
      </c>
      <c r="C842" s="126"/>
      <c r="D842" s="128">
        <f>D838*(ROUND(8.17/0.33+1,0)+ROUND(12/0.33+1,0))</f>
        <v>63</v>
      </c>
      <c r="E842" s="129">
        <f>E838-0.25+0.58*2</f>
        <v>4.91</v>
      </c>
      <c r="F842" s="129"/>
      <c r="G842" s="129"/>
      <c r="H842" s="129"/>
      <c r="I842" s="129">
        <f>D842*E842</f>
        <v>309.33</v>
      </c>
      <c r="J842" s="129"/>
      <c r="K842" s="152" t="s">
        <v>135</v>
      </c>
      <c r="L842" s="179"/>
      <c r="M842" s="180"/>
    </row>
    <row r="843" spans="1:13" s="65" customFormat="1" ht="17.5" customHeight="1">
      <c r="A843" s="178"/>
      <c r="B843" s="329"/>
      <c r="C843" s="329"/>
      <c r="D843" s="326"/>
      <c r="E843" s="327"/>
      <c r="F843" s="327"/>
      <c r="G843" s="129"/>
      <c r="H843" s="129"/>
      <c r="I843" s="129"/>
      <c r="J843" s="129"/>
      <c r="K843" s="152"/>
      <c r="L843" s="179"/>
      <c r="M843" s="180"/>
    </row>
    <row r="844" spans="1:13" s="65" customFormat="1" ht="17.5" customHeight="1">
      <c r="A844" s="178"/>
      <c r="B844" s="126"/>
      <c r="C844" s="126"/>
      <c r="D844" s="128"/>
      <c r="E844" s="129"/>
      <c r="F844" s="129"/>
      <c r="G844" s="129"/>
      <c r="H844" s="129">
        <f>SUM(H733:H843)</f>
        <v>0</v>
      </c>
      <c r="I844" s="129">
        <f>SUM(I733:I843)</f>
        <v>19005.419999999998</v>
      </c>
      <c r="J844" s="129">
        <f>SUM(J733:J843)</f>
        <v>6777.73</v>
      </c>
      <c r="K844" s="152" t="s">
        <v>101</v>
      </c>
      <c r="L844" s="179"/>
      <c r="M844" s="180"/>
    </row>
    <row r="845" spans="1:13" s="65" customFormat="1" ht="17.5" customHeight="1">
      <c r="A845" s="178"/>
      <c r="B845" s="126"/>
      <c r="C845" s="126"/>
      <c r="D845" s="128"/>
      <c r="E845" s="129"/>
      <c r="F845" s="129"/>
      <c r="G845" s="129"/>
      <c r="H845" s="129"/>
      <c r="I845" s="129" t="str">
        <f>I732</f>
        <v>10Ø</v>
      </c>
      <c r="J845" s="129" t="str">
        <f>J732</f>
        <v>12Ø</v>
      </c>
      <c r="K845" s="152"/>
      <c r="L845" s="179"/>
      <c r="M845" s="180"/>
    </row>
    <row r="846" spans="1:13" s="65" customFormat="1" ht="17.5" customHeight="1">
      <c r="A846" s="178"/>
      <c r="B846" s="126"/>
      <c r="C846" s="126"/>
      <c r="D846" s="128"/>
      <c r="E846" s="129"/>
      <c r="F846" s="129"/>
      <c r="G846" s="129"/>
      <c r="H846" s="129"/>
      <c r="I846" s="129">
        <f>I844/39.33/135</f>
        <v>3.58</v>
      </c>
      <c r="J846" s="129">
        <f>J844/39.33/88</f>
        <v>1.96</v>
      </c>
      <c r="K846" s="152" t="s">
        <v>14</v>
      </c>
      <c r="L846" s="179"/>
      <c r="M846" s="180"/>
    </row>
    <row r="847" spans="1:13" s="65" customFormat="1" ht="17.5" customHeight="1">
      <c r="A847" s="178"/>
      <c r="B847" s="126"/>
      <c r="C847" s="126"/>
      <c r="D847" s="128"/>
      <c r="E847" s="129"/>
      <c r="F847" s="129"/>
      <c r="G847" s="129"/>
      <c r="H847" s="129"/>
      <c r="I847" s="129"/>
      <c r="J847" s="129"/>
      <c r="K847" s="152"/>
      <c r="L847" s="179"/>
      <c r="M847" s="180"/>
    </row>
    <row r="848" spans="1:13" s="65" customFormat="1" ht="17.5" customHeight="1">
      <c r="A848" s="178">
        <v>11</v>
      </c>
      <c r="B848" s="181" t="s">
        <v>488</v>
      </c>
      <c r="C848" s="126"/>
      <c r="D848" s="128"/>
      <c r="E848" s="129"/>
      <c r="F848" s="129"/>
      <c r="G848" s="129"/>
      <c r="H848" s="129"/>
      <c r="I848" s="129"/>
      <c r="J848" s="129"/>
      <c r="K848" s="152"/>
      <c r="L848" s="179"/>
      <c r="M848" s="180"/>
    </row>
    <row r="849" spans="1:14" s="65" customFormat="1" ht="17.5" customHeight="1">
      <c r="A849" s="178"/>
      <c r="B849" s="181" t="s">
        <v>293</v>
      </c>
      <c r="C849" s="181"/>
      <c r="D849" s="128"/>
      <c r="E849" s="129"/>
      <c r="F849" s="129"/>
      <c r="G849" s="129"/>
      <c r="H849" s="129"/>
      <c r="I849" s="129"/>
      <c r="J849" s="129"/>
      <c r="K849" s="152"/>
      <c r="L849" s="179"/>
      <c r="M849" s="180"/>
    </row>
    <row r="850" spans="1:14" s="65" customFormat="1" ht="17.5" customHeight="1">
      <c r="A850" s="178"/>
      <c r="B850" s="257" t="s">
        <v>290</v>
      </c>
      <c r="C850" s="257"/>
      <c r="D850" s="258">
        <v>1</v>
      </c>
      <c r="E850" s="259">
        <v>40</v>
      </c>
      <c r="F850" s="259">
        <v>27</v>
      </c>
      <c r="G850" s="129"/>
      <c r="H850" s="129"/>
      <c r="I850" s="129"/>
      <c r="J850" s="129"/>
      <c r="K850" s="152"/>
      <c r="L850" s="179"/>
      <c r="M850" s="180"/>
    </row>
    <row r="851" spans="1:14" s="65" customFormat="1" ht="17.5" customHeight="1">
      <c r="A851" s="178"/>
      <c r="B851" s="126"/>
      <c r="C851" s="126"/>
      <c r="D851" s="128">
        <f>D850*ROUND(E850/2,0)*ROUND(F850/3,0)</f>
        <v>180</v>
      </c>
      <c r="E851" s="129" t="s">
        <v>2</v>
      </c>
      <c r="F851" s="129"/>
      <c r="G851" s="129"/>
      <c r="H851" s="129"/>
      <c r="I851" s="129">
        <f>D851</f>
        <v>180</v>
      </c>
      <c r="J851" s="129"/>
      <c r="K851" s="152" t="s">
        <v>2</v>
      </c>
      <c r="L851" s="179"/>
      <c r="M851" s="321"/>
      <c r="N851" s="420"/>
    </row>
    <row r="852" spans="1:14" s="65" customFormat="1" ht="17.5" customHeight="1">
      <c r="A852" s="178"/>
      <c r="B852" s="257" t="s">
        <v>291</v>
      </c>
      <c r="C852" s="257"/>
      <c r="D852" s="258">
        <v>1</v>
      </c>
      <c r="E852" s="259">
        <v>30</v>
      </c>
      <c r="F852" s="259">
        <v>3</v>
      </c>
      <c r="G852" s="129"/>
      <c r="H852" s="129"/>
      <c r="I852" s="129"/>
      <c r="J852" s="129"/>
      <c r="K852" s="152"/>
      <c r="L852" s="179"/>
      <c r="M852" s="180"/>
    </row>
    <row r="853" spans="1:14" s="65" customFormat="1" ht="17.5" customHeight="1">
      <c r="A853" s="178"/>
      <c r="B853" s="126"/>
      <c r="C853" s="126"/>
      <c r="D853" s="128">
        <f>D852*ROUND(E852/2,0)*ROUND(F852/3,0)</f>
        <v>15</v>
      </c>
      <c r="E853" s="129" t="s">
        <v>2</v>
      </c>
      <c r="F853" s="129"/>
      <c r="G853" s="129"/>
      <c r="H853" s="129"/>
      <c r="I853" s="129">
        <f>D853</f>
        <v>15</v>
      </c>
      <c r="J853" s="129"/>
      <c r="K853" s="152" t="s">
        <v>2</v>
      </c>
      <c r="L853" s="179"/>
      <c r="M853" s="321"/>
      <c r="N853" s="420"/>
    </row>
    <row r="854" spans="1:14" s="65" customFormat="1" ht="17.5" customHeight="1">
      <c r="A854" s="178"/>
      <c r="B854" s="257" t="s">
        <v>292</v>
      </c>
      <c r="C854" s="257"/>
      <c r="D854" s="258">
        <v>1</v>
      </c>
      <c r="E854" s="259">
        <v>11.5</v>
      </c>
      <c r="F854" s="259">
        <v>3</v>
      </c>
      <c r="G854" s="129"/>
      <c r="H854" s="129"/>
      <c r="I854" s="129"/>
      <c r="J854" s="129"/>
      <c r="K854" s="152"/>
      <c r="L854" s="179"/>
      <c r="M854" s="180"/>
    </row>
    <row r="855" spans="1:14" s="65" customFormat="1" ht="17.5" customHeight="1">
      <c r="A855" s="178"/>
      <c r="B855" s="126"/>
      <c r="C855" s="126"/>
      <c r="D855" s="128">
        <f>D854*ROUND(E854/2,0)*ROUND(F854/3,0)</f>
        <v>6</v>
      </c>
      <c r="E855" s="129" t="s">
        <v>2</v>
      </c>
      <c r="F855" s="129"/>
      <c r="G855" s="129"/>
      <c r="H855" s="129"/>
      <c r="I855" s="129">
        <f>D855</f>
        <v>6</v>
      </c>
      <c r="J855" s="129"/>
      <c r="K855" s="152" t="s">
        <v>2</v>
      </c>
      <c r="L855" s="179"/>
      <c r="M855" s="321"/>
      <c r="N855" s="420"/>
    </row>
    <row r="856" spans="1:14" s="65" customFormat="1" ht="17.5" customHeight="1">
      <c r="A856" s="178"/>
      <c r="B856" s="257" t="str">
        <f>B677</f>
        <v>Total Length of FB1 (10" x 10")</v>
      </c>
      <c r="C856" s="257"/>
      <c r="D856" s="258">
        <f>D677</f>
        <v>1</v>
      </c>
      <c r="E856" s="259">
        <f>E677</f>
        <v>42.25</v>
      </c>
      <c r="F856" s="129"/>
      <c r="G856" s="129"/>
      <c r="H856" s="129"/>
      <c r="I856" s="129"/>
      <c r="J856" s="129"/>
      <c r="K856" s="152"/>
      <c r="L856" s="179"/>
      <c r="M856" s="180"/>
    </row>
    <row r="857" spans="1:14" s="65" customFormat="1" ht="17.5" customHeight="1">
      <c r="A857" s="178"/>
      <c r="B857" s="126"/>
      <c r="C857" s="126"/>
      <c r="D857" s="128">
        <f>D856*ROUND(E856/1.5,0)</f>
        <v>28</v>
      </c>
      <c r="E857" s="129"/>
      <c r="F857" s="129"/>
      <c r="G857" s="129"/>
      <c r="H857" s="129"/>
      <c r="I857" s="129">
        <f>D857</f>
        <v>28</v>
      </c>
      <c r="J857" s="129"/>
      <c r="K857" s="152" t="s">
        <v>2</v>
      </c>
      <c r="L857" s="179"/>
      <c r="M857" s="180"/>
    </row>
    <row r="858" spans="1:14" s="65" customFormat="1" ht="17.5" customHeight="1">
      <c r="A858" s="178"/>
      <c r="B858" s="257" t="str">
        <f>B678</f>
        <v>Total Length of FB (12" x 14")</v>
      </c>
      <c r="C858" s="257"/>
      <c r="D858" s="258">
        <f>D678</f>
        <v>1</v>
      </c>
      <c r="E858" s="259">
        <f>E678</f>
        <v>282</v>
      </c>
      <c r="F858" s="129"/>
      <c r="G858" s="129"/>
      <c r="H858" s="129"/>
      <c r="I858" s="129"/>
      <c r="J858" s="129"/>
      <c r="K858" s="152"/>
      <c r="L858" s="179"/>
      <c r="M858" s="180"/>
    </row>
    <row r="859" spans="1:14" s="65" customFormat="1" ht="17.5" customHeight="1">
      <c r="A859" s="178"/>
      <c r="B859" s="126"/>
      <c r="C859" s="126"/>
      <c r="D859" s="128">
        <f>D858*ROUND(E858/1.5,0)</f>
        <v>188</v>
      </c>
      <c r="E859" s="129"/>
      <c r="F859" s="129"/>
      <c r="G859" s="129"/>
      <c r="H859" s="129"/>
      <c r="I859" s="129">
        <f>D859</f>
        <v>188</v>
      </c>
      <c r="J859" s="129"/>
      <c r="K859" s="152" t="s">
        <v>2</v>
      </c>
      <c r="L859" s="179"/>
      <c r="M859" s="180"/>
    </row>
    <row r="860" spans="1:14" s="65" customFormat="1" ht="17.5" customHeight="1">
      <c r="A860" s="178"/>
      <c r="B860" s="126"/>
      <c r="C860" s="126"/>
      <c r="D860" s="128"/>
      <c r="E860" s="129"/>
      <c r="F860" s="129"/>
      <c r="G860" s="129"/>
      <c r="H860" s="274" t="str">
        <f>B849</f>
        <v>For 1st Floor Slab</v>
      </c>
      <c r="I860" s="274"/>
      <c r="J860" s="274">
        <f>SUM(I850:I860)</f>
        <v>417</v>
      </c>
      <c r="K860" s="275" t="s">
        <v>2</v>
      </c>
      <c r="L860" s="179"/>
      <c r="M860" s="180"/>
    </row>
    <row r="861" spans="1:14" s="65" customFormat="1" ht="17.5" customHeight="1">
      <c r="A861" s="178"/>
      <c r="B861" s="126"/>
      <c r="C861" s="126"/>
      <c r="D861" s="128"/>
      <c r="E861" s="129"/>
      <c r="F861" s="129"/>
      <c r="G861" s="129"/>
      <c r="H861" s="129"/>
      <c r="I861" s="129"/>
      <c r="J861" s="129"/>
      <c r="K861" s="152"/>
      <c r="L861" s="179"/>
      <c r="M861" s="180"/>
    </row>
    <row r="862" spans="1:14" s="65" customFormat="1" ht="17.5" customHeight="1">
      <c r="A862" s="178"/>
      <c r="B862" s="419" t="s">
        <v>294</v>
      </c>
      <c r="C862" s="257"/>
      <c r="D862" s="258"/>
      <c r="E862" s="259"/>
      <c r="F862" s="259"/>
      <c r="G862" s="129"/>
      <c r="H862" s="129"/>
      <c r="I862" s="129"/>
      <c r="J862" s="129"/>
      <c r="K862" s="152"/>
      <c r="L862" s="179"/>
      <c r="M862" s="180"/>
    </row>
    <row r="863" spans="1:14" s="65" customFormat="1" ht="17.5" customHeight="1">
      <c r="A863" s="178"/>
      <c r="B863" s="257" t="s">
        <v>290</v>
      </c>
      <c r="C863" s="257"/>
      <c r="D863" s="258">
        <v>1</v>
      </c>
      <c r="E863" s="259">
        <v>40</v>
      </c>
      <c r="F863" s="259">
        <v>27</v>
      </c>
      <c r="G863" s="129"/>
      <c r="H863" s="129"/>
      <c r="I863" s="129"/>
      <c r="J863" s="129"/>
      <c r="K863" s="152"/>
      <c r="L863" s="179"/>
      <c r="M863" s="180"/>
    </row>
    <row r="864" spans="1:14" s="65" customFormat="1" ht="17.5" customHeight="1">
      <c r="A864" s="178"/>
      <c r="B864" s="126"/>
      <c r="C864" s="126"/>
      <c r="D864" s="128">
        <f>D863*ROUND(E863/2,0)*ROUND(F863/3,0)</f>
        <v>180</v>
      </c>
      <c r="E864" s="129" t="s">
        <v>2</v>
      </c>
      <c r="F864" s="129"/>
      <c r="G864" s="129"/>
      <c r="H864" s="129"/>
      <c r="I864" s="129">
        <f>D864</f>
        <v>180</v>
      </c>
      <c r="J864" s="129"/>
      <c r="K864" s="152" t="s">
        <v>2</v>
      </c>
      <c r="L864" s="179"/>
      <c r="M864" s="321"/>
      <c r="N864" s="420"/>
    </row>
    <row r="865" spans="1:14" s="65" customFormat="1" ht="17.5" customHeight="1">
      <c r="A865" s="178"/>
      <c r="B865" s="257" t="s">
        <v>291</v>
      </c>
      <c r="C865" s="257"/>
      <c r="D865" s="258">
        <v>1</v>
      </c>
      <c r="E865" s="259">
        <v>30</v>
      </c>
      <c r="F865" s="259">
        <v>3</v>
      </c>
      <c r="G865" s="129"/>
      <c r="H865" s="129"/>
      <c r="I865" s="129"/>
      <c r="J865" s="129"/>
      <c r="K865" s="152"/>
      <c r="L865" s="179"/>
      <c r="M865" s="180"/>
    </row>
    <row r="866" spans="1:14" s="65" customFormat="1" ht="17.5" customHeight="1">
      <c r="A866" s="178"/>
      <c r="B866" s="126"/>
      <c r="C866" s="126"/>
      <c r="D866" s="128">
        <f>D865*ROUND(E865/2,0)*ROUND(F865/3,0)</f>
        <v>15</v>
      </c>
      <c r="E866" s="129" t="s">
        <v>2</v>
      </c>
      <c r="F866" s="129"/>
      <c r="G866" s="129"/>
      <c r="H866" s="129"/>
      <c r="I866" s="129">
        <f>D866</f>
        <v>15</v>
      </c>
      <c r="J866" s="129"/>
      <c r="K866" s="152" t="s">
        <v>2</v>
      </c>
      <c r="L866" s="179"/>
      <c r="M866" s="321"/>
      <c r="N866" s="420"/>
    </row>
    <row r="867" spans="1:14" s="65" customFormat="1" ht="17.5" customHeight="1">
      <c r="A867" s="178"/>
      <c r="B867" s="257" t="s">
        <v>292</v>
      </c>
      <c r="C867" s="257"/>
      <c r="D867" s="258">
        <v>1</v>
      </c>
      <c r="E867" s="259">
        <v>11.5</v>
      </c>
      <c r="F867" s="259">
        <v>3</v>
      </c>
      <c r="G867" s="129"/>
      <c r="H867" s="129"/>
      <c r="I867" s="129"/>
      <c r="J867" s="129"/>
      <c r="K867" s="152"/>
      <c r="L867" s="179"/>
      <c r="M867" s="180"/>
    </row>
    <row r="868" spans="1:14" s="65" customFormat="1" ht="17.5" customHeight="1">
      <c r="A868" s="178"/>
      <c r="B868" s="126"/>
      <c r="C868" s="126"/>
      <c r="D868" s="128">
        <f>D867*ROUND(E867/2,0)*ROUND(F867/3,0)</f>
        <v>6</v>
      </c>
      <c r="E868" s="129" t="s">
        <v>2</v>
      </c>
      <c r="F868" s="129"/>
      <c r="G868" s="129"/>
      <c r="H868" s="129"/>
      <c r="I868" s="129">
        <f>D868</f>
        <v>6</v>
      </c>
      <c r="J868" s="129"/>
      <c r="K868" s="152" t="s">
        <v>2</v>
      </c>
      <c r="L868" s="179"/>
      <c r="M868" s="321"/>
      <c r="N868" s="420"/>
    </row>
    <row r="869" spans="1:14" s="65" customFormat="1" ht="17.5" customHeight="1">
      <c r="A869" s="178"/>
      <c r="B869" s="257" t="str">
        <f>B687</f>
        <v>Total Length of 2FB1 (10" x10")</v>
      </c>
      <c r="C869" s="257"/>
      <c r="D869" s="258">
        <f>D687</f>
        <v>1</v>
      </c>
      <c r="E869" s="259">
        <f>E687</f>
        <v>47.75</v>
      </c>
      <c r="F869" s="129"/>
      <c r="G869" s="129"/>
      <c r="H869" s="129"/>
      <c r="I869" s="129"/>
      <c r="J869" s="129"/>
      <c r="K869" s="152"/>
      <c r="L869" s="179"/>
      <c r="M869" s="180"/>
    </row>
    <row r="870" spans="1:14" s="65" customFormat="1" ht="17.5" customHeight="1">
      <c r="A870" s="178"/>
      <c r="B870" s="126"/>
      <c r="C870" s="126"/>
      <c r="D870" s="128">
        <f>D869*ROUND(E869/1.5,0)</f>
        <v>32</v>
      </c>
      <c r="E870" s="129"/>
      <c r="F870" s="129"/>
      <c r="G870" s="129"/>
      <c r="H870" s="129"/>
      <c r="I870" s="129">
        <f>D870</f>
        <v>32</v>
      </c>
      <c r="J870" s="129"/>
      <c r="K870" s="152" t="s">
        <v>2</v>
      </c>
      <c r="L870" s="179"/>
      <c r="M870" s="180"/>
    </row>
    <row r="871" spans="1:14" s="65" customFormat="1" ht="17.5" customHeight="1">
      <c r="A871" s="178"/>
      <c r="B871" s="257" t="str">
        <f>B688</f>
        <v>Total Length of 2FB2 (12" X 14")</v>
      </c>
      <c r="C871" s="257"/>
      <c r="D871" s="258">
        <f>D688</f>
        <v>1</v>
      </c>
      <c r="E871" s="259">
        <f>E688</f>
        <v>281</v>
      </c>
      <c r="F871" s="129"/>
      <c r="G871" s="129"/>
      <c r="H871" s="129"/>
      <c r="I871" s="129"/>
      <c r="J871" s="129"/>
      <c r="K871" s="152"/>
      <c r="L871" s="179"/>
      <c r="M871" s="180"/>
    </row>
    <row r="872" spans="1:14" s="65" customFormat="1" ht="17.5" customHeight="1">
      <c r="A872" s="178"/>
      <c r="B872" s="126"/>
      <c r="C872" s="126"/>
      <c r="D872" s="128">
        <f>D871*ROUND(E871/1.5,0)</f>
        <v>187</v>
      </c>
      <c r="E872" s="129"/>
      <c r="F872" s="129"/>
      <c r="G872" s="129"/>
      <c r="H872" s="129"/>
      <c r="I872" s="129">
        <f>D872</f>
        <v>187</v>
      </c>
      <c r="J872" s="129"/>
      <c r="K872" s="152" t="s">
        <v>2</v>
      </c>
      <c r="L872" s="179"/>
      <c r="M872" s="180"/>
    </row>
    <row r="873" spans="1:14" s="65" customFormat="1" ht="17.5" customHeight="1">
      <c r="A873" s="178"/>
      <c r="B873" s="126"/>
      <c r="C873" s="126"/>
      <c r="D873" s="128"/>
      <c r="E873" s="129"/>
      <c r="F873" s="129"/>
      <c r="G873" s="129"/>
      <c r="H873" s="274" t="str">
        <f>B862</f>
        <v>For 2nd Floor Slab</v>
      </c>
      <c r="I873" s="274"/>
      <c r="J873" s="274">
        <f>SUM(I863:I873)</f>
        <v>420</v>
      </c>
      <c r="K873" s="275" t="s">
        <v>2</v>
      </c>
      <c r="L873" s="179"/>
      <c r="M873" s="180"/>
    </row>
    <row r="874" spans="1:14" s="65" customFormat="1" ht="17.5" customHeight="1">
      <c r="A874" s="178"/>
      <c r="B874" s="419" t="s">
        <v>175</v>
      </c>
      <c r="C874" s="257"/>
      <c r="D874" s="258"/>
      <c r="E874" s="259"/>
      <c r="F874" s="259"/>
      <c r="G874" s="129"/>
      <c r="H874" s="129"/>
      <c r="I874" s="129"/>
      <c r="J874" s="129"/>
      <c r="K874" s="152"/>
      <c r="L874" s="179"/>
      <c r="M874" s="180"/>
    </row>
    <row r="875" spans="1:14" s="65" customFormat="1" ht="17.5" customHeight="1">
      <c r="A875" s="178"/>
      <c r="B875" s="257" t="s">
        <v>298</v>
      </c>
      <c r="C875" s="257"/>
      <c r="D875" s="258">
        <v>1</v>
      </c>
      <c r="E875" s="259">
        <v>27</v>
      </c>
      <c r="F875" s="259">
        <f>28+0.5</f>
        <v>28.5</v>
      </c>
      <c r="G875" s="129"/>
      <c r="H875" s="129"/>
      <c r="I875" s="129"/>
      <c r="J875" s="129"/>
      <c r="K875" s="152"/>
      <c r="L875" s="179"/>
      <c r="M875" s="180"/>
    </row>
    <row r="876" spans="1:14" s="65" customFormat="1" ht="17.5" customHeight="1">
      <c r="A876" s="178"/>
      <c r="B876" s="126"/>
      <c r="C876" s="126"/>
      <c r="D876" s="128">
        <f>D875*ROUND(E875/2,0)*ROUND(F875/3,0)</f>
        <v>140</v>
      </c>
      <c r="E876" s="129" t="s">
        <v>2</v>
      </c>
      <c r="F876" s="129"/>
      <c r="G876" s="129"/>
      <c r="H876" s="129"/>
      <c r="I876" s="129">
        <f>D876</f>
        <v>140</v>
      </c>
      <c r="J876" s="129"/>
      <c r="K876" s="152" t="s">
        <v>2</v>
      </c>
      <c r="L876" s="179"/>
      <c r="M876" s="321"/>
      <c r="N876" s="420"/>
    </row>
    <row r="877" spans="1:14" s="65" customFormat="1" ht="17.5" customHeight="1">
      <c r="A877" s="178"/>
      <c r="B877" s="257"/>
      <c r="C877" s="257"/>
      <c r="D877" s="258">
        <v>1</v>
      </c>
      <c r="E877" s="259">
        <f>9.67+13.5</f>
        <v>23.17</v>
      </c>
      <c r="F877" s="259">
        <v>4</v>
      </c>
      <c r="G877" s="129"/>
      <c r="H877" s="129"/>
      <c r="I877" s="129"/>
      <c r="J877" s="129"/>
      <c r="K877" s="152"/>
      <c r="L877" s="179"/>
      <c r="M877" s="180"/>
    </row>
    <row r="878" spans="1:14" s="65" customFormat="1" ht="17.5" customHeight="1">
      <c r="A878" s="178"/>
      <c r="B878" s="126"/>
      <c r="C878" s="126"/>
      <c r="D878" s="128">
        <f>D877*ROUND(E877/2,0)*ROUND(F877/3,0)</f>
        <v>12</v>
      </c>
      <c r="E878" s="129" t="s">
        <v>2</v>
      </c>
      <c r="F878" s="129"/>
      <c r="G878" s="129"/>
      <c r="H878" s="129"/>
      <c r="I878" s="129">
        <f>D878</f>
        <v>12</v>
      </c>
      <c r="J878" s="129"/>
      <c r="K878" s="152" t="s">
        <v>2</v>
      </c>
      <c r="L878" s="179"/>
      <c r="M878" s="321"/>
      <c r="N878" s="420"/>
    </row>
    <row r="879" spans="1:14" s="65" customFormat="1" ht="17.5" customHeight="1">
      <c r="A879" s="178"/>
      <c r="B879" s="257" t="str">
        <f>B694</f>
        <v>Total Length of RB1 (10" x10")</v>
      </c>
      <c r="C879" s="257"/>
      <c r="D879" s="258">
        <v>1</v>
      </c>
      <c r="E879" s="259">
        <f>E694</f>
        <v>47.75</v>
      </c>
      <c r="F879" s="129"/>
      <c r="G879" s="129"/>
      <c r="H879" s="129"/>
      <c r="I879" s="129"/>
      <c r="J879" s="129"/>
      <c r="K879" s="152"/>
      <c r="L879" s="179"/>
      <c r="M879" s="180"/>
    </row>
    <row r="880" spans="1:14" s="65" customFormat="1" ht="17.5" customHeight="1">
      <c r="A880" s="178"/>
      <c r="B880" s="126"/>
      <c r="C880" s="126"/>
      <c r="D880" s="128">
        <f>D879*ROUND(E879/1.5,0)</f>
        <v>32</v>
      </c>
      <c r="E880" s="129"/>
      <c r="F880" s="129"/>
      <c r="G880" s="129"/>
      <c r="H880" s="129"/>
      <c r="I880" s="129">
        <f>D880</f>
        <v>32</v>
      </c>
      <c r="J880" s="129"/>
      <c r="K880" s="152" t="s">
        <v>2</v>
      </c>
      <c r="L880" s="179"/>
      <c r="M880" s="180"/>
    </row>
    <row r="881" spans="1:13" s="65" customFormat="1" ht="17.5" customHeight="1">
      <c r="A881" s="178"/>
      <c r="B881" s="257" t="str">
        <f>B695</f>
        <v>Total Length of RB (12" x 14")</v>
      </c>
      <c r="C881" s="257"/>
      <c r="D881" s="258">
        <v>1</v>
      </c>
      <c r="E881" s="259">
        <f>E695</f>
        <v>219.17</v>
      </c>
      <c r="F881" s="129"/>
      <c r="G881" s="129"/>
      <c r="H881" s="129"/>
      <c r="I881" s="129"/>
      <c r="J881" s="129"/>
      <c r="K881" s="152"/>
      <c r="L881" s="179"/>
      <c r="M881" s="180"/>
    </row>
    <row r="882" spans="1:13" s="65" customFormat="1" ht="17.5" customHeight="1">
      <c r="A882" s="178"/>
      <c r="B882" s="126"/>
      <c r="C882" s="126"/>
      <c r="D882" s="128">
        <f>D881*ROUND(E881/1.5,0)</f>
        <v>146</v>
      </c>
      <c r="E882" s="129"/>
      <c r="F882" s="129"/>
      <c r="G882" s="129"/>
      <c r="H882" s="129"/>
      <c r="I882" s="129">
        <f>D882</f>
        <v>146</v>
      </c>
      <c r="J882" s="129"/>
      <c r="K882" s="152" t="s">
        <v>2</v>
      </c>
      <c r="L882" s="179"/>
      <c r="M882" s="180"/>
    </row>
    <row r="883" spans="1:13" s="65" customFormat="1" ht="17.5" customHeight="1">
      <c r="A883" s="178"/>
      <c r="B883" s="126"/>
      <c r="C883" s="126"/>
      <c r="D883" s="128"/>
      <c r="E883" s="129"/>
      <c r="F883" s="129"/>
      <c r="G883" s="129"/>
      <c r="H883" s="274" t="str">
        <f>B874</f>
        <v>For Roof Slab</v>
      </c>
      <c r="I883" s="274"/>
      <c r="J883" s="274">
        <f>SUM(I876:I883)</f>
        <v>330</v>
      </c>
      <c r="K883" s="275" t="s">
        <v>2</v>
      </c>
      <c r="L883" s="179"/>
      <c r="M883" s="180"/>
    </row>
    <row r="884" spans="1:13" s="65" customFormat="1" ht="17.5" customHeight="1">
      <c r="A884" s="178"/>
      <c r="B884" s="126"/>
      <c r="C884" s="126"/>
      <c r="D884" s="128"/>
      <c r="E884" s="129"/>
      <c r="F884" s="129"/>
      <c r="G884" s="129"/>
      <c r="H884" s="421" t="s">
        <v>454</v>
      </c>
      <c r="I884" s="421"/>
      <c r="J884" s="421">
        <f>SUM(J851:J883)</f>
        <v>1167</v>
      </c>
      <c r="K884" s="422" t="s">
        <v>2</v>
      </c>
      <c r="L884" s="179"/>
      <c r="M884" s="180"/>
    </row>
    <row r="885" spans="1:13" s="65" customFormat="1" ht="17.5" customHeight="1">
      <c r="A885" s="178"/>
      <c r="B885" s="126"/>
      <c r="C885" s="126"/>
      <c r="D885" s="128"/>
      <c r="E885" s="129"/>
      <c r="F885" s="129"/>
      <c r="G885" s="129"/>
      <c r="H885" s="129"/>
      <c r="I885" s="129"/>
      <c r="J885" s="129"/>
      <c r="K885" s="152"/>
      <c r="L885" s="179"/>
      <c r="M885" s="180"/>
    </row>
    <row r="886" spans="1:13" s="65" customFormat="1" ht="17.5" customHeight="1">
      <c r="A886" s="178">
        <v>12</v>
      </c>
      <c r="B886" s="181" t="s">
        <v>132</v>
      </c>
      <c r="C886" s="181"/>
      <c r="D886" s="128"/>
      <c r="E886" s="129"/>
      <c r="F886" s="129"/>
      <c r="G886" s="129"/>
      <c r="H886" s="129"/>
      <c r="I886" s="129"/>
      <c r="J886" s="129"/>
      <c r="K886" s="152"/>
      <c r="L886" s="179"/>
      <c r="M886" s="180"/>
    </row>
    <row r="887" spans="1:13" s="65" customFormat="1" ht="17.5" customHeight="1">
      <c r="A887" s="178"/>
      <c r="B887" s="181" t="s">
        <v>136</v>
      </c>
      <c r="C887" s="181"/>
      <c r="D887" s="128"/>
      <c r="E887" s="129"/>
      <c r="F887" s="129"/>
      <c r="G887" s="129"/>
      <c r="H887" s="129"/>
      <c r="I887" s="129"/>
      <c r="J887" s="129"/>
      <c r="K887" s="152"/>
      <c r="L887" s="179"/>
      <c r="M887" s="180"/>
    </row>
    <row r="888" spans="1:13" s="65" customFormat="1" ht="17.5" customHeight="1">
      <c r="A888" s="178"/>
      <c r="B888" s="126" t="s">
        <v>303</v>
      </c>
      <c r="C888" s="126"/>
      <c r="D888" s="128">
        <v>2</v>
      </c>
      <c r="E888" s="129">
        <f>SQRT(9.67^2+6.5^2)</f>
        <v>11.65</v>
      </c>
      <c r="F888" s="129">
        <v>4.5</v>
      </c>
      <c r="G888" s="129">
        <f>7/12</f>
        <v>0.57999999999999996</v>
      </c>
      <c r="H888" s="129"/>
      <c r="I888" s="129">
        <f>D888*E888*F888*G888</f>
        <v>60.81</v>
      </c>
      <c r="J888" s="129"/>
      <c r="K888" s="152" t="s">
        <v>28</v>
      </c>
      <c r="L888" s="179"/>
      <c r="M888" s="180"/>
    </row>
    <row r="889" spans="1:13" s="65" customFormat="1" ht="17.5" customHeight="1">
      <c r="A889" s="178"/>
      <c r="B889" s="126" t="s">
        <v>166</v>
      </c>
      <c r="C889" s="126"/>
      <c r="D889" s="128">
        <v>2</v>
      </c>
      <c r="E889" s="129">
        <f>SQRT(9.67^2+6.5^2)</f>
        <v>11.65</v>
      </c>
      <c r="F889" s="129">
        <f>F888</f>
        <v>4.5</v>
      </c>
      <c r="G889" s="129">
        <f>7/12</f>
        <v>0.57999999999999996</v>
      </c>
      <c r="H889" s="129"/>
      <c r="I889" s="129">
        <f>D889*E889*F889*G889</f>
        <v>60.81</v>
      </c>
      <c r="J889" s="129"/>
      <c r="K889" s="152" t="s">
        <v>28</v>
      </c>
      <c r="L889" s="179"/>
      <c r="M889" s="180"/>
    </row>
    <row r="890" spans="1:13" s="65" customFormat="1" ht="17.5" customHeight="1">
      <c r="A890" s="178"/>
      <c r="B890" s="126" t="s">
        <v>137</v>
      </c>
      <c r="C890" s="126"/>
      <c r="D890" s="128">
        <v>2</v>
      </c>
      <c r="E890" s="129">
        <v>3.83</v>
      </c>
      <c r="F890" s="129">
        <v>9</v>
      </c>
      <c r="G890" s="129">
        <f>7/12</f>
        <v>0.57999999999999996</v>
      </c>
      <c r="H890" s="129"/>
      <c r="I890" s="129">
        <f>D890*E890*F890*G890</f>
        <v>39.99</v>
      </c>
      <c r="J890" s="129"/>
      <c r="K890" s="152" t="s">
        <v>28</v>
      </c>
      <c r="L890" s="179"/>
      <c r="M890" s="180"/>
    </row>
    <row r="891" spans="1:13" s="65" customFormat="1" ht="17.5" customHeight="1">
      <c r="A891" s="178"/>
      <c r="B891" s="126" t="s">
        <v>304</v>
      </c>
      <c r="C891" s="126"/>
      <c r="D891" s="128">
        <v>2</v>
      </c>
      <c r="E891" s="129">
        <v>9</v>
      </c>
      <c r="F891" s="129">
        <v>1</v>
      </c>
      <c r="G891" s="129">
        <v>1.33</v>
      </c>
      <c r="H891" s="129"/>
      <c r="I891" s="129">
        <f>D891*E891*F891*G891</f>
        <v>23.94</v>
      </c>
      <c r="J891" s="129"/>
      <c r="K891" s="152" t="s">
        <v>28</v>
      </c>
      <c r="L891" s="179"/>
      <c r="M891" s="180"/>
    </row>
    <row r="892" spans="1:13" s="65" customFormat="1" ht="17.5" customHeight="1">
      <c r="A892" s="178"/>
      <c r="B892" s="126" t="s">
        <v>138</v>
      </c>
      <c r="C892" s="126"/>
      <c r="D892" s="128" t="s">
        <v>187</v>
      </c>
      <c r="E892" s="129">
        <f>F888</f>
        <v>4.5</v>
      </c>
      <c r="F892" s="129">
        <v>0.83</v>
      </c>
      <c r="G892" s="129">
        <v>0.57999999999999996</v>
      </c>
      <c r="H892" s="129"/>
      <c r="I892" s="129">
        <f>40*0.5*E892*F892*G892</f>
        <v>43.33</v>
      </c>
      <c r="J892" s="129"/>
      <c r="K892" s="152" t="s">
        <v>28</v>
      </c>
      <c r="L892" s="179"/>
      <c r="M892" s="180"/>
    </row>
    <row r="893" spans="1:13" s="65" customFormat="1" ht="17.5" customHeight="1">
      <c r="A893" s="178"/>
      <c r="B893" s="126"/>
      <c r="C893" s="126"/>
      <c r="D893" s="128"/>
      <c r="E893" s="129"/>
      <c r="F893" s="129"/>
      <c r="G893" s="129"/>
      <c r="H893" s="129"/>
      <c r="I893" s="129"/>
      <c r="J893" s="129">
        <f>SUM(I888:I893)</f>
        <v>228.88</v>
      </c>
      <c r="K893" s="152" t="s">
        <v>28</v>
      </c>
      <c r="L893" s="179"/>
      <c r="M893" s="180"/>
    </row>
    <row r="894" spans="1:13" s="65" customFormat="1" ht="17.5" customHeight="1">
      <c r="A894" s="178"/>
      <c r="B894" s="126"/>
      <c r="C894" s="126"/>
      <c r="D894" s="128"/>
      <c r="E894" s="129"/>
      <c r="F894" s="129"/>
      <c r="G894" s="129"/>
      <c r="H894" s="129"/>
      <c r="I894" s="129"/>
      <c r="J894" s="274">
        <f>J893/100</f>
        <v>2.29</v>
      </c>
      <c r="K894" s="275" t="s">
        <v>7</v>
      </c>
      <c r="L894" s="179"/>
      <c r="M894" s="180"/>
    </row>
    <row r="895" spans="1:13" s="65" customFormat="1" ht="17.5" customHeight="1">
      <c r="A895" s="178"/>
      <c r="B895" s="181" t="s">
        <v>98</v>
      </c>
      <c r="C895" s="181"/>
      <c r="D895" s="128"/>
      <c r="E895" s="129"/>
      <c r="F895" s="129"/>
      <c r="G895" s="129"/>
      <c r="H895" s="129"/>
      <c r="I895" s="129"/>
      <c r="J895" s="129"/>
      <c r="K895" s="152"/>
      <c r="L895" s="179"/>
      <c r="M895" s="180"/>
    </row>
    <row r="896" spans="1:13" s="65" customFormat="1" ht="17.5" customHeight="1">
      <c r="A896" s="178"/>
      <c r="B896" s="126" t="str">
        <f>B888</f>
        <v>Waist (G Floor to Landing)</v>
      </c>
      <c r="C896" s="126"/>
      <c r="D896" s="128">
        <f t="shared" ref="D896:E899" si="29">D888</f>
        <v>2</v>
      </c>
      <c r="E896" s="129">
        <f t="shared" si="29"/>
        <v>11.65</v>
      </c>
      <c r="F896" s="129">
        <f>F888+(G888+G892)*2</f>
        <v>6.82</v>
      </c>
      <c r="G896" s="129"/>
      <c r="H896" s="129"/>
      <c r="I896" s="129">
        <f>D896*E896*F896</f>
        <v>158.91</v>
      </c>
      <c r="J896" s="129"/>
      <c r="K896" s="152" t="s">
        <v>21</v>
      </c>
      <c r="L896" s="179"/>
      <c r="M896" s="180"/>
    </row>
    <row r="897" spans="1:13" s="65" customFormat="1" ht="17.5" customHeight="1">
      <c r="A897" s="178"/>
      <c r="B897" s="126" t="str">
        <f>B889</f>
        <v>Waist (Landing to Floor)</v>
      </c>
      <c r="C897" s="126"/>
      <c r="D897" s="128">
        <f t="shared" si="29"/>
        <v>2</v>
      </c>
      <c r="E897" s="129">
        <f t="shared" si="29"/>
        <v>11.65</v>
      </c>
      <c r="F897" s="129">
        <f>F896</f>
        <v>6.82</v>
      </c>
      <c r="G897" s="129"/>
      <c r="H897" s="129"/>
      <c r="I897" s="129">
        <f>D897*E897*F897</f>
        <v>158.91</v>
      </c>
      <c r="J897" s="129"/>
      <c r="K897" s="152" t="s">
        <v>21</v>
      </c>
      <c r="L897" s="179"/>
      <c r="M897" s="180"/>
    </row>
    <row r="898" spans="1:13" s="65" customFormat="1" ht="17.5" customHeight="1">
      <c r="A898" s="178"/>
      <c r="B898" s="126" t="str">
        <f>B890</f>
        <v>Landing</v>
      </c>
      <c r="C898" s="126"/>
      <c r="D898" s="128">
        <f t="shared" si="29"/>
        <v>2</v>
      </c>
      <c r="E898" s="129">
        <f t="shared" si="29"/>
        <v>3.83</v>
      </c>
      <c r="F898" s="129">
        <f>F890</f>
        <v>9</v>
      </c>
      <c r="G898" s="129"/>
      <c r="H898" s="129"/>
      <c r="I898" s="129">
        <f>D898*E898*F898</f>
        <v>68.94</v>
      </c>
      <c r="J898" s="129"/>
      <c r="K898" s="152" t="s">
        <v>21</v>
      </c>
      <c r="L898" s="179"/>
      <c r="M898" s="180"/>
    </row>
    <row r="899" spans="1:13" s="65" customFormat="1" ht="17.5" customHeight="1">
      <c r="A899" s="178"/>
      <c r="B899" s="126" t="str">
        <f>B891</f>
        <v>Landing Beam (9' L)</v>
      </c>
      <c r="C899" s="126"/>
      <c r="D899" s="128">
        <f t="shared" si="29"/>
        <v>2</v>
      </c>
      <c r="E899" s="129">
        <f t="shared" si="29"/>
        <v>9</v>
      </c>
      <c r="F899" s="129"/>
      <c r="G899" s="129">
        <f>F891+(G891*2-G890)</f>
        <v>3.08</v>
      </c>
      <c r="H899" s="129"/>
      <c r="I899" s="129">
        <f>D899*E899*G899</f>
        <v>55.44</v>
      </c>
      <c r="J899" s="129"/>
      <c r="K899" s="152" t="s">
        <v>21</v>
      </c>
      <c r="L899" s="179"/>
      <c r="M899" s="180"/>
    </row>
    <row r="900" spans="1:13" s="65" customFormat="1" ht="17.5" customHeight="1">
      <c r="A900" s="178"/>
      <c r="B900" s="126" t="s">
        <v>139</v>
      </c>
      <c r="C900" s="126"/>
      <c r="D900" s="128">
        <f>36</f>
        <v>36</v>
      </c>
      <c r="E900" s="129">
        <f>E892</f>
        <v>4.5</v>
      </c>
      <c r="F900" s="129"/>
      <c r="G900" s="129">
        <f>G892</f>
        <v>0.57999999999999996</v>
      </c>
      <c r="H900" s="129"/>
      <c r="I900" s="129">
        <f>D900*E900*G900</f>
        <v>93.96</v>
      </c>
      <c r="J900" s="129"/>
      <c r="K900" s="152" t="s">
        <v>21</v>
      </c>
      <c r="L900" s="179"/>
      <c r="M900" s="180"/>
    </row>
    <row r="901" spans="1:13" s="65" customFormat="1" ht="17.5" customHeight="1">
      <c r="A901" s="178"/>
      <c r="B901" s="126"/>
      <c r="C901" s="126"/>
      <c r="D901" s="128"/>
      <c r="E901" s="129"/>
      <c r="F901" s="129"/>
      <c r="G901" s="129"/>
      <c r="H901" s="129"/>
      <c r="I901" s="129"/>
      <c r="J901" s="129">
        <f>SUM(I896:I901)</f>
        <v>536.16</v>
      </c>
      <c r="K901" s="152" t="s">
        <v>21</v>
      </c>
      <c r="L901" s="179"/>
      <c r="M901" s="180"/>
    </row>
    <row r="902" spans="1:13" s="65" customFormat="1" ht="17.5" customHeight="1">
      <c r="A902" s="178"/>
      <c r="B902" s="126"/>
      <c r="C902" s="126"/>
      <c r="D902" s="128"/>
      <c r="E902" s="129"/>
      <c r="F902" s="129"/>
      <c r="G902" s="129"/>
      <c r="H902" s="129"/>
      <c r="I902" s="129"/>
      <c r="J902" s="274">
        <f>J901/100</f>
        <v>5.36</v>
      </c>
      <c r="K902" s="275" t="s">
        <v>12</v>
      </c>
      <c r="L902" s="179"/>
      <c r="M902" s="180"/>
    </row>
    <row r="903" spans="1:13" s="65" customFormat="1" ht="17.5" customHeight="1">
      <c r="A903" s="178"/>
      <c r="B903" s="181" t="s">
        <v>134</v>
      </c>
      <c r="C903" s="181"/>
      <c r="D903" s="128"/>
      <c r="E903" s="129"/>
      <c r="F903" s="129"/>
      <c r="G903" s="129"/>
      <c r="H903" s="129"/>
      <c r="I903" s="129"/>
      <c r="J903" s="129"/>
      <c r="K903" s="152"/>
      <c r="L903" s="179"/>
      <c r="M903" s="180"/>
    </row>
    <row r="904" spans="1:13" s="65" customFormat="1" ht="17.5" customHeight="1">
      <c r="A904" s="178"/>
      <c r="B904" s="126" t="str">
        <f>B888</f>
        <v>Waist (G Floor to Landing)</v>
      </c>
      <c r="C904" s="126"/>
      <c r="D904" s="128">
        <f>D888</f>
        <v>2</v>
      </c>
      <c r="E904" s="129">
        <f>E888</f>
        <v>11.65</v>
      </c>
      <c r="F904" s="129">
        <f>F888</f>
        <v>4.5</v>
      </c>
      <c r="G904" s="129" t="s">
        <v>163</v>
      </c>
      <c r="H904" s="129" t="s">
        <v>186</v>
      </c>
      <c r="I904" s="129" t="s">
        <v>135</v>
      </c>
      <c r="J904" s="129" t="s">
        <v>194</v>
      </c>
      <c r="K904" s="152"/>
      <c r="L904" s="179"/>
      <c r="M904" s="180"/>
    </row>
    <row r="905" spans="1:13" s="65" customFormat="1" ht="17.5" customHeight="1">
      <c r="A905" s="178"/>
      <c r="B905" s="126" t="s">
        <v>188</v>
      </c>
      <c r="C905" s="126"/>
      <c r="D905" s="128">
        <f>D904*ROUND(F904/0.5,0)</f>
        <v>18</v>
      </c>
      <c r="E905" s="129">
        <f>E904+3.83+1+1.5</f>
        <v>17.98</v>
      </c>
      <c r="F905" s="129"/>
      <c r="G905" s="129"/>
      <c r="H905" s="129">
        <f>D905*E905</f>
        <v>323.64</v>
      </c>
      <c r="I905" s="129"/>
      <c r="J905" s="129"/>
      <c r="K905" s="152"/>
      <c r="L905" s="179"/>
      <c r="M905" s="180"/>
    </row>
    <row r="906" spans="1:13" s="65" customFormat="1" ht="17.5" customHeight="1">
      <c r="A906" s="178"/>
      <c r="B906" s="126" t="s">
        <v>189</v>
      </c>
      <c r="C906" s="126"/>
      <c r="D906" s="128">
        <f>D904*ROUND(F904/0.5,0)</f>
        <v>18</v>
      </c>
      <c r="E906" s="129">
        <f>E905</f>
        <v>17.98</v>
      </c>
      <c r="F906" s="129"/>
      <c r="G906" s="129"/>
      <c r="H906" s="129">
        <f>D906*E906</f>
        <v>323.64</v>
      </c>
      <c r="I906" s="129"/>
      <c r="J906" s="129"/>
      <c r="K906" s="152"/>
      <c r="L906" s="179"/>
      <c r="M906" s="180"/>
    </row>
    <row r="907" spans="1:13" s="65" customFormat="1" ht="17.5" customHeight="1">
      <c r="A907" s="178"/>
      <c r="B907" s="126" t="s">
        <v>190</v>
      </c>
      <c r="C907" s="126"/>
      <c r="D907" s="128">
        <f>D904*ROUND(E904/0.5,0)</f>
        <v>46</v>
      </c>
      <c r="E907" s="129">
        <f>F904-0.25+18*10/1000*3.281</f>
        <v>4.84</v>
      </c>
      <c r="F907" s="129"/>
      <c r="G907" s="129"/>
      <c r="H907" s="129"/>
      <c r="I907" s="129">
        <f>D907*E907</f>
        <v>222.64</v>
      </c>
      <c r="J907" s="129"/>
      <c r="K907" s="152"/>
      <c r="L907" s="179"/>
      <c r="M907" s="180"/>
    </row>
    <row r="908" spans="1:13" s="65" customFormat="1" ht="17.5" customHeight="1">
      <c r="A908" s="178"/>
      <c r="B908" s="126" t="s">
        <v>191</v>
      </c>
      <c r="C908" s="126"/>
      <c r="D908" s="128">
        <f>D904*ROUND(E904/0.5,0)</f>
        <v>46</v>
      </c>
      <c r="E908" s="129">
        <f>F904-0.25+18*10/1000*3.281</f>
        <v>4.84</v>
      </c>
      <c r="F908" s="129"/>
      <c r="G908" s="129"/>
      <c r="H908" s="129"/>
      <c r="I908" s="129">
        <f>D908*E908</f>
        <v>222.64</v>
      </c>
      <c r="J908" s="129"/>
      <c r="K908" s="152"/>
      <c r="L908" s="179"/>
      <c r="M908" s="180"/>
    </row>
    <row r="909" spans="1:13" s="65" customFormat="1" ht="17.5" customHeight="1">
      <c r="A909" s="178"/>
      <c r="B909" s="126"/>
      <c r="C909" s="126"/>
      <c r="D909" s="128"/>
      <c r="E909" s="129"/>
      <c r="F909" s="129"/>
      <c r="G909" s="129"/>
      <c r="H909" s="129"/>
      <c r="I909" s="129"/>
      <c r="J909" s="129"/>
      <c r="K909" s="152"/>
      <c r="L909" s="179"/>
      <c r="M909" s="180"/>
    </row>
    <row r="910" spans="1:13" s="65" customFormat="1" ht="17.5" customHeight="1">
      <c r="A910" s="178"/>
      <c r="B910" s="126" t="str">
        <f>B889</f>
        <v>Waist (Landing to Floor)</v>
      </c>
      <c r="C910" s="126"/>
      <c r="D910" s="128">
        <f>D889</f>
        <v>2</v>
      </c>
      <c r="E910" s="129">
        <f>E889</f>
        <v>11.65</v>
      </c>
      <c r="F910" s="129">
        <f>F889</f>
        <v>4.5</v>
      </c>
      <c r="G910" s="129"/>
      <c r="H910" s="129"/>
      <c r="I910" s="129"/>
      <c r="J910" s="129"/>
      <c r="K910" s="152"/>
      <c r="L910" s="179"/>
      <c r="M910" s="180"/>
    </row>
    <row r="911" spans="1:13" s="65" customFormat="1" ht="17.5" customHeight="1">
      <c r="A911" s="178"/>
      <c r="B911" s="126" t="s">
        <v>188</v>
      </c>
      <c r="C911" s="126"/>
      <c r="D911" s="128">
        <f>D910*ROUND(F910/0.5,0)</f>
        <v>18</v>
      </c>
      <c r="E911" s="129">
        <f>E910+3.83+1+1.5</f>
        <v>17.98</v>
      </c>
      <c r="F911" s="129"/>
      <c r="G911" s="129"/>
      <c r="H911" s="129">
        <f>D911*E911</f>
        <v>323.64</v>
      </c>
      <c r="I911" s="129"/>
      <c r="J911" s="129"/>
      <c r="K911" s="152"/>
      <c r="L911" s="179"/>
      <c r="M911" s="180"/>
    </row>
    <row r="912" spans="1:13" s="65" customFormat="1" ht="17.5" customHeight="1">
      <c r="A912" s="178"/>
      <c r="B912" s="126" t="s">
        <v>189</v>
      </c>
      <c r="C912" s="126"/>
      <c r="D912" s="128">
        <f>D910*ROUND(F910/0.5,0)</f>
        <v>18</v>
      </c>
      <c r="E912" s="129">
        <f>E911</f>
        <v>17.98</v>
      </c>
      <c r="F912" s="129"/>
      <c r="G912" s="129"/>
      <c r="H912" s="129">
        <f>D912*E912</f>
        <v>323.64</v>
      </c>
      <c r="I912" s="129"/>
      <c r="J912" s="129"/>
      <c r="K912" s="152"/>
      <c r="L912" s="179"/>
      <c r="M912" s="180"/>
    </row>
    <row r="913" spans="1:13" s="65" customFormat="1" ht="17.5" customHeight="1">
      <c r="A913" s="178"/>
      <c r="B913" s="126" t="s">
        <v>190</v>
      </c>
      <c r="C913" s="126"/>
      <c r="D913" s="128">
        <f>D910*ROUND(E910/0.5,0)</f>
        <v>46</v>
      </c>
      <c r="E913" s="129">
        <f>F910-0.25+18*10/1000*3.281</f>
        <v>4.84</v>
      </c>
      <c r="F913" s="129"/>
      <c r="G913" s="129"/>
      <c r="H913" s="129"/>
      <c r="I913" s="129">
        <f>D913*E913</f>
        <v>222.64</v>
      </c>
      <c r="J913" s="129"/>
      <c r="K913" s="152"/>
      <c r="L913" s="179"/>
      <c r="M913" s="180"/>
    </row>
    <row r="914" spans="1:13" s="65" customFormat="1" ht="17.5" customHeight="1">
      <c r="A914" s="178"/>
      <c r="B914" s="126" t="s">
        <v>191</v>
      </c>
      <c r="C914" s="126"/>
      <c r="D914" s="128">
        <f>D910*ROUND(E910/0.5,0)</f>
        <v>46</v>
      </c>
      <c r="E914" s="129">
        <f>F910-0.25+18*10/1000*3.281</f>
        <v>4.84</v>
      </c>
      <c r="F914" s="129"/>
      <c r="G914" s="129"/>
      <c r="H914" s="129"/>
      <c r="I914" s="129">
        <f>D914*E914</f>
        <v>222.64</v>
      </c>
      <c r="J914" s="129"/>
      <c r="K914" s="152"/>
      <c r="L914" s="179"/>
      <c r="M914" s="180"/>
    </row>
    <row r="915" spans="1:13" s="65" customFormat="1" ht="17.5" customHeight="1">
      <c r="A915" s="178"/>
      <c r="B915" s="126"/>
      <c r="C915" s="126"/>
      <c r="D915" s="128"/>
      <c r="E915" s="129"/>
      <c r="F915" s="129"/>
      <c r="G915" s="129"/>
      <c r="H915" s="129"/>
      <c r="I915" s="129"/>
      <c r="J915" s="129"/>
      <c r="K915" s="152"/>
      <c r="L915" s="179"/>
      <c r="M915" s="180"/>
    </row>
    <row r="916" spans="1:13" s="65" customFormat="1" ht="17.5" customHeight="1">
      <c r="A916" s="178"/>
      <c r="B916" s="126" t="str">
        <f>B890</f>
        <v>Landing</v>
      </c>
      <c r="C916" s="126"/>
      <c r="D916" s="128">
        <f>D890</f>
        <v>2</v>
      </c>
      <c r="E916" s="129">
        <f>E890</f>
        <v>3.83</v>
      </c>
      <c r="F916" s="129">
        <f>F890</f>
        <v>9</v>
      </c>
      <c r="G916" s="129"/>
      <c r="H916" s="129"/>
      <c r="I916" s="129"/>
      <c r="J916" s="129"/>
      <c r="K916" s="152"/>
      <c r="L916" s="179"/>
      <c r="M916" s="180"/>
    </row>
    <row r="917" spans="1:13" s="65" customFormat="1" ht="17.5" customHeight="1">
      <c r="A917" s="178"/>
      <c r="B917" s="126" t="s">
        <v>190</v>
      </c>
      <c r="C917" s="126"/>
      <c r="D917" s="128">
        <f>D916*ROUND(F916/0.5,0)</f>
        <v>36</v>
      </c>
      <c r="E917" s="129">
        <f>E916-0.25+18*10/1000*3.281</f>
        <v>4.17</v>
      </c>
      <c r="F917" s="129"/>
      <c r="G917" s="129"/>
      <c r="H917" s="129"/>
      <c r="I917" s="129">
        <f>D917*E917</f>
        <v>150.12</v>
      </c>
      <c r="J917" s="129"/>
      <c r="K917" s="152"/>
      <c r="L917" s="179"/>
      <c r="M917" s="180"/>
    </row>
    <row r="918" spans="1:13" s="65" customFormat="1" ht="17.5" customHeight="1">
      <c r="A918" s="178"/>
      <c r="B918" s="126" t="s">
        <v>191</v>
      </c>
      <c r="C918" s="126"/>
      <c r="D918" s="128">
        <f>D916*ROUND(F916/0.5,0)</f>
        <v>36</v>
      </c>
      <c r="E918" s="129">
        <f>E916-0.25+18*10/1000*3.281</f>
        <v>4.17</v>
      </c>
      <c r="F918" s="129"/>
      <c r="G918" s="129"/>
      <c r="H918" s="129"/>
      <c r="I918" s="129">
        <f>D918*E918</f>
        <v>150.12</v>
      </c>
      <c r="J918" s="129"/>
      <c r="K918" s="152"/>
      <c r="L918" s="179"/>
      <c r="M918" s="180"/>
    </row>
    <row r="919" spans="1:13" s="65" customFormat="1" ht="17.5" customHeight="1">
      <c r="A919" s="178"/>
      <c r="B919" s="126"/>
      <c r="C919" s="126"/>
      <c r="D919" s="128"/>
      <c r="E919" s="129"/>
      <c r="F919" s="129"/>
      <c r="G919" s="129"/>
      <c r="H919" s="129"/>
      <c r="I919" s="129"/>
      <c r="J919" s="129"/>
      <c r="K919" s="152"/>
      <c r="L919" s="179"/>
      <c r="M919" s="180"/>
    </row>
    <row r="920" spans="1:13" s="65" customFormat="1" ht="17.5" customHeight="1">
      <c r="A920" s="178"/>
      <c r="B920" s="126" t="str">
        <f>B891</f>
        <v>Landing Beam (9' L)</v>
      </c>
      <c r="C920" s="126"/>
      <c r="D920" s="128">
        <f>D891</f>
        <v>2</v>
      </c>
      <c r="E920" s="129">
        <f>E891</f>
        <v>9</v>
      </c>
      <c r="F920" s="129">
        <f>F891</f>
        <v>1</v>
      </c>
      <c r="G920" s="129">
        <f>G891</f>
        <v>1.33</v>
      </c>
      <c r="H920" s="129"/>
      <c r="I920" s="129"/>
      <c r="J920" s="129"/>
      <c r="K920" s="152"/>
      <c r="L920" s="179"/>
      <c r="M920" s="180"/>
    </row>
    <row r="921" spans="1:13" s="148" customFormat="1" ht="18.649999999999999" customHeight="1">
      <c r="A921" s="149"/>
      <c r="B921" s="157" t="s">
        <v>192</v>
      </c>
      <c r="C921" s="157"/>
      <c r="D921" s="150">
        <f>D920*3</f>
        <v>6</v>
      </c>
      <c r="E921" s="151">
        <f>E920-0.25+(G920-0.25)*2</f>
        <v>10.91</v>
      </c>
      <c r="F921" s="151"/>
      <c r="G921" s="151">
        <f>D921*E921</f>
        <v>65.459999999999994</v>
      </c>
      <c r="H921" s="154"/>
      <c r="I921" s="151"/>
      <c r="J921" s="151"/>
      <c r="K921" s="152"/>
      <c r="L921" s="147"/>
    </row>
    <row r="922" spans="1:13" s="148" customFormat="1" ht="18.649999999999999" customHeight="1">
      <c r="A922" s="149"/>
      <c r="B922" s="157" t="s">
        <v>193</v>
      </c>
      <c r="C922" s="157"/>
      <c r="D922" s="150">
        <f>D920*3</f>
        <v>6</v>
      </c>
      <c r="E922" s="151">
        <f>E920-0.25+18*16/1000*3.281</f>
        <v>9.69</v>
      </c>
      <c r="F922" s="151"/>
      <c r="G922" s="151">
        <f>D922*E922</f>
        <v>58.14</v>
      </c>
      <c r="H922" s="154"/>
      <c r="I922" s="151"/>
      <c r="J922" s="151"/>
      <c r="K922" s="152"/>
      <c r="L922" s="160"/>
    </row>
    <row r="923" spans="1:13" s="148" customFormat="1" ht="18.649999999999999" customHeight="1">
      <c r="A923" s="149"/>
      <c r="B923" s="157" t="s">
        <v>305</v>
      </c>
      <c r="C923" s="234">
        <f>2*G920</f>
        <v>2.66</v>
      </c>
      <c r="D923" s="150">
        <f>D920*ROUND(E920/0.42,0)</f>
        <v>42</v>
      </c>
      <c r="E923" s="151">
        <f>ROUND((F920-0.25+G920-0.25)*2+24*10/1000*3.281,2)</f>
        <v>4.45</v>
      </c>
      <c r="F923" s="151"/>
      <c r="G923" s="151"/>
      <c r="H923" s="151"/>
      <c r="I923" s="151">
        <f>D923*E923</f>
        <v>186.9</v>
      </c>
      <c r="J923" s="151"/>
      <c r="K923" s="152"/>
      <c r="L923" s="160"/>
    </row>
    <row r="924" spans="1:13" s="65" customFormat="1" ht="17.5" customHeight="1">
      <c r="A924" s="178"/>
      <c r="B924" s="126"/>
      <c r="C924" s="126"/>
      <c r="D924" s="128"/>
      <c r="E924" s="129"/>
      <c r="F924" s="129"/>
      <c r="G924" s="129"/>
      <c r="H924" s="129"/>
      <c r="I924" s="129"/>
      <c r="J924" s="129"/>
      <c r="K924" s="152"/>
      <c r="L924" s="179"/>
      <c r="M924" s="180"/>
    </row>
    <row r="925" spans="1:13" s="65" customFormat="1" ht="17.5" customHeight="1">
      <c r="A925" s="178"/>
      <c r="B925" s="126"/>
      <c r="C925" s="126"/>
      <c r="D925" s="128"/>
      <c r="E925" s="129"/>
      <c r="F925" s="129"/>
      <c r="G925" s="129">
        <f>G922+G921</f>
        <v>123.6</v>
      </c>
      <c r="H925" s="129">
        <f>SUM(H905:H924)</f>
        <v>1294.56</v>
      </c>
      <c r="I925" s="129">
        <f>SUM(I905:I924)</f>
        <v>1377.7</v>
      </c>
      <c r="J925" s="129">
        <f>SUM(J905:J924)</f>
        <v>0</v>
      </c>
      <c r="K925" s="152" t="s">
        <v>101</v>
      </c>
      <c r="L925" s="179"/>
      <c r="M925" s="180"/>
    </row>
    <row r="926" spans="1:13" s="65" customFormat="1" ht="17.5" customHeight="1">
      <c r="A926" s="178"/>
      <c r="B926" s="126"/>
      <c r="C926" s="126"/>
      <c r="D926" s="128"/>
      <c r="E926" s="129"/>
      <c r="F926" s="129"/>
      <c r="G926" s="129" t="str">
        <f>G904</f>
        <v>16Ø</v>
      </c>
      <c r="H926" s="129" t="str">
        <f>H904</f>
        <v>12Ø</v>
      </c>
      <c r="I926" s="129" t="str">
        <f>I904</f>
        <v>10Ø</v>
      </c>
      <c r="J926" s="129" t="str">
        <f>J904</f>
        <v>6.5Ø</v>
      </c>
      <c r="K926" s="152"/>
      <c r="L926" s="179"/>
      <c r="M926" s="180"/>
    </row>
    <row r="927" spans="1:13" s="65" customFormat="1" ht="17.5" customHeight="1">
      <c r="A927" s="178"/>
      <c r="B927" s="126"/>
      <c r="C927" s="126"/>
      <c r="D927" s="128"/>
      <c r="E927" s="129"/>
      <c r="F927" s="129"/>
      <c r="G927" s="129">
        <f>G925/39.33/53</f>
        <v>0.06</v>
      </c>
      <c r="H927" s="129">
        <f>H925/39.33/88</f>
        <v>0.37</v>
      </c>
      <c r="I927" s="129">
        <f>I925/39.33/135</f>
        <v>0.26</v>
      </c>
      <c r="J927" s="129">
        <f>J925/3.281*(6.5*6.5/162)/1000</f>
        <v>0</v>
      </c>
      <c r="K927" s="152"/>
      <c r="L927" s="179"/>
      <c r="M927" s="180"/>
    </row>
    <row r="928" spans="1:13" s="65" customFormat="1" ht="17.5" customHeight="1">
      <c r="A928" s="178"/>
      <c r="B928" s="126"/>
      <c r="C928" s="126"/>
      <c r="D928" s="128"/>
      <c r="E928" s="129"/>
      <c r="F928" s="129"/>
      <c r="G928" s="129"/>
      <c r="H928" s="129"/>
      <c r="I928" s="129"/>
      <c r="J928" s="129"/>
      <c r="K928" s="152"/>
      <c r="L928" s="179"/>
      <c r="M928" s="180"/>
    </row>
    <row r="929" spans="1:13" s="65" customFormat="1" ht="17.5" customHeight="1">
      <c r="A929" s="178"/>
      <c r="B929" s="126"/>
      <c r="C929" s="126"/>
      <c r="D929" s="128"/>
      <c r="E929" s="129"/>
      <c r="F929" s="129"/>
      <c r="G929" s="129"/>
      <c r="H929" s="129"/>
      <c r="I929" s="129"/>
      <c r="J929" s="129"/>
      <c r="K929" s="152"/>
      <c r="L929" s="179"/>
      <c r="M929" s="180"/>
    </row>
    <row r="930" spans="1:13" s="65" customFormat="1" ht="17.5" customHeight="1">
      <c r="A930" s="178">
        <v>12</v>
      </c>
      <c r="B930" s="181" t="s">
        <v>97</v>
      </c>
      <c r="C930" s="181"/>
      <c r="D930" s="128"/>
      <c r="E930" s="129"/>
      <c r="F930" s="129"/>
      <c r="G930" s="129"/>
      <c r="H930" s="129"/>
      <c r="I930" s="129"/>
      <c r="J930" s="129"/>
      <c r="K930" s="152"/>
      <c r="L930" s="179"/>
      <c r="M930" s="180"/>
    </row>
    <row r="931" spans="1:13" s="65" customFormat="1" ht="17.5" customHeight="1">
      <c r="A931" s="178"/>
      <c r="B931" s="276" t="s">
        <v>91</v>
      </c>
      <c r="C931" s="178"/>
      <c r="D931" s="128"/>
      <c r="E931" s="129"/>
      <c r="F931" s="129"/>
      <c r="G931" s="129"/>
      <c r="H931" s="129"/>
      <c r="I931" s="129"/>
      <c r="J931" s="129"/>
      <c r="K931" s="152"/>
      <c r="L931" s="179"/>
      <c r="M931" s="180"/>
    </row>
    <row r="932" spans="1:13" s="65" customFormat="1" ht="17.5" customHeight="1">
      <c r="A932" s="178"/>
      <c r="B932" s="277" t="s">
        <v>92</v>
      </c>
      <c r="C932" s="181"/>
      <c r="D932" s="128"/>
      <c r="E932" s="129"/>
      <c r="F932" s="129"/>
      <c r="G932" s="182" t="s">
        <v>167</v>
      </c>
      <c r="H932" s="129"/>
      <c r="I932" s="129"/>
      <c r="J932" s="129"/>
      <c r="K932" s="152"/>
      <c r="L932" s="179"/>
      <c r="M932" s="180"/>
    </row>
    <row r="933" spans="1:13" s="65" customFormat="1" ht="17.5" customHeight="1">
      <c r="A933" s="178"/>
      <c r="B933" s="126" t="s">
        <v>307</v>
      </c>
      <c r="C933" s="126"/>
      <c r="D933" s="128">
        <v>2</v>
      </c>
      <c r="E933" s="129">
        <f>27-3</f>
        <v>24</v>
      </c>
      <c r="F933" s="129"/>
      <c r="G933" s="129">
        <f>13-1.17</f>
        <v>11.83</v>
      </c>
      <c r="H933" s="129"/>
      <c r="I933" s="129">
        <f>D933*E933*G933</f>
        <v>567.84</v>
      </c>
      <c r="J933" s="129"/>
      <c r="K933" s="152" t="s">
        <v>21</v>
      </c>
      <c r="L933" s="179"/>
      <c r="M933" s="180"/>
    </row>
    <row r="934" spans="1:13" s="65" customFormat="1" ht="17.5" customHeight="1">
      <c r="A934" s="178"/>
      <c r="B934" s="126" t="s">
        <v>306</v>
      </c>
      <c r="C934" s="126"/>
      <c r="D934" s="128">
        <v>2</v>
      </c>
      <c r="E934" s="129">
        <f>40-5</f>
        <v>35</v>
      </c>
      <c r="F934" s="129"/>
      <c r="G934" s="129">
        <f>G933</f>
        <v>11.83</v>
      </c>
      <c r="H934" s="129"/>
      <c r="I934" s="129">
        <f>D934*E934*G934</f>
        <v>828.1</v>
      </c>
      <c r="J934" s="129"/>
      <c r="K934" s="152" t="s">
        <v>21</v>
      </c>
      <c r="L934" s="179"/>
      <c r="M934" s="180"/>
    </row>
    <row r="935" spans="1:13" s="65" customFormat="1" ht="17.5" customHeight="1">
      <c r="A935" s="178"/>
      <c r="B935" s="126"/>
      <c r="C935" s="126"/>
      <c r="D935" s="128" t="s">
        <v>101</v>
      </c>
      <c r="E935" s="129">
        <f>D933*E933+D934*E934</f>
        <v>118</v>
      </c>
      <c r="F935" s="129"/>
      <c r="G935" s="129"/>
      <c r="H935" s="129"/>
      <c r="I935" s="129"/>
      <c r="J935" s="129"/>
      <c r="K935" s="152"/>
      <c r="L935" s="179"/>
      <c r="M935" s="180"/>
    </row>
    <row r="936" spans="1:13" s="65" customFormat="1" ht="17.5" customHeight="1">
      <c r="A936" s="178"/>
      <c r="B936" s="178" t="s">
        <v>143</v>
      </c>
      <c r="C936" s="178"/>
      <c r="D936" s="128"/>
      <c r="E936" s="129"/>
      <c r="F936" s="129"/>
      <c r="G936" s="129"/>
      <c r="H936" s="129"/>
      <c r="I936" s="129"/>
      <c r="J936" s="129"/>
      <c r="K936" s="152"/>
      <c r="L936" s="179"/>
      <c r="M936" s="180"/>
    </row>
    <row r="937" spans="1:13" s="65" customFormat="1" ht="17.5" customHeight="1">
      <c r="A937" s="178"/>
      <c r="B937" s="126" t="s">
        <v>308</v>
      </c>
      <c r="C937" s="126"/>
      <c r="D937" s="128">
        <v>2</v>
      </c>
      <c r="E937" s="129">
        <v>3</v>
      </c>
      <c r="F937" s="129"/>
      <c r="G937" s="129">
        <v>2</v>
      </c>
      <c r="H937" s="129">
        <f t="shared" ref="H937:H943" si="30">D937*E937*G937</f>
        <v>12</v>
      </c>
      <c r="I937" s="129"/>
      <c r="J937" s="129"/>
      <c r="K937" s="152" t="s">
        <v>21</v>
      </c>
      <c r="L937" s="179"/>
      <c r="M937" s="180"/>
    </row>
    <row r="938" spans="1:13" s="65" customFormat="1" ht="17.5" customHeight="1">
      <c r="A938" s="178"/>
      <c r="B938" s="126" t="s">
        <v>309</v>
      </c>
      <c r="C938" s="126"/>
      <c r="D938" s="128">
        <v>2</v>
      </c>
      <c r="E938" s="129">
        <v>2</v>
      </c>
      <c r="F938" s="129"/>
      <c r="G938" s="129">
        <v>6</v>
      </c>
      <c r="H938" s="129">
        <f t="shared" si="30"/>
        <v>24</v>
      </c>
      <c r="I938" s="129"/>
      <c r="J938" s="129"/>
      <c r="K938" s="152" t="s">
        <v>21</v>
      </c>
      <c r="L938" s="179"/>
      <c r="M938" s="180"/>
    </row>
    <row r="939" spans="1:13" s="65" customFormat="1" ht="17.5" customHeight="1">
      <c r="A939" s="178"/>
      <c r="B939" s="126" t="s">
        <v>310</v>
      </c>
      <c r="C939" s="126"/>
      <c r="D939" s="128">
        <v>3</v>
      </c>
      <c r="E939" s="129">
        <v>2.17</v>
      </c>
      <c r="F939" s="129"/>
      <c r="G939" s="129">
        <v>6</v>
      </c>
      <c r="H939" s="129">
        <f t="shared" si="30"/>
        <v>39.06</v>
      </c>
      <c r="I939" s="129"/>
      <c r="J939" s="129"/>
      <c r="K939" s="152" t="s">
        <v>21</v>
      </c>
      <c r="L939" s="179"/>
      <c r="M939" s="180"/>
    </row>
    <row r="940" spans="1:13" s="65" customFormat="1" ht="17.5" customHeight="1">
      <c r="A940" s="178"/>
      <c r="B940" s="126" t="s">
        <v>311</v>
      </c>
      <c r="C940" s="126"/>
      <c r="D940" s="128">
        <v>5</v>
      </c>
      <c r="E940" s="129">
        <v>6.17</v>
      </c>
      <c r="F940" s="129"/>
      <c r="G940" s="129">
        <v>6</v>
      </c>
      <c r="H940" s="129">
        <f t="shared" si="30"/>
        <v>185.1</v>
      </c>
      <c r="I940" s="129"/>
      <c r="J940" s="129"/>
      <c r="K940" s="152" t="s">
        <v>21</v>
      </c>
      <c r="L940" s="179"/>
      <c r="M940" s="180"/>
    </row>
    <row r="941" spans="1:13" s="65" customFormat="1" ht="17.5" customHeight="1">
      <c r="A941" s="178"/>
      <c r="B941" s="126" t="s">
        <v>312</v>
      </c>
      <c r="C941" s="126"/>
      <c r="D941" s="128">
        <v>2</v>
      </c>
      <c r="E941" s="129">
        <v>8</v>
      </c>
      <c r="F941" s="129"/>
      <c r="G941" s="129">
        <v>7</v>
      </c>
      <c r="H941" s="129">
        <f t="shared" si="30"/>
        <v>112</v>
      </c>
      <c r="I941" s="129"/>
      <c r="J941" s="129"/>
      <c r="K941" s="152" t="s">
        <v>21</v>
      </c>
      <c r="L941" s="179"/>
      <c r="M941" s="180"/>
    </row>
    <row r="942" spans="1:13" s="65" customFormat="1" ht="17.5" customHeight="1">
      <c r="A942" s="178"/>
      <c r="B942" s="126" t="s">
        <v>313</v>
      </c>
      <c r="C942" s="126"/>
      <c r="D942" s="128">
        <v>1</v>
      </c>
      <c r="E942" s="129">
        <v>9</v>
      </c>
      <c r="F942" s="129"/>
      <c r="G942" s="129">
        <v>8</v>
      </c>
      <c r="H942" s="129">
        <f t="shared" si="30"/>
        <v>72</v>
      </c>
      <c r="I942" s="129"/>
      <c r="J942" s="129"/>
      <c r="K942" s="152" t="s">
        <v>21</v>
      </c>
      <c r="L942" s="179"/>
      <c r="M942" s="180"/>
    </row>
    <row r="943" spans="1:13" s="65" customFormat="1" ht="17.5" customHeight="1">
      <c r="A943" s="178"/>
      <c r="B943" s="126" t="s">
        <v>314</v>
      </c>
      <c r="C943" s="126"/>
      <c r="D943" s="128">
        <v>1</v>
      </c>
      <c r="E943" s="129">
        <v>3.25</v>
      </c>
      <c r="F943" s="129"/>
      <c r="G943" s="129">
        <v>7.17</v>
      </c>
      <c r="H943" s="129">
        <f t="shared" si="30"/>
        <v>23.3</v>
      </c>
      <c r="I943" s="129"/>
      <c r="J943" s="129"/>
      <c r="K943" s="152" t="s">
        <v>21</v>
      </c>
      <c r="L943" s="179"/>
      <c r="M943" s="180"/>
    </row>
    <row r="944" spans="1:13" s="65" customFormat="1" ht="17.5" customHeight="1">
      <c r="A944" s="178"/>
      <c r="B944" s="178" t="s">
        <v>144</v>
      </c>
      <c r="C944" s="178"/>
      <c r="D944" s="128"/>
      <c r="E944" s="129"/>
      <c r="F944" s="129"/>
      <c r="G944" s="129"/>
      <c r="H944" s="129"/>
      <c r="I944" s="129"/>
      <c r="J944" s="129"/>
      <c r="K944" s="152"/>
      <c r="L944" s="179"/>
      <c r="M944" s="180"/>
    </row>
    <row r="945" spans="1:13" s="65" customFormat="1" ht="17.5" customHeight="1">
      <c r="A945" s="178"/>
      <c r="B945" s="126" t="s">
        <v>140</v>
      </c>
      <c r="C945" s="126"/>
      <c r="D945" s="128">
        <v>1</v>
      </c>
      <c r="E945" s="129">
        <f>D933*E933+D934*E934</f>
        <v>118</v>
      </c>
      <c r="F945" s="129"/>
      <c r="G945" s="129">
        <f>4.5/12</f>
        <v>0.38</v>
      </c>
      <c r="H945" s="129">
        <f>D945*E945*G945</f>
        <v>44.84</v>
      </c>
      <c r="I945" s="129"/>
      <c r="J945" s="129"/>
      <c r="K945" s="152" t="s">
        <v>21</v>
      </c>
      <c r="L945" s="179"/>
      <c r="M945" s="180"/>
    </row>
    <row r="946" spans="1:13" s="65" customFormat="1" ht="17.5" customHeight="1">
      <c r="A946" s="178"/>
      <c r="B946" s="126" t="s">
        <v>145</v>
      </c>
      <c r="C946" s="126"/>
      <c r="D946" s="128">
        <v>1</v>
      </c>
      <c r="E946" s="129">
        <f>E945-D942*E942-D943*E943</f>
        <v>105.75</v>
      </c>
      <c r="F946" s="129"/>
      <c r="G946" s="129">
        <f>G945</f>
        <v>0.38</v>
      </c>
      <c r="H946" s="129">
        <f>D946*E946*G946</f>
        <v>40.19</v>
      </c>
      <c r="I946" s="129"/>
      <c r="J946" s="129"/>
      <c r="K946" s="152" t="s">
        <v>21</v>
      </c>
      <c r="L946" s="179"/>
      <c r="M946" s="180"/>
    </row>
    <row r="947" spans="1:13" s="65" customFormat="1" ht="17.5" customHeight="1">
      <c r="A947" s="178"/>
      <c r="B947" s="126"/>
      <c r="C947" s="126"/>
      <c r="D947" s="128"/>
      <c r="E947" s="129"/>
      <c r="F947" s="129"/>
      <c r="G947" s="129"/>
      <c r="H947" s="274">
        <f>SUM(H933:H946)</f>
        <v>552.49</v>
      </c>
      <c r="I947" s="274">
        <f>SUM(I933:I946)</f>
        <v>1395.94</v>
      </c>
      <c r="J947" s="274">
        <f>I947-H947</f>
        <v>843.45</v>
      </c>
      <c r="K947" s="275" t="s">
        <v>21</v>
      </c>
      <c r="L947" s="179"/>
      <c r="M947" s="180"/>
    </row>
    <row r="948" spans="1:13" s="65" customFormat="1" ht="17.5" customHeight="1">
      <c r="A948" s="178"/>
      <c r="B948" s="126"/>
      <c r="C948" s="126"/>
      <c r="D948" s="128"/>
      <c r="E948" s="129"/>
      <c r="F948" s="129"/>
      <c r="G948" s="129"/>
      <c r="H948" s="129"/>
      <c r="I948" s="129"/>
      <c r="J948" s="129"/>
      <c r="K948" s="152"/>
      <c r="L948" s="179"/>
      <c r="M948" s="180"/>
    </row>
    <row r="949" spans="1:13" s="65" customFormat="1" ht="17.5" customHeight="1">
      <c r="A949" s="178"/>
      <c r="B949" s="181" t="s">
        <v>142</v>
      </c>
      <c r="C949" s="181"/>
      <c r="D949" s="128"/>
      <c r="E949" s="129"/>
      <c r="F949" s="129"/>
      <c r="G949" s="129"/>
      <c r="H949" s="129"/>
      <c r="I949" s="129"/>
      <c r="J949" s="129"/>
      <c r="K949" s="152"/>
      <c r="L949" s="179"/>
      <c r="M949" s="180"/>
    </row>
    <row r="950" spans="1:13" s="65" customFormat="1" ht="17.5" customHeight="1">
      <c r="A950" s="178"/>
      <c r="B950" s="126" t="s">
        <v>447</v>
      </c>
      <c r="C950" s="126"/>
      <c r="D950" s="128">
        <v>2</v>
      </c>
      <c r="E950" s="129">
        <f>27-3</f>
        <v>24</v>
      </c>
      <c r="F950" s="129"/>
      <c r="G950" s="129">
        <f>12-1.17</f>
        <v>10.83</v>
      </c>
      <c r="H950" s="129"/>
      <c r="I950" s="129">
        <f>D950*E950*G950</f>
        <v>519.84</v>
      </c>
      <c r="J950" s="129"/>
      <c r="K950" s="152" t="s">
        <v>21</v>
      </c>
      <c r="L950" s="179"/>
      <c r="M950" s="180"/>
    </row>
    <row r="951" spans="1:13" s="65" customFormat="1" ht="17.5" customHeight="1">
      <c r="A951" s="178"/>
      <c r="B951" s="126" t="s">
        <v>306</v>
      </c>
      <c r="C951" s="126"/>
      <c r="D951" s="128">
        <v>2</v>
      </c>
      <c r="E951" s="129">
        <f>40-5</f>
        <v>35</v>
      </c>
      <c r="F951" s="129"/>
      <c r="G951" s="129">
        <f>G950</f>
        <v>10.83</v>
      </c>
      <c r="H951" s="129"/>
      <c r="I951" s="129">
        <f>D951*E951*G951</f>
        <v>758.1</v>
      </c>
      <c r="J951" s="129"/>
      <c r="K951" s="152" t="s">
        <v>21</v>
      </c>
      <c r="L951" s="179"/>
      <c r="M951" s="180"/>
    </row>
    <row r="952" spans="1:13" s="65" customFormat="1" ht="17.5" customHeight="1">
      <c r="A952" s="178"/>
      <c r="B952" s="126" t="s">
        <v>448</v>
      </c>
      <c r="C952" s="126"/>
      <c r="D952" s="128">
        <v>2</v>
      </c>
      <c r="E952" s="129">
        <f>3</f>
        <v>3</v>
      </c>
      <c r="F952" s="129"/>
      <c r="G952" s="129">
        <f>G951</f>
        <v>10.83</v>
      </c>
      <c r="H952" s="129"/>
      <c r="I952" s="129">
        <f>D952*E952*G952</f>
        <v>64.98</v>
      </c>
      <c r="J952" s="129"/>
      <c r="K952" s="152" t="s">
        <v>21</v>
      </c>
      <c r="L952" s="179"/>
      <c r="M952" s="180"/>
    </row>
    <row r="953" spans="1:13" s="65" customFormat="1" ht="17.5" customHeight="1">
      <c r="A953" s="178"/>
      <c r="B953" s="126"/>
      <c r="C953" s="126"/>
      <c r="D953" s="128" t="s">
        <v>101</v>
      </c>
      <c r="E953" s="129">
        <f>D950*E950+D951*E951+D952*E952</f>
        <v>124</v>
      </c>
      <c r="F953" s="129"/>
      <c r="G953" s="129"/>
      <c r="H953" s="129"/>
      <c r="I953" s="129"/>
      <c r="J953" s="129"/>
      <c r="K953" s="152"/>
      <c r="L953" s="179"/>
      <c r="M953" s="180"/>
    </row>
    <row r="954" spans="1:13" s="65" customFormat="1" ht="17.5" customHeight="1">
      <c r="A954" s="178"/>
      <c r="B954" s="178" t="s">
        <v>143</v>
      </c>
      <c r="C954" s="178"/>
      <c r="D954" s="128"/>
      <c r="E954" s="129"/>
      <c r="F954" s="129"/>
      <c r="G954" s="129"/>
      <c r="H954" s="129"/>
      <c r="I954" s="129"/>
      <c r="J954" s="129"/>
      <c r="K954" s="152"/>
      <c r="L954" s="179"/>
      <c r="M954" s="180"/>
    </row>
    <row r="955" spans="1:13" s="65" customFormat="1" ht="17.5" customHeight="1">
      <c r="A955" s="178"/>
      <c r="B955" s="126" t="s">
        <v>308</v>
      </c>
      <c r="C955" s="126"/>
      <c r="D955" s="128">
        <v>2</v>
      </c>
      <c r="E955" s="129">
        <v>3</v>
      </c>
      <c r="F955" s="129"/>
      <c r="G955" s="129">
        <v>2</v>
      </c>
      <c r="H955" s="129">
        <f t="shared" ref="H955:H961" si="31">D955*E955*G955</f>
        <v>12</v>
      </c>
      <c r="I955" s="129"/>
      <c r="J955" s="129"/>
      <c r="K955" s="152" t="s">
        <v>21</v>
      </c>
      <c r="L955" s="179"/>
      <c r="M955" s="180"/>
    </row>
    <row r="956" spans="1:13" s="65" customFormat="1" ht="17.5" customHeight="1">
      <c r="A956" s="178"/>
      <c r="B956" s="126" t="s">
        <v>309</v>
      </c>
      <c r="C956" s="126"/>
      <c r="D956" s="128">
        <v>2</v>
      </c>
      <c r="E956" s="129">
        <v>2</v>
      </c>
      <c r="F956" s="129"/>
      <c r="G956" s="129">
        <v>6</v>
      </c>
      <c r="H956" s="129">
        <f t="shared" si="31"/>
        <v>24</v>
      </c>
      <c r="I956" s="129"/>
      <c r="J956" s="129"/>
      <c r="K956" s="152" t="s">
        <v>21</v>
      </c>
      <c r="L956" s="179"/>
      <c r="M956" s="180"/>
    </row>
    <row r="957" spans="1:13" s="65" customFormat="1" ht="17.5" customHeight="1">
      <c r="A957" s="178"/>
      <c r="B957" s="126" t="s">
        <v>315</v>
      </c>
      <c r="C957" s="126"/>
      <c r="D957" s="128">
        <v>2</v>
      </c>
      <c r="E957" s="129">
        <v>2</v>
      </c>
      <c r="F957" s="129"/>
      <c r="G957" s="129">
        <v>5</v>
      </c>
      <c r="H957" s="129">
        <f t="shared" si="31"/>
        <v>20</v>
      </c>
      <c r="I957" s="129"/>
      <c r="J957" s="129"/>
      <c r="K957" s="152"/>
      <c r="L957" s="179"/>
      <c r="M957" s="180"/>
    </row>
    <row r="958" spans="1:13" s="65" customFormat="1" ht="17.5" customHeight="1">
      <c r="A958" s="178"/>
      <c r="B958" s="126" t="s">
        <v>310</v>
      </c>
      <c r="C958" s="126"/>
      <c r="D958" s="128">
        <v>4</v>
      </c>
      <c r="E958" s="129">
        <v>2.17</v>
      </c>
      <c r="F958" s="129"/>
      <c r="G958" s="129">
        <v>6</v>
      </c>
      <c r="H958" s="129">
        <f t="shared" si="31"/>
        <v>52.08</v>
      </c>
      <c r="I958" s="129"/>
      <c r="J958" s="129"/>
      <c r="K958" s="152" t="s">
        <v>21</v>
      </c>
      <c r="L958" s="179"/>
      <c r="M958" s="180"/>
    </row>
    <row r="959" spans="1:13" s="65" customFormat="1" ht="17.5" customHeight="1">
      <c r="A959" s="178"/>
      <c r="B959" s="126" t="s">
        <v>311</v>
      </c>
      <c r="C959" s="126"/>
      <c r="D959" s="128">
        <v>3</v>
      </c>
      <c r="E959" s="129">
        <v>6.17</v>
      </c>
      <c r="F959" s="129"/>
      <c r="G959" s="129">
        <v>6</v>
      </c>
      <c r="H959" s="129">
        <f t="shared" si="31"/>
        <v>111.06</v>
      </c>
      <c r="I959" s="129"/>
      <c r="J959" s="129"/>
      <c r="K959" s="152" t="s">
        <v>21</v>
      </c>
      <c r="L959" s="179"/>
      <c r="M959" s="180"/>
    </row>
    <row r="960" spans="1:13" s="65" customFormat="1" ht="17.5" customHeight="1">
      <c r="A960" s="178"/>
      <c r="B960" s="126" t="s">
        <v>312</v>
      </c>
      <c r="C960" s="126"/>
      <c r="D960" s="128">
        <v>2</v>
      </c>
      <c r="E960" s="129">
        <v>8</v>
      </c>
      <c r="F960" s="129"/>
      <c r="G960" s="129">
        <v>7</v>
      </c>
      <c r="H960" s="129">
        <f t="shared" si="31"/>
        <v>112</v>
      </c>
      <c r="I960" s="129"/>
      <c r="J960" s="129"/>
      <c r="K960" s="152" t="s">
        <v>21</v>
      </c>
      <c r="L960" s="179"/>
      <c r="M960" s="180"/>
    </row>
    <row r="961" spans="1:13" s="65" customFormat="1" ht="17.5" customHeight="1">
      <c r="A961" s="178"/>
      <c r="B961" s="126" t="s">
        <v>316</v>
      </c>
      <c r="C961" s="126"/>
      <c r="D961" s="128">
        <v>1</v>
      </c>
      <c r="E961" s="129">
        <v>3.25</v>
      </c>
      <c r="F961" s="129"/>
      <c r="G961" s="129">
        <v>7.17</v>
      </c>
      <c r="H961" s="129">
        <f t="shared" si="31"/>
        <v>23.3</v>
      </c>
      <c r="I961" s="129"/>
      <c r="J961" s="129"/>
      <c r="K961" s="152" t="s">
        <v>21</v>
      </c>
      <c r="L961" s="179"/>
      <c r="M961" s="180"/>
    </row>
    <row r="962" spans="1:13" s="65" customFormat="1" ht="17.5" customHeight="1">
      <c r="A962" s="178"/>
      <c r="B962" s="126"/>
      <c r="C962" s="126"/>
      <c r="D962" s="128"/>
      <c r="E962" s="129"/>
      <c r="F962" s="129"/>
      <c r="G962" s="129"/>
      <c r="H962" s="129"/>
      <c r="I962" s="129"/>
      <c r="J962" s="129"/>
      <c r="K962" s="152"/>
      <c r="L962" s="179"/>
      <c r="M962" s="180"/>
    </row>
    <row r="963" spans="1:13" s="65" customFormat="1" ht="17.5" customHeight="1">
      <c r="A963" s="178"/>
      <c r="B963" s="178" t="s">
        <v>144</v>
      </c>
      <c r="C963" s="178"/>
      <c r="D963" s="128"/>
      <c r="E963" s="129"/>
      <c r="F963" s="129"/>
      <c r="G963" s="129"/>
      <c r="H963" s="129"/>
      <c r="I963" s="129"/>
      <c r="J963" s="129"/>
      <c r="K963" s="152"/>
      <c r="L963" s="179"/>
      <c r="M963" s="180"/>
    </row>
    <row r="964" spans="1:13" s="65" customFormat="1" ht="17.5" customHeight="1">
      <c r="A964" s="178"/>
      <c r="B964" s="126" t="s">
        <v>140</v>
      </c>
      <c r="C964" s="126"/>
      <c r="D964" s="128">
        <v>1</v>
      </c>
      <c r="E964" s="129">
        <f>D950*E950+D951*E951+D952*E952</f>
        <v>124</v>
      </c>
      <c r="F964" s="129"/>
      <c r="G964" s="129">
        <f>4.5/12</f>
        <v>0.38</v>
      </c>
      <c r="H964" s="129">
        <f>D964*E964*G964</f>
        <v>47.12</v>
      </c>
      <c r="I964" s="129"/>
      <c r="J964" s="129"/>
      <c r="K964" s="152" t="s">
        <v>21</v>
      </c>
      <c r="L964" s="179"/>
      <c r="M964" s="180"/>
    </row>
    <row r="965" spans="1:13" s="65" customFormat="1" ht="17.5" customHeight="1">
      <c r="A965" s="178"/>
      <c r="B965" s="126" t="s">
        <v>145</v>
      </c>
      <c r="C965" s="126"/>
      <c r="D965" s="128">
        <v>1</v>
      </c>
      <c r="E965" s="129">
        <f>E964-D961*E961</f>
        <v>120.75</v>
      </c>
      <c r="F965" s="129"/>
      <c r="G965" s="129">
        <f>G964</f>
        <v>0.38</v>
      </c>
      <c r="H965" s="129">
        <f>D965*E965*G965</f>
        <v>45.89</v>
      </c>
      <c r="I965" s="129"/>
      <c r="J965" s="129"/>
      <c r="K965" s="152" t="s">
        <v>21</v>
      </c>
      <c r="L965" s="179"/>
      <c r="M965" s="180"/>
    </row>
    <row r="966" spans="1:13" s="65" customFormat="1" ht="17.5" customHeight="1">
      <c r="A966" s="178"/>
      <c r="B966" s="126"/>
      <c r="C966" s="126"/>
      <c r="D966" s="128"/>
      <c r="E966" s="129"/>
      <c r="F966" s="129"/>
      <c r="G966" s="129"/>
      <c r="H966" s="274">
        <f>SUM(H950:H965)</f>
        <v>447.45</v>
      </c>
      <c r="I966" s="274">
        <f>SUM(I950:I965)</f>
        <v>1342.92</v>
      </c>
      <c r="J966" s="274">
        <f>I966-H966</f>
        <v>895.47</v>
      </c>
      <c r="K966" s="275" t="s">
        <v>21</v>
      </c>
      <c r="L966" s="179"/>
      <c r="M966" s="180"/>
    </row>
    <row r="967" spans="1:13" s="65" customFormat="1" ht="17.5" customHeight="1">
      <c r="A967" s="178"/>
      <c r="B967" s="126"/>
      <c r="C967" s="126"/>
      <c r="D967" s="128"/>
      <c r="E967" s="129"/>
      <c r="F967" s="129"/>
      <c r="G967" s="129"/>
      <c r="H967" s="129"/>
      <c r="I967" s="129"/>
      <c r="J967" s="129"/>
      <c r="K967" s="152"/>
      <c r="L967" s="179"/>
      <c r="M967" s="180"/>
    </row>
    <row r="968" spans="1:13" s="65" customFormat="1" ht="17.5" customHeight="1">
      <c r="A968" s="178"/>
      <c r="B968" s="181" t="s">
        <v>317</v>
      </c>
      <c r="C968" s="126"/>
      <c r="D968" s="128"/>
      <c r="E968" s="129"/>
      <c r="F968" s="129"/>
      <c r="G968" s="129"/>
      <c r="H968" s="129"/>
      <c r="I968" s="129"/>
      <c r="J968" s="129"/>
      <c r="K968" s="152"/>
      <c r="L968" s="179"/>
      <c r="M968" s="180"/>
    </row>
    <row r="969" spans="1:13" s="65" customFormat="1" ht="17.5" customHeight="1">
      <c r="A969" s="178"/>
      <c r="B969" s="126" t="s">
        <v>318</v>
      </c>
      <c r="C969" s="126"/>
      <c r="D969" s="128">
        <v>2</v>
      </c>
      <c r="E969" s="129">
        <f>17.67</f>
        <v>17.670000000000002</v>
      </c>
      <c r="F969" s="129"/>
      <c r="G969" s="129">
        <f>11-1.17</f>
        <v>9.83</v>
      </c>
      <c r="H969" s="129"/>
      <c r="I969" s="129">
        <f>D969*E969*G969</f>
        <v>347.39</v>
      </c>
      <c r="J969" s="129"/>
      <c r="K969" s="152" t="s">
        <v>21</v>
      </c>
      <c r="L969" s="179"/>
      <c r="M969" s="180"/>
    </row>
    <row r="970" spans="1:13" s="65" customFormat="1" ht="17.5" customHeight="1">
      <c r="A970" s="178"/>
      <c r="B970" s="126" t="s">
        <v>319</v>
      </c>
      <c r="C970" s="126"/>
      <c r="D970" s="128">
        <v>2</v>
      </c>
      <c r="E970" s="129">
        <f>28-3</f>
        <v>25</v>
      </c>
      <c r="F970" s="129"/>
      <c r="G970" s="129">
        <v>9.83</v>
      </c>
      <c r="H970" s="129"/>
      <c r="I970" s="129">
        <f>D970*E970*G970</f>
        <v>491.5</v>
      </c>
      <c r="J970" s="129"/>
      <c r="K970" s="152" t="s">
        <v>21</v>
      </c>
      <c r="L970" s="179"/>
      <c r="M970" s="180"/>
    </row>
    <row r="971" spans="1:13" s="65" customFormat="1" ht="17.5" customHeight="1">
      <c r="A971" s="178"/>
      <c r="B971" s="126" t="s">
        <v>450</v>
      </c>
      <c r="C971" s="126"/>
      <c r="D971" s="128">
        <v>1</v>
      </c>
      <c r="E971" s="129">
        <f>40+9.33</f>
        <v>49.33</v>
      </c>
      <c r="F971" s="129"/>
      <c r="G971" s="129">
        <v>4</v>
      </c>
      <c r="H971" s="129"/>
      <c r="I971" s="129">
        <f>D971*E971*G971</f>
        <v>197.32</v>
      </c>
      <c r="J971" s="129"/>
      <c r="K971" s="152" t="s">
        <v>21</v>
      </c>
      <c r="L971" s="179"/>
      <c r="M971" s="180"/>
    </row>
    <row r="972" spans="1:13" s="65" customFormat="1" ht="17.5" customHeight="1">
      <c r="A972" s="178"/>
      <c r="B972" s="126" t="s">
        <v>449</v>
      </c>
      <c r="C972" s="126"/>
      <c r="D972" s="128">
        <v>1</v>
      </c>
      <c r="E972" s="129">
        <f>13.5</f>
        <v>13.5</v>
      </c>
      <c r="F972" s="129"/>
      <c r="G972" s="129">
        <v>3</v>
      </c>
      <c r="H972" s="129"/>
      <c r="I972" s="129">
        <f>D972*E972*G972</f>
        <v>40.5</v>
      </c>
      <c r="J972" s="129"/>
      <c r="K972" s="152" t="s">
        <v>21</v>
      </c>
      <c r="L972" s="179"/>
      <c r="M972" s="180"/>
    </row>
    <row r="973" spans="1:13" s="65" customFormat="1" ht="17.5" customHeight="1">
      <c r="A973" s="178"/>
      <c r="B973" s="126"/>
      <c r="C973" s="126"/>
      <c r="D973" s="128" t="s">
        <v>101</v>
      </c>
      <c r="E973" s="129">
        <f>D969*E969+D970*E970+D971*E971+D972*E972</f>
        <v>148.16999999999999</v>
      </c>
      <c r="F973" s="129"/>
      <c r="G973" s="129"/>
      <c r="H973" s="129"/>
      <c r="I973" s="129"/>
      <c r="J973" s="129"/>
      <c r="K973" s="152"/>
      <c r="L973" s="179"/>
      <c r="M973" s="180"/>
    </row>
    <row r="974" spans="1:13" s="65" customFormat="1" ht="17.5" customHeight="1">
      <c r="A974" s="178"/>
      <c r="B974" s="126" t="s">
        <v>157</v>
      </c>
      <c r="C974" s="126"/>
      <c r="D974" s="128"/>
      <c r="E974" s="129"/>
      <c r="F974" s="129"/>
      <c r="G974" s="129"/>
      <c r="H974" s="129"/>
      <c r="I974" s="129"/>
      <c r="J974" s="129"/>
      <c r="K974" s="152"/>
      <c r="L974" s="179"/>
      <c r="M974" s="180"/>
    </row>
    <row r="975" spans="1:13" s="65" customFormat="1" ht="17.5" customHeight="1">
      <c r="A975" s="178"/>
      <c r="B975" s="126" t="s">
        <v>308</v>
      </c>
      <c r="C975" s="126"/>
      <c r="D975" s="128">
        <v>1</v>
      </c>
      <c r="E975" s="129">
        <v>3</v>
      </c>
      <c r="F975" s="129"/>
      <c r="G975" s="129">
        <v>2</v>
      </c>
      <c r="H975" s="129">
        <f t="shared" ref="H975:H980" si="32">D975*E975*G975</f>
        <v>6</v>
      </c>
      <c r="I975" s="129"/>
      <c r="J975" s="129"/>
      <c r="K975" s="152" t="s">
        <v>21</v>
      </c>
      <c r="L975" s="179"/>
      <c r="M975" s="180"/>
    </row>
    <row r="976" spans="1:13" s="65" customFormat="1" ht="17.5" customHeight="1">
      <c r="A976" s="178"/>
      <c r="B976" s="126" t="s">
        <v>315</v>
      </c>
      <c r="C976" s="126"/>
      <c r="D976" s="128">
        <v>2</v>
      </c>
      <c r="E976" s="129">
        <v>2</v>
      </c>
      <c r="F976" s="129"/>
      <c r="G976" s="129">
        <v>5</v>
      </c>
      <c r="H976" s="129">
        <f t="shared" si="32"/>
        <v>20</v>
      </c>
      <c r="I976" s="129"/>
      <c r="J976" s="129"/>
      <c r="K976" s="152"/>
      <c r="L976" s="179"/>
      <c r="M976" s="180"/>
    </row>
    <row r="977" spans="1:13" s="65" customFormat="1" ht="17.5" customHeight="1">
      <c r="A977" s="178"/>
      <c r="B977" s="126" t="s">
        <v>310</v>
      </c>
      <c r="C977" s="126"/>
      <c r="D977" s="128">
        <v>2</v>
      </c>
      <c r="E977" s="129">
        <v>2.17</v>
      </c>
      <c r="F977" s="129"/>
      <c r="G977" s="129">
        <v>6</v>
      </c>
      <c r="H977" s="129">
        <f t="shared" si="32"/>
        <v>26.04</v>
      </c>
      <c r="I977" s="129"/>
      <c r="J977" s="129"/>
      <c r="K977" s="152" t="s">
        <v>21</v>
      </c>
      <c r="L977" s="179"/>
      <c r="M977" s="180"/>
    </row>
    <row r="978" spans="1:13" s="65" customFormat="1" ht="17.5" customHeight="1">
      <c r="A978" s="178"/>
      <c r="B978" s="126" t="s">
        <v>311</v>
      </c>
      <c r="C978" s="126"/>
      <c r="D978" s="128">
        <v>1</v>
      </c>
      <c r="E978" s="129">
        <v>6.17</v>
      </c>
      <c r="F978" s="129"/>
      <c r="G978" s="129">
        <v>6</v>
      </c>
      <c r="H978" s="129">
        <f t="shared" si="32"/>
        <v>37.020000000000003</v>
      </c>
      <c r="I978" s="129"/>
      <c r="J978" s="129"/>
      <c r="K978" s="152" t="s">
        <v>21</v>
      </c>
      <c r="L978" s="179"/>
      <c r="M978" s="180"/>
    </row>
    <row r="979" spans="1:13" s="65" customFormat="1" ht="17.5" customHeight="1">
      <c r="A979" s="178"/>
      <c r="B979" s="126" t="s">
        <v>320</v>
      </c>
      <c r="C979" s="126"/>
      <c r="D979" s="128">
        <v>1</v>
      </c>
      <c r="E979" s="129">
        <v>3.25</v>
      </c>
      <c r="F979" s="129"/>
      <c r="G979" s="129">
        <v>7.17</v>
      </c>
      <c r="H979" s="129">
        <f t="shared" si="32"/>
        <v>23.3</v>
      </c>
      <c r="I979" s="129"/>
      <c r="J979" s="129"/>
      <c r="K979" s="152"/>
      <c r="L979" s="179"/>
      <c r="M979" s="180"/>
    </row>
    <row r="980" spans="1:13" s="65" customFormat="1" ht="17.5" customHeight="1">
      <c r="A980" s="178"/>
      <c r="B980" s="126" t="s">
        <v>314</v>
      </c>
      <c r="C980" s="126"/>
      <c r="D980" s="128">
        <v>1</v>
      </c>
      <c r="E980" s="129">
        <v>3.25</v>
      </c>
      <c r="F980" s="129"/>
      <c r="G980" s="129">
        <v>7.17</v>
      </c>
      <c r="H980" s="129">
        <f t="shared" si="32"/>
        <v>23.3</v>
      </c>
      <c r="I980" s="129"/>
      <c r="J980" s="129"/>
      <c r="K980" s="152" t="s">
        <v>21</v>
      </c>
      <c r="L980" s="179"/>
      <c r="M980" s="180"/>
    </row>
    <row r="981" spans="1:13" s="65" customFormat="1" ht="17.5" customHeight="1">
      <c r="A981" s="178"/>
      <c r="B981" s="126"/>
      <c r="C981" s="126"/>
      <c r="D981" s="128"/>
      <c r="E981" s="129"/>
      <c r="F981" s="129"/>
      <c r="G981" s="129"/>
      <c r="H981" s="129"/>
      <c r="I981" s="129"/>
      <c r="J981" s="129"/>
      <c r="K981" s="152"/>
      <c r="L981" s="179"/>
      <c r="M981" s="180"/>
    </row>
    <row r="982" spans="1:13" s="65" customFormat="1" ht="17.5" customHeight="1">
      <c r="A982" s="178"/>
      <c r="B982" s="178" t="s">
        <v>144</v>
      </c>
      <c r="C982" s="178"/>
      <c r="D982" s="128"/>
      <c r="E982" s="129"/>
      <c r="F982" s="129"/>
      <c r="G982" s="129"/>
      <c r="H982" s="129"/>
      <c r="I982" s="129"/>
      <c r="J982" s="129"/>
      <c r="K982" s="152"/>
      <c r="L982" s="179"/>
      <c r="M982" s="180"/>
    </row>
    <row r="983" spans="1:13" s="65" customFormat="1" ht="17.5" customHeight="1">
      <c r="A983" s="178"/>
      <c r="B983" s="126" t="s">
        <v>140</v>
      </c>
      <c r="C983" s="126"/>
      <c r="D983" s="128">
        <v>1</v>
      </c>
      <c r="E983" s="129">
        <f>D969*E969+D970*E970+D971*E971+D972*E972</f>
        <v>148.16999999999999</v>
      </c>
      <c r="F983" s="129"/>
      <c r="G983" s="129">
        <f>4.5/12</f>
        <v>0.38</v>
      </c>
      <c r="H983" s="129">
        <f>D983*E983*G983</f>
        <v>56.3</v>
      </c>
      <c r="I983" s="129"/>
      <c r="J983" s="129"/>
      <c r="K983" s="152" t="s">
        <v>21</v>
      </c>
      <c r="L983" s="179"/>
      <c r="M983" s="180"/>
    </row>
    <row r="984" spans="1:13" s="65" customFormat="1" ht="17.5" customHeight="1">
      <c r="A984" s="178"/>
      <c r="B984" s="126" t="s">
        <v>145</v>
      </c>
      <c r="C984" s="126"/>
      <c r="D984" s="128">
        <v>1</v>
      </c>
      <c r="E984" s="129">
        <f>E983-D979*E979-D980*E980</f>
        <v>141.66999999999999</v>
      </c>
      <c r="F984" s="129"/>
      <c r="G984" s="129">
        <f>G983</f>
        <v>0.38</v>
      </c>
      <c r="H984" s="129">
        <f>D984*E984*G984</f>
        <v>53.83</v>
      </c>
      <c r="I984" s="129"/>
      <c r="J984" s="129"/>
      <c r="K984" s="152" t="s">
        <v>21</v>
      </c>
      <c r="L984" s="179"/>
      <c r="M984" s="180"/>
    </row>
    <row r="985" spans="1:13" s="65" customFormat="1" ht="17.5" customHeight="1">
      <c r="A985" s="178"/>
      <c r="B985" s="126"/>
      <c r="C985" s="126"/>
      <c r="D985" s="128"/>
      <c r="E985" s="129"/>
      <c r="F985" s="129"/>
      <c r="G985" s="129"/>
      <c r="H985" s="274">
        <f>SUM(H969:H984)</f>
        <v>245.79</v>
      </c>
      <c r="I985" s="274">
        <f>SUM(I969:I984)</f>
        <v>1076.71</v>
      </c>
      <c r="J985" s="274">
        <f>I985-H985</f>
        <v>830.92</v>
      </c>
      <c r="K985" s="275" t="s">
        <v>21</v>
      </c>
      <c r="L985" s="179"/>
      <c r="M985" s="180"/>
    </row>
    <row r="986" spans="1:13" s="65" customFormat="1" ht="17.5" customHeight="1">
      <c r="A986" s="178"/>
      <c r="B986" s="126"/>
      <c r="C986" s="126"/>
      <c r="D986" s="128"/>
      <c r="E986" s="129"/>
      <c r="F986" s="129"/>
      <c r="G986" s="129"/>
      <c r="H986" s="129"/>
      <c r="I986" s="129"/>
      <c r="J986" s="129"/>
      <c r="K986" s="152"/>
      <c r="L986" s="179"/>
      <c r="M986" s="180"/>
    </row>
    <row r="987" spans="1:13" s="65" customFormat="1" ht="17.5" customHeight="1">
      <c r="A987" s="178"/>
      <c r="B987" s="178" t="s">
        <v>321</v>
      </c>
      <c r="C987" s="126"/>
      <c r="D987" s="128"/>
      <c r="E987" s="129"/>
      <c r="F987" s="129"/>
      <c r="G987" s="129"/>
      <c r="H987" s="129"/>
      <c r="I987" s="129"/>
      <c r="J987" s="129"/>
      <c r="K987" s="152"/>
      <c r="L987" s="179"/>
      <c r="M987" s="180"/>
    </row>
    <row r="988" spans="1:13" s="65" customFormat="1" ht="17.5" customHeight="1">
      <c r="A988" s="178"/>
      <c r="B988" s="181" t="s">
        <v>195</v>
      </c>
      <c r="C988" s="181"/>
      <c r="D988" s="128"/>
      <c r="E988" s="129"/>
      <c r="F988" s="129"/>
      <c r="G988" s="129"/>
      <c r="H988" s="129"/>
      <c r="I988" s="129"/>
      <c r="J988" s="129"/>
      <c r="K988" s="152"/>
      <c r="L988" s="179"/>
      <c r="M988" s="180"/>
    </row>
    <row r="989" spans="1:13" s="65" customFormat="1" ht="17.5" customHeight="1">
      <c r="A989" s="178"/>
      <c r="B989" s="126" t="s">
        <v>196</v>
      </c>
      <c r="C989" s="126"/>
      <c r="D989" s="128">
        <v>1</v>
      </c>
      <c r="E989" s="129">
        <f>(27-9.33)*2+28*2</f>
        <v>91.34</v>
      </c>
      <c r="F989" s="129"/>
      <c r="G989" s="129">
        <v>2</v>
      </c>
      <c r="H989" s="129"/>
      <c r="I989" s="129">
        <f>D989*E989*G989</f>
        <v>182.68</v>
      </c>
      <c r="J989" s="129"/>
      <c r="K989" s="152" t="s">
        <v>21</v>
      </c>
      <c r="L989" s="179"/>
      <c r="M989" s="180"/>
    </row>
    <row r="990" spans="1:13" s="65" customFormat="1" ht="17.5" customHeight="1">
      <c r="A990" s="178"/>
      <c r="B990" s="126" t="s">
        <v>199</v>
      </c>
      <c r="C990" s="126"/>
      <c r="D990" s="128">
        <v>10</v>
      </c>
      <c r="E990" s="129">
        <f>0.375</f>
        <v>0.38</v>
      </c>
      <c r="F990" s="129"/>
      <c r="G990" s="129">
        <v>2</v>
      </c>
      <c r="H990" s="129">
        <f>D990*E990*G990</f>
        <v>7.6</v>
      </c>
      <c r="I990" s="129"/>
      <c r="J990" s="129"/>
      <c r="K990" s="152" t="s">
        <v>21</v>
      </c>
      <c r="L990" s="179"/>
      <c r="M990" s="180"/>
    </row>
    <row r="991" spans="1:13" s="65" customFormat="1" ht="17.5" customHeight="1">
      <c r="A991" s="178"/>
      <c r="B991" s="126"/>
      <c r="C991" s="126"/>
      <c r="D991" s="128" t="s">
        <v>101</v>
      </c>
      <c r="E991" s="129">
        <f>D989*E989</f>
        <v>91.34</v>
      </c>
      <c r="F991" s="129"/>
      <c r="G991" s="129"/>
      <c r="H991" s="274">
        <f>SUM(H989:H990)</f>
        <v>7.6</v>
      </c>
      <c r="I991" s="274">
        <f>SUM(I989:I990)</f>
        <v>182.68</v>
      </c>
      <c r="J991" s="274">
        <f>I991-H991</f>
        <v>175.08</v>
      </c>
      <c r="K991" s="275" t="s">
        <v>21</v>
      </c>
      <c r="L991" s="179"/>
      <c r="M991" s="180"/>
    </row>
    <row r="992" spans="1:13" s="65" customFormat="1" ht="17.5" customHeight="1">
      <c r="A992" s="178"/>
      <c r="B992" s="126"/>
      <c r="C992" s="126"/>
      <c r="D992" s="128"/>
      <c r="E992" s="129"/>
      <c r="F992" s="129"/>
      <c r="G992" s="129"/>
      <c r="H992" s="129"/>
      <c r="I992" s="129"/>
      <c r="J992" s="129"/>
      <c r="K992" s="152"/>
      <c r="L992" s="179"/>
      <c r="M992" s="180"/>
    </row>
    <row r="993" spans="1:13" s="65" customFormat="1" ht="17.5" customHeight="1">
      <c r="A993" s="178"/>
      <c r="B993" s="126"/>
      <c r="C993" s="126"/>
      <c r="D993" s="128"/>
      <c r="E993" s="129"/>
      <c r="F993" s="129"/>
      <c r="G993" s="129"/>
      <c r="H993" s="274">
        <f>H991+H985+H966+H947</f>
        <v>1253.33</v>
      </c>
      <c r="I993" s="274">
        <f>I991+I985+I966+I947</f>
        <v>3998.25</v>
      </c>
      <c r="J993" s="129"/>
      <c r="K993" s="152" t="s">
        <v>21</v>
      </c>
      <c r="L993" s="179"/>
      <c r="M993" s="180"/>
    </row>
    <row r="994" spans="1:13" s="65" customFormat="1" ht="17.5" customHeight="1">
      <c r="A994" s="178"/>
      <c r="B994" s="126"/>
      <c r="C994" s="126"/>
      <c r="D994" s="128"/>
      <c r="E994" s="129"/>
      <c r="F994" s="129"/>
      <c r="G994" s="129"/>
      <c r="H994" s="129"/>
      <c r="I994" s="183" t="s">
        <v>147</v>
      </c>
      <c r="J994" s="129">
        <f>I993-H993</f>
        <v>2744.92</v>
      </c>
      <c r="K994" s="152" t="s">
        <v>21</v>
      </c>
      <c r="L994" s="179"/>
      <c r="M994" s="180"/>
    </row>
    <row r="995" spans="1:13" s="65" customFormat="1" ht="17.5" customHeight="1">
      <c r="A995" s="178"/>
      <c r="B995" s="126"/>
      <c r="C995" s="126"/>
      <c r="D995" s="128"/>
      <c r="E995" s="129"/>
      <c r="F995" s="129"/>
      <c r="G995" s="129"/>
      <c r="H995" s="129"/>
      <c r="I995" s="129"/>
      <c r="J995" s="129"/>
      <c r="K995" s="152"/>
      <c r="L995" s="179"/>
      <c r="M995" s="180"/>
    </row>
    <row r="996" spans="1:13" s="65" customFormat="1" ht="17.5" customHeight="1">
      <c r="A996" s="178"/>
      <c r="B996" s="178" t="s">
        <v>141</v>
      </c>
      <c r="C996" s="178"/>
      <c r="D996" s="128"/>
      <c r="E996" s="129"/>
      <c r="F996" s="129"/>
      <c r="G996" s="129"/>
      <c r="H996" s="129"/>
      <c r="I996" s="129"/>
      <c r="J996" s="129"/>
      <c r="K996" s="152"/>
      <c r="L996" s="179"/>
      <c r="M996" s="180"/>
    </row>
    <row r="997" spans="1:13" s="65" customFormat="1" ht="17.5" customHeight="1">
      <c r="A997" s="178"/>
      <c r="B997" s="178" t="s">
        <v>92</v>
      </c>
      <c r="C997" s="178"/>
      <c r="D997" s="128"/>
      <c r="E997" s="129"/>
      <c r="F997" s="129"/>
      <c r="G997" s="129"/>
      <c r="H997" s="129"/>
      <c r="I997" s="129"/>
      <c r="J997" s="129"/>
      <c r="K997" s="152"/>
      <c r="L997" s="179"/>
      <c r="M997" s="180"/>
    </row>
    <row r="998" spans="1:13" s="65" customFormat="1" ht="17.5" customHeight="1">
      <c r="A998" s="178"/>
      <c r="B998" s="126" t="s">
        <v>322</v>
      </c>
      <c r="C998" s="126"/>
      <c r="D998" s="128">
        <v>2</v>
      </c>
      <c r="E998" s="129">
        <f>13.5+8</f>
        <v>21.5</v>
      </c>
      <c r="F998" s="129"/>
      <c r="G998" s="129">
        <f t="shared" ref="G998:G1005" si="33">13-1.17</f>
        <v>11.83</v>
      </c>
      <c r="H998" s="129"/>
      <c r="I998" s="129">
        <f t="shared" ref="I998:I1005" si="34">D998*E998*G998</f>
        <v>508.69</v>
      </c>
      <c r="J998" s="129"/>
      <c r="K998" s="152" t="s">
        <v>21</v>
      </c>
      <c r="L998" s="179"/>
      <c r="M998" s="180"/>
    </row>
    <row r="999" spans="1:13" s="65" customFormat="1" ht="17.5" customHeight="1">
      <c r="A999" s="178"/>
      <c r="B999" s="126" t="s">
        <v>323</v>
      </c>
      <c r="C999" s="126"/>
      <c r="D999" s="128">
        <v>1</v>
      </c>
      <c r="E999" s="129">
        <v>4</v>
      </c>
      <c r="F999" s="129"/>
      <c r="G999" s="129">
        <f t="shared" si="33"/>
        <v>11.83</v>
      </c>
      <c r="H999" s="129"/>
      <c r="I999" s="129">
        <f t="shared" si="34"/>
        <v>47.32</v>
      </c>
      <c r="J999" s="129"/>
      <c r="K999" s="152" t="s">
        <v>21</v>
      </c>
      <c r="L999" s="179"/>
      <c r="M999" s="180"/>
    </row>
    <row r="1000" spans="1:13" s="65" customFormat="1" ht="17.5" customHeight="1">
      <c r="A1000" s="178"/>
      <c r="B1000" s="126" t="s">
        <v>324</v>
      </c>
      <c r="C1000" s="126"/>
      <c r="D1000" s="128">
        <v>1</v>
      </c>
      <c r="E1000" s="129">
        <v>8</v>
      </c>
      <c r="F1000" s="129"/>
      <c r="G1000" s="129">
        <f t="shared" si="33"/>
        <v>11.83</v>
      </c>
      <c r="H1000" s="129"/>
      <c r="I1000" s="129">
        <f t="shared" si="34"/>
        <v>94.64</v>
      </c>
      <c r="J1000" s="129"/>
      <c r="K1000" s="152" t="s">
        <v>21</v>
      </c>
      <c r="L1000" s="179"/>
      <c r="M1000" s="180"/>
    </row>
    <row r="1001" spans="1:13" s="65" customFormat="1" ht="17.5" customHeight="1">
      <c r="A1001" s="178"/>
      <c r="B1001" s="126" t="s">
        <v>325</v>
      </c>
      <c r="C1001" s="126"/>
      <c r="D1001" s="128">
        <v>1</v>
      </c>
      <c r="E1001" s="129">
        <v>4.5</v>
      </c>
      <c r="F1001" s="129"/>
      <c r="G1001" s="129">
        <f t="shared" si="33"/>
        <v>11.83</v>
      </c>
      <c r="H1001" s="129"/>
      <c r="I1001" s="129">
        <f t="shared" si="34"/>
        <v>53.24</v>
      </c>
      <c r="J1001" s="129"/>
      <c r="K1001" s="152" t="s">
        <v>21</v>
      </c>
      <c r="L1001" s="179"/>
      <c r="M1001" s="180"/>
    </row>
    <row r="1002" spans="1:13" s="65" customFormat="1" ht="17.5" customHeight="1">
      <c r="A1002" s="178"/>
      <c r="B1002" s="126"/>
      <c r="C1002" s="126"/>
      <c r="D1002" s="128">
        <v>1</v>
      </c>
      <c r="E1002" s="129">
        <v>4.5</v>
      </c>
      <c r="F1002" s="129"/>
      <c r="G1002" s="129">
        <v>6.5</v>
      </c>
      <c r="H1002" s="129"/>
      <c r="I1002" s="129">
        <f>D1002*E1002*G1002</f>
        <v>29.25</v>
      </c>
      <c r="J1002" s="129"/>
      <c r="K1002" s="152" t="s">
        <v>21</v>
      </c>
      <c r="L1002" s="179"/>
      <c r="M1002" s="180"/>
    </row>
    <row r="1003" spans="1:13" s="65" customFormat="1" ht="17.5" customHeight="1">
      <c r="A1003" s="178"/>
      <c r="B1003" s="126"/>
      <c r="C1003" s="126"/>
      <c r="D1003" s="128">
        <v>1</v>
      </c>
      <c r="E1003" s="129">
        <v>9</v>
      </c>
      <c r="F1003" s="129"/>
      <c r="G1003" s="129">
        <f>(11.83+6.5)/2</f>
        <v>9.17</v>
      </c>
      <c r="H1003" s="129"/>
      <c r="I1003" s="129">
        <f>D1003*E1003*G1003</f>
        <v>82.53</v>
      </c>
      <c r="J1003" s="129"/>
      <c r="K1003" s="152" t="s">
        <v>21</v>
      </c>
      <c r="L1003" s="179"/>
      <c r="M1003" s="180"/>
    </row>
    <row r="1004" spans="1:13" s="65" customFormat="1" ht="17.5" customHeight="1">
      <c r="A1004" s="178"/>
      <c r="B1004" s="126" t="s">
        <v>326</v>
      </c>
      <c r="C1004" s="126"/>
      <c r="D1004" s="128">
        <v>1</v>
      </c>
      <c r="E1004" s="129">
        <f>19-2</f>
        <v>17</v>
      </c>
      <c r="F1004" s="129"/>
      <c r="G1004" s="129">
        <f t="shared" si="33"/>
        <v>11.83</v>
      </c>
      <c r="H1004" s="129"/>
      <c r="I1004" s="129">
        <f t="shared" si="34"/>
        <v>201.11</v>
      </c>
      <c r="J1004" s="129"/>
      <c r="K1004" s="152" t="s">
        <v>21</v>
      </c>
      <c r="L1004" s="179"/>
      <c r="M1004" s="180"/>
    </row>
    <row r="1005" spans="1:13" s="65" customFormat="1" ht="17.5" customHeight="1">
      <c r="A1005" s="178"/>
      <c r="B1005" s="126" t="s">
        <v>327</v>
      </c>
      <c r="C1005" s="126"/>
      <c r="D1005" s="128">
        <v>1</v>
      </c>
      <c r="E1005" s="129">
        <f>13.5+6.25</f>
        <v>19.75</v>
      </c>
      <c r="F1005" s="129"/>
      <c r="G1005" s="129">
        <f t="shared" si="33"/>
        <v>11.83</v>
      </c>
      <c r="H1005" s="129"/>
      <c r="I1005" s="129">
        <f t="shared" si="34"/>
        <v>233.64</v>
      </c>
      <c r="J1005" s="129"/>
      <c r="K1005" s="152" t="s">
        <v>21</v>
      </c>
      <c r="L1005" s="179"/>
      <c r="M1005" s="180"/>
    </row>
    <row r="1006" spans="1:13" s="65" customFormat="1" ht="17.5" customHeight="1">
      <c r="A1006" s="178"/>
      <c r="B1006" s="126"/>
      <c r="C1006" s="126"/>
      <c r="D1006" s="128" t="s">
        <v>101</v>
      </c>
      <c r="E1006" s="129">
        <f>D998*E998+D999*E999+D1000*E1000+D1001*E1001+D1004*E1004+D1005*E1005</f>
        <v>96.25</v>
      </c>
      <c r="F1006" s="129"/>
      <c r="G1006" s="129"/>
      <c r="H1006" s="129"/>
      <c r="I1006" s="129"/>
      <c r="J1006" s="129"/>
      <c r="K1006" s="152"/>
      <c r="L1006" s="179"/>
      <c r="M1006" s="180"/>
    </row>
    <row r="1007" spans="1:13" s="65" customFormat="1" ht="17.5" customHeight="1">
      <c r="A1007" s="178"/>
      <c r="B1007" s="178" t="s">
        <v>143</v>
      </c>
      <c r="C1007" s="178"/>
      <c r="D1007" s="128"/>
      <c r="E1007" s="129"/>
      <c r="F1007" s="129"/>
      <c r="G1007" s="129"/>
      <c r="H1007" s="129"/>
      <c r="I1007" s="129"/>
      <c r="J1007" s="129"/>
      <c r="K1007" s="152"/>
      <c r="L1007" s="179"/>
      <c r="M1007" s="180"/>
    </row>
    <row r="1008" spans="1:13" s="65" customFormat="1" ht="17.5" customHeight="1">
      <c r="A1008" s="178"/>
      <c r="B1008" s="126" t="s">
        <v>335</v>
      </c>
      <c r="C1008" s="126"/>
      <c r="D1008" s="128">
        <v>5</v>
      </c>
      <c r="E1008" s="129">
        <v>3.25</v>
      </c>
      <c r="F1008" s="129"/>
      <c r="G1008" s="129">
        <v>7.17</v>
      </c>
      <c r="H1008" s="129">
        <f>D1008*E1008*G1008</f>
        <v>116.51</v>
      </c>
      <c r="I1008" s="129"/>
      <c r="J1008" s="129"/>
      <c r="K1008" s="152" t="s">
        <v>21</v>
      </c>
      <c r="L1008" s="179"/>
      <c r="M1008" s="180"/>
    </row>
    <row r="1009" spans="1:13" s="65" customFormat="1" ht="17.5" customHeight="1">
      <c r="A1009" s="178"/>
      <c r="B1009" s="126" t="s">
        <v>336</v>
      </c>
      <c r="C1009" s="126"/>
      <c r="D1009" s="128">
        <v>1</v>
      </c>
      <c r="E1009" s="129">
        <v>3.25</v>
      </c>
      <c r="F1009" s="129"/>
      <c r="G1009" s="129">
        <v>7.17</v>
      </c>
      <c r="H1009" s="129">
        <f>D1009*E1009*G1009</f>
        <v>23.3</v>
      </c>
      <c r="I1009" s="129"/>
      <c r="J1009" s="129"/>
      <c r="K1009" s="152" t="s">
        <v>21</v>
      </c>
      <c r="L1009" s="179"/>
      <c r="M1009" s="180"/>
    </row>
    <row r="1010" spans="1:13" s="65" customFormat="1" ht="17.5" customHeight="1">
      <c r="A1010" s="178"/>
      <c r="B1010" s="178" t="s">
        <v>197</v>
      </c>
      <c r="C1010" s="178"/>
      <c r="D1010" s="128"/>
      <c r="E1010" s="129"/>
      <c r="F1010" s="129"/>
      <c r="G1010" s="129"/>
      <c r="H1010" s="129"/>
      <c r="I1010" s="129"/>
      <c r="J1010" s="129"/>
      <c r="K1010" s="152"/>
      <c r="L1010" s="179"/>
      <c r="M1010" s="180"/>
    </row>
    <row r="1011" spans="1:13" s="65" customFormat="1" ht="17.5" customHeight="1">
      <c r="A1011" s="178"/>
      <c r="B1011" s="126" t="s">
        <v>140</v>
      </c>
      <c r="C1011" s="126"/>
      <c r="D1011" s="128">
        <v>1</v>
      </c>
      <c r="E1011" s="129">
        <f>E1006</f>
        <v>96.25</v>
      </c>
      <c r="F1011" s="129"/>
      <c r="G1011" s="129">
        <f>4.5/12</f>
        <v>0.38</v>
      </c>
      <c r="H1011" s="129">
        <f>D1011*E1011*G1011</f>
        <v>36.58</v>
      </c>
      <c r="I1011" s="129"/>
      <c r="J1011" s="129"/>
      <c r="K1011" s="152" t="s">
        <v>21</v>
      </c>
      <c r="L1011" s="179"/>
      <c r="M1011" s="180"/>
    </row>
    <row r="1012" spans="1:13" s="65" customFormat="1" ht="17.5" customHeight="1">
      <c r="A1012" s="178"/>
      <c r="B1012" s="126" t="s">
        <v>145</v>
      </c>
      <c r="C1012" s="126"/>
      <c r="D1012" s="128">
        <v>1</v>
      </c>
      <c r="E1012" s="129">
        <f>E1011-D1008*E1008-D1009*E1009</f>
        <v>76.75</v>
      </c>
      <c r="F1012" s="129"/>
      <c r="G1012" s="129">
        <f>G1011</f>
        <v>0.38</v>
      </c>
      <c r="H1012" s="129">
        <f>D1012*E1012*G1012</f>
        <v>29.17</v>
      </c>
      <c r="I1012" s="129"/>
      <c r="J1012" s="129"/>
      <c r="K1012" s="152" t="s">
        <v>21</v>
      </c>
      <c r="L1012" s="179"/>
      <c r="M1012" s="180"/>
    </row>
    <row r="1013" spans="1:13" s="65" customFormat="1" ht="17.5" customHeight="1">
      <c r="A1013" s="178"/>
      <c r="B1013" s="126"/>
      <c r="C1013" s="126"/>
      <c r="D1013" s="128"/>
      <c r="E1013" s="129"/>
      <c r="F1013" s="129"/>
      <c r="G1013" s="129"/>
      <c r="H1013" s="274">
        <f>SUM(H998:H1012)</f>
        <v>205.56</v>
      </c>
      <c r="I1013" s="274">
        <f>SUM(I998:I1012)</f>
        <v>1250.42</v>
      </c>
      <c r="J1013" s="274">
        <f>I1013-H1013</f>
        <v>1044.8599999999999</v>
      </c>
      <c r="K1013" s="275"/>
      <c r="L1013" s="179"/>
      <c r="M1013" s="180"/>
    </row>
    <row r="1014" spans="1:13" s="65" customFormat="1" ht="17.5" customHeight="1">
      <c r="A1014" s="178"/>
      <c r="B1014" s="178" t="s">
        <v>142</v>
      </c>
      <c r="C1014" s="178"/>
      <c r="D1014" s="128"/>
      <c r="E1014" s="129"/>
      <c r="F1014" s="129"/>
      <c r="G1014" s="129"/>
      <c r="H1014" s="129"/>
      <c r="I1014" s="129"/>
      <c r="J1014" s="129"/>
      <c r="K1014" s="152"/>
      <c r="L1014" s="179"/>
      <c r="M1014" s="180"/>
    </row>
    <row r="1015" spans="1:13" s="65" customFormat="1" ht="17.5" customHeight="1">
      <c r="A1015" s="178"/>
      <c r="B1015" s="126" t="s">
        <v>328</v>
      </c>
      <c r="C1015" s="126"/>
      <c r="D1015" s="128">
        <v>1</v>
      </c>
      <c r="E1015" s="129">
        <f>13.5-1.5</f>
        <v>12</v>
      </c>
      <c r="F1015" s="129"/>
      <c r="G1015" s="129">
        <f>12-1.17</f>
        <v>10.83</v>
      </c>
      <c r="H1015" s="129"/>
      <c r="I1015" s="129">
        <f t="shared" ref="I1015:I1021" si="35">D1015*E1015*G1015</f>
        <v>129.96</v>
      </c>
      <c r="J1015" s="129"/>
      <c r="K1015" s="152" t="s">
        <v>21</v>
      </c>
      <c r="L1015" s="179"/>
      <c r="M1015" s="180"/>
    </row>
    <row r="1016" spans="1:13" s="65" customFormat="1" ht="17.5" customHeight="1">
      <c r="A1016" s="178"/>
      <c r="B1016" s="126" t="s">
        <v>329</v>
      </c>
      <c r="C1016" s="126"/>
      <c r="D1016" s="128">
        <v>1</v>
      </c>
      <c r="E1016" s="129">
        <f>13.5-1.5+8</f>
        <v>20</v>
      </c>
      <c r="F1016" s="129"/>
      <c r="G1016" s="129">
        <f t="shared" ref="G1016:G1021" si="36">G1015</f>
        <v>10.83</v>
      </c>
      <c r="H1016" s="129"/>
      <c r="I1016" s="129">
        <f t="shared" si="35"/>
        <v>216.6</v>
      </c>
      <c r="J1016" s="129"/>
      <c r="K1016" s="152" t="s">
        <v>21</v>
      </c>
      <c r="L1016" s="179"/>
      <c r="M1016" s="180"/>
    </row>
    <row r="1017" spans="1:13" s="65" customFormat="1" ht="17.5" customHeight="1">
      <c r="A1017" s="178"/>
      <c r="B1017" s="126"/>
      <c r="C1017" s="126"/>
      <c r="D1017" s="128">
        <v>1</v>
      </c>
      <c r="E1017" s="129">
        <v>4</v>
      </c>
      <c r="F1017" s="129"/>
      <c r="G1017" s="129">
        <f t="shared" si="36"/>
        <v>10.83</v>
      </c>
      <c r="H1017" s="129"/>
      <c r="I1017" s="129">
        <f t="shared" si="35"/>
        <v>43.32</v>
      </c>
      <c r="J1017" s="129"/>
      <c r="K1017" s="152" t="s">
        <v>21</v>
      </c>
      <c r="L1017" s="179"/>
      <c r="M1017" s="180"/>
    </row>
    <row r="1018" spans="1:13" s="65" customFormat="1" ht="17.5" customHeight="1">
      <c r="A1018" s="178"/>
      <c r="B1018" s="126" t="s">
        <v>330</v>
      </c>
      <c r="C1018" s="126"/>
      <c r="D1018" s="128">
        <v>1</v>
      </c>
      <c r="E1018" s="129">
        <v>17.5</v>
      </c>
      <c r="F1018" s="129"/>
      <c r="G1018" s="129">
        <f t="shared" si="36"/>
        <v>10.83</v>
      </c>
      <c r="H1018" s="129"/>
      <c r="I1018" s="129">
        <f t="shared" si="35"/>
        <v>189.53</v>
      </c>
      <c r="J1018" s="129"/>
      <c r="K1018" s="152" t="s">
        <v>21</v>
      </c>
      <c r="L1018" s="179"/>
      <c r="M1018" s="180"/>
    </row>
    <row r="1019" spans="1:13" s="65" customFormat="1" ht="17.5" customHeight="1">
      <c r="A1019" s="178"/>
      <c r="B1019" s="126" t="s">
        <v>331</v>
      </c>
      <c r="C1019" s="126"/>
      <c r="D1019" s="128">
        <v>1</v>
      </c>
      <c r="E1019" s="129">
        <f>19-2</f>
        <v>17</v>
      </c>
      <c r="F1019" s="129"/>
      <c r="G1019" s="129">
        <f t="shared" si="36"/>
        <v>10.83</v>
      </c>
      <c r="H1019" s="129"/>
      <c r="I1019" s="129">
        <f t="shared" si="35"/>
        <v>184.11</v>
      </c>
      <c r="J1019" s="129"/>
      <c r="K1019" s="152" t="s">
        <v>21</v>
      </c>
      <c r="L1019" s="179"/>
      <c r="M1019" s="180"/>
    </row>
    <row r="1020" spans="1:13" s="65" customFormat="1" ht="17.5" customHeight="1">
      <c r="A1020" s="178"/>
      <c r="B1020" s="126" t="s">
        <v>332</v>
      </c>
      <c r="C1020" s="126"/>
      <c r="D1020" s="128">
        <v>2</v>
      </c>
      <c r="E1020" s="129">
        <v>5.25</v>
      </c>
      <c r="F1020" s="129"/>
      <c r="G1020" s="129">
        <f t="shared" si="36"/>
        <v>10.83</v>
      </c>
      <c r="H1020" s="129"/>
      <c r="I1020" s="129">
        <f t="shared" si="35"/>
        <v>113.72</v>
      </c>
      <c r="J1020" s="129"/>
      <c r="K1020" s="152" t="s">
        <v>21</v>
      </c>
      <c r="L1020" s="179"/>
      <c r="M1020" s="180"/>
    </row>
    <row r="1021" spans="1:13" s="65" customFormat="1" ht="17.5" customHeight="1">
      <c r="A1021" s="178"/>
      <c r="B1021" s="126" t="s">
        <v>451</v>
      </c>
      <c r="C1021" s="126"/>
      <c r="D1021" s="128">
        <v>1</v>
      </c>
      <c r="E1021" s="129">
        <v>3.75</v>
      </c>
      <c r="F1021" s="129"/>
      <c r="G1021" s="129">
        <f t="shared" si="36"/>
        <v>10.83</v>
      </c>
      <c r="H1021" s="129"/>
      <c r="I1021" s="129">
        <f t="shared" si="35"/>
        <v>40.61</v>
      </c>
      <c r="J1021" s="129"/>
      <c r="K1021" s="152" t="s">
        <v>21</v>
      </c>
      <c r="L1021" s="179"/>
      <c r="M1021" s="180"/>
    </row>
    <row r="1022" spans="1:13" s="65" customFormat="1" ht="17.5" customHeight="1">
      <c r="A1022" s="178"/>
      <c r="B1022" s="126"/>
      <c r="C1022" s="126"/>
      <c r="D1022" s="128" t="s">
        <v>101</v>
      </c>
      <c r="E1022" s="129">
        <f>D1015*E1015+D1016*E1016+D1017*E1017+D1018*E1018+D1019*E1019+D1020*E1020+D1021*E1021</f>
        <v>84.75</v>
      </c>
      <c r="F1022" s="129"/>
      <c r="G1022" s="129"/>
      <c r="H1022" s="129"/>
      <c r="I1022" s="129"/>
      <c r="J1022" s="129"/>
      <c r="K1022" s="152"/>
      <c r="L1022" s="179"/>
      <c r="M1022" s="180"/>
    </row>
    <row r="1023" spans="1:13" s="65" customFormat="1" ht="17.5" customHeight="1">
      <c r="A1023" s="178"/>
      <c r="B1023" s="178" t="s">
        <v>143</v>
      </c>
      <c r="C1023" s="178"/>
      <c r="D1023" s="128"/>
      <c r="E1023" s="129"/>
      <c r="F1023" s="129"/>
      <c r="G1023" s="129"/>
      <c r="H1023" s="129"/>
      <c r="I1023" s="129"/>
      <c r="J1023" s="129"/>
      <c r="K1023" s="152"/>
      <c r="L1023" s="179"/>
      <c r="M1023" s="180"/>
    </row>
    <row r="1024" spans="1:13" s="65" customFormat="1" ht="17.5" customHeight="1">
      <c r="A1024" s="178"/>
      <c r="B1024" s="126" t="s">
        <v>335</v>
      </c>
      <c r="C1024" s="126"/>
      <c r="D1024" s="128">
        <v>2</v>
      </c>
      <c r="E1024" s="129">
        <v>3.25</v>
      </c>
      <c r="F1024" s="129"/>
      <c r="G1024" s="129">
        <v>7.17</v>
      </c>
      <c r="H1024" s="129">
        <f>D1024*E1024*G1024</f>
        <v>46.61</v>
      </c>
      <c r="I1024" s="129"/>
      <c r="J1024" s="129"/>
      <c r="K1024" s="152" t="s">
        <v>21</v>
      </c>
      <c r="L1024" s="179"/>
      <c r="M1024" s="180"/>
    </row>
    <row r="1025" spans="1:13" s="65" customFormat="1" ht="17.5" customHeight="1">
      <c r="A1025" s="178"/>
      <c r="B1025" s="126" t="s">
        <v>336</v>
      </c>
      <c r="C1025" s="126"/>
      <c r="D1025" s="128">
        <v>2</v>
      </c>
      <c r="E1025" s="129">
        <v>3.25</v>
      </c>
      <c r="F1025" s="129"/>
      <c r="G1025" s="129">
        <v>7.17</v>
      </c>
      <c r="H1025" s="129">
        <f>D1025*E1025*G1025</f>
        <v>46.61</v>
      </c>
      <c r="I1025" s="129"/>
      <c r="J1025" s="129"/>
      <c r="K1025" s="152" t="s">
        <v>21</v>
      </c>
      <c r="L1025" s="179"/>
      <c r="M1025" s="180"/>
    </row>
    <row r="1026" spans="1:13" s="65" customFormat="1" ht="17.5" customHeight="1">
      <c r="A1026" s="178"/>
      <c r="B1026" s="126"/>
      <c r="C1026" s="126"/>
      <c r="D1026" s="128"/>
      <c r="E1026" s="129"/>
      <c r="F1026" s="129"/>
      <c r="G1026" s="129"/>
      <c r="H1026" s="129"/>
      <c r="I1026" s="129"/>
      <c r="J1026" s="129"/>
      <c r="K1026" s="152"/>
      <c r="L1026" s="179"/>
      <c r="M1026" s="180"/>
    </row>
    <row r="1027" spans="1:13" s="65" customFormat="1" ht="17.5" customHeight="1">
      <c r="A1027" s="178"/>
      <c r="B1027" s="178" t="s">
        <v>144</v>
      </c>
      <c r="C1027" s="178"/>
      <c r="D1027" s="128"/>
      <c r="E1027" s="129"/>
      <c r="F1027" s="129"/>
      <c r="G1027" s="129"/>
      <c r="H1027" s="129"/>
      <c r="I1027" s="129"/>
      <c r="J1027" s="129"/>
      <c r="K1027" s="152"/>
      <c r="L1027" s="179"/>
      <c r="M1027" s="180"/>
    </row>
    <row r="1028" spans="1:13" s="65" customFormat="1" ht="17.5" customHeight="1">
      <c r="A1028" s="178"/>
      <c r="B1028" s="126" t="s">
        <v>140</v>
      </c>
      <c r="C1028" s="126"/>
      <c r="D1028" s="128">
        <v>1</v>
      </c>
      <c r="E1028" s="129">
        <f>E1022</f>
        <v>84.75</v>
      </c>
      <c r="F1028" s="129"/>
      <c r="G1028" s="129">
        <f>4.5/12</f>
        <v>0.38</v>
      </c>
      <c r="H1028" s="129">
        <f>D1028*E1028*G1028</f>
        <v>32.21</v>
      </c>
      <c r="I1028" s="129"/>
      <c r="J1028" s="129"/>
      <c r="K1028" s="152" t="s">
        <v>21</v>
      </c>
      <c r="L1028" s="179"/>
      <c r="M1028" s="180"/>
    </row>
    <row r="1029" spans="1:13" s="65" customFormat="1" ht="17.5" customHeight="1">
      <c r="A1029" s="178"/>
      <c r="B1029" s="126" t="s">
        <v>145</v>
      </c>
      <c r="C1029" s="126"/>
      <c r="D1029" s="128">
        <v>1</v>
      </c>
      <c r="E1029" s="129">
        <f>E1028-D1024*E1024-D1025*E1025</f>
        <v>71.75</v>
      </c>
      <c r="F1029" s="129"/>
      <c r="G1029" s="129">
        <f>G1028</f>
        <v>0.38</v>
      </c>
      <c r="H1029" s="129">
        <f>D1029*E1029*G1029</f>
        <v>27.27</v>
      </c>
      <c r="I1029" s="129"/>
      <c r="J1029" s="129"/>
      <c r="K1029" s="152" t="s">
        <v>21</v>
      </c>
      <c r="L1029" s="179"/>
      <c r="M1029" s="180"/>
    </row>
    <row r="1030" spans="1:13" s="65" customFormat="1" ht="17.5" customHeight="1">
      <c r="A1030" s="178"/>
      <c r="B1030" s="126"/>
      <c r="C1030" s="126"/>
      <c r="D1030" s="128"/>
      <c r="E1030" s="129"/>
      <c r="F1030" s="129"/>
      <c r="G1030" s="129"/>
      <c r="H1030" s="274">
        <f>SUM(H1015:H1029)</f>
        <v>152.69999999999999</v>
      </c>
      <c r="I1030" s="274">
        <f>SUM(I1015:I1029)</f>
        <v>917.85</v>
      </c>
      <c r="J1030" s="274">
        <f>I1030-H1030</f>
        <v>765.15</v>
      </c>
      <c r="K1030" s="275"/>
      <c r="L1030" s="179"/>
      <c r="M1030" s="180"/>
    </row>
    <row r="1031" spans="1:13" s="65" customFormat="1" ht="17.5" customHeight="1">
      <c r="A1031" s="178"/>
      <c r="B1031" s="178" t="s">
        <v>333</v>
      </c>
      <c r="C1031" s="126"/>
      <c r="D1031" s="128"/>
      <c r="E1031" s="129"/>
      <c r="F1031" s="129"/>
      <c r="G1031" s="129"/>
      <c r="H1031" s="129"/>
      <c r="I1031" s="129"/>
      <c r="J1031" s="129"/>
      <c r="K1031" s="152"/>
      <c r="L1031" s="179"/>
      <c r="M1031" s="180"/>
    </row>
    <row r="1032" spans="1:13" s="65" customFormat="1" ht="17.5" customHeight="1">
      <c r="A1032" s="178"/>
      <c r="B1032" s="126" t="s">
        <v>329</v>
      </c>
      <c r="C1032" s="126"/>
      <c r="D1032" s="128">
        <v>1</v>
      </c>
      <c r="E1032" s="129">
        <v>15</v>
      </c>
      <c r="F1032" s="129"/>
      <c r="G1032" s="129">
        <f>11-1.17</f>
        <v>9.83</v>
      </c>
      <c r="H1032" s="129"/>
      <c r="I1032" s="129">
        <f>D1032*E1032*G1032</f>
        <v>147.44999999999999</v>
      </c>
      <c r="J1032" s="129"/>
      <c r="K1032" s="152" t="s">
        <v>21</v>
      </c>
      <c r="L1032" s="179"/>
      <c r="M1032" s="180"/>
    </row>
    <row r="1033" spans="1:13" s="65" customFormat="1" ht="17.5" customHeight="1">
      <c r="A1033" s="178"/>
      <c r="B1033" s="126" t="s">
        <v>334</v>
      </c>
      <c r="C1033" s="126"/>
      <c r="D1033" s="128">
        <v>1</v>
      </c>
      <c r="E1033" s="129">
        <f>9.5+5.25</f>
        <v>14.75</v>
      </c>
      <c r="F1033" s="129"/>
      <c r="G1033" s="129">
        <f>G1032</f>
        <v>9.83</v>
      </c>
      <c r="H1033" s="129"/>
      <c r="I1033" s="129">
        <f>D1033*E1033*G1033</f>
        <v>144.99</v>
      </c>
      <c r="J1033" s="129"/>
      <c r="K1033" s="152" t="s">
        <v>21</v>
      </c>
      <c r="L1033" s="179"/>
      <c r="M1033" s="180"/>
    </row>
    <row r="1034" spans="1:13" s="65" customFormat="1" ht="17.5" customHeight="1">
      <c r="A1034" s="178"/>
      <c r="B1034" s="126"/>
      <c r="C1034" s="126"/>
      <c r="D1034" s="128" t="s">
        <v>101</v>
      </c>
      <c r="E1034" s="129">
        <f>D1032*E1032+D1033*E1033</f>
        <v>29.75</v>
      </c>
      <c r="F1034" s="129"/>
      <c r="G1034" s="129"/>
      <c r="H1034" s="129"/>
      <c r="I1034" s="129"/>
      <c r="J1034" s="129"/>
      <c r="K1034" s="152"/>
      <c r="L1034" s="179"/>
      <c r="M1034" s="180"/>
    </row>
    <row r="1035" spans="1:13" s="65" customFormat="1" ht="17.5" customHeight="1">
      <c r="A1035" s="178"/>
      <c r="B1035" s="178" t="s">
        <v>143</v>
      </c>
      <c r="C1035" s="178"/>
      <c r="D1035" s="128"/>
      <c r="E1035" s="129"/>
      <c r="F1035" s="129"/>
      <c r="G1035" s="129"/>
      <c r="H1035" s="129"/>
      <c r="I1035" s="129"/>
      <c r="J1035" s="129"/>
      <c r="K1035" s="152"/>
      <c r="L1035" s="179"/>
      <c r="M1035" s="180"/>
    </row>
    <row r="1036" spans="1:13" s="65" customFormat="1" ht="17.5" customHeight="1">
      <c r="A1036" s="178"/>
      <c r="B1036" s="126" t="s">
        <v>336</v>
      </c>
      <c r="C1036" s="126"/>
      <c r="D1036" s="128">
        <v>1</v>
      </c>
      <c r="E1036" s="129">
        <v>3.25</v>
      </c>
      <c r="F1036" s="129"/>
      <c r="G1036" s="129">
        <v>7.17</v>
      </c>
      <c r="H1036" s="129">
        <f>D1036*E1036*G1036</f>
        <v>23.3</v>
      </c>
      <c r="I1036" s="129"/>
      <c r="J1036" s="129"/>
      <c r="K1036" s="152" t="s">
        <v>21</v>
      </c>
      <c r="L1036" s="179"/>
      <c r="M1036" s="180"/>
    </row>
    <row r="1037" spans="1:13" s="65" customFormat="1" ht="17.5" customHeight="1">
      <c r="A1037" s="178"/>
      <c r="B1037" s="178" t="s">
        <v>144</v>
      </c>
      <c r="C1037" s="178"/>
      <c r="D1037" s="128"/>
      <c r="E1037" s="129"/>
      <c r="F1037" s="129"/>
      <c r="G1037" s="129"/>
      <c r="H1037" s="129"/>
      <c r="I1037" s="129"/>
      <c r="J1037" s="129"/>
      <c r="K1037" s="152"/>
      <c r="L1037" s="179"/>
      <c r="M1037" s="180"/>
    </row>
    <row r="1038" spans="1:13" s="65" customFormat="1" ht="17.5" customHeight="1">
      <c r="A1038" s="178"/>
      <c r="B1038" s="126" t="s">
        <v>140</v>
      </c>
      <c r="C1038" s="126"/>
      <c r="D1038" s="128">
        <v>1</v>
      </c>
      <c r="E1038" s="129">
        <f>E1034</f>
        <v>29.75</v>
      </c>
      <c r="F1038" s="129"/>
      <c r="G1038" s="129">
        <f>4.5/12</f>
        <v>0.38</v>
      </c>
      <c r="H1038" s="129">
        <f>D1038*E1038*G1038</f>
        <v>11.31</v>
      </c>
      <c r="I1038" s="129"/>
      <c r="J1038" s="129"/>
      <c r="K1038" s="152" t="s">
        <v>21</v>
      </c>
      <c r="L1038" s="179"/>
      <c r="M1038" s="180"/>
    </row>
    <row r="1039" spans="1:13" s="65" customFormat="1" ht="17.5" customHeight="1">
      <c r="A1039" s="178"/>
      <c r="B1039" s="126" t="s">
        <v>145</v>
      </c>
      <c r="C1039" s="126"/>
      <c r="D1039" s="128">
        <v>1</v>
      </c>
      <c r="E1039" s="129">
        <f>E1038-D1036*E1036</f>
        <v>26.5</v>
      </c>
      <c r="F1039" s="129"/>
      <c r="G1039" s="129">
        <f>G1038</f>
        <v>0.38</v>
      </c>
      <c r="H1039" s="129">
        <f>D1039*E1039*G1039</f>
        <v>10.07</v>
      </c>
      <c r="I1039" s="129"/>
      <c r="J1039" s="129"/>
      <c r="K1039" s="152" t="s">
        <v>21</v>
      </c>
      <c r="L1039" s="179"/>
      <c r="M1039" s="180"/>
    </row>
    <row r="1040" spans="1:13" s="65" customFormat="1" ht="17.5" customHeight="1">
      <c r="A1040" s="178"/>
      <c r="B1040" s="126"/>
      <c r="C1040" s="126"/>
      <c r="D1040" s="128"/>
      <c r="E1040" s="129"/>
      <c r="F1040" s="129"/>
      <c r="G1040" s="129"/>
      <c r="H1040" s="274">
        <f>SUM(H1032:H1039)</f>
        <v>44.68</v>
      </c>
      <c r="I1040" s="274">
        <f>SUM(I1032:I1039)</f>
        <v>292.44</v>
      </c>
      <c r="J1040" s="274">
        <f>I1040-H1040</f>
        <v>247.76</v>
      </c>
      <c r="K1040" s="275"/>
      <c r="L1040" s="179"/>
      <c r="M1040" s="180"/>
    </row>
    <row r="1041" spans="1:13" s="65" customFormat="1" ht="17.5" customHeight="1">
      <c r="A1041" s="178"/>
      <c r="B1041" s="126"/>
      <c r="C1041" s="126"/>
      <c r="D1041" s="128"/>
      <c r="E1041" s="129"/>
      <c r="F1041" s="129"/>
      <c r="G1041" s="129"/>
      <c r="H1041" s="129"/>
      <c r="I1041" s="129"/>
      <c r="J1041" s="129"/>
      <c r="K1041" s="152"/>
      <c r="L1041" s="179"/>
      <c r="M1041" s="180"/>
    </row>
    <row r="1042" spans="1:13" s="65" customFormat="1" ht="17.5" customHeight="1">
      <c r="A1042" s="178"/>
      <c r="B1042" s="178" t="s">
        <v>337</v>
      </c>
      <c r="C1042" s="126"/>
      <c r="D1042" s="128">
        <v>1</v>
      </c>
      <c r="E1042" s="129">
        <f>17.5*2+27.5*2</f>
        <v>90</v>
      </c>
      <c r="F1042" s="129"/>
      <c r="G1042" s="129">
        <v>2</v>
      </c>
      <c r="H1042" s="129"/>
      <c r="I1042" s="129">
        <f>D1042*E1042*G1042</f>
        <v>180</v>
      </c>
      <c r="J1042" s="129"/>
      <c r="K1042" s="152" t="s">
        <v>21</v>
      </c>
      <c r="L1042" s="179"/>
      <c r="M1042" s="180"/>
    </row>
    <row r="1043" spans="1:13" s="65" customFormat="1" ht="17.5" customHeight="1">
      <c r="A1043" s="178"/>
      <c r="B1043" s="178" t="s">
        <v>339</v>
      </c>
      <c r="C1043" s="126"/>
      <c r="D1043" s="128">
        <f>D1042</f>
        <v>1</v>
      </c>
      <c r="E1043" s="129">
        <f>E1042</f>
        <v>90</v>
      </c>
      <c r="F1043" s="129"/>
      <c r="G1043" s="129">
        <v>0.38</v>
      </c>
      <c r="H1043" s="129">
        <f>D1043*E1043*G1043</f>
        <v>34.200000000000003</v>
      </c>
      <c r="I1043" s="129"/>
      <c r="J1043" s="129"/>
      <c r="K1043" s="152"/>
      <c r="L1043" s="179"/>
      <c r="M1043" s="180"/>
    </row>
    <row r="1044" spans="1:13" s="65" customFormat="1" ht="17.5" customHeight="1">
      <c r="A1044" s="178"/>
      <c r="B1044" s="126" t="s">
        <v>338</v>
      </c>
      <c r="C1044" s="126"/>
      <c r="D1044" s="128">
        <v>3</v>
      </c>
      <c r="E1044" s="129">
        <f>8+0.58+0.58</f>
        <v>9.16</v>
      </c>
      <c r="F1044" s="129"/>
      <c r="G1044" s="129">
        <v>3</v>
      </c>
      <c r="H1044" s="129"/>
      <c r="I1044" s="129">
        <f>D1044*E1044*G1044</f>
        <v>82.44</v>
      </c>
      <c r="J1044" s="129"/>
      <c r="K1044" s="152" t="s">
        <v>21</v>
      </c>
      <c r="L1044" s="179"/>
      <c r="M1044" s="180"/>
    </row>
    <row r="1045" spans="1:13" s="65" customFormat="1" ht="17.5" customHeight="1">
      <c r="A1045" s="178"/>
      <c r="B1045" s="178" t="s">
        <v>339</v>
      </c>
      <c r="C1045" s="126"/>
      <c r="D1045" s="128">
        <f>D1044</f>
        <v>3</v>
      </c>
      <c r="E1045" s="129">
        <f>E1044</f>
        <v>9.16</v>
      </c>
      <c r="F1045" s="129"/>
      <c r="G1045" s="129">
        <v>0.38</v>
      </c>
      <c r="H1045" s="129">
        <f>D1045*E1045*G1045</f>
        <v>10.44</v>
      </c>
      <c r="I1045" s="129"/>
      <c r="J1045" s="129"/>
      <c r="K1045" s="152" t="s">
        <v>21</v>
      </c>
      <c r="L1045" s="179"/>
      <c r="M1045" s="180"/>
    </row>
    <row r="1046" spans="1:13" s="65" customFormat="1" ht="17.5" customHeight="1">
      <c r="A1046" s="178"/>
      <c r="B1046" s="126"/>
      <c r="C1046" s="126"/>
      <c r="D1046" s="128"/>
      <c r="E1046" s="129"/>
      <c r="F1046" s="129"/>
      <c r="G1046" s="129"/>
      <c r="H1046" s="274">
        <f>SUM(H1042:H1045)</f>
        <v>44.64</v>
      </c>
      <c r="I1046" s="274">
        <f>SUM(I1042:I1045)</f>
        <v>262.44</v>
      </c>
      <c r="J1046" s="274">
        <f>I1046-H1046</f>
        <v>217.8</v>
      </c>
      <c r="K1046" s="275"/>
      <c r="L1046" s="179"/>
      <c r="M1046" s="180"/>
    </row>
    <row r="1047" spans="1:13" s="65" customFormat="1" ht="17.5" customHeight="1">
      <c r="A1047" s="178"/>
      <c r="B1047" s="126"/>
      <c r="C1047" s="126"/>
      <c r="D1047" s="128"/>
      <c r="E1047" s="129"/>
      <c r="F1047" s="129"/>
      <c r="G1047" s="129"/>
      <c r="H1047" s="129"/>
      <c r="I1047" s="129"/>
      <c r="J1047" s="129"/>
      <c r="K1047" s="152"/>
      <c r="L1047" s="179"/>
      <c r="M1047" s="180"/>
    </row>
    <row r="1048" spans="1:13" s="65" customFormat="1" ht="17.5" customHeight="1">
      <c r="A1048" s="178"/>
      <c r="B1048" s="126"/>
      <c r="C1048" s="126"/>
      <c r="D1048" s="128"/>
      <c r="E1048" s="129"/>
      <c r="F1048" s="129"/>
      <c r="G1048" s="129"/>
      <c r="H1048" s="129">
        <f>H1046+H1040+H1030+H1013</f>
        <v>447.58</v>
      </c>
      <c r="I1048" s="129">
        <f>I1046+I1040+I1030+I1013</f>
        <v>2723.15</v>
      </c>
      <c r="J1048" s="129"/>
      <c r="K1048" s="152" t="s">
        <v>21</v>
      </c>
      <c r="L1048" s="179"/>
      <c r="M1048" s="180"/>
    </row>
    <row r="1049" spans="1:13" s="65" customFormat="1" ht="17.5" customHeight="1">
      <c r="A1049" s="178"/>
      <c r="B1049" s="126"/>
      <c r="C1049" s="126"/>
      <c r="D1049" s="128"/>
      <c r="E1049" s="129"/>
      <c r="F1049" s="129"/>
      <c r="G1049" s="129"/>
      <c r="H1049" s="129"/>
      <c r="I1049" s="183" t="s">
        <v>146</v>
      </c>
      <c r="J1049" s="129">
        <f>I1048-H1048</f>
        <v>2275.5700000000002</v>
      </c>
      <c r="K1049" s="152" t="s">
        <v>21</v>
      </c>
      <c r="L1049" s="179"/>
      <c r="M1049" s="180"/>
    </row>
    <row r="1050" spans="1:13" s="65" customFormat="1" ht="17.5" customHeight="1">
      <c r="A1050" s="178"/>
      <c r="B1050" s="126"/>
      <c r="C1050" s="126"/>
      <c r="D1050" s="128"/>
      <c r="E1050" s="129"/>
      <c r="F1050" s="129"/>
      <c r="G1050" s="129"/>
      <c r="H1050" s="129"/>
      <c r="I1050" s="129"/>
      <c r="J1050" s="129"/>
      <c r="K1050" s="152"/>
      <c r="L1050" s="179"/>
      <c r="M1050" s="180"/>
    </row>
    <row r="1051" spans="1:13" s="65" customFormat="1" ht="17.5" customHeight="1">
      <c r="A1051" s="178"/>
      <c r="B1051" s="126"/>
      <c r="C1051" s="126"/>
      <c r="D1051" s="128"/>
      <c r="E1051" s="129"/>
      <c r="F1051" s="129"/>
      <c r="G1051" s="129"/>
      <c r="H1051" s="129"/>
      <c r="I1051" s="183" t="s">
        <v>104</v>
      </c>
      <c r="J1051" s="129">
        <f>J1049+J994</f>
        <v>5020.49</v>
      </c>
      <c r="K1051" s="152" t="s">
        <v>21</v>
      </c>
      <c r="L1051" s="179"/>
      <c r="M1051" s="180"/>
    </row>
    <row r="1052" spans="1:13" s="65" customFormat="1" ht="17.5" customHeight="1">
      <c r="A1052" s="178"/>
      <c r="B1052" s="126"/>
      <c r="C1052" s="126"/>
      <c r="D1052" s="128"/>
      <c r="E1052" s="129"/>
      <c r="F1052" s="129"/>
      <c r="G1052" s="129"/>
      <c r="H1052" s="129"/>
      <c r="I1052" s="183"/>
      <c r="J1052" s="129">
        <f>J1051/100</f>
        <v>50.2</v>
      </c>
      <c r="K1052" s="152" t="s">
        <v>12</v>
      </c>
      <c r="L1052" s="179"/>
      <c r="M1052" s="180"/>
    </row>
    <row r="1053" spans="1:13" s="65" customFormat="1" ht="17.5" customHeight="1">
      <c r="A1053" s="178"/>
      <c r="B1053" s="126"/>
      <c r="C1053" s="126"/>
      <c r="D1053" s="128"/>
      <c r="E1053" s="129"/>
      <c r="F1053" s="129"/>
      <c r="G1053" s="129"/>
      <c r="H1053" s="129"/>
      <c r="I1053" s="129"/>
      <c r="J1053" s="129"/>
      <c r="K1053" s="152"/>
      <c r="L1053" s="179"/>
      <c r="M1053" s="180"/>
    </row>
    <row r="1054" spans="1:13" s="65" customFormat="1" ht="17.5" customHeight="1">
      <c r="A1054" s="178"/>
      <c r="B1054" s="126"/>
      <c r="C1054" s="126"/>
      <c r="D1054" s="128"/>
      <c r="E1054" s="129"/>
      <c r="F1054" s="129"/>
      <c r="G1054" s="129"/>
      <c r="H1054" s="129"/>
      <c r="I1054" s="129"/>
      <c r="J1054" s="129"/>
      <c r="K1054" s="152"/>
      <c r="L1054" s="179"/>
      <c r="M1054" s="180"/>
    </row>
    <row r="1055" spans="1:13" s="65" customFormat="1" ht="17.5" customHeight="1">
      <c r="A1055" s="178">
        <v>13</v>
      </c>
      <c r="B1055" s="181" t="s">
        <v>95</v>
      </c>
      <c r="C1055" s="181"/>
      <c r="D1055" s="128"/>
      <c r="E1055" s="129"/>
      <c r="F1055" s="129"/>
      <c r="G1055" s="129"/>
      <c r="H1055" s="129"/>
      <c r="I1055" s="129"/>
      <c r="J1055" s="129"/>
      <c r="K1055" s="152"/>
      <c r="L1055" s="179"/>
      <c r="M1055" s="180"/>
    </row>
    <row r="1056" spans="1:13" s="65" customFormat="1" ht="17.5" customHeight="1">
      <c r="A1056" s="178"/>
      <c r="B1056" s="181" t="s">
        <v>102</v>
      </c>
      <c r="C1056" s="181"/>
      <c r="D1056" s="128"/>
      <c r="E1056" s="129"/>
      <c r="F1056" s="129"/>
      <c r="G1056" s="129"/>
      <c r="H1056" s="129"/>
      <c r="I1056" s="129"/>
      <c r="J1056" s="129"/>
      <c r="K1056" s="152"/>
      <c r="L1056" s="179"/>
      <c r="M1056" s="180"/>
    </row>
    <row r="1057" spans="1:13" s="65" customFormat="1" ht="17.5" customHeight="1">
      <c r="A1057" s="178"/>
      <c r="B1057" s="181" t="s">
        <v>152</v>
      </c>
      <c r="C1057" s="181"/>
      <c r="D1057" s="128"/>
      <c r="E1057" s="129"/>
      <c r="F1057" s="129"/>
      <c r="G1057" s="129"/>
      <c r="H1057" s="129"/>
      <c r="I1057" s="129"/>
      <c r="J1057" s="129"/>
      <c r="K1057" s="152"/>
      <c r="L1057" s="179"/>
      <c r="M1057" s="180"/>
    </row>
    <row r="1058" spans="1:13" s="65" customFormat="1" ht="17.5" customHeight="1">
      <c r="A1058" s="178"/>
      <c r="B1058" s="126" t="s">
        <v>148</v>
      </c>
      <c r="C1058" s="126"/>
      <c r="D1058" s="128">
        <f>D945</f>
        <v>1</v>
      </c>
      <c r="E1058" s="129">
        <f>E945</f>
        <v>118</v>
      </c>
      <c r="F1058" s="129">
        <f t="shared" ref="F1058:G1061" si="37">4.5/12</f>
        <v>0.38</v>
      </c>
      <c r="G1058" s="129">
        <f t="shared" si="37"/>
        <v>0.38</v>
      </c>
      <c r="H1058" s="129"/>
      <c r="I1058" s="129">
        <f t="shared" ref="I1058:I1064" si="38">D1058*E1058*F1058*G1058</f>
        <v>17.04</v>
      </c>
      <c r="J1058" s="129"/>
      <c r="K1058" s="152" t="s">
        <v>28</v>
      </c>
      <c r="L1058" s="179"/>
      <c r="M1058" s="180"/>
    </row>
    <row r="1059" spans="1:13" s="65" customFormat="1" ht="17.5" customHeight="1">
      <c r="A1059" s="178"/>
      <c r="B1059" s="126" t="s">
        <v>149</v>
      </c>
      <c r="C1059" s="126"/>
      <c r="D1059" s="128">
        <f>D946</f>
        <v>1</v>
      </c>
      <c r="E1059" s="129">
        <f>E946</f>
        <v>105.75</v>
      </c>
      <c r="F1059" s="129">
        <f t="shared" si="37"/>
        <v>0.38</v>
      </c>
      <c r="G1059" s="129">
        <f t="shared" si="37"/>
        <v>0.38</v>
      </c>
      <c r="H1059" s="129"/>
      <c r="I1059" s="129">
        <f t="shared" si="38"/>
        <v>15.27</v>
      </c>
      <c r="J1059" s="129"/>
      <c r="K1059" s="152" t="s">
        <v>28</v>
      </c>
      <c r="L1059" s="179"/>
      <c r="M1059" s="180"/>
    </row>
    <row r="1060" spans="1:13" s="65" customFormat="1" ht="17.5" customHeight="1">
      <c r="A1060" s="178"/>
      <c r="B1060" s="126" t="s">
        <v>150</v>
      </c>
      <c r="C1060" s="126"/>
      <c r="D1060" s="128">
        <f>D964</f>
        <v>1</v>
      </c>
      <c r="E1060" s="129">
        <f>E964</f>
        <v>124</v>
      </c>
      <c r="F1060" s="129">
        <f t="shared" si="37"/>
        <v>0.38</v>
      </c>
      <c r="G1060" s="129">
        <f t="shared" si="37"/>
        <v>0.38</v>
      </c>
      <c r="H1060" s="129"/>
      <c r="I1060" s="129">
        <f t="shared" si="38"/>
        <v>17.91</v>
      </c>
      <c r="J1060" s="129"/>
      <c r="K1060" s="152" t="s">
        <v>28</v>
      </c>
      <c r="L1060" s="179"/>
      <c r="M1060" s="180"/>
    </row>
    <row r="1061" spans="1:13" s="65" customFormat="1" ht="17.5" customHeight="1">
      <c r="A1061" s="178"/>
      <c r="B1061" s="126" t="s">
        <v>151</v>
      </c>
      <c r="C1061" s="126"/>
      <c r="D1061" s="128">
        <f>D965</f>
        <v>1</v>
      </c>
      <c r="E1061" s="129">
        <f>E965</f>
        <v>120.75</v>
      </c>
      <c r="F1061" s="129">
        <f t="shared" si="37"/>
        <v>0.38</v>
      </c>
      <c r="G1061" s="129">
        <f t="shared" si="37"/>
        <v>0.38</v>
      </c>
      <c r="H1061" s="129"/>
      <c r="I1061" s="129">
        <f t="shared" si="38"/>
        <v>17.440000000000001</v>
      </c>
      <c r="J1061" s="129"/>
      <c r="K1061" s="152" t="s">
        <v>28</v>
      </c>
      <c r="L1061" s="179"/>
      <c r="M1061" s="180"/>
    </row>
    <row r="1062" spans="1:13" s="65" customFormat="1" ht="17.5" customHeight="1">
      <c r="A1062" s="178"/>
      <c r="B1062" s="126" t="s">
        <v>340</v>
      </c>
      <c r="C1062" s="126"/>
      <c r="D1062" s="128">
        <f>D983</f>
        <v>1</v>
      </c>
      <c r="E1062" s="129">
        <f>E983</f>
        <v>148.16999999999999</v>
      </c>
      <c r="F1062" s="129">
        <f t="shared" ref="F1062:G1064" si="39">4.5/12</f>
        <v>0.38</v>
      </c>
      <c r="G1062" s="129">
        <f t="shared" si="39"/>
        <v>0.38</v>
      </c>
      <c r="H1062" s="129"/>
      <c r="I1062" s="129">
        <f t="shared" si="38"/>
        <v>21.4</v>
      </c>
      <c r="J1062" s="129"/>
      <c r="K1062" s="152" t="s">
        <v>28</v>
      </c>
      <c r="L1062" s="179"/>
      <c r="M1062" s="180"/>
    </row>
    <row r="1063" spans="1:13" s="65" customFormat="1" ht="17.5" customHeight="1">
      <c r="A1063" s="178"/>
      <c r="B1063" s="126" t="s">
        <v>341</v>
      </c>
      <c r="C1063" s="126"/>
      <c r="D1063" s="128">
        <f>D984</f>
        <v>1</v>
      </c>
      <c r="E1063" s="129">
        <f>E984</f>
        <v>141.66999999999999</v>
      </c>
      <c r="F1063" s="129">
        <f t="shared" si="39"/>
        <v>0.38</v>
      </c>
      <c r="G1063" s="129">
        <f t="shared" si="39"/>
        <v>0.38</v>
      </c>
      <c r="H1063" s="129"/>
      <c r="I1063" s="129">
        <f t="shared" si="38"/>
        <v>20.46</v>
      </c>
      <c r="J1063" s="129"/>
      <c r="K1063" s="152" t="s">
        <v>28</v>
      </c>
      <c r="L1063" s="179"/>
      <c r="M1063" s="180"/>
    </row>
    <row r="1064" spans="1:13" s="65" customFormat="1" ht="17.5" customHeight="1">
      <c r="A1064" s="178"/>
      <c r="B1064" s="126" t="s">
        <v>342</v>
      </c>
      <c r="C1064" s="126"/>
      <c r="D1064" s="128">
        <f>D989</f>
        <v>1</v>
      </c>
      <c r="E1064" s="129">
        <f>E989</f>
        <v>91.34</v>
      </c>
      <c r="F1064" s="129">
        <f t="shared" si="39"/>
        <v>0.38</v>
      </c>
      <c r="G1064" s="129">
        <f t="shared" si="39"/>
        <v>0.38</v>
      </c>
      <c r="H1064" s="129"/>
      <c r="I1064" s="129">
        <f t="shared" si="38"/>
        <v>13.19</v>
      </c>
      <c r="J1064" s="129"/>
      <c r="K1064" s="152" t="s">
        <v>28</v>
      </c>
      <c r="L1064" s="179"/>
      <c r="M1064" s="180"/>
    </row>
    <row r="1065" spans="1:13" s="65" customFormat="1" ht="17.5" customHeight="1">
      <c r="A1065" s="178"/>
      <c r="B1065" s="126"/>
      <c r="C1065" s="126"/>
      <c r="D1065" s="128"/>
      <c r="E1065" s="129"/>
      <c r="F1065" s="129"/>
      <c r="G1065" s="129"/>
      <c r="H1065" s="129"/>
      <c r="I1065" s="129"/>
      <c r="J1065" s="129"/>
      <c r="K1065" s="152"/>
      <c r="L1065" s="179"/>
      <c r="M1065" s="180"/>
    </row>
    <row r="1066" spans="1:13" s="65" customFormat="1" ht="17.5" customHeight="1">
      <c r="A1066" s="178"/>
      <c r="B1066" s="126" t="s">
        <v>198</v>
      </c>
      <c r="C1066" s="126"/>
      <c r="D1066" s="128">
        <f>D990</f>
        <v>10</v>
      </c>
      <c r="E1066" s="129">
        <f>E990</f>
        <v>0.38</v>
      </c>
      <c r="F1066" s="129">
        <f>0.375</f>
        <v>0.38</v>
      </c>
      <c r="G1066" s="129">
        <f>G990</f>
        <v>2</v>
      </c>
      <c r="H1066" s="129"/>
      <c r="I1066" s="129">
        <f>D1066*E1066*F1066*G1066</f>
        <v>2.89</v>
      </c>
      <c r="J1066" s="129"/>
      <c r="K1066" s="152" t="s">
        <v>28</v>
      </c>
      <c r="L1066" s="179"/>
      <c r="M1066" s="180"/>
    </row>
    <row r="1067" spans="1:13" s="65" customFormat="1" ht="17.5" customHeight="1">
      <c r="A1067" s="178"/>
      <c r="B1067" s="126"/>
      <c r="C1067" s="126"/>
      <c r="D1067" s="128"/>
      <c r="E1067" s="129"/>
      <c r="F1067" s="129"/>
      <c r="G1067" s="129"/>
      <c r="H1067" s="129"/>
      <c r="I1067" s="129"/>
      <c r="J1067" s="129"/>
      <c r="K1067" s="152"/>
      <c r="L1067" s="179"/>
      <c r="M1067" s="180"/>
    </row>
    <row r="1068" spans="1:13" s="65" customFormat="1" ht="17.5" customHeight="1">
      <c r="A1068" s="178"/>
      <c r="B1068" s="181" t="s">
        <v>153</v>
      </c>
      <c r="C1068" s="181"/>
      <c r="D1068" s="128"/>
      <c r="E1068" s="129"/>
      <c r="F1068" s="129"/>
      <c r="G1068" s="129"/>
      <c r="H1068" s="129"/>
      <c r="I1068" s="129"/>
      <c r="J1068" s="129"/>
      <c r="K1068" s="152"/>
      <c r="L1068" s="179"/>
      <c r="M1068" s="180"/>
    </row>
    <row r="1069" spans="1:13" s="65" customFormat="1" ht="17.5" customHeight="1">
      <c r="A1069" s="178"/>
      <c r="B1069" s="126" t="s">
        <v>148</v>
      </c>
      <c r="C1069" s="126"/>
      <c r="D1069" s="128">
        <f>D1011</f>
        <v>1</v>
      </c>
      <c r="E1069" s="129">
        <f>E1011</f>
        <v>96.25</v>
      </c>
      <c r="F1069" s="129">
        <f t="shared" ref="F1069:G1076" si="40">4.5/12</f>
        <v>0.38</v>
      </c>
      <c r="G1069" s="129">
        <f t="shared" si="40"/>
        <v>0.38</v>
      </c>
      <c r="H1069" s="129"/>
      <c r="I1069" s="129">
        <f t="shared" ref="I1069:I1076" si="41">D1069*E1069*F1069*G1069</f>
        <v>13.9</v>
      </c>
      <c r="J1069" s="129"/>
      <c r="K1069" s="152" t="s">
        <v>28</v>
      </c>
      <c r="L1069" s="179"/>
      <c r="M1069" s="180"/>
    </row>
    <row r="1070" spans="1:13" s="65" customFormat="1" ht="17.5" customHeight="1">
      <c r="A1070" s="178"/>
      <c r="B1070" s="126" t="s">
        <v>149</v>
      </c>
      <c r="C1070" s="126"/>
      <c r="D1070" s="128">
        <f>D1012</f>
        <v>1</v>
      </c>
      <c r="E1070" s="129">
        <f>E1012</f>
        <v>76.75</v>
      </c>
      <c r="F1070" s="129">
        <f t="shared" si="40"/>
        <v>0.38</v>
      </c>
      <c r="G1070" s="129">
        <f t="shared" si="40"/>
        <v>0.38</v>
      </c>
      <c r="H1070" s="129"/>
      <c r="I1070" s="129">
        <f t="shared" si="41"/>
        <v>11.08</v>
      </c>
      <c r="J1070" s="129"/>
      <c r="K1070" s="152" t="s">
        <v>28</v>
      </c>
      <c r="L1070" s="179"/>
      <c r="M1070" s="180"/>
    </row>
    <row r="1071" spans="1:13" s="65" customFormat="1" ht="17.5" customHeight="1">
      <c r="A1071" s="178"/>
      <c r="B1071" s="126" t="s">
        <v>150</v>
      </c>
      <c r="C1071" s="126"/>
      <c r="D1071" s="128">
        <f>D1028</f>
        <v>1</v>
      </c>
      <c r="E1071" s="129">
        <f>E1028</f>
        <v>84.75</v>
      </c>
      <c r="F1071" s="129">
        <f t="shared" si="40"/>
        <v>0.38</v>
      </c>
      <c r="G1071" s="129">
        <f t="shared" si="40"/>
        <v>0.38</v>
      </c>
      <c r="H1071" s="129"/>
      <c r="I1071" s="129">
        <f t="shared" si="41"/>
        <v>12.24</v>
      </c>
      <c r="J1071" s="129"/>
      <c r="K1071" s="152" t="s">
        <v>28</v>
      </c>
      <c r="L1071" s="179"/>
      <c r="M1071" s="180"/>
    </row>
    <row r="1072" spans="1:13" s="65" customFormat="1" ht="17.5" customHeight="1">
      <c r="A1072" s="178"/>
      <c r="B1072" s="126" t="s">
        <v>151</v>
      </c>
      <c r="C1072" s="126"/>
      <c r="D1072" s="128">
        <f>D1029</f>
        <v>1</v>
      </c>
      <c r="E1072" s="129">
        <f>E1029</f>
        <v>71.75</v>
      </c>
      <c r="F1072" s="129">
        <f t="shared" si="40"/>
        <v>0.38</v>
      </c>
      <c r="G1072" s="129">
        <f t="shared" si="40"/>
        <v>0.38</v>
      </c>
      <c r="H1072" s="129"/>
      <c r="I1072" s="129">
        <f t="shared" si="41"/>
        <v>10.36</v>
      </c>
      <c r="J1072" s="129"/>
      <c r="K1072" s="152" t="s">
        <v>28</v>
      </c>
      <c r="L1072" s="179"/>
      <c r="M1072" s="180"/>
    </row>
    <row r="1073" spans="1:13" s="65" customFormat="1" ht="17.5" customHeight="1">
      <c r="A1073" s="178"/>
      <c r="B1073" s="126" t="s">
        <v>343</v>
      </c>
      <c r="C1073" s="126"/>
      <c r="D1073" s="128">
        <f>D1038</f>
        <v>1</v>
      </c>
      <c r="E1073" s="129">
        <f>E1038</f>
        <v>29.75</v>
      </c>
      <c r="F1073" s="129">
        <f t="shared" si="40"/>
        <v>0.38</v>
      </c>
      <c r="G1073" s="129">
        <f t="shared" si="40"/>
        <v>0.38</v>
      </c>
      <c r="H1073" s="129"/>
      <c r="I1073" s="129">
        <f t="shared" si="41"/>
        <v>4.3</v>
      </c>
      <c r="J1073" s="129"/>
      <c r="K1073" s="152" t="s">
        <v>28</v>
      </c>
      <c r="L1073" s="179"/>
      <c r="M1073" s="180"/>
    </row>
    <row r="1074" spans="1:13" s="65" customFormat="1" ht="17.5" customHeight="1">
      <c r="A1074" s="178"/>
      <c r="B1074" s="126" t="s">
        <v>344</v>
      </c>
      <c r="C1074" s="126"/>
      <c r="D1074" s="128">
        <f>D1039</f>
        <v>1</v>
      </c>
      <c r="E1074" s="129">
        <f>E1039</f>
        <v>26.5</v>
      </c>
      <c r="F1074" s="129">
        <f t="shared" si="40"/>
        <v>0.38</v>
      </c>
      <c r="G1074" s="129">
        <f t="shared" si="40"/>
        <v>0.38</v>
      </c>
      <c r="H1074" s="129"/>
      <c r="I1074" s="129">
        <f t="shared" si="41"/>
        <v>3.83</v>
      </c>
      <c r="J1074" s="129"/>
      <c r="K1074" s="152" t="s">
        <v>28</v>
      </c>
      <c r="L1074" s="179"/>
      <c r="M1074" s="180"/>
    </row>
    <row r="1075" spans="1:13" s="65" customFormat="1" ht="17.5" customHeight="1">
      <c r="A1075" s="178"/>
      <c r="B1075" s="126" t="s">
        <v>345</v>
      </c>
      <c r="C1075" s="126"/>
      <c r="D1075" s="128">
        <f>D1043</f>
        <v>1</v>
      </c>
      <c r="E1075" s="129">
        <f>E1043</f>
        <v>90</v>
      </c>
      <c r="F1075" s="129">
        <f t="shared" si="40"/>
        <v>0.38</v>
      </c>
      <c r="G1075" s="129">
        <f t="shared" si="40"/>
        <v>0.38</v>
      </c>
      <c r="H1075" s="129"/>
      <c r="I1075" s="129">
        <f t="shared" si="41"/>
        <v>13</v>
      </c>
      <c r="J1075" s="129"/>
      <c r="K1075" s="152" t="s">
        <v>28</v>
      </c>
      <c r="L1075" s="179"/>
      <c r="M1075" s="180"/>
    </row>
    <row r="1076" spans="1:13" s="65" customFormat="1" ht="17.5" customHeight="1">
      <c r="A1076" s="178"/>
      <c r="B1076" s="126"/>
      <c r="C1076" s="126"/>
      <c r="D1076" s="128">
        <f>D1045</f>
        <v>3</v>
      </c>
      <c r="E1076" s="129">
        <f>E1045</f>
        <v>9.16</v>
      </c>
      <c r="F1076" s="129">
        <f t="shared" si="40"/>
        <v>0.38</v>
      </c>
      <c r="G1076" s="129">
        <f t="shared" si="40"/>
        <v>0.38</v>
      </c>
      <c r="H1076" s="129"/>
      <c r="I1076" s="129">
        <f t="shared" si="41"/>
        <v>3.97</v>
      </c>
      <c r="J1076" s="129"/>
      <c r="K1076" s="152" t="s">
        <v>28</v>
      </c>
      <c r="L1076" s="179"/>
      <c r="M1076" s="180"/>
    </row>
    <row r="1077" spans="1:13" s="65" customFormat="1" ht="17.5" customHeight="1">
      <c r="A1077" s="178"/>
      <c r="B1077" s="126"/>
      <c r="C1077" s="126"/>
      <c r="D1077" s="128"/>
      <c r="E1077" s="129"/>
      <c r="F1077" s="129"/>
      <c r="G1077" s="129"/>
      <c r="H1077" s="129"/>
      <c r="I1077" s="129"/>
      <c r="J1077" s="129">
        <f>SUM(I1058:I1077)</f>
        <v>198.28</v>
      </c>
      <c r="K1077" s="152" t="s">
        <v>28</v>
      </c>
      <c r="L1077" s="179"/>
      <c r="M1077" s="180"/>
    </row>
    <row r="1078" spans="1:13" s="65" customFormat="1" ht="17.5" customHeight="1">
      <c r="A1078" s="178"/>
      <c r="B1078" s="126"/>
      <c r="C1078" s="126"/>
      <c r="D1078" s="128"/>
      <c r="E1078" s="129"/>
      <c r="F1078" s="129"/>
      <c r="G1078" s="129"/>
      <c r="H1078" s="129"/>
      <c r="I1078" s="129"/>
      <c r="J1078" s="129">
        <f>J1077/100</f>
        <v>1.98</v>
      </c>
      <c r="K1078" s="152" t="s">
        <v>7</v>
      </c>
      <c r="L1078" s="179"/>
      <c r="M1078" s="180"/>
    </row>
    <row r="1079" spans="1:13" s="65" customFormat="1" ht="17.5" customHeight="1">
      <c r="A1079" s="178"/>
      <c r="B1079" s="181" t="s">
        <v>98</v>
      </c>
      <c r="C1079" s="181"/>
      <c r="D1079" s="128"/>
      <c r="E1079" s="129"/>
      <c r="F1079" s="129"/>
      <c r="G1079" s="129"/>
      <c r="H1079" s="129"/>
      <c r="I1079" s="129"/>
      <c r="J1079" s="129"/>
      <c r="K1079" s="152"/>
      <c r="L1079" s="179"/>
      <c r="M1079" s="180"/>
    </row>
    <row r="1080" spans="1:13" s="65" customFormat="1" ht="17.5" customHeight="1">
      <c r="A1080" s="178"/>
      <c r="B1080" s="181" t="str">
        <f>B1057</f>
        <v xml:space="preserve"> Lintel @ External Wall</v>
      </c>
      <c r="C1080" s="181"/>
      <c r="D1080" s="128"/>
      <c r="E1080" s="129"/>
      <c r="F1080" s="129"/>
      <c r="G1080" s="129"/>
      <c r="H1080" s="129"/>
      <c r="I1080" s="129"/>
      <c r="J1080" s="129"/>
      <c r="K1080" s="152"/>
      <c r="L1080" s="179"/>
      <c r="M1080" s="180"/>
    </row>
    <row r="1081" spans="1:13" s="65" customFormat="1" ht="17.5" customHeight="1">
      <c r="A1081" s="178"/>
      <c r="B1081" s="126" t="str">
        <f>B1058</f>
        <v>Ground Floor Lintel</v>
      </c>
      <c r="C1081" s="126"/>
      <c r="D1081" s="128">
        <f t="shared" ref="D1081:E1087" si="42">D1058</f>
        <v>1</v>
      </c>
      <c r="E1081" s="129">
        <f t="shared" si="42"/>
        <v>118</v>
      </c>
      <c r="F1081" s="129"/>
      <c r="G1081" s="129">
        <f>G1058*2</f>
        <v>0.76</v>
      </c>
      <c r="H1081" s="129"/>
      <c r="I1081" s="129">
        <f t="shared" ref="I1081:I1087" si="43">D1081*E1081*G1081</f>
        <v>89.68</v>
      </c>
      <c r="J1081" s="129"/>
      <c r="K1081" s="152" t="s">
        <v>21</v>
      </c>
      <c r="L1081" s="179"/>
      <c r="M1081" s="180"/>
    </row>
    <row r="1082" spans="1:13" s="65" customFormat="1" ht="17.5" customHeight="1">
      <c r="A1082" s="178"/>
      <c r="B1082" s="126" t="str">
        <f>B1059</f>
        <v>Ground Floor Sill</v>
      </c>
      <c r="C1082" s="126"/>
      <c r="D1082" s="128">
        <f t="shared" si="42"/>
        <v>1</v>
      </c>
      <c r="E1082" s="129">
        <f t="shared" si="42"/>
        <v>105.75</v>
      </c>
      <c r="F1082" s="129"/>
      <c r="G1082" s="129">
        <f>G1059*2</f>
        <v>0.76</v>
      </c>
      <c r="H1082" s="129"/>
      <c r="I1082" s="129">
        <f t="shared" si="43"/>
        <v>80.37</v>
      </c>
      <c r="J1082" s="129"/>
      <c r="K1082" s="152" t="s">
        <v>21</v>
      </c>
      <c r="L1082" s="179"/>
      <c r="M1082" s="180"/>
    </row>
    <row r="1083" spans="1:13" s="65" customFormat="1" ht="17.5" customHeight="1">
      <c r="A1083" s="178"/>
      <c r="B1083" s="126" t="str">
        <f>B1060</f>
        <v>First Floor Lintel</v>
      </c>
      <c r="C1083" s="126"/>
      <c r="D1083" s="128">
        <f t="shared" si="42"/>
        <v>1</v>
      </c>
      <c r="E1083" s="129">
        <f t="shared" si="42"/>
        <v>124</v>
      </c>
      <c r="F1083" s="129"/>
      <c r="G1083" s="129">
        <f>G1060*2</f>
        <v>0.76</v>
      </c>
      <c r="H1083" s="129"/>
      <c r="I1083" s="129">
        <f t="shared" si="43"/>
        <v>94.24</v>
      </c>
      <c r="J1083" s="129"/>
      <c r="K1083" s="152" t="s">
        <v>21</v>
      </c>
      <c r="L1083" s="179"/>
      <c r="M1083" s="180"/>
    </row>
    <row r="1084" spans="1:13" s="65" customFormat="1" ht="17.5" customHeight="1">
      <c r="A1084" s="178"/>
      <c r="B1084" s="126" t="str">
        <f>B1061</f>
        <v>First Floor Sill</v>
      </c>
      <c r="C1084" s="126"/>
      <c r="D1084" s="128">
        <f t="shared" si="42"/>
        <v>1</v>
      </c>
      <c r="E1084" s="129">
        <f t="shared" si="42"/>
        <v>120.75</v>
      </c>
      <c r="F1084" s="129"/>
      <c r="G1084" s="129">
        <f>G1061*2</f>
        <v>0.76</v>
      </c>
      <c r="H1084" s="129"/>
      <c r="I1084" s="129">
        <f t="shared" si="43"/>
        <v>91.77</v>
      </c>
      <c r="J1084" s="129"/>
      <c r="K1084" s="152" t="s">
        <v>21</v>
      </c>
      <c r="L1084" s="179"/>
      <c r="M1084" s="180"/>
    </row>
    <row r="1085" spans="1:13" s="65" customFormat="1" ht="17.5" customHeight="1">
      <c r="A1085" s="178"/>
      <c r="B1085" s="126" t="str">
        <f t="shared" ref="B1085:B1098" si="44">B1062</f>
        <v>Roof Floor Lintel</v>
      </c>
      <c r="C1085" s="126"/>
      <c r="D1085" s="128">
        <f t="shared" si="42"/>
        <v>1</v>
      </c>
      <c r="E1085" s="129">
        <f t="shared" si="42"/>
        <v>148.16999999999999</v>
      </c>
      <c r="F1085" s="129"/>
      <c r="G1085" s="129">
        <f t="shared" ref="G1085:G1099" si="45">G1062*2</f>
        <v>0.76</v>
      </c>
      <c r="H1085" s="129"/>
      <c r="I1085" s="129">
        <f t="shared" si="43"/>
        <v>112.61</v>
      </c>
      <c r="J1085" s="129"/>
      <c r="K1085" s="152" t="s">
        <v>21</v>
      </c>
      <c r="L1085" s="179"/>
      <c r="M1085" s="180"/>
    </row>
    <row r="1086" spans="1:13" s="65" customFormat="1" ht="17.5" customHeight="1">
      <c r="A1086" s="178"/>
      <c r="B1086" s="126" t="str">
        <f t="shared" si="44"/>
        <v>Roof Floor Sill</v>
      </c>
      <c r="C1086" s="126"/>
      <c r="D1086" s="128">
        <f t="shared" si="42"/>
        <v>1</v>
      </c>
      <c r="E1086" s="129">
        <f t="shared" si="42"/>
        <v>141.66999999999999</v>
      </c>
      <c r="F1086" s="129"/>
      <c r="G1086" s="129">
        <f t="shared" si="45"/>
        <v>0.76</v>
      </c>
      <c r="H1086" s="129"/>
      <c r="I1086" s="129">
        <f t="shared" si="43"/>
        <v>107.67</v>
      </c>
      <c r="J1086" s="129"/>
      <c r="K1086" s="152" t="s">
        <v>21</v>
      </c>
      <c r="L1086" s="179"/>
      <c r="M1086" s="180"/>
    </row>
    <row r="1087" spans="1:13" s="65" customFormat="1" ht="17.5" customHeight="1">
      <c r="A1087" s="178"/>
      <c r="B1087" s="126" t="str">
        <f t="shared" si="44"/>
        <v>Roof Top (Parapet Lintel)</v>
      </c>
      <c r="C1087" s="126"/>
      <c r="D1087" s="128">
        <f t="shared" si="42"/>
        <v>1</v>
      </c>
      <c r="E1087" s="129">
        <f t="shared" si="42"/>
        <v>91.34</v>
      </c>
      <c r="F1087" s="129"/>
      <c r="G1087" s="129">
        <f t="shared" si="45"/>
        <v>0.76</v>
      </c>
      <c r="H1087" s="129"/>
      <c r="I1087" s="129">
        <f t="shared" si="43"/>
        <v>69.42</v>
      </c>
      <c r="J1087" s="129"/>
      <c r="K1087" s="152" t="s">
        <v>21</v>
      </c>
      <c r="L1087" s="179"/>
      <c r="M1087" s="180"/>
    </row>
    <row r="1088" spans="1:13" s="65" customFormat="1" ht="17.5" customHeight="1">
      <c r="A1088" s="178"/>
      <c r="B1088" s="126"/>
      <c r="C1088" s="126"/>
      <c r="D1088" s="128"/>
      <c r="E1088" s="129"/>
      <c r="F1088" s="129"/>
      <c r="G1088" s="129"/>
      <c r="H1088" s="129"/>
      <c r="I1088" s="129"/>
      <c r="J1088" s="129"/>
      <c r="K1088" s="152"/>
      <c r="L1088" s="179"/>
      <c r="M1088" s="180"/>
    </row>
    <row r="1089" spans="1:13" s="65" customFormat="1" ht="17.5" customHeight="1">
      <c r="A1089" s="178"/>
      <c r="B1089" s="126" t="str">
        <f t="shared" si="44"/>
        <v>Stiffener @ Parapet Wall</v>
      </c>
      <c r="C1089" s="126"/>
      <c r="D1089" s="128">
        <f>D1066</f>
        <v>10</v>
      </c>
      <c r="E1089" s="129">
        <f>F1066*2</f>
        <v>0.76</v>
      </c>
      <c r="F1089" s="129"/>
      <c r="G1089" s="129">
        <f>G1066</f>
        <v>2</v>
      </c>
      <c r="H1089" s="129"/>
      <c r="I1089" s="129">
        <f>D1089*E1089*G1089</f>
        <v>15.2</v>
      </c>
      <c r="J1089" s="129"/>
      <c r="K1089" s="152" t="s">
        <v>21</v>
      </c>
      <c r="L1089" s="179"/>
      <c r="M1089" s="180"/>
    </row>
    <row r="1090" spans="1:13" s="65" customFormat="1" ht="17.5" customHeight="1">
      <c r="A1090" s="178"/>
      <c r="B1090" s="126"/>
      <c r="C1090" s="126"/>
      <c r="D1090" s="128"/>
      <c r="E1090" s="129"/>
      <c r="F1090" s="129"/>
      <c r="G1090" s="129"/>
      <c r="H1090" s="129"/>
      <c r="I1090" s="129"/>
      <c r="J1090" s="129"/>
      <c r="K1090" s="152"/>
      <c r="L1090" s="179"/>
      <c r="M1090" s="180"/>
    </row>
    <row r="1091" spans="1:13" s="65" customFormat="1" ht="17.5" customHeight="1">
      <c r="A1091" s="178"/>
      <c r="B1091" s="181" t="str">
        <f t="shared" si="44"/>
        <v xml:space="preserve"> Lintel @ Internal Wall</v>
      </c>
      <c r="C1091" s="126"/>
      <c r="D1091" s="128">
        <f t="shared" ref="D1091:E1099" si="46">D1068</f>
        <v>0</v>
      </c>
      <c r="E1091" s="129">
        <f t="shared" si="46"/>
        <v>0</v>
      </c>
      <c r="F1091" s="129"/>
      <c r="G1091" s="129">
        <f t="shared" si="45"/>
        <v>0</v>
      </c>
      <c r="H1091" s="129"/>
      <c r="I1091" s="129">
        <f t="shared" ref="I1091:I1098" si="47">D1091*E1091*G1091</f>
        <v>0</v>
      </c>
      <c r="J1091" s="129"/>
      <c r="K1091" s="152" t="s">
        <v>21</v>
      </c>
      <c r="L1091" s="179"/>
      <c r="M1091" s="180"/>
    </row>
    <row r="1092" spans="1:13" s="65" customFormat="1" ht="17.5" customHeight="1">
      <c r="A1092" s="178"/>
      <c r="B1092" s="126" t="str">
        <f t="shared" si="44"/>
        <v>Ground Floor Lintel</v>
      </c>
      <c r="C1092" s="126"/>
      <c r="D1092" s="128">
        <f t="shared" si="46"/>
        <v>1</v>
      </c>
      <c r="E1092" s="129">
        <f t="shared" si="46"/>
        <v>96.25</v>
      </c>
      <c r="F1092" s="129"/>
      <c r="G1092" s="129">
        <f t="shared" si="45"/>
        <v>0.76</v>
      </c>
      <c r="H1092" s="129"/>
      <c r="I1092" s="129">
        <f t="shared" si="47"/>
        <v>73.150000000000006</v>
      </c>
      <c r="J1092" s="129"/>
      <c r="K1092" s="152" t="s">
        <v>21</v>
      </c>
      <c r="L1092" s="179"/>
      <c r="M1092" s="180"/>
    </row>
    <row r="1093" spans="1:13" s="65" customFormat="1" ht="17.5" customHeight="1">
      <c r="A1093" s="178"/>
      <c r="B1093" s="126" t="str">
        <f t="shared" si="44"/>
        <v>Ground Floor Sill</v>
      </c>
      <c r="C1093" s="126"/>
      <c r="D1093" s="128">
        <f t="shared" si="46"/>
        <v>1</v>
      </c>
      <c r="E1093" s="129">
        <f t="shared" si="46"/>
        <v>76.75</v>
      </c>
      <c r="F1093" s="129"/>
      <c r="G1093" s="129">
        <f t="shared" si="45"/>
        <v>0.76</v>
      </c>
      <c r="H1093" s="129"/>
      <c r="I1093" s="129">
        <f t="shared" si="47"/>
        <v>58.33</v>
      </c>
      <c r="J1093" s="129"/>
      <c r="K1093" s="152" t="s">
        <v>21</v>
      </c>
      <c r="L1093" s="179"/>
      <c r="M1093" s="180"/>
    </row>
    <row r="1094" spans="1:13" s="65" customFormat="1" ht="17.5" customHeight="1">
      <c r="A1094" s="178"/>
      <c r="B1094" s="126" t="str">
        <f t="shared" si="44"/>
        <v>First Floor Lintel</v>
      </c>
      <c r="C1094" s="126"/>
      <c r="D1094" s="128">
        <f t="shared" si="46"/>
        <v>1</v>
      </c>
      <c r="E1094" s="129">
        <f t="shared" si="46"/>
        <v>84.75</v>
      </c>
      <c r="F1094" s="129"/>
      <c r="G1094" s="129">
        <f t="shared" si="45"/>
        <v>0.76</v>
      </c>
      <c r="H1094" s="129"/>
      <c r="I1094" s="129">
        <f t="shared" si="47"/>
        <v>64.41</v>
      </c>
      <c r="J1094" s="129"/>
      <c r="K1094" s="152" t="s">
        <v>21</v>
      </c>
      <c r="L1094" s="179"/>
      <c r="M1094" s="180"/>
    </row>
    <row r="1095" spans="1:13" s="65" customFormat="1" ht="17.5" customHeight="1">
      <c r="A1095" s="178"/>
      <c r="B1095" s="126" t="str">
        <f t="shared" si="44"/>
        <v>First Floor Sill</v>
      </c>
      <c r="C1095" s="126"/>
      <c r="D1095" s="128">
        <f t="shared" si="46"/>
        <v>1</v>
      </c>
      <c r="E1095" s="129">
        <f t="shared" si="46"/>
        <v>71.75</v>
      </c>
      <c r="F1095" s="129"/>
      <c r="G1095" s="129">
        <f t="shared" si="45"/>
        <v>0.76</v>
      </c>
      <c r="H1095" s="129"/>
      <c r="I1095" s="129">
        <f t="shared" si="47"/>
        <v>54.53</v>
      </c>
      <c r="J1095" s="129"/>
      <c r="K1095" s="152" t="s">
        <v>21</v>
      </c>
      <c r="L1095" s="179"/>
      <c r="M1095" s="180"/>
    </row>
    <row r="1096" spans="1:13" s="65" customFormat="1" ht="17.5" customHeight="1">
      <c r="A1096" s="178"/>
      <c r="B1096" s="126" t="str">
        <f t="shared" si="44"/>
        <v>Second Floor Lintel</v>
      </c>
      <c r="C1096" s="126"/>
      <c r="D1096" s="128">
        <f t="shared" si="46"/>
        <v>1</v>
      </c>
      <c r="E1096" s="129">
        <f t="shared" si="46"/>
        <v>29.75</v>
      </c>
      <c r="F1096" s="129"/>
      <c r="G1096" s="129">
        <f t="shared" si="45"/>
        <v>0.76</v>
      </c>
      <c r="H1096" s="129"/>
      <c r="I1096" s="129">
        <f t="shared" si="47"/>
        <v>22.61</v>
      </c>
      <c r="J1096" s="129"/>
      <c r="K1096" s="152" t="s">
        <v>21</v>
      </c>
      <c r="L1096" s="179"/>
      <c r="M1096" s="180"/>
    </row>
    <row r="1097" spans="1:13" s="65" customFormat="1" ht="17.5" customHeight="1">
      <c r="A1097" s="178"/>
      <c r="B1097" s="126" t="str">
        <f t="shared" si="44"/>
        <v>Second Floor Sill</v>
      </c>
      <c r="C1097" s="126"/>
      <c r="D1097" s="128">
        <f t="shared" si="46"/>
        <v>1</v>
      </c>
      <c r="E1097" s="129">
        <f t="shared" si="46"/>
        <v>26.5</v>
      </c>
      <c r="F1097" s="129"/>
      <c r="G1097" s="129">
        <f t="shared" si="45"/>
        <v>0.76</v>
      </c>
      <c r="H1097" s="129"/>
      <c r="I1097" s="129">
        <f t="shared" si="47"/>
        <v>20.14</v>
      </c>
      <c r="J1097" s="129"/>
      <c r="K1097" s="152" t="s">
        <v>21</v>
      </c>
      <c r="L1097" s="179"/>
      <c r="M1097" s="180"/>
    </row>
    <row r="1098" spans="1:13" s="65" customFormat="1" ht="17.5" customHeight="1">
      <c r="A1098" s="178"/>
      <c r="B1098" s="126" t="str">
        <f t="shared" si="44"/>
        <v>Parapet Lintel</v>
      </c>
      <c r="C1098" s="126"/>
      <c r="D1098" s="128">
        <f t="shared" si="46"/>
        <v>1</v>
      </c>
      <c r="E1098" s="129">
        <f t="shared" si="46"/>
        <v>90</v>
      </c>
      <c r="F1098" s="129"/>
      <c r="G1098" s="129">
        <f t="shared" si="45"/>
        <v>0.76</v>
      </c>
      <c r="H1098" s="129"/>
      <c r="I1098" s="129">
        <f t="shared" si="47"/>
        <v>68.400000000000006</v>
      </c>
      <c r="J1098" s="129"/>
      <c r="K1098" s="152" t="s">
        <v>21</v>
      </c>
      <c r="L1098" s="179"/>
      <c r="M1098" s="180"/>
    </row>
    <row r="1099" spans="1:13" s="65" customFormat="1" ht="17.5" customHeight="1">
      <c r="A1099" s="178"/>
      <c r="B1099" s="126"/>
      <c r="C1099" s="126"/>
      <c r="D1099" s="128">
        <f t="shared" si="46"/>
        <v>3</v>
      </c>
      <c r="E1099" s="129">
        <f t="shared" si="46"/>
        <v>9.16</v>
      </c>
      <c r="F1099" s="129"/>
      <c r="G1099" s="129">
        <f t="shared" si="45"/>
        <v>0.76</v>
      </c>
      <c r="H1099" s="129"/>
      <c r="I1099" s="129">
        <f>D1099*E1099*G1099</f>
        <v>20.88</v>
      </c>
      <c r="J1099" s="129"/>
      <c r="K1099" s="152" t="s">
        <v>21</v>
      </c>
      <c r="L1099" s="179"/>
      <c r="M1099" s="180"/>
    </row>
    <row r="1100" spans="1:13" s="65" customFormat="1" ht="17.5" customHeight="1">
      <c r="A1100" s="178"/>
      <c r="B1100" s="126"/>
      <c r="C1100" s="126"/>
      <c r="D1100" s="128"/>
      <c r="E1100" s="129"/>
      <c r="F1100" s="129"/>
      <c r="G1100" s="129"/>
      <c r="H1100" s="129"/>
      <c r="I1100" s="129"/>
      <c r="J1100" s="129">
        <f>SUM(I1081:I1100)</f>
        <v>1043.4100000000001</v>
      </c>
      <c r="K1100" s="152" t="s">
        <v>21</v>
      </c>
      <c r="L1100" s="179"/>
      <c r="M1100" s="180"/>
    </row>
    <row r="1101" spans="1:13" s="65" customFormat="1" ht="17.5" customHeight="1">
      <c r="A1101" s="178"/>
      <c r="B1101" s="126"/>
      <c r="C1101" s="126"/>
      <c r="D1101" s="128"/>
      <c r="E1101" s="129"/>
      <c r="F1101" s="129"/>
      <c r="G1101" s="129"/>
      <c r="H1101" s="129"/>
      <c r="I1101" s="129"/>
      <c r="J1101" s="129">
        <f>J1100/100</f>
        <v>10.43</v>
      </c>
      <c r="K1101" s="152" t="s">
        <v>12</v>
      </c>
      <c r="L1101" s="179"/>
      <c r="M1101" s="180"/>
    </row>
    <row r="1102" spans="1:13" s="65" customFormat="1" ht="17.5" customHeight="1">
      <c r="A1102" s="178"/>
      <c r="B1102" s="126"/>
      <c r="C1102" s="126"/>
      <c r="D1102" s="128"/>
      <c r="E1102" s="129"/>
      <c r="F1102" s="129"/>
      <c r="G1102" s="129"/>
      <c r="H1102" s="129"/>
      <c r="I1102" s="129"/>
      <c r="J1102" s="129"/>
      <c r="K1102" s="152"/>
      <c r="L1102" s="179"/>
      <c r="M1102" s="180"/>
    </row>
    <row r="1103" spans="1:13" s="65" customFormat="1" ht="17.5" customHeight="1">
      <c r="A1103" s="178"/>
      <c r="B1103" s="181" t="s">
        <v>99</v>
      </c>
      <c r="C1103" s="181"/>
      <c r="D1103" s="128"/>
      <c r="E1103" s="129"/>
      <c r="F1103" s="129"/>
      <c r="G1103" s="129"/>
      <c r="H1103" s="129" t="s">
        <v>154</v>
      </c>
      <c r="I1103" s="129" t="s">
        <v>85</v>
      </c>
      <c r="J1103" s="129"/>
      <c r="K1103" s="152"/>
      <c r="L1103" s="179"/>
      <c r="M1103" s="180"/>
    </row>
    <row r="1104" spans="1:13" s="65" customFormat="1" ht="17.5" customHeight="1">
      <c r="A1104" s="178"/>
      <c r="B1104" s="181" t="str">
        <f>B1057</f>
        <v xml:space="preserve"> Lintel @ External Wall</v>
      </c>
      <c r="C1104" s="181"/>
      <c r="D1104" s="128"/>
      <c r="E1104" s="129"/>
      <c r="F1104" s="129"/>
      <c r="G1104" s="129"/>
      <c r="H1104" s="129"/>
      <c r="I1104" s="129"/>
      <c r="J1104" s="129"/>
      <c r="K1104" s="152"/>
      <c r="L1104" s="179"/>
      <c r="M1104" s="180"/>
    </row>
    <row r="1105" spans="1:13" s="65" customFormat="1" ht="17.5" customHeight="1">
      <c r="A1105" s="178"/>
      <c r="B1105" s="260" t="str">
        <f>B1058</f>
        <v>Ground Floor Lintel</v>
      </c>
      <c r="C1105" s="260"/>
      <c r="D1105" s="261">
        <f>D1058</f>
        <v>1</v>
      </c>
      <c r="E1105" s="262">
        <f>E1058</f>
        <v>118</v>
      </c>
      <c r="F1105" s="262">
        <f>F1058</f>
        <v>0.38</v>
      </c>
      <c r="G1105" s="262">
        <f>G1058</f>
        <v>0.38</v>
      </c>
      <c r="H1105" s="129"/>
      <c r="I1105" s="129"/>
      <c r="J1105" s="129"/>
      <c r="K1105" s="152"/>
      <c r="L1105" s="179"/>
      <c r="M1105" s="180"/>
    </row>
    <row r="1106" spans="1:13" s="65" customFormat="1" ht="17.5" customHeight="1">
      <c r="A1106" s="178"/>
      <c r="B1106" s="126" t="s">
        <v>178</v>
      </c>
      <c r="C1106" s="126"/>
      <c r="D1106" s="128">
        <f>D1105*2</f>
        <v>2</v>
      </c>
      <c r="E1106" s="129">
        <f>E1105</f>
        <v>118</v>
      </c>
      <c r="F1106" s="129"/>
      <c r="G1106" s="129"/>
      <c r="H1106" s="129">
        <f>D1106*E1106</f>
        <v>236</v>
      </c>
      <c r="I1106" s="129"/>
      <c r="J1106" s="129"/>
      <c r="K1106" s="152"/>
      <c r="L1106" s="179"/>
      <c r="M1106" s="180"/>
    </row>
    <row r="1107" spans="1:13" s="65" customFormat="1" ht="17.5" customHeight="1">
      <c r="A1107" s="178"/>
      <c r="B1107" s="126" t="s">
        <v>155</v>
      </c>
      <c r="C1107" s="126"/>
      <c r="D1107" s="128">
        <f>D1105*ROUND(E1105/0.5+1,0)</f>
        <v>237</v>
      </c>
      <c r="E1107" s="129">
        <f>(F1105-0.17)*2+(G1105-0.17)*2+24*6.5/1000*3.281</f>
        <v>1.35</v>
      </c>
      <c r="F1107" s="129"/>
      <c r="G1107" s="129"/>
      <c r="H1107" s="129"/>
      <c r="I1107" s="129">
        <f>D1107*E1107</f>
        <v>319.95</v>
      </c>
      <c r="J1107" s="129"/>
      <c r="K1107" s="152"/>
      <c r="L1107" s="179"/>
      <c r="M1107" s="180"/>
    </row>
    <row r="1108" spans="1:13" s="65" customFormat="1" ht="17.5" customHeight="1">
      <c r="A1108" s="178"/>
      <c r="B1108" s="126"/>
      <c r="C1108" s="126"/>
      <c r="D1108" s="128"/>
      <c r="E1108" s="129"/>
      <c r="F1108" s="129"/>
      <c r="G1108" s="129"/>
      <c r="H1108" s="129"/>
      <c r="I1108" s="129"/>
      <c r="J1108" s="129"/>
      <c r="K1108" s="152"/>
      <c r="L1108" s="179"/>
      <c r="M1108" s="180"/>
    </row>
    <row r="1109" spans="1:13" s="65" customFormat="1" ht="17.5" customHeight="1">
      <c r="A1109" s="178"/>
      <c r="B1109" s="260" t="str">
        <f>B1059</f>
        <v>Ground Floor Sill</v>
      </c>
      <c r="C1109" s="260"/>
      <c r="D1109" s="261">
        <f>D1059</f>
        <v>1</v>
      </c>
      <c r="E1109" s="262">
        <f>E1059</f>
        <v>105.75</v>
      </c>
      <c r="F1109" s="262">
        <f>F1059</f>
        <v>0.38</v>
      </c>
      <c r="G1109" s="262">
        <f>G1059</f>
        <v>0.38</v>
      </c>
      <c r="H1109" s="129"/>
      <c r="I1109" s="129"/>
      <c r="J1109" s="129"/>
      <c r="K1109" s="152"/>
      <c r="L1109" s="179"/>
      <c r="M1109" s="180"/>
    </row>
    <row r="1110" spans="1:13" s="65" customFormat="1" ht="17.5" customHeight="1">
      <c r="A1110" s="178"/>
      <c r="B1110" s="126" t="s">
        <v>178</v>
      </c>
      <c r="C1110" s="126"/>
      <c r="D1110" s="128">
        <f>D1109*2</f>
        <v>2</v>
      </c>
      <c r="E1110" s="129">
        <f>E1109</f>
        <v>105.75</v>
      </c>
      <c r="F1110" s="129"/>
      <c r="G1110" s="129"/>
      <c r="H1110" s="129">
        <f>D1110*E1110</f>
        <v>211.5</v>
      </c>
      <c r="I1110" s="129"/>
      <c r="J1110" s="129"/>
      <c r="K1110" s="152"/>
      <c r="L1110" s="179"/>
      <c r="M1110" s="180"/>
    </row>
    <row r="1111" spans="1:13" s="65" customFormat="1" ht="17.5" customHeight="1">
      <c r="A1111" s="178"/>
      <c r="B1111" s="126" t="s">
        <v>155</v>
      </c>
      <c r="C1111" s="126"/>
      <c r="D1111" s="128">
        <f>D1109*ROUND(E1109/0.5+1,0)</f>
        <v>213</v>
      </c>
      <c r="E1111" s="129">
        <f>(F1109-0.17)*2+(G1109-0.17)*2+24*6.5/1000*3.281</f>
        <v>1.35</v>
      </c>
      <c r="F1111" s="129"/>
      <c r="G1111" s="129"/>
      <c r="H1111" s="129"/>
      <c r="I1111" s="129">
        <f>D1111*E1111</f>
        <v>287.55</v>
      </c>
      <c r="J1111" s="129"/>
      <c r="K1111" s="152"/>
      <c r="L1111" s="179"/>
      <c r="M1111" s="180"/>
    </row>
    <row r="1112" spans="1:13" s="65" customFormat="1" ht="17.5" customHeight="1">
      <c r="A1112" s="178"/>
      <c r="B1112" s="126"/>
      <c r="C1112" s="126"/>
      <c r="D1112" s="128"/>
      <c r="E1112" s="129"/>
      <c r="F1112" s="129"/>
      <c r="G1112" s="129"/>
      <c r="H1112" s="129"/>
      <c r="I1112" s="129"/>
      <c r="J1112" s="129"/>
      <c r="K1112" s="152"/>
      <c r="L1112" s="179"/>
      <c r="M1112" s="180"/>
    </row>
    <row r="1113" spans="1:13" s="65" customFormat="1" ht="17.5" customHeight="1">
      <c r="A1113" s="178"/>
      <c r="B1113" s="260" t="str">
        <f>B1060</f>
        <v>First Floor Lintel</v>
      </c>
      <c r="C1113" s="260"/>
      <c r="D1113" s="261">
        <f>D1060</f>
        <v>1</v>
      </c>
      <c r="E1113" s="262">
        <f>E1060</f>
        <v>124</v>
      </c>
      <c r="F1113" s="262">
        <f>F1060</f>
        <v>0.38</v>
      </c>
      <c r="G1113" s="262">
        <f>G1060</f>
        <v>0.38</v>
      </c>
      <c r="H1113" s="129"/>
      <c r="I1113" s="129"/>
      <c r="J1113" s="129"/>
      <c r="K1113" s="152"/>
      <c r="L1113" s="179"/>
      <c r="M1113" s="180"/>
    </row>
    <row r="1114" spans="1:13" s="65" customFormat="1" ht="17.5" customHeight="1">
      <c r="A1114" s="178"/>
      <c r="B1114" s="126" t="s">
        <v>178</v>
      </c>
      <c r="C1114" s="126"/>
      <c r="D1114" s="128">
        <f>D1113*2</f>
        <v>2</v>
      </c>
      <c r="E1114" s="129">
        <f>E1113</f>
        <v>124</v>
      </c>
      <c r="F1114" s="129"/>
      <c r="G1114" s="129"/>
      <c r="H1114" s="129">
        <f>D1114*E1114</f>
        <v>248</v>
      </c>
      <c r="I1114" s="129"/>
      <c r="J1114" s="129"/>
      <c r="K1114" s="152"/>
      <c r="L1114" s="179"/>
      <c r="M1114" s="180"/>
    </row>
    <row r="1115" spans="1:13" s="65" customFormat="1" ht="17.5" customHeight="1">
      <c r="A1115" s="178"/>
      <c r="B1115" s="126" t="s">
        <v>155</v>
      </c>
      <c r="C1115" s="126"/>
      <c r="D1115" s="128">
        <f>D1113*ROUND(E1113/0.5+1,0)</f>
        <v>249</v>
      </c>
      <c r="E1115" s="129">
        <f>(F1113-0.17)*2+(G1113-0.17)*2+24*6.5/1000*3.281</f>
        <v>1.35</v>
      </c>
      <c r="F1115" s="129"/>
      <c r="G1115" s="129"/>
      <c r="H1115" s="129"/>
      <c r="I1115" s="129">
        <f>D1115*E1115</f>
        <v>336.15</v>
      </c>
      <c r="J1115" s="129"/>
      <c r="K1115" s="152"/>
      <c r="L1115" s="179"/>
      <c r="M1115" s="180"/>
    </row>
    <row r="1116" spans="1:13" s="65" customFormat="1" ht="17.5" customHeight="1">
      <c r="A1116" s="178"/>
      <c r="B1116" s="126"/>
      <c r="C1116" s="126"/>
      <c r="D1116" s="128"/>
      <c r="E1116" s="129"/>
      <c r="F1116" s="129"/>
      <c r="G1116" s="129"/>
      <c r="H1116" s="129"/>
      <c r="I1116" s="129"/>
      <c r="J1116" s="129"/>
      <c r="K1116" s="152"/>
      <c r="L1116" s="179"/>
      <c r="M1116" s="180"/>
    </row>
    <row r="1117" spans="1:13" s="65" customFormat="1" ht="17.5" customHeight="1">
      <c r="A1117" s="178"/>
      <c r="B1117" s="260" t="str">
        <f>B1061</f>
        <v>First Floor Sill</v>
      </c>
      <c r="C1117" s="260"/>
      <c r="D1117" s="261">
        <f>D1061</f>
        <v>1</v>
      </c>
      <c r="E1117" s="262">
        <f>E1061</f>
        <v>120.75</v>
      </c>
      <c r="F1117" s="262">
        <f>F1061</f>
        <v>0.38</v>
      </c>
      <c r="G1117" s="262">
        <f>G1061</f>
        <v>0.38</v>
      </c>
      <c r="H1117" s="129"/>
      <c r="I1117" s="129"/>
      <c r="J1117" s="129"/>
      <c r="K1117" s="152"/>
      <c r="L1117" s="179"/>
      <c r="M1117" s="180"/>
    </row>
    <row r="1118" spans="1:13" s="65" customFormat="1" ht="17.5" customHeight="1">
      <c r="A1118" s="178"/>
      <c r="B1118" s="126" t="s">
        <v>178</v>
      </c>
      <c r="C1118" s="126"/>
      <c r="D1118" s="128">
        <f>D1117*2</f>
        <v>2</v>
      </c>
      <c r="E1118" s="129">
        <f>E1117</f>
        <v>120.75</v>
      </c>
      <c r="F1118" s="129"/>
      <c r="G1118" s="129"/>
      <c r="H1118" s="129">
        <f>D1118*E1118</f>
        <v>241.5</v>
      </c>
      <c r="I1118" s="129"/>
      <c r="J1118" s="129"/>
      <c r="K1118" s="152"/>
      <c r="L1118" s="179"/>
      <c r="M1118" s="180"/>
    </row>
    <row r="1119" spans="1:13" s="65" customFormat="1" ht="17.5" customHeight="1">
      <c r="A1119" s="178"/>
      <c r="B1119" s="126" t="s">
        <v>155</v>
      </c>
      <c r="C1119" s="126"/>
      <c r="D1119" s="128">
        <f>D1117*ROUND(E1117/0.5+1,0)</f>
        <v>243</v>
      </c>
      <c r="E1119" s="129">
        <f>(F1117-0.17)*2+(G1117-0.17)*2+24*6.5/1000*3.281</f>
        <v>1.35</v>
      </c>
      <c r="F1119" s="129"/>
      <c r="G1119" s="129"/>
      <c r="H1119" s="129"/>
      <c r="I1119" s="129">
        <f>D1119*E1119</f>
        <v>328.05</v>
      </c>
      <c r="J1119" s="129"/>
      <c r="K1119" s="152"/>
      <c r="L1119" s="179"/>
      <c r="M1119" s="180"/>
    </row>
    <row r="1120" spans="1:13" s="65" customFormat="1" ht="17.5" customHeight="1">
      <c r="A1120" s="178"/>
      <c r="B1120" s="126"/>
      <c r="C1120" s="126"/>
      <c r="D1120" s="128"/>
      <c r="E1120" s="129"/>
      <c r="F1120" s="129"/>
      <c r="G1120" s="129"/>
      <c r="H1120" s="129"/>
      <c r="I1120" s="129"/>
      <c r="J1120" s="129"/>
      <c r="K1120" s="152"/>
      <c r="L1120" s="179"/>
      <c r="M1120" s="180"/>
    </row>
    <row r="1121" spans="1:13" s="65" customFormat="1" ht="17.5" customHeight="1">
      <c r="A1121" s="178"/>
      <c r="B1121" s="260" t="str">
        <f>B1062</f>
        <v>Roof Floor Lintel</v>
      </c>
      <c r="C1121" s="260"/>
      <c r="D1121" s="261">
        <f>D1062</f>
        <v>1</v>
      </c>
      <c r="E1121" s="262">
        <f>E1062</f>
        <v>148.16999999999999</v>
      </c>
      <c r="F1121" s="262">
        <f>F1062</f>
        <v>0.38</v>
      </c>
      <c r="G1121" s="262">
        <f>G1062</f>
        <v>0.38</v>
      </c>
      <c r="H1121" s="129"/>
      <c r="I1121" s="129"/>
      <c r="J1121" s="129"/>
      <c r="K1121" s="152"/>
      <c r="L1121" s="179"/>
      <c r="M1121" s="180"/>
    </row>
    <row r="1122" spans="1:13" s="65" customFormat="1" ht="17.5" customHeight="1">
      <c r="A1122" s="178"/>
      <c r="B1122" s="126" t="s">
        <v>178</v>
      </c>
      <c r="C1122" s="126"/>
      <c r="D1122" s="128">
        <f>D1121*2</f>
        <v>2</v>
      </c>
      <c r="E1122" s="129">
        <f>E1121</f>
        <v>148.16999999999999</v>
      </c>
      <c r="F1122" s="129"/>
      <c r="G1122" s="129"/>
      <c r="H1122" s="129">
        <f>D1122*E1122</f>
        <v>296.33999999999997</v>
      </c>
      <c r="I1122" s="129"/>
      <c r="J1122" s="129"/>
      <c r="K1122" s="152"/>
      <c r="L1122" s="179"/>
      <c r="M1122" s="180"/>
    </row>
    <row r="1123" spans="1:13" s="65" customFormat="1" ht="17.5" customHeight="1">
      <c r="A1123" s="178"/>
      <c r="B1123" s="126" t="s">
        <v>155</v>
      </c>
      <c r="C1123" s="126"/>
      <c r="D1123" s="128">
        <f>D1121*ROUND(E1121/0.5+1,0)</f>
        <v>297</v>
      </c>
      <c r="E1123" s="129">
        <f>(F1121-0.17)*2+(G1121-0.17)*2+24*6.5/1000*3.281</f>
        <v>1.35</v>
      </c>
      <c r="F1123" s="129"/>
      <c r="G1123" s="129"/>
      <c r="H1123" s="129"/>
      <c r="I1123" s="129">
        <f>D1123*E1123</f>
        <v>400.95</v>
      </c>
      <c r="J1123" s="129"/>
      <c r="K1123" s="152"/>
      <c r="L1123" s="179"/>
      <c r="M1123" s="180"/>
    </row>
    <row r="1124" spans="1:13" s="65" customFormat="1" ht="17.5" customHeight="1">
      <c r="A1124" s="178"/>
      <c r="B1124" s="260" t="str">
        <f>B1063</f>
        <v>Roof Floor Sill</v>
      </c>
      <c r="C1124" s="260"/>
      <c r="D1124" s="261">
        <f>D1063</f>
        <v>1</v>
      </c>
      <c r="E1124" s="262">
        <f>E1063</f>
        <v>141.66999999999999</v>
      </c>
      <c r="F1124" s="262">
        <f>F1063</f>
        <v>0.38</v>
      </c>
      <c r="G1124" s="262">
        <f>G1063</f>
        <v>0.38</v>
      </c>
      <c r="H1124" s="129"/>
      <c r="I1124" s="129"/>
      <c r="J1124" s="129"/>
      <c r="K1124" s="152"/>
      <c r="L1124" s="179"/>
      <c r="M1124" s="180"/>
    </row>
    <row r="1125" spans="1:13" s="65" customFormat="1" ht="17.5" customHeight="1">
      <c r="A1125" s="178"/>
      <c r="B1125" s="126" t="s">
        <v>178</v>
      </c>
      <c r="C1125" s="126"/>
      <c r="D1125" s="128">
        <f>D1124*2</f>
        <v>2</v>
      </c>
      <c r="E1125" s="129">
        <f>E1124</f>
        <v>141.66999999999999</v>
      </c>
      <c r="F1125" s="129"/>
      <c r="G1125" s="129"/>
      <c r="H1125" s="129">
        <f>D1125*E1125</f>
        <v>283.33999999999997</v>
      </c>
      <c r="I1125" s="129"/>
      <c r="J1125" s="129"/>
      <c r="K1125" s="152"/>
      <c r="L1125" s="179"/>
      <c r="M1125" s="180"/>
    </row>
    <row r="1126" spans="1:13" s="65" customFormat="1" ht="17.5" customHeight="1">
      <c r="A1126" s="178"/>
      <c r="B1126" s="126" t="s">
        <v>155</v>
      </c>
      <c r="C1126" s="126"/>
      <c r="D1126" s="128">
        <f>D1124*ROUND(E1124/0.5+1,0)</f>
        <v>284</v>
      </c>
      <c r="E1126" s="129">
        <f>(F1124-0.17)*2+(G1124-0.17)*2+24*6.5/1000*3.281</f>
        <v>1.35</v>
      </c>
      <c r="F1126" s="129"/>
      <c r="G1126" s="129"/>
      <c r="H1126" s="129"/>
      <c r="I1126" s="129">
        <f>D1126*E1126</f>
        <v>383.4</v>
      </c>
      <c r="J1126" s="129"/>
      <c r="K1126" s="152"/>
      <c r="L1126" s="179"/>
      <c r="M1126" s="180"/>
    </row>
    <row r="1127" spans="1:13" s="65" customFormat="1" ht="17.5" customHeight="1">
      <c r="A1127" s="178"/>
      <c r="B1127" s="260" t="str">
        <f>B1064</f>
        <v>Roof Top (Parapet Lintel)</v>
      </c>
      <c r="C1127" s="260"/>
      <c r="D1127" s="261">
        <f>D1064</f>
        <v>1</v>
      </c>
      <c r="E1127" s="262">
        <f>E1064</f>
        <v>91.34</v>
      </c>
      <c r="F1127" s="262">
        <f>F1064</f>
        <v>0.38</v>
      </c>
      <c r="G1127" s="262">
        <f>G1064</f>
        <v>0.38</v>
      </c>
      <c r="H1127" s="129"/>
      <c r="I1127" s="129"/>
      <c r="J1127" s="129"/>
      <c r="K1127" s="152"/>
      <c r="L1127" s="179"/>
      <c r="M1127" s="180"/>
    </row>
    <row r="1128" spans="1:13" s="65" customFormat="1" ht="17.5" customHeight="1">
      <c r="A1128" s="178"/>
      <c r="B1128" s="126" t="s">
        <v>178</v>
      </c>
      <c r="C1128" s="126"/>
      <c r="D1128" s="128">
        <f>D1127*2</f>
        <v>2</v>
      </c>
      <c r="E1128" s="129">
        <f>E1127</f>
        <v>91.34</v>
      </c>
      <c r="F1128" s="129"/>
      <c r="G1128" s="129"/>
      <c r="H1128" s="129">
        <f>D1128*E1128</f>
        <v>182.68</v>
      </c>
      <c r="I1128" s="129"/>
      <c r="J1128" s="129"/>
      <c r="K1128" s="152"/>
      <c r="L1128" s="179"/>
      <c r="M1128" s="180"/>
    </row>
    <row r="1129" spans="1:13" s="65" customFormat="1" ht="17.5" customHeight="1">
      <c r="A1129" s="178"/>
      <c r="B1129" s="126" t="s">
        <v>155</v>
      </c>
      <c r="C1129" s="126"/>
      <c r="D1129" s="128">
        <f>D1127*ROUND(E1127/0.5+1,0)</f>
        <v>184</v>
      </c>
      <c r="E1129" s="129">
        <f>(F1127-0.17)*2+(G1127-0.17)*2+24*6.5/1000*3.281</f>
        <v>1.35</v>
      </c>
      <c r="F1129" s="129"/>
      <c r="G1129" s="129"/>
      <c r="H1129" s="129"/>
      <c r="I1129" s="129">
        <f>D1129*E1129</f>
        <v>248.4</v>
      </c>
      <c r="J1129" s="129"/>
      <c r="K1129" s="152"/>
      <c r="L1129" s="179"/>
      <c r="M1129" s="180"/>
    </row>
    <row r="1130" spans="1:13" s="65" customFormat="1" ht="17.5" customHeight="1">
      <c r="A1130" s="178"/>
      <c r="B1130" s="257"/>
      <c r="C1130" s="257"/>
      <c r="D1130" s="258"/>
      <c r="E1130" s="259"/>
      <c r="F1130" s="259"/>
      <c r="G1130" s="259"/>
      <c r="H1130" s="129"/>
      <c r="I1130" s="129"/>
      <c r="J1130" s="129"/>
      <c r="K1130" s="152"/>
      <c r="L1130" s="179"/>
      <c r="M1130" s="180"/>
    </row>
    <row r="1131" spans="1:13" s="65" customFormat="1" ht="17.5" customHeight="1">
      <c r="A1131" s="178"/>
      <c r="B1131" s="260" t="str">
        <f>B1066</f>
        <v>Stiffener @ Parapet Wall</v>
      </c>
      <c r="C1131" s="260"/>
      <c r="D1131" s="261">
        <f>D1066</f>
        <v>10</v>
      </c>
      <c r="E1131" s="262">
        <f>E1066</f>
        <v>0.38</v>
      </c>
      <c r="F1131" s="262">
        <f>F1066</f>
        <v>0.38</v>
      </c>
      <c r="G1131" s="262">
        <f>G1066</f>
        <v>2</v>
      </c>
      <c r="H1131" s="129"/>
      <c r="I1131" s="129"/>
      <c r="J1131" s="129"/>
      <c r="K1131" s="152"/>
      <c r="L1131" s="179"/>
      <c r="M1131" s="180"/>
    </row>
    <row r="1132" spans="1:13" s="65" customFormat="1" ht="17.5" customHeight="1">
      <c r="A1132" s="178"/>
      <c r="B1132" s="126" t="s">
        <v>178</v>
      </c>
      <c r="C1132" s="126"/>
      <c r="D1132" s="128">
        <f>D1131*2</f>
        <v>20</v>
      </c>
      <c r="E1132" s="129">
        <f>E1131</f>
        <v>0.38</v>
      </c>
      <c r="F1132" s="129"/>
      <c r="G1132" s="129"/>
      <c r="H1132" s="129">
        <f>D1132*E1132</f>
        <v>7.6</v>
      </c>
      <c r="I1132" s="129"/>
      <c r="J1132" s="129"/>
      <c r="K1132" s="152"/>
      <c r="L1132" s="179"/>
      <c r="M1132" s="180"/>
    </row>
    <row r="1133" spans="1:13" s="65" customFormat="1" ht="17.5" customHeight="1">
      <c r="A1133" s="178"/>
      <c r="B1133" s="126" t="s">
        <v>155</v>
      </c>
      <c r="C1133" s="126"/>
      <c r="D1133" s="128">
        <f>D1131*ROUND(E1131/0.5+1,0)</f>
        <v>20</v>
      </c>
      <c r="E1133" s="129">
        <f>(F1131-0.17)*2+(G1131-0.17)*2+24*6.5/1000*3.281</f>
        <v>4.59</v>
      </c>
      <c r="F1133" s="129"/>
      <c r="G1133" s="129"/>
      <c r="H1133" s="129"/>
      <c r="I1133" s="129">
        <f>D1133*E1133</f>
        <v>91.8</v>
      </c>
      <c r="J1133" s="129"/>
      <c r="K1133" s="152"/>
      <c r="L1133" s="179"/>
      <c r="M1133" s="180"/>
    </row>
    <row r="1134" spans="1:13" s="65" customFormat="1" ht="17.5" customHeight="1">
      <c r="A1134" s="178"/>
      <c r="B1134" s="257"/>
      <c r="C1134" s="257"/>
      <c r="D1134" s="258"/>
      <c r="E1134" s="259"/>
      <c r="F1134" s="259"/>
      <c r="G1134" s="259"/>
      <c r="H1134" s="129"/>
      <c r="I1134" s="129"/>
      <c r="J1134" s="129"/>
      <c r="K1134" s="152"/>
      <c r="L1134" s="179"/>
      <c r="M1134" s="180"/>
    </row>
    <row r="1135" spans="1:13" s="65" customFormat="1" ht="17.5" customHeight="1">
      <c r="A1135" s="178"/>
      <c r="B1135" s="263" t="str">
        <f>B1068</f>
        <v xml:space="preserve"> Lintel @ Internal Wall</v>
      </c>
      <c r="C1135" s="260"/>
      <c r="D1135" s="261"/>
      <c r="E1135" s="262"/>
      <c r="F1135" s="262"/>
      <c r="G1135" s="262"/>
      <c r="H1135" s="129"/>
      <c r="I1135" s="129"/>
      <c r="J1135" s="129"/>
      <c r="K1135" s="152"/>
      <c r="L1135" s="179"/>
      <c r="M1135" s="180"/>
    </row>
    <row r="1136" spans="1:13" s="65" customFormat="1" ht="17.5" customHeight="1">
      <c r="A1136" s="178"/>
      <c r="B1136" s="260" t="str">
        <f>B1069</f>
        <v>Ground Floor Lintel</v>
      </c>
      <c r="C1136" s="260"/>
      <c r="D1136" s="261">
        <f>D1069</f>
        <v>1</v>
      </c>
      <c r="E1136" s="262">
        <f>E1069</f>
        <v>96.25</v>
      </c>
      <c r="F1136" s="262">
        <f>F1069</f>
        <v>0.38</v>
      </c>
      <c r="G1136" s="262">
        <f>G1069</f>
        <v>0.38</v>
      </c>
      <c r="H1136" s="129"/>
      <c r="I1136" s="129"/>
      <c r="J1136" s="129"/>
      <c r="K1136" s="152"/>
      <c r="L1136" s="179"/>
      <c r="M1136" s="180"/>
    </row>
    <row r="1137" spans="1:13" s="65" customFormat="1" ht="17.5" customHeight="1">
      <c r="A1137" s="178"/>
      <c r="B1137" s="126" t="s">
        <v>178</v>
      </c>
      <c r="C1137" s="126"/>
      <c r="D1137" s="128">
        <f>D1136*2</f>
        <v>2</v>
      </c>
      <c r="E1137" s="129">
        <f>E1136</f>
        <v>96.25</v>
      </c>
      <c r="F1137" s="129"/>
      <c r="G1137" s="129"/>
      <c r="H1137" s="129">
        <f>D1137*E1137</f>
        <v>192.5</v>
      </c>
      <c r="I1137" s="129"/>
      <c r="J1137" s="129"/>
      <c r="K1137" s="152"/>
      <c r="L1137" s="179"/>
      <c r="M1137" s="180"/>
    </row>
    <row r="1138" spans="1:13" s="65" customFormat="1" ht="17.5" customHeight="1">
      <c r="A1138" s="178"/>
      <c r="B1138" s="126" t="s">
        <v>155</v>
      </c>
      <c r="C1138" s="126"/>
      <c r="D1138" s="128">
        <f>D1136*ROUND(E1136/0.5+1,0)</f>
        <v>194</v>
      </c>
      <c r="E1138" s="129">
        <f>(F1136-0.17)*2+(G1136-0.17)*2+24*6.5/1000*3.281</f>
        <v>1.35</v>
      </c>
      <c r="F1138" s="129"/>
      <c r="G1138" s="129"/>
      <c r="H1138" s="129"/>
      <c r="I1138" s="129">
        <f>D1138*E1138</f>
        <v>261.89999999999998</v>
      </c>
      <c r="J1138" s="129"/>
      <c r="K1138" s="152"/>
      <c r="L1138" s="179"/>
      <c r="M1138" s="180"/>
    </row>
    <row r="1139" spans="1:13" s="65" customFormat="1" ht="17.5" customHeight="1">
      <c r="A1139" s="178"/>
      <c r="B1139" s="260" t="str">
        <f>B1070</f>
        <v>Ground Floor Sill</v>
      </c>
      <c r="C1139" s="260"/>
      <c r="D1139" s="261">
        <f>D1070</f>
        <v>1</v>
      </c>
      <c r="E1139" s="262">
        <f>E1070</f>
        <v>76.75</v>
      </c>
      <c r="F1139" s="262">
        <f>F1070</f>
        <v>0.38</v>
      </c>
      <c r="G1139" s="262">
        <f>G1070</f>
        <v>0.38</v>
      </c>
      <c r="H1139" s="129"/>
      <c r="I1139" s="129"/>
      <c r="J1139" s="129"/>
      <c r="K1139" s="152"/>
      <c r="L1139" s="179"/>
      <c r="M1139" s="180"/>
    </row>
    <row r="1140" spans="1:13" s="65" customFormat="1" ht="17.5" customHeight="1">
      <c r="A1140" s="178"/>
      <c r="B1140" s="126" t="s">
        <v>178</v>
      </c>
      <c r="C1140" s="126"/>
      <c r="D1140" s="128">
        <f>D1139*2</f>
        <v>2</v>
      </c>
      <c r="E1140" s="129">
        <f>E1139</f>
        <v>76.75</v>
      </c>
      <c r="F1140" s="129"/>
      <c r="G1140" s="129"/>
      <c r="H1140" s="129">
        <f>D1140*E1140</f>
        <v>153.5</v>
      </c>
      <c r="I1140" s="129"/>
      <c r="J1140" s="129"/>
      <c r="K1140" s="152"/>
      <c r="L1140" s="179"/>
      <c r="M1140" s="180"/>
    </row>
    <row r="1141" spans="1:13" s="65" customFormat="1" ht="17.5" customHeight="1">
      <c r="A1141" s="178"/>
      <c r="B1141" s="126" t="s">
        <v>155</v>
      </c>
      <c r="C1141" s="126"/>
      <c r="D1141" s="128">
        <f>D1139*ROUND(E1139/0.5+1,0)</f>
        <v>155</v>
      </c>
      <c r="E1141" s="129">
        <f>(F1139-0.17)*2+(G1139-0.17)*2+24*6.5/1000*3.281</f>
        <v>1.35</v>
      </c>
      <c r="F1141" s="129"/>
      <c r="G1141" s="129"/>
      <c r="H1141" s="129"/>
      <c r="I1141" s="129">
        <f>D1141*E1141</f>
        <v>209.25</v>
      </c>
      <c r="J1141" s="129"/>
      <c r="K1141" s="152"/>
      <c r="L1141" s="179"/>
      <c r="M1141" s="180"/>
    </row>
    <row r="1142" spans="1:13" s="65" customFormat="1" ht="17.5" customHeight="1">
      <c r="A1142" s="178"/>
      <c r="B1142" s="260" t="str">
        <f>B1071</f>
        <v>First Floor Lintel</v>
      </c>
      <c r="C1142" s="260"/>
      <c r="D1142" s="261">
        <f>D1071</f>
        <v>1</v>
      </c>
      <c r="E1142" s="262">
        <f>E1071</f>
        <v>84.75</v>
      </c>
      <c r="F1142" s="262">
        <f>F1071</f>
        <v>0.38</v>
      </c>
      <c r="G1142" s="262">
        <f>G1071</f>
        <v>0.38</v>
      </c>
      <c r="H1142" s="129"/>
      <c r="I1142" s="129"/>
      <c r="J1142" s="129"/>
      <c r="K1142" s="152"/>
      <c r="L1142" s="179"/>
      <c r="M1142" s="180"/>
    </row>
    <row r="1143" spans="1:13" s="65" customFormat="1" ht="17.5" customHeight="1">
      <c r="A1143" s="178"/>
      <c r="B1143" s="126" t="s">
        <v>178</v>
      </c>
      <c r="C1143" s="126"/>
      <c r="D1143" s="128">
        <f>D1142*2</f>
        <v>2</v>
      </c>
      <c r="E1143" s="129">
        <f>E1142</f>
        <v>84.75</v>
      </c>
      <c r="F1143" s="129"/>
      <c r="G1143" s="129"/>
      <c r="H1143" s="129">
        <f>D1143*E1143</f>
        <v>169.5</v>
      </c>
      <c r="I1143" s="129"/>
      <c r="J1143" s="129"/>
      <c r="K1143" s="152"/>
      <c r="L1143" s="179"/>
      <c r="M1143" s="180"/>
    </row>
    <row r="1144" spans="1:13" s="65" customFormat="1" ht="17.5" customHeight="1">
      <c r="A1144" s="178"/>
      <c r="B1144" s="126" t="s">
        <v>155</v>
      </c>
      <c r="C1144" s="126"/>
      <c r="D1144" s="128">
        <f>D1142*ROUND(E1142/0.5+1,0)</f>
        <v>171</v>
      </c>
      <c r="E1144" s="129">
        <f>(F1142-0.17)*2+(G1142-0.17)*2+24*6.5/1000*3.281</f>
        <v>1.35</v>
      </c>
      <c r="F1144" s="129"/>
      <c r="G1144" s="129"/>
      <c r="H1144" s="129"/>
      <c r="I1144" s="129">
        <f>D1144*E1144</f>
        <v>230.85</v>
      </c>
      <c r="J1144" s="129"/>
      <c r="K1144" s="152"/>
      <c r="L1144" s="179"/>
      <c r="M1144" s="180"/>
    </row>
    <row r="1145" spans="1:13" s="65" customFormat="1" ht="17.5" customHeight="1">
      <c r="A1145" s="178"/>
      <c r="B1145" s="260" t="str">
        <f>B1072</f>
        <v>First Floor Sill</v>
      </c>
      <c r="C1145" s="260"/>
      <c r="D1145" s="261">
        <f>D1072</f>
        <v>1</v>
      </c>
      <c r="E1145" s="262">
        <f>E1072</f>
        <v>71.75</v>
      </c>
      <c r="F1145" s="262">
        <f>F1072</f>
        <v>0.38</v>
      </c>
      <c r="G1145" s="262">
        <f>G1072</f>
        <v>0.38</v>
      </c>
      <c r="H1145" s="129"/>
      <c r="I1145" s="129"/>
      <c r="J1145" s="129"/>
      <c r="K1145" s="152"/>
      <c r="L1145" s="179"/>
      <c r="M1145" s="180"/>
    </row>
    <row r="1146" spans="1:13" s="65" customFormat="1" ht="17.5" customHeight="1">
      <c r="A1146" s="178"/>
      <c r="B1146" s="126" t="s">
        <v>178</v>
      </c>
      <c r="C1146" s="126"/>
      <c r="D1146" s="128">
        <f>D1145*2</f>
        <v>2</v>
      </c>
      <c r="E1146" s="129">
        <f>E1145</f>
        <v>71.75</v>
      </c>
      <c r="F1146" s="129"/>
      <c r="G1146" s="129"/>
      <c r="H1146" s="129">
        <f>D1146*E1146</f>
        <v>143.5</v>
      </c>
      <c r="I1146" s="129"/>
      <c r="J1146" s="129"/>
      <c r="K1146" s="152"/>
      <c r="L1146" s="179"/>
      <c r="M1146" s="180"/>
    </row>
    <row r="1147" spans="1:13" s="65" customFormat="1" ht="17.5" customHeight="1">
      <c r="A1147" s="178"/>
      <c r="B1147" s="126" t="s">
        <v>155</v>
      </c>
      <c r="C1147" s="126"/>
      <c r="D1147" s="128">
        <f>D1145*ROUND(E1145/0.5+1,0)</f>
        <v>145</v>
      </c>
      <c r="E1147" s="129">
        <f>(F1145-0.17)*2+(G1145-0.17)*2+24*6.5/1000*3.281</f>
        <v>1.35</v>
      </c>
      <c r="F1147" s="129"/>
      <c r="G1147" s="129"/>
      <c r="H1147" s="129"/>
      <c r="I1147" s="129">
        <f>D1147*E1147</f>
        <v>195.75</v>
      </c>
      <c r="J1147" s="129"/>
      <c r="K1147" s="152"/>
      <c r="L1147" s="179"/>
      <c r="M1147" s="180"/>
    </row>
    <row r="1148" spans="1:13" s="65" customFormat="1" ht="17.5" customHeight="1">
      <c r="A1148" s="178"/>
      <c r="B1148" s="260" t="str">
        <f>B1073</f>
        <v>Second Floor Lintel</v>
      </c>
      <c r="C1148" s="260"/>
      <c r="D1148" s="261">
        <f>D1073</f>
        <v>1</v>
      </c>
      <c r="E1148" s="262">
        <f>E1073</f>
        <v>29.75</v>
      </c>
      <c r="F1148" s="262">
        <f>F1073</f>
        <v>0.38</v>
      </c>
      <c r="G1148" s="262">
        <f>G1073</f>
        <v>0.38</v>
      </c>
      <c r="H1148" s="129"/>
      <c r="I1148" s="129"/>
      <c r="J1148" s="129"/>
      <c r="K1148" s="152"/>
      <c r="L1148" s="179"/>
      <c r="M1148" s="180"/>
    </row>
    <row r="1149" spans="1:13" s="65" customFormat="1" ht="17.5" customHeight="1">
      <c r="A1149" s="178"/>
      <c r="B1149" s="126" t="s">
        <v>178</v>
      </c>
      <c r="C1149" s="126"/>
      <c r="D1149" s="128">
        <f>D1148*2</f>
        <v>2</v>
      </c>
      <c r="E1149" s="129">
        <f>E1148</f>
        <v>29.75</v>
      </c>
      <c r="F1149" s="129"/>
      <c r="G1149" s="129"/>
      <c r="H1149" s="129">
        <f>D1149*E1149</f>
        <v>59.5</v>
      </c>
      <c r="I1149" s="129"/>
      <c r="J1149" s="129"/>
      <c r="K1149" s="152"/>
      <c r="L1149" s="179"/>
      <c r="M1149" s="180"/>
    </row>
    <row r="1150" spans="1:13" s="65" customFormat="1" ht="17.5" customHeight="1">
      <c r="A1150" s="178"/>
      <c r="B1150" s="126" t="s">
        <v>155</v>
      </c>
      <c r="C1150" s="126"/>
      <c r="D1150" s="128">
        <f>D1148*ROUND(E1148/0.5+1,0)</f>
        <v>61</v>
      </c>
      <c r="E1150" s="129">
        <f>(F1148-0.17)*2+(G1148-0.17)*2+24*6.5/1000*3.281</f>
        <v>1.35</v>
      </c>
      <c r="F1150" s="129"/>
      <c r="G1150" s="129"/>
      <c r="H1150" s="129"/>
      <c r="I1150" s="129">
        <f>D1150*E1150</f>
        <v>82.35</v>
      </c>
      <c r="J1150" s="129"/>
      <c r="K1150" s="152"/>
      <c r="L1150" s="179"/>
      <c r="M1150" s="180"/>
    </row>
    <row r="1151" spans="1:13" s="65" customFormat="1" ht="17.5" customHeight="1">
      <c r="A1151" s="178"/>
      <c r="B1151" s="260" t="str">
        <f>B1074</f>
        <v>Second Floor Sill</v>
      </c>
      <c r="C1151" s="260"/>
      <c r="D1151" s="261">
        <f>D1074</f>
        <v>1</v>
      </c>
      <c r="E1151" s="262">
        <f>E1074</f>
        <v>26.5</v>
      </c>
      <c r="F1151" s="262">
        <f>F1074</f>
        <v>0.38</v>
      </c>
      <c r="G1151" s="262">
        <f>G1074</f>
        <v>0.38</v>
      </c>
      <c r="H1151" s="129"/>
      <c r="I1151" s="129"/>
      <c r="J1151" s="129"/>
      <c r="K1151" s="152"/>
      <c r="L1151" s="179"/>
      <c r="M1151" s="180"/>
    </row>
    <row r="1152" spans="1:13" s="65" customFormat="1" ht="17.5" customHeight="1">
      <c r="A1152" s="178"/>
      <c r="B1152" s="126" t="s">
        <v>178</v>
      </c>
      <c r="C1152" s="126"/>
      <c r="D1152" s="128">
        <f>D1151*2</f>
        <v>2</v>
      </c>
      <c r="E1152" s="129">
        <f>E1151</f>
        <v>26.5</v>
      </c>
      <c r="F1152" s="129"/>
      <c r="G1152" s="129"/>
      <c r="H1152" s="129">
        <f>D1152*E1152</f>
        <v>53</v>
      </c>
      <c r="I1152" s="129"/>
      <c r="J1152" s="129"/>
      <c r="K1152" s="152"/>
      <c r="L1152" s="179"/>
      <c r="M1152" s="180"/>
    </row>
    <row r="1153" spans="1:13" s="65" customFormat="1" ht="17.5" customHeight="1">
      <c r="A1153" s="178"/>
      <c r="B1153" s="126" t="s">
        <v>155</v>
      </c>
      <c r="C1153" s="126"/>
      <c r="D1153" s="128">
        <f>D1151*ROUND(E1151/0.5+1,0)</f>
        <v>54</v>
      </c>
      <c r="E1153" s="129">
        <f>(F1151-0.17)*2+(G1151-0.17)*2+24*6.5/1000*3.281</f>
        <v>1.35</v>
      </c>
      <c r="F1153" s="129"/>
      <c r="G1153" s="129"/>
      <c r="H1153" s="129"/>
      <c r="I1153" s="129">
        <f>D1153*E1153</f>
        <v>72.900000000000006</v>
      </c>
      <c r="J1153" s="129"/>
      <c r="K1153" s="152"/>
      <c r="L1153" s="179"/>
      <c r="M1153" s="180"/>
    </row>
    <row r="1154" spans="1:13" s="65" customFormat="1" ht="17.5" customHeight="1">
      <c r="A1154" s="178"/>
      <c r="B1154" s="260" t="str">
        <f>B1075</f>
        <v>Parapet Lintel</v>
      </c>
      <c r="C1154" s="260"/>
      <c r="D1154" s="261">
        <f>D1075</f>
        <v>1</v>
      </c>
      <c r="E1154" s="262">
        <f>E1075</f>
        <v>90</v>
      </c>
      <c r="F1154" s="262">
        <f>F1075</f>
        <v>0.38</v>
      </c>
      <c r="G1154" s="262">
        <f>G1075</f>
        <v>0.38</v>
      </c>
      <c r="H1154" s="129"/>
      <c r="I1154" s="129"/>
      <c r="J1154" s="129"/>
      <c r="K1154" s="152"/>
      <c r="L1154" s="179"/>
      <c r="M1154" s="180"/>
    </row>
    <row r="1155" spans="1:13" s="65" customFormat="1" ht="17.5" customHeight="1">
      <c r="A1155" s="178"/>
      <c r="B1155" s="126" t="s">
        <v>178</v>
      </c>
      <c r="C1155" s="126"/>
      <c r="D1155" s="128">
        <f>D1154*2</f>
        <v>2</v>
      </c>
      <c r="E1155" s="129">
        <f>E1154</f>
        <v>90</v>
      </c>
      <c r="F1155" s="129"/>
      <c r="G1155" s="129"/>
      <c r="H1155" s="129">
        <f>D1155*E1155</f>
        <v>180</v>
      </c>
      <c r="I1155" s="129"/>
      <c r="J1155" s="129"/>
      <c r="K1155" s="152"/>
      <c r="L1155" s="179"/>
      <c r="M1155" s="180"/>
    </row>
    <row r="1156" spans="1:13" s="65" customFormat="1" ht="17.5" customHeight="1">
      <c r="A1156" s="178"/>
      <c r="B1156" s="126" t="s">
        <v>155</v>
      </c>
      <c r="C1156" s="126"/>
      <c r="D1156" s="128">
        <f>D1154*ROUND(E1154/0.5+1,0)</f>
        <v>181</v>
      </c>
      <c r="E1156" s="129">
        <f>(F1154-0.17)*2+(G1154-0.17)*2+24*6.5/1000*3.281</f>
        <v>1.35</v>
      </c>
      <c r="F1156" s="129"/>
      <c r="G1156" s="129"/>
      <c r="H1156" s="129"/>
      <c r="I1156" s="129">
        <f>D1156*E1156</f>
        <v>244.35</v>
      </c>
      <c r="J1156" s="129"/>
      <c r="K1156" s="152"/>
      <c r="L1156" s="179"/>
      <c r="M1156" s="180"/>
    </row>
    <row r="1157" spans="1:13" s="65" customFormat="1" ht="17.5" customHeight="1">
      <c r="A1157" s="178"/>
      <c r="B1157" s="260"/>
      <c r="C1157" s="260"/>
      <c r="D1157" s="261">
        <f>D1076</f>
        <v>3</v>
      </c>
      <c r="E1157" s="262">
        <f>E1076</f>
        <v>9.16</v>
      </c>
      <c r="F1157" s="262">
        <f>F1076</f>
        <v>0.38</v>
      </c>
      <c r="G1157" s="262">
        <f>G1076</f>
        <v>0.38</v>
      </c>
      <c r="H1157" s="129"/>
      <c r="I1157" s="129"/>
      <c r="J1157" s="129"/>
      <c r="K1157" s="152"/>
      <c r="L1157" s="179"/>
      <c r="M1157" s="180"/>
    </row>
    <row r="1158" spans="1:13" s="65" customFormat="1" ht="17.5" customHeight="1">
      <c r="A1158" s="178"/>
      <c r="B1158" s="126" t="s">
        <v>178</v>
      </c>
      <c r="C1158" s="126"/>
      <c r="D1158" s="128">
        <f>D1157*2</f>
        <v>6</v>
      </c>
      <c r="E1158" s="129">
        <f>E1157</f>
        <v>9.16</v>
      </c>
      <c r="F1158" s="129"/>
      <c r="G1158" s="129"/>
      <c r="H1158" s="129">
        <f>D1158*E1158</f>
        <v>54.96</v>
      </c>
      <c r="I1158" s="129"/>
      <c r="J1158" s="129"/>
      <c r="K1158" s="152"/>
      <c r="L1158" s="179"/>
      <c r="M1158" s="180"/>
    </row>
    <row r="1159" spans="1:13" s="65" customFormat="1" ht="17.5" customHeight="1">
      <c r="A1159" s="178"/>
      <c r="B1159" s="126" t="s">
        <v>155</v>
      </c>
      <c r="C1159" s="126"/>
      <c r="D1159" s="128">
        <f>D1157*ROUND(E1157/0.5+1,0)</f>
        <v>57</v>
      </c>
      <c r="E1159" s="129">
        <f>(F1157-0.17)*2+(G1157-0.17)*2+24*6.5/1000*3.281</f>
        <v>1.35</v>
      </c>
      <c r="F1159" s="129"/>
      <c r="G1159" s="129"/>
      <c r="H1159" s="129"/>
      <c r="I1159" s="129">
        <f>D1159*E1159</f>
        <v>76.95</v>
      </c>
      <c r="J1159" s="129"/>
      <c r="K1159" s="152"/>
      <c r="L1159" s="179"/>
      <c r="M1159" s="180"/>
    </row>
    <row r="1160" spans="1:13" s="65" customFormat="1" ht="17.5" customHeight="1">
      <c r="A1160" s="178"/>
      <c r="B1160" s="126"/>
      <c r="C1160" s="126"/>
      <c r="D1160" s="128"/>
      <c r="E1160" s="129"/>
      <c r="F1160" s="129"/>
      <c r="G1160" s="129"/>
      <c r="H1160" s="129"/>
      <c r="I1160" s="129"/>
      <c r="J1160" s="129"/>
      <c r="K1160" s="152"/>
      <c r="L1160" s="179"/>
      <c r="M1160" s="180"/>
    </row>
    <row r="1161" spans="1:13" s="65" customFormat="1" ht="17.5" customHeight="1">
      <c r="A1161" s="178"/>
      <c r="B1161" s="126"/>
      <c r="C1161" s="126"/>
      <c r="D1161" s="128"/>
      <c r="E1161" s="129"/>
      <c r="F1161" s="129"/>
      <c r="G1161" s="129"/>
      <c r="H1161" s="129">
        <f>SUM(H1106:H1160)</f>
        <v>2713.42</v>
      </c>
      <c r="I1161" s="129">
        <f>SUM(I1106:I1160)</f>
        <v>3770.55</v>
      </c>
      <c r="J1161" s="129" t="s">
        <v>34</v>
      </c>
      <c r="K1161" s="152"/>
      <c r="L1161" s="179"/>
      <c r="M1161" s="180"/>
    </row>
    <row r="1162" spans="1:13" s="65" customFormat="1" ht="17.5" customHeight="1">
      <c r="A1162" s="178"/>
      <c r="B1162" s="126"/>
      <c r="C1162" s="126"/>
      <c r="D1162" s="128"/>
      <c r="E1162" s="129"/>
      <c r="F1162" s="129"/>
      <c r="G1162" s="129"/>
      <c r="H1162" s="129" t="str">
        <f>H1103</f>
        <v>10mm Ø</v>
      </c>
      <c r="I1162" s="129" t="str">
        <f>I1103</f>
        <v>6.5mmØ</v>
      </c>
      <c r="J1162" s="129" t="s">
        <v>100</v>
      </c>
      <c r="K1162" s="152"/>
      <c r="L1162" s="179"/>
      <c r="M1162" s="180"/>
    </row>
    <row r="1163" spans="1:13" s="65" customFormat="1" ht="17.5" customHeight="1">
      <c r="A1163" s="178"/>
      <c r="B1163" s="126"/>
      <c r="C1163" s="126"/>
      <c r="D1163" s="128"/>
      <c r="E1163" s="129"/>
      <c r="F1163" s="129"/>
      <c r="G1163" s="129"/>
      <c r="H1163" s="129">
        <f>H1161/39.5/135</f>
        <v>0.51</v>
      </c>
      <c r="I1163" s="129">
        <f>I1161/3.281*(6.5*6.5/162)/1000</f>
        <v>0.3</v>
      </c>
      <c r="J1163" s="129" t="s">
        <v>14</v>
      </c>
      <c r="K1163" s="152"/>
      <c r="L1163" s="179"/>
      <c r="M1163" s="180"/>
    </row>
    <row r="1164" spans="1:13" s="65" customFormat="1" ht="17.5" customHeight="1">
      <c r="A1164" s="178"/>
      <c r="B1164" s="126"/>
      <c r="C1164" s="126"/>
      <c r="D1164" s="128"/>
      <c r="E1164" s="129"/>
      <c r="F1164" s="129"/>
      <c r="G1164" s="129"/>
      <c r="H1164" s="129"/>
      <c r="I1164" s="129"/>
      <c r="J1164" s="129"/>
      <c r="K1164" s="152"/>
      <c r="L1164" s="179"/>
      <c r="M1164" s="180"/>
    </row>
    <row r="1165" spans="1:13" s="148" customFormat="1" ht="18.649999999999999" customHeight="1">
      <c r="A1165" s="149">
        <v>15</v>
      </c>
      <c r="B1165" s="159" t="s">
        <v>169</v>
      </c>
      <c r="C1165" s="159"/>
      <c r="D1165" s="150"/>
      <c r="E1165" s="151"/>
      <c r="F1165" s="151"/>
      <c r="G1165" s="151"/>
      <c r="H1165" s="151"/>
      <c r="I1165" s="151"/>
      <c r="J1165" s="151"/>
      <c r="K1165" s="152"/>
      <c r="L1165" s="147"/>
    </row>
    <row r="1166" spans="1:13" s="148" customFormat="1" ht="18.649999999999999" customHeight="1">
      <c r="A1166" s="149"/>
      <c r="B1166" s="159" t="s">
        <v>93</v>
      </c>
      <c r="C1166" s="159"/>
      <c r="D1166" s="150">
        <v>2</v>
      </c>
      <c r="E1166" s="151">
        <f>I993</f>
        <v>3998.25</v>
      </c>
      <c r="F1166" s="151" t="s">
        <v>21</v>
      </c>
      <c r="G1166" s="151"/>
      <c r="H1166" s="151"/>
      <c r="I1166" s="151">
        <f>D1166*E1166</f>
        <v>7996.5</v>
      </c>
      <c r="J1166" s="151"/>
      <c r="K1166" s="152" t="s">
        <v>21</v>
      </c>
      <c r="L1166" s="147"/>
    </row>
    <row r="1167" spans="1:13" s="148" customFormat="1" ht="18.649999999999999" customHeight="1">
      <c r="A1167" s="149"/>
      <c r="B1167" s="159" t="s">
        <v>156</v>
      </c>
      <c r="C1167" s="159"/>
      <c r="D1167" s="150"/>
      <c r="E1167" s="151"/>
      <c r="F1167" s="151"/>
      <c r="G1167" s="151"/>
      <c r="H1167" s="151"/>
      <c r="I1167" s="151"/>
      <c r="J1167" s="151"/>
      <c r="K1167" s="152"/>
      <c r="L1167" s="147"/>
    </row>
    <row r="1168" spans="1:13" s="148" customFormat="1" ht="18.649999999999999" customHeight="1">
      <c r="A1168" s="149"/>
      <c r="B1168" s="159" t="str">
        <f>B932</f>
        <v>Ground Floor</v>
      </c>
      <c r="C1168" s="159"/>
      <c r="D1168" s="150"/>
      <c r="E1168" s="151"/>
      <c r="F1168" s="151"/>
      <c r="G1168" s="151"/>
      <c r="H1168" s="151"/>
      <c r="I1168" s="151"/>
      <c r="J1168" s="151"/>
      <c r="K1168" s="152"/>
      <c r="L1168" s="147"/>
    </row>
    <row r="1169" spans="1:12" s="148" customFormat="1" ht="18.649999999999999" customHeight="1">
      <c r="A1169" s="149"/>
      <c r="B1169" s="157" t="str">
        <f t="shared" ref="B1169:B1175" si="48">B937</f>
        <v>G1, Alu; &amp; Glass</v>
      </c>
      <c r="C1169" s="157"/>
      <c r="D1169" s="150">
        <f t="shared" ref="D1169:D1175" si="49">D937*2</f>
        <v>4</v>
      </c>
      <c r="E1169" s="151">
        <f t="shared" ref="E1169:E1175" si="50">E937</f>
        <v>3</v>
      </c>
      <c r="F1169" s="151"/>
      <c r="G1169" s="151">
        <f t="shared" ref="G1169:G1175" si="51">G937</f>
        <v>2</v>
      </c>
      <c r="H1169" s="151">
        <f>D1169*E1169*G1169</f>
        <v>24</v>
      </c>
      <c r="I1169" s="151"/>
      <c r="J1169" s="151"/>
      <c r="K1169" s="152" t="s">
        <v>21</v>
      </c>
      <c r="L1169" s="147"/>
    </row>
    <row r="1170" spans="1:12" s="148" customFormat="1" ht="18.649999999999999" customHeight="1">
      <c r="A1170" s="149"/>
      <c r="B1170" s="157" t="str">
        <f t="shared" si="48"/>
        <v>G2, Alu; &amp; Glass</v>
      </c>
      <c r="C1170" s="157"/>
      <c r="D1170" s="150">
        <f t="shared" si="49"/>
        <v>4</v>
      </c>
      <c r="E1170" s="151">
        <f t="shared" si="50"/>
        <v>2</v>
      </c>
      <c r="F1170" s="151"/>
      <c r="G1170" s="151">
        <f t="shared" si="51"/>
        <v>6</v>
      </c>
      <c r="H1170" s="151">
        <f t="shared" ref="H1170:H1175" si="52">D1170*E1170*G1170</f>
        <v>48</v>
      </c>
      <c r="I1170" s="151"/>
      <c r="J1170" s="151"/>
      <c r="K1170" s="152" t="s">
        <v>21</v>
      </c>
      <c r="L1170" s="147"/>
    </row>
    <row r="1171" spans="1:12" s="148" customFormat="1" ht="18.649999999999999" customHeight="1">
      <c r="A1171" s="149"/>
      <c r="B1171" s="157" t="str">
        <f t="shared" si="48"/>
        <v>W1, Alu; &amp; Glass</v>
      </c>
      <c r="C1171" s="157"/>
      <c r="D1171" s="150">
        <f t="shared" si="49"/>
        <v>6</v>
      </c>
      <c r="E1171" s="151">
        <f t="shared" si="50"/>
        <v>2.17</v>
      </c>
      <c r="F1171" s="151"/>
      <c r="G1171" s="151">
        <f t="shared" si="51"/>
        <v>6</v>
      </c>
      <c r="H1171" s="151">
        <f t="shared" si="52"/>
        <v>78.12</v>
      </c>
      <c r="I1171" s="151"/>
      <c r="J1171" s="151"/>
      <c r="K1171" s="152" t="s">
        <v>21</v>
      </c>
      <c r="L1171" s="147"/>
    </row>
    <row r="1172" spans="1:12" s="148" customFormat="1" ht="18.649999999999999" customHeight="1">
      <c r="A1172" s="149"/>
      <c r="B1172" s="157" t="str">
        <f t="shared" si="48"/>
        <v>W2, Alu; &amp; Glass</v>
      </c>
      <c r="C1172" s="157"/>
      <c r="D1172" s="150">
        <f t="shared" si="49"/>
        <v>10</v>
      </c>
      <c r="E1172" s="151">
        <f t="shared" si="50"/>
        <v>6.17</v>
      </c>
      <c r="F1172" s="151"/>
      <c r="G1172" s="151">
        <f t="shared" si="51"/>
        <v>6</v>
      </c>
      <c r="H1172" s="151">
        <f t="shared" si="52"/>
        <v>370.2</v>
      </c>
      <c r="I1172" s="151"/>
      <c r="J1172" s="151"/>
      <c r="K1172" s="152" t="s">
        <v>21</v>
      </c>
      <c r="L1172" s="147"/>
    </row>
    <row r="1173" spans="1:12" s="148" customFormat="1" ht="18.649999999999999" customHeight="1">
      <c r="A1173" s="149"/>
      <c r="B1173" s="157" t="str">
        <f t="shared" si="48"/>
        <v>W3, Alu; &amp; Glass</v>
      </c>
      <c r="C1173" s="157"/>
      <c r="D1173" s="150">
        <f t="shared" si="49"/>
        <v>4</v>
      </c>
      <c r="E1173" s="151">
        <f t="shared" si="50"/>
        <v>8</v>
      </c>
      <c r="F1173" s="151"/>
      <c r="G1173" s="151">
        <f t="shared" si="51"/>
        <v>7</v>
      </c>
      <c r="H1173" s="151">
        <f t="shared" si="52"/>
        <v>224</v>
      </c>
      <c r="I1173" s="151"/>
      <c r="J1173" s="151"/>
      <c r="K1173" s="152" t="s">
        <v>21</v>
      </c>
      <c r="L1173" s="147"/>
    </row>
    <row r="1174" spans="1:12" s="148" customFormat="1" ht="18.649999999999999" customHeight="1">
      <c r="A1174" s="149"/>
      <c r="B1174" s="157" t="str">
        <f t="shared" si="48"/>
        <v>D1, Hard wood &amp; Glass</v>
      </c>
      <c r="C1174" s="157"/>
      <c r="D1174" s="150">
        <f t="shared" si="49"/>
        <v>2</v>
      </c>
      <c r="E1174" s="151">
        <f t="shared" si="50"/>
        <v>9</v>
      </c>
      <c r="F1174" s="151"/>
      <c r="G1174" s="151">
        <f t="shared" si="51"/>
        <v>8</v>
      </c>
      <c r="H1174" s="151">
        <f t="shared" si="52"/>
        <v>144</v>
      </c>
      <c r="I1174" s="151"/>
      <c r="J1174" s="151"/>
      <c r="K1174" s="152" t="s">
        <v>21</v>
      </c>
      <c r="L1174" s="147"/>
    </row>
    <row r="1175" spans="1:12" s="148" customFormat="1" ht="18.649999999999999" customHeight="1">
      <c r="A1175" s="149"/>
      <c r="B1175" s="157" t="str">
        <f t="shared" si="48"/>
        <v>D5, Hard wood &amp; Glass</v>
      </c>
      <c r="C1175" s="157"/>
      <c r="D1175" s="150">
        <f t="shared" si="49"/>
        <v>2</v>
      </c>
      <c r="E1175" s="151">
        <f t="shared" si="50"/>
        <v>3.25</v>
      </c>
      <c r="F1175" s="151"/>
      <c r="G1175" s="151">
        <f t="shared" si="51"/>
        <v>7.17</v>
      </c>
      <c r="H1175" s="151">
        <f t="shared" si="52"/>
        <v>46.61</v>
      </c>
      <c r="I1175" s="151"/>
      <c r="J1175" s="151"/>
      <c r="K1175" s="152" t="s">
        <v>21</v>
      </c>
      <c r="L1175" s="147"/>
    </row>
    <row r="1176" spans="1:12" s="148" customFormat="1" ht="18.649999999999999" customHeight="1">
      <c r="A1176" s="149"/>
      <c r="B1176" s="157"/>
      <c r="C1176" s="157"/>
      <c r="D1176" s="150"/>
      <c r="E1176" s="151"/>
      <c r="F1176" s="151"/>
      <c r="G1176" s="151"/>
      <c r="H1176" s="151"/>
      <c r="I1176" s="151"/>
      <c r="J1176" s="151"/>
      <c r="K1176" s="152"/>
      <c r="L1176" s="147"/>
    </row>
    <row r="1177" spans="1:12" s="148" customFormat="1" ht="18.649999999999999" customHeight="1">
      <c r="A1177" s="149"/>
      <c r="B1177" s="159" t="str">
        <f>B949</f>
        <v>First Floor</v>
      </c>
      <c r="C1177" s="159"/>
      <c r="D1177" s="150"/>
      <c r="E1177" s="151"/>
      <c r="F1177" s="151"/>
      <c r="G1177" s="151"/>
      <c r="H1177" s="151"/>
      <c r="I1177" s="151"/>
      <c r="J1177" s="151"/>
      <c r="K1177" s="152"/>
      <c r="L1177" s="147"/>
    </row>
    <row r="1178" spans="1:12" s="148" customFormat="1" ht="18.649999999999999" customHeight="1">
      <c r="A1178" s="149"/>
      <c r="B1178" s="157" t="str">
        <f t="shared" ref="B1178:B1184" si="53">B955</f>
        <v>G1, Alu; &amp; Glass</v>
      </c>
      <c r="C1178" s="157"/>
      <c r="D1178" s="150">
        <f t="shared" ref="D1178:D1184" si="54">D955*2</f>
        <v>4</v>
      </c>
      <c r="E1178" s="151">
        <f t="shared" ref="E1178:E1184" si="55">E955</f>
        <v>3</v>
      </c>
      <c r="F1178" s="151"/>
      <c r="G1178" s="151">
        <f t="shared" ref="G1178:G1184" si="56">G955</f>
        <v>2</v>
      </c>
      <c r="H1178" s="151">
        <f>D1178*E1178*G1178</f>
        <v>24</v>
      </c>
      <c r="I1178" s="151"/>
      <c r="J1178" s="151"/>
      <c r="K1178" s="152" t="s">
        <v>21</v>
      </c>
      <c r="L1178" s="147"/>
    </row>
    <row r="1179" spans="1:12" s="148" customFormat="1" ht="18.649999999999999" customHeight="1">
      <c r="A1179" s="149"/>
      <c r="B1179" s="157" t="str">
        <f t="shared" si="53"/>
        <v>G2, Alu; &amp; Glass</v>
      </c>
      <c r="C1179" s="157"/>
      <c r="D1179" s="150">
        <f t="shared" si="54"/>
        <v>4</v>
      </c>
      <c r="E1179" s="151">
        <f t="shared" si="55"/>
        <v>2</v>
      </c>
      <c r="F1179" s="151"/>
      <c r="G1179" s="151">
        <f t="shared" si="56"/>
        <v>6</v>
      </c>
      <c r="H1179" s="151">
        <f t="shared" ref="H1179:H1184" si="57">D1179*E1179*G1179</f>
        <v>48</v>
      </c>
      <c r="I1179" s="151"/>
      <c r="J1179" s="151"/>
      <c r="K1179" s="152" t="s">
        <v>21</v>
      </c>
      <c r="L1179" s="147"/>
    </row>
    <row r="1180" spans="1:12" s="148" customFormat="1" ht="18.649999999999999" customHeight="1">
      <c r="A1180" s="149"/>
      <c r="B1180" s="157" t="str">
        <f t="shared" si="53"/>
        <v>G3, Alu; &amp; Glass</v>
      </c>
      <c r="C1180" s="157"/>
      <c r="D1180" s="150">
        <f t="shared" si="54"/>
        <v>4</v>
      </c>
      <c r="E1180" s="151">
        <f t="shared" si="55"/>
        <v>2</v>
      </c>
      <c r="F1180" s="151"/>
      <c r="G1180" s="151">
        <f t="shared" si="56"/>
        <v>5</v>
      </c>
      <c r="H1180" s="151">
        <f t="shared" si="57"/>
        <v>40</v>
      </c>
      <c r="I1180" s="151"/>
      <c r="J1180" s="151"/>
      <c r="K1180" s="152" t="s">
        <v>21</v>
      </c>
      <c r="L1180" s="147"/>
    </row>
    <row r="1181" spans="1:12" s="148" customFormat="1" ht="18.649999999999999" customHeight="1">
      <c r="A1181" s="149"/>
      <c r="B1181" s="157" t="str">
        <f t="shared" si="53"/>
        <v>W1, Alu; &amp; Glass</v>
      </c>
      <c r="C1181" s="157"/>
      <c r="D1181" s="150">
        <f t="shared" si="54"/>
        <v>8</v>
      </c>
      <c r="E1181" s="151">
        <f t="shared" si="55"/>
        <v>2.17</v>
      </c>
      <c r="F1181" s="151"/>
      <c r="G1181" s="151">
        <f t="shared" si="56"/>
        <v>6</v>
      </c>
      <c r="H1181" s="151">
        <f t="shared" si="57"/>
        <v>104.16</v>
      </c>
      <c r="I1181" s="151"/>
      <c r="J1181" s="151"/>
      <c r="K1181" s="152" t="s">
        <v>21</v>
      </c>
      <c r="L1181" s="147"/>
    </row>
    <row r="1182" spans="1:12" s="148" customFormat="1" ht="18.649999999999999" customHeight="1">
      <c r="A1182" s="149"/>
      <c r="B1182" s="157" t="str">
        <f t="shared" si="53"/>
        <v>W2, Alu; &amp; Glass</v>
      </c>
      <c r="C1182" s="157"/>
      <c r="D1182" s="150">
        <f t="shared" si="54"/>
        <v>6</v>
      </c>
      <c r="E1182" s="151">
        <f t="shared" si="55"/>
        <v>6.17</v>
      </c>
      <c r="F1182" s="151"/>
      <c r="G1182" s="151">
        <f t="shared" si="56"/>
        <v>6</v>
      </c>
      <c r="H1182" s="151">
        <f t="shared" si="57"/>
        <v>222.12</v>
      </c>
      <c r="I1182" s="151"/>
      <c r="J1182" s="151"/>
      <c r="K1182" s="152" t="s">
        <v>21</v>
      </c>
      <c r="L1182" s="147"/>
    </row>
    <row r="1183" spans="1:12" s="148" customFormat="1" ht="18.649999999999999" customHeight="1">
      <c r="A1183" s="149"/>
      <c r="B1183" s="157" t="str">
        <f t="shared" si="53"/>
        <v>W3, Alu; &amp; Glass</v>
      </c>
      <c r="C1183" s="157"/>
      <c r="D1183" s="150">
        <f t="shared" si="54"/>
        <v>4</v>
      </c>
      <c r="E1183" s="151">
        <f t="shared" si="55"/>
        <v>8</v>
      </c>
      <c r="F1183" s="151"/>
      <c r="G1183" s="151">
        <f t="shared" si="56"/>
        <v>7</v>
      </c>
      <c r="H1183" s="151">
        <f t="shared" si="57"/>
        <v>224</v>
      </c>
      <c r="I1183" s="151"/>
      <c r="J1183" s="151"/>
      <c r="K1183" s="152" t="s">
        <v>21</v>
      </c>
      <c r="L1183" s="147"/>
    </row>
    <row r="1184" spans="1:12" s="148" customFormat="1" ht="18.649999999999999" customHeight="1">
      <c r="A1184" s="149"/>
      <c r="B1184" s="157" t="str">
        <f t="shared" si="53"/>
        <v>D2, Hard wood &amp; Glass</v>
      </c>
      <c r="C1184" s="157"/>
      <c r="D1184" s="150">
        <f t="shared" si="54"/>
        <v>2</v>
      </c>
      <c r="E1184" s="151">
        <f t="shared" si="55"/>
        <v>3.25</v>
      </c>
      <c r="F1184" s="151"/>
      <c r="G1184" s="151">
        <f t="shared" si="56"/>
        <v>7.17</v>
      </c>
      <c r="H1184" s="151">
        <f t="shared" si="57"/>
        <v>46.61</v>
      </c>
      <c r="I1184" s="151"/>
      <c r="J1184" s="151"/>
      <c r="K1184" s="152" t="s">
        <v>21</v>
      </c>
      <c r="L1184" s="147"/>
    </row>
    <row r="1185" spans="1:12" s="148" customFormat="1" ht="18.649999999999999" customHeight="1">
      <c r="A1185" s="149"/>
      <c r="B1185" s="159" t="str">
        <f>B968</f>
        <v>Roof Floor</v>
      </c>
      <c r="C1185" s="157"/>
      <c r="D1185" s="150"/>
      <c r="E1185" s="151"/>
      <c r="F1185" s="151"/>
      <c r="G1185" s="151"/>
      <c r="H1185" s="151"/>
      <c r="I1185" s="151"/>
      <c r="J1185" s="151"/>
      <c r="K1185" s="152"/>
      <c r="L1185" s="147"/>
    </row>
    <row r="1186" spans="1:12" s="148" customFormat="1" ht="18.649999999999999" customHeight="1">
      <c r="A1186" s="149"/>
      <c r="B1186" s="157" t="str">
        <f t="shared" ref="B1186:B1191" si="58">B975</f>
        <v>G1, Alu; &amp; Glass</v>
      </c>
      <c r="C1186" s="157"/>
      <c r="D1186" s="150">
        <f t="shared" ref="D1186:D1191" si="59">D975*2</f>
        <v>2</v>
      </c>
      <c r="E1186" s="151">
        <f t="shared" ref="E1186:E1191" si="60">E975</f>
        <v>3</v>
      </c>
      <c r="F1186" s="151"/>
      <c r="G1186" s="151">
        <f t="shared" ref="G1186:G1191" si="61">G975</f>
        <v>2</v>
      </c>
      <c r="H1186" s="151">
        <f t="shared" ref="H1186:H1191" si="62">D1186*E1186*G1186</f>
        <v>12</v>
      </c>
      <c r="I1186" s="151"/>
      <c r="J1186" s="151"/>
      <c r="K1186" s="152" t="s">
        <v>21</v>
      </c>
      <c r="L1186" s="147"/>
    </row>
    <row r="1187" spans="1:12" s="148" customFormat="1" ht="18.649999999999999" customHeight="1">
      <c r="A1187" s="149"/>
      <c r="B1187" s="157" t="str">
        <f t="shared" si="58"/>
        <v>G3, Alu; &amp; Glass</v>
      </c>
      <c r="C1187" s="157"/>
      <c r="D1187" s="150">
        <f t="shared" si="59"/>
        <v>4</v>
      </c>
      <c r="E1187" s="151">
        <f t="shared" si="60"/>
        <v>2</v>
      </c>
      <c r="F1187" s="151"/>
      <c r="G1187" s="151">
        <f t="shared" si="61"/>
        <v>5</v>
      </c>
      <c r="H1187" s="151">
        <f t="shared" si="62"/>
        <v>40</v>
      </c>
      <c r="I1187" s="151"/>
      <c r="J1187" s="151"/>
      <c r="K1187" s="152" t="s">
        <v>21</v>
      </c>
      <c r="L1187" s="147"/>
    </row>
    <row r="1188" spans="1:12" s="148" customFormat="1" ht="18.649999999999999" customHeight="1">
      <c r="A1188" s="149"/>
      <c r="B1188" s="157" t="str">
        <f t="shared" si="58"/>
        <v>W1, Alu; &amp; Glass</v>
      </c>
      <c r="C1188" s="157"/>
      <c r="D1188" s="150">
        <f t="shared" si="59"/>
        <v>4</v>
      </c>
      <c r="E1188" s="151">
        <f t="shared" si="60"/>
        <v>2.17</v>
      </c>
      <c r="F1188" s="151"/>
      <c r="G1188" s="151">
        <f t="shared" si="61"/>
        <v>6</v>
      </c>
      <c r="H1188" s="151">
        <f t="shared" si="62"/>
        <v>52.08</v>
      </c>
      <c r="I1188" s="151"/>
      <c r="J1188" s="151"/>
      <c r="K1188" s="152" t="s">
        <v>21</v>
      </c>
      <c r="L1188" s="147"/>
    </row>
    <row r="1189" spans="1:12" s="148" customFormat="1" ht="18.649999999999999" customHeight="1">
      <c r="A1189" s="149"/>
      <c r="B1189" s="157" t="str">
        <f t="shared" si="58"/>
        <v>W2, Alu; &amp; Glass</v>
      </c>
      <c r="C1189" s="157"/>
      <c r="D1189" s="150">
        <f t="shared" si="59"/>
        <v>2</v>
      </c>
      <c r="E1189" s="151">
        <f t="shared" si="60"/>
        <v>6.17</v>
      </c>
      <c r="F1189" s="151"/>
      <c r="G1189" s="151">
        <f t="shared" si="61"/>
        <v>6</v>
      </c>
      <c r="H1189" s="151">
        <f t="shared" si="62"/>
        <v>74.040000000000006</v>
      </c>
      <c r="I1189" s="151"/>
      <c r="J1189" s="151"/>
      <c r="K1189" s="152" t="s">
        <v>21</v>
      </c>
      <c r="L1189" s="147"/>
    </row>
    <row r="1190" spans="1:12" s="148" customFormat="1" ht="18.649999999999999" customHeight="1">
      <c r="A1190" s="149"/>
      <c r="B1190" s="157" t="str">
        <f t="shared" si="58"/>
        <v>D3, Hard wood &amp; Glass</v>
      </c>
      <c r="C1190" s="157"/>
      <c r="D1190" s="150">
        <f t="shared" si="59"/>
        <v>2</v>
      </c>
      <c r="E1190" s="151">
        <f t="shared" si="60"/>
        <v>3.25</v>
      </c>
      <c r="F1190" s="151"/>
      <c r="G1190" s="151">
        <f t="shared" si="61"/>
        <v>7.17</v>
      </c>
      <c r="H1190" s="151">
        <f t="shared" si="62"/>
        <v>46.61</v>
      </c>
      <c r="I1190" s="151"/>
      <c r="J1190" s="151"/>
      <c r="K1190" s="152" t="s">
        <v>21</v>
      </c>
      <c r="L1190" s="147"/>
    </row>
    <row r="1191" spans="1:12" s="148" customFormat="1" ht="18.649999999999999" customHeight="1">
      <c r="A1191" s="149"/>
      <c r="B1191" s="157" t="str">
        <f t="shared" si="58"/>
        <v>D5, Hard wood &amp; Glass</v>
      </c>
      <c r="C1191" s="157"/>
      <c r="D1191" s="150">
        <f t="shared" si="59"/>
        <v>2</v>
      </c>
      <c r="E1191" s="151">
        <f t="shared" si="60"/>
        <v>3.25</v>
      </c>
      <c r="F1191" s="151"/>
      <c r="G1191" s="151">
        <f t="shared" si="61"/>
        <v>7.17</v>
      </c>
      <c r="H1191" s="151">
        <f t="shared" si="62"/>
        <v>46.61</v>
      </c>
      <c r="I1191" s="151"/>
      <c r="J1191" s="151"/>
      <c r="K1191" s="152" t="s">
        <v>21</v>
      </c>
      <c r="L1191" s="147"/>
    </row>
    <row r="1192" spans="1:12" s="148" customFormat="1" ht="18.649999999999999" customHeight="1">
      <c r="A1192" s="149"/>
      <c r="B1192" s="157"/>
      <c r="C1192" s="157"/>
      <c r="D1192" s="150"/>
      <c r="E1192" s="151"/>
      <c r="F1192" s="151"/>
      <c r="G1192" s="151"/>
      <c r="H1192" s="151"/>
      <c r="I1192" s="151"/>
      <c r="J1192" s="151"/>
      <c r="K1192" s="152"/>
      <c r="L1192" s="147"/>
    </row>
    <row r="1193" spans="1:12" s="148" customFormat="1" ht="18.649999999999999" customHeight="1">
      <c r="A1193" s="149"/>
      <c r="B1193" s="159" t="s">
        <v>94</v>
      </c>
      <c r="C1193" s="159"/>
      <c r="D1193" s="150">
        <v>2</v>
      </c>
      <c r="E1193" s="154">
        <f>I1048</f>
        <v>2723.2</v>
      </c>
      <c r="F1193" s="151" t="s">
        <v>21</v>
      </c>
      <c r="G1193" s="151"/>
      <c r="H1193" s="151"/>
      <c r="I1193" s="151">
        <f>D1193*E1193</f>
        <v>5446.4</v>
      </c>
      <c r="J1193" s="151"/>
      <c r="K1193" s="152" t="s">
        <v>21</v>
      </c>
      <c r="L1193" s="147"/>
    </row>
    <row r="1194" spans="1:12" s="148" customFormat="1" ht="18.649999999999999" customHeight="1">
      <c r="A1194" s="149"/>
      <c r="B1194" s="159" t="s">
        <v>157</v>
      </c>
      <c r="C1194" s="159"/>
      <c r="D1194" s="150"/>
      <c r="E1194" s="154"/>
      <c r="F1194" s="151"/>
      <c r="G1194" s="151"/>
      <c r="H1194" s="151"/>
      <c r="I1194" s="151"/>
      <c r="J1194" s="151"/>
      <c r="K1194" s="152"/>
      <c r="L1194" s="147"/>
    </row>
    <row r="1195" spans="1:12" s="148" customFormat="1" ht="18.649999999999999" customHeight="1">
      <c r="A1195" s="149"/>
      <c r="B1195" s="159" t="str">
        <f>B997</f>
        <v>Ground Floor</v>
      </c>
      <c r="C1195" s="159"/>
      <c r="D1195" s="150"/>
      <c r="E1195" s="154"/>
      <c r="F1195" s="151"/>
      <c r="G1195" s="151"/>
      <c r="H1195" s="151"/>
      <c r="I1195" s="151"/>
      <c r="J1195" s="151"/>
      <c r="K1195" s="152"/>
      <c r="L1195" s="147"/>
    </row>
    <row r="1196" spans="1:12" s="148" customFormat="1" ht="18.649999999999999" customHeight="1">
      <c r="A1196" s="149"/>
      <c r="B1196" s="157" t="str">
        <f>B1008</f>
        <v xml:space="preserve">D3 (3' 3" x 7' 2") </v>
      </c>
      <c r="C1196" s="157"/>
      <c r="D1196" s="150">
        <f>D1008*2</f>
        <v>10</v>
      </c>
      <c r="E1196" s="151">
        <f>E1008</f>
        <v>3.25</v>
      </c>
      <c r="F1196" s="151"/>
      <c r="G1196" s="151">
        <f>G1008</f>
        <v>7.17</v>
      </c>
      <c r="H1196" s="151">
        <f>D1196*E1196*G1196</f>
        <v>233.03</v>
      </c>
      <c r="I1196" s="151"/>
      <c r="J1196" s="151"/>
      <c r="K1196" s="152" t="s">
        <v>21</v>
      </c>
      <c r="L1196" s="147"/>
    </row>
    <row r="1197" spans="1:12" s="148" customFormat="1" ht="18.649999999999999" customHeight="1">
      <c r="A1197" s="149"/>
      <c r="B1197" s="157" t="str">
        <f>B1009</f>
        <v xml:space="preserve">D4 (3' 3" x 7' 2") </v>
      </c>
      <c r="C1197" s="157"/>
      <c r="D1197" s="150">
        <f>D1009*2</f>
        <v>2</v>
      </c>
      <c r="E1197" s="151">
        <f>E1009</f>
        <v>3.25</v>
      </c>
      <c r="F1197" s="151"/>
      <c r="G1197" s="151">
        <f>G1009</f>
        <v>7.17</v>
      </c>
      <c r="H1197" s="151">
        <f>D1197*E1197*G1197</f>
        <v>46.61</v>
      </c>
      <c r="I1197" s="151"/>
      <c r="J1197" s="151"/>
      <c r="K1197" s="152" t="s">
        <v>21</v>
      </c>
      <c r="L1197" s="147"/>
    </row>
    <row r="1198" spans="1:12" s="148" customFormat="1" ht="18.649999999999999" customHeight="1">
      <c r="A1198" s="149"/>
      <c r="B1198" s="159" t="str">
        <f>B1014</f>
        <v>First Floor</v>
      </c>
      <c r="C1198" s="159"/>
      <c r="D1198" s="150"/>
      <c r="E1198" s="151"/>
      <c r="F1198" s="151"/>
      <c r="G1198" s="151"/>
      <c r="H1198" s="151"/>
      <c r="I1198" s="151"/>
      <c r="J1198" s="151"/>
      <c r="K1198" s="152"/>
      <c r="L1198" s="147"/>
    </row>
    <row r="1199" spans="1:12" s="148" customFormat="1" ht="18.649999999999999" customHeight="1">
      <c r="A1199" s="149"/>
      <c r="B1199" s="157" t="str">
        <f>B1024</f>
        <v xml:space="preserve">D3 (3' 3" x 7' 2") </v>
      </c>
      <c r="C1199" s="157"/>
      <c r="D1199" s="150">
        <f>D1024*2</f>
        <v>4</v>
      </c>
      <c r="E1199" s="151">
        <f>E1024</f>
        <v>3.25</v>
      </c>
      <c r="F1199" s="151"/>
      <c r="G1199" s="151">
        <f>G1024</f>
        <v>7.17</v>
      </c>
      <c r="H1199" s="151">
        <f>D1199*E1199*G1199</f>
        <v>93.21</v>
      </c>
      <c r="I1199" s="151"/>
      <c r="J1199" s="151"/>
      <c r="K1199" s="152" t="s">
        <v>21</v>
      </c>
      <c r="L1199" s="147"/>
    </row>
    <row r="1200" spans="1:12" s="148" customFormat="1" ht="18.649999999999999" customHeight="1">
      <c r="A1200" s="149"/>
      <c r="B1200" s="157" t="str">
        <f>B1025</f>
        <v xml:space="preserve">D4 (3' 3" x 7' 2") </v>
      </c>
      <c r="C1200" s="157"/>
      <c r="D1200" s="150">
        <f>D1025*2</f>
        <v>4</v>
      </c>
      <c r="E1200" s="151">
        <f>E1025</f>
        <v>3.25</v>
      </c>
      <c r="F1200" s="151"/>
      <c r="G1200" s="151">
        <f>G1025</f>
        <v>7.17</v>
      </c>
      <c r="H1200" s="151">
        <f>D1200*E1200*G1200</f>
        <v>93.21</v>
      </c>
      <c r="I1200" s="151"/>
      <c r="J1200" s="151"/>
      <c r="K1200" s="152" t="s">
        <v>21</v>
      </c>
      <c r="L1200" s="147"/>
    </row>
    <row r="1201" spans="1:12" s="148" customFormat="1" ht="18.649999999999999" customHeight="1">
      <c r="A1201" s="149"/>
      <c r="B1201" s="159" t="str">
        <f>B1031</f>
        <v>2nd Floor</v>
      </c>
      <c r="C1201" s="157"/>
      <c r="D1201" s="150"/>
      <c r="E1201" s="151"/>
      <c r="F1201" s="151"/>
      <c r="G1201" s="151"/>
      <c r="H1201" s="151"/>
      <c r="I1201" s="151"/>
      <c r="J1201" s="151"/>
      <c r="K1201" s="152"/>
      <c r="L1201" s="147"/>
    </row>
    <row r="1202" spans="1:12" s="148" customFormat="1" ht="18.649999999999999" customHeight="1">
      <c r="A1202" s="149"/>
      <c r="B1202" s="157" t="str">
        <f>B1036</f>
        <v xml:space="preserve">D4 (3' 3" x 7' 2") </v>
      </c>
      <c r="C1202" s="157"/>
      <c r="D1202" s="150">
        <f>D1036*2</f>
        <v>2</v>
      </c>
      <c r="E1202" s="151">
        <f>E1036</f>
        <v>3.25</v>
      </c>
      <c r="F1202" s="151"/>
      <c r="G1202" s="151">
        <f>G1036</f>
        <v>7.17</v>
      </c>
      <c r="H1202" s="151"/>
      <c r="I1202" s="151"/>
      <c r="J1202" s="151"/>
      <c r="K1202" s="152"/>
      <c r="L1202" s="147"/>
    </row>
    <row r="1203" spans="1:12" s="148" customFormat="1" ht="18.649999999999999" customHeight="1">
      <c r="A1203" s="149"/>
      <c r="B1203" s="157" t="s">
        <v>96</v>
      </c>
      <c r="C1203" s="157"/>
      <c r="D1203" s="150">
        <v>1</v>
      </c>
      <c r="E1203" s="151">
        <f>40*2+27*2</f>
        <v>134</v>
      </c>
      <c r="F1203" s="151"/>
      <c r="G1203" s="151">
        <f>3</f>
        <v>3</v>
      </c>
      <c r="H1203" s="151"/>
      <c r="I1203" s="151">
        <f>D1203*E1203*G1203</f>
        <v>402</v>
      </c>
      <c r="J1203" s="151"/>
      <c r="K1203" s="152" t="s">
        <v>21</v>
      </c>
      <c r="L1203" s="147"/>
    </row>
    <row r="1204" spans="1:12" s="148" customFormat="1" ht="18.649999999999999" customHeight="1">
      <c r="A1204" s="149"/>
      <c r="B1204" s="157"/>
      <c r="C1204" s="157"/>
      <c r="D1204" s="150"/>
      <c r="E1204" s="151"/>
      <c r="F1204" s="151"/>
      <c r="G1204" s="151"/>
      <c r="H1204" s="151"/>
      <c r="I1204" s="151"/>
      <c r="J1204" s="151"/>
      <c r="K1204" s="152"/>
      <c r="L1204" s="147"/>
    </row>
    <row r="1205" spans="1:12" s="148" customFormat="1" ht="18.649999999999999" customHeight="1">
      <c r="A1205" s="149"/>
      <c r="B1205" s="159" t="s">
        <v>158</v>
      </c>
      <c r="C1205" s="159"/>
      <c r="D1205" s="150"/>
      <c r="E1205" s="151"/>
      <c r="F1205" s="151"/>
      <c r="G1205" s="151"/>
      <c r="H1205" s="151"/>
      <c r="I1205" s="151"/>
      <c r="J1205" s="151"/>
      <c r="K1205" s="152"/>
      <c r="L1205" s="147"/>
    </row>
    <row r="1206" spans="1:12" s="148" customFormat="1" ht="18.649999999999999" customHeight="1">
      <c r="A1206" s="149"/>
      <c r="B1206" s="157" t="s">
        <v>119</v>
      </c>
      <c r="C1206" s="157"/>
      <c r="D1206" s="150">
        <v>1</v>
      </c>
      <c r="E1206" s="151">
        <v>13.5</v>
      </c>
      <c r="F1206" s="151">
        <v>3</v>
      </c>
      <c r="G1206" s="151"/>
      <c r="H1206" s="151"/>
      <c r="I1206" s="151">
        <f>D1206*E1206*F1206</f>
        <v>40.5</v>
      </c>
      <c r="J1206" s="151"/>
      <c r="K1206" s="152" t="s">
        <v>21</v>
      </c>
      <c r="L1206" s="147"/>
    </row>
    <row r="1207" spans="1:12" s="148" customFormat="1" ht="18.649999999999999" customHeight="1">
      <c r="A1207" s="149"/>
      <c r="B1207" s="157" t="s">
        <v>120</v>
      </c>
      <c r="C1207" s="157"/>
      <c r="D1207" s="150">
        <f>D1206</f>
        <v>1</v>
      </c>
      <c r="E1207" s="151">
        <f>E1206</f>
        <v>13.5</v>
      </c>
      <c r="F1207" s="151"/>
      <c r="G1207" s="151">
        <v>3</v>
      </c>
      <c r="H1207" s="151"/>
      <c r="I1207" s="151">
        <f>D1207*E1207*G1207</f>
        <v>40.5</v>
      </c>
      <c r="J1207" s="151"/>
      <c r="K1207" s="152" t="s">
        <v>21</v>
      </c>
      <c r="L1207" s="147"/>
    </row>
    <row r="1208" spans="1:12" s="148" customFormat="1" ht="18.649999999999999" customHeight="1">
      <c r="A1208" s="149"/>
      <c r="B1208" s="157"/>
      <c r="C1208" s="157"/>
      <c r="D1208" s="150"/>
      <c r="E1208" s="151"/>
      <c r="F1208" s="151"/>
      <c r="G1208" s="151"/>
      <c r="H1208" s="151"/>
      <c r="I1208" s="151"/>
      <c r="J1208" s="151"/>
      <c r="K1208" s="152"/>
      <c r="L1208" s="147"/>
    </row>
    <row r="1209" spans="1:12" s="148" customFormat="1" ht="18.649999999999999" customHeight="1">
      <c r="A1209" s="149"/>
      <c r="B1209" s="157" t="s">
        <v>119</v>
      </c>
      <c r="C1209" s="157"/>
      <c r="D1209" s="150">
        <v>1</v>
      </c>
      <c r="E1209" s="151">
        <v>5</v>
      </c>
      <c r="F1209" s="151">
        <v>3</v>
      </c>
      <c r="G1209" s="151"/>
      <c r="H1209" s="151"/>
      <c r="I1209" s="151">
        <f>D1209*E1209*F1209</f>
        <v>15</v>
      </c>
      <c r="J1209" s="151"/>
      <c r="K1209" s="152" t="s">
        <v>21</v>
      </c>
      <c r="L1209" s="147"/>
    </row>
    <row r="1210" spans="1:12" s="148" customFormat="1" ht="18.649999999999999" customHeight="1">
      <c r="A1210" s="149"/>
      <c r="B1210" s="157" t="s">
        <v>120</v>
      </c>
      <c r="C1210" s="157"/>
      <c r="D1210" s="150">
        <f>D1209</f>
        <v>1</v>
      </c>
      <c r="E1210" s="151">
        <v>5</v>
      </c>
      <c r="F1210" s="151"/>
      <c r="G1210" s="151">
        <v>3</v>
      </c>
      <c r="H1210" s="151"/>
      <c r="I1210" s="151">
        <f>D1210*E1210*G1210</f>
        <v>15</v>
      </c>
      <c r="J1210" s="151"/>
      <c r="K1210" s="152" t="s">
        <v>21</v>
      </c>
      <c r="L1210" s="147"/>
    </row>
    <row r="1211" spans="1:12" s="148" customFormat="1" ht="18.649999999999999" customHeight="1">
      <c r="A1211" s="149"/>
      <c r="B1211" s="157" t="s">
        <v>121</v>
      </c>
      <c r="C1211" s="157"/>
      <c r="D1211" s="150">
        <v>20</v>
      </c>
      <c r="E1211" s="151"/>
      <c r="F1211" s="151">
        <f>10/12</f>
        <v>0.83</v>
      </c>
      <c r="G1211" s="151">
        <f>0.75</f>
        <v>0.75</v>
      </c>
      <c r="H1211" s="151"/>
      <c r="I1211" s="151">
        <f>D1211*F1211*G1211</f>
        <v>12.45</v>
      </c>
      <c r="J1211" s="151"/>
      <c r="K1211" s="152" t="s">
        <v>21</v>
      </c>
      <c r="L1211" s="147"/>
    </row>
    <row r="1212" spans="1:12" s="148" customFormat="1" ht="18.649999999999999" customHeight="1">
      <c r="A1212" s="149"/>
      <c r="B1212" s="157"/>
      <c r="C1212" s="157"/>
      <c r="D1212" s="150"/>
      <c r="E1212" s="151"/>
      <c r="F1212" s="151"/>
      <c r="G1212" s="151"/>
      <c r="H1212" s="151"/>
      <c r="I1212" s="151"/>
      <c r="J1212" s="151"/>
      <c r="K1212" s="152"/>
      <c r="L1212" s="147"/>
    </row>
    <row r="1213" spans="1:12" s="148" customFormat="1" ht="18.649999999999999" customHeight="1">
      <c r="A1213" s="149"/>
      <c r="B1213" s="157" t="s">
        <v>200</v>
      </c>
      <c r="C1213" s="157"/>
      <c r="D1213" s="150"/>
      <c r="E1213" s="151"/>
      <c r="F1213" s="151"/>
      <c r="G1213" s="151"/>
      <c r="H1213" s="151"/>
      <c r="I1213" s="151"/>
      <c r="J1213" s="151"/>
      <c r="K1213" s="152"/>
      <c r="L1213" s="147"/>
    </row>
    <row r="1214" spans="1:12" s="148" customFormat="1" ht="18.649999999999999" customHeight="1">
      <c r="A1214" s="149"/>
      <c r="B1214" s="157" t="s">
        <v>159</v>
      </c>
      <c r="C1214" s="157"/>
      <c r="D1214" s="150">
        <v>1</v>
      </c>
      <c r="E1214" s="151">
        <f>J225</f>
        <v>2361.2399999999998</v>
      </c>
      <c r="F1214" s="151" t="s">
        <v>21</v>
      </c>
      <c r="G1214" s="184">
        <v>0.5</v>
      </c>
      <c r="H1214" s="151"/>
      <c r="I1214" s="151">
        <f>D1214*E1214*G1214</f>
        <v>1180.6199999999999</v>
      </c>
      <c r="J1214" s="151"/>
      <c r="K1214" s="152" t="s">
        <v>21</v>
      </c>
      <c r="L1214" s="147"/>
    </row>
    <row r="1215" spans="1:12" s="148" customFormat="1" ht="18.649999999999999" customHeight="1">
      <c r="A1215" s="149"/>
      <c r="B1215" s="157" t="s">
        <v>201</v>
      </c>
      <c r="C1215" s="157"/>
      <c r="D1215" s="150"/>
      <c r="E1215" s="151"/>
      <c r="F1215" s="151"/>
      <c r="G1215" s="151"/>
      <c r="H1215" s="151"/>
      <c r="I1215" s="151"/>
      <c r="J1215" s="151"/>
      <c r="K1215" s="152"/>
      <c r="L1215" s="147"/>
    </row>
    <row r="1216" spans="1:12" s="148" customFormat="1" ht="18.649999999999999" customHeight="1">
      <c r="A1216" s="149"/>
      <c r="B1216" s="157" t="s">
        <v>160</v>
      </c>
      <c r="C1216" s="157"/>
      <c r="D1216" s="150">
        <v>1</v>
      </c>
      <c r="E1216" s="151">
        <f>J383</f>
        <v>829.84</v>
      </c>
      <c r="F1216" s="151" t="s">
        <v>21</v>
      </c>
      <c r="G1216" s="184">
        <v>0.5</v>
      </c>
      <c r="H1216" s="151"/>
      <c r="I1216" s="151">
        <f>D1216*E1216*G1216</f>
        <v>414.92</v>
      </c>
      <c r="J1216" s="151"/>
      <c r="K1216" s="152" t="s">
        <v>21</v>
      </c>
      <c r="L1216" s="147"/>
    </row>
    <row r="1217" spans="1:12" s="148" customFormat="1" ht="18.649999999999999" customHeight="1">
      <c r="A1217" s="149"/>
      <c r="B1217" s="157" t="s">
        <v>346</v>
      </c>
      <c r="C1217" s="157"/>
      <c r="D1217" s="150">
        <v>1</v>
      </c>
      <c r="E1217" s="151">
        <f>J396</f>
        <v>837.18</v>
      </c>
      <c r="F1217" s="151" t="s">
        <v>21</v>
      </c>
      <c r="G1217" s="184">
        <v>0.5</v>
      </c>
      <c r="H1217" s="151"/>
      <c r="I1217" s="151">
        <f>D1217*E1217*G1217</f>
        <v>418.59</v>
      </c>
      <c r="J1217" s="151"/>
      <c r="K1217" s="152" t="s">
        <v>21</v>
      </c>
      <c r="L1217" s="147"/>
    </row>
    <row r="1218" spans="1:12" s="148" customFormat="1" ht="18.649999999999999" customHeight="1">
      <c r="A1218" s="149"/>
      <c r="B1218" s="157" t="s">
        <v>117</v>
      </c>
      <c r="C1218" s="157"/>
      <c r="D1218" s="150">
        <v>1</v>
      </c>
      <c r="E1218" s="151">
        <f>J412</f>
        <v>629.39</v>
      </c>
      <c r="F1218" s="151" t="s">
        <v>21</v>
      </c>
      <c r="G1218" s="184">
        <v>0.5</v>
      </c>
      <c r="H1218" s="151"/>
      <c r="I1218" s="151">
        <f>D1218*E1218*G1218</f>
        <v>314.7</v>
      </c>
      <c r="J1218" s="151"/>
      <c r="K1218" s="152" t="s">
        <v>21</v>
      </c>
      <c r="L1218" s="147"/>
    </row>
    <row r="1219" spans="1:12" s="148" customFormat="1" ht="18.649999999999999" customHeight="1">
      <c r="A1219" s="149"/>
      <c r="B1219" s="157"/>
      <c r="C1219" s="157"/>
      <c r="D1219" s="150"/>
      <c r="E1219" s="151"/>
      <c r="F1219" s="151"/>
      <c r="G1219" s="151"/>
      <c r="H1219" s="151"/>
      <c r="I1219" s="151"/>
      <c r="J1219" s="151"/>
      <c r="K1219" s="152"/>
      <c r="L1219" s="147"/>
    </row>
    <row r="1220" spans="1:12" s="148" customFormat="1" ht="18.649999999999999" customHeight="1">
      <c r="A1220" s="149"/>
      <c r="B1220" s="159"/>
      <c r="C1220" s="159"/>
      <c r="D1220" s="150"/>
      <c r="E1220" s="151"/>
      <c r="F1220" s="151"/>
      <c r="G1220" s="151"/>
      <c r="H1220" s="151">
        <f>SUM(H1166:H1219)</f>
        <v>2381.2199999999998</v>
      </c>
      <c r="I1220" s="154">
        <f>SUM(I1166:I1219)</f>
        <v>16297.2</v>
      </c>
      <c r="J1220" s="151"/>
      <c r="K1220" s="152" t="s">
        <v>21</v>
      </c>
      <c r="L1220" s="147"/>
    </row>
    <row r="1221" spans="1:12" s="148" customFormat="1" ht="17.5" customHeight="1">
      <c r="A1221" s="149"/>
      <c r="B1221" s="126"/>
      <c r="C1221" s="126"/>
      <c r="D1221" s="150"/>
      <c r="E1221" s="151"/>
      <c r="F1221" s="151"/>
      <c r="G1221" s="151"/>
      <c r="H1221" s="151"/>
      <c r="I1221" s="173" t="s">
        <v>83</v>
      </c>
      <c r="J1221" s="151">
        <f>I1220-H1220</f>
        <v>13915.98</v>
      </c>
      <c r="K1221" s="152" t="s">
        <v>21</v>
      </c>
      <c r="L1221" s="147"/>
    </row>
    <row r="1222" spans="1:12" s="148" customFormat="1" ht="17.5" customHeight="1">
      <c r="A1222" s="149"/>
      <c r="B1222" s="157"/>
      <c r="C1222" s="157"/>
      <c r="D1222" s="150"/>
      <c r="E1222" s="151"/>
      <c r="F1222" s="151"/>
      <c r="G1222" s="151"/>
      <c r="H1222" s="151"/>
      <c r="I1222" s="151"/>
      <c r="J1222" s="151">
        <f>J1221/100</f>
        <v>139.16</v>
      </c>
      <c r="K1222" s="152" t="s">
        <v>12</v>
      </c>
      <c r="L1222" s="147"/>
    </row>
    <row r="1223" spans="1:12" s="148" customFormat="1" ht="17.5" customHeight="1">
      <c r="A1223" s="149"/>
      <c r="B1223" s="157"/>
      <c r="C1223" s="157"/>
      <c r="D1223" s="150"/>
      <c r="E1223" s="151"/>
      <c r="F1223" s="151"/>
      <c r="G1223" s="151"/>
      <c r="H1223" s="151"/>
      <c r="I1223" s="151"/>
      <c r="J1223" s="151"/>
      <c r="K1223" s="152"/>
      <c r="L1223" s="147"/>
    </row>
    <row r="1224" spans="1:12" s="148" customFormat="1" ht="17.5" customHeight="1">
      <c r="A1224" s="149">
        <v>16</v>
      </c>
      <c r="B1224" s="159" t="s">
        <v>206</v>
      </c>
      <c r="C1224" s="159"/>
      <c r="D1224" s="150"/>
      <c r="E1224" s="151"/>
      <c r="F1224" s="151"/>
      <c r="G1224" s="151"/>
      <c r="H1224" s="151"/>
      <c r="I1224" s="151"/>
      <c r="J1224" s="151"/>
      <c r="K1224" s="152"/>
      <c r="L1224" s="147"/>
    </row>
    <row r="1225" spans="1:12" s="148" customFormat="1" ht="17.5" customHeight="1">
      <c r="A1225" s="149"/>
      <c r="B1225" s="157" t="s">
        <v>347</v>
      </c>
      <c r="C1225" s="157"/>
      <c r="D1225" s="150">
        <v>1</v>
      </c>
      <c r="E1225" s="151">
        <f>8.5*4+9.5</f>
        <v>43.5</v>
      </c>
      <c r="F1225" s="151"/>
      <c r="G1225" s="151"/>
      <c r="H1225" s="151"/>
      <c r="I1225" s="151">
        <f>D1225*E1225</f>
        <v>43.5</v>
      </c>
      <c r="J1225" s="151"/>
      <c r="K1225" s="152" t="s">
        <v>101</v>
      </c>
      <c r="L1225" s="147"/>
    </row>
    <row r="1226" spans="1:12" s="148" customFormat="1" ht="17.5" customHeight="1">
      <c r="A1226" s="149"/>
      <c r="B1226" s="157" t="s">
        <v>350</v>
      </c>
      <c r="C1226" s="157"/>
      <c r="D1226" s="150">
        <v>8</v>
      </c>
      <c r="E1226" s="151">
        <f>3.75+7.67*2</f>
        <v>19.09</v>
      </c>
      <c r="F1226" s="151"/>
      <c r="G1226" s="151"/>
      <c r="H1226" s="151"/>
      <c r="I1226" s="151">
        <f>D1226*E1226</f>
        <v>152.72</v>
      </c>
      <c r="J1226" s="151"/>
      <c r="K1226" s="152" t="s">
        <v>101</v>
      </c>
      <c r="L1226" s="147"/>
    </row>
    <row r="1227" spans="1:12" s="148" customFormat="1" ht="17.5" customHeight="1">
      <c r="A1227" s="149"/>
      <c r="B1227" s="157" t="s">
        <v>348</v>
      </c>
      <c r="C1227" s="157"/>
      <c r="D1227" s="150">
        <v>4</v>
      </c>
      <c r="E1227" s="151">
        <f>3.75+7.67*2</f>
        <v>19.09</v>
      </c>
      <c r="F1227" s="151"/>
      <c r="G1227" s="151"/>
      <c r="H1227" s="151"/>
      <c r="I1227" s="151">
        <f>D1227*E1227</f>
        <v>76.36</v>
      </c>
      <c r="J1227" s="151"/>
      <c r="K1227" s="152" t="s">
        <v>101</v>
      </c>
      <c r="L1227" s="147"/>
    </row>
    <row r="1228" spans="1:12" s="148" customFormat="1" ht="17.5" customHeight="1">
      <c r="A1228" s="149"/>
      <c r="B1228" s="157" t="s">
        <v>349</v>
      </c>
      <c r="C1228" s="157"/>
      <c r="D1228" s="150">
        <v>2</v>
      </c>
      <c r="E1228" s="151">
        <f>3.75+7.67*2</f>
        <v>19.09</v>
      </c>
      <c r="F1228" s="151"/>
      <c r="G1228" s="151"/>
      <c r="H1228" s="151"/>
      <c r="I1228" s="151">
        <f>D1228*E1228</f>
        <v>38.18</v>
      </c>
      <c r="J1228" s="151"/>
      <c r="K1228" s="152" t="s">
        <v>101</v>
      </c>
      <c r="L1228" s="147"/>
    </row>
    <row r="1229" spans="1:12" s="148" customFormat="1" ht="17.5" customHeight="1">
      <c r="A1229" s="149"/>
      <c r="B1229" s="157"/>
      <c r="C1229" s="157"/>
      <c r="D1229" s="150"/>
      <c r="E1229" s="151"/>
      <c r="F1229" s="151"/>
      <c r="G1229" s="151"/>
      <c r="H1229" s="151"/>
      <c r="I1229" s="151"/>
      <c r="J1229" s="151">
        <f>SUM(I1225:I1229)</f>
        <v>310.76</v>
      </c>
      <c r="K1229" s="152" t="s">
        <v>101</v>
      </c>
      <c r="L1229" s="147"/>
    </row>
    <row r="1230" spans="1:12" s="148" customFormat="1" ht="17.5" customHeight="1">
      <c r="A1230" s="149"/>
      <c r="B1230" s="157"/>
      <c r="C1230" s="157"/>
      <c r="D1230" s="150"/>
      <c r="E1230" s="151"/>
      <c r="F1230" s="151"/>
      <c r="G1230" s="151"/>
      <c r="H1230" s="151"/>
      <c r="I1230" s="151"/>
      <c r="J1230" s="151"/>
      <c r="K1230" s="152"/>
      <c r="L1230" s="147"/>
    </row>
    <row r="1231" spans="1:12" s="148" customFormat="1" ht="17.5" customHeight="1">
      <c r="A1231" s="149"/>
      <c r="B1231" s="157"/>
      <c r="C1231" s="157"/>
      <c r="D1231" s="150"/>
      <c r="E1231" s="151"/>
      <c r="F1231" s="151"/>
      <c r="G1231" s="151"/>
      <c r="H1231" s="151"/>
      <c r="I1231" s="151"/>
      <c r="J1231" s="151"/>
      <c r="K1231" s="152"/>
      <c r="L1231" s="147"/>
    </row>
    <row r="1232" spans="1:12" s="148" customFormat="1" ht="17.5" customHeight="1">
      <c r="A1232" s="149">
        <v>17</v>
      </c>
      <c r="B1232" s="159" t="s">
        <v>373</v>
      </c>
      <c r="C1232" s="159"/>
      <c r="D1232" s="150"/>
      <c r="E1232" s="151"/>
      <c r="F1232" s="151"/>
      <c r="G1232" s="151"/>
      <c r="H1232" s="151"/>
      <c r="I1232" s="151"/>
      <c r="J1232" s="151"/>
      <c r="K1232" s="152"/>
      <c r="L1232" s="147"/>
    </row>
    <row r="1233" spans="1:12" s="148" customFormat="1" ht="17.5" customHeight="1">
      <c r="A1233" s="149"/>
      <c r="B1233" s="157" t="s">
        <v>444</v>
      </c>
      <c r="C1233" s="157"/>
      <c r="D1233" s="150"/>
      <c r="E1233" s="151"/>
      <c r="F1233" s="151"/>
      <c r="G1233" s="151"/>
      <c r="H1233" s="151"/>
      <c r="I1233" s="154">
        <f>I13</f>
        <v>12911.5</v>
      </c>
      <c r="J1233" s="151"/>
      <c r="K1233" s="152"/>
      <c r="L1233" s="147"/>
    </row>
    <row r="1234" spans="1:12" s="148" customFormat="1" ht="17.5" customHeight="1">
      <c r="A1234" s="149"/>
      <c r="B1234" s="149" t="s">
        <v>56</v>
      </c>
      <c r="C1234" s="149"/>
      <c r="D1234" s="150"/>
      <c r="E1234" s="151"/>
      <c r="F1234" s="151"/>
      <c r="G1234" s="151"/>
      <c r="H1234" s="151"/>
      <c r="I1234" s="151"/>
      <c r="J1234" s="151"/>
      <c r="K1234" s="152"/>
      <c r="L1234" s="147"/>
    </row>
    <row r="1235" spans="1:12" s="148" customFormat="1" ht="17.5" customHeight="1">
      <c r="A1235" s="149"/>
      <c r="B1235" s="149" t="str">
        <f>B16</f>
        <v xml:space="preserve"> Hard Core Laying with sand Work</v>
      </c>
      <c r="C1235" s="149"/>
      <c r="D1235" s="150"/>
      <c r="E1235" s="151"/>
      <c r="F1235" s="151"/>
      <c r="G1235" s="151"/>
      <c r="H1235" s="151">
        <f>J23</f>
        <v>532.9</v>
      </c>
      <c r="I1235" s="151"/>
      <c r="J1235" s="151"/>
      <c r="K1235" s="152"/>
      <c r="L1235" s="147"/>
    </row>
    <row r="1236" spans="1:12" s="148" customFormat="1" ht="17.5" customHeight="1">
      <c r="A1236" s="149"/>
      <c r="B1236" s="157" t="s">
        <v>57</v>
      </c>
      <c r="C1236" s="157"/>
      <c r="D1236" s="150"/>
      <c r="E1236" s="151"/>
      <c r="F1236" s="151"/>
      <c r="G1236" s="151"/>
      <c r="H1236" s="155">
        <f>J51</f>
        <v>955.14</v>
      </c>
      <c r="I1236" s="151"/>
      <c r="J1236" s="151"/>
      <c r="K1236" s="152"/>
    </row>
    <row r="1237" spans="1:12" s="148" customFormat="1" ht="17.5" customHeight="1">
      <c r="A1237" s="149"/>
      <c r="B1237" s="149" t="s">
        <v>179</v>
      </c>
      <c r="C1237" s="157"/>
      <c r="D1237" s="150"/>
      <c r="E1237" s="151"/>
      <c r="F1237" s="151"/>
      <c r="G1237" s="151"/>
      <c r="H1237" s="155">
        <f>J139</f>
        <v>984.19</v>
      </c>
      <c r="I1237" s="151"/>
      <c r="J1237" s="151"/>
      <c r="K1237" s="152"/>
    </row>
    <row r="1238" spans="1:12" s="148" customFormat="1" ht="17.5" customHeight="1">
      <c r="A1238" s="149"/>
      <c r="B1238" s="149" t="s">
        <v>75</v>
      </c>
      <c r="C1238" s="157"/>
      <c r="D1238" s="150"/>
      <c r="E1238" s="151"/>
      <c r="F1238" s="151"/>
      <c r="G1238" s="151"/>
      <c r="H1238" s="155"/>
      <c r="I1238" s="151"/>
      <c r="J1238" s="151"/>
      <c r="K1238" s="152"/>
    </row>
    <row r="1239" spans="1:12" s="148" customFormat="1" ht="17.5" customHeight="1">
      <c r="A1239" s="149"/>
      <c r="B1239" s="157" t="s">
        <v>202</v>
      </c>
      <c r="C1239" s="157"/>
      <c r="D1239" s="150">
        <f>D191+D192</f>
        <v>15</v>
      </c>
      <c r="E1239" s="151">
        <f>E191</f>
        <v>1</v>
      </c>
      <c r="F1239" s="151">
        <f>F191</f>
        <v>1</v>
      </c>
      <c r="G1239" s="151">
        <f>5-1</f>
        <v>4</v>
      </c>
      <c r="H1239" s="151">
        <f>D1239*E1239*F1239*G1239</f>
        <v>60</v>
      </c>
      <c r="I1239" s="151"/>
      <c r="J1239" s="151"/>
      <c r="K1239" s="152"/>
    </row>
    <row r="1240" spans="1:12" s="148" customFormat="1" ht="17.5" customHeight="1">
      <c r="A1240" s="149"/>
      <c r="B1240" s="157" t="s">
        <v>243</v>
      </c>
      <c r="C1240" s="157"/>
      <c r="D1240" s="150">
        <f>D192</f>
        <v>3</v>
      </c>
      <c r="E1240" s="151">
        <f>E192</f>
        <v>1</v>
      </c>
      <c r="F1240" s="151">
        <f>F192</f>
        <v>1</v>
      </c>
      <c r="G1240" s="151">
        <f>G1239</f>
        <v>4</v>
      </c>
      <c r="H1240" s="151">
        <f>D1240*E1240*F1240*G1240</f>
        <v>12</v>
      </c>
      <c r="I1240" s="151"/>
      <c r="J1240" s="151"/>
      <c r="K1240" s="152"/>
    </row>
    <row r="1241" spans="1:12" s="148" customFormat="1" ht="17.5" customHeight="1">
      <c r="A1241" s="149"/>
      <c r="B1241" s="157" t="s">
        <v>54</v>
      </c>
      <c r="C1241" s="157"/>
      <c r="D1241" s="150">
        <v>1</v>
      </c>
      <c r="E1241" s="151">
        <f>E118</f>
        <v>275.17</v>
      </c>
      <c r="F1241" s="151">
        <f>13.5/12</f>
        <v>1.1299999999999999</v>
      </c>
      <c r="G1241" s="151">
        <v>0.25</v>
      </c>
      <c r="H1241" s="155">
        <f>D1241*E1241*F1241*G1241</f>
        <v>77.739999999999995</v>
      </c>
      <c r="I1241" s="151"/>
      <c r="J1241" s="151"/>
      <c r="K1241" s="152"/>
    </row>
    <row r="1242" spans="1:12" s="148" customFormat="1" ht="17.5" customHeight="1">
      <c r="A1242" s="149"/>
      <c r="B1242" s="157"/>
      <c r="C1242" s="157"/>
      <c r="D1242" s="150">
        <f>D1241</f>
        <v>1</v>
      </c>
      <c r="E1242" s="151">
        <f>E1241</f>
        <v>275.17</v>
      </c>
      <c r="F1242" s="151">
        <f>9/12</f>
        <v>0.75</v>
      </c>
      <c r="G1242" s="151">
        <f>G58</f>
        <v>2.25</v>
      </c>
      <c r="H1242" s="155">
        <f>D1242*E1242*F1242*G1242</f>
        <v>464.35</v>
      </c>
      <c r="I1242" s="151"/>
      <c r="J1242" s="151"/>
      <c r="K1242" s="152"/>
    </row>
    <row r="1243" spans="1:12" s="148" customFormat="1" ht="17.5" customHeight="1">
      <c r="A1243" s="149"/>
      <c r="B1243" s="157"/>
      <c r="C1243" s="157"/>
      <c r="D1243" s="150"/>
      <c r="E1243" s="151"/>
      <c r="F1243" s="151"/>
      <c r="G1243" s="151"/>
      <c r="H1243" s="155"/>
      <c r="I1243" s="151"/>
      <c r="J1243" s="151"/>
      <c r="K1243" s="152"/>
    </row>
    <row r="1244" spans="1:12" s="148" customFormat="1" ht="17.5" customHeight="1">
      <c r="A1244" s="149"/>
      <c r="B1244" s="149"/>
      <c r="C1244" s="149"/>
      <c r="D1244" s="150"/>
      <c r="E1244" s="151"/>
      <c r="F1244" s="151"/>
      <c r="G1244" s="151"/>
      <c r="H1244" s="155">
        <f>SUM(H1233:H1243)</f>
        <v>3086.32</v>
      </c>
      <c r="I1244" s="155">
        <f>SUM(I1233:I1243)</f>
        <v>12911.5</v>
      </c>
      <c r="J1244" s="151">
        <f>I1244-H1244</f>
        <v>9825.18</v>
      </c>
      <c r="K1244" s="158" t="s">
        <v>28</v>
      </c>
    </row>
    <row r="1245" spans="1:12" s="148" customFormat="1" ht="17.5" customHeight="1">
      <c r="A1245" s="149"/>
      <c r="B1245" s="149"/>
      <c r="C1245" s="149"/>
      <c r="D1245" s="150"/>
      <c r="E1245" s="151"/>
      <c r="F1245" s="151"/>
      <c r="G1245" s="151"/>
      <c r="H1245" s="151"/>
      <c r="I1245" s="151"/>
      <c r="J1245" s="151">
        <f>J1244/100</f>
        <v>98.25</v>
      </c>
      <c r="K1245" s="158" t="s">
        <v>7</v>
      </c>
    </row>
    <row r="1246" spans="1:12" s="148" customFormat="1" ht="18.649999999999999" customHeight="1">
      <c r="A1246" s="185"/>
      <c r="B1246" s="186"/>
      <c r="C1246" s="186"/>
      <c r="D1246" s="150"/>
      <c r="E1246" s="151"/>
      <c r="F1246" s="151"/>
      <c r="G1246" s="151"/>
      <c r="H1246" s="151"/>
      <c r="I1246" s="151"/>
      <c r="J1246" s="151"/>
      <c r="K1246" s="152"/>
    </row>
    <row r="1247" spans="1:12" s="148" customFormat="1" ht="18.649999999999999" customHeight="1">
      <c r="A1247" s="185">
        <v>18</v>
      </c>
      <c r="B1247" s="187" t="s">
        <v>70</v>
      </c>
      <c r="C1247" s="187"/>
      <c r="D1247" s="150"/>
      <c r="E1247" s="151"/>
      <c r="F1247" s="151"/>
      <c r="G1247" s="151"/>
      <c r="H1247" s="151"/>
      <c r="I1247" s="151"/>
      <c r="J1247" s="151"/>
      <c r="K1247" s="152"/>
    </row>
    <row r="1248" spans="1:12" s="148" customFormat="1" ht="18.649999999999999" customHeight="1">
      <c r="A1248" s="185"/>
      <c r="B1248" s="187" t="s">
        <v>460</v>
      </c>
      <c r="C1248" s="187"/>
      <c r="D1248" s="150"/>
      <c r="E1248" s="151"/>
      <c r="F1248" s="151"/>
      <c r="G1248" s="151"/>
      <c r="H1248" s="151"/>
      <c r="I1248" s="151"/>
      <c r="J1248" s="151"/>
      <c r="K1248" s="152"/>
    </row>
    <row r="1249" spans="1:12" s="148" customFormat="1" ht="18.649999999999999" customHeight="1">
      <c r="A1249" s="149"/>
      <c r="B1249" s="157"/>
      <c r="C1249" s="157"/>
      <c r="D1249" s="150">
        <v>1</v>
      </c>
      <c r="E1249" s="151">
        <v>27</v>
      </c>
      <c r="F1249" s="151">
        <v>40</v>
      </c>
      <c r="G1249" s="151">
        <v>2.5</v>
      </c>
      <c r="H1249" s="151"/>
      <c r="I1249" s="151">
        <f>D1249*E1249*F1249*G1249</f>
        <v>2700</v>
      </c>
      <c r="J1249" s="151"/>
      <c r="K1249" s="152" t="s">
        <v>28</v>
      </c>
      <c r="L1249" s="147"/>
    </row>
    <row r="1250" spans="1:12" s="148" customFormat="1" ht="18.649999999999999" customHeight="1">
      <c r="A1250" s="149"/>
      <c r="B1250" s="149" t="s">
        <v>118</v>
      </c>
      <c r="C1250" s="149"/>
      <c r="D1250" s="150"/>
      <c r="E1250" s="151"/>
      <c r="F1250" s="151"/>
      <c r="G1250" s="151"/>
      <c r="H1250" s="151"/>
      <c r="I1250" s="151"/>
      <c r="J1250" s="151"/>
      <c r="K1250" s="152"/>
      <c r="L1250" s="147"/>
    </row>
    <row r="1251" spans="1:12" s="148" customFormat="1" ht="18.649999999999999" customHeight="1">
      <c r="A1251" s="149"/>
      <c r="B1251" s="157" t="s">
        <v>202</v>
      </c>
      <c r="C1251" s="157"/>
      <c r="D1251" s="150">
        <f t="shared" ref="D1251:F1252" si="63">D191</f>
        <v>12</v>
      </c>
      <c r="E1251" s="151">
        <f t="shared" si="63"/>
        <v>1</v>
      </c>
      <c r="F1251" s="151">
        <f t="shared" si="63"/>
        <v>1</v>
      </c>
      <c r="G1251" s="151">
        <f>G1249</f>
        <v>2.5</v>
      </c>
      <c r="H1251" s="151">
        <f>D1251*E1251*F1251*G1251</f>
        <v>30</v>
      </c>
      <c r="I1251" s="151"/>
      <c r="J1251" s="151"/>
      <c r="K1251" s="152" t="s">
        <v>28</v>
      </c>
      <c r="L1251" s="147"/>
    </row>
    <row r="1252" spans="1:12" s="148" customFormat="1" ht="18.649999999999999" customHeight="1">
      <c r="A1252" s="149"/>
      <c r="B1252" s="157" t="s">
        <v>243</v>
      </c>
      <c r="C1252" s="157"/>
      <c r="D1252" s="150">
        <f t="shared" si="63"/>
        <v>3</v>
      </c>
      <c r="E1252" s="151">
        <f t="shared" si="63"/>
        <v>1</v>
      </c>
      <c r="F1252" s="151">
        <f t="shared" si="63"/>
        <v>1</v>
      </c>
      <c r="G1252" s="151">
        <f>G1251</f>
        <v>2.5</v>
      </c>
      <c r="H1252" s="151">
        <f>D1252*E1252*F1252*G1252</f>
        <v>7.5</v>
      </c>
      <c r="I1252" s="151"/>
      <c r="J1252" s="151"/>
      <c r="K1252" s="152" t="s">
        <v>28</v>
      </c>
      <c r="L1252" s="147"/>
    </row>
    <row r="1253" spans="1:12" s="148" customFormat="1" ht="18.649999999999999" customHeight="1">
      <c r="A1253" s="149"/>
      <c r="B1253" s="157" t="s">
        <v>161</v>
      </c>
      <c r="C1253" s="157"/>
      <c r="D1253" s="150">
        <v>1</v>
      </c>
      <c r="E1253" s="151">
        <f>E119</f>
        <v>275.17</v>
      </c>
      <c r="F1253" s="151">
        <v>0.75</v>
      </c>
      <c r="G1253" s="151">
        <f>G1249</f>
        <v>2.5</v>
      </c>
      <c r="H1253" s="151">
        <f>D1253*E1253*F1253*G1253</f>
        <v>515.94000000000005</v>
      </c>
      <c r="I1253" s="151"/>
      <c r="J1253" s="151"/>
      <c r="K1253" s="152" t="s">
        <v>28</v>
      </c>
      <c r="L1253" s="147"/>
    </row>
    <row r="1254" spans="1:12" s="148" customFormat="1" ht="18.649999999999999" customHeight="1">
      <c r="A1254" s="185"/>
      <c r="B1254" s="187"/>
      <c r="C1254" s="187"/>
      <c r="D1254" s="150"/>
      <c r="E1254" s="151"/>
      <c r="F1254" s="151"/>
      <c r="G1254" s="151"/>
      <c r="H1254" s="151">
        <f>SUM(H1249:H1253)</f>
        <v>553.44000000000005</v>
      </c>
      <c r="I1254" s="151">
        <f>SUM(I1249:I1253)</f>
        <v>2700</v>
      </c>
      <c r="J1254" s="151">
        <f>I1254-H1254</f>
        <v>2146.56</v>
      </c>
      <c r="K1254" s="152" t="s">
        <v>28</v>
      </c>
    </row>
    <row r="1255" spans="1:12" s="148" customFormat="1" ht="18.649999999999999" customHeight="1">
      <c r="A1255" s="185"/>
      <c r="B1255" s="187"/>
      <c r="C1255" s="187"/>
      <c r="D1255" s="150"/>
      <c r="E1255" s="151"/>
      <c r="F1255" s="151"/>
      <c r="G1255" s="151"/>
      <c r="H1255" s="151"/>
      <c r="I1255" s="151"/>
      <c r="J1255" s="151">
        <f>J1254/100</f>
        <v>21.47</v>
      </c>
      <c r="K1255" s="152" t="s">
        <v>7</v>
      </c>
    </row>
    <row r="1256" spans="1:12" s="148" customFormat="1" ht="18.649999999999999" customHeight="1">
      <c r="A1256" s="185"/>
      <c r="B1256" s="187"/>
      <c r="C1256" s="187"/>
      <c r="D1256" s="150"/>
      <c r="E1256" s="151"/>
      <c r="F1256" s="151"/>
      <c r="G1256" s="151"/>
      <c r="H1256" s="151"/>
      <c r="I1256" s="151"/>
      <c r="J1256" s="151"/>
      <c r="K1256" s="152"/>
    </row>
    <row r="1257" spans="1:12" s="65" customFormat="1" ht="19.5" customHeight="1">
      <c r="A1257" s="178"/>
      <c r="B1257" s="189" t="s">
        <v>461</v>
      </c>
      <c r="C1257" s="189"/>
      <c r="D1257" s="128"/>
      <c r="E1257" s="182"/>
      <c r="F1257" s="182"/>
      <c r="G1257" s="182"/>
      <c r="H1257" s="182"/>
      <c r="I1257" s="129"/>
      <c r="J1257" s="129"/>
      <c r="K1257" s="152"/>
    </row>
    <row r="1258" spans="1:12" s="65" customFormat="1" ht="19.5" customHeight="1">
      <c r="A1258" s="178"/>
      <c r="B1258" s="126"/>
      <c r="C1258" s="126"/>
      <c r="D1258" s="128">
        <f>D1249</f>
        <v>1</v>
      </c>
      <c r="E1258" s="182">
        <f>E1249</f>
        <v>27</v>
      </c>
      <c r="F1258" s="182">
        <f>F1249</f>
        <v>40</v>
      </c>
      <c r="G1258" s="182">
        <f>4.5/12</f>
        <v>0.38</v>
      </c>
      <c r="H1258" s="182"/>
      <c r="I1258" s="188">
        <f>D1258*E1258*F1258*G1258</f>
        <v>410.4</v>
      </c>
      <c r="J1258" s="129"/>
      <c r="K1258" s="152" t="s">
        <v>28</v>
      </c>
    </row>
    <row r="1259" spans="1:12" s="65" customFormat="1" ht="19.5" customHeight="1">
      <c r="A1259" s="178"/>
      <c r="B1259" s="178" t="s">
        <v>25</v>
      </c>
      <c r="C1259" s="178"/>
      <c r="D1259" s="128"/>
      <c r="E1259" s="182"/>
      <c r="F1259" s="182"/>
      <c r="G1259" s="182"/>
      <c r="H1259" s="182"/>
      <c r="I1259" s="129"/>
      <c r="J1259" s="129"/>
      <c r="K1259" s="152"/>
    </row>
    <row r="1260" spans="1:12" s="65" customFormat="1" ht="19.5" customHeight="1">
      <c r="A1260" s="178"/>
      <c r="B1260" s="126" t="str">
        <f>B1253</f>
        <v>R/Wall @ Main Building</v>
      </c>
      <c r="C1260" s="126"/>
      <c r="D1260" s="128">
        <f>D1253</f>
        <v>1</v>
      </c>
      <c r="E1260" s="182">
        <f>E1253</f>
        <v>275.17</v>
      </c>
      <c r="F1260" s="182">
        <f>F1253</f>
        <v>0.75</v>
      </c>
      <c r="G1260" s="182">
        <f>G1258</f>
        <v>0.38</v>
      </c>
      <c r="H1260" s="182">
        <f>D1260*E1260*F1260*G1260</f>
        <v>78.42</v>
      </c>
      <c r="I1260" s="129"/>
      <c r="J1260" s="129"/>
      <c r="K1260" s="152" t="s">
        <v>28</v>
      </c>
    </row>
    <row r="1261" spans="1:12" s="65" customFormat="1" ht="19.5" customHeight="1">
      <c r="A1261" s="178"/>
      <c r="B1261" s="189"/>
      <c r="C1261" s="189"/>
      <c r="D1261" s="128"/>
      <c r="E1261" s="182"/>
      <c r="F1261" s="182"/>
      <c r="G1261" s="182"/>
      <c r="H1261" s="182">
        <f>SUM(H1258:H1260)</f>
        <v>78.42</v>
      </c>
      <c r="I1261" s="182">
        <f>SUM(I1258:I1260)</f>
        <v>410.4</v>
      </c>
      <c r="J1261" s="129"/>
      <c r="K1261" s="152" t="s">
        <v>28</v>
      </c>
    </row>
    <row r="1262" spans="1:12" s="65" customFormat="1" ht="19.5" customHeight="1">
      <c r="A1262" s="178"/>
      <c r="B1262" s="189"/>
      <c r="C1262" s="189"/>
      <c r="D1262" s="128"/>
      <c r="E1262" s="182"/>
      <c r="F1262" s="182"/>
      <c r="G1262" s="182"/>
      <c r="H1262" s="182"/>
      <c r="I1262" s="129"/>
      <c r="J1262" s="129">
        <f>I1261-H1261</f>
        <v>331.98</v>
      </c>
      <c r="K1262" s="152" t="s">
        <v>28</v>
      </c>
    </row>
    <row r="1263" spans="1:12" s="65" customFormat="1" ht="19.5" customHeight="1">
      <c r="A1263" s="178"/>
      <c r="B1263" s="189"/>
      <c r="C1263" s="189"/>
      <c r="D1263" s="128"/>
      <c r="E1263" s="182"/>
      <c r="F1263" s="182"/>
      <c r="G1263" s="182"/>
      <c r="H1263" s="182"/>
      <c r="I1263" s="129"/>
      <c r="J1263" s="129">
        <f>J1262/100</f>
        <v>3.32</v>
      </c>
      <c r="K1263" s="152" t="s">
        <v>7</v>
      </c>
    </row>
    <row r="1264" spans="1:12" s="65" customFormat="1" ht="19.5" customHeight="1">
      <c r="A1264" s="178"/>
      <c r="B1264" s="189"/>
      <c r="C1264" s="189"/>
      <c r="D1264" s="128"/>
      <c r="E1264" s="182"/>
      <c r="F1264" s="182"/>
      <c r="G1264" s="182"/>
      <c r="H1264" s="182"/>
      <c r="I1264" s="129"/>
      <c r="J1264" s="129"/>
      <c r="K1264" s="152"/>
    </row>
    <row r="1265" spans="1:11" s="65" customFormat="1" ht="19.5" customHeight="1">
      <c r="A1265" s="178"/>
      <c r="B1265" s="189" t="s">
        <v>462</v>
      </c>
      <c r="C1265" s="189"/>
      <c r="D1265" s="128"/>
      <c r="E1265" s="182"/>
      <c r="F1265" s="182"/>
      <c r="G1265" s="182"/>
      <c r="H1265" s="182"/>
      <c r="I1265" s="129"/>
      <c r="J1265" s="129"/>
      <c r="K1265" s="152"/>
    </row>
    <row r="1266" spans="1:11" s="65" customFormat="1" ht="19.5" customHeight="1">
      <c r="A1266" s="178"/>
      <c r="B1266" s="126" t="s">
        <v>76</v>
      </c>
      <c r="C1266" s="126"/>
      <c r="D1266" s="128">
        <v>1</v>
      </c>
      <c r="E1266" s="182">
        <f>J1262/G1258</f>
        <v>873.63</v>
      </c>
      <c r="F1266" s="182" t="s">
        <v>21</v>
      </c>
      <c r="G1266" s="182"/>
      <c r="H1266" s="182"/>
      <c r="I1266" s="129"/>
      <c r="J1266" s="129">
        <f>D1266*E1266</f>
        <v>873.63</v>
      </c>
      <c r="K1266" s="152"/>
    </row>
    <row r="1267" spans="1:11" s="148" customFormat="1" ht="19.5" customHeight="1">
      <c r="A1267" s="185"/>
      <c r="B1267" s="187"/>
      <c r="C1267" s="187"/>
      <c r="D1267" s="150"/>
      <c r="E1267" s="151"/>
      <c r="F1267" s="151"/>
      <c r="G1267" s="151"/>
      <c r="H1267" s="151"/>
      <c r="I1267" s="151"/>
      <c r="J1267" s="155">
        <f>SUM(J1266)</f>
        <v>873.63</v>
      </c>
      <c r="K1267" s="152" t="s">
        <v>21</v>
      </c>
    </row>
    <row r="1268" spans="1:11" s="148" customFormat="1" ht="19.5" customHeight="1">
      <c r="A1268" s="185"/>
      <c r="B1268" s="187"/>
      <c r="C1268" s="187"/>
      <c r="D1268" s="150"/>
      <c r="E1268" s="151"/>
      <c r="F1268" s="151"/>
      <c r="G1268" s="151"/>
      <c r="H1268" s="151"/>
      <c r="I1268" s="151"/>
      <c r="J1268" s="151">
        <f>J1267/100</f>
        <v>8.74</v>
      </c>
      <c r="K1268" s="152" t="s">
        <v>12</v>
      </c>
    </row>
    <row r="1269" spans="1:11" s="148" customFormat="1" ht="19.5" customHeight="1">
      <c r="A1269" s="185"/>
      <c r="B1269" s="187"/>
      <c r="C1269" s="187"/>
      <c r="D1269" s="150"/>
      <c r="E1269" s="151"/>
      <c r="F1269" s="151"/>
      <c r="G1269" s="151"/>
      <c r="H1269" s="151"/>
      <c r="I1269" s="151"/>
      <c r="J1269" s="151"/>
      <c r="K1269" s="152"/>
    </row>
    <row r="1270" spans="1:11" s="148" customFormat="1" ht="19.5" customHeight="1">
      <c r="A1270" s="185"/>
      <c r="B1270" s="187" t="s">
        <v>463</v>
      </c>
      <c r="C1270" s="187"/>
      <c r="D1270" s="150"/>
      <c r="E1270" s="151"/>
      <c r="F1270" s="151"/>
      <c r="G1270" s="151"/>
      <c r="H1270" s="151"/>
      <c r="I1270" s="151"/>
      <c r="J1270" s="151"/>
      <c r="K1270" s="152"/>
    </row>
    <row r="1271" spans="1:11" s="148" customFormat="1" ht="19.5" customHeight="1">
      <c r="A1271" s="185"/>
      <c r="B1271" s="185" t="s">
        <v>92</v>
      </c>
      <c r="C1271" s="187"/>
      <c r="D1271" s="150"/>
      <c r="E1271" s="151"/>
      <c r="F1271" s="151"/>
      <c r="G1271" s="151"/>
      <c r="H1271" s="151"/>
      <c r="I1271" s="151"/>
      <c r="J1271" s="151"/>
      <c r="K1271" s="152"/>
    </row>
    <row r="1272" spans="1:11" s="148" customFormat="1" ht="19.5" customHeight="1">
      <c r="A1272" s="185"/>
      <c r="B1272" s="187"/>
      <c r="C1272" s="187"/>
      <c r="D1272" s="150">
        <f>D1258</f>
        <v>1</v>
      </c>
      <c r="E1272" s="151">
        <f>E1258</f>
        <v>27</v>
      </c>
      <c r="F1272" s="151">
        <f>F1258</f>
        <v>40</v>
      </c>
      <c r="G1272" s="151"/>
      <c r="H1272" s="151"/>
      <c r="I1272" s="151">
        <f>D1272*E1272*F1272</f>
        <v>1080</v>
      </c>
      <c r="J1272" s="151"/>
      <c r="K1272" s="152" t="s">
        <v>21</v>
      </c>
    </row>
    <row r="1273" spans="1:11" s="148" customFormat="1" ht="19.5" customHeight="1">
      <c r="A1273" s="185"/>
      <c r="B1273" s="185" t="s">
        <v>25</v>
      </c>
      <c r="C1273" s="187"/>
      <c r="D1273" s="150"/>
      <c r="E1273" s="151"/>
      <c r="F1273" s="151"/>
      <c r="G1273" s="151"/>
      <c r="H1273" s="151"/>
      <c r="I1273" s="151"/>
      <c r="J1273" s="151"/>
      <c r="K1273" s="152"/>
    </row>
    <row r="1274" spans="1:11" s="148" customFormat="1" ht="19.5" customHeight="1">
      <c r="A1274" s="185"/>
      <c r="B1274" s="187" t="s">
        <v>203</v>
      </c>
      <c r="C1274" s="187"/>
      <c r="D1274" s="150">
        <v>1</v>
      </c>
      <c r="E1274" s="151">
        <f>E935</f>
        <v>118</v>
      </c>
      <c r="F1274" s="151">
        <f>4.5/12</f>
        <v>0.38</v>
      </c>
      <c r="G1274" s="151"/>
      <c r="H1274" s="151">
        <f>D1274*E1274*F1274</f>
        <v>44.84</v>
      </c>
      <c r="I1274" s="151"/>
      <c r="J1274" s="151"/>
      <c r="K1274" s="152" t="s">
        <v>21</v>
      </c>
    </row>
    <row r="1275" spans="1:11" s="148" customFormat="1" ht="19.5" customHeight="1">
      <c r="A1275" s="185"/>
      <c r="B1275" s="187" t="s">
        <v>204</v>
      </c>
      <c r="C1275" s="187"/>
      <c r="D1275" s="150">
        <v>1</v>
      </c>
      <c r="E1275" s="151">
        <f>E1006</f>
        <v>96.25</v>
      </c>
      <c r="F1275" s="151">
        <f>F1274</f>
        <v>0.38</v>
      </c>
      <c r="G1275" s="151"/>
      <c r="H1275" s="151">
        <f>D1275*E1275*F1275</f>
        <v>36.58</v>
      </c>
      <c r="I1275" s="151"/>
      <c r="J1275" s="151"/>
      <c r="K1275" s="152" t="s">
        <v>21</v>
      </c>
    </row>
    <row r="1276" spans="1:11" s="148" customFormat="1" ht="19.5" customHeight="1">
      <c r="A1276" s="185"/>
      <c r="B1276" s="185" t="s">
        <v>142</v>
      </c>
      <c r="C1276" s="187"/>
      <c r="D1276" s="150"/>
      <c r="E1276" s="151"/>
      <c r="F1276" s="151"/>
      <c r="G1276" s="151"/>
      <c r="H1276" s="151"/>
      <c r="I1276" s="151"/>
      <c r="J1276" s="151"/>
      <c r="K1276" s="152"/>
    </row>
    <row r="1277" spans="1:11" s="148" customFormat="1" ht="19.5" customHeight="1">
      <c r="A1277" s="185"/>
      <c r="B1277" s="187"/>
      <c r="C1277" s="187"/>
      <c r="D1277" s="150">
        <v>1</v>
      </c>
      <c r="E1277" s="151">
        <v>27</v>
      </c>
      <c r="F1277" s="151">
        <v>40</v>
      </c>
      <c r="G1277" s="151"/>
      <c r="H1277" s="151"/>
      <c r="I1277" s="151">
        <f>D1277*E1277*F1277</f>
        <v>1080</v>
      </c>
      <c r="J1277" s="151"/>
      <c r="K1277" s="152" t="s">
        <v>21</v>
      </c>
    </row>
    <row r="1278" spans="1:11" s="148" customFormat="1" ht="19.5" customHeight="1">
      <c r="A1278" s="185"/>
      <c r="B1278" s="187"/>
      <c r="C1278" s="187"/>
      <c r="D1278" s="150">
        <v>1</v>
      </c>
      <c r="E1278" s="151">
        <v>14.33</v>
      </c>
      <c r="F1278" s="151">
        <v>3.17</v>
      </c>
      <c r="G1278" s="151"/>
      <c r="H1278" s="151"/>
      <c r="I1278" s="151">
        <f>D1278*E1278*F1278</f>
        <v>45.43</v>
      </c>
      <c r="J1278" s="151"/>
      <c r="K1278" s="152" t="s">
        <v>21</v>
      </c>
    </row>
    <row r="1279" spans="1:11" s="148" customFormat="1" ht="19.5" customHeight="1">
      <c r="A1279" s="185"/>
      <c r="B1279" s="186" t="s">
        <v>351</v>
      </c>
      <c r="C1279" s="187"/>
      <c r="D1279" s="150">
        <v>1</v>
      </c>
      <c r="E1279" s="151">
        <v>16</v>
      </c>
      <c r="F1279" s="151">
        <v>3</v>
      </c>
      <c r="G1279" s="151"/>
      <c r="H1279" s="151"/>
      <c r="I1279" s="151">
        <f>D1279*E1279*F1279</f>
        <v>48</v>
      </c>
      <c r="J1279" s="151"/>
      <c r="K1279" s="152" t="s">
        <v>21</v>
      </c>
    </row>
    <row r="1280" spans="1:11" s="148" customFormat="1" ht="19.5" customHeight="1">
      <c r="A1280" s="185"/>
      <c r="B1280" s="187"/>
      <c r="C1280" s="187"/>
      <c r="D1280" s="150">
        <v>1</v>
      </c>
      <c r="E1280" s="151">
        <v>3</v>
      </c>
      <c r="F1280" s="151">
        <v>11.5</v>
      </c>
      <c r="G1280" s="151"/>
      <c r="H1280" s="151"/>
      <c r="I1280" s="151">
        <f>D1280*E1280*F1280</f>
        <v>34.5</v>
      </c>
      <c r="J1280" s="151"/>
      <c r="K1280" s="152" t="s">
        <v>21</v>
      </c>
    </row>
    <row r="1281" spans="1:11" s="148" customFormat="1" ht="19.5" customHeight="1">
      <c r="A1281" s="185"/>
      <c r="B1281" s="185" t="s">
        <v>25</v>
      </c>
      <c r="C1281" s="187"/>
      <c r="D1281" s="150"/>
      <c r="E1281" s="151"/>
      <c r="F1281" s="151"/>
      <c r="G1281" s="151"/>
      <c r="H1281" s="151"/>
      <c r="I1281" s="151"/>
      <c r="J1281" s="151"/>
      <c r="K1281" s="152"/>
    </row>
    <row r="1282" spans="1:11" s="148" customFormat="1" ht="19.5" customHeight="1">
      <c r="A1282" s="185"/>
      <c r="B1282" s="187" t="str">
        <f>B1274</f>
        <v>Ext; Wall Length-Door Wide</v>
      </c>
      <c r="C1282" s="187"/>
      <c r="D1282" s="150">
        <v>1</v>
      </c>
      <c r="E1282" s="151">
        <f>E953</f>
        <v>124</v>
      </c>
      <c r="F1282" s="151">
        <f>0.5</f>
        <v>0.5</v>
      </c>
      <c r="G1282" s="151"/>
      <c r="H1282" s="151">
        <f>D1282*E1282*F1282</f>
        <v>62</v>
      </c>
      <c r="I1282" s="151"/>
      <c r="J1282" s="151"/>
      <c r="K1282" s="152" t="s">
        <v>21</v>
      </c>
    </row>
    <row r="1283" spans="1:11" s="148" customFormat="1" ht="19.5" customHeight="1">
      <c r="A1283" s="185"/>
      <c r="B1283" s="187" t="str">
        <f>B1275</f>
        <v>Internal Wall Length-Door Wide</v>
      </c>
      <c r="C1283" s="187"/>
      <c r="D1283" s="150">
        <v>1</v>
      </c>
      <c r="E1283" s="151">
        <f>E1022</f>
        <v>84.75</v>
      </c>
      <c r="F1283" s="151">
        <f>F1282</f>
        <v>0.5</v>
      </c>
      <c r="G1283" s="151"/>
      <c r="H1283" s="151">
        <f>D1283*E1283*F1283</f>
        <v>42.38</v>
      </c>
      <c r="I1283" s="151"/>
      <c r="J1283" s="151"/>
      <c r="K1283" s="152" t="s">
        <v>21</v>
      </c>
    </row>
    <row r="1284" spans="1:11" s="148" customFormat="1" ht="19.5" customHeight="1">
      <c r="A1284" s="185"/>
      <c r="B1284" s="185" t="s">
        <v>317</v>
      </c>
      <c r="C1284" s="187"/>
      <c r="D1284" s="150">
        <v>1</v>
      </c>
      <c r="E1284" s="151">
        <v>27</v>
      </c>
      <c r="F1284" s="151">
        <v>40</v>
      </c>
      <c r="G1284" s="151"/>
      <c r="H1284" s="151"/>
      <c r="I1284" s="151">
        <f>D1284*E1284*F1284</f>
        <v>1080</v>
      </c>
      <c r="J1284" s="151"/>
      <c r="K1284" s="152" t="s">
        <v>21</v>
      </c>
    </row>
    <row r="1285" spans="1:11" s="148" customFormat="1" ht="19.5" customHeight="1">
      <c r="A1285" s="185"/>
      <c r="B1285" s="185" t="s">
        <v>25</v>
      </c>
      <c r="C1285" s="187"/>
      <c r="D1285" s="150"/>
      <c r="E1285" s="151"/>
      <c r="F1285" s="151"/>
      <c r="G1285" s="151"/>
      <c r="H1285" s="151"/>
      <c r="I1285" s="151"/>
      <c r="J1285" s="151"/>
      <c r="K1285" s="152"/>
    </row>
    <row r="1286" spans="1:11" s="148" customFormat="1" ht="19.5" customHeight="1">
      <c r="A1286" s="185"/>
      <c r="B1286" s="187" t="str">
        <f>B1282</f>
        <v>Ext; Wall Length-Door Wide</v>
      </c>
      <c r="C1286" s="187"/>
      <c r="D1286" s="150">
        <v>1</v>
      </c>
      <c r="E1286" s="151">
        <f>E973</f>
        <v>148.16999999999999</v>
      </c>
      <c r="F1286" s="151">
        <f>4.5/12</f>
        <v>0.38</v>
      </c>
      <c r="G1286" s="151"/>
      <c r="H1286" s="151">
        <f>D1286*E1286*F1286</f>
        <v>56.3</v>
      </c>
      <c r="I1286" s="151"/>
      <c r="J1286" s="151"/>
      <c r="K1286" s="152" t="s">
        <v>21</v>
      </c>
    </row>
    <row r="1287" spans="1:11" s="148" customFormat="1" ht="19.5" customHeight="1">
      <c r="A1287" s="185"/>
      <c r="B1287" s="187" t="str">
        <f>B1283</f>
        <v>Internal Wall Length-Door Wide</v>
      </c>
      <c r="C1287" s="187"/>
      <c r="D1287" s="150">
        <v>1</v>
      </c>
      <c r="E1287" s="151">
        <f>E1034</f>
        <v>29.75</v>
      </c>
      <c r="F1287" s="151">
        <f>F1286</f>
        <v>0.38</v>
      </c>
      <c r="G1287" s="151"/>
      <c r="H1287" s="151">
        <f>D1287*E1287*F1287</f>
        <v>11.31</v>
      </c>
      <c r="I1287" s="151"/>
      <c r="J1287" s="151"/>
      <c r="K1287" s="152" t="s">
        <v>21</v>
      </c>
    </row>
    <row r="1288" spans="1:11" s="148" customFormat="1" ht="19.5" customHeight="1">
      <c r="A1288" s="185"/>
      <c r="B1288" s="187"/>
      <c r="C1288" s="187"/>
      <c r="D1288" s="150"/>
      <c r="E1288" s="151"/>
      <c r="F1288" s="151"/>
      <c r="G1288" s="151"/>
      <c r="H1288" s="151"/>
      <c r="I1288" s="151"/>
      <c r="J1288" s="151"/>
      <c r="K1288" s="152"/>
    </row>
    <row r="1289" spans="1:11" s="148" customFormat="1" ht="19.5" customHeight="1">
      <c r="A1289" s="185"/>
      <c r="B1289" s="187" t="s">
        <v>185</v>
      </c>
      <c r="C1289" s="187"/>
      <c r="D1289" s="150">
        <v>1</v>
      </c>
      <c r="E1289" s="151">
        <v>27.5</v>
      </c>
      <c r="F1289" s="151">
        <v>16.5</v>
      </c>
      <c r="G1289" s="151"/>
      <c r="H1289" s="151"/>
      <c r="I1289" s="151">
        <f>D1289*E1289*F1289</f>
        <v>453.75</v>
      </c>
      <c r="J1289" s="151"/>
      <c r="K1289" s="152" t="s">
        <v>21</v>
      </c>
    </row>
    <row r="1290" spans="1:11" s="148" customFormat="1" ht="19.5" customHeight="1">
      <c r="A1290" s="185"/>
      <c r="B1290" s="187"/>
      <c r="C1290" s="187"/>
      <c r="D1290" s="150"/>
      <c r="E1290" s="151"/>
      <c r="F1290" s="151"/>
      <c r="G1290" s="151"/>
      <c r="H1290" s="151"/>
      <c r="I1290" s="151"/>
      <c r="J1290" s="151"/>
      <c r="K1290" s="152"/>
    </row>
    <row r="1291" spans="1:11" s="148" customFormat="1" ht="19.5" customHeight="1">
      <c r="A1291" s="185"/>
      <c r="B1291" s="187"/>
      <c r="C1291" s="187"/>
      <c r="D1291" s="150"/>
      <c r="E1291" s="151"/>
      <c r="F1291" s="151"/>
      <c r="G1291" s="151"/>
      <c r="H1291" s="151">
        <f>SUM(H1272:H1290)</f>
        <v>253.41</v>
      </c>
      <c r="I1291" s="151">
        <f>SUM(I1272:I1290)</f>
        <v>3821.68</v>
      </c>
      <c r="J1291" s="151"/>
      <c r="K1291" s="152" t="s">
        <v>21</v>
      </c>
    </row>
    <row r="1292" spans="1:11" s="148" customFormat="1" ht="19.5" customHeight="1">
      <c r="A1292" s="185"/>
      <c r="B1292" s="187"/>
      <c r="C1292" s="187"/>
      <c r="D1292" s="150"/>
      <c r="E1292" s="151"/>
      <c r="F1292" s="151"/>
      <c r="G1292" s="151"/>
      <c r="H1292" s="151"/>
      <c r="I1292" s="151"/>
      <c r="J1292" s="151">
        <f>I1291-H1291</f>
        <v>3568.27</v>
      </c>
      <c r="K1292" s="152" t="s">
        <v>21</v>
      </c>
    </row>
    <row r="1293" spans="1:11" s="148" customFormat="1" ht="19.5" customHeight="1">
      <c r="A1293" s="185"/>
      <c r="B1293" s="187"/>
      <c r="C1293" s="187"/>
      <c r="D1293" s="150"/>
      <c r="E1293" s="151"/>
      <c r="F1293" s="151"/>
      <c r="G1293" s="151"/>
      <c r="H1293" s="151"/>
      <c r="I1293" s="151"/>
      <c r="J1293" s="151">
        <f>J1292/100</f>
        <v>35.68</v>
      </c>
      <c r="K1293" s="152" t="s">
        <v>12</v>
      </c>
    </row>
    <row r="1294" spans="1:11" s="148" customFormat="1" ht="19.5" customHeight="1">
      <c r="A1294" s="185"/>
      <c r="B1294" s="187"/>
      <c r="C1294" s="187"/>
      <c r="D1294" s="150"/>
      <c r="E1294" s="151"/>
      <c r="F1294" s="151"/>
      <c r="G1294" s="151"/>
      <c r="H1294" s="151"/>
      <c r="I1294" s="151"/>
      <c r="J1294" s="151"/>
      <c r="K1294" s="152"/>
    </row>
    <row r="1295" spans="1:11" s="148" customFormat="1" ht="18.649999999999999" customHeight="1">
      <c r="A1295" s="190">
        <v>19</v>
      </c>
      <c r="B1295" s="191" t="s">
        <v>108</v>
      </c>
      <c r="C1295" s="191"/>
      <c r="D1295" s="170"/>
      <c r="E1295" s="171"/>
      <c r="F1295" s="171"/>
      <c r="G1295" s="171"/>
      <c r="H1295" s="171"/>
      <c r="I1295" s="171"/>
      <c r="J1295" s="171"/>
      <c r="K1295" s="192"/>
    </row>
    <row r="1296" spans="1:11" s="148" customFormat="1" ht="18.649999999999999" customHeight="1">
      <c r="A1296" s="190"/>
      <c r="B1296" s="193" t="s">
        <v>86</v>
      </c>
      <c r="C1296" s="193"/>
      <c r="D1296" s="170">
        <v>1</v>
      </c>
      <c r="E1296" s="171">
        <f>37*2+50*2</f>
        <v>174</v>
      </c>
      <c r="F1296" s="171"/>
      <c r="G1296" s="171">
        <v>41</v>
      </c>
      <c r="H1296" s="171"/>
      <c r="I1296" s="171">
        <f>D1296*E1296*G1296</f>
        <v>7134</v>
      </c>
      <c r="J1296" s="171"/>
      <c r="K1296" s="192" t="s">
        <v>21</v>
      </c>
    </row>
    <row r="1297" spans="1:12" s="148" customFormat="1" ht="18.649999999999999" customHeight="1">
      <c r="A1297" s="190"/>
      <c r="B1297" s="191"/>
      <c r="C1297" s="191"/>
      <c r="D1297" s="170"/>
      <c r="E1297" s="171"/>
      <c r="F1297" s="171"/>
      <c r="G1297" s="171"/>
      <c r="H1297" s="171"/>
      <c r="I1297" s="171"/>
      <c r="J1297" s="171">
        <f>SUM(I1296:I1297)</f>
        <v>7134</v>
      </c>
      <c r="K1297" s="192" t="s">
        <v>21</v>
      </c>
    </row>
    <row r="1298" spans="1:12" s="148" customFormat="1" ht="18.649999999999999" customHeight="1">
      <c r="A1298" s="190"/>
      <c r="B1298" s="191"/>
      <c r="C1298" s="191"/>
      <c r="D1298" s="170"/>
      <c r="E1298" s="171"/>
      <c r="F1298" s="171"/>
      <c r="G1298" s="171"/>
      <c r="H1298" s="171"/>
      <c r="I1298" s="171"/>
      <c r="J1298" s="171"/>
      <c r="K1298" s="192"/>
    </row>
    <row r="1299" spans="1:12" ht="18.649999999999999" customHeight="1">
      <c r="A1299" s="194"/>
      <c r="B1299" s="195"/>
      <c r="C1299" s="195"/>
      <c r="D1299" s="196"/>
      <c r="E1299" s="197"/>
      <c r="F1299" s="197"/>
      <c r="G1299" s="197"/>
      <c r="H1299" s="197"/>
      <c r="I1299" s="197"/>
      <c r="J1299" s="197"/>
      <c r="K1299" s="54"/>
      <c r="L1299" s="63"/>
    </row>
    <row r="1300" spans="1:12" ht="19.899999999999999" customHeight="1">
      <c r="A1300" s="198"/>
      <c r="B1300" s="199"/>
      <c r="C1300" s="199"/>
      <c r="D1300" s="200"/>
      <c r="E1300" s="201"/>
      <c r="F1300" s="201"/>
      <c r="G1300" s="201"/>
      <c r="H1300" s="201"/>
      <c r="I1300" s="201"/>
      <c r="J1300" s="201"/>
      <c r="K1300" s="202"/>
      <c r="L1300" s="63"/>
    </row>
    <row r="1301" spans="1:12" ht="19.899999999999999" customHeight="1">
      <c r="A1301" s="203"/>
      <c r="B1301" s="204"/>
      <c r="C1301" s="204"/>
      <c r="D1301" s="91"/>
      <c r="E1301" s="64"/>
      <c r="F1301" s="64"/>
      <c r="G1301" s="64"/>
      <c r="H1301" s="64"/>
      <c r="I1301" s="64"/>
      <c r="J1301" s="64"/>
      <c r="L1301" s="63"/>
    </row>
    <row r="1302" spans="1:12" ht="19.899999999999999" customHeight="1">
      <c r="A1302" s="203"/>
      <c r="B1302" s="204"/>
      <c r="C1302" s="204"/>
      <c r="D1302" s="91"/>
      <c r="E1302" s="64"/>
      <c r="F1302" s="64"/>
      <c r="G1302" s="64"/>
      <c r="H1302" s="64"/>
      <c r="I1302" s="64"/>
      <c r="J1302" s="64"/>
      <c r="L1302" s="63"/>
    </row>
    <row r="1303" spans="1:12" ht="19.899999999999999" customHeight="1">
      <c r="A1303" s="203"/>
      <c r="B1303" s="204"/>
      <c r="C1303" s="204"/>
      <c r="D1303" s="91"/>
      <c r="E1303" s="64"/>
      <c r="F1303" s="64"/>
      <c r="G1303" s="64"/>
      <c r="H1303" s="64"/>
      <c r="I1303" s="64"/>
      <c r="J1303" s="64"/>
      <c r="L1303" s="63"/>
    </row>
    <row r="1304" spans="1:12" ht="19.899999999999999" customHeight="1">
      <c r="A1304" s="203"/>
      <c r="B1304" s="204"/>
      <c r="C1304" s="204"/>
      <c r="D1304" s="91"/>
      <c r="E1304" s="64"/>
      <c r="F1304" s="64"/>
      <c r="G1304" s="64"/>
      <c r="H1304" s="64"/>
      <c r="I1304" s="64"/>
      <c r="J1304" s="64"/>
      <c r="L1304" s="63"/>
    </row>
    <row r="1305" spans="1:12" ht="19.899999999999999" customHeight="1">
      <c r="A1305" s="203"/>
      <c r="B1305" s="204"/>
      <c r="C1305" s="204"/>
      <c r="D1305" s="91"/>
      <c r="E1305" s="64"/>
      <c r="F1305" s="64"/>
      <c r="G1305" s="64"/>
      <c r="H1305" s="64"/>
      <c r="I1305" s="64"/>
      <c r="J1305" s="64"/>
      <c r="L1305" s="63"/>
    </row>
    <row r="1306" spans="1:12" ht="19.899999999999999" customHeight="1">
      <c r="A1306" s="62"/>
      <c r="B1306" s="139"/>
      <c r="C1306" s="139"/>
      <c r="D1306" s="91"/>
      <c r="E1306" s="64"/>
      <c r="F1306" s="64"/>
      <c r="G1306" s="64"/>
      <c r="H1306" s="64"/>
      <c r="I1306" s="64"/>
      <c r="J1306" s="64"/>
    </row>
    <row r="1307" spans="1:12" ht="19.899999999999999" customHeight="1">
      <c r="A1307" s="62"/>
      <c r="B1307" s="139"/>
      <c r="C1307" s="139"/>
      <c r="D1307" s="91"/>
      <c r="E1307" s="64"/>
      <c r="F1307" s="64"/>
      <c r="G1307" s="64"/>
      <c r="H1307" s="64"/>
      <c r="I1307" s="64"/>
      <c r="J1307" s="64"/>
    </row>
    <row r="1308" spans="1:12" ht="19.899999999999999" customHeight="1">
      <c r="A1308" s="139"/>
      <c r="B1308" s="139"/>
      <c r="C1308" s="139"/>
      <c r="D1308" s="91"/>
      <c r="E1308" s="64"/>
      <c r="F1308" s="64"/>
      <c r="G1308" s="64"/>
      <c r="H1308" s="64"/>
      <c r="I1308" s="64"/>
      <c r="J1308" s="64"/>
      <c r="K1308" s="139"/>
      <c r="L1308" s="63"/>
    </row>
    <row r="1309" spans="1:12" ht="19.899999999999999" customHeight="1">
      <c r="A1309" s="139"/>
      <c r="B1309" s="139"/>
      <c r="C1309" s="139"/>
      <c r="D1309" s="91"/>
      <c r="E1309" s="64"/>
      <c r="F1309" s="64"/>
      <c r="G1309" s="64"/>
      <c r="H1309" s="64"/>
      <c r="I1309" s="64"/>
      <c r="J1309" s="64"/>
      <c r="K1309" s="139"/>
      <c r="L1309" s="63"/>
    </row>
    <row r="1310" spans="1:12" ht="19.899999999999999" customHeight="1">
      <c r="A1310" s="63"/>
      <c r="J1310" s="64"/>
      <c r="K1310" s="63"/>
      <c r="L1310" s="63"/>
    </row>
    <row r="1311" spans="1:12" ht="19.899999999999999" customHeight="1">
      <c r="A1311" s="63"/>
      <c r="J1311" s="64"/>
      <c r="K1311" s="63"/>
      <c r="L1311" s="63"/>
    </row>
    <row r="1312" spans="1:12" ht="19.899999999999999" customHeight="1">
      <c r="A1312" s="63"/>
      <c r="J1312" s="64"/>
      <c r="K1312" s="63"/>
      <c r="L1312" s="63"/>
    </row>
    <row r="1313" spans="1:12" ht="19.899999999999999" customHeight="1">
      <c r="A1313" s="63"/>
      <c r="J1313" s="64"/>
      <c r="K1313" s="63"/>
      <c r="L1313" s="63"/>
    </row>
    <row r="1314" spans="1:12" ht="19.899999999999999" customHeight="1">
      <c r="A1314" s="63"/>
      <c r="J1314" s="64"/>
      <c r="K1314" s="63"/>
      <c r="L1314" s="63"/>
    </row>
    <row r="1315" spans="1:12" ht="19.899999999999999" customHeight="1">
      <c r="A1315" s="63"/>
      <c r="J1315" s="64"/>
      <c r="K1315" s="63"/>
      <c r="L1315" s="63"/>
    </row>
    <row r="1316" spans="1:12" ht="19.899999999999999" customHeight="1">
      <c r="A1316" s="63"/>
      <c r="J1316" s="64"/>
      <c r="K1316" s="63"/>
      <c r="L1316" s="63"/>
    </row>
    <row r="1317" spans="1:12" ht="19.899999999999999" customHeight="1">
      <c r="A1317" s="63"/>
      <c r="J1317" s="64"/>
      <c r="K1317" s="63"/>
      <c r="L1317" s="63"/>
    </row>
    <row r="1318" spans="1:12" ht="19.899999999999999" customHeight="1">
      <c r="A1318" s="63"/>
      <c r="J1318" s="64"/>
      <c r="K1318" s="63"/>
      <c r="L1318" s="63"/>
    </row>
    <row r="1319" spans="1:12" ht="19.899999999999999" customHeight="1">
      <c r="A1319" s="63"/>
      <c r="J1319" s="64"/>
      <c r="K1319" s="63"/>
      <c r="L1319" s="63"/>
    </row>
    <row r="1320" spans="1:12" ht="19.899999999999999" customHeight="1">
      <c r="A1320" s="63"/>
      <c r="J1320" s="64"/>
      <c r="K1320" s="63"/>
      <c r="L1320" s="63"/>
    </row>
    <row r="1321" spans="1:12" ht="19.899999999999999" customHeight="1">
      <c r="A1321" s="63"/>
      <c r="J1321" s="64"/>
      <c r="K1321" s="63"/>
      <c r="L1321" s="63"/>
    </row>
    <row r="1322" spans="1:12" ht="19.899999999999999" customHeight="1">
      <c r="A1322" s="63"/>
      <c r="J1322" s="64"/>
      <c r="K1322" s="63"/>
      <c r="L1322" s="63"/>
    </row>
    <row r="1323" spans="1:12" ht="19.899999999999999" customHeight="1">
      <c r="A1323" s="63"/>
      <c r="J1323" s="64"/>
      <c r="K1323" s="63"/>
      <c r="L1323" s="63"/>
    </row>
    <row r="1324" spans="1:12" ht="19.899999999999999" customHeight="1">
      <c r="A1324" s="63"/>
      <c r="J1324" s="64"/>
      <c r="K1324" s="63"/>
      <c r="L1324" s="63"/>
    </row>
    <row r="1325" spans="1:12" ht="19.899999999999999" customHeight="1">
      <c r="A1325" s="63"/>
      <c r="J1325" s="64"/>
      <c r="K1325" s="63"/>
      <c r="L1325" s="63"/>
    </row>
    <row r="1326" spans="1:12">
      <c r="A1326" s="63"/>
      <c r="J1326" s="64"/>
      <c r="K1326" s="63"/>
      <c r="L1326" s="63"/>
    </row>
    <row r="1327" spans="1:12">
      <c r="A1327" s="63"/>
      <c r="J1327" s="64"/>
      <c r="K1327" s="63"/>
      <c r="L1327" s="63"/>
    </row>
    <row r="1328" spans="1:12">
      <c r="A1328" s="63"/>
      <c r="J1328" s="64"/>
      <c r="K1328" s="63"/>
      <c r="L1328" s="63"/>
    </row>
    <row r="1329" spans="1:12">
      <c r="A1329" s="63"/>
      <c r="J1329" s="64"/>
      <c r="K1329" s="63"/>
      <c r="L1329" s="63"/>
    </row>
  </sheetData>
  <mergeCells count="11">
    <mergeCell ref="A4:A5"/>
    <mergeCell ref="B4:B5"/>
    <mergeCell ref="A2:K2"/>
    <mergeCell ref="A3:K3"/>
    <mergeCell ref="A1:K1"/>
    <mergeCell ref="J4:J5"/>
    <mergeCell ref="E4:G4"/>
    <mergeCell ref="I4:I5"/>
    <mergeCell ref="D4:D5"/>
    <mergeCell ref="H4:H5"/>
    <mergeCell ref="K4:K5"/>
  </mergeCells>
  <phoneticPr fontId="7" type="noConversion"/>
  <printOptions horizontalCentered="1"/>
  <pageMargins left="0.5" right="0" top="0.75" bottom="0.5" header="0.5" footer="0.25"/>
  <pageSetup paperSize="9" orientation="portrait" horizontalDpi="300" verticalDpi="300" r:id="rId1"/>
  <headerFooter alignWithMargins="0">
    <oddFooter>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54D1-457F-4CA0-9408-BB14A7F3636D}">
  <dimension ref="A2:H44"/>
  <sheetViews>
    <sheetView zoomScale="150" zoomScaleNormal="150" workbookViewId="0">
      <selection activeCell="J35" sqref="J35"/>
    </sheetView>
  </sheetViews>
  <sheetFormatPr defaultRowHeight="12.5"/>
  <cols>
    <col min="1" max="1" width="4.54296875" bestFit="1" customWidth="1"/>
    <col min="2" max="2" width="26" bestFit="1" customWidth="1"/>
    <col min="3" max="3" width="13.453125" bestFit="1" customWidth="1"/>
    <col min="4" max="4" width="4.81640625" bestFit="1" customWidth="1"/>
    <col min="5" max="5" width="8" bestFit="1" customWidth="1"/>
    <col min="6" max="7" width="6.1796875" bestFit="1" customWidth="1"/>
    <col min="8" max="8" width="8" bestFit="1" customWidth="1"/>
  </cols>
  <sheetData>
    <row r="2" spans="1:8" ht="13">
      <c r="A2" s="504" t="s">
        <v>0</v>
      </c>
      <c r="B2" s="504" t="s">
        <v>1</v>
      </c>
      <c r="C2" s="504" t="s">
        <v>417</v>
      </c>
      <c r="D2" s="504" t="s">
        <v>16</v>
      </c>
      <c r="E2" s="349" t="s">
        <v>8</v>
      </c>
      <c r="F2" s="349" t="s">
        <v>11</v>
      </c>
      <c r="G2" s="349" t="s">
        <v>418</v>
      </c>
      <c r="H2" s="349" t="s">
        <v>419</v>
      </c>
    </row>
    <row r="3" spans="1:8" ht="13">
      <c r="A3" s="505"/>
      <c r="B3" s="505"/>
      <c r="C3" s="505"/>
      <c r="D3" s="505"/>
      <c r="E3" s="349" t="s">
        <v>9</v>
      </c>
      <c r="F3" s="350" t="s">
        <v>2</v>
      </c>
      <c r="G3" s="349" t="s">
        <v>10</v>
      </c>
      <c r="H3" s="349" t="s">
        <v>10</v>
      </c>
    </row>
    <row r="4" spans="1:8">
      <c r="A4" s="340"/>
      <c r="B4" s="340" t="s">
        <v>411</v>
      </c>
      <c r="C4" s="341">
        <f>Detail!J33/100</f>
        <v>7.01</v>
      </c>
      <c r="D4" s="340" t="s">
        <v>7</v>
      </c>
      <c r="E4" s="342">
        <f>ROUND(C4*12.5,0)</f>
        <v>88</v>
      </c>
      <c r="F4" s="343"/>
      <c r="G4" s="340">
        <f>ROUND(C4*0.48,2)</f>
        <v>3.36</v>
      </c>
      <c r="H4" s="340">
        <f>ROUND(C4*0.96,2)</f>
        <v>6.73</v>
      </c>
    </row>
    <row r="5" spans="1:8">
      <c r="A5" s="340"/>
      <c r="B5" s="340" t="s">
        <v>412</v>
      </c>
      <c r="C5" s="341">
        <f>Detail!J140</f>
        <v>9.84</v>
      </c>
      <c r="D5" s="340" t="s">
        <v>7</v>
      </c>
      <c r="E5" s="342">
        <f>ROUND(C5*18,0)</f>
        <v>177</v>
      </c>
      <c r="F5" s="343"/>
      <c r="G5" s="340">
        <f>ROUND(C5*0.46,2)</f>
        <v>4.53</v>
      </c>
      <c r="H5" s="340">
        <f>ROUND(C5*0.92,2)</f>
        <v>9.0500000000000007</v>
      </c>
    </row>
    <row r="6" spans="1:8">
      <c r="A6" s="340"/>
      <c r="B6" s="340" t="s">
        <v>413</v>
      </c>
      <c r="C6" s="341">
        <f>Detail!J193/100</f>
        <v>1.32</v>
      </c>
      <c r="D6" s="340" t="s">
        <v>7</v>
      </c>
      <c r="E6" s="342">
        <f>ROUND(C6*18,0)</f>
        <v>24</v>
      </c>
      <c r="F6" s="343"/>
      <c r="G6" s="340">
        <f>ROUND(C6*0.46,2)</f>
        <v>0.61</v>
      </c>
      <c r="H6" s="340">
        <f>ROUND(C6*0.92,2)</f>
        <v>1.21</v>
      </c>
    </row>
    <row r="7" spans="1:8">
      <c r="A7" s="340"/>
      <c r="B7" s="340" t="s">
        <v>414</v>
      </c>
      <c r="C7" s="341">
        <f>Detail!J47/100</f>
        <v>2.2400000000000002</v>
      </c>
      <c r="D7" s="340" t="s">
        <v>7</v>
      </c>
      <c r="E7" s="342">
        <f>ROUND(C7*12.5,0)</f>
        <v>28</v>
      </c>
      <c r="F7" s="343"/>
      <c r="G7" s="340">
        <f>ROUND(C7*0.48,2)</f>
        <v>1.08</v>
      </c>
      <c r="H7" s="340">
        <f>ROUND(C7*0.96,2)</f>
        <v>2.15</v>
      </c>
    </row>
    <row r="8" spans="1:8">
      <c r="A8" s="340"/>
      <c r="B8" s="340" t="s">
        <v>415</v>
      </c>
      <c r="C8" s="341">
        <f>Detail!J116/100</f>
        <v>9.34</v>
      </c>
      <c r="D8" s="340" t="s">
        <v>7</v>
      </c>
      <c r="E8" s="342">
        <f>ROUND(C8*630/112,0)</f>
        <v>53</v>
      </c>
      <c r="F8" s="343">
        <f>ROUND(C8*1300,0)</f>
        <v>12142</v>
      </c>
      <c r="G8" s="340">
        <f>ROUND(C8*0.26,2)</f>
        <v>2.4300000000000002</v>
      </c>
      <c r="H8" s="340"/>
    </row>
    <row r="9" spans="1:8">
      <c r="A9" s="340"/>
      <c r="B9" s="340" t="s">
        <v>416</v>
      </c>
      <c r="C9" s="341">
        <f>Detail!J304/100</f>
        <v>3.04</v>
      </c>
      <c r="D9" s="340" t="s">
        <v>7</v>
      </c>
      <c r="E9" s="342">
        <f>ROUND(C9*18,0)</f>
        <v>55</v>
      </c>
      <c r="F9" s="343"/>
      <c r="G9" s="340">
        <f>ROUND(C9*0.46,2)</f>
        <v>1.4</v>
      </c>
      <c r="H9" s="340">
        <f>ROUND(C9*0.92,2)</f>
        <v>2.8</v>
      </c>
    </row>
    <row r="10" spans="1:8">
      <c r="A10" s="340"/>
      <c r="B10" s="340" t="s">
        <v>420</v>
      </c>
      <c r="C10" s="341">
        <f>Detail!J50/100</f>
        <v>0.3</v>
      </c>
      <c r="D10" s="340" t="s">
        <v>7</v>
      </c>
      <c r="E10" s="342">
        <f>ROUND(C10*12.5,0)</f>
        <v>4</v>
      </c>
      <c r="F10" s="343"/>
      <c r="G10" s="340">
        <f>ROUND(C10*0.48,2)</f>
        <v>0.14000000000000001</v>
      </c>
      <c r="H10" s="340">
        <f>ROUND(C10*0.96,2)</f>
        <v>0.28999999999999998</v>
      </c>
    </row>
    <row r="11" spans="1:8">
      <c r="A11" s="340"/>
      <c r="B11" s="340" t="s">
        <v>421</v>
      </c>
      <c r="C11" s="341">
        <f>Detail!J126/100</f>
        <v>1.19</v>
      </c>
      <c r="D11" s="340" t="s">
        <v>7</v>
      </c>
      <c r="E11" s="342">
        <f>ROUND(C11*630/112,0)</f>
        <v>7</v>
      </c>
      <c r="F11" s="343">
        <f>ROUND(C11*1300,0)</f>
        <v>1547</v>
      </c>
      <c r="G11" s="340">
        <f>ROUND(C11*0.26,2)</f>
        <v>0.31</v>
      </c>
      <c r="H11" s="340"/>
    </row>
    <row r="12" spans="1:8" ht="13">
      <c r="A12" s="345"/>
      <c r="B12" s="345" t="s">
        <v>433</v>
      </c>
      <c r="C12" s="345"/>
      <c r="D12" s="345"/>
      <c r="E12" s="345">
        <f>SUM(E4:E11)</f>
        <v>436</v>
      </c>
      <c r="F12" s="348">
        <f>SUM(F4:F11)</f>
        <v>13689</v>
      </c>
      <c r="G12" s="345">
        <f>SUM(G4:G11)</f>
        <v>13.86</v>
      </c>
      <c r="H12" s="345">
        <f>SUM(H4:H11)</f>
        <v>22.23</v>
      </c>
    </row>
    <row r="13" spans="1:8">
      <c r="A13" s="340"/>
      <c r="B13" s="340"/>
      <c r="C13" s="340"/>
      <c r="D13" s="340"/>
      <c r="E13" s="340"/>
      <c r="F13" s="340"/>
      <c r="G13" s="340"/>
      <c r="H13" s="340"/>
    </row>
    <row r="14" spans="1:8" ht="13">
      <c r="A14" s="345"/>
      <c r="B14" s="345" t="s">
        <v>422</v>
      </c>
      <c r="C14" s="347">
        <f>Detail!J198/100</f>
        <v>1.77</v>
      </c>
      <c r="D14" s="345" t="s">
        <v>7</v>
      </c>
      <c r="E14" s="346">
        <f>ROUND(C14*18,0)</f>
        <v>32</v>
      </c>
      <c r="F14" s="348"/>
      <c r="G14" s="345">
        <f>ROUND(C14*0.46,2)</f>
        <v>0.81</v>
      </c>
      <c r="H14" s="345">
        <f>ROUND(C14*0.92,2)</f>
        <v>1.63</v>
      </c>
    </row>
    <row r="15" spans="1:8">
      <c r="A15" s="340"/>
      <c r="B15" s="340"/>
      <c r="C15" s="341"/>
      <c r="D15" s="340"/>
      <c r="E15" s="340"/>
      <c r="F15" s="340"/>
      <c r="G15" s="340"/>
      <c r="H15" s="340"/>
    </row>
    <row r="16" spans="1:8">
      <c r="A16" s="340"/>
      <c r="B16" s="340" t="s">
        <v>160</v>
      </c>
      <c r="C16" s="341">
        <f>Detail!J317/100</f>
        <v>3.59</v>
      </c>
      <c r="D16" s="340" t="s">
        <v>7</v>
      </c>
      <c r="E16" s="342">
        <f>ROUND(C16*18,0)</f>
        <v>65</v>
      </c>
      <c r="F16" s="343"/>
      <c r="G16" s="340">
        <f>ROUND(C16*0.46,2)</f>
        <v>1.65</v>
      </c>
      <c r="H16" s="340">
        <f>ROUND(C16*0.92,2)</f>
        <v>3.3</v>
      </c>
    </row>
    <row r="17" spans="1:8">
      <c r="A17" s="340"/>
      <c r="B17" s="340" t="s">
        <v>423</v>
      </c>
      <c r="C17" s="341">
        <f>Detail!J679/100</f>
        <v>2.96</v>
      </c>
      <c r="D17" s="340" t="s">
        <v>7</v>
      </c>
      <c r="E17" s="342">
        <f>ROUND(C17*18,0)</f>
        <v>53</v>
      </c>
      <c r="F17" s="343"/>
      <c r="G17" s="340">
        <f>ROUND(C17*0.46,2)</f>
        <v>1.36</v>
      </c>
      <c r="H17" s="340">
        <f>ROUND(C17*0.92,2)</f>
        <v>2.72</v>
      </c>
    </row>
    <row r="18" spans="1:8">
      <c r="A18" s="340"/>
      <c r="B18" s="340" t="s">
        <v>424</v>
      </c>
      <c r="C18" s="341">
        <f>Detail!J894/2</f>
        <v>1.1499999999999999</v>
      </c>
      <c r="D18" s="340" t="s">
        <v>7</v>
      </c>
      <c r="E18" s="342">
        <f>ROUND(C18*18,0)</f>
        <v>21</v>
      </c>
      <c r="F18" s="343"/>
      <c r="G18" s="340">
        <f>ROUND(C18*0.46,2)</f>
        <v>0.53</v>
      </c>
      <c r="H18" s="340">
        <f>ROUND(C18*0.92,2)</f>
        <v>1.06</v>
      </c>
    </row>
    <row r="19" spans="1:8" ht="13">
      <c r="A19" s="344"/>
      <c r="B19" s="345" t="s">
        <v>434</v>
      </c>
      <c r="C19" s="347">
        <f>SUM(C16:C18)</f>
        <v>7.7</v>
      </c>
      <c r="D19" s="345" t="s">
        <v>7</v>
      </c>
      <c r="E19" s="346">
        <f>SUM(E16:E18)</f>
        <v>139</v>
      </c>
      <c r="F19" s="345"/>
      <c r="G19" s="346">
        <f>SUM(G16:G18)</f>
        <v>4</v>
      </c>
      <c r="H19" s="346">
        <f>SUM(H16:H18)</f>
        <v>7</v>
      </c>
    </row>
    <row r="20" spans="1:8">
      <c r="A20" s="340"/>
      <c r="B20" s="340"/>
      <c r="C20" s="340"/>
      <c r="D20" s="340"/>
      <c r="E20" s="340"/>
      <c r="F20" s="340"/>
      <c r="G20" s="340"/>
      <c r="H20" s="340"/>
    </row>
    <row r="21" spans="1:8" ht="13">
      <c r="A21" s="345"/>
      <c r="B21" s="345" t="s">
        <v>425</v>
      </c>
      <c r="C21" s="347">
        <f>Detail!J203/100</f>
        <v>1.62</v>
      </c>
      <c r="D21" s="345" t="s">
        <v>7</v>
      </c>
      <c r="E21" s="346">
        <f>ROUND(C21*18,0)</f>
        <v>29</v>
      </c>
      <c r="F21" s="348"/>
      <c r="G21" s="345">
        <f>ROUND(C21*0.46,2)</f>
        <v>0.75</v>
      </c>
      <c r="H21" s="345">
        <f>ROUND(C21*0.92,2)</f>
        <v>1.49</v>
      </c>
    </row>
    <row r="22" spans="1:8">
      <c r="A22" s="340"/>
      <c r="B22" s="340"/>
      <c r="C22" s="341"/>
      <c r="D22" s="340"/>
      <c r="E22" s="340"/>
      <c r="F22" s="340"/>
      <c r="G22" s="340"/>
      <c r="H22" s="340"/>
    </row>
    <row r="23" spans="1:8">
      <c r="A23" s="340"/>
      <c r="B23" s="340" t="s">
        <v>346</v>
      </c>
      <c r="C23" s="341">
        <f>Detail!J331/100</f>
        <v>3.62</v>
      </c>
      <c r="D23" s="340" t="s">
        <v>7</v>
      </c>
      <c r="E23" s="342">
        <f>ROUND(C23*18,0)</f>
        <v>65</v>
      </c>
      <c r="F23" s="343"/>
      <c r="G23" s="340">
        <f>ROUND(C23*0.46,2)</f>
        <v>1.67</v>
      </c>
      <c r="H23" s="340">
        <f>ROUND(C23*0.92,2)</f>
        <v>3.33</v>
      </c>
    </row>
    <row r="24" spans="1:8">
      <c r="A24" s="340"/>
      <c r="B24" s="340" t="s">
        <v>372</v>
      </c>
      <c r="C24" s="341">
        <f>Detail!J689/100</f>
        <v>2.95</v>
      </c>
      <c r="D24" s="340" t="s">
        <v>7</v>
      </c>
      <c r="E24" s="342">
        <f>ROUND(C24*18,0)</f>
        <v>53</v>
      </c>
      <c r="F24" s="343"/>
      <c r="G24" s="340">
        <f>ROUND(C24*0.46,2)</f>
        <v>1.36</v>
      </c>
      <c r="H24" s="340">
        <f>ROUND(C24*0.92,2)</f>
        <v>2.71</v>
      </c>
    </row>
    <row r="25" spans="1:8">
      <c r="A25" s="340"/>
      <c r="B25" s="340" t="s">
        <v>426</v>
      </c>
      <c r="C25" s="341">
        <f>C18</f>
        <v>1.1499999999999999</v>
      </c>
      <c r="D25" s="340" t="s">
        <v>7</v>
      </c>
      <c r="E25" s="342">
        <f>ROUND(C25*18,0)</f>
        <v>21</v>
      </c>
      <c r="F25" s="343"/>
      <c r="G25" s="340">
        <f>ROUND(C25*0.46,2)</f>
        <v>0.53</v>
      </c>
      <c r="H25" s="340">
        <f>ROUND(C25*0.92,2)</f>
        <v>1.06</v>
      </c>
    </row>
    <row r="26" spans="1:8" ht="13">
      <c r="A26" s="345"/>
      <c r="B26" s="345" t="s">
        <v>435</v>
      </c>
      <c r="C26" s="347">
        <f>SUM(C23:C25)</f>
        <v>7.72</v>
      </c>
      <c r="D26" s="345" t="s">
        <v>7</v>
      </c>
      <c r="E26" s="346">
        <f>SUM(E23:E25)</f>
        <v>139</v>
      </c>
      <c r="F26" s="348"/>
      <c r="G26" s="346">
        <f>SUM(G23:G25)</f>
        <v>4</v>
      </c>
      <c r="H26" s="346">
        <f>SUM(H23:H25)</f>
        <v>7</v>
      </c>
    </row>
    <row r="27" spans="1:8">
      <c r="A27" s="340"/>
      <c r="B27" s="340"/>
      <c r="C27" s="340"/>
      <c r="D27" s="340"/>
      <c r="E27" s="340"/>
      <c r="F27" s="340"/>
      <c r="G27" s="340"/>
      <c r="H27" s="340"/>
    </row>
    <row r="28" spans="1:8" ht="13">
      <c r="A28" s="345"/>
      <c r="B28" s="345" t="s">
        <v>427</v>
      </c>
      <c r="C28" s="347">
        <f>Detail!J206/100</f>
        <v>1.18</v>
      </c>
      <c r="D28" s="345" t="s">
        <v>7</v>
      </c>
      <c r="E28" s="346">
        <f>ROUND(C28*18,0)</f>
        <v>21</v>
      </c>
      <c r="F28" s="348"/>
      <c r="G28" s="345">
        <f>ROUND(C28*0.46,2)</f>
        <v>0.54</v>
      </c>
      <c r="H28" s="345">
        <f>ROUND(C28*0.92,2)</f>
        <v>1.0900000000000001</v>
      </c>
    </row>
    <row r="29" spans="1:8">
      <c r="A29" s="340"/>
      <c r="B29" s="340"/>
      <c r="C29" s="341"/>
      <c r="D29" s="340"/>
      <c r="E29" s="340"/>
      <c r="F29" s="340"/>
      <c r="G29" s="340"/>
      <c r="H29" s="340"/>
    </row>
    <row r="30" spans="1:8">
      <c r="A30" s="340"/>
      <c r="B30" s="340" t="s">
        <v>117</v>
      </c>
      <c r="C30" s="341">
        <f>Detail!J347/100</f>
        <v>2.89</v>
      </c>
      <c r="D30" s="340" t="s">
        <v>7</v>
      </c>
      <c r="E30" s="342">
        <f>ROUND(C30*18,0)</f>
        <v>52</v>
      </c>
      <c r="F30" s="343"/>
      <c r="G30" s="340">
        <f>ROUND(C30*0.46,2)</f>
        <v>1.33</v>
      </c>
      <c r="H30" s="340">
        <f>ROUND(C30*0.92,2)</f>
        <v>2.66</v>
      </c>
    </row>
    <row r="31" spans="1:8">
      <c r="A31" s="340"/>
      <c r="B31" s="340" t="s">
        <v>174</v>
      </c>
      <c r="C31" s="341">
        <f>Detail!J697/100</f>
        <v>2.5299999999999998</v>
      </c>
      <c r="D31" s="340" t="s">
        <v>7</v>
      </c>
      <c r="E31" s="342">
        <f>ROUND(C31*18,0)</f>
        <v>46</v>
      </c>
      <c r="F31" s="343"/>
      <c r="G31" s="340">
        <f>ROUND(C31*0.46,2)</f>
        <v>1.1599999999999999</v>
      </c>
      <c r="H31" s="340">
        <f>ROUND(C31*0.92,2)</f>
        <v>2.33</v>
      </c>
    </row>
    <row r="32" spans="1:8" ht="13">
      <c r="A32" s="345"/>
      <c r="B32" s="345" t="s">
        <v>436</v>
      </c>
      <c r="C32" s="347">
        <f>SUM(C30:C31)</f>
        <v>5.42</v>
      </c>
      <c r="D32" s="345" t="s">
        <v>7</v>
      </c>
      <c r="E32" s="346">
        <f>SUM(E30:E31)</f>
        <v>98</v>
      </c>
      <c r="F32" s="345"/>
      <c r="G32" s="346">
        <f>SUM(G30:G31)</f>
        <v>2</v>
      </c>
      <c r="H32" s="346">
        <f>SUM(H30:H31)</f>
        <v>5</v>
      </c>
    </row>
    <row r="33" spans="1:8">
      <c r="A33" s="340"/>
      <c r="B33" s="340"/>
      <c r="C33" s="340"/>
      <c r="D33" s="340"/>
      <c r="E33" s="340"/>
      <c r="F33" s="340"/>
      <c r="G33" s="340"/>
      <c r="H33" s="340"/>
    </row>
    <row r="34" spans="1:8">
      <c r="A34" s="340"/>
      <c r="B34" s="340" t="s">
        <v>428</v>
      </c>
      <c r="C34" s="341">
        <f>(Detail!J947+Detail!J1013)/100</f>
        <v>18.88</v>
      </c>
      <c r="D34" s="340" t="s">
        <v>12</v>
      </c>
      <c r="E34" s="342">
        <f>ROUND(C34*2.65,0)</f>
        <v>50</v>
      </c>
      <c r="F34" s="340"/>
      <c r="G34" s="340"/>
      <c r="H34" s="340"/>
    </row>
    <row r="35" spans="1:8">
      <c r="A35" s="340"/>
      <c r="B35" s="340" t="s">
        <v>429</v>
      </c>
      <c r="C35" s="341">
        <f>(Detail!J966+Detail!J1030)/100</f>
        <v>16.61</v>
      </c>
      <c r="D35" s="340" t="s">
        <v>12</v>
      </c>
      <c r="E35" s="340"/>
      <c r="F35" s="340"/>
      <c r="G35" s="340"/>
      <c r="H35" s="340"/>
    </row>
    <row r="36" spans="1:8">
      <c r="A36" s="340"/>
      <c r="B36" s="340" t="s">
        <v>430</v>
      </c>
      <c r="C36" s="341">
        <f>(Detail!J985+Detail!J1040)/100</f>
        <v>10.79</v>
      </c>
      <c r="D36" s="340" t="s">
        <v>12</v>
      </c>
      <c r="E36" s="340"/>
      <c r="F36" s="340"/>
      <c r="G36" s="340"/>
      <c r="H36" s="340"/>
    </row>
    <row r="37" spans="1:8">
      <c r="A37" s="340"/>
      <c r="B37" s="340" t="s">
        <v>431</v>
      </c>
      <c r="C37" s="341">
        <f>(Detail!J991+Detail!J1046)/100</f>
        <v>3.93</v>
      </c>
      <c r="D37" s="340" t="s">
        <v>12</v>
      </c>
      <c r="E37" s="340"/>
      <c r="F37" s="340"/>
      <c r="G37" s="340"/>
      <c r="H37" s="340"/>
    </row>
    <row r="38" spans="1:8">
      <c r="A38" s="340"/>
      <c r="B38" s="340"/>
      <c r="C38" s="340"/>
      <c r="D38" s="340"/>
      <c r="E38" s="340"/>
      <c r="F38" s="340"/>
      <c r="G38" s="340"/>
      <c r="H38" s="340"/>
    </row>
    <row r="39" spans="1:8">
      <c r="A39" s="340"/>
      <c r="B39" s="340" t="s">
        <v>432</v>
      </c>
      <c r="C39" s="341">
        <f>Detail!J1078</f>
        <v>1.98</v>
      </c>
      <c r="D39" s="340" t="s">
        <v>7</v>
      </c>
      <c r="E39" s="340"/>
      <c r="F39" s="340"/>
      <c r="G39" s="340"/>
      <c r="H39" s="340"/>
    </row>
    <row r="40" spans="1:8">
      <c r="A40" s="340"/>
      <c r="B40" s="340"/>
      <c r="C40" s="340"/>
      <c r="D40" s="340"/>
      <c r="E40" s="340"/>
      <c r="F40" s="340"/>
      <c r="G40" s="340"/>
      <c r="H40" s="340"/>
    </row>
    <row r="41" spans="1:8">
      <c r="A41" s="340"/>
      <c r="B41" s="340"/>
      <c r="C41" s="340"/>
      <c r="D41" s="340"/>
      <c r="E41" s="340"/>
      <c r="F41" s="340"/>
      <c r="G41" s="340"/>
      <c r="H41" s="340"/>
    </row>
    <row r="42" spans="1:8">
      <c r="A42" s="340"/>
      <c r="B42" s="340"/>
      <c r="C42" s="340"/>
      <c r="D42" s="340"/>
      <c r="E42" s="340"/>
      <c r="F42" s="340"/>
      <c r="G42" s="340"/>
      <c r="H42" s="340"/>
    </row>
    <row r="43" spans="1:8">
      <c r="A43" s="340"/>
      <c r="B43" s="340"/>
      <c r="C43" s="340"/>
      <c r="D43" s="340"/>
      <c r="E43" s="340"/>
      <c r="F43" s="340"/>
      <c r="G43" s="340"/>
      <c r="H43" s="340"/>
    </row>
    <row r="44" spans="1:8">
      <c r="A44" s="340"/>
      <c r="B44" s="340"/>
      <c r="C44" s="340"/>
      <c r="D44" s="340"/>
      <c r="E44" s="340"/>
      <c r="F44" s="340"/>
      <c r="G44" s="340"/>
      <c r="H44" s="340"/>
    </row>
  </sheetData>
  <mergeCells count="4">
    <mergeCell ref="B2:B3"/>
    <mergeCell ref="A2:A3"/>
    <mergeCell ref="C2:C3"/>
    <mergeCell ref="D2:D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Rate</vt:lpstr>
      <vt:lpstr>Floor Area</vt:lpstr>
      <vt:lpstr>SUM</vt:lpstr>
      <vt:lpstr>Summary</vt:lpstr>
      <vt:lpstr>BQ-YB</vt:lpstr>
      <vt:lpstr>AC</vt:lpstr>
      <vt:lpstr>BE</vt:lpstr>
      <vt:lpstr>Detail</vt:lpstr>
      <vt:lpstr>Cement</vt:lpstr>
      <vt:lpstr>AC!Print_Titles</vt:lpstr>
      <vt:lpstr>BE!Print_Titles</vt:lpstr>
      <vt:lpstr>'BQ-YB'!Print_Titles</vt:lpstr>
      <vt:lpstr>Detail!Print_Titles</vt:lpstr>
    </vt:vector>
  </TitlesOfParts>
  <Company>Decent CompuTronics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 Kyaw Thu</dc:creator>
  <cp:lastModifiedBy>Nay Chi Nway</cp:lastModifiedBy>
  <cp:lastPrinted>2026-04-24T11:06:45Z</cp:lastPrinted>
  <dcterms:created xsi:type="dcterms:W3CDTF">2002-10-26T05:08:08Z</dcterms:created>
  <dcterms:modified xsi:type="dcterms:W3CDTF">2026-06-24T10:17:38Z</dcterms:modified>
</cp:coreProperties>
</file>
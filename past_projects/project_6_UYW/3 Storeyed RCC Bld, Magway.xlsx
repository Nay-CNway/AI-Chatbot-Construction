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F:\1. Creative Paradise-1.12.25\Ko Kaung\Two &amp; Half Storeyed\"/>
    </mc:Choice>
  </mc:AlternateContent>
  <xr:revisionPtr revIDLastSave="0" documentId="13_ncr:1_{FAF4320B-F23D-4717-8B2D-CC388512D359}" xr6:coauthVersionLast="47" xr6:coauthVersionMax="47" xr10:uidLastSave="{00000000-0000-0000-0000-000000000000}"/>
  <bookViews>
    <workbookView xWindow="-108" yWindow="-108" windowWidth="23256" windowHeight="12456" tabRatio="851" activeTab="6" xr2:uid="{00000000-000D-0000-FFFF-FFFF00000000}"/>
  </bookViews>
  <sheets>
    <sheet name="Summary Of Cost" sheetId="15" r:id="rId1"/>
    <sheet name="Summary (Civil)" sheetId="23" r:id="rId2"/>
    <sheet name="Abstract of Cost" sheetId="13" r:id="rId3"/>
    <sheet name="BQ" sheetId="37" r:id="rId4"/>
    <sheet name="Bill of Quantity" sheetId="12" state="hidden" r:id="rId5"/>
    <sheet name="Builder Estimate" sheetId="11" r:id="rId6"/>
    <sheet name="Details of Measurement" sheetId="1" r:id="rId7"/>
    <sheet name="Price " sheetId="21" r:id="rId8"/>
    <sheet name="Summary(Apron)" sheetId="31" state="hidden" r:id="rId9"/>
    <sheet name="AC-Apron &amp; Drain" sheetId="30" state="hidden" r:id="rId10"/>
    <sheet name="BQ-Apron &amp; Drain" sheetId="29" state="hidden" r:id="rId11"/>
    <sheet name="BE-Apron &amp; Drain" sheetId="28" state="hidden" r:id="rId12"/>
    <sheet name="Measurement-Apron &amp; Drain" sheetId="27" state="hidden" r:id="rId13"/>
    <sheet name="Summary(Septic Tank)" sheetId="36" state="hidden" r:id="rId14"/>
    <sheet name="AC-Septic Tank" sheetId="35" state="hidden" r:id="rId15"/>
    <sheet name="Bill of Quantity (Tank)" sheetId="34" state="hidden" r:id="rId16"/>
    <sheet name="BE-Septic Tank" sheetId="33" state="hidden" r:id="rId17"/>
    <sheet name="Measurement-Septic Tank" sheetId="32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definedNames>
    <definedName name="_1Excel_BuiltIn_Print_Area_2_1_1_1" localSheetId="9">#REF!</definedName>
    <definedName name="_1Excel_BuiltIn_Print_Area_2_1_1_1" localSheetId="14">#REF!</definedName>
    <definedName name="_1Excel_BuiltIn_Print_Area_2_1_1_1" localSheetId="11">#REF!</definedName>
    <definedName name="_1Excel_BuiltIn_Print_Area_2_1_1_1" localSheetId="16">#REF!</definedName>
    <definedName name="_1Excel_BuiltIn_Print_Area_2_1_1_1" localSheetId="15">#REF!</definedName>
    <definedName name="_1Excel_BuiltIn_Print_Area_2_1_1_1" localSheetId="10">#REF!</definedName>
    <definedName name="_1Excel_BuiltIn_Print_Area_2_1_1_1" localSheetId="12">#REF!</definedName>
    <definedName name="_1Excel_BuiltIn_Print_Area_2_1_1_1" localSheetId="17">#REF!</definedName>
    <definedName name="_1Excel_BuiltIn_Print_Area_2_1_1_1" localSheetId="1">#REF!</definedName>
    <definedName name="_1Excel_BuiltIn_Print_Area_2_1_1_1" localSheetId="13">#REF!</definedName>
    <definedName name="_1Excel_BuiltIn_Print_Area_2_1_1_1">#REF!</definedName>
    <definedName name="_2Excel_BuiltIn_Print_Titles_2_1_1_1">"$#REF!.$A$8:$IP$385"</definedName>
    <definedName name="_xlnm._FilterDatabase" localSheetId="2" hidden="1">'Abstract of Cost'!#REF!</definedName>
    <definedName name="_xlnm._FilterDatabase" localSheetId="4" hidden="1">'Bill of Quantity'!$B$1:$B$1752</definedName>
    <definedName name="_xlnm._FilterDatabase" localSheetId="15" hidden="1">'Bill of Quantity (Tank)'!#REF!</definedName>
    <definedName name="_xlnm._FilterDatabase" localSheetId="3" hidden="1">BQ!$B$1:$B$1741</definedName>
    <definedName name="_xlnm._FilterDatabase" localSheetId="5" hidden="1">'Builder Estimate'!$A$1:$H$1677</definedName>
    <definedName name="_xlnm._FilterDatabase" localSheetId="6" hidden="1">'Details of Measurement'!#REF!</definedName>
    <definedName name="_xlnm._FilterDatabase" localSheetId="12" hidden="1">'Measurement-Apron &amp; Drain'!$A$2:$O$42</definedName>
    <definedName name="_xlnm._FilterDatabase" localSheetId="17" hidden="1">'Measurement-Septic Tank'!$A$2:$O$67</definedName>
    <definedName name="add" localSheetId="14">#REF!</definedName>
    <definedName name="add" localSheetId="16">#REF!</definedName>
    <definedName name="add" localSheetId="15">#REF!</definedName>
    <definedName name="add" localSheetId="13">#REF!</definedName>
    <definedName name="add">#REF!</definedName>
    <definedName name="Excel_BuiltIn_Print_Area_10_1" localSheetId="9">#REF!</definedName>
    <definedName name="Excel_BuiltIn_Print_Area_10_1" localSheetId="14">#REF!</definedName>
    <definedName name="Excel_BuiltIn_Print_Area_10_1" localSheetId="11">#REF!</definedName>
    <definedName name="Excel_BuiltIn_Print_Area_10_1" localSheetId="16">#REF!</definedName>
    <definedName name="Excel_BuiltIn_Print_Area_10_1" localSheetId="15">#REF!</definedName>
    <definedName name="Excel_BuiltIn_Print_Area_10_1" localSheetId="10">#REF!</definedName>
    <definedName name="Excel_BuiltIn_Print_Area_10_1" localSheetId="12">#REF!</definedName>
    <definedName name="Excel_BuiltIn_Print_Area_10_1" localSheetId="17">#REF!</definedName>
    <definedName name="Excel_BuiltIn_Print_Area_10_1" localSheetId="1">#REF!</definedName>
    <definedName name="Excel_BuiltIn_Print_Area_10_1" localSheetId="8">#REF!</definedName>
    <definedName name="Excel_BuiltIn_Print_Area_10_1" localSheetId="13">#REF!</definedName>
    <definedName name="Excel_BuiltIn_Print_Area_10_1">#REF!</definedName>
    <definedName name="Excel_BuiltIn_Print_Area_10_1_1">"$#REF!.$A$8:$M$385"</definedName>
    <definedName name="Excel_BuiltIn_Print_Area_11_1" localSheetId="9">#REF!</definedName>
    <definedName name="Excel_BuiltIn_Print_Area_11_1" localSheetId="14">#REF!</definedName>
    <definedName name="Excel_BuiltIn_Print_Area_11_1" localSheetId="11">#REF!</definedName>
    <definedName name="Excel_BuiltIn_Print_Area_11_1" localSheetId="16">#REF!</definedName>
    <definedName name="Excel_BuiltIn_Print_Area_11_1" localSheetId="15">#REF!</definedName>
    <definedName name="Excel_BuiltIn_Print_Area_11_1" localSheetId="10">#REF!</definedName>
    <definedName name="Excel_BuiltIn_Print_Area_11_1" localSheetId="12">#REF!</definedName>
    <definedName name="Excel_BuiltIn_Print_Area_11_1" localSheetId="17">#REF!</definedName>
    <definedName name="Excel_BuiltIn_Print_Area_11_1" localSheetId="1">#REF!</definedName>
    <definedName name="Excel_BuiltIn_Print_Area_11_1" localSheetId="8">#REF!</definedName>
    <definedName name="Excel_BuiltIn_Print_Area_11_1" localSheetId="13">#REF!</definedName>
    <definedName name="Excel_BuiltIn_Print_Area_11_1">#REF!</definedName>
    <definedName name="Excel_BuiltIn_Print_Area_11_1_1">"$#REF!.$A$8:$M$385"</definedName>
    <definedName name="Excel_BuiltIn_Print_Area_12_1">"$#REF!.$A$8:$M$385"</definedName>
    <definedName name="Excel_BuiltIn_Print_Area_13_1">"$#REF!.$A$1:$I$32"</definedName>
    <definedName name="Excel_BuiltIn_Print_Area_13_1_1">"$#REF!.$A$8:$M$419"</definedName>
    <definedName name="Excel_BuiltIn_Print_Area_14_1">"$#REF!.$A$1:$T$32"</definedName>
    <definedName name="Excel_BuiltIn_Print_Area_14_1_1">"$#REF!.$A$8:$M$385"</definedName>
    <definedName name="Excel_BuiltIn_Print_Area_15">"$#REF!.$A$1:$U$53"</definedName>
    <definedName name="Excel_BuiltIn_Print_Area_15_1">"$#REF!.$A$8:$M$385"</definedName>
    <definedName name="Excel_BuiltIn_Print_Area_16">"$#REF!.$A$1:$I$30"</definedName>
    <definedName name="Excel_BuiltIn_Print_Area_17">"$#REF!.$A$8:$M$477"</definedName>
    <definedName name="Excel_BuiltIn_Print_Area_18">"$#REF!.$A$8:$M$385"</definedName>
    <definedName name="Excel_BuiltIn_Print_Area_19">"$#REF!.$A$8:$M$385"</definedName>
    <definedName name="Excel_BuiltIn_Print_Area_2_1" localSheetId="9">#REF!</definedName>
    <definedName name="Excel_BuiltIn_Print_Area_2_1" localSheetId="14">#REF!</definedName>
    <definedName name="Excel_BuiltIn_Print_Area_2_1" localSheetId="11">#REF!</definedName>
    <definedName name="Excel_BuiltIn_Print_Area_2_1" localSheetId="16">#REF!</definedName>
    <definedName name="Excel_BuiltIn_Print_Area_2_1" localSheetId="15">#REF!</definedName>
    <definedName name="Excel_BuiltIn_Print_Area_2_1" localSheetId="10">#REF!</definedName>
    <definedName name="Excel_BuiltIn_Print_Area_2_1" localSheetId="12">#REF!</definedName>
    <definedName name="Excel_BuiltIn_Print_Area_2_1" localSheetId="17">#REF!</definedName>
    <definedName name="Excel_BuiltIn_Print_Area_2_1" localSheetId="1">#REF!</definedName>
    <definedName name="Excel_BuiltIn_Print_Area_2_1" localSheetId="8">#REF!</definedName>
    <definedName name="Excel_BuiltIn_Print_Area_2_1" localSheetId="13">#REF!</definedName>
    <definedName name="Excel_BuiltIn_Print_Area_2_1">#REF!</definedName>
    <definedName name="Excel_BuiltIn_Print_Area_2_1_1_1" localSheetId="9">#REF!</definedName>
    <definedName name="Excel_BuiltIn_Print_Area_2_1_1_1" localSheetId="14">#REF!</definedName>
    <definedName name="Excel_BuiltIn_Print_Area_2_1_1_1" localSheetId="11">#REF!</definedName>
    <definedName name="Excel_BuiltIn_Print_Area_2_1_1_1" localSheetId="16">#REF!</definedName>
    <definedName name="Excel_BuiltIn_Print_Area_2_1_1_1" localSheetId="15">#REF!</definedName>
    <definedName name="Excel_BuiltIn_Print_Area_2_1_1_1" localSheetId="10">#REF!</definedName>
    <definedName name="Excel_BuiltIn_Print_Area_2_1_1_1" localSheetId="12">#REF!</definedName>
    <definedName name="Excel_BuiltIn_Print_Area_2_1_1_1" localSheetId="17">#REF!</definedName>
    <definedName name="Excel_BuiltIn_Print_Area_2_1_1_1" localSheetId="1">#REF!</definedName>
    <definedName name="Excel_BuiltIn_Print_Area_2_1_1_1" localSheetId="8">#REF!</definedName>
    <definedName name="Excel_BuiltIn_Print_Area_2_1_1_1" localSheetId="13">#REF!</definedName>
    <definedName name="Excel_BuiltIn_Print_Area_2_1_1_1">#REF!</definedName>
    <definedName name="Excel_BuiltIn_Print_Area_2_1_1_1_1" localSheetId="9">#REF!</definedName>
    <definedName name="Excel_BuiltIn_Print_Area_2_1_1_1_1" localSheetId="14">#REF!</definedName>
    <definedName name="Excel_BuiltIn_Print_Area_2_1_1_1_1" localSheetId="11">#REF!</definedName>
    <definedName name="Excel_BuiltIn_Print_Area_2_1_1_1_1" localSheetId="16">#REF!</definedName>
    <definedName name="Excel_BuiltIn_Print_Area_2_1_1_1_1" localSheetId="15">#REF!</definedName>
    <definedName name="Excel_BuiltIn_Print_Area_2_1_1_1_1" localSheetId="10">#REF!</definedName>
    <definedName name="Excel_BuiltIn_Print_Area_2_1_1_1_1" localSheetId="12">#REF!</definedName>
    <definedName name="Excel_BuiltIn_Print_Area_2_1_1_1_1" localSheetId="17">#REF!</definedName>
    <definedName name="Excel_BuiltIn_Print_Area_2_1_1_1_1" localSheetId="1">#REF!</definedName>
    <definedName name="Excel_BuiltIn_Print_Area_2_1_1_1_1" localSheetId="8">#REF!</definedName>
    <definedName name="Excel_BuiltIn_Print_Area_2_1_1_1_1" localSheetId="13">#REF!</definedName>
    <definedName name="Excel_BuiltIn_Print_Area_2_1_1_1_1">#REF!</definedName>
    <definedName name="Excel_BuiltIn_Print_Area_2_1_1_1_1_1">"$#REF!.$A$1:$J$124"</definedName>
    <definedName name="Excel_BuiltIn_Print_Area_2_1_1_1_1_1_1">"$#REF!.$A$8:$I$477"</definedName>
    <definedName name="Excel_BuiltIn_Print_Area_20">"$#REF!.$A$8:$K$385"</definedName>
    <definedName name="Excel_BuiltIn_Print_Area_21">"$#REF!.$A$8:$M$385"</definedName>
    <definedName name="Excel_BuiltIn_Print_Area_22">"$#REF!.$A$8:$M$385"</definedName>
    <definedName name="Excel_BuiltIn_Print_Area_3_1" localSheetId="9">#REF!</definedName>
    <definedName name="Excel_BuiltIn_Print_Area_3_1" localSheetId="14">#REF!</definedName>
    <definedName name="Excel_BuiltIn_Print_Area_3_1" localSheetId="11">#REF!</definedName>
    <definedName name="Excel_BuiltIn_Print_Area_3_1" localSheetId="16">#REF!</definedName>
    <definedName name="Excel_BuiltIn_Print_Area_3_1" localSheetId="15">#REF!</definedName>
    <definedName name="Excel_BuiltIn_Print_Area_3_1" localSheetId="10">#REF!</definedName>
    <definedName name="Excel_BuiltIn_Print_Area_3_1" localSheetId="12">#REF!</definedName>
    <definedName name="Excel_BuiltIn_Print_Area_3_1" localSheetId="17">#REF!</definedName>
    <definedName name="Excel_BuiltIn_Print_Area_3_1" localSheetId="1">#REF!</definedName>
    <definedName name="Excel_BuiltIn_Print_Area_3_1" localSheetId="8">#REF!</definedName>
    <definedName name="Excel_BuiltIn_Print_Area_3_1" localSheetId="13">#REF!</definedName>
    <definedName name="Excel_BuiltIn_Print_Area_3_1">#REF!</definedName>
    <definedName name="Excel_BuiltIn_Print_Area_3_1_1">"$#REF!.$A$1:$J$124"</definedName>
    <definedName name="Excel_BuiltIn_Print_Area_3_1_1_1">"$#REF!.$A$8:$M$385"</definedName>
    <definedName name="Excel_BuiltIn_Print_Area_4_1_1">"$#REF!.$A$1:$J$36"</definedName>
    <definedName name="Excel_BuiltIn_Print_Area_4_1_1_1">"$#REF!.$A$1:$J$36"</definedName>
    <definedName name="Excel_BuiltIn_Print_Area_4_1_1_1_1">"$#REF!.$A$1:$J$124"</definedName>
    <definedName name="Excel_BuiltIn_Print_Area_5_1" localSheetId="9">#REF!</definedName>
    <definedName name="Excel_BuiltIn_Print_Area_5_1" localSheetId="14">#REF!</definedName>
    <definedName name="Excel_BuiltIn_Print_Area_5_1" localSheetId="11">#REF!</definedName>
    <definedName name="Excel_BuiltIn_Print_Area_5_1" localSheetId="16">#REF!</definedName>
    <definedName name="Excel_BuiltIn_Print_Area_5_1" localSheetId="15">#REF!</definedName>
    <definedName name="Excel_BuiltIn_Print_Area_5_1" localSheetId="10">#REF!</definedName>
    <definedName name="Excel_BuiltIn_Print_Area_5_1" localSheetId="12">#REF!</definedName>
    <definedName name="Excel_BuiltIn_Print_Area_5_1" localSheetId="17">#REF!</definedName>
    <definedName name="Excel_BuiltIn_Print_Area_5_1" localSheetId="1">#REF!</definedName>
    <definedName name="Excel_BuiltIn_Print_Area_5_1" localSheetId="8">#REF!</definedName>
    <definedName name="Excel_BuiltIn_Print_Area_5_1" localSheetId="13">#REF!</definedName>
    <definedName name="Excel_BuiltIn_Print_Area_5_1">#REF!</definedName>
    <definedName name="Excel_BuiltIn_Print_Area_5_1_1" localSheetId="9">#REF!</definedName>
    <definedName name="Excel_BuiltIn_Print_Area_5_1_1" localSheetId="14">#REF!</definedName>
    <definedName name="Excel_BuiltIn_Print_Area_5_1_1" localSheetId="11">#REF!</definedName>
    <definedName name="Excel_BuiltIn_Print_Area_5_1_1" localSheetId="16">#REF!</definedName>
    <definedName name="Excel_BuiltIn_Print_Area_5_1_1" localSheetId="15">#REF!</definedName>
    <definedName name="Excel_BuiltIn_Print_Area_5_1_1" localSheetId="10">#REF!</definedName>
    <definedName name="Excel_BuiltIn_Print_Area_5_1_1" localSheetId="12">#REF!</definedName>
    <definedName name="Excel_BuiltIn_Print_Area_5_1_1" localSheetId="17">#REF!</definedName>
    <definedName name="Excel_BuiltIn_Print_Area_5_1_1" localSheetId="1">#REF!</definedName>
    <definedName name="Excel_BuiltIn_Print_Area_5_1_1" localSheetId="8">#REF!</definedName>
    <definedName name="Excel_BuiltIn_Print_Area_5_1_1" localSheetId="13">#REF!</definedName>
    <definedName name="Excel_BuiltIn_Print_Area_5_1_1">#REF!</definedName>
    <definedName name="Excel_BuiltIn_Print_Area_5_1_1_1">"$#REF!.$A$1:$J$32"</definedName>
    <definedName name="Excel_BuiltIn_Print_Area_5_1_1_1_1">"$#REF!.$A$1:$J$32"</definedName>
    <definedName name="Excel_BuiltIn_Print_Area_7_1">"$#REF!.$A$1:$J$5756"</definedName>
    <definedName name="Excel_BuiltIn_Print_Area_7_1_1">"$#REF!.$A$8:$M$385"</definedName>
    <definedName name="Excel_BuiltIn_Print_Area_8_1" localSheetId="9">#REF!</definedName>
    <definedName name="Excel_BuiltIn_Print_Area_8_1" localSheetId="14">#REF!</definedName>
    <definedName name="Excel_BuiltIn_Print_Area_8_1" localSheetId="11">#REF!</definedName>
    <definedName name="Excel_BuiltIn_Print_Area_8_1" localSheetId="16">#REF!</definedName>
    <definedName name="Excel_BuiltIn_Print_Area_8_1" localSheetId="15">#REF!</definedName>
    <definedName name="Excel_BuiltIn_Print_Area_8_1" localSheetId="10">#REF!</definedName>
    <definedName name="Excel_BuiltIn_Print_Area_8_1" localSheetId="12">#REF!</definedName>
    <definedName name="Excel_BuiltIn_Print_Area_8_1" localSheetId="17">#REF!</definedName>
    <definedName name="Excel_BuiltIn_Print_Area_8_1" localSheetId="1">#REF!</definedName>
    <definedName name="Excel_BuiltIn_Print_Area_8_1" localSheetId="8">#REF!</definedName>
    <definedName name="Excel_BuiltIn_Print_Area_8_1" localSheetId="13">#REF!</definedName>
    <definedName name="Excel_BuiltIn_Print_Area_8_1">#REF!</definedName>
    <definedName name="Excel_BuiltIn_Print_Area_8_1_1">"$#REF!.$A$4:$K$7"</definedName>
    <definedName name="Excel_BuiltIn_Print_Area_9_1" localSheetId="9">#REF!</definedName>
    <definedName name="Excel_BuiltIn_Print_Area_9_1" localSheetId="14">#REF!</definedName>
    <definedName name="Excel_BuiltIn_Print_Area_9_1" localSheetId="11">#REF!</definedName>
    <definedName name="Excel_BuiltIn_Print_Area_9_1" localSheetId="16">#REF!</definedName>
    <definedName name="Excel_BuiltIn_Print_Area_9_1" localSheetId="15">#REF!</definedName>
    <definedName name="Excel_BuiltIn_Print_Area_9_1" localSheetId="10">#REF!</definedName>
    <definedName name="Excel_BuiltIn_Print_Area_9_1" localSheetId="12">#REF!</definedName>
    <definedName name="Excel_BuiltIn_Print_Area_9_1" localSheetId="17">#REF!</definedName>
    <definedName name="Excel_BuiltIn_Print_Area_9_1" localSheetId="1">#REF!</definedName>
    <definedName name="Excel_BuiltIn_Print_Area_9_1" localSheetId="8">#REF!</definedName>
    <definedName name="Excel_BuiltIn_Print_Area_9_1" localSheetId="13">#REF!</definedName>
    <definedName name="Excel_BuiltIn_Print_Area_9_1">#REF!</definedName>
    <definedName name="Excel_BuiltIn_Print_Area_9_1_1">"$#REF!.$A$8:$M$405"</definedName>
    <definedName name="Excel_BuiltIn_Print_Titles_10_1">"$#REF!.$#REF!$#REF!:$#REF!$#REF!"</definedName>
    <definedName name="Excel_BuiltIn_Print_Titles_11_1">"$#REF!.$#REF!$#REF!:$#REF!$#REF!"</definedName>
    <definedName name="Excel_BuiltIn_Print_Titles_12_1">"$#REF!.$#REF!$#REF!:$#REF!$#REF!"</definedName>
    <definedName name="Excel_BuiltIn_Print_Titles_13_1">"$#REF!.$A$1:$AMJ$11"</definedName>
    <definedName name="Excel_BuiltIn_Print_Titles_13_1_1">"$#REF!.$A$1:$IR$11"</definedName>
    <definedName name="Excel_BuiltIn_Print_Titles_13_1_1_1">"$#REF!.$#REF!$#REF!:$#REF!$#REF!"</definedName>
    <definedName name="Excel_BuiltIn_Print_Titles_14_1">"$#REF!.$#REF!$#REF!:$#REF!$#REF!"</definedName>
    <definedName name="Excel_BuiltIn_Print_Titles_15">"$#REF!.$#REF!$#REF!:$#REF!$#REF!"</definedName>
    <definedName name="Excel_BuiltIn_Print_Titles_17">"$#REF!.$#REF!$#REF!:$#REF!$#REF!"</definedName>
    <definedName name="Excel_BuiltIn_Print_Titles_2_1" localSheetId="9">#REF!</definedName>
    <definedName name="Excel_BuiltIn_Print_Titles_2_1" localSheetId="14">#REF!</definedName>
    <definedName name="Excel_BuiltIn_Print_Titles_2_1" localSheetId="11">#REF!</definedName>
    <definedName name="Excel_BuiltIn_Print_Titles_2_1" localSheetId="16">#REF!</definedName>
    <definedName name="Excel_BuiltIn_Print_Titles_2_1" localSheetId="15">#REF!</definedName>
    <definedName name="Excel_BuiltIn_Print_Titles_2_1" localSheetId="10">#REF!</definedName>
    <definedName name="Excel_BuiltIn_Print_Titles_2_1" localSheetId="12">#REF!</definedName>
    <definedName name="Excel_BuiltIn_Print_Titles_2_1" localSheetId="17">#REF!</definedName>
    <definedName name="Excel_BuiltIn_Print_Titles_2_1" localSheetId="1">#REF!</definedName>
    <definedName name="Excel_BuiltIn_Print_Titles_2_1" localSheetId="8">#REF!</definedName>
    <definedName name="Excel_BuiltIn_Print_Titles_2_1" localSheetId="13">#REF!</definedName>
    <definedName name="Excel_BuiltIn_Print_Titles_2_1">#REF!</definedName>
    <definedName name="Excel_BuiltIn_Print_Titles_2_1_1">"$#REF!.$A$1:$AMJ$10"</definedName>
    <definedName name="Excel_BuiltIn_Print_Titles_20">"$#REF!.$#REF!$#REF!:$#REF!$#REF!"</definedName>
    <definedName name="Excel_BuiltIn_Print_Titles_22">"$#REF!.$#REF!$#REF!:$#REF!$#REF!"</definedName>
    <definedName name="Excel_BuiltIn_Print_Titles_3_1">"$#REF!.$A$1:$AMJ$10"</definedName>
    <definedName name="Excel_BuiltIn_Print_Titles_4_1">"$#REF!.$A$1:$AMJ$11"</definedName>
    <definedName name="Excel_BuiltIn_Print_Titles_4_1_1">"$#REF!.$A$1:$IQ$11"</definedName>
    <definedName name="Excel_BuiltIn_Print_Titles_5_1" localSheetId="9">#REF!</definedName>
    <definedName name="Excel_BuiltIn_Print_Titles_5_1" localSheetId="14">#REF!</definedName>
    <definedName name="Excel_BuiltIn_Print_Titles_5_1" localSheetId="11">#REF!</definedName>
    <definedName name="Excel_BuiltIn_Print_Titles_5_1" localSheetId="16">#REF!</definedName>
    <definedName name="Excel_BuiltIn_Print_Titles_5_1" localSheetId="15">#REF!</definedName>
    <definedName name="Excel_BuiltIn_Print_Titles_5_1" localSheetId="10">#REF!</definedName>
    <definedName name="Excel_BuiltIn_Print_Titles_5_1" localSheetId="12">#REF!</definedName>
    <definedName name="Excel_BuiltIn_Print_Titles_5_1" localSheetId="17">#REF!</definedName>
    <definedName name="Excel_BuiltIn_Print_Titles_5_1" localSheetId="1">#REF!</definedName>
    <definedName name="Excel_BuiltIn_Print_Titles_5_1" localSheetId="8">#REF!</definedName>
    <definedName name="Excel_BuiltIn_Print_Titles_5_1" localSheetId="13">#REF!</definedName>
    <definedName name="Excel_BuiltIn_Print_Titles_5_1">#REF!</definedName>
    <definedName name="Excel_BuiltIn_Print_Titles_5_1_1" localSheetId="9">#REF!</definedName>
    <definedName name="Excel_BuiltIn_Print_Titles_5_1_1" localSheetId="14">#REF!</definedName>
    <definedName name="Excel_BuiltIn_Print_Titles_5_1_1" localSheetId="11">#REF!</definedName>
    <definedName name="Excel_BuiltIn_Print_Titles_5_1_1" localSheetId="16">#REF!</definedName>
    <definedName name="Excel_BuiltIn_Print_Titles_5_1_1" localSheetId="15">#REF!</definedName>
    <definedName name="Excel_BuiltIn_Print_Titles_5_1_1" localSheetId="10">#REF!</definedName>
    <definedName name="Excel_BuiltIn_Print_Titles_5_1_1" localSheetId="12">#REF!</definedName>
    <definedName name="Excel_BuiltIn_Print_Titles_5_1_1" localSheetId="17">#REF!</definedName>
    <definedName name="Excel_BuiltIn_Print_Titles_5_1_1" localSheetId="1">#REF!</definedName>
    <definedName name="Excel_BuiltIn_Print_Titles_5_1_1" localSheetId="8">#REF!</definedName>
    <definedName name="Excel_BuiltIn_Print_Titles_5_1_1" localSheetId="13">#REF!</definedName>
    <definedName name="Excel_BuiltIn_Print_Titles_5_1_1">#REF!</definedName>
    <definedName name="Excel_BuiltIn_Print_Titles_5_1_1_1">"$#REF!.$A$1:$AMJ$11"</definedName>
    <definedName name="Excel_BuiltIn_Print_Titles_6_1">"$#REF!.$A$1:$AMJ$11"</definedName>
    <definedName name="Excel_BuiltIn_Print_Titles_7_1">"$#REF!.$A$1:$AMJ$11"</definedName>
    <definedName name="Excel_BuiltIn_Print_Titles_9_1">"$#REF!.$#REF!$#REF!:$#REF!$#REF!"</definedName>
    <definedName name="Materials" localSheetId="9">#REF!</definedName>
    <definedName name="Materials" localSheetId="14">#REF!</definedName>
    <definedName name="Materials" localSheetId="11">#REF!</definedName>
    <definedName name="Materials" localSheetId="16">#REF!</definedName>
    <definedName name="Materials" localSheetId="15">#REF!</definedName>
    <definedName name="Materials" localSheetId="10">#REF!</definedName>
    <definedName name="Materials" localSheetId="12">#REF!</definedName>
    <definedName name="Materials" localSheetId="17">#REF!</definedName>
    <definedName name="Materials" localSheetId="13">#REF!</definedName>
    <definedName name="Materials">#REF!</definedName>
    <definedName name="Meas" localSheetId="14">#REF!</definedName>
    <definedName name="Meas" localSheetId="16">#REF!</definedName>
    <definedName name="Meas" localSheetId="15">#REF!</definedName>
    <definedName name="Meas" localSheetId="13">#REF!</definedName>
    <definedName name="Meas">#REF!</definedName>
    <definedName name="_xlnm.Print_Area" localSheetId="2">'Abstract of Cost'!$A$1:$G$62</definedName>
    <definedName name="_xlnm.Print_Area" localSheetId="9">'AC-Apron &amp; Drain'!$A$1:$G$19</definedName>
    <definedName name="_xlnm.Print_Area" localSheetId="14">'AC-Septic Tank'!$A$1:$G$28</definedName>
    <definedName name="_xlnm.Print_Area" localSheetId="11">'BE-Apron &amp; Drain'!$A$1:$G$47</definedName>
    <definedName name="_xlnm.Print_Area" localSheetId="16">'BE-Septic Tank'!$A$1:$G$69</definedName>
    <definedName name="_xlnm.Print_Area" localSheetId="4">'Bill of Quantity'!$A$1:$G$85</definedName>
    <definedName name="_xlnm.Print_Area" localSheetId="15">'Bill of Quantity (Tank)'!$A$1:$G$31</definedName>
    <definedName name="_xlnm.Print_Area" localSheetId="3">BQ!$A$1:$G$74</definedName>
    <definedName name="_xlnm.Print_Area" localSheetId="10">'BQ-Apron &amp; Drain'!$A$1:$G$25</definedName>
    <definedName name="_xlnm.Print_Area" localSheetId="5">'Builder Estimate'!$A$1:$H$652</definedName>
    <definedName name="_xlnm.Print_Area" localSheetId="6">'Details of Measurement'!$A$1:$O$1965</definedName>
    <definedName name="_xlnm.Print_Area" localSheetId="12">'Measurement-Apron &amp; Drain'!$A$1:$O$29</definedName>
    <definedName name="_xlnm.Print_Area" localSheetId="17">'Measurement-Septic Tank'!$A$1:$O$54</definedName>
    <definedName name="_xlnm.Print_Area" localSheetId="1">'Summary (Civil)'!$A$1:$E$21</definedName>
    <definedName name="_xlnm.Print_Area" localSheetId="0">'Summary Of Cost'!$A$1:$D$28</definedName>
    <definedName name="_xlnm.Print_Area" localSheetId="8">'Summary(Apron)'!$A$1:$E$19</definedName>
    <definedName name="_xlnm.Print_Area" localSheetId="13">'Summary(Septic Tank)'!$A$1:$E$19</definedName>
    <definedName name="_xlnm.Print_Titles" localSheetId="2">'Abstract of Cost'!$1:$5</definedName>
    <definedName name="_xlnm.Print_Titles" localSheetId="9">'AC-Apron &amp; Drain'!$1:$7</definedName>
    <definedName name="_xlnm.Print_Titles" localSheetId="14">'AC-Septic Tank'!$1:$6</definedName>
    <definedName name="_xlnm.Print_Titles" localSheetId="11">'BE-Apron &amp; Drain'!$1:$7</definedName>
    <definedName name="_xlnm.Print_Titles" localSheetId="16">'BE-Septic Tank'!$1:$6</definedName>
    <definedName name="_xlnm.Print_Titles" localSheetId="4">'Bill of Quantity'!$1:$5</definedName>
    <definedName name="_xlnm.Print_Titles" localSheetId="15">'Bill of Quantity (Tank)'!$1:$6</definedName>
    <definedName name="_xlnm.Print_Titles" localSheetId="3">BQ!$1:$5</definedName>
    <definedName name="_xlnm.Print_Titles" localSheetId="10">'BQ-Apron &amp; Drain'!$1:$7</definedName>
    <definedName name="_xlnm.Print_Titles" localSheetId="5">'Builder Estimate'!$1:$5</definedName>
    <definedName name="_xlnm.Print_Titles" localSheetId="6">'Details of Measurement'!$1:$5</definedName>
    <definedName name="_xlnm.Print_Titles" localSheetId="12">'Measurement-Apron &amp; Drain'!$1:$7</definedName>
    <definedName name="_xlnm.Print_Titles" localSheetId="17">'Measurement-Septic Tank'!$1:$6</definedName>
    <definedName name="qqqqqqqqqqqqq" localSheetId="14">#REF!</definedName>
    <definedName name="qqqqqqqqqqqqq" localSheetId="16">#REF!</definedName>
    <definedName name="qqqqqqqqqqqqq" localSheetId="15">#REF!</definedName>
    <definedName name="qqqqqqqqqqqqq" localSheetId="13">#REF!</definedName>
    <definedName name="qqqqqqqqqqqq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5" i="21" l="1"/>
  <c r="J75" i="21"/>
  <c r="I75" i="21"/>
  <c r="H75" i="21"/>
  <c r="G75" i="21"/>
  <c r="F75" i="21"/>
  <c r="E69" i="12" s="1"/>
  <c r="F74" i="21"/>
  <c r="D74" i="21"/>
  <c r="F69" i="12"/>
  <c r="F68" i="12"/>
  <c r="E68" i="12"/>
  <c r="F59" i="37"/>
  <c r="F58" i="37"/>
  <c r="E58" i="37"/>
  <c r="G641" i="11"/>
  <c r="M1864" i="1"/>
  <c r="D60" i="21"/>
  <c r="D61" i="21"/>
  <c r="D59" i="21"/>
  <c r="C531" i="11"/>
  <c r="C168" i="11"/>
  <c r="C152" i="11"/>
  <c r="C136" i="11"/>
  <c r="C106" i="11"/>
  <c r="C609" i="11"/>
  <c r="C606" i="11"/>
  <c r="C595" i="11"/>
  <c r="C591" i="11"/>
  <c r="C601" i="11" s="1"/>
  <c r="C576" i="11"/>
  <c r="C583" i="11" s="1"/>
  <c r="C562" i="11"/>
  <c r="C571" i="11" s="1"/>
  <c r="C553" i="11"/>
  <c r="C555" i="11" s="1"/>
  <c r="C542" i="11"/>
  <c r="C543" i="11" s="1"/>
  <c r="C539" i="11"/>
  <c r="C541" i="11" s="1"/>
  <c r="C538" i="11"/>
  <c r="C549" i="11" s="1"/>
  <c r="D64" i="21"/>
  <c r="E59" i="37" l="1"/>
  <c r="C602" i="11"/>
  <c r="C596" i="11"/>
  <c r="C597" i="11"/>
  <c r="C558" i="11"/>
  <c r="C598" i="11"/>
  <c r="C544" i="11"/>
  <c r="C564" i="11"/>
  <c r="C578" i="11"/>
  <c r="C545" i="11"/>
  <c r="C565" i="11"/>
  <c r="C579" i="11"/>
  <c r="C546" i="11"/>
  <c r="C566" i="11"/>
  <c r="C580" i="11"/>
  <c r="C567" i="11"/>
  <c r="C581" i="11"/>
  <c r="C572" i="11"/>
  <c r="C586" i="11"/>
  <c r="C568" i="11"/>
  <c r="C582" i="11"/>
  <c r="C587" i="11"/>
  <c r="D19" i="23"/>
  <c r="C16" i="15"/>
  <c r="J9" i="15"/>
  <c r="G9" i="15"/>
  <c r="P1476" i="1"/>
  <c r="I1476" i="1"/>
  <c r="H1476" i="1"/>
  <c r="G1476" i="1"/>
  <c r="M1476" i="1" l="1"/>
  <c r="N1477" i="1" s="1"/>
  <c r="E39" i="12" l="1"/>
  <c r="F39" i="12"/>
  <c r="F18" i="15"/>
  <c r="C7" i="15"/>
  <c r="F529" i="11"/>
  <c r="G529" i="11"/>
  <c r="E29" i="37"/>
  <c r="F29" i="37"/>
  <c r="F3" i="15"/>
  <c r="P1568" i="1"/>
  <c r="M1568" i="1"/>
  <c r="N1569" i="1" s="1"/>
  <c r="G2" i="23"/>
  <c r="F19" i="23"/>
  <c r="G7" i="23"/>
  <c r="G6" i="23"/>
  <c r="G3" i="23"/>
  <c r="F68" i="37"/>
  <c r="F67" i="37"/>
  <c r="F66" i="37"/>
  <c r="F65" i="37"/>
  <c r="F64" i="37"/>
  <c r="E64" i="37"/>
  <c r="F63" i="37"/>
  <c r="E63" i="37"/>
  <c r="F57" i="37"/>
  <c r="E57" i="37"/>
  <c r="F56" i="37"/>
  <c r="F55" i="37"/>
  <c r="E55" i="37"/>
  <c r="F54" i="37"/>
  <c r="E54" i="37"/>
  <c r="E53" i="37"/>
  <c r="E52" i="37"/>
  <c r="E51" i="37"/>
  <c r="F50" i="37"/>
  <c r="E50" i="37"/>
  <c r="F49" i="37"/>
  <c r="E49" i="37"/>
  <c r="F48" i="37"/>
  <c r="E48" i="37"/>
  <c r="F47" i="37"/>
  <c r="E47" i="37"/>
  <c r="F46" i="37"/>
  <c r="E46" i="37"/>
  <c r="F45" i="37"/>
  <c r="E45" i="37"/>
  <c r="F44" i="37"/>
  <c r="E44" i="37"/>
  <c r="F43" i="37"/>
  <c r="E43" i="37"/>
  <c r="F42" i="37"/>
  <c r="E42" i="37"/>
  <c r="F41" i="37"/>
  <c r="E41" i="37"/>
  <c r="F40" i="37"/>
  <c r="E40" i="37"/>
  <c r="F39" i="37"/>
  <c r="E39" i="37"/>
  <c r="F38" i="37"/>
  <c r="E38" i="37"/>
  <c r="F37" i="37"/>
  <c r="E37" i="37"/>
  <c r="F36" i="37"/>
  <c r="E36" i="37"/>
  <c r="F35" i="37"/>
  <c r="E35" i="37"/>
  <c r="F34" i="37"/>
  <c r="E34" i="37"/>
  <c r="F33" i="37"/>
  <c r="E33" i="37"/>
  <c r="F32" i="37"/>
  <c r="E32" i="37"/>
  <c r="F31" i="37"/>
  <c r="E31" i="37"/>
  <c r="F30" i="37"/>
  <c r="E30" i="37"/>
  <c r="F28" i="37"/>
  <c r="E28" i="37"/>
  <c r="F27" i="37"/>
  <c r="E27" i="37"/>
  <c r="F26" i="37"/>
  <c r="E26" i="37"/>
  <c r="F25" i="37"/>
  <c r="E25" i="37"/>
  <c r="F24" i="37"/>
  <c r="E24" i="37"/>
  <c r="F23" i="37"/>
  <c r="E23" i="37"/>
  <c r="E22" i="37"/>
  <c r="F22" i="37"/>
  <c r="E21" i="37"/>
  <c r="F21" i="37"/>
  <c r="E20" i="37"/>
  <c r="F20" i="37"/>
  <c r="E19" i="37"/>
  <c r="F19" i="37"/>
  <c r="F18" i="37"/>
  <c r="E18" i="37"/>
  <c r="F17" i="37"/>
  <c r="E17" i="37"/>
  <c r="F16" i="37"/>
  <c r="E16" i="37"/>
  <c r="F15" i="37"/>
  <c r="E15" i="37"/>
  <c r="F14" i="37"/>
  <c r="E14" i="37"/>
  <c r="F13" i="37"/>
  <c r="E13" i="37"/>
  <c r="F12" i="37"/>
  <c r="E12" i="37"/>
  <c r="F11" i="37"/>
  <c r="E11" i="37"/>
  <c r="F10" i="37"/>
  <c r="E10" i="37"/>
  <c r="F9" i="37"/>
  <c r="E9" i="37"/>
  <c r="F8" i="37"/>
  <c r="E8" i="37"/>
  <c r="F7" i="37"/>
  <c r="E7" i="37"/>
  <c r="B361" i="11"/>
  <c r="B26" i="13" s="1"/>
  <c r="F517" i="11"/>
  <c r="G517" i="11"/>
  <c r="F78" i="12"/>
  <c r="E15" i="12"/>
  <c r="F15" i="12"/>
  <c r="F300" i="11"/>
  <c r="G300" i="11"/>
  <c r="E38" i="12"/>
  <c r="F38" i="12"/>
  <c r="F528" i="11"/>
  <c r="G528" i="11"/>
  <c r="D55" i="21"/>
  <c r="F626" i="11" s="1"/>
  <c r="E67" i="12"/>
  <c r="F67" i="12"/>
  <c r="F627" i="11"/>
  <c r="G627" i="11"/>
  <c r="G626" i="11"/>
  <c r="G620" i="11"/>
  <c r="G617" i="11"/>
  <c r="G616" i="11"/>
  <c r="G615" i="11"/>
  <c r="G534" i="11"/>
  <c r="G531" i="11"/>
  <c r="G530" i="11"/>
  <c r="G527" i="11"/>
  <c r="G521" i="11"/>
  <c r="G520" i="11"/>
  <c r="G516" i="11"/>
  <c r="G515" i="11"/>
  <c r="G509" i="11"/>
  <c r="G508" i="11"/>
  <c r="G505" i="11"/>
  <c r="G504" i="11"/>
  <c r="G503" i="11"/>
  <c r="G502" i="11"/>
  <c r="E66" i="12"/>
  <c r="F66" i="12"/>
  <c r="B624" i="11"/>
  <c r="G169" i="11"/>
  <c r="F169" i="11"/>
  <c r="G153" i="11"/>
  <c r="F153" i="11"/>
  <c r="G137" i="11"/>
  <c r="F137" i="11"/>
  <c r="E18" i="12"/>
  <c r="F18" i="12"/>
  <c r="E1428" i="1"/>
  <c r="E1429" i="1" s="1"/>
  <c r="E1430" i="1" s="1"/>
  <c r="E1431" i="1" s="1"/>
  <c r="E1432" i="1" s="1"/>
  <c r="E1408" i="1"/>
  <c r="E1409" i="1" s="1"/>
  <c r="E1410" i="1" s="1"/>
  <c r="E1411" i="1" s="1"/>
  <c r="E1412" i="1" s="1"/>
  <c r="E1413" i="1" s="1"/>
  <c r="E1414" i="1" s="1"/>
  <c r="C1408" i="1"/>
  <c r="C1409" i="1" s="1"/>
  <c r="C1410" i="1" s="1"/>
  <c r="C1411" i="1" s="1"/>
  <c r="C1412" i="1" s="1"/>
  <c r="C1413" i="1" s="1"/>
  <c r="C1414" i="1" s="1"/>
  <c r="E34" i="12"/>
  <c r="F34" i="12"/>
  <c r="G496" i="11"/>
  <c r="G495" i="11"/>
  <c r="G492" i="11"/>
  <c r="G491" i="11"/>
  <c r="G490" i="11"/>
  <c r="G483" i="11"/>
  <c r="G482" i="11"/>
  <c r="G479" i="11"/>
  <c r="G478" i="11"/>
  <c r="G477" i="11"/>
  <c r="G476" i="11"/>
  <c r="G469" i="11"/>
  <c r="G468" i="11"/>
  <c r="G465" i="11"/>
  <c r="G464" i="11"/>
  <c r="G463" i="11"/>
  <c r="G454" i="11"/>
  <c r="G453" i="11"/>
  <c r="G450" i="11"/>
  <c r="G449" i="11"/>
  <c r="G448" i="11"/>
  <c r="G447" i="11"/>
  <c r="G437" i="11"/>
  <c r="G436" i="11"/>
  <c r="G433" i="11"/>
  <c r="G432" i="11"/>
  <c r="G431" i="11"/>
  <c r="G430" i="11"/>
  <c r="G420" i="11"/>
  <c r="G419" i="11"/>
  <c r="G416" i="11"/>
  <c r="G415" i="11"/>
  <c r="G414" i="11"/>
  <c r="G413" i="11"/>
  <c r="G403" i="11"/>
  <c r="G402" i="11"/>
  <c r="G399" i="11"/>
  <c r="G398" i="11"/>
  <c r="G397" i="11"/>
  <c r="G388" i="11"/>
  <c r="G387" i="11"/>
  <c r="G384" i="11"/>
  <c r="G383" i="11"/>
  <c r="G375" i="11"/>
  <c r="G374" i="11"/>
  <c r="G369" i="11"/>
  <c r="G368" i="11"/>
  <c r="G365" i="11"/>
  <c r="G364" i="11"/>
  <c r="G363" i="11"/>
  <c r="G357" i="11"/>
  <c r="G350" i="11"/>
  <c r="G349" i="11"/>
  <c r="G348" i="11"/>
  <c r="G345" i="11"/>
  <c r="G344" i="11"/>
  <c r="G343" i="11"/>
  <c r="G342" i="11"/>
  <c r="G336" i="11"/>
  <c r="G335" i="11"/>
  <c r="G334" i="11"/>
  <c r="G331" i="11"/>
  <c r="G330" i="11"/>
  <c r="G329" i="11"/>
  <c r="G328" i="11"/>
  <c r="G327" i="11"/>
  <c r="G321" i="11"/>
  <c r="G320" i="11"/>
  <c r="G319" i="11"/>
  <c r="G316" i="11"/>
  <c r="G315" i="11"/>
  <c r="G314" i="11"/>
  <c r="G313" i="11"/>
  <c r="G312" i="11"/>
  <c r="G306" i="11"/>
  <c r="G305" i="11"/>
  <c r="G304" i="11"/>
  <c r="G301" i="11"/>
  <c r="G299" i="11"/>
  <c r="G298" i="11"/>
  <c r="G297" i="11"/>
  <c r="G296" i="11"/>
  <c r="G290" i="11"/>
  <c r="G289" i="11"/>
  <c r="G288" i="11"/>
  <c r="G285" i="11"/>
  <c r="G284" i="11"/>
  <c r="G283" i="11"/>
  <c r="G282" i="11"/>
  <c r="G281" i="11"/>
  <c r="G275" i="11"/>
  <c r="G274" i="11"/>
  <c r="G273" i="11"/>
  <c r="G270" i="11"/>
  <c r="G269" i="11"/>
  <c r="G268" i="11"/>
  <c r="G267" i="11"/>
  <c r="G266" i="11"/>
  <c r="G260" i="11"/>
  <c r="G259" i="11"/>
  <c r="G258" i="11"/>
  <c r="G255" i="11"/>
  <c r="G254" i="11"/>
  <c r="G253" i="11"/>
  <c r="G252" i="11"/>
  <c r="G251" i="11"/>
  <c r="G245" i="11"/>
  <c r="G244" i="11"/>
  <c r="G243" i="11"/>
  <c r="G240" i="11"/>
  <c r="G239" i="11"/>
  <c r="G238" i="11"/>
  <c r="G237" i="11"/>
  <c r="G231" i="11"/>
  <c r="G230" i="11"/>
  <c r="G229" i="11"/>
  <c r="G226" i="11"/>
  <c r="G225" i="11"/>
  <c r="G224" i="11"/>
  <c r="G223" i="11"/>
  <c r="G217" i="11"/>
  <c r="G216" i="11"/>
  <c r="G215" i="11"/>
  <c r="G212" i="11"/>
  <c r="G211" i="11"/>
  <c r="G210" i="11"/>
  <c r="G209" i="11"/>
  <c r="G202" i="11"/>
  <c r="G203" i="11"/>
  <c r="G201" i="11"/>
  <c r="F479" i="11"/>
  <c r="E24" i="12"/>
  <c r="F415" i="11"/>
  <c r="F349" i="11"/>
  <c r="F348" i="11"/>
  <c r="F345" i="11"/>
  <c r="F344" i="11"/>
  <c r="F343" i="11"/>
  <c r="F342" i="11"/>
  <c r="F335" i="11"/>
  <c r="F334" i="11"/>
  <c r="F331" i="11"/>
  <c r="F330" i="11"/>
  <c r="F329" i="11"/>
  <c r="F328" i="11"/>
  <c r="F327" i="11"/>
  <c r="F320" i="11"/>
  <c r="F319" i="11"/>
  <c r="F316" i="11"/>
  <c r="F315" i="11"/>
  <c r="F314" i="11"/>
  <c r="F313" i="11"/>
  <c r="F312" i="11"/>
  <c r="F305" i="11"/>
  <c r="F304" i="11"/>
  <c r="F301" i="11"/>
  <c r="F299" i="11"/>
  <c r="F298" i="11"/>
  <c r="F297" i="11"/>
  <c r="F296" i="11"/>
  <c r="F289" i="11"/>
  <c r="F288" i="11"/>
  <c r="F285" i="11"/>
  <c r="F284" i="11"/>
  <c r="F283" i="11"/>
  <c r="F282" i="11"/>
  <c r="F281" i="11"/>
  <c r="F274" i="11"/>
  <c r="F273" i="11"/>
  <c r="F270" i="11"/>
  <c r="F269" i="11"/>
  <c r="F268" i="11"/>
  <c r="F267" i="11"/>
  <c r="F266" i="11"/>
  <c r="F259" i="11"/>
  <c r="F258" i="11"/>
  <c r="F255" i="11"/>
  <c r="F254" i="11"/>
  <c r="F253" i="11"/>
  <c r="F252" i="11"/>
  <c r="F251" i="11"/>
  <c r="F244" i="11"/>
  <c r="F243" i="11"/>
  <c r="F240" i="11"/>
  <c r="F239" i="11"/>
  <c r="F238" i="11"/>
  <c r="F237" i="11"/>
  <c r="F230" i="11"/>
  <c r="F229" i="11"/>
  <c r="F226" i="11"/>
  <c r="F225" i="11"/>
  <c r="F224" i="11"/>
  <c r="F223" i="11"/>
  <c r="F216" i="11"/>
  <c r="F215" i="11"/>
  <c r="F212" i="11"/>
  <c r="F211" i="11"/>
  <c r="F210" i="11"/>
  <c r="F209" i="11"/>
  <c r="F202" i="11"/>
  <c r="F201" i="11"/>
  <c r="G198" i="11"/>
  <c r="F198" i="11"/>
  <c r="G197" i="11"/>
  <c r="F197" i="11"/>
  <c r="G196" i="11"/>
  <c r="F196" i="11"/>
  <c r="G195" i="11"/>
  <c r="F195" i="11"/>
  <c r="F188" i="11"/>
  <c r="F187" i="11"/>
  <c r="G184" i="11"/>
  <c r="F184" i="11"/>
  <c r="G183" i="11"/>
  <c r="F183" i="11"/>
  <c r="G182" i="11"/>
  <c r="F182" i="11"/>
  <c r="G181" i="11"/>
  <c r="F181" i="11"/>
  <c r="F174" i="11"/>
  <c r="F173" i="11"/>
  <c r="G170" i="11"/>
  <c r="F170" i="11"/>
  <c r="G168" i="11"/>
  <c r="F168" i="11"/>
  <c r="H168" i="11" s="1"/>
  <c r="G167" i="11"/>
  <c r="F167" i="11"/>
  <c r="G166" i="11"/>
  <c r="F166" i="11"/>
  <c r="G165" i="11"/>
  <c r="F165" i="11"/>
  <c r="F158" i="11"/>
  <c r="F157" i="11"/>
  <c r="G154" i="11"/>
  <c r="F154" i="11"/>
  <c r="G152" i="11"/>
  <c r="F152" i="11"/>
  <c r="H152" i="11" s="1"/>
  <c r="G151" i="11"/>
  <c r="F151" i="11"/>
  <c r="G150" i="11"/>
  <c r="F150" i="11"/>
  <c r="G149" i="11"/>
  <c r="F149" i="11"/>
  <c r="F142" i="11"/>
  <c r="F141" i="11"/>
  <c r="G138" i="11"/>
  <c r="F138" i="11"/>
  <c r="G136" i="11"/>
  <c r="F136" i="11"/>
  <c r="H136" i="11" s="1"/>
  <c r="G135" i="11"/>
  <c r="F135" i="11"/>
  <c r="G134" i="11"/>
  <c r="F134" i="11"/>
  <c r="G133" i="11"/>
  <c r="F133" i="11"/>
  <c r="F126" i="11"/>
  <c r="F125" i="11"/>
  <c r="G122" i="11"/>
  <c r="F122" i="11"/>
  <c r="G121" i="11"/>
  <c r="F121" i="11"/>
  <c r="G120" i="11"/>
  <c r="F120" i="11"/>
  <c r="G119" i="11"/>
  <c r="F119" i="11"/>
  <c r="G118" i="11"/>
  <c r="F118" i="11"/>
  <c r="F111" i="11"/>
  <c r="F110" i="11"/>
  <c r="G107" i="11"/>
  <c r="F107" i="11"/>
  <c r="G106" i="11"/>
  <c r="F106" i="11"/>
  <c r="H106" i="11" s="1"/>
  <c r="G105" i="11"/>
  <c r="F105" i="11"/>
  <c r="G104" i="11"/>
  <c r="F104" i="11"/>
  <c r="G103" i="11"/>
  <c r="F103" i="11"/>
  <c r="B354" i="11"/>
  <c r="F357" i="11"/>
  <c r="F363" i="11"/>
  <c r="F364" i="11"/>
  <c r="F365" i="11"/>
  <c r="E17" i="12"/>
  <c r="F17" i="12"/>
  <c r="E16" i="12"/>
  <c r="F16" i="12"/>
  <c r="N92" i="11"/>
  <c r="N91" i="11"/>
  <c r="N90" i="11"/>
  <c r="N89" i="11"/>
  <c r="J86" i="11"/>
  <c r="L86" i="11" s="1"/>
  <c r="G92" i="11"/>
  <c r="G91" i="11"/>
  <c r="G90" i="11"/>
  <c r="G89" i="11"/>
  <c r="G82" i="11"/>
  <c r="G79" i="11"/>
  <c r="G72" i="11"/>
  <c r="G71" i="11"/>
  <c r="G68" i="11"/>
  <c r="G67" i="11"/>
  <c r="G66" i="11"/>
  <c r="G60" i="11"/>
  <c r="G59" i="11"/>
  <c r="G56" i="11"/>
  <c r="G55" i="11"/>
  <c r="G49" i="11"/>
  <c r="G48" i="11"/>
  <c r="G45" i="11"/>
  <c r="G44" i="11"/>
  <c r="G43" i="11"/>
  <c r="G37" i="11"/>
  <c r="G36" i="11"/>
  <c r="G33" i="11"/>
  <c r="G26" i="11"/>
  <c r="G21" i="11"/>
  <c r="G20" i="11"/>
  <c r="G19" i="11"/>
  <c r="F92" i="11"/>
  <c r="E14" i="12"/>
  <c r="F14" i="12"/>
  <c r="G15" i="11"/>
  <c r="G14" i="11"/>
  <c r="G8" i="11"/>
  <c r="F21" i="11"/>
  <c r="F15" i="11"/>
  <c r="F14" i="11"/>
  <c r="B12" i="11"/>
  <c r="H10" i="1"/>
  <c r="F10" i="1"/>
  <c r="M1838" i="1"/>
  <c r="M1837" i="1"/>
  <c r="M1832" i="1"/>
  <c r="M1831" i="1"/>
  <c r="M1824" i="1"/>
  <c r="M1820" i="1"/>
  <c r="M1814" i="1"/>
  <c r="M1812" i="1"/>
  <c r="M1811" i="1"/>
  <c r="M1810" i="1"/>
  <c r="M1805" i="1"/>
  <c r="M1799" i="1"/>
  <c r="M1798" i="1"/>
  <c r="M1797" i="1"/>
  <c r="M1795" i="1"/>
  <c r="M1791" i="1"/>
  <c r="N1792" i="1" s="1"/>
  <c r="P1791" i="1"/>
  <c r="E1792" i="1"/>
  <c r="K1792" i="1"/>
  <c r="M1787" i="1"/>
  <c r="M1786" i="1"/>
  <c r="M1773" i="1"/>
  <c r="M1772" i="1"/>
  <c r="M1771" i="1"/>
  <c r="M1770" i="1"/>
  <c r="M1769" i="1"/>
  <c r="M1766" i="1"/>
  <c r="M1761" i="1"/>
  <c r="M1756" i="1"/>
  <c r="M1755" i="1"/>
  <c r="M1749" i="1"/>
  <c r="M1748" i="1"/>
  <c r="M1747" i="1"/>
  <c r="M1746" i="1"/>
  <c r="M1745" i="1"/>
  <c r="M1742" i="1"/>
  <c r="M1731" i="1"/>
  <c r="M1714" i="1"/>
  <c r="M1707" i="1"/>
  <c r="M1703" i="1"/>
  <c r="M1704" i="1"/>
  <c r="M1702" i="1"/>
  <c r="L1856" i="1"/>
  <c r="J1855" i="1"/>
  <c r="E1855" i="1"/>
  <c r="M1855" i="1" s="1"/>
  <c r="G1854" i="1"/>
  <c r="F1854" i="1"/>
  <c r="E1854" i="1"/>
  <c r="H1853" i="1"/>
  <c r="P1850" i="1"/>
  <c r="J1850" i="1"/>
  <c r="E1850" i="1"/>
  <c r="M1850" i="1" s="1"/>
  <c r="P1849" i="1"/>
  <c r="E1849" i="1"/>
  <c r="M1849" i="1" s="1"/>
  <c r="P1848" i="1"/>
  <c r="Q1848" i="1" s="1"/>
  <c r="H1848" i="1"/>
  <c r="M1848" i="1" s="1"/>
  <c r="N1846" i="1"/>
  <c r="K1845" i="1"/>
  <c r="I1845" i="1"/>
  <c r="H1845" i="1"/>
  <c r="E1845" i="1"/>
  <c r="C1845" i="1"/>
  <c r="J1844" i="1"/>
  <c r="J1845" i="1" s="1"/>
  <c r="H1844" i="1"/>
  <c r="G1844" i="1"/>
  <c r="G1845" i="1" s="1"/>
  <c r="F1844" i="1"/>
  <c r="F1845" i="1" s="1"/>
  <c r="E1844" i="1"/>
  <c r="C1844" i="1"/>
  <c r="K1840" i="1"/>
  <c r="E1840" i="1"/>
  <c r="Q1839" i="1"/>
  <c r="P1839" i="1"/>
  <c r="I1839" i="1"/>
  <c r="H1839" i="1"/>
  <c r="Q1838" i="1"/>
  <c r="P1838" i="1"/>
  <c r="P1837" i="1"/>
  <c r="R1836" i="1"/>
  <c r="Q1836" i="1"/>
  <c r="P1836" i="1"/>
  <c r="G1836" i="1"/>
  <c r="F1836" i="1"/>
  <c r="E1834" i="1"/>
  <c r="P1833" i="1"/>
  <c r="I1833" i="1"/>
  <c r="H1833" i="1"/>
  <c r="G1833" i="1"/>
  <c r="F1833" i="1"/>
  <c r="P1832" i="1"/>
  <c r="Q1831" i="1"/>
  <c r="P1831" i="1"/>
  <c r="Q1830" i="1"/>
  <c r="P1830" i="1"/>
  <c r="K1830" i="1"/>
  <c r="K1831" i="1" s="1"/>
  <c r="K1832" i="1" s="1"/>
  <c r="K1833" i="1" s="1"/>
  <c r="K1836" i="1" s="1"/>
  <c r="K1837" i="1" s="1"/>
  <c r="K1838" i="1" s="1"/>
  <c r="K1839" i="1" s="1"/>
  <c r="H1830" i="1"/>
  <c r="Q1829" i="1"/>
  <c r="P1829" i="1"/>
  <c r="J1829" i="1"/>
  <c r="J1830" i="1" s="1"/>
  <c r="I1829" i="1"/>
  <c r="M1829" i="1" s="1"/>
  <c r="K1825" i="1"/>
  <c r="E1825" i="1"/>
  <c r="P1824" i="1"/>
  <c r="E1822" i="1"/>
  <c r="Q1821" i="1"/>
  <c r="P1821" i="1"/>
  <c r="I1821" i="1"/>
  <c r="H1821" i="1"/>
  <c r="Q1820" i="1"/>
  <c r="P1820" i="1"/>
  <c r="P1819" i="1"/>
  <c r="I1819" i="1"/>
  <c r="H1819" i="1"/>
  <c r="R1818" i="1"/>
  <c r="Q1818" i="1"/>
  <c r="P1818" i="1"/>
  <c r="E1816" i="1"/>
  <c r="Q1815" i="1"/>
  <c r="P1815" i="1"/>
  <c r="I1815" i="1"/>
  <c r="H1815" i="1"/>
  <c r="Q1814" i="1"/>
  <c r="P1814" i="1"/>
  <c r="P1813" i="1"/>
  <c r="G1813" i="1"/>
  <c r="G1815" i="1" s="1"/>
  <c r="G1818" i="1" s="1"/>
  <c r="F1813" i="1"/>
  <c r="F1815" i="1" s="1"/>
  <c r="F1818" i="1" s="1"/>
  <c r="Q1812" i="1"/>
  <c r="P1812" i="1"/>
  <c r="Q1811" i="1"/>
  <c r="P1811" i="1"/>
  <c r="K1811" i="1"/>
  <c r="K1812" i="1" s="1"/>
  <c r="Q1810" i="1"/>
  <c r="P1810" i="1"/>
  <c r="J1810" i="1"/>
  <c r="J1811" i="1" s="1"/>
  <c r="K1807" i="1"/>
  <c r="E1807" i="1"/>
  <c r="Q1806" i="1"/>
  <c r="P1806" i="1"/>
  <c r="I1806" i="1"/>
  <c r="H1806" i="1"/>
  <c r="Q1805" i="1"/>
  <c r="P1805" i="1"/>
  <c r="P1804" i="1"/>
  <c r="I1804" i="1"/>
  <c r="H1804" i="1"/>
  <c r="F1804" i="1"/>
  <c r="R1803" i="1"/>
  <c r="Q1803" i="1"/>
  <c r="P1803" i="1"/>
  <c r="I1803" i="1"/>
  <c r="H1803" i="1"/>
  <c r="E1801" i="1"/>
  <c r="Q1800" i="1"/>
  <c r="P1800" i="1"/>
  <c r="I1800" i="1"/>
  <c r="H1800" i="1"/>
  <c r="G1800" i="1"/>
  <c r="F1800" i="1"/>
  <c r="F1806" i="1" s="1"/>
  <c r="Q1799" i="1"/>
  <c r="P1799" i="1"/>
  <c r="P1798" i="1"/>
  <c r="Q1797" i="1"/>
  <c r="P1797" i="1"/>
  <c r="Q1796" i="1"/>
  <c r="P1796" i="1"/>
  <c r="K1796" i="1"/>
  <c r="K1797" i="1" s="1"/>
  <c r="I1796" i="1"/>
  <c r="H1796" i="1"/>
  <c r="F1796" i="1"/>
  <c r="Q1795" i="1"/>
  <c r="P1795" i="1"/>
  <c r="J1795" i="1"/>
  <c r="J1796" i="1" s="1"/>
  <c r="J1797" i="1" s="1"/>
  <c r="L1788" i="1"/>
  <c r="E1788" i="1"/>
  <c r="P1787" i="1"/>
  <c r="K1787" i="1"/>
  <c r="J1787" i="1"/>
  <c r="H1787" i="1"/>
  <c r="P1786" i="1"/>
  <c r="P1785" i="1"/>
  <c r="I1785" i="1"/>
  <c r="I1786" i="1" s="1"/>
  <c r="P1784" i="1"/>
  <c r="E1782" i="1"/>
  <c r="P1781" i="1"/>
  <c r="K1781" i="1"/>
  <c r="J1781" i="1"/>
  <c r="I1781" i="1"/>
  <c r="H1781" i="1"/>
  <c r="G1781" i="1"/>
  <c r="G1785" i="1" s="1"/>
  <c r="F1781" i="1"/>
  <c r="P1780" i="1"/>
  <c r="G1780" i="1"/>
  <c r="G1784" i="1" s="1"/>
  <c r="E1778" i="1"/>
  <c r="P1777" i="1"/>
  <c r="K1777" i="1"/>
  <c r="I1777" i="1"/>
  <c r="H1777" i="1"/>
  <c r="G1777" i="1"/>
  <c r="F1777" i="1"/>
  <c r="P1776" i="1"/>
  <c r="J1776" i="1"/>
  <c r="J1777" i="1" s="1"/>
  <c r="E1774" i="1"/>
  <c r="P1773" i="1"/>
  <c r="P1772" i="1"/>
  <c r="P1771" i="1"/>
  <c r="P1770" i="1"/>
  <c r="K1770" i="1"/>
  <c r="K1771" i="1" s="1"/>
  <c r="K1772" i="1" s="1"/>
  <c r="K1773" i="1" s="1"/>
  <c r="I1770" i="1"/>
  <c r="I1771" i="1" s="1"/>
  <c r="I1772" i="1" s="1"/>
  <c r="I1773" i="1" s="1"/>
  <c r="P1769" i="1"/>
  <c r="J1769" i="1"/>
  <c r="J1770" i="1" s="1"/>
  <c r="J1771" i="1" s="1"/>
  <c r="J1772" i="1" s="1"/>
  <c r="J1773" i="1" s="1"/>
  <c r="H1769" i="1"/>
  <c r="H1770" i="1" s="1"/>
  <c r="E1767" i="1"/>
  <c r="P1766" i="1"/>
  <c r="H1766" i="1"/>
  <c r="K1762" i="1"/>
  <c r="P1761" i="1"/>
  <c r="P1760" i="1"/>
  <c r="K1760" i="1"/>
  <c r="K1761" i="1" s="1"/>
  <c r="J1760" i="1"/>
  <c r="J1761" i="1" s="1"/>
  <c r="I1760" i="1"/>
  <c r="I1761" i="1" s="1"/>
  <c r="E1760" i="1"/>
  <c r="C1760" i="1"/>
  <c r="P1759" i="1"/>
  <c r="H1759" i="1"/>
  <c r="H1760" i="1" s="1"/>
  <c r="F1759" i="1"/>
  <c r="M1759" i="1" s="1"/>
  <c r="E1757" i="1"/>
  <c r="P1756" i="1"/>
  <c r="P1755" i="1"/>
  <c r="P1754" i="1"/>
  <c r="F1754" i="1"/>
  <c r="M1754" i="1" s="1"/>
  <c r="P1753" i="1"/>
  <c r="K1753" i="1"/>
  <c r="K1754" i="1" s="1"/>
  <c r="K1755" i="1" s="1"/>
  <c r="K1756" i="1" s="1"/>
  <c r="J1753" i="1"/>
  <c r="J1754" i="1" s="1"/>
  <c r="J1755" i="1" s="1"/>
  <c r="J1756" i="1" s="1"/>
  <c r="I1753" i="1"/>
  <c r="I1754" i="1" s="1"/>
  <c r="I1755" i="1" s="1"/>
  <c r="I1756" i="1" s="1"/>
  <c r="P1752" i="1"/>
  <c r="H1752" i="1"/>
  <c r="H1753" i="1" s="1"/>
  <c r="H1754" i="1" s="1"/>
  <c r="E1750" i="1"/>
  <c r="P1749" i="1"/>
  <c r="P1748" i="1"/>
  <c r="P1746" i="1"/>
  <c r="K1746" i="1"/>
  <c r="K1747" i="1" s="1"/>
  <c r="K1748" i="1" s="1"/>
  <c r="K1749" i="1" s="1"/>
  <c r="I1746" i="1"/>
  <c r="I1747" i="1" s="1"/>
  <c r="I1748" i="1" s="1"/>
  <c r="I1749" i="1" s="1"/>
  <c r="P1745" i="1"/>
  <c r="J1745" i="1"/>
  <c r="J1746" i="1" s="1"/>
  <c r="J1747" i="1" s="1"/>
  <c r="J1748" i="1" s="1"/>
  <c r="J1749" i="1" s="1"/>
  <c r="H1745" i="1"/>
  <c r="H1746" i="1" s="1"/>
  <c r="P1742" i="1"/>
  <c r="K1742" i="1"/>
  <c r="J1742" i="1"/>
  <c r="I1742" i="1"/>
  <c r="P1741" i="1"/>
  <c r="H1741" i="1"/>
  <c r="H1742" i="1" s="1"/>
  <c r="F1741" i="1"/>
  <c r="C1741" i="1"/>
  <c r="E1743" i="1" s="1"/>
  <c r="K1738" i="1"/>
  <c r="P1737" i="1"/>
  <c r="E1737" i="1"/>
  <c r="C1737" i="1"/>
  <c r="P1736" i="1"/>
  <c r="K1736" i="1"/>
  <c r="K1735" i="1" s="1"/>
  <c r="K1737" i="1" s="1"/>
  <c r="J1736" i="1"/>
  <c r="J1735" i="1" s="1"/>
  <c r="J1737" i="1" s="1"/>
  <c r="I1736" i="1"/>
  <c r="I1735" i="1" s="1"/>
  <c r="I1737" i="1" s="1"/>
  <c r="H1736" i="1"/>
  <c r="H1735" i="1" s="1"/>
  <c r="H1737" i="1" s="1"/>
  <c r="E1736" i="1"/>
  <c r="C1736" i="1"/>
  <c r="P1735" i="1"/>
  <c r="E1735" i="1"/>
  <c r="C1735" i="1"/>
  <c r="P1734" i="1"/>
  <c r="E1734" i="1"/>
  <c r="C1734" i="1"/>
  <c r="E1732" i="1"/>
  <c r="E1729" i="1"/>
  <c r="P1728" i="1"/>
  <c r="M1728" i="1"/>
  <c r="P1727" i="1"/>
  <c r="M1727" i="1"/>
  <c r="P1726" i="1"/>
  <c r="M1726" i="1"/>
  <c r="P1725" i="1"/>
  <c r="P1724" i="1"/>
  <c r="K1724" i="1"/>
  <c r="K1725" i="1" s="1"/>
  <c r="K1726" i="1" s="1"/>
  <c r="K1727" i="1" s="1"/>
  <c r="K1728" i="1" s="1"/>
  <c r="J1724" i="1"/>
  <c r="J1725" i="1" s="1"/>
  <c r="J1726" i="1" s="1"/>
  <c r="J1727" i="1" s="1"/>
  <c r="J1728" i="1" s="1"/>
  <c r="I1724" i="1"/>
  <c r="I1725" i="1" s="1"/>
  <c r="I1726" i="1" s="1"/>
  <c r="I1727" i="1" s="1"/>
  <c r="I1728" i="1" s="1"/>
  <c r="H1724" i="1"/>
  <c r="H1725" i="1" s="1"/>
  <c r="G1753" i="1"/>
  <c r="G1776" i="1" s="1"/>
  <c r="F1753" i="1"/>
  <c r="P1723" i="1"/>
  <c r="G1752" i="1"/>
  <c r="F1752" i="1"/>
  <c r="E1721" i="1"/>
  <c r="P1720" i="1"/>
  <c r="P1719" i="1"/>
  <c r="G1719" i="1"/>
  <c r="M1719" i="1" s="1"/>
  <c r="P1718" i="1"/>
  <c r="K1718" i="1"/>
  <c r="K1719" i="1" s="1"/>
  <c r="K1720" i="1" s="1"/>
  <c r="J1718" i="1"/>
  <c r="J1719" i="1" s="1"/>
  <c r="J1720" i="1" s="1"/>
  <c r="I1718" i="1"/>
  <c r="I1719" i="1" s="1"/>
  <c r="I1720" i="1" s="1"/>
  <c r="H1718" i="1"/>
  <c r="H1719" i="1" s="1"/>
  <c r="H1720" i="1" s="1"/>
  <c r="P1717" i="1"/>
  <c r="M1717" i="1"/>
  <c r="P1714" i="1"/>
  <c r="K1714" i="1"/>
  <c r="J1714" i="1"/>
  <c r="I1714" i="1"/>
  <c r="H1713" i="1"/>
  <c r="H1714" i="1" s="1"/>
  <c r="C1713" i="1"/>
  <c r="M1713" i="1" s="1"/>
  <c r="P1710" i="1"/>
  <c r="H1710" i="1"/>
  <c r="E1710" i="1"/>
  <c r="M1710" i="1" s="1"/>
  <c r="E1708" i="1"/>
  <c r="J1707" i="1"/>
  <c r="H1707" i="1"/>
  <c r="E1705" i="1"/>
  <c r="H1704" i="1"/>
  <c r="K1703" i="1"/>
  <c r="K1704" i="1" s="1"/>
  <c r="J1703" i="1"/>
  <c r="I1703" i="1"/>
  <c r="I1704" i="1" s="1"/>
  <c r="P1702" i="1"/>
  <c r="H1702" i="1"/>
  <c r="P1695" i="1"/>
  <c r="P1694" i="1"/>
  <c r="Q1694" i="1"/>
  <c r="P1675" i="1"/>
  <c r="P1672" i="1"/>
  <c r="P1579" i="1"/>
  <c r="P1578" i="1"/>
  <c r="P1574" i="1"/>
  <c r="P1565" i="1"/>
  <c r="K1548" i="1"/>
  <c r="J1548" i="1"/>
  <c r="P1541" i="1"/>
  <c r="C1560" i="1"/>
  <c r="E1560" i="1"/>
  <c r="P1522" i="1"/>
  <c r="P1512" i="1"/>
  <c r="P1496" i="1"/>
  <c r="P1491" i="1"/>
  <c r="P1490" i="1"/>
  <c r="P1488" i="1"/>
  <c r="P1486" i="1"/>
  <c r="F1486" i="1"/>
  <c r="E1486" i="1"/>
  <c r="P1485" i="1"/>
  <c r="P1484" i="1"/>
  <c r="P1482" i="1"/>
  <c r="P1481" i="1"/>
  <c r="P1468" i="1"/>
  <c r="P1467" i="1"/>
  <c r="P1466" i="1"/>
  <c r="P1460" i="1"/>
  <c r="P1458" i="1"/>
  <c r="P1459" i="1"/>
  <c r="P1457" i="1"/>
  <c r="P1456" i="1"/>
  <c r="P1446" i="1"/>
  <c r="P1445" i="1"/>
  <c r="P1441" i="1"/>
  <c r="P1439" i="1"/>
  <c r="P1438" i="1"/>
  <c r="F1389" i="1"/>
  <c r="C1389" i="1"/>
  <c r="P1386" i="1"/>
  <c r="P1385" i="1"/>
  <c r="H802" i="1"/>
  <c r="F802" i="1"/>
  <c r="C802" i="1"/>
  <c r="H823" i="1"/>
  <c r="F823" i="1"/>
  <c r="C823" i="1"/>
  <c r="H916" i="1"/>
  <c r="F916" i="1"/>
  <c r="C916" i="1"/>
  <c r="H1163" i="1"/>
  <c r="F1163" i="1"/>
  <c r="C1163" i="1"/>
  <c r="H1372" i="1"/>
  <c r="C1372" i="1"/>
  <c r="F1372" i="1"/>
  <c r="V1369" i="1"/>
  <c r="S1369" i="1"/>
  <c r="P1369" i="1"/>
  <c r="V1368" i="1"/>
  <c r="S1368" i="1"/>
  <c r="R1368" i="1"/>
  <c r="R1369" i="1" s="1"/>
  <c r="Q1368" i="1"/>
  <c r="P1368" i="1"/>
  <c r="V1366" i="1"/>
  <c r="S1366" i="1"/>
  <c r="P1366" i="1"/>
  <c r="W1365" i="1"/>
  <c r="S1365" i="1"/>
  <c r="R1365" i="1"/>
  <c r="R1366" i="1" s="1"/>
  <c r="Q1365" i="1"/>
  <c r="P1365" i="1"/>
  <c r="V1363" i="1"/>
  <c r="S1363" i="1"/>
  <c r="P1363" i="1"/>
  <c r="V1362" i="1"/>
  <c r="S1362" i="1"/>
  <c r="R1362" i="1"/>
  <c r="R1363" i="1" s="1"/>
  <c r="Q1362" i="1"/>
  <c r="P1362" i="1"/>
  <c r="V1359" i="1"/>
  <c r="V1353" i="1"/>
  <c r="S1359" i="1"/>
  <c r="P1359" i="1"/>
  <c r="V1358" i="1"/>
  <c r="S1358" i="1"/>
  <c r="R1358" i="1"/>
  <c r="R1359" i="1" s="1"/>
  <c r="Q1358" i="1"/>
  <c r="P1358" i="1"/>
  <c r="V1356" i="1"/>
  <c r="W1355" i="1"/>
  <c r="Q1355" i="1"/>
  <c r="S1356" i="1"/>
  <c r="P1356" i="1"/>
  <c r="S1355" i="1"/>
  <c r="R1355" i="1"/>
  <c r="R1356" i="1" s="1"/>
  <c r="P1355" i="1"/>
  <c r="V1352" i="1"/>
  <c r="S1353" i="1"/>
  <c r="P1353" i="1"/>
  <c r="S1352" i="1"/>
  <c r="R1352" i="1"/>
  <c r="R1353" i="1" s="1"/>
  <c r="Q1352" i="1"/>
  <c r="P1352" i="1"/>
  <c r="V1261" i="1"/>
  <c r="S1261" i="1"/>
  <c r="G1261" i="1"/>
  <c r="F1261" i="1"/>
  <c r="V1260" i="1"/>
  <c r="S1260" i="1"/>
  <c r="G1260" i="1"/>
  <c r="F1260" i="1"/>
  <c r="V1259" i="1"/>
  <c r="S1259" i="1"/>
  <c r="P1259" i="1"/>
  <c r="V1258" i="1"/>
  <c r="S1258" i="1"/>
  <c r="Q1258" i="1"/>
  <c r="P1258" i="1"/>
  <c r="G1347" i="1"/>
  <c r="G1346" i="1"/>
  <c r="F1347" i="1"/>
  <c r="F1346" i="1"/>
  <c r="G1342" i="1"/>
  <c r="G1341" i="1"/>
  <c r="F1342" i="1"/>
  <c r="F1341" i="1"/>
  <c r="V1347" i="1"/>
  <c r="S1347" i="1"/>
  <c r="V1346" i="1"/>
  <c r="S1346" i="1"/>
  <c r="V1345" i="1"/>
  <c r="S1345" i="1"/>
  <c r="V1344" i="1"/>
  <c r="S1344" i="1"/>
  <c r="Q1344" i="1"/>
  <c r="P1344" i="1"/>
  <c r="V1342" i="1"/>
  <c r="S1342" i="1"/>
  <c r="V1341" i="1"/>
  <c r="S1341" i="1"/>
  <c r="V1340" i="1"/>
  <c r="S1340" i="1"/>
  <c r="V1339" i="1"/>
  <c r="S1339" i="1"/>
  <c r="Q1339" i="1"/>
  <c r="P1339" i="1"/>
  <c r="G1336" i="1"/>
  <c r="F1337" i="1"/>
  <c r="F1336" i="1"/>
  <c r="V1337" i="1"/>
  <c r="S1337" i="1"/>
  <c r="V1336" i="1"/>
  <c r="S1336" i="1"/>
  <c r="V1335" i="1"/>
  <c r="S1335" i="1"/>
  <c r="V1334" i="1"/>
  <c r="S1334" i="1"/>
  <c r="Q1334" i="1"/>
  <c r="G1332" i="1"/>
  <c r="F1332" i="1"/>
  <c r="G1331" i="1"/>
  <c r="F1331" i="1"/>
  <c r="V1332" i="1"/>
  <c r="S1332" i="1"/>
  <c r="V1331" i="1"/>
  <c r="S1331" i="1"/>
  <c r="V1330" i="1"/>
  <c r="S1330" i="1"/>
  <c r="P1330" i="1"/>
  <c r="V1329" i="1"/>
  <c r="S1329" i="1"/>
  <c r="Q1329" i="1"/>
  <c r="P1329" i="1"/>
  <c r="V1326" i="1"/>
  <c r="S1326" i="1"/>
  <c r="V1325" i="1"/>
  <c r="S1325" i="1"/>
  <c r="V1324" i="1"/>
  <c r="S1324" i="1"/>
  <c r="V1323" i="1"/>
  <c r="S1323" i="1"/>
  <c r="Q1323" i="1"/>
  <c r="P1323" i="1"/>
  <c r="V1321" i="1"/>
  <c r="S1321" i="1"/>
  <c r="V1320" i="1"/>
  <c r="S1320" i="1"/>
  <c r="V1319" i="1"/>
  <c r="S1319" i="1"/>
  <c r="V1318" i="1"/>
  <c r="S1318" i="1"/>
  <c r="Q1318" i="1"/>
  <c r="P1318" i="1"/>
  <c r="V1316" i="1"/>
  <c r="S1316" i="1"/>
  <c r="V1315" i="1"/>
  <c r="S1315" i="1"/>
  <c r="V1314" i="1"/>
  <c r="S1314" i="1"/>
  <c r="V1313" i="1"/>
  <c r="S1313" i="1"/>
  <c r="Q1313" i="1"/>
  <c r="P1313" i="1"/>
  <c r="V1311" i="1"/>
  <c r="S1311" i="1"/>
  <c r="V1310" i="1"/>
  <c r="S1310" i="1"/>
  <c r="V1309" i="1"/>
  <c r="S1309" i="1"/>
  <c r="P1309" i="1"/>
  <c r="V1308" i="1"/>
  <c r="S1308" i="1"/>
  <c r="Q1308" i="1"/>
  <c r="P1308" i="1"/>
  <c r="V1304" i="1"/>
  <c r="V1305" i="1"/>
  <c r="V1306" i="1"/>
  <c r="V1303" i="1"/>
  <c r="Q1303" i="1"/>
  <c r="S1306" i="1"/>
  <c r="S1305" i="1"/>
  <c r="S1304" i="1"/>
  <c r="P1304" i="1"/>
  <c r="S1303" i="1"/>
  <c r="F1292" i="1"/>
  <c r="G1292" i="1"/>
  <c r="G1291" i="1"/>
  <c r="F1291" i="1"/>
  <c r="P1181" i="1"/>
  <c r="V1185" i="1"/>
  <c r="S1185" i="1"/>
  <c r="G1185" i="1"/>
  <c r="F1185" i="1"/>
  <c r="V1184" i="1"/>
  <c r="S1184" i="1"/>
  <c r="G1184" i="1"/>
  <c r="F1184" i="1"/>
  <c r="V1183" i="1"/>
  <c r="S1183" i="1"/>
  <c r="P1183" i="1"/>
  <c r="V1182" i="1"/>
  <c r="S1182" i="1"/>
  <c r="R1182" i="1"/>
  <c r="R1183" i="1" s="1"/>
  <c r="R1184" i="1" s="1"/>
  <c r="R1185" i="1" s="1"/>
  <c r="Q1182" i="1"/>
  <c r="P1182" i="1"/>
  <c r="E1182" i="1"/>
  <c r="E1183" i="1" s="1"/>
  <c r="E1184" i="1" s="1"/>
  <c r="E1185" i="1" s="1"/>
  <c r="G1298" i="1"/>
  <c r="G1297" i="1"/>
  <c r="F1298" i="1"/>
  <c r="F1297" i="1"/>
  <c r="V1298" i="1"/>
  <c r="V1297" i="1"/>
  <c r="V1296" i="1"/>
  <c r="V1295" i="1"/>
  <c r="S1298" i="1"/>
  <c r="S1297" i="1"/>
  <c r="S1296" i="1"/>
  <c r="P1296" i="1"/>
  <c r="S1295" i="1"/>
  <c r="R1295" i="1"/>
  <c r="R1296" i="1" s="1"/>
  <c r="R1297" i="1" s="1"/>
  <c r="R1298" i="1" s="1"/>
  <c r="Q1295" i="1"/>
  <c r="P1295" i="1"/>
  <c r="V1292" i="1"/>
  <c r="S1292" i="1"/>
  <c r="V1291" i="1"/>
  <c r="S1291" i="1"/>
  <c r="V1290" i="1"/>
  <c r="S1290" i="1"/>
  <c r="V1289" i="1"/>
  <c r="S1289" i="1"/>
  <c r="Q1289" i="1"/>
  <c r="G1287" i="1"/>
  <c r="G1286" i="1"/>
  <c r="F1287" i="1"/>
  <c r="F1286" i="1"/>
  <c r="V1287" i="1"/>
  <c r="S1287" i="1"/>
  <c r="V1286" i="1"/>
  <c r="S1286" i="1"/>
  <c r="V1285" i="1"/>
  <c r="S1285" i="1"/>
  <c r="P1285" i="1"/>
  <c r="V1284" i="1"/>
  <c r="S1284" i="1"/>
  <c r="Q1284" i="1"/>
  <c r="P1284" i="1"/>
  <c r="G1282" i="1"/>
  <c r="F1282" i="1"/>
  <c r="G1281" i="1"/>
  <c r="F1281" i="1"/>
  <c r="V1282" i="1"/>
  <c r="S1282" i="1"/>
  <c r="V1281" i="1"/>
  <c r="S1281" i="1"/>
  <c r="V1280" i="1"/>
  <c r="S1280" i="1"/>
  <c r="V1279" i="1"/>
  <c r="S1279" i="1"/>
  <c r="Q1279" i="1"/>
  <c r="V1277" i="1"/>
  <c r="S1277" i="1"/>
  <c r="G1277" i="1"/>
  <c r="F1277" i="1"/>
  <c r="V1276" i="1"/>
  <c r="S1276" i="1"/>
  <c r="G1276" i="1"/>
  <c r="F1276" i="1"/>
  <c r="V1275" i="1"/>
  <c r="S1275" i="1"/>
  <c r="P1275" i="1"/>
  <c r="V1274" i="1"/>
  <c r="S1274" i="1"/>
  <c r="Q1274" i="1"/>
  <c r="P1274" i="1"/>
  <c r="V1271" i="1"/>
  <c r="S1271" i="1"/>
  <c r="V1270" i="1"/>
  <c r="S1270" i="1"/>
  <c r="V1269" i="1"/>
  <c r="S1269" i="1"/>
  <c r="P1269" i="1"/>
  <c r="V1268" i="1"/>
  <c r="S1268" i="1"/>
  <c r="Q1268" i="1"/>
  <c r="P1268" i="1"/>
  <c r="V1266" i="1"/>
  <c r="S1266" i="1"/>
  <c r="V1265" i="1"/>
  <c r="S1265" i="1"/>
  <c r="V1264" i="1"/>
  <c r="S1264" i="1"/>
  <c r="P1264" i="1"/>
  <c r="V1263" i="1"/>
  <c r="S1263" i="1"/>
  <c r="Q1263" i="1"/>
  <c r="P1263" i="1"/>
  <c r="V1256" i="1"/>
  <c r="S1256" i="1"/>
  <c r="V1255" i="1"/>
  <c r="S1255" i="1"/>
  <c r="V1254" i="1"/>
  <c r="S1254" i="1"/>
  <c r="V1253" i="1"/>
  <c r="S1253" i="1"/>
  <c r="Q1253" i="1"/>
  <c r="P1253" i="1"/>
  <c r="V1251" i="1"/>
  <c r="S1251" i="1"/>
  <c r="V1250" i="1"/>
  <c r="S1250" i="1"/>
  <c r="V1249" i="1"/>
  <c r="S1249" i="1"/>
  <c r="P1249" i="1"/>
  <c r="V1248" i="1"/>
  <c r="S1248" i="1"/>
  <c r="Q1248" i="1"/>
  <c r="P1248" i="1"/>
  <c r="V1246" i="1"/>
  <c r="S1246" i="1"/>
  <c r="V1245" i="1"/>
  <c r="S1245" i="1"/>
  <c r="V1244" i="1"/>
  <c r="S1244" i="1"/>
  <c r="P1244" i="1"/>
  <c r="V1243" i="1"/>
  <c r="S1243" i="1"/>
  <c r="Q1243" i="1"/>
  <c r="G1238" i="1"/>
  <c r="F1238" i="1"/>
  <c r="G1237" i="1"/>
  <c r="F1237" i="1"/>
  <c r="V1238" i="1"/>
  <c r="S1238" i="1"/>
  <c r="V1237" i="1"/>
  <c r="S1237" i="1"/>
  <c r="V1236" i="1"/>
  <c r="S1236" i="1"/>
  <c r="P1236" i="1"/>
  <c r="V1235" i="1"/>
  <c r="S1235" i="1"/>
  <c r="Q1235" i="1"/>
  <c r="P1235" i="1"/>
  <c r="G1233" i="1"/>
  <c r="G1232" i="1"/>
  <c r="F1233" i="1"/>
  <c r="F1232" i="1"/>
  <c r="V1233" i="1"/>
  <c r="S1233" i="1"/>
  <c r="V1232" i="1"/>
  <c r="S1232" i="1"/>
  <c r="V1231" i="1"/>
  <c r="S1231" i="1"/>
  <c r="P1231" i="1"/>
  <c r="V1230" i="1"/>
  <c r="S1230" i="1"/>
  <c r="Q1230" i="1"/>
  <c r="P1230" i="1"/>
  <c r="G1228" i="1"/>
  <c r="F1228" i="1"/>
  <c r="G1227" i="1"/>
  <c r="F1227" i="1"/>
  <c r="V1228" i="1"/>
  <c r="S1228" i="1"/>
  <c r="V1227" i="1"/>
  <c r="S1227" i="1"/>
  <c r="V1226" i="1"/>
  <c r="S1226" i="1"/>
  <c r="V1225" i="1"/>
  <c r="S1225" i="1"/>
  <c r="Q1225" i="1"/>
  <c r="G1223" i="1"/>
  <c r="F1223" i="1"/>
  <c r="G1222" i="1"/>
  <c r="F1222" i="1"/>
  <c r="V1223" i="1"/>
  <c r="S1223" i="1"/>
  <c r="V1222" i="1"/>
  <c r="S1222" i="1"/>
  <c r="V1221" i="1"/>
  <c r="S1221" i="1"/>
  <c r="P1221" i="1"/>
  <c r="V1220" i="1"/>
  <c r="S1220" i="1"/>
  <c r="Q1220" i="1"/>
  <c r="P1220" i="1"/>
  <c r="V1217" i="1"/>
  <c r="S1217" i="1"/>
  <c r="V1216" i="1"/>
  <c r="S1216" i="1"/>
  <c r="V1215" i="1"/>
  <c r="S1215" i="1"/>
  <c r="P1215" i="1"/>
  <c r="V1214" i="1"/>
  <c r="S1214" i="1"/>
  <c r="Q1214" i="1"/>
  <c r="P1214" i="1"/>
  <c r="V1212" i="1"/>
  <c r="S1212" i="1"/>
  <c r="V1211" i="1"/>
  <c r="S1211" i="1"/>
  <c r="V1210" i="1"/>
  <c r="S1210" i="1"/>
  <c r="P1210" i="1"/>
  <c r="V1209" i="1"/>
  <c r="S1209" i="1"/>
  <c r="Q1209" i="1"/>
  <c r="P1209" i="1"/>
  <c r="V1207" i="1"/>
  <c r="S1207" i="1"/>
  <c r="V1206" i="1"/>
  <c r="S1206" i="1"/>
  <c r="V1205" i="1"/>
  <c r="S1205" i="1"/>
  <c r="V1204" i="1"/>
  <c r="S1204" i="1"/>
  <c r="Q1204" i="1"/>
  <c r="P1204" i="1"/>
  <c r="V1202" i="1"/>
  <c r="S1202" i="1"/>
  <c r="V1201" i="1"/>
  <c r="S1201" i="1"/>
  <c r="V1200" i="1"/>
  <c r="S1200" i="1"/>
  <c r="P1200" i="1"/>
  <c r="V1199" i="1"/>
  <c r="S1199" i="1"/>
  <c r="Q1199" i="1"/>
  <c r="V1197" i="1"/>
  <c r="S1197" i="1"/>
  <c r="V1196" i="1"/>
  <c r="S1196" i="1"/>
  <c r="V1195" i="1"/>
  <c r="S1195" i="1"/>
  <c r="P1195" i="1"/>
  <c r="V1194" i="1"/>
  <c r="S1194" i="1"/>
  <c r="Q1194" i="1"/>
  <c r="P1194" i="1"/>
  <c r="V1190" i="1"/>
  <c r="V1189" i="1"/>
  <c r="V1191" i="1"/>
  <c r="Q1189" i="1"/>
  <c r="V1192" i="1"/>
  <c r="S1192" i="1"/>
  <c r="S1191" i="1"/>
  <c r="S1190" i="1"/>
  <c r="P1190" i="1"/>
  <c r="S1189" i="1"/>
  <c r="P1176" i="1"/>
  <c r="Q1176" i="1"/>
  <c r="V1177" i="1"/>
  <c r="V1178" i="1"/>
  <c r="V1179" i="1"/>
  <c r="V1176" i="1"/>
  <c r="S1179" i="1"/>
  <c r="S1178" i="1"/>
  <c r="S1177" i="1"/>
  <c r="S1176" i="1"/>
  <c r="V1122" i="1"/>
  <c r="G1122" i="1"/>
  <c r="F1122" i="1"/>
  <c r="V1121" i="1"/>
  <c r="W1121" i="1" s="1"/>
  <c r="C1121" i="1" s="1"/>
  <c r="W1120" i="1"/>
  <c r="S1120" i="1"/>
  <c r="W1119" i="1"/>
  <c r="S1119" i="1"/>
  <c r="R1119" i="1"/>
  <c r="R1120" i="1" s="1"/>
  <c r="R1121" i="1" s="1"/>
  <c r="R1122" i="1" s="1"/>
  <c r="Q1119" i="1"/>
  <c r="P1119" i="1"/>
  <c r="E1119" i="1"/>
  <c r="N1119" i="1" s="1"/>
  <c r="V1052" i="1"/>
  <c r="G1052" i="1"/>
  <c r="F1052" i="1"/>
  <c r="V1051" i="1"/>
  <c r="W1051" i="1" s="1"/>
  <c r="C1051" i="1" s="1"/>
  <c r="W1050" i="1"/>
  <c r="S1050" i="1"/>
  <c r="W1049" i="1"/>
  <c r="S1049" i="1"/>
  <c r="Q1049" i="1"/>
  <c r="E1048" i="1"/>
  <c r="C1048" i="1"/>
  <c r="V1160" i="1"/>
  <c r="V1159" i="1"/>
  <c r="W1159" i="1" s="1"/>
  <c r="C1159" i="1" s="1"/>
  <c r="W1158" i="1"/>
  <c r="S1158" i="1"/>
  <c r="W1157" i="1"/>
  <c r="S1157" i="1"/>
  <c r="S1156" i="1"/>
  <c r="S1155" i="1"/>
  <c r="R1155" i="1"/>
  <c r="R1156" i="1" s="1"/>
  <c r="R1157" i="1" s="1"/>
  <c r="R1158" i="1" s="1"/>
  <c r="R1159" i="1" s="1"/>
  <c r="R1160" i="1" s="1"/>
  <c r="Q1155" i="1"/>
  <c r="P1155" i="1"/>
  <c r="W1151" i="1"/>
  <c r="V1153" i="1"/>
  <c r="V1152" i="1"/>
  <c r="W1152" i="1" s="1"/>
  <c r="C1152" i="1" s="1"/>
  <c r="S1151" i="1"/>
  <c r="W1150" i="1"/>
  <c r="S1150" i="1"/>
  <c r="S1149" i="1"/>
  <c r="S1148" i="1"/>
  <c r="R1148" i="1"/>
  <c r="R1149" i="1" s="1"/>
  <c r="R1150" i="1" s="1"/>
  <c r="R1151" i="1" s="1"/>
  <c r="R1152" i="1" s="1"/>
  <c r="R1153" i="1" s="1"/>
  <c r="Q1148" i="1"/>
  <c r="P1148" i="1"/>
  <c r="X1151" i="1" s="1"/>
  <c r="V1145" i="1"/>
  <c r="V1144" i="1"/>
  <c r="W1144" i="1" s="1"/>
  <c r="C1144" i="1" s="1"/>
  <c r="S1143" i="1"/>
  <c r="S1142" i="1"/>
  <c r="S1141" i="1"/>
  <c r="S1140" i="1"/>
  <c r="R1140" i="1"/>
  <c r="R1141" i="1" s="1"/>
  <c r="R1142" i="1" s="1"/>
  <c r="R1143" i="1" s="1"/>
  <c r="R1144" i="1" s="1"/>
  <c r="R1145" i="1" s="1"/>
  <c r="Q1140" i="1"/>
  <c r="P1140" i="1"/>
  <c r="V1137" i="1"/>
  <c r="V1136" i="1"/>
  <c r="W1136" i="1" s="1"/>
  <c r="C1136" i="1" s="1"/>
  <c r="W1135" i="1"/>
  <c r="S1135" i="1"/>
  <c r="W1134" i="1"/>
  <c r="S1134" i="1"/>
  <c r="R1134" i="1"/>
  <c r="R1135" i="1" s="1"/>
  <c r="R1136" i="1" s="1"/>
  <c r="R1137" i="1" s="1"/>
  <c r="Q1134" i="1"/>
  <c r="V1132" i="1"/>
  <c r="V1131" i="1"/>
  <c r="W1131" i="1" s="1"/>
  <c r="C1131" i="1" s="1"/>
  <c r="W1130" i="1"/>
  <c r="S1130" i="1"/>
  <c r="W1129" i="1"/>
  <c r="S1129" i="1"/>
  <c r="R1129" i="1"/>
  <c r="R1130" i="1" s="1"/>
  <c r="R1131" i="1" s="1"/>
  <c r="R1132" i="1" s="1"/>
  <c r="Q1129" i="1"/>
  <c r="P1129" i="1"/>
  <c r="V1126" i="1"/>
  <c r="W1125" i="1"/>
  <c r="S1125" i="1"/>
  <c r="W1124" i="1"/>
  <c r="S1124" i="1"/>
  <c r="P1124" i="1"/>
  <c r="V1117" i="1"/>
  <c r="V1116" i="1"/>
  <c r="W1116" i="1" s="1"/>
  <c r="C1116" i="1" s="1"/>
  <c r="W1115" i="1"/>
  <c r="S1115" i="1"/>
  <c r="W1114" i="1"/>
  <c r="S1114" i="1"/>
  <c r="R1114" i="1"/>
  <c r="R1115" i="1" s="1"/>
  <c r="R1116" i="1" s="1"/>
  <c r="R1117" i="1" s="1"/>
  <c r="Q1114" i="1"/>
  <c r="P1114" i="1"/>
  <c r="V1112" i="1"/>
  <c r="V1111" i="1"/>
  <c r="W1111" i="1" s="1"/>
  <c r="C1111" i="1" s="1"/>
  <c r="W1110" i="1"/>
  <c r="S1110" i="1"/>
  <c r="W1109" i="1"/>
  <c r="S1109" i="1"/>
  <c r="R1109" i="1"/>
  <c r="R1110" i="1" s="1"/>
  <c r="R1111" i="1" s="1"/>
  <c r="R1112" i="1" s="1"/>
  <c r="Q1109" i="1"/>
  <c r="P1109" i="1"/>
  <c r="V1107" i="1"/>
  <c r="V1106" i="1"/>
  <c r="W1106" i="1" s="1"/>
  <c r="C1106" i="1" s="1"/>
  <c r="W1105" i="1"/>
  <c r="S1105" i="1"/>
  <c r="W1104" i="1"/>
  <c r="S1104" i="1"/>
  <c r="R1104" i="1"/>
  <c r="R1105" i="1" s="1"/>
  <c r="R1106" i="1" s="1"/>
  <c r="R1107" i="1" s="1"/>
  <c r="Q1104" i="1"/>
  <c r="P1104" i="1"/>
  <c r="V1101" i="1"/>
  <c r="V1100" i="1"/>
  <c r="W1100" i="1" s="1"/>
  <c r="C1100" i="1" s="1"/>
  <c r="W1099" i="1"/>
  <c r="S1099" i="1"/>
  <c r="W1098" i="1"/>
  <c r="S1098" i="1"/>
  <c r="V1093" i="1"/>
  <c r="V1092" i="1"/>
  <c r="W1092" i="1" s="1"/>
  <c r="C1092" i="1" s="1"/>
  <c r="S1091" i="1"/>
  <c r="S1090" i="1"/>
  <c r="S1089" i="1"/>
  <c r="S1088" i="1"/>
  <c r="R1088" i="1"/>
  <c r="R1089" i="1" s="1"/>
  <c r="R1090" i="1" s="1"/>
  <c r="R1091" i="1" s="1"/>
  <c r="R1092" i="1" s="1"/>
  <c r="R1093" i="1" s="1"/>
  <c r="Q1088" i="1"/>
  <c r="P1088" i="1"/>
  <c r="V1085" i="1"/>
  <c r="V1084" i="1"/>
  <c r="W1084" i="1" s="1"/>
  <c r="C1084" i="1" s="1"/>
  <c r="W1083" i="1"/>
  <c r="S1083" i="1"/>
  <c r="W1082" i="1"/>
  <c r="S1082" i="1"/>
  <c r="W1081" i="1"/>
  <c r="S1081" i="1"/>
  <c r="W1080" i="1"/>
  <c r="S1080" i="1"/>
  <c r="Q1080" i="1"/>
  <c r="V1077" i="1"/>
  <c r="V1076" i="1"/>
  <c r="W1076" i="1" s="1"/>
  <c r="C1076" i="1" s="1"/>
  <c r="W1075" i="1"/>
  <c r="S1075" i="1"/>
  <c r="W1074" i="1"/>
  <c r="S1074" i="1"/>
  <c r="Q1074" i="1"/>
  <c r="V1072" i="1"/>
  <c r="V1071" i="1"/>
  <c r="W1071" i="1" s="1"/>
  <c r="C1071" i="1" s="1"/>
  <c r="W1070" i="1"/>
  <c r="S1070" i="1"/>
  <c r="W1069" i="1"/>
  <c r="S1069" i="1"/>
  <c r="Q1069" i="1"/>
  <c r="V1067" i="1"/>
  <c r="W1067" i="1" s="1"/>
  <c r="C1067" i="1" s="1"/>
  <c r="W1066" i="1"/>
  <c r="S1066" i="1"/>
  <c r="W1065" i="1"/>
  <c r="S1065" i="1"/>
  <c r="V1063" i="1"/>
  <c r="V1062" i="1"/>
  <c r="W1062" i="1" s="1"/>
  <c r="C1062" i="1" s="1"/>
  <c r="W1061" i="1"/>
  <c r="S1061" i="1"/>
  <c r="W1060" i="1"/>
  <c r="S1060" i="1"/>
  <c r="Q1060" i="1"/>
  <c r="V1058" i="1"/>
  <c r="V1057" i="1"/>
  <c r="W1057" i="1" s="1"/>
  <c r="C1057" i="1" s="1"/>
  <c r="W1056" i="1"/>
  <c r="S1056" i="1"/>
  <c r="W1055" i="1"/>
  <c r="S1055" i="1"/>
  <c r="V1047" i="1"/>
  <c r="V1046" i="1"/>
  <c r="W1046" i="1" s="1"/>
  <c r="C1046" i="1" s="1"/>
  <c r="W1045" i="1"/>
  <c r="S1045" i="1"/>
  <c r="W1044" i="1"/>
  <c r="S1044" i="1"/>
  <c r="V1039" i="1"/>
  <c r="V1038" i="1"/>
  <c r="W1038" i="1" s="1"/>
  <c r="C1038" i="1" s="1"/>
  <c r="S1037" i="1"/>
  <c r="W1036" i="1"/>
  <c r="S1036" i="1"/>
  <c r="W1035" i="1"/>
  <c r="S1035" i="1"/>
  <c r="W1034" i="1"/>
  <c r="S1034" i="1"/>
  <c r="R1034" i="1"/>
  <c r="R1035" i="1" s="1"/>
  <c r="R1036" i="1" s="1"/>
  <c r="R1037" i="1" s="1"/>
  <c r="R1038" i="1" s="1"/>
  <c r="R1039" i="1" s="1"/>
  <c r="Q1034" i="1"/>
  <c r="P1034" i="1"/>
  <c r="V1031" i="1"/>
  <c r="W1030" i="1"/>
  <c r="S1030" i="1"/>
  <c r="W1029" i="1"/>
  <c r="S1029" i="1"/>
  <c r="W1024" i="1"/>
  <c r="W1023" i="1"/>
  <c r="W1022" i="1"/>
  <c r="W1021" i="1"/>
  <c r="S1022" i="1"/>
  <c r="V1026" i="1"/>
  <c r="V1025" i="1"/>
  <c r="W1025" i="1" s="1"/>
  <c r="C1025" i="1" s="1"/>
  <c r="S1024" i="1"/>
  <c r="S1023" i="1"/>
  <c r="S1021" i="1"/>
  <c r="R1021" i="1"/>
  <c r="R1022" i="1" s="1"/>
  <c r="R1023" i="1" s="1"/>
  <c r="Q1021" i="1"/>
  <c r="P1021" i="1"/>
  <c r="S1016" i="1"/>
  <c r="W1016" i="1"/>
  <c r="V1018" i="1"/>
  <c r="V1017" i="1"/>
  <c r="W1017" i="1" s="1"/>
  <c r="C1017" i="1" s="1"/>
  <c r="W1015" i="1"/>
  <c r="S1015" i="1"/>
  <c r="W1014" i="1"/>
  <c r="S1014" i="1"/>
  <c r="Q1014" i="1"/>
  <c r="P1014" i="1"/>
  <c r="V1011" i="1"/>
  <c r="V1010" i="1"/>
  <c r="W1010" i="1" s="1"/>
  <c r="C1010" i="1" s="1"/>
  <c r="W1009" i="1"/>
  <c r="S1009" i="1"/>
  <c r="W1008" i="1"/>
  <c r="S1008" i="1"/>
  <c r="Q1008" i="1"/>
  <c r="V1006" i="1"/>
  <c r="W1005" i="1"/>
  <c r="S1005" i="1"/>
  <c r="W1004" i="1"/>
  <c r="S1004" i="1"/>
  <c r="V1001" i="1"/>
  <c r="V1000" i="1"/>
  <c r="W1000" i="1" s="1"/>
  <c r="C1000" i="1" s="1"/>
  <c r="W999" i="1"/>
  <c r="S999" i="1"/>
  <c r="W998" i="1"/>
  <c r="S998" i="1"/>
  <c r="Q998" i="1"/>
  <c r="V996" i="1"/>
  <c r="V995" i="1"/>
  <c r="W995" i="1" s="1"/>
  <c r="W994" i="1"/>
  <c r="S994" i="1"/>
  <c r="W993" i="1"/>
  <c r="S993" i="1"/>
  <c r="R993" i="1"/>
  <c r="R994" i="1" s="1"/>
  <c r="R995" i="1" s="1"/>
  <c r="R996" i="1" s="1"/>
  <c r="Q993" i="1"/>
  <c r="P993" i="1"/>
  <c r="V990" i="1"/>
  <c r="V989" i="1"/>
  <c r="W989" i="1" s="1"/>
  <c r="C989" i="1" s="1"/>
  <c r="W988" i="1"/>
  <c r="S988" i="1"/>
  <c r="W987" i="1"/>
  <c r="S987" i="1"/>
  <c r="Q987" i="1"/>
  <c r="V985" i="1"/>
  <c r="V984" i="1"/>
  <c r="W984" i="1" s="1"/>
  <c r="C984" i="1" s="1"/>
  <c r="W983" i="1"/>
  <c r="S983" i="1"/>
  <c r="W982" i="1"/>
  <c r="S982" i="1"/>
  <c r="R982" i="1"/>
  <c r="R983" i="1" s="1"/>
  <c r="R984" i="1" s="1"/>
  <c r="R985" i="1" s="1"/>
  <c r="Q982" i="1"/>
  <c r="P982" i="1"/>
  <c r="V977" i="1"/>
  <c r="V976" i="1"/>
  <c r="W976" i="1" s="1"/>
  <c r="C976" i="1" s="1"/>
  <c r="W975" i="1"/>
  <c r="S975" i="1"/>
  <c r="W974" i="1"/>
  <c r="S974" i="1"/>
  <c r="V972" i="1"/>
  <c r="V971" i="1"/>
  <c r="W970" i="1"/>
  <c r="S970" i="1"/>
  <c r="W969" i="1"/>
  <c r="S969" i="1"/>
  <c r="Q969" i="1"/>
  <c r="V966" i="1"/>
  <c r="V965" i="1"/>
  <c r="W964" i="1"/>
  <c r="S964" i="1"/>
  <c r="P964" i="1"/>
  <c r="W963" i="1"/>
  <c r="S963" i="1"/>
  <c r="Q963" i="1"/>
  <c r="P959" i="1"/>
  <c r="V961" i="1"/>
  <c r="V960" i="1"/>
  <c r="W959" i="1"/>
  <c r="S959" i="1"/>
  <c r="W958" i="1"/>
  <c r="S958" i="1"/>
  <c r="Q958" i="1"/>
  <c r="V955" i="1"/>
  <c r="V954" i="1"/>
  <c r="W953" i="1"/>
  <c r="S953" i="1"/>
  <c r="W952" i="1"/>
  <c r="S952" i="1"/>
  <c r="Q952" i="1"/>
  <c r="V950" i="1"/>
  <c r="V949" i="1"/>
  <c r="W948" i="1"/>
  <c r="S948" i="1"/>
  <c r="W947" i="1"/>
  <c r="S947" i="1"/>
  <c r="V945" i="1"/>
  <c r="V944" i="1"/>
  <c r="W943" i="1"/>
  <c r="S943" i="1"/>
  <c r="W942" i="1"/>
  <c r="S942" i="1"/>
  <c r="Q942" i="1"/>
  <c r="W936" i="1"/>
  <c r="W931" i="1"/>
  <c r="V938" i="1"/>
  <c r="V937" i="1"/>
  <c r="S936" i="1"/>
  <c r="S935" i="1"/>
  <c r="Q935" i="1"/>
  <c r="Q930" i="1"/>
  <c r="V933" i="1"/>
  <c r="V932" i="1"/>
  <c r="S930" i="1"/>
  <c r="S931" i="1"/>
  <c r="V911" i="1"/>
  <c r="V910" i="1"/>
  <c r="W910" i="1" s="1"/>
  <c r="W908" i="1"/>
  <c r="S908" i="1"/>
  <c r="R908" i="1"/>
  <c r="R910" i="1" s="1"/>
  <c r="R911" i="1" s="1"/>
  <c r="R912" i="1" s="1"/>
  <c r="P908" i="1"/>
  <c r="X912" i="1"/>
  <c r="V912" i="1"/>
  <c r="E912" i="1"/>
  <c r="V905" i="1"/>
  <c r="V904" i="1"/>
  <c r="W904" i="1" s="1"/>
  <c r="W902" i="1"/>
  <c r="S902" i="1"/>
  <c r="Q902" i="1"/>
  <c r="P902" i="1"/>
  <c r="X906" i="1"/>
  <c r="V906" i="1"/>
  <c r="V893" i="1"/>
  <c r="V892" i="1"/>
  <c r="W892" i="1" s="1"/>
  <c r="W890" i="1"/>
  <c r="S890" i="1"/>
  <c r="F897" i="1"/>
  <c r="G897" i="1"/>
  <c r="C895" i="1"/>
  <c r="X898" i="1"/>
  <c r="V898" i="1"/>
  <c r="V887" i="1"/>
  <c r="V886" i="1"/>
  <c r="W886" i="1" s="1"/>
  <c r="W884" i="1"/>
  <c r="S884" i="1"/>
  <c r="Q884" i="1"/>
  <c r="P884" i="1"/>
  <c r="X888" i="1"/>
  <c r="V888" i="1"/>
  <c r="F879" i="1"/>
  <c r="G879" i="1"/>
  <c r="V875" i="1"/>
  <c r="V874" i="1"/>
  <c r="W874" i="1" s="1"/>
  <c r="W872" i="1"/>
  <c r="S872" i="1"/>
  <c r="R872" i="1"/>
  <c r="R874" i="1" s="1"/>
  <c r="R875" i="1" s="1"/>
  <c r="R880" i="1" s="1"/>
  <c r="P872" i="1"/>
  <c r="X880" i="1"/>
  <c r="V880" i="1"/>
  <c r="V868" i="1"/>
  <c r="X869" i="1"/>
  <c r="V869" i="1"/>
  <c r="V867" i="1"/>
  <c r="W867" i="1" s="1"/>
  <c r="W865" i="1"/>
  <c r="S865" i="1"/>
  <c r="F859" i="1"/>
  <c r="G859" i="1"/>
  <c r="X857" i="1"/>
  <c r="V857" i="1"/>
  <c r="V855" i="1"/>
  <c r="V854" i="1"/>
  <c r="W852" i="1"/>
  <c r="S852" i="1"/>
  <c r="G849" i="1"/>
  <c r="F849" i="1"/>
  <c r="V845" i="1"/>
  <c r="X847" i="1"/>
  <c r="V847" i="1"/>
  <c r="C844" i="1"/>
  <c r="C845" i="1" s="1"/>
  <c r="C846" i="1" s="1"/>
  <c r="G842" i="1"/>
  <c r="W842" i="1"/>
  <c r="W836" i="1"/>
  <c r="V844" i="1"/>
  <c r="S842" i="1"/>
  <c r="R842" i="1"/>
  <c r="R844" i="1" s="1"/>
  <c r="R845" i="1" s="1"/>
  <c r="R847" i="1" s="1"/>
  <c r="S836" i="1"/>
  <c r="K916" i="1"/>
  <c r="X839" i="1"/>
  <c r="V838" i="1"/>
  <c r="V839" i="1"/>
  <c r="V820" i="1"/>
  <c r="U820" i="1"/>
  <c r="S820" i="1"/>
  <c r="V819" i="1"/>
  <c r="W819" i="1" s="1"/>
  <c r="C819" i="1" s="1"/>
  <c r="U819" i="1"/>
  <c r="S819" i="1"/>
  <c r="V818" i="1"/>
  <c r="W818" i="1" s="1"/>
  <c r="U818" i="1"/>
  <c r="S818" i="1"/>
  <c r="V817" i="1"/>
  <c r="U817" i="1"/>
  <c r="S817" i="1"/>
  <c r="Q817" i="1"/>
  <c r="S816" i="1"/>
  <c r="U816" i="1"/>
  <c r="V816" i="1"/>
  <c r="U815" i="1"/>
  <c r="U814" i="1"/>
  <c r="U813" i="1"/>
  <c r="S814" i="1"/>
  <c r="S815" i="1"/>
  <c r="S813" i="1"/>
  <c r="V815" i="1"/>
  <c r="W815" i="1" s="1"/>
  <c r="C815" i="1" s="1"/>
  <c r="V813" i="1"/>
  <c r="Q813" i="1"/>
  <c r="V814" i="1"/>
  <c r="W814" i="1" s="1"/>
  <c r="N798" i="1"/>
  <c r="P799" i="1"/>
  <c r="W798" i="1" s="1"/>
  <c r="X798" i="1"/>
  <c r="V795" i="1"/>
  <c r="V794" i="1"/>
  <c r="P795" i="1"/>
  <c r="U795" i="1"/>
  <c r="S795" i="1"/>
  <c r="U794" i="1"/>
  <c r="S794" i="1"/>
  <c r="V792" i="1"/>
  <c r="V791" i="1"/>
  <c r="U792" i="1"/>
  <c r="U791" i="1"/>
  <c r="S792" i="1"/>
  <c r="S791" i="1"/>
  <c r="P792" i="1"/>
  <c r="G782" i="1"/>
  <c r="F782" i="1"/>
  <c r="E782" i="1"/>
  <c r="C782" i="1"/>
  <c r="E747" i="1"/>
  <c r="F747" i="1"/>
  <c r="G747" i="1"/>
  <c r="E739" i="1"/>
  <c r="F739" i="1"/>
  <c r="G739" i="1"/>
  <c r="E740" i="1"/>
  <c r="F740" i="1"/>
  <c r="G740" i="1"/>
  <c r="E741" i="1"/>
  <c r="F741" i="1"/>
  <c r="G741" i="1"/>
  <c r="E729" i="1"/>
  <c r="F729" i="1"/>
  <c r="G729" i="1"/>
  <c r="E730" i="1"/>
  <c r="F730" i="1"/>
  <c r="G730" i="1"/>
  <c r="G727" i="1"/>
  <c r="F727" i="1"/>
  <c r="E727" i="1"/>
  <c r="E725" i="1"/>
  <c r="F725" i="1"/>
  <c r="G725" i="1"/>
  <c r="G712" i="1"/>
  <c r="F713" i="1"/>
  <c r="G713" i="1"/>
  <c r="F714" i="1"/>
  <c r="G714" i="1"/>
  <c r="F715" i="1"/>
  <c r="G715" i="1"/>
  <c r="F716" i="1"/>
  <c r="G716" i="1"/>
  <c r="F717" i="1"/>
  <c r="G717" i="1"/>
  <c r="F718" i="1"/>
  <c r="G718" i="1"/>
  <c r="F719" i="1"/>
  <c r="G719" i="1"/>
  <c r="F720" i="1"/>
  <c r="G720" i="1"/>
  <c r="G711" i="1"/>
  <c r="F711" i="1"/>
  <c r="E711" i="1"/>
  <c r="C711" i="1"/>
  <c r="P718" i="1"/>
  <c r="P714" i="1"/>
  <c r="E687" i="1"/>
  <c r="E688" i="1"/>
  <c r="E689" i="1"/>
  <c r="E690" i="1"/>
  <c r="E691" i="1"/>
  <c r="E692" i="1"/>
  <c r="E693" i="1"/>
  <c r="E694" i="1"/>
  <c r="E686" i="1"/>
  <c r="G687" i="1"/>
  <c r="F688" i="1"/>
  <c r="G688" i="1"/>
  <c r="F689" i="1"/>
  <c r="G689" i="1"/>
  <c r="F690" i="1"/>
  <c r="G690" i="1"/>
  <c r="F691" i="1"/>
  <c r="G691" i="1"/>
  <c r="F692" i="1"/>
  <c r="G692" i="1"/>
  <c r="F693" i="1"/>
  <c r="G693" i="1"/>
  <c r="F694" i="1"/>
  <c r="G694" i="1"/>
  <c r="G686" i="1"/>
  <c r="F686" i="1"/>
  <c r="C687" i="1"/>
  <c r="C688" i="1"/>
  <c r="C689" i="1"/>
  <c r="C690" i="1"/>
  <c r="C691" i="1"/>
  <c r="C692" i="1"/>
  <c r="C693" i="1"/>
  <c r="C694" i="1"/>
  <c r="C686" i="1"/>
  <c r="P693" i="1"/>
  <c r="P689" i="1"/>
  <c r="P654" i="1"/>
  <c r="M654" i="1"/>
  <c r="P648" i="1"/>
  <c r="M648" i="1"/>
  <c r="I639" i="1"/>
  <c r="H639" i="1"/>
  <c r="G639" i="1"/>
  <c r="F639" i="1"/>
  <c r="E639" i="1"/>
  <c r="C639" i="1"/>
  <c r="P637" i="1"/>
  <c r="M637" i="1"/>
  <c r="P631" i="1"/>
  <c r="M631" i="1"/>
  <c r="P620" i="1"/>
  <c r="M620" i="1"/>
  <c r="P613" i="1"/>
  <c r="G613" i="1"/>
  <c r="M613" i="1" s="1"/>
  <c r="I603" i="1"/>
  <c r="H603" i="1"/>
  <c r="G603" i="1"/>
  <c r="F603" i="1"/>
  <c r="E603" i="1"/>
  <c r="E604" i="1" s="1"/>
  <c r="C603" i="1"/>
  <c r="C604" i="1" s="1"/>
  <c r="E12" i="11" l="1"/>
  <c r="F8" i="13" s="1"/>
  <c r="M92" i="11"/>
  <c r="M1836" i="1"/>
  <c r="E56" i="37"/>
  <c r="M1410" i="1"/>
  <c r="M1407" i="1"/>
  <c r="M1408" i="1"/>
  <c r="M1409" i="1"/>
  <c r="M1818" i="1"/>
  <c r="M1839" i="1"/>
  <c r="M1804" i="1"/>
  <c r="M10" i="1"/>
  <c r="N9" i="1" s="1"/>
  <c r="D12" i="11" s="1"/>
  <c r="C12" i="11" s="1"/>
  <c r="M1803" i="1"/>
  <c r="M1819" i="1"/>
  <c r="M1800" i="1"/>
  <c r="M1806" i="1"/>
  <c r="M1815" i="1"/>
  <c r="M1796" i="1"/>
  <c r="M1854" i="1"/>
  <c r="M1833" i="1"/>
  <c r="M1813" i="1"/>
  <c r="M1853" i="1"/>
  <c r="M1752" i="1"/>
  <c r="M1781" i="1"/>
  <c r="M1741" i="1"/>
  <c r="M1760" i="1"/>
  <c r="M1753" i="1"/>
  <c r="M1777" i="1"/>
  <c r="M1736" i="1"/>
  <c r="M1725" i="1"/>
  <c r="E1762" i="1"/>
  <c r="M1718" i="1"/>
  <c r="M1737" i="1"/>
  <c r="M1735" i="1"/>
  <c r="M1734" i="1"/>
  <c r="M1723" i="1"/>
  <c r="M1724" i="1"/>
  <c r="I1787" i="1"/>
  <c r="I1830" i="1"/>
  <c r="M1830" i="1" s="1"/>
  <c r="E1715" i="1"/>
  <c r="E1711" i="1"/>
  <c r="F1776" i="1"/>
  <c r="M1776" i="1" s="1"/>
  <c r="H1761" i="1"/>
  <c r="K1813" i="1"/>
  <c r="K1814" i="1" s="1"/>
  <c r="K1815" i="1" s="1"/>
  <c r="K1818" i="1"/>
  <c r="K1819" i="1" s="1"/>
  <c r="K1820" i="1" s="1"/>
  <c r="K1821" i="1" s="1"/>
  <c r="H1726" i="1"/>
  <c r="H1755" i="1"/>
  <c r="K1803" i="1"/>
  <c r="K1804" i="1" s="1"/>
  <c r="K1805" i="1" s="1"/>
  <c r="K1806" i="1" s="1"/>
  <c r="K1798" i="1"/>
  <c r="K1799" i="1" s="1"/>
  <c r="K1800" i="1" s="1"/>
  <c r="J1831" i="1"/>
  <c r="J1812" i="1"/>
  <c r="H1747" i="1"/>
  <c r="J1803" i="1"/>
  <c r="J1798" i="1"/>
  <c r="H1771" i="1"/>
  <c r="E1738" i="1"/>
  <c r="F1780" i="1"/>
  <c r="M1780" i="1" s="1"/>
  <c r="F1821" i="1"/>
  <c r="M1821" i="1" s="1"/>
  <c r="J1704" i="1"/>
  <c r="F1785" i="1"/>
  <c r="M1785" i="1" s="1"/>
  <c r="W1230" i="1"/>
  <c r="C1230" i="1" s="1"/>
  <c r="W1329" i="1"/>
  <c r="C1329" i="1" s="1"/>
  <c r="W1276" i="1"/>
  <c r="C1276" i="1" s="1"/>
  <c r="M1486" i="1"/>
  <c r="L1560" i="1"/>
  <c r="W1284" i="1"/>
  <c r="C1284" i="1" s="1"/>
  <c r="W1298" i="1"/>
  <c r="C1298" i="1" s="1"/>
  <c r="W1233" i="1"/>
  <c r="C1233" i="1" s="1"/>
  <c r="W1243" i="1"/>
  <c r="C1243" i="1" s="1"/>
  <c r="W1332" i="1"/>
  <c r="C1332" i="1" s="1"/>
  <c r="W1197" i="1"/>
  <c r="C1197" i="1" s="1"/>
  <c r="W1238" i="1"/>
  <c r="C1238" i="1" s="1"/>
  <c r="W1287" i="1"/>
  <c r="C1287" i="1" s="1"/>
  <c r="W1185" i="1"/>
  <c r="C1185" i="1" s="1"/>
  <c r="L1185" i="1" s="1"/>
  <c r="W1311" i="1"/>
  <c r="C1311" i="1" s="1"/>
  <c r="X1260" i="1"/>
  <c r="W1184" i="1"/>
  <c r="C1184" i="1" s="1"/>
  <c r="L1184" i="1" s="1"/>
  <c r="W1222" i="1"/>
  <c r="C1222" i="1" s="1"/>
  <c r="W1316" i="1"/>
  <c r="C1316" i="1" s="1"/>
  <c r="W1352" i="1"/>
  <c r="C1352" i="1" s="1"/>
  <c r="W1211" i="1"/>
  <c r="C1211" i="1" s="1"/>
  <c r="W1223" i="1"/>
  <c r="C1223" i="1" s="1"/>
  <c r="W1347" i="1"/>
  <c r="C1347" i="1" s="1"/>
  <c r="W1215" i="1"/>
  <c r="C1215" i="1" s="1"/>
  <c r="W1183" i="1"/>
  <c r="C1183" i="1" s="1"/>
  <c r="L1183" i="1" s="1"/>
  <c r="W1217" i="1"/>
  <c r="C1217" i="1" s="1"/>
  <c r="W1277" i="1"/>
  <c r="C1277" i="1" s="1"/>
  <c r="W1297" i="1"/>
  <c r="C1297" i="1" s="1"/>
  <c r="W1205" i="1"/>
  <c r="C1205" i="1" s="1"/>
  <c r="W1201" i="1"/>
  <c r="C1201" i="1" s="1"/>
  <c r="W1207" i="1"/>
  <c r="C1207" i="1" s="1"/>
  <c r="W1216" i="1"/>
  <c r="C1216" i="1" s="1"/>
  <c r="X1352" i="1"/>
  <c r="X1355" i="1"/>
  <c r="X1359" i="1"/>
  <c r="W1366" i="1"/>
  <c r="C1366" i="1" s="1"/>
  <c r="W1195" i="1"/>
  <c r="C1195" i="1" s="1"/>
  <c r="W1236" i="1"/>
  <c r="C1236" i="1" s="1"/>
  <c r="W1266" i="1"/>
  <c r="C1266" i="1" s="1"/>
  <c r="W1220" i="1"/>
  <c r="C1220" i="1" s="1"/>
  <c r="W1191" i="1"/>
  <c r="C1191" i="1" s="1"/>
  <c r="W1212" i="1"/>
  <c r="C1212" i="1" s="1"/>
  <c r="W1249" i="1"/>
  <c r="C1249" i="1" s="1"/>
  <c r="W1269" i="1"/>
  <c r="C1269" i="1" s="1"/>
  <c r="W1274" i="1"/>
  <c r="C1274" i="1" s="1"/>
  <c r="W1305" i="1"/>
  <c r="C1305" i="1" s="1"/>
  <c r="W1326" i="1"/>
  <c r="C1326" i="1" s="1"/>
  <c r="W1259" i="1"/>
  <c r="W1261" i="1"/>
  <c r="C1261" i="1" s="1"/>
  <c r="W1358" i="1"/>
  <c r="C1358" i="1" s="1"/>
  <c r="W1362" i="1"/>
  <c r="C1362" i="1" s="1"/>
  <c r="W1369" i="1"/>
  <c r="C1369" i="1" s="1"/>
  <c r="W1245" i="1"/>
  <c r="C1245" i="1" s="1"/>
  <c r="W1265" i="1"/>
  <c r="C1265" i="1" s="1"/>
  <c r="W1199" i="1"/>
  <c r="C1199" i="1" s="1"/>
  <c r="W1263" i="1"/>
  <c r="C1263" i="1" s="1"/>
  <c r="W1363" i="1"/>
  <c r="C1363" i="1" s="1"/>
  <c r="W1251" i="1"/>
  <c r="C1251" i="1" s="1"/>
  <c r="W1271" i="1"/>
  <c r="C1271" i="1" s="1"/>
  <c r="W1258" i="1"/>
  <c r="C1258" i="1" s="1"/>
  <c r="X1356" i="1"/>
  <c r="X1366" i="1"/>
  <c r="W1196" i="1"/>
  <c r="C1196" i="1" s="1"/>
  <c r="W1237" i="1"/>
  <c r="C1237" i="1" s="1"/>
  <c r="W1248" i="1"/>
  <c r="C1248" i="1" s="1"/>
  <c r="W1256" i="1"/>
  <c r="C1256" i="1" s="1"/>
  <c r="W1268" i="1"/>
  <c r="C1268" i="1" s="1"/>
  <c r="W1286" i="1"/>
  <c r="C1286" i="1" s="1"/>
  <c r="W1310" i="1"/>
  <c r="C1310" i="1" s="1"/>
  <c r="W1342" i="1"/>
  <c r="X1258" i="1"/>
  <c r="X1353" i="1"/>
  <c r="W1209" i="1"/>
  <c r="C1209" i="1" s="1"/>
  <c r="W1295" i="1"/>
  <c r="C1295" i="1" s="1"/>
  <c r="W1179" i="1"/>
  <c r="C1179" i="1" s="1"/>
  <c r="W1232" i="1"/>
  <c r="C1232" i="1" s="1"/>
  <c r="W1250" i="1"/>
  <c r="C1250" i="1" s="1"/>
  <c r="W1270" i="1"/>
  <c r="C1270" i="1" s="1"/>
  <c r="W1321" i="1"/>
  <c r="C1321" i="1" s="1"/>
  <c r="W1331" i="1"/>
  <c r="C1331" i="1" s="1"/>
  <c r="X1261" i="1"/>
  <c r="W1308" i="1"/>
  <c r="C1308" i="1" s="1"/>
  <c r="X1358" i="1"/>
  <c r="W1182" i="1"/>
  <c r="C1182" i="1" s="1"/>
  <c r="L1182" i="1" s="1"/>
  <c r="W1194" i="1"/>
  <c r="C1194" i="1" s="1"/>
  <c r="W1214" i="1"/>
  <c r="C1214" i="1" s="1"/>
  <c r="W1235" i="1"/>
  <c r="C1235" i="1" s="1"/>
  <c r="W1303" i="1"/>
  <c r="C1303" i="1" s="1"/>
  <c r="W1314" i="1"/>
  <c r="C1314" i="1" s="1"/>
  <c r="W1324" i="1"/>
  <c r="C1324" i="1" s="1"/>
  <c r="W1345" i="1"/>
  <c r="C1345" i="1" s="1"/>
  <c r="W1356" i="1"/>
  <c r="W1260" i="1"/>
  <c r="C1260" i="1" s="1"/>
  <c r="X1365" i="1"/>
  <c r="X1369" i="1"/>
  <c r="W1189" i="1"/>
  <c r="C1189" i="1" s="1"/>
  <c r="W1177" i="1"/>
  <c r="C1177" i="1" s="1"/>
  <c r="W1210" i="1"/>
  <c r="C1210" i="1" s="1"/>
  <c r="W1221" i="1"/>
  <c r="C1221" i="1" s="1"/>
  <c r="W1231" i="1"/>
  <c r="C1231" i="1" s="1"/>
  <c r="W1254" i="1"/>
  <c r="C1254" i="1" s="1"/>
  <c r="W1264" i="1"/>
  <c r="C1264" i="1" s="1"/>
  <c r="W1275" i="1"/>
  <c r="C1275" i="1" s="1"/>
  <c r="W1285" i="1"/>
  <c r="C1285" i="1" s="1"/>
  <c r="W1296" i="1"/>
  <c r="C1296" i="1" s="1"/>
  <c r="W1309" i="1"/>
  <c r="C1309" i="1" s="1"/>
  <c r="W1319" i="1"/>
  <c r="C1319" i="1" s="1"/>
  <c r="W1330" i="1"/>
  <c r="C1330" i="1" s="1"/>
  <c r="W1340" i="1"/>
  <c r="C1340" i="1" s="1"/>
  <c r="W1353" i="1"/>
  <c r="C1353" i="1" s="1"/>
  <c r="W1359" i="1"/>
  <c r="C1359" i="1" s="1"/>
  <c r="C1259" i="1"/>
  <c r="W1368" i="1"/>
  <c r="C1368" i="1" s="1"/>
  <c r="X1362" i="1"/>
  <c r="X1368" i="1"/>
  <c r="X1363" i="1"/>
  <c r="R1258" i="1"/>
  <c r="R1259" i="1" s="1"/>
  <c r="R1260" i="1" s="1"/>
  <c r="R1261" i="1" s="1"/>
  <c r="X1318" i="1"/>
  <c r="E1258" i="1"/>
  <c r="E1260" i="1" s="1"/>
  <c r="E1261" i="1" s="1"/>
  <c r="X1259" i="1"/>
  <c r="E1259" i="1"/>
  <c r="X1306" i="1"/>
  <c r="X1344" i="1"/>
  <c r="X1323" i="1"/>
  <c r="X1182" i="1"/>
  <c r="C1342" i="1"/>
  <c r="X1339" i="1"/>
  <c r="X1346" i="1"/>
  <c r="X1341" i="1"/>
  <c r="X1308" i="1"/>
  <c r="X1183" i="1"/>
  <c r="X1313" i="1"/>
  <c r="X1329" i="1"/>
  <c r="X1332" i="1"/>
  <c r="X1331" i="1"/>
  <c r="X1330" i="1"/>
  <c r="X1185" i="1"/>
  <c r="X1311" i="1"/>
  <c r="X1184" i="1"/>
  <c r="X1325" i="1"/>
  <c r="X1320" i="1"/>
  <c r="X1315" i="1"/>
  <c r="X1310" i="1"/>
  <c r="X1309" i="1"/>
  <c r="X1304" i="1"/>
  <c r="X1295" i="1"/>
  <c r="X1298" i="1"/>
  <c r="X1297" i="1"/>
  <c r="X1296" i="1"/>
  <c r="X1287" i="1"/>
  <c r="X1276" i="1"/>
  <c r="X1284" i="1"/>
  <c r="X1286" i="1"/>
  <c r="X1285" i="1"/>
  <c r="X1233" i="1"/>
  <c r="X1251" i="1"/>
  <c r="X1230" i="1"/>
  <c r="X1248" i="1"/>
  <c r="X1246" i="1"/>
  <c r="X1277" i="1"/>
  <c r="X1253" i="1"/>
  <c r="X1274" i="1"/>
  <c r="X1275" i="1"/>
  <c r="X1178" i="1"/>
  <c r="X1238" i="1"/>
  <c r="X1263" i="1"/>
  <c r="X1268" i="1"/>
  <c r="X1121" i="1"/>
  <c r="X1119" i="1"/>
  <c r="X1266" i="1"/>
  <c r="X1271" i="1"/>
  <c r="X1270" i="1"/>
  <c r="X1269" i="1"/>
  <c r="X1265" i="1"/>
  <c r="X1264" i="1"/>
  <c r="X1255" i="1"/>
  <c r="X1250" i="1"/>
  <c r="X1249" i="1"/>
  <c r="X1244" i="1"/>
  <c r="X1235" i="1"/>
  <c r="X1237" i="1"/>
  <c r="X1236" i="1"/>
  <c r="R1049" i="1"/>
  <c r="R1050" i="1" s="1"/>
  <c r="R1051" i="1" s="1"/>
  <c r="R1052" i="1" s="1"/>
  <c r="X1217" i="1"/>
  <c r="X1214" i="1"/>
  <c r="X1232" i="1"/>
  <c r="X1231" i="1"/>
  <c r="X1223" i="1"/>
  <c r="X1212" i="1"/>
  <c r="X1038" i="1"/>
  <c r="X1204" i="1"/>
  <c r="X1209" i="1"/>
  <c r="X1144" i="1"/>
  <c r="X1120" i="1"/>
  <c r="X1202" i="1"/>
  <c r="X1220" i="1"/>
  <c r="X1222" i="1"/>
  <c r="X1221" i="1"/>
  <c r="X1104" i="1"/>
  <c r="X1192" i="1"/>
  <c r="X1176" i="1"/>
  <c r="X1122" i="1"/>
  <c r="X1190" i="1"/>
  <c r="X1197" i="1"/>
  <c r="X1148" i="1"/>
  <c r="X1215" i="1"/>
  <c r="X1216" i="1"/>
  <c r="X1211" i="1"/>
  <c r="X1210" i="1"/>
  <c r="X1206" i="1"/>
  <c r="X1200" i="1"/>
  <c r="X1194" i="1"/>
  <c r="X1196" i="1"/>
  <c r="X1195" i="1"/>
  <c r="W1122" i="1"/>
  <c r="C1122" i="1" s="1"/>
  <c r="X1160" i="1"/>
  <c r="E1120" i="1"/>
  <c r="X1093" i="1"/>
  <c r="X1132" i="1"/>
  <c r="X1088" i="1"/>
  <c r="X1110" i="1"/>
  <c r="X1117" i="1"/>
  <c r="X1130" i="1"/>
  <c r="X1140" i="1"/>
  <c r="X1050" i="1"/>
  <c r="W1052" i="1"/>
  <c r="C1052" i="1" s="1"/>
  <c r="X1049" i="1"/>
  <c r="E1049" i="1"/>
  <c r="X1105" i="1"/>
  <c r="W1085" i="1"/>
  <c r="C1085" i="1" s="1"/>
  <c r="X1152" i="1"/>
  <c r="W1160" i="1"/>
  <c r="C1160" i="1" s="1"/>
  <c r="X1107" i="1"/>
  <c r="X1135" i="1"/>
  <c r="X1158" i="1"/>
  <c r="X1082" i="1"/>
  <c r="X1153" i="1"/>
  <c r="X1070" i="1"/>
  <c r="X1112" i="1"/>
  <c r="X1145" i="1"/>
  <c r="X1159" i="1"/>
  <c r="X1157" i="1"/>
  <c r="X1155" i="1"/>
  <c r="X1150" i="1"/>
  <c r="W1153" i="1"/>
  <c r="C1153" i="1" s="1"/>
  <c r="X1142" i="1"/>
  <c r="W1145" i="1"/>
  <c r="C1145" i="1" s="1"/>
  <c r="X1134" i="1"/>
  <c r="W1137" i="1"/>
  <c r="C1137" i="1" s="1"/>
  <c r="X1129" i="1"/>
  <c r="X1131" i="1"/>
  <c r="W1132" i="1"/>
  <c r="C1132" i="1" s="1"/>
  <c r="W1039" i="1"/>
  <c r="C1039" i="1" s="1"/>
  <c r="X1116" i="1"/>
  <c r="X1060" i="1"/>
  <c r="W1093" i="1"/>
  <c r="C1093" i="1" s="1"/>
  <c r="X1090" i="1"/>
  <c r="X1115" i="1"/>
  <c r="X1035" i="1"/>
  <c r="X1075" i="1"/>
  <c r="X1092" i="1"/>
  <c r="X1126" i="1"/>
  <c r="X1114" i="1"/>
  <c r="W1117" i="1"/>
  <c r="C1117" i="1" s="1"/>
  <c r="X1109" i="1"/>
  <c r="X1111" i="1"/>
  <c r="W1112" i="1"/>
  <c r="C1112" i="1" s="1"/>
  <c r="X1106" i="1"/>
  <c r="W1107" i="1"/>
  <c r="C1107" i="1" s="1"/>
  <c r="X1080" i="1"/>
  <c r="X1074" i="1"/>
  <c r="W1077" i="1"/>
  <c r="C1077" i="1" s="1"/>
  <c r="X1069" i="1"/>
  <c r="W1072" i="1"/>
  <c r="C1072" i="1" s="1"/>
  <c r="X1037" i="1"/>
  <c r="X1026" i="1"/>
  <c r="X1061" i="1"/>
  <c r="W1026" i="1"/>
  <c r="C1026" i="1" s="1"/>
  <c r="X1024" i="1"/>
  <c r="X1034" i="1"/>
  <c r="W1063" i="1"/>
  <c r="C1063" i="1" s="1"/>
  <c r="X911" i="1"/>
  <c r="X1036" i="1"/>
  <c r="X1022" i="1"/>
  <c r="X1039" i="1"/>
  <c r="R1024" i="1"/>
  <c r="R1025" i="1" s="1"/>
  <c r="R1026" i="1" s="1"/>
  <c r="X1023" i="1"/>
  <c r="X1025" i="1"/>
  <c r="X1021" i="1"/>
  <c r="X1008" i="1"/>
  <c r="X985" i="1"/>
  <c r="X982" i="1"/>
  <c r="X988" i="1"/>
  <c r="X994" i="1"/>
  <c r="X999" i="1"/>
  <c r="W960" i="1"/>
  <c r="C960" i="1" s="1"/>
  <c r="X959" i="1"/>
  <c r="W972" i="1"/>
  <c r="C972" i="1" s="1"/>
  <c r="X983" i="1"/>
  <c r="X1009" i="1"/>
  <c r="W965" i="1"/>
  <c r="C965" i="1" s="1"/>
  <c r="X1018" i="1"/>
  <c r="W1018" i="1"/>
  <c r="C1018" i="1" s="1"/>
  <c r="X964" i="1"/>
  <c r="X1017" i="1"/>
  <c r="W1011" i="1"/>
  <c r="C1011" i="1" s="1"/>
  <c r="X1014" i="1"/>
  <c r="X996" i="1"/>
  <c r="X958" i="1"/>
  <c r="X969" i="1"/>
  <c r="X998" i="1"/>
  <c r="W961" i="1"/>
  <c r="C961" i="1" s="1"/>
  <c r="X1015" i="1"/>
  <c r="X1016" i="1"/>
  <c r="W1001" i="1"/>
  <c r="C1001" i="1" s="1"/>
  <c r="X993" i="1"/>
  <c r="X995" i="1"/>
  <c r="W996" i="1"/>
  <c r="C995" i="1" s="1"/>
  <c r="X987" i="1"/>
  <c r="W990" i="1"/>
  <c r="C990" i="1" s="1"/>
  <c r="W985" i="1"/>
  <c r="C985" i="1" s="1"/>
  <c r="X984" i="1"/>
  <c r="W971" i="1"/>
  <c r="C971" i="1" s="1"/>
  <c r="X970" i="1"/>
  <c r="X963" i="1"/>
  <c r="W966" i="1"/>
  <c r="C966" i="1" s="1"/>
  <c r="P909" i="1"/>
  <c r="X910" i="1" s="1"/>
  <c r="W906" i="1"/>
  <c r="C906" i="1" s="1"/>
  <c r="X902" i="1"/>
  <c r="X905" i="1"/>
  <c r="W905" i="1"/>
  <c r="P903" i="1"/>
  <c r="X904" i="1" s="1"/>
  <c r="W888" i="1"/>
  <c r="C888" i="1" s="1"/>
  <c r="X887" i="1"/>
  <c r="W887" i="1"/>
  <c r="X884" i="1"/>
  <c r="P885" i="1"/>
  <c r="X886" i="1" s="1"/>
  <c r="X875" i="1"/>
  <c r="P873" i="1"/>
  <c r="X874" i="1" s="1"/>
  <c r="X792" i="1"/>
  <c r="X820" i="1"/>
  <c r="X795" i="1"/>
  <c r="X816" i="1"/>
  <c r="X817" i="1"/>
  <c r="X815" i="1"/>
  <c r="X813" i="1"/>
  <c r="X819" i="1"/>
  <c r="W791" i="1"/>
  <c r="W794" i="1"/>
  <c r="M604" i="1"/>
  <c r="P604" i="1"/>
  <c r="M603" i="1"/>
  <c r="L404" i="1"/>
  <c r="G399" i="1"/>
  <c r="P394" i="1"/>
  <c r="P393" i="1"/>
  <c r="P389" i="1"/>
  <c r="P388" i="1"/>
  <c r="P387" i="1"/>
  <c r="P374" i="1"/>
  <c r="P375" i="1"/>
  <c r="C381" i="1"/>
  <c r="C380" i="1"/>
  <c r="C376" i="1"/>
  <c r="P383" i="1"/>
  <c r="P382" i="1"/>
  <c r="P381" i="1"/>
  <c r="P380" i="1"/>
  <c r="P379" i="1"/>
  <c r="P378" i="1"/>
  <c r="F374" i="1"/>
  <c r="N605" i="1" l="1"/>
  <c r="D14" i="11"/>
  <c r="C14" i="11" s="1"/>
  <c r="H14" i="11" s="1"/>
  <c r="D21" i="11"/>
  <c r="C21" i="11" s="1"/>
  <c r="H21" i="11" s="1"/>
  <c r="D20" i="11"/>
  <c r="C20" i="11" s="1"/>
  <c r="D19" i="11"/>
  <c r="C19" i="11" s="1"/>
  <c r="D15" i="11"/>
  <c r="C15" i="11" s="1"/>
  <c r="H15" i="11" s="1"/>
  <c r="N1762" i="1"/>
  <c r="N1856" i="1"/>
  <c r="N1851" i="1"/>
  <c r="H1772" i="1"/>
  <c r="H1748" i="1"/>
  <c r="J1832" i="1"/>
  <c r="H1756" i="1"/>
  <c r="H1727" i="1"/>
  <c r="J1799" i="1"/>
  <c r="F1784" i="1"/>
  <c r="M1784" i="1" s="1"/>
  <c r="J1804" i="1"/>
  <c r="J1813" i="1"/>
  <c r="J1818" i="1"/>
  <c r="L1259" i="1"/>
  <c r="L1261" i="1"/>
  <c r="L1260" i="1"/>
  <c r="L1258" i="1"/>
  <c r="N1120" i="1"/>
  <c r="E1121" i="1"/>
  <c r="N1049" i="1"/>
  <c r="E1050" i="1"/>
  <c r="C367" i="1"/>
  <c r="C747" i="1" s="1"/>
  <c r="P362" i="1"/>
  <c r="C361" i="1"/>
  <c r="C741" i="1" s="1"/>
  <c r="C360" i="1"/>
  <c r="C740" i="1" s="1"/>
  <c r="P359" i="1"/>
  <c r="C359" i="1"/>
  <c r="C739" i="1" s="1"/>
  <c r="P358" i="1"/>
  <c r="P349" i="1"/>
  <c r="P348" i="1"/>
  <c r="C349" i="1"/>
  <c r="C730" i="1" s="1"/>
  <c r="C348" i="1"/>
  <c r="C729" i="1" s="1"/>
  <c r="C344" i="1"/>
  <c r="C725" i="1" s="1"/>
  <c r="C346" i="1"/>
  <c r="C727" i="1" s="1"/>
  <c r="P336" i="1"/>
  <c r="P332" i="1"/>
  <c r="I330" i="1"/>
  <c r="I331" i="1" s="1"/>
  <c r="I332" i="1" s="1"/>
  <c r="I333" i="1" s="1"/>
  <c r="I334" i="1" s="1"/>
  <c r="I335" i="1" s="1"/>
  <c r="I336" i="1" s="1"/>
  <c r="I337" i="1" s="1"/>
  <c r="I338" i="1" s="1"/>
  <c r="F330" i="1"/>
  <c r="F712" i="1" s="1"/>
  <c r="K329" i="1"/>
  <c r="J329" i="1"/>
  <c r="H329" i="1"/>
  <c r="H330" i="1" s="1"/>
  <c r="P320" i="1"/>
  <c r="P319" i="1"/>
  <c r="P311" i="1"/>
  <c r="P307" i="1"/>
  <c r="F305" i="1"/>
  <c r="F687" i="1" s="1"/>
  <c r="P315" i="1"/>
  <c r="P289" i="1"/>
  <c r="Q289" i="1" s="1"/>
  <c r="P292" i="1"/>
  <c r="P291" i="1"/>
  <c r="L299" i="1"/>
  <c r="K281" i="1"/>
  <c r="K266" i="1"/>
  <c r="K233" i="1"/>
  <c r="E233" i="1"/>
  <c r="P280" i="1"/>
  <c r="Q280" i="1"/>
  <c r="Q279" i="1"/>
  <c r="P279" i="1"/>
  <c r="P278" i="1"/>
  <c r="R277" i="1"/>
  <c r="Q277" i="1"/>
  <c r="P277" i="1"/>
  <c r="P274" i="1"/>
  <c r="P273" i="1"/>
  <c r="Q272" i="1"/>
  <c r="P272" i="1"/>
  <c r="Q271" i="1"/>
  <c r="P271" i="1"/>
  <c r="Q270" i="1"/>
  <c r="P270" i="1"/>
  <c r="Q262" i="1"/>
  <c r="Q261" i="1"/>
  <c r="P262" i="1"/>
  <c r="P261" i="1"/>
  <c r="P260" i="1"/>
  <c r="Q259" i="1"/>
  <c r="P259" i="1"/>
  <c r="R259" i="1"/>
  <c r="E266" i="1"/>
  <c r="E229" i="1"/>
  <c r="P232" i="1"/>
  <c r="J232" i="1"/>
  <c r="Q256" i="1"/>
  <c r="P256" i="1"/>
  <c r="Q255" i="1"/>
  <c r="P255" i="1"/>
  <c r="Q253" i="1"/>
  <c r="P253" i="1"/>
  <c r="Q252" i="1"/>
  <c r="P252" i="1"/>
  <c r="Q251" i="1"/>
  <c r="P254" i="1"/>
  <c r="P251" i="1"/>
  <c r="K248" i="1"/>
  <c r="P247" i="1"/>
  <c r="Q247" i="1"/>
  <c r="Q246" i="1"/>
  <c r="P246" i="1"/>
  <c r="P245" i="1"/>
  <c r="Q244" i="1"/>
  <c r="P244" i="1"/>
  <c r="R244" i="1"/>
  <c r="Q241" i="1"/>
  <c r="P241" i="1"/>
  <c r="Q240" i="1"/>
  <c r="P240" i="1"/>
  <c r="P239" i="1"/>
  <c r="Q238" i="1"/>
  <c r="P238" i="1"/>
  <c r="Q237" i="1"/>
  <c r="P237" i="1"/>
  <c r="Q236" i="1"/>
  <c r="P236" i="1"/>
  <c r="P265" i="1"/>
  <c r="P228" i="1"/>
  <c r="K229" i="1"/>
  <c r="L225" i="1"/>
  <c r="P224" i="1"/>
  <c r="P223" i="1"/>
  <c r="P222" i="1"/>
  <c r="P221" i="1"/>
  <c r="I222" i="1"/>
  <c r="I224" i="1" s="1"/>
  <c r="H224" i="1"/>
  <c r="E219" i="1"/>
  <c r="E225" i="1"/>
  <c r="J224" i="1"/>
  <c r="K224" i="1"/>
  <c r="P218" i="1"/>
  <c r="P217" i="1"/>
  <c r="P214" i="1"/>
  <c r="P213" i="1"/>
  <c r="P210" i="1"/>
  <c r="P209" i="1"/>
  <c r="P208" i="1"/>
  <c r="P207" i="1"/>
  <c r="P206" i="1"/>
  <c r="P203" i="1"/>
  <c r="P198" i="1"/>
  <c r="P197" i="1"/>
  <c r="P196" i="1"/>
  <c r="P193" i="1"/>
  <c r="P192" i="1"/>
  <c r="P191" i="1"/>
  <c r="P190" i="1"/>
  <c r="P189" i="1"/>
  <c r="P186" i="1"/>
  <c r="P185" i="1"/>
  <c r="P183" i="1"/>
  <c r="P182" i="1"/>
  <c r="P179" i="1"/>
  <c r="P178" i="1"/>
  <c r="K199" i="1"/>
  <c r="L82" i="1"/>
  <c r="J86" i="1"/>
  <c r="J90" i="1"/>
  <c r="J95" i="1"/>
  <c r="H100" i="1"/>
  <c r="H104" i="1"/>
  <c r="L111" i="1"/>
  <c r="K136" i="1"/>
  <c r="K175" i="1"/>
  <c r="P174" i="1"/>
  <c r="P173" i="1"/>
  <c r="P172" i="1"/>
  <c r="P171" i="1"/>
  <c r="P165" i="1"/>
  <c r="P164" i="1"/>
  <c r="P163" i="1"/>
  <c r="P162" i="1"/>
  <c r="P161" i="1"/>
  <c r="P160" i="1"/>
  <c r="P157" i="1"/>
  <c r="P156" i="1"/>
  <c r="P155" i="1"/>
  <c r="P154" i="1"/>
  <c r="D80" i="21"/>
  <c r="D72" i="21"/>
  <c r="D73" i="21"/>
  <c r="D68" i="21"/>
  <c r="D65" i="21"/>
  <c r="D67" i="21"/>
  <c r="D69" i="21"/>
  <c r="D22" i="21"/>
  <c r="E7" i="12"/>
  <c r="P151" i="1"/>
  <c r="P147" i="1"/>
  <c r="P139" i="1"/>
  <c r="P134" i="1"/>
  <c r="P133" i="1"/>
  <c r="P132" i="1"/>
  <c r="P131" i="1"/>
  <c r="P128" i="1"/>
  <c r="P127" i="1"/>
  <c r="P126" i="1"/>
  <c r="P125" i="1"/>
  <c r="P124" i="1"/>
  <c r="P123" i="1"/>
  <c r="P122" i="1"/>
  <c r="P120" i="1"/>
  <c r="P119" i="1"/>
  <c r="P121" i="1"/>
  <c r="P114" i="1"/>
  <c r="P110" i="1"/>
  <c r="P108" i="1"/>
  <c r="P89" i="1"/>
  <c r="P88" i="1"/>
  <c r="P85" i="1"/>
  <c r="P84" i="1"/>
  <c r="H35" i="1"/>
  <c r="I35" i="1"/>
  <c r="H30" i="1"/>
  <c r="Q63" i="1"/>
  <c r="P63" i="1"/>
  <c r="Q62" i="1"/>
  <c r="P62" i="1"/>
  <c r="Q61" i="1"/>
  <c r="P61" i="1"/>
  <c r="Q60" i="1"/>
  <c r="P60" i="1"/>
  <c r="Q59" i="1"/>
  <c r="P59" i="1"/>
  <c r="Q58" i="1"/>
  <c r="P58" i="1"/>
  <c r="P54" i="1"/>
  <c r="P53" i="1"/>
  <c r="P51" i="1"/>
  <c r="P50" i="1"/>
  <c r="P48" i="1"/>
  <c r="P47" i="1"/>
  <c r="P39" i="1"/>
  <c r="P42" i="1"/>
  <c r="P43" i="1"/>
  <c r="P40" i="1"/>
  <c r="M1694" i="1"/>
  <c r="M1937" i="1"/>
  <c r="M1936" i="1"/>
  <c r="M1922" i="1"/>
  <c r="M1581" i="1"/>
  <c r="M1496" i="1"/>
  <c r="M168" i="1"/>
  <c r="F43" i="11"/>
  <c r="F44" i="11"/>
  <c r="F45" i="11"/>
  <c r="F33" i="11"/>
  <c r="F49" i="11"/>
  <c r="F48" i="11"/>
  <c r="K44" i="11"/>
  <c r="L801" i="1"/>
  <c r="L802" i="1" s="1"/>
  <c r="F368" i="11" l="1"/>
  <c r="E65" i="37"/>
  <c r="D62" i="21"/>
  <c r="D63" i="21"/>
  <c r="D70" i="21" s="1"/>
  <c r="D66" i="21"/>
  <c r="D81" i="21"/>
  <c r="D82" i="21" s="1"/>
  <c r="F20" i="11"/>
  <c r="H20" i="11" s="1"/>
  <c r="J1819" i="1"/>
  <c r="J1833" i="1"/>
  <c r="J1814" i="1"/>
  <c r="J1800" i="1"/>
  <c r="H1749" i="1"/>
  <c r="J1805" i="1"/>
  <c r="H1728" i="1"/>
  <c r="H1773" i="1"/>
  <c r="E1122" i="1"/>
  <c r="L1122" i="1" s="1"/>
  <c r="L1121" i="1"/>
  <c r="N1050" i="1"/>
  <c r="E1051" i="1"/>
  <c r="K330" i="1"/>
  <c r="K711" i="1"/>
  <c r="J330" i="1"/>
  <c r="J711" i="1"/>
  <c r="H331" i="1"/>
  <c r="M329" i="1"/>
  <c r="M232" i="1"/>
  <c r="N233" i="1" s="1"/>
  <c r="D264" i="11" s="1"/>
  <c r="C264" i="11" s="1"/>
  <c r="I223" i="1"/>
  <c r="F37" i="11"/>
  <c r="F36" i="11"/>
  <c r="I25" i="1"/>
  <c r="H25" i="1"/>
  <c r="E25" i="1"/>
  <c r="E26" i="1" s="1"/>
  <c r="C25" i="1"/>
  <c r="F15" i="1"/>
  <c r="E62" i="12"/>
  <c r="E63" i="12"/>
  <c r="C8" i="15" l="1"/>
  <c r="H17" i="11"/>
  <c r="D266" i="11"/>
  <c r="C266" i="11" s="1"/>
  <c r="H266" i="11" s="1"/>
  <c r="D275" i="11"/>
  <c r="C275" i="11" s="1"/>
  <c r="D267" i="11"/>
  <c r="C267" i="11" s="1"/>
  <c r="H267" i="11" s="1"/>
  <c r="D273" i="11"/>
  <c r="C273" i="11" s="1"/>
  <c r="H273" i="11" s="1"/>
  <c r="D270" i="11"/>
  <c r="C270" i="11" s="1"/>
  <c r="H270" i="11" s="1"/>
  <c r="D274" i="11"/>
  <c r="C274" i="11" s="1"/>
  <c r="H274" i="11" s="1"/>
  <c r="D268" i="11"/>
  <c r="C268" i="11" s="1"/>
  <c r="H268" i="11" s="1"/>
  <c r="D83" i="21"/>
  <c r="D84" i="21"/>
  <c r="D76" i="21"/>
  <c r="D71" i="21"/>
  <c r="N1788" i="1"/>
  <c r="J1806" i="1"/>
  <c r="J1815" i="1"/>
  <c r="J1836" i="1"/>
  <c r="J1820" i="1"/>
  <c r="E1052" i="1"/>
  <c r="L1052" i="1" s="1"/>
  <c r="L1051" i="1"/>
  <c r="M711" i="1"/>
  <c r="J331" i="1"/>
  <c r="J712" i="1"/>
  <c r="M330" i="1"/>
  <c r="K331" i="1"/>
  <c r="K712" i="1"/>
  <c r="H332" i="1"/>
  <c r="F25" i="1"/>
  <c r="B606" i="11"/>
  <c r="F641" i="11"/>
  <c r="B638" i="11"/>
  <c r="B56" i="13" s="1"/>
  <c r="F634" i="11"/>
  <c r="B631" i="11"/>
  <c r="B54" i="13" s="1"/>
  <c r="K1872" i="1"/>
  <c r="J1872" i="1"/>
  <c r="E1872" i="1"/>
  <c r="E1871" i="1"/>
  <c r="M1871" i="1" s="1"/>
  <c r="E1863" i="1"/>
  <c r="M1863" i="1" s="1"/>
  <c r="E1862" i="1"/>
  <c r="M1862" i="1" s="1"/>
  <c r="N1866" i="1" s="1"/>
  <c r="N1860" i="1" s="1"/>
  <c r="N1858" i="1" s="1"/>
  <c r="C631" i="11" s="1"/>
  <c r="G597" i="1"/>
  <c r="G598" i="1" s="1"/>
  <c r="F597" i="1"/>
  <c r="F598" i="1" s="1"/>
  <c r="E597" i="1"/>
  <c r="C597" i="1"/>
  <c r="E598" i="1"/>
  <c r="C598" i="1"/>
  <c r="C54" i="13" l="1"/>
  <c r="C634" i="11"/>
  <c r="D85" i="21"/>
  <c r="F306" i="11" s="1"/>
  <c r="E67" i="37"/>
  <c r="F19" i="11"/>
  <c r="E66" i="37"/>
  <c r="D269" i="11"/>
  <c r="C269" i="11" s="1"/>
  <c r="H269" i="11" s="1"/>
  <c r="F97" i="11"/>
  <c r="F245" i="11"/>
  <c r="F217" i="11"/>
  <c r="F350" i="11"/>
  <c r="F260" i="11"/>
  <c r="F112" i="11"/>
  <c r="F290" i="11"/>
  <c r="F127" i="11"/>
  <c r="F321" i="11"/>
  <c r="F275" i="11"/>
  <c r="F231" i="11"/>
  <c r="F203" i="11"/>
  <c r="F143" i="11"/>
  <c r="F336" i="11"/>
  <c r="F189" i="11"/>
  <c r="F159" i="11"/>
  <c r="N1807" i="1"/>
  <c r="J1837" i="1"/>
  <c r="J1821" i="1"/>
  <c r="M712" i="1"/>
  <c r="M331" i="1"/>
  <c r="K332" i="1"/>
  <c r="K713" i="1"/>
  <c r="J332" i="1"/>
  <c r="J713" i="1"/>
  <c r="H333" i="1"/>
  <c r="M1872" i="1"/>
  <c r="N1873" i="1" s="1"/>
  <c r="E23" i="12"/>
  <c r="E25" i="12"/>
  <c r="E26" i="12"/>
  <c r="E27" i="12"/>
  <c r="E28" i="12"/>
  <c r="E29" i="12"/>
  <c r="E30" i="12"/>
  <c r="E31" i="12"/>
  <c r="E32" i="12"/>
  <c r="F469" i="11"/>
  <c r="F468" i="11"/>
  <c r="F465" i="11"/>
  <c r="F464" i="11"/>
  <c r="F463" i="11"/>
  <c r="B458" i="11"/>
  <c r="B38" i="13" s="1"/>
  <c r="F454" i="11"/>
  <c r="F453" i="11"/>
  <c r="F450" i="11"/>
  <c r="F449" i="11"/>
  <c r="F448" i="11"/>
  <c r="F447" i="11"/>
  <c r="B441" i="11"/>
  <c r="B36" i="13" s="1"/>
  <c r="F432" i="11"/>
  <c r="F437" i="11"/>
  <c r="F436" i="11"/>
  <c r="F433" i="11"/>
  <c r="F431" i="11"/>
  <c r="F430" i="11"/>
  <c r="B424" i="11"/>
  <c r="B34" i="13" s="1"/>
  <c r="F420" i="11"/>
  <c r="F419" i="11"/>
  <c r="F416" i="11"/>
  <c r="F414" i="11"/>
  <c r="F413" i="11"/>
  <c r="B407" i="11"/>
  <c r="F398" i="11"/>
  <c r="F403" i="11"/>
  <c r="F402" i="11"/>
  <c r="F399" i="11"/>
  <c r="F397" i="11"/>
  <c r="B392" i="11"/>
  <c r="B30" i="13" s="1"/>
  <c r="B379" i="11"/>
  <c r="M1388" i="1"/>
  <c r="N1388" i="1"/>
  <c r="N822" i="1"/>
  <c r="N823" i="1" s="1"/>
  <c r="J823" i="1"/>
  <c r="J1371" i="1"/>
  <c r="J1162" i="1"/>
  <c r="M802" i="1"/>
  <c r="N807" i="1"/>
  <c r="J802" i="1"/>
  <c r="G1961" i="1"/>
  <c r="F1961" i="1"/>
  <c r="E1953" i="1"/>
  <c r="F1915" i="1"/>
  <c r="G1915" i="1"/>
  <c r="J1915" i="1"/>
  <c r="K1915" i="1"/>
  <c r="F1916" i="1"/>
  <c r="G1916" i="1"/>
  <c r="J1916" i="1"/>
  <c r="K1916" i="1"/>
  <c r="F1917" i="1"/>
  <c r="G1917" i="1"/>
  <c r="J1917" i="1"/>
  <c r="K1917" i="1"/>
  <c r="K1914" i="1"/>
  <c r="J1914" i="1"/>
  <c r="G1914" i="1"/>
  <c r="F1914" i="1"/>
  <c r="E1905" i="1"/>
  <c r="F1905" i="1"/>
  <c r="G1905" i="1"/>
  <c r="J1905" i="1"/>
  <c r="K1905" i="1"/>
  <c r="E1906" i="1"/>
  <c r="F1906" i="1"/>
  <c r="G1906" i="1"/>
  <c r="J1906" i="1"/>
  <c r="K1906" i="1"/>
  <c r="E1907" i="1"/>
  <c r="F1907" i="1"/>
  <c r="G1907" i="1"/>
  <c r="J1907" i="1"/>
  <c r="K1907" i="1"/>
  <c r="E1908" i="1"/>
  <c r="F1908" i="1"/>
  <c r="G1908" i="1"/>
  <c r="J1908" i="1"/>
  <c r="K1908" i="1"/>
  <c r="E1909" i="1"/>
  <c r="F1909" i="1"/>
  <c r="G1909" i="1"/>
  <c r="J1909" i="1"/>
  <c r="K1909" i="1"/>
  <c r="E1910" i="1"/>
  <c r="F1910" i="1"/>
  <c r="G1910" i="1"/>
  <c r="J1910" i="1"/>
  <c r="K1910" i="1"/>
  <c r="E1911" i="1"/>
  <c r="F1911" i="1"/>
  <c r="G1911" i="1"/>
  <c r="J1911" i="1"/>
  <c r="K1911" i="1"/>
  <c r="K1904" i="1"/>
  <c r="J1904" i="1"/>
  <c r="G1904" i="1"/>
  <c r="F1904" i="1"/>
  <c r="E1904" i="1"/>
  <c r="E1897" i="1"/>
  <c r="F1897" i="1"/>
  <c r="G1897" i="1"/>
  <c r="J1897" i="1"/>
  <c r="K1897" i="1"/>
  <c r="E1898" i="1"/>
  <c r="F1898" i="1"/>
  <c r="G1898" i="1"/>
  <c r="J1898" i="1"/>
  <c r="K1898" i="1"/>
  <c r="E1899" i="1"/>
  <c r="F1899" i="1"/>
  <c r="G1899" i="1"/>
  <c r="G1720" i="1" s="1"/>
  <c r="J1899" i="1"/>
  <c r="K1899" i="1"/>
  <c r="E1900" i="1"/>
  <c r="F1900" i="1"/>
  <c r="G1900" i="1"/>
  <c r="J1900" i="1"/>
  <c r="K1900" i="1"/>
  <c r="E1901" i="1"/>
  <c r="F1901" i="1"/>
  <c r="G1901" i="1"/>
  <c r="J1901" i="1"/>
  <c r="K1901" i="1"/>
  <c r="F1889" i="1"/>
  <c r="G1889" i="1"/>
  <c r="J1889" i="1"/>
  <c r="K1889" i="1"/>
  <c r="F1890" i="1"/>
  <c r="G1890" i="1"/>
  <c r="J1890" i="1"/>
  <c r="K1890" i="1"/>
  <c r="K1888" i="1"/>
  <c r="J1888" i="1"/>
  <c r="G1888" i="1"/>
  <c r="F1888" i="1"/>
  <c r="J1885" i="1"/>
  <c r="K1885" i="1"/>
  <c r="K1884" i="1"/>
  <c r="J1884" i="1"/>
  <c r="E1879" i="1"/>
  <c r="F1879" i="1"/>
  <c r="G1879" i="1"/>
  <c r="J1879" i="1"/>
  <c r="K1879" i="1"/>
  <c r="E1880" i="1"/>
  <c r="F1880" i="1"/>
  <c r="G1880" i="1"/>
  <c r="J1880" i="1"/>
  <c r="K1880" i="1"/>
  <c r="E1881" i="1"/>
  <c r="F1881" i="1"/>
  <c r="G1881" i="1"/>
  <c r="J1881" i="1"/>
  <c r="K1881" i="1"/>
  <c r="K1878" i="1"/>
  <c r="J1878" i="1"/>
  <c r="F1878" i="1"/>
  <c r="F1884" i="1"/>
  <c r="E1681" i="1"/>
  <c r="G1676" i="1"/>
  <c r="G1677" i="1" s="1"/>
  <c r="E1676" i="1"/>
  <c r="E1677" i="1"/>
  <c r="G1680" i="1"/>
  <c r="G1684" i="1" s="1"/>
  <c r="G1685" i="1" s="1"/>
  <c r="G1686" i="1" s="1"/>
  <c r="F1675" i="1"/>
  <c r="F1680" i="1" s="1"/>
  <c r="F1684" i="1" s="1"/>
  <c r="F1685" i="1" s="1"/>
  <c r="F1686" i="1" s="1"/>
  <c r="G816" i="1"/>
  <c r="F816" i="1"/>
  <c r="E816" i="1"/>
  <c r="C816" i="1"/>
  <c r="C813" i="1"/>
  <c r="G812" i="1"/>
  <c r="F812" i="1"/>
  <c r="E812" i="1"/>
  <c r="C812" i="1"/>
  <c r="G1385" i="1"/>
  <c r="F1385" i="1"/>
  <c r="G1384" i="1"/>
  <c r="E1384" i="1"/>
  <c r="L1369" i="1"/>
  <c r="E1368" i="1"/>
  <c r="E1366" i="1"/>
  <c r="L1366" i="1" s="1"/>
  <c r="N1365" i="1"/>
  <c r="E1363" i="1"/>
  <c r="M1362" i="1"/>
  <c r="L1359" i="1"/>
  <c r="E1358" i="1"/>
  <c r="E1356" i="1"/>
  <c r="L1356" i="1" s="1"/>
  <c r="N1355" i="1"/>
  <c r="E1353" i="1"/>
  <c r="M1352" i="1"/>
  <c r="E1343" i="1"/>
  <c r="C1343" i="1"/>
  <c r="H1338" i="1"/>
  <c r="P1340" i="1" s="1"/>
  <c r="E1338" i="1"/>
  <c r="C1338" i="1"/>
  <c r="G1335" i="1"/>
  <c r="G1337" i="1" s="1"/>
  <c r="I1333" i="1"/>
  <c r="H1333" i="1"/>
  <c r="G1333" i="1"/>
  <c r="P1334" i="1" s="1"/>
  <c r="E1333" i="1"/>
  <c r="C1333" i="1"/>
  <c r="E1328" i="1"/>
  <c r="C1328" i="1"/>
  <c r="G1326" i="1"/>
  <c r="F1326" i="1"/>
  <c r="G1325" i="1"/>
  <c r="F1325" i="1"/>
  <c r="E1322" i="1"/>
  <c r="C1322" i="1"/>
  <c r="G1321" i="1"/>
  <c r="F1321" i="1"/>
  <c r="G1320" i="1"/>
  <c r="F1320" i="1"/>
  <c r="H1317" i="1"/>
  <c r="I1317" i="1"/>
  <c r="E1317" i="1"/>
  <c r="C1317" i="1"/>
  <c r="G1316" i="1"/>
  <c r="F1316" i="1"/>
  <c r="G1315" i="1"/>
  <c r="F1315" i="1"/>
  <c r="I1312" i="1"/>
  <c r="P1314" i="1" s="1"/>
  <c r="E1312" i="1"/>
  <c r="C1312" i="1"/>
  <c r="G1311" i="1"/>
  <c r="F1311" i="1"/>
  <c r="G1310" i="1"/>
  <c r="F1310" i="1"/>
  <c r="E1307" i="1"/>
  <c r="C1307" i="1"/>
  <c r="G1305" i="1"/>
  <c r="F1305" i="1"/>
  <c r="G1306" i="1"/>
  <c r="F1306" i="1"/>
  <c r="G1302" i="1"/>
  <c r="P1303" i="1" s="1"/>
  <c r="E1302" i="1"/>
  <c r="C1302" i="1"/>
  <c r="E1288" i="1"/>
  <c r="C1288" i="1"/>
  <c r="E1283" i="1"/>
  <c r="C1283" i="1"/>
  <c r="F1278" i="1"/>
  <c r="P1279" i="1" s="1"/>
  <c r="E1278" i="1"/>
  <c r="C1278" i="1"/>
  <c r="E1273" i="1"/>
  <c r="C1273" i="1"/>
  <c r="G1271" i="1"/>
  <c r="F1271" i="1"/>
  <c r="G1270" i="1"/>
  <c r="F1270" i="1"/>
  <c r="E1267" i="1"/>
  <c r="C1267" i="1"/>
  <c r="G1266" i="1"/>
  <c r="F1266" i="1"/>
  <c r="G1265" i="1"/>
  <c r="F1265" i="1"/>
  <c r="E1262" i="1"/>
  <c r="C1262" i="1"/>
  <c r="G1256" i="1"/>
  <c r="F1256" i="1"/>
  <c r="G1255" i="1"/>
  <c r="F1255" i="1"/>
  <c r="I1252" i="1"/>
  <c r="P1254" i="1" s="1"/>
  <c r="E1252" i="1"/>
  <c r="C1252" i="1"/>
  <c r="G1251" i="1"/>
  <c r="F1251" i="1"/>
  <c r="G1250" i="1"/>
  <c r="F1250" i="1"/>
  <c r="E1247" i="1"/>
  <c r="C1247" i="1"/>
  <c r="G1246" i="1"/>
  <c r="F1246" i="1"/>
  <c r="G1245" i="1"/>
  <c r="F1245" i="1"/>
  <c r="G1242" i="1"/>
  <c r="P1243" i="1" s="1"/>
  <c r="E1242" i="1"/>
  <c r="C1242" i="1"/>
  <c r="E1234" i="1"/>
  <c r="C1234" i="1"/>
  <c r="E1229" i="1"/>
  <c r="C1229" i="1"/>
  <c r="E1224" i="1"/>
  <c r="C1224" i="1"/>
  <c r="E1219" i="1"/>
  <c r="C1219" i="1"/>
  <c r="G1217" i="1"/>
  <c r="F1217" i="1"/>
  <c r="G1216" i="1"/>
  <c r="F1216" i="1"/>
  <c r="E1213" i="1"/>
  <c r="C1213" i="1"/>
  <c r="G1212" i="1"/>
  <c r="F1212" i="1"/>
  <c r="G1211" i="1"/>
  <c r="F1211" i="1"/>
  <c r="E1208" i="1"/>
  <c r="C1208" i="1"/>
  <c r="G1207" i="1"/>
  <c r="F1207" i="1"/>
  <c r="G1206" i="1"/>
  <c r="F1206" i="1"/>
  <c r="I1203" i="1"/>
  <c r="H1203" i="1"/>
  <c r="E1203" i="1"/>
  <c r="C1203" i="1"/>
  <c r="G1202" i="1"/>
  <c r="G1201" i="1"/>
  <c r="F1201" i="1"/>
  <c r="G1198" i="1"/>
  <c r="P1199" i="1" s="1"/>
  <c r="E1198" i="1"/>
  <c r="C1198" i="1"/>
  <c r="G1191" i="1"/>
  <c r="F1191" i="1"/>
  <c r="G1192" i="1"/>
  <c r="F1192" i="1"/>
  <c r="G1196" i="1"/>
  <c r="F1196" i="1"/>
  <c r="E1193" i="1"/>
  <c r="C1193" i="1"/>
  <c r="G1188" i="1"/>
  <c r="P1189" i="1" s="1"/>
  <c r="E1188" i="1"/>
  <c r="C1188" i="1"/>
  <c r="I1175" i="1"/>
  <c r="H1175" i="1"/>
  <c r="E1175" i="1"/>
  <c r="C1175" i="1"/>
  <c r="G1160" i="1"/>
  <c r="F1160" i="1"/>
  <c r="E1155" i="1"/>
  <c r="E1156" i="1" s="1"/>
  <c r="N1156" i="1" s="1"/>
  <c r="C1155" i="1"/>
  <c r="W1155" i="1" s="1"/>
  <c r="G1153" i="1"/>
  <c r="F1153" i="1"/>
  <c r="E1148" i="1"/>
  <c r="E1150" i="1" s="1"/>
  <c r="N1150" i="1" s="1"/>
  <c r="C1148" i="1"/>
  <c r="W1148" i="1" s="1"/>
  <c r="G1145" i="1"/>
  <c r="F1145" i="1"/>
  <c r="C1142" i="1"/>
  <c r="W1142" i="1" s="1"/>
  <c r="E1140" i="1"/>
  <c r="E1142" i="1" s="1"/>
  <c r="C1140" i="1"/>
  <c r="W1140" i="1" s="1"/>
  <c r="G1137" i="1"/>
  <c r="F1137" i="1"/>
  <c r="E1134" i="1"/>
  <c r="E1135" i="1" s="1"/>
  <c r="I1133" i="1"/>
  <c r="H1133" i="1"/>
  <c r="G1132" i="1"/>
  <c r="F1132" i="1"/>
  <c r="E1129" i="1"/>
  <c r="N1129" i="1" s="1"/>
  <c r="E1123" i="1"/>
  <c r="F1123" i="1"/>
  <c r="Q1124" i="1" s="1"/>
  <c r="G1117" i="1"/>
  <c r="F1117" i="1"/>
  <c r="E1114" i="1"/>
  <c r="E1115" i="1" s="1"/>
  <c r="G1112" i="1"/>
  <c r="F1112" i="1"/>
  <c r="E1109" i="1"/>
  <c r="E1110" i="1" s="1"/>
  <c r="G1107" i="1"/>
  <c r="F1107" i="1"/>
  <c r="E1104" i="1"/>
  <c r="E1105" i="1" s="1"/>
  <c r="G1101" i="1"/>
  <c r="F1101" i="1"/>
  <c r="I1097" i="1"/>
  <c r="G1097" i="1"/>
  <c r="Q1098" i="1" s="1"/>
  <c r="E1097" i="1"/>
  <c r="C1097" i="1"/>
  <c r="C1090" i="1"/>
  <c r="W1090" i="1" s="1"/>
  <c r="C1088" i="1"/>
  <c r="W1088" i="1" s="1"/>
  <c r="G1093" i="1"/>
  <c r="F1093" i="1"/>
  <c r="E1088" i="1"/>
  <c r="G1085" i="1"/>
  <c r="F1085" i="1"/>
  <c r="C1079" i="1"/>
  <c r="G1077" i="1"/>
  <c r="F1077" i="1"/>
  <c r="E1073" i="1"/>
  <c r="C1073" i="1"/>
  <c r="G1072" i="1"/>
  <c r="F1072" i="1"/>
  <c r="E1068" i="1"/>
  <c r="C1068" i="1"/>
  <c r="G1064" i="1"/>
  <c r="F1064" i="1"/>
  <c r="G1063" i="1"/>
  <c r="F1063" i="1"/>
  <c r="E1059" i="1"/>
  <c r="C1059" i="1"/>
  <c r="G1058" i="1"/>
  <c r="F1058" i="1"/>
  <c r="I1054" i="1"/>
  <c r="G1054" i="1"/>
  <c r="Q1055" i="1" s="1"/>
  <c r="E1054" i="1"/>
  <c r="C1054" i="1"/>
  <c r="G1047" i="1"/>
  <c r="F1047" i="1"/>
  <c r="I1043" i="1"/>
  <c r="G1043" i="1"/>
  <c r="Q1044" i="1" s="1"/>
  <c r="E1043" i="1"/>
  <c r="G1039" i="1"/>
  <c r="F1039" i="1"/>
  <c r="E1034" i="1"/>
  <c r="I1028" i="1"/>
  <c r="H1028" i="1"/>
  <c r="G1028" i="1"/>
  <c r="F1028" i="1"/>
  <c r="E1028" i="1"/>
  <c r="C1028" i="1"/>
  <c r="G1026" i="1"/>
  <c r="F1026" i="1"/>
  <c r="E1021" i="1"/>
  <c r="E1022" i="1" s="1"/>
  <c r="E1023" i="1" s="1"/>
  <c r="E1013" i="1"/>
  <c r="C1013" i="1"/>
  <c r="G1011" i="1"/>
  <c r="F1011" i="1"/>
  <c r="E1007" i="1"/>
  <c r="C1007" i="1"/>
  <c r="I1003" i="1"/>
  <c r="I1007" i="1" s="1"/>
  <c r="G1003" i="1"/>
  <c r="F1003" i="1"/>
  <c r="E1003" i="1"/>
  <c r="G1001" i="1"/>
  <c r="F1001" i="1"/>
  <c r="I997" i="1"/>
  <c r="C997" i="1"/>
  <c r="E993" i="1"/>
  <c r="E994" i="1" s="1"/>
  <c r="F990" i="1"/>
  <c r="G990" i="1"/>
  <c r="E986" i="1"/>
  <c r="C986" i="1"/>
  <c r="E982" i="1"/>
  <c r="N982" i="1" s="1"/>
  <c r="G973" i="1"/>
  <c r="F973" i="1"/>
  <c r="C962" i="1"/>
  <c r="E951" i="1"/>
  <c r="G946" i="1"/>
  <c r="F946" i="1"/>
  <c r="E946" i="1"/>
  <c r="C946" i="1"/>
  <c r="I941" i="1"/>
  <c r="H941" i="1"/>
  <c r="C1653" i="1"/>
  <c r="F1653" i="1"/>
  <c r="G1653" i="1"/>
  <c r="H1653" i="1"/>
  <c r="I1653" i="1"/>
  <c r="I1652" i="1"/>
  <c r="H1652" i="1"/>
  <c r="C1652" i="1"/>
  <c r="K1651" i="1"/>
  <c r="G1651" i="1"/>
  <c r="E1651" i="1"/>
  <c r="E1650" i="1"/>
  <c r="K1649" i="1"/>
  <c r="J1649" i="1"/>
  <c r="E1648" i="1"/>
  <c r="C1648" i="1"/>
  <c r="I1648" i="1"/>
  <c r="G1648" i="1"/>
  <c r="G1649" i="1" s="1"/>
  <c r="F1648" i="1"/>
  <c r="F1649" i="1" s="1"/>
  <c r="C1649" i="1"/>
  <c r="K1644" i="1"/>
  <c r="G1644" i="1"/>
  <c r="E1644" i="1"/>
  <c r="G1632" i="1"/>
  <c r="F1632" i="1"/>
  <c r="C1632" i="1"/>
  <c r="G1630" i="1"/>
  <c r="F1630" i="1"/>
  <c r="C1630" i="1"/>
  <c r="G1628" i="1"/>
  <c r="F1628" i="1"/>
  <c r="C1628" i="1"/>
  <c r="C1626" i="1"/>
  <c r="G1626" i="1"/>
  <c r="F1626" i="1"/>
  <c r="I1624" i="1"/>
  <c r="G1623" i="1"/>
  <c r="G1624" i="1" s="1"/>
  <c r="F1623" i="1"/>
  <c r="F1624" i="1" s="1"/>
  <c r="E1623" i="1"/>
  <c r="C1624" i="1"/>
  <c r="C1623" i="1"/>
  <c r="E1621" i="1"/>
  <c r="F1618" i="1"/>
  <c r="G1618" i="1"/>
  <c r="C1618" i="1"/>
  <c r="G1616" i="1"/>
  <c r="F1616" i="1"/>
  <c r="C1616" i="1"/>
  <c r="G1614" i="1"/>
  <c r="F1614" i="1"/>
  <c r="C1614" i="1"/>
  <c r="C1612" i="1"/>
  <c r="G1612" i="1"/>
  <c r="F1612" i="1"/>
  <c r="E1609" i="1"/>
  <c r="E1611" i="1" s="1"/>
  <c r="E1613" i="1" s="1"/>
  <c r="E1615" i="1" s="1"/>
  <c r="E1617" i="1" s="1"/>
  <c r="E1608" i="1"/>
  <c r="C1579" i="1"/>
  <c r="E1579" i="1"/>
  <c r="F1579" i="1"/>
  <c r="G1579" i="1"/>
  <c r="G1578" i="1"/>
  <c r="F1578" i="1"/>
  <c r="E1578" i="1"/>
  <c r="C1578" i="1"/>
  <c r="C1575" i="1"/>
  <c r="E1575" i="1"/>
  <c r="G1575" i="1"/>
  <c r="K1574" i="1"/>
  <c r="J1574" i="1"/>
  <c r="G1574" i="1"/>
  <c r="E1574" i="1"/>
  <c r="C435" i="1"/>
  <c r="E435" i="1"/>
  <c r="F435" i="1"/>
  <c r="G435" i="1"/>
  <c r="G434" i="1"/>
  <c r="F434" i="1"/>
  <c r="E434" i="1"/>
  <c r="C434" i="1"/>
  <c r="K88" i="1"/>
  <c r="K89" i="1" s="1"/>
  <c r="K435" i="1" s="1"/>
  <c r="J88" i="1"/>
  <c r="H812" i="1" s="1"/>
  <c r="H275" i="11" l="1"/>
  <c r="H276" i="11" s="1"/>
  <c r="M97" i="11"/>
  <c r="H19" i="11"/>
  <c r="H22" i="11" s="1"/>
  <c r="H23" i="11" s="1"/>
  <c r="H12" i="11" s="1"/>
  <c r="G8" i="13" s="1"/>
  <c r="F175" i="11"/>
  <c r="E68" i="37"/>
  <c r="E78" i="12"/>
  <c r="H271" i="11"/>
  <c r="B32" i="13"/>
  <c r="M1720" i="1"/>
  <c r="N1738" i="1" s="1"/>
  <c r="N1825" i="1"/>
  <c r="J1838" i="1"/>
  <c r="W1282" i="1"/>
  <c r="C1282" i="1" s="1"/>
  <c r="W1280" i="1"/>
  <c r="C1280" i="1" s="1"/>
  <c r="W1192" i="1"/>
  <c r="C1192" i="1" s="1"/>
  <c r="W1190" i="1"/>
  <c r="C1190" i="1" s="1"/>
  <c r="W1341" i="1"/>
  <c r="C1341" i="1" s="1"/>
  <c r="W1339" i="1"/>
  <c r="C1339" i="1" s="1"/>
  <c r="W1306" i="1"/>
  <c r="C1306" i="1" s="1"/>
  <c r="W1304" i="1"/>
  <c r="C1304" i="1" s="1"/>
  <c r="W1246" i="1"/>
  <c r="C1246" i="1" s="1"/>
  <c r="W1244" i="1"/>
  <c r="C1244" i="1" s="1"/>
  <c r="W1255" i="1"/>
  <c r="C1255" i="1" s="1"/>
  <c r="W1253" i="1"/>
  <c r="C1253" i="1" s="1"/>
  <c r="W1202" i="1"/>
  <c r="C1202" i="1" s="1"/>
  <c r="W1200" i="1"/>
  <c r="C1200" i="1" s="1"/>
  <c r="W1315" i="1"/>
  <c r="C1315" i="1" s="1"/>
  <c r="W1313" i="1"/>
  <c r="C1313" i="1" s="1"/>
  <c r="W1337" i="1"/>
  <c r="C1337" i="1" s="1"/>
  <c r="W1335" i="1"/>
  <c r="C1335" i="1" s="1"/>
  <c r="R1344" i="1"/>
  <c r="R1345" i="1" s="1"/>
  <c r="R1346" i="1" s="1"/>
  <c r="R1347" i="1" s="1"/>
  <c r="P1319" i="1"/>
  <c r="R1308" i="1"/>
  <c r="R1309" i="1" s="1"/>
  <c r="R1310" i="1" s="1"/>
  <c r="R1311" i="1" s="1"/>
  <c r="R1339" i="1"/>
  <c r="R1340" i="1" s="1"/>
  <c r="R1341" i="1" s="1"/>
  <c r="R1342" i="1" s="1"/>
  <c r="X1342" i="1"/>
  <c r="X1340" i="1"/>
  <c r="R1334" i="1"/>
  <c r="R1335" i="1" s="1"/>
  <c r="R1336" i="1" s="1"/>
  <c r="R1337" i="1" s="1"/>
  <c r="R1329" i="1"/>
  <c r="R1330" i="1" s="1"/>
  <c r="R1331" i="1" s="1"/>
  <c r="R1332" i="1" s="1"/>
  <c r="X1334" i="1"/>
  <c r="X1336" i="1"/>
  <c r="P1335" i="1"/>
  <c r="R1303" i="1"/>
  <c r="R1304" i="1" s="1"/>
  <c r="R1305" i="1" s="1"/>
  <c r="R1306" i="1" s="1"/>
  <c r="X1303" i="1"/>
  <c r="X1305" i="1"/>
  <c r="R1318" i="1"/>
  <c r="R1319" i="1" s="1"/>
  <c r="R1320" i="1" s="1"/>
  <c r="R1321" i="1" s="1"/>
  <c r="R1323" i="1"/>
  <c r="R1324" i="1" s="1"/>
  <c r="R1325" i="1" s="1"/>
  <c r="R1326" i="1" s="1"/>
  <c r="R1313" i="1"/>
  <c r="R1314" i="1" s="1"/>
  <c r="R1315" i="1" s="1"/>
  <c r="R1316" i="1" s="1"/>
  <c r="X1316" i="1"/>
  <c r="X1314" i="1"/>
  <c r="E1274" i="1"/>
  <c r="L1274" i="1" s="1"/>
  <c r="R1289" i="1"/>
  <c r="R1290" i="1" s="1"/>
  <c r="R1291" i="1" s="1"/>
  <c r="R1292" i="1" s="1"/>
  <c r="R1284" i="1"/>
  <c r="R1285" i="1" s="1"/>
  <c r="R1286" i="1" s="1"/>
  <c r="R1287" i="1" s="1"/>
  <c r="R1279" i="1"/>
  <c r="R1280" i="1" s="1"/>
  <c r="R1281" i="1" s="1"/>
  <c r="R1282" i="1" s="1"/>
  <c r="X1279" i="1"/>
  <c r="X1281" i="1"/>
  <c r="R1248" i="1"/>
  <c r="R1249" i="1" s="1"/>
  <c r="R1250" i="1" s="1"/>
  <c r="R1251" i="1" s="1"/>
  <c r="R1274" i="1"/>
  <c r="R1275" i="1" s="1"/>
  <c r="R1276" i="1" s="1"/>
  <c r="R1277" i="1" s="1"/>
  <c r="R1268" i="1"/>
  <c r="R1269" i="1" s="1"/>
  <c r="R1270" i="1" s="1"/>
  <c r="R1271" i="1" s="1"/>
  <c r="R1263" i="1"/>
  <c r="R1264" i="1" s="1"/>
  <c r="R1265" i="1" s="1"/>
  <c r="R1266" i="1" s="1"/>
  <c r="R1253" i="1"/>
  <c r="R1254" i="1" s="1"/>
  <c r="R1255" i="1" s="1"/>
  <c r="R1256" i="1" s="1"/>
  <c r="R1235" i="1"/>
  <c r="R1236" i="1" s="1"/>
  <c r="R1237" i="1" s="1"/>
  <c r="R1238" i="1" s="1"/>
  <c r="X1256" i="1"/>
  <c r="X1254" i="1"/>
  <c r="P1177" i="1"/>
  <c r="R1243" i="1"/>
  <c r="R1244" i="1" s="1"/>
  <c r="R1245" i="1" s="1"/>
  <c r="R1246" i="1" s="1"/>
  <c r="X1243" i="1"/>
  <c r="X1245" i="1"/>
  <c r="R1204" i="1"/>
  <c r="R1205" i="1" s="1"/>
  <c r="R1206" i="1" s="1"/>
  <c r="R1207" i="1" s="1"/>
  <c r="R1209" i="1"/>
  <c r="R1210" i="1" s="1"/>
  <c r="R1211" i="1" s="1"/>
  <c r="R1212" i="1" s="1"/>
  <c r="R1230" i="1"/>
  <c r="R1231" i="1" s="1"/>
  <c r="R1232" i="1" s="1"/>
  <c r="R1233" i="1" s="1"/>
  <c r="R1220" i="1"/>
  <c r="R1221" i="1" s="1"/>
  <c r="R1222" i="1" s="1"/>
  <c r="R1223" i="1" s="1"/>
  <c r="R1225" i="1"/>
  <c r="R1226" i="1" s="1"/>
  <c r="R1227" i="1" s="1"/>
  <c r="R1228" i="1" s="1"/>
  <c r="P1134" i="1"/>
  <c r="X1137" i="1" s="1"/>
  <c r="P1205" i="1"/>
  <c r="R1189" i="1"/>
  <c r="R1190" i="1" s="1"/>
  <c r="R1191" i="1" s="1"/>
  <c r="R1192" i="1" s="1"/>
  <c r="R1199" i="1"/>
  <c r="R1200" i="1" s="1"/>
  <c r="R1201" i="1" s="1"/>
  <c r="R1202" i="1" s="1"/>
  <c r="R1176" i="1"/>
  <c r="R1177" i="1" s="1"/>
  <c r="R1178" i="1" s="1"/>
  <c r="R1179" i="1" s="1"/>
  <c r="X1199" i="1"/>
  <c r="X1201" i="1"/>
  <c r="X1189" i="1"/>
  <c r="X1191" i="1"/>
  <c r="R1194" i="1"/>
  <c r="R1195" i="1" s="1"/>
  <c r="R1196" i="1" s="1"/>
  <c r="R1197" i="1" s="1"/>
  <c r="R1214" i="1"/>
  <c r="R1215" i="1" s="1"/>
  <c r="R1216" i="1" s="1"/>
  <c r="R1217" i="1" s="1"/>
  <c r="R1069" i="1"/>
  <c r="R1070" i="1" s="1"/>
  <c r="R1071" i="1" s="1"/>
  <c r="R1072" i="1" s="1"/>
  <c r="R1098" i="1"/>
  <c r="R1099" i="1" s="1"/>
  <c r="R1100" i="1" s="1"/>
  <c r="R1101" i="1" s="1"/>
  <c r="Q1065" i="1"/>
  <c r="X1065" i="1" s="1"/>
  <c r="Q1004" i="1"/>
  <c r="W1006" i="1" s="1"/>
  <c r="C1006" i="1" s="1"/>
  <c r="P1029" i="1"/>
  <c r="X1031" i="1" s="1"/>
  <c r="R1074" i="1"/>
  <c r="R1075" i="1" s="1"/>
  <c r="R1076" i="1" s="1"/>
  <c r="R1077" i="1" s="1"/>
  <c r="Q1029" i="1"/>
  <c r="W1031" i="1" s="1"/>
  <c r="C1031" i="1" s="1"/>
  <c r="E1080" i="1"/>
  <c r="E1081" i="1" s="1"/>
  <c r="E1082" i="1" s="1"/>
  <c r="N1082" i="1" s="1"/>
  <c r="R1080" i="1"/>
  <c r="R1081" i="1" s="1"/>
  <c r="R1082" i="1" s="1"/>
  <c r="R1083" i="1" s="1"/>
  <c r="R1084" i="1" s="1"/>
  <c r="R1085" i="1" s="1"/>
  <c r="X1125" i="1"/>
  <c r="W1126" i="1"/>
  <c r="C1126" i="1" s="1"/>
  <c r="X1124" i="1"/>
  <c r="E1124" i="1"/>
  <c r="E1125" i="1" s="1"/>
  <c r="E1126" i="1" s="1"/>
  <c r="R1124" i="1"/>
  <c r="R1125" i="1" s="1"/>
  <c r="R1126" i="1" s="1"/>
  <c r="X1099" i="1"/>
  <c r="X1098" i="1"/>
  <c r="W1101" i="1"/>
  <c r="C1101" i="1" s="1"/>
  <c r="R1055" i="1"/>
  <c r="R1056" i="1" s="1"/>
  <c r="R1057" i="1" s="1"/>
  <c r="R1058" i="1" s="1"/>
  <c r="E1035" i="1"/>
  <c r="E1036" i="1" s="1"/>
  <c r="E1037" i="1" s="1"/>
  <c r="X1044" i="1"/>
  <c r="X1045" i="1"/>
  <c r="W1047" i="1"/>
  <c r="C1047" i="1" s="1"/>
  <c r="X1056" i="1"/>
  <c r="X1055" i="1"/>
  <c r="W1058" i="1"/>
  <c r="C1058" i="1" s="1"/>
  <c r="E1064" i="1"/>
  <c r="R1060" i="1"/>
  <c r="R1061" i="1" s="1"/>
  <c r="R1062" i="1" s="1"/>
  <c r="R1063" i="1" s="1"/>
  <c r="R1014" i="1"/>
  <c r="R1015" i="1" s="1"/>
  <c r="R1016" i="1" s="1"/>
  <c r="R1017" i="1" s="1"/>
  <c r="R1018" i="1" s="1"/>
  <c r="R1029" i="1"/>
  <c r="R1030" i="1" s="1"/>
  <c r="R1031" i="1" s="1"/>
  <c r="N1022" i="1"/>
  <c r="N1023" i="1"/>
  <c r="E1024" i="1"/>
  <c r="R1008" i="1"/>
  <c r="R1009" i="1" s="1"/>
  <c r="R1010" i="1" s="1"/>
  <c r="R1011" i="1" s="1"/>
  <c r="R987" i="1"/>
  <c r="R988" i="1" s="1"/>
  <c r="R989" i="1" s="1"/>
  <c r="R990" i="1" s="1"/>
  <c r="P942" i="1"/>
  <c r="P943" i="1"/>
  <c r="Q974" i="1"/>
  <c r="E963" i="1"/>
  <c r="E964" i="1" s="1"/>
  <c r="E965" i="1" s="1"/>
  <c r="R963" i="1"/>
  <c r="R964" i="1" s="1"/>
  <c r="R965" i="1" s="1"/>
  <c r="R966" i="1" s="1"/>
  <c r="R947" i="1"/>
  <c r="R948" i="1" s="1"/>
  <c r="R949" i="1" s="1"/>
  <c r="R950" i="1" s="1"/>
  <c r="Q947" i="1"/>
  <c r="P817" i="1"/>
  <c r="W820" i="1" s="1"/>
  <c r="E819" i="1" s="1"/>
  <c r="E817" i="1"/>
  <c r="E818" i="1" s="1"/>
  <c r="R817" i="1"/>
  <c r="E813" i="1"/>
  <c r="E814" i="1" s="1"/>
  <c r="R813" i="1"/>
  <c r="P813" i="1"/>
  <c r="M713" i="1"/>
  <c r="M332" i="1"/>
  <c r="J333" i="1"/>
  <c r="J714" i="1"/>
  <c r="K333" i="1"/>
  <c r="K714" i="1"/>
  <c r="H334" i="1"/>
  <c r="C1625" i="1"/>
  <c r="M1625" i="1" s="1"/>
  <c r="M1623" i="1"/>
  <c r="N1869" i="1"/>
  <c r="N1868" i="1" s="1"/>
  <c r="C638" i="11" s="1"/>
  <c r="N1371" i="1"/>
  <c r="N1372" i="1" s="1"/>
  <c r="G1681" i="1"/>
  <c r="F1676" i="1"/>
  <c r="I816" i="1"/>
  <c r="I812" i="1"/>
  <c r="E1339" i="1"/>
  <c r="E1340" i="1" s="1"/>
  <c r="L1384" i="1"/>
  <c r="L1388" i="1" s="1"/>
  <c r="L1389" i="1" s="1"/>
  <c r="J1385" i="1"/>
  <c r="J1388" i="1" s="1"/>
  <c r="J1389" i="1" s="1"/>
  <c r="L1353" i="1"/>
  <c r="M1368" i="1"/>
  <c r="E1318" i="1"/>
  <c r="M1358" i="1"/>
  <c r="E1279" i="1"/>
  <c r="E1280" i="1" s="1"/>
  <c r="L1363" i="1"/>
  <c r="E1313" i="1"/>
  <c r="E1309" i="1"/>
  <c r="L1309" i="1" s="1"/>
  <c r="E1284" i="1"/>
  <c r="E1285" i="1" s="1"/>
  <c r="E1295" i="1"/>
  <c r="E1296" i="1" s="1"/>
  <c r="E1304" i="1"/>
  <c r="E1314" i="1"/>
  <c r="L1314" i="1" s="1"/>
  <c r="E1319" i="1"/>
  <c r="L1319" i="1" s="1"/>
  <c r="E1235" i="1"/>
  <c r="L1235" i="1" s="1"/>
  <c r="E1329" i="1"/>
  <c r="E1330" i="1" s="1"/>
  <c r="E1344" i="1"/>
  <c r="E1345" i="1" s="1"/>
  <c r="E1323" i="1"/>
  <c r="E1324" i="1"/>
  <c r="L1324" i="1" s="1"/>
  <c r="E1289" i="1"/>
  <c r="E1334" i="1"/>
  <c r="E1335" i="1" s="1"/>
  <c r="E1308" i="1"/>
  <c r="E1249" i="1"/>
  <c r="L1249" i="1" s="1"/>
  <c r="E1303" i="1"/>
  <c r="L1303" i="1" s="1"/>
  <c r="E1190" i="1"/>
  <c r="E1264" i="1"/>
  <c r="L1264" i="1" s="1"/>
  <c r="E1269" i="1"/>
  <c r="L1269" i="1" s="1"/>
  <c r="E1220" i="1"/>
  <c r="E1221" i="1" s="1"/>
  <c r="E1254" i="1"/>
  <c r="L1254" i="1" s="1"/>
  <c r="E1244" i="1"/>
  <c r="E1268" i="1"/>
  <c r="E1263" i="1"/>
  <c r="L1263" i="1" s="1"/>
  <c r="E1248" i="1"/>
  <c r="L1248" i="1" s="1"/>
  <c r="E1243" i="1"/>
  <c r="L1243" i="1" s="1"/>
  <c r="E1253" i="1"/>
  <c r="E1209" i="1"/>
  <c r="E1211" i="1" s="1"/>
  <c r="E1212" i="1" s="1"/>
  <c r="L1212" i="1" s="1"/>
  <c r="E1225" i="1"/>
  <c r="E1226" i="1" s="1"/>
  <c r="E1199" i="1"/>
  <c r="E1201" i="1" s="1"/>
  <c r="E1202" i="1" s="1"/>
  <c r="E1230" i="1"/>
  <c r="E1231" i="1" s="1"/>
  <c r="E1205" i="1"/>
  <c r="L1205" i="1" s="1"/>
  <c r="E1215" i="1"/>
  <c r="L1215" i="1" s="1"/>
  <c r="E1200" i="1"/>
  <c r="E1210" i="1"/>
  <c r="L1210" i="1" s="1"/>
  <c r="E1195" i="1"/>
  <c r="L1195" i="1" s="1"/>
  <c r="E1214" i="1"/>
  <c r="E1216" i="1" s="1"/>
  <c r="E1217" i="1" s="1"/>
  <c r="L1217" i="1" s="1"/>
  <c r="E1189" i="1"/>
  <c r="L1189" i="1" s="1"/>
  <c r="E1204" i="1"/>
  <c r="E1194" i="1"/>
  <c r="E1196" i="1" s="1"/>
  <c r="L1196" i="1" s="1"/>
  <c r="E1176" i="1"/>
  <c r="E1177" i="1" s="1"/>
  <c r="N1155" i="1"/>
  <c r="E1151" i="1"/>
  <c r="N1151" i="1" s="1"/>
  <c r="E1055" i="1"/>
  <c r="E1056" i="1" s="1"/>
  <c r="N1056" i="1" s="1"/>
  <c r="E1157" i="1"/>
  <c r="N1157" i="1" s="1"/>
  <c r="N1148" i="1"/>
  <c r="E1098" i="1"/>
  <c r="E1099" i="1" s="1"/>
  <c r="E1100" i="1" s="1"/>
  <c r="E1130" i="1"/>
  <c r="E1131" i="1" s="1"/>
  <c r="L1131" i="1" s="1"/>
  <c r="E1152" i="1"/>
  <c r="L1152" i="1" s="1"/>
  <c r="E1149" i="1"/>
  <c r="N1149" i="1" s="1"/>
  <c r="N1140" i="1"/>
  <c r="E1141" i="1"/>
  <c r="N1141" i="1" s="1"/>
  <c r="E1144" i="1"/>
  <c r="E1143" i="1"/>
  <c r="N1143" i="1" s="1"/>
  <c r="N1142" i="1"/>
  <c r="E1136" i="1"/>
  <c r="N1135" i="1"/>
  <c r="N1134" i="1"/>
  <c r="N1114" i="1"/>
  <c r="E1116" i="1"/>
  <c r="N1115" i="1"/>
  <c r="N1109" i="1"/>
  <c r="E1111" i="1"/>
  <c r="N1110" i="1"/>
  <c r="E1106" i="1"/>
  <c r="N1105" i="1"/>
  <c r="N1104" i="1"/>
  <c r="E1069" i="1"/>
  <c r="E1070" i="1" s="1"/>
  <c r="E1071" i="1" s="1"/>
  <c r="E1089" i="1"/>
  <c r="N1088" i="1"/>
  <c r="E1074" i="1"/>
  <c r="N1074" i="1" s="1"/>
  <c r="E1060" i="1"/>
  <c r="E1061" i="1" s="1"/>
  <c r="E1062" i="1" s="1"/>
  <c r="E1029" i="1"/>
  <c r="N1029" i="1" s="1"/>
  <c r="N1034" i="1"/>
  <c r="E987" i="1"/>
  <c r="E988" i="1" s="1"/>
  <c r="E989" i="1" s="1"/>
  <c r="E1008" i="1"/>
  <c r="E1009" i="1" s="1"/>
  <c r="E1010" i="1" s="1"/>
  <c r="E1014" i="1"/>
  <c r="E1015" i="1" s="1"/>
  <c r="N1015" i="1" s="1"/>
  <c r="N1021" i="1"/>
  <c r="E995" i="1"/>
  <c r="N994" i="1"/>
  <c r="N993" i="1"/>
  <c r="E983" i="1"/>
  <c r="E947" i="1"/>
  <c r="E948" i="1" s="1"/>
  <c r="N948" i="1" s="1"/>
  <c r="E1649" i="1"/>
  <c r="M1649" i="1" s="1"/>
  <c r="M88" i="1"/>
  <c r="J1578" i="1"/>
  <c r="K1578" i="1"/>
  <c r="K1579" i="1"/>
  <c r="J434" i="1"/>
  <c r="K434" i="1"/>
  <c r="J89" i="1"/>
  <c r="G1604" i="1"/>
  <c r="F1604" i="1"/>
  <c r="I1602" i="1"/>
  <c r="H1602" i="1"/>
  <c r="G1601" i="1"/>
  <c r="G1602" i="1" s="1"/>
  <c r="F1601" i="1"/>
  <c r="F1602" i="1" s="1"/>
  <c r="G1600" i="1"/>
  <c r="F1600" i="1"/>
  <c r="I1598" i="1"/>
  <c r="H1598" i="1"/>
  <c r="J1597" i="1"/>
  <c r="G1598" i="1"/>
  <c r="F1598" i="1"/>
  <c r="G1593" i="1"/>
  <c r="I1592" i="1"/>
  <c r="I1594" i="1" s="1"/>
  <c r="G1591" i="1"/>
  <c r="F1591" i="1"/>
  <c r="I1590" i="1"/>
  <c r="J1582" i="1"/>
  <c r="K1497" i="1"/>
  <c r="J1497" i="1"/>
  <c r="M1565" i="1"/>
  <c r="N1566" i="1" s="1"/>
  <c r="E1555" i="1"/>
  <c r="E1556" i="1"/>
  <c r="E1557" i="1"/>
  <c r="E1914" i="1" s="1"/>
  <c r="E1558" i="1"/>
  <c r="E1915" i="1" s="1"/>
  <c r="E1559" i="1"/>
  <c r="E1916" i="1" s="1"/>
  <c r="E1561" i="1"/>
  <c r="E1917" i="1" s="1"/>
  <c r="E1554" i="1"/>
  <c r="C1555" i="1"/>
  <c r="C1556" i="1"/>
  <c r="C1557" i="1"/>
  <c r="C1558" i="1"/>
  <c r="C1559" i="1"/>
  <c r="C1561" i="1"/>
  <c r="C1554" i="1"/>
  <c r="G1550" i="1"/>
  <c r="F1550" i="1"/>
  <c r="K1547" i="1"/>
  <c r="K1550" i="1" s="1"/>
  <c r="J1547" i="1"/>
  <c r="J1550" i="1" s="1"/>
  <c r="G1547" i="1"/>
  <c r="F1547" i="1"/>
  <c r="M1548" i="1" s="1"/>
  <c r="K1545" i="1"/>
  <c r="K1546" i="1" s="1"/>
  <c r="K1549" i="1" s="1"/>
  <c r="J1545" i="1"/>
  <c r="K1544" i="1"/>
  <c r="J1544" i="1"/>
  <c r="G1544" i="1"/>
  <c r="F1544" i="1"/>
  <c r="G1541" i="1"/>
  <c r="G1542" i="1" s="1"/>
  <c r="G1543" i="1" s="1"/>
  <c r="F1541" i="1"/>
  <c r="G1514" i="1"/>
  <c r="F1514" i="1"/>
  <c r="F1552" i="1"/>
  <c r="M1552" i="1" s="1"/>
  <c r="C1529" i="1"/>
  <c r="C1530" i="1"/>
  <c r="C1531" i="1"/>
  <c r="C1532" i="1"/>
  <c r="C1533" i="1"/>
  <c r="C1534" i="1"/>
  <c r="C1535" i="1"/>
  <c r="L1535" i="1" s="1"/>
  <c r="C1536" i="1"/>
  <c r="L1536" i="1" s="1"/>
  <c r="C1537" i="1"/>
  <c r="L1537" i="1" s="1"/>
  <c r="C1528" i="1"/>
  <c r="L1528" i="1" s="1"/>
  <c r="K1526" i="1"/>
  <c r="J1525" i="1"/>
  <c r="J1526" i="1" s="1"/>
  <c r="K1517" i="1"/>
  <c r="K1518" i="1" s="1"/>
  <c r="K1519" i="1" s="1"/>
  <c r="J1517" i="1"/>
  <c r="J1518" i="1" s="1"/>
  <c r="J1519" i="1" s="1"/>
  <c r="J1520" i="1" s="1"/>
  <c r="J1521" i="1" s="1"/>
  <c r="G1522" i="1"/>
  <c r="K1513" i="1"/>
  <c r="K1514" i="1" s="1"/>
  <c r="K1515" i="1" s="1"/>
  <c r="J1513" i="1"/>
  <c r="J1514" i="1" s="1"/>
  <c r="J1515" i="1" s="1"/>
  <c r="F1525" i="1"/>
  <c r="E1515" i="1"/>
  <c r="E1518" i="1"/>
  <c r="E1519" i="1"/>
  <c r="E1521" i="1"/>
  <c r="E1514" i="1"/>
  <c r="C1483" i="1"/>
  <c r="K1487" i="1"/>
  <c r="K1488" i="1" s="1"/>
  <c r="J1487" i="1"/>
  <c r="J1488" i="1" s="1"/>
  <c r="C641" i="11" l="1"/>
  <c r="C56" i="13"/>
  <c r="H277" i="11"/>
  <c r="N1699" i="1"/>
  <c r="J1839" i="1"/>
  <c r="N1840" i="1" s="1"/>
  <c r="P1699" i="1" s="1"/>
  <c r="D627" i="11" s="1"/>
  <c r="C627" i="11" s="1"/>
  <c r="H627" i="11" s="1"/>
  <c r="N1376" i="1"/>
  <c r="X1207" i="1"/>
  <c r="W1206" i="1"/>
  <c r="C1206" i="1" s="1"/>
  <c r="W1204" i="1"/>
  <c r="C1204" i="1" s="1"/>
  <c r="L1204" i="1" s="1"/>
  <c r="X1321" i="1"/>
  <c r="W1318" i="1"/>
  <c r="C1318" i="1" s="1"/>
  <c r="L1318" i="1" s="1"/>
  <c r="W1320" i="1"/>
  <c r="C1320" i="1" s="1"/>
  <c r="W1178" i="1"/>
  <c r="C1178" i="1" s="1"/>
  <c r="W1176" i="1"/>
  <c r="C1176" i="1" s="1"/>
  <c r="M1176" i="1" s="1"/>
  <c r="W1336" i="1"/>
  <c r="C1336" i="1" s="1"/>
  <c r="W1334" i="1"/>
  <c r="C1334" i="1" s="1"/>
  <c r="L1334" i="1" s="1"/>
  <c r="X1179" i="1"/>
  <c r="X1319" i="1"/>
  <c r="E1341" i="1"/>
  <c r="E1342" i="1" s="1"/>
  <c r="L1342" i="1" s="1"/>
  <c r="L1340" i="1"/>
  <c r="L1345" i="1"/>
  <c r="E1346" i="1"/>
  <c r="E1347" i="1" s="1"/>
  <c r="L1347" i="1" s="1"/>
  <c r="E1275" i="1"/>
  <c r="E1276" i="1" s="1"/>
  <c r="L1335" i="1"/>
  <c r="E1336" i="1"/>
  <c r="E1337" i="1" s="1"/>
  <c r="L1337" i="1" s="1"/>
  <c r="X1337" i="1"/>
  <c r="X1335" i="1"/>
  <c r="L1304" i="1"/>
  <c r="L1330" i="1"/>
  <c r="E1331" i="1"/>
  <c r="L1313" i="1"/>
  <c r="L1296" i="1"/>
  <c r="E1297" i="1"/>
  <c r="L1285" i="1"/>
  <c r="E1286" i="1"/>
  <c r="X1004" i="1"/>
  <c r="X1005" i="1"/>
  <c r="L1280" i="1"/>
  <c r="E1281" i="1"/>
  <c r="E1282" i="1" s="1"/>
  <c r="L1282" i="1" s="1"/>
  <c r="L1244" i="1"/>
  <c r="X1177" i="1"/>
  <c r="X1205" i="1"/>
  <c r="L1253" i="1"/>
  <c r="L1200" i="1"/>
  <c r="L1231" i="1"/>
  <c r="E1232" i="1"/>
  <c r="X1136" i="1"/>
  <c r="N1080" i="1"/>
  <c r="N964" i="1"/>
  <c r="E1227" i="1"/>
  <c r="E1228" i="1" s="1"/>
  <c r="L1190" i="1"/>
  <c r="N963" i="1"/>
  <c r="X1029" i="1"/>
  <c r="L1221" i="1"/>
  <c r="E1222" i="1"/>
  <c r="L1202" i="1"/>
  <c r="N1081" i="1"/>
  <c r="M1177" i="1"/>
  <c r="E1178" i="1"/>
  <c r="E1179" i="1" s="1"/>
  <c r="M1179" i="1" s="1"/>
  <c r="X1066" i="1"/>
  <c r="N1036" i="1"/>
  <c r="E1065" i="1"/>
  <c r="E1066" i="1" s="1"/>
  <c r="N1089" i="1"/>
  <c r="E1090" i="1"/>
  <c r="N1124" i="1"/>
  <c r="X1030" i="1"/>
  <c r="N1125" i="1"/>
  <c r="W1037" i="1"/>
  <c r="E1038" i="1"/>
  <c r="L1038" i="1" s="1"/>
  <c r="M1037" i="1"/>
  <c r="R1065" i="1"/>
  <c r="R1066" i="1" s="1"/>
  <c r="R1067" i="1" s="1"/>
  <c r="N1024" i="1"/>
  <c r="E1025" i="1"/>
  <c r="L1025" i="1" s="1"/>
  <c r="X944" i="1"/>
  <c r="X945" i="1"/>
  <c r="X975" i="1"/>
  <c r="W977" i="1"/>
  <c r="C977" i="1" s="1"/>
  <c r="X974" i="1"/>
  <c r="W944" i="1"/>
  <c r="C944" i="1" s="1"/>
  <c r="X943" i="1"/>
  <c r="W945" i="1"/>
  <c r="C945" i="1" s="1"/>
  <c r="X942" i="1"/>
  <c r="W817" i="1"/>
  <c r="X818" i="1"/>
  <c r="M817" i="1"/>
  <c r="L819" i="1"/>
  <c r="M813" i="1"/>
  <c r="X814" i="1"/>
  <c r="W816" i="1"/>
  <c r="E815" i="1" s="1"/>
  <c r="L815" i="1" s="1"/>
  <c r="W813" i="1"/>
  <c r="M333" i="1"/>
  <c r="K334" i="1"/>
  <c r="K715" i="1"/>
  <c r="M714" i="1"/>
  <c r="J334" i="1"/>
  <c r="J715" i="1"/>
  <c r="H335" i="1"/>
  <c r="C1627" i="1"/>
  <c r="M1627" i="1" s="1"/>
  <c r="M434" i="1"/>
  <c r="M1578" i="1"/>
  <c r="M1525" i="1"/>
  <c r="M1518" i="1"/>
  <c r="M1544" i="1"/>
  <c r="C1681" i="1"/>
  <c r="Q1681" i="1" s="1"/>
  <c r="L1529" i="1"/>
  <c r="M1550" i="1"/>
  <c r="L1555" i="1"/>
  <c r="M1514" i="1"/>
  <c r="C1904" i="1"/>
  <c r="M1904" i="1" s="1"/>
  <c r="L1530" i="1"/>
  <c r="L1556" i="1"/>
  <c r="J1546" i="1"/>
  <c r="M1545" i="1"/>
  <c r="C1908" i="1"/>
  <c r="M1908" i="1" s="1"/>
  <c r="L1534" i="1"/>
  <c r="C1917" i="1"/>
  <c r="M1917" i="1" s="1"/>
  <c r="L1561" i="1"/>
  <c r="M1497" i="1"/>
  <c r="L1554" i="1"/>
  <c r="C1907" i="1"/>
  <c r="M1907" i="1" s="1"/>
  <c r="L1533" i="1"/>
  <c r="F1542" i="1"/>
  <c r="M1542" i="1" s="1"/>
  <c r="M1541" i="1"/>
  <c r="M1547" i="1"/>
  <c r="C1916" i="1"/>
  <c r="M1916" i="1" s="1"/>
  <c r="L1559" i="1"/>
  <c r="M1526" i="1"/>
  <c r="C1906" i="1"/>
  <c r="M1906" i="1" s="1"/>
  <c r="L1532" i="1"/>
  <c r="C1915" i="1"/>
  <c r="M1915" i="1" s="1"/>
  <c r="L1558" i="1"/>
  <c r="C1914" i="1"/>
  <c r="M1914" i="1" s="1"/>
  <c r="L1557" i="1"/>
  <c r="C1905" i="1"/>
  <c r="M1905" i="1" s="1"/>
  <c r="L1531" i="1"/>
  <c r="L818" i="1"/>
  <c r="M915" i="1"/>
  <c r="C1911" i="1"/>
  <c r="M1911" i="1" s="1"/>
  <c r="C1910" i="1"/>
  <c r="M1910" i="1" s="1"/>
  <c r="C1909" i="1"/>
  <c r="M1909" i="1" s="1"/>
  <c r="E1684" i="1"/>
  <c r="E1888" i="1"/>
  <c r="C1685" i="1"/>
  <c r="C1889" i="1"/>
  <c r="C1684" i="1"/>
  <c r="C1888" i="1"/>
  <c r="E1686" i="1"/>
  <c r="E1890" i="1"/>
  <c r="E1685" i="1"/>
  <c r="E1889" i="1"/>
  <c r="C1686" i="1"/>
  <c r="C1890" i="1"/>
  <c r="F1677" i="1"/>
  <c r="F1681" i="1"/>
  <c r="L814" i="1"/>
  <c r="J1579" i="1"/>
  <c r="M1579" i="1" s="1"/>
  <c r="H816" i="1"/>
  <c r="L1339" i="1"/>
  <c r="E1315" i="1"/>
  <c r="E1316" i="1" s="1"/>
  <c r="L1316" i="1" s="1"/>
  <c r="E1320" i="1"/>
  <c r="E1321" i="1" s="1"/>
  <c r="L1321" i="1" s="1"/>
  <c r="E1255" i="1"/>
  <c r="E1256" i="1" s="1"/>
  <c r="L1256" i="1" s="1"/>
  <c r="L1329" i="1"/>
  <c r="L1295" i="1"/>
  <c r="L1284" i="1"/>
  <c r="E1236" i="1"/>
  <c r="E1325" i="1"/>
  <c r="E1326" i="1" s="1"/>
  <c r="L1326" i="1" s="1"/>
  <c r="E1290" i="1"/>
  <c r="E1245" i="1"/>
  <c r="E1246" i="1" s="1"/>
  <c r="L1246" i="1" s="1"/>
  <c r="E1250" i="1"/>
  <c r="L1250" i="1" s="1"/>
  <c r="E1305" i="1"/>
  <c r="L1305" i="1" s="1"/>
  <c r="E1310" i="1"/>
  <c r="L1308" i="1"/>
  <c r="L1220" i="1"/>
  <c r="L1211" i="1"/>
  <c r="E1265" i="1"/>
  <c r="L1268" i="1"/>
  <c r="E1270" i="1"/>
  <c r="L1230" i="1"/>
  <c r="L1209" i="1"/>
  <c r="L1199" i="1"/>
  <c r="E1197" i="1"/>
  <c r="L1197" i="1" s="1"/>
  <c r="E1206" i="1"/>
  <c r="E1207" i="1" s="1"/>
  <c r="L1207" i="1" s="1"/>
  <c r="L1214" i="1"/>
  <c r="L1216" i="1"/>
  <c r="L1201" i="1"/>
  <c r="E1191" i="1"/>
  <c r="L1191" i="1" s="1"/>
  <c r="L1194" i="1"/>
  <c r="N1055" i="1"/>
  <c r="N1130" i="1"/>
  <c r="E1132" i="1"/>
  <c r="L1132" i="1" s="1"/>
  <c r="N1099" i="1"/>
  <c r="E1159" i="1"/>
  <c r="L1159" i="1" s="1"/>
  <c r="E1158" i="1"/>
  <c r="N1158" i="1" s="1"/>
  <c r="N1098" i="1"/>
  <c r="E1153" i="1"/>
  <c r="L1153" i="1" s="1"/>
  <c r="E1145" i="1"/>
  <c r="L1145" i="1" s="1"/>
  <c r="L1144" i="1"/>
  <c r="L1136" i="1"/>
  <c r="E1137" i="1"/>
  <c r="L1137" i="1" s="1"/>
  <c r="L1126" i="1"/>
  <c r="N1070" i="1"/>
  <c r="E1117" i="1"/>
  <c r="L1117" i="1" s="1"/>
  <c r="L1116" i="1"/>
  <c r="E1112" i="1"/>
  <c r="L1112" i="1" s="1"/>
  <c r="L1111" i="1"/>
  <c r="E1107" i="1"/>
  <c r="L1107" i="1" s="1"/>
  <c r="L1106" i="1"/>
  <c r="N1069" i="1"/>
  <c r="E1101" i="1"/>
  <c r="L1101" i="1" s="1"/>
  <c r="L1100" i="1"/>
  <c r="E1075" i="1"/>
  <c r="N1075" i="1" s="1"/>
  <c r="E1083" i="1"/>
  <c r="N1060" i="1"/>
  <c r="N1061" i="1"/>
  <c r="E1057" i="1"/>
  <c r="E1058" i="1" s="1"/>
  <c r="L1058" i="1" s="1"/>
  <c r="E1072" i="1"/>
  <c r="L1072" i="1" s="1"/>
  <c r="L1071" i="1"/>
  <c r="N1035" i="1"/>
  <c r="E1063" i="1"/>
  <c r="L1063" i="1" s="1"/>
  <c r="L1062" i="1"/>
  <c r="E1030" i="1"/>
  <c r="E1031" i="1" s="1"/>
  <c r="L1031" i="1" s="1"/>
  <c r="N987" i="1"/>
  <c r="N988" i="1"/>
  <c r="N1009" i="1"/>
  <c r="N1014" i="1"/>
  <c r="E1016" i="1"/>
  <c r="L1016" i="1" s="1"/>
  <c r="N1008" i="1"/>
  <c r="L1010" i="1"/>
  <c r="E1011" i="1"/>
  <c r="L1011" i="1" s="1"/>
  <c r="E949" i="1"/>
  <c r="E950" i="1" s="1"/>
  <c r="N947" i="1"/>
  <c r="L995" i="1"/>
  <c r="E990" i="1"/>
  <c r="L990" i="1" s="1"/>
  <c r="L989" i="1"/>
  <c r="E984" i="1"/>
  <c r="N983" i="1"/>
  <c r="E966" i="1"/>
  <c r="M89" i="1"/>
  <c r="N90" i="1" s="1"/>
  <c r="D116" i="11" s="1"/>
  <c r="J435" i="1"/>
  <c r="M435" i="1" s="1"/>
  <c r="K1520" i="1"/>
  <c r="K1521" i="1" s="1"/>
  <c r="K1522" i="1" s="1"/>
  <c r="K1523" i="1" s="1"/>
  <c r="J1522" i="1"/>
  <c r="J1523" i="1" s="1"/>
  <c r="C1500" i="1"/>
  <c r="C1502" i="1"/>
  <c r="L1502" i="1" s="1"/>
  <c r="C1503" i="1"/>
  <c r="L1503" i="1" s="1"/>
  <c r="C1504" i="1"/>
  <c r="C1505" i="1"/>
  <c r="L1505" i="1" s="1"/>
  <c r="C1506" i="1"/>
  <c r="L1506" i="1" s="1"/>
  <c r="C1507" i="1"/>
  <c r="L1507" i="1" s="1"/>
  <c r="C1508" i="1"/>
  <c r="L1508" i="1" s="1"/>
  <c r="C1494" i="1"/>
  <c r="F1491" i="1"/>
  <c r="F1521" i="1" s="1"/>
  <c r="G1491" i="1"/>
  <c r="G1521" i="1" s="1"/>
  <c r="G1490" i="1"/>
  <c r="G1520" i="1" s="1"/>
  <c r="F1490" i="1"/>
  <c r="F1520" i="1" s="1"/>
  <c r="C1490" i="1"/>
  <c r="C1491" i="1"/>
  <c r="F1489" i="1"/>
  <c r="F1519" i="1" s="1"/>
  <c r="G1489" i="1"/>
  <c r="G1519" i="1" s="1"/>
  <c r="C1489" i="1"/>
  <c r="G1488" i="1"/>
  <c r="F1488" i="1"/>
  <c r="E1487" i="1"/>
  <c r="F1487" i="1"/>
  <c r="F1517" i="1" s="1"/>
  <c r="G1487" i="1"/>
  <c r="G1517" i="1" s="1"/>
  <c r="F1485" i="1"/>
  <c r="F1516" i="1" s="1"/>
  <c r="G1484" i="1"/>
  <c r="G1515" i="1" s="1"/>
  <c r="F1484" i="1"/>
  <c r="G1493" i="1"/>
  <c r="F1493" i="1"/>
  <c r="E1493" i="1"/>
  <c r="G1482" i="1"/>
  <c r="G1513" i="1" s="1"/>
  <c r="F1482" i="1"/>
  <c r="F1513" i="1" s="1"/>
  <c r="E1482" i="1"/>
  <c r="C1482" i="1"/>
  <c r="G1481" i="1"/>
  <c r="E1481" i="1"/>
  <c r="E1512" i="1" s="1"/>
  <c r="C1481" i="1"/>
  <c r="K1470" i="1"/>
  <c r="K1467" i="1"/>
  <c r="K1469" i="1" s="1"/>
  <c r="K1471" i="1" s="1"/>
  <c r="K1472" i="1" s="1"/>
  <c r="C1467" i="1"/>
  <c r="E1467" i="1"/>
  <c r="F1467" i="1"/>
  <c r="G1467" i="1"/>
  <c r="H1467" i="1"/>
  <c r="I1467" i="1"/>
  <c r="C1468" i="1"/>
  <c r="E1468" i="1"/>
  <c r="F1468" i="1"/>
  <c r="G1468" i="1"/>
  <c r="H1468" i="1"/>
  <c r="I1468" i="1"/>
  <c r="C1469" i="1"/>
  <c r="E1469" i="1"/>
  <c r="F1469" i="1"/>
  <c r="G1469" i="1"/>
  <c r="H1469" i="1"/>
  <c r="I1469" i="1"/>
  <c r="C1470" i="1"/>
  <c r="E1470" i="1"/>
  <c r="F1470" i="1"/>
  <c r="G1470" i="1"/>
  <c r="H1470" i="1"/>
  <c r="I1470" i="1"/>
  <c r="C1471" i="1"/>
  <c r="E1471" i="1"/>
  <c r="F1471" i="1"/>
  <c r="G1471" i="1"/>
  <c r="H1471" i="1"/>
  <c r="I1471" i="1"/>
  <c r="C1472" i="1"/>
  <c r="E1472" i="1"/>
  <c r="F1472" i="1"/>
  <c r="G1472" i="1"/>
  <c r="H1472" i="1"/>
  <c r="I1472" i="1"/>
  <c r="E1459" i="1"/>
  <c r="C1459" i="1"/>
  <c r="K1458" i="1"/>
  <c r="J1458" i="1"/>
  <c r="G1457" i="1"/>
  <c r="E1457" i="1"/>
  <c r="I1456" i="1"/>
  <c r="I1457" i="1" s="1"/>
  <c r="I1458" i="1" s="1"/>
  <c r="I1459" i="1" s="1"/>
  <c r="H1456" i="1"/>
  <c r="H1457" i="1" s="1"/>
  <c r="H1458" i="1" s="1"/>
  <c r="H1459" i="1" s="1"/>
  <c r="G1456" i="1"/>
  <c r="K1446" i="1"/>
  <c r="K1447" i="1" s="1"/>
  <c r="J1446" i="1"/>
  <c r="J1447" i="1" s="1"/>
  <c r="H1447" i="1"/>
  <c r="H1448" i="1"/>
  <c r="H1449" i="1"/>
  <c r="H1450" i="1"/>
  <c r="H1451" i="1"/>
  <c r="C1446" i="1"/>
  <c r="E1446" i="1"/>
  <c r="F1446" i="1"/>
  <c r="G1446" i="1"/>
  <c r="H1446" i="1"/>
  <c r="C1447" i="1"/>
  <c r="E1447" i="1"/>
  <c r="F1447" i="1"/>
  <c r="G1447" i="1"/>
  <c r="C1448" i="1"/>
  <c r="E1448" i="1"/>
  <c r="F1448" i="1"/>
  <c r="G1448" i="1"/>
  <c r="C1449" i="1"/>
  <c r="E1449" i="1"/>
  <c r="F1449" i="1"/>
  <c r="G1449" i="1"/>
  <c r="C1450" i="1"/>
  <c r="E1450" i="1"/>
  <c r="F1450" i="1"/>
  <c r="G1450" i="1"/>
  <c r="C1451" i="1"/>
  <c r="E1451" i="1"/>
  <c r="F1451" i="1"/>
  <c r="G1451" i="1"/>
  <c r="K1439" i="1"/>
  <c r="K1440" i="1" s="1"/>
  <c r="J1439" i="1"/>
  <c r="J1440" i="1" s="1"/>
  <c r="I1439" i="1"/>
  <c r="I1440" i="1" s="1"/>
  <c r="C1400" i="1"/>
  <c r="E1400" i="1"/>
  <c r="C1401" i="1"/>
  <c r="E1401" i="1"/>
  <c r="E1402" i="1"/>
  <c r="E1403" i="1"/>
  <c r="G937" i="1"/>
  <c r="F937" i="1"/>
  <c r="E934" i="1"/>
  <c r="C934" i="1"/>
  <c r="C935" i="1" s="1"/>
  <c r="W935" i="1" s="1"/>
  <c r="G933" i="1"/>
  <c r="F933" i="1"/>
  <c r="I907" i="1"/>
  <c r="H907" i="1"/>
  <c r="C911" i="1"/>
  <c r="C910" i="1"/>
  <c r="G909" i="1"/>
  <c r="F909" i="1"/>
  <c r="C909" i="1"/>
  <c r="G908" i="1"/>
  <c r="F908" i="1"/>
  <c r="E908" i="1"/>
  <c r="E910" i="1" s="1"/>
  <c r="C903" i="1"/>
  <c r="E901" i="1"/>
  <c r="R902" i="1" s="1"/>
  <c r="R904" i="1" s="1"/>
  <c r="R905" i="1" s="1"/>
  <c r="R906" i="1" s="1"/>
  <c r="G896" i="1"/>
  <c r="F896" i="1"/>
  <c r="C896" i="1"/>
  <c r="C897" i="1" s="1"/>
  <c r="C892" i="1"/>
  <c r="C893" i="1" s="1"/>
  <c r="C894" i="1" s="1"/>
  <c r="G891" i="1"/>
  <c r="F891" i="1"/>
  <c r="C891" i="1"/>
  <c r="G890" i="1"/>
  <c r="I889" i="1"/>
  <c r="H889" i="1"/>
  <c r="E889" i="1"/>
  <c r="C889" i="1"/>
  <c r="F884" i="1"/>
  <c r="F890" i="1" s="1"/>
  <c r="C885" i="1"/>
  <c r="E883" i="1"/>
  <c r="R884" i="1" s="1"/>
  <c r="R886" i="1" s="1"/>
  <c r="R887" i="1" s="1"/>
  <c r="R888" i="1" s="1"/>
  <c r="G867" i="1"/>
  <c r="G868" i="1" s="1"/>
  <c r="F867" i="1"/>
  <c r="F886" i="1" s="1"/>
  <c r="F887" i="1" s="1"/>
  <c r="I871" i="1"/>
  <c r="H871" i="1"/>
  <c r="G878" i="1"/>
  <c r="F878" i="1"/>
  <c r="C877" i="1"/>
  <c r="C878" i="1" s="1"/>
  <c r="C879" i="1" s="1"/>
  <c r="C874" i="1"/>
  <c r="C875" i="1" s="1"/>
  <c r="C876" i="1" s="1"/>
  <c r="G873" i="1"/>
  <c r="F873" i="1"/>
  <c r="C873" i="1"/>
  <c r="G872" i="1"/>
  <c r="F872" i="1"/>
  <c r="E872" i="1"/>
  <c r="E874" i="1" s="1"/>
  <c r="C866" i="1"/>
  <c r="I864" i="1"/>
  <c r="H864" i="1"/>
  <c r="G847" i="1"/>
  <c r="G854" i="1" s="1"/>
  <c r="G857" i="1" s="1"/>
  <c r="F847" i="1"/>
  <c r="F854" i="1" s="1"/>
  <c r="F857" i="1" s="1"/>
  <c r="G858" i="1"/>
  <c r="F858" i="1"/>
  <c r="C853" i="1"/>
  <c r="E851" i="1"/>
  <c r="C851" i="1"/>
  <c r="G848" i="1"/>
  <c r="F848" i="1"/>
  <c r="C847" i="1"/>
  <c r="C848" i="1" s="1"/>
  <c r="C854" i="1"/>
  <c r="F843" i="1"/>
  <c r="F853" i="1" s="1"/>
  <c r="F842" i="1"/>
  <c r="F852" i="1" s="1"/>
  <c r="G839" i="1"/>
  <c r="F839" i="1"/>
  <c r="H835" i="1"/>
  <c r="E835" i="1"/>
  <c r="C777" i="1"/>
  <c r="E777" i="1"/>
  <c r="C778" i="1"/>
  <c r="E778" i="1"/>
  <c r="C779" i="1"/>
  <c r="F779" i="1"/>
  <c r="C780" i="1"/>
  <c r="F780" i="1"/>
  <c r="G780" i="1"/>
  <c r="C781" i="1"/>
  <c r="F781" i="1"/>
  <c r="G781" i="1"/>
  <c r="C783" i="1"/>
  <c r="F783" i="1"/>
  <c r="G783" i="1"/>
  <c r="G776" i="1"/>
  <c r="F776" i="1"/>
  <c r="E776" i="1"/>
  <c r="C776" i="1"/>
  <c r="C766" i="1"/>
  <c r="E766" i="1"/>
  <c r="C767" i="1"/>
  <c r="E767" i="1"/>
  <c r="F767" i="1"/>
  <c r="G767" i="1"/>
  <c r="C768" i="1"/>
  <c r="F768" i="1"/>
  <c r="C769" i="1"/>
  <c r="F769" i="1"/>
  <c r="G769" i="1"/>
  <c r="C770" i="1"/>
  <c r="F770" i="1"/>
  <c r="G770" i="1"/>
  <c r="C771" i="1"/>
  <c r="F771" i="1"/>
  <c r="G771" i="1"/>
  <c r="C772" i="1"/>
  <c r="F772" i="1"/>
  <c r="G772" i="1"/>
  <c r="C773" i="1"/>
  <c r="F773" i="1"/>
  <c r="G773" i="1"/>
  <c r="C774" i="1"/>
  <c r="F774" i="1"/>
  <c r="G774" i="1"/>
  <c r="C755" i="1"/>
  <c r="E755" i="1"/>
  <c r="F755" i="1"/>
  <c r="G755" i="1"/>
  <c r="C757" i="1"/>
  <c r="C758" i="1"/>
  <c r="F758" i="1"/>
  <c r="C759" i="1"/>
  <c r="F759" i="1"/>
  <c r="G759" i="1"/>
  <c r="C760" i="1"/>
  <c r="F760" i="1"/>
  <c r="G760" i="1"/>
  <c r="C761" i="1"/>
  <c r="F761" i="1"/>
  <c r="G761" i="1"/>
  <c r="C762" i="1"/>
  <c r="F762" i="1"/>
  <c r="G762" i="1"/>
  <c r="C763" i="1"/>
  <c r="F763" i="1"/>
  <c r="G763" i="1"/>
  <c r="F750" i="1"/>
  <c r="C750" i="1"/>
  <c r="C732" i="1"/>
  <c r="H370" i="1"/>
  <c r="I356" i="1"/>
  <c r="I357" i="1" s="1"/>
  <c r="K351" i="1"/>
  <c r="K356" i="1" s="1"/>
  <c r="K357" i="1" s="1"/>
  <c r="J351" i="1"/>
  <c r="J356" i="1" s="1"/>
  <c r="J357" i="1" s="1"/>
  <c r="H351" i="1"/>
  <c r="H356" i="1" s="1"/>
  <c r="H357" i="1" s="1"/>
  <c r="I316" i="1"/>
  <c r="I317" i="1" s="1"/>
  <c r="I318" i="1" s="1"/>
  <c r="I319" i="1" s="1"/>
  <c r="I320" i="1" s="1"/>
  <c r="I321" i="1" s="1"/>
  <c r="I322" i="1" s="1"/>
  <c r="E746" i="1"/>
  <c r="F746" i="1"/>
  <c r="G746" i="1"/>
  <c r="C748" i="1"/>
  <c r="E748" i="1"/>
  <c r="F748" i="1"/>
  <c r="G748" i="1"/>
  <c r="G745" i="1"/>
  <c r="F745" i="1"/>
  <c r="E745" i="1"/>
  <c r="E737" i="1"/>
  <c r="F737" i="1"/>
  <c r="G737" i="1"/>
  <c r="E738" i="1"/>
  <c r="F738" i="1"/>
  <c r="G738" i="1"/>
  <c r="E742" i="1"/>
  <c r="F742" i="1"/>
  <c r="G742" i="1"/>
  <c r="G736" i="1"/>
  <c r="F736" i="1"/>
  <c r="E736" i="1"/>
  <c r="E723" i="1"/>
  <c r="F723" i="1"/>
  <c r="G723" i="1"/>
  <c r="E724" i="1"/>
  <c r="F724" i="1"/>
  <c r="G724" i="1"/>
  <c r="E726" i="1"/>
  <c r="F728" i="1"/>
  <c r="G728" i="1"/>
  <c r="G722" i="1"/>
  <c r="F722" i="1"/>
  <c r="E722" i="1"/>
  <c r="G706" i="1"/>
  <c r="F706" i="1"/>
  <c r="C706" i="1"/>
  <c r="C698" i="1"/>
  <c r="E698" i="1"/>
  <c r="F698" i="1"/>
  <c r="G698" i="1"/>
  <c r="C699" i="1"/>
  <c r="E699" i="1"/>
  <c r="F699" i="1"/>
  <c r="G699" i="1"/>
  <c r="C700" i="1"/>
  <c r="F700" i="1"/>
  <c r="G700" i="1"/>
  <c r="C701" i="1"/>
  <c r="F701" i="1"/>
  <c r="G701" i="1"/>
  <c r="C702" i="1"/>
  <c r="F702" i="1"/>
  <c r="G702" i="1"/>
  <c r="C703" i="1"/>
  <c r="E703" i="1"/>
  <c r="F703" i="1"/>
  <c r="G703" i="1"/>
  <c r="E704" i="1"/>
  <c r="F704" i="1"/>
  <c r="G704" i="1"/>
  <c r="G697" i="1"/>
  <c r="F697" i="1"/>
  <c r="E697" i="1"/>
  <c r="K680" i="1"/>
  <c r="I679" i="1"/>
  <c r="H679" i="1"/>
  <c r="G679" i="1"/>
  <c r="G680" i="1" s="1"/>
  <c r="F679" i="1"/>
  <c r="F680" i="1" s="1"/>
  <c r="C679" i="1"/>
  <c r="K678" i="1"/>
  <c r="J678" i="1"/>
  <c r="G297" i="1"/>
  <c r="F297" i="1"/>
  <c r="C677" i="1"/>
  <c r="J676" i="1"/>
  <c r="E675" i="1"/>
  <c r="K675" i="1"/>
  <c r="K674" i="1"/>
  <c r="J674" i="1"/>
  <c r="G674" i="1"/>
  <c r="G676" i="1" s="1"/>
  <c r="F674" i="1"/>
  <c r="F676" i="1" s="1"/>
  <c r="E674" i="1"/>
  <c r="C674" i="1"/>
  <c r="E673" i="1"/>
  <c r="C673" i="1"/>
  <c r="I673" i="1"/>
  <c r="G673" i="1"/>
  <c r="F673" i="1"/>
  <c r="E676" i="1"/>
  <c r="G669" i="1"/>
  <c r="F669" i="1"/>
  <c r="H669" i="1"/>
  <c r="K668" i="1"/>
  <c r="J668" i="1"/>
  <c r="E666" i="1"/>
  <c r="K665" i="1"/>
  <c r="E665" i="1"/>
  <c r="K664" i="1"/>
  <c r="J664" i="1"/>
  <c r="G664" i="1"/>
  <c r="G666" i="1" s="1"/>
  <c r="F664" i="1"/>
  <c r="F666" i="1" s="1"/>
  <c r="E664" i="1"/>
  <c r="C664" i="1"/>
  <c r="I663" i="1"/>
  <c r="G663" i="1"/>
  <c r="F663" i="1"/>
  <c r="C651" i="1"/>
  <c r="E651" i="1"/>
  <c r="F651" i="1"/>
  <c r="G651" i="1"/>
  <c r="H651" i="1"/>
  <c r="I651" i="1"/>
  <c r="C652" i="1"/>
  <c r="E652" i="1"/>
  <c r="F652" i="1"/>
  <c r="G652" i="1"/>
  <c r="H652" i="1"/>
  <c r="I652" i="1"/>
  <c r="C653" i="1"/>
  <c r="E653" i="1"/>
  <c r="F653" i="1"/>
  <c r="G653" i="1"/>
  <c r="I650" i="1"/>
  <c r="H650" i="1"/>
  <c r="E650" i="1"/>
  <c r="C650" i="1"/>
  <c r="C644" i="1"/>
  <c r="E644" i="1"/>
  <c r="F644" i="1"/>
  <c r="G644" i="1"/>
  <c r="C645" i="1"/>
  <c r="E645" i="1"/>
  <c r="F645" i="1"/>
  <c r="G645" i="1"/>
  <c r="H645" i="1"/>
  <c r="I645" i="1"/>
  <c r="C646" i="1"/>
  <c r="E646" i="1"/>
  <c r="F646" i="1"/>
  <c r="G646" i="1"/>
  <c r="H646" i="1"/>
  <c r="I646" i="1"/>
  <c r="C647" i="1"/>
  <c r="E647" i="1"/>
  <c r="H643" i="1"/>
  <c r="G643" i="1"/>
  <c r="F643" i="1"/>
  <c r="E643" i="1"/>
  <c r="C643" i="1"/>
  <c r="C634" i="1"/>
  <c r="E634" i="1"/>
  <c r="F634" i="1"/>
  <c r="G634" i="1"/>
  <c r="C635" i="1"/>
  <c r="E635" i="1"/>
  <c r="F635" i="1"/>
  <c r="G635" i="1"/>
  <c r="H635" i="1"/>
  <c r="I635" i="1"/>
  <c r="C636" i="1"/>
  <c r="E636" i="1"/>
  <c r="I633" i="1"/>
  <c r="H633" i="1"/>
  <c r="E633" i="1"/>
  <c r="C633" i="1"/>
  <c r="C626" i="1"/>
  <c r="E626" i="1"/>
  <c r="F626" i="1"/>
  <c r="G626" i="1"/>
  <c r="C627" i="1"/>
  <c r="E627" i="1"/>
  <c r="F627" i="1"/>
  <c r="G627" i="1"/>
  <c r="H627" i="1"/>
  <c r="I627" i="1"/>
  <c r="C628" i="1"/>
  <c r="E628" i="1"/>
  <c r="H628" i="1"/>
  <c r="I628" i="1"/>
  <c r="C629" i="1"/>
  <c r="E629" i="1"/>
  <c r="F629" i="1"/>
  <c r="G629" i="1"/>
  <c r="H629" i="1"/>
  <c r="I629" i="1"/>
  <c r="C630" i="1"/>
  <c r="E630" i="1"/>
  <c r="I625" i="1"/>
  <c r="H625" i="1"/>
  <c r="G625" i="1"/>
  <c r="F625" i="1"/>
  <c r="E625" i="1"/>
  <c r="C625" i="1"/>
  <c r="K595" i="1"/>
  <c r="J590" i="1"/>
  <c r="K590" i="1"/>
  <c r="J585" i="1"/>
  <c r="K585" i="1"/>
  <c r="K574" i="1"/>
  <c r="K576" i="1" s="1"/>
  <c r="K578" i="1" s="1"/>
  <c r="K580" i="1" s="1"/>
  <c r="K562" i="1"/>
  <c r="K564" i="1" s="1"/>
  <c r="J562" i="1"/>
  <c r="J564" i="1" s="1"/>
  <c r="J551" i="1"/>
  <c r="J553" i="1" s="1"/>
  <c r="J555" i="1" s="1"/>
  <c r="J557" i="1" s="1"/>
  <c r="K551" i="1"/>
  <c r="K553" i="1" s="1"/>
  <c r="K555" i="1" s="1"/>
  <c r="K557" i="1" s="1"/>
  <c r="J540" i="1"/>
  <c r="J542" i="1" s="1"/>
  <c r="J544" i="1" s="1"/>
  <c r="J546" i="1" s="1"/>
  <c r="K540" i="1"/>
  <c r="K542" i="1" s="1"/>
  <c r="K544" i="1" s="1"/>
  <c r="K546" i="1" s="1"/>
  <c r="K535" i="1"/>
  <c r="K524" i="1"/>
  <c r="K526" i="1" s="1"/>
  <c r="K528" i="1" s="1"/>
  <c r="J524" i="1"/>
  <c r="J526" i="1" s="1"/>
  <c r="J528" i="1" s="1"/>
  <c r="J508" i="1"/>
  <c r="J510" i="1" s="1"/>
  <c r="J512" i="1" s="1"/>
  <c r="J514" i="1" s="1"/>
  <c r="J516" i="1" s="1"/>
  <c r="K508" i="1"/>
  <c r="K510" i="1" s="1"/>
  <c r="K512" i="1" s="1"/>
  <c r="K514" i="1" s="1"/>
  <c r="K516" i="1" s="1"/>
  <c r="K499" i="1"/>
  <c r="K501" i="1" s="1"/>
  <c r="K503" i="1" s="1"/>
  <c r="J492" i="1"/>
  <c r="J494" i="1" s="1"/>
  <c r="K492" i="1"/>
  <c r="K494" i="1" s="1"/>
  <c r="K481" i="1"/>
  <c r="K483" i="1" s="1"/>
  <c r="Q1686" i="1" l="1"/>
  <c r="D126" i="11"/>
  <c r="C126" i="11" s="1"/>
  <c r="H126" i="11" s="1"/>
  <c r="C116" i="11"/>
  <c r="Q1685" i="1"/>
  <c r="Q1684" i="1"/>
  <c r="M822" i="1"/>
  <c r="M823" i="1" s="1"/>
  <c r="N827" i="1" s="1"/>
  <c r="D119" i="11"/>
  <c r="C119" i="11" s="1"/>
  <c r="H119" i="11" s="1"/>
  <c r="D118" i="11"/>
  <c r="C118" i="11" s="1"/>
  <c r="H118" i="11" s="1"/>
  <c r="D120" i="11"/>
  <c r="C120" i="11" s="1"/>
  <c r="H120" i="11" s="1"/>
  <c r="D122" i="11"/>
  <c r="C122" i="11" s="1"/>
  <c r="H122" i="11" s="1"/>
  <c r="D127" i="11"/>
  <c r="C127" i="11" s="1"/>
  <c r="H127" i="11" s="1"/>
  <c r="D125" i="11"/>
  <c r="C125" i="11" s="1"/>
  <c r="H125" i="11" s="1"/>
  <c r="L822" i="1"/>
  <c r="N436" i="1"/>
  <c r="L1538" i="1"/>
  <c r="J1448" i="1"/>
  <c r="J1449" i="1" s="1"/>
  <c r="J1450" i="1" s="1"/>
  <c r="J1451" i="1" s="1"/>
  <c r="K1448" i="1"/>
  <c r="K1449" i="1" s="1"/>
  <c r="K1450" i="1" s="1"/>
  <c r="K1451" i="1" s="1"/>
  <c r="K1441" i="1"/>
  <c r="K1442" i="1" s="1"/>
  <c r="J1441" i="1"/>
  <c r="J1442" i="1" s="1"/>
  <c r="I1441" i="1"/>
  <c r="I1442" i="1" s="1"/>
  <c r="I1445" i="1" s="1"/>
  <c r="I1446" i="1" s="1"/>
  <c r="L1275" i="1"/>
  <c r="L1336" i="1"/>
  <c r="L1341" i="1"/>
  <c r="E1332" i="1"/>
  <c r="L1332" i="1" s="1"/>
  <c r="L1331" i="1"/>
  <c r="E1298" i="1"/>
  <c r="L1298" i="1" s="1"/>
  <c r="L1297" i="1"/>
  <c r="E1291" i="1"/>
  <c r="E1287" i="1"/>
  <c r="L1287" i="1" s="1"/>
  <c r="L1286" i="1"/>
  <c r="E1277" i="1"/>
  <c r="L1277" i="1" s="1"/>
  <c r="L1276" i="1"/>
  <c r="L1236" i="1"/>
  <c r="E1237" i="1"/>
  <c r="E1233" i="1"/>
  <c r="L1233" i="1" s="1"/>
  <c r="L1232" i="1"/>
  <c r="E1223" i="1"/>
  <c r="L1223" i="1" s="1"/>
  <c r="L1222" i="1"/>
  <c r="N1065" i="1"/>
  <c r="N1090" i="1"/>
  <c r="E1091" i="1"/>
  <c r="M1083" i="1"/>
  <c r="M1162" i="1" s="1"/>
  <c r="M1163" i="1" s="1"/>
  <c r="N1168" i="1" s="1"/>
  <c r="E1084" i="1"/>
  <c r="L1084" i="1" s="1"/>
  <c r="R935" i="1"/>
  <c r="R936" i="1" s="1"/>
  <c r="R937" i="1" s="1"/>
  <c r="R938" i="1" s="1"/>
  <c r="Q890" i="1"/>
  <c r="W893" i="1" s="1"/>
  <c r="Q908" i="1"/>
  <c r="E890" i="1"/>
  <c r="N890" i="1" s="1"/>
  <c r="R890" i="1"/>
  <c r="R892" i="1" s="1"/>
  <c r="R893" i="1" s="1"/>
  <c r="R898" i="1" s="1"/>
  <c r="E904" i="1"/>
  <c r="E903" i="1" s="1"/>
  <c r="N903" i="1" s="1"/>
  <c r="E906" i="1"/>
  <c r="J906" i="1" s="1"/>
  <c r="E884" i="1"/>
  <c r="E887" i="1" s="1"/>
  <c r="E888" i="1"/>
  <c r="J888" i="1" s="1"/>
  <c r="Q872" i="1"/>
  <c r="Q865" i="1"/>
  <c r="E852" i="1"/>
  <c r="E853" i="1" s="1"/>
  <c r="R852" i="1"/>
  <c r="R854" i="1" s="1"/>
  <c r="R855" i="1" s="1"/>
  <c r="R857" i="1" s="1"/>
  <c r="C857" i="1"/>
  <c r="C858" i="1" s="1"/>
  <c r="C859" i="1" s="1"/>
  <c r="C849" i="1"/>
  <c r="E836" i="1"/>
  <c r="N836" i="1" s="1"/>
  <c r="R836" i="1"/>
  <c r="R838" i="1" s="1"/>
  <c r="R839" i="1" s="1"/>
  <c r="L823" i="1"/>
  <c r="G852" i="1"/>
  <c r="M715" i="1"/>
  <c r="J335" i="1"/>
  <c r="J716" i="1"/>
  <c r="M334" i="1"/>
  <c r="K335" i="1"/>
  <c r="K716" i="1"/>
  <c r="H336" i="1"/>
  <c r="C1629" i="1"/>
  <c r="M1629" i="1" s="1"/>
  <c r="M1686" i="1"/>
  <c r="M1685" i="1"/>
  <c r="M1519" i="1"/>
  <c r="M625" i="1"/>
  <c r="M1513" i="1"/>
  <c r="N1918" i="1"/>
  <c r="M664" i="1"/>
  <c r="M1520" i="1"/>
  <c r="M1488" i="1"/>
  <c r="M1521" i="1"/>
  <c r="C1897" i="1"/>
  <c r="M1897" i="1" s="1"/>
  <c r="L1504" i="1"/>
  <c r="E1517" i="1"/>
  <c r="M1517" i="1" s="1"/>
  <c r="M1487" i="1"/>
  <c r="M645" i="1"/>
  <c r="M651" i="1"/>
  <c r="C1879" i="1"/>
  <c r="M1879" i="1" s="1"/>
  <c r="L1500" i="1"/>
  <c r="M627" i="1"/>
  <c r="M674" i="1"/>
  <c r="C680" i="1"/>
  <c r="M1523" i="1"/>
  <c r="M1888" i="1"/>
  <c r="M1522" i="1"/>
  <c r="J1549" i="1"/>
  <c r="M1549" i="1" s="1"/>
  <c r="M1546" i="1"/>
  <c r="M646" i="1"/>
  <c r="M652" i="1"/>
  <c r="M1684" i="1"/>
  <c r="M635" i="1"/>
  <c r="M629" i="1"/>
  <c r="C678" i="1"/>
  <c r="M1468" i="1"/>
  <c r="F1543" i="1"/>
  <c r="M1543" i="1" s="1"/>
  <c r="M1890" i="1"/>
  <c r="M1889" i="1"/>
  <c r="M1681" i="1"/>
  <c r="N1394" i="1"/>
  <c r="K599" i="1"/>
  <c r="K597" i="1"/>
  <c r="M916" i="1"/>
  <c r="E1912" i="1"/>
  <c r="E1918" i="1" s="1"/>
  <c r="C1901" i="1"/>
  <c r="M1901" i="1" s="1"/>
  <c r="C1900" i="1"/>
  <c r="M1900" i="1" s="1"/>
  <c r="C1899" i="1"/>
  <c r="M1899" i="1" s="1"/>
  <c r="C1898" i="1"/>
  <c r="M1898" i="1" s="1"/>
  <c r="E1687" i="1"/>
  <c r="E1891" i="1"/>
  <c r="C1677" i="1"/>
  <c r="C1881" i="1"/>
  <c r="M1881" i="1" s="1"/>
  <c r="L1315" i="1"/>
  <c r="L1320" i="1"/>
  <c r="L1255" i="1"/>
  <c r="L1245" i="1"/>
  <c r="E1306" i="1"/>
  <c r="L1306" i="1" s="1"/>
  <c r="E1251" i="1"/>
  <c r="L1251" i="1" s="1"/>
  <c r="E1311" i="1"/>
  <c r="L1311" i="1" s="1"/>
  <c r="L1310" i="1"/>
  <c r="E1271" i="1"/>
  <c r="L1271" i="1" s="1"/>
  <c r="L1270" i="1"/>
  <c r="E1266" i="1"/>
  <c r="L1266" i="1" s="1"/>
  <c r="L1265" i="1"/>
  <c r="L1206" i="1"/>
  <c r="M1178" i="1"/>
  <c r="M1371" i="1" s="1"/>
  <c r="M1372" i="1" s="1"/>
  <c r="E1192" i="1"/>
  <c r="L1192" i="1" s="1"/>
  <c r="E1160" i="1"/>
  <c r="L1160" i="1" s="1"/>
  <c r="E1076" i="1"/>
  <c r="L1076" i="1" s="1"/>
  <c r="N1030" i="1"/>
  <c r="L1057" i="1"/>
  <c r="E1067" i="1"/>
  <c r="L1067" i="1" s="1"/>
  <c r="N1066" i="1"/>
  <c r="E1039" i="1"/>
  <c r="L1039" i="1" s="1"/>
  <c r="L984" i="1"/>
  <c r="E985" i="1"/>
  <c r="L985" i="1" s="1"/>
  <c r="E1017" i="1"/>
  <c r="L1017" i="1" s="1"/>
  <c r="E1026" i="1"/>
  <c r="L1026" i="1" s="1"/>
  <c r="F938" i="1"/>
  <c r="F944" i="1"/>
  <c r="G938" i="1"/>
  <c r="G944" i="1"/>
  <c r="F677" i="1"/>
  <c r="F678" i="1" s="1"/>
  <c r="F1652" i="1"/>
  <c r="G677" i="1"/>
  <c r="G678" i="1" s="1"/>
  <c r="G1652" i="1"/>
  <c r="C676" i="1"/>
  <c r="M676" i="1" s="1"/>
  <c r="C1651" i="1"/>
  <c r="C1650" i="1"/>
  <c r="C666" i="1"/>
  <c r="C1644" i="1"/>
  <c r="L1562" i="1"/>
  <c r="F1515" i="1"/>
  <c r="M1515" i="1" s="1"/>
  <c r="G874" i="1"/>
  <c r="G877" i="1" s="1"/>
  <c r="G892" i="1" s="1"/>
  <c r="G895" i="1" s="1"/>
  <c r="E935" i="1"/>
  <c r="E936" i="1" s="1"/>
  <c r="E902" i="1"/>
  <c r="E905" i="1" s="1"/>
  <c r="F868" i="1"/>
  <c r="F904" i="1"/>
  <c r="G886" i="1"/>
  <c r="E911" i="1"/>
  <c r="N908" i="1"/>
  <c r="E909" i="1"/>
  <c r="N909" i="1" s="1"/>
  <c r="E886" i="1"/>
  <c r="F874" i="1"/>
  <c r="F877" i="1" s="1"/>
  <c r="F892" i="1" s="1"/>
  <c r="F895" i="1" s="1"/>
  <c r="E877" i="1"/>
  <c r="E878" i="1" s="1"/>
  <c r="E875" i="1"/>
  <c r="E876" i="1" s="1"/>
  <c r="L876" i="1" s="1"/>
  <c r="N872" i="1"/>
  <c r="E873" i="1"/>
  <c r="N873" i="1" s="1"/>
  <c r="C855" i="1"/>
  <c r="C856" i="1" s="1"/>
  <c r="H365" i="1"/>
  <c r="H366" i="1" s="1"/>
  <c r="H358" i="1"/>
  <c r="I365" i="1"/>
  <c r="I366" i="1" s="1"/>
  <c r="I358" i="1"/>
  <c r="J358" i="1"/>
  <c r="J365" i="1"/>
  <c r="K358" i="1"/>
  <c r="K365" i="1"/>
  <c r="C675" i="1"/>
  <c r="C665" i="1"/>
  <c r="F610" i="1"/>
  <c r="G610" i="1"/>
  <c r="H610" i="1"/>
  <c r="I610" i="1"/>
  <c r="F611" i="1"/>
  <c r="G611" i="1"/>
  <c r="H611" i="1"/>
  <c r="I611" i="1"/>
  <c r="C610" i="1"/>
  <c r="E610" i="1"/>
  <c r="C611" i="1"/>
  <c r="E611" i="1"/>
  <c r="C612" i="1"/>
  <c r="E612" i="1"/>
  <c r="C596" i="1"/>
  <c r="E596" i="1"/>
  <c r="C600" i="1"/>
  <c r="E600" i="1"/>
  <c r="F600" i="1"/>
  <c r="G600" i="1"/>
  <c r="I594" i="1"/>
  <c r="H594" i="1"/>
  <c r="E594" i="1"/>
  <c r="C594" i="1"/>
  <c r="C595" i="1"/>
  <c r="C599" i="1"/>
  <c r="C593" i="1"/>
  <c r="E595" i="1"/>
  <c r="E599" i="1"/>
  <c r="F599" i="1"/>
  <c r="G599" i="1"/>
  <c r="J593" i="1"/>
  <c r="J595" i="1" s="1"/>
  <c r="E593" i="1"/>
  <c r="C590" i="1"/>
  <c r="E590" i="1"/>
  <c r="I589" i="1"/>
  <c r="H589" i="1"/>
  <c r="C591" i="1"/>
  <c r="E591" i="1"/>
  <c r="E589" i="1"/>
  <c r="C589" i="1"/>
  <c r="E588" i="1"/>
  <c r="C588" i="1"/>
  <c r="C586" i="1"/>
  <c r="E586" i="1"/>
  <c r="I584" i="1"/>
  <c r="H584" i="1"/>
  <c r="E584" i="1"/>
  <c r="C584" i="1"/>
  <c r="C585" i="1"/>
  <c r="E585" i="1"/>
  <c r="E583" i="1"/>
  <c r="C583" i="1"/>
  <c r="C575" i="1"/>
  <c r="E575" i="1"/>
  <c r="F575" i="1"/>
  <c r="G575" i="1"/>
  <c r="C577" i="1"/>
  <c r="E577" i="1"/>
  <c r="F577" i="1"/>
  <c r="G577" i="1"/>
  <c r="C579" i="1"/>
  <c r="E579" i="1"/>
  <c r="F579" i="1"/>
  <c r="G579" i="1"/>
  <c r="C581" i="1"/>
  <c r="E581" i="1"/>
  <c r="F581" i="1"/>
  <c r="G581" i="1"/>
  <c r="I573" i="1"/>
  <c r="G573" i="1"/>
  <c r="F573" i="1"/>
  <c r="E573" i="1"/>
  <c r="C573" i="1"/>
  <c r="C574" i="1"/>
  <c r="E574" i="1"/>
  <c r="F574" i="1"/>
  <c r="G574" i="1"/>
  <c r="C576" i="1"/>
  <c r="E576" i="1"/>
  <c r="F576" i="1"/>
  <c r="G576" i="1"/>
  <c r="C578" i="1"/>
  <c r="E578" i="1"/>
  <c r="F578" i="1"/>
  <c r="G578" i="1"/>
  <c r="C580" i="1"/>
  <c r="E580" i="1"/>
  <c r="F580" i="1"/>
  <c r="G580" i="1"/>
  <c r="G572" i="1"/>
  <c r="F572" i="1"/>
  <c r="C572" i="1"/>
  <c r="E572" i="1"/>
  <c r="I570" i="1"/>
  <c r="G570" i="1"/>
  <c r="F570" i="1"/>
  <c r="E570" i="1"/>
  <c r="C570" i="1"/>
  <c r="J569" i="1"/>
  <c r="J574" i="1" s="1"/>
  <c r="J576" i="1" s="1"/>
  <c r="J578" i="1" s="1"/>
  <c r="J580" i="1" s="1"/>
  <c r="G569" i="1"/>
  <c r="F569" i="1"/>
  <c r="E569" i="1"/>
  <c r="C569" i="1"/>
  <c r="F563" i="1"/>
  <c r="G563" i="1"/>
  <c r="C565" i="1"/>
  <c r="E565" i="1"/>
  <c r="F565" i="1"/>
  <c r="G565" i="1"/>
  <c r="I561" i="1"/>
  <c r="G561" i="1"/>
  <c r="E561" i="1"/>
  <c r="C561" i="1"/>
  <c r="F562" i="1"/>
  <c r="G562" i="1"/>
  <c r="C564" i="1"/>
  <c r="E564" i="1"/>
  <c r="F564" i="1"/>
  <c r="G564" i="1"/>
  <c r="C560" i="1"/>
  <c r="G560" i="1"/>
  <c r="E560" i="1"/>
  <c r="C552" i="1"/>
  <c r="E552" i="1"/>
  <c r="C554" i="1"/>
  <c r="E554" i="1"/>
  <c r="G554" i="1"/>
  <c r="C556" i="1"/>
  <c r="E556" i="1"/>
  <c r="F556" i="1"/>
  <c r="G556" i="1"/>
  <c r="C558" i="1"/>
  <c r="E558" i="1"/>
  <c r="F558" i="1"/>
  <c r="G558" i="1"/>
  <c r="I550" i="1"/>
  <c r="E550" i="1"/>
  <c r="C550" i="1"/>
  <c r="C551" i="1"/>
  <c r="E551" i="1"/>
  <c r="C553" i="1"/>
  <c r="E553" i="1"/>
  <c r="G553" i="1"/>
  <c r="C555" i="1"/>
  <c r="E555" i="1"/>
  <c r="F555" i="1"/>
  <c r="G555" i="1"/>
  <c r="C557" i="1"/>
  <c r="E557" i="1"/>
  <c r="F557" i="1"/>
  <c r="G557" i="1"/>
  <c r="E549" i="1"/>
  <c r="C549" i="1"/>
  <c r="C547" i="1"/>
  <c r="E547" i="1"/>
  <c r="F547" i="1"/>
  <c r="G547" i="1"/>
  <c r="C541" i="1"/>
  <c r="E541" i="1"/>
  <c r="F541" i="1"/>
  <c r="G541" i="1"/>
  <c r="C543" i="1"/>
  <c r="E543" i="1"/>
  <c r="F543" i="1"/>
  <c r="G543" i="1"/>
  <c r="C545" i="1"/>
  <c r="E545" i="1"/>
  <c r="F545" i="1"/>
  <c r="G545" i="1"/>
  <c r="I539" i="1"/>
  <c r="G539" i="1"/>
  <c r="F539" i="1"/>
  <c r="E539" i="1"/>
  <c r="C539" i="1"/>
  <c r="C540" i="1"/>
  <c r="E540" i="1"/>
  <c r="F540" i="1"/>
  <c r="G540" i="1"/>
  <c r="C542" i="1"/>
  <c r="E542" i="1"/>
  <c r="F542" i="1"/>
  <c r="G542" i="1"/>
  <c r="C544" i="1"/>
  <c r="E544" i="1"/>
  <c r="F544" i="1"/>
  <c r="G544" i="1"/>
  <c r="C546" i="1"/>
  <c r="E546" i="1"/>
  <c r="F546" i="1"/>
  <c r="G546" i="1"/>
  <c r="G538" i="1"/>
  <c r="F538" i="1"/>
  <c r="E538" i="1"/>
  <c r="C538" i="1"/>
  <c r="E534" i="1"/>
  <c r="G534" i="1"/>
  <c r="I534" i="1"/>
  <c r="C536" i="1"/>
  <c r="E536" i="1"/>
  <c r="F536" i="1"/>
  <c r="G536" i="1"/>
  <c r="E535" i="1"/>
  <c r="F535" i="1"/>
  <c r="G535" i="1"/>
  <c r="J533" i="1"/>
  <c r="J535" i="1" s="1"/>
  <c r="G533" i="1"/>
  <c r="K419" i="1"/>
  <c r="K418" i="1"/>
  <c r="K417" i="1"/>
  <c r="K416" i="1"/>
  <c r="K415" i="1"/>
  <c r="E533" i="1"/>
  <c r="I523" i="1"/>
  <c r="H523" i="1"/>
  <c r="I520" i="1"/>
  <c r="H520" i="1"/>
  <c r="G520" i="1"/>
  <c r="F520" i="1"/>
  <c r="E520" i="1"/>
  <c r="C520" i="1"/>
  <c r="E517" i="1"/>
  <c r="C517" i="1"/>
  <c r="E515" i="1"/>
  <c r="C515" i="1"/>
  <c r="E513" i="1"/>
  <c r="C513" i="1"/>
  <c r="E511" i="1"/>
  <c r="C511" i="1"/>
  <c r="E509" i="1"/>
  <c r="C509" i="1"/>
  <c r="I507" i="1"/>
  <c r="H507" i="1"/>
  <c r="E507" i="1"/>
  <c r="C507" i="1"/>
  <c r="E504" i="1"/>
  <c r="C504" i="1"/>
  <c r="E502" i="1"/>
  <c r="C502" i="1"/>
  <c r="E500" i="1"/>
  <c r="C500" i="1"/>
  <c r="I498" i="1"/>
  <c r="H498" i="1"/>
  <c r="E498" i="1"/>
  <c r="C498" i="1"/>
  <c r="G495" i="1"/>
  <c r="F495" i="1"/>
  <c r="E495" i="1"/>
  <c r="C495" i="1"/>
  <c r="I493" i="1"/>
  <c r="G493" i="1"/>
  <c r="F493" i="1"/>
  <c r="E493" i="1"/>
  <c r="C494" i="1"/>
  <c r="E494" i="1"/>
  <c r="F494" i="1"/>
  <c r="G494" i="1"/>
  <c r="I490" i="1"/>
  <c r="G490" i="1"/>
  <c r="F490" i="1"/>
  <c r="C490" i="1"/>
  <c r="I487" i="1"/>
  <c r="G487" i="1"/>
  <c r="F487" i="1"/>
  <c r="E487" i="1"/>
  <c r="C487" i="1"/>
  <c r="G483" i="1"/>
  <c r="G484" i="1" s="1"/>
  <c r="F483" i="1"/>
  <c r="F484" i="1" s="1"/>
  <c r="G482" i="1"/>
  <c r="F482" i="1"/>
  <c r="E484" i="1"/>
  <c r="C484" i="1"/>
  <c r="H482" i="1"/>
  <c r="E482" i="1"/>
  <c r="C482" i="1"/>
  <c r="I480" i="1"/>
  <c r="G480" i="1"/>
  <c r="F480" i="1"/>
  <c r="E480" i="1"/>
  <c r="C480" i="1"/>
  <c r="G519" i="1"/>
  <c r="F519" i="1"/>
  <c r="E519" i="1"/>
  <c r="C519" i="1"/>
  <c r="C508" i="1"/>
  <c r="E508" i="1"/>
  <c r="C510" i="1"/>
  <c r="E510" i="1"/>
  <c r="C512" i="1"/>
  <c r="E512" i="1"/>
  <c r="C514" i="1"/>
  <c r="E514" i="1"/>
  <c r="C516" i="1"/>
  <c r="E516" i="1"/>
  <c r="E506" i="1"/>
  <c r="C506" i="1"/>
  <c r="C499" i="1"/>
  <c r="E499" i="1"/>
  <c r="C501" i="1"/>
  <c r="E501" i="1"/>
  <c r="C503" i="1"/>
  <c r="E503" i="1"/>
  <c r="J499" i="1"/>
  <c r="J501" i="1" s="1"/>
  <c r="J503" i="1" s="1"/>
  <c r="E497" i="1"/>
  <c r="C497" i="1"/>
  <c r="G492" i="1"/>
  <c r="F492" i="1"/>
  <c r="E492" i="1"/>
  <c r="G489" i="1"/>
  <c r="F489" i="1"/>
  <c r="C489" i="1"/>
  <c r="G486" i="1"/>
  <c r="F486" i="1"/>
  <c r="E486" i="1"/>
  <c r="C486" i="1"/>
  <c r="C481" i="1"/>
  <c r="E481" i="1"/>
  <c r="F481" i="1"/>
  <c r="G481" i="1"/>
  <c r="C483" i="1"/>
  <c r="E483" i="1"/>
  <c r="J479" i="1"/>
  <c r="G479" i="1"/>
  <c r="F479" i="1"/>
  <c r="E479" i="1"/>
  <c r="C479" i="1"/>
  <c r="F475" i="1"/>
  <c r="G475" i="1"/>
  <c r="K471" i="1"/>
  <c r="J471" i="1"/>
  <c r="F461" i="1"/>
  <c r="G461" i="1"/>
  <c r="F462" i="1"/>
  <c r="G462" i="1"/>
  <c r="F463" i="1"/>
  <c r="G463" i="1"/>
  <c r="F464" i="1"/>
  <c r="G464" i="1"/>
  <c r="F465" i="1"/>
  <c r="G465" i="1"/>
  <c r="F466" i="1"/>
  <c r="G466" i="1"/>
  <c r="F467" i="1"/>
  <c r="G467" i="1"/>
  <c r="F468" i="1"/>
  <c r="G468" i="1"/>
  <c r="F469" i="1"/>
  <c r="G469" i="1"/>
  <c r="C464" i="1"/>
  <c r="E464" i="1"/>
  <c r="C465" i="1"/>
  <c r="E465" i="1"/>
  <c r="C466" i="1"/>
  <c r="E466" i="1"/>
  <c r="C467" i="1"/>
  <c r="E467" i="1"/>
  <c r="C468" i="1"/>
  <c r="E468" i="1"/>
  <c r="C469" i="1"/>
  <c r="E469" i="1"/>
  <c r="K460" i="1"/>
  <c r="J460" i="1"/>
  <c r="G460" i="1"/>
  <c r="F460" i="1"/>
  <c r="C452" i="1"/>
  <c r="E452" i="1"/>
  <c r="F452" i="1"/>
  <c r="G452" i="1"/>
  <c r="K450" i="1"/>
  <c r="J450" i="1"/>
  <c r="G450" i="1"/>
  <c r="F450" i="1"/>
  <c r="K446" i="1"/>
  <c r="J446" i="1"/>
  <c r="E446" i="1"/>
  <c r="C443" i="1"/>
  <c r="E443" i="1"/>
  <c r="K443" i="1"/>
  <c r="K442" i="1"/>
  <c r="J442" i="1"/>
  <c r="E442" i="1"/>
  <c r="C431" i="1"/>
  <c r="E431" i="1"/>
  <c r="K430" i="1"/>
  <c r="J430" i="1"/>
  <c r="E430" i="1"/>
  <c r="B30" i="11"/>
  <c r="E30" i="11" s="1"/>
  <c r="F12" i="13" s="1"/>
  <c r="K414" i="1"/>
  <c r="G779" i="1"/>
  <c r="G397" i="1"/>
  <c r="F397" i="1"/>
  <c r="G388" i="1"/>
  <c r="G768" i="1" s="1"/>
  <c r="G386" i="1"/>
  <c r="G766" i="1" s="1"/>
  <c r="F386" i="1"/>
  <c r="G376" i="1"/>
  <c r="F376" i="1"/>
  <c r="M1677" i="1" l="1"/>
  <c r="Q1677" i="1"/>
  <c r="N1687" i="1"/>
  <c r="D121" i="11"/>
  <c r="C121" i="11" s="1"/>
  <c r="H121" i="11" s="1"/>
  <c r="N828" i="1"/>
  <c r="N824" i="1"/>
  <c r="N809" i="1" s="1"/>
  <c r="H128" i="11"/>
  <c r="I1447" i="1"/>
  <c r="I1448" i="1" s="1"/>
  <c r="M1446" i="1"/>
  <c r="E1292" i="1"/>
  <c r="E1238" i="1"/>
  <c r="L1238" i="1" s="1"/>
  <c r="L1237" i="1"/>
  <c r="E892" i="1"/>
  <c r="E893" i="1" s="1"/>
  <c r="E1085" i="1"/>
  <c r="L1085" i="1" s="1"/>
  <c r="N1091" i="1"/>
  <c r="E1092" i="1"/>
  <c r="E891" i="1"/>
  <c r="E898" i="1" s="1"/>
  <c r="X890" i="1"/>
  <c r="W898" i="1"/>
  <c r="C898" i="1" s="1"/>
  <c r="W912" i="1"/>
  <c r="C912" i="1" s="1"/>
  <c r="J912" i="1" s="1"/>
  <c r="X908" i="1"/>
  <c r="W911" i="1"/>
  <c r="N884" i="1"/>
  <c r="N852" i="1"/>
  <c r="E854" i="1"/>
  <c r="E857" i="1" s="1"/>
  <c r="L857" i="1" s="1"/>
  <c r="L878" i="1"/>
  <c r="E879" i="1"/>
  <c r="L879" i="1" s="1"/>
  <c r="W875" i="1"/>
  <c r="W880" i="1"/>
  <c r="C880" i="1" s="1"/>
  <c r="X872" i="1"/>
  <c r="L875" i="1"/>
  <c r="E880" i="1"/>
  <c r="E839" i="1"/>
  <c r="L839" i="1" s="1"/>
  <c r="W869" i="1"/>
  <c r="C869" i="1" s="1"/>
  <c r="W868" i="1"/>
  <c r="X865" i="1"/>
  <c r="M335" i="1"/>
  <c r="K336" i="1"/>
  <c r="K717" i="1"/>
  <c r="M716" i="1"/>
  <c r="J336" i="1"/>
  <c r="J717" i="1"/>
  <c r="M569" i="1"/>
  <c r="I368" i="1"/>
  <c r="I367" i="1"/>
  <c r="H368" i="1"/>
  <c r="H367" i="1"/>
  <c r="I362" i="1"/>
  <c r="I359" i="1"/>
  <c r="I360" i="1" s="1"/>
  <c r="I361" i="1" s="1"/>
  <c r="H362" i="1"/>
  <c r="H359" i="1"/>
  <c r="H360" i="1" s="1"/>
  <c r="J362" i="1"/>
  <c r="J359" i="1"/>
  <c r="K362" i="1"/>
  <c r="K359" i="1"/>
  <c r="H337" i="1"/>
  <c r="C1631" i="1"/>
  <c r="M1631" i="1" s="1"/>
  <c r="M557" i="1"/>
  <c r="M564" i="1"/>
  <c r="M572" i="1"/>
  <c r="M486" i="1"/>
  <c r="M535" i="1"/>
  <c r="M538" i="1"/>
  <c r="M578" i="1"/>
  <c r="M574" i="1"/>
  <c r="M611" i="1"/>
  <c r="E769" i="1"/>
  <c r="E779" i="1"/>
  <c r="M555" i="1"/>
  <c r="M610" i="1"/>
  <c r="E770" i="1"/>
  <c r="M544" i="1"/>
  <c r="M540" i="1"/>
  <c r="E771" i="1"/>
  <c r="E780" i="1"/>
  <c r="M580" i="1"/>
  <c r="M576" i="1"/>
  <c r="E768" i="1"/>
  <c r="E772" i="1"/>
  <c r="E781" i="1"/>
  <c r="M479" i="1"/>
  <c r="M494" i="1"/>
  <c r="E773" i="1"/>
  <c r="M520" i="1"/>
  <c r="F766" i="1"/>
  <c r="E783" i="1"/>
  <c r="E774" i="1"/>
  <c r="M519" i="1"/>
  <c r="M546" i="1"/>
  <c r="M542" i="1"/>
  <c r="J599" i="1"/>
  <c r="M599" i="1" s="1"/>
  <c r="J597" i="1"/>
  <c r="M597" i="1" s="1"/>
  <c r="N1377" i="1"/>
  <c r="E1077" i="1"/>
  <c r="L1077" i="1" s="1"/>
  <c r="E1018" i="1"/>
  <c r="L1018" i="1" s="1"/>
  <c r="G945" i="1"/>
  <c r="G949" i="1"/>
  <c r="F945" i="1"/>
  <c r="F949" i="1"/>
  <c r="J481" i="1"/>
  <c r="J483" i="1" s="1"/>
  <c r="M483" i="1" s="1"/>
  <c r="J1589" i="1"/>
  <c r="M1562" i="1"/>
  <c r="N935" i="1"/>
  <c r="N902" i="1"/>
  <c r="E937" i="1"/>
  <c r="N936" i="1"/>
  <c r="G904" i="1"/>
  <c r="L904" i="1" s="1"/>
  <c r="G887" i="1"/>
  <c r="L887" i="1" s="1"/>
  <c r="F910" i="1"/>
  <c r="F905" i="1"/>
  <c r="L886" i="1"/>
  <c r="E885" i="1"/>
  <c r="N885" i="1" s="1"/>
  <c r="L874" i="1"/>
  <c r="L877" i="1"/>
  <c r="F398" i="1"/>
  <c r="F777" i="1"/>
  <c r="G398" i="1"/>
  <c r="G778" i="1" s="1"/>
  <c r="G777" i="1"/>
  <c r="F377" i="1"/>
  <c r="F757" i="1" s="1"/>
  <c r="F756" i="1"/>
  <c r="G377" i="1"/>
  <c r="G757" i="1" s="1"/>
  <c r="G756" i="1"/>
  <c r="K366" i="1"/>
  <c r="K745" i="1"/>
  <c r="J366" i="1"/>
  <c r="J745" i="1"/>
  <c r="C362" i="1"/>
  <c r="C358" i="1"/>
  <c r="M358" i="1" s="1"/>
  <c r="C357" i="1"/>
  <c r="M357" i="1" s="1"/>
  <c r="C356" i="1"/>
  <c r="M356" i="1" s="1"/>
  <c r="K370" i="1"/>
  <c r="K750" i="1" s="1"/>
  <c r="J370" i="1"/>
  <c r="J750" i="1" s="1"/>
  <c r="G370" i="1"/>
  <c r="G750" i="1" s="1"/>
  <c r="E370" i="1"/>
  <c r="C366" i="1"/>
  <c r="C365" i="1"/>
  <c r="M365" i="1" s="1"/>
  <c r="G345" i="1"/>
  <c r="G726" i="1" s="1"/>
  <c r="F345" i="1"/>
  <c r="F726" i="1" s="1"/>
  <c r="C342" i="1"/>
  <c r="E320" i="1"/>
  <c r="I305" i="1"/>
  <c r="I306" i="1" s="1"/>
  <c r="J298" i="1"/>
  <c r="J680" i="1" s="1"/>
  <c r="E298" i="1"/>
  <c r="E297" i="1"/>
  <c r="M297" i="1" s="1"/>
  <c r="J296" i="1"/>
  <c r="H296" i="1"/>
  <c r="G296" i="1"/>
  <c r="H295" i="1"/>
  <c r="M295" i="1" s="1"/>
  <c r="N287" i="1"/>
  <c r="E281" i="1"/>
  <c r="I280" i="1"/>
  <c r="H280" i="1"/>
  <c r="G277" i="1"/>
  <c r="F277" i="1"/>
  <c r="I274" i="1"/>
  <c r="H274" i="1"/>
  <c r="G274" i="1"/>
  <c r="F274" i="1"/>
  <c r="H271" i="1"/>
  <c r="E263" i="1"/>
  <c r="I260" i="1"/>
  <c r="H260" i="1"/>
  <c r="E257" i="1"/>
  <c r="G254" i="1"/>
  <c r="F254" i="1"/>
  <c r="H256" i="1"/>
  <c r="I256" i="1"/>
  <c r="I262" i="1"/>
  <c r="H262" i="1"/>
  <c r="K252" i="1"/>
  <c r="K253" i="1" s="1"/>
  <c r="J251" i="1"/>
  <c r="I247" i="1"/>
  <c r="H247" i="1"/>
  <c r="F245" i="1"/>
  <c r="I245" i="1"/>
  <c r="I1224" i="1" s="1"/>
  <c r="H245" i="1"/>
  <c r="H1224" i="1" s="1"/>
  <c r="I244" i="1"/>
  <c r="H244" i="1"/>
  <c r="E242" i="1"/>
  <c r="G241" i="1"/>
  <c r="F241" i="1"/>
  <c r="I241" i="1"/>
  <c r="H241" i="1"/>
  <c r="I237" i="1"/>
  <c r="H237" i="1"/>
  <c r="H123" i="11" l="1"/>
  <c r="H129" i="11" s="1"/>
  <c r="N1563" i="1"/>
  <c r="M1620" i="1" s="1"/>
  <c r="M1447" i="1"/>
  <c r="P1226" i="1"/>
  <c r="L892" i="1"/>
  <c r="E895" i="1"/>
  <c r="L895" i="1" s="1"/>
  <c r="N891" i="1"/>
  <c r="J898" i="1"/>
  <c r="L1092" i="1"/>
  <c r="E1093" i="1"/>
  <c r="L1093" i="1" s="1"/>
  <c r="E860" i="1"/>
  <c r="L854" i="1"/>
  <c r="E858" i="1"/>
  <c r="L858" i="1" s="1"/>
  <c r="E855" i="1"/>
  <c r="L855" i="1" s="1"/>
  <c r="L893" i="1"/>
  <c r="E894" i="1"/>
  <c r="L894" i="1" s="1"/>
  <c r="J880" i="1"/>
  <c r="M336" i="1"/>
  <c r="M717" i="1"/>
  <c r="K360" i="1"/>
  <c r="K739" i="1"/>
  <c r="J360" i="1"/>
  <c r="J739" i="1"/>
  <c r="J337" i="1"/>
  <c r="J718" i="1"/>
  <c r="K337" i="1"/>
  <c r="K718" i="1"/>
  <c r="J368" i="1"/>
  <c r="J367" i="1"/>
  <c r="J747" i="1" s="1"/>
  <c r="K368" i="1"/>
  <c r="K367" i="1"/>
  <c r="K747" i="1" s="1"/>
  <c r="H361" i="1"/>
  <c r="M359" i="1"/>
  <c r="M362" i="1"/>
  <c r="H338" i="1"/>
  <c r="M298" i="1"/>
  <c r="M366" i="1"/>
  <c r="E763" i="1"/>
  <c r="E760" i="1"/>
  <c r="M481" i="1"/>
  <c r="J252" i="1"/>
  <c r="J253" i="1" s="1"/>
  <c r="M253" i="1" s="1"/>
  <c r="M251" i="1"/>
  <c r="M370" i="1"/>
  <c r="E759" i="1"/>
  <c r="F778" i="1"/>
  <c r="E761" i="1"/>
  <c r="F1224" i="1"/>
  <c r="P1225" i="1" s="1"/>
  <c r="E762" i="1"/>
  <c r="C723" i="1"/>
  <c r="E702" i="1"/>
  <c r="C742" i="1"/>
  <c r="E750" i="1"/>
  <c r="M750" i="1" s="1"/>
  <c r="C738" i="1"/>
  <c r="C737" i="1"/>
  <c r="C736" i="1"/>
  <c r="H644" i="1"/>
  <c r="F647" i="1"/>
  <c r="H647" i="1"/>
  <c r="H1322" i="1"/>
  <c r="I647" i="1"/>
  <c r="I1322" i="1"/>
  <c r="F650" i="1"/>
  <c r="G650" i="1"/>
  <c r="H653" i="1"/>
  <c r="H1343" i="1"/>
  <c r="P1345" i="1" s="1"/>
  <c r="I653" i="1"/>
  <c r="G647" i="1"/>
  <c r="I636" i="1"/>
  <c r="H636" i="1"/>
  <c r="P1290" i="1"/>
  <c r="H634" i="1"/>
  <c r="H1278" i="1"/>
  <c r="I634" i="1"/>
  <c r="I1278" i="1"/>
  <c r="I626" i="1"/>
  <c r="H626" i="1"/>
  <c r="H612" i="1"/>
  <c r="I612" i="1"/>
  <c r="F950" i="1"/>
  <c r="F954" i="1"/>
  <c r="F955" i="1" s="1"/>
  <c r="G950" i="1"/>
  <c r="G954" i="1"/>
  <c r="G955" i="1" s="1"/>
  <c r="G675" i="1"/>
  <c r="G1650" i="1"/>
  <c r="F1651" i="1"/>
  <c r="H1648" i="1"/>
  <c r="M1648" i="1" s="1"/>
  <c r="J675" i="1"/>
  <c r="J1651" i="1"/>
  <c r="E677" i="1"/>
  <c r="E1652" i="1"/>
  <c r="M1652" i="1" s="1"/>
  <c r="E679" i="1"/>
  <c r="E1653" i="1"/>
  <c r="M1653" i="1" s="1"/>
  <c r="E938" i="1"/>
  <c r="F911" i="1"/>
  <c r="G910" i="1"/>
  <c r="G905" i="1"/>
  <c r="L905" i="1" s="1"/>
  <c r="C745" i="1"/>
  <c r="M745" i="1" s="1"/>
  <c r="C746" i="1"/>
  <c r="F296" i="1"/>
  <c r="M296" i="1" s="1"/>
  <c r="H673" i="1"/>
  <c r="M673" i="1" s="1"/>
  <c r="G256" i="1"/>
  <c r="G628" i="1"/>
  <c r="F256" i="1"/>
  <c r="F628" i="1"/>
  <c r="I630" i="1"/>
  <c r="H630" i="1"/>
  <c r="G612" i="1"/>
  <c r="F247" i="1"/>
  <c r="F612" i="1"/>
  <c r="K254" i="1"/>
  <c r="K255" i="1" s="1"/>
  <c r="K256" i="1" s="1"/>
  <c r="K259" i="1"/>
  <c r="K260" i="1" s="1"/>
  <c r="K261" i="1" s="1"/>
  <c r="K262" i="1" s="1"/>
  <c r="J228" i="1"/>
  <c r="G228" i="1"/>
  <c r="E211" i="1"/>
  <c r="K218" i="1"/>
  <c r="J218" i="1"/>
  <c r="I218" i="1"/>
  <c r="H218" i="1"/>
  <c r="G218" i="1"/>
  <c r="G222" i="1" s="1"/>
  <c r="F218" i="1"/>
  <c r="F222" i="1" s="1"/>
  <c r="G217" i="1"/>
  <c r="G221" i="1" s="1"/>
  <c r="E215" i="1"/>
  <c r="K214" i="1"/>
  <c r="I214" i="1"/>
  <c r="H214" i="1"/>
  <c r="G214" i="1"/>
  <c r="F214" i="1"/>
  <c r="J213" i="1"/>
  <c r="K207" i="1"/>
  <c r="I207" i="1"/>
  <c r="E204" i="1"/>
  <c r="E187" i="1"/>
  <c r="K197" i="1"/>
  <c r="J197" i="1"/>
  <c r="I197" i="1"/>
  <c r="E197" i="1"/>
  <c r="C197" i="1"/>
  <c r="H196" i="1"/>
  <c r="F196" i="1"/>
  <c r="E194" i="1"/>
  <c r="F191" i="1"/>
  <c r="K190" i="1"/>
  <c r="J190" i="1"/>
  <c r="I190" i="1"/>
  <c r="H189" i="1"/>
  <c r="F178" i="1"/>
  <c r="C178" i="1"/>
  <c r="K151" i="1"/>
  <c r="J151" i="1"/>
  <c r="I151" i="1"/>
  <c r="I495" i="1" s="1"/>
  <c r="C174" i="1"/>
  <c r="E174" i="1"/>
  <c r="E172" i="1"/>
  <c r="C172" i="1"/>
  <c r="K173" i="1"/>
  <c r="J173" i="1"/>
  <c r="I173" i="1"/>
  <c r="H173" i="1"/>
  <c r="E173" i="1"/>
  <c r="C173" i="1"/>
  <c r="E171" i="1"/>
  <c r="C171" i="1"/>
  <c r="E169" i="1"/>
  <c r="E166" i="1"/>
  <c r="F164" i="1"/>
  <c r="G164" i="1"/>
  <c r="F165" i="1"/>
  <c r="G165" i="1"/>
  <c r="F162" i="1"/>
  <c r="G162" i="1"/>
  <c r="F163" i="1"/>
  <c r="G163" i="1"/>
  <c r="K161" i="1"/>
  <c r="J161" i="1"/>
  <c r="I161" i="1"/>
  <c r="H161" i="1"/>
  <c r="F161" i="1"/>
  <c r="G161" i="1"/>
  <c r="G509" i="1" s="1"/>
  <c r="G160" i="1"/>
  <c r="G507" i="1" s="1"/>
  <c r="F160" i="1"/>
  <c r="E158" i="1"/>
  <c r="G157" i="1"/>
  <c r="F157" i="1"/>
  <c r="G156" i="1"/>
  <c r="F156" i="1"/>
  <c r="K155" i="1"/>
  <c r="J155" i="1"/>
  <c r="I155" i="1"/>
  <c r="H155" i="1"/>
  <c r="E145" i="1"/>
  <c r="E142" i="1"/>
  <c r="H141" i="1"/>
  <c r="K140" i="1"/>
  <c r="J140" i="1"/>
  <c r="I140" i="1"/>
  <c r="C135" i="1"/>
  <c r="E135" i="1"/>
  <c r="C133" i="1"/>
  <c r="E133" i="1"/>
  <c r="E473" i="1" s="1"/>
  <c r="C134" i="1"/>
  <c r="E134" i="1"/>
  <c r="E474" i="1" s="1"/>
  <c r="F134" i="1"/>
  <c r="G134" i="1"/>
  <c r="G133" i="1"/>
  <c r="F133" i="1"/>
  <c r="E132" i="1"/>
  <c r="E472" i="1" s="1"/>
  <c r="C132" i="1"/>
  <c r="K132" i="1"/>
  <c r="J132" i="1"/>
  <c r="I132" i="1"/>
  <c r="I133" i="1" s="1"/>
  <c r="H132" i="1"/>
  <c r="H133" i="1" s="1"/>
  <c r="H968" i="1" s="1"/>
  <c r="F132" i="1"/>
  <c r="G132" i="1"/>
  <c r="G131" i="1"/>
  <c r="F131" i="1"/>
  <c r="E131" i="1"/>
  <c r="E471" i="1" s="1"/>
  <c r="C131" i="1"/>
  <c r="E122" i="1"/>
  <c r="E463" i="1" s="1"/>
  <c r="C122" i="1"/>
  <c r="E121" i="1"/>
  <c r="E462" i="1" s="1"/>
  <c r="C121" i="1"/>
  <c r="K120" i="1"/>
  <c r="J120" i="1"/>
  <c r="I120" i="1"/>
  <c r="I121" i="1" s="1"/>
  <c r="I122" i="1" s="1"/>
  <c r="I957" i="1" s="1"/>
  <c r="H120" i="1"/>
  <c r="H121" i="1" s="1"/>
  <c r="H122" i="1" s="1"/>
  <c r="E120" i="1"/>
  <c r="E461" i="1" s="1"/>
  <c r="C120" i="1"/>
  <c r="E119" i="1"/>
  <c r="E460" i="1" s="1"/>
  <c r="C119" i="1"/>
  <c r="E114" i="1"/>
  <c r="E941" i="1" s="1"/>
  <c r="C114" i="1"/>
  <c r="J110" i="1"/>
  <c r="J452" i="1" s="1"/>
  <c r="K452" i="1"/>
  <c r="I110" i="1"/>
  <c r="I929" i="1" s="1"/>
  <c r="I934" i="1" s="1"/>
  <c r="H110" i="1"/>
  <c r="E108" i="1"/>
  <c r="C108" i="1"/>
  <c r="E104" i="1"/>
  <c r="C103" i="1"/>
  <c r="E100" i="1"/>
  <c r="J99" i="1"/>
  <c r="J443" i="1" s="1"/>
  <c r="J94" i="1"/>
  <c r="N299" i="1" l="1"/>
  <c r="I1449" i="1"/>
  <c r="M1448" i="1"/>
  <c r="W1346" i="1"/>
  <c r="C1346" i="1" s="1"/>
  <c r="L1346" i="1" s="1"/>
  <c r="W1344" i="1"/>
  <c r="C1344" i="1" s="1"/>
  <c r="L1344" i="1" s="1"/>
  <c r="W1228" i="1"/>
  <c r="C1228" i="1" s="1"/>
  <c r="L1228" i="1" s="1"/>
  <c r="W1226" i="1"/>
  <c r="C1226" i="1" s="1"/>
  <c r="L1226" i="1" s="1"/>
  <c r="W1291" i="1"/>
  <c r="C1291" i="1" s="1"/>
  <c r="L1291" i="1" s="1"/>
  <c r="W1289" i="1"/>
  <c r="C1289" i="1" s="1"/>
  <c r="L1289" i="1" s="1"/>
  <c r="X1228" i="1"/>
  <c r="W1227" i="1"/>
  <c r="C1227" i="1" s="1"/>
  <c r="L1227" i="1" s="1"/>
  <c r="W1225" i="1"/>
  <c r="C1225" i="1" s="1"/>
  <c r="L1225" i="1" s="1"/>
  <c r="X1226" i="1"/>
  <c r="X1347" i="1"/>
  <c r="X1345" i="1"/>
  <c r="P1324" i="1"/>
  <c r="X1292" i="1"/>
  <c r="X1290" i="1"/>
  <c r="P1280" i="1"/>
  <c r="X1282" i="1" s="1"/>
  <c r="E896" i="1"/>
  <c r="E897" i="1" s="1"/>
  <c r="L897" i="1" s="1"/>
  <c r="X1225" i="1"/>
  <c r="X1227" i="1"/>
  <c r="H973" i="1"/>
  <c r="E859" i="1"/>
  <c r="L859" i="1" s="1"/>
  <c r="E856" i="1"/>
  <c r="L856" i="1" s="1"/>
  <c r="M739" i="1"/>
  <c r="M360" i="1"/>
  <c r="G911" i="1"/>
  <c r="L911" i="1" s="1"/>
  <c r="M747" i="1"/>
  <c r="J361" i="1"/>
  <c r="J741" i="1" s="1"/>
  <c r="J740" i="1"/>
  <c r="K361" i="1"/>
  <c r="K741" i="1" s="1"/>
  <c r="K740" i="1"/>
  <c r="M337" i="1"/>
  <c r="K338" i="1"/>
  <c r="K720" i="1" s="1"/>
  <c r="K719" i="1"/>
  <c r="M718" i="1"/>
  <c r="J338" i="1"/>
  <c r="J720" i="1" s="1"/>
  <c r="J719" i="1"/>
  <c r="M367" i="1"/>
  <c r="M368" i="1"/>
  <c r="J254" i="1"/>
  <c r="J255" i="1" s="1"/>
  <c r="M255" i="1" s="1"/>
  <c r="M222" i="1"/>
  <c r="G590" i="1"/>
  <c r="E175" i="1"/>
  <c r="J259" i="1"/>
  <c r="J260" i="1" s="1"/>
  <c r="J261" i="1" s="1"/>
  <c r="J262" i="1" s="1"/>
  <c r="M108" i="1"/>
  <c r="M628" i="1"/>
  <c r="M626" i="1"/>
  <c r="M452" i="1"/>
  <c r="M114" i="1"/>
  <c r="M650" i="1"/>
  <c r="E680" i="1"/>
  <c r="M680" i="1" s="1"/>
  <c r="M679" i="1"/>
  <c r="C446" i="1"/>
  <c r="M612" i="1"/>
  <c r="E678" i="1"/>
  <c r="M678" i="1" s="1"/>
  <c r="M677" i="1"/>
  <c r="M634" i="1"/>
  <c r="C460" i="1"/>
  <c r="M460" i="1" s="1"/>
  <c r="M119" i="1"/>
  <c r="F507" i="1"/>
  <c r="M507" i="1" s="1"/>
  <c r="M160" i="1"/>
  <c r="C461" i="1"/>
  <c r="M120" i="1"/>
  <c r="I482" i="1"/>
  <c r="M482" i="1" s="1"/>
  <c r="M140" i="1"/>
  <c r="C1043" i="1"/>
  <c r="F561" i="1"/>
  <c r="M196" i="1"/>
  <c r="M228" i="1"/>
  <c r="N229" i="1" s="1"/>
  <c r="D249" i="11" s="1"/>
  <c r="C249" i="11" s="1"/>
  <c r="M653" i="1"/>
  <c r="M252" i="1"/>
  <c r="C462" i="1"/>
  <c r="H929" i="1"/>
  <c r="M110" i="1"/>
  <c r="C472" i="1"/>
  <c r="M132" i="1"/>
  <c r="C471" i="1"/>
  <c r="M131" i="1"/>
  <c r="F509" i="1"/>
  <c r="M161" i="1"/>
  <c r="M223" i="1"/>
  <c r="M1651" i="1"/>
  <c r="M647" i="1"/>
  <c r="C474" i="1"/>
  <c r="H986" i="1"/>
  <c r="F590" i="1"/>
  <c r="M218" i="1"/>
  <c r="F259" i="1"/>
  <c r="G630" i="1"/>
  <c r="E475" i="1"/>
  <c r="E973" i="1"/>
  <c r="C475" i="1"/>
  <c r="C973" i="1"/>
  <c r="I134" i="1"/>
  <c r="I135" i="1" s="1"/>
  <c r="I968" i="1"/>
  <c r="I973" i="1" s="1"/>
  <c r="C473" i="1"/>
  <c r="C968" i="1"/>
  <c r="C463" i="1"/>
  <c r="C957" i="1"/>
  <c r="G965" i="1"/>
  <c r="G966" i="1" s="1"/>
  <c r="G961" i="1"/>
  <c r="H123" i="1"/>
  <c r="H957" i="1"/>
  <c r="P958" i="1" s="1"/>
  <c r="F961" i="1"/>
  <c r="F965" i="1"/>
  <c r="C456" i="1"/>
  <c r="C941" i="1"/>
  <c r="E942" i="1" s="1"/>
  <c r="F675" i="1"/>
  <c r="M675" i="1" s="1"/>
  <c r="F1650" i="1"/>
  <c r="M1650" i="1" s="1"/>
  <c r="H591" i="1"/>
  <c r="H1630" i="1"/>
  <c r="I591" i="1"/>
  <c r="I1630" i="1"/>
  <c r="H586" i="1"/>
  <c r="H1628" i="1"/>
  <c r="I586" i="1"/>
  <c r="I1628" i="1"/>
  <c r="C450" i="1"/>
  <c r="C929" i="1"/>
  <c r="E450" i="1"/>
  <c r="E929" i="1"/>
  <c r="L910" i="1"/>
  <c r="G259" i="1"/>
  <c r="F262" i="1"/>
  <c r="F630" i="1"/>
  <c r="H596" i="1"/>
  <c r="I598" i="1"/>
  <c r="I596" i="1"/>
  <c r="G588" i="1"/>
  <c r="G589" i="1"/>
  <c r="F591" i="1"/>
  <c r="G591" i="1"/>
  <c r="J214" i="1"/>
  <c r="M214" i="1" s="1"/>
  <c r="F586" i="1"/>
  <c r="F585" i="1"/>
  <c r="G586" i="1"/>
  <c r="G585" i="1"/>
  <c r="I208" i="1"/>
  <c r="I575" i="1"/>
  <c r="K208" i="1"/>
  <c r="H197" i="1"/>
  <c r="M197" i="1" s="1"/>
  <c r="H561" i="1"/>
  <c r="C562" i="1"/>
  <c r="C563" i="1"/>
  <c r="E562" i="1"/>
  <c r="E563" i="1"/>
  <c r="I198" i="1"/>
  <c r="I563" i="1"/>
  <c r="F217" i="1"/>
  <c r="F221" i="1" s="1"/>
  <c r="M221" i="1" s="1"/>
  <c r="F560" i="1"/>
  <c r="M560" i="1" s="1"/>
  <c r="J198" i="1"/>
  <c r="K198" i="1"/>
  <c r="H190" i="1"/>
  <c r="H550" i="1"/>
  <c r="I191" i="1"/>
  <c r="I552" i="1"/>
  <c r="J191" i="1"/>
  <c r="K191" i="1"/>
  <c r="F553" i="1"/>
  <c r="M553" i="1" s="1"/>
  <c r="F554" i="1"/>
  <c r="E180" i="1"/>
  <c r="C534" i="1"/>
  <c r="F533" i="1"/>
  <c r="M533" i="1" s="1"/>
  <c r="F534" i="1"/>
  <c r="E528" i="1"/>
  <c r="E529" i="1"/>
  <c r="C528" i="1"/>
  <c r="C529" i="1"/>
  <c r="C526" i="1"/>
  <c r="C527" i="1"/>
  <c r="E526" i="1"/>
  <c r="E527" i="1"/>
  <c r="H172" i="1"/>
  <c r="H174" i="1" s="1"/>
  <c r="H527" i="1"/>
  <c r="I172" i="1"/>
  <c r="I174" i="1" s="1"/>
  <c r="I527" i="1"/>
  <c r="C524" i="1"/>
  <c r="C525" i="1"/>
  <c r="E524" i="1"/>
  <c r="E525" i="1"/>
  <c r="E522" i="1"/>
  <c r="E523" i="1"/>
  <c r="C522" i="1"/>
  <c r="C523" i="1"/>
  <c r="G516" i="1"/>
  <c r="G517" i="1"/>
  <c r="F516" i="1"/>
  <c r="F517" i="1"/>
  <c r="G514" i="1"/>
  <c r="G515" i="1"/>
  <c r="F514" i="1"/>
  <c r="F515" i="1"/>
  <c r="G512" i="1"/>
  <c r="G513" i="1"/>
  <c r="F512" i="1"/>
  <c r="F513" i="1"/>
  <c r="G510" i="1"/>
  <c r="G511" i="1"/>
  <c r="F510" i="1"/>
  <c r="F511" i="1"/>
  <c r="H162" i="1"/>
  <c r="H511" i="1" s="1"/>
  <c r="H509" i="1"/>
  <c r="I162" i="1"/>
  <c r="I509" i="1"/>
  <c r="F503" i="1"/>
  <c r="F504" i="1"/>
  <c r="G503" i="1"/>
  <c r="G504" i="1"/>
  <c r="G501" i="1"/>
  <c r="G502" i="1"/>
  <c r="F501" i="1"/>
  <c r="F502" i="1"/>
  <c r="H156" i="1"/>
  <c r="H502" i="1" s="1"/>
  <c r="H504" i="1" s="1"/>
  <c r="H500" i="1"/>
  <c r="I156" i="1"/>
  <c r="I500" i="1"/>
  <c r="H484" i="1"/>
  <c r="I141" i="1"/>
  <c r="I986" i="1" s="1"/>
  <c r="J172" i="1"/>
  <c r="K172" i="1"/>
  <c r="F189" i="1"/>
  <c r="F506" i="1"/>
  <c r="G189" i="1"/>
  <c r="G506" i="1"/>
  <c r="G190" i="1"/>
  <c r="G508" i="1"/>
  <c r="F190" i="1"/>
  <c r="F508" i="1"/>
  <c r="K162" i="1"/>
  <c r="J162" i="1"/>
  <c r="J156" i="1"/>
  <c r="K156" i="1"/>
  <c r="K141" i="1"/>
  <c r="J141" i="1"/>
  <c r="F154" i="1"/>
  <c r="F473" i="1"/>
  <c r="F171" i="1"/>
  <c r="F471" i="1"/>
  <c r="G154" i="1"/>
  <c r="G473" i="1"/>
  <c r="G155" i="1"/>
  <c r="G1512" i="1" s="1"/>
  <c r="G471" i="1"/>
  <c r="G174" i="1"/>
  <c r="G474" i="1"/>
  <c r="G173" i="1"/>
  <c r="G527" i="1" s="1"/>
  <c r="G472" i="1"/>
  <c r="F174" i="1"/>
  <c r="F474" i="1"/>
  <c r="F173" i="1"/>
  <c r="F472" i="1"/>
  <c r="J133" i="1"/>
  <c r="J472" i="1"/>
  <c r="K133" i="1"/>
  <c r="K472" i="1"/>
  <c r="J121" i="1"/>
  <c r="J461" i="1"/>
  <c r="K121" i="1"/>
  <c r="K461" i="1"/>
  <c r="E199" i="1"/>
  <c r="G171" i="1"/>
  <c r="G523" i="1" s="1"/>
  <c r="F155" i="1"/>
  <c r="G172" i="1"/>
  <c r="F172" i="1"/>
  <c r="E136" i="1"/>
  <c r="E129" i="1"/>
  <c r="H134" i="1"/>
  <c r="I123" i="1"/>
  <c r="I124" i="1" s="1"/>
  <c r="I125" i="1" s="1"/>
  <c r="I126" i="1" s="1"/>
  <c r="I127" i="1" s="1"/>
  <c r="K85" i="1"/>
  <c r="J85" i="1"/>
  <c r="F71" i="1"/>
  <c r="F415" i="1" s="1"/>
  <c r="G71" i="1"/>
  <c r="G415" i="1" s="1"/>
  <c r="K71" i="1"/>
  <c r="H72" i="1"/>
  <c r="H416" i="1" s="1"/>
  <c r="K72" i="1"/>
  <c r="G73" i="1"/>
  <c r="G417" i="1" s="1"/>
  <c r="H73" i="1"/>
  <c r="H417" i="1" s="1"/>
  <c r="I73" i="1"/>
  <c r="I417" i="1" s="1"/>
  <c r="K73" i="1"/>
  <c r="F74" i="1"/>
  <c r="F418" i="1" s="1"/>
  <c r="G74" i="1"/>
  <c r="G418" i="1" s="1"/>
  <c r="H74" i="1"/>
  <c r="H418" i="1" s="1"/>
  <c r="I74" i="1"/>
  <c r="I418" i="1" s="1"/>
  <c r="K74" i="1"/>
  <c r="F75" i="1"/>
  <c r="F419" i="1" s="1"/>
  <c r="G75" i="1"/>
  <c r="G419" i="1" s="1"/>
  <c r="H75" i="1"/>
  <c r="H419" i="1" s="1"/>
  <c r="I75" i="1"/>
  <c r="I419" i="1" s="1"/>
  <c r="K75" i="1"/>
  <c r="C71" i="1"/>
  <c r="E71" i="1"/>
  <c r="C72" i="1"/>
  <c r="E72" i="1"/>
  <c r="E73" i="1"/>
  <c r="E74" i="1"/>
  <c r="J62" i="1"/>
  <c r="K62" i="1"/>
  <c r="C62" i="1"/>
  <c r="G60" i="1"/>
  <c r="F60" i="1"/>
  <c r="I59" i="1"/>
  <c r="H59" i="1"/>
  <c r="E55" i="1"/>
  <c r="C41" i="1"/>
  <c r="E45" i="1" s="1"/>
  <c r="K40" i="1"/>
  <c r="K41" i="1" s="1"/>
  <c r="F39" i="1"/>
  <c r="F19" i="1"/>
  <c r="H7" i="1"/>
  <c r="F7" i="1"/>
  <c r="B6" i="11"/>
  <c r="F1672" i="1"/>
  <c r="F70" i="1"/>
  <c r="F414" i="1" s="1"/>
  <c r="D11" i="37" l="1"/>
  <c r="D66" i="37"/>
  <c r="D11" i="12"/>
  <c r="D65" i="37"/>
  <c r="D13" i="37"/>
  <c r="D76" i="12"/>
  <c r="D64" i="37"/>
  <c r="D75" i="12"/>
  <c r="D13" i="12"/>
  <c r="D74" i="12"/>
  <c r="E417" i="1"/>
  <c r="E416" i="1"/>
  <c r="N681" i="1"/>
  <c r="M1413" i="1"/>
  <c r="N111" i="1"/>
  <c r="D179" i="11" s="1"/>
  <c r="E418" i="1"/>
  <c r="E1417" i="1"/>
  <c r="E1418" i="1" s="1"/>
  <c r="E1419" i="1" s="1"/>
  <c r="E1420" i="1" s="1"/>
  <c r="E1421" i="1" s="1"/>
  <c r="E1422" i="1" s="1"/>
  <c r="E1423" i="1" s="1"/>
  <c r="E1424" i="1" s="1"/>
  <c r="E415" i="1"/>
  <c r="M1412" i="1"/>
  <c r="D258" i="11"/>
  <c r="C258" i="11" s="1"/>
  <c r="H258" i="11" s="1"/>
  <c r="D259" i="11"/>
  <c r="C259" i="11" s="1"/>
  <c r="H259" i="11" s="1"/>
  <c r="D260" i="11"/>
  <c r="C260" i="11" s="1"/>
  <c r="H260" i="11" s="1"/>
  <c r="D253" i="11"/>
  <c r="C253" i="11" s="1"/>
  <c r="H253" i="11" s="1"/>
  <c r="D251" i="11"/>
  <c r="C251" i="11" s="1"/>
  <c r="H251" i="11" s="1"/>
  <c r="D252" i="11"/>
  <c r="C252" i="11" s="1"/>
  <c r="H252" i="11" s="1"/>
  <c r="D255" i="11"/>
  <c r="C255" i="11" s="1"/>
  <c r="H255" i="11" s="1"/>
  <c r="I1450" i="1"/>
  <c r="M1449" i="1"/>
  <c r="W1281" i="1"/>
  <c r="C1281" i="1" s="1"/>
  <c r="L1281" i="1" s="1"/>
  <c r="W1279" i="1"/>
  <c r="C1279" i="1" s="1"/>
  <c r="L1279" i="1" s="1"/>
  <c r="W1325" i="1"/>
  <c r="C1325" i="1" s="1"/>
  <c r="L1325" i="1" s="1"/>
  <c r="W1323" i="1"/>
  <c r="C1323" i="1" s="1"/>
  <c r="L1323" i="1" s="1"/>
  <c r="X1280" i="1"/>
  <c r="X1326" i="1"/>
  <c r="X1324" i="1"/>
  <c r="L896" i="1"/>
  <c r="E1044" i="1"/>
  <c r="N1044" i="1" s="1"/>
  <c r="R1044" i="1"/>
  <c r="R1045" i="1" s="1"/>
  <c r="R1046" i="1" s="1"/>
  <c r="R1047" i="1" s="1"/>
  <c r="R942" i="1"/>
  <c r="R943" i="1" s="1"/>
  <c r="R944" i="1" s="1"/>
  <c r="R945" i="1" s="1"/>
  <c r="P987" i="1"/>
  <c r="X989" i="1" s="1"/>
  <c r="X961" i="1"/>
  <c r="X960" i="1"/>
  <c r="H934" i="1"/>
  <c r="P930" i="1"/>
  <c r="P931" i="1"/>
  <c r="P969" i="1"/>
  <c r="E958" i="1"/>
  <c r="E959" i="1" s="1"/>
  <c r="R958" i="1"/>
  <c r="R959" i="1" s="1"/>
  <c r="R960" i="1" s="1"/>
  <c r="R961" i="1" s="1"/>
  <c r="R974" i="1"/>
  <c r="R975" i="1" s="1"/>
  <c r="R976" i="1" s="1"/>
  <c r="R977" i="1" s="1"/>
  <c r="P974" i="1"/>
  <c r="E969" i="1"/>
  <c r="N969" i="1" s="1"/>
  <c r="R969" i="1"/>
  <c r="R970" i="1" s="1"/>
  <c r="R971" i="1" s="1"/>
  <c r="R972" i="1" s="1"/>
  <c r="R930" i="1"/>
  <c r="R931" i="1" s="1"/>
  <c r="R932" i="1" s="1"/>
  <c r="R933" i="1" s="1"/>
  <c r="M741" i="1"/>
  <c r="M361" i="1"/>
  <c r="N371" i="1" s="1"/>
  <c r="M740" i="1"/>
  <c r="M720" i="1"/>
  <c r="M719" i="1"/>
  <c r="M338" i="1"/>
  <c r="M254" i="1"/>
  <c r="M590" i="1"/>
  <c r="M217" i="1"/>
  <c r="M121" i="1"/>
  <c r="M261" i="1"/>
  <c r="M508" i="1"/>
  <c r="M260" i="1"/>
  <c r="M62" i="1"/>
  <c r="M133" i="1"/>
  <c r="M171" i="1"/>
  <c r="M189" i="1"/>
  <c r="M503" i="1"/>
  <c r="M154" i="1"/>
  <c r="M172" i="1"/>
  <c r="M173" i="1"/>
  <c r="F1481" i="1"/>
  <c r="M1481" i="1" s="1"/>
  <c r="M162" i="1"/>
  <c r="M506" i="1"/>
  <c r="M586" i="1"/>
  <c r="M262" i="1"/>
  <c r="M450" i="1"/>
  <c r="N453" i="1" s="1"/>
  <c r="C416" i="1"/>
  <c r="M190" i="1"/>
  <c r="M501" i="1"/>
  <c r="M512" i="1"/>
  <c r="M516" i="1"/>
  <c r="M1628" i="1"/>
  <c r="M259" i="1"/>
  <c r="M509" i="1"/>
  <c r="M472" i="1"/>
  <c r="H124" i="1"/>
  <c r="H125" i="1" s="1"/>
  <c r="M591" i="1"/>
  <c r="M156" i="1"/>
  <c r="M561" i="1"/>
  <c r="M461" i="1"/>
  <c r="M155" i="1"/>
  <c r="H598" i="1"/>
  <c r="M598" i="1" s="1"/>
  <c r="M224" i="1"/>
  <c r="M141" i="1"/>
  <c r="M471" i="1"/>
  <c r="C415" i="1"/>
  <c r="M7" i="1"/>
  <c r="N6" i="1" s="1"/>
  <c r="M510" i="1"/>
  <c r="M514" i="1"/>
  <c r="M562" i="1"/>
  <c r="M585" i="1"/>
  <c r="M630" i="1"/>
  <c r="M1630" i="1"/>
  <c r="M639" i="1"/>
  <c r="G636" i="1"/>
  <c r="F636" i="1"/>
  <c r="P1289" i="1"/>
  <c r="G633" i="1"/>
  <c r="F633" i="1"/>
  <c r="E974" i="1"/>
  <c r="E975" i="1" s="1"/>
  <c r="G972" i="1"/>
  <c r="G976" i="1"/>
  <c r="G977" i="1" s="1"/>
  <c r="F966" i="1"/>
  <c r="L965" i="1"/>
  <c r="I128" i="1"/>
  <c r="I962" i="1"/>
  <c r="E943" i="1"/>
  <c r="N942" i="1"/>
  <c r="I600" i="1"/>
  <c r="I1632" i="1"/>
  <c r="H600" i="1"/>
  <c r="H1632" i="1"/>
  <c r="I565" i="1"/>
  <c r="I1618" i="1"/>
  <c r="J431" i="1"/>
  <c r="J1575" i="1"/>
  <c r="K431" i="1"/>
  <c r="K1575" i="1"/>
  <c r="I529" i="1"/>
  <c r="I1604" i="1"/>
  <c r="H529" i="1"/>
  <c r="H1604" i="1"/>
  <c r="F500" i="1"/>
  <c r="F1512" i="1"/>
  <c r="M1512" i="1" s="1"/>
  <c r="C1493" i="1"/>
  <c r="M1493" i="1" s="1"/>
  <c r="F1456" i="1"/>
  <c r="F1457" i="1"/>
  <c r="I71" i="1"/>
  <c r="I415" i="1" s="1"/>
  <c r="H71" i="1"/>
  <c r="H415" i="1" s="1"/>
  <c r="G72" i="1"/>
  <c r="G416" i="1" s="1"/>
  <c r="F72" i="1"/>
  <c r="F416" i="1" s="1"/>
  <c r="C74" i="1"/>
  <c r="C1417" i="1" s="1"/>
  <c r="C1418" i="1" s="1"/>
  <c r="C1419" i="1" s="1"/>
  <c r="C1403" i="1"/>
  <c r="M1403" i="1" s="1"/>
  <c r="E930" i="1"/>
  <c r="E931" i="1" s="1"/>
  <c r="C930" i="1"/>
  <c r="W930" i="1" s="1"/>
  <c r="F596" i="1"/>
  <c r="F595" i="1"/>
  <c r="G593" i="1"/>
  <c r="G594" i="1"/>
  <c r="G595" i="1"/>
  <c r="G596" i="1"/>
  <c r="F588" i="1"/>
  <c r="M588" i="1" s="1"/>
  <c r="F589" i="1"/>
  <c r="M589" i="1" s="1"/>
  <c r="K209" i="1"/>
  <c r="I209" i="1"/>
  <c r="I577" i="1"/>
  <c r="I525" i="1"/>
  <c r="H198" i="1"/>
  <c r="H563" i="1"/>
  <c r="M563" i="1" s="1"/>
  <c r="J192" i="1"/>
  <c r="G213" i="1"/>
  <c r="G552" i="1"/>
  <c r="G551" i="1"/>
  <c r="G550" i="1"/>
  <c r="G549" i="1"/>
  <c r="F549" i="1"/>
  <c r="F550" i="1"/>
  <c r="K192" i="1"/>
  <c r="H525" i="1"/>
  <c r="I192" i="1"/>
  <c r="I1079" i="1" s="1"/>
  <c r="I554" i="1"/>
  <c r="F213" i="1"/>
  <c r="F552" i="1"/>
  <c r="F551" i="1"/>
  <c r="H191" i="1"/>
  <c r="M191" i="1" s="1"/>
  <c r="H552" i="1"/>
  <c r="F528" i="1"/>
  <c r="F529" i="1"/>
  <c r="G528" i="1"/>
  <c r="G529" i="1"/>
  <c r="F526" i="1"/>
  <c r="F527" i="1"/>
  <c r="M527" i="1" s="1"/>
  <c r="F524" i="1"/>
  <c r="F525" i="1"/>
  <c r="G524" i="1"/>
  <c r="G525" i="1"/>
  <c r="F522" i="1"/>
  <c r="F523" i="1"/>
  <c r="M523" i="1" s="1"/>
  <c r="H163" i="1"/>
  <c r="I163" i="1"/>
  <c r="I511" i="1"/>
  <c r="M511" i="1" s="1"/>
  <c r="H157" i="1"/>
  <c r="I157" i="1"/>
  <c r="I502" i="1"/>
  <c r="I504" i="1" s="1"/>
  <c r="M504" i="1" s="1"/>
  <c r="G499" i="1"/>
  <c r="G500" i="1"/>
  <c r="G497" i="1"/>
  <c r="G498" i="1"/>
  <c r="F497" i="1"/>
  <c r="F498" i="1"/>
  <c r="I484" i="1"/>
  <c r="M484" i="1" s="1"/>
  <c r="G522" i="1"/>
  <c r="K174" i="1"/>
  <c r="G526" i="1"/>
  <c r="J174" i="1"/>
  <c r="J163" i="1"/>
  <c r="K163" i="1"/>
  <c r="F499" i="1"/>
  <c r="K157" i="1"/>
  <c r="J157" i="1"/>
  <c r="K134" i="1"/>
  <c r="K473" i="1"/>
  <c r="J134" i="1"/>
  <c r="J473" i="1"/>
  <c r="K122" i="1"/>
  <c r="K462" i="1"/>
  <c r="J122" i="1"/>
  <c r="J462" i="1"/>
  <c r="J256" i="1"/>
  <c r="M256" i="1" s="1"/>
  <c r="H135" i="1"/>
  <c r="F1438" i="1"/>
  <c r="D183" i="11" l="1"/>
  <c r="C183" i="11" s="1"/>
  <c r="H183" i="11" s="1"/>
  <c r="C179" i="11"/>
  <c r="H261" i="11"/>
  <c r="C1420" i="1"/>
  <c r="M1419" i="1"/>
  <c r="M1417" i="1"/>
  <c r="D189" i="11"/>
  <c r="C189" i="11" s="1"/>
  <c r="H189" i="11" s="1"/>
  <c r="D181" i="11"/>
  <c r="C181" i="11" s="1"/>
  <c r="H181" i="11" s="1"/>
  <c r="D187" i="11"/>
  <c r="C187" i="11" s="1"/>
  <c r="H187" i="11" s="1"/>
  <c r="D184" i="11"/>
  <c r="C184" i="11" s="1"/>
  <c r="H184" i="11" s="1"/>
  <c r="D182" i="11"/>
  <c r="C182" i="11" s="1"/>
  <c r="H182" i="11" s="1"/>
  <c r="D188" i="11"/>
  <c r="C188" i="11" s="1"/>
  <c r="H188" i="11" s="1"/>
  <c r="D254" i="11"/>
  <c r="C254" i="11" s="1"/>
  <c r="H254" i="11" s="1"/>
  <c r="I1451" i="1"/>
  <c r="M1451" i="1" s="1"/>
  <c r="M1450" i="1"/>
  <c r="W1292" i="1"/>
  <c r="C1292" i="1" s="1"/>
  <c r="L1292" i="1" s="1"/>
  <c r="W1290" i="1"/>
  <c r="C1290" i="1" s="1"/>
  <c r="L1290" i="1" s="1"/>
  <c r="X1289" i="1"/>
  <c r="X1291" i="1"/>
  <c r="N958" i="1"/>
  <c r="X990" i="1"/>
  <c r="E970" i="1"/>
  <c r="E971" i="1" s="1"/>
  <c r="E1045" i="1"/>
  <c r="E1046" i="1" s="1"/>
  <c r="E1047" i="1" s="1"/>
  <c r="L1047" i="1" s="1"/>
  <c r="W932" i="1"/>
  <c r="C932" i="1" s="1"/>
  <c r="X931" i="1"/>
  <c r="X930" i="1"/>
  <c r="W933" i="1"/>
  <c r="C933" i="1" s="1"/>
  <c r="X977" i="1"/>
  <c r="X976" i="1"/>
  <c r="X932" i="1"/>
  <c r="X933" i="1"/>
  <c r="X972" i="1"/>
  <c r="X971" i="1"/>
  <c r="P936" i="1"/>
  <c r="P935" i="1"/>
  <c r="M265" i="1"/>
  <c r="N266" i="1" s="1"/>
  <c r="D294" i="11" s="1"/>
  <c r="M473" i="1"/>
  <c r="M524" i="1"/>
  <c r="M600" i="1"/>
  <c r="M636" i="1"/>
  <c r="M462" i="1"/>
  <c r="M529" i="1"/>
  <c r="M596" i="1"/>
  <c r="M1632" i="1"/>
  <c r="M522" i="1"/>
  <c r="M595" i="1"/>
  <c r="M528" i="1"/>
  <c r="M122" i="1"/>
  <c r="M498" i="1"/>
  <c r="M525" i="1"/>
  <c r="M1400" i="1"/>
  <c r="M134" i="1"/>
  <c r="M174" i="1"/>
  <c r="M526" i="1"/>
  <c r="M552" i="1"/>
  <c r="M71" i="1"/>
  <c r="M157" i="1"/>
  <c r="M500" i="1"/>
  <c r="H164" i="1"/>
  <c r="H165" i="1" s="1"/>
  <c r="M163" i="1"/>
  <c r="M213" i="1"/>
  <c r="M502" i="1"/>
  <c r="M499" i="1"/>
  <c r="M550" i="1"/>
  <c r="M633" i="1"/>
  <c r="C418" i="1"/>
  <c r="M74" i="1"/>
  <c r="M497" i="1"/>
  <c r="M551" i="1"/>
  <c r="M549" i="1"/>
  <c r="H1618" i="1"/>
  <c r="M1618" i="1" s="1"/>
  <c r="M198" i="1"/>
  <c r="N974" i="1"/>
  <c r="E976" i="1"/>
  <c r="N975" i="1"/>
  <c r="L966" i="1"/>
  <c r="E960" i="1"/>
  <c r="N959" i="1"/>
  <c r="N943" i="1"/>
  <c r="E944" i="1"/>
  <c r="N930" i="1"/>
  <c r="F594" i="1"/>
  <c r="M594" i="1" s="1"/>
  <c r="F593" i="1"/>
  <c r="M593" i="1" s="1"/>
  <c r="E932" i="1"/>
  <c r="N931" i="1"/>
  <c r="F583" i="1"/>
  <c r="F584" i="1"/>
  <c r="G584" i="1"/>
  <c r="G583" i="1"/>
  <c r="J193" i="1"/>
  <c r="I210" i="1"/>
  <c r="I579" i="1"/>
  <c r="K210" i="1"/>
  <c r="H565" i="1"/>
  <c r="M565" i="1" s="1"/>
  <c r="K193" i="1"/>
  <c r="H192" i="1"/>
  <c r="H554" i="1"/>
  <c r="M554" i="1" s="1"/>
  <c r="I193" i="1"/>
  <c r="I556" i="1"/>
  <c r="H513" i="1"/>
  <c r="I164" i="1"/>
  <c r="I513" i="1"/>
  <c r="K164" i="1"/>
  <c r="J164" i="1"/>
  <c r="J135" i="1"/>
  <c r="J475" i="1" s="1"/>
  <c r="J474" i="1"/>
  <c r="K135" i="1"/>
  <c r="K475" i="1" s="1"/>
  <c r="K474" i="1"/>
  <c r="J123" i="1"/>
  <c r="J463" i="1"/>
  <c r="K123" i="1"/>
  <c r="K463" i="1"/>
  <c r="H126" i="1"/>
  <c r="D305" i="11" l="1"/>
  <c r="C305" i="11" s="1"/>
  <c r="H305" i="11" s="1"/>
  <c r="C294" i="11"/>
  <c r="L1371" i="1"/>
  <c r="L1372" i="1" s="1"/>
  <c r="H256" i="11"/>
  <c r="H262" i="11" s="1"/>
  <c r="H185" i="11"/>
  <c r="C1421" i="1"/>
  <c r="M1420" i="1"/>
  <c r="H190" i="11"/>
  <c r="D296" i="11"/>
  <c r="D298" i="11"/>
  <c r="C298" i="11" s="1"/>
  <c r="H298" i="11" s="1"/>
  <c r="D306" i="11"/>
  <c r="C306" i="11" s="1"/>
  <c r="H306" i="11" s="1"/>
  <c r="D301" i="11"/>
  <c r="C301" i="11" s="1"/>
  <c r="H301" i="11" s="1"/>
  <c r="D297" i="11"/>
  <c r="C297" i="11" s="1"/>
  <c r="H297" i="11" s="1"/>
  <c r="D304" i="11"/>
  <c r="C304" i="11" s="1"/>
  <c r="H304" i="11" s="1"/>
  <c r="N640" i="1"/>
  <c r="N970" i="1"/>
  <c r="L1046" i="1"/>
  <c r="N1045" i="1"/>
  <c r="W937" i="1"/>
  <c r="C937" i="1" s="1"/>
  <c r="L937" i="1" s="1"/>
  <c r="X936" i="1"/>
  <c r="X935" i="1"/>
  <c r="W938" i="1"/>
  <c r="C938" i="1" s="1"/>
  <c r="L938" i="1" s="1"/>
  <c r="X938" i="1"/>
  <c r="X937" i="1"/>
  <c r="M513" i="1"/>
  <c r="M474" i="1"/>
  <c r="H515" i="1"/>
  <c r="M164" i="1"/>
  <c r="H1079" i="1"/>
  <c r="P1080" i="1" s="1"/>
  <c r="M192" i="1"/>
  <c r="M135" i="1"/>
  <c r="M463" i="1"/>
  <c r="M584" i="1"/>
  <c r="M475" i="1"/>
  <c r="M123" i="1"/>
  <c r="M583" i="1"/>
  <c r="F972" i="1"/>
  <c r="F976" i="1"/>
  <c r="F977" i="1" s="1"/>
  <c r="E977" i="1"/>
  <c r="E972" i="1"/>
  <c r="L971" i="1"/>
  <c r="E961" i="1"/>
  <c r="L961" i="1" s="1"/>
  <c r="L960" i="1"/>
  <c r="E945" i="1"/>
  <c r="L945" i="1" s="1"/>
  <c r="L944" i="1"/>
  <c r="I581" i="1"/>
  <c r="I1626" i="1"/>
  <c r="I558" i="1"/>
  <c r="I1616" i="1"/>
  <c r="H517" i="1"/>
  <c r="H1600" i="1"/>
  <c r="L932" i="1"/>
  <c r="E933" i="1"/>
  <c r="L933" i="1" s="1"/>
  <c r="H556" i="1"/>
  <c r="M556" i="1" s="1"/>
  <c r="H193" i="1"/>
  <c r="I165" i="1"/>
  <c r="I515" i="1"/>
  <c r="J165" i="1"/>
  <c r="K165" i="1"/>
  <c r="K124" i="1"/>
  <c r="K464" i="1"/>
  <c r="J124" i="1"/>
  <c r="J464" i="1"/>
  <c r="H127" i="1"/>
  <c r="I19" i="27"/>
  <c r="H19" i="27"/>
  <c r="R19" i="27"/>
  <c r="I37" i="21"/>
  <c r="E61" i="12"/>
  <c r="F609" i="11"/>
  <c r="D300" i="11" l="1"/>
  <c r="C300" i="11" s="1"/>
  <c r="H300" i="11" s="1"/>
  <c r="C296" i="11"/>
  <c r="H296" i="11" s="1"/>
  <c r="H191" i="11"/>
  <c r="H307" i="11"/>
  <c r="C1422" i="1"/>
  <c r="M1421" i="1"/>
  <c r="D299" i="11"/>
  <c r="C299" i="11" s="1"/>
  <c r="H299" i="11" s="1"/>
  <c r="N1378" i="1"/>
  <c r="X1085" i="1"/>
  <c r="X1081" i="1"/>
  <c r="X1083" i="1"/>
  <c r="X1084" i="1"/>
  <c r="M165" i="1"/>
  <c r="L972" i="1"/>
  <c r="M464" i="1"/>
  <c r="M124" i="1"/>
  <c r="H962" i="1"/>
  <c r="P963" i="1" s="1"/>
  <c r="M515" i="1"/>
  <c r="H1616" i="1"/>
  <c r="M1616" i="1" s="1"/>
  <c r="M193" i="1"/>
  <c r="L976" i="1"/>
  <c r="L977" i="1"/>
  <c r="I517" i="1"/>
  <c r="M517" i="1" s="1"/>
  <c r="I1600" i="1"/>
  <c r="H558" i="1"/>
  <c r="M558" i="1" s="1"/>
  <c r="J125" i="1"/>
  <c r="J465" i="1"/>
  <c r="K125" i="1"/>
  <c r="K465" i="1"/>
  <c r="H128" i="1"/>
  <c r="H302" i="11" l="1"/>
  <c r="H308" i="11" s="1"/>
  <c r="C1423" i="1"/>
  <c r="C1424" i="1" s="1"/>
  <c r="M1424" i="1" s="1"/>
  <c r="M1422" i="1"/>
  <c r="N1373" i="1"/>
  <c r="N1171" i="1" s="1"/>
  <c r="X965" i="1"/>
  <c r="X966" i="1"/>
  <c r="M125" i="1"/>
  <c r="M465" i="1"/>
  <c r="K126" i="1"/>
  <c r="K466" i="1"/>
  <c r="J126" i="1"/>
  <c r="J466" i="1"/>
  <c r="M126" i="1" l="1"/>
  <c r="M466" i="1"/>
  <c r="J127" i="1"/>
  <c r="J467" i="1"/>
  <c r="K127" i="1"/>
  <c r="K467" i="1"/>
  <c r="M467" i="1" l="1"/>
  <c r="M127" i="1"/>
  <c r="K128" i="1"/>
  <c r="K469" i="1" s="1"/>
  <c r="K468" i="1"/>
  <c r="J128" i="1"/>
  <c r="J468" i="1"/>
  <c r="M128" i="1" l="1"/>
  <c r="M468" i="1"/>
  <c r="J469" i="1"/>
  <c r="M469" i="1" s="1"/>
  <c r="K1663" i="1"/>
  <c r="E1662" i="1"/>
  <c r="E1663" i="1" s="1"/>
  <c r="C1662" i="1"/>
  <c r="C1663" i="1" s="1"/>
  <c r="G1662" i="1"/>
  <c r="G1663" i="1" s="1"/>
  <c r="F1662" i="1"/>
  <c r="F1663" i="1" s="1"/>
  <c r="E1661" i="1"/>
  <c r="C1661" i="1"/>
  <c r="G1661" i="1"/>
  <c r="F1661" i="1"/>
  <c r="G1658" i="1"/>
  <c r="G1660" i="1" s="1"/>
  <c r="F1658" i="1"/>
  <c r="F1660" i="1" s="1"/>
  <c r="K1657" i="1"/>
  <c r="K1659" i="1" s="1"/>
  <c r="J1657" i="1"/>
  <c r="J1659" i="1" s="1"/>
  <c r="G1657" i="1"/>
  <c r="G1659" i="1" s="1"/>
  <c r="F1657" i="1"/>
  <c r="F1659" i="1" s="1"/>
  <c r="E1657" i="1"/>
  <c r="E1658" i="1" s="1"/>
  <c r="E1660" i="1" s="1"/>
  <c r="C1657" i="1"/>
  <c r="E1659" i="1" l="1"/>
  <c r="M1657" i="1"/>
  <c r="C1658" i="1"/>
  <c r="C1660" i="1" s="1"/>
  <c r="M1663" i="1"/>
  <c r="C1659" i="1"/>
  <c r="J1658" i="1"/>
  <c r="J1660" i="1" s="1"/>
  <c r="J1661" i="1" s="1"/>
  <c r="J1662" i="1" s="1"/>
  <c r="K1658" i="1"/>
  <c r="K1660" i="1" s="1"/>
  <c r="K1661" i="1" s="1"/>
  <c r="K1662" i="1" s="1"/>
  <c r="M1659" i="1" l="1"/>
  <c r="M1662" i="1"/>
  <c r="M1661" i="1"/>
  <c r="M1660" i="1"/>
  <c r="M1658" i="1"/>
  <c r="M31" i="21" l="1"/>
  <c r="M30" i="21"/>
  <c r="K30" i="21"/>
  <c r="H16" i="21" l="1"/>
  <c r="H15" i="21"/>
  <c r="F620" i="11"/>
  <c r="F617" i="11"/>
  <c r="F616" i="11"/>
  <c r="F615" i="11"/>
  <c r="F602" i="11"/>
  <c r="F601" i="11"/>
  <c r="F598" i="11"/>
  <c r="F597" i="11"/>
  <c r="F596" i="11"/>
  <c r="F595" i="11"/>
  <c r="F594" i="11"/>
  <c r="F587" i="11"/>
  <c r="F586" i="11"/>
  <c r="F583" i="11"/>
  <c r="F582" i="11"/>
  <c r="F581" i="11"/>
  <c r="F580" i="11"/>
  <c r="F579" i="11"/>
  <c r="F578" i="11"/>
  <c r="F572" i="11"/>
  <c r="F571" i="11"/>
  <c r="F568" i="11"/>
  <c r="F567" i="11"/>
  <c r="F566" i="11"/>
  <c r="F565" i="11"/>
  <c r="F564" i="11"/>
  <c r="F558" i="11"/>
  <c r="F555" i="11"/>
  <c r="F549" i="11"/>
  <c r="F546" i="11"/>
  <c r="F545" i="11"/>
  <c r="F544" i="11"/>
  <c r="F543" i="11"/>
  <c r="F542" i="11"/>
  <c r="F541" i="11"/>
  <c r="F534" i="11"/>
  <c r="F531" i="11"/>
  <c r="H531" i="11" s="1"/>
  <c r="F530" i="11"/>
  <c r="F527" i="11"/>
  <c r="F521" i="11"/>
  <c r="F520" i="11"/>
  <c r="F516" i="11"/>
  <c r="F515" i="11"/>
  <c r="F509" i="11"/>
  <c r="F508" i="11"/>
  <c r="F505" i="11"/>
  <c r="F504" i="11"/>
  <c r="F503" i="11"/>
  <c r="F502" i="11"/>
  <c r="F496" i="11"/>
  <c r="F495" i="11"/>
  <c r="F492" i="11"/>
  <c r="F491" i="11"/>
  <c r="F490" i="11"/>
  <c r="F483" i="11"/>
  <c r="F482" i="11"/>
  <c r="F478" i="11"/>
  <c r="F477" i="11"/>
  <c r="F476" i="11"/>
  <c r="F388" i="11"/>
  <c r="F387" i="11"/>
  <c r="F384" i="11"/>
  <c r="F383" i="11"/>
  <c r="F375" i="11"/>
  <c r="F374" i="11"/>
  <c r="F369" i="11"/>
  <c r="F96" i="11"/>
  <c r="F95" i="11"/>
  <c r="F91" i="11"/>
  <c r="F90" i="11"/>
  <c r="F89" i="11"/>
  <c r="F82" i="11"/>
  <c r="F79" i="11"/>
  <c r="F72" i="11"/>
  <c r="F71" i="11"/>
  <c r="F68" i="11"/>
  <c r="F67" i="11"/>
  <c r="F66" i="11"/>
  <c r="F60" i="11"/>
  <c r="F59" i="11"/>
  <c r="F56" i="11"/>
  <c r="F55" i="11"/>
  <c r="F26" i="11"/>
  <c r="F8" i="11"/>
  <c r="E77" i="12"/>
  <c r="E76" i="12"/>
  <c r="E75" i="12"/>
  <c r="E74" i="12"/>
  <c r="E73" i="12"/>
  <c r="E8" i="12"/>
  <c r="E9" i="12"/>
  <c r="E10" i="12"/>
  <c r="E11" i="12"/>
  <c r="E12" i="12"/>
  <c r="E13" i="12"/>
  <c r="E19" i="12"/>
  <c r="E20" i="12"/>
  <c r="E21" i="12"/>
  <c r="E22" i="12"/>
  <c r="E33" i="12"/>
  <c r="E35" i="12"/>
  <c r="E36" i="12"/>
  <c r="E37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4" i="12"/>
  <c r="E65" i="12"/>
  <c r="C24" i="27"/>
  <c r="C23" i="27"/>
  <c r="E20" i="27"/>
  <c r="C20" i="27"/>
  <c r="K20" i="27"/>
  <c r="J20" i="27"/>
  <c r="I20" i="27"/>
  <c r="H20" i="27"/>
  <c r="E18" i="27"/>
  <c r="E24" i="27" s="1"/>
  <c r="F18" i="27"/>
  <c r="F24" i="27" s="1"/>
  <c r="G13" i="27"/>
  <c r="G17" i="27" s="1"/>
  <c r="G23" i="27" s="1"/>
  <c r="G27" i="27" s="1"/>
  <c r="G14" i="27"/>
  <c r="G18" i="27" s="1"/>
  <c r="G24" i="27" s="1"/>
  <c r="G28" i="27" s="1"/>
  <c r="E14" i="27"/>
  <c r="F14" i="27"/>
  <c r="E13" i="27"/>
  <c r="E17" i="27" s="1"/>
  <c r="E23" i="27" s="1"/>
  <c r="K10" i="27"/>
  <c r="J10" i="27"/>
  <c r="I10" i="27"/>
  <c r="H10" i="27"/>
  <c r="H14" i="27" s="1"/>
  <c r="C10" i="27"/>
  <c r="C14" i="27" s="1"/>
  <c r="S15" i="27"/>
  <c r="F9" i="27"/>
  <c r="M9" i="27" s="1"/>
  <c r="R9" i="27"/>
  <c r="F64" i="12"/>
  <c r="F65" i="12"/>
  <c r="M90" i="11" l="1"/>
  <c r="M91" i="11"/>
  <c r="M95" i="11"/>
  <c r="M96" i="11"/>
  <c r="M89" i="11"/>
  <c r="M24" i="27"/>
  <c r="F28" i="27"/>
  <c r="M28" i="27" s="1"/>
  <c r="H18" i="27"/>
  <c r="M10" i="27"/>
  <c r="N8" i="27" s="1"/>
  <c r="M20" i="27"/>
  <c r="I14" i="27"/>
  <c r="I18" i="27" s="1"/>
  <c r="M18" i="27" s="1"/>
  <c r="M14" i="27" l="1"/>
  <c r="G555" i="11" l="1"/>
  <c r="B553" i="11"/>
  <c r="G541" i="11"/>
  <c r="K1695" i="1"/>
  <c r="J1695" i="1"/>
  <c r="M1695" i="1" l="1"/>
  <c r="K1959" i="1"/>
  <c r="J1959" i="1"/>
  <c r="E1959" i="1"/>
  <c r="C1959" i="1"/>
  <c r="G1949" i="1"/>
  <c r="F1949" i="1"/>
  <c r="E1949" i="1"/>
  <c r="F1948" i="1"/>
  <c r="E1948" i="1"/>
  <c r="E1951" i="1"/>
  <c r="M1959" i="1" l="1"/>
  <c r="K1896" i="1"/>
  <c r="J1896" i="1"/>
  <c r="G1896" i="1"/>
  <c r="F1896" i="1"/>
  <c r="E1896" i="1"/>
  <c r="C1896" i="1"/>
  <c r="G1878" i="1"/>
  <c r="E1878" i="1"/>
  <c r="E1675" i="1"/>
  <c r="E1672" i="1"/>
  <c r="K1642" i="1"/>
  <c r="J1642" i="1"/>
  <c r="C1642" i="1"/>
  <c r="G1637" i="1"/>
  <c r="K1636" i="1"/>
  <c r="K1637" i="1" s="1"/>
  <c r="G1596" i="1"/>
  <c r="F1596" i="1"/>
  <c r="J1609" i="1"/>
  <c r="K1609" i="1"/>
  <c r="C1608" i="1"/>
  <c r="F1592" i="1"/>
  <c r="F1590" i="1"/>
  <c r="G1594" i="1"/>
  <c r="G1592" i="1"/>
  <c r="E1590" i="1"/>
  <c r="E1592" i="1" s="1"/>
  <c r="E1594" i="1" s="1"/>
  <c r="E1596" i="1" s="1"/>
  <c r="E1598" i="1" s="1"/>
  <c r="E1600" i="1" s="1"/>
  <c r="E1602" i="1" s="1"/>
  <c r="E1604" i="1" s="1"/>
  <c r="C1590" i="1"/>
  <c r="E1589" i="1"/>
  <c r="E1591" i="1" s="1"/>
  <c r="E1593" i="1" s="1"/>
  <c r="E1595" i="1" s="1"/>
  <c r="E1597" i="1" s="1"/>
  <c r="E1599" i="1" s="1"/>
  <c r="E1601" i="1" s="1"/>
  <c r="E1603" i="1" s="1"/>
  <c r="C1589" i="1"/>
  <c r="G1590" i="1"/>
  <c r="K1586" i="1"/>
  <c r="C1585" i="1"/>
  <c r="G1885" i="1"/>
  <c r="G1884" i="1"/>
  <c r="E1680" i="1"/>
  <c r="C1680" i="1"/>
  <c r="E1485" i="1"/>
  <c r="K1482" i="1"/>
  <c r="K1483" i="1" s="1"/>
  <c r="J1482" i="1"/>
  <c r="H1460" i="1"/>
  <c r="I1460" i="1"/>
  <c r="J1460" i="1"/>
  <c r="F1461" i="1"/>
  <c r="F1462" i="1" s="1"/>
  <c r="G1461" i="1"/>
  <c r="G1462" i="1" s="1"/>
  <c r="H1461" i="1"/>
  <c r="H1462" i="1" s="1"/>
  <c r="I1461" i="1"/>
  <c r="I1462" i="1" s="1"/>
  <c r="H1463" i="1"/>
  <c r="I1463" i="1"/>
  <c r="J1463" i="1"/>
  <c r="J1470" i="1" s="1"/>
  <c r="M1470" i="1" s="1"/>
  <c r="H1466" i="1"/>
  <c r="I1466" i="1"/>
  <c r="J1466" i="1"/>
  <c r="H1445" i="1"/>
  <c r="H1439" i="1"/>
  <c r="H1440" i="1"/>
  <c r="F1441" i="1"/>
  <c r="G1441" i="1"/>
  <c r="H1441" i="1"/>
  <c r="H1442" i="1"/>
  <c r="H1438" i="1"/>
  <c r="Q1680" i="1" l="1"/>
  <c r="M1896" i="1"/>
  <c r="M1680" i="1"/>
  <c r="N1682" i="1" s="1"/>
  <c r="J1483" i="1"/>
  <c r="M1483" i="1" s="1"/>
  <c r="M1482" i="1"/>
  <c r="M1462" i="1"/>
  <c r="E1516" i="1"/>
  <c r="C1591" i="1"/>
  <c r="M1591" i="1" s="1"/>
  <c r="M1589" i="1"/>
  <c r="C1609" i="1"/>
  <c r="E1902" i="1"/>
  <c r="E1682" i="1"/>
  <c r="C1586" i="1"/>
  <c r="C1592" i="1"/>
  <c r="J1467" i="1"/>
  <c r="C1675" i="1"/>
  <c r="F1885" i="1"/>
  <c r="N1912" i="1"/>
  <c r="E1884" i="1"/>
  <c r="E1885" i="1"/>
  <c r="C1885" i="1"/>
  <c r="C1884" i="1"/>
  <c r="M1675" i="1" l="1"/>
  <c r="Q1675" i="1"/>
  <c r="M1467" i="1"/>
  <c r="J1469" i="1"/>
  <c r="M1469" i="1" s="1"/>
  <c r="C1593" i="1"/>
  <c r="M1884" i="1"/>
  <c r="M1885" i="1"/>
  <c r="C1594" i="1"/>
  <c r="C1611" i="1"/>
  <c r="J1586" i="1"/>
  <c r="K1484" i="1"/>
  <c r="K1490" i="1"/>
  <c r="K1489" i="1"/>
  <c r="K1494" i="1" s="1"/>
  <c r="M1494" i="1" s="1"/>
  <c r="J1489" i="1"/>
  <c r="E1886" i="1"/>
  <c r="C1596" i="1" l="1"/>
  <c r="C1595" i="1"/>
  <c r="M1611" i="1"/>
  <c r="C1613" i="1"/>
  <c r="M1489" i="1"/>
  <c r="K1491" i="1"/>
  <c r="J1484" i="1"/>
  <c r="M1484" i="1" s="1"/>
  <c r="J1471" i="1"/>
  <c r="M1471" i="1" s="1"/>
  <c r="M1613" i="1" l="1"/>
  <c r="C1615" i="1"/>
  <c r="C1597" i="1"/>
  <c r="M1595" i="1"/>
  <c r="C1598" i="1"/>
  <c r="J1490" i="1"/>
  <c r="M1490" i="1" s="1"/>
  <c r="J1472" i="1"/>
  <c r="M1472" i="1" s="1"/>
  <c r="M1598" i="1" l="1"/>
  <c r="C1600" i="1"/>
  <c r="M1597" i="1"/>
  <c r="C1599" i="1"/>
  <c r="M1615" i="1"/>
  <c r="C1617" i="1"/>
  <c r="M1617" i="1" s="1"/>
  <c r="J1491" i="1"/>
  <c r="M1491" i="1" s="1"/>
  <c r="M1599" i="1" l="1"/>
  <c r="C1601" i="1"/>
  <c r="M1600" i="1"/>
  <c r="C1602" i="1"/>
  <c r="G843" i="1"/>
  <c r="G853" i="1" s="1"/>
  <c r="N853" i="1" s="1"/>
  <c r="C843" i="1"/>
  <c r="C837" i="1"/>
  <c r="J666" i="1"/>
  <c r="M666" i="1" s="1"/>
  <c r="K659" i="1"/>
  <c r="G659" i="1"/>
  <c r="K658" i="1"/>
  <c r="E617" i="1"/>
  <c r="E619" i="1"/>
  <c r="I616" i="1"/>
  <c r="G616" i="1"/>
  <c r="E608" i="1"/>
  <c r="C607" i="1"/>
  <c r="G456" i="1"/>
  <c r="E456" i="1"/>
  <c r="K439" i="1"/>
  <c r="K438" i="1"/>
  <c r="K426" i="1"/>
  <c r="K427" i="1" s="1"/>
  <c r="M1602" i="1" l="1"/>
  <c r="C1604" i="1"/>
  <c r="M1604" i="1" s="1"/>
  <c r="M1601" i="1"/>
  <c r="C1603" i="1"/>
  <c r="M1603" i="1" s="1"/>
  <c r="G378" i="1"/>
  <c r="G758" i="1" s="1"/>
  <c r="E756" i="1"/>
  <c r="E758" i="1" l="1"/>
  <c r="C1499" i="1"/>
  <c r="L1499" i="1" s="1"/>
  <c r="M374" i="1"/>
  <c r="E757" i="1"/>
  <c r="C756" i="1"/>
  <c r="C1501" i="1"/>
  <c r="L1501" i="1" s="1"/>
  <c r="E765" i="1"/>
  <c r="E754" i="1"/>
  <c r="F765" i="1"/>
  <c r="F754" i="1"/>
  <c r="G765" i="1"/>
  <c r="G754" i="1"/>
  <c r="C754" i="1"/>
  <c r="G351" i="1"/>
  <c r="G732" i="1" s="1"/>
  <c r="F732" i="1"/>
  <c r="E351" i="1"/>
  <c r="C343" i="1"/>
  <c r="C341" i="1"/>
  <c r="K315" i="1"/>
  <c r="J315" i="1"/>
  <c r="H315" i="1"/>
  <c r="H316" i="1" s="1"/>
  <c r="C315" i="1"/>
  <c r="E324" i="1"/>
  <c r="C322" i="1"/>
  <c r="E319" i="1"/>
  <c r="E318" i="1"/>
  <c r="K304" i="1"/>
  <c r="J304" i="1"/>
  <c r="H304" i="1"/>
  <c r="J292" i="1"/>
  <c r="E292" i="1"/>
  <c r="L1509" i="1" l="1"/>
  <c r="J305" i="1"/>
  <c r="J686" i="1"/>
  <c r="K305" i="1"/>
  <c r="K686" i="1"/>
  <c r="H305" i="1"/>
  <c r="M304" i="1"/>
  <c r="M292" i="1"/>
  <c r="M351" i="1"/>
  <c r="H317" i="1"/>
  <c r="M315" i="1"/>
  <c r="C1676" i="1"/>
  <c r="E1678" i="1" s="1"/>
  <c r="C1880" i="1"/>
  <c r="M1880" i="1" s="1"/>
  <c r="C722" i="1"/>
  <c r="C724" i="1"/>
  <c r="E700" i="1"/>
  <c r="C704" i="1"/>
  <c r="E706" i="1"/>
  <c r="E701" i="1"/>
  <c r="C697" i="1"/>
  <c r="K697" i="1"/>
  <c r="K316" i="1"/>
  <c r="K317" i="1" s="1"/>
  <c r="K318" i="1" s="1"/>
  <c r="K319" i="1" s="1"/>
  <c r="K320" i="1" s="1"/>
  <c r="K321" i="1" s="1"/>
  <c r="K322" i="1" s="1"/>
  <c r="K324" i="1" s="1"/>
  <c r="J697" i="1"/>
  <c r="J316" i="1"/>
  <c r="J317" i="1" s="1"/>
  <c r="J318" i="1" s="1"/>
  <c r="J319" i="1" s="1"/>
  <c r="J320" i="1" s="1"/>
  <c r="J321" i="1" s="1"/>
  <c r="J322" i="1" s="1"/>
  <c r="E732" i="1"/>
  <c r="I307" i="1"/>
  <c r="H1646" i="1"/>
  <c r="I669" i="1"/>
  <c r="I1646" i="1"/>
  <c r="C669" i="1"/>
  <c r="C1646" i="1"/>
  <c r="E669" i="1"/>
  <c r="E670" i="1" s="1"/>
  <c r="E1646" i="1"/>
  <c r="C765" i="1"/>
  <c r="J670" i="1"/>
  <c r="K732" i="1"/>
  <c r="K670" i="1"/>
  <c r="C347" i="1"/>
  <c r="E728" i="1"/>
  <c r="C345" i="1"/>
  <c r="J732" i="1"/>
  <c r="I375" i="1"/>
  <c r="H375" i="1"/>
  <c r="E291" i="1"/>
  <c r="M291" i="1" s="1"/>
  <c r="J290" i="1"/>
  <c r="H290" i="1"/>
  <c r="F1644" i="1" s="1"/>
  <c r="E1643" i="1"/>
  <c r="C1643" i="1"/>
  <c r="I1641" i="1"/>
  <c r="H289" i="1"/>
  <c r="M289" i="1" s="1"/>
  <c r="G1641" i="1"/>
  <c r="G1642" i="1" s="1"/>
  <c r="F1641" i="1"/>
  <c r="F1642" i="1" s="1"/>
  <c r="K286" i="1"/>
  <c r="K1638" i="1" s="1"/>
  <c r="K1639" i="1" s="1"/>
  <c r="I286" i="1"/>
  <c r="H286" i="1"/>
  <c r="E286" i="1"/>
  <c r="E1638" i="1" s="1"/>
  <c r="E1639" i="1" s="1"/>
  <c r="C286" i="1"/>
  <c r="C1638" i="1" s="1"/>
  <c r="J285" i="1"/>
  <c r="J1636" i="1" s="1"/>
  <c r="J1637" i="1" s="1"/>
  <c r="H285" i="1"/>
  <c r="F1637" i="1" s="1"/>
  <c r="G285" i="1"/>
  <c r="F285" i="1"/>
  <c r="F1636" i="1" s="1"/>
  <c r="E285" i="1"/>
  <c r="C285" i="1"/>
  <c r="C1636" i="1" s="1"/>
  <c r="K271" i="1"/>
  <c r="K272" i="1" s="1"/>
  <c r="K273" i="1" s="1"/>
  <c r="K274" i="1" s="1"/>
  <c r="K277" i="1" s="1"/>
  <c r="K278" i="1" s="1"/>
  <c r="K279" i="1" s="1"/>
  <c r="K280" i="1" s="1"/>
  <c r="J270" i="1"/>
  <c r="J271" i="1" s="1"/>
  <c r="J272" i="1" s="1"/>
  <c r="I270" i="1"/>
  <c r="G619" i="1"/>
  <c r="F619" i="1"/>
  <c r="G618" i="1"/>
  <c r="F618" i="1"/>
  <c r="I617" i="1"/>
  <c r="H617" i="1"/>
  <c r="G617" i="1"/>
  <c r="F617" i="1"/>
  <c r="H616" i="1"/>
  <c r="F616" i="1"/>
  <c r="I609" i="1"/>
  <c r="H609" i="1"/>
  <c r="K237" i="1"/>
  <c r="K238" i="1" s="1"/>
  <c r="K244" i="1" s="1"/>
  <c r="I608" i="1"/>
  <c r="H608" i="1"/>
  <c r="F237" i="1"/>
  <c r="J236" i="1"/>
  <c r="M236" i="1" s="1"/>
  <c r="H607" i="1"/>
  <c r="I607" i="1"/>
  <c r="G607" i="1"/>
  <c r="F607" i="1"/>
  <c r="J206" i="1"/>
  <c r="H206" i="1"/>
  <c r="H203" i="1"/>
  <c r="M203" i="1" s="1"/>
  <c r="K183" i="1"/>
  <c r="I183" i="1"/>
  <c r="J182" i="1"/>
  <c r="H182" i="1"/>
  <c r="H178" i="1"/>
  <c r="M178" i="1" s="1"/>
  <c r="H150" i="1"/>
  <c r="H1003" i="1" s="1"/>
  <c r="C150" i="1"/>
  <c r="H147" i="1"/>
  <c r="E147" i="1"/>
  <c r="J144" i="1"/>
  <c r="H144" i="1"/>
  <c r="H139" i="1"/>
  <c r="G457" i="1"/>
  <c r="C116" i="1"/>
  <c r="G1458" i="1"/>
  <c r="G1459" i="1" s="1"/>
  <c r="J20" i="1"/>
  <c r="I20" i="1"/>
  <c r="H20" i="1"/>
  <c r="F20" i="1"/>
  <c r="F1458" i="1" s="1"/>
  <c r="M1676" i="1" l="1"/>
  <c r="N1678" i="1" s="1"/>
  <c r="D528" i="11" s="1"/>
  <c r="C528" i="11" s="1"/>
  <c r="H528" i="11" s="1"/>
  <c r="Q1676" i="1"/>
  <c r="I1059" i="1"/>
  <c r="I1048" i="1"/>
  <c r="H1007" i="1"/>
  <c r="P1008" i="1" s="1"/>
  <c r="P1004" i="1"/>
  <c r="X1006" i="1" s="1"/>
  <c r="M686" i="1"/>
  <c r="J306" i="1"/>
  <c r="J687" i="1"/>
  <c r="M305" i="1"/>
  <c r="K306" i="1"/>
  <c r="K687" i="1"/>
  <c r="H306" i="1"/>
  <c r="M150" i="1"/>
  <c r="M206" i="1"/>
  <c r="M272" i="1"/>
  <c r="M270" i="1"/>
  <c r="M144" i="1"/>
  <c r="M147" i="1"/>
  <c r="M182" i="1"/>
  <c r="M697" i="1"/>
  <c r="M732" i="1"/>
  <c r="M1458" i="1"/>
  <c r="M316" i="1"/>
  <c r="H1590" i="1"/>
  <c r="M1590" i="1" s="1"/>
  <c r="M139" i="1"/>
  <c r="C670" i="1"/>
  <c r="M669" i="1"/>
  <c r="H318" i="1"/>
  <c r="M317" i="1"/>
  <c r="C726" i="1"/>
  <c r="C728" i="1"/>
  <c r="I643" i="1"/>
  <c r="M643" i="1" s="1"/>
  <c r="H1624" i="1"/>
  <c r="M1624" i="1" s="1"/>
  <c r="H1097" i="1"/>
  <c r="P1098" i="1" s="1"/>
  <c r="H539" i="1"/>
  <c r="M539" i="1" s="1"/>
  <c r="H1054" i="1"/>
  <c r="P1055" i="1" s="1"/>
  <c r="H534" i="1"/>
  <c r="M534" i="1" s="1"/>
  <c r="H1043" i="1"/>
  <c r="P1044" i="1" s="1"/>
  <c r="C493" i="1"/>
  <c r="C1003" i="1"/>
  <c r="F1593" i="1"/>
  <c r="E997" i="1"/>
  <c r="H1594" i="1"/>
  <c r="H1596" i="1" s="1"/>
  <c r="H997" i="1"/>
  <c r="P998" i="1" s="1"/>
  <c r="E117" i="1"/>
  <c r="C951" i="1"/>
  <c r="E952" i="1" s="1"/>
  <c r="J665" i="1"/>
  <c r="J1644" i="1"/>
  <c r="M1644" i="1" s="1"/>
  <c r="H1592" i="1"/>
  <c r="M1592" i="1" s="1"/>
  <c r="F1459" i="1"/>
  <c r="M1459" i="1" s="1"/>
  <c r="J738" i="1"/>
  <c r="K738" i="1"/>
  <c r="H1641" i="1"/>
  <c r="H663" i="1"/>
  <c r="H570" i="1"/>
  <c r="M570" i="1" s="1"/>
  <c r="H207" i="1"/>
  <c r="H573" i="1"/>
  <c r="M573" i="1" s="1"/>
  <c r="J207" i="1"/>
  <c r="I184" i="1"/>
  <c r="I1064" i="1" s="1"/>
  <c r="I541" i="1"/>
  <c r="K184" i="1"/>
  <c r="H151" i="1"/>
  <c r="M151" i="1" s="1"/>
  <c r="H493" i="1"/>
  <c r="E489" i="1"/>
  <c r="M489" i="1" s="1"/>
  <c r="E490" i="1"/>
  <c r="H490" i="1"/>
  <c r="H487" i="1"/>
  <c r="M487" i="1" s="1"/>
  <c r="H480" i="1"/>
  <c r="M480" i="1" s="1"/>
  <c r="E152" i="1"/>
  <c r="C492" i="1"/>
  <c r="M492" i="1" s="1"/>
  <c r="K748" i="1"/>
  <c r="J748" i="1"/>
  <c r="I308" i="1"/>
  <c r="I309" i="1" s="1"/>
  <c r="I310" i="1" s="1"/>
  <c r="I311" i="1" s="1"/>
  <c r="I312" i="1" s="1"/>
  <c r="K699" i="1"/>
  <c r="J699" i="1"/>
  <c r="I271" i="1"/>
  <c r="M271" i="1" s="1"/>
  <c r="K239" i="1"/>
  <c r="K240" i="1" s="1"/>
  <c r="K241" i="1" s="1"/>
  <c r="J237" i="1"/>
  <c r="J238" i="1" s="1"/>
  <c r="K245" i="1"/>
  <c r="K246" i="1" s="1"/>
  <c r="K247" i="1" s="1"/>
  <c r="F661" i="1"/>
  <c r="F1639" i="1"/>
  <c r="E1641" i="1"/>
  <c r="E667" i="1"/>
  <c r="E668" i="1" s="1"/>
  <c r="E1645" i="1"/>
  <c r="G661" i="1"/>
  <c r="G1639" i="1"/>
  <c r="H667" i="1"/>
  <c r="H1645" i="1"/>
  <c r="C1639" i="1"/>
  <c r="I667" i="1"/>
  <c r="I1645" i="1"/>
  <c r="C1641" i="1"/>
  <c r="C667" i="1"/>
  <c r="C1645" i="1"/>
  <c r="G1636" i="1"/>
  <c r="C1637" i="1"/>
  <c r="E1636" i="1"/>
  <c r="E1637" i="1" s="1"/>
  <c r="F1439" i="1"/>
  <c r="G1439" i="1"/>
  <c r="E1439" i="1"/>
  <c r="E607" i="1"/>
  <c r="M607" i="1" s="1"/>
  <c r="C608" i="1"/>
  <c r="C609" i="1"/>
  <c r="C616" i="1"/>
  <c r="C617" i="1"/>
  <c r="M617" i="1" s="1"/>
  <c r="E609" i="1"/>
  <c r="E616" i="1"/>
  <c r="C618" i="1"/>
  <c r="E618" i="1"/>
  <c r="F659" i="1"/>
  <c r="C619" i="1"/>
  <c r="C458" i="1"/>
  <c r="E458" i="1"/>
  <c r="H115" i="1"/>
  <c r="C457" i="1"/>
  <c r="I116" i="1"/>
  <c r="I951" i="1" s="1"/>
  <c r="E457" i="1"/>
  <c r="C659" i="1"/>
  <c r="C658" i="1"/>
  <c r="E663" i="1"/>
  <c r="J698" i="1"/>
  <c r="E659" i="1"/>
  <c r="E658" i="1"/>
  <c r="J286" i="1"/>
  <c r="J1638" i="1" s="1"/>
  <c r="J1639" i="1" s="1"/>
  <c r="J659" i="1"/>
  <c r="J658" i="1"/>
  <c r="F286" i="1"/>
  <c r="F658" i="1"/>
  <c r="C660" i="1"/>
  <c r="C661" i="1"/>
  <c r="K661" i="1"/>
  <c r="K660" i="1"/>
  <c r="K698" i="1"/>
  <c r="G286" i="1"/>
  <c r="G658" i="1"/>
  <c r="E661" i="1"/>
  <c r="E660" i="1"/>
  <c r="C663" i="1"/>
  <c r="H619" i="1"/>
  <c r="H618" i="1"/>
  <c r="I619" i="1"/>
  <c r="I618" i="1"/>
  <c r="F609" i="1"/>
  <c r="F608" i="1"/>
  <c r="G609" i="1"/>
  <c r="G608" i="1"/>
  <c r="H183" i="1"/>
  <c r="H1048" i="1" s="1"/>
  <c r="J183" i="1"/>
  <c r="K179" i="1"/>
  <c r="H179" i="1"/>
  <c r="I179" i="1"/>
  <c r="J179" i="1"/>
  <c r="I1596" i="1"/>
  <c r="J116" i="1"/>
  <c r="J456" i="1"/>
  <c r="F456" i="1"/>
  <c r="K116" i="1"/>
  <c r="K456" i="1"/>
  <c r="G458" i="1"/>
  <c r="J438" i="1"/>
  <c r="J439" i="1"/>
  <c r="I376" i="1"/>
  <c r="H376" i="1"/>
  <c r="F290" i="1"/>
  <c r="G290" i="1"/>
  <c r="G665" i="1" s="1"/>
  <c r="E275" i="1"/>
  <c r="J273" i="1"/>
  <c r="E248" i="1"/>
  <c r="E148" i="1"/>
  <c r="H116" i="1"/>
  <c r="H951" i="1" s="1"/>
  <c r="K115" i="1"/>
  <c r="K457" i="1" s="1"/>
  <c r="F457" i="1"/>
  <c r="J115" i="1"/>
  <c r="J457" i="1" s="1"/>
  <c r="I115" i="1"/>
  <c r="N175" i="1" l="1"/>
  <c r="D207" i="11" s="1"/>
  <c r="P1049" i="1"/>
  <c r="X1051" i="1" s="1"/>
  <c r="X1101" i="1"/>
  <c r="X1100" i="1"/>
  <c r="X1047" i="1"/>
  <c r="X1046" i="1"/>
  <c r="X1058" i="1"/>
  <c r="X1057" i="1"/>
  <c r="E1004" i="1"/>
  <c r="E1005" i="1" s="1"/>
  <c r="R1004" i="1"/>
  <c r="R1005" i="1" s="1"/>
  <c r="R1006" i="1" s="1"/>
  <c r="E953" i="1"/>
  <c r="R952" i="1"/>
  <c r="R953" i="1" s="1"/>
  <c r="R954" i="1" s="1"/>
  <c r="R955" i="1" s="1"/>
  <c r="X1001" i="1"/>
  <c r="X1000" i="1"/>
  <c r="P952" i="1"/>
  <c r="P953" i="1"/>
  <c r="E998" i="1"/>
  <c r="E999" i="1" s="1"/>
  <c r="R998" i="1"/>
  <c r="R999" i="1" s="1"/>
  <c r="R1000" i="1" s="1"/>
  <c r="R1001" i="1" s="1"/>
  <c r="X1011" i="1"/>
  <c r="X1010" i="1"/>
  <c r="M687" i="1"/>
  <c r="J688" i="1"/>
  <c r="J307" i="1"/>
  <c r="M306" i="1"/>
  <c r="K688" i="1"/>
  <c r="K307" i="1"/>
  <c r="H307" i="1"/>
  <c r="M663" i="1"/>
  <c r="M616" i="1"/>
  <c r="M619" i="1"/>
  <c r="M116" i="1"/>
  <c r="M179" i="1"/>
  <c r="M608" i="1"/>
  <c r="M490" i="1"/>
  <c r="M748" i="1"/>
  <c r="J244" i="1"/>
  <c r="M244" i="1" s="1"/>
  <c r="M238" i="1"/>
  <c r="J274" i="1"/>
  <c r="M273" i="1"/>
  <c r="M609" i="1"/>
  <c r="M237" i="1"/>
  <c r="F1594" i="1"/>
  <c r="M1594" i="1" s="1"/>
  <c r="M1593" i="1"/>
  <c r="C668" i="1"/>
  <c r="H575" i="1"/>
  <c r="M575" i="1" s="1"/>
  <c r="M207" i="1"/>
  <c r="M456" i="1"/>
  <c r="M618" i="1"/>
  <c r="M1641" i="1"/>
  <c r="M493" i="1"/>
  <c r="F665" i="1"/>
  <c r="M665" i="1" s="1"/>
  <c r="M290" i="1"/>
  <c r="N293" i="1" s="1"/>
  <c r="D325" i="11" s="1"/>
  <c r="H1059" i="1"/>
  <c r="P1060" i="1" s="1"/>
  <c r="M183" i="1"/>
  <c r="M457" i="1"/>
  <c r="M699" i="1"/>
  <c r="M698" i="1"/>
  <c r="M115" i="1"/>
  <c r="M738" i="1"/>
  <c r="M1596" i="1"/>
  <c r="H319" i="1"/>
  <c r="M318" i="1"/>
  <c r="I644" i="1"/>
  <c r="H946" i="1"/>
  <c r="I946" i="1"/>
  <c r="I536" i="1"/>
  <c r="I1612" i="1"/>
  <c r="H536" i="1"/>
  <c r="H1612" i="1"/>
  <c r="H208" i="1"/>
  <c r="J208" i="1"/>
  <c r="H184" i="1"/>
  <c r="H541" i="1"/>
  <c r="M541" i="1" s="1"/>
  <c r="K185" i="1"/>
  <c r="I185" i="1"/>
  <c r="I1068" i="1" s="1"/>
  <c r="I543" i="1"/>
  <c r="H495" i="1"/>
  <c r="M495" i="1" s="1"/>
  <c r="J239" i="1"/>
  <c r="M239" i="1" s="1"/>
  <c r="J184" i="1"/>
  <c r="G1643" i="1"/>
  <c r="F1643" i="1"/>
  <c r="E1642" i="1"/>
  <c r="M1642" i="1" s="1"/>
  <c r="G660" i="1"/>
  <c r="G1638" i="1"/>
  <c r="F660" i="1"/>
  <c r="F1638" i="1"/>
  <c r="C1439" i="1"/>
  <c r="M1439" i="1" s="1"/>
  <c r="J700" i="1"/>
  <c r="J754" i="1"/>
  <c r="J375" i="1"/>
  <c r="J660" i="1"/>
  <c r="J661" i="1"/>
  <c r="K700" i="1"/>
  <c r="K754" i="1"/>
  <c r="K375" i="1"/>
  <c r="K755" i="1" s="1"/>
  <c r="K458" i="1"/>
  <c r="J458" i="1"/>
  <c r="F458" i="1"/>
  <c r="I377" i="1"/>
  <c r="H377" i="1"/>
  <c r="G1645" i="1"/>
  <c r="F1645" i="1"/>
  <c r="I94" i="1"/>
  <c r="I99" i="1" s="1"/>
  <c r="H85" i="1"/>
  <c r="H94" i="1" s="1"/>
  <c r="H99" i="1" s="1"/>
  <c r="F85" i="1"/>
  <c r="I835" i="1"/>
  <c r="Q836" i="1" s="1"/>
  <c r="X836" i="1" s="1"/>
  <c r="I93" i="1"/>
  <c r="I98" i="1" s="1"/>
  <c r="I103" i="1" s="1"/>
  <c r="H84" i="1"/>
  <c r="H93" i="1" s="1"/>
  <c r="H98" i="1" s="1"/>
  <c r="H103" i="1" s="1"/>
  <c r="F84" i="1"/>
  <c r="J81" i="1"/>
  <c r="J426" i="1" s="1"/>
  <c r="J427" i="1" s="1"/>
  <c r="K70" i="1"/>
  <c r="I70" i="1"/>
  <c r="I414" i="1" s="1"/>
  <c r="H70" i="1"/>
  <c r="H414" i="1" s="1"/>
  <c r="G70" i="1"/>
  <c r="G414" i="1" s="1"/>
  <c r="J63" i="1"/>
  <c r="K63" i="1"/>
  <c r="E63" i="1"/>
  <c r="C63" i="1"/>
  <c r="J61" i="1"/>
  <c r="K61" i="1"/>
  <c r="F61" i="1"/>
  <c r="C61" i="1"/>
  <c r="K60" i="1"/>
  <c r="J60" i="1"/>
  <c r="I60" i="1"/>
  <c r="K58" i="1"/>
  <c r="K59" i="1" s="1"/>
  <c r="J58" i="1"/>
  <c r="G47" i="1"/>
  <c r="G1485" i="1" s="1"/>
  <c r="M1485" i="1" s="1"/>
  <c r="M1509" i="1" s="1"/>
  <c r="N1510" i="1" s="1"/>
  <c r="E1463" i="1"/>
  <c r="K42" i="1"/>
  <c r="K43" i="1" s="1"/>
  <c r="K44" i="1" s="1"/>
  <c r="J39" i="1"/>
  <c r="I39" i="1"/>
  <c r="H39" i="1"/>
  <c r="C35" i="1"/>
  <c r="F35" i="1"/>
  <c r="F81" i="1" s="1"/>
  <c r="E35" i="1"/>
  <c r="E81" i="1" s="1"/>
  <c r="C30" i="1"/>
  <c r="E30" i="1"/>
  <c r="F30" i="1"/>
  <c r="E1466" i="1"/>
  <c r="C1466" i="1"/>
  <c r="G1463" i="1"/>
  <c r="F1463" i="1"/>
  <c r="C1461" i="1"/>
  <c r="M1461" i="1" s="1"/>
  <c r="C1463" i="1"/>
  <c r="E1460" i="1"/>
  <c r="C1456" i="1"/>
  <c r="M1456" i="1" s="1"/>
  <c r="D335" i="11" l="1"/>
  <c r="C335" i="11" s="1"/>
  <c r="H335" i="11" s="1"/>
  <c r="C325" i="11"/>
  <c r="D216" i="11"/>
  <c r="C216" i="11" s="1"/>
  <c r="H216" i="11" s="1"/>
  <c r="C207" i="11"/>
  <c r="N136" i="1"/>
  <c r="D193" i="11" s="1"/>
  <c r="N530" i="1"/>
  <c r="N622" i="1"/>
  <c r="D327" i="11"/>
  <c r="C327" i="11" s="1"/>
  <c r="H327" i="11" s="1"/>
  <c r="D328" i="11"/>
  <c r="C328" i="11" s="1"/>
  <c r="H328" i="11" s="1"/>
  <c r="D329" i="11"/>
  <c r="C329" i="11" s="1"/>
  <c r="H329" i="11" s="1"/>
  <c r="D336" i="11"/>
  <c r="C336" i="11" s="1"/>
  <c r="H336" i="11" s="1"/>
  <c r="D331" i="11"/>
  <c r="C331" i="11" s="1"/>
  <c r="H331" i="11" s="1"/>
  <c r="D334" i="11"/>
  <c r="C334" i="11" s="1"/>
  <c r="H334" i="11" s="1"/>
  <c r="D210" i="11"/>
  <c r="C210" i="11" s="1"/>
  <c r="H210" i="11" s="1"/>
  <c r="D217" i="11"/>
  <c r="C217" i="11" s="1"/>
  <c r="H217" i="11" s="1"/>
  <c r="D211" i="11"/>
  <c r="C211" i="11" s="1"/>
  <c r="H211" i="11" s="1"/>
  <c r="D215" i="11"/>
  <c r="C215" i="11" s="1"/>
  <c r="H215" i="11" s="1"/>
  <c r="D212" i="11"/>
  <c r="C212" i="11" s="1"/>
  <c r="H212" i="11" s="1"/>
  <c r="D209" i="11"/>
  <c r="C209" i="11" s="1"/>
  <c r="H209" i="11" s="1"/>
  <c r="X1052" i="1"/>
  <c r="N1004" i="1"/>
  <c r="X1063" i="1"/>
  <c r="X1062" i="1"/>
  <c r="N952" i="1"/>
  <c r="N998" i="1"/>
  <c r="P948" i="1"/>
  <c r="P947" i="1"/>
  <c r="W954" i="1"/>
  <c r="C954" i="1" s="1"/>
  <c r="X952" i="1"/>
  <c r="W955" i="1"/>
  <c r="C955" i="1" s="1"/>
  <c r="X953" i="1"/>
  <c r="X955" i="1"/>
  <c r="X954" i="1"/>
  <c r="W838" i="1"/>
  <c r="W839" i="1"/>
  <c r="M688" i="1"/>
  <c r="J689" i="1"/>
  <c r="J308" i="1"/>
  <c r="M307" i="1"/>
  <c r="K689" i="1"/>
  <c r="K308" i="1"/>
  <c r="H308" i="1"/>
  <c r="H309" i="1" s="1"/>
  <c r="M1645" i="1"/>
  <c r="M458" i="1"/>
  <c r="N476" i="1" s="1"/>
  <c r="M536" i="1"/>
  <c r="M754" i="1"/>
  <c r="M1643" i="1"/>
  <c r="M700" i="1"/>
  <c r="M39" i="1"/>
  <c r="M61" i="1"/>
  <c r="J755" i="1"/>
  <c r="M755" i="1" s="1"/>
  <c r="M375" i="1"/>
  <c r="M1612" i="1"/>
  <c r="M58" i="1"/>
  <c r="F1575" i="1"/>
  <c r="M1575" i="1" s="1"/>
  <c r="M85" i="1"/>
  <c r="C81" i="1"/>
  <c r="C84" i="1" s="1"/>
  <c r="M63" i="1"/>
  <c r="J277" i="1"/>
  <c r="M274" i="1"/>
  <c r="H1064" i="1"/>
  <c r="P1065" i="1" s="1"/>
  <c r="X1067" i="1" s="1"/>
  <c r="M184" i="1"/>
  <c r="M644" i="1"/>
  <c r="N655" i="1" s="1"/>
  <c r="M1463" i="1"/>
  <c r="H577" i="1"/>
  <c r="M577" i="1" s="1"/>
  <c r="M208" i="1"/>
  <c r="H320" i="1"/>
  <c r="M319" i="1"/>
  <c r="E1006" i="1"/>
  <c r="L1006" i="1" s="1"/>
  <c r="N1005" i="1"/>
  <c r="E1000" i="1"/>
  <c r="N999" i="1"/>
  <c r="E954" i="1"/>
  <c r="N953" i="1"/>
  <c r="H209" i="1"/>
  <c r="F835" i="1"/>
  <c r="F1574" i="1"/>
  <c r="G1516" i="1"/>
  <c r="M1516" i="1" s="1"/>
  <c r="M1538" i="1" s="1"/>
  <c r="C1457" i="1"/>
  <c r="M1457" i="1" s="1"/>
  <c r="E75" i="1"/>
  <c r="E1404" i="1"/>
  <c r="C75" i="1"/>
  <c r="C1404" i="1"/>
  <c r="I72" i="1"/>
  <c r="M1401" i="1"/>
  <c r="C73" i="1"/>
  <c r="M1414" i="1" s="1"/>
  <c r="C1402" i="1"/>
  <c r="F73" i="1"/>
  <c r="F417" i="1" s="1"/>
  <c r="J209" i="1"/>
  <c r="I186" i="1"/>
  <c r="I1073" i="1" s="1"/>
  <c r="I545" i="1"/>
  <c r="K186" i="1"/>
  <c r="H185" i="1"/>
  <c r="H543" i="1"/>
  <c r="M543" i="1" s="1"/>
  <c r="J742" i="1"/>
  <c r="I324" i="1"/>
  <c r="I341" i="1" s="1"/>
  <c r="I342" i="1" s="1"/>
  <c r="I343" i="1" s="1"/>
  <c r="J240" i="1"/>
  <c r="M240" i="1" s="1"/>
  <c r="J245" i="1"/>
  <c r="M245" i="1" s="1"/>
  <c r="J185" i="1"/>
  <c r="E64" i="1"/>
  <c r="J59" i="1"/>
  <c r="M59" i="1" s="1"/>
  <c r="K47" i="1"/>
  <c r="K48" i="1" s="1"/>
  <c r="K49" i="1" s="1"/>
  <c r="K50" i="1" s="1"/>
  <c r="K51" i="1" s="1"/>
  <c r="I40" i="1"/>
  <c r="I41" i="1" s="1"/>
  <c r="I42" i="1" s="1"/>
  <c r="I43" i="1" s="1"/>
  <c r="I44" i="1" s="1"/>
  <c r="J40" i="1"/>
  <c r="J41" i="1" s="1"/>
  <c r="J42" i="1" s="1"/>
  <c r="J43" i="1" s="1"/>
  <c r="J44" i="1" s="1"/>
  <c r="H40" i="1"/>
  <c r="G1440" i="1"/>
  <c r="G1460" i="1"/>
  <c r="F1445" i="1"/>
  <c r="F1466" i="1"/>
  <c r="F1460" i="1"/>
  <c r="F1440" i="1"/>
  <c r="G1445" i="1"/>
  <c r="G1466" i="1"/>
  <c r="E1440" i="1"/>
  <c r="C1442" i="1"/>
  <c r="C1438" i="1"/>
  <c r="C1441" i="1"/>
  <c r="E1442" i="1"/>
  <c r="F1442" i="1"/>
  <c r="C1445" i="1"/>
  <c r="E1438" i="1"/>
  <c r="G1442" i="1"/>
  <c r="E1445" i="1"/>
  <c r="E1441" i="1"/>
  <c r="C70" i="1"/>
  <c r="C1399" i="1"/>
  <c r="E70" i="1"/>
  <c r="E1399" i="1"/>
  <c r="F667" i="1"/>
  <c r="E426" i="1"/>
  <c r="E789" i="1"/>
  <c r="F94" i="1"/>
  <c r="F1586" i="1" s="1"/>
  <c r="F841" i="1"/>
  <c r="H841" i="1"/>
  <c r="F93" i="1"/>
  <c r="G93" i="1"/>
  <c r="G835" i="1"/>
  <c r="E94" i="1"/>
  <c r="E842" i="1"/>
  <c r="N842" i="1" s="1"/>
  <c r="F426" i="1"/>
  <c r="F789" i="1"/>
  <c r="G94" i="1"/>
  <c r="G1586" i="1" s="1"/>
  <c r="G841" i="1"/>
  <c r="G851" i="1" s="1"/>
  <c r="I841" i="1"/>
  <c r="I851" i="1" s="1"/>
  <c r="K376" i="1"/>
  <c r="K756" i="1" s="1"/>
  <c r="G667" i="1"/>
  <c r="G668" i="1" s="1"/>
  <c r="J376" i="1"/>
  <c r="I378" i="1"/>
  <c r="H378" i="1"/>
  <c r="F1646" i="1"/>
  <c r="D6" i="11"/>
  <c r="D203" i="11" l="1"/>
  <c r="C203" i="11" s="1"/>
  <c r="H203" i="11" s="1"/>
  <c r="C193" i="11"/>
  <c r="D8" i="11"/>
  <c r="C8" i="11" s="1"/>
  <c r="C6" i="11"/>
  <c r="H337" i="11"/>
  <c r="D197" i="11"/>
  <c r="C197" i="11" s="1"/>
  <c r="H197" i="11" s="1"/>
  <c r="D196" i="11"/>
  <c r="C196" i="11" s="1"/>
  <c r="H196" i="11" s="1"/>
  <c r="D202" i="11"/>
  <c r="C202" i="11" s="1"/>
  <c r="H202" i="11" s="1"/>
  <c r="D201" i="11"/>
  <c r="C201" i="11" s="1"/>
  <c r="H201" i="11" s="1"/>
  <c r="D198" i="11"/>
  <c r="C198" i="11" s="1"/>
  <c r="H198" i="11" s="1"/>
  <c r="D195" i="11"/>
  <c r="C195" i="11" s="1"/>
  <c r="H195" i="11" s="1"/>
  <c r="E419" i="1"/>
  <c r="M1418" i="1"/>
  <c r="H218" i="11"/>
  <c r="D330" i="11"/>
  <c r="C330" i="11" s="1"/>
  <c r="H330" i="11" s="1"/>
  <c r="E414" i="1"/>
  <c r="M1411" i="1"/>
  <c r="N1415" i="1" s="1"/>
  <c r="H213" i="11"/>
  <c r="N1162" i="1"/>
  <c r="N1163" i="1" s="1"/>
  <c r="N1167" i="1" s="1"/>
  <c r="X950" i="1"/>
  <c r="X949" i="1"/>
  <c r="W949" i="1"/>
  <c r="X948" i="1"/>
  <c r="X947" i="1"/>
  <c r="W950" i="1"/>
  <c r="P836" i="1"/>
  <c r="P837" i="1" s="1"/>
  <c r="X838" i="1" s="1"/>
  <c r="Q842" i="1"/>
  <c r="W845" i="1" s="1"/>
  <c r="F851" i="1"/>
  <c r="P852" i="1" s="1"/>
  <c r="P842" i="1"/>
  <c r="M689" i="1"/>
  <c r="K309" i="1"/>
  <c r="K690" i="1"/>
  <c r="J309" i="1"/>
  <c r="J690" i="1"/>
  <c r="I345" i="1"/>
  <c r="I347" i="1" s="1"/>
  <c r="I344" i="1"/>
  <c r="M308" i="1"/>
  <c r="H310" i="1"/>
  <c r="N64" i="1"/>
  <c r="C789" i="1"/>
  <c r="R791" i="1" s="1"/>
  <c r="M1466" i="1"/>
  <c r="M1441" i="1"/>
  <c r="M1442" i="1"/>
  <c r="M73" i="1"/>
  <c r="C417" i="1"/>
  <c r="M277" i="1"/>
  <c r="J278" i="1"/>
  <c r="C1574" i="1"/>
  <c r="M1574" i="1" s="1"/>
  <c r="M84" i="1"/>
  <c r="N86" i="1" s="1"/>
  <c r="D101" i="11" s="1"/>
  <c r="H379" i="1"/>
  <c r="M1586" i="1"/>
  <c r="M1402" i="1"/>
  <c r="M1445" i="1"/>
  <c r="I416" i="1"/>
  <c r="C414" i="1"/>
  <c r="M70" i="1"/>
  <c r="M1404" i="1"/>
  <c r="F668" i="1"/>
  <c r="M668" i="1" s="1"/>
  <c r="M667" i="1"/>
  <c r="H1068" i="1"/>
  <c r="P1069" i="1" s="1"/>
  <c r="M185" i="1"/>
  <c r="J756" i="1"/>
  <c r="M756" i="1" s="1"/>
  <c r="M376" i="1"/>
  <c r="M1399" i="1"/>
  <c r="C419" i="1"/>
  <c r="M75" i="1"/>
  <c r="H579" i="1"/>
  <c r="M579" i="1" s="1"/>
  <c r="M209" i="1"/>
  <c r="H321" i="1"/>
  <c r="M320" i="1"/>
  <c r="H41" i="1"/>
  <c r="M41" i="1" s="1"/>
  <c r="M40" i="1"/>
  <c r="H210" i="1"/>
  <c r="H581" i="1" s="1"/>
  <c r="M581" i="1" s="1"/>
  <c r="E1001" i="1"/>
  <c r="L1001" i="1" s="1"/>
  <c r="L1000" i="1"/>
  <c r="L954" i="1"/>
  <c r="E955" i="1"/>
  <c r="L955" i="1" s="1"/>
  <c r="I547" i="1"/>
  <c r="I1614" i="1"/>
  <c r="F430" i="1"/>
  <c r="F1585" i="1"/>
  <c r="H851" i="1"/>
  <c r="Q852" i="1" s="1"/>
  <c r="E791" i="1"/>
  <c r="N791" i="1" s="1"/>
  <c r="E795" i="1"/>
  <c r="N795" i="1" s="1"/>
  <c r="E794" i="1"/>
  <c r="N794" i="1" s="1"/>
  <c r="K742" i="1"/>
  <c r="M742" i="1" s="1"/>
  <c r="K702" i="1"/>
  <c r="K701" i="1"/>
  <c r="J701" i="1"/>
  <c r="J210" i="1"/>
  <c r="H186" i="1"/>
  <c r="H545" i="1"/>
  <c r="M545" i="1" s="1"/>
  <c r="C430" i="1"/>
  <c r="G99" i="1"/>
  <c r="G1609" i="1" s="1"/>
  <c r="G431" i="1"/>
  <c r="F99" i="1"/>
  <c r="F431" i="1"/>
  <c r="F427" i="1"/>
  <c r="I379" i="1"/>
  <c r="J246" i="1"/>
  <c r="M246" i="1" s="1"/>
  <c r="J241" i="1"/>
  <c r="M241" i="1" s="1"/>
  <c r="J186" i="1"/>
  <c r="G864" i="1"/>
  <c r="G98" i="1"/>
  <c r="G1608" i="1" s="1"/>
  <c r="F864" i="1"/>
  <c r="F98" i="1"/>
  <c r="F1608" i="1" s="1"/>
  <c r="K52" i="1"/>
  <c r="K53" i="1" s="1"/>
  <c r="K54" i="1" s="1"/>
  <c r="J47" i="1"/>
  <c r="J48" i="1" s="1"/>
  <c r="J49" i="1" s="1"/>
  <c r="J50" i="1" s="1"/>
  <c r="J51" i="1" s="1"/>
  <c r="I47" i="1"/>
  <c r="I48" i="1" s="1"/>
  <c r="I49" i="1" s="1"/>
  <c r="I50" i="1" s="1"/>
  <c r="E31" i="1"/>
  <c r="G670" i="1"/>
  <c r="G1646" i="1"/>
  <c r="M1646" i="1" s="1"/>
  <c r="C1460" i="1"/>
  <c r="M1460" i="1" s="1"/>
  <c r="N1473" i="1" s="1"/>
  <c r="C1440" i="1"/>
  <c r="M1440" i="1" s="1"/>
  <c r="G439" i="1"/>
  <c r="E439" i="1"/>
  <c r="F438" i="1"/>
  <c r="F439" i="1"/>
  <c r="E843" i="1"/>
  <c r="N843" i="1" s="1"/>
  <c r="E844" i="1"/>
  <c r="G438" i="1"/>
  <c r="G430" i="1"/>
  <c r="K377" i="1"/>
  <c r="K757" i="1" s="1"/>
  <c r="J377" i="1"/>
  <c r="E428" i="1"/>
  <c r="E82" i="1"/>
  <c r="M1423" i="1" s="1"/>
  <c r="C94" i="1"/>
  <c r="M94" i="1" s="1"/>
  <c r="C93" i="1"/>
  <c r="E93" i="1"/>
  <c r="E1585" i="1" s="1"/>
  <c r="E86" i="1"/>
  <c r="D111" i="11" l="1"/>
  <c r="C111" i="11" s="1"/>
  <c r="H111" i="11" s="1"/>
  <c r="C101" i="11"/>
  <c r="H8" i="11"/>
  <c r="H219" i="11"/>
  <c r="H332" i="11"/>
  <c r="H338" i="11" s="1"/>
  <c r="H199" i="11"/>
  <c r="H204" i="11"/>
  <c r="N1425" i="1"/>
  <c r="N1405" i="1"/>
  <c r="N601" i="1"/>
  <c r="D103" i="11"/>
  <c r="C103" i="11" s="1"/>
  <c r="H103" i="11" s="1"/>
  <c r="D105" i="11"/>
  <c r="C105" i="11" s="1"/>
  <c r="H105" i="11" s="1"/>
  <c r="D107" i="11"/>
  <c r="C107" i="11" s="1"/>
  <c r="H107" i="11" s="1"/>
  <c r="D104" i="11"/>
  <c r="C104" i="11" s="1"/>
  <c r="H104" i="11" s="1"/>
  <c r="D112" i="11"/>
  <c r="C112" i="11" s="1"/>
  <c r="H112" i="11" s="1"/>
  <c r="D110" i="11"/>
  <c r="C110" i="11" s="1"/>
  <c r="H110" i="11" s="1"/>
  <c r="N68" i="1"/>
  <c r="X1072" i="1"/>
  <c r="X1071" i="1"/>
  <c r="C950" i="1"/>
  <c r="L950" i="1" s="1"/>
  <c r="C949" i="1"/>
  <c r="L949" i="1" s="1"/>
  <c r="P865" i="1"/>
  <c r="P866" i="1" s="1"/>
  <c r="X867" i="1" s="1"/>
  <c r="W857" i="1"/>
  <c r="C860" i="1" s="1"/>
  <c r="J860" i="1" s="1"/>
  <c r="X852" i="1"/>
  <c r="W855" i="1"/>
  <c r="W854" i="1"/>
  <c r="P853" i="1"/>
  <c r="X854" i="1" s="1"/>
  <c r="X842" i="1"/>
  <c r="W844" i="1"/>
  <c r="W847" i="1"/>
  <c r="P843" i="1"/>
  <c r="X844" i="1" s="1"/>
  <c r="X845" i="1"/>
  <c r="R794" i="1"/>
  <c r="K310" i="1"/>
  <c r="K691" i="1"/>
  <c r="M690" i="1"/>
  <c r="J310" i="1"/>
  <c r="J691" i="1"/>
  <c r="M309" i="1"/>
  <c r="H311" i="1"/>
  <c r="I348" i="1"/>
  <c r="I349" i="1"/>
  <c r="I346" i="1"/>
  <c r="M1585" i="1"/>
  <c r="M431" i="1"/>
  <c r="M701" i="1"/>
  <c r="M93" i="1"/>
  <c r="N95" i="1" s="1"/>
  <c r="D131" i="11" s="1"/>
  <c r="M1608" i="1"/>
  <c r="M430" i="1"/>
  <c r="M278" i="1"/>
  <c r="J279" i="1"/>
  <c r="H322" i="1"/>
  <c r="M322" i="1" s="1"/>
  <c r="M321" i="1"/>
  <c r="H1073" i="1"/>
  <c r="P1074" i="1" s="1"/>
  <c r="M186" i="1"/>
  <c r="N199" i="1" s="1"/>
  <c r="D221" i="11" s="1"/>
  <c r="F1609" i="1"/>
  <c r="M1609" i="1" s="1"/>
  <c r="M99" i="1"/>
  <c r="H380" i="1"/>
  <c r="H1626" i="1"/>
  <c r="M1626" i="1" s="1"/>
  <c r="M210" i="1"/>
  <c r="N225" i="1" s="1"/>
  <c r="D235" i="11" s="1"/>
  <c r="J757" i="1"/>
  <c r="M757" i="1" s="1"/>
  <c r="M377" i="1"/>
  <c r="H42" i="1"/>
  <c r="M42" i="1" s="1"/>
  <c r="H547" i="1"/>
  <c r="M547" i="1" s="1"/>
  <c r="N566" i="1" s="1"/>
  <c r="H1614" i="1"/>
  <c r="M1614" i="1" s="1"/>
  <c r="N77" i="1"/>
  <c r="G443" i="1"/>
  <c r="G889" i="1"/>
  <c r="F443" i="1"/>
  <c r="F889" i="1"/>
  <c r="E95" i="1"/>
  <c r="E864" i="1"/>
  <c r="R865" i="1" s="1"/>
  <c r="R867" i="1" s="1"/>
  <c r="R868" i="1" s="1"/>
  <c r="R869" i="1" s="1"/>
  <c r="E847" i="1"/>
  <c r="E845" i="1"/>
  <c r="L844" i="1"/>
  <c r="K736" i="1"/>
  <c r="J703" i="1"/>
  <c r="J702" i="1"/>
  <c r="M702" i="1" s="1"/>
  <c r="K703" i="1"/>
  <c r="F103" i="1"/>
  <c r="F442" i="1"/>
  <c r="G103" i="1"/>
  <c r="G442" i="1"/>
  <c r="I380" i="1"/>
  <c r="J247" i="1"/>
  <c r="M247" i="1" s="1"/>
  <c r="N248" i="1" s="1"/>
  <c r="D279" i="11" s="1"/>
  <c r="C98" i="1"/>
  <c r="J52" i="1"/>
  <c r="J53" i="1" s="1"/>
  <c r="J54" i="1" s="1"/>
  <c r="J378" i="1"/>
  <c r="K378" i="1"/>
  <c r="K704" i="1"/>
  <c r="F670" i="1"/>
  <c r="M670" i="1" s="1"/>
  <c r="N671" i="1" s="1"/>
  <c r="J704" i="1"/>
  <c r="E432" i="1"/>
  <c r="E438" i="1"/>
  <c r="C438" i="1"/>
  <c r="C439" i="1"/>
  <c r="M439" i="1" s="1"/>
  <c r="I51" i="1"/>
  <c r="I52" i="1" s="1"/>
  <c r="I53" i="1" s="1"/>
  <c r="D142" i="11" l="1"/>
  <c r="C142" i="11" s="1"/>
  <c r="H142" i="11" s="1"/>
  <c r="C131" i="11"/>
  <c r="D289" i="11"/>
  <c r="C289" i="11" s="1"/>
  <c r="H289" i="11" s="1"/>
  <c r="C279" i="11"/>
  <c r="D230" i="11"/>
  <c r="C230" i="11" s="1"/>
  <c r="H230" i="11" s="1"/>
  <c r="C221" i="11"/>
  <c r="D244" i="11"/>
  <c r="C244" i="11" s="1"/>
  <c r="H244" i="11" s="1"/>
  <c r="C235" i="11"/>
  <c r="H205" i="11"/>
  <c r="D479" i="11"/>
  <c r="C479" i="11" s="1"/>
  <c r="H479" i="11" s="1"/>
  <c r="D137" i="11"/>
  <c r="C137" i="11" s="1"/>
  <c r="H137" i="11" s="1"/>
  <c r="M1427" i="1"/>
  <c r="C1428" i="1"/>
  <c r="N432" i="1"/>
  <c r="D134" i="11"/>
  <c r="C134" i="11" s="1"/>
  <c r="H134" i="11" s="1"/>
  <c r="D138" i="11"/>
  <c r="C138" i="11" s="1"/>
  <c r="H138" i="11" s="1"/>
  <c r="D133" i="11"/>
  <c r="C133" i="11" s="1"/>
  <c r="H133" i="11" s="1"/>
  <c r="D141" i="11"/>
  <c r="C141" i="11" s="1"/>
  <c r="H141" i="11" s="1"/>
  <c r="D143" i="11"/>
  <c r="C143" i="11" s="1"/>
  <c r="H143" i="11" s="1"/>
  <c r="D135" i="11"/>
  <c r="C135" i="11" s="1"/>
  <c r="H135" i="11" s="1"/>
  <c r="D223" i="11"/>
  <c r="C223" i="11" s="1"/>
  <c r="H223" i="11" s="1"/>
  <c r="D231" i="11"/>
  <c r="C231" i="11" s="1"/>
  <c r="H231" i="11" s="1"/>
  <c r="D229" i="11"/>
  <c r="C229" i="11" s="1"/>
  <c r="H229" i="11" s="1"/>
  <c r="D225" i="11"/>
  <c r="C225" i="11" s="1"/>
  <c r="H225" i="11" s="1"/>
  <c r="D224" i="11"/>
  <c r="C224" i="11" s="1"/>
  <c r="H224" i="11" s="1"/>
  <c r="D226" i="11"/>
  <c r="C226" i="11" s="1"/>
  <c r="H226" i="11" s="1"/>
  <c r="H108" i="11"/>
  <c r="L1162" i="1"/>
  <c r="L1163" i="1" s="1"/>
  <c r="D238" i="11"/>
  <c r="C238" i="11" s="1"/>
  <c r="H238" i="11" s="1"/>
  <c r="D240" i="11"/>
  <c r="C240" i="11" s="1"/>
  <c r="H240" i="11" s="1"/>
  <c r="D243" i="11"/>
  <c r="C243" i="11" s="1"/>
  <c r="H243" i="11" s="1"/>
  <c r="D245" i="11"/>
  <c r="C245" i="11" s="1"/>
  <c r="H245" i="11" s="1"/>
  <c r="D239" i="11"/>
  <c r="C239" i="11" s="1"/>
  <c r="H239" i="11" s="1"/>
  <c r="D237" i="11"/>
  <c r="C237" i="11" s="1"/>
  <c r="H237" i="11" s="1"/>
  <c r="H113" i="11"/>
  <c r="D281" i="11"/>
  <c r="C281" i="11" s="1"/>
  <c r="H281" i="11" s="1"/>
  <c r="D285" i="11"/>
  <c r="C285" i="11" s="1"/>
  <c r="H285" i="11" s="1"/>
  <c r="D288" i="11"/>
  <c r="C288" i="11" s="1"/>
  <c r="H288" i="11" s="1"/>
  <c r="D282" i="11"/>
  <c r="C282" i="11" s="1"/>
  <c r="H282" i="11" s="1"/>
  <c r="D290" i="11"/>
  <c r="C290" i="11" s="1"/>
  <c r="H290" i="11" s="1"/>
  <c r="D283" i="11"/>
  <c r="C283" i="11" s="1"/>
  <c r="H283" i="11" s="1"/>
  <c r="X1077" i="1"/>
  <c r="X1076" i="1"/>
  <c r="P890" i="1"/>
  <c r="X868" i="1"/>
  <c r="X855" i="1"/>
  <c r="E850" i="1"/>
  <c r="J850" i="1" s="1"/>
  <c r="L845" i="1"/>
  <c r="E846" i="1"/>
  <c r="L846" i="1" s="1"/>
  <c r="M310" i="1"/>
  <c r="M691" i="1"/>
  <c r="J311" i="1"/>
  <c r="J692" i="1"/>
  <c r="K311" i="1"/>
  <c r="K692" i="1"/>
  <c r="H312" i="1"/>
  <c r="H324" i="1"/>
  <c r="H341" i="1" s="1"/>
  <c r="M703" i="1"/>
  <c r="M103" i="1"/>
  <c r="N104" i="1" s="1"/>
  <c r="D163" i="11" s="1"/>
  <c r="C163" i="11" s="1"/>
  <c r="M378" i="1"/>
  <c r="M438" i="1"/>
  <c r="N440" i="1" s="1"/>
  <c r="H381" i="1"/>
  <c r="M279" i="1"/>
  <c r="J280" i="1"/>
  <c r="M280" i="1" s="1"/>
  <c r="C442" i="1"/>
  <c r="M442" i="1" s="1"/>
  <c r="M98" i="1"/>
  <c r="N100" i="1" s="1"/>
  <c r="D147" i="11" s="1"/>
  <c r="M443" i="1"/>
  <c r="M704" i="1"/>
  <c r="H43" i="1"/>
  <c r="M43" i="1" s="1"/>
  <c r="G446" i="1"/>
  <c r="G1621" i="1"/>
  <c r="F446" i="1"/>
  <c r="F1621" i="1"/>
  <c r="E867" i="1"/>
  <c r="E865" i="1"/>
  <c r="E848" i="1"/>
  <c r="L847" i="1"/>
  <c r="K379" i="1"/>
  <c r="K758" i="1"/>
  <c r="J379" i="1"/>
  <c r="J758" i="1"/>
  <c r="J737" i="1"/>
  <c r="J746" i="1"/>
  <c r="K737" i="1"/>
  <c r="J736" i="1"/>
  <c r="M736" i="1" s="1"/>
  <c r="K746" i="1"/>
  <c r="I381" i="1"/>
  <c r="J324" i="1"/>
  <c r="D158" i="11" l="1"/>
  <c r="C158" i="11" s="1"/>
  <c r="H158" i="11" s="1"/>
  <c r="C147" i="11"/>
  <c r="H114" i="11"/>
  <c r="H241" i="11"/>
  <c r="H291" i="11"/>
  <c r="D169" i="11"/>
  <c r="C169" i="11" s="1"/>
  <c r="H169" i="11" s="1"/>
  <c r="D174" i="11"/>
  <c r="C174" i="11" s="1"/>
  <c r="H174" i="11" s="1"/>
  <c r="H246" i="11"/>
  <c r="D153" i="11"/>
  <c r="C153" i="11" s="1"/>
  <c r="H153" i="11" s="1"/>
  <c r="C1429" i="1"/>
  <c r="M1428" i="1"/>
  <c r="N281" i="1"/>
  <c r="D310" i="11" s="1"/>
  <c r="C310" i="11" s="1"/>
  <c r="H144" i="11"/>
  <c r="H139" i="11"/>
  <c r="D170" i="11"/>
  <c r="C170" i="11" s="1"/>
  <c r="H170" i="11" s="1"/>
  <c r="D167" i="11"/>
  <c r="C167" i="11" s="1"/>
  <c r="H167" i="11" s="1"/>
  <c r="D166" i="11"/>
  <c r="C166" i="11" s="1"/>
  <c r="H166" i="11" s="1"/>
  <c r="D173" i="11"/>
  <c r="C173" i="11" s="1"/>
  <c r="H173" i="11" s="1"/>
  <c r="D175" i="11"/>
  <c r="C175" i="11" s="1"/>
  <c r="H175" i="11" s="1"/>
  <c r="D165" i="11"/>
  <c r="C165" i="11" s="1"/>
  <c r="H165" i="11" s="1"/>
  <c r="D150" i="11"/>
  <c r="C150" i="11" s="1"/>
  <c r="H150" i="11" s="1"/>
  <c r="D149" i="11"/>
  <c r="C149" i="11" s="1"/>
  <c r="H149" i="11" s="1"/>
  <c r="D157" i="11"/>
  <c r="C157" i="11" s="1"/>
  <c r="H157" i="11" s="1"/>
  <c r="D151" i="11"/>
  <c r="C151" i="11" s="1"/>
  <c r="H151" i="11" s="1"/>
  <c r="D154" i="11"/>
  <c r="C154" i="11" s="1"/>
  <c r="H154" i="11" s="1"/>
  <c r="D159" i="11"/>
  <c r="C159" i="11" s="1"/>
  <c r="H159" i="11" s="1"/>
  <c r="D284" i="11"/>
  <c r="C284" i="11" s="1"/>
  <c r="H284" i="11" s="1"/>
  <c r="H232" i="11"/>
  <c r="N1169" i="1"/>
  <c r="N1164" i="1"/>
  <c r="N924" i="1" s="1"/>
  <c r="H227" i="11"/>
  <c r="N444" i="1"/>
  <c r="X893" i="1"/>
  <c r="P891" i="1"/>
  <c r="X892" i="1" s="1"/>
  <c r="M311" i="1"/>
  <c r="L848" i="1"/>
  <c r="E849" i="1"/>
  <c r="L849" i="1" s="1"/>
  <c r="K312" i="1"/>
  <c r="K694" i="1" s="1"/>
  <c r="K693" i="1"/>
  <c r="M692" i="1"/>
  <c r="J312" i="1"/>
  <c r="J694" i="1" s="1"/>
  <c r="J693" i="1"/>
  <c r="M746" i="1"/>
  <c r="M324" i="1"/>
  <c r="M379" i="1"/>
  <c r="M758" i="1"/>
  <c r="M1621" i="1"/>
  <c r="M737" i="1"/>
  <c r="H382" i="1"/>
  <c r="M446" i="1"/>
  <c r="N447" i="1" s="1"/>
  <c r="H342" i="1"/>
  <c r="H44" i="1"/>
  <c r="M44" i="1" s="1"/>
  <c r="E868" i="1"/>
  <c r="L868" i="1" s="1"/>
  <c r="N865" i="1"/>
  <c r="L867" i="1"/>
  <c r="E866" i="1"/>
  <c r="J380" i="1"/>
  <c r="J759" i="1"/>
  <c r="K380" i="1"/>
  <c r="K759" i="1"/>
  <c r="P371" i="1"/>
  <c r="K341" i="1"/>
  <c r="K706" i="1"/>
  <c r="J341" i="1"/>
  <c r="J706" i="1"/>
  <c r="I382" i="1"/>
  <c r="M1389" i="1"/>
  <c r="I54" i="1"/>
  <c r="H145" i="11" l="1"/>
  <c r="H247" i="11"/>
  <c r="H233" i="11"/>
  <c r="H286" i="11"/>
  <c r="H292" i="11" s="1"/>
  <c r="D312" i="11"/>
  <c r="D320" i="11"/>
  <c r="C320" i="11" s="1"/>
  <c r="H320" i="11" s="1"/>
  <c r="D319" i="11"/>
  <c r="C319" i="11" s="1"/>
  <c r="H319" i="11" s="1"/>
  <c r="D313" i="11"/>
  <c r="C313" i="11" s="1"/>
  <c r="H313" i="11" s="1"/>
  <c r="D321" i="11"/>
  <c r="C321" i="11" s="1"/>
  <c r="H321" i="11" s="1"/>
  <c r="D316" i="11"/>
  <c r="C316" i="11" s="1"/>
  <c r="H316" i="11" s="1"/>
  <c r="D314" i="11"/>
  <c r="C314" i="11" s="1"/>
  <c r="H314" i="11" s="1"/>
  <c r="C1430" i="1"/>
  <c r="M1429" i="1"/>
  <c r="N751" i="1"/>
  <c r="H160" i="11"/>
  <c r="H176" i="11"/>
  <c r="H155" i="11"/>
  <c r="H171" i="11"/>
  <c r="N866" i="1"/>
  <c r="E869" i="1"/>
  <c r="J869" i="1" s="1"/>
  <c r="M693" i="1"/>
  <c r="M694" i="1"/>
  <c r="M312" i="1"/>
  <c r="M341" i="1"/>
  <c r="M759" i="1"/>
  <c r="M706" i="1"/>
  <c r="H343" i="1"/>
  <c r="H344" i="1" s="1"/>
  <c r="H383" i="1"/>
  <c r="M380" i="1"/>
  <c r="H47" i="1"/>
  <c r="M47" i="1" s="1"/>
  <c r="K381" i="1"/>
  <c r="K760" i="1"/>
  <c r="J381" i="1"/>
  <c r="J760" i="1"/>
  <c r="J722" i="1"/>
  <c r="J342" i="1"/>
  <c r="K722" i="1"/>
  <c r="K342" i="1"/>
  <c r="I383" i="1"/>
  <c r="D315" i="11" l="1"/>
  <c r="C315" i="11" s="1"/>
  <c r="H315" i="11" s="1"/>
  <c r="C312" i="11"/>
  <c r="H312" i="11" s="1"/>
  <c r="H177" i="11"/>
  <c r="H161" i="11"/>
  <c r="H322" i="11"/>
  <c r="C1431" i="1"/>
  <c r="M1430" i="1"/>
  <c r="N707" i="1"/>
  <c r="N325" i="1"/>
  <c r="M342" i="1"/>
  <c r="M760" i="1"/>
  <c r="M381" i="1"/>
  <c r="M722" i="1"/>
  <c r="H385" i="1"/>
  <c r="H345" i="1"/>
  <c r="H346" i="1" s="1"/>
  <c r="H48" i="1"/>
  <c r="M48" i="1" s="1"/>
  <c r="J382" i="1"/>
  <c r="J761" i="1"/>
  <c r="K382" i="1"/>
  <c r="K761" i="1"/>
  <c r="J343" i="1"/>
  <c r="J344" i="1" s="1"/>
  <c r="J725" i="1" s="1"/>
  <c r="J723" i="1"/>
  <c r="K343" i="1"/>
  <c r="K344" i="1" s="1"/>
  <c r="K725" i="1" s="1"/>
  <c r="K723" i="1"/>
  <c r="I385" i="1"/>
  <c r="E19" i="34"/>
  <c r="F19" i="34"/>
  <c r="F29" i="34"/>
  <c r="E29" i="34"/>
  <c r="F28" i="34"/>
  <c r="E28" i="34"/>
  <c r="F27" i="34"/>
  <c r="E27" i="34"/>
  <c r="F26" i="34"/>
  <c r="E26" i="34"/>
  <c r="F25" i="34"/>
  <c r="E25" i="34"/>
  <c r="F24" i="34"/>
  <c r="E24" i="34"/>
  <c r="F23" i="34"/>
  <c r="E23" i="34"/>
  <c r="F18" i="34"/>
  <c r="E18" i="34"/>
  <c r="F17" i="34"/>
  <c r="E17" i="34"/>
  <c r="F16" i="34"/>
  <c r="E16" i="34"/>
  <c r="F15" i="34"/>
  <c r="E15" i="34"/>
  <c r="F14" i="34"/>
  <c r="E14" i="34"/>
  <c r="F13" i="34"/>
  <c r="E13" i="34"/>
  <c r="F12" i="34"/>
  <c r="E12" i="34"/>
  <c r="F11" i="34"/>
  <c r="E11" i="34"/>
  <c r="F10" i="34"/>
  <c r="E10" i="34"/>
  <c r="F9" i="34"/>
  <c r="E9" i="34"/>
  <c r="F8" i="34"/>
  <c r="E8" i="34"/>
  <c r="E44" i="33"/>
  <c r="D92" i="33"/>
  <c r="D81" i="33"/>
  <c r="D71" i="33"/>
  <c r="D59" i="33"/>
  <c r="D51" i="33"/>
  <c r="D37" i="33"/>
  <c r="D25" i="33"/>
  <c r="D16" i="33"/>
  <c r="D11" i="33"/>
  <c r="D7" i="33"/>
  <c r="E100" i="33"/>
  <c r="E99" i="33"/>
  <c r="E96" i="33"/>
  <c r="E95" i="33"/>
  <c r="E94" i="33"/>
  <c r="B92" i="33"/>
  <c r="D25" i="35" s="1"/>
  <c r="E90" i="33"/>
  <c r="E89" i="33"/>
  <c r="E86" i="33"/>
  <c r="E85" i="33"/>
  <c r="E84" i="33"/>
  <c r="E83" i="33"/>
  <c r="B81" i="33"/>
  <c r="D23" i="35" s="1"/>
  <c r="E79" i="33"/>
  <c r="E78" i="33"/>
  <c r="E75" i="33"/>
  <c r="E74" i="33"/>
  <c r="E73" i="33"/>
  <c r="B71" i="33"/>
  <c r="D21" i="35" s="1"/>
  <c r="F62" i="33"/>
  <c r="F63" i="33"/>
  <c r="F64" i="33"/>
  <c r="F67" i="33"/>
  <c r="F68" i="33"/>
  <c r="F69" i="33"/>
  <c r="F61" i="33"/>
  <c r="E69" i="33"/>
  <c r="E68" i="33"/>
  <c r="E67" i="33"/>
  <c r="E64" i="33"/>
  <c r="E63" i="33"/>
  <c r="E62" i="33"/>
  <c r="E61" i="33"/>
  <c r="B59" i="33"/>
  <c r="D19" i="35" s="1"/>
  <c r="E57" i="33"/>
  <c r="E56" i="33"/>
  <c r="F54" i="33"/>
  <c r="E54" i="33"/>
  <c r="E53" i="33"/>
  <c r="B51" i="33"/>
  <c r="D17" i="35" s="1"/>
  <c r="F49" i="33"/>
  <c r="F48" i="33"/>
  <c r="F44" i="33"/>
  <c r="F43" i="33"/>
  <c r="E49" i="33"/>
  <c r="E48" i="33"/>
  <c r="E43" i="33"/>
  <c r="E41" i="33"/>
  <c r="E40" i="33"/>
  <c r="E39" i="33"/>
  <c r="B37" i="33"/>
  <c r="D15" i="35" s="1"/>
  <c r="F34" i="33"/>
  <c r="E34" i="33"/>
  <c r="E33" i="33"/>
  <c r="E32" i="33"/>
  <c r="E30" i="33"/>
  <c r="E29" i="33"/>
  <c r="E28" i="33"/>
  <c r="E27" i="33"/>
  <c r="E22" i="33"/>
  <c r="E21" i="33"/>
  <c r="E18" i="33"/>
  <c r="E19" i="33"/>
  <c r="B25" i="33"/>
  <c r="D13" i="35" s="1"/>
  <c r="B16" i="33"/>
  <c r="D11" i="35" s="1"/>
  <c r="B11" i="33"/>
  <c r="D9" i="35" s="1"/>
  <c r="B7" i="33"/>
  <c r="F40" i="33"/>
  <c r="F39" i="33"/>
  <c r="F33" i="33"/>
  <c r="F32" i="33"/>
  <c r="F30" i="33"/>
  <c r="F29" i="33"/>
  <c r="F28" i="33"/>
  <c r="F27" i="33"/>
  <c r="F22" i="33"/>
  <c r="F21" i="33"/>
  <c r="F19" i="33"/>
  <c r="F18" i="33"/>
  <c r="F13" i="33"/>
  <c r="E13" i="33"/>
  <c r="F9" i="33"/>
  <c r="E9" i="33"/>
  <c r="J52" i="32"/>
  <c r="E52" i="32"/>
  <c r="C52" i="32"/>
  <c r="K51" i="32"/>
  <c r="E51" i="32"/>
  <c r="C51" i="32"/>
  <c r="K50" i="32"/>
  <c r="C50" i="32"/>
  <c r="R48" i="32"/>
  <c r="R50" i="32" s="1"/>
  <c r="K46" i="32"/>
  <c r="K52" i="32" s="1"/>
  <c r="J46" i="32"/>
  <c r="C46" i="32"/>
  <c r="Q43" i="32"/>
  <c r="J42" i="32"/>
  <c r="J51" i="32" s="1"/>
  <c r="I42" i="32"/>
  <c r="H42" i="32"/>
  <c r="G42" i="32"/>
  <c r="G51" i="32" s="1"/>
  <c r="F42" i="32"/>
  <c r="F51" i="32" s="1"/>
  <c r="E42" i="32"/>
  <c r="C42" i="32"/>
  <c r="J41" i="32"/>
  <c r="J50" i="32" s="1"/>
  <c r="I41" i="32"/>
  <c r="H41" i="32"/>
  <c r="E41" i="32"/>
  <c r="E50" i="32" s="1"/>
  <c r="M50" i="32" s="1"/>
  <c r="C41" i="32"/>
  <c r="K37" i="32"/>
  <c r="J37" i="32"/>
  <c r="E37" i="32"/>
  <c r="C37" i="32"/>
  <c r="R35" i="32"/>
  <c r="F31" i="32"/>
  <c r="E31" i="32"/>
  <c r="C31" i="32"/>
  <c r="F30" i="32"/>
  <c r="E30" i="32"/>
  <c r="C30" i="32"/>
  <c r="K24" i="32"/>
  <c r="J24" i="32"/>
  <c r="H24" i="32"/>
  <c r="G24" i="32"/>
  <c r="F24" i="32"/>
  <c r="I23" i="32"/>
  <c r="I37" i="32" s="1"/>
  <c r="H23" i="32"/>
  <c r="H37" i="32" s="1"/>
  <c r="G23" i="32"/>
  <c r="G37" i="32" s="1"/>
  <c r="G41" i="32" s="1"/>
  <c r="G50" i="32" s="1"/>
  <c r="F23" i="32"/>
  <c r="F37" i="32" s="1"/>
  <c r="F41" i="32" s="1"/>
  <c r="F50" i="32" s="1"/>
  <c r="E23" i="32"/>
  <c r="C23" i="32"/>
  <c r="M23" i="32" s="1"/>
  <c r="I19" i="32"/>
  <c r="H19" i="32"/>
  <c r="G19" i="32"/>
  <c r="F19" i="32"/>
  <c r="E19" i="32"/>
  <c r="C19" i="32"/>
  <c r="F18" i="32"/>
  <c r="I15" i="32"/>
  <c r="I18" i="32" s="1"/>
  <c r="H15" i="32"/>
  <c r="H18" i="32" s="1"/>
  <c r="G15" i="32"/>
  <c r="G18" i="32" s="1"/>
  <c r="F15" i="32"/>
  <c r="M12" i="32"/>
  <c r="N11" i="32"/>
  <c r="C11" i="33" s="1"/>
  <c r="C13" i="33" s="1"/>
  <c r="H8" i="32"/>
  <c r="F8" i="32"/>
  <c r="E8" i="32"/>
  <c r="C8" i="32"/>
  <c r="M8" i="32" s="1"/>
  <c r="N7" i="32" s="1"/>
  <c r="C7" i="33" s="1"/>
  <c r="B7" i="35" s="1"/>
  <c r="H317" i="11" l="1"/>
  <c r="H323" i="11" s="1"/>
  <c r="C1432" i="1"/>
  <c r="M1432" i="1" s="1"/>
  <c r="M1431" i="1"/>
  <c r="P325" i="1"/>
  <c r="M725" i="1"/>
  <c r="M344" i="1"/>
  <c r="M382" i="1"/>
  <c r="M343" i="1"/>
  <c r="M761" i="1"/>
  <c r="M24" i="32"/>
  <c r="M31" i="32"/>
  <c r="M41" i="32"/>
  <c r="M723" i="1"/>
  <c r="H347" i="1"/>
  <c r="H386" i="1"/>
  <c r="N22" i="32"/>
  <c r="C37" i="33" s="1"/>
  <c r="C46" i="33" s="1"/>
  <c r="C48" i="33" s="1"/>
  <c r="L19" i="32"/>
  <c r="L20" i="32" s="1"/>
  <c r="M42" i="32"/>
  <c r="G46" i="32"/>
  <c r="G52" i="32" s="1"/>
  <c r="H49" i="1"/>
  <c r="M49" i="1" s="1"/>
  <c r="K383" i="1"/>
  <c r="K762" i="1"/>
  <c r="J383" i="1"/>
  <c r="J762" i="1"/>
  <c r="K345" i="1"/>
  <c r="K346" i="1" s="1"/>
  <c r="K727" i="1" s="1"/>
  <c r="K724" i="1"/>
  <c r="J345" i="1"/>
  <c r="J346" i="1" s="1"/>
  <c r="J727" i="1" s="1"/>
  <c r="J724" i="1"/>
  <c r="I386" i="1"/>
  <c r="B9" i="35"/>
  <c r="M18" i="32"/>
  <c r="M20" i="32" s="1"/>
  <c r="N20" i="32" s="1"/>
  <c r="N17" i="32" s="1"/>
  <c r="C25" i="33" s="1"/>
  <c r="C32" i="33" s="1"/>
  <c r="M15" i="32"/>
  <c r="N14" i="32" s="1"/>
  <c r="C16" i="33" s="1"/>
  <c r="C19" i="33" s="1"/>
  <c r="M30" i="32"/>
  <c r="N32" i="32" s="1"/>
  <c r="N27" i="32" s="1"/>
  <c r="C51" i="33" s="1"/>
  <c r="D7" i="35"/>
  <c r="C12" i="34"/>
  <c r="G12" i="34" s="1"/>
  <c r="C25" i="34"/>
  <c r="G25" i="34" s="1"/>
  <c r="C28" i="34"/>
  <c r="G28" i="34" s="1"/>
  <c r="C24" i="34"/>
  <c r="G24" i="34" s="1"/>
  <c r="B15" i="35"/>
  <c r="G48" i="33"/>
  <c r="G13" i="33"/>
  <c r="I11" i="33" s="1"/>
  <c r="C39" i="33"/>
  <c r="G39" i="33" s="1"/>
  <c r="C41" i="33"/>
  <c r="G41" i="33" s="1"/>
  <c r="C44" i="33"/>
  <c r="G44" i="33" s="1"/>
  <c r="C40" i="33"/>
  <c r="C17" i="34" s="1"/>
  <c r="G17" i="34" s="1"/>
  <c r="C43" i="33"/>
  <c r="G43" i="33" s="1"/>
  <c r="C33" i="33"/>
  <c r="G33" i="33" s="1"/>
  <c r="C29" i="33"/>
  <c r="G29" i="33" s="1"/>
  <c r="C27" i="33"/>
  <c r="G27" i="33" s="1"/>
  <c r="C49" i="33"/>
  <c r="G49" i="33" s="1"/>
  <c r="G19" i="33"/>
  <c r="G40" i="33"/>
  <c r="C21" i="33"/>
  <c r="G21" i="33" s="1"/>
  <c r="C28" i="33"/>
  <c r="G28" i="33" s="1"/>
  <c r="C22" i="33"/>
  <c r="G22" i="33" s="1"/>
  <c r="G32" i="33"/>
  <c r="N25" i="32"/>
  <c r="N34" i="32"/>
  <c r="M37" i="32"/>
  <c r="M51" i="32"/>
  <c r="N43" i="32"/>
  <c r="N40" i="32" s="1"/>
  <c r="C71" i="33" s="1"/>
  <c r="C78" i="33" s="1"/>
  <c r="G78" i="33" s="1"/>
  <c r="F46" i="32"/>
  <c r="F52" i="32" s="1"/>
  <c r="M52" i="32" s="1"/>
  <c r="F44" i="12"/>
  <c r="B39" i="28"/>
  <c r="B12" i="28"/>
  <c r="I13" i="27"/>
  <c r="I17" i="27" s="1"/>
  <c r="H13" i="27"/>
  <c r="F13" i="27"/>
  <c r="H17" i="27"/>
  <c r="F17" i="27"/>
  <c r="Q16" i="27"/>
  <c r="R16" i="27" s="1"/>
  <c r="B538" i="11"/>
  <c r="B473" i="11"/>
  <c r="B487" i="11"/>
  <c r="B86" i="11"/>
  <c r="G545" i="11"/>
  <c r="N1433" i="1" l="1"/>
  <c r="N1396" i="1" s="1"/>
  <c r="M727" i="1"/>
  <c r="H348" i="1"/>
  <c r="H349" i="1"/>
  <c r="M346" i="1"/>
  <c r="M345" i="1"/>
  <c r="M383" i="1"/>
  <c r="H50" i="1"/>
  <c r="M50" i="1" s="1"/>
  <c r="M724" i="1"/>
  <c r="C18" i="33"/>
  <c r="G18" i="33" s="1"/>
  <c r="H16" i="33" s="1"/>
  <c r="H387" i="1"/>
  <c r="B11" i="35"/>
  <c r="M762" i="1"/>
  <c r="J385" i="1"/>
  <c r="J763" i="1"/>
  <c r="K385" i="1"/>
  <c r="K763" i="1"/>
  <c r="J347" i="1"/>
  <c r="J726" i="1"/>
  <c r="K347" i="1"/>
  <c r="K726" i="1"/>
  <c r="I387" i="1"/>
  <c r="F19" i="27"/>
  <c r="M19" i="27" s="1"/>
  <c r="F23" i="27"/>
  <c r="N38" i="32"/>
  <c r="N36" i="32"/>
  <c r="C59" i="33" s="1"/>
  <c r="C74" i="33"/>
  <c r="G74" i="33" s="1"/>
  <c r="C73" i="33"/>
  <c r="G73" i="33" s="1"/>
  <c r="M17" i="27"/>
  <c r="C75" i="33"/>
  <c r="G75" i="33" s="1"/>
  <c r="C30" i="33"/>
  <c r="G30" i="33" s="1"/>
  <c r="B13" i="35"/>
  <c r="C56" i="33"/>
  <c r="C54" i="33"/>
  <c r="C53" i="33"/>
  <c r="C57" i="33"/>
  <c r="G57" i="33" s="1"/>
  <c r="B17" i="35"/>
  <c r="C79" i="33"/>
  <c r="G79" i="33" s="1"/>
  <c r="I71" i="33" s="1"/>
  <c r="B21" i="35"/>
  <c r="M13" i="27"/>
  <c r="N12" i="27" s="1"/>
  <c r="M46" i="32"/>
  <c r="N47" i="32" s="1"/>
  <c r="N45" i="32" s="1"/>
  <c r="C81" i="33" s="1"/>
  <c r="C34" i="33"/>
  <c r="G34" i="33" s="1"/>
  <c r="I25" i="33" s="1"/>
  <c r="F27" i="27"/>
  <c r="M27" i="27" s="1"/>
  <c r="N26" i="27" s="1"/>
  <c r="H37" i="33"/>
  <c r="C16" i="34"/>
  <c r="G16" i="34" s="1"/>
  <c r="C18" i="34"/>
  <c r="G18" i="34" s="1"/>
  <c r="I37" i="33"/>
  <c r="G37" i="33"/>
  <c r="G15" i="35" s="1"/>
  <c r="E15" i="35" s="1"/>
  <c r="I16" i="33"/>
  <c r="G11" i="33"/>
  <c r="G9" i="35" s="1"/>
  <c r="E9" i="35" s="1"/>
  <c r="N53" i="32"/>
  <c r="N49" i="32" s="1"/>
  <c r="C92" i="33" s="1"/>
  <c r="J348" i="1" l="1"/>
  <c r="J729" i="1" s="1"/>
  <c r="J349" i="1"/>
  <c r="J730" i="1" s="1"/>
  <c r="K728" i="1"/>
  <c r="K348" i="1"/>
  <c r="K729" i="1" s="1"/>
  <c r="K349" i="1"/>
  <c r="K730" i="1" s="1"/>
  <c r="H51" i="1"/>
  <c r="M51" i="1" s="1"/>
  <c r="G16" i="33"/>
  <c r="G11" i="35" s="1"/>
  <c r="E11" i="35" s="1"/>
  <c r="M347" i="1"/>
  <c r="M385" i="1"/>
  <c r="M726" i="1"/>
  <c r="H388" i="1"/>
  <c r="N16" i="27"/>
  <c r="M763" i="1"/>
  <c r="G25" i="33"/>
  <c r="G13" i="35" s="1"/>
  <c r="E13" i="35" s="1"/>
  <c r="H25" i="33"/>
  <c r="H71" i="33"/>
  <c r="G71" i="33"/>
  <c r="G21" i="35" s="1"/>
  <c r="K386" i="1"/>
  <c r="K766" i="1" s="1"/>
  <c r="K765" i="1"/>
  <c r="J386" i="1"/>
  <c r="J765" i="1"/>
  <c r="J728" i="1"/>
  <c r="I388" i="1"/>
  <c r="C85" i="33"/>
  <c r="B23" i="35"/>
  <c r="C83" i="33"/>
  <c r="G83" i="33" s="1"/>
  <c r="C84" i="33"/>
  <c r="G84" i="33" s="1"/>
  <c r="C86" i="33"/>
  <c r="C90" i="33"/>
  <c r="G90" i="33" s="1"/>
  <c r="C89" i="33"/>
  <c r="G89" i="33" s="1"/>
  <c r="C96" i="33"/>
  <c r="G96" i="33" s="1"/>
  <c r="C95" i="33"/>
  <c r="G95" i="33" s="1"/>
  <c r="C99" i="33"/>
  <c r="G99" i="33" s="1"/>
  <c r="C94" i="33"/>
  <c r="G94" i="33" s="1"/>
  <c r="B25" i="35"/>
  <c r="C100" i="33"/>
  <c r="G100" i="33" s="1"/>
  <c r="G56" i="33"/>
  <c r="I51" i="33" s="1"/>
  <c r="C26" i="34"/>
  <c r="G26" i="34" s="1"/>
  <c r="C67" i="33"/>
  <c r="B19" i="35"/>
  <c r="C62" i="33"/>
  <c r="C68" i="33"/>
  <c r="G68" i="33" s="1"/>
  <c r="C69" i="33"/>
  <c r="C64" i="33"/>
  <c r="C61" i="33"/>
  <c r="C63" i="33"/>
  <c r="G53" i="33"/>
  <c r="C14" i="34"/>
  <c r="G14" i="34" s="1"/>
  <c r="M23" i="27"/>
  <c r="N22" i="27" s="1"/>
  <c r="G54" i="33"/>
  <c r="C15" i="34"/>
  <c r="G15" i="34" s="1"/>
  <c r="M730" i="1" l="1"/>
  <c r="M729" i="1"/>
  <c r="H52" i="1"/>
  <c r="M52" i="1" s="1"/>
  <c r="M348" i="1"/>
  <c r="M349" i="1"/>
  <c r="M728" i="1"/>
  <c r="M765" i="1"/>
  <c r="J766" i="1"/>
  <c r="M766" i="1" s="1"/>
  <c r="M386" i="1"/>
  <c r="H389" i="1"/>
  <c r="I81" i="33"/>
  <c r="I92" i="33"/>
  <c r="J387" i="1"/>
  <c r="K387" i="1"/>
  <c r="I389" i="1"/>
  <c r="G63" i="33"/>
  <c r="C11" i="34"/>
  <c r="G11" i="34" s="1"/>
  <c r="H92" i="33"/>
  <c r="G92" i="33"/>
  <c r="G25" i="35" s="1"/>
  <c r="G51" i="33"/>
  <c r="G17" i="35" s="1"/>
  <c r="G64" i="33"/>
  <c r="C13" i="34"/>
  <c r="G13" i="34" s="1"/>
  <c r="G62" i="33"/>
  <c r="C10" i="34"/>
  <c r="G10" i="34" s="1"/>
  <c r="G86" i="33"/>
  <c r="C19" i="34"/>
  <c r="G19" i="34" s="1"/>
  <c r="G61" i="33"/>
  <c r="C8" i="34"/>
  <c r="G8" i="34" s="1"/>
  <c r="G69" i="33"/>
  <c r="C29" i="34"/>
  <c r="G29" i="34" s="1"/>
  <c r="G67" i="33"/>
  <c r="C23" i="34"/>
  <c r="G23" i="34" s="1"/>
  <c r="G85" i="33"/>
  <c r="G81" i="33" s="1"/>
  <c r="G23" i="35" s="1"/>
  <c r="C9" i="34"/>
  <c r="G9" i="34" s="1"/>
  <c r="H51" i="33"/>
  <c r="N352" i="1" l="1"/>
  <c r="P352" i="1" s="1"/>
  <c r="N733" i="1"/>
  <c r="H53" i="1"/>
  <c r="M53" i="1" s="1"/>
  <c r="H390" i="1"/>
  <c r="J767" i="1"/>
  <c r="M387" i="1"/>
  <c r="G21" i="34"/>
  <c r="C8" i="36" s="1"/>
  <c r="I59" i="33"/>
  <c r="K388" i="1"/>
  <c r="K767" i="1"/>
  <c r="J388" i="1"/>
  <c r="I390" i="1"/>
  <c r="H81" i="33"/>
  <c r="G59" i="33"/>
  <c r="G19" i="35" s="1"/>
  <c r="H59" i="33"/>
  <c r="H102" i="33" s="1"/>
  <c r="H54" i="1" l="1"/>
  <c r="M54" i="1" s="1"/>
  <c r="N55" i="1" s="1"/>
  <c r="H391" i="1"/>
  <c r="M767" i="1"/>
  <c r="J768" i="1"/>
  <c r="M388" i="1"/>
  <c r="K389" i="1"/>
  <c r="K768" i="1"/>
  <c r="J389" i="1"/>
  <c r="I391" i="1"/>
  <c r="B500" i="11"/>
  <c r="B40" i="13" l="1"/>
  <c r="M768" i="1"/>
  <c r="J769" i="1"/>
  <c r="M389" i="1"/>
  <c r="H392" i="1"/>
  <c r="K390" i="1"/>
  <c r="K769" i="1"/>
  <c r="J390" i="1"/>
  <c r="I392" i="1"/>
  <c r="E1961" i="1"/>
  <c r="C1961" i="1"/>
  <c r="J1961" i="1"/>
  <c r="B525" i="11"/>
  <c r="B24" i="11"/>
  <c r="C1582" i="1"/>
  <c r="M1582" i="1" s="1"/>
  <c r="J1939" i="1"/>
  <c r="K1939" i="1"/>
  <c r="D10" i="12" l="1"/>
  <c r="D9" i="37"/>
  <c r="D10" i="37"/>
  <c r="D7" i="12"/>
  <c r="D7" i="37"/>
  <c r="D8" i="37"/>
  <c r="D63" i="37"/>
  <c r="D8" i="12"/>
  <c r="D9" i="12"/>
  <c r="D73" i="12"/>
  <c r="M1961" i="1"/>
  <c r="H393" i="1"/>
  <c r="J770" i="1"/>
  <c r="M390" i="1"/>
  <c r="M769" i="1"/>
  <c r="J1943" i="1"/>
  <c r="J1941" i="1"/>
  <c r="K1943" i="1"/>
  <c r="K1941" i="1"/>
  <c r="K391" i="1"/>
  <c r="K770" i="1"/>
  <c r="J391" i="1"/>
  <c r="I393" i="1"/>
  <c r="F1923" i="1"/>
  <c r="M1923" i="1" s="1"/>
  <c r="C1948" i="1"/>
  <c r="M1948" i="1" s="1"/>
  <c r="C1939" i="1"/>
  <c r="M1939" i="1" s="1"/>
  <c r="C1949" i="1"/>
  <c r="M1949" i="1" s="1"/>
  <c r="N1697" i="1"/>
  <c r="N1691" i="1" s="1"/>
  <c r="B8" i="13"/>
  <c r="L1943" i="1" l="1"/>
  <c r="L1944" i="1" s="1"/>
  <c r="M770" i="1"/>
  <c r="H394" i="1"/>
  <c r="J771" i="1"/>
  <c r="M391" i="1"/>
  <c r="N1962" i="1"/>
  <c r="N1958" i="1" s="1"/>
  <c r="C1951" i="1"/>
  <c r="M1951" i="1" s="1"/>
  <c r="C1941" i="1"/>
  <c r="M1941" i="1" s="1"/>
  <c r="K392" i="1"/>
  <c r="K771" i="1"/>
  <c r="J392" i="1"/>
  <c r="I394" i="1"/>
  <c r="M771" i="1" l="1"/>
  <c r="J772" i="1"/>
  <c r="M392" i="1"/>
  <c r="H396" i="1"/>
  <c r="M1944" i="1"/>
  <c r="C1953" i="1"/>
  <c r="M1953" i="1" s="1"/>
  <c r="K393" i="1"/>
  <c r="K772" i="1"/>
  <c r="J393" i="1"/>
  <c r="I396" i="1"/>
  <c r="N1944" i="1" l="1"/>
  <c r="D594" i="11" s="1"/>
  <c r="H594" i="11" s="1"/>
  <c r="C594" i="11"/>
  <c r="H397" i="1"/>
  <c r="J773" i="1"/>
  <c r="M393" i="1"/>
  <c r="M772" i="1"/>
  <c r="N1954" i="1"/>
  <c r="D595" i="11" s="1"/>
  <c r="H595" i="11" s="1"/>
  <c r="K394" i="1"/>
  <c r="K773" i="1"/>
  <c r="J394" i="1"/>
  <c r="I397" i="1"/>
  <c r="M773" i="1" l="1"/>
  <c r="H398" i="1"/>
  <c r="J774" i="1"/>
  <c r="M394" i="1"/>
  <c r="K774" i="1"/>
  <c r="K396" i="1"/>
  <c r="J396" i="1"/>
  <c r="I398" i="1"/>
  <c r="N1902" i="1"/>
  <c r="C1878" i="1"/>
  <c r="M1878" i="1" s="1"/>
  <c r="C1672" i="1"/>
  <c r="E838" i="1"/>
  <c r="L838" i="1" s="1"/>
  <c r="E792" i="1"/>
  <c r="Q1672" i="1" l="1"/>
  <c r="Q1687" i="1" s="1"/>
  <c r="E1673" i="1"/>
  <c r="C1689" i="1" s="1"/>
  <c r="M1689" i="1" s="1"/>
  <c r="D529" i="11" s="1"/>
  <c r="C529" i="11" s="1"/>
  <c r="H529" i="11" s="1"/>
  <c r="L915" i="1"/>
  <c r="L916" i="1" s="1"/>
  <c r="N921" i="1" s="1"/>
  <c r="M774" i="1"/>
  <c r="J776" i="1"/>
  <c r="M396" i="1"/>
  <c r="N792" i="1"/>
  <c r="M1672" i="1"/>
  <c r="N1672" i="1" s="1"/>
  <c r="D527" i="11" s="1"/>
  <c r="C527" i="11" s="1"/>
  <c r="H527" i="11" s="1"/>
  <c r="H399" i="1"/>
  <c r="N1891" i="1"/>
  <c r="D539" i="11" s="1"/>
  <c r="E1882" i="1"/>
  <c r="M1584" i="1"/>
  <c r="K397" i="1"/>
  <c r="K776" i="1"/>
  <c r="J397" i="1"/>
  <c r="I399" i="1"/>
  <c r="E837" i="1"/>
  <c r="N801" i="1" l="1"/>
  <c r="N802" i="1" s="1"/>
  <c r="N803" i="1" s="1"/>
  <c r="N787" i="1" s="1"/>
  <c r="N837" i="1"/>
  <c r="E840" i="1"/>
  <c r="J840" i="1" s="1"/>
  <c r="J915" i="1" s="1"/>
  <c r="J916" i="1" s="1"/>
  <c r="M776" i="1"/>
  <c r="J777" i="1"/>
  <c r="M397" i="1"/>
  <c r="H400" i="1"/>
  <c r="D542" i="11"/>
  <c r="K398" i="1"/>
  <c r="K777" i="1"/>
  <c r="J398" i="1"/>
  <c r="I400" i="1"/>
  <c r="D541" i="11"/>
  <c r="H541" i="11" s="1"/>
  <c r="N1539" i="1"/>
  <c r="N1479" i="1" s="1"/>
  <c r="K20" i="1"/>
  <c r="G14" i="1"/>
  <c r="N915" i="1" l="1"/>
  <c r="N916" i="1" s="1"/>
  <c r="N920" i="1" s="1"/>
  <c r="N922" i="1"/>
  <c r="M777" i="1"/>
  <c r="G15" i="1"/>
  <c r="M15" i="1" s="1"/>
  <c r="M14" i="1"/>
  <c r="H401" i="1"/>
  <c r="H402" i="1" s="1"/>
  <c r="J778" i="1"/>
  <c r="M398" i="1"/>
  <c r="D545" i="11"/>
  <c r="H545" i="11" s="1"/>
  <c r="D543" i="11"/>
  <c r="H543" i="11" s="1"/>
  <c r="D544" i="11"/>
  <c r="H544" i="11" s="1"/>
  <c r="H542" i="11"/>
  <c r="M1607" i="1"/>
  <c r="N1654" i="1" s="1"/>
  <c r="N1571" i="1" s="1"/>
  <c r="P1571" i="1" s="1"/>
  <c r="Q1572" i="1" s="1"/>
  <c r="I515" i="11" s="1"/>
  <c r="J515" i="11" s="1"/>
  <c r="K515" i="11" s="1"/>
  <c r="L515" i="11" s="1"/>
  <c r="L517" i="11" s="1"/>
  <c r="K399" i="1"/>
  <c r="K778" i="1"/>
  <c r="J399" i="1"/>
  <c r="I401" i="1"/>
  <c r="I402" i="1" s="1"/>
  <c r="G35" i="1"/>
  <c r="G30" i="1"/>
  <c r="I30" i="1"/>
  <c r="N917" i="1" l="1"/>
  <c r="N16" i="1"/>
  <c r="G25" i="1"/>
  <c r="M25" i="1" s="1"/>
  <c r="J779" i="1"/>
  <c r="M399" i="1"/>
  <c r="M30" i="1"/>
  <c r="N31" i="1" s="1"/>
  <c r="N28" i="1" s="1"/>
  <c r="H403" i="1"/>
  <c r="M778" i="1"/>
  <c r="G81" i="1"/>
  <c r="G426" i="1" s="1"/>
  <c r="M426" i="1" s="1"/>
  <c r="M35" i="1"/>
  <c r="N36" i="1" s="1"/>
  <c r="N33" i="1" s="1"/>
  <c r="K400" i="1"/>
  <c r="K779" i="1"/>
  <c r="J400" i="1"/>
  <c r="I403" i="1"/>
  <c r="F1928" i="1"/>
  <c r="M1928" i="1" s="1"/>
  <c r="N26" i="1" l="1"/>
  <c r="G789" i="1"/>
  <c r="M779" i="1"/>
  <c r="J780" i="1"/>
  <c r="M400" i="1"/>
  <c r="M81" i="1"/>
  <c r="K50" i="11"/>
  <c r="K51" i="11"/>
  <c r="K46" i="11"/>
  <c r="K45" i="11"/>
  <c r="B81" i="1"/>
  <c r="K401" i="1"/>
  <c r="K402" i="1" s="1"/>
  <c r="K782" i="1" s="1"/>
  <c r="K780" i="1"/>
  <c r="J401" i="1"/>
  <c r="J402" i="1" s="1"/>
  <c r="J782" i="1" s="1"/>
  <c r="G427" i="1"/>
  <c r="F1921" i="1"/>
  <c r="M1921" i="1" s="1"/>
  <c r="G1438" i="1"/>
  <c r="E624" i="11" l="1"/>
  <c r="F52" i="13" s="1"/>
  <c r="D624" i="11"/>
  <c r="C624" i="11" s="1"/>
  <c r="N23" i="1"/>
  <c r="D30" i="11" s="1"/>
  <c r="C30" i="11" s="1"/>
  <c r="N82" i="1"/>
  <c r="D425" i="11"/>
  <c r="D410" i="11"/>
  <c r="E361" i="11"/>
  <c r="F26" i="13" s="1"/>
  <c r="E354" i="11"/>
  <c r="F24" i="13" s="1"/>
  <c r="M782" i="1"/>
  <c r="P791" i="1"/>
  <c r="P798" i="1"/>
  <c r="W799" i="1" s="1"/>
  <c r="W800" i="1" s="1"/>
  <c r="P794" i="1"/>
  <c r="E392" i="11"/>
  <c r="D609" i="11"/>
  <c r="H609" i="11" s="1"/>
  <c r="H610" i="11" s="1"/>
  <c r="H611" i="11" s="1"/>
  <c r="H606" i="11" s="1"/>
  <c r="E407" i="11"/>
  <c r="F32" i="13" s="1"/>
  <c r="M402" i="1"/>
  <c r="D426" i="11"/>
  <c r="D442" i="11"/>
  <c r="D394" i="11"/>
  <c r="D553" i="11"/>
  <c r="D558" i="11" s="1"/>
  <c r="D424" i="11"/>
  <c r="E553" i="11"/>
  <c r="D443" i="11"/>
  <c r="D441" i="11"/>
  <c r="D638" i="11"/>
  <c r="D56" i="13" s="1"/>
  <c r="D444" i="11"/>
  <c r="D392" i="11"/>
  <c r="D631" i="11"/>
  <c r="D54" i="13" s="1"/>
  <c r="E441" i="11"/>
  <c r="F36" i="13" s="1"/>
  <c r="E458" i="11"/>
  <c r="F38" i="13" s="1"/>
  <c r="E424" i="11"/>
  <c r="F34" i="13" s="1"/>
  <c r="D427" i="11"/>
  <c r="D409" i="11"/>
  <c r="D393" i="11"/>
  <c r="M1438" i="1"/>
  <c r="N1452" i="1" s="1"/>
  <c r="N1435" i="1" s="1"/>
  <c r="M780" i="1"/>
  <c r="M427" i="1"/>
  <c r="N428" i="1" s="1"/>
  <c r="J781" i="1"/>
  <c r="M401" i="1"/>
  <c r="E631" i="11"/>
  <c r="F54" i="13" s="1"/>
  <c r="D460" i="11"/>
  <c r="E638" i="11"/>
  <c r="F56" i="13" s="1"/>
  <c r="D634" i="11"/>
  <c r="H634" i="11" s="1"/>
  <c r="D641" i="11"/>
  <c r="H641" i="11" s="1"/>
  <c r="K403" i="1"/>
  <c r="K783" i="1" s="1"/>
  <c r="K781" i="1"/>
  <c r="J403" i="1"/>
  <c r="L410" i="1"/>
  <c r="C441" i="11" l="1"/>
  <c r="C36" i="13" s="1"/>
  <c r="C410" i="11"/>
  <c r="D415" i="11"/>
  <c r="C415" i="11" s="1"/>
  <c r="H415" i="11" s="1"/>
  <c r="D464" i="11"/>
  <c r="C464" i="11" s="1"/>
  <c r="H464" i="11" s="1"/>
  <c r="C460" i="11"/>
  <c r="C424" i="11"/>
  <c r="C34" i="13" s="1"/>
  <c r="D30" i="13"/>
  <c r="F30" i="13"/>
  <c r="D430" i="11"/>
  <c r="C430" i="11" s="1"/>
  <c r="H430" i="11" s="1"/>
  <c r="C425" i="11"/>
  <c r="D432" i="11"/>
  <c r="C432" i="11" s="1"/>
  <c r="H432" i="11" s="1"/>
  <c r="C427" i="11"/>
  <c r="D448" i="11"/>
  <c r="C448" i="11" s="1"/>
  <c r="H448" i="11" s="1"/>
  <c r="C443" i="11"/>
  <c r="C392" i="11"/>
  <c r="C30" i="13" s="1"/>
  <c r="D398" i="11"/>
  <c r="C398" i="11" s="1"/>
  <c r="H398" i="11" s="1"/>
  <c r="C394" i="11"/>
  <c r="C41" i="11"/>
  <c r="C31" i="11"/>
  <c r="D397" i="11"/>
  <c r="C397" i="11" s="1"/>
  <c r="H397" i="11" s="1"/>
  <c r="C393" i="11"/>
  <c r="D449" i="11"/>
  <c r="C449" i="11" s="1"/>
  <c r="H449" i="11" s="1"/>
  <c r="C444" i="11"/>
  <c r="C442" i="11"/>
  <c r="D447" i="11"/>
  <c r="C447" i="11" s="1"/>
  <c r="H447" i="11" s="1"/>
  <c r="C409" i="11"/>
  <c r="D414" i="11"/>
  <c r="C414" i="11" s="1"/>
  <c r="H414" i="11" s="1"/>
  <c r="D431" i="11"/>
  <c r="C431" i="11" s="1"/>
  <c r="H431" i="11" s="1"/>
  <c r="C426" i="11"/>
  <c r="D626" i="11"/>
  <c r="C626" i="11" s="1"/>
  <c r="H626" i="11" s="1"/>
  <c r="D36" i="11"/>
  <c r="C36" i="11" s="1"/>
  <c r="D41" i="11"/>
  <c r="D43" i="11" s="1"/>
  <c r="C43" i="11" s="1"/>
  <c r="D31" i="11"/>
  <c r="D33" i="11" s="1"/>
  <c r="C33" i="11" s="1"/>
  <c r="L41" i="11"/>
  <c r="L44" i="11" s="1"/>
  <c r="D37" i="11"/>
  <c r="C37" i="11" s="1"/>
  <c r="H37" i="11" s="1"/>
  <c r="D87" i="11"/>
  <c r="L411" i="1"/>
  <c r="W795" i="1"/>
  <c r="X794" i="1"/>
  <c r="X791" i="1"/>
  <c r="W792" i="1"/>
  <c r="D555" i="11"/>
  <c r="H555" i="11" s="1"/>
  <c r="H556" i="11" s="1"/>
  <c r="D445" i="11"/>
  <c r="D453" i="11" s="1"/>
  <c r="C453" i="11" s="1"/>
  <c r="H453" i="11" s="1"/>
  <c r="D34" i="13"/>
  <c r="D36" i="13"/>
  <c r="D428" i="11"/>
  <c r="D395" i="11"/>
  <c r="M403" i="1"/>
  <c r="N404" i="1" s="1"/>
  <c r="D340" i="11" s="1"/>
  <c r="M781" i="1"/>
  <c r="H642" i="11"/>
  <c r="H643" i="11" s="1"/>
  <c r="H638" i="11" s="1"/>
  <c r="G56" i="13" s="1"/>
  <c r="E56" i="13" s="1"/>
  <c r="H635" i="11"/>
  <c r="H636" i="11" s="1"/>
  <c r="H631" i="11" s="1"/>
  <c r="G54" i="13" s="1"/>
  <c r="E54" i="13" s="1"/>
  <c r="J783" i="1"/>
  <c r="M783" i="1" s="1"/>
  <c r="H558" i="11"/>
  <c r="H559" i="11" s="1"/>
  <c r="L409" i="1"/>
  <c r="E22" i="29"/>
  <c r="E21" i="29"/>
  <c r="E10" i="29"/>
  <c r="E11" i="29"/>
  <c r="E12" i="29"/>
  <c r="E13" i="29"/>
  <c r="E9" i="29"/>
  <c r="E45" i="28"/>
  <c r="E44" i="28"/>
  <c r="E42" i="28"/>
  <c r="E41" i="28"/>
  <c r="E37" i="28"/>
  <c r="E36" i="28"/>
  <c r="E34" i="28"/>
  <c r="E33" i="28"/>
  <c r="E32" i="28"/>
  <c r="E31" i="28"/>
  <c r="E26" i="28"/>
  <c r="E25" i="28"/>
  <c r="E23" i="28"/>
  <c r="E22" i="28"/>
  <c r="E21" i="28"/>
  <c r="E16" i="28"/>
  <c r="E14" i="28"/>
  <c r="E10" i="28"/>
  <c r="C29" i="28"/>
  <c r="G54" i="28"/>
  <c r="F45" i="28"/>
  <c r="F44" i="28"/>
  <c r="F42" i="28"/>
  <c r="F41" i="28"/>
  <c r="F37" i="28"/>
  <c r="F36" i="28"/>
  <c r="F34" i="28"/>
  <c r="F33" i="28"/>
  <c r="F32" i="28"/>
  <c r="F31" i="28"/>
  <c r="B29" i="28"/>
  <c r="D29" i="28" s="1"/>
  <c r="C13" i="35" s="1"/>
  <c r="F13" i="35" s="1"/>
  <c r="F26" i="28"/>
  <c r="F25" i="28"/>
  <c r="F23" i="28"/>
  <c r="F22" i="28"/>
  <c r="F21" i="28"/>
  <c r="B19" i="28"/>
  <c r="B12" i="30" s="1"/>
  <c r="F16" i="28"/>
  <c r="F14" i="28"/>
  <c r="F10" i="28"/>
  <c r="B8" i="28"/>
  <c r="C39" i="28"/>
  <c r="C8" i="28"/>
  <c r="C8" i="30" s="1"/>
  <c r="C395" i="11" l="1"/>
  <c r="C85" i="11"/>
  <c r="C87" i="11"/>
  <c r="D349" i="11"/>
  <c r="C349" i="11" s="1"/>
  <c r="H349" i="11" s="1"/>
  <c r="C340" i="11"/>
  <c r="H33" i="11"/>
  <c r="H34" i="11" s="1"/>
  <c r="C428" i="11"/>
  <c r="H43" i="11"/>
  <c r="C445" i="11"/>
  <c r="D402" i="11"/>
  <c r="C402" i="11" s="1"/>
  <c r="H402" i="11" s="1"/>
  <c r="D399" i="11"/>
  <c r="C399" i="11" s="1"/>
  <c r="H399" i="11" s="1"/>
  <c r="H400" i="11" s="1"/>
  <c r="H36" i="11"/>
  <c r="H38" i="11" s="1"/>
  <c r="D437" i="11"/>
  <c r="C437" i="11" s="1"/>
  <c r="H437" i="11" s="1"/>
  <c r="D433" i="11"/>
  <c r="C433" i="11" s="1"/>
  <c r="H433" i="11" s="1"/>
  <c r="H434" i="11" s="1"/>
  <c r="H628" i="11"/>
  <c r="H629" i="11" s="1"/>
  <c r="H624" i="11" s="1"/>
  <c r="G52" i="13" s="1"/>
  <c r="L46" i="11"/>
  <c r="D48" i="11"/>
  <c r="C48" i="11" s="1"/>
  <c r="H48" i="11" s="1"/>
  <c r="L51" i="11"/>
  <c r="L45" i="11"/>
  <c r="D44" i="11"/>
  <c r="C44" i="11" s="1"/>
  <c r="L50" i="11"/>
  <c r="D45" i="11"/>
  <c r="C45" i="11" s="1"/>
  <c r="D49" i="11"/>
  <c r="C49" i="11" s="1"/>
  <c r="H49" i="11" s="1"/>
  <c r="D343" i="11"/>
  <c r="C343" i="11" s="1"/>
  <c r="H343" i="11" s="1"/>
  <c r="D348" i="11"/>
  <c r="C348" i="11" s="1"/>
  <c r="H348" i="11" s="1"/>
  <c r="D350" i="11"/>
  <c r="C350" i="11" s="1"/>
  <c r="H350" i="11" s="1"/>
  <c r="D345" i="11"/>
  <c r="C345" i="11" s="1"/>
  <c r="H345" i="11" s="1"/>
  <c r="D344" i="11"/>
  <c r="C344" i="11" s="1"/>
  <c r="H344" i="11" s="1"/>
  <c r="D342" i="11"/>
  <c r="C342" i="11" s="1"/>
  <c r="H342" i="11" s="1"/>
  <c r="N785" i="1"/>
  <c r="N424" i="1" s="1"/>
  <c r="D361" i="11" s="1"/>
  <c r="C361" i="11" s="1"/>
  <c r="C372" i="11" s="1"/>
  <c r="L420" i="1"/>
  <c r="N79" i="1"/>
  <c r="D95" i="11"/>
  <c r="C95" i="11" s="1"/>
  <c r="H95" i="11" s="1"/>
  <c r="D92" i="11"/>
  <c r="C92" i="11" s="1"/>
  <c r="H92" i="11" s="1"/>
  <c r="D89" i="11"/>
  <c r="C89" i="11" s="1"/>
  <c r="H89" i="11" s="1"/>
  <c r="D85" i="11"/>
  <c r="D90" i="11"/>
  <c r="C90" i="11" s="1"/>
  <c r="H90" i="11" s="1"/>
  <c r="D97" i="11"/>
  <c r="C97" i="11" s="1"/>
  <c r="H97" i="11" s="1"/>
  <c r="D96" i="11"/>
  <c r="C96" i="11" s="1"/>
  <c r="H96" i="11" s="1"/>
  <c r="D91" i="11"/>
  <c r="C91" i="11" s="1"/>
  <c r="H91" i="11" s="1"/>
  <c r="D454" i="11"/>
  <c r="D450" i="11"/>
  <c r="D436" i="11"/>
  <c r="D403" i="11"/>
  <c r="H560" i="11"/>
  <c r="H553" i="11" s="1"/>
  <c r="C33" i="28"/>
  <c r="G33" i="28" s="1"/>
  <c r="C31" i="28"/>
  <c r="G31" i="28" s="1"/>
  <c r="C42" i="28"/>
  <c r="G42" i="28" s="1"/>
  <c r="C41" i="28"/>
  <c r="G41" i="28" s="1"/>
  <c r="C45" i="28"/>
  <c r="G45" i="28" s="1"/>
  <c r="C44" i="28"/>
  <c r="G44" i="28" s="1"/>
  <c r="C37" i="28"/>
  <c r="G37" i="28" s="1"/>
  <c r="C32" i="28"/>
  <c r="G32" i="28" s="1"/>
  <c r="C36" i="28"/>
  <c r="G36" i="28" s="1"/>
  <c r="C34" i="28"/>
  <c r="G34" i="28" s="1"/>
  <c r="D8" i="28"/>
  <c r="B16" i="30"/>
  <c r="B14" i="30"/>
  <c r="C12" i="28"/>
  <c r="D22" i="29"/>
  <c r="F22" i="29" s="1"/>
  <c r="B8" i="30"/>
  <c r="D19" i="28"/>
  <c r="D14" i="30"/>
  <c r="F14" i="30" s="1"/>
  <c r="D9" i="29"/>
  <c r="F9" i="29" s="1"/>
  <c r="C16" i="30"/>
  <c r="D39" i="28"/>
  <c r="C15" i="35" s="1"/>
  <c r="F15" i="35" s="1"/>
  <c r="C14" i="30"/>
  <c r="D11" i="29"/>
  <c r="F11" i="29" s="1"/>
  <c r="C10" i="28"/>
  <c r="B10" i="30"/>
  <c r="D10" i="29"/>
  <c r="F10" i="29" s="1"/>
  <c r="D13" i="29"/>
  <c r="F13" i="29" s="1"/>
  <c r="D12" i="29"/>
  <c r="F12" i="29" s="1"/>
  <c r="D21" i="29"/>
  <c r="F21" i="29" s="1"/>
  <c r="D12" i="28"/>
  <c r="C436" i="11" l="1"/>
  <c r="H436" i="11" s="1"/>
  <c r="H438" i="11" s="1"/>
  <c r="H439" i="11" s="1"/>
  <c r="H424" i="11" s="1"/>
  <c r="G34" i="13" s="1"/>
  <c r="E34" i="13" s="1"/>
  <c r="H44" i="11"/>
  <c r="C450" i="11"/>
  <c r="H450" i="11" s="1"/>
  <c r="H451" i="11" s="1"/>
  <c r="C454" i="11"/>
  <c r="H454" i="11" s="1"/>
  <c r="H455" i="11" s="1"/>
  <c r="C403" i="11"/>
  <c r="H403" i="11" s="1"/>
  <c r="H404" i="11" s="1"/>
  <c r="H405" i="11" s="1"/>
  <c r="H392" i="11" s="1"/>
  <c r="G30" i="13" s="1"/>
  <c r="E30" i="13" s="1"/>
  <c r="H45" i="11"/>
  <c r="D26" i="13"/>
  <c r="H39" i="11"/>
  <c r="H50" i="11"/>
  <c r="C26" i="13"/>
  <c r="D365" i="11"/>
  <c r="C365" i="11" s="1"/>
  <c r="H365" i="11" s="1"/>
  <c r="D364" i="11"/>
  <c r="C364" i="11" s="1"/>
  <c r="H364" i="11" s="1"/>
  <c r="D363" i="11"/>
  <c r="C363" i="11" s="1"/>
  <c r="H363" i="11" s="1"/>
  <c r="H351" i="11"/>
  <c r="H346" i="11"/>
  <c r="D368" i="11"/>
  <c r="C368" i="11" s="1"/>
  <c r="H368" i="11" s="1"/>
  <c r="P404" i="1"/>
  <c r="Q404" i="1" s="1"/>
  <c r="G39" i="28"/>
  <c r="D10" i="30"/>
  <c r="F10" i="30" s="1"/>
  <c r="C9" i="35"/>
  <c r="F9" i="35" s="1"/>
  <c r="D12" i="30"/>
  <c r="F12" i="30" s="1"/>
  <c r="C11" i="35"/>
  <c r="F11" i="35" s="1"/>
  <c r="D8" i="30"/>
  <c r="F8" i="30" s="1"/>
  <c r="C7" i="35"/>
  <c r="F7" i="35" s="1"/>
  <c r="G29" i="28"/>
  <c r="G14" i="30" s="1"/>
  <c r="E14" i="30" s="1"/>
  <c r="C16" i="28"/>
  <c r="G16" i="28" s="1"/>
  <c r="I12" i="28" s="1"/>
  <c r="C14" i="28"/>
  <c r="G14" i="28" s="1"/>
  <c r="H12" i="28" s="1"/>
  <c r="C19" i="28"/>
  <c r="C26" i="28" s="1"/>
  <c r="G26" i="28" s="1"/>
  <c r="D16" i="30"/>
  <c r="F16" i="30" s="1"/>
  <c r="C10" i="30"/>
  <c r="I39" i="28"/>
  <c r="C12" i="29"/>
  <c r="G12" i="29" s="1"/>
  <c r="C13" i="29"/>
  <c r="G13" i="29" s="1"/>
  <c r="H39" i="28"/>
  <c r="G10" i="28"/>
  <c r="H29" i="28"/>
  <c r="I29" i="28"/>
  <c r="H456" i="11" l="1"/>
  <c r="H441" i="11" s="1"/>
  <c r="G36" i="13" s="1"/>
  <c r="E36" i="13" s="1"/>
  <c r="H46" i="11"/>
  <c r="H51" i="11" s="1"/>
  <c r="H352" i="11"/>
  <c r="H366" i="11"/>
  <c r="C23" i="28"/>
  <c r="G23" i="28" s="1"/>
  <c r="C22" i="28"/>
  <c r="G22" i="28" s="1"/>
  <c r="C21" i="28"/>
  <c r="G21" i="28" s="1"/>
  <c r="C25" i="28"/>
  <c r="G25" i="28" s="1"/>
  <c r="C12" i="30"/>
  <c r="G12" i="28"/>
  <c r="G10" i="30" s="1"/>
  <c r="E10" i="30" s="1"/>
  <c r="G8" i="28"/>
  <c r="H41" i="11" l="1"/>
  <c r="H30" i="11"/>
  <c r="G12" i="13" s="1"/>
  <c r="I8" i="28"/>
  <c r="C22" i="29"/>
  <c r="G22" i="29" s="1"/>
  <c r="H19" i="28"/>
  <c r="H47" i="28" s="1"/>
  <c r="C9" i="29"/>
  <c r="G9" i="29" s="1"/>
  <c r="C21" i="29"/>
  <c r="G21" i="29" s="1"/>
  <c r="C11" i="29"/>
  <c r="G11" i="29" s="1"/>
  <c r="C10" i="29"/>
  <c r="G10" i="29" s="1"/>
  <c r="G8" i="30"/>
  <c r="E8" i="30" s="1"/>
  <c r="G16" i="30"/>
  <c r="E16" i="30" s="1"/>
  <c r="G19" i="28" l="1"/>
  <c r="G25" i="29"/>
  <c r="D8" i="31" s="1"/>
  <c r="G16" i="29"/>
  <c r="I19" i="28"/>
  <c r="I47" i="28" s="1"/>
  <c r="C8" i="31" l="1"/>
  <c r="H18" i="29"/>
  <c r="G12" i="30"/>
  <c r="E12" i="30" s="1"/>
  <c r="G47" i="28"/>
  <c r="H19" i="29" s="1"/>
  <c r="H50" i="28"/>
  <c r="F77" i="12"/>
  <c r="F76" i="12"/>
  <c r="F75" i="12"/>
  <c r="F74" i="12"/>
  <c r="F73" i="12"/>
  <c r="F8" i="12"/>
  <c r="F9" i="12"/>
  <c r="F10" i="12"/>
  <c r="F11" i="12"/>
  <c r="F12" i="12"/>
  <c r="F13" i="12"/>
  <c r="F33" i="12"/>
  <c r="F35" i="12"/>
  <c r="F36" i="12"/>
  <c r="F37" i="12"/>
  <c r="F40" i="12"/>
  <c r="F41" i="12"/>
  <c r="F42" i="12"/>
  <c r="F43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7" i="12"/>
  <c r="N21" i="1" l="1"/>
  <c r="N12" i="1" s="1"/>
  <c r="E8" i="31"/>
  <c r="E11" i="31" s="1"/>
  <c r="G19" i="30"/>
  <c r="M407" i="1" l="1"/>
  <c r="D24" i="11"/>
  <c r="C24" i="11" s="1"/>
  <c r="M420" i="1" l="1"/>
  <c r="N422" i="1" s="1"/>
  <c r="N406" i="1" s="1"/>
  <c r="D354" i="11" s="1"/>
  <c r="D26" i="11"/>
  <c r="C26" i="11" s="1"/>
  <c r="C10" i="13"/>
  <c r="C8" i="13"/>
  <c r="E8" i="13" s="1"/>
  <c r="B613" i="11"/>
  <c r="B591" i="11"/>
  <c r="B576" i="11"/>
  <c r="B562" i="11"/>
  <c r="B513" i="11"/>
  <c r="B28" i="13"/>
  <c r="B76" i="11"/>
  <c r="B64" i="11"/>
  <c r="B53" i="11"/>
  <c r="E24" i="11"/>
  <c r="F10" i="13" s="1"/>
  <c r="D68" i="12" l="1"/>
  <c r="C58" i="37"/>
  <c r="G58" i="37" s="1"/>
  <c r="C68" i="12"/>
  <c r="G68" i="12" s="1"/>
  <c r="D58" i="37"/>
  <c r="D59" i="37"/>
  <c r="C69" i="12"/>
  <c r="G69" i="12" s="1"/>
  <c r="D69" i="12"/>
  <c r="C59" i="37"/>
  <c r="G59" i="37" s="1"/>
  <c r="C31" i="37"/>
  <c r="C51" i="37"/>
  <c r="D47" i="37"/>
  <c r="D40" i="12"/>
  <c r="D49" i="12"/>
  <c r="D55" i="37"/>
  <c r="C11" i="12"/>
  <c r="D65" i="12"/>
  <c r="D12" i="12"/>
  <c r="D22" i="12"/>
  <c r="D64" i="12"/>
  <c r="D12" i="37"/>
  <c r="D46" i="37"/>
  <c r="D24" i="37"/>
  <c r="C25" i="12"/>
  <c r="D59" i="12"/>
  <c r="D27" i="37"/>
  <c r="D25" i="12"/>
  <c r="D25" i="37"/>
  <c r="D35" i="37"/>
  <c r="D33" i="12"/>
  <c r="D37" i="12"/>
  <c r="C34" i="12"/>
  <c r="D23" i="12"/>
  <c r="F23" i="12" s="1"/>
  <c r="D62" i="12"/>
  <c r="D34" i="12"/>
  <c r="D45" i="37"/>
  <c r="D40" i="37"/>
  <c r="D34" i="37"/>
  <c r="C35" i="37"/>
  <c r="D32" i="37"/>
  <c r="D77" i="12"/>
  <c r="D55" i="12"/>
  <c r="D18" i="12"/>
  <c r="D38" i="37"/>
  <c r="D57" i="37"/>
  <c r="C23" i="12"/>
  <c r="D15" i="37"/>
  <c r="C24" i="12"/>
  <c r="G24" i="12" s="1"/>
  <c r="D39" i="37"/>
  <c r="D52" i="12"/>
  <c r="C29" i="12"/>
  <c r="C48" i="37"/>
  <c r="G48" i="37" s="1"/>
  <c r="C37" i="12"/>
  <c r="C32" i="37"/>
  <c r="C53" i="37"/>
  <c r="G53" i="37" s="1"/>
  <c r="C56" i="37"/>
  <c r="G56" i="37" s="1"/>
  <c r="D42" i="37"/>
  <c r="C21" i="12"/>
  <c r="C67" i="12"/>
  <c r="C29" i="37"/>
  <c r="G29" i="37" s="1"/>
  <c r="D50" i="37"/>
  <c r="D26" i="12"/>
  <c r="C27" i="12"/>
  <c r="D29" i="37"/>
  <c r="C26" i="12"/>
  <c r="G26" i="12" s="1"/>
  <c r="D20" i="12"/>
  <c r="D30" i="12"/>
  <c r="F30" i="12" s="1"/>
  <c r="D43" i="12"/>
  <c r="C18" i="37"/>
  <c r="D51" i="12"/>
  <c r="C27" i="37"/>
  <c r="G27" i="37" s="1"/>
  <c r="D44" i="12"/>
  <c r="D54" i="12"/>
  <c r="D24" i="12"/>
  <c r="D48" i="12"/>
  <c r="C30" i="37"/>
  <c r="D68" i="37"/>
  <c r="C52" i="37"/>
  <c r="C33" i="37"/>
  <c r="G33" i="37" s="1"/>
  <c r="D48" i="37"/>
  <c r="C66" i="37"/>
  <c r="G66" i="37" s="1"/>
  <c r="D41" i="12"/>
  <c r="D46" i="12"/>
  <c r="D56" i="37"/>
  <c r="C24" i="37"/>
  <c r="C14" i="37"/>
  <c r="D67" i="37"/>
  <c r="C15" i="37"/>
  <c r="G15" i="37" s="1"/>
  <c r="C18" i="12"/>
  <c r="G18" i="12" s="1"/>
  <c r="D45" i="12"/>
  <c r="C16" i="12"/>
  <c r="G16" i="12" s="1"/>
  <c r="D31" i="37"/>
  <c r="D36" i="37"/>
  <c r="C11" i="37"/>
  <c r="D78" i="12"/>
  <c r="D52" i="37"/>
  <c r="F52" i="37" s="1"/>
  <c r="D38" i="12"/>
  <c r="D47" i="12"/>
  <c r="C76" i="12"/>
  <c r="D63" i="12"/>
  <c r="F63" i="12" s="1"/>
  <c r="D53" i="37"/>
  <c r="F53" i="37" s="1"/>
  <c r="D33" i="37"/>
  <c r="D17" i="37"/>
  <c r="D17" i="12"/>
  <c r="D14" i="12"/>
  <c r="D21" i="12"/>
  <c r="F21" i="12" s="1"/>
  <c r="C16" i="37"/>
  <c r="D26" i="37"/>
  <c r="D32" i="12"/>
  <c r="F32" i="12" s="1"/>
  <c r="C30" i="12"/>
  <c r="G30" i="12" s="1"/>
  <c r="C49" i="37"/>
  <c r="G49" i="37" s="1"/>
  <c r="C68" i="37"/>
  <c r="G68" i="37" s="1"/>
  <c r="D43" i="37"/>
  <c r="D39" i="12"/>
  <c r="D16" i="12"/>
  <c r="D19" i="12"/>
  <c r="D51" i="37"/>
  <c r="F51" i="37" s="1"/>
  <c r="D56" i="12"/>
  <c r="C14" i="12"/>
  <c r="C66" i="12"/>
  <c r="G66" i="12" s="1"/>
  <c r="D37" i="37"/>
  <c r="D36" i="12"/>
  <c r="C38" i="12"/>
  <c r="G38" i="12" s="1"/>
  <c r="D66" i="12"/>
  <c r="C12" i="12"/>
  <c r="D44" i="37"/>
  <c r="D27" i="12"/>
  <c r="F27" i="12" s="1"/>
  <c r="D28" i="12"/>
  <c r="F28" i="12" s="1"/>
  <c r="D28" i="37"/>
  <c r="C34" i="37"/>
  <c r="G34" i="37" s="1"/>
  <c r="C15" i="12"/>
  <c r="G15" i="12" s="1"/>
  <c r="D31" i="12"/>
  <c r="C12" i="37"/>
  <c r="G12" i="37" s="1"/>
  <c r="C37" i="37"/>
  <c r="G37" i="37" s="1"/>
  <c r="C57" i="37"/>
  <c r="G57" i="37" s="1"/>
  <c r="D60" i="12"/>
  <c r="C20" i="12"/>
  <c r="D18" i="37"/>
  <c r="C28" i="37"/>
  <c r="G28" i="37" s="1"/>
  <c r="C28" i="12"/>
  <c r="G28" i="12" s="1"/>
  <c r="D49" i="37"/>
  <c r="C78" i="12"/>
  <c r="G78" i="12" s="1"/>
  <c r="D57" i="12"/>
  <c r="D35" i="12"/>
  <c r="D29" i="12"/>
  <c r="F29" i="12" s="1"/>
  <c r="D42" i="12"/>
  <c r="D15" i="12"/>
  <c r="D50" i="12"/>
  <c r="D14" i="37"/>
  <c r="C39" i="12"/>
  <c r="G39" i="12" s="1"/>
  <c r="D53" i="12"/>
  <c r="D67" i="12"/>
  <c r="D61" i="12"/>
  <c r="C32" i="12"/>
  <c r="D30" i="37"/>
  <c r="D54" i="37"/>
  <c r="D23" i="37"/>
  <c r="D58" i="12"/>
  <c r="C40" i="12"/>
  <c r="D41" i="37"/>
  <c r="D16" i="37"/>
  <c r="H26" i="11"/>
  <c r="H27" i="11" s="1"/>
  <c r="H28" i="11" s="1"/>
  <c r="D357" i="11"/>
  <c r="C357" i="11" s="1"/>
  <c r="H357" i="11" s="1"/>
  <c r="H358" i="11" s="1"/>
  <c r="H359" i="11" s="1"/>
  <c r="H354" i="11" s="1"/>
  <c r="G24" i="13" s="1"/>
  <c r="C354" i="11"/>
  <c r="G52" i="37"/>
  <c r="G51" i="37"/>
  <c r="G11" i="37"/>
  <c r="G18" i="37"/>
  <c r="G30" i="37"/>
  <c r="G16" i="37"/>
  <c r="G31" i="37"/>
  <c r="G32" i="37"/>
  <c r="G14" i="37"/>
  <c r="G35" i="37"/>
  <c r="G24" i="37"/>
  <c r="G67" i="12"/>
  <c r="F24" i="12"/>
  <c r="G63" i="12"/>
  <c r="G62" i="12"/>
  <c r="F62" i="12"/>
  <c r="G27" i="12"/>
  <c r="F26" i="12"/>
  <c r="G23" i="12"/>
  <c r="F25" i="12"/>
  <c r="B24" i="13"/>
  <c r="B12" i="13"/>
  <c r="D25" i="34"/>
  <c r="D17" i="34"/>
  <c r="D18" i="34"/>
  <c r="D10" i="34"/>
  <c r="D27" i="34"/>
  <c r="D23" i="34"/>
  <c r="D11" i="34"/>
  <c r="D24" i="34"/>
  <c r="D16" i="34"/>
  <c r="D12" i="34"/>
  <c r="D8" i="34"/>
  <c r="B44" i="13"/>
  <c r="B50" i="13"/>
  <c r="D53" i="11"/>
  <c r="C53" i="11" s="1"/>
  <c r="B10" i="13"/>
  <c r="B6" i="13"/>
  <c r="D76" i="11"/>
  <c r="B16" i="13"/>
  <c r="B48" i="13"/>
  <c r="B52" i="13"/>
  <c r="B46" i="13"/>
  <c r="B42" i="13"/>
  <c r="D8" i="13"/>
  <c r="B18" i="13"/>
  <c r="E64" i="11"/>
  <c r="F18" i="13" s="1"/>
  <c r="E379" i="11"/>
  <c r="F28" i="13" s="1"/>
  <c r="B22" i="13"/>
  <c r="E76" i="11"/>
  <c r="F20" i="13" s="1"/>
  <c r="E53" i="11"/>
  <c r="F16" i="13" s="1"/>
  <c r="B20" i="13"/>
  <c r="E6" i="11"/>
  <c r="F6" i="13" s="1"/>
  <c r="D82" i="11" l="1"/>
  <c r="C76" i="11"/>
  <c r="H24" i="11"/>
  <c r="G10" i="13" s="1"/>
  <c r="E10" i="13" s="1"/>
  <c r="C22" i="37"/>
  <c r="G22" i="37" s="1"/>
  <c r="G29" i="12"/>
  <c r="D55" i="11"/>
  <c r="C55" i="11" s="1"/>
  <c r="D56" i="11"/>
  <c r="C56" i="11" s="1"/>
  <c r="G25" i="12"/>
  <c r="G32" i="12"/>
  <c r="H9" i="11"/>
  <c r="D79" i="11"/>
  <c r="D10" i="13"/>
  <c r="D6" i="13"/>
  <c r="D16" i="13"/>
  <c r="D12" i="13"/>
  <c r="C82" i="11" l="1"/>
  <c r="H82" i="11" s="1"/>
  <c r="H83" i="11" s="1"/>
  <c r="H56" i="11"/>
  <c r="C10" i="12"/>
  <c r="C10" i="37"/>
  <c r="G10" i="37" s="1"/>
  <c r="H55" i="11"/>
  <c r="C79" i="11"/>
  <c r="H79" i="11" s="1"/>
  <c r="H80" i="11" s="1"/>
  <c r="H10" i="11"/>
  <c r="H6" i="11" s="1"/>
  <c r="G6" i="13" s="1"/>
  <c r="H84" i="11" l="1"/>
  <c r="H76" i="11" s="1"/>
  <c r="G20" i="13" s="1"/>
  <c r="H57" i="11"/>
  <c r="N1668" i="1"/>
  <c r="D525" i="11" s="1"/>
  <c r="C525" i="11" s="1"/>
  <c r="G34" i="12" l="1"/>
  <c r="F1927" i="1"/>
  <c r="M1927" i="1" s="1"/>
  <c r="F1929" i="1" l="1"/>
  <c r="E487" i="11"/>
  <c r="F42" i="13" s="1"/>
  <c r="D487" i="11"/>
  <c r="C487" i="11" s="1"/>
  <c r="D538" i="11"/>
  <c r="D546" i="11" s="1"/>
  <c r="C36" i="37" s="1"/>
  <c r="D500" i="11"/>
  <c r="D613" i="11"/>
  <c r="C613" i="11" s="1"/>
  <c r="E500" i="11"/>
  <c r="F44" i="13" s="1"/>
  <c r="E591" i="11"/>
  <c r="E473" i="11"/>
  <c r="F40" i="13" s="1"/>
  <c r="E538" i="11"/>
  <c r="E513" i="11"/>
  <c r="F46" i="13" s="1"/>
  <c r="E613" i="11"/>
  <c r="F50" i="13" s="1"/>
  <c r="E86" i="11"/>
  <c r="E606" i="11"/>
  <c r="E562" i="11"/>
  <c r="E525" i="11"/>
  <c r="F48" i="13" s="1"/>
  <c r="E576" i="11"/>
  <c r="E85" i="11" l="1"/>
  <c r="F22" i="13"/>
  <c r="D509" i="11"/>
  <c r="C509" i="11" s="1"/>
  <c r="H509" i="11" s="1"/>
  <c r="C500" i="11"/>
  <c r="G36" i="37"/>
  <c r="M1929" i="1"/>
  <c r="N1930" i="1" s="1"/>
  <c r="D615" i="11"/>
  <c r="C615" i="11" s="1"/>
  <c r="D616" i="11"/>
  <c r="C616" i="11" s="1"/>
  <c r="D20" i="13"/>
  <c r="D508" i="11"/>
  <c r="C508" i="11" s="1"/>
  <c r="H508" i="11" s="1"/>
  <c r="H546" i="11"/>
  <c r="H547" i="11" s="1"/>
  <c r="D502" i="11"/>
  <c r="C502" i="11" s="1"/>
  <c r="H502" i="11" s="1"/>
  <c r="D504" i="11"/>
  <c r="C504" i="11" s="1"/>
  <c r="H504" i="11" s="1"/>
  <c r="D503" i="11"/>
  <c r="C503" i="11" s="1"/>
  <c r="H503" i="11" s="1"/>
  <c r="D495" i="11"/>
  <c r="C495" i="11" s="1"/>
  <c r="H495" i="11" s="1"/>
  <c r="D490" i="11"/>
  <c r="C490" i="11" s="1"/>
  <c r="H490" i="11" s="1"/>
  <c r="D492" i="11"/>
  <c r="C492" i="11" s="1"/>
  <c r="D496" i="11"/>
  <c r="C496" i="11" s="1"/>
  <c r="H496" i="11" s="1"/>
  <c r="D491" i="11"/>
  <c r="C491" i="11" s="1"/>
  <c r="H491" i="11" s="1"/>
  <c r="D505" i="11"/>
  <c r="C505" i="11" s="1"/>
  <c r="D620" i="11"/>
  <c r="C620" i="11" s="1"/>
  <c r="D617" i="11"/>
  <c r="C617" i="11" s="1"/>
  <c r="H617" i="11" s="1"/>
  <c r="D52" i="13"/>
  <c r="D24" i="13"/>
  <c r="D48" i="13"/>
  <c r="D50" i="13"/>
  <c r="D42" i="13"/>
  <c r="D44" i="13"/>
  <c r="H492" i="11" l="1"/>
  <c r="C25" i="37"/>
  <c r="G25" i="37" s="1"/>
  <c r="C35" i="12"/>
  <c r="H616" i="11"/>
  <c r="C55" i="37"/>
  <c r="G55" i="37" s="1"/>
  <c r="C65" i="12"/>
  <c r="H505" i="11"/>
  <c r="H506" i="11" s="1"/>
  <c r="C36" i="12"/>
  <c r="C26" i="37"/>
  <c r="G26" i="37" s="1"/>
  <c r="H615" i="11"/>
  <c r="C64" i="12"/>
  <c r="C54" i="37"/>
  <c r="G54" i="37" s="1"/>
  <c r="H620" i="11"/>
  <c r="H621" i="11" s="1"/>
  <c r="D19" i="34"/>
  <c r="H510" i="11"/>
  <c r="H497" i="11"/>
  <c r="H493" i="11"/>
  <c r="H618" i="11" l="1"/>
  <c r="H622" i="11" s="1"/>
  <c r="H511" i="11"/>
  <c r="H500" i="11" s="1"/>
  <c r="G44" i="13" s="1"/>
  <c r="H498" i="11"/>
  <c r="H487" i="11" s="1"/>
  <c r="G42" i="13" s="1"/>
  <c r="H613" i="11" l="1"/>
  <c r="G50" i="13" s="1"/>
  <c r="F61" i="12" l="1"/>
  <c r="G61" i="12"/>
  <c r="D13" i="34"/>
  <c r="D29" i="34"/>
  <c r="G58" i="12"/>
  <c r="G42" i="12"/>
  <c r="G65" i="12"/>
  <c r="G41" i="12"/>
  <c r="G43" i="12"/>
  <c r="G40" i="12"/>
  <c r="G44" i="12"/>
  <c r="G64" i="12"/>
  <c r="G59" i="12"/>
  <c r="G10" i="12"/>
  <c r="G35" i="12"/>
  <c r="G36" i="12"/>
  <c r="D9" i="34"/>
  <c r="F20" i="12"/>
  <c r="D14" i="34"/>
  <c r="G543" i="11" l="1"/>
  <c r="G544" i="11"/>
  <c r="G546" i="11"/>
  <c r="N1924" i="1" l="1"/>
  <c r="D64" i="11" l="1"/>
  <c r="C64" i="11" s="1"/>
  <c r="D72" i="11" l="1"/>
  <c r="C72" i="11" s="1"/>
  <c r="H72" i="11" s="1"/>
  <c r="D18" i="13"/>
  <c r="D67" i="11"/>
  <c r="C67" i="11" s="1"/>
  <c r="D66" i="11"/>
  <c r="C66" i="11" s="1"/>
  <c r="D68" i="11"/>
  <c r="C68" i="11" s="1"/>
  <c r="D71" i="11"/>
  <c r="C71" i="11" s="1"/>
  <c r="H71" i="11" s="1"/>
  <c r="D60" i="11"/>
  <c r="C60" i="11" s="1"/>
  <c r="D59" i="11"/>
  <c r="C59" i="11" s="1"/>
  <c r="H59" i="11" l="1"/>
  <c r="H68" i="11"/>
  <c r="H60" i="11"/>
  <c r="H66" i="11"/>
  <c r="H67" i="11"/>
  <c r="H73" i="11"/>
  <c r="H61" i="11" l="1"/>
  <c r="H62" i="11" s="1"/>
  <c r="H53" i="11" s="1"/>
  <c r="G16" i="13" s="1"/>
  <c r="H69" i="11"/>
  <c r="D606" i="11"/>
  <c r="H74" i="11" l="1"/>
  <c r="H64" i="11" s="1"/>
  <c r="G18" i="13" s="1"/>
  <c r="C6" i="13" l="1"/>
  <c r="E6" i="13" l="1"/>
  <c r="C16" i="13" l="1"/>
  <c r="E16" i="13" s="1"/>
  <c r="C12" i="13"/>
  <c r="E12" i="13" s="1"/>
  <c r="D591" i="11" l="1"/>
  <c r="D597" i="11" l="1"/>
  <c r="H597" i="11" s="1"/>
  <c r="D596" i="11"/>
  <c r="H596" i="11" s="1"/>
  <c r="D598" i="11"/>
  <c r="C50" i="37" s="1"/>
  <c r="D602" i="11"/>
  <c r="H602" i="11" s="1"/>
  <c r="D601" i="11"/>
  <c r="H601" i="11" s="1"/>
  <c r="D562" i="11"/>
  <c r="G50" i="37" l="1"/>
  <c r="D565" i="11"/>
  <c r="C39" i="37" s="1"/>
  <c r="D564" i="11"/>
  <c r="C38" i="37" s="1"/>
  <c r="D566" i="11"/>
  <c r="C40" i="37" s="1"/>
  <c r="D571" i="11"/>
  <c r="D28" i="34" s="1"/>
  <c r="D567" i="11"/>
  <c r="H603" i="11"/>
  <c r="H598" i="11"/>
  <c r="H599" i="11" s="1"/>
  <c r="G60" i="12"/>
  <c r="D568" i="11"/>
  <c r="C42" i="37" s="1"/>
  <c r="G40" i="37" l="1"/>
  <c r="G38" i="37"/>
  <c r="G42" i="37"/>
  <c r="G39" i="37"/>
  <c r="H604" i="11"/>
  <c r="H566" i="11"/>
  <c r="G50" i="12"/>
  <c r="H568" i="11"/>
  <c r="G52" i="12"/>
  <c r="H564" i="11"/>
  <c r="H565" i="11"/>
  <c r="G49" i="12"/>
  <c r="D534" i="11"/>
  <c r="C534" i="11" s="1"/>
  <c r="D530" i="11"/>
  <c r="C530" i="11" l="1"/>
  <c r="H534" i="11"/>
  <c r="H535" i="11" s="1"/>
  <c r="H591" i="11"/>
  <c r="G37" i="12"/>
  <c r="G48" i="12"/>
  <c r="H530" i="11" l="1"/>
  <c r="H532" i="11" s="1"/>
  <c r="H536" i="11" s="1"/>
  <c r="H525" i="11" s="1"/>
  <c r="G48" i="13" s="1"/>
  <c r="C13" i="37"/>
  <c r="G13" i="37" s="1"/>
  <c r="C13" i="12"/>
  <c r="G47" i="12"/>
  <c r="N1393" i="1"/>
  <c r="D459" i="11" s="1"/>
  <c r="G45" i="12"/>
  <c r="D549" i="11"/>
  <c r="D572" i="11"/>
  <c r="H572" i="11" s="1"/>
  <c r="D463" i="11" l="1"/>
  <c r="C463" i="11" s="1"/>
  <c r="C459" i="11"/>
  <c r="C461" i="11" s="1"/>
  <c r="F31" i="12"/>
  <c r="D461" i="11"/>
  <c r="D369" i="11"/>
  <c r="C369" i="11" s="1"/>
  <c r="H549" i="11"/>
  <c r="H550" i="11" s="1"/>
  <c r="H551" i="11" s="1"/>
  <c r="H538" i="11" s="1"/>
  <c r="H571" i="11"/>
  <c r="H573" i="11" s="1"/>
  <c r="H567" i="11"/>
  <c r="H569" i="11" s="1"/>
  <c r="D372" i="11"/>
  <c r="G46" i="12"/>
  <c r="D576" i="11"/>
  <c r="H463" i="11" l="1"/>
  <c r="C31" i="12"/>
  <c r="G31" i="12" s="1"/>
  <c r="H369" i="11"/>
  <c r="H370" i="11" s="1"/>
  <c r="D465" i="11"/>
  <c r="C465" i="11" s="1"/>
  <c r="H465" i="11" s="1"/>
  <c r="D469" i="11"/>
  <c r="C469" i="11" s="1"/>
  <c r="H469" i="11" s="1"/>
  <c r="D468" i="11"/>
  <c r="C468" i="11" s="1"/>
  <c r="H468" i="11" s="1"/>
  <c r="D579" i="11"/>
  <c r="C44" i="37" s="1"/>
  <c r="D578" i="11"/>
  <c r="C43" i="37" s="1"/>
  <c r="D586" i="11"/>
  <c r="D580" i="11"/>
  <c r="C45" i="37" s="1"/>
  <c r="D374" i="11"/>
  <c r="C374" i="11" s="1"/>
  <c r="D375" i="11"/>
  <c r="C375" i="11" s="1"/>
  <c r="H375" i="11" s="1"/>
  <c r="H574" i="11"/>
  <c r="H562" i="11" s="1"/>
  <c r="G12" i="12"/>
  <c r="D582" i="11"/>
  <c r="C47" i="37" s="1"/>
  <c r="C52" i="13"/>
  <c r="E52" i="13" s="1"/>
  <c r="C50" i="13"/>
  <c r="E50" i="13" s="1"/>
  <c r="C48" i="13"/>
  <c r="E48" i="13" s="1"/>
  <c r="D581" i="11"/>
  <c r="C46" i="37" s="1"/>
  <c r="D86" i="11"/>
  <c r="C86" i="11" s="1"/>
  <c r="D583" i="11"/>
  <c r="D587" i="11"/>
  <c r="C41" i="37" s="1"/>
  <c r="H374" i="11" l="1"/>
  <c r="H376" i="11" s="1"/>
  <c r="C75" i="12"/>
  <c r="G75" i="12" s="1"/>
  <c r="C65" i="37"/>
  <c r="G65" i="37" s="1"/>
  <c r="G44" i="37"/>
  <c r="D22" i="13"/>
  <c r="G46" i="37"/>
  <c r="G47" i="37"/>
  <c r="G45" i="37"/>
  <c r="C21" i="37"/>
  <c r="G21" i="37" s="1"/>
  <c r="H587" i="11"/>
  <c r="G41" i="37"/>
  <c r="H578" i="11"/>
  <c r="G43" i="37"/>
  <c r="H466" i="11"/>
  <c r="H470" i="11"/>
  <c r="K86" i="11"/>
  <c r="C20" i="13"/>
  <c r="E20" i="13" s="1"/>
  <c r="C22" i="13"/>
  <c r="G53" i="12"/>
  <c r="H583" i="11"/>
  <c r="G51" i="12"/>
  <c r="H579" i="11"/>
  <c r="G54" i="12"/>
  <c r="H581" i="11"/>
  <c r="G56" i="12"/>
  <c r="H582" i="11"/>
  <c r="G57" i="12"/>
  <c r="H586" i="11"/>
  <c r="H580" i="11"/>
  <c r="G55" i="12"/>
  <c r="C18" i="13"/>
  <c r="E18" i="13" s="1"/>
  <c r="H588" i="11" l="1"/>
  <c r="K95" i="11"/>
  <c r="O95" i="11" s="1"/>
  <c r="K90" i="11"/>
  <c r="O90" i="11" s="1"/>
  <c r="K92" i="11"/>
  <c r="O92" i="11" s="1"/>
  <c r="K96" i="11"/>
  <c r="O96" i="11" s="1"/>
  <c r="K97" i="11"/>
  <c r="O97" i="11" s="1"/>
  <c r="K89" i="11"/>
  <c r="O89" i="11" s="1"/>
  <c r="K91" i="11"/>
  <c r="O91" i="11" s="1"/>
  <c r="H98" i="11"/>
  <c r="G14" i="12"/>
  <c r="H377" i="11"/>
  <c r="H361" i="11" s="1"/>
  <c r="G26" i="13" s="1"/>
  <c r="E26" i="13" s="1"/>
  <c r="H471" i="11"/>
  <c r="H458" i="11" s="1"/>
  <c r="G38" i="13" s="1"/>
  <c r="C24" i="13"/>
  <c r="E24" i="13" s="1"/>
  <c r="H584" i="11"/>
  <c r="G13" i="12"/>
  <c r="C20" i="37"/>
  <c r="G20" i="37" s="1"/>
  <c r="G11" i="12"/>
  <c r="G21" i="12"/>
  <c r="H93" i="11" l="1"/>
  <c r="O93" i="11"/>
  <c r="O98" i="11"/>
  <c r="G20" i="12"/>
  <c r="H589" i="11"/>
  <c r="H99" i="11" l="1"/>
  <c r="H86" i="11" s="1"/>
  <c r="G22" i="13" s="1"/>
  <c r="O99" i="11"/>
  <c r="O86" i="11" s="1"/>
  <c r="H576" i="11"/>
  <c r="D513" i="11"/>
  <c r="C513" i="11" s="1"/>
  <c r="E22" i="13" l="1"/>
  <c r="D46" i="13"/>
  <c r="D520" i="11"/>
  <c r="C520" i="11" s="1"/>
  <c r="H520" i="11" s="1"/>
  <c r="D521" i="11"/>
  <c r="C521" i="11" s="1"/>
  <c r="H521" i="11" s="1"/>
  <c r="C44" i="13"/>
  <c r="E44" i="13" s="1"/>
  <c r="D516" i="11"/>
  <c r="C516" i="11" s="1"/>
  <c r="H516" i="11" s="1"/>
  <c r="D515" i="11"/>
  <c r="C515" i="11" s="1"/>
  <c r="H515" i="11" s="1"/>
  <c r="C46" i="13"/>
  <c r="D517" i="11" l="1"/>
  <c r="H522" i="11"/>
  <c r="G76" i="12"/>
  <c r="C517" i="11" l="1"/>
  <c r="H517" i="11" l="1"/>
  <c r="H518" i="11" s="1"/>
  <c r="H523" i="11" s="1"/>
  <c r="C17" i="12"/>
  <c r="G17" i="12" s="1"/>
  <c r="C17" i="37"/>
  <c r="G17" i="37" s="1"/>
  <c r="H513" i="11" l="1"/>
  <c r="G46" i="13" s="1"/>
  <c r="E46" i="13" s="1"/>
  <c r="C9" i="33"/>
  <c r="G9" i="33" l="1"/>
  <c r="G7" i="33" s="1"/>
  <c r="G102" i="33" s="1"/>
  <c r="C27" i="34"/>
  <c r="G27" i="34" s="1"/>
  <c r="G30" i="34" s="1"/>
  <c r="G7" i="35" l="1"/>
  <c r="G28" i="35" s="1"/>
  <c r="I7" i="33"/>
  <c r="I102" i="33" s="1"/>
  <c r="L102" i="33" s="1"/>
  <c r="D8" i="36"/>
  <c r="G31" i="34"/>
  <c r="E7" i="35" l="1"/>
  <c r="E8" i="36"/>
  <c r="E11" i="36" s="1"/>
  <c r="D473" i="11"/>
  <c r="C473" i="11" s="1"/>
  <c r="D40" i="13" l="1"/>
  <c r="D482" i="11"/>
  <c r="C482" i="11" s="1"/>
  <c r="C42" i="13"/>
  <c r="E42" i="13" s="1"/>
  <c r="D478" i="11"/>
  <c r="D477" i="11"/>
  <c r="D483" i="11"/>
  <c r="C483" i="11" s="1"/>
  <c r="H483" i="11" s="1"/>
  <c r="D476" i="11"/>
  <c r="C40" i="13"/>
  <c r="C476" i="11" l="1"/>
  <c r="C477" i="11"/>
  <c r="C478" i="11"/>
  <c r="H482" i="11"/>
  <c r="H484" i="11" s="1"/>
  <c r="C73" i="12"/>
  <c r="G73" i="12" s="1"/>
  <c r="C63" i="37"/>
  <c r="G63" i="37" s="1"/>
  <c r="H478" i="11" l="1"/>
  <c r="C9" i="12"/>
  <c r="G9" i="12" s="1"/>
  <c r="C9" i="37"/>
  <c r="G9" i="37" s="1"/>
  <c r="H477" i="11"/>
  <c r="C8" i="37"/>
  <c r="G8" i="37" s="1"/>
  <c r="C8" i="12"/>
  <c r="G8" i="12" s="1"/>
  <c r="H476" i="11"/>
  <c r="C7" i="12"/>
  <c r="G7" i="12" s="1"/>
  <c r="C7" i="37"/>
  <c r="G7" i="37" s="1"/>
  <c r="N806" i="1"/>
  <c r="D380" i="11" s="1"/>
  <c r="H480" i="11" l="1"/>
  <c r="H485" i="11" s="1"/>
  <c r="H473" i="11" s="1"/>
  <c r="G40" i="13" s="1"/>
  <c r="E40" i="13" s="1"/>
  <c r="D383" i="11"/>
  <c r="C380" i="11"/>
  <c r="C381" i="11" s="1"/>
  <c r="D381" i="11"/>
  <c r="F19" i="12" l="1"/>
  <c r="C383" i="11"/>
  <c r="D388" i="11"/>
  <c r="C388" i="11" s="1"/>
  <c r="D387" i="11"/>
  <c r="C387" i="11" s="1"/>
  <c r="D384" i="11"/>
  <c r="C384" i="11" s="1"/>
  <c r="H384" i="11" l="1"/>
  <c r="H387" i="11"/>
  <c r="H388" i="11"/>
  <c r="H383" i="11"/>
  <c r="C19" i="12"/>
  <c r="G19" i="12" s="1"/>
  <c r="D15" i="34"/>
  <c r="D26" i="34"/>
  <c r="H385" i="11" l="1"/>
  <c r="H389" i="11"/>
  <c r="H390" i="11" l="1"/>
  <c r="H379" i="11" s="1"/>
  <c r="G28" i="13" s="1"/>
  <c r="D379" i="11" l="1"/>
  <c r="C379" i="11" s="1"/>
  <c r="C28" i="13" l="1"/>
  <c r="E28" i="13" s="1"/>
  <c r="D28" i="13"/>
  <c r="N831" i="1"/>
  <c r="D408" i="11"/>
  <c r="N1389" i="1"/>
  <c r="D411" i="11" l="1"/>
  <c r="D416" i="11" s="1"/>
  <c r="C416" i="11" s="1"/>
  <c r="D413" i="11"/>
  <c r="C413" i="11" s="1"/>
  <c r="C408" i="11"/>
  <c r="C411" i="11" s="1"/>
  <c r="D407" i="11"/>
  <c r="C407" i="11" s="1"/>
  <c r="F22" i="12"/>
  <c r="N1390" i="1"/>
  <c r="N1380" i="1" s="1"/>
  <c r="D458" i="11" s="1"/>
  <c r="C458" i="11" s="1"/>
  <c r="H413" i="11" l="1"/>
  <c r="C22" i="12"/>
  <c r="H416" i="11"/>
  <c r="C23" i="37"/>
  <c r="G23" i="37" s="1"/>
  <c r="C33" i="12"/>
  <c r="D38" i="13"/>
  <c r="C32" i="13"/>
  <c r="D32" i="13"/>
  <c r="C38" i="13"/>
  <c r="E38" i="13" s="1"/>
  <c r="D420" i="11"/>
  <c r="D419" i="11"/>
  <c r="C419" i="11" s="1"/>
  <c r="C420" i="11" l="1"/>
  <c r="H419" i="11"/>
  <c r="C67" i="37"/>
  <c r="G67" i="37" s="1"/>
  <c r="C77" i="12"/>
  <c r="G77" i="12" s="1"/>
  <c r="G22" i="12"/>
  <c r="C19" i="37"/>
  <c r="H19" i="12"/>
  <c r="G33" i="12"/>
  <c r="G71" i="12" l="1"/>
  <c r="H420" i="11"/>
  <c r="H421" i="11" s="1"/>
  <c r="H646" i="11" s="1"/>
  <c r="H70" i="37" s="1"/>
  <c r="C74" i="12"/>
  <c r="G74" i="12" s="1"/>
  <c r="G80" i="12" s="1"/>
  <c r="C64" i="37"/>
  <c r="G64" i="37" s="1"/>
  <c r="G70" i="37" s="1"/>
  <c r="D7" i="23" s="1"/>
  <c r="H19" i="37"/>
  <c r="G19" i="37"/>
  <c r="G61" i="37" s="1"/>
  <c r="H417" i="11"/>
  <c r="H647" i="11" s="1"/>
  <c r="I70" i="37" l="1"/>
  <c r="G71" i="37"/>
  <c r="D6" i="23"/>
  <c r="D9" i="23" s="1"/>
  <c r="H71" i="12"/>
  <c r="I71" i="12" s="1"/>
  <c r="H61" i="37"/>
  <c r="H80" i="12"/>
  <c r="I80" i="12" s="1"/>
  <c r="I647" i="11"/>
  <c r="H422" i="11"/>
  <c r="H648" i="11" s="1"/>
  <c r="G81" i="12"/>
  <c r="G82" i="12" l="1"/>
  <c r="G83" i="12" s="1"/>
  <c r="H649" i="11"/>
  <c r="H650" i="11" s="1"/>
  <c r="G72" i="37"/>
  <c r="G73" i="37" s="1"/>
  <c r="G74" i="37" s="1"/>
  <c r="G14" i="23" s="1"/>
  <c r="D11" i="23"/>
  <c r="H58" i="13"/>
  <c r="H71" i="37"/>
  <c r="H72" i="37" s="1"/>
  <c r="H81" i="12"/>
  <c r="H82" i="12" s="1"/>
  <c r="J647" i="11"/>
  <c r="J643" i="11"/>
  <c r="H407" i="11"/>
  <c r="I644" i="11"/>
  <c r="G32" i="13" l="1"/>
  <c r="H652" i="11"/>
  <c r="G85" i="12"/>
  <c r="H74" i="37" s="1"/>
  <c r="D12" i="23"/>
  <c r="D13" i="23" s="1"/>
  <c r="E32" i="13" l="1"/>
  <c r="G58" i="13"/>
  <c r="G59" i="13" s="1"/>
  <c r="G60" i="13" s="1"/>
  <c r="D14" i="23"/>
  <c r="I58" i="13" l="1"/>
  <c r="G62" i="13"/>
  <c r="D15" i="23"/>
  <c r="H14" i="23"/>
  <c r="C6" i="15" l="1"/>
  <c r="C10" i="15" s="1"/>
  <c r="C12" i="15" s="1"/>
  <c r="D18" i="23"/>
  <c r="G15" i="23"/>
  <c r="D20" i="23"/>
  <c r="C15" i="15" l="1"/>
  <c r="C18" i="15"/>
  <c r="F12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37" authorId="0" shapeId="0" xr:uid="{D9AADFDC-083D-47B7-9FCC-521AD87ED0E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47" authorId="0" shapeId="0" xr:uid="{A1F1FDA8-F4E9-4536-A041-2C1A98B93D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53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2.2 Gal</t>
        </r>
      </text>
    </comment>
    <comment ref="B555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223" authorId="0" shapeId="0" xr:uid="{E75904C3-7C18-4079-B1FB-2F0CC166579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  <comment ref="A1786" authorId="0" shapeId="0" xr:uid="{93ACFE86-9F79-4A89-B967-E1F5C4CC2B8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to fill in formwork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2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teak panel
</t>
        </r>
      </text>
    </comment>
    <comment ref="B3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36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  <comment ref="B58" authorId="0" shapeId="0" xr:uid="{3448A762-7271-40F1-A50A-C285A5A4C629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fully glass panel</t>
        </r>
      </text>
    </comment>
  </commentList>
</comments>
</file>

<file path=xl/sharedStrings.xml><?xml version="1.0" encoding="utf-8"?>
<sst xmlns="http://schemas.openxmlformats.org/spreadsheetml/2006/main" count="5381" uniqueCount="810">
  <si>
    <t>Builder's Estimate</t>
  </si>
  <si>
    <t>Particular</t>
  </si>
  <si>
    <t>Quantity</t>
  </si>
  <si>
    <t>Unit</t>
  </si>
  <si>
    <t xml:space="preserve">Rate </t>
  </si>
  <si>
    <t xml:space="preserve">Per </t>
  </si>
  <si>
    <t>Amount</t>
  </si>
  <si>
    <t>Bill  Of  Quantity</t>
  </si>
  <si>
    <t>No</t>
  </si>
  <si>
    <t>Abstract  Of  Cost</t>
  </si>
  <si>
    <t>Nos</t>
  </si>
  <si>
    <t>Measurement</t>
  </si>
  <si>
    <t>B(Ft)</t>
  </si>
  <si>
    <t>H(Ft)</t>
  </si>
  <si>
    <t>Deduc-</t>
  </si>
  <si>
    <t>tion</t>
  </si>
  <si>
    <t>Content</t>
  </si>
  <si>
    <t xml:space="preserve">Total  </t>
  </si>
  <si>
    <t>Of  Each</t>
  </si>
  <si>
    <t>Sft</t>
  </si>
  <si>
    <t>Foundation</t>
  </si>
  <si>
    <t>Cft</t>
  </si>
  <si>
    <t>Topping   Work</t>
  </si>
  <si>
    <t xml:space="preserve"> 1:3  Cement  Mortar</t>
  </si>
  <si>
    <t>Deduction</t>
  </si>
  <si>
    <t>Lbs</t>
  </si>
  <si>
    <t>Rft</t>
  </si>
  <si>
    <t xml:space="preserve">(a)Site  Clearing  </t>
  </si>
  <si>
    <t>Labours</t>
  </si>
  <si>
    <t>Materials</t>
  </si>
  <si>
    <t>Ton</t>
  </si>
  <si>
    <t>Viss</t>
  </si>
  <si>
    <t>Sud</t>
  </si>
  <si>
    <t>Bag</t>
  </si>
  <si>
    <t>Dz</t>
  </si>
  <si>
    <t>Gal</t>
  </si>
  <si>
    <t>Sand</t>
  </si>
  <si>
    <t>Worker</t>
  </si>
  <si>
    <t>Labour</t>
  </si>
  <si>
    <t>Total  Materials  &amp;  Labours   Cost</t>
  </si>
  <si>
    <t>Materials  &amp; Labours</t>
  </si>
  <si>
    <t>Putty  (Walling)</t>
  </si>
  <si>
    <t>Detail  Of  Measurement</t>
  </si>
  <si>
    <t>Step</t>
  </si>
  <si>
    <t>Bamboo,One  Layer</t>
  </si>
  <si>
    <t>Bamboo</t>
  </si>
  <si>
    <t>Coir  Yarn</t>
  </si>
  <si>
    <t>4" Butt  Hinge</t>
  </si>
  <si>
    <t>6"  Towel  Bolt</t>
  </si>
  <si>
    <t>Roller</t>
  </si>
  <si>
    <t>Sand  Paper</t>
  </si>
  <si>
    <t>4"  Paint  Brush</t>
  </si>
  <si>
    <t>Waist slab</t>
  </si>
  <si>
    <t>Landing slab</t>
  </si>
  <si>
    <t>Flooring Work</t>
  </si>
  <si>
    <t>Sqft</t>
  </si>
  <si>
    <t>Tiling  Work  With  1:3  cement mortar</t>
  </si>
  <si>
    <t>Fuel</t>
  </si>
  <si>
    <t>Jungle Wood</t>
  </si>
  <si>
    <t>Wire Nail</t>
  </si>
  <si>
    <t>Binding Wire</t>
  </si>
  <si>
    <t>Red Oxide</t>
  </si>
  <si>
    <t>Turpentine</t>
  </si>
  <si>
    <t>Mason</t>
  </si>
  <si>
    <t>Carpenter</t>
  </si>
  <si>
    <t>Steel Fixer</t>
  </si>
  <si>
    <t>Smith</t>
  </si>
  <si>
    <t>Machine Driver</t>
  </si>
  <si>
    <t>6" x 9" Stone</t>
  </si>
  <si>
    <t>lbs</t>
  </si>
  <si>
    <t>Pyingadoo  Wood</t>
  </si>
  <si>
    <t>6"  Hand  Rail</t>
  </si>
  <si>
    <t>Painter</t>
  </si>
  <si>
    <t>Total Labour</t>
  </si>
  <si>
    <t>Grand Total  ( M+ L)</t>
  </si>
  <si>
    <t>Dismentaling Work</t>
  </si>
  <si>
    <t>Material Cost</t>
  </si>
  <si>
    <t>Item</t>
  </si>
  <si>
    <t>Rate</t>
  </si>
  <si>
    <t>Per</t>
  </si>
  <si>
    <t>Suds</t>
  </si>
  <si>
    <t>Material</t>
  </si>
  <si>
    <t>Bags</t>
  </si>
  <si>
    <t xml:space="preserve">Amount </t>
  </si>
  <si>
    <t>Kyats</t>
  </si>
  <si>
    <t>M+L</t>
  </si>
  <si>
    <t>Deduct</t>
  </si>
  <si>
    <t>x</t>
  </si>
  <si>
    <t>Footing To Ground  Floor</t>
  </si>
  <si>
    <t>Ground Floor</t>
  </si>
  <si>
    <t>Total</t>
  </si>
  <si>
    <t>Doors Area</t>
  </si>
  <si>
    <t>(c ) Plinth Area</t>
  </si>
  <si>
    <t xml:space="preserve">Brick( 8 Hole Brick ) </t>
  </si>
  <si>
    <t>5-plywood ( 5 mm )</t>
  </si>
  <si>
    <t>Ø 16mm Deform Bar</t>
  </si>
  <si>
    <t>Iron Grill Work ( M + L )</t>
  </si>
  <si>
    <t>Stainless Steel Handrail Work ( M + L )</t>
  </si>
  <si>
    <t>8" x 8" Tiles</t>
  </si>
  <si>
    <t>Emulsion Paint</t>
  </si>
  <si>
    <t>Enamel Paint</t>
  </si>
  <si>
    <t>Wood Screw</t>
  </si>
  <si>
    <t>Cement</t>
  </si>
  <si>
    <t>16 mm</t>
  </si>
  <si>
    <t>(b) Retaining  Wall</t>
  </si>
  <si>
    <t>Short Direction</t>
  </si>
  <si>
    <t>Long Direction</t>
  </si>
  <si>
    <t>Total Rft</t>
  </si>
  <si>
    <t>Total Ton</t>
  </si>
  <si>
    <t>Ground Floor Area</t>
  </si>
  <si>
    <t>First Floor</t>
  </si>
  <si>
    <t>Earth  Filling  &amp;  Watering  Work</t>
  </si>
  <si>
    <t>Door &amp; Window Work</t>
  </si>
  <si>
    <t>Making  &amp;  Fixing Fully  Pannel Door</t>
  </si>
  <si>
    <t>(a)Ø 16mm Deform Bar</t>
  </si>
  <si>
    <t>Deform Bar Total</t>
  </si>
  <si>
    <t>=</t>
  </si>
  <si>
    <t>1½" thk; 1:2:4 Cement  Concrete</t>
  </si>
  <si>
    <t>Putty  Trowel</t>
  </si>
  <si>
    <t xml:space="preserve"> Plastic  Emulsion Three Coats &amp; Surface Preparation Before Painting With Putty  </t>
  </si>
  <si>
    <t xml:space="preserve">Enemal Painting Three Coats With Ready Mixed Oil Paint  </t>
  </si>
  <si>
    <t>2"  Paint  Brush</t>
  </si>
  <si>
    <t>Scaffolding  Works  With  Bamboo ,Double Layer</t>
  </si>
  <si>
    <t>Aggregate</t>
  </si>
  <si>
    <t>Coal Tar</t>
  </si>
  <si>
    <t>Bottle</t>
  </si>
  <si>
    <t>Hook &amp; Eye</t>
  </si>
  <si>
    <t>8" x 10" Tiles</t>
  </si>
  <si>
    <t>Labour  (Structure  Of  Roof)</t>
  </si>
  <si>
    <t>X-met (2-1/2" Wide)</t>
  </si>
  <si>
    <t>Details of Measurement</t>
  </si>
  <si>
    <t>Sr No</t>
  </si>
  <si>
    <t>Total of Each</t>
  </si>
  <si>
    <t>L(ft-in)</t>
  </si>
  <si>
    <t>B(ft-in)</t>
  </si>
  <si>
    <t>H(ft-in)</t>
  </si>
  <si>
    <t>Earth Work in Excavation for foundation in medium soil to a depth of  (5)ft .</t>
  </si>
  <si>
    <t>Drain</t>
  </si>
  <si>
    <t>Apron</t>
  </si>
  <si>
    <t>4-1/2" Thk; Brick Walling In Cement Mortar (1:3) Reinforced At Every 4th Course .</t>
  </si>
  <si>
    <t xml:space="preserve"> ( Kyats )</t>
  </si>
  <si>
    <t>Total Amount</t>
  </si>
  <si>
    <t>Bill of Quantity</t>
  </si>
  <si>
    <t>Total Material Cost</t>
  </si>
  <si>
    <t>Labour Cost</t>
  </si>
  <si>
    <t>Total Labour Cost</t>
  </si>
  <si>
    <t>Abstract of Cost</t>
  </si>
  <si>
    <t xml:space="preserve">Total Material + Labour Cost </t>
  </si>
  <si>
    <t xml:space="preserve">Summary of Cost </t>
  </si>
  <si>
    <t>Material Cost (Kyats)</t>
  </si>
  <si>
    <t>Labour Cost (Kyats)</t>
  </si>
  <si>
    <t>Total (Kyats)</t>
  </si>
  <si>
    <t>Apron &amp; Drain Work</t>
  </si>
  <si>
    <t>Grand Total (M+L)</t>
  </si>
  <si>
    <t>Scope Of Work</t>
  </si>
  <si>
    <t>Earthwork Excavation</t>
  </si>
  <si>
    <t>Brick Work with (1:3) Cement Mortar</t>
  </si>
  <si>
    <t>Plastering Work with (1:3) Cement Mortar</t>
  </si>
  <si>
    <t>3" Thk; (1:3:6) Lean Concrete Work</t>
  </si>
  <si>
    <t>3" Thk; Sand Filling Work</t>
  </si>
  <si>
    <r>
      <rPr>
        <sz val="10.5"/>
        <rFont val="Cambria"/>
        <family val="1"/>
      </rPr>
      <t xml:space="preserve"> Project </t>
    </r>
    <r>
      <rPr>
        <sz val="10.5"/>
        <rFont val="Zawgyi-One"/>
        <family val="2"/>
      </rPr>
      <t xml:space="preserve">       : ပညာေရး၀န္ၾကီးဌာန၊ အဆင့္ျမင့္ပညာဦးစီးဌာန၊ ကေလးတကၠသိုလ္ ။</t>
    </r>
  </si>
  <si>
    <t xml:space="preserve"> Subject        :  (၄)ခန္းတြဲ (၂)ထပ္ ၀န္ထမ္းအိမ္ရာ (၁) လံုး တည္ေဆာက္ျခင္းလုပ္ငန္း။</t>
  </si>
  <si>
    <t>Work Item   : Main Building ( Civil Work )</t>
  </si>
  <si>
    <t>Hardcore Filling Work</t>
  </si>
  <si>
    <t>Sand  Filling  Work</t>
  </si>
  <si>
    <t xml:space="preserve"> </t>
  </si>
  <si>
    <t>1st Step</t>
  </si>
  <si>
    <t>2nd Step</t>
  </si>
  <si>
    <t>Waist slab Side</t>
  </si>
  <si>
    <t>4-1/2"x4-1/2" Stiffner Beam</t>
  </si>
  <si>
    <t>4-1/2"x4-1/2" Stiffner Column</t>
  </si>
  <si>
    <t>1st  Floor Area</t>
  </si>
  <si>
    <t>1st Floor Area</t>
  </si>
  <si>
    <t>Landing beam</t>
  </si>
  <si>
    <t>Deduction Doors &amp; Windows</t>
  </si>
  <si>
    <t>3/4" thk;  1:3 Cement  Mortar Plastering  Work</t>
  </si>
  <si>
    <t>2nd Step, Side</t>
  </si>
  <si>
    <t>Walling  (Exterior + Interior)</t>
  </si>
  <si>
    <t>(a)  Chowket  (Item  No- 13a)</t>
  </si>
  <si>
    <t>Ground  Floor Area</t>
  </si>
  <si>
    <t>(a) Walling Area( 8" x10")Tile</t>
  </si>
  <si>
    <t>For Exterior Wall</t>
  </si>
  <si>
    <t>White  Cement</t>
  </si>
  <si>
    <t>Door Lock</t>
  </si>
  <si>
    <t>Sht</t>
  </si>
  <si>
    <t>Sand Filling Work</t>
  </si>
  <si>
    <t>1:3:6 Lean Concrete Work</t>
  </si>
  <si>
    <t>1/2" tk: Plastering Work with (1:3) Cement Mortar .</t>
  </si>
  <si>
    <t>Work Item :   Main Building ( Civil Work ) Septic Tank(28'-0"x9'-0")</t>
  </si>
  <si>
    <t>Site Clearing &amp; Levelling</t>
  </si>
  <si>
    <t>Septic Tank</t>
  </si>
  <si>
    <t>6" Thk; Hard Core &amp; Sand Filling Work</t>
  </si>
  <si>
    <t>1:3:6 Lean Concrete Laying Work</t>
  </si>
  <si>
    <t>Base Slab</t>
  </si>
  <si>
    <t>Formwork &amp; Shuttering Work</t>
  </si>
  <si>
    <t>Cover Slab</t>
  </si>
  <si>
    <t>Mild Steel Work</t>
  </si>
  <si>
    <r>
      <t>10mm</t>
    </r>
    <r>
      <rPr>
        <sz val="11"/>
        <color rgb="FF0070C0"/>
        <rFont val="Zawgyi-One"/>
        <family val="2"/>
      </rPr>
      <t>Ø</t>
    </r>
    <r>
      <rPr>
        <sz val="11"/>
        <color rgb="FF0070C0"/>
        <rFont val="Calibri"/>
        <family val="2"/>
      </rPr>
      <t xml:space="preserve"> @ 6" c/c Both Way</t>
    </r>
  </si>
  <si>
    <t>(1:2:4) Cement Concrete Work</t>
  </si>
  <si>
    <t>8a</t>
  </si>
  <si>
    <t>9" thk; Brick  Work   With 1:3  Cement  Mortar</t>
  </si>
  <si>
    <t>28'-0" span</t>
  </si>
  <si>
    <t>9'-0" span</t>
  </si>
  <si>
    <t>8b</t>
  </si>
  <si>
    <t>4-1/2" thk; Brick  Work   With 1:3  Cement  Mortar</t>
  </si>
  <si>
    <t>1/2" Thk Plastering work with 1:3 Cement motor</t>
  </si>
  <si>
    <t>Work Item :   Main Building ( Civil Work ) Septic Tank</t>
  </si>
  <si>
    <t>Earthwork Excavation for Foundation</t>
  </si>
  <si>
    <t>Hard Core Filling Work</t>
  </si>
  <si>
    <t>(1:3:6) Lean Concrete laying Work</t>
  </si>
  <si>
    <t>Brick Work with 1:3 Cement motor</t>
  </si>
  <si>
    <t>1/2" Thk Plastering work in 1:3 Cement Motor</t>
  </si>
  <si>
    <t>Work Item    : Main Building ( Civil Work ) Septic Tank</t>
  </si>
  <si>
    <t>X-Direction</t>
  </si>
  <si>
    <t>Y-Direction</t>
  </si>
  <si>
    <t>1:3:6 Lean  Concrete  Laying Work</t>
  </si>
  <si>
    <t>(a)Footing (3" Thk Lean)</t>
  </si>
  <si>
    <t>1:3:6 Lean Concrete Laying Work (Footing+R/Wall)</t>
  </si>
  <si>
    <t>N.G.L to Plinth Level (1) No at Front of Bldg;</t>
  </si>
  <si>
    <t>2nd Step Side</t>
  </si>
  <si>
    <t>1st Step Side</t>
  </si>
  <si>
    <t>Step Side</t>
  </si>
  <si>
    <t>Landing beam Side</t>
  </si>
  <si>
    <t>Landing slab Side</t>
  </si>
  <si>
    <t>width</t>
  </si>
  <si>
    <t>Height</t>
  </si>
  <si>
    <t>9" &amp; above Thk Brick Retaining Wall</t>
  </si>
  <si>
    <t>9" Thk Retaining Wall</t>
  </si>
  <si>
    <t>Column</t>
  </si>
  <si>
    <t>Floor Beam</t>
  </si>
  <si>
    <t>RB1</t>
  </si>
  <si>
    <t>RB2</t>
  </si>
  <si>
    <t>1st Step, Side</t>
  </si>
  <si>
    <t>1st Floor</t>
  </si>
  <si>
    <t>Windows &amp; Fan</t>
  </si>
  <si>
    <t>(a)  Walling (Item  No-13)</t>
  </si>
  <si>
    <t>(b)  Door  (Item  No-14b)</t>
  </si>
  <si>
    <t>Main Building</t>
  </si>
  <si>
    <t>Earth  Work  Excavating Foundation in Ordinary Soil to a depth of 5Ft.</t>
  </si>
  <si>
    <t xml:space="preserve">Ready Made Teak Door Leaf </t>
  </si>
  <si>
    <t>Fully Glass Panel</t>
  </si>
  <si>
    <t xml:space="preserve">Brick( 10 Hole Brick ) </t>
  </si>
  <si>
    <t>Doz</t>
  </si>
  <si>
    <t>PVC  Window (Thailand)</t>
  </si>
  <si>
    <t xml:space="preserve">                                                                   </t>
  </si>
  <si>
    <t xml:space="preserve">Work Item     :   Apron &amp; Drain </t>
  </si>
  <si>
    <t>Earth Work in Excavation for foundation in Ordinary soil to a depth of  (5)ft .</t>
  </si>
  <si>
    <t>T-Post (3"x 2") Jungle Wood</t>
  </si>
  <si>
    <t>Cornic</t>
  </si>
  <si>
    <t>2nd Floor</t>
  </si>
  <si>
    <t>Potico</t>
  </si>
  <si>
    <t>Iron Grill Installation Work (M+L)</t>
  </si>
  <si>
    <r>
      <rPr>
        <sz val="10.5"/>
        <rFont val="Cambria"/>
        <family val="1"/>
      </rPr>
      <t xml:space="preserve">Project   </t>
    </r>
    <r>
      <rPr>
        <sz val="10.5"/>
        <rFont val="Zawgyi-One"/>
        <family val="2"/>
      </rPr>
      <t xml:space="preserve">       : ရန္ကုန္တိုင္းေဒသႀကီးအစိုးရအဖြဲ႔၊ ရန္ကုန္ၿမိဳ႕ေတာ္စည္ပင္သာယာေရးေကာ္မတီ။</t>
    </r>
  </si>
  <si>
    <r>
      <rPr>
        <sz val="10.5"/>
        <rFont val="Cambria"/>
        <family val="1"/>
        <scheme val="major"/>
      </rPr>
      <t>Tender No.</t>
    </r>
    <r>
      <rPr>
        <sz val="10.5"/>
        <rFont val="Zawgyi-One"/>
        <family val="2"/>
      </rPr>
      <t xml:space="preserve">   : </t>
    </r>
    <r>
      <rPr>
        <sz val="10.5"/>
        <rFont val="Cm"/>
      </rPr>
      <t>Lot (1)</t>
    </r>
  </si>
  <si>
    <r>
      <rPr>
        <sz val="10.5"/>
        <rFont val="Cambria"/>
        <family val="1"/>
        <scheme val="major"/>
      </rPr>
      <t>Subject</t>
    </r>
    <r>
      <rPr>
        <sz val="10.5"/>
        <rFont val="Zawgyi-One"/>
        <family val="2"/>
      </rPr>
      <t xml:space="preserve">        : ဒလၿမိဳ႕နယ္တြင္ (၁၅၀'-၀" x ၇၄'-၀") ၂ထပ္ RCC ၿမိဳ႕နယ္ခန္းမ (၁) ေဆာင္ တည္ေဆာက္ျခင္းလုပ္ငန္း။</t>
    </r>
  </si>
  <si>
    <t>L(Ft-in)</t>
  </si>
  <si>
    <t>(c) Flooring (4½" Thk Lean)</t>
  </si>
  <si>
    <t>Top Bar, 3-16mm Ø</t>
  </si>
  <si>
    <t>Bottom Bar, 3-16mm Ø</t>
  </si>
  <si>
    <t>Top Bar, 2-16mm Ø</t>
  </si>
  <si>
    <t>Bottom Bar, 2-16mm Ø</t>
  </si>
  <si>
    <t>Stirrup, 10mmØ @6" c/c</t>
  </si>
  <si>
    <t>4½" thk; Brick  Walling   With 1:3  Cement  Mortar</t>
  </si>
  <si>
    <t>Project          : Three Storeyed RCC Residential Building, Magway</t>
  </si>
  <si>
    <t>17'-6"   Span  at GL- 1</t>
  </si>
  <si>
    <t>16'-0"   Span  at GL- 1</t>
  </si>
  <si>
    <t xml:space="preserve">Mat Footing </t>
  </si>
  <si>
    <t>MF (35'-6" x 38'-6")</t>
  </si>
  <si>
    <t>17'-6"   Span  at GL- 1&amp;4</t>
  </si>
  <si>
    <t>16'-0"   Span  at GL- 1&amp;4</t>
  </si>
  <si>
    <t>17'-6"   Span  at GL- 2&amp;3</t>
  </si>
  <si>
    <t>16'-0"   Span  at GL- 2&amp;3</t>
  </si>
  <si>
    <t>7'-11"   Span  at betw; GL- 2&amp;3</t>
  </si>
  <si>
    <t>15'-7"   Span  at GL- A&amp;B</t>
  </si>
  <si>
    <t>15'-7"   Span  at GL- C</t>
  </si>
  <si>
    <t>14'-6"   Span  betw; GL- A&amp;B</t>
  </si>
  <si>
    <t>11'-0"   Span  betw; GL- 1&amp;2</t>
  </si>
  <si>
    <t>9'-0"   Span  at GL- A&amp;B</t>
  </si>
  <si>
    <t>9'-0"   Span  at GL- C</t>
  </si>
  <si>
    <t>9'-0"   Span  betw; GL-B&amp;C</t>
  </si>
  <si>
    <t>11'-11"   Span  at GL- A&amp;B</t>
  </si>
  <si>
    <t>11'-11"   Span  at GL- C</t>
  </si>
  <si>
    <t>(b) Retaining  Wall (6" Thk Lean)</t>
  </si>
  <si>
    <t>(17'-6"x11'-11") Span betw; GL A&amp;B and 3&amp;4</t>
  </si>
  <si>
    <t>(16'-0"x11'-11") Span betw; GL B&amp;C and 3&amp;4</t>
  </si>
  <si>
    <t>(17'-6"x9'-0") Span betw; GL A&amp;B and 2&amp;3</t>
  </si>
  <si>
    <t>(16'-0"x9'-0") Span betw; GL B&amp;C and 2&amp;3</t>
  </si>
  <si>
    <t>(17'-6"x15'-7") Span betw; GL A&amp;B and 1&amp;2</t>
  </si>
  <si>
    <t>(16'-0"x15'-7") Span betw; GL B&amp;C and 1&amp;2</t>
  </si>
  <si>
    <t>C1,C2,C3,C6,C9,C10,C11,C12 (12"x12")</t>
  </si>
  <si>
    <t>C4,C5,C7,C8 (14"x14")</t>
  </si>
  <si>
    <t>C1,C2,C3,C5,C6,C7,C8,C9,C10,C11,C12 (12"x12")</t>
  </si>
  <si>
    <t>C4(14"x14")</t>
  </si>
  <si>
    <t>C1 to C12 (12"x12")</t>
  </si>
  <si>
    <t>(b) Column Stump(BF to GF)</t>
  </si>
  <si>
    <t>(f) Basement  Beam</t>
  </si>
  <si>
    <t>BB1 (10"x10")</t>
  </si>
  <si>
    <t>(g) Ground  Beam</t>
  </si>
  <si>
    <t>GB1 (10"x10")</t>
  </si>
  <si>
    <t>7'-11"   Span  betw; GL- 2&amp;3</t>
  </si>
  <si>
    <t>9'-0"   Span  betw; GL- A&amp;C</t>
  </si>
  <si>
    <t>GB2 (10"x14")</t>
  </si>
  <si>
    <t>17'-6"   Span  at GL- 3</t>
  </si>
  <si>
    <t>16'-0"   Span  at GL- 3</t>
  </si>
  <si>
    <t>17'-6"   Span  at GL- 4</t>
  </si>
  <si>
    <t>16'-0"   Span  at GL- 4</t>
  </si>
  <si>
    <t>GB3 (10"x18")</t>
  </si>
  <si>
    <t>(h) First  Floor  Beam</t>
  </si>
  <si>
    <t>1FB1 (10"x10")</t>
  </si>
  <si>
    <t>6'-4"   Span  betw; GL- 1&amp;2 &amp; betw; GL-A&amp;B</t>
  </si>
  <si>
    <t>6'-4"   Span  betw; GL- 1&amp;2 &amp; betw; GL-B&amp;C</t>
  </si>
  <si>
    <t>9'-0"   Span  betw; GL- 2&amp;3 &amp; betw; GL-A&amp;B</t>
  </si>
  <si>
    <t>1FB2(0'-10"x0'-12")</t>
  </si>
  <si>
    <t>5'-4"   Span  betw; GL- 1&amp;2 &amp; betw; GL-A&amp;B</t>
  </si>
  <si>
    <t>1FB3(10"x14")</t>
  </si>
  <si>
    <t>15'-7"   Span  betw; GL- 1&amp;2 &amp; betw; GL-A&amp;C</t>
  </si>
  <si>
    <t>1FB4(10"x14")</t>
  </si>
  <si>
    <t>4'-0"   Span  at GL- A&amp;C</t>
  </si>
  <si>
    <t>1FB5(10"x18")</t>
  </si>
  <si>
    <t>1FB6(12"x14")</t>
  </si>
  <si>
    <t>1FB7(12"x16")</t>
  </si>
  <si>
    <t>4'-0"   Span  at GL- B</t>
  </si>
  <si>
    <t>1FB8(12"x18")</t>
  </si>
  <si>
    <t>17'-6"   Span  at GL- 2</t>
  </si>
  <si>
    <t>16'-0"   Span  at GL- 2</t>
  </si>
  <si>
    <t>33'-6"   Span  at GL- 4'</t>
  </si>
  <si>
    <t>(i) Second  Floor  Beam</t>
  </si>
  <si>
    <t>2FB1 (10"x10")</t>
  </si>
  <si>
    <t>2FB2(0'-10"x0'-14")</t>
  </si>
  <si>
    <t>16'-0"   Span  betw; GL- 1&amp;2 &amp; betw; GL-A&amp;C</t>
  </si>
  <si>
    <t>29'-6"   Span  at GL- 4'</t>
  </si>
  <si>
    <t>2FB3(0'-12"x0'-14")</t>
  </si>
  <si>
    <t>15'-7"   Span  at GL- A</t>
  </si>
  <si>
    <t>15'-7"   Span  at GL- B&amp;C</t>
  </si>
  <si>
    <t>9'-0"   Span  at GL- A</t>
  </si>
  <si>
    <t>9'-0"   Span  at GL- B&amp;C</t>
  </si>
  <si>
    <t>2FB4(0'-12"x0'-16")</t>
  </si>
  <si>
    <t>17'-6"   Span  at GL- 1,3&amp;4</t>
  </si>
  <si>
    <t>16'-0"   Span  at GL- 1to4</t>
  </si>
  <si>
    <t>4'-0" Span at GL-A', B&amp;C</t>
  </si>
  <si>
    <t>15'-7"   Span  betw; GL- A&amp;B</t>
  </si>
  <si>
    <t>11'-11"   Span  betw; GL- A&amp;B</t>
  </si>
  <si>
    <t>11'-11"   Span  at GL- AtoC</t>
  </si>
  <si>
    <t>(j) Roof  Beam</t>
  </si>
  <si>
    <t>RB1 (10"x10")</t>
  </si>
  <si>
    <t>RB2 (10"x14")</t>
  </si>
  <si>
    <t>16'-0"   Span  at GL- 1',3&amp;3'</t>
  </si>
  <si>
    <t>RB3 (12"x14")</t>
  </si>
  <si>
    <t>15'-7"   Span  at GL- A,A'&amp;C</t>
  </si>
  <si>
    <t>RB4 (12"x16")</t>
  </si>
  <si>
    <t>RB5 (12"x18")</t>
  </si>
  <si>
    <t>3'-7" Span at GL-A', B&amp;C</t>
  </si>
  <si>
    <t>9'-0"   Span  at GL- B</t>
  </si>
  <si>
    <t>(k)  Basement Floor  Slab</t>
  </si>
  <si>
    <t>BS1 (Two Way Slab)</t>
  </si>
  <si>
    <t>BS1 (17'-6" x9'-0")</t>
  </si>
  <si>
    <t>FS1 (Two Way Slab)</t>
  </si>
  <si>
    <t>FS1 (6'-4" x15'-7")</t>
  </si>
  <si>
    <t>FS1 (5'-4" x15'-7")</t>
  </si>
  <si>
    <t>FS1 (9'-5" x15'-7")</t>
  </si>
  <si>
    <t>FS1 (16'-0" x9'-0")</t>
  </si>
  <si>
    <t>FS1 (17'-6" x11'-11")</t>
  </si>
  <si>
    <t>FS1 (16'-0" x11'-11")</t>
  </si>
  <si>
    <t>FS2 (One Way Slab)</t>
  </si>
  <si>
    <t>FS2 (5'-10" x 15'-7")</t>
  </si>
  <si>
    <t>FS2 (4'-6" x 9'-0")</t>
  </si>
  <si>
    <t>FS2 (17'-6" x 4'-0")</t>
  </si>
  <si>
    <t>FS2 (16'-0" x 4'-0")</t>
  </si>
  <si>
    <t>FS1 (11'-2" x15'-7")</t>
  </si>
  <si>
    <t>FS1 (16'-0" x9'-11")</t>
  </si>
  <si>
    <t>FS1 (13'-6" x11'-11")</t>
  </si>
  <si>
    <t>FS2 (16'-0" x 5'-8")</t>
  </si>
  <si>
    <t>FS2 (13'-6" x 4'-0")</t>
  </si>
  <si>
    <t>GS1 (One Way Slab)</t>
  </si>
  <si>
    <t>GS1 (4'-0" x11'-11")</t>
  </si>
  <si>
    <t>RS1 (One Way Slab)</t>
  </si>
  <si>
    <t>RS1 (6'-4" x15'-7")</t>
  </si>
  <si>
    <t>RS1 (10'-3" x15'-7")</t>
  </si>
  <si>
    <t>RS1 (16'-0" x9'-11")</t>
  </si>
  <si>
    <t>RS1 (13'-6" x9'-0")</t>
  </si>
  <si>
    <t>RS1 (16'-0" x9'-0")</t>
  </si>
  <si>
    <t>RS2 (16'-0" x 5'-8")</t>
  </si>
  <si>
    <t>RS2 (One Way Slab)</t>
  </si>
  <si>
    <t>RS2 (4'-0" x 9'-0")</t>
  </si>
  <si>
    <t>RS2 (13'-6" x3'-7")</t>
  </si>
  <si>
    <t>RS2 (16'-0" x3'-7")</t>
  </si>
  <si>
    <t>Ground  Floor  To  First  Floor</t>
  </si>
  <si>
    <t>First  Floor  To  Second Floor</t>
  </si>
  <si>
    <t>External Wall</t>
  </si>
  <si>
    <t>17'-6" span(Back)</t>
  </si>
  <si>
    <t>17'-6" span(Front)</t>
  </si>
  <si>
    <t>16'-0" span(Front&amp;Back)</t>
  </si>
  <si>
    <t>15'-7" span(Left)</t>
  </si>
  <si>
    <t>15'-7" span(Right)</t>
  </si>
  <si>
    <t>9'-0" span(Left)</t>
  </si>
  <si>
    <t>9'-0" span(Right)</t>
  </si>
  <si>
    <t>11'-11" span(Left)</t>
  </si>
  <si>
    <t>11'-11" span(Right)</t>
  </si>
  <si>
    <t>12'-0" span (Stair)</t>
  </si>
  <si>
    <t>15'-7" span (SR &amp; BR)</t>
  </si>
  <si>
    <t>16'-0" span (MBR)</t>
  </si>
  <si>
    <t>9'-0" span (MBR)</t>
  </si>
  <si>
    <t>11'-11" span (MBR)</t>
  </si>
  <si>
    <t>7'-11" span (Bath)</t>
  </si>
  <si>
    <t>5'-7" span (Bath)</t>
  </si>
  <si>
    <t>13'-0" ht span</t>
  </si>
  <si>
    <t>Internal/Partition Wall</t>
  </si>
  <si>
    <t>8'-0" span (MB2, Bath)</t>
  </si>
  <si>
    <t>12'-0" ht span</t>
  </si>
  <si>
    <t>2nd Floor Area</t>
  </si>
  <si>
    <t>17'-6" span (Stair)</t>
  </si>
  <si>
    <t>8'-0" span (MB4, Bath)</t>
  </si>
  <si>
    <t>15'-7" span (MB4)</t>
  </si>
  <si>
    <t>11'-0" ht span</t>
  </si>
  <si>
    <t>D1 (6'-0"x8'-0")</t>
  </si>
  <si>
    <t>D2 (3'-3"x7'-2")</t>
  </si>
  <si>
    <t>D3 (3'-3"x7'-2")</t>
  </si>
  <si>
    <t>D4 (3'-3"x7'-2")</t>
  </si>
  <si>
    <t>W1 (2'-2"x5'-0")</t>
  </si>
  <si>
    <t>W3 (6'-2"x5'-0")</t>
  </si>
  <si>
    <t>W4 (6'-0"x6'-0")</t>
  </si>
  <si>
    <t>G1 (2'-0"x2'-0")</t>
  </si>
  <si>
    <t>G2 (3'-0"x2'-0")</t>
  </si>
  <si>
    <t>G4 (7'-0"x2'-10")</t>
  </si>
  <si>
    <t>D5 (7'-6"x9'-6")</t>
  </si>
  <si>
    <t>G3 (2'-0"x7'-0")</t>
  </si>
  <si>
    <t>W2 (4'-2"x5'-0")</t>
  </si>
  <si>
    <t>(a)Mat Footing</t>
  </si>
  <si>
    <t>Top Bar</t>
  </si>
  <si>
    <t>Bottom Bar</t>
  </si>
  <si>
    <t xml:space="preserve">16 mm Ø @6" c/c Main Bar </t>
  </si>
  <si>
    <t xml:space="preserve">16 mm Ø  @6" c/c Distribution Bar </t>
  </si>
  <si>
    <t xml:space="preserve">16 mm Ø @4" c/c Main Bar </t>
  </si>
  <si>
    <t>Chair Hook</t>
  </si>
  <si>
    <t xml:space="preserve">6nos-16 mm Ø  Main Bar </t>
  </si>
  <si>
    <t>10 mm Ø Stirrup @ 4" c/c at Lo</t>
  </si>
  <si>
    <t>Lapping Length</t>
  </si>
  <si>
    <t>C4,C7,C8 (14"x14")</t>
  </si>
  <si>
    <t xml:space="preserve">8nos-16 mm Ø  Main Bar </t>
  </si>
  <si>
    <t>10 mm Ø Stirrup @ 6" c/c at L1</t>
  </si>
  <si>
    <t>10 mm Ø Tie @ 4" c/c at Lo</t>
  </si>
  <si>
    <t>10 mm Ø Tie @ 6" c/c at L1</t>
  </si>
  <si>
    <t>C5 (14"x14")</t>
  </si>
  <si>
    <t xml:space="preserve">12nos-16 mm Ø  Main Bar </t>
  </si>
  <si>
    <t>Ground Floor  to 1st Floor Column</t>
  </si>
  <si>
    <t>1st Floor to 2nd Floor Column</t>
  </si>
  <si>
    <t>2nd Floor to Roof Floor Column</t>
  </si>
  <si>
    <t>C1,C2,C3,C4,C6,C9,C10,C11,C12 (12"x12")</t>
  </si>
  <si>
    <t>C5,C7,C8 (12"x12")</t>
  </si>
  <si>
    <t xml:space="preserve">10 mm Ø Tie @ 4" c/c </t>
  </si>
  <si>
    <t>13½" Thk Retaining Wall</t>
  </si>
  <si>
    <t>11'-0"   Span  at GL- 2&amp;3</t>
  </si>
  <si>
    <t>Partition Wall</t>
  </si>
  <si>
    <t>11'-11"   Span  at GL- A</t>
  </si>
  <si>
    <t>16'-0"   Span  at GL- 4'</t>
  </si>
  <si>
    <t>4'-0"   Span  at GL- B&amp;C</t>
  </si>
  <si>
    <t>(5'-4"+5'-2") Span (MB2)</t>
  </si>
  <si>
    <t>Second Floor</t>
  </si>
  <si>
    <t>16'-0"   Span  betw; GL 1&amp;2</t>
  </si>
  <si>
    <t>15'-7"   Span  at GL- B</t>
  </si>
  <si>
    <t>Roof Floor, Parapet</t>
  </si>
  <si>
    <t>Flower Box</t>
  </si>
  <si>
    <t xml:space="preserve">33'-6"   Span  </t>
  </si>
  <si>
    <t xml:space="preserve">4'-0"   Span  </t>
  </si>
  <si>
    <t xml:space="preserve">Column, C1,C2,C3,C6,C9,C10,C11,C12 </t>
  </si>
  <si>
    <t>Column, C4,C5,C7,C8</t>
  </si>
  <si>
    <t>1FB1</t>
  </si>
  <si>
    <t>1FB2</t>
  </si>
  <si>
    <t>1FB3</t>
  </si>
  <si>
    <t>1FB4</t>
  </si>
  <si>
    <t>1FB5</t>
  </si>
  <si>
    <t>1FB6</t>
  </si>
  <si>
    <t>1FB4(10"x16")</t>
  </si>
  <si>
    <t>1FB7</t>
  </si>
  <si>
    <t>1FB8</t>
  </si>
  <si>
    <t>BW, 17'-6" Span</t>
  </si>
  <si>
    <t>BW, 9'-0" Span</t>
  </si>
  <si>
    <t>(b1) Basement Wall(BF to GF)</t>
  </si>
  <si>
    <t>(a) Basement Floor</t>
  </si>
  <si>
    <t>Column Stump(BF to GF)</t>
  </si>
  <si>
    <t>Basement Wall(BF to GF)</t>
  </si>
  <si>
    <t>(b) Plinth</t>
  </si>
  <si>
    <t>(c)Ground Floor Area</t>
  </si>
  <si>
    <t>(d)1st Floor Area</t>
  </si>
  <si>
    <t>2FB1</t>
  </si>
  <si>
    <t>2FB2</t>
  </si>
  <si>
    <t>2FB3</t>
  </si>
  <si>
    <t>2FB4</t>
  </si>
  <si>
    <t>(e)Second Floor Area</t>
  </si>
  <si>
    <t xml:space="preserve">C1 to C12 </t>
  </si>
  <si>
    <t>RB3</t>
  </si>
  <si>
    <t>RB4</t>
  </si>
  <si>
    <t>RB5</t>
  </si>
  <si>
    <t>(f) Stair</t>
  </si>
  <si>
    <t xml:space="preserve">Ground  Floor  To  First  Floor </t>
  </si>
  <si>
    <t xml:space="preserve">10 mm Ø Tie @ 6" c/c </t>
  </si>
  <si>
    <t>36'-6"   Span at GL- A~C</t>
  </si>
  <si>
    <t>33'-6"   Span at GL- 3&amp;4</t>
  </si>
  <si>
    <t>33'-6"   Span at GL- 1&amp;2</t>
  </si>
  <si>
    <t>Top Bar, 4-16mm Ø</t>
  </si>
  <si>
    <t>Bottom Bar, 4-16mm Ø</t>
  </si>
  <si>
    <t>33'-6"   Span  at GL- 3&amp;4</t>
  </si>
  <si>
    <t>Middle Bar, 2-10mm Ø</t>
  </si>
  <si>
    <t>36'-6"   Span  at GL- A,B&amp;C</t>
  </si>
  <si>
    <t>Top Bar Support, 2-16mm Ø</t>
  </si>
  <si>
    <t>Bottom Bar Middle, 2-16mm Ø</t>
  </si>
  <si>
    <t>33'-6"   Span  at GL- 1&amp;2</t>
  </si>
  <si>
    <t>Middle Bar, 2-12mm Ø</t>
  </si>
  <si>
    <t>36'-6"   Span  at GL- A~C</t>
  </si>
  <si>
    <t>33'-6"   Span  at GL- 1~4</t>
  </si>
  <si>
    <t>Top Bar, 3+2-16mm Ø</t>
  </si>
  <si>
    <t>Bottom Bar, 3+2-16mm Ø</t>
  </si>
  <si>
    <t>33'-6"   Span  at GL-3</t>
  </si>
  <si>
    <t>29'-6"   Span  at GL-3'</t>
  </si>
  <si>
    <t>16'-0"   Span  betw; GL B&amp;C</t>
  </si>
  <si>
    <t>25'-0"   Span  at GL-A&amp;C</t>
  </si>
  <si>
    <t>15'-7"   Span  betw; GL-A&amp;B</t>
  </si>
  <si>
    <t>33'-6"   Span  at GL-1</t>
  </si>
  <si>
    <t>25'-0"   Span  at GL-B</t>
  </si>
  <si>
    <t>15'-7"   Span  at GL- 2</t>
  </si>
  <si>
    <t>33'-6"   Span  at GL-2</t>
  </si>
  <si>
    <t>Bottom Middle Bar, 2-16mm Ø</t>
  </si>
  <si>
    <t>Top Bar Long Direction, 12mmØ@6" c/c</t>
  </si>
  <si>
    <t>Top Bar Short Direction, 12mmØ@6" c/c</t>
  </si>
  <si>
    <t>Bottom Bar Long Direction, 12mmØ@6" c/c</t>
  </si>
  <si>
    <t>Bottom Bar Short Direction, 12mmØ@6" c/c</t>
  </si>
  <si>
    <t>Bottom Bar Long Direction, 10mmØ@6" c/c</t>
  </si>
  <si>
    <t>Bottom Bar Short Direction, 10mmØ@6" c/c</t>
  </si>
  <si>
    <t>Top Bar Long Direction, 10mmØ@4" c/c</t>
  </si>
  <si>
    <t>Top Bar Short Direction, 10mmØ@4" c/c</t>
  </si>
  <si>
    <t>One Direction Top Bar, 10mmØ@4" c/c</t>
  </si>
  <si>
    <t>One Direction Bottom Bar, 10mmØ@4" c/c</t>
  </si>
  <si>
    <t>One Direction Bottom Bar, 10mmØ@6" c/c</t>
  </si>
  <si>
    <t>One Direction Top Bar, 10mmØ@8" c/c</t>
  </si>
  <si>
    <t>One Direction Bottom Bar, 10mmØ@8" c/c</t>
  </si>
  <si>
    <t>RS1 (Two Way Slab)</t>
  </si>
  <si>
    <t>Bottom Bar Long Direction, 10mmØ@4" c/c</t>
  </si>
  <si>
    <t>Bottom Bar Short Direction, 10mmØ@4" c/c</t>
  </si>
  <si>
    <t>1st Flight &amp; 2nd Flight</t>
  </si>
  <si>
    <t>Main Bar Top&amp;Bottom, 12mmØ @6" c/c</t>
  </si>
  <si>
    <t>Distrubution Bar Top&amp;Bottom, 10mmØ @6" c/c</t>
  </si>
  <si>
    <t>Main Bar, 10-16mm</t>
  </si>
  <si>
    <t>Landing Beam(14"x16")</t>
  </si>
  <si>
    <t xml:space="preserve">Main Bar, 4-10mmØ </t>
  </si>
  <si>
    <t>12 mm</t>
  </si>
  <si>
    <t>10mm</t>
  </si>
  <si>
    <t>6.5 mm</t>
  </si>
  <si>
    <t>12 mm Ø @ 4" c/c, Vertical Bar</t>
  </si>
  <si>
    <t>10 mm Ø @ 6" c/c, Horizontal Bar</t>
  </si>
  <si>
    <t>10 mm Ø @ 12" c/c, Link</t>
  </si>
  <si>
    <t>Ready Made Teak Door Leaf (1½" Thk)</t>
  </si>
  <si>
    <t>Making  &amp;  Fixing  Aluminium &amp; Glass  Doors and Windows</t>
  </si>
  <si>
    <t>Aluminium &amp; Glass</t>
  </si>
  <si>
    <t>(b)  Ceiling (Slab)</t>
  </si>
  <si>
    <t>(5'-5"x11'-0")  Span, Common Bath &amp; WC Room</t>
  </si>
  <si>
    <t>(5'-7"x7'-11") Span, Bath &amp;WC Room</t>
  </si>
  <si>
    <t>(6'-0"x8'-0") Span, Bath &amp;WC Room</t>
  </si>
  <si>
    <t>(b) Floor Area ( 8" x 8" Tile)</t>
  </si>
  <si>
    <t>(c)   Iron  Grill  (Item  No-23)</t>
  </si>
  <si>
    <t>Stainless Steel &amp; Glass Handrail Installation</t>
  </si>
  <si>
    <t>Stainless Steel &amp; Glass Handrail Work ( M + L )</t>
  </si>
  <si>
    <t>1st Floor Varendah</t>
  </si>
  <si>
    <t>Ø 12mm Deform Bar</t>
  </si>
  <si>
    <t>Ø 10mm Deform Bar</t>
  </si>
  <si>
    <t xml:space="preserve"> Mild Steel Work for Footing</t>
  </si>
  <si>
    <t xml:space="preserve"> Mild Steel Work for Column</t>
  </si>
  <si>
    <t>(1) Column Stump</t>
  </si>
  <si>
    <t xml:space="preserve"> Mild Steel Work for Beam</t>
  </si>
  <si>
    <t>(a) Basement  Beam</t>
  </si>
  <si>
    <t>(b) Ground  Beam</t>
  </si>
  <si>
    <t>(c) First  Floor  Beam</t>
  </si>
  <si>
    <t>(d) Second  Floor  Beam</t>
  </si>
  <si>
    <t>(e) Roof  Beam</t>
  </si>
  <si>
    <t xml:space="preserve"> Mild Steel Work for Slab</t>
  </si>
  <si>
    <t>(a)  Basement Floor  Slab</t>
  </si>
  <si>
    <t>(b)  1st Floor  Slab</t>
  </si>
  <si>
    <t>(d)  Roof Floor  Slab</t>
  </si>
  <si>
    <t>(e) Stair</t>
  </si>
  <si>
    <t xml:space="preserve"> Mild Steel Work for Basement Wall</t>
  </si>
  <si>
    <t xml:space="preserve"> Mild Steel Work for Stiffner</t>
  </si>
  <si>
    <t>Wall Stiffner</t>
  </si>
  <si>
    <t>Ø 16mm Deform Bar (Footing)</t>
  </si>
  <si>
    <t>Ø 10mm Deform Bar (Footing)</t>
  </si>
  <si>
    <t>Ø 12mm Deform Bar (BW)</t>
  </si>
  <si>
    <t>Ø 10mm Deform Bar (BW)</t>
  </si>
  <si>
    <t>(a)Ø 16mm DF(Footing)</t>
  </si>
  <si>
    <t>(a)Ø 12mm DF(BW)</t>
  </si>
  <si>
    <t>(b)Ø 10mm DF(BW)</t>
  </si>
  <si>
    <t>(a)Ø 16mm DF(Column)</t>
  </si>
  <si>
    <t>(b)Ø 10mm DF(Column)</t>
  </si>
  <si>
    <t>Ø 12mm Deform Bar (Column)</t>
  </si>
  <si>
    <t>Ø 10mm Deform Bar (Column)</t>
  </si>
  <si>
    <t>(a)Ø 16mm DF(Beam)</t>
  </si>
  <si>
    <t>(b)Ø 12mm DF(Beam)</t>
  </si>
  <si>
    <t>(c)Ø 10mm DF(Beam)</t>
  </si>
  <si>
    <t>Ø 16mm DF(Beam)</t>
  </si>
  <si>
    <t>Ø 12mm DF(Beam)</t>
  </si>
  <si>
    <t>Ø 10mm DF(Beam)</t>
  </si>
  <si>
    <t>(a)Ø 16mm DF(Slab)</t>
  </si>
  <si>
    <t>(b)Ø 12mm DF(Slab)</t>
  </si>
  <si>
    <t>(c)Ø 10mm DF(Slab)</t>
  </si>
  <si>
    <t>Ø 16mm DF(Slab)</t>
  </si>
  <si>
    <t>Ø 12mm DF(Slab)</t>
  </si>
  <si>
    <t>Ø 10mm DF(Slab)</t>
  </si>
  <si>
    <t>(a)Ø 10mm DF(Stiffner)</t>
  </si>
  <si>
    <t>Ø 10mm DF(Stiffner)</t>
  </si>
  <si>
    <t>Ø 16mm Deform Bar (Column)</t>
  </si>
  <si>
    <t xml:space="preserve">Water Stopper (or) Polyswell Installation </t>
  </si>
  <si>
    <t>Basement Wall</t>
  </si>
  <si>
    <t xml:space="preserve">17'-6"   Span  </t>
  </si>
  <si>
    <t xml:space="preserve">9'-0"   Span  </t>
  </si>
  <si>
    <t>Water Proofing Membrane with Polyfoam</t>
  </si>
  <si>
    <t>Water Stopper Installation (M+L)</t>
  </si>
  <si>
    <t>Water Proofing Membrane Installation(M+L)</t>
  </si>
  <si>
    <t>MF (35'-6" x 38'-6") GL 1~3</t>
  </si>
  <si>
    <t>MF (35'-6" x 38'-6") GL 3~4</t>
  </si>
  <si>
    <t>(b)Ø 10mm DF(Footing)</t>
  </si>
  <si>
    <t>( b)Ø 6.5mm DF(Stiffner)</t>
  </si>
  <si>
    <t>Ø 6.5mm DF(Stiffner)</t>
  </si>
  <si>
    <t xml:space="preserve">HardCore </t>
  </si>
  <si>
    <t>(1:3:6) Concrete</t>
  </si>
  <si>
    <t>Hardcore</t>
  </si>
  <si>
    <t>M</t>
  </si>
  <si>
    <t>L</t>
  </si>
  <si>
    <t>Plumb Concrete with (6"x9") Stone and (1:3:6)Lean Concrete</t>
  </si>
  <si>
    <t>1:2:4 Cement Concrete Laying Work (Footing+Basement Beam+Column Stump)</t>
  </si>
  <si>
    <r>
      <t>2</t>
    </r>
    <r>
      <rPr>
        <u/>
        <vertAlign val="superscript"/>
        <sz val="12"/>
        <color rgb="FFFF0000"/>
        <rFont val="Arial Narrow"/>
        <family val="2"/>
      </rPr>
      <t>nd</t>
    </r>
    <r>
      <rPr>
        <u/>
        <sz val="12"/>
        <color rgb="FFFF0000"/>
        <rFont val="Arial Narrow"/>
        <family val="2"/>
      </rPr>
      <t xml:space="preserve"> Floor</t>
    </r>
  </si>
  <si>
    <t>Autocad</t>
  </si>
  <si>
    <t>Basement</t>
  </si>
  <si>
    <r>
      <t>(c)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</si>
  <si>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(d)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</si>
  <si>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(e)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</si>
  <si>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BB2 (10"x14")</t>
  </si>
  <si>
    <t>29'-6"   Span  at GL- 3'</t>
  </si>
  <si>
    <t>16'-0"   Span  at GL- 1',3</t>
  </si>
  <si>
    <t>1:2:4 Reinforced Cement  Concrete  Work</t>
  </si>
  <si>
    <t>GS1 (5'-6" x9'-0")</t>
  </si>
  <si>
    <t>FS2 (5'-6" x 9'-0")</t>
  </si>
  <si>
    <t>(l)  Ground Floor  Slab</t>
  </si>
  <si>
    <t>(m)  1st Floor  Slab</t>
  </si>
  <si>
    <r>
      <t>(n)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</si>
  <si>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(o)  Roof Floor  Slab</t>
  </si>
  <si>
    <t>(p) Stair</t>
  </si>
  <si>
    <t>(q) Wall Stiffner</t>
  </si>
  <si>
    <t>Landing beam, LB1 (14"x16")</t>
  </si>
  <si>
    <t>11'-0" span (SR &amp; BR)</t>
  </si>
  <si>
    <t>4'-0" span(Left&amp;Right)</t>
  </si>
  <si>
    <t>8'-0" span (MB3, Bath)</t>
  </si>
  <si>
    <t>16'-0" span (SR&amp;MB3)</t>
  </si>
  <si>
    <t>9'-6" span (MB2)</t>
  </si>
  <si>
    <t>15'-7" span (MB3)</t>
  </si>
  <si>
    <t>9'-0" span (SR)</t>
  </si>
  <si>
    <t>17'-6" span (Front&amp;Back)</t>
  </si>
  <si>
    <t>16'-0" span (Front&amp;Back)</t>
  </si>
  <si>
    <t>15'-7" span (Left)</t>
  </si>
  <si>
    <t>9'-0" span (Left&amp;Right)</t>
  </si>
  <si>
    <t>9'-5" span</t>
  </si>
  <si>
    <t>4'-5" span</t>
  </si>
  <si>
    <t>Parapet</t>
  </si>
  <si>
    <t>6'-0" span (MB4, Bath)</t>
  </si>
  <si>
    <t>6'-0" span (MB2)</t>
  </si>
  <si>
    <t>6'-0" span (MB3)</t>
  </si>
  <si>
    <t>Sunshade</t>
  </si>
  <si>
    <t>(k)  Ground Floor  Slab</t>
  </si>
  <si>
    <t>GS1 (Two Way Slab)</t>
  </si>
  <si>
    <t>(l)  1st Floor  Slab</t>
  </si>
  <si>
    <t>Parameter</t>
  </si>
  <si>
    <t>Landing beam (14"x16")</t>
  </si>
  <si>
    <r>
      <t>(m)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</si>
  <si>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(n)  Roof Floor  Slab</t>
  </si>
  <si>
    <t>(o) Stair</t>
  </si>
  <si>
    <t>(p) Wall Stiffner</t>
  </si>
  <si>
    <t xml:space="preserve">9'-5" span </t>
  </si>
  <si>
    <t xml:space="preserve">4'-5" span </t>
  </si>
  <si>
    <t xml:space="preserve">16 mm Ø  @4" c/c Distribution Bar </t>
  </si>
  <si>
    <t>Main Bar</t>
  </si>
  <si>
    <t>Stirrup</t>
  </si>
  <si>
    <t>Dowel</t>
  </si>
  <si>
    <t>L/B</t>
  </si>
  <si>
    <t>H</t>
  </si>
  <si>
    <t>Q'ty</t>
  </si>
  <si>
    <t>Cover</t>
  </si>
  <si>
    <t>Mark&amp;Type Skirt</t>
  </si>
  <si>
    <t>Bar Diameter</t>
  </si>
  <si>
    <t>Spacing</t>
  </si>
  <si>
    <t>No of Bars</t>
  </si>
  <si>
    <t>Length of Bars</t>
  </si>
  <si>
    <t>Bottom</t>
  </si>
  <si>
    <t>Dis;</t>
  </si>
  <si>
    <t xml:space="preserve">16 mm Ø @1'-6" c/c </t>
  </si>
  <si>
    <t>Vertical</t>
  </si>
  <si>
    <t>Horizontal</t>
  </si>
  <si>
    <t>Link</t>
  </si>
  <si>
    <t>6.5 mm Ø Dowel @ 2' c/c</t>
  </si>
  <si>
    <t>(c)Ø 6.5mm DF(Column)</t>
  </si>
  <si>
    <r>
      <t>(2) Long Column(GF  to 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Floor)</t>
    </r>
  </si>
  <si>
    <r>
      <t>(3) Long Column(1</t>
    </r>
    <r>
      <rPr>
        <u/>
        <vertAlign val="superscript"/>
        <sz val="12"/>
        <rFont val="Arial Narrow"/>
        <family val="2"/>
      </rPr>
      <t>st</t>
    </r>
    <r>
      <rPr>
        <u/>
        <sz val="12"/>
        <rFont val="Arial Narrow"/>
        <family val="2"/>
      </rPr>
      <t xml:space="preserve"> Floor to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Floor)</t>
    </r>
  </si>
  <si>
    <r>
      <t>(4) Long Column(2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to Roof Floor)</t>
    </r>
  </si>
  <si>
    <t>Middle Bar</t>
  </si>
  <si>
    <t>Top Extra</t>
  </si>
  <si>
    <t>Bottom Extra</t>
  </si>
  <si>
    <t>6'-4"   Span betw; GL-1&amp;2 &amp; betw; GL-A&amp;C</t>
  </si>
  <si>
    <t>9'-0"   Span  betw; GL- 1&amp;2 &amp; betw; GL-A&amp;B</t>
  </si>
  <si>
    <t>9'-0"   Span  betw; GL-A&amp;B &amp; betw; GL-2&amp;3</t>
  </si>
  <si>
    <t>Top Dis;</t>
  </si>
  <si>
    <t>Bottom Dis;</t>
  </si>
  <si>
    <t>One Direction Top Dis; Bar, 10mmØ@4" c/c</t>
  </si>
  <si>
    <t>One Direction Bottom Dis; Bar, 10mmØ@6" c/c</t>
  </si>
  <si>
    <r>
      <t>(c)  2</t>
    </r>
    <r>
      <rPr>
        <u/>
        <vertAlign val="superscript"/>
        <sz val="12"/>
        <rFont val="Arial Narrow"/>
        <family val="2"/>
      </rPr>
      <t>nd</t>
    </r>
    <r>
      <rPr>
        <u/>
        <sz val="12"/>
        <rFont val="Arial Narrow"/>
        <family val="2"/>
      </rPr>
      <t xml:space="preserve"> Floor  Slab</t>
    </r>
  </si>
  <si>
    <t>One Direction Top Dis; Bar, 10mmØ@8" c/c</t>
  </si>
  <si>
    <t>One Direction Bottom Dis; Bar, 10mmØ@8" c/c</t>
  </si>
  <si>
    <t>GS1 (6'-2" x9'-0")</t>
  </si>
  <si>
    <t>One Direction Bottom Dis; Bar, 10mmØ@4" c/c</t>
  </si>
  <si>
    <t>Dis; Bar</t>
  </si>
  <si>
    <t>4-1/2"x4-1/2" Stiffner Beam &amp;Column (Total Length = 2604ft)</t>
  </si>
  <si>
    <t>Stirrup, 6mmØ @6" c/c</t>
  </si>
  <si>
    <t>(7'-11"+6'-0") Span (MB, WC Room)</t>
  </si>
  <si>
    <t>14'-6"   Span  at Betw; GL- A&amp;B</t>
  </si>
  <si>
    <t>(8'-0"+6'-4") Span (MB, WC Room)</t>
  </si>
  <si>
    <t>False  Work</t>
  </si>
  <si>
    <t>Nos.</t>
  </si>
  <si>
    <t>Surveying  &amp;  Leveling  Work</t>
  </si>
  <si>
    <t>Site  Clearing  Work</t>
  </si>
  <si>
    <t>(a)Surveying &amp; Leveling</t>
  </si>
  <si>
    <t>Surveyor</t>
  </si>
  <si>
    <t>Sikament-9</t>
  </si>
  <si>
    <t>Bonding Agent</t>
  </si>
  <si>
    <t>Lit</t>
  </si>
  <si>
    <t>Mat Footing Concrete</t>
  </si>
  <si>
    <t>Short Column Concrete</t>
  </si>
  <si>
    <t>Basement Wall Concrete</t>
  </si>
  <si>
    <t>Ground Floor Column Concrete</t>
  </si>
  <si>
    <t>First Floor Column Concrete</t>
  </si>
  <si>
    <t>Second Floor Column Concrete</t>
  </si>
  <si>
    <t>Ground Beam Concrete</t>
  </si>
  <si>
    <t>Basement Beam Concrete</t>
  </si>
  <si>
    <t>First Floor Beam Concrete</t>
  </si>
  <si>
    <t>Second Floor Beam Concrete</t>
  </si>
  <si>
    <t>Roof Beam Concrete</t>
  </si>
  <si>
    <t>Ground Floor Slab Concrete</t>
  </si>
  <si>
    <t>Basement Floor Slab Concrete</t>
  </si>
  <si>
    <t>First Floor Slab Concrete</t>
  </si>
  <si>
    <t>Second Floor Slab Concrete</t>
  </si>
  <si>
    <t>Roof Slab Concrete</t>
  </si>
  <si>
    <t>Stair Concrete</t>
  </si>
  <si>
    <t>Stiffener Concrete</t>
  </si>
  <si>
    <t>Ø 6.5mm Deform Bar (Column)</t>
  </si>
  <si>
    <t>Plastic Sheet</t>
  </si>
  <si>
    <t>First Floor Area</t>
  </si>
  <si>
    <t>Second Floor Area</t>
  </si>
  <si>
    <t>(17'-6"x4'-0") Span betw; GL A&amp;B and 1&amp;2</t>
  </si>
  <si>
    <t>(16'-0"x4'-0") Span betw; GL B&amp;C and 1&amp;2</t>
  </si>
  <si>
    <t>Roof Area</t>
  </si>
  <si>
    <t>(13'-6"x3'-7") Span betw; GL A&amp;B and 1&amp;2</t>
  </si>
  <si>
    <t>(16'-0"x3'-7") Span betw; GL B&amp;C and 1&amp;2</t>
  </si>
  <si>
    <t>Set</t>
  </si>
  <si>
    <t>Sikadur 31CF</t>
  </si>
  <si>
    <t>11(a)</t>
  </si>
  <si>
    <t>11(b)</t>
  </si>
  <si>
    <t>11(c)</t>
  </si>
  <si>
    <t>11(d)</t>
  </si>
  <si>
    <t>11(e)</t>
  </si>
  <si>
    <t>11(f)</t>
  </si>
  <si>
    <t>T-Rental Charges</t>
  </si>
  <si>
    <t>Concrete Nail</t>
  </si>
  <si>
    <t>Box</t>
  </si>
  <si>
    <t>Total Material</t>
  </si>
  <si>
    <t xml:space="preserve">Making  Door Chowket </t>
  </si>
  <si>
    <t>5"x2"  Chowket</t>
  </si>
  <si>
    <t>5"x3"  Chowket</t>
  </si>
  <si>
    <t>5"x3" Chowket</t>
  </si>
  <si>
    <t>5"x2" Chowket</t>
  </si>
  <si>
    <t>Impermo</t>
  </si>
  <si>
    <t>Kg</t>
  </si>
  <si>
    <t>Lb</t>
  </si>
  <si>
    <t>Form Work - 3 Time Used</t>
  </si>
  <si>
    <t>Ø 6.5mm Deform Bar</t>
  </si>
  <si>
    <t>Summary</t>
  </si>
  <si>
    <t>Date :</t>
  </si>
  <si>
    <t>No.</t>
  </si>
  <si>
    <t>Remark</t>
  </si>
  <si>
    <t>Total Cost</t>
  </si>
  <si>
    <t>မြေပြန်ဖြည့်ခ</t>
  </si>
  <si>
    <t>Backhoe 1 duty</t>
  </si>
  <si>
    <t>Transportation Charges</t>
  </si>
  <si>
    <t>Preliminary Charges</t>
  </si>
  <si>
    <t>Supervision Charges</t>
  </si>
  <si>
    <t>Grand Total Cost</t>
  </si>
  <si>
    <t>Say (For 1 No.)</t>
  </si>
  <si>
    <t>Area</t>
  </si>
  <si>
    <t>Sq-ft</t>
  </si>
  <si>
    <t>PAE Rate</t>
  </si>
  <si>
    <t>per Sq-ft</t>
  </si>
  <si>
    <t xml:space="preserve">Main Builing </t>
  </si>
  <si>
    <t>Three Storeyed RCC Building</t>
  </si>
  <si>
    <t>33'-6"x36'-6"x41'-0" Ht;</t>
  </si>
  <si>
    <t xml:space="preserve">Brick( 3 Hole Brick ) </t>
  </si>
  <si>
    <t>Top Roof Floor, Parapet</t>
  </si>
  <si>
    <t>Total Summary</t>
  </si>
  <si>
    <t>Ground Tank</t>
  </si>
  <si>
    <t>Chowket Bracket</t>
  </si>
  <si>
    <t>5-plywood</t>
  </si>
  <si>
    <t>First Floor Brick Wall</t>
  </si>
  <si>
    <t>၉" အုတ်ရိုးထပ်ဖြည့်</t>
  </si>
  <si>
    <t>သစ်ဖိုးပြောင်း</t>
  </si>
  <si>
    <t>ဘိလပ်မြေဖိုးပြောင်း</t>
  </si>
  <si>
    <t>အုတ်ဖိုးပြောင်း</t>
  </si>
  <si>
    <t>(33.5*36*4)+16*4+(17.5*4+16*4)*0.4+17.5*4*0.4+(33.5*25+(13.5+16)*3.58)*0.4</t>
  </si>
  <si>
    <t>10M</t>
  </si>
  <si>
    <t>20kg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</si>
</sst>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10000455]0.00"/>
    <numFmt numFmtId="165" formatCode="[$-10000455]0"/>
    <numFmt numFmtId="166" formatCode="0.0"/>
    <numFmt numFmtId="167" formatCode="_(* #,##0_);_(* \(#,##0\);_(* &quot;-&quot;??_);_(@_)"/>
    <numFmt numFmtId="168" formatCode="_-* #,##0.00_-;\-* #,##0.00_-;_-* &quot;-&quot;??_-;_-@_-"/>
    <numFmt numFmtId="169" formatCode="#,##0.00&quot;    &quot;;\-#,##0.00&quot;    &quot;;&quot; -&quot;#&quot;    &quot;;@\ "/>
    <numFmt numFmtId="170" formatCode="0\'\-"/>
    <numFmt numFmtId="171" formatCode="0\'\'"/>
    <numFmt numFmtId="172" formatCode="0.0\'\'"/>
    <numFmt numFmtId="173" formatCode="0\'"/>
    <numFmt numFmtId="174" formatCode="0.0000000"/>
    <numFmt numFmtId="175" formatCode="0.000"/>
    <numFmt numFmtId="176" formatCode="0.00\'"/>
    <numFmt numFmtId="177" formatCode="0.000\'"/>
    <numFmt numFmtId="178" formatCode="0.0\'"/>
    <numFmt numFmtId="179" formatCode="[$-F800]dddd\,\ mmmm\ dd\,\ yyyy"/>
  </numFmts>
  <fonts count="89">
    <font>
      <sz val="11"/>
      <color theme="1"/>
      <name val="Calibri"/>
      <family val="2"/>
      <scheme val="minor"/>
    </font>
    <font>
      <sz val="10"/>
      <color theme="1"/>
      <name val="zawgyi1"/>
      <family val="2"/>
    </font>
    <font>
      <sz val="11"/>
      <color theme="1"/>
      <name val="Calibri"/>
      <family val="2"/>
      <scheme val="minor"/>
    </font>
    <font>
      <sz val="11"/>
      <color theme="1"/>
      <name val="Cambria"/>
      <family val="2"/>
    </font>
    <font>
      <sz val="11"/>
      <color theme="1"/>
      <name val="Zawgyi-One"/>
      <family val="2"/>
    </font>
    <font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sz val="14"/>
      <name val="Cordia New"/>
      <family val="2"/>
    </font>
    <font>
      <sz val="10"/>
      <name val="Arial"/>
      <family val="2"/>
    </font>
    <font>
      <sz val="14"/>
      <name val="AngsanaUPC"/>
      <family val="1"/>
      <charset val="222"/>
    </font>
    <font>
      <sz val="10"/>
      <name val="Tahoma"/>
      <family val="2"/>
      <charset val="222"/>
    </font>
    <font>
      <b/>
      <sz val="11"/>
      <color theme="1"/>
      <name val="Zawgyi-One"/>
      <family val="2"/>
    </font>
    <font>
      <sz val="10"/>
      <name val="Arial"/>
      <family val="2"/>
      <charset val="222"/>
    </font>
    <font>
      <sz val="9"/>
      <name val="Cambria"/>
      <family val="1"/>
      <scheme val="major"/>
    </font>
    <font>
      <sz val="11"/>
      <color rgb="FFFF0000"/>
      <name val="Cambria"/>
      <family val="1"/>
      <scheme val="major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0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zawgyi1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  <scheme val="minor"/>
    </font>
    <font>
      <sz val="10.5"/>
      <name val="Zawgyi-One"/>
      <family val="2"/>
    </font>
    <font>
      <sz val="10.5"/>
      <name val="Cambria"/>
      <family val="1"/>
    </font>
    <font>
      <sz val="10.5"/>
      <color rgb="FFFF0000"/>
      <name val="Zawgyi-One"/>
      <family val="2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i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2"/>
      <name val="Times New Roman"/>
      <family val="1"/>
    </font>
    <font>
      <u/>
      <sz val="12"/>
      <color theme="1"/>
      <name val="Times New Roman"/>
      <family val="1"/>
    </font>
    <font>
      <b/>
      <u/>
      <sz val="12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u/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70C0"/>
      <name val="Calibri"/>
      <family val="2"/>
      <scheme val="minor"/>
    </font>
    <font>
      <sz val="11"/>
      <color rgb="FF0070C0"/>
      <name val="Zawgyi-One"/>
      <family val="2"/>
    </font>
    <font>
      <sz val="11"/>
      <color rgb="FF0070C0"/>
      <name val="Calibri"/>
      <family val="2"/>
    </font>
    <font>
      <sz val="10.5"/>
      <name val="Cambria"/>
      <family val="1"/>
      <scheme val="major"/>
    </font>
    <font>
      <sz val="10.5"/>
      <name val="Cm"/>
    </font>
    <font>
      <sz val="12"/>
      <name val="Arial Narrow"/>
      <family val="2"/>
    </font>
    <font>
      <sz val="8"/>
      <name val="Calibri"/>
      <family val="2"/>
      <scheme val="minor"/>
    </font>
    <font>
      <sz val="13"/>
      <name val="Arial Narrow"/>
      <family val="2"/>
    </font>
    <font>
      <sz val="13"/>
      <color rgb="FFFF0000"/>
      <name val="Arial Narrow"/>
      <family val="2"/>
    </font>
    <font>
      <b/>
      <sz val="13"/>
      <name val="Arial Narrow"/>
      <family val="2"/>
    </font>
    <font>
      <sz val="13"/>
      <color theme="1"/>
      <name val="Arial Narrow"/>
      <family val="2"/>
    </font>
    <font>
      <b/>
      <sz val="13"/>
      <color theme="1"/>
      <name val="Arial Narrow"/>
      <family val="2"/>
    </font>
    <font>
      <u/>
      <sz val="13"/>
      <color theme="1"/>
      <name val="Arial Narrow"/>
      <family val="2"/>
    </font>
    <font>
      <sz val="13"/>
      <color rgb="FF00B0F0"/>
      <name val="Arial Narrow"/>
      <family val="2"/>
    </font>
    <font>
      <b/>
      <i/>
      <sz val="13"/>
      <color theme="1"/>
      <name val="Arial Narrow"/>
      <family val="2"/>
    </font>
    <font>
      <i/>
      <u/>
      <sz val="13"/>
      <color theme="1"/>
      <name val="Arial Narrow"/>
      <family val="2"/>
    </font>
    <font>
      <b/>
      <u/>
      <sz val="13"/>
      <name val="Arial Narrow"/>
      <family val="2"/>
    </font>
    <font>
      <sz val="12"/>
      <color rgb="FFFF0000"/>
      <name val="Arial Narrow"/>
      <family val="2"/>
    </font>
    <font>
      <b/>
      <sz val="12"/>
      <name val="Arial Narrow"/>
      <family val="2"/>
    </font>
    <font>
      <u/>
      <sz val="12"/>
      <color rgb="FFFF0000"/>
      <name val="Arial Narrow"/>
      <family val="2"/>
    </font>
    <font>
      <b/>
      <sz val="12"/>
      <color rgb="FFFF0000"/>
      <name val="Arial Narrow"/>
      <family val="2"/>
    </font>
    <font>
      <u/>
      <sz val="12"/>
      <name val="Arial Narrow"/>
      <family val="2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i/>
      <sz val="12"/>
      <color rgb="FFFF0000"/>
      <name val="Arial Narrow"/>
      <family val="2"/>
    </font>
    <font>
      <u/>
      <vertAlign val="superscript"/>
      <sz val="12"/>
      <color rgb="FFFF0000"/>
      <name val="Arial Narrow"/>
      <family val="2"/>
    </font>
    <font>
      <b/>
      <u/>
      <sz val="12"/>
      <color rgb="FFFF0000"/>
      <name val="Arial Narrow"/>
      <family val="2"/>
    </font>
    <font>
      <sz val="12"/>
      <color rgb="FF00B050"/>
      <name val="Arial Narrow"/>
      <family val="2"/>
    </font>
    <font>
      <i/>
      <sz val="12"/>
      <name val="Arial Narrow"/>
      <family val="2"/>
    </font>
    <font>
      <u/>
      <vertAlign val="superscript"/>
      <sz val="12"/>
      <name val="Arial Narrow"/>
      <family val="2"/>
    </font>
    <font>
      <sz val="12"/>
      <color rgb="FF92D050"/>
      <name val="Arial Narrow"/>
      <family val="2"/>
    </font>
    <font>
      <sz val="14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2"/>
      <name val="Arial Narrow"/>
      <family val="2"/>
    </font>
    <font>
      <sz val="12"/>
      <color rgb="FFFF0000"/>
      <name val="Pyidaungsu"/>
      <family val="2"/>
    </font>
    <font>
      <b/>
      <sz val="12"/>
      <name val="Pyidaungsu"/>
      <family val="2"/>
    </font>
    <font>
      <sz val="12"/>
      <name val="Pyidaungsu"/>
      <family val="2"/>
    </font>
    <font>
      <b/>
      <u/>
      <sz val="12"/>
      <name val="Arial Narrow"/>
      <family val="2"/>
    </font>
    <font>
      <i/>
      <u/>
      <sz val="12"/>
      <name val="Arial Narrow"/>
      <family val="2"/>
    </font>
    <font>
      <sz val="13"/>
      <color theme="0"/>
      <name val="Arial Narrow"/>
      <family val="2"/>
    </font>
    <font>
      <b/>
      <sz val="16"/>
      <name val="Arial Narrow"/>
      <family val="2"/>
    </font>
    <font>
      <sz val="11"/>
      <name val="Arial Narrow"/>
      <family val="2"/>
    </font>
    <font>
      <b/>
      <sz val="14"/>
      <name val="Arial Narrow"/>
      <family val="2"/>
    </font>
    <font>
      <b/>
      <sz val="11"/>
      <name val="Arial Narrow"/>
      <family val="2"/>
    </font>
    <font>
      <sz val="14"/>
      <name val="Arial Narrow"/>
      <family val="2"/>
    </font>
    <font>
      <b/>
      <u val="doubleAccounting"/>
      <sz val="14"/>
      <name val="Arial Narrow"/>
      <family val="2"/>
    </font>
    <font>
      <b/>
      <sz val="9"/>
      <name val="Arial Narrow"/>
      <family val="2"/>
    </font>
    <font>
      <b/>
      <sz val="10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39997558519241921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5">
    <xf numFmtId="0" fontId="0" fillId="0" borderId="0"/>
    <xf numFmtId="0" fontId="3" fillId="0" borderId="0"/>
    <xf numFmtId="43" fontId="4" fillId="0" borderId="0" applyFont="0" applyFill="0" applyBorder="0" applyAlignment="0" applyProtection="0"/>
    <xf numFmtId="0" fontId="4" fillId="0" borderId="0"/>
    <xf numFmtId="168" fontId="7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8" fillId="0" borderId="0" applyFont="0" applyFill="0" applyBorder="0" applyAlignment="0" applyProtection="0"/>
    <xf numFmtId="43" fontId="2" fillId="0" borderId="0" applyFont="0" applyFill="0" applyBorder="0" applyAlignment="0" applyProtection="0"/>
    <xf numFmtId="168" fontId="9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9" fontId="4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1" fillId="0" borderId="12" applyNumberFormat="0" applyFill="0" applyAlignment="0" applyProtection="0"/>
    <xf numFmtId="168" fontId="7" fillId="0" borderId="0" applyFont="0" applyFill="0" applyBorder="0" applyAlignment="0" applyProtection="0"/>
    <xf numFmtId="169" fontId="12" fillId="0" borderId="0" applyFill="0" applyAlignment="0" applyProtection="0"/>
    <xf numFmtId="0" fontId="9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2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126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6" fillId="0" borderId="0" xfId="26" applyNumberFormat="1" applyFont="1" applyFill="1" applyBorder="1" applyAlignment="1">
      <alignment horizontal="left" vertical="center"/>
    </xf>
    <xf numFmtId="0" fontId="13" fillId="0" borderId="0" xfId="12" applyFont="1" applyAlignment="1">
      <alignment vertical="center"/>
    </xf>
    <xf numFmtId="0" fontId="6" fillId="0" borderId="0" xfId="12" applyFont="1" applyAlignment="1">
      <alignment vertical="center"/>
    </xf>
    <xf numFmtId="0" fontId="14" fillId="0" borderId="0" xfId="12" applyFont="1" applyAlignment="1">
      <alignment horizontal="center" vertical="center"/>
    </xf>
    <xf numFmtId="0" fontId="15" fillId="0" borderId="0" xfId="12" applyFont="1" applyAlignment="1">
      <alignment vertical="center"/>
    </xf>
    <xf numFmtId="0" fontId="15" fillId="0" borderId="0" xfId="12" applyFont="1"/>
    <xf numFmtId="167" fontId="15" fillId="0" borderId="0" xfId="12" applyNumberFormat="1" applyFont="1"/>
    <xf numFmtId="0" fontId="16" fillId="0" borderId="0" xfId="12" applyFont="1"/>
    <xf numFmtId="0" fontId="6" fillId="0" borderId="0" xfId="29" applyNumberFormat="1" applyFont="1" applyFill="1" applyBorder="1" applyAlignment="1">
      <alignment horizontal="left" vertical="center"/>
    </xf>
    <xf numFmtId="2" fontId="20" fillId="0" borderId="16" xfId="0" applyNumberFormat="1" applyFont="1" applyBorder="1" applyAlignment="1">
      <alignment horizontal="center" vertical="center"/>
    </xf>
    <xf numFmtId="0" fontId="21" fillId="0" borderId="16" xfId="16" applyFont="1" applyBorder="1" applyAlignment="1">
      <alignment vertical="center"/>
    </xf>
    <xf numFmtId="0" fontId="21" fillId="0" borderId="16" xfId="11" applyFont="1" applyBorder="1" applyAlignment="1">
      <alignment vertical="center"/>
    </xf>
    <xf numFmtId="0" fontId="0" fillId="0" borderId="13" xfId="35" applyFont="1" applyBorder="1"/>
    <xf numFmtId="167" fontId="0" fillId="0" borderId="17" xfId="36" applyNumberFormat="1" applyFont="1" applyFill="1" applyBorder="1" applyAlignment="1">
      <alignment vertical="center"/>
    </xf>
    <xf numFmtId="0" fontId="24" fillId="0" borderId="0" xfId="26" applyNumberFormat="1" applyFont="1" applyFill="1" applyBorder="1" applyAlignment="1">
      <alignment horizontal="left" vertical="center"/>
    </xf>
    <xf numFmtId="0" fontId="24" fillId="0" borderId="0" xfId="12" applyFont="1" applyAlignment="1">
      <alignment vertical="center"/>
    </xf>
    <xf numFmtId="0" fontId="26" fillId="0" borderId="0" xfId="12" applyFont="1" applyAlignment="1">
      <alignment horizontal="center" vertical="center"/>
    </xf>
    <xf numFmtId="0" fontId="24" fillId="0" borderId="0" xfId="12" applyFont="1"/>
    <xf numFmtId="167" fontId="24" fillId="0" borderId="0" xfId="12" applyNumberFormat="1" applyFont="1"/>
    <xf numFmtId="3" fontId="1" fillId="0" borderId="0" xfId="0" applyNumberFormat="1" applyFont="1" applyAlignment="1">
      <alignment vertical="center"/>
    </xf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28" fillId="0" borderId="0" xfId="0" applyFont="1"/>
    <xf numFmtId="3" fontId="18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0" fillId="0" borderId="16" xfId="3" applyFont="1" applyBorder="1"/>
    <xf numFmtId="0" fontId="23" fillId="0" borderId="18" xfId="0" applyFont="1" applyBorder="1" applyAlignment="1">
      <alignment horizontal="center" vertical="center"/>
    </xf>
    <xf numFmtId="2" fontId="23" fillId="0" borderId="18" xfId="0" applyNumberFormat="1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3" fontId="23" fillId="0" borderId="18" xfId="0" applyNumberFormat="1" applyFont="1" applyBorder="1" applyAlignment="1">
      <alignment horizontal="center" vertical="center" wrapText="1"/>
    </xf>
    <xf numFmtId="3" fontId="2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1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3" fontId="0" fillId="0" borderId="16" xfId="0" applyNumberFormat="1" applyBorder="1" applyAlignment="1">
      <alignment vertical="center"/>
    </xf>
    <xf numFmtId="3" fontId="0" fillId="0" borderId="0" xfId="0" applyNumberFormat="1" applyAlignment="1">
      <alignment vertical="center"/>
    </xf>
    <xf numFmtId="0" fontId="0" fillId="0" borderId="16" xfId="0" applyBorder="1" applyAlignment="1">
      <alignment vertical="center"/>
    </xf>
    <xf numFmtId="0" fontId="0" fillId="0" borderId="16" xfId="0" applyBorder="1" applyAlignment="1">
      <alignment horizontal="left" vertical="center"/>
    </xf>
    <xf numFmtId="0" fontId="0" fillId="0" borderId="19" xfId="0" applyBorder="1" applyAlignment="1">
      <alignment vertical="center"/>
    </xf>
    <xf numFmtId="3" fontId="20" fillId="0" borderId="0" xfId="0" applyNumberFormat="1" applyFont="1" applyAlignment="1">
      <alignment vertical="center"/>
    </xf>
    <xf numFmtId="3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3" fontId="20" fillId="0" borderId="1" xfId="0" applyNumberFormat="1" applyFont="1" applyBorder="1" applyAlignment="1">
      <alignment vertical="center"/>
    </xf>
    <xf numFmtId="0" fontId="0" fillId="0" borderId="21" xfId="0" applyBorder="1" applyAlignment="1">
      <alignment horizontal="center" vertical="center"/>
    </xf>
    <xf numFmtId="3" fontId="0" fillId="0" borderId="21" xfId="0" applyNumberFormat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vertical="center"/>
    </xf>
    <xf numFmtId="2" fontId="0" fillId="0" borderId="22" xfId="0" applyNumberFormat="1" applyBorder="1" applyAlignment="1">
      <alignment horizontal="center" vertical="center"/>
    </xf>
    <xf numFmtId="3" fontId="0" fillId="0" borderId="22" xfId="0" applyNumberFormat="1" applyBorder="1" applyAlignment="1">
      <alignment vertical="center"/>
    </xf>
    <xf numFmtId="167" fontId="15" fillId="0" borderId="0" xfId="33" applyNumberFormat="1" applyFont="1" applyFill="1" applyBorder="1" applyAlignment="1">
      <alignment vertical="center"/>
    </xf>
    <xf numFmtId="0" fontId="30" fillId="0" borderId="16" xfId="0" applyFont="1" applyBorder="1" applyAlignment="1">
      <alignment horizontal="center" vertical="center"/>
    </xf>
    <xf numFmtId="3" fontId="20" fillId="0" borderId="16" xfId="0" applyNumberFormat="1" applyFont="1" applyBorder="1" applyAlignment="1">
      <alignment vertical="center"/>
    </xf>
    <xf numFmtId="3" fontId="20" fillId="0" borderId="22" xfId="0" applyNumberFormat="1" applyFont="1" applyBorder="1" applyAlignment="1">
      <alignment vertical="center"/>
    </xf>
    <xf numFmtId="166" fontId="0" fillId="0" borderId="16" xfId="0" applyNumberFormat="1" applyBorder="1" applyAlignment="1">
      <alignment horizontal="center" vertical="center"/>
    </xf>
    <xf numFmtId="3" fontId="1" fillId="0" borderId="0" xfId="0" applyNumberFormat="1" applyFont="1" applyAlignment="1">
      <alignment horizontal="center"/>
    </xf>
    <xf numFmtId="0" fontId="21" fillId="0" borderId="16" xfId="0" applyFont="1" applyBorder="1" applyAlignment="1">
      <alignment horizontal="left" vertical="center"/>
    </xf>
    <xf numFmtId="2" fontId="20" fillId="0" borderId="1" xfId="0" applyNumberFormat="1" applyFont="1" applyBorder="1" applyAlignment="1">
      <alignment horizontal="center" vertical="center"/>
    </xf>
    <xf numFmtId="0" fontId="24" fillId="0" borderId="0" xfId="12" applyFont="1" applyAlignment="1">
      <alignment horizontal="center" vertical="center"/>
    </xf>
    <xf numFmtId="0" fontId="6" fillId="0" borderId="0" xfId="12" applyFont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32" fillId="0" borderId="16" xfId="0" applyFont="1" applyBorder="1" applyAlignment="1">
      <alignment vertical="center"/>
    </xf>
    <xf numFmtId="0" fontId="27" fillId="0" borderId="10" xfId="0" applyFont="1" applyBorder="1" applyAlignment="1">
      <alignment vertical="center"/>
    </xf>
    <xf numFmtId="0" fontId="33" fillId="0" borderId="18" xfId="0" applyFont="1" applyBorder="1" applyAlignment="1">
      <alignment horizontal="center" vertical="center"/>
    </xf>
    <xf numFmtId="0" fontId="21" fillId="0" borderId="16" xfId="35" applyFont="1" applyBorder="1"/>
    <xf numFmtId="0" fontId="21" fillId="0" borderId="1" xfId="0" applyFont="1" applyBorder="1" applyAlignment="1">
      <alignment vertical="center"/>
    </xf>
    <xf numFmtId="0" fontId="33" fillId="0" borderId="21" xfId="0" applyFont="1" applyBorder="1" applyAlignment="1">
      <alignment horizontal="center" vertical="center"/>
    </xf>
    <xf numFmtId="0" fontId="19" fillId="0" borderId="0" xfId="0" applyFont="1"/>
    <xf numFmtId="0" fontId="19" fillId="0" borderId="0" xfId="0" applyFont="1" applyAlignment="1">
      <alignment vertical="center"/>
    </xf>
    <xf numFmtId="1" fontId="18" fillId="0" borderId="18" xfId="12" applyNumberFormat="1" applyFont="1" applyBorder="1" applyAlignment="1">
      <alignment horizontal="center" vertical="center"/>
    </xf>
    <xf numFmtId="166" fontId="18" fillId="0" borderId="18" xfId="12" applyNumberFormat="1" applyFont="1" applyBorder="1" applyAlignment="1">
      <alignment horizontal="left" vertical="center" wrapText="1"/>
    </xf>
    <xf numFmtId="167" fontId="6" fillId="0" borderId="33" xfId="12" applyNumberFormat="1" applyFont="1" applyBorder="1" applyAlignment="1">
      <alignment horizontal="right"/>
    </xf>
    <xf numFmtId="167" fontId="6" fillId="0" borderId="32" xfId="12" applyNumberFormat="1" applyFont="1" applyBorder="1" applyAlignment="1">
      <alignment horizontal="center"/>
    </xf>
    <xf numFmtId="167" fontId="6" fillId="0" borderId="28" xfId="12" applyNumberFormat="1" applyFont="1" applyBorder="1" applyAlignment="1">
      <alignment horizontal="left"/>
    </xf>
    <xf numFmtId="2" fontId="6" fillId="0" borderId="33" xfId="12" applyNumberFormat="1" applyFont="1" applyBorder="1" applyAlignment="1">
      <alignment horizontal="right"/>
    </xf>
    <xf numFmtId="2" fontId="6" fillId="0" borderId="28" xfId="12" applyNumberFormat="1" applyFont="1" applyBorder="1" applyAlignment="1">
      <alignment horizontal="left"/>
    </xf>
    <xf numFmtId="2" fontId="6" fillId="0" borderId="33" xfId="29" applyNumberFormat="1" applyFont="1" applyFill="1" applyBorder="1" applyAlignment="1">
      <alignment horizontal="right"/>
    </xf>
    <xf numFmtId="171" fontId="5" fillId="0" borderId="28" xfId="12" applyNumberFormat="1" applyFont="1" applyBorder="1" applyAlignment="1">
      <alignment horizontal="left"/>
    </xf>
    <xf numFmtId="171" fontId="5" fillId="0" borderId="18" xfId="12" applyNumberFormat="1" applyFont="1" applyBorder="1" applyAlignment="1">
      <alignment horizontal="left"/>
    </xf>
    <xf numFmtId="2" fontId="6" fillId="0" borderId="18" xfId="12" applyNumberFormat="1" applyFont="1" applyBorder="1" applyAlignment="1">
      <alignment horizontal="right"/>
    </xf>
    <xf numFmtId="2" fontId="18" fillId="0" borderId="33" xfId="12" applyNumberFormat="1" applyFont="1" applyBorder="1" applyAlignment="1">
      <alignment vertical="center"/>
    </xf>
    <xf numFmtId="0" fontId="6" fillId="0" borderId="18" xfId="12" applyFont="1" applyBorder="1" applyAlignment="1">
      <alignment horizontal="left" vertical="center"/>
    </xf>
    <xf numFmtId="2" fontId="6" fillId="0" borderId="0" xfId="12" applyNumberFormat="1" applyFont="1" applyAlignment="1">
      <alignment vertical="center"/>
    </xf>
    <xf numFmtId="1" fontId="23" fillId="0" borderId="16" xfId="12" applyNumberFormat="1" applyFont="1" applyBorder="1" applyAlignment="1">
      <alignment horizontal="center" vertical="center"/>
    </xf>
    <xf numFmtId="0" fontId="2" fillId="0" borderId="16" xfId="12" applyFont="1" applyBorder="1"/>
    <xf numFmtId="0" fontId="2" fillId="0" borderId="19" xfId="12" applyFont="1" applyBorder="1" applyAlignment="1">
      <alignment horizontal="right"/>
    </xf>
    <xf numFmtId="0" fontId="2" fillId="0" borderId="23" xfId="12" applyFont="1" applyBorder="1" applyAlignment="1">
      <alignment horizontal="center"/>
    </xf>
    <xf numFmtId="0" fontId="2" fillId="0" borderId="14" xfId="12" applyFont="1" applyBorder="1" applyAlignment="1">
      <alignment horizontal="left"/>
    </xf>
    <xf numFmtId="173" fontId="2" fillId="0" borderId="19" xfId="12" applyNumberFormat="1" applyFont="1" applyBorder="1" applyAlignment="1">
      <alignment horizontal="right"/>
    </xf>
    <xf numFmtId="171" fontId="2" fillId="0" borderId="14" xfId="12" applyNumberFormat="1" applyFont="1" applyBorder="1" applyAlignment="1">
      <alignment horizontal="left"/>
    </xf>
    <xf numFmtId="171" fontId="2" fillId="0" borderId="16" xfId="12" applyNumberFormat="1" applyFont="1" applyBorder="1" applyAlignment="1">
      <alignment horizontal="left"/>
    </xf>
    <xf numFmtId="2" fontId="2" fillId="0" borderId="16" xfId="12" applyNumberFormat="1" applyFont="1" applyBorder="1" applyAlignment="1">
      <alignment horizontal="center"/>
    </xf>
    <xf numFmtId="0" fontId="21" fillId="0" borderId="19" xfId="12" applyFont="1" applyBorder="1"/>
    <xf numFmtId="0" fontId="21" fillId="0" borderId="16" xfId="12" applyFont="1" applyBorder="1" applyAlignment="1">
      <alignment horizontal="left"/>
    </xf>
    <xf numFmtId="0" fontId="21" fillId="0" borderId="0" xfId="12" applyFont="1" applyAlignment="1">
      <alignment vertical="center"/>
    </xf>
    <xf numFmtId="1" fontId="18" fillId="0" borderId="22" xfId="12" applyNumberFormat="1" applyFont="1" applyBorder="1" applyAlignment="1">
      <alignment horizontal="center" vertical="center"/>
    </xf>
    <xf numFmtId="166" fontId="6" fillId="0" borderId="22" xfId="12" applyNumberFormat="1" applyFont="1" applyBorder="1" applyAlignment="1">
      <alignment horizontal="left"/>
    </xf>
    <xf numFmtId="167" fontId="6" fillId="0" borderId="34" xfId="12" applyNumberFormat="1" applyFont="1" applyBorder="1" applyAlignment="1">
      <alignment horizontal="right"/>
    </xf>
    <xf numFmtId="167" fontId="6" fillId="0" borderId="31" xfId="12" applyNumberFormat="1" applyFont="1" applyBorder="1" applyAlignment="1">
      <alignment horizontal="center"/>
    </xf>
    <xf numFmtId="167" fontId="6" fillId="0" borderId="27" xfId="12" applyNumberFormat="1" applyFont="1" applyBorder="1" applyAlignment="1">
      <alignment horizontal="left"/>
    </xf>
    <xf numFmtId="2" fontId="6" fillId="0" borderId="34" xfId="12" applyNumberFormat="1" applyFont="1" applyBorder="1" applyAlignment="1">
      <alignment horizontal="right"/>
    </xf>
    <xf numFmtId="2" fontId="6" fillId="0" borderId="27" xfId="12" applyNumberFormat="1" applyFont="1" applyBorder="1" applyAlignment="1">
      <alignment horizontal="left"/>
    </xf>
    <xf numFmtId="2" fontId="6" fillId="0" borderId="34" xfId="29" applyNumberFormat="1" applyFont="1" applyFill="1" applyBorder="1" applyAlignment="1">
      <alignment horizontal="right"/>
    </xf>
    <xf numFmtId="171" fontId="5" fillId="0" borderId="27" xfId="12" applyNumberFormat="1" applyFont="1" applyBorder="1" applyAlignment="1">
      <alignment horizontal="left"/>
    </xf>
    <xf numFmtId="171" fontId="5" fillId="0" borderId="22" xfId="12" applyNumberFormat="1" applyFont="1" applyBorder="1" applyAlignment="1">
      <alignment horizontal="left"/>
    </xf>
    <xf numFmtId="2" fontId="6" fillId="0" borderId="22" xfId="12" applyNumberFormat="1" applyFont="1" applyBorder="1" applyAlignment="1">
      <alignment horizontal="right"/>
    </xf>
    <xf numFmtId="0" fontId="6" fillId="0" borderId="34" xfId="12" applyFont="1" applyBorder="1"/>
    <xf numFmtId="0" fontId="6" fillId="0" borderId="22" xfId="12" applyFont="1" applyBorder="1" applyAlignment="1">
      <alignment horizontal="left"/>
    </xf>
    <xf numFmtId="173" fontId="5" fillId="0" borderId="34" xfId="12" applyNumberFormat="1" applyFont="1" applyBorder="1" applyAlignment="1">
      <alignment horizontal="right"/>
    </xf>
    <xf numFmtId="1" fontId="23" fillId="0" borderId="22" xfId="12" applyNumberFormat="1" applyFont="1" applyBorder="1" applyAlignment="1">
      <alignment horizontal="center" vertical="center"/>
    </xf>
    <xf numFmtId="0" fontId="2" fillId="0" borderId="22" xfId="12" applyFont="1" applyBorder="1"/>
    <xf numFmtId="0" fontId="2" fillId="0" borderId="34" xfId="12" applyFont="1" applyBorder="1" applyAlignment="1">
      <alignment horizontal="right"/>
    </xf>
    <xf numFmtId="0" fontId="2" fillId="0" borderId="31" xfId="12" applyFont="1" applyBorder="1" applyAlignment="1">
      <alignment horizontal="center"/>
    </xf>
    <xf numFmtId="0" fontId="2" fillId="0" borderId="27" xfId="12" applyFont="1" applyBorder="1" applyAlignment="1">
      <alignment horizontal="left"/>
    </xf>
    <xf numFmtId="173" fontId="2" fillId="0" borderId="34" xfId="12" applyNumberFormat="1" applyFont="1" applyBorder="1" applyAlignment="1">
      <alignment horizontal="right"/>
    </xf>
    <xf numFmtId="171" fontId="2" fillId="0" borderId="27" xfId="12" applyNumberFormat="1" applyFont="1" applyBorder="1" applyAlignment="1">
      <alignment horizontal="left"/>
    </xf>
    <xf numFmtId="171" fontId="2" fillId="0" borderId="22" xfId="12" applyNumberFormat="1" applyFont="1" applyBorder="1" applyAlignment="1">
      <alignment horizontal="left"/>
    </xf>
    <xf numFmtId="2" fontId="2" fillId="0" borderId="22" xfId="12" applyNumberFormat="1" applyFont="1" applyBorder="1" applyAlignment="1">
      <alignment horizontal="center"/>
    </xf>
    <xf numFmtId="0" fontId="21" fillId="0" borderId="34" xfId="12" applyFont="1" applyBorder="1"/>
    <xf numFmtId="0" fontId="21" fillId="0" borderId="22" xfId="12" applyFont="1" applyBorder="1" applyAlignment="1">
      <alignment horizontal="left"/>
    </xf>
    <xf numFmtId="0" fontId="5" fillId="0" borderId="22" xfId="12" applyFont="1" applyBorder="1"/>
    <xf numFmtId="0" fontId="5" fillId="0" borderId="34" xfId="12" applyFont="1" applyBorder="1" applyAlignment="1">
      <alignment horizontal="right"/>
    </xf>
    <xf numFmtId="0" fontId="5" fillId="0" borderId="31" xfId="12" applyFont="1" applyBorder="1" applyAlignment="1">
      <alignment horizontal="center"/>
    </xf>
    <xf numFmtId="0" fontId="5" fillId="0" borderId="27" xfId="12" applyFont="1" applyBorder="1" applyAlignment="1">
      <alignment horizontal="left"/>
    </xf>
    <xf numFmtId="2" fontId="5" fillId="0" borderId="22" xfId="12" applyNumberFormat="1" applyFont="1" applyBorder="1" applyAlignment="1">
      <alignment horizontal="center"/>
    </xf>
    <xf numFmtId="0" fontId="18" fillId="0" borderId="18" xfId="12" applyFont="1" applyBorder="1" applyAlignment="1">
      <alignment horizontal="left" vertical="center" wrapText="1"/>
    </xf>
    <xf numFmtId="1" fontId="18" fillId="0" borderId="0" xfId="12" applyNumberFormat="1" applyFont="1" applyAlignment="1">
      <alignment horizontal="center" vertical="center"/>
    </xf>
    <xf numFmtId="0" fontId="6" fillId="0" borderId="0" xfId="12" applyFont="1" applyAlignment="1">
      <alignment horizontal="left" vertical="center"/>
    </xf>
    <xf numFmtId="1" fontId="6" fillId="0" borderId="0" xfId="12" applyNumberFormat="1" applyFont="1" applyAlignment="1">
      <alignment horizontal="right" vertical="center"/>
    </xf>
    <xf numFmtId="1" fontId="6" fillId="0" borderId="0" xfId="12" applyNumberFormat="1" applyFont="1" applyAlignment="1">
      <alignment horizontal="center" vertical="center"/>
    </xf>
    <xf numFmtId="1" fontId="6" fillId="0" borderId="0" xfId="12" applyNumberFormat="1" applyFont="1" applyAlignment="1">
      <alignment horizontal="left" vertical="center"/>
    </xf>
    <xf numFmtId="2" fontId="6" fillId="0" borderId="0" xfId="12" applyNumberFormat="1" applyFont="1" applyAlignment="1">
      <alignment horizontal="right" vertical="center"/>
    </xf>
    <xf numFmtId="2" fontId="6" fillId="0" borderId="0" xfId="12" applyNumberFormat="1" applyFont="1" applyAlignment="1">
      <alignment horizontal="left" vertical="center"/>
    </xf>
    <xf numFmtId="167" fontId="6" fillId="0" borderId="0" xfId="29" applyNumberFormat="1" applyFont="1" applyFill="1" applyBorder="1" applyAlignment="1">
      <alignment horizontal="right" vertical="center"/>
    </xf>
    <xf numFmtId="167" fontId="6" fillId="0" borderId="0" xfId="29" applyNumberFormat="1" applyFont="1" applyFill="1" applyBorder="1" applyAlignment="1">
      <alignment horizontal="left" vertical="center"/>
    </xf>
    <xf numFmtId="167" fontId="6" fillId="0" borderId="0" xfId="29" applyNumberFormat="1" applyFont="1" applyFill="1" applyBorder="1" applyAlignment="1">
      <alignment horizontal="center" vertical="center"/>
    </xf>
    <xf numFmtId="0" fontId="6" fillId="0" borderId="0" xfId="12" applyFont="1" applyAlignment="1">
      <alignment horizontal="right" vertical="center"/>
    </xf>
    <xf numFmtId="167" fontId="6" fillId="0" borderId="0" xfId="12" applyNumberFormat="1" applyFont="1" applyAlignment="1">
      <alignment vertical="center"/>
    </xf>
    <xf numFmtId="0" fontId="2" fillId="0" borderId="0" xfId="11" applyAlignment="1">
      <alignment vertical="center"/>
    </xf>
    <xf numFmtId="0" fontId="2" fillId="0" borderId="1" xfId="11" applyBorder="1" applyAlignment="1">
      <alignment horizontal="center" vertical="center"/>
    </xf>
    <xf numFmtId="0" fontId="31" fillId="0" borderId="18" xfId="11" applyFont="1" applyBorder="1" applyAlignment="1">
      <alignment horizontal="center" vertical="center"/>
    </xf>
    <xf numFmtId="0" fontId="31" fillId="0" borderId="18" xfId="11" applyFont="1" applyBorder="1" applyAlignment="1">
      <alignment vertical="center" wrapText="1"/>
    </xf>
    <xf numFmtId="2" fontId="5" fillId="0" borderId="18" xfId="11" applyNumberFormat="1" applyFont="1" applyBorder="1" applyAlignment="1">
      <alignment vertical="center"/>
    </xf>
    <xf numFmtId="2" fontId="5" fillId="0" borderId="18" xfId="11" applyNumberFormat="1" applyFont="1" applyBorder="1" applyAlignment="1">
      <alignment horizontal="center" vertical="center"/>
    </xf>
    <xf numFmtId="167" fontId="15" fillId="0" borderId="18" xfId="36" applyNumberFormat="1" applyFont="1" applyFill="1" applyBorder="1" applyAlignment="1">
      <alignment vertical="center"/>
    </xf>
    <xf numFmtId="167" fontId="31" fillId="0" borderId="18" xfId="36" applyNumberFormat="1" applyFont="1" applyFill="1" applyBorder="1" applyAlignment="1">
      <alignment vertical="center"/>
    </xf>
    <xf numFmtId="167" fontId="5" fillId="0" borderId="0" xfId="11" applyNumberFormat="1" applyFont="1" applyAlignment="1">
      <alignment vertical="center"/>
    </xf>
    <xf numFmtId="0" fontId="5" fillId="0" borderId="0" xfId="11" applyFont="1" applyAlignment="1">
      <alignment vertical="center"/>
    </xf>
    <xf numFmtId="0" fontId="2" fillId="0" borderId="16" xfId="11" applyBorder="1" applyAlignment="1">
      <alignment horizontal="center" vertical="center"/>
    </xf>
    <xf numFmtId="0" fontId="30" fillId="0" borderId="16" xfId="11" applyFont="1" applyBorder="1" applyAlignment="1">
      <alignment vertical="center"/>
    </xf>
    <xf numFmtId="2" fontId="2" fillId="0" borderId="16" xfId="11" applyNumberFormat="1" applyBorder="1" applyAlignment="1">
      <alignment vertical="center"/>
    </xf>
    <xf numFmtId="167" fontId="0" fillId="0" borderId="16" xfId="36" applyNumberFormat="1" applyFont="1" applyFill="1" applyBorder="1" applyAlignment="1">
      <alignment vertical="center"/>
    </xf>
    <xf numFmtId="0" fontId="2" fillId="0" borderId="16" xfId="11" applyBorder="1" applyAlignment="1">
      <alignment vertical="center"/>
    </xf>
    <xf numFmtId="0" fontId="2" fillId="0" borderId="22" xfId="11" applyBorder="1" applyAlignment="1">
      <alignment horizontal="center" vertical="center"/>
    </xf>
    <xf numFmtId="0" fontId="2" fillId="0" borderId="22" xfId="11" applyBorder="1" applyAlignment="1">
      <alignment vertical="center"/>
    </xf>
    <xf numFmtId="2" fontId="2" fillId="0" borderId="22" xfId="11" applyNumberFormat="1" applyBorder="1" applyAlignment="1">
      <alignment vertical="center"/>
    </xf>
    <xf numFmtId="167" fontId="0" fillId="0" borderId="22" xfId="36" applyNumberFormat="1" applyFont="1" applyFill="1" applyBorder="1" applyAlignment="1">
      <alignment vertical="center"/>
    </xf>
    <xf numFmtId="0" fontId="0" fillId="0" borderId="16" xfId="43" applyFont="1" applyBorder="1" applyAlignment="1">
      <alignment vertical="center"/>
    </xf>
    <xf numFmtId="2" fontId="2" fillId="0" borderId="16" xfId="11" applyNumberFormat="1" applyBorder="1"/>
    <xf numFmtId="0" fontId="2" fillId="0" borderId="16" xfId="11" applyBorder="1" applyAlignment="1">
      <alignment horizontal="center"/>
    </xf>
    <xf numFmtId="0" fontId="21" fillId="0" borderId="16" xfId="12" applyFont="1" applyBorder="1"/>
    <xf numFmtId="2" fontId="21" fillId="0" borderId="16" xfId="16" applyNumberFormat="1" applyFont="1" applyBorder="1"/>
    <xf numFmtId="0" fontId="21" fillId="0" borderId="16" xfId="16" applyFont="1" applyBorder="1" applyAlignment="1">
      <alignment horizontal="center"/>
    </xf>
    <xf numFmtId="0" fontId="22" fillId="0" borderId="16" xfId="16" applyFont="1" applyBorder="1" applyAlignment="1">
      <alignment vertical="center"/>
    </xf>
    <xf numFmtId="0" fontId="20" fillId="0" borderId="16" xfId="11" applyFont="1" applyBorder="1" applyAlignment="1">
      <alignment horizontal="center" vertical="center"/>
    </xf>
    <xf numFmtId="2" fontId="2" fillId="0" borderId="16" xfId="11" applyNumberFormat="1" applyBorder="1" applyAlignment="1">
      <alignment horizontal="center" vertical="center"/>
    </xf>
    <xf numFmtId="167" fontId="20" fillId="0" borderId="16" xfId="36" applyNumberFormat="1" applyFont="1" applyFill="1" applyBorder="1" applyAlignment="1">
      <alignment vertical="center"/>
    </xf>
    <xf numFmtId="0" fontId="20" fillId="0" borderId="16" xfId="11" applyFont="1" applyBorder="1" applyAlignment="1">
      <alignment vertical="center"/>
    </xf>
    <xf numFmtId="0" fontId="5" fillId="0" borderId="0" xfId="11" applyFont="1" applyAlignment="1">
      <alignment horizontal="center" vertical="center"/>
    </xf>
    <xf numFmtId="167" fontId="31" fillId="0" borderId="5" xfId="11" applyNumberFormat="1" applyFont="1" applyBorder="1" applyAlignment="1">
      <alignment vertical="center"/>
    </xf>
    <xf numFmtId="0" fontId="2" fillId="0" borderId="0" xfId="11" applyAlignment="1">
      <alignment horizontal="center" vertical="center"/>
    </xf>
    <xf numFmtId="167" fontId="2" fillId="0" borderId="0" xfId="11" applyNumberFormat="1" applyAlignment="1">
      <alignment vertical="center"/>
    </xf>
    <xf numFmtId="0" fontId="2" fillId="0" borderId="0" xfId="41" applyAlignment="1">
      <alignment vertical="center"/>
    </xf>
    <xf numFmtId="0" fontId="20" fillId="0" borderId="1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2" fillId="0" borderId="18" xfId="41" applyBorder="1" applyAlignment="1">
      <alignment vertical="center"/>
    </xf>
    <xf numFmtId="0" fontId="29" fillId="0" borderId="18" xfId="41" applyFont="1" applyBorder="1" applyAlignment="1">
      <alignment vertical="center"/>
    </xf>
    <xf numFmtId="0" fontId="2" fillId="0" borderId="18" xfId="41" applyBorder="1" applyAlignment="1">
      <alignment horizontal="center" vertical="center"/>
    </xf>
    <xf numFmtId="0" fontId="2" fillId="0" borderId="16" xfId="41" applyBorder="1" applyAlignment="1">
      <alignment horizontal="center" vertical="center"/>
    </xf>
    <xf numFmtId="2" fontId="2" fillId="0" borderId="16" xfId="41" applyNumberFormat="1" applyBorder="1" applyAlignment="1">
      <alignment vertical="center"/>
    </xf>
    <xf numFmtId="167" fontId="0" fillId="0" borderId="16" xfId="37" applyNumberFormat="1" applyFont="1" applyFill="1" applyBorder="1" applyAlignment="1">
      <alignment vertical="center"/>
    </xf>
    <xf numFmtId="0" fontId="2" fillId="0" borderId="16" xfId="41" applyBorder="1" applyAlignment="1">
      <alignment vertical="center"/>
    </xf>
    <xf numFmtId="0" fontId="2" fillId="0" borderId="22" xfId="41" applyBorder="1" applyAlignment="1">
      <alignment vertical="center"/>
    </xf>
    <xf numFmtId="0" fontId="2" fillId="0" borderId="22" xfId="41" applyBorder="1" applyAlignment="1">
      <alignment horizontal="center" vertical="center"/>
    </xf>
    <xf numFmtId="0" fontId="5" fillId="0" borderId="0" xfId="41" applyFont="1" applyAlignment="1">
      <alignment vertical="center"/>
    </xf>
    <xf numFmtId="0" fontId="31" fillId="0" borderId="2" xfId="41" applyFont="1" applyBorder="1" applyAlignment="1">
      <alignment horizontal="center" vertical="center"/>
    </xf>
    <xf numFmtId="167" fontId="31" fillId="0" borderId="1" xfId="41" applyNumberFormat="1" applyFont="1" applyBorder="1" applyAlignment="1">
      <alignment vertical="center"/>
    </xf>
    <xf numFmtId="167" fontId="2" fillId="0" borderId="0" xfId="41" applyNumberFormat="1" applyAlignment="1">
      <alignment vertical="center"/>
    </xf>
    <xf numFmtId="2" fontId="2" fillId="0" borderId="22" xfId="41" applyNumberFormat="1" applyBorder="1" applyAlignment="1">
      <alignment vertical="center"/>
    </xf>
    <xf numFmtId="167" fontId="0" fillId="0" borderId="22" xfId="37" applyNumberFormat="1" applyFont="1" applyFill="1" applyBorder="1" applyAlignment="1">
      <alignment vertical="center"/>
    </xf>
    <xf numFmtId="0" fontId="2" fillId="0" borderId="0" xfId="47" applyAlignment="1">
      <alignment vertical="center"/>
    </xf>
    <xf numFmtId="0" fontId="31" fillId="0" borderId="1" xfId="47" applyFont="1" applyBorder="1" applyAlignment="1">
      <alignment horizontal="center" vertical="center"/>
    </xf>
    <xf numFmtId="0" fontId="5" fillId="0" borderId="0" xfId="47" applyFont="1" applyAlignment="1">
      <alignment vertical="center"/>
    </xf>
    <xf numFmtId="0" fontId="31" fillId="0" borderId="1" xfId="47" applyFont="1" applyBorder="1" applyAlignment="1">
      <alignment vertical="center"/>
    </xf>
    <xf numFmtId="0" fontId="2" fillId="0" borderId="18" xfId="47" applyBorder="1" applyAlignment="1">
      <alignment horizontal="center" vertical="center"/>
    </xf>
    <xf numFmtId="2" fontId="2" fillId="0" borderId="18" xfId="47" applyNumberFormat="1" applyBorder="1" applyAlignment="1">
      <alignment horizontal="center" vertical="center"/>
    </xf>
    <xf numFmtId="0" fontId="2" fillId="0" borderId="18" xfId="47" applyBorder="1" applyAlignment="1">
      <alignment vertical="center" wrapText="1"/>
    </xf>
    <xf numFmtId="167" fontId="0" fillId="0" borderId="18" xfId="40" applyNumberFormat="1" applyFont="1" applyFill="1" applyBorder="1" applyAlignment="1">
      <alignment vertical="center"/>
    </xf>
    <xf numFmtId="0" fontId="2" fillId="0" borderId="16" xfId="47" applyBorder="1" applyAlignment="1">
      <alignment horizontal="center" vertical="center"/>
    </xf>
    <xf numFmtId="0" fontId="2" fillId="0" borderId="16" xfId="47" applyBorder="1" applyAlignment="1">
      <alignment vertical="center"/>
    </xf>
    <xf numFmtId="167" fontId="0" fillId="0" borderId="16" xfId="40" applyNumberFormat="1" applyFont="1" applyFill="1" applyBorder="1" applyAlignment="1">
      <alignment vertical="center"/>
    </xf>
    <xf numFmtId="167" fontId="0" fillId="0" borderId="16" xfId="40" applyNumberFormat="1" applyFont="1" applyFill="1" applyBorder="1" applyAlignment="1">
      <alignment horizontal="center" vertical="center"/>
    </xf>
    <xf numFmtId="2" fontId="2" fillId="0" borderId="16" xfId="47" applyNumberFormat="1" applyBorder="1" applyAlignment="1">
      <alignment horizontal="center" vertical="center"/>
    </xf>
    <xf numFmtId="0" fontId="2" fillId="0" borderId="16" xfId="47" applyBorder="1" applyAlignment="1">
      <alignment vertical="center" wrapText="1"/>
    </xf>
    <xf numFmtId="0" fontId="2" fillId="0" borderId="22" xfId="47" applyBorder="1" applyAlignment="1">
      <alignment horizontal="center" vertical="center"/>
    </xf>
    <xf numFmtId="0" fontId="2" fillId="0" borderId="22" xfId="47" applyBorder="1" applyAlignment="1">
      <alignment vertical="center"/>
    </xf>
    <xf numFmtId="167" fontId="0" fillId="0" borderId="22" xfId="40" applyNumberFormat="1" applyFont="1" applyFill="1" applyBorder="1" applyAlignment="1">
      <alignment vertical="center"/>
    </xf>
    <xf numFmtId="167" fontId="0" fillId="0" borderId="22" xfId="40" applyNumberFormat="1" applyFont="1" applyFill="1" applyBorder="1" applyAlignment="1">
      <alignment horizontal="center" vertical="center"/>
    </xf>
    <xf numFmtId="167" fontId="17" fillId="0" borderId="1" xfId="40" applyNumberFormat="1" applyFont="1" applyFill="1" applyBorder="1" applyAlignment="1">
      <alignment vertical="center"/>
    </xf>
    <xf numFmtId="167" fontId="17" fillId="0" borderId="1" xfId="40" applyNumberFormat="1" applyFont="1" applyFill="1" applyBorder="1" applyAlignment="1">
      <alignment horizontal="center" vertical="center"/>
    </xf>
    <xf numFmtId="167" fontId="18" fillId="0" borderId="1" xfId="40" applyNumberFormat="1" applyFont="1" applyFill="1" applyBorder="1" applyAlignment="1">
      <alignment vertical="center"/>
    </xf>
    <xf numFmtId="0" fontId="31" fillId="0" borderId="0" xfId="47" applyFont="1" applyAlignment="1">
      <alignment vertical="center"/>
    </xf>
    <xf numFmtId="0" fontId="2" fillId="0" borderId="0" xfId="47" applyAlignment="1">
      <alignment horizontal="center" vertical="center"/>
    </xf>
    <xf numFmtId="167" fontId="0" fillId="0" borderId="0" xfId="40" applyNumberFormat="1" applyFont="1" applyFill="1" applyAlignment="1">
      <alignment vertical="center"/>
    </xf>
    <xf numFmtId="167" fontId="0" fillId="0" borderId="0" xfId="40" applyNumberFormat="1" applyFont="1" applyFill="1" applyAlignment="1">
      <alignment horizontal="center" vertical="center"/>
    </xf>
    <xf numFmtId="43" fontId="0" fillId="0" borderId="0" xfId="40" applyFont="1" applyFill="1" applyAlignment="1">
      <alignment vertical="center"/>
    </xf>
    <xf numFmtId="0" fontId="5" fillId="0" borderId="0" xfId="49" applyFont="1"/>
    <xf numFmtId="0" fontId="2" fillId="0" borderId="0" xfId="50"/>
    <xf numFmtId="0" fontId="37" fillId="0" borderId="1" xfId="49" applyFont="1" applyBorder="1" applyAlignment="1">
      <alignment horizontal="center" vertical="center"/>
    </xf>
    <xf numFmtId="0" fontId="31" fillId="0" borderId="1" xfId="49" applyFont="1" applyBorder="1" applyAlignment="1">
      <alignment horizontal="center" vertical="center"/>
    </xf>
    <xf numFmtId="49" fontId="31" fillId="0" borderId="1" xfId="49" applyNumberFormat="1" applyFont="1" applyBorder="1" applyAlignment="1">
      <alignment horizontal="center" vertical="center" wrapText="1"/>
    </xf>
    <xf numFmtId="0" fontId="31" fillId="0" borderId="1" xfId="49" applyFont="1" applyBorder="1" applyAlignment="1">
      <alignment horizontal="center" vertical="center" wrapText="1"/>
    </xf>
    <xf numFmtId="0" fontId="37" fillId="0" borderId="4" xfId="49" applyFont="1" applyBorder="1" applyAlignment="1">
      <alignment horizontal="center" vertical="center"/>
    </xf>
    <xf numFmtId="0" fontId="31" fillId="0" borderId="0" xfId="49" applyFont="1" applyAlignment="1">
      <alignment horizontal="center" vertical="center"/>
    </xf>
    <xf numFmtId="49" fontId="31" fillId="0" borderId="4" xfId="49" applyNumberFormat="1" applyFont="1" applyBorder="1" applyAlignment="1">
      <alignment horizontal="center" vertical="center" wrapText="1"/>
    </xf>
    <xf numFmtId="0" fontId="31" fillId="0" borderId="4" xfId="49" applyFont="1" applyBorder="1" applyAlignment="1">
      <alignment horizontal="center" vertical="center" wrapText="1"/>
    </xf>
    <xf numFmtId="0" fontId="31" fillId="0" borderId="13" xfId="49" applyFont="1" applyBorder="1" applyAlignment="1">
      <alignment horizontal="center" vertical="center" wrapText="1"/>
    </xf>
    <xf numFmtId="0" fontId="5" fillId="0" borderId="16" xfId="49" applyFont="1" applyBorder="1" applyAlignment="1">
      <alignment vertical="center"/>
    </xf>
    <xf numFmtId="167" fontId="5" fillId="0" borderId="16" xfId="51" applyNumberFormat="1" applyFont="1" applyBorder="1" applyAlignment="1">
      <alignment vertical="center"/>
    </xf>
    <xf numFmtId="167" fontId="5" fillId="0" borderId="16" xfId="52" applyNumberFormat="1" applyFont="1" applyBorder="1" applyAlignment="1">
      <alignment vertical="center"/>
    </xf>
    <xf numFmtId="0" fontId="5" fillId="0" borderId="16" xfId="49" applyFont="1" applyBorder="1" applyAlignment="1">
      <alignment horizontal="left" vertical="center"/>
    </xf>
    <xf numFmtId="0" fontId="2" fillId="0" borderId="16" xfId="50" applyBorder="1"/>
    <xf numFmtId="0" fontId="5" fillId="0" borderId="17" xfId="49" applyFont="1" applyBorder="1" applyAlignment="1">
      <alignment vertical="center"/>
    </xf>
    <xf numFmtId="167" fontId="5" fillId="0" borderId="17" xfId="52" applyNumberFormat="1" applyFont="1" applyBorder="1" applyAlignment="1">
      <alignment vertical="center"/>
    </xf>
    <xf numFmtId="0" fontId="31" fillId="0" borderId="1" xfId="49" applyFont="1" applyBorder="1" applyAlignment="1">
      <alignment vertical="center"/>
    </xf>
    <xf numFmtId="0" fontId="31" fillId="0" borderId="3" xfId="49" applyFont="1" applyBorder="1" applyAlignment="1">
      <alignment vertical="center"/>
    </xf>
    <xf numFmtId="0" fontId="31" fillId="0" borderId="2" xfId="49" applyFont="1" applyBorder="1" applyAlignment="1">
      <alignment vertical="center"/>
    </xf>
    <xf numFmtId="167" fontId="31" fillId="0" borderId="1" xfId="52" applyNumberFormat="1" applyFont="1" applyBorder="1" applyAlignment="1">
      <alignment vertical="center"/>
    </xf>
    <xf numFmtId="0" fontId="18" fillId="0" borderId="0" xfId="50" applyFont="1" applyAlignment="1">
      <alignment vertical="center"/>
    </xf>
    <xf numFmtId="0" fontId="38" fillId="0" borderId="0" xfId="50" applyFont="1"/>
    <xf numFmtId="0" fontId="5" fillId="0" borderId="0" xfId="50" applyFont="1" applyAlignment="1">
      <alignment vertical="center"/>
    </xf>
    <xf numFmtId="0" fontId="0" fillId="0" borderId="13" xfId="35" applyFont="1" applyBorder="1" applyAlignment="1">
      <alignment vertical="center"/>
    </xf>
    <xf numFmtId="173" fontId="6" fillId="0" borderId="23" xfId="12" applyNumberFormat="1" applyFont="1" applyBorder="1" applyAlignment="1">
      <alignment vertical="center"/>
    </xf>
    <xf numFmtId="171" fontId="6" fillId="0" borderId="23" xfId="12" applyNumberFormat="1" applyFont="1" applyBorder="1" applyAlignment="1">
      <alignment vertical="center"/>
    </xf>
    <xf numFmtId="2" fontId="0" fillId="0" borderId="16" xfId="0" applyNumberFormat="1" applyBorder="1" applyAlignment="1">
      <alignment horizontal="right" vertical="center"/>
    </xf>
    <xf numFmtId="0" fontId="0" fillId="0" borderId="16" xfId="41" applyFont="1" applyBorder="1" applyAlignment="1">
      <alignment vertical="center"/>
    </xf>
    <xf numFmtId="0" fontId="0" fillId="0" borderId="16" xfId="11" applyFont="1" applyBorder="1" applyAlignment="1">
      <alignment vertical="center"/>
    </xf>
    <xf numFmtId="0" fontId="0" fillId="0" borderId="23" xfId="12" applyFont="1" applyBorder="1" applyAlignment="1">
      <alignment horizontal="center"/>
    </xf>
    <xf numFmtId="173" fontId="6" fillId="0" borderId="0" xfId="12" applyNumberFormat="1" applyFont="1" applyAlignment="1">
      <alignment vertical="center"/>
    </xf>
    <xf numFmtId="1" fontId="23" fillId="0" borderId="17" xfId="12" applyNumberFormat="1" applyFont="1" applyBorder="1" applyAlignment="1">
      <alignment horizontal="center" vertical="center"/>
    </xf>
    <xf numFmtId="0" fontId="2" fillId="0" borderId="36" xfId="12" applyFont="1" applyBorder="1" applyAlignment="1">
      <alignment horizontal="right"/>
    </xf>
    <xf numFmtId="0" fontId="2" fillId="0" borderId="24" xfId="12" applyFont="1" applyBorder="1" applyAlignment="1">
      <alignment horizontal="center"/>
    </xf>
    <xf numFmtId="0" fontId="2" fillId="0" borderId="30" xfId="12" applyFont="1" applyBorder="1" applyAlignment="1">
      <alignment horizontal="left"/>
    </xf>
    <xf numFmtId="173" fontId="2" fillId="0" borderId="36" xfId="12" applyNumberFormat="1" applyFont="1" applyBorder="1" applyAlignment="1">
      <alignment horizontal="right"/>
    </xf>
    <xf numFmtId="171" fontId="2" fillId="0" borderId="30" xfId="12" applyNumberFormat="1" applyFont="1" applyBorder="1" applyAlignment="1">
      <alignment horizontal="left"/>
    </xf>
    <xf numFmtId="0" fontId="21" fillId="0" borderId="22" xfId="12" applyFont="1" applyBorder="1"/>
    <xf numFmtId="0" fontId="21" fillId="0" borderId="17" xfId="12" applyFont="1" applyBorder="1" applyAlignment="1">
      <alignment horizontal="left"/>
    </xf>
    <xf numFmtId="2" fontId="2" fillId="0" borderId="1" xfId="12" applyNumberFormat="1" applyFont="1" applyBorder="1" applyAlignment="1">
      <alignment horizontal="center"/>
    </xf>
    <xf numFmtId="2" fontId="21" fillId="0" borderId="1" xfId="12" applyNumberFormat="1" applyFont="1" applyBorder="1"/>
    <xf numFmtId="171" fontId="5" fillId="0" borderId="5" xfId="12" applyNumberFormat="1" applyFont="1" applyBorder="1" applyAlignment="1">
      <alignment horizontal="left"/>
    </xf>
    <xf numFmtId="2" fontId="6" fillId="0" borderId="5" xfId="12" applyNumberFormat="1" applyFont="1" applyBorder="1" applyAlignment="1">
      <alignment horizontal="right"/>
    </xf>
    <xf numFmtId="0" fontId="6" fillId="0" borderId="8" xfId="12" applyFont="1" applyBorder="1"/>
    <xf numFmtId="0" fontId="0" fillId="0" borderId="16" xfId="12" applyFont="1" applyBorder="1"/>
    <xf numFmtId="175" fontId="20" fillId="0" borderId="1" xfId="0" applyNumberFormat="1" applyFont="1" applyBorder="1" applyAlignment="1">
      <alignment horizontal="center" vertical="center"/>
    </xf>
    <xf numFmtId="175" fontId="18" fillId="0" borderId="33" xfId="12" applyNumberFormat="1" applyFont="1" applyBorder="1" applyAlignment="1">
      <alignment vertical="center"/>
    </xf>
    <xf numFmtId="1" fontId="18" fillId="0" borderId="21" xfId="12" applyNumberFormat="1" applyFont="1" applyBorder="1" applyAlignment="1">
      <alignment horizontal="center" vertical="center"/>
    </xf>
    <xf numFmtId="0" fontId="0" fillId="0" borderId="16" xfId="12" applyFont="1" applyBorder="1" applyAlignment="1">
      <alignment horizontal="left" vertical="center"/>
    </xf>
    <xf numFmtId="167" fontId="6" fillId="0" borderId="35" xfId="12" applyNumberFormat="1" applyFont="1" applyBorder="1" applyAlignment="1">
      <alignment horizontal="right"/>
    </xf>
    <xf numFmtId="167" fontId="6" fillId="0" borderId="25" xfId="12" applyNumberFormat="1" applyFont="1" applyBorder="1" applyAlignment="1">
      <alignment horizontal="center"/>
    </xf>
    <xf numFmtId="167" fontId="6" fillId="0" borderId="26" xfId="12" applyNumberFormat="1" applyFont="1" applyBorder="1" applyAlignment="1">
      <alignment horizontal="left"/>
    </xf>
    <xf numFmtId="2" fontId="6" fillId="0" borderId="35" xfId="12" applyNumberFormat="1" applyFont="1" applyBorder="1" applyAlignment="1">
      <alignment horizontal="right"/>
    </xf>
    <xf numFmtId="2" fontId="6" fillId="0" borderId="26" xfId="12" applyNumberFormat="1" applyFont="1" applyBorder="1" applyAlignment="1">
      <alignment horizontal="left"/>
    </xf>
    <xf numFmtId="2" fontId="6" fillId="0" borderId="35" xfId="29" applyNumberFormat="1" applyFont="1" applyFill="1" applyBorder="1" applyAlignment="1">
      <alignment horizontal="right"/>
    </xf>
    <xf numFmtId="171" fontId="5" fillId="0" borderId="26" xfId="12" applyNumberFormat="1" applyFont="1" applyBorder="1" applyAlignment="1">
      <alignment horizontal="left"/>
    </xf>
    <xf numFmtId="171" fontId="5" fillId="0" borderId="21" xfId="12" applyNumberFormat="1" applyFont="1" applyBorder="1" applyAlignment="1">
      <alignment horizontal="left"/>
    </xf>
    <xf numFmtId="2" fontId="6" fillId="0" borderId="21" xfId="12" applyNumberFormat="1" applyFont="1" applyBorder="1" applyAlignment="1">
      <alignment horizontal="right"/>
    </xf>
    <xf numFmtId="2" fontId="18" fillId="0" borderId="35" xfId="12" applyNumberFormat="1" applyFont="1" applyBorder="1" applyAlignment="1">
      <alignment vertical="center"/>
    </xf>
    <xf numFmtId="0" fontId="6" fillId="0" borderId="21" xfId="12" applyFont="1" applyBorder="1" applyAlignment="1">
      <alignment horizontal="left" vertical="center"/>
    </xf>
    <xf numFmtId="0" fontId="41" fillId="0" borderId="16" xfId="12" applyFont="1" applyBorder="1" applyAlignment="1">
      <alignment horizontal="left" vertical="center"/>
    </xf>
    <xf numFmtId="0" fontId="0" fillId="0" borderId="24" xfId="12" applyFont="1" applyBorder="1" applyAlignment="1">
      <alignment horizontal="center"/>
    </xf>
    <xf numFmtId="171" fontId="2" fillId="0" borderId="17" xfId="12" applyNumberFormat="1" applyFont="1" applyBorder="1" applyAlignment="1">
      <alignment horizontal="left"/>
    </xf>
    <xf numFmtId="0" fontId="21" fillId="0" borderId="36" xfId="12" applyFont="1" applyBorder="1"/>
    <xf numFmtId="2" fontId="2" fillId="0" borderId="17" xfId="12" applyNumberFormat="1" applyFont="1" applyBorder="1" applyAlignment="1">
      <alignment horizontal="center"/>
    </xf>
    <xf numFmtId="175" fontId="21" fillId="0" borderId="36" xfId="12" applyNumberFormat="1" applyFont="1" applyBorder="1"/>
    <xf numFmtId="0" fontId="6" fillId="0" borderId="35" xfId="12" applyFont="1" applyBorder="1" applyAlignment="1">
      <alignment horizontal="right"/>
    </xf>
    <xf numFmtId="1" fontId="18" fillId="0" borderId="13" xfId="12" applyNumberFormat="1" applyFont="1" applyBorder="1" applyAlignment="1">
      <alignment horizontal="center" vertical="center"/>
    </xf>
    <xf numFmtId="0" fontId="0" fillId="0" borderId="17" xfId="12" applyFont="1" applyBorder="1" applyAlignment="1">
      <alignment horizontal="left" vertical="center"/>
    </xf>
    <xf numFmtId="0" fontId="6" fillId="0" borderId="20" xfId="12" applyFont="1" applyBorder="1" applyAlignment="1">
      <alignment horizontal="right"/>
    </xf>
    <xf numFmtId="167" fontId="6" fillId="0" borderId="0" xfId="12" applyNumberFormat="1" applyFont="1" applyAlignment="1">
      <alignment horizontal="center"/>
    </xf>
    <xf numFmtId="167" fontId="6" fillId="0" borderId="29" xfId="12" applyNumberFormat="1" applyFont="1" applyBorder="1" applyAlignment="1">
      <alignment horizontal="left"/>
    </xf>
    <xf numFmtId="173" fontId="2" fillId="0" borderId="24" xfId="12" applyNumberFormat="1" applyFont="1" applyBorder="1" applyAlignment="1">
      <alignment horizontal="right"/>
    </xf>
    <xf numFmtId="171" fontId="2" fillId="0" borderId="24" xfId="12" applyNumberFormat="1" applyFont="1" applyBorder="1" applyAlignment="1">
      <alignment horizontal="left"/>
    </xf>
    <xf numFmtId="171" fontId="5" fillId="0" borderId="13" xfId="12" applyNumberFormat="1" applyFont="1" applyBorder="1" applyAlignment="1">
      <alignment horizontal="left"/>
    </xf>
    <xf numFmtId="0" fontId="18" fillId="0" borderId="22" xfId="12" applyFont="1" applyBorder="1" applyAlignment="1">
      <alignment horizontal="left" vertical="center" wrapText="1"/>
    </xf>
    <xf numFmtId="2" fontId="6" fillId="0" borderId="31" xfId="29" applyNumberFormat="1" applyFont="1" applyFill="1" applyBorder="1" applyAlignment="1">
      <alignment horizontal="right"/>
    </xf>
    <xf numFmtId="171" fontId="5" fillId="0" borderId="31" xfId="12" applyNumberFormat="1" applyFont="1" applyBorder="1" applyAlignment="1">
      <alignment horizontal="left"/>
    </xf>
    <xf numFmtId="2" fontId="18" fillId="0" borderId="34" xfId="12" applyNumberFormat="1" applyFont="1" applyBorder="1" applyAlignment="1">
      <alignment vertical="center"/>
    </xf>
    <xf numFmtId="0" fontId="6" fillId="0" borderId="22" xfId="12" applyFont="1" applyBorder="1" applyAlignment="1">
      <alignment horizontal="left" vertical="center"/>
    </xf>
    <xf numFmtId="0" fontId="31" fillId="0" borderId="21" xfId="0" applyFont="1" applyBorder="1" applyAlignment="1">
      <alignment vertical="center" wrapText="1"/>
    </xf>
    <xf numFmtId="2" fontId="6" fillId="0" borderId="25" xfId="29" applyNumberFormat="1" applyFont="1" applyFill="1" applyBorder="1" applyAlignment="1">
      <alignment horizontal="right"/>
    </xf>
    <xf numFmtId="171" fontId="5" fillId="0" borderId="25" xfId="12" applyNumberFormat="1" applyFont="1" applyBorder="1" applyAlignment="1">
      <alignment horizontal="left"/>
    </xf>
    <xf numFmtId="0" fontId="6" fillId="0" borderId="21" xfId="12" applyFont="1" applyBorder="1" applyAlignment="1">
      <alignment horizontal="left" vertical="center" wrapText="1"/>
    </xf>
    <xf numFmtId="1" fontId="18" fillId="0" borderId="5" xfId="12" applyNumberFormat="1" applyFont="1" applyBorder="1" applyAlignment="1">
      <alignment horizontal="center" vertical="center"/>
    </xf>
    <xf numFmtId="0" fontId="6" fillId="0" borderId="5" xfId="12" applyFont="1" applyBorder="1" applyAlignment="1">
      <alignment horizontal="left" vertical="center" wrapText="1"/>
    </xf>
    <xf numFmtId="0" fontId="6" fillId="0" borderId="8" xfId="12" applyFont="1" applyBorder="1" applyAlignment="1">
      <alignment horizontal="right"/>
    </xf>
    <xf numFmtId="167" fontId="6" fillId="0" borderId="10" xfId="12" applyNumberFormat="1" applyFont="1" applyBorder="1" applyAlignment="1">
      <alignment horizontal="center"/>
    </xf>
    <xf numFmtId="167" fontId="6" fillId="0" borderId="9" xfId="12" applyNumberFormat="1" applyFont="1" applyBorder="1" applyAlignment="1">
      <alignment horizontal="left"/>
    </xf>
    <xf numFmtId="2" fontId="18" fillId="0" borderId="8" xfId="12" applyNumberFormat="1" applyFont="1" applyBorder="1" applyAlignment="1">
      <alignment vertical="center"/>
    </xf>
    <xf numFmtId="0" fontId="6" fillId="0" borderId="5" xfId="12" applyFont="1" applyBorder="1" applyAlignment="1">
      <alignment horizontal="left" vertical="center"/>
    </xf>
    <xf numFmtId="0" fontId="0" fillId="0" borderId="22" xfId="12" applyFont="1" applyBorder="1" applyAlignment="1">
      <alignment horizontal="left" vertical="center"/>
    </xf>
    <xf numFmtId="173" fontId="2" fillId="0" borderId="35" xfId="12" applyNumberFormat="1" applyFont="1" applyBorder="1" applyAlignment="1">
      <alignment horizontal="right"/>
    </xf>
    <xf numFmtId="171" fontId="2" fillId="0" borderId="26" xfId="12" applyNumberFormat="1" applyFont="1" applyBorder="1" applyAlignment="1">
      <alignment horizontal="left"/>
    </xf>
    <xf numFmtId="0" fontId="2" fillId="0" borderId="17" xfId="11" applyBorder="1" applyAlignment="1">
      <alignment horizontal="center" vertical="center"/>
    </xf>
    <xf numFmtId="0" fontId="21" fillId="0" borderId="17" xfId="12" applyFont="1" applyBorder="1"/>
    <xf numFmtId="2" fontId="2" fillId="0" borderId="17" xfId="11" applyNumberFormat="1" applyBorder="1"/>
    <xf numFmtId="0" fontId="2" fillId="0" borderId="17" xfId="11" applyBorder="1" applyAlignment="1">
      <alignment horizontal="center"/>
    </xf>
    <xf numFmtId="2" fontId="21" fillId="0" borderId="22" xfId="16" applyNumberFormat="1" applyFont="1" applyBorder="1"/>
    <xf numFmtId="167" fontId="31" fillId="0" borderId="0" xfId="11" applyNumberFormat="1" applyFont="1" applyAlignment="1">
      <alignment vertical="center"/>
    </xf>
    <xf numFmtId="166" fontId="2" fillId="0" borderId="16" xfId="47" applyNumberFormat="1" applyBorder="1" applyAlignment="1">
      <alignment horizontal="center" vertical="center"/>
    </xf>
    <xf numFmtId="0" fontId="0" fillId="0" borderId="16" xfId="47" applyFont="1" applyBorder="1" applyAlignment="1">
      <alignment horizontal="center" vertical="center"/>
    </xf>
    <xf numFmtId="0" fontId="2" fillId="0" borderId="17" xfId="12" applyFont="1" applyBorder="1"/>
    <xf numFmtId="0" fontId="0" fillId="0" borderId="36" xfId="12" applyFont="1" applyBorder="1" applyAlignment="1">
      <alignment horizontal="right"/>
    </xf>
    <xf numFmtId="167" fontId="2" fillId="0" borderId="0" xfId="33" applyNumberFormat="1" applyFill="1" applyAlignment="1">
      <alignment vertical="center"/>
    </xf>
    <xf numFmtId="172" fontId="2" fillId="0" borderId="14" xfId="12" applyNumberFormat="1" applyFont="1" applyBorder="1" applyAlignment="1">
      <alignment horizontal="left"/>
    </xf>
    <xf numFmtId="172" fontId="2" fillId="0" borderId="30" xfId="12" applyNumberFormat="1" applyFont="1" applyBorder="1" applyAlignment="1">
      <alignment horizontal="left"/>
    </xf>
    <xf numFmtId="0" fontId="46" fillId="0" borderId="0" xfId="12" applyFont="1"/>
    <xf numFmtId="0" fontId="46" fillId="0" borderId="16" xfId="0" applyFont="1" applyBorder="1" applyAlignment="1">
      <alignment horizontal="left" vertical="center"/>
    </xf>
    <xf numFmtId="0" fontId="48" fillId="0" borderId="16" xfId="0" applyFont="1" applyBorder="1" applyAlignment="1">
      <alignment horizontal="left" vertical="center"/>
    </xf>
    <xf numFmtId="0" fontId="48" fillId="0" borderId="0" xfId="26" applyNumberFormat="1" applyFont="1" applyFill="1" applyBorder="1" applyAlignment="1">
      <alignment horizontal="left" vertical="center"/>
    </xf>
    <xf numFmtId="0" fontId="48" fillId="0" borderId="0" xfId="12" applyFont="1" applyAlignment="1">
      <alignment vertical="center"/>
    </xf>
    <xf numFmtId="43" fontId="48" fillId="0" borderId="0" xfId="33" applyFont="1" applyFill="1" applyBorder="1" applyAlignment="1">
      <alignment vertical="center"/>
    </xf>
    <xf numFmtId="0" fontId="49" fillId="0" borderId="0" xfId="12" applyFont="1" applyAlignment="1">
      <alignment horizontal="center" vertical="center"/>
    </xf>
    <xf numFmtId="0" fontId="48" fillId="0" borderId="0" xfId="12" applyFont="1"/>
    <xf numFmtId="167" fontId="48" fillId="0" borderId="0" xfId="12" applyNumberFormat="1" applyFont="1"/>
    <xf numFmtId="0" fontId="51" fillId="0" borderId="0" xfId="0" applyFont="1"/>
    <xf numFmtId="0" fontId="52" fillId="0" borderId="18" xfId="0" applyFont="1" applyBorder="1" applyAlignment="1">
      <alignment horizontal="center" vertical="center"/>
    </xf>
    <xf numFmtId="0" fontId="52" fillId="0" borderId="18" xfId="0" applyFont="1" applyBorder="1" applyAlignment="1">
      <alignment vertical="center"/>
    </xf>
    <xf numFmtId="2" fontId="52" fillId="0" borderId="18" xfId="0" applyNumberFormat="1" applyFont="1" applyBorder="1" applyAlignment="1">
      <alignment horizontal="center" vertical="center"/>
    </xf>
    <xf numFmtId="43" fontId="50" fillId="0" borderId="18" xfId="33" applyFont="1" applyFill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2" fillId="0" borderId="0" xfId="0" applyFont="1"/>
    <xf numFmtId="0" fontId="51" fillId="0" borderId="16" xfId="0" applyFont="1" applyBorder="1" applyAlignment="1">
      <alignment horizontal="center" vertical="center"/>
    </xf>
    <xf numFmtId="0" fontId="53" fillId="0" borderId="16" xfId="0" applyFont="1" applyBorder="1" applyAlignment="1">
      <alignment horizontal="center" vertical="center"/>
    </xf>
    <xf numFmtId="43" fontId="51" fillId="0" borderId="16" xfId="33" applyFont="1" applyFill="1" applyBorder="1" applyAlignment="1">
      <alignment vertical="center"/>
    </xf>
    <xf numFmtId="0" fontId="51" fillId="0" borderId="16" xfId="0" applyFont="1" applyBorder="1" applyAlignment="1">
      <alignment vertical="center"/>
    </xf>
    <xf numFmtId="3" fontId="51" fillId="0" borderId="0" xfId="0" applyNumberFormat="1" applyFont="1"/>
    <xf numFmtId="0" fontId="51" fillId="0" borderId="16" xfId="0" applyFont="1" applyBorder="1" applyAlignment="1">
      <alignment horizontal="right" vertical="center"/>
    </xf>
    <xf numFmtId="43" fontId="52" fillId="0" borderId="16" xfId="33" applyFont="1" applyFill="1" applyBorder="1" applyAlignment="1">
      <alignment vertical="center"/>
    </xf>
    <xf numFmtId="0" fontId="51" fillId="0" borderId="22" xfId="0" applyFont="1" applyBorder="1" applyAlignment="1">
      <alignment horizontal="center" vertical="center"/>
    </xf>
    <xf numFmtId="0" fontId="51" fillId="0" borderId="22" xfId="0" applyFont="1" applyBorder="1" applyAlignment="1">
      <alignment vertical="center"/>
    </xf>
    <xf numFmtId="43" fontId="51" fillId="0" borderId="22" xfId="33" applyFont="1" applyFill="1" applyBorder="1" applyAlignment="1">
      <alignment vertical="center"/>
    </xf>
    <xf numFmtId="43" fontId="52" fillId="0" borderId="22" xfId="33" applyFont="1" applyFill="1" applyBorder="1" applyAlignment="1">
      <alignment vertical="center"/>
    </xf>
    <xf numFmtId="0" fontId="52" fillId="0" borderId="21" xfId="0" applyFont="1" applyBorder="1" applyAlignment="1">
      <alignment horizontal="center" vertical="center"/>
    </xf>
    <xf numFmtId="0" fontId="52" fillId="0" borderId="18" xfId="0" applyFont="1" applyBorder="1" applyAlignment="1">
      <alignment vertical="center" wrapText="1"/>
    </xf>
    <xf numFmtId="2" fontId="52" fillId="0" borderId="21" xfId="0" applyNumberFormat="1" applyFont="1" applyBorder="1" applyAlignment="1">
      <alignment horizontal="center" vertical="center"/>
    </xf>
    <xf numFmtId="43" fontId="52" fillId="0" borderId="21" xfId="33" applyFont="1" applyFill="1" applyBorder="1" applyAlignment="1">
      <alignment vertical="center"/>
    </xf>
    <xf numFmtId="2" fontId="51" fillId="0" borderId="16" xfId="0" applyNumberFormat="1" applyFont="1" applyBorder="1" applyAlignment="1">
      <alignment horizontal="center" vertical="center"/>
    </xf>
    <xf numFmtId="2" fontId="51" fillId="0" borderId="22" xfId="0" applyNumberFormat="1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0" fontId="51" fillId="0" borderId="5" xfId="0" applyFont="1" applyBorder="1" applyAlignment="1">
      <alignment vertical="center"/>
    </xf>
    <xf numFmtId="2" fontId="51" fillId="0" borderId="5" xfId="0" applyNumberFormat="1" applyFont="1" applyBorder="1" applyAlignment="1">
      <alignment horizontal="center" vertical="center"/>
    </xf>
    <xf numFmtId="43" fontId="51" fillId="0" borderId="5" xfId="33" applyFont="1" applyFill="1" applyBorder="1" applyAlignment="1">
      <alignment vertical="center"/>
    </xf>
    <xf numFmtId="43" fontId="52" fillId="0" borderId="5" xfId="33" applyFont="1" applyFill="1" applyBorder="1" applyAlignment="1">
      <alignment vertical="center"/>
    </xf>
    <xf numFmtId="0" fontId="52" fillId="0" borderId="21" xfId="0" applyFont="1" applyBorder="1" applyAlignment="1">
      <alignment vertical="center"/>
    </xf>
    <xf numFmtId="0" fontId="51" fillId="0" borderId="16" xfId="0" applyFont="1" applyBorder="1" applyAlignment="1">
      <alignment horizontal="left" vertical="center"/>
    </xf>
    <xf numFmtId="2" fontId="54" fillId="0" borderId="0" xfId="0" applyNumberFormat="1" applyFont="1"/>
    <xf numFmtId="43" fontId="55" fillId="0" borderId="16" xfId="33" applyFont="1" applyFill="1" applyBorder="1" applyAlignment="1">
      <alignment vertical="center"/>
    </xf>
    <xf numFmtId="0" fontId="51" fillId="0" borderId="16" xfId="3" applyFont="1" applyBorder="1"/>
    <xf numFmtId="0" fontId="51" fillId="0" borderId="22" xfId="0" applyFont="1" applyBorder="1"/>
    <xf numFmtId="0" fontId="51" fillId="0" borderId="13" xfId="35" applyFont="1" applyBorder="1"/>
    <xf numFmtId="0" fontId="51" fillId="0" borderId="22" xfId="0" applyFont="1" applyBorder="1" applyAlignment="1">
      <alignment horizontal="right" vertical="center"/>
    </xf>
    <xf numFmtId="0" fontId="51" fillId="0" borderId="17" xfId="0" applyFont="1" applyBorder="1" applyAlignment="1">
      <alignment horizontal="center" vertical="center"/>
    </xf>
    <xf numFmtId="0" fontId="51" fillId="0" borderId="17" xfId="0" applyFont="1" applyBorder="1" applyAlignment="1">
      <alignment horizontal="left" vertical="center"/>
    </xf>
    <xf numFmtId="2" fontId="51" fillId="0" borderId="17" xfId="0" applyNumberFormat="1" applyFont="1" applyBorder="1" applyAlignment="1">
      <alignment horizontal="center" vertical="center"/>
    </xf>
    <xf numFmtId="43" fontId="55" fillId="0" borderId="17" xfId="33" applyFont="1" applyFill="1" applyBorder="1" applyAlignment="1">
      <alignment vertical="center"/>
    </xf>
    <xf numFmtId="43" fontId="52" fillId="0" borderId="21" xfId="33" applyFont="1" applyFill="1" applyBorder="1" applyAlignment="1">
      <alignment horizontal="right" vertical="center"/>
    </xf>
    <xf numFmtId="164" fontId="52" fillId="0" borderId="21" xfId="0" applyNumberFormat="1" applyFont="1" applyBorder="1" applyAlignment="1">
      <alignment horizontal="center" vertical="center"/>
    </xf>
    <xf numFmtId="164" fontId="51" fillId="0" borderId="16" xfId="0" applyNumberFormat="1" applyFont="1" applyBorder="1" applyAlignment="1">
      <alignment horizontal="center" vertical="center"/>
    </xf>
    <xf numFmtId="43" fontId="51" fillId="0" borderId="16" xfId="33" applyFont="1" applyFill="1" applyBorder="1" applyAlignment="1">
      <alignment horizontal="right" vertical="center"/>
    </xf>
    <xf numFmtId="0" fontId="52" fillId="0" borderId="16" xfId="0" applyFont="1" applyBorder="1" applyAlignment="1">
      <alignment horizontal="center" vertical="center"/>
    </xf>
    <xf numFmtId="43" fontId="52" fillId="0" borderId="16" xfId="33" applyFont="1" applyFill="1" applyBorder="1" applyAlignment="1">
      <alignment horizontal="right" vertical="center"/>
    </xf>
    <xf numFmtId="2" fontId="51" fillId="0" borderId="0" xfId="0" applyNumberFormat="1" applyFont="1"/>
    <xf numFmtId="0" fontId="52" fillId="0" borderId="22" xfId="0" applyFont="1" applyBorder="1" applyAlignment="1">
      <alignment horizontal="center" vertical="center"/>
    </xf>
    <xf numFmtId="164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right" vertical="center"/>
    </xf>
    <xf numFmtId="43" fontId="52" fillId="0" borderId="22" xfId="33" applyFont="1" applyFill="1" applyBorder="1" applyAlignment="1">
      <alignment horizontal="right" vertical="center"/>
    </xf>
    <xf numFmtId="0" fontId="48" fillId="0" borderId="16" xfId="11" applyFont="1" applyBorder="1" applyAlignment="1">
      <alignment vertical="center"/>
    </xf>
    <xf numFmtId="0" fontId="56" fillId="0" borderId="16" xfId="0" applyFont="1" applyBorder="1" applyAlignment="1">
      <alignment vertical="center"/>
    </xf>
    <xf numFmtId="0" fontId="51" fillId="0" borderId="21" xfId="0" applyFont="1" applyBorder="1" applyAlignment="1">
      <alignment horizontal="center" vertical="center"/>
    </xf>
    <xf numFmtId="0" fontId="51" fillId="0" borderId="19" xfId="0" applyFont="1" applyBorder="1" applyAlignment="1">
      <alignment vertical="center"/>
    </xf>
    <xf numFmtId="2" fontId="52" fillId="0" borderId="1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166" fontId="51" fillId="0" borderId="16" xfId="0" applyNumberFormat="1" applyFont="1" applyBorder="1" applyAlignment="1">
      <alignment horizontal="center" vertical="center"/>
    </xf>
    <xf numFmtId="43" fontId="52" fillId="0" borderId="21" xfId="33" applyFont="1" applyFill="1" applyBorder="1"/>
    <xf numFmtId="0" fontId="48" fillId="0" borderId="16" xfId="16" applyFont="1" applyBorder="1" applyAlignment="1">
      <alignment vertical="center"/>
    </xf>
    <xf numFmtId="0" fontId="51" fillId="0" borderId="23" xfId="0" applyFont="1" applyBorder="1" applyAlignment="1">
      <alignment horizontal="center"/>
    </xf>
    <xf numFmtId="0" fontId="52" fillId="0" borderId="4" xfId="0" applyFont="1" applyBorder="1" applyAlignment="1">
      <alignment horizontal="center" vertical="center"/>
    </xf>
    <xf numFmtId="0" fontId="50" fillId="0" borderId="16" xfId="0" applyFont="1" applyBorder="1" applyAlignment="1">
      <alignment horizontal="left" vertical="center"/>
    </xf>
    <xf numFmtId="0" fontId="53" fillId="0" borderId="22" xfId="0" applyFont="1" applyBorder="1" applyAlignment="1">
      <alignment horizontal="center" vertical="center"/>
    </xf>
    <xf numFmtId="0" fontId="52" fillId="0" borderId="21" xfId="0" applyFont="1" applyBorder="1" applyAlignment="1">
      <alignment vertical="center" wrapText="1"/>
    </xf>
    <xf numFmtId="0" fontId="51" fillId="0" borderId="16" xfId="0" applyFont="1" applyBorder="1" applyAlignment="1">
      <alignment horizontal="center"/>
    </xf>
    <xf numFmtId="0" fontId="51" fillId="0" borderId="16" xfId="0" applyFont="1" applyBorder="1"/>
    <xf numFmtId="43" fontId="51" fillId="0" borderId="16" xfId="33" applyFont="1" applyFill="1" applyBorder="1"/>
    <xf numFmtId="2" fontId="52" fillId="0" borderId="0" xfId="0" applyNumberFormat="1" applyFont="1"/>
    <xf numFmtId="165" fontId="51" fillId="0" borderId="16" xfId="0" applyNumberFormat="1" applyFont="1" applyBorder="1" applyAlignment="1">
      <alignment horizontal="center" vertical="center"/>
    </xf>
    <xf numFmtId="0" fontId="51" fillId="0" borderId="23" xfId="0" applyFont="1" applyBorder="1"/>
    <xf numFmtId="1" fontId="51" fillId="0" borderId="16" xfId="0" applyNumberFormat="1" applyFont="1" applyBorder="1" applyAlignment="1">
      <alignment horizontal="center" vertical="center"/>
    </xf>
    <xf numFmtId="174" fontId="51" fillId="0" borderId="0" xfId="0" applyNumberFormat="1" applyFont="1"/>
    <xf numFmtId="43" fontId="55" fillId="0" borderId="16" xfId="33" applyFont="1" applyFill="1" applyBorder="1" applyAlignment="1">
      <alignment horizontal="right" vertical="center"/>
    </xf>
    <xf numFmtId="0" fontId="51" fillId="0" borderId="17" xfId="11" applyFont="1" applyBorder="1" applyAlignment="1">
      <alignment vertical="center"/>
    </xf>
    <xf numFmtId="0" fontId="51" fillId="0" borderId="37" xfId="0" applyFont="1" applyBorder="1" applyAlignment="1">
      <alignment horizontal="center" vertical="center"/>
    </xf>
    <xf numFmtId="0" fontId="51" fillId="0" borderId="37" xfId="0" applyFont="1" applyBorder="1" applyAlignment="1">
      <alignment vertical="center"/>
    </xf>
    <xf numFmtId="43" fontId="51" fillId="0" borderId="37" xfId="33" applyFont="1" applyFill="1" applyBorder="1" applyAlignment="1">
      <alignment vertical="center"/>
    </xf>
    <xf numFmtId="43" fontId="52" fillId="0" borderId="37" xfId="33" applyFont="1" applyFill="1" applyBorder="1" applyAlignment="1">
      <alignment vertical="center"/>
    </xf>
    <xf numFmtId="0" fontId="51" fillId="0" borderId="15" xfId="0" applyFont="1" applyBorder="1" applyAlignment="1">
      <alignment horizontal="center" vertical="center"/>
    </xf>
    <xf numFmtId="0" fontId="51" fillId="0" borderId="15" xfId="0" applyFont="1" applyBorder="1" applyAlignment="1">
      <alignment vertical="center"/>
    </xf>
    <xf numFmtId="43" fontId="51" fillId="0" borderId="15" xfId="33" applyFont="1" applyFill="1" applyBorder="1" applyAlignment="1">
      <alignment vertical="center"/>
    </xf>
    <xf numFmtId="43" fontId="52" fillId="0" borderId="15" xfId="33" applyFont="1" applyFill="1" applyBorder="1" applyAlignment="1">
      <alignment vertical="center"/>
    </xf>
    <xf numFmtId="167" fontId="51" fillId="0" borderId="0" xfId="33" applyNumberFormat="1" applyFont="1" applyFill="1"/>
    <xf numFmtId="0" fontId="51" fillId="0" borderId="0" xfId="0" applyFont="1" applyAlignment="1">
      <alignment horizontal="center"/>
    </xf>
    <xf numFmtId="43" fontId="51" fillId="0" borderId="0" xfId="33" applyFont="1" applyFill="1"/>
    <xf numFmtId="43" fontId="51" fillId="0" borderId="0" xfId="33" applyFont="1" applyFill="1" applyBorder="1"/>
    <xf numFmtId="0" fontId="50" fillId="0" borderId="0" xfId="0" applyFont="1" applyAlignment="1">
      <alignment horizontal="center" vertical="center"/>
    </xf>
    <xf numFmtId="3" fontId="50" fillId="0" borderId="0" xfId="0" applyNumberFormat="1" applyFont="1" applyAlignment="1">
      <alignment horizontal="center" vertical="center" wrapText="1"/>
    </xf>
    <xf numFmtId="0" fontId="50" fillId="0" borderId="18" xfId="0" applyFont="1" applyBorder="1" applyAlignment="1">
      <alignment horizontal="center" vertical="center"/>
    </xf>
    <xf numFmtId="0" fontId="57" fillId="0" borderId="18" xfId="0" applyFont="1" applyBorder="1" applyAlignment="1">
      <alignment horizontal="center" vertical="center"/>
    </xf>
    <xf numFmtId="2" fontId="50" fillId="0" borderId="18" xfId="0" applyNumberFormat="1" applyFont="1" applyBorder="1" applyAlignment="1">
      <alignment horizontal="center" vertical="center" wrapText="1"/>
    </xf>
    <xf numFmtId="3" fontId="50" fillId="0" borderId="18" xfId="0" applyNumberFormat="1" applyFont="1" applyBorder="1" applyAlignment="1">
      <alignment horizontal="center" vertical="center" wrapText="1"/>
    </xf>
    <xf numFmtId="43" fontId="51" fillId="0" borderId="16" xfId="33" applyFont="1" applyFill="1" applyBorder="1" applyAlignment="1">
      <alignment horizontal="center" vertical="center"/>
    </xf>
    <xf numFmtId="3" fontId="51" fillId="0" borderId="0" xfId="0" applyNumberFormat="1" applyFont="1" applyAlignment="1">
      <alignment vertical="center"/>
    </xf>
    <xf numFmtId="2" fontId="51" fillId="0" borderId="0" xfId="0" applyNumberFormat="1" applyFont="1" applyAlignment="1">
      <alignment horizontal="center"/>
    </xf>
    <xf numFmtId="0" fontId="51" fillId="0" borderId="17" xfId="0" applyFont="1" applyBorder="1" applyAlignment="1">
      <alignment vertical="center"/>
    </xf>
    <xf numFmtId="3" fontId="51" fillId="0" borderId="16" xfId="0" applyNumberFormat="1" applyFont="1" applyBorder="1" applyAlignment="1">
      <alignment vertical="center"/>
    </xf>
    <xf numFmtId="0" fontId="51" fillId="0" borderId="1" xfId="0" applyFont="1" applyBorder="1" applyAlignment="1">
      <alignment horizontal="center" vertical="center"/>
    </xf>
    <xf numFmtId="0" fontId="48" fillId="0" borderId="1" xfId="0" applyFont="1" applyBorder="1" applyAlignment="1">
      <alignment vertical="center"/>
    </xf>
    <xf numFmtId="2" fontId="51" fillId="0" borderId="1" xfId="0" applyNumberFormat="1" applyFont="1" applyBorder="1" applyAlignment="1">
      <alignment horizontal="center" vertical="center"/>
    </xf>
    <xf numFmtId="3" fontId="51" fillId="0" borderId="1" xfId="0" applyNumberFormat="1" applyFont="1" applyBorder="1" applyAlignment="1">
      <alignment vertical="center"/>
    </xf>
    <xf numFmtId="3" fontId="52" fillId="0" borderId="0" xfId="0" applyNumberFormat="1" applyFont="1" applyAlignment="1">
      <alignment vertical="center"/>
    </xf>
    <xf numFmtId="3" fontId="51" fillId="0" borderId="0" xfId="0" applyNumberFormat="1" applyFont="1" applyAlignment="1">
      <alignment horizontal="center"/>
    </xf>
    <xf numFmtId="0" fontId="57" fillId="0" borderId="21" xfId="0" applyFont="1" applyBorder="1" applyAlignment="1">
      <alignment horizontal="center" vertical="center"/>
    </xf>
    <xf numFmtId="2" fontId="51" fillId="0" borderId="21" xfId="0" applyNumberFormat="1" applyFont="1" applyBorder="1" applyAlignment="1">
      <alignment horizontal="center" vertical="center"/>
    </xf>
    <xf numFmtId="3" fontId="51" fillId="0" borderId="21" xfId="0" applyNumberFormat="1" applyFont="1" applyBorder="1" applyAlignment="1">
      <alignment vertical="center"/>
    </xf>
    <xf numFmtId="43" fontId="51" fillId="0" borderId="16" xfId="33" applyFont="1" applyFill="1" applyBorder="1" applyAlignment="1">
      <alignment horizontal="left"/>
    </xf>
    <xf numFmtId="43" fontId="51" fillId="0" borderId="16" xfId="33" applyFont="1" applyFill="1" applyBorder="1" applyAlignment="1">
      <alignment horizontal="left" vertical="center"/>
    </xf>
    <xf numFmtId="43" fontId="51" fillId="0" borderId="13" xfId="33" applyFont="1" applyFill="1" applyBorder="1" applyAlignment="1">
      <alignment horizontal="left"/>
    </xf>
    <xf numFmtId="43" fontId="48" fillId="0" borderId="16" xfId="33" applyFont="1" applyFill="1" applyBorder="1" applyAlignment="1">
      <alignment vertical="center"/>
    </xf>
    <xf numFmtId="43" fontId="48" fillId="0" borderId="1" xfId="33" applyFont="1" applyFill="1" applyBorder="1" applyAlignment="1">
      <alignment vertical="center"/>
    </xf>
    <xf numFmtId="43" fontId="51" fillId="0" borderId="1" xfId="33" applyFont="1" applyFill="1" applyBorder="1" applyAlignment="1">
      <alignment horizontal="center" vertical="center"/>
    </xf>
    <xf numFmtId="43" fontId="51" fillId="0" borderId="1" xfId="33" applyFont="1" applyFill="1" applyBorder="1" applyAlignment="1">
      <alignment vertical="center"/>
    </xf>
    <xf numFmtId="43" fontId="52" fillId="0" borderId="1" xfId="33" applyFont="1" applyFill="1" applyBorder="1" applyAlignment="1">
      <alignment vertical="center"/>
    </xf>
    <xf numFmtId="0" fontId="48" fillId="0" borderId="0" xfId="0" applyFont="1"/>
    <xf numFmtId="0" fontId="51" fillId="0" borderId="0" xfId="0" applyFont="1" applyAlignment="1">
      <alignment horizontal="center" vertical="center"/>
    </xf>
    <xf numFmtId="0" fontId="48" fillId="0" borderId="0" xfId="0" applyFont="1" applyAlignment="1">
      <alignment vertical="center"/>
    </xf>
    <xf numFmtId="2" fontId="51" fillId="0" borderId="0" xfId="0" applyNumberFormat="1" applyFont="1" applyAlignment="1">
      <alignment horizontal="center" vertical="center"/>
    </xf>
    <xf numFmtId="2" fontId="51" fillId="0" borderId="0" xfId="0" applyNumberFormat="1" applyFont="1" applyAlignment="1">
      <alignment vertical="center"/>
    </xf>
    <xf numFmtId="0" fontId="46" fillId="0" borderId="0" xfId="26" applyNumberFormat="1" applyFont="1" applyFill="1" applyBorder="1" applyAlignment="1">
      <alignment horizontal="left" vertical="center"/>
    </xf>
    <xf numFmtId="0" fontId="46" fillId="0" borderId="0" xfId="12" applyFont="1" applyAlignment="1">
      <alignment vertical="center"/>
    </xf>
    <xf numFmtId="0" fontId="46" fillId="0" borderId="0" xfId="12" applyFont="1" applyAlignment="1">
      <alignment horizontal="right" vertical="center"/>
    </xf>
    <xf numFmtId="0" fontId="46" fillId="0" borderId="0" xfId="12" applyFont="1" applyAlignment="1">
      <alignment horizontal="left" vertical="center"/>
    </xf>
    <xf numFmtId="0" fontId="46" fillId="0" borderId="0" xfId="12" applyFont="1" applyAlignment="1">
      <alignment horizontal="center"/>
    </xf>
    <xf numFmtId="167" fontId="46" fillId="0" borderId="0" xfId="12" applyNumberFormat="1" applyFont="1"/>
    <xf numFmtId="0" fontId="46" fillId="0" borderId="0" xfId="12" applyFont="1" applyAlignment="1">
      <alignment horizontal="left"/>
    </xf>
    <xf numFmtId="167" fontId="46" fillId="0" borderId="0" xfId="12" applyNumberFormat="1" applyFont="1" applyAlignment="1">
      <alignment horizontal="center"/>
    </xf>
    <xf numFmtId="0" fontId="60" fillId="0" borderId="16" xfId="0" applyFont="1" applyBorder="1" applyAlignment="1">
      <alignment horizontal="left" vertical="center"/>
    </xf>
    <xf numFmtId="0" fontId="58" fillId="0" borderId="16" xfId="0" applyFont="1" applyBorder="1" applyAlignment="1">
      <alignment horizontal="center" vertical="center"/>
    </xf>
    <xf numFmtId="2" fontId="58" fillId="0" borderId="16" xfId="0" applyNumberFormat="1" applyFont="1" applyBorder="1" applyAlignment="1">
      <alignment horizontal="center" vertical="center"/>
    </xf>
    <xf numFmtId="2" fontId="61" fillId="0" borderId="16" xfId="0" applyNumberFormat="1" applyFont="1" applyBorder="1" applyAlignment="1">
      <alignment horizontal="center" vertical="center"/>
    </xf>
    <xf numFmtId="0" fontId="58" fillId="0" borderId="0" xfId="0" applyFont="1"/>
    <xf numFmtId="0" fontId="46" fillId="0" borderId="16" xfId="0" applyFont="1" applyBorder="1" applyAlignment="1">
      <alignment horizontal="center" vertical="center"/>
    </xf>
    <xf numFmtId="0" fontId="46" fillId="0" borderId="19" xfId="0" applyFont="1" applyBorder="1" applyAlignment="1">
      <alignment horizontal="right" vertical="center"/>
    </xf>
    <xf numFmtId="0" fontId="46" fillId="0" borderId="23" xfId="0" applyFont="1" applyBorder="1" applyAlignment="1">
      <alignment horizontal="center" vertical="center"/>
    </xf>
    <xf numFmtId="1" fontId="46" fillId="0" borderId="14" xfId="0" applyNumberFormat="1" applyFont="1" applyBorder="1" applyAlignment="1">
      <alignment horizontal="left" vertical="center"/>
    </xf>
    <xf numFmtId="173" fontId="46" fillId="0" borderId="19" xfId="0" applyNumberFormat="1" applyFont="1" applyBorder="1" applyAlignment="1">
      <alignment horizontal="right" vertical="center"/>
    </xf>
    <xf numFmtId="171" fontId="46" fillId="0" borderId="14" xfId="0" applyNumberFormat="1" applyFont="1" applyBorder="1" applyAlignment="1">
      <alignment horizontal="left" vertical="center"/>
    </xf>
    <xf numFmtId="170" fontId="46" fillId="0" borderId="19" xfId="0" applyNumberFormat="1" applyFont="1" applyBorder="1" applyAlignment="1">
      <alignment horizontal="right" vertical="center"/>
    </xf>
    <xf numFmtId="2" fontId="46" fillId="0" borderId="16" xfId="0" applyNumberFormat="1" applyFont="1" applyBorder="1" applyAlignment="1">
      <alignment horizontal="center" vertical="center"/>
    </xf>
    <xf numFmtId="2" fontId="59" fillId="0" borderId="16" xfId="0" applyNumberFormat="1" applyFont="1" applyBorder="1" applyAlignment="1">
      <alignment horizontal="center" vertical="center"/>
    </xf>
    <xf numFmtId="0" fontId="46" fillId="0" borderId="0" xfId="0" applyFont="1"/>
    <xf numFmtId="0" fontId="58" fillId="0" borderId="19" xfId="0" applyFont="1" applyBorder="1" applyAlignment="1">
      <alignment horizontal="right" vertical="center"/>
    </xf>
    <xf numFmtId="0" fontId="58" fillId="0" borderId="23" xfId="0" applyFont="1" applyBorder="1" applyAlignment="1">
      <alignment horizontal="center" vertical="center"/>
    </xf>
    <xf numFmtId="1" fontId="58" fillId="0" borderId="26" xfId="0" applyNumberFormat="1" applyFont="1" applyBorder="1" applyAlignment="1">
      <alignment horizontal="left" vertical="center"/>
    </xf>
    <xf numFmtId="173" fontId="58" fillId="0" borderId="19" xfId="0" applyNumberFormat="1" applyFont="1" applyBorder="1" applyAlignment="1">
      <alignment horizontal="right" vertical="center"/>
    </xf>
    <xf numFmtId="2" fontId="58" fillId="0" borderId="14" xfId="0" applyNumberFormat="1" applyFont="1" applyBorder="1" applyAlignment="1">
      <alignment horizontal="left" vertical="center"/>
    </xf>
    <xf numFmtId="2" fontId="58" fillId="0" borderId="19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left" vertical="center"/>
    </xf>
    <xf numFmtId="1" fontId="58" fillId="0" borderId="14" xfId="0" applyNumberFormat="1" applyFont="1" applyBorder="1" applyAlignment="1">
      <alignment horizontal="left" vertical="center"/>
    </xf>
    <xf numFmtId="171" fontId="58" fillId="0" borderId="14" xfId="0" applyNumberFormat="1" applyFont="1" applyBorder="1" applyAlignment="1">
      <alignment horizontal="left" vertical="center"/>
    </xf>
    <xf numFmtId="170" fontId="58" fillId="0" borderId="19" xfId="0" applyNumberFormat="1" applyFont="1" applyBorder="1" applyAlignment="1">
      <alignment horizontal="right" vertical="center"/>
    </xf>
    <xf numFmtId="0" fontId="58" fillId="0" borderId="39" xfId="0" applyFont="1" applyBorder="1" applyAlignment="1">
      <alignment horizontal="center" vertical="center"/>
    </xf>
    <xf numFmtId="2" fontId="46" fillId="0" borderId="21" xfId="0" applyNumberFormat="1" applyFont="1" applyBorder="1" applyAlignment="1">
      <alignment horizontal="center" vertical="center"/>
    </xf>
    <xf numFmtId="0" fontId="59" fillId="0" borderId="17" xfId="0" applyFont="1" applyBorder="1" applyAlignment="1">
      <alignment horizontal="center" vertical="center"/>
    </xf>
    <xf numFmtId="173" fontId="46" fillId="0" borderId="20" xfId="0" applyNumberFormat="1" applyFont="1" applyBorder="1" applyAlignment="1">
      <alignment horizontal="right" vertical="center"/>
    </xf>
    <xf numFmtId="171" fontId="46" fillId="0" borderId="29" xfId="0" applyNumberFormat="1" applyFont="1" applyBorder="1" applyAlignment="1">
      <alignment horizontal="left" vertical="center"/>
    </xf>
    <xf numFmtId="170" fontId="46" fillId="0" borderId="20" xfId="0" applyNumberFormat="1" applyFont="1" applyBorder="1" applyAlignment="1">
      <alignment horizontal="right" vertical="center"/>
    </xf>
    <xf numFmtId="0" fontId="58" fillId="0" borderId="13" xfId="0" applyFont="1" applyBorder="1" applyAlignment="1">
      <alignment horizontal="center" vertical="center"/>
    </xf>
    <xf numFmtId="2" fontId="58" fillId="0" borderId="13" xfId="0" applyNumberFormat="1" applyFont="1" applyBorder="1" applyAlignment="1">
      <alignment horizontal="center" vertical="center"/>
    </xf>
    <xf numFmtId="2" fontId="46" fillId="0" borderId="13" xfId="0" applyNumberFormat="1" applyFont="1" applyBorder="1" applyAlignment="1">
      <alignment horizontal="center" vertical="center"/>
    </xf>
    <xf numFmtId="0" fontId="58" fillId="0" borderId="16" xfId="0" applyFont="1" applyBorder="1" applyAlignment="1">
      <alignment vertical="center"/>
    </xf>
    <xf numFmtId="0" fontId="63" fillId="0" borderId="0" xfId="35" applyFont="1"/>
    <xf numFmtId="0" fontId="63" fillId="0" borderId="13" xfId="35" applyFont="1" applyBorder="1"/>
    <xf numFmtId="0" fontId="63" fillId="0" borderId="16" xfId="0" applyFont="1" applyBorder="1" applyAlignment="1">
      <alignment vertical="center"/>
    </xf>
    <xf numFmtId="167" fontId="63" fillId="0" borderId="16" xfId="33" applyNumberFormat="1" applyFont="1" applyFill="1" applyBorder="1" applyAlignment="1">
      <alignment vertical="center"/>
    </xf>
    <xf numFmtId="0" fontId="63" fillId="0" borderId="16" xfId="0" applyFont="1" applyBorder="1" applyAlignment="1">
      <alignment horizontal="left" vertical="center"/>
    </xf>
    <xf numFmtId="0" fontId="63" fillId="0" borderId="16" xfId="0" applyFont="1" applyBorder="1"/>
    <xf numFmtId="0" fontId="64" fillId="0" borderId="16" xfId="11" applyFont="1" applyBorder="1" applyAlignment="1">
      <alignment vertical="center"/>
    </xf>
    <xf numFmtId="0" fontId="64" fillId="0" borderId="16" xfId="0" applyFont="1" applyBorder="1" applyAlignment="1">
      <alignment horizontal="left" vertical="center"/>
    </xf>
    <xf numFmtId="0" fontId="64" fillId="5" borderId="16" xfId="16" applyFont="1" applyFill="1" applyBorder="1" applyAlignment="1">
      <alignment vertical="center"/>
    </xf>
    <xf numFmtId="0" fontId="63" fillId="5" borderId="16" xfId="0" applyFont="1" applyFill="1" applyBorder="1" applyAlignment="1">
      <alignment vertical="center"/>
    </xf>
    <xf numFmtId="0" fontId="64" fillId="0" borderId="16" xfId="16" applyFont="1" applyBorder="1" applyAlignment="1">
      <alignment vertical="center"/>
    </xf>
    <xf numFmtId="0" fontId="63" fillId="0" borderId="16" xfId="3" applyFont="1" applyBorder="1"/>
    <xf numFmtId="0" fontId="63" fillId="4" borderId="0" xfId="35" applyFont="1" applyFill="1"/>
    <xf numFmtId="167" fontId="63" fillId="4" borderId="0" xfId="33" applyNumberFormat="1" applyFont="1" applyFill="1"/>
    <xf numFmtId="167" fontId="63" fillId="0" borderId="0" xfId="33" applyNumberFormat="1" applyFont="1" applyFill="1"/>
    <xf numFmtId="167" fontId="63" fillId="0" borderId="0" xfId="33" applyNumberFormat="1" applyFont="1" applyFill="1" applyBorder="1"/>
    <xf numFmtId="3" fontId="51" fillId="0" borderId="18" xfId="0" applyNumberFormat="1" applyFont="1" applyBorder="1" applyAlignment="1">
      <alignment horizontal="center" vertical="center"/>
    </xf>
    <xf numFmtId="0" fontId="51" fillId="0" borderId="18" xfId="0" applyFont="1" applyBorder="1" applyAlignment="1">
      <alignment vertical="center"/>
    </xf>
    <xf numFmtId="43" fontId="51" fillId="0" borderId="18" xfId="33" applyFont="1" applyFill="1" applyBorder="1" applyAlignment="1">
      <alignment horizontal="center" vertical="center"/>
    </xf>
    <xf numFmtId="43" fontId="51" fillId="0" borderId="18" xfId="33" applyFont="1" applyFill="1" applyBorder="1" applyAlignment="1">
      <alignment vertical="center"/>
    </xf>
    <xf numFmtId="3" fontId="51" fillId="0" borderId="16" xfId="0" applyNumberFormat="1" applyFont="1" applyBorder="1" applyAlignment="1">
      <alignment horizontal="center" vertical="center"/>
    </xf>
    <xf numFmtId="3" fontId="51" fillId="0" borderId="17" xfId="0" applyNumberFormat="1" applyFont="1" applyBorder="1" applyAlignment="1">
      <alignment horizontal="center" vertical="center"/>
    </xf>
    <xf numFmtId="0" fontId="51" fillId="0" borderId="16" xfId="0" applyFont="1" applyBorder="1" applyAlignment="1">
      <alignment vertical="center" wrapText="1"/>
    </xf>
    <xf numFmtId="3" fontId="51" fillId="0" borderId="22" xfId="0" applyNumberFormat="1" applyFont="1" applyBorder="1" applyAlignment="1">
      <alignment horizontal="center" vertical="center"/>
    </xf>
    <xf numFmtId="43" fontId="51" fillId="0" borderId="22" xfId="33" applyFont="1" applyFill="1" applyBorder="1" applyAlignment="1">
      <alignment horizontal="left" vertical="center"/>
    </xf>
    <xf numFmtId="43" fontId="51" fillId="0" borderId="22" xfId="33" applyFont="1" applyFill="1" applyBorder="1" applyAlignment="1">
      <alignment horizontal="center" vertical="center"/>
    </xf>
    <xf numFmtId="3" fontId="51" fillId="0" borderId="1" xfId="0" applyNumberFormat="1" applyFont="1" applyBorder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1" fillId="0" borderId="0" xfId="0" applyFont="1" applyAlignment="1">
      <alignment vertical="center"/>
    </xf>
    <xf numFmtId="1" fontId="51" fillId="0" borderId="0" xfId="0" applyNumberFormat="1" applyFont="1" applyAlignment="1">
      <alignment vertical="center"/>
    </xf>
    <xf numFmtId="0" fontId="58" fillId="0" borderId="22" xfId="0" applyFont="1" applyBorder="1" applyAlignment="1">
      <alignment horizontal="center" vertical="center"/>
    </xf>
    <xf numFmtId="0" fontId="58" fillId="0" borderId="34" xfId="0" applyFont="1" applyBorder="1" applyAlignment="1">
      <alignment horizontal="right" vertical="center"/>
    </xf>
    <xf numFmtId="0" fontId="58" fillId="0" borderId="31" xfId="0" applyFont="1" applyBorder="1" applyAlignment="1">
      <alignment horizontal="center" vertical="center"/>
    </xf>
    <xf numFmtId="173" fontId="58" fillId="0" borderId="34" xfId="0" applyNumberFormat="1" applyFont="1" applyBorder="1" applyAlignment="1">
      <alignment horizontal="right" vertical="center"/>
    </xf>
    <xf numFmtId="2" fontId="58" fillId="0" borderId="27" xfId="0" applyNumberFormat="1" applyFont="1" applyBorder="1" applyAlignment="1">
      <alignment horizontal="left" vertical="center"/>
    </xf>
    <xf numFmtId="2" fontId="58" fillId="0" borderId="34" xfId="0" applyNumberFormat="1" applyFont="1" applyBorder="1" applyAlignment="1">
      <alignment horizontal="right" vertical="center"/>
    </xf>
    <xf numFmtId="2" fontId="58" fillId="0" borderId="22" xfId="0" applyNumberFormat="1" applyFont="1" applyBorder="1" applyAlignment="1">
      <alignment horizontal="center" vertical="center"/>
    </xf>
    <xf numFmtId="2" fontId="61" fillId="0" borderId="22" xfId="0" applyNumberFormat="1" applyFont="1" applyBorder="1" applyAlignment="1">
      <alignment horizontal="center" vertical="center"/>
    </xf>
    <xf numFmtId="2" fontId="59" fillId="0" borderId="21" xfId="0" applyNumberFormat="1" applyFont="1" applyBorder="1" applyAlignment="1">
      <alignment horizontal="center" vertical="center"/>
    </xf>
    <xf numFmtId="2" fontId="58" fillId="0" borderId="39" xfId="0" applyNumberFormat="1" applyFont="1" applyBorder="1" applyAlignment="1">
      <alignment horizontal="center" vertical="center"/>
    </xf>
    <xf numFmtId="0" fontId="46" fillId="0" borderId="22" xfId="0" applyFont="1" applyBorder="1" applyAlignment="1">
      <alignment horizontal="center" vertical="center"/>
    </xf>
    <xf numFmtId="0" fontId="46" fillId="0" borderId="22" xfId="0" applyFont="1" applyBorder="1" applyAlignment="1">
      <alignment horizontal="left" vertical="center"/>
    </xf>
    <xf numFmtId="0" fontId="46" fillId="0" borderId="31" xfId="0" applyFont="1" applyBorder="1" applyAlignment="1">
      <alignment horizontal="center" vertical="center"/>
    </xf>
    <xf numFmtId="1" fontId="46" fillId="0" borderId="27" xfId="0" applyNumberFormat="1" applyFont="1" applyBorder="1" applyAlignment="1">
      <alignment horizontal="left" vertical="center"/>
    </xf>
    <xf numFmtId="173" fontId="46" fillId="0" borderId="34" xfId="0" applyNumberFormat="1" applyFont="1" applyBorder="1" applyAlignment="1">
      <alignment horizontal="right" vertical="center"/>
    </xf>
    <xf numFmtId="171" fontId="46" fillId="0" borderId="27" xfId="0" applyNumberFormat="1" applyFont="1" applyBorder="1" applyAlignment="1">
      <alignment horizontal="left" vertical="center"/>
    </xf>
    <xf numFmtId="170" fontId="46" fillId="0" borderId="34" xfId="0" applyNumberFormat="1" applyFont="1" applyBorder="1" applyAlignment="1">
      <alignment horizontal="right" vertical="center"/>
    </xf>
    <xf numFmtId="2" fontId="46" fillId="0" borderId="22" xfId="0" applyNumberFormat="1" applyFont="1" applyBorder="1" applyAlignment="1">
      <alignment horizontal="center" vertical="center"/>
    </xf>
    <xf numFmtId="2" fontId="59" fillId="0" borderId="22" xfId="0" applyNumberFormat="1" applyFont="1" applyBorder="1" applyAlignment="1">
      <alignment horizontal="center" vertical="center"/>
    </xf>
    <xf numFmtId="0" fontId="46" fillId="0" borderId="34" xfId="0" applyFont="1" applyBorder="1" applyAlignment="1">
      <alignment horizontal="right" vertical="center"/>
    </xf>
    <xf numFmtId="0" fontId="58" fillId="0" borderId="20" xfId="0" applyFont="1" applyBorder="1" applyAlignment="1">
      <alignment horizontal="right" vertical="center"/>
    </xf>
    <xf numFmtId="0" fontId="58" fillId="0" borderId="0" xfId="0" applyFont="1" applyAlignment="1">
      <alignment horizontal="center" vertical="center"/>
    </xf>
    <xf numFmtId="173" fontId="58" fillId="0" borderId="20" xfId="0" applyNumberFormat="1" applyFont="1" applyBorder="1" applyAlignment="1">
      <alignment horizontal="right" vertical="center"/>
    </xf>
    <xf numFmtId="2" fontId="58" fillId="0" borderId="29" xfId="0" applyNumberFormat="1" applyFont="1" applyBorder="1" applyAlignment="1">
      <alignment horizontal="left" vertical="center"/>
    </xf>
    <xf numFmtId="2" fontId="58" fillId="0" borderId="20" xfId="0" applyNumberFormat="1" applyFont="1" applyBorder="1" applyAlignment="1">
      <alignment horizontal="right" vertical="center"/>
    </xf>
    <xf numFmtId="0" fontId="58" fillId="0" borderId="8" xfId="0" applyFont="1" applyBorder="1" applyAlignment="1">
      <alignment horizontal="right" vertical="center"/>
    </xf>
    <xf numFmtId="0" fontId="58" fillId="0" borderId="10" xfId="0" applyFont="1" applyBorder="1" applyAlignment="1">
      <alignment horizontal="center" vertical="center"/>
    </xf>
    <xf numFmtId="173" fontId="58" fillId="0" borderId="8" xfId="0" applyNumberFormat="1" applyFont="1" applyBorder="1" applyAlignment="1">
      <alignment horizontal="right" vertical="center"/>
    </xf>
    <xf numFmtId="2" fontId="58" fillId="0" borderId="9" xfId="0" applyNumberFormat="1" applyFont="1" applyBorder="1" applyAlignment="1">
      <alignment horizontal="left" vertical="center"/>
    </xf>
    <xf numFmtId="2" fontId="58" fillId="0" borderId="8" xfId="0" applyNumberFormat="1" applyFont="1" applyBorder="1" applyAlignment="1">
      <alignment horizontal="right" vertical="center"/>
    </xf>
    <xf numFmtId="2" fontId="58" fillId="0" borderId="5" xfId="0" applyNumberFormat="1" applyFont="1" applyBorder="1" applyAlignment="1">
      <alignment horizontal="center" vertical="center"/>
    </xf>
    <xf numFmtId="2" fontId="61" fillId="0" borderId="5" xfId="0" applyNumberFormat="1" applyFont="1" applyBorder="1" applyAlignment="1">
      <alignment horizontal="center" vertical="center"/>
    </xf>
    <xf numFmtId="43" fontId="52" fillId="0" borderId="1" xfId="33" applyFont="1" applyBorder="1" applyAlignment="1">
      <alignment vertical="center"/>
    </xf>
    <xf numFmtId="4" fontId="51" fillId="0" borderId="16" xfId="0" applyNumberFormat="1" applyFont="1" applyBorder="1" applyAlignment="1">
      <alignment horizontal="center" vertical="center"/>
    </xf>
    <xf numFmtId="1" fontId="46" fillId="0" borderId="29" xfId="0" applyNumberFormat="1" applyFont="1" applyBorder="1" applyAlignment="1">
      <alignment horizontal="left" vertical="center"/>
    </xf>
    <xf numFmtId="2" fontId="58" fillId="0" borderId="17" xfId="0" applyNumberFormat="1" applyFont="1" applyBorder="1" applyAlignment="1">
      <alignment horizontal="center" vertical="center"/>
    </xf>
    <xf numFmtId="0" fontId="51" fillId="0" borderId="4" xfId="0" applyFont="1" applyBorder="1"/>
    <xf numFmtId="43" fontId="50" fillId="0" borderId="21" xfId="33" applyFont="1" applyFill="1" applyBorder="1" applyAlignment="1">
      <alignment horizontal="center" vertical="center" wrapText="1"/>
    </xf>
    <xf numFmtId="0" fontId="52" fillId="0" borderId="16" xfId="0" applyFont="1" applyBorder="1" applyAlignment="1">
      <alignment vertical="center" wrapText="1"/>
    </xf>
    <xf numFmtId="2" fontId="52" fillId="0" borderId="16" xfId="0" applyNumberFormat="1" applyFont="1" applyBorder="1" applyAlignment="1">
      <alignment horizontal="center" vertical="center"/>
    </xf>
    <xf numFmtId="43" fontId="50" fillId="0" borderId="16" xfId="33" applyFont="1" applyFill="1" applyBorder="1" applyAlignment="1">
      <alignment horizontal="center" vertical="center" wrapText="1"/>
    </xf>
    <xf numFmtId="43" fontId="52" fillId="0" borderId="17" xfId="33" applyFont="1" applyFill="1" applyBorder="1" applyAlignment="1">
      <alignment vertical="center"/>
    </xf>
    <xf numFmtId="0" fontId="51" fillId="0" borderId="17" xfId="0" applyFont="1" applyBorder="1" applyAlignment="1">
      <alignment horizontal="right" vertical="center"/>
    </xf>
    <xf numFmtId="43" fontId="51" fillId="0" borderId="17" xfId="33" applyFont="1" applyFill="1" applyBorder="1" applyAlignment="1">
      <alignment vertical="center"/>
    </xf>
    <xf numFmtId="0" fontId="52" fillId="0" borderId="17" xfId="0" applyFont="1" applyBorder="1" applyAlignment="1">
      <alignment horizontal="center" vertical="center"/>
    </xf>
    <xf numFmtId="164" fontId="51" fillId="0" borderId="17" xfId="0" applyNumberFormat="1" applyFont="1" applyBorder="1" applyAlignment="1">
      <alignment horizontal="center" vertical="center"/>
    </xf>
    <xf numFmtId="43" fontId="51" fillId="0" borderId="17" xfId="33" applyFont="1" applyFill="1" applyBorder="1" applyAlignment="1">
      <alignment horizontal="right" vertical="center"/>
    </xf>
    <xf numFmtId="43" fontId="52" fillId="0" borderId="17" xfId="33" applyFont="1" applyFill="1" applyBorder="1" applyAlignment="1">
      <alignment horizontal="right" vertical="center"/>
    </xf>
    <xf numFmtId="0" fontId="61" fillId="0" borderId="5" xfId="0" applyFont="1" applyBorder="1" applyAlignment="1">
      <alignment horizontal="center" vertical="center"/>
    </xf>
    <xf numFmtId="0" fontId="61" fillId="0" borderId="18" xfId="0" applyFont="1" applyBorder="1" applyAlignment="1">
      <alignment horizontal="center" vertical="center"/>
    </xf>
    <xf numFmtId="0" fontId="60" fillId="0" borderId="16" xfId="0" applyFont="1" applyBorder="1" applyAlignment="1">
      <alignment vertical="center"/>
    </xf>
    <xf numFmtId="0" fontId="58" fillId="0" borderId="14" xfId="0" applyFont="1" applyBorder="1" applyAlignment="1">
      <alignment horizontal="left" vertical="center"/>
    </xf>
    <xf numFmtId="167" fontId="58" fillId="0" borderId="14" xfId="33" applyNumberFormat="1" applyFont="1" applyBorder="1" applyAlignment="1">
      <alignment horizontal="left" vertical="center"/>
    </xf>
    <xf numFmtId="0" fontId="61" fillId="0" borderId="16" xfId="0" applyFont="1" applyBorder="1" applyAlignment="1">
      <alignment horizontal="center" vertical="center"/>
    </xf>
    <xf numFmtId="0" fontId="58" fillId="0" borderId="22" xfId="0" applyFont="1" applyBorder="1" applyAlignment="1">
      <alignment vertical="center"/>
    </xf>
    <xf numFmtId="0" fontId="58" fillId="0" borderId="27" xfId="0" applyFont="1" applyBorder="1" applyAlignment="1">
      <alignment horizontal="left" vertical="center"/>
    </xf>
    <xf numFmtId="2" fontId="58" fillId="0" borderId="31" xfId="0" applyNumberFormat="1" applyFont="1" applyBorder="1" applyAlignment="1">
      <alignment horizontal="right" vertical="center"/>
    </xf>
    <xf numFmtId="167" fontId="58" fillId="0" borderId="27" xfId="33" applyNumberFormat="1" applyFont="1" applyBorder="1" applyAlignment="1">
      <alignment horizontal="left" vertical="center"/>
    </xf>
    <xf numFmtId="0" fontId="61" fillId="0" borderId="21" xfId="0" applyFont="1" applyBorder="1" applyAlignment="1">
      <alignment horizontal="center" vertical="center"/>
    </xf>
    <xf numFmtId="0" fontId="61" fillId="0" borderId="21" xfId="0" applyFont="1" applyBorder="1" applyAlignment="1">
      <alignment vertical="center"/>
    </xf>
    <xf numFmtId="0" fontId="58" fillId="0" borderId="35" xfId="0" applyFont="1" applyBorder="1" applyAlignment="1">
      <alignment horizontal="right" vertical="center"/>
    </xf>
    <xf numFmtId="0" fontId="58" fillId="0" borderId="25" xfId="0" applyFont="1" applyBorder="1" applyAlignment="1">
      <alignment horizontal="center" vertical="center"/>
    </xf>
    <xf numFmtId="0" fontId="58" fillId="0" borderId="26" xfId="0" applyFont="1" applyBorder="1" applyAlignment="1">
      <alignment horizontal="left" vertical="center"/>
    </xf>
    <xf numFmtId="173" fontId="58" fillId="0" borderId="35" xfId="0" applyNumberFormat="1" applyFont="1" applyBorder="1" applyAlignment="1">
      <alignment horizontal="right" vertical="center"/>
    </xf>
    <xf numFmtId="2" fontId="58" fillId="0" borderId="26" xfId="0" applyNumberFormat="1" applyFont="1" applyBorder="1" applyAlignment="1">
      <alignment horizontal="left" vertical="center"/>
    </xf>
    <xf numFmtId="2" fontId="58" fillId="0" borderId="35" xfId="0" applyNumberFormat="1" applyFont="1" applyBorder="1" applyAlignment="1">
      <alignment horizontal="right" vertical="center"/>
    </xf>
    <xf numFmtId="2" fontId="58" fillId="0" borderId="25" xfId="0" applyNumberFormat="1" applyFont="1" applyBorder="1" applyAlignment="1">
      <alignment horizontal="right" vertical="center"/>
    </xf>
    <xf numFmtId="167" fontId="58" fillId="0" borderId="26" xfId="33" applyNumberFormat="1" applyFont="1" applyBorder="1" applyAlignment="1">
      <alignment horizontal="left" vertical="center"/>
    </xf>
    <xf numFmtId="0" fontId="58" fillId="0" borderId="21" xfId="0" applyFont="1" applyBorder="1" applyAlignment="1">
      <alignment horizontal="center" vertical="center"/>
    </xf>
    <xf numFmtId="2" fontId="61" fillId="0" borderId="21" xfId="0" applyNumberFormat="1" applyFont="1" applyBorder="1" applyAlignment="1">
      <alignment horizontal="center" vertical="center"/>
    </xf>
    <xf numFmtId="2" fontId="58" fillId="0" borderId="23" xfId="0" applyNumberFormat="1" applyFont="1" applyBorder="1" applyAlignment="1">
      <alignment horizontal="right" vertical="center"/>
    </xf>
    <xf numFmtId="170" fontId="58" fillId="0" borderId="23" xfId="0" applyNumberFormat="1" applyFont="1" applyBorder="1" applyAlignment="1">
      <alignment horizontal="right" vertical="center"/>
    </xf>
    <xf numFmtId="2" fontId="58" fillId="0" borderId="21" xfId="0" applyNumberFormat="1" applyFont="1" applyBorder="1" applyAlignment="1">
      <alignment horizontal="center" vertical="center"/>
    </xf>
    <xf numFmtId="2" fontId="58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22" xfId="0" applyFont="1" applyBorder="1" applyAlignment="1">
      <alignment horizontal="left" vertical="center"/>
    </xf>
    <xf numFmtId="1" fontId="58" fillId="0" borderId="27" xfId="0" applyNumberFormat="1" applyFont="1" applyBorder="1" applyAlignment="1">
      <alignment horizontal="left" vertical="center"/>
    </xf>
    <xf numFmtId="171" fontId="58" fillId="0" borderId="27" xfId="0" applyNumberFormat="1" applyFont="1" applyBorder="1" applyAlignment="1">
      <alignment horizontal="left" vertical="center"/>
    </xf>
    <xf numFmtId="170" fontId="58" fillId="0" borderId="34" xfId="0" applyNumberFormat="1" applyFont="1" applyBorder="1" applyAlignment="1">
      <alignment horizontal="right" vertical="center"/>
    </xf>
    <xf numFmtId="170" fontId="58" fillId="0" borderId="31" xfId="0" applyNumberFormat="1" applyFont="1" applyBorder="1" applyAlignment="1">
      <alignment horizontal="right" vertical="center"/>
    </xf>
    <xf numFmtId="171" fontId="58" fillId="0" borderId="29" xfId="0" applyNumberFormat="1" applyFont="1" applyBorder="1" applyAlignment="1">
      <alignment horizontal="left" vertical="center"/>
    </xf>
    <xf numFmtId="0" fontId="58" fillId="0" borderId="5" xfId="0" applyFont="1" applyBorder="1" applyAlignment="1">
      <alignment horizontal="center" vertical="center"/>
    </xf>
    <xf numFmtId="171" fontId="58" fillId="0" borderId="9" xfId="0" applyNumberFormat="1" applyFont="1" applyBorder="1" applyAlignment="1">
      <alignment horizontal="left" vertical="center"/>
    </xf>
    <xf numFmtId="167" fontId="58" fillId="0" borderId="9" xfId="33" applyNumberFormat="1" applyFont="1" applyBorder="1" applyAlignment="1">
      <alignment horizontal="left" vertical="center"/>
    </xf>
    <xf numFmtId="2" fontId="58" fillId="0" borderId="18" xfId="0" applyNumberFormat="1" applyFont="1" applyBorder="1" applyAlignment="1">
      <alignment horizontal="center" vertical="center"/>
    </xf>
    <xf numFmtId="171" fontId="58" fillId="0" borderId="26" xfId="0" applyNumberFormat="1" applyFont="1" applyBorder="1" applyAlignment="1">
      <alignment horizontal="left" vertical="center"/>
    </xf>
    <xf numFmtId="1" fontId="61" fillId="0" borderId="16" xfId="0" applyNumberFormat="1" applyFont="1" applyBorder="1" applyAlignment="1">
      <alignment horizontal="center" vertical="center"/>
    </xf>
    <xf numFmtId="172" fontId="58" fillId="0" borderId="14" xfId="0" applyNumberFormat="1" applyFont="1" applyBorder="1" applyAlignment="1">
      <alignment horizontal="left" vertical="center"/>
    </xf>
    <xf numFmtId="0" fontId="61" fillId="0" borderId="17" xfId="0" applyFont="1" applyBorder="1" applyAlignment="1">
      <alignment horizontal="center" vertical="center"/>
    </xf>
    <xf numFmtId="0" fontId="61" fillId="0" borderId="36" xfId="0" applyFont="1" applyBorder="1" applyAlignment="1">
      <alignment horizontal="right" vertical="center"/>
    </xf>
    <xf numFmtId="0" fontId="61" fillId="0" borderId="24" xfId="0" applyFont="1" applyBorder="1" applyAlignment="1">
      <alignment horizontal="center" vertical="center"/>
    </xf>
    <xf numFmtId="1" fontId="61" fillId="0" borderId="30" xfId="0" applyNumberFormat="1" applyFont="1" applyBorder="1" applyAlignment="1">
      <alignment horizontal="left" vertical="center"/>
    </xf>
    <xf numFmtId="173" fontId="61" fillId="0" borderId="36" xfId="0" applyNumberFormat="1" applyFont="1" applyBorder="1" applyAlignment="1">
      <alignment horizontal="right" vertical="center"/>
    </xf>
    <xf numFmtId="2" fontId="61" fillId="0" borderId="30" xfId="0" applyNumberFormat="1" applyFont="1" applyBorder="1" applyAlignment="1">
      <alignment horizontal="left" vertical="center"/>
    </xf>
    <xf numFmtId="2" fontId="61" fillId="0" borderId="36" xfId="0" applyNumberFormat="1" applyFont="1" applyBorder="1" applyAlignment="1">
      <alignment horizontal="right" vertical="center"/>
    </xf>
    <xf numFmtId="2" fontId="61" fillId="0" borderId="24" xfId="0" applyNumberFormat="1" applyFont="1" applyBorder="1" applyAlignment="1">
      <alignment horizontal="right" vertical="center"/>
    </xf>
    <xf numFmtId="172" fontId="61" fillId="0" borderId="30" xfId="33" applyNumberFormat="1" applyFont="1" applyFill="1" applyBorder="1" applyAlignment="1">
      <alignment horizontal="left" vertical="center"/>
    </xf>
    <xf numFmtId="0" fontId="58" fillId="0" borderId="17" xfId="0" applyFont="1" applyBorder="1" applyAlignment="1">
      <alignment horizontal="left" vertical="center"/>
    </xf>
    <xf numFmtId="0" fontId="58" fillId="0" borderId="22" xfId="0" applyFont="1" applyBorder="1" applyAlignment="1">
      <alignment horizontal="right" vertical="center"/>
    </xf>
    <xf numFmtId="0" fontId="61" fillId="0" borderId="22" xfId="0" applyFont="1" applyBorder="1" applyAlignment="1">
      <alignment horizontal="center" vertical="center"/>
    </xf>
    <xf numFmtId="2" fontId="58" fillId="0" borderId="22" xfId="0" applyNumberFormat="1" applyFont="1" applyBorder="1" applyAlignment="1">
      <alignment horizontal="left" vertical="center"/>
    </xf>
    <xf numFmtId="1" fontId="58" fillId="0" borderId="34" xfId="0" applyNumberFormat="1" applyFont="1" applyBorder="1" applyAlignment="1">
      <alignment horizontal="right" vertical="center"/>
    </xf>
    <xf numFmtId="1" fontId="58" fillId="0" borderId="31" xfId="0" applyNumberFormat="1" applyFont="1" applyBorder="1" applyAlignment="1">
      <alignment horizontal="right" vertical="center"/>
    </xf>
    <xf numFmtId="173" fontId="58" fillId="0" borderId="31" xfId="0" applyNumberFormat="1" applyFont="1" applyBorder="1" applyAlignment="1">
      <alignment horizontal="right" vertical="center"/>
    </xf>
    <xf numFmtId="0" fontId="58" fillId="0" borderId="16" xfId="0" applyFont="1" applyBorder="1" applyAlignment="1">
      <alignment horizontal="right" vertical="center"/>
    </xf>
    <xf numFmtId="44" fontId="65" fillId="0" borderId="16" xfId="32" applyFont="1" applyBorder="1" applyAlignment="1">
      <alignment vertical="center"/>
    </xf>
    <xf numFmtId="44" fontId="65" fillId="0" borderId="16" xfId="32" applyFont="1" applyFill="1" applyBorder="1" applyAlignment="1">
      <alignment vertical="center"/>
    </xf>
    <xf numFmtId="0" fontId="58" fillId="0" borderId="16" xfId="0" applyFont="1" applyBorder="1"/>
    <xf numFmtId="0" fontId="61" fillId="0" borderId="16" xfId="0" applyFont="1" applyBorder="1" applyAlignment="1">
      <alignment vertical="center"/>
    </xf>
    <xf numFmtId="166" fontId="61" fillId="0" borderId="21" xfId="0" applyNumberFormat="1" applyFont="1" applyBorder="1" applyAlignment="1">
      <alignment horizontal="center" vertical="center"/>
    </xf>
    <xf numFmtId="0" fontId="58" fillId="0" borderId="0" xfId="0" applyFont="1" applyAlignment="1">
      <alignment horizontal="center"/>
    </xf>
    <xf numFmtId="167" fontId="58" fillId="0" borderId="14" xfId="33" applyNumberFormat="1" applyFont="1" applyFill="1" applyBorder="1" applyAlignment="1">
      <alignment horizontal="left" vertical="center"/>
    </xf>
    <xf numFmtId="2" fontId="67" fillId="0" borderId="19" xfId="0" applyNumberFormat="1" applyFont="1" applyBorder="1" applyAlignment="1">
      <alignment horizontal="center" vertical="center"/>
    </xf>
    <xf numFmtId="2" fontId="67" fillId="0" borderId="16" xfId="0" applyNumberFormat="1" applyFont="1" applyBorder="1" applyAlignment="1">
      <alignment horizontal="center" vertical="center"/>
    </xf>
    <xf numFmtId="0" fontId="67" fillId="0" borderId="16" xfId="0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40" xfId="0" applyNumberFormat="1" applyFont="1" applyBorder="1" applyAlignment="1">
      <alignment vertical="center"/>
    </xf>
    <xf numFmtId="2" fontId="58" fillId="0" borderId="41" xfId="0" applyNumberFormat="1" applyFont="1" applyBorder="1" applyAlignment="1">
      <alignment vertical="center"/>
    </xf>
    <xf numFmtId="2" fontId="58" fillId="0" borderId="40" xfId="0" applyNumberFormat="1" applyFont="1" applyBorder="1" applyAlignment="1">
      <alignment horizontal="center" vertical="center"/>
    </xf>
    <xf numFmtId="0" fontId="61" fillId="0" borderId="17" xfId="0" applyFont="1" applyBorder="1" applyAlignment="1">
      <alignment horizontal="right" vertical="center"/>
    </xf>
    <xf numFmtId="0" fontId="58" fillId="0" borderId="36" xfId="0" applyFont="1" applyBorder="1" applyAlignment="1">
      <alignment horizontal="right" vertical="center"/>
    </xf>
    <xf numFmtId="0" fontId="58" fillId="0" borderId="24" xfId="0" applyFont="1" applyBorder="1" applyAlignment="1">
      <alignment horizontal="center" vertical="center"/>
    </xf>
    <xf numFmtId="1" fontId="58" fillId="0" borderId="30" xfId="0" applyNumberFormat="1" applyFont="1" applyBorder="1" applyAlignment="1">
      <alignment horizontal="left" vertical="center"/>
    </xf>
    <xf numFmtId="173" fontId="58" fillId="0" borderId="36" xfId="0" applyNumberFormat="1" applyFont="1" applyBorder="1" applyAlignment="1">
      <alignment horizontal="right" vertical="center"/>
    </xf>
    <xf numFmtId="171" fontId="58" fillId="0" borderId="30" xfId="0" applyNumberFormat="1" applyFont="1" applyBorder="1" applyAlignment="1">
      <alignment horizontal="left" vertical="center"/>
    </xf>
    <xf numFmtId="1" fontId="58" fillId="0" borderId="19" xfId="0" applyNumberFormat="1" applyFont="1" applyBorder="1" applyAlignment="1">
      <alignment horizontal="right" vertical="center"/>
    </xf>
    <xf numFmtId="0" fontId="58" fillId="0" borderId="0" xfId="0" applyFont="1" applyAlignment="1">
      <alignment horizontal="right" vertical="center"/>
    </xf>
    <xf numFmtId="0" fontId="65" fillId="0" borderId="16" xfId="0" applyFont="1" applyBorder="1" applyAlignment="1">
      <alignment horizontal="center" vertical="center"/>
    </xf>
    <xf numFmtId="0" fontId="65" fillId="0" borderId="19" xfId="0" applyFont="1" applyBorder="1" applyAlignment="1">
      <alignment horizontal="right" vertical="center"/>
    </xf>
    <xf numFmtId="2" fontId="61" fillId="0" borderId="39" xfId="0" applyNumberFormat="1" applyFont="1" applyBorder="1" applyAlignment="1">
      <alignment horizontal="center" vertical="center"/>
    </xf>
    <xf numFmtId="0" fontId="61" fillId="0" borderId="16" xfId="0" applyFont="1" applyBorder="1" applyAlignment="1">
      <alignment horizontal="left" vertical="center"/>
    </xf>
    <xf numFmtId="2" fontId="61" fillId="0" borderId="1" xfId="0" applyNumberFormat="1" applyFont="1" applyBorder="1" applyAlignment="1">
      <alignment horizontal="center" vertical="center"/>
    </xf>
    <xf numFmtId="167" fontId="58" fillId="0" borderId="27" xfId="33" applyNumberFormat="1" applyFont="1" applyFill="1" applyBorder="1" applyAlignment="1">
      <alignment horizontal="left" vertical="center"/>
    </xf>
    <xf numFmtId="173" fontId="58" fillId="0" borderId="23" xfId="0" applyNumberFormat="1" applyFont="1" applyBorder="1" applyAlignment="1">
      <alignment horizontal="right" vertical="center"/>
    </xf>
    <xf numFmtId="0" fontId="61" fillId="0" borderId="1" xfId="0" applyFont="1" applyBorder="1" applyAlignment="1">
      <alignment horizontal="center" vertical="center"/>
    </xf>
    <xf numFmtId="0" fontId="58" fillId="0" borderId="17" xfId="0" applyFont="1" applyBorder="1" applyAlignment="1">
      <alignment vertical="center"/>
    </xf>
    <xf numFmtId="0" fontId="58" fillId="0" borderId="30" xfId="0" applyFont="1" applyBorder="1" applyAlignment="1">
      <alignment horizontal="left" vertical="center"/>
    </xf>
    <xf numFmtId="2" fontId="58" fillId="0" borderId="36" xfId="0" applyNumberFormat="1" applyFont="1" applyBorder="1" applyAlignment="1">
      <alignment horizontal="right" vertical="center"/>
    </xf>
    <xf numFmtId="2" fontId="58" fillId="0" borderId="30" xfId="0" applyNumberFormat="1" applyFont="1" applyBorder="1" applyAlignment="1">
      <alignment horizontal="left" vertical="center"/>
    </xf>
    <xf numFmtId="2" fontId="58" fillId="0" borderId="24" xfId="0" applyNumberFormat="1" applyFont="1" applyBorder="1" applyAlignment="1">
      <alignment horizontal="right" vertical="center"/>
    </xf>
    <xf numFmtId="167" fontId="58" fillId="0" borderId="30" xfId="33" applyNumberFormat="1" applyFont="1" applyFill="1" applyBorder="1" applyAlignment="1">
      <alignment horizontal="left" vertical="center"/>
    </xf>
    <xf numFmtId="0" fontId="58" fillId="6" borderId="0" xfId="0" applyFont="1" applyFill="1"/>
    <xf numFmtId="2" fontId="58" fillId="0" borderId="16" xfId="0" applyNumberFormat="1" applyFont="1" applyBorder="1" applyAlignment="1">
      <alignment horizontal="right" vertical="center"/>
    </xf>
    <xf numFmtId="0" fontId="58" fillId="0" borderId="5" xfId="0" applyFont="1" applyBorder="1" applyAlignment="1">
      <alignment vertical="center"/>
    </xf>
    <xf numFmtId="2" fontId="58" fillId="0" borderId="10" xfId="0" applyNumberFormat="1" applyFont="1" applyBorder="1" applyAlignment="1">
      <alignment horizontal="right" vertical="center"/>
    </xf>
    <xf numFmtId="0" fontId="58" fillId="0" borderId="9" xfId="0" applyFont="1" applyBorder="1" applyAlignment="1">
      <alignment horizontal="left" vertical="center"/>
    </xf>
    <xf numFmtId="0" fontId="58" fillId="0" borderId="16" xfId="0" applyFont="1" applyBorder="1" applyAlignment="1">
      <alignment horizontal="center"/>
    </xf>
    <xf numFmtId="0" fontId="58" fillId="0" borderId="22" xfId="0" applyFont="1" applyBorder="1" applyAlignment="1">
      <alignment horizontal="center"/>
    </xf>
    <xf numFmtId="164" fontId="58" fillId="0" borderId="16" xfId="0" applyNumberFormat="1" applyFont="1" applyBorder="1" applyAlignment="1">
      <alignment horizontal="center" vertical="center"/>
    </xf>
    <xf numFmtId="0" fontId="58" fillId="0" borderId="23" xfId="0" applyFont="1" applyBorder="1" applyAlignment="1">
      <alignment horizontal="center"/>
    </xf>
    <xf numFmtId="164" fontId="61" fillId="0" borderId="16" xfId="0" applyNumberFormat="1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167" fontId="58" fillId="0" borderId="23" xfId="33" applyNumberFormat="1" applyFont="1" applyFill="1" applyBorder="1" applyAlignment="1">
      <alignment horizontal="left" vertical="center"/>
    </xf>
    <xf numFmtId="0" fontId="67" fillId="0" borderId="22" xfId="0" applyFont="1" applyBorder="1" applyAlignment="1">
      <alignment horizontal="center" vertical="center"/>
    </xf>
    <xf numFmtId="164" fontId="61" fillId="0" borderId="5" xfId="0" applyNumberFormat="1" applyFont="1" applyBorder="1" applyAlignment="1">
      <alignment horizontal="center" vertical="center"/>
    </xf>
    <xf numFmtId="164" fontId="61" fillId="0" borderId="22" xfId="0" applyNumberFormat="1" applyFont="1" applyBorder="1" applyAlignment="1">
      <alignment horizontal="center" vertical="center"/>
    </xf>
    <xf numFmtId="0" fontId="58" fillId="0" borderId="17" xfId="11" applyFont="1" applyBorder="1" applyAlignment="1">
      <alignment vertical="center"/>
    </xf>
    <xf numFmtId="0" fontId="58" fillId="0" borderId="13" xfId="0" applyFont="1" applyBorder="1" applyAlignment="1">
      <alignment vertical="center"/>
    </xf>
    <xf numFmtId="0" fontId="58" fillId="0" borderId="29" xfId="0" applyFont="1" applyBorder="1" applyAlignment="1">
      <alignment horizontal="left" vertical="center"/>
    </xf>
    <xf numFmtId="2" fontId="58" fillId="0" borderId="0" xfId="0" applyNumberFormat="1" applyFont="1" applyAlignment="1">
      <alignment horizontal="right" vertical="center"/>
    </xf>
    <xf numFmtId="167" fontId="58" fillId="0" borderId="29" xfId="33" applyNumberFormat="1" applyFont="1" applyFill="1" applyBorder="1" applyAlignment="1">
      <alignment horizontal="left" vertical="center"/>
    </xf>
    <xf numFmtId="0" fontId="49" fillId="0" borderId="17" xfId="11" applyFont="1" applyBorder="1" applyAlignment="1">
      <alignment vertical="center"/>
    </xf>
    <xf numFmtId="0" fontId="58" fillId="0" borderId="0" xfId="0" applyFont="1" applyAlignment="1">
      <alignment horizontal="left"/>
    </xf>
    <xf numFmtId="173" fontId="58" fillId="0" borderId="0" xfId="0" applyNumberFormat="1" applyFont="1" applyAlignment="1">
      <alignment horizontal="right"/>
    </xf>
    <xf numFmtId="2" fontId="58" fillId="0" borderId="0" xfId="0" applyNumberFormat="1" applyFont="1" applyAlignment="1">
      <alignment horizontal="left"/>
    </xf>
    <xf numFmtId="2" fontId="58" fillId="0" borderId="0" xfId="0" applyNumberFormat="1" applyFont="1" applyAlignment="1">
      <alignment horizontal="right"/>
    </xf>
    <xf numFmtId="167" fontId="58" fillId="0" borderId="0" xfId="33" applyNumberFormat="1" applyFont="1" applyAlignment="1">
      <alignment horizontal="left"/>
    </xf>
    <xf numFmtId="2" fontId="58" fillId="0" borderId="0" xfId="0" applyNumberFormat="1" applyFont="1" applyAlignment="1">
      <alignment horizontal="center"/>
    </xf>
    <xf numFmtId="0" fontId="58" fillId="0" borderId="0" xfId="0" applyFont="1" applyAlignment="1">
      <alignment horizontal="right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0" fontId="59" fillId="0" borderId="18" xfId="0" applyFont="1" applyBorder="1" applyAlignment="1">
      <alignment horizontal="center" vertical="center"/>
    </xf>
    <xf numFmtId="0" fontId="59" fillId="0" borderId="18" xfId="0" applyFont="1" applyBorder="1" applyAlignment="1">
      <alignment vertical="center"/>
    </xf>
    <xf numFmtId="0" fontId="59" fillId="2" borderId="33" xfId="0" applyFont="1" applyFill="1" applyBorder="1" applyAlignment="1">
      <alignment horizontal="right" vertical="center"/>
    </xf>
    <xf numFmtId="0" fontId="59" fillId="2" borderId="32" xfId="0" applyFont="1" applyFill="1" applyBorder="1" applyAlignment="1">
      <alignment horizontal="center" vertical="center"/>
    </xf>
    <xf numFmtId="0" fontId="59" fillId="2" borderId="28" xfId="0" applyFont="1" applyFill="1" applyBorder="1" applyAlignment="1">
      <alignment horizontal="left" vertical="center"/>
    </xf>
    <xf numFmtId="173" fontId="59" fillId="2" borderId="33" xfId="0" applyNumberFormat="1" applyFont="1" applyFill="1" applyBorder="1" applyAlignment="1">
      <alignment horizontal="right" vertical="center"/>
    </xf>
    <xf numFmtId="2" fontId="59" fillId="2" borderId="28" xfId="0" applyNumberFormat="1" applyFont="1" applyFill="1" applyBorder="1" applyAlignment="1">
      <alignment horizontal="left" vertical="center"/>
    </xf>
    <xf numFmtId="2" fontId="59" fillId="2" borderId="33" xfId="0" applyNumberFormat="1" applyFont="1" applyFill="1" applyBorder="1" applyAlignment="1">
      <alignment horizontal="right" vertical="center"/>
    </xf>
    <xf numFmtId="2" fontId="59" fillId="2" borderId="32" xfId="0" applyNumberFormat="1" applyFont="1" applyFill="1" applyBorder="1" applyAlignment="1">
      <alignment horizontal="right" vertical="center"/>
    </xf>
    <xf numFmtId="167" fontId="59" fillId="2" borderId="28" xfId="33" applyNumberFormat="1" applyFont="1" applyFill="1" applyBorder="1" applyAlignment="1">
      <alignment horizontal="left" vertical="center"/>
    </xf>
    <xf numFmtId="0" fontId="59" fillId="2" borderId="18" xfId="0" applyFont="1" applyFill="1" applyBorder="1" applyAlignment="1">
      <alignment horizontal="center" vertical="center"/>
    </xf>
    <xf numFmtId="2" fontId="59" fillId="2" borderId="18" xfId="0" applyNumberFormat="1" applyFont="1" applyFill="1" applyBorder="1" applyAlignment="1">
      <alignment horizontal="center" vertical="center"/>
    </xf>
    <xf numFmtId="166" fontId="59" fillId="0" borderId="18" xfId="0" applyNumberFormat="1" applyFont="1" applyBorder="1" applyAlignment="1">
      <alignment horizontal="center" vertical="center"/>
    </xf>
    <xf numFmtId="2" fontId="59" fillId="0" borderId="18" xfId="0" applyNumberFormat="1" applyFont="1" applyBorder="1" applyAlignment="1">
      <alignment horizontal="center" vertical="center"/>
    </xf>
    <xf numFmtId="0" fontId="62" fillId="0" borderId="16" xfId="0" applyFont="1" applyBorder="1" applyAlignment="1">
      <alignment vertical="center"/>
    </xf>
    <xf numFmtId="0" fontId="46" fillId="0" borderId="14" xfId="0" applyFont="1" applyBorder="1" applyAlignment="1">
      <alignment horizontal="left" vertical="center"/>
    </xf>
    <xf numFmtId="167" fontId="46" fillId="0" borderId="14" xfId="33" applyNumberFormat="1" applyFont="1" applyBorder="1" applyAlignment="1">
      <alignment horizontal="left" vertical="center"/>
    </xf>
    <xf numFmtId="0" fontId="59" fillId="0" borderId="16" xfId="0" applyFont="1" applyBorder="1" applyAlignment="1">
      <alignment horizontal="center" vertical="center"/>
    </xf>
    <xf numFmtId="0" fontId="46" fillId="0" borderId="22" xfId="0" applyFont="1" applyBorder="1" applyAlignment="1">
      <alignment vertical="center"/>
    </xf>
    <xf numFmtId="0" fontId="46" fillId="0" borderId="27" xfId="0" applyFont="1" applyBorder="1" applyAlignment="1">
      <alignment horizontal="left" vertical="center"/>
    </xf>
    <xf numFmtId="2" fontId="46" fillId="0" borderId="27" xfId="0" applyNumberFormat="1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right" vertical="center"/>
    </xf>
    <xf numFmtId="2" fontId="46" fillId="0" borderId="31" xfId="0" applyNumberFormat="1" applyFont="1" applyBorder="1" applyAlignment="1">
      <alignment horizontal="right" vertical="center"/>
    </xf>
    <xf numFmtId="167" fontId="46" fillId="0" borderId="27" xfId="33" applyNumberFormat="1" applyFont="1" applyBorder="1" applyAlignment="1">
      <alignment horizontal="left" vertical="center"/>
    </xf>
    <xf numFmtId="0" fontId="59" fillId="0" borderId="21" xfId="0" applyFont="1" applyBorder="1" applyAlignment="1">
      <alignment horizontal="center" vertical="center"/>
    </xf>
    <xf numFmtId="0" fontId="59" fillId="0" borderId="21" xfId="0" applyFont="1" applyBorder="1" applyAlignment="1">
      <alignment vertical="center"/>
    </xf>
    <xf numFmtId="0" fontId="46" fillId="0" borderId="35" xfId="0" applyFont="1" applyBorder="1" applyAlignment="1">
      <alignment horizontal="right" vertical="center"/>
    </xf>
    <xf numFmtId="0" fontId="46" fillId="0" borderId="25" xfId="0" applyFont="1" applyBorder="1" applyAlignment="1">
      <alignment horizontal="center" vertical="center"/>
    </xf>
    <xf numFmtId="0" fontId="46" fillId="0" borderId="26" xfId="0" applyFont="1" applyBorder="1" applyAlignment="1">
      <alignment horizontal="left" vertical="center"/>
    </xf>
    <xf numFmtId="173" fontId="46" fillId="0" borderId="35" xfId="0" applyNumberFormat="1" applyFont="1" applyBorder="1" applyAlignment="1">
      <alignment horizontal="right" vertical="center"/>
    </xf>
    <xf numFmtId="2" fontId="46" fillId="0" borderId="26" xfId="0" applyNumberFormat="1" applyFont="1" applyBorder="1" applyAlignment="1">
      <alignment horizontal="left" vertical="center"/>
    </xf>
    <xf numFmtId="2" fontId="46" fillId="0" borderId="35" xfId="0" applyNumberFormat="1" applyFont="1" applyBorder="1" applyAlignment="1">
      <alignment horizontal="right" vertical="center"/>
    </xf>
    <xf numFmtId="2" fontId="46" fillId="0" borderId="25" xfId="0" applyNumberFormat="1" applyFont="1" applyBorder="1" applyAlignment="1">
      <alignment horizontal="right" vertical="center"/>
    </xf>
    <xf numFmtId="167" fontId="46" fillId="0" borderId="26" xfId="33" applyNumberFormat="1" applyFont="1" applyBorder="1" applyAlignment="1">
      <alignment horizontal="left" vertical="center"/>
    </xf>
    <xf numFmtId="0" fontId="46" fillId="0" borderId="21" xfId="0" applyFont="1" applyBorder="1" applyAlignment="1">
      <alignment horizontal="center" vertical="center"/>
    </xf>
    <xf numFmtId="0" fontId="46" fillId="0" borderId="23" xfId="0" applyFont="1" applyBorder="1" applyAlignment="1">
      <alignment horizontal="left"/>
    </xf>
    <xf numFmtId="2" fontId="46" fillId="0" borderId="14" xfId="0" applyNumberFormat="1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right" vertical="center"/>
    </xf>
    <xf numFmtId="2" fontId="46" fillId="0" borderId="23" xfId="0" applyNumberFormat="1" applyFont="1" applyBorder="1" applyAlignment="1">
      <alignment horizontal="right" vertical="center"/>
    </xf>
    <xf numFmtId="1" fontId="46" fillId="0" borderId="26" xfId="0" applyNumberFormat="1" applyFont="1" applyBorder="1" applyAlignment="1">
      <alignment horizontal="left" vertical="center"/>
    </xf>
    <xf numFmtId="170" fontId="46" fillId="0" borderId="23" xfId="0" applyNumberFormat="1" applyFont="1" applyBorder="1" applyAlignment="1">
      <alignment horizontal="right" vertical="center"/>
    </xf>
    <xf numFmtId="2" fontId="59" fillId="0" borderId="13" xfId="0" applyNumberFormat="1" applyFont="1" applyBorder="1" applyAlignment="1">
      <alignment horizontal="center" vertical="center"/>
    </xf>
    <xf numFmtId="0" fontId="46" fillId="3" borderId="16" xfId="0" applyFont="1" applyFill="1" applyBorder="1" applyAlignment="1">
      <alignment horizontal="center" vertical="center"/>
    </xf>
    <xf numFmtId="0" fontId="62" fillId="3" borderId="16" xfId="0" applyFont="1" applyFill="1" applyBorder="1" applyAlignment="1">
      <alignment vertical="center"/>
    </xf>
    <xf numFmtId="0" fontId="46" fillId="3" borderId="19" xfId="0" applyFont="1" applyFill="1" applyBorder="1" applyAlignment="1">
      <alignment horizontal="right" vertical="center"/>
    </xf>
    <xf numFmtId="0" fontId="46" fillId="3" borderId="23" xfId="0" applyFont="1" applyFill="1" applyBorder="1" applyAlignment="1">
      <alignment horizontal="center" vertical="center"/>
    </xf>
    <xf numFmtId="1" fontId="46" fillId="3" borderId="14" xfId="0" applyNumberFormat="1" applyFont="1" applyFill="1" applyBorder="1" applyAlignment="1">
      <alignment horizontal="left" vertical="center"/>
    </xf>
    <xf numFmtId="173" fontId="46" fillId="3" borderId="19" xfId="0" applyNumberFormat="1" applyFont="1" applyFill="1" applyBorder="1" applyAlignment="1">
      <alignment horizontal="right" vertical="center"/>
    </xf>
    <xf numFmtId="2" fontId="46" fillId="3" borderId="14" xfId="0" applyNumberFormat="1" applyFont="1" applyFill="1" applyBorder="1" applyAlignment="1">
      <alignment horizontal="left" vertical="center"/>
    </xf>
    <xf numFmtId="2" fontId="46" fillId="3" borderId="19" xfId="0" applyNumberFormat="1" applyFont="1" applyFill="1" applyBorder="1" applyAlignment="1">
      <alignment horizontal="right" vertical="center"/>
    </xf>
    <xf numFmtId="2" fontId="46" fillId="3" borderId="23" xfId="0" applyNumberFormat="1" applyFont="1" applyFill="1" applyBorder="1" applyAlignment="1">
      <alignment horizontal="right" vertical="center"/>
    </xf>
    <xf numFmtId="167" fontId="46" fillId="3" borderId="14" xfId="33" applyNumberFormat="1" applyFont="1" applyFill="1" applyBorder="1" applyAlignment="1">
      <alignment horizontal="left" vertical="center"/>
    </xf>
    <xf numFmtId="2" fontId="46" fillId="3" borderId="16" xfId="0" applyNumberFormat="1" applyFont="1" applyFill="1" applyBorder="1" applyAlignment="1">
      <alignment horizontal="center" vertical="center"/>
    </xf>
    <xf numFmtId="2" fontId="46" fillId="3" borderId="21" xfId="0" applyNumberFormat="1" applyFont="1" applyFill="1" applyBorder="1" applyAlignment="1">
      <alignment horizontal="center" vertical="center"/>
    </xf>
    <xf numFmtId="2" fontId="59" fillId="3" borderId="21" xfId="0" applyNumberFormat="1" applyFont="1" applyFill="1" applyBorder="1" applyAlignment="1">
      <alignment horizontal="center" vertical="center"/>
    </xf>
    <xf numFmtId="0" fontId="46" fillId="3" borderId="0" xfId="0" applyFont="1" applyFill="1"/>
    <xf numFmtId="0" fontId="59" fillId="3" borderId="16" xfId="0" applyFont="1" applyFill="1" applyBorder="1" applyAlignment="1">
      <alignment horizontal="center" vertical="center"/>
    </xf>
    <xf numFmtId="171" fontId="46" fillId="3" borderId="14" xfId="0" applyNumberFormat="1" applyFont="1" applyFill="1" applyBorder="1" applyAlignment="1">
      <alignment horizontal="left" vertical="center"/>
    </xf>
    <xf numFmtId="2" fontId="59" fillId="3" borderId="16" xfId="0" applyNumberFormat="1" applyFont="1" applyFill="1" applyBorder="1" applyAlignment="1">
      <alignment horizontal="center" vertical="center"/>
    </xf>
    <xf numFmtId="0" fontId="46" fillId="3" borderId="16" xfId="0" applyFont="1" applyFill="1" applyBorder="1" applyAlignment="1">
      <alignment horizontal="left" vertical="center"/>
    </xf>
    <xf numFmtId="0" fontId="46" fillId="3" borderId="14" xfId="0" applyFont="1" applyFill="1" applyBorder="1" applyAlignment="1">
      <alignment horizontal="left" vertical="center"/>
    </xf>
    <xf numFmtId="170" fontId="46" fillId="3" borderId="19" xfId="0" applyNumberFormat="1" applyFont="1" applyFill="1" applyBorder="1" applyAlignment="1">
      <alignment horizontal="right" vertical="center"/>
    </xf>
    <xf numFmtId="170" fontId="46" fillId="3" borderId="23" xfId="0" applyNumberFormat="1" applyFont="1" applyFill="1" applyBorder="1" applyAlignment="1">
      <alignment horizontal="right" vertical="center"/>
    </xf>
    <xf numFmtId="0" fontId="46" fillId="3" borderId="17" xfId="0" applyFont="1" applyFill="1" applyBorder="1" applyAlignment="1">
      <alignment horizontal="center" vertical="center"/>
    </xf>
    <xf numFmtId="0" fontId="46" fillId="3" borderId="17" xfId="0" applyFont="1" applyFill="1" applyBorder="1" applyAlignment="1">
      <alignment horizontal="left" vertical="center"/>
    </xf>
    <xf numFmtId="0" fontId="46" fillId="3" borderId="36" xfId="0" applyFont="1" applyFill="1" applyBorder="1" applyAlignment="1">
      <alignment horizontal="right" vertical="center"/>
    </xf>
    <xf numFmtId="0" fontId="46" fillId="3" borderId="24" xfId="0" applyFont="1" applyFill="1" applyBorder="1" applyAlignment="1">
      <alignment horizontal="center" vertical="center"/>
    </xf>
    <xf numFmtId="1" fontId="46" fillId="3" borderId="30" xfId="0" applyNumberFormat="1" applyFont="1" applyFill="1" applyBorder="1" applyAlignment="1">
      <alignment horizontal="left" vertical="center"/>
    </xf>
    <xf numFmtId="173" fontId="46" fillId="3" borderId="36" xfId="0" applyNumberFormat="1" applyFont="1" applyFill="1" applyBorder="1" applyAlignment="1">
      <alignment horizontal="right" vertical="center"/>
    </xf>
    <xf numFmtId="171" fontId="46" fillId="3" borderId="30" xfId="0" applyNumberFormat="1" applyFont="1" applyFill="1" applyBorder="1" applyAlignment="1">
      <alignment horizontal="left" vertical="center"/>
    </xf>
    <xf numFmtId="170" fontId="46" fillId="3" borderId="36" xfId="0" applyNumberFormat="1" applyFont="1" applyFill="1" applyBorder="1" applyAlignment="1">
      <alignment horizontal="right" vertical="center"/>
    </xf>
    <xf numFmtId="170" fontId="46" fillId="3" borderId="24" xfId="0" applyNumberFormat="1" applyFont="1" applyFill="1" applyBorder="1" applyAlignment="1">
      <alignment horizontal="right" vertical="center"/>
    </xf>
    <xf numFmtId="167" fontId="46" fillId="3" borderId="30" xfId="33" applyNumberFormat="1" applyFont="1" applyFill="1" applyBorder="1" applyAlignment="1">
      <alignment horizontal="left" vertical="center"/>
    </xf>
    <xf numFmtId="2" fontId="46" fillId="3" borderId="17" xfId="0" applyNumberFormat="1" applyFont="1" applyFill="1" applyBorder="1" applyAlignment="1">
      <alignment horizontal="center" vertical="center"/>
    </xf>
    <xf numFmtId="2" fontId="46" fillId="3" borderId="1" xfId="0" applyNumberFormat="1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/>
    </xf>
    <xf numFmtId="170" fontId="46" fillId="0" borderId="31" xfId="0" applyNumberFormat="1" applyFont="1" applyBorder="1" applyAlignment="1">
      <alignment horizontal="right" vertical="center"/>
    </xf>
    <xf numFmtId="2" fontId="46" fillId="0" borderId="5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13" xfId="0" applyFont="1" applyBorder="1" applyAlignment="1">
      <alignment horizontal="center" vertical="center"/>
    </xf>
    <xf numFmtId="0" fontId="46" fillId="0" borderId="20" xfId="0" applyFont="1" applyBorder="1" applyAlignment="1">
      <alignment horizontal="right" vertical="center"/>
    </xf>
    <xf numFmtId="0" fontId="46" fillId="0" borderId="0" xfId="0" applyFont="1" applyAlignment="1">
      <alignment horizontal="center" vertical="center"/>
    </xf>
    <xf numFmtId="170" fontId="46" fillId="0" borderId="0" xfId="0" applyNumberFormat="1" applyFont="1" applyAlignment="1">
      <alignment horizontal="right" vertical="center"/>
    </xf>
    <xf numFmtId="167" fontId="46" fillId="0" borderId="29" xfId="33" applyNumberFormat="1" applyFont="1" applyBorder="1" applyAlignment="1">
      <alignment horizontal="left" vertical="center"/>
    </xf>
    <xf numFmtId="0" fontId="46" fillId="0" borderId="13" xfId="0" applyFont="1" applyBorder="1" applyAlignment="1">
      <alignment horizontal="left" vertical="center"/>
    </xf>
    <xf numFmtId="0" fontId="46" fillId="0" borderId="5" xfId="0" applyFont="1" applyBorder="1" applyAlignment="1">
      <alignment horizontal="center" vertical="center"/>
    </xf>
    <xf numFmtId="0" fontId="46" fillId="0" borderId="5" xfId="0" applyFont="1" applyBorder="1" applyAlignment="1">
      <alignment horizontal="left" vertical="center"/>
    </xf>
    <xf numFmtId="0" fontId="46" fillId="0" borderId="8" xfId="0" applyFont="1" applyBorder="1" applyAlignment="1">
      <alignment horizontal="right" vertical="center"/>
    </xf>
    <xf numFmtId="0" fontId="46" fillId="0" borderId="10" xfId="0" applyFont="1" applyBorder="1" applyAlignment="1">
      <alignment horizontal="center" vertical="center"/>
    </xf>
    <xf numFmtId="1" fontId="46" fillId="0" borderId="9" xfId="0" applyNumberFormat="1" applyFont="1" applyBorder="1" applyAlignment="1">
      <alignment horizontal="left" vertical="center"/>
    </xf>
    <xf numFmtId="173" fontId="46" fillId="0" borderId="8" xfId="0" applyNumberFormat="1" applyFont="1" applyBorder="1" applyAlignment="1">
      <alignment horizontal="right" vertical="center"/>
    </xf>
    <xf numFmtId="171" fontId="46" fillId="0" borderId="9" xfId="0" applyNumberFormat="1" applyFont="1" applyBorder="1" applyAlignment="1">
      <alignment horizontal="left" vertical="center"/>
    </xf>
    <xf numFmtId="170" fontId="46" fillId="0" borderId="8" xfId="0" applyNumberFormat="1" applyFont="1" applyBorder="1" applyAlignment="1">
      <alignment horizontal="right" vertical="center"/>
    </xf>
    <xf numFmtId="170" fontId="46" fillId="0" borderId="10" xfId="0" applyNumberFormat="1" applyFont="1" applyBorder="1" applyAlignment="1">
      <alignment horizontal="right" vertical="center"/>
    </xf>
    <xf numFmtId="167" fontId="46" fillId="0" borderId="9" xfId="33" applyNumberFormat="1" applyFont="1" applyBorder="1" applyAlignment="1">
      <alignment horizontal="left" vertical="center"/>
    </xf>
    <xf numFmtId="2" fontId="46" fillId="0" borderId="31" xfId="0" applyNumberFormat="1" applyFont="1" applyBorder="1" applyAlignment="1">
      <alignment horizontal="left" vertical="center"/>
    </xf>
    <xf numFmtId="2" fontId="46" fillId="0" borderId="5" xfId="0" applyNumberFormat="1" applyFont="1" applyBorder="1" applyAlignment="1">
      <alignment horizontal="center"/>
    </xf>
    <xf numFmtId="0" fontId="62" fillId="0" borderId="21" xfId="0" applyFont="1" applyBorder="1" applyAlignment="1">
      <alignment vertical="center"/>
    </xf>
    <xf numFmtId="171" fontId="46" fillId="0" borderId="26" xfId="0" applyNumberFormat="1" applyFont="1" applyBorder="1" applyAlignment="1">
      <alignment horizontal="left" vertical="center"/>
    </xf>
    <xf numFmtId="170" fontId="46" fillId="0" borderId="35" xfId="0" applyNumberFormat="1" applyFont="1" applyBorder="1" applyAlignment="1">
      <alignment horizontal="right" vertical="center"/>
    </xf>
    <xf numFmtId="0" fontId="59" fillId="0" borderId="19" xfId="0" applyFont="1" applyBorder="1" applyAlignment="1">
      <alignment horizontal="right" vertical="center"/>
    </xf>
    <xf numFmtId="0" fontId="59" fillId="0" borderId="23" xfId="0" applyFont="1" applyBorder="1" applyAlignment="1">
      <alignment horizontal="center" vertical="center"/>
    </xf>
    <xf numFmtId="173" fontId="59" fillId="0" borderId="19" xfId="0" applyNumberFormat="1" applyFont="1" applyBorder="1" applyAlignment="1">
      <alignment horizontal="right" vertical="center"/>
    </xf>
    <xf numFmtId="2" fontId="59" fillId="0" borderId="14" xfId="0" applyNumberFormat="1" applyFont="1" applyBorder="1" applyAlignment="1">
      <alignment horizontal="left" vertical="center"/>
    </xf>
    <xf numFmtId="2" fontId="59" fillId="0" borderId="19" xfId="0" applyNumberFormat="1" applyFont="1" applyBorder="1" applyAlignment="1">
      <alignment horizontal="right" vertical="center"/>
    </xf>
    <xf numFmtId="2" fontId="59" fillId="0" borderId="23" xfId="0" applyNumberFormat="1" applyFont="1" applyBorder="1" applyAlignment="1">
      <alignment horizontal="right" vertical="center"/>
    </xf>
    <xf numFmtId="167" fontId="59" fillId="0" borderId="14" xfId="33" applyNumberFormat="1" applyFont="1" applyFill="1" applyBorder="1" applyAlignment="1">
      <alignment horizontal="left" vertical="center"/>
    </xf>
    <xf numFmtId="1" fontId="59" fillId="0" borderId="16" xfId="0" applyNumberFormat="1" applyFont="1" applyBorder="1" applyAlignment="1">
      <alignment horizontal="center" vertical="center"/>
    </xf>
    <xf numFmtId="1" fontId="68" fillId="0" borderId="14" xfId="0" applyNumberFormat="1" applyFont="1" applyBorder="1" applyAlignment="1">
      <alignment horizontal="left" vertical="center"/>
    </xf>
    <xf numFmtId="1" fontId="59" fillId="0" borderId="14" xfId="0" applyNumberFormat="1" applyFont="1" applyBorder="1" applyAlignment="1">
      <alignment horizontal="left" vertical="center"/>
    </xf>
    <xf numFmtId="172" fontId="46" fillId="0" borderId="14" xfId="0" applyNumberFormat="1" applyFont="1" applyBorder="1" applyAlignment="1">
      <alignment horizontal="left" vertical="center"/>
    </xf>
    <xf numFmtId="172" fontId="59" fillId="0" borderId="14" xfId="33" applyNumberFormat="1" applyFont="1" applyFill="1" applyBorder="1" applyAlignment="1">
      <alignment horizontal="left" vertical="center"/>
    </xf>
    <xf numFmtId="0" fontId="59" fillId="0" borderId="36" xfId="0" applyFont="1" applyBorder="1" applyAlignment="1">
      <alignment horizontal="right" vertical="center"/>
    </xf>
    <xf numFmtId="0" fontId="59" fillId="0" borderId="24" xfId="0" applyFont="1" applyBorder="1" applyAlignment="1">
      <alignment horizontal="center" vertical="center"/>
    </xf>
    <xf numFmtId="1" fontId="59" fillId="0" borderId="30" xfId="0" applyNumberFormat="1" applyFont="1" applyBorder="1" applyAlignment="1">
      <alignment horizontal="left" vertical="center"/>
    </xf>
    <xf numFmtId="173" fontId="59" fillId="0" borderId="36" xfId="0" applyNumberFormat="1" applyFont="1" applyBorder="1" applyAlignment="1">
      <alignment horizontal="right" vertical="center"/>
    </xf>
    <xf numFmtId="2" fontId="59" fillId="0" borderId="30" xfId="0" applyNumberFormat="1" applyFont="1" applyBorder="1" applyAlignment="1">
      <alignment horizontal="left" vertical="center"/>
    </xf>
    <xf numFmtId="2" fontId="59" fillId="0" borderId="36" xfId="0" applyNumberFormat="1" applyFont="1" applyBorder="1" applyAlignment="1">
      <alignment horizontal="right" vertical="center"/>
    </xf>
    <xf numFmtId="2" fontId="59" fillId="0" borderId="24" xfId="0" applyNumberFormat="1" applyFont="1" applyBorder="1" applyAlignment="1">
      <alignment horizontal="right" vertical="center"/>
    </xf>
    <xf numFmtId="172" fontId="59" fillId="0" borderId="30" xfId="33" applyNumberFormat="1" applyFont="1" applyFill="1" applyBorder="1" applyAlignment="1">
      <alignment horizontal="left" vertical="center"/>
    </xf>
    <xf numFmtId="0" fontId="69" fillId="0" borderId="16" xfId="0" applyFont="1" applyBorder="1" applyAlignment="1">
      <alignment vertical="center"/>
    </xf>
    <xf numFmtId="0" fontId="46" fillId="0" borderId="17" xfId="0" applyFont="1" applyBorder="1" applyAlignment="1">
      <alignment horizontal="left" vertical="center"/>
    </xf>
    <xf numFmtId="167" fontId="59" fillId="0" borderId="14" xfId="33" applyNumberFormat="1" applyFont="1" applyBorder="1" applyAlignment="1">
      <alignment horizontal="left" vertical="center"/>
    </xf>
    <xf numFmtId="166" fontId="59" fillId="0" borderId="16" xfId="0" applyNumberFormat="1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6" xfId="0" applyFont="1" applyBorder="1" applyAlignment="1">
      <alignment horizontal="right" vertical="center"/>
    </xf>
    <xf numFmtId="0" fontId="59" fillId="0" borderId="1" xfId="0" applyFont="1" applyBorder="1" applyAlignment="1">
      <alignment horizontal="center" vertical="center"/>
    </xf>
    <xf numFmtId="2" fontId="46" fillId="0" borderId="0" xfId="0" applyNumberFormat="1" applyFont="1"/>
    <xf numFmtId="0" fontId="71" fillId="0" borderId="14" xfId="0" applyFont="1" applyBorder="1" applyAlignment="1">
      <alignment horizontal="left" vertical="center"/>
    </xf>
    <xf numFmtId="1" fontId="71" fillId="0" borderId="14" xfId="0" applyNumberFormat="1" applyFont="1" applyBorder="1" applyAlignment="1">
      <alignment horizontal="left" vertical="center"/>
    </xf>
    <xf numFmtId="0" fontId="59" fillId="0" borderId="1" xfId="0" applyFont="1" applyBorder="1" applyAlignment="1">
      <alignment horizontal="center" vertical="center"/>
    </xf>
    <xf numFmtId="0" fontId="72" fillId="0" borderId="16" xfId="0" applyFont="1" applyBorder="1" applyAlignment="1">
      <alignment vertical="center"/>
    </xf>
    <xf numFmtId="0" fontId="72" fillId="0" borderId="13" xfId="35" applyFont="1" applyBorder="1"/>
    <xf numFmtId="0" fontId="72" fillId="0" borderId="16" xfId="16" applyFont="1" applyBorder="1" applyAlignment="1">
      <alignment vertical="center"/>
    </xf>
    <xf numFmtId="0" fontId="72" fillId="0" borderId="16" xfId="0" applyFont="1" applyBorder="1" applyAlignment="1">
      <alignment horizontal="left" vertical="center"/>
    </xf>
    <xf numFmtId="0" fontId="72" fillId="5" borderId="17" xfId="11" applyFont="1" applyFill="1" applyBorder="1" applyAlignment="1">
      <alignment vertical="center"/>
    </xf>
    <xf numFmtId="0" fontId="72" fillId="3" borderId="17" xfId="11" applyFont="1" applyFill="1" applyBorder="1" applyAlignment="1">
      <alignment vertical="center"/>
    </xf>
    <xf numFmtId="0" fontId="72" fillId="0" borderId="17" xfId="0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2" fontId="49" fillId="0" borderId="16" xfId="0" applyNumberFormat="1" applyFont="1" applyBorder="1" applyAlignment="1">
      <alignment horizontal="center" vertical="center"/>
    </xf>
    <xf numFmtId="43" fontId="49" fillId="0" borderId="16" xfId="33" applyFont="1" applyFill="1" applyBorder="1" applyAlignment="1">
      <alignment vertical="center"/>
    </xf>
    <xf numFmtId="43" fontId="49" fillId="0" borderId="16" xfId="33" applyFont="1" applyFill="1" applyBorder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left"/>
    </xf>
    <xf numFmtId="0" fontId="49" fillId="0" borderId="13" xfId="35" applyFont="1" applyBorder="1"/>
    <xf numFmtId="3" fontId="49" fillId="0" borderId="0" xfId="0" applyNumberFormat="1" applyFont="1" applyAlignment="1">
      <alignment vertical="center"/>
    </xf>
    <xf numFmtId="0" fontId="49" fillId="0" borderId="0" xfId="0" applyFont="1" applyAlignment="1">
      <alignment horizontal="center"/>
    </xf>
    <xf numFmtId="0" fontId="49" fillId="0" borderId="16" xfId="16" applyFont="1" applyBorder="1" applyAlignment="1">
      <alignment vertical="center"/>
    </xf>
    <xf numFmtId="0" fontId="49" fillId="0" borderId="16" xfId="0" applyFont="1" applyBorder="1" applyAlignment="1">
      <alignment horizontal="left" vertical="center"/>
    </xf>
    <xf numFmtId="2" fontId="59" fillId="0" borderId="1" xfId="0" applyNumberFormat="1" applyFont="1" applyBorder="1" applyAlignment="1">
      <alignment horizontal="center" vertical="center"/>
    </xf>
    <xf numFmtId="170" fontId="59" fillId="0" borderId="23" xfId="0" applyNumberFormat="1" applyFont="1" applyBorder="1" applyAlignment="1">
      <alignment horizontal="left" vertical="center"/>
    </xf>
    <xf numFmtId="171" fontId="59" fillId="0" borderId="14" xfId="0" applyNumberFormat="1" applyFont="1" applyBorder="1" applyAlignment="1">
      <alignment horizontal="left" vertical="center"/>
    </xf>
    <xf numFmtId="170" fontId="59" fillId="0" borderId="23" xfId="0" applyNumberFormat="1" applyFont="1" applyBorder="1" applyAlignment="1">
      <alignment horizontal="right" vertical="center"/>
    </xf>
    <xf numFmtId="0" fontId="59" fillId="0" borderId="0" xfId="0" applyFont="1"/>
    <xf numFmtId="170" fontId="59" fillId="0" borderId="19" xfId="0" applyNumberFormat="1" applyFont="1" applyBorder="1" applyAlignment="1">
      <alignment horizontal="left" vertical="center"/>
    </xf>
    <xf numFmtId="0" fontId="71" fillId="0" borderId="23" xfId="0" applyFont="1" applyBorder="1" applyAlignment="1">
      <alignment horizontal="left" vertical="center"/>
    </xf>
    <xf numFmtId="172" fontId="59" fillId="0" borderId="14" xfId="0" applyNumberFormat="1" applyFont="1" applyBorder="1" applyAlignment="1">
      <alignment horizontal="left" vertical="center"/>
    </xf>
    <xf numFmtId="170" fontId="46" fillId="0" borderId="25" xfId="0" applyNumberFormat="1" applyFont="1" applyBorder="1" applyAlignment="1">
      <alignment horizontal="right" vertical="center"/>
    </xf>
    <xf numFmtId="0" fontId="59" fillId="0" borderId="13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69" fillId="0" borderId="16" xfId="32" applyFont="1" applyBorder="1" applyAlignment="1">
      <alignment vertical="center"/>
    </xf>
    <xf numFmtId="0" fontId="59" fillId="3" borderId="17" xfId="0" applyFont="1" applyFill="1" applyBorder="1" applyAlignment="1">
      <alignment horizontal="center" vertical="center"/>
    </xf>
    <xf numFmtId="2" fontId="46" fillId="0" borderId="1" xfId="0" applyNumberFormat="1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62" fillId="0" borderId="16" xfId="0" applyFont="1" applyBorder="1" applyAlignment="1">
      <alignment horizontal="left" vertical="center"/>
    </xf>
    <xf numFmtId="2" fontId="59" fillId="0" borderId="16" xfId="0" applyNumberFormat="1" applyFont="1" applyBorder="1"/>
    <xf numFmtId="0" fontId="59" fillId="0" borderId="16" xfId="0" applyFont="1" applyBorder="1"/>
    <xf numFmtId="44" fontId="69" fillId="0" borderId="16" xfId="32" applyFont="1" applyFill="1" applyBorder="1" applyAlignment="1">
      <alignment vertical="center"/>
    </xf>
    <xf numFmtId="176" fontId="46" fillId="0" borderId="19" xfId="0" applyNumberFormat="1" applyFont="1" applyBorder="1" applyAlignment="1">
      <alignment horizontal="right" vertical="center"/>
    </xf>
    <xf numFmtId="171" fontId="59" fillId="0" borderId="16" xfId="0" applyNumberFormat="1" applyFont="1" applyBorder="1" applyAlignment="1">
      <alignment horizontal="left" vertical="center"/>
    </xf>
    <xf numFmtId="166" fontId="59" fillId="0" borderId="21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/>
    </xf>
    <xf numFmtId="2" fontId="59" fillId="0" borderId="16" xfId="0" applyNumberFormat="1" applyFont="1" applyBorder="1" applyAlignment="1">
      <alignment horizontal="right" vertical="center"/>
    </xf>
    <xf numFmtId="0" fontId="46" fillId="0" borderId="23" xfId="0" applyFont="1" applyBorder="1" applyAlignment="1">
      <alignment vertical="center"/>
    </xf>
    <xf numFmtId="2" fontId="59" fillId="0" borderId="5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44" fontId="46" fillId="0" borderId="16" xfId="32" applyFont="1" applyBorder="1" applyAlignment="1">
      <alignment horizontal="center" vertical="center"/>
    </xf>
    <xf numFmtId="44" fontId="59" fillId="0" borderId="16" xfId="32" applyFont="1" applyBorder="1" applyAlignment="1">
      <alignment horizontal="center" vertical="center"/>
    </xf>
    <xf numFmtId="44" fontId="46" fillId="0" borderId="0" xfId="32" applyFont="1"/>
    <xf numFmtId="0" fontId="46" fillId="0" borderId="16" xfId="0" applyFont="1" applyBorder="1" applyAlignment="1">
      <alignment horizontal="left" vertical="center" wrapText="1"/>
    </xf>
    <xf numFmtId="2" fontId="59" fillId="0" borderId="17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left" vertical="center"/>
    </xf>
    <xf numFmtId="170" fontId="59" fillId="0" borderId="19" xfId="0" applyNumberFormat="1" applyFont="1" applyBorder="1" applyAlignment="1">
      <alignment horizontal="right" vertical="center"/>
    </xf>
    <xf numFmtId="44" fontId="74" fillId="0" borderId="16" xfId="32" applyFont="1" applyFill="1" applyBorder="1" applyAlignment="1">
      <alignment vertical="center"/>
    </xf>
    <xf numFmtId="0" fontId="46" fillId="0" borderId="16" xfId="0" applyFont="1" applyBorder="1"/>
    <xf numFmtId="166" fontId="46" fillId="0" borderId="14" xfId="0" applyNumberFormat="1" applyFont="1" applyBorder="1" applyAlignment="1">
      <alignment horizontal="left" vertical="center"/>
    </xf>
    <xf numFmtId="166" fontId="59" fillId="0" borderId="14" xfId="0" applyNumberFormat="1" applyFont="1" applyBorder="1" applyAlignment="1">
      <alignment horizontal="left" vertical="center"/>
    </xf>
    <xf numFmtId="0" fontId="73" fillId="0" borderId="1" xfId="0" applyFont="1" applyBorder="1" applyAlignment="1">
      <alignment vertical="center"/>
    </xf>
    <xf numFmtId="43" fontId="73" fillId="0" borderId="1" xfId="33" applyFont="1" applyFill="1" applyBorder="1" applyAlignment="1">
      <alignment vertical="center"/>
    </xf>
    <xf numFmtId="43" fontId="73" fillId="0" borderId="1" xfId="0" applyNumberFormat="1" applyFont="1" applyBorder="1" applyAlignment="1">
      <alignment vertical="center"/>
    </xf>
    <xf numFmtId="2" fontId="75" fillId="0" borderId="1" xfId="0" applyNumberFormat="1" applyFont="1" applyBorder="1" applyAlignment="1">
      <alignment horizontal="center" vertical="center"/>
    </xf>
    <xf numFmtId="1" fontId="75" fillId="0" borderId="1" xfId="0" applyNumberFormat="1" applyFont="1" applyBorder="1" applyAlignment="1">
      <alignment horizontal="center" vertical="center"/>
    </xf>
    <xf numFmtId="175" fontId="75" fillId="0" borderId="1" xfId="0" applyNumberFormat="1" applyFont="1" applyBorder="1" applyAlignment="1">
      <alignment horizontal="center" vertical="center"/>
    </xf>
    <xf numFmtId="167" fontId="73" fillId="0" borderId="1" xfId="0" applyNumberFormat="1" applyFont="1" applyBorder="1" applyAlignment="1">
      <alignment vertical="center"/>
    </xf>
    <xf numFmtId="0" fontId="76" fillId="0" borderId="1" xfId="0" applyFont="1" applyBorder="1" applyAlignment="1">
      <alignment horizontal="center" vertical="center"/>
    </xf>
    <xf numFmtId="43" fontId="21" fillId="0" borderId="1" xfId="33" applyFont="1" applyFill="1" applyBorder="1" applyAlignment="1">
      <alignment vertical="center"/>
    </xf>
    <xf numFmtId="43" fontId="21" fillId="0" borderId="1" xfId="0" applyNumberFormat="1" applyFont="1" applyBorder="1" applyAlignment="1">
      <alignment vertical="center"/>
    </xf>
    <xf numFmtId="175" fontId="76" fillId="0" borderId="1" xfId="0" applyNumberFormat="1" applyFont="1" applyBorder="1" applyAlignment="1">
      <alignment horizontal="center" vertical="center"/>
    </xf>
    <xf numFmtId="1" fontId="76" fillId="0" borderId="1" xfId="0" applyNumberFormat="1" applyFont="1" applyBorder="1" applyAlignment="1">
      <alignment horizontal="center" vertical="center"/>
    </xf>
    <xf numFmtId="0" fontId="21" fillId="0" borderId="1" xfId="0" applyFont="1" applyBorder="1"/>
    <xf numFmtId="2" fontId="76" fillId="0" borderId="1" xfId="0" applyNumberFormat="1" applyFont="1" applyBorder="1" applyAlignment="1">
      <alignment horizontal="center" vertical="center"/>
    </xf>
    <xf numFmtId="167" fontId="21" fillId="0" borderId="1" xfId="0" applyNumberFormat="1" applyFont="1" applyBorder="1" applyAlignment="1">
      <alignment vertical="center"/>
    </xf>
    <xf numFmtId="0" fontId="69" fillId="0" borderId="16" xfId="0" applyFont="1" applyBorder="1" applyAlignment="1">
      <alignment horizontal="left" vertical="center"/>
    </xf>
    <xf numFmtId="2" fontId="46" fillId="0" borderId="19" xfId="0" applyNumberFormat="1" applyFont="1" applyBorder="1" applyAlignment="1">
      <alignment horizontal="center" vertical="center"/>
    </xf>
    <xf numFmtId="2" fontId="77" fillId="0" borderId="1" xfId="0" applyNumberFormat="1" applyFont="1" applyBorder="1" applyAlignment="1">
      <alignment horizontal="center" vertical="center"/>
    </xf>
    <xf numFmtId="175" fontId="77" fillId="0" borderId="1" xfId="0" applyNumberFormat="1" applyFont="1" applyBorder="1" applyAlignment="1">
      <alignment horizontal="center" vertical="center"/>
    </xf>
    <xf numFmtId="1" fontId="77" fillId="0" borderId="1" xfId="0" applyNumberFormat="1" applyFont="1" applyBorder="1" applyAlignment="1">
      <alignment horizontal="center" vertical="center"/>
    </xf>
    <xf numFmtId="0" fontId="46" fillId="0" borderId="0" xfId="0" applyFont="1" applyAlignment="1">
      <alignment horizontal="center"/>
    </xf>
    <xf numFmtId="2" fontId="46" fillId="0" borderId="36" xfId="0" applyNumberFormat="1" applyFont="1" applyBorder="1" applyAlignment="1">
      <alignment horizontal="center" vertical="center"/>
    </xf>
    <xf numFmtId="2" fontId="46" fillId="0" borderId="17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6" xfId="0" applyNumberFormat="1" applyFont="1" applyBorder="1" applyAlignment="1">
      <alignment horizontal="center" vertical="center"/>
    </xf>
    <xf numFmtId="0" fontId="78" fillId="0" borderId="16" xfId="0" applyFont="1" applyBorder="1" applyAlignment="1">
      <alignment horizontal="center" vertical="center"/>
    </xf>
    <xf numFmtId="1" fontId="46" fillId="0" borderId="19" xfId="0" applyNumberFormat="1" applyFont="1" applyBorder="1" applyAlignment="1">
      <alignment horizontal="right" vertical="center"/>
    </xf>
    <xf numFmtId="2" fontId="46" fillId="0" borderId="40" xfId="0" applyNumberFormat="1" applyFont="1" applyBorder="1" applyAlignment="1">
      <alignment vertical="center"/>
    </xf>
    <xf numFmtId="2" fontId="46" fillId="0" borderId="41" xfId="0" applyNumberFormat="1" applyFont="1" applyBorder="1" applyAlignment="1">
      <alignment vertical="center"/>
    </xf>
    <xf numFmtId="2" fontId="46" fillId="0" borderId="40" xfId="0" applyNumberFormat="1" applyFont="1" applyBorder="1" applyAlignment="1">
      <alignment horizontal="center" vertical="center"/>
    </xf>
    <xf numFmtId="0" fontId="46" fillId="0" borderId="39" xfId="0" applyFont="1" applyBorder="1" applyAlignment="1">
      <alignment horizontal="center" vertical="center"/>
    </xf>
    <xf numFmtId="2" fontId="46" fillId="0" borderId="39" xfId="0" applyNumberFormat="1" applyFont="1" applyBorder="1" applyAlignment="1">
      <alignment horizontal="center" vertical="center"/>
    </xf>
    <xf numFmtId="0" fontId="59" fillId="0" borderId="16" xfId="0" applyFont="1" applyBorder="1" applyAlignment="1">
      <alignment horizontal="right" vertical="center"/>
    </xf>
    <xf numFmtId="43" fontId="46" fillId="0" borderId="21" xfId="33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6" xfId="33" applyFont="1" applyBorder="1" applyAlignment="1">
      <alignment horizontal="center" vertical="center"/>
    </xf>
    <xf numFmtId="0" fontId="46" fillId="0" borderId="36" xfId="0" applyFont="1" applyBorder="1" applyAlignment="1">
      <alignment horizontal="right" vertical="center"/>
    </xf>
    <xf numFmtId="0" fontId="46" fillId="0" borderId="24" xfId="0" applyFont="1" applyBorder="1" applyAlignment="1">
      <alignment horizontal="center" vertical="center"/>
    </xf>
    <xf numFmtId="1" fontId="46" fillId="0" borderId="30" xfId="0" applyNumberFormat="1" applyFont="1" applyBorder="1" applyAlignment="1">
      <alignment horizontal="left" vertical="center"/>
    </xf>
    <xf numFmtId="0" fontId="69" fillId="0" borderId="13" xfId="0" applyFont="1" applyBorder="1" applyAlignment="1">
      <alignment horizontal="left" vertical="center"/>
    </xf>
    <xf numFmtId="2" fontId="46" fillId="0" borderId="29" xfId="0" applyNumberFormat="1" applyFont="1" applyBorder="1" applyAlignment="1">
      <alignment horizontal="left" vertical="center"/>
    </xf>
    <xf numFmtId="2" fontId="46" fillId="0" borderId="20" xfId="0" applyNumberFormat="1" applyFont="1" applyBorder="1" applyAlignment="1">
      <alignment horizontal="right" vertical="center"/>
    </xf>
    <xf numFmtId="2" fontId="46" fillId="0" borderId="20" xfId="0" applyNumberFormat="1" applyFont="1" applyBorder="1" applyAlignment="1">
      <alignment horizontal="center" vertical="center"/>
    </xf>
    <xf numFmtId="0" fontId="69" fillId="0" borderId="5" xfId="0" applyFont="1" applyBorder="1" applyAlignment="1">
      <alignment horizontal="left" vertical="center"/>
    </xf>
    <xf numFmtId="2" fontId="46" fillId="0" borderId="9" xfId="0" applyNumberFormat="1" applyFont="1" applyBorder="1" applyAlignment="1">
      <alignment horizontal="left" vertical="center"/>
    </xf>
    <xf numFmtId="2" fontId="46" fillId="0" borderId="8" xfId="0" applyNumberFormat="1" applyFont="1" applyBorder="1" applyAlignment="1">
      <alignment horizontal="right" vertical="center"/>
    </xf>
    <xf numFmtId="2" fontId="46" fillId="0" borderId="8" xfId="0" applyNumberFormat="1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2" fontId="46" fillId="0" borderId="19" xfId="0" applyNumberFormat="1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46" fillId="0" borderId="0" xfId="0" applyFont="1" applyAlignment="1">
      <alignment horizontal="right" vertical="center"/>
    </xf>
    <xf numFmtId="167" fontId="21" fillId="0" borderId="1" xfId="0" applyNumberFormat="1" applyFont="1" applyBorder="1" applyAlignment="1">
      <alignment horizontal="left" vertical="center" indent="1"/>
    </xf>
    <xf numFmtId="0" fontId="59" fillId="0" borderId="17" xfId="0" applyFont="1" applyBorder="1" applyAlignment="1">
      <alignment horizontal="right" vertical="center"/>
    </xf>
    <xf numFmtId="0" fontId="69" fillId="0" borderId="22" xfId="0" applyFont="1" applyBorder="1" applyAlignment="1">
      <alignment horizontal="left" vertical="center"/>
    </xf>
    <xf numFmtId="2" fontId="46" fillId="0" borderId="34" xfId="0" applyNumberFormat="1" applyFont="1" applyBorder="1" applyAlignment="1">
      <alignment horizontal="center" vertical="center"/>
    </xf>
    <xf numFmtId="0" fontId="69" fillId="0" borderId="16" xfId="0" applyFont="1" applyBorder="1" applyAlignment="1">
      <alignment horizontal="center" vertical="center"/>
    </xf>
    <xf numFmtId="0" fontId="69" fillId="0" borderId="19" xfId="0" applyFont="1" applyBorder="1" applyAlignment="1">
      <alignment horizontal="right" vertical="center"/>
    </xf>
    <xf numFmtId="0" fontId="69" fillId="0" borderId="23" xfId="0" applyFont="1" applyBorder="1" applyAlignment="1">
      <alignment horizontal="center" vertical="center"/>
    </xf>
    <xf numFmtId="1" fontId="69" fillId="0" borderId="14" xfId="0" applyNumberFormat="1" applyFont="1" applyBorder="1" applyAlignment="1">
      <alignment horizontal="left" vertical="center"/>
    </xf>
    <xf numFmtId="173" fontId="69" fillId="0" borderId="19" xfId="0" applyNumberFormat="1" applyFont="1" applyBorder="1" applyAlignment="1">
      <alignment horizontal="right" vertical="center"/>
    </xf>
    <xf numFmtId="171" fontId="69" fillId="0" borderId="14" xfId="0" applyNumberFormat="1" applyFont="1" applyBorder="1" applyAlignment="1">
      <alignment horizontal="left" vertical="center"/>
    </xf>
    <xf numFmtId="170" fontId="69" fillId="0" borderId="19" xfId="0" applyNumberFormat="1" applyFont="1" applyBorder="1" applyAlignment="1">
      <alignment horizontal="right" vertical="center"/>
    </xf>
    <xf numFmtId="2" fontId="77" fillId="0" borderId="0" xfId="0" applyNumberFormat="1" applyFont="1" applyAlignment="1">
      <alignment vertical="center"/>
    </xf>
    <xf numFmtId="166" fontId="77" fillId="0" borderId="1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46" fillId="0" borderId="1" xfId="0" applyFont="1" applyBorder="1"/>
    <xf numFmtId="2" fontId="46" fillId="0" borderId="1" xfId="0" applyNumberFormat="1" applyFont="1" applyBorder="1"/>
    <xf numFmtId="0" fontId="46" fillId="0" borderId="21" xfId="0" applyFont="1" applyBorder="1" applyAlignment="1">
      <alignment horizontal="left" vertical="center"/>
    </xf>
    <xf numFmtId="167" fontId="46" fillId="0" borderId="19" xfId="0" applyNumberFormat="1" applyFont="1" applyBorder="1" applyAlignment="1">
      <alignment horizontal="right" vertical="center"/>
    </xf>
    <xf numFmtId="2" fontId="46" fillId="0" borderId="0" xfId="0" applyNumberFormat="1" applyFont="1" applyAlignment="1">
      <alignment horizontal="center"/>
    </xf>
    <xf numFmtId="2" fontId="59" fillId="0" borderId="39" xfId="0" applyNumberFormat="1" applyFont="1" applyBorder="1" applyAlignment="1">
      <alignment horizontal="center" vertical="center"/>
    </xf>
    <xf numFmtId="2" fontId="46" fillId="0" borderId="44" xfId="0" applyNumberFormat="1" applyFont="1" applyBorder="1" applyAlignment="1">
      <alignment horizontal="center" vertical="center"/>
    </xf>
    <xf numFmtId="173" fontId="46" fillId="0" borderId="36" xfId="0" applyNumberFormat="1" applyFont="1" applyBorder="1" applyAlignment="1">
      <alignment horizontal="right" vertical="center"/>
    </xf>
    <xf numFmtId="171" fontId="46" fillId="0" borderId="30" xfId="0" applyNumberFormat="1" applyFont="1" applyBorder="1" applyAlignment="1">
      <alignment horizontal="left" vertical="center"/>
    </xf>
    <xf numFmtId="170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center" vertical="center"/>
    </xf>
    <xf numFmtId="0" fontId="46" fillId="0" borderId="36" xfId="0" applyFont="1" applyBorder="1" applyAlignment="1">
      <alignment horizontal="center" vertical="center"/>
    </xf>
    <xf numFmtId="1" fontId="46" fillId="0" borderId="34" xfId="0" applyNumberFormat="1" applyFont="1" applyBorder="1" applyAlignment="1">
      <alignment horizontal="right" vertical="center"/>
    </xf>
    <xf numFmtId="2" fontId="46" fillId="0" borderId="35" xfId="0" applyNumberFormat="1" applyFont="1" applyBorder="1" applyAlignment="1">
      <alignment horizontal="center" vertical="center"/>
    </xf>
    <xf numFmtId="43" fontId="46" fillId="0" borderId="35" xfId="33" applyFont="1" applyBorder="1" applyAlignment="1">
      <alignment horizontal="center" vertical="center"/>
    </xf>
    <xf numFmtId="0" fontId="46" fillId="0" borderId="22" xfId="0" applyFont="1" applyBorder="1" applyAlignment="1">
      <alignment horizontal="right" vertical="center"/>
    </xf>
    <xf numFmtId="167" fontId="46" fillId="0" borderId="26" xfId="33" applyNumberFormat="1" applyFont="1" applyFill="1" applyBorder="1" applyAlignment="1">
      <alignment horizontal="left" vertical="center"/>
    </xf>
    <xf numFmtId="0" fontId="59" fillId="0" borderId="16" xfId="0" applyFont="1" applyBorder="1" applyAlignment="1">
      <alignment vertical="center"/>
    </xf>
    <xf numFmtId="167" fontId="46" fillId="0" borderId="14" xfId="33" applyNumberFormat="1" applyFont="1" applyFill="1" applyBorder="1" applyAlignment="1">
      <alignment horizontal="left" vertical="center"/>
    </xf>
    <xf numFmtId="0" fontId="46" fillId="0" borderId="16" xfId="0" applyFont="1" applyBorder="1" applyAlignment="1">
      <alignment vertical="center"/>
    </xf>
    <xf numFmtId="167" fontId="46" fillId="0" borderId="27" xfId="33" applyNumberFormat="1" applyFont="1" applyFill="1" applyBorder="1" applyAlignment="1">
      <alignment horizontal="left" vertical="center"/>
    </xf>
    <xf numFmtId="0" fontId="59" fillId="0" borderId="22" xfId="0" applyFont="1" applyBorder="1" applyAlignment="1">
      <alignment horizontal="center" vertical="center"/>
    </xf>
    <xf numFmtId="0" fontId="62" fillId="0" borderId="17" xfId="0" applyFont="1" applyBorder="1" applyAlignment="1">
      <alignment horizontal="left" vertical="center"/>
    </xf>
    <xf numFmtId="172" fontId="46" fillId="0" borderId="27" xfId="0" applyNumberFormat="1" applyFont="1" applyBorder="1" applyAlignment="1">
      <alignment horizontal="left" vertical="center"/>
    </xf>
    <xf numFmtId="1" fontId="59" fillId="0" borderId="21" xfId="0" applyNumberFormat="1" applyFont="1" applyBorder="1" applyAlignment="1">
      <alignment horizontal="center" vertical="center"/>
    </xf>
    <xf numFmtId="2" fontId="46" fillId="0" borderId="16" xfId="0" applyNumberFormat="1" applyFont="1" applyBorder="1" applyAlignment="1">
      <alignment horizontal="left" vertical="center"/>
    </xf>
    <xf numFmtId="0" fontId="79" fillId="0" borderId="16" xfId="0" applyFont="1" applyBorder="1" applyAlignment="1">
      <alignment horizontal="left" vertical="center"/>
    </xf>
    <xf numFmtId="173" fontId="46" fillId="0" borderId="23" xfId="0" applyNumberFormat="1" applyFont="1" applyBorder="1" applyAlignment="1">
      <alignment horizontal="right" vertical="center"/>
    </xf>
    <xf numFmtId="0" fontId="59" fillId="0" borderId="29" xfId="0" applyFont="1" applyBorder="1" applyAlignment="1">
      <alignment horizontal="center" vertical="center"/>
    </xf>
    <xf numFmtId="0" fontId="46" fillId="0" borderId="16" xfId="0" applyFont="1" applyFill="1" applyBorder="1" applyAlignment="1">
      <alignment horizontal="center" vertical="center"/>
    </xf>
    <xf numFmtId="0" fontId="46" fillId="0" borderId="16" xfId="0" applyFont="1" applyFill="1" applyBorder="1" applyAlignment="1">
      <alignment horizontal="right" vertical="center"/>
    </xf>
    <xf numFmtId="0" fontId="46" fillId="0" borderId="19" xfId="0" applyFont="1" applyFill="1" applyBorder="1" applyAlignment="1">
      <alignment horizontal="right" vertical="center"/>
    </xf>
    <xf numFmtId="0" fontId="46" fillId="0" borderId="23" xfId="0" applyFont="1" applyFill="1" applyBorder="1" applyAlignment="1">
      <alignment horizontal="center" vertical="center"/>
    </xf>
    <xf numFmtId="1" fontId="46" fillId="0" borderId="14" xfId="0" applyNumberFormat="1" applyFont="1" applyFill="1" applyBorder="1" applyAlignment="1">
      <alignment horizontal="left" vertical="center"/>
    </xf>
    <xf numFmtId="173" fontId="46" fillId="0" borderId="19" xfId="0" applyNumberFormat="1" applyFont="1" applyFill="1" applyBorder="1" applyAlignment="1">
      <alignment horizontal="right" vertical="center"/>
    </xf>
    <xf numFmtId="171" fontId="46" fillId="0" borderId="14" xfId="0" applyNumberFormat="1" applyFont="1" applyFill="1" applyBorder="1" applyAlignment="1">
      <alignment horizontal="left" vertical="center"/>
    </xf>
    <xf numFmtId="2" fontId="46" fillId="0" borderId="19" xfId="0" applyNumberFormat="1" applyFont="1" applyFill="1" applyBorder="1" applyAlignment="1">
      <alignment horizontal="right" vertical="center"/>
    </xf>
    <xf numFmtId="2" fontId="46" fillId="0" borderId="14" xfId="0" applyNumberFormat="1" applyFont="1" applyFill="1" applyBorder="1" applyAlignment="1">
      <alignment horizontal="left" vertical="center"/>
    </xf>
    <xf numFmtId="170" fontId="46" fillId="0" borderId="19" xfId="0" applyNumberFormat="1" applyFont="1" applyFill="1" applyBorder="1" applyAlignment="1">
      <alignment horizontal="right" vertical="center"/>
    </xf>
    <xf numFmtId="2" fontId="46" fillId="0" borderId="16" xfId="0" applyNumberFormat="1" applyFont="1" applyFill="1" applyBorder="1" applyAlignment="1">
      <alignment horizontal="center" vertical="center"/>
    </xf>
    <xf numFmtId="0" fontId="59" fillId="0" borderId="16" xfId="0" applyFont="1" applyFill="1" applyBorder="1" applyAlignment="1">
      <alignment horizontal="center" vertical="center"/>
    </xf>
    <xf numFmtId="0" fontId="46" fillId="0" borderId="0" xfId="0" applyFont="1" applyFill="1"/>
    <xf numFmtId="2" fontId="46" fillId="0" borderId="16" xfId="0" applyNumberFormat="1" applyFont="1" applyBorder="1" applyAlignment="1">
      <alignment horizontal="right" vertical="center"/>
    </xf>
    <xf numFmtId="0" fontId="59" fillId="0" borderId="22" xfId="0" applyFont="1" applyBorder="1" applyAlignment="1">
      <alignment vertical="center"/>
    </xf>
    <xf numFmtId="0" fontId="46" fillId="0" borderId="16" xfId="0" applyFont="1" applyBorder="1" applyAlignment="1">
      <alignment horizontal="center"/>
    </xf>
    <xf numFmtId="0" fontId="46" fillId="0" borderId="13" xfId="0" applyFont="1" applyBorder="1" applyAlignment="1">
      <alignment horizontal="center"/>
    </xf>
    <xf numFmtId="0" fontId="46" fillId="0" borderId="23" xfId="0" applyFont="1" applyBorder="1" applyAlignment="1">
      <alignment horizontal="center"/>
    </xf>
    <xf numFmtId="0" fontId="46" fillId="0" borderId="22" xfId="0" applyFont="1" applyBorder="1" applyAlignment="1">
      <alignment horizontal="center"/>
    </xf>
    <xf numFmtId="0" fontId="46" fillId="0" borderId="22" xfId="0" applyFont="1" applyBorder="1"/>
    <xf numFmtId="0" fontId="46" fillId="0" borderId="31" xfId="0" applyFont="1" applyBorder="1" applyAlignment="1">
      <alignment horizontal="center"/>
    </xf>
    <xf numFmtId="2" fontId="59" fillId="0" borderId="0" xfId="0" applyNumberFormat="1" applyFont="1" applyAlignment="1">
      <alignment horizontal="center"/>
    </xf>
    <xf numFmtId="43" fontId="52" fillId="0" borderId="18" xfId="33" applyFont="1" applyFill="1" applyBorder="1" applyAlignment="1">
      <alignment vertical="center"/>
    </xf>
    <xf numFmtId="43" fontId="51" fillId="0" borderId="0" xfId="0" applyNumberFormat="1" applyFont="1"/>
    <xf numFmtId="0" fontId="51" fillId="0" borderId="16" xfId="35" applyFont="1" applyBorder="1"/>
    <xf numFmtId="0" fontId="63" fillId="0" borderId="16" xfId="0" applyFont="1" applyFill="1" applyBorder="1" applyAlignment="1">
      <alignment vertical="center"/>
    </xf>
    <xf numFmtId="0" fontId="64" fillId="0" borderId="17" xfId="11" applyFont="1" applyFill="1" applyBorder="1" applyAlignment="1">
      <alignment vertical="center"/>
    </xf>
    <xf numFmtId="0" fontId="58" fillId="6" borderId="21" xfId="0" applyFont="1" applyFill="1" applyBorder="1" applyAlignment="1">
      <alignment horizontal="center" vertical="center"/>
    </xf>
    <xf numFmtId="0" fontId="60" fillId="6" borderId="21" xfId="0" applyFont="1" applyFill="1" applyBorder="1" applyAlignment="1">
      <alignment horizontal="left" vertical="center"/>
    </xf>
    <xf numFmtId="0" fontId="58" fillId="6" borderId="35" xfId="0" applyFont="1" applyFill="1" applyBorder="1" applyAlignment="1">
      <alignment horizontal="right" vertical="center"/>
    </xf>
    <xf numFmtId="0" fontId="58" fillId="6" borderId="25" xfId="0" applyFont="1" applyFill="1" applyBorder="1" applyAlignment="1">
      <alignment horizontal="center" vertical="center"/>
    </xf>
    <xf numFmtId="0" fontId="58" fillId="6" borderId="26" xfId="0" applyFont="1" applyFill="1" applyBorder="1" applyAlignment="1">
      <alignment horizontal="left" vertical="center"/>
    </xf>
    <xf numFmtId="173" fontId="58" fillId="6" borderId="35" xfId="0" applyNumberFormat="1" applyFont="1" applyFill="1" applyBorder="1" applyAlignment="1">
      <alignment horizontal="right" vertical="center"/>
    </xf>
    <xf numFmtId="171" fontId="58" fillId="6" borderId="26" xfId="0" applyNumberFormat="1" applyFont="1" applyFill="1" applyBorder="1" applyAlignment="1">
      <alignment horizontal="left" vertical="center"/>
    </xf>
    <xf numFmtId="170" fontId="58" fillId="6" borderId="35" xfId="0" applyNumberFormat="1" applyFont="1" applyFill="1" applyBorder="1" applyAlignment="1">
      <alignment horizontal="right" vertical="center"/>
    </xf>
    <xf numFmtId="170" fontId="58" fillId="6" borderId="25" xfId="0" applyNumberFormat="1" applyFont="1" applyFill="1" applyBorder="1" applyAlignment="1">
      <alignment horizontal="right" vertical="center"/>
    </xf>
    <xf numFmtId="172" fontId="58" fillId="6" borderId="26" xfId="0" applyNumberFormat="1" applyFont="1" applyFill="1" applyBorder="1" applyAlignment="1">
      <alignment horizontal="left" vertical="center"/>
    </xf>
    <xf numFmtId="0" fontId="61" fillId="6" borderId="13" xfId="0" applyFont="1" applyFill="1" applyBorder="1" applyAlignment="1">
      <alignment horizontal="center" vertical="center"/>
    </xf>
    <xf numFmtId="2" fontId="58" fillId="6" borderId="21" xfId="0" applyNumberFormat="1" applyFont="1" applyFill="1" applyBorder="1" applyAlignment="1">
      <alignment horizontal="center" vertical="center"/>
    </xf>
    <xf numFmtId="0" fontId="61" fillId="6" borderId="21" xfId="0" applyFont="1" applyFill="1" applyBorder="1" applyAlignment="1">
      <alignment horizontal="center" vertical="center"/>
    </xf>
    <xf numFmtId="0" fontId="63" fillId="0" borderId="17" xfId="0" applyFont="1" applyBorder="1" applyAlignment="1">
      <alignment vertical="center"/>
    </xf>
    <xf numFmtId="3" fontId="51" fillId="0" borderId="1" xfId="0" applyNumberFormat="1" applyFont="1" applyBorder="1" applyAlignment="1">
      <alignment horizontal="center"/>
    </xf>
    <xf numFmtId="9" fontId="51" fillId="0" borderId="1" xfId="53" applyFont="1" applyBorder="1" applyAlignment="1">
      <alignment horizontal="center"/>
    </xf>
    <xf numFmtId="4" fontId="51" fillId="0" borderId="1" xfId="0" applyNumberFormat="1" applyFont="1" applyBorder="1"/>
    <xf numFmtId="0" fontId="46" fillId="0" borderId="17" xfId="0" applyFont="1" applyBorder="1" applyAlignment="1">
      <alignment horizontal="right" vertical="center"/>
    </xf>
    <xf numFmtId="2" fontId="46" fillId="0" borderId="36" xfId="0" applyNumberFormat="1" applyFont="1" applyBorder="1" applyAlignment="1">
      <alignment horizontal="right" vertical="center"/>
    </xf>
    <xf numFmtId="2" fontId="46" fillId="0" borderId="30" xfId="0" applyNumberFormat="1" applyFont="1" applyBorder="1" applyAlignment="1">
      <alignment horizontal="left" vertical="center"/>
    </xf>
    <xf numFmtId="170" fontId="46" fillId="0" borderId="24" xfId="0" applyNumberFormat="1" applyFont="1" applyBorder="1" applyAlignment="1">
      <alignment horizontal="right" vertical="center"/>
    </xf>
    <xf numFmtId="1" fontId="46" fillId="0" borderId="36" xfId="0" applyNumberFormat="1" applyFont="1" applyBorder="1" applyAlignment="1">
      <alignment horizontal="right" vertical="center"/>
    </xf>
    <xf numFmtId="2" fontId="80" fillId="0" borderId="22" xfId="0" applyNumberFormat="1" applyFont="1" applyBorder="1" applyAlignment="1">
      <alignment horizontal="center" vertical="center"/>
    </xf>
    <xf numFmtId="0" fontId="80" fillId="0" borderId="22" xfId="0" applyFont="1" applyBorder="1" applyAlignment="1">
      <alignment horizontal="center" vertical="center"/>
    </xf>
    <xf numFmtId="0" fontId="82" fillId="0" borderId="0" xfId="45" applyFont="1" applyAlignment="1">
      <alignment horizontal="center" vertical="center"/>
    </xf>
    <xf numFmtId="14" fontId="82" fillId="0" borderId="0" xfId="0" applyNumberFormat="1" applyFont="1" applyAlignment="1">
      <alignment horizontal="left" vertical="center"/>
    </xf>
    <xf numFmtId="179" fontId="82" fillId="0" borderId="0" xfId="0" applyNumberFormat="1" applyFont="1" applyAlignment="1">
      <alignment horizontal="center" vertical="center"/>
    </xf>
    <xf numFmtId="0" fontId="82" fillId="0" borderId="0" xfId="0" applyFont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21" xfId="0" applyFont="1" applyBorder="1" applyAlignment="1">
      <alignment horizontal="center" vertical="center"/>
    </xf>
    <xf numFmtId="0" fontId="85" fillId="0" borderId="21" xfId="0" applyFont="1" applyBorder="1" applyAlignment="1">
      <alignment horizontal="left" vertical="center" indent="1"/>
    </xf>
    <xf numFmtId="43" fontId="85" fillId="0" borderId="21" xfId="33" applyFont="1" applyBorder="1" applyAlignment="1">
      <alignment horizontal="right" vertical="center"/>
    </xf>
    <xf numFmtId="43" fontId="82" fillId="0" borderId="0" xfId="0" applyNumberFormat="1" applyFont="1" applyAlignment="1">
      <alignment horizontal="center" vertical="center"/>
    </xf>
    <xf numFmtId="0" fontId="85" fillId="0" borderId="16" xfId="0" applyFont="1" applyBorder="1" applyAlignment="1">
      <alignment horizontal="center" vertical="center"/>
    </xf>
    <xf numFmtId="0" fontId="85" fillId="0" borderId="16" xfId="0" applyFont="1" applyBorder="1" applyAlignment="1">
      <alignment horizontal="left" vertical="center" indent="1"/>
    </xf>
    <xf numFmtId="43" fontId="85" fillId="0" borderId="16" xfId="33" applyFont="1" applyBorder="1" applyAlignment="1">
      <alignment horizontal="right" vertical="center"/>
    </xf>
    <xf numFmtId="0" fontId="85" fillId="0" borderId="17" xfId="0" applyFont="1" applyBorder="1" applyAlignment="1">
      <alignment horizontal="left" vertical="center" indent="1"/>
    </xf>
    <xf numFmtId="43" fontId="85" fillId="0" borderId="17" xfId="33" applyFont="1" applyBorder="1" applyAlignment="1">
      <alignment horizontal="right" vertical="center"/>
    </xf>
    <xf numFmtId="0" fontId="85" fillId="0" borderId="17" xfId="0" applyFont="1" applyBorder="1" applyAlignment="1">
      <alignment horizontal="center" vertical="center"/>
    </xf>
    <xf numFmtId="0" fontId="85" fillId="8" borderId="52" xfId="0" applyFont="1" applyFill="1" applyBorder="1" applyAlignment="1">
      <alignment horizontal="center" vertical="center"/>
    </xf>
    <xf numFmtId="0" fontId="83" fillId="8" borderId="15" xfId="0" applyFont="1" applyFill="1" applyBorder="1" applyAlignment="1">
      <alignment horizontal="center" vertical="center"/>
    </xf>
    <xf numFmtId="43" fontId="83" fillId="8" borderId="15" xfId="33" applyFont="1" applyFill="1" applyBorder="1" applyAlignment="1">
      <alignment horizontal="right" vertical="center"/>
    </xf>
    <xf numFmtId="0" fontId="83" fillId="8" borderId="53" xfId="0" applyFont="1" applyFill="1" applyBorder="1" applyAlignment="1">
      <alignment horizontal="center" vertical="center"/>
    </xf>
    <xf numFmtId="0" fontId="85" fillId="0" borderId="52" xfId="0" applyFont="1" applyBorder="1" applyAlignment="1">
      <alignment horizontal="center" vertical="center"/>
    </xf>
    <xf numFmtId="0" fontId="83" fillId="0" borderId="15" xfId="0" applyFont="1" applyBorder="1" applyAlignment="1">
      <alignment horizontal="center" vertical="center"/>
    </xf>
    <xf numFmtId="43" fontId="83" fillId="0" borderId="15" xfId="33" applyFont="1" applyFill="1" applyBorder="1" applyAlignment="1">
      <alignment horizontal="right" vertical="center"/>
    </xf>
    <xf numFmtId="0" fontId="83" fillId="0" borderId="53" xfId="0" applyFont="1" applyBorder="1" applyAlignment="1">
      <alignment horizontal="center" vertical="center"/>
    </xf>
    <xf numFmtId="0" fontId="85" fillId="7" borderId="52" xfId="0" applyFont="1" applyFill="1" applyBorder="1" applyAlignment="1">
      <alignment horizontal="center" vertical="center"/>
    </xf>
    <xf numFmtId="0" fontId="83" fillId="7" borderId="15" xfId="0" applyFont="1" applyFill="1" applyBorder="1" applyAlignment="1">
      <alignment horizontal="center" vertical="center"/>
    </xf>
    <xf numFmtId="43" fontId="86" fillId="7" borderId="15" xfId="33" applyFont="1" applyFill="1" applyBorder="1" applyAlignment="1">
      <alignment horizontal="right" vertical="center"/>
    </xf>
    <xf numFmtId="0" fontId="85" fillId="7" borderId="53" xfId="0" applyFont="1" applyFill="1" applyBorder="1" applyAlignment="1">
      <alignment horizontal="center" vertical="center"/>
    </xf>
    <xf numFmtId="0" fontId="59" fillId="0" borderId="0" xfId="0" applyFont="1" applyAlignment="1">
      <alignment horizontal="left" vertical="center" indent="1"/>
    </xf>
    <xf numFmtId="43" fontId="46" fillId="0" borderId="0" xfId="33" applyFont="1" applyBorder="1" applyAlignment="1">
      <alignment horizontal="right" vertical="center"/>
    </xf>
    <xf numFmtId="0" fontId="84" fillId="0" borderId="0" xfId="0" applyFont="1" applyAlignment="1">
      <alignment horizontal="left" vertical="center" indent="1"/>
    </xf>
    <xf numFmtId="43" fontId="82" fillId="0" borderId="0" xfId="33" applyFont="1" applyBorder="1" applyAlignment="1">
      <alignment horizontal="right" vertical="center"/>
    </xf>
    <xf numFmtId="43" fontId="46" fillId="0" borderId="0" xfId="0" applyNumberFormat="1" applyFont="1" applyAlignment="1">
      <alignment horizontal="center" vertical="center"/>
    </xf>
    <xf numFmtId="0" fontId="87" fillId="0" borderId="0" xfId="0" applyFont="1" applyAlignment="1">
      <alignment vertical="center"/>
    </xf>
    <xf numFmtId="0" fontId="88" fillId="0" borderId="0" xfId="54" applyFont="1" applyAlignment="1">
      <alignment horizontal="left" vertical="center"/>
    </xf>
    <xf numFmtId="43" fontId="82" fillId="0" borderId="0" xfId="33" applyFont="1" applyAlignment="1">
      <alignment horizontal="right" vertical="center"/>
    </xf>
    <xf numFmtId="0" fontId="88" fillId="0" borderId="0" xfId="0" applyFont="1" applyAlignment="1">
      <alignment horizontal="left" vertical="center"/>
    </xf>
    <xf numFmtId="0" fontId="83" fillId="7" borderId="47" xfId="0" applyFont="1" applyFill="1" applyBorder="1" applyAlignment="1">
      <alignment horizontal="center" vertical="center"/>
    </xf>
    <xf numFmtId="0" fontId="83" fillId="7" borderId="50" xfId="0" applyFont="1" applyFill="1" applyBorder="1" applyAlignment="1">
      <alignment horizontal="center" vertical="center"/>
    </xf>
    <xf numFmtId="0" fontId="85" fillId="0" borderId="35" xfId="0" applyFont="1" applyBorder="1" applyAlignment="1">
      <alignment horizontal="left" vertical="center" indent="1"/>
    </xf>
    <xf numFmtId="0" fontId="85" fillId="0" borderId="26" xfId="0" applyFont="1" applyBorder="1" applyAlignment="1">
      <alignment horizontal="left" vertical="center" indent="1"/>
    </xf>
    <xf numFmtId="0" fontId="85" fillId="0" borderId="19" xfId="0" applyFont="1" applyBorder="1" applyAlignment="1">
      <alignment horizontal="left" vertical="center" indent="1"/>
    </xf>
    <xf numFmtId="0" fontId="85" fillId="0" borderId="14" xfId="0" applyFont="1" applyBorder="1" applyAlignment="1">
      <alignment horizontal="left" vertical="center" indent="1"/>
    </xf>
    <xf numFmtId="0" fontId="85" fillId="0" borderId="36" xfId="0" applyFont="1" applyBorder="1" applyAlignment="1">
      <alignment horizontal="left" vertical="center" indent="1"/>
    </xf>
    <xf numFmtId="0" fontId="85" fillId="0" borderId="41" xfId="0" applyFont="1" applyBorder="1" applyAlignment="1">
      <alignment horizontal="left" vertical="center" indent="1"/>
    </xf>
    <xf numFmtId="0" fontId="83" fillId="8" borderId="55" xfId="0" applyFont="1" applyFill="1" applyBorder="1" applyAlignment="1">
      <alignment horizontal="center" vertical="center"/>
    </xf>
    <xf numFmtId="0" fontId="83" fillId="8" borderId="54" xfId="0" applyFont="1" applyFill="1" applyBorder="1" applyAlignment="1">
      <alignment horizontal="center" vertical="center"/>
    </xf>
    <xf numFmtId="0" fontId="83" fillId="0" borderId="55" xfId="0" applyFont="1" applyBorder="1" applyAlignment="1">
      <alignment horizontal="center" vertical="center"/>
    </xf>
    <xf numFmtId="0" fontId="83" fillId="0" borderId="54" xfId="0" applyFont="1" applyBorder="1" applyAlignment="1">
      <alignment horizontal="center" vertical="center"/>
    </xf>
    <xf numFmtId="9" fontId="83" fillId="8" borderId="54" xfId="0" applyNumberFormat="1" applyFont="1" applyFill="1" applyBorder="1" applyAlignment="1">
      <alignment horizontal="center" vertical="center"/>
    </xf>
    <xf numFmtId="4" fontId="82" fillId="0" borderId="0" xfId="0" applyNumberFormat="1" applyFont="1" applyAlignment="1">
      <alignment horizontal="center" vertical="center"/>
    </xf>
    <xf numFmtId="0" fontId="83" fillId="7" borderId="55" xfId="0" applyFont="1" applyFill="1" applyBorder="1" applyAlignment="1">
      <alignment horizontal="center" vertical="center"/>
    </xf>
    <xf numFmtId="0" fontId="83" fillId="7" borderId="54" xfId="0" applyFont="1" applyFill="1" applyBorder="1" applyAlignment="1">
      <alignment horizontal="center" vertical="center"/>
    </xf>
    <xf numFmtId="0" fontId="83" fillId="7" borderId="53" xfId="0" applyFont="1" applyFill="1" applyBorder="1" applyAlignment="1">
      <alignment horizontal="center" vertical="center"/>
    </xf>
    <xf numFmtId="0" fontId="83" fillId="0" borderId="0" xfId="0" applyFont="1" applyAlignment="1">
      <alignment horizontal="left" vertical="center" indent="1"/>
    </xf>
    <xf numFmtId="4" fontId="52" fillId="0" borderId="1" xfId="0" applyNumberFormat="1" applyFont="1" applyBorder="1"/>
    <xf numFmtId="43" fontId="82" fillId="0" borderId="0" xfId="33" applyFont="1" applyAlignment="1">
      <alignment horizontal="center" vertical="center"/>
    </xf>
    <xf numFmtId="0" fontId="82" fillId="0" borderId="0" xfId="0" applyFont="1" applyAlignment="1">
      <alignment horizontal="left" vertical="center"/>
    </xf>
    <xf numFmtId="0" fontId="46" fillId="0" borderId="0" xfId="0" applyFont="1" applyAlignment="1">
      <alignment horizontal="left" vertical="center" indent="1"/>
    </xf>
    <xf numFmtId="0" fontId="46" fillId="0" borderId="30" xfId="0" applyFont="1" applyBorder="1" applyAlignment="1">
      <alignment horizontal="left" vertical="center"/>
    </xf>
    <xf numFmtId="0" fontId="59" fillId="0" borderId="5" xfId="0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51" fillId="0" borderId="13" xfId="0" applyFont="1" applyBorder="1" applyAlignment="1">
      <alignment horizontal="center" vertical="center"/>
    </xf>
    <xf numFmtId="0" fontId="51" fillId="0" borderId="13" xfId="0" applyFont="1" applyBorder="1" applyAlignment="1">
      <alignment horizontal="right" vertical="center"/>
    </xf>
    <xf numFmtId="0" fontId="46" fillId="0" borderId="33" xfId="0" applyFont="1" applyBorder="1" applyAlignment="1">
      <alignment horizontal="right" vertical="center"/>
    </xf>
    <xf numFmtId="0" fontId="46" fillId="0" borderId="32" xfId="0" applyFont="1" applyBorder="1" applyAlignment="1">
      <alignment horizontal="center" vertical="center"/>
    </xf>
    <xf numFmtId="0" fontId="46" fillId="0" borderId="28" xfId="0" applyFont="1" applyBorder="1" applyAlignment="1">
      <alignment horizontal="left" vertical="center"/>
    </xf>
    <xf numFmtId="173" fontId="46" fillId="0" borderId="33" xfId="0" applyNumberFormat="1" applyFont="1" applyBorder="1" applyAlignment="1">
      <alignment horizontal="right" vertical="center"/>
    </xf>
    <xf numFmtId="171" fontId="46" fillId="0" borderId="28" xfId="0" applyNumberFormat="1" applyFont="1" applyBorder="1" applyAlignment="1">
      <alignment horizontal="left" vertical="center"/>
    </xf>
    <xf numFmtId="2" fontId="46" fillId="0" borderId="33" xfId="0" applyNumberFormat="1" applyFont="1" applyBorder="1" applyAlignment="1">
      <alignment horizontal="right" vertical="center"/>
    </xf>
    <xf numFmtId="2" fontId="46" fillId="0" borderId="28" xfId="0" applyNumberFormat="1" applyFont="1" applyBorder="1" applyAlignment="1">
      <alignment horizontal="left" vertical="center"/>
    </xf>
    <xf numFmtId="2" fontId="46" fillId="0" borderId="32" xfId="0" applyNumberFormat="1" applyFont="1" applyBorder="1" applyAlignment="1">
      <alignment horizontal="right" vertical="center"/>
    </xf>
    <xf numFmtId="167" fontId="46" fillId="0" borderId="28" xfId="33" applyNumberFormat="1" applyFont="1" applyFill="1" applyBorder="1" applyAlignment="1">
      <alignment horizontal="left" vertical="center"/>
    </xf>
    <xf numFmtId="0" fontId="46" fillId="0" borderId="18" xfId="0" applyFont="1" applyBorder="1" applyAlignment="1">
      <alignment horizontal="center" vertical="center"/>
    </xf>
    <xf numFmtId="0" fontId="46" fillId="0" borderId="17" xfId="0" applyFont="1" applyBorder="1" applyAlignment="1">
      <alignment vertical="center"/>
    </xf>
    <xf numFmtId="2" fontId="46" fillId="0" borderId="24" xfId="0" applyNumberFormat="1" applyFont="1" applyBorder="1" applyAlignment="1">
      <alignment horizontal="right" vertical="center"/>
    </xf>
    <xf numFmtId="167" fontId="46" fillId="0" borderId="30" xfId="33" applyNumberFormat="1" applyFont="1" applyFill="1" applyBorder="1" applyAlignment="1">
      <alignment horizontal="left" vertical="center"/>
    </xf>
    <xf numFmtId="164" fontId="59" fillId="0" borderId="16" xfId="0" applyNumberFormat="1" applyFont="1" applyBorder="1" applyAlignment="1">
      <alignment horizontal="center" vertical="center"/>
    </xf>
    <xf numFmtId="0" fontId="48" fillId="0" borderId="17" xfId="11" applyFont="1" applyBorder="1" applyAlignment="1">
      <alignment vertical="center"/>
    </xf>
    <xf numFmtId="0" fontId="46" fillId="0" borderId="17" xfId="11" applyFont="1" applyBorder="1" applyAlignment="1">
      <alignment vertical="center"/>
    </xf>
    <xf numFmtId="0" fontId="46" fillId="0" borderId="5" xfId="0" applyFont="1" applyBorder="1"/>
    <xf numFmtId="0" fontId="46" fillId="0" borderId="31" xfId="0" applyFont="1" applyBorder="1"/>
    <xf numFmtId="0" fontId="46" fillId="0" borderId="27" xfId="0" applyFont="1" applyBorder="1" applyAlignment="1">
      <alignment horizontal="left"/>
    </xf>
    <xf numFmtId="173" fontId="46" fillId="0" borderId="34" xfId="0" applyNumberFormat="1" applyFont="1" applyBorder="1" applyAlignment="1">
      <alignment horizontal="right"/>
    </xf>
    <xf numFmtId="0" fontId="46" fillId="0" borderId="34" xfId="0" applyFont="1" applyBorder="1" applyAlignment="1">
      <alignment horizontal="right"/>
    </xf>
    <xf numFmtId="167" fontId="46" fillId="0" borderId="27" xfId="33" applyNumberFormat="1" applyFont="1" applyBorder="1" applyAlignment="1">
      <alignment horizontal="left"/>
    </xf>
    <xf numFmtId="0" fontId="46" fillId="0" borderId="5" xfId="0" applyFont="1" applyBorder="1" applyAlignment="1">
      <alignment horizontal="center"/>
    </xf>
    <xf numFmtId="0" fontId="81" fillId="0" borderId="0" xfId="45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3" fillId="7" borderId="45" xfId="0" applyFont="1" applyFill="1" applyBorder="1" applyAlignment="1">
      <alignment horizontal="center" vertical="center"/>
    </xf>
    <xf numFmtId="0" fontId="83" fillId="7" borderId="49" xfId="0" applyFont="1" applyFill="1" applyBorder="1" applyAlignment="1">
      <alignment horizontal="center" vertical="center"/>
    </xf>
    <xf numFmtId="0" fontId="83" fillId="7" borderId="46" xfId="0" applyFont="1" applyFill="1" applyBorder="1" applyAlignment="1">
      <alignment horizontal="center" vertical="center"/>
    </xf>
    <xf numFmtId="0" fontId="83" fillId="7" borderId="37" xfId="0" applyFont="1" applyFill="1" applyBorder="1" applyAlignment="1">
      <alignment horizontal="center" vertical="center"/>
    </xf>
    <xf numFmtId="43" fontId="83" fillId="7" borderId="47" xfId="33" applyFont="1" applyFill="1" applyBorder="1" applyAlignment="1">
      <alignment horizontal="center" vertical="center" wrapText="1"/>
    </xf>
    <xf numFmtId="43" fontId="83" fillId="7" borderId="50" xfId="33" applyFont="1" applyFill="1" applyBorder="1" applyAlignment="1">
      <alignment horizontal="center" vertical="center" wrapText="1"/>
    </xf>
    <xf numFmtId="0" fontId="83" fillId="7" borderId="48" xfId="0" applyFont="1" applyFill="1" applyBorder="1" applyAlignment="1">
      <alignment horizontal="center" vertical="center"/>
    </xf>
    <xf numFmtId="0" fontId="83" fillId="7" borderId="51" xfId="0" applyFont="1" applyFill="1" applyBorder="1" applyAlignment="1">
      <alignment horizontal="center" vertical="center"/>
    </xf>
    <xf numFmtId="0" fontId="83" fillId="7" borderId="56" xfId="0" applyFont="1" applyFill="1" applyBorder="1" applyAlignment="1">
      <alignment horizontal="center" vertical="center"/>
    </xf>
    <xf numFmtId="0" fontId="83" fillId="7" borderId="57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/>
    </xf>
    <xf numFmtId="0" fontId="52" fillId="0" borderId="1" xfId="0" applyFont="1" applyBorder="1" applyAlignment="1">
      <alignment horizontal="center"/>
    </xf>
    <xf numFmtId="3" fontId="48" fillId="0" borderId="4" xfId="0" applyNumberFormat="1" applyFont="1" applyBorder="1" applyAlignment="1">
      <alignment horizontal="center" vertical="center" wrapText="1"/>
    </xf>
    <xf numFmtId="3" fontId="48" fillId="0" borderId="5" xfId="0" applyNumberFormat="1" applyFont="1" applyBorder="1" applyAlignment="1">
      <alignment horizontal="center" vertical="center" wrapText="1"/>
    </xf>
    <xf numFmtId="43" fontId="52" fillId="0" borderId="11" xfId="33" applyFont="1" applyFill="1" applyBorder="1" applyAlignment="1">
      <alignment horizontal="center" vertical="center"/>
    </xf>
    <xf numFmtId="43" fontId="52" fillId="0" borderId="2" xfId="33" applyFont="1" applyFill="1" applyBorder="1" applyAlignment="1">
      <alignment horizontal="center" vertical="center"/>
    </xf>
    <xf numFmtId="0" fontId="50" fillId="0" borderId="10" xfId="0" applyFont="1" applyBorder="1" applyAlignment="1">
      <alignment horizontal="center" vertical="center"/>
    </xf>
    <xf numFmtId="0" fontId="51" fillId="0" borderId="4" xfId="0" applyFont="1" applyBorder="1" applyAlignment="1">
      <alignment horizontal="center" vertical="center"/>
    </xf>
    <xf numFmtId="0" fontId="51" fillId="0" borderId="5" xfId="0" applyFont="1" applyBorder="1" applyAlignment="1">
      <alignment horizontal="center" vertical="center"/>
    </xf>
    <xf numFmtId="3" fontId="48" fillId="0" borderId="4" xfId="0" applyNumberFormat="1" applyFont="1" applyBorder="1" applyAlignment="1">
      <alignment horizontal="center" vertical="center"/>
    </xf>
    <xf numFmtId="3" fontId="48" fillId="0" borderId="5" xfId="0" applyNumberFormat="1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 wrapText="1"/>
    </xf>
    <xf numFmtId="0" fontId="48" fillId="0" borderId="5" xfId="0" applyFont="1" applyBorder="1" applyAlignment="1">
      <alignment horizontal="center" vertical="center" wrapText="1"/>
    </xf>
    <xf numFmtId="43" fontId="52" fillId="0" borderId="3" xfId="33" applyFont="1" applyFill="1" applyBorder="1" applyAlignment="1">
      <alignment horizontal="center" vertical="center"/>
    </xf>
    <xf numFmtId="0" fontId="50" fillId="0" borderId="1" xfId="0" applyFont="1" applyBorder="1" applyAlignment="1">
      <alignment horizontal="center" vertical="center"/>
    </xf>
    <xf numFmtId="2" fontId="50" fillId="0" borderId="1" xfId="0" applyNumberFormat="1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3" fontId="50" fillId="0" borderId="1" xfId="0" applyNumberFormat="1" applyFont="1" applyBorder="1" applyAlignment="1">
      <alignment horizontal="center" vertical="center" wrapText="1"/>
    </xf>
    <xf numFmtId="43" fontId="50" fillId="0" borderId="1" xfId="33" applyFont="1" applyFill="1" applyBorder="1" applyAlignment="1">
      <alignment horizontal="center" vertical="center" wrapText="1"/>
    </xf>
    <xf numFmtId="2" fontId="46" fillId="0" borderId="19" xfId="0" applyNumberFormat="1" applyFont="1" applyBorder="1" applyAlignment="1">
      <alignment horizontal="center" vertical="center"/>
    </xf>
    <xf numFmtId="2" fontId="46" fillId="0" borderId="14" xfId="0" applyNumberFormat="1" applyFont="1" applyBorder="1" applyAlignment="1">
      <alignment horizontal="center" vertical="center"/>
    </xf>
    <xf numFmtId="173" fontId="46" fillId="0" borderId="19" xfId="0" applyNumberFormat="1" applyFont="1" applyBorder="1" applyAlignment="1">
      <alignment horizontal="center" vertical="center"/>
    </xf>
    <xf numFmtId="173" fontId="46" fillId="0" borderId="14" xfId="0" applyNumberFormat="1" applyFont="1" applyBorder="1" applyAlignment="1">
      <alignment horizontal="center" vertical="center"/>
    </xf>
    <xf numFmtId="177" fontId="46" fillId="0" borderId="19" xfId="0" applyNumberFormat="1" applyFont="1" applyBorder="1" applyAlignment="1">
      <alignment horizontal="center" vertical="center"/>
    </xf>
    <xf numFmtId="177" fontId="46" fillId="0" borderId="14" xfId="0" applyNumberFormat="1" applyFont="1" applyBorder="1" applyAlignment="1">
      <alignment horizontal="center" vertical="center"/>
    </xf>
    <xf numFmtId="43" fontId="46" fillId="0" borderId="42" xfId="33" applyFont="1" applyBorder="1" applyAlignment="1">
      <alignment horizontal="center" vertical="center"/>
    </xf>
    <xf numFmtId="43" fontId="46" fillId="0" borderId="43" xfId="33" applyFont="1" applyBorder="1" applyAlignment="1">
      <alignment horizontal="center" vertical="center"/>
    </xf>
    <xf numFmtId="2" fontId="78" fillId="0" borderId="19" xfId="0" applyNumberFormat="1" applyFont="1" applyBorder="1" applyAlignment="1">
      <alignment horizontal="center" vertical="center"/>
    </xf>
    <xf numFmtId="2" fontId="78" fillId="0" borderId="14" xfId="0" applyNumberFormat="1" applyFont="1" applyBorder="1" applyAlignment="1">
      <alignment horizontal="center" vertical="center"/>
    </xf>
    <xf numFmtId="43" fontId="46" fillId="0" borderId="19" xfId="33" applyFont="1" applyBorder="1" applyAlignment="1">
      <alignment horizontal="center" vertical="center"/>
    </xf>
    <xf numFmtId="43" fontId="46" fillId="0" borderId="14" xfId="33" applyFont="1" applyBorder="1" applyAlignment="1">
      <alignment horizontal="center" vertical="center"/>
    </xf>
    <xf numFmtId="2" fontId="58" fillId="0" borderId="19" xfId="0" applyNumberFormat="1" applyFont="1" applyBorder="1" applyAlignment="1">
      <alignment horizontal="center" vertical="center"/>
    </xf>
    <xf numFmtId="2" fontId="58" fillId="0" borderId="14" xfId="0" applyNumberFormat="1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59" fillId="0" borderId="3" xfId="0" applyFont="1" applyBorder="1" applyAlignment="1">
      <alignment horizontal="center" vertical="center"/>
    </xf>
    <xf numFmtId="0" fontId="59" fillId="0" borderId="11" xfId="0" applyFont="1" applyBorder="1" applyAlignment="1">
      <alignment horizontal="center" vertical="center"/>
    </xf>
    <xf numFmtId="0" fontId="59" fillId="0" borderId="2" xfId="0" applyFont="1" applyBorder="1" applyAlignment="1">
      <alignment horizontal="center" vertical="center"/>
    </xf>
    <xf numFmtId="0" fontId="59" fillId="0" borderId="10" xfId="0" applyFont="1" applyBorder="1" applyAlignment="1">
      <alignment horizontal="center" vertical="center"/>
    </xf>
    <xf numFmtId="0" fontId="59" fillId="0" borderId="4" xfId="0" applyFont="1" applyBorder="1" applyAlignment="1">
      <alignment horizontal="center" vertical="center"/>
    </xf>
    <xf numFmtId="0" fontId="59" fillId="0" borderId="5" xfId="0" applyFont="1" applyBorder="1" applyAlignment="1">
      <alignment horizontal="center" vertical="center"/>
    </xf>
    <xf numFmtId="2" fontId="59" fillId="0" borderId="3" xfId="0" applyNumberFormat="1" applyFont="1" applyBorder="1" applyAlignment="1">
      <alignment horizontal="center" vertical="center"/>
    </xf>
    <xf numFmtId="2" fontId="59" fillId="0" borderId="2" xfId="0" applyNumberFormat="1" applyFont="1" applyBorder="1" applyAlignment="1">
      <alignment horizontal="center" vertical="center"/>
    </xf>
    <xf numFmtId="2" fontId="59" fillId="0" borderId="4" xfId="0" applyNumberFormat="1" applyFont="1" applyBorder="1" applyAlignment="1">
      <alignment horizontal="center" vertical="center"/>
    </xf>
    <xf numFmtId="2" fontId="59" fillId="0" borderId="5" xfId="0" applyNumberFormat="1" applyFont="1" applyBorder="1" applyAlignment="1">
      <alignment horizontal="center" vertical="center"/>
    </xf>
    <xf numFmtId="0" fontId="58" fillId="0" borderId="14" xfId="0" applyFont="1" applyBorder="1" applyAlignment="1">
      <alignment horizontal="center" vertical="center"/>
    </xf>
    <xf numFmtId="166" fontId="58" fillId="0" borderId="19" xfId="0" applyNumberFormat="1" applyFont="1" applyBorder="1" applyAlignment="1">
      <alignment horizontal="center" vertical="center"/>
    </xf>
    <xf numFmtId="2" fontId="46" fillId="0" borderId="34" xfId="0" applyNumberFormat="1" applyFont="1" applyBorder="1" applyAlignment="1">
      <alignment horizontal="center" vertical="center"/>
    </xf>
    <xf numFmtId="2" fontId="46" fillId="0" borderId="27" xfId="0" applyNumberFormat="1" applyFont="1" applyBorder="1" applyAlignment="1">
      <alignment horizontal="center" vertical="center"/>
    </xf>
    <xf numFmtId="2" fontId="46" fillId="0" borderId="42" xfId="0" applyNumberFormat="1" applyFont="1" applyBorder="1" applyAlignment="1">
      <alignment horizontal="center" vertical="center"/>
    </xf>
    <xf numFmtId="2" fontId="46" fillId="0" borderId="43" xfId="0" applyNumberFormat="1" applyFont="1" applyBorder="1" applyAlignment="1">
      <alignment horizontal="center" vertical="center"/>
    </xf>
    <xf numFmtId="2" fontId="46" fillId="0" borderId="23" xfId="0" applyNumberFormat="1" applyFont="1" applyBorder="1" applyAlignment="1">
      <alignment horizontal="center" vertical="center"/>
    </xf>
    <xf numFmtId="173" fontId="58" fillId="0" borderId="19" xfId="0" applyNumberFormat="1" applyFont="1" applyBorder="1" applyAlignment="1">
      <alignment horizontal="center" vertical="center"/>
    </xf>
    <xf numFmtId="173" fontId="58" fillId="0" borderId="14" xfId="0" applyNumberFormat="1" applyFont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 wrapText="1"/>
    </xf>
    <xf numFmtId="0" fontId="23" fillId="5" borderId="5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2" fontId="76" fillId="0" borderId="4" xfId="0" applyNumberFormat="1" applyFont="1" applyBorder="1" applyAlignment="1">
      <alignment horizontal="center" vertical="center" wrapText="1"/>
    </xf>
    <xf numFmtId="2" fontId="76" fillId="0" borderId="5" xfId="0" applyNumberFormat="1" applyFont="1" applyBorder="1" applyAlignment="1">
      <alignment horizontal="center" vertical="center" wrapText="1"/>
    </xf>
    <xf numFmtId="2" fontId="67" fillId="0" borderId="19" xfId="0" applyNumberFormat="1" applyFont="1" applyBorder="1" applyAlignment="1">
      <alignment horizontal="center" vertical="center"/>
    </xf>
    <xf numFmtId="2" fontId="67" fillId="0" borderId="14" xfId="0" applyNumberFormat="1" applyFont="1" applyBorder="1" applyAlignment="1">
      <alignment horizontal="center" vertical="center"/>
    </xf>
    <xf numFmtId="177" fontId="46" fillId="0" borderId="23" xfId="0" applyNumberFormat="1" applyFont="1" applyBorder="1" applyAlignment="1">
      <alignment horizontal="center" vertical="center"/>
    </xf>
    <xf numFmtId="178" fontId="46" fillId="0" borderId="19" xfId="0" applyNumberFormat="1" applyFont="1" applyBorder="1" applyAlignment="1">
      <alignment horizontal="center" vertical="center"/>
    </xf>
    <xf numFmtId="178" fontId="46" fillId="0" borderId="23" xfId="0" applyNumberFormat="1" applyFont="1" applyBorder="1" applyAlignment="1">
      <alignment horizontal="center" vertical="center"/>
    </xf>
    <xf numFmtId="178" fontId="46" fillId="0" borderId="14" xfId="0" applyNumberFormat="1" applyFont="1" applyBorder="1" applyAlignment="1">
      <alignment horizontal="center" vertical="center"/>
    </xf>
    <xf numFmtId="49" fontId="36" fillId="0" borderId="10" xfId="49" applyNumberFormat="1" applyFont="1" applyBorder="1" applyAlignment="1">
      <alignment horizontal="center" vertical="center"/>
    </xf>
    <xf numFmtId="0" fontId="35" fillId="0" borderId="10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 wrapText="1"/>
    </xf>
    <xf numFmtId="0" fontId="31" fillId="0" borderId="5" xfId="47" applyFont="1" applyBorder="1" applyAlignment="1">
      <alignment horizontal="center" vertical="center" wrapText="1"/>
    </xf>
    <xf numFmtId="0" fontId="31" fillId="0" borderId="1" xfId="47" applyFont="1" applyBorder="1" applyAlignment="1">
      <alignment horizontal="center" vertical="center"/>
    </xf>
    <xf numFmtId="0" fontId="31" fillId="0" borderId="4" xfId="47" applyFont="1" applyBorder="1" applyAlignment="1">
      <alignment horizontal="center" vertical="center"/>
    </xf>
    <xf numFmtId="0" fontId="31" fillId="0" borderId="5" xfId="47" applyFont="1" applyBorder="1" applyAlignment="1">
      <alignment horizontal="center" vertical="center"/>
    </xf>
    <xf numFmtId="0" fontId="31" fillId="0" borderId="7" xfId="47" applyFont="1" applyBorder="1" applyAlignment="1">
      <alignment horizontal="center" vertical="center"/>
    </xf>
    <xf numFmtId="0" fontId="31" fillId="0" borderId="9" xfId="47" applyFont="1" applyBorder="1" applyAlignment="1">
      <alignment horizontal="center" vertical="center"/>
    </xf>
    <xf numFmtId="0" fontId="31" fillId="0" borderId="3" xfId="41" applyFont="1" applyBorder="1" applyAlignment="1">
      <alignment horizontal="center" vertical="center"/>
    </xf>
    <xf numFmtId="0" fontId="31" fillId="0" borderId="11" xfId="41" applyFont="1" applyBorder="1" applyAlignment="1">
      <alignment horizontal="center" vertical="center"/>
    </xf>
    <xf numFmtId="0" fontId="31" fillId="0" borderId="2" xfId="41" applyFont="1" applyBorder="1" applyAlignment="1">
      <alignment horizontal="center" vertical="center"/>
    </xf>
    <xf numFmtId="0" fontId="35" fillId="0" borderId="10" xfId="41" applyFont="1" applyBorder="1" applyAlignment="1">
      <alignment horizontal="center" vertical="center"/>
    </xf>
    <xf numFmtId="0" fontId="20" fillId="0" borderId="1" xfId="41" applyFont="1" applyBorder="1" applyAlignment="1">
      <alignment horizontal="center" vertical="center" wrapText="1"/>
    </xf>
    <xf numFmtId="0" fontId="20" fillId="0" borderId="1" xfId="41" applyFont="1" applyBorder="1" applyAlignment="1">
      <alignment horizontal="center" vertical="center"/>
    </xf>
    <xf numFmtId="0" fontId="20" fillId="0" borderId="4" xfId="41" applyFont="1" applyBorder="1" applyAlignment="1">
      <alignment horizontal="center" vertical="center"/>
    </xf>
    <xf numFmtId="0" fontId="20" fillId="0" borderId="5" xfId="41" applyFont="1" applyBorder="1" applyAlignment="1">
      <alignment horizontal="center" vertical="center"/>
    </xf>
    <xf numFmtId="0" fontId="31" fillId="0" borderId="3" xfId="11" applyFont="1" applyBorder="1" applyAlignment="1">
      <alignment horizontal="center" vertical="center"/>
    </xf>
    <xf numFmtId="0" fontId="31" fillId="0" borderId="11" xfId="11" applyFont="1" applyBorder="1" applyAlignment="1">
      <alignment horizontal="center" vertical="center"/>
    </xf>
    <xf numFmtId="0" fontId="31" fillId="0" borderId="2" xfId="11" applyFont="1" applyBorder="1" applyAlignment="1">
      <alignment horizontal="center" vertical="center"/>
    </xf>
    <xf numFmtId="0" fontId="35" fillId="0" borderId="10" xfId="11" applyFont="1" applyBorder="1" applyAlignment="1">
      <alignment horizontal="center" vertical="center"/>
    </xf>
    <xf numFmtId="0" fontId="2" fillId="0" borderId="1" xfId="11" applyBorder="1" applyAlignment="1">
      <alignment horizontal="center" vertical="center" wrapText="1"/>
    </xf>
    <xf numFmtId="0" fontId="2" fillId="0" borderId="1" xfId="11" applyBorder="1" applyAlignment="1">
      <alignment horizontal="center" vertical="center"/>
    </xf>
    <xf numFmtId="0" fontId="2" fillId="0" borderId="4" xfId="11" applyBorder="1" applyAlignment="1">
      <alignment horizontal="center" vertical="center"/>
    </xf>
    <xf numFmtId="0" fontId="2" fillId="0" borderId="5" xfId="11" applyBorder="1" applyAlignment="1">
      <alignment horizontal="center" vertical="center"/>
    </xf>
    <xf numFmtId="167" fontId="6" fillId="0" borderId="3" xfId="29" applyNumberFormat="1" applyFont="1" applyFill="1" applyBorder="1" applyAlignment="1">
      <alignment horizontal="center" vertical="center"/>
    </xf>
    <xf numFmtId="167" fontId="6" fillId="0" borderId="2" xfId="29" applyNumberFormat="1" applyFont="1" applyFill="1" applyBorder="1" applyAlignment="1">
      <alignment horizontal="center" vertical="center"/>
    </xf>
    <xf numFmtId="0" fontId="34" fillId="0" borderId="10" xfId="12" applyFont="1" applyBorder="1" applyAlignment="1">
      <alignment horizontal="center" vertical="center"/>
    </xf>
    <xf numFmtId="1" fontId="6" fillId="0" borderId="4" xfId="12" applyNumberFormat="1" applyFont="1" applyBorder="1" applyAlignment="1">
      <alignment horizontal="center" vertical="center" wrapText="1"/>
    </xf>
    <xf numFmtId="1" fontId="6" fillId="0" borderId="5" xfId="12" applyNumberFormat="1" applyFont="1" applyBorder="1" applyAlignment="1">
      <alignment horizontal="center" vertical="center" wrapText="1"/>
    </xf>
    <xf numFmtId="0" fontId="6" fillId="0" borderId="4" xfId="12" applyFont="1" applyBorder="1" applyAlignment="1">
      <alignment horizontal="center" vertical="center"/>
    </xf>
    <xf numFmtId="0" fontId="6" fillId="0" borderId="5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/>
    </xf>
    <xf numFmtId="0" fontId="6" fillId="0" borderId="38" xfId="12" applyFont="1" applyBorder="1" applyAlignment="1">
      <alignment horizontal="center" vertical="center"/>
    </xf>
    <xf numFmtId="0" fontId="6" fillId="0" borderId="7" xfId="12" applyFont="1" applyBorder="1" applyAlignment="1">
      <alignment horizontal="center" vertical="center"/>
    </xf>
    <xf numFmtId="0" fontId="6" fillId="0" borderId="8" xfId="12" applyFont="1" applyBorder="1" applyAlignment="1">
      <alignment horizontal="center" vertical="center"/>
    </xf>
    <xf numFmtId="0" fontId="6" fillId="0" borderId="10" xfId="12" applyFont="1" applyBorder="1" applyAlignment="1">
      <alignment horizontal="center" vertical="center"/>
    </xf>
    <xf numFmtId="0" fontId="6" fillId="0" borderId="9" xfId="12" applyFont="1" applyBorder="1" applyAlignment="1">
      <alignment horizontal="center" vertical="center"/>
    </xf>
    <xf numFmtId="0" fontId="6" fillId="0" borderId="3" xfId="12" applyFont="1" applyBorder="1" applyAlignment="1">
      <alignment horizontal="center" vertical="center"/>
    </xf>
    <xf numFmtId="0" fontId="6" fillId="0" borderId="11" xfId="12" applyFont="1" applyBorder="1" applyAlignment="1">
      <alignment horizontal="center" vertical="center"/>
    </xf>
    <xf numFmtId="0" fontId="6" fillId="0" borderId="2" xfId="12" applyFont="1" applyBorder="1" applyAlignment="1">
      <alignment horizontal="center" vertical="center"/>
    </xf>
    <xf numFmtId="0" fontId="6" fillId="0" borderId="6" xfId="12" applyFont="1" applyBorder="1" applyAlignment="1">
      <alignment horizontal="center" vertical="center" wrapText="1"/>
    </xf>
    <xf numFmtId="0" fontId="6" fillId="0" borderId="7" xfId="12" applyFont="1" applyBorder="1" applyAlignment="1">
      <alignment horizontal="center" vertical="center" wrapText="1"/>
    </xf>
    <xf numFmtId="0" fontId="6" fillId="0" borderId="8" xfId="12" applyFont="1" applyBorder="1" applyAlignment="1">
      <alignment horizontal="center" vertical="center" wrapText="1"/>
    </xf>
    <xf numFmtId="0" fontId="6" fillId="0" borderId="9" xfId="12" applyFont="1" applyBorder="1" applyAlignment="1">
      <alignment horizontal="center" vertical="center" wrapText="1"/>
    </xf>
    <xf numFmtId="2" fontId="6" fillId="0" borderId="3" xfId="12" applyNumberFormat="1" applyFont="1" applyBorder="1" applyAlignment="1">
      <alignment horizontal="center" vertical="center" wrapText="1"/>
    </xf>
    <xf numFmtId="2" fontId="6" fillId="0" borderId="2" xfId="12" applyNumberFormat="1" applyFont="1" applyBorder="1" applyAlignment="1">
      <alignment horizontal="center" vertical="center" wrapText="1"/>
    </xf>
    <xf numFmtId="0" fontId="31" fillId="0" borderId="3" xfId="47" applyFont="1" applyBorder="1" applyAlignment="1">
      <alignment horizontal="center" vertical="center"/>
    </xf>
    <xf numFmtId="0" fontId="31" fillId="0" borderId="2" xfId="47" applyFont="1" applyBorder="1" applyAlignment="1">
      <alignment horizontal="center" vertical="center"/>
    </xf>
    <xf numFmtId="3" fontId="18" fillId="0" borderId="1" xfId="0" applyNumberFormat="1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</cellXfs>
  <cellStyles count="55">
    <cellStyle name="Comma" xfId="33" builtinId="3"/>
    <cellStyle name="Comma 10" xfId="36" xr:uid="{00000000-0005-0000-0000-000001000000}"/>
    <cellStyle name="Comma 11" xfId="37" xr:uid="{00000000-0005-0000-0000-000002000000}"/>
    <cellStyle name="Comma 11 2 8" xfId="4" xr:uid="{00000000-0005-0000-0000-000003000000}"/>
    <cellStyle name="Comma 12" xfId="38" xr:uid="{00000000-0005-0000-0000-000004000000}"/>
    <cellStyle name="Comma 13" xfId="51" xr:uid="{00000000-0005-0000-0000-000005000000}"/>
    <cellStyle name="Comma 2" xfId="2" xr:uid="{00000000-0005-0000-0000-000006000000}"/>
    <cellStyle name="Comma 2 2" xfId="5" xr:uid="{00000000-0005-0000-0000-000007000000}"/>
    <cellStyle name="Comma 2 2 11 2" xfId="6" xr:uid="{00000000-0005-0000-0000-000008000000}"/>
    <cellStyle name="Comma 2 2 2" xfId="29" xr:uid="{00000000-0005-0000-0000-000009000000}"/>
    <cellStyle name="Comma 2 3" xfId="34" xr:uid="{00000000-0005-0000-0000-00000A000000}"/>
    <cellStyle name="Comma 3" xfId="7" xr:uid="{00000000-0005-0000-0000-00000B000000}"/>
    <cellStyle name="Comma 3 2" xfId="27" xr:uid="{00000000-0005-0000-0000-00000C000000}"/>
    <cellStyle name="Comma 4" xfId="8" xr:uid="{00000000-0005-0000-0000-00000D000000}"/>
    <cellStyle name="Comma 4 2" xfId="30" xr:uid="{00000000-0005-0000-0000-00000E000000}"/>
    <cellStyle name="Comma 5" xfId="9" xr:uid="{00000000-0005-0000-0000-00000F000000}"/>
    <cellStyle name="Comma 6" xfId="10" xr:uid="{00000000-0005-0000-0000-000010000000}"/>
    <cellStyle name="Comma 6 2" xfId="31" xr:uid="{00000000-0005-0000-0000-000011000000}"/>
    <cellStyle name="Comma 6 3" xfId="52" xr:uid="{00000000-0005-0000-0000-000012000000}"/>
    <cellStyle name="Comma 7" xfId="26" xr:uid="{00000000-0005-0000-0000-000013000000}"/>
    <cellStyle name="Comma 7 2" xfId="48" xr:uid="{00000000-0005-0000-0000-000014000000}"/>
    <cellStyle name="Comma 8" xfId="39" xr:uid="{00000000-0005-0000-0000-000015000000}"/>
    <cellStyle name="Comma 9" xfId="40" xr:uid="{00000000-0005-0000-0000-000016000000}"/>
    <cellStyle name="Currency" xfId="32" builtinId="4"/>
    <cellStyle name="Normal" xfId="0" builtinId="0"/>
    <cellStyle name="Normal 10" xfId="11" xr:uid="{00000000-0005-0000-0000-000019000000}"/>
    <cellStyle name="Normal 11" xfId="41" xr:uid="{00000000-0005-0000-0000-00001A000000}"/>
    <cellStyle name="Normal 12" xfId="42" xr:uid="{00000000-0005-0000-0000-00001B000000}"/>
    <cellStyle name="Normal 13" xfId="50" xr:uid="{00000000-0005-0000-0000-00001C000000}"/>
    <cellStyle name="Normal 2" xfId="3" xr:uid="{00000000-0005-0000-0000-00001D000000}"/>
    <cellStyle name="Normal 2 10" xfId="12" xr:uid="{00000000-0005-0000-0000-00001E000000}"/>
    <cellStyle name="Normal 2 2" xfId="13" xr:uid="{00000000-0005-0000-0000-00001F000000}"/>
    <cellStyle name="Normal 2 2 2" xfId="14" xr:uid="{00000000-0005-0000-0000-000020000000}"/>
    <cellStyle name="Normal 2 2 3" xfId="43" xr:uid="{00000000-0005-0000-0000-000021000000}"/>
    <cellStyle name="Normal 2 2 4" xfId="44" xr:uid="{00000000-0005-0000-0000-000022000000}"/>
    <cellStyle name="Normal 2 3" xfId="35" xr:uid="{00000000-0005-0000-0000-000023000000}"/>
    <cellStyle name="Normal 2 4" xfId="54" xr:uid="{A7575221-7484-42DC-A452-EAA9131EF4F3}"/>
    <cellStyle name="Normal 3" xfId="15" xr:uid="{00000000-0005-0000-0000-000024000000}"/>
    <cellStyle name="Normal 3 2" xfId="16" xr:uid="{00000000-0005-0000-0000-000025000000}"/>
    <cellStyle name="Normal 4" xfId="17" xr:uid="{00000000-0005-0000-0000-000026000000}"/>
    <cellStyle name="Normal 5" xfId="1" xr:uid="{00000000-0005-0000-0000-000027000000}"/>
    <cellStyle name="Normal 6" xfId="18" xr:uid="{00000000-0005-0000-0000-000028000000}"/>
    <cellStyle name="Normal 6 2" xfId="49" xr:uid="{00000000-0005-0000-0000-000029000000}"/>
    <cellStyle name="Normal 6 2 3" xfId="19" xr:uid="{00000000-0005-0000-0000-00002A000000}"/>
    <cellStyle name="Normal 7" xfId="45" xr:uid="{00000000-0005-0000-0000-00002B000000}"/>
    <cellStyle name="Normal 8" xfId="46" xr:uid="{00000000-0005-0000-0000-00002C000000}"/>
    <cellStyle name="Normal 9" xfId="47" xr:uid="{00000000-0005-0000-0000-00002D000000}"/>
    <cellStyle name="Percent" xfId="53" builtinId="5"/>
    <cellStyle name="Percent 2" xfId="20" xr:uid="{00000000-0005-0000-0000-00002E000000}"/>
    <cellStyle name="Percent 3" xfId="21" xr:uid="{00000000-0005-0000-0000-00002F000000}"/>
    <cellStyle name="Percent 4" xfId="28" xr:uid="{00000000-0005-0000-0000-000030000000}"/>
    <cellStyle name="Total 2" xfId="22" xr:uid="{00000000-0005-0000-0000-000031000000}"/>
    <cellStyle name="เครื่องหมายจุลภาค 2 2 2" xfId="23" xr:uid="{00000000-0005-0000-0000-000032000000}"/>
    <cellStyle name="เครื่องหมายจุลภาค_BOQ JA" xfId="24" xr:uid="{00000000-0005-0000-0000-000033000000}"/>
    <cellStyle name="ปกติ_membare-fang" xfId="25" xr:uid="{00000000-0005-0000-0000-000034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8791575" y="76628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20</xdr:row>
      <xdr:rowOff>0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>
          <a:off x="8791575" y="12906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31</xdr:row>
      <xdr:rowOff>0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8648700" y="7419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 txBox="1"/>
      </xdr:nvSpPr>
      <xdr:spPr>
        <a:xfrm>
          <a:off x="8648700" y="1770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40</xdr:row>
      <xdr:rowOff>0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648700" y="17935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 txBox="1"/>
      </xdr:nvSpPr>
      <xdr:spPr>
        <a:xfrm>
          <a:off x="8648700" y="282225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 txBox="1"/>
      </xdr:nvSpPr>
      <xdr:spPr>
        <a:xfrm>
          <a:off x="8648700" y="284511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 txBox="1"/>
      </xdr:nvSpPr>
      <xdr:spPr>
        <a:xfrm>
          <a:off x="8648700" y="56578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477</xdr:row>
      <xdr:rowOff>0</xdr:rowOff>
    </xdr:from>
    <xdr:ext cx="65" cy="172227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8648700" y="492633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529</xdr:row>
      <xdr:rowOff>0</xdr:rowOff>
    </xdr:from>
    <xdr:ext cx="65" cy="172227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8648700" y="57035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551</xdr:row>
      <xdr:rowOff>0</xdr:rowOff>
    </xdr:from>
    <xdr:ext cx="65" cy="172227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 txBox="1"/>
      </xdr:nvSpPr>
      <xdr:spPr>
        <a:xfrm>
          <a:off x="8648700" y="64579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 txBox="1"/>
      </xdr:nvSpPr>
      <xdr:spPr>
        <a:xfrm>
          <a:off x="8648700" y="497205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500-00002B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00000000-0008-0000-0500-00002C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00000000-0008-0000-0500-00002D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 txBox="1"/>
      </xdr:nvSpPr>
      <xdr:spPr>
        <a:xfrm>
          <a:off x="8648700" y="574929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1366</xdr:row>
      <xdr:rowOff>0</xdr:rowOff>
    </xdr:from>
    <xdr:ext cx="65" cy="172227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 txBox="1"/>
      </xdr:nvSpPr>
      <xdr:spPr>
        <a:xfrm>
          <a:off x="8648700" y="65036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 txBox="1"/>
      </xdr:nvSpPr>
      <xdr:spPr>
        <a:xfrm>
          <a:off x="8648700" y="289083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 txBox="1"/>
      </xdr:nvSpPr>
      <xdr:spPr>
        <a:xfrm>
          <a:off x="8648700" y="2913697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 txBox="1"/>
      </xdr:nvSpPr>
      <xdr:spPr>
        <a:xfrm>
          <a:off x="8648700" y="847058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15</xdr:col>
      <xdr:colOff>0</xdr:colOff>
      <xdr:row>1497</xdr:row>
      <xdr:rowOff>0</xdr:rowOff>
    </xdr:from>
    <xdr:ext cx="65" cy="172227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 txBox="1"/>
      </xdr:nvSpPr>
      <xdr:spPr>
        <a:xfrm>
          <a:off x="8648700" y="849344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Ground%20Tank-1200Gal.xls" TargetMode="External"/><Relationship Id="rId1" Type="http://schemas.openxmlformats.org/officeDocument/2006/relationships/externalLinkPath" Target="/1.%20Creative%20Paradise-1.12.25/Septic%20Tank%20&amp;%20Ground%20Tank/Kannar-Ground%20Tank-1200G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1.%20Creative%20Paradise-1.12.25\Septic%20Tank%20&amp;%20Ground%20Tank\Kannar-Septic%20Tank-20%20Person.xls" TargetMode="External"/><Relationship Id="rId1" Type="http://schemas.openxmlformats.org/officeDocument/2006/relationships/externalLinkPath" Target="/1.%20Creative%20Paradise-1.12.25/Septic%20Tank%20&amp;%20Ground%20Tank/Kannar-Septic%20Tank-20%20Pers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TaungTwinGyi-Bored%20Pile%20-%2001-withoutroofto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Skeleton%20Only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.%20Creative%20Paradise-1.12.25/Aung%20Saytanar/Yanmyolone%20Estimate%20-%20Roofing%20Onl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KTZ(Grand%20Lotus)\Tender\(16-1)2%20Storeyed%20building%20(Prorector%20House),%20from%20Su%20Mya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3">
          <cell r="C13">
            <v>4900000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  <sheetName val="AC (2)"/>
    </sheetNames>
    <sheetDataSet>
      <sheetData sheetId="0">
        <row r="12">
          <cell r="C12">
            <v>3700000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 refreshError="1"/>
      <sheetData sheetId="1" refreshError="1">
        <row r="14">
          <cell r="C14">
            <v>257300000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(2)"/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/>
      <sheetData sheetId="1">
        <row r="6">
          <cell r="C6">
            <v>25062859.156158358</v>
          </cell>
        </row>
        <row r="7">
          <cell r="C7">
            <v>8989320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AC"/>
      <sheetName val="BQ"/>
      <sheetName val="BE"/>
      <sheetName val="Price"/>
      <sheetName val="Sheet2"/>
      <sheetName val="Sheet3"/>
      <sheetName val="Sheet4"/>
      <sheetName val="Sheet5"/>
      <sheetName val="Sheet1"/>
      <sheetName val="D Form"/>
      <sheetName val="BE Form"/>
      <sheetName val="Sheet8"/>
      <sheetName val="Sheet14"/>
      <sheetName val="Sheet12"/>
      <sheetName val="Sheet7"/>
      <sheetName val="Sheet9"/>
      <sheetName val="Sheet13"/>
      <sheetName val="Sheet6"/>
      <sheetName val="Sheet10"/>
      <sheetName val="Sheet11"/>
      <sheetName val="Detail"/>
      <sheetName val="RATE"/>
      <sheetName val="BQ2"/>
      <sheetName val="Rebar"/>
      <sheetName val="M&amp;L Rate"/>
    </sheetNames>
    <sheetDataSet>
      <sheetData sheetId="0">
        <row r="6">
          <cell r="C6">
            <v>7033793</v>
          </cell>
        </row>
        <row r="7">
          <cell r="C7">
            <v>2764790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Of Cost"/>
      <sheetName val="Summary (Civil)"/>
      <sheetName val="Abstract of Cost"/>
      <sheetName val="Bill of Quantity"/>
      <sheetName val="Builder Estimate"/>
      <sheetName val="Details of Measurement"/>
      <sheetName val="Price (Kalay)"/>
      <sheetName val="Summary(Apron)"/>
      <sheetName val="AC-Apron &amp; Drain"/>
      <sheetName val="BQ-Apron &amp; Drain"/>
      <sheetName val="BE-Apron &amp; Drain"/>
      <sheetName val="Measurement-Apron &amp; Drain"/>
      <sheetName val="Measurement-Septic Tank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B1" t="str">
            <v>Cement</v>
          </cell>
          <cell r="C1" t="str">
            <v>Bags</v>
          </cell>
          <cell r="D1">
            <v>5800</v>
          </cell>
        </row>
        <row r="2">
          <cell r="B2" t="str">
            <v xml:space="preserve">Brick( 8 Hole Brick ) </v>
          </cell>
          <cell r="C2" t="str">
            <v>Nos</v>
          </cell>
          <cell r="D2">
            <v>100</v>
          </cell>
        </row>
        <row r="3">
          <cell r="B3" t="str">
            <v>Sand</v>
          </cell>
          <cell r="C3" t="str">
            <v>Suds</v>
          </cell>
          <cell r="D3">
            <v>5500</v>
          </cell>
        </row>
        <row r="4">
          <cell r="B4" t="str">
            <v>Aggregate</v>
          </cell>
          <cell r="C4" t="str">
            <v>Suds</v>
          </cell>
          <cell r="D4">
            <v>21000</v>
          </cell>
        </row>
        <row r="5">
          <cell r="B5" t="str">
            <v>6" x 9" Stone</v>
          </cell>
          <cell r="C5" t="str">
            <v>Suds</v>
          </cell>
          <cell r="D5">
            <v>11000</v>
          </cell>
        </row>
        <row r="6">
          <cell r="B6" t="str">
            <v>0.3mm Thk; 4 Angle Plane Sheet (3' wide)</v>
          </cell>
          <cell r="C6" t="str">
            <v>Rft</v>
          </cell>
          <cell r="D6">
            <v>800</v>
          </cell>
        </row>
        <row r="7">
          <cell r="B7" t="str">
            <v xml:space="preserve">0.4mm Thk; 4 Angle Roofing Sheet </v>
          </cell>
          <cell r="C7" t="str">
            <v>Rft</v>
          </cell>
          <cell r="D7">
            <v>1365</v>
          </cell>
        </row>
        <row r="8">
          <cell r="B8" t="str">
            <v>12mm Thk; Base Plate  (12" x 12" )</v>
          </cell>
          <cell r="C8" t="str">
            <v>Sft</v>
          </cell>
          <cell r="D8">
            <v>9000</v>
          </cell>
        </row>
        <row r="9">
          <cell r="B9" t="str">
            <v>2' x 2' AC Sheet</v>
          </cell>
          <cell r="C9" t="str">
            <v>Sheet</v>
          </cell>
          <cell r="D9">
            <v>945</v>
          </cell>
        </row>
        <row r="10">
          <cell r="B10" t="str">
            <v>2"  Paint  Brush</v>
          </cell>
          <cell r="C10" t="str">
            <v>Nos</v>
          </cell>
          <cell r="D10">
            <v>400</v>
          </cell>
        </row>
        <row r="11">
          <cell r="B11" t="str">
            <v>4"  Paint  Brush</v>
          </cell>
          <cell r="C11" t="str">
            <v>Nos</v>
          </cell>
          <cell r="D11">
            <v>600</v>
          </cell>
        </row>
        <row r="12">
          <cell r="B12" t="str">
            <v>3"x1.5" C-Channel (2mm Thk;)</v>
          </cell>
          <cell r="C12" t="str">
            <v>Rft</v>
          </cell>
          <cell r="D12">
            <v>1000</v>
          </cell>
        </row>
        <row r="13">
          <cell r="B13" t="str">
            <v>4" x  2" C Channel (2mm Thk;)</v>
          </cell>
          <cell r="C13" t="str">
            <v>Rft</v>
          </cell>
          <cell r="D13">
            <v>1210</v>
          </cell>
        </row>
        <row r="14">
          <cell r="B14" t="str">
            <v>5/8"Ø Bolt &amp; Nuts 12"L</v>
          </cell>
          <cell r="C14" t="str">
            <v>Nos</v>
          </cell>
          <cell r="D14">
            <v>320</v>
          </cell>
        </row>
        <row r="15">
          <cell r="B15" t="str">
            <v>5-plywood ( 5 mm )</v>
          </cell>
          <cell r="C15" t="str">
            <v>Nos</v>
          </cell>
          <cell r="D15">
            <v>19000</v>
          </cell>
        </row>
        <row r="16">
          <cell r="B16" t="str">
            <v>5mm Clear Glass</v>
          </cell>
          <cell r="C16" t="str">
            <v>Sft</v>
          </cell>
          <cell r="D16">
            <v>650</v>
          </cell>
        </row>
        <row r="17">
          <cell r="B17" t="str">
            <v>6"  Hand  Rail</v>
          </cell>
          <cell r="C17" t="str">
            <v>Nos</v>
          </cell>
          <cell r="D17">
            <v>1500</v>
          </cell>
        </row>
        <row r="18">
          <cell r="B18" t="str">
            <v>6"  Towel  Bolt</v>
          </cell>
          <cell r="C18" t="str">
            <v>Nos</v>
          </cell>
          <cell r="D18">
            <v>165</v>
          </cell>
        </row>
        <row r="19">
          <cell r="B19" t="str">
            <v>4" Butt  Hinge</v>
          </cell>
          <cell r="C19" t="str">
            <v>Nos</v>
          </cell>
          <cell r="D19">
            <v>450</v>
          </cell>
        </row>
        <row r="20">
          <cell r="B20" t="str">
            <v>6"x6"  Gutter</v>
          </cell>
          <cell r="C20" t="str">
            <v>Rft</v>
          </cell>
          <cell r="D20">
            <v>2000</v>
          </cell>
        </row>
        <row r="21">
          <cell r="B21" t="str">
            <v>8" x 10" Tiles</v>
          </cell>
          <cell r="C21" t="str">
            <v>Nos</v>
          </cell>
          <cell r="D21">
            <v>420</v>
          </cell>
        </row>
        <row r="22">
          <cell r="B22" t="str">
            <v>8" x 8" Tiles</v>
          </cell>
          <cell r="C22" t="str">
            <v>Nos</v>
          </cell>
          <cell r="D22">
            <v>368</v>
          </cell>
        </row>
        <row r="23">
          <cell r="B23" t="str">
            <v>Bamboo</v>
          </cell>
          <cell r="C23" t="str">
            <v>Nos</v>
          </cell>
          <cell r="D23">
            <v>1200</v>
          </cell>
        </row>
        <row r="24">
          <cell r="B24" t="str">
            <v>Binding Wire</v>
          </cell>
          <cell r="C24" t="str">
            <v>Lbs</v>
          </cell>
          <cell r="D24">
            <v>1365</v>
          </cell>
        </row>
        <row r="25">
          <cell r="B25" t="str">
            <v>Coir  Yarn</v>
          </cell>
          <cell r="C25" t="str">
            <v>viss</v>
          </cell>
          <cell r="D25">
            <v>3000</v>
          </cell>
        </row>
        <row r="26">
          <cell r="B26" t="str">
            <v>Colour  Cement</v>
          </cell>
          <cell r="C26" t="str">
            <v>Lbs</v>
          </cell>
          <cell r="D26">
            <v>1200</v>
          </cell>
        </row>
        <row r="27">
          <cell r="B27" t="str">
            <v>Coal Tar</v>
          </cell>
          <cell r="C27" t="str">
            <v>Bottle</v>
          </cell>
          <cell r="D27">
            <v>1200</v>
          </cell>
        </row>
        <row r="28">
          <cell r="B28" t="str">
            <v>Emulsion Paint</v>
          </cell>
          <cell r="C28" t="str">
            <v>Gals</v>
          </cell>
          <cell r="D28">
            <v>9200</v>
          </cell>
        </row>
        <row r="29">
          <cell r="B29" t="str">
            <v>Enamel Paint</v>
          </cell>
          <cell r="C29" t="str">
            <v>Gals</v>
          </cell>
          <cell r="D29">
            <v>15000</v>
          </cell>
        </row>
        <row r="30">
          <cell r="B30" t="str">
            <v>Fuel</v>
          </cell>
          <cell r="C30" t="str">
            <v>Gals</v>
          </cell>
          <cell r="D30">
            <v>4500</v>
          </cell>
        </row>
        <row r="31">
          <cell r="B31" t="str">
            <v>Glass Box</v>
          </cell>
          <cell r="C31" t="str">
            <v>Nos</v>
          </cell>
          <cell r="D31">
            <v>2300</v>
          </cell>
        </row>
        <row r="32">
          <cell r="B32" t="str">
            <v>Hook &amp; Eye</v>
          </cell>
          <cell r="C32" t="str">
            <v>Nos</v>
          </cell>
          <cell r="D32">
            <v>130</v>
          </cell>
        </row>
        <row r="33">
          <cell r="B33" t="str">
            <v>Jungle Wood</v>
          </cell>
          <cell r="C33" t="str">
            <v>Ton</v>
          </cell>
          <cell r="D33">
            <v>680000</v>
          </cell>
        </row>
        <row r="34">
          <cell r="B34" t="str">
            <v>MS Bracket</v>
          </cell>
          <cell r="C34" t="str">
            <v>Nos</v>
          </cell>
          <cell r="D34">
            <v>280</v>
          </cell>
        </row>
        <row r="35">
          <cell r="B35" t="str">
            <v>Ø 10mm Deform Bar</v>
          </cell>
          <cell r="C35" t="str">
            <v>Ton</v>
          </cell>
          <cell r="D35">
            <v>546000</v>
          </cell>
        </row>
        <row r="36">
          <cell r="B36" t="str">
            <v>Ø 12mm Deform Bar</v>
          </cell>
          <cell r="C36" t="str">
            <v>Ton</v>
          </cell>
          <cell r="D36">
            <v>519000</v>
          </cell>
        </row>
        <row r="37">
          <cell r="B37" t="str">
            <v>Ø 16mm Deform Bar</v>
          </cell>
          <cell r="C37" t="str">
            <v>Ton</v>
          </cell>
          <cell r="D37">
            <v>535000</v>
          </cell>
        </row>
        <row r="38">
          <cell r="B38" t="str">
            <v>Ø 6.5mm Deform Bar</v>
          </cell>
          <cell r="C38" t="str">
            <v>Ton</v>
          </cell>
          <cell r="D38">
            <v>672000</v>
          </cell>
        </row>
        <row r="39">
          <cell r="B39" t="str">
            <v>Putty  (Walling)</v>
          </cell>
          <cell r="C39" t="str">
            <v>Gals</v>
          </cell>
          <cell r="D39">
            <v>4000</v>
          </cell>
        </row>
        <row r="40">
          <cell r="B40" t="str">
            <v>Putty  Trowel</v>
          </cell>
          <cell r="C40" t="str">
            <v>Nos</v>
          </cell>
          <cell r="D40">
            <v>250</v>
          </cell>
        </row>
        <row r="41">
          <cell r="B41" t="str">
            <v>Pyingado Planks</v>
          </cell>
          <cell r="C41" t="str">
            <v>Ton</v>
          </cell>
          <cell r="D41">
            <v>1029000</v>
          </cell>
        </row>
        <row r="42">
          <cell r="B42" t="str">
            <v>Pyingadoo  Wood</v>
          </cell>
          <cell r="C42" t="str">
            <v>Ton</v>
          </cell>
          <cell r="D42">
            <v>1029000</v>
          </cell>
        </row>
        <row r="43">
          <cell r="B43" t="str">
            <v>Red Oxide</v>
          </cell>
          <cell r="C43" t="str">
            <v>Gals</v>
          </cell>
          <cell r="D43">
            <v>12000</v>
          </cell>
        </row>
        <row r="44">
          <cell r="B44" t="str">
            <v>Roller</v>
          </cell>
          <cell r="C44" t="str">
            <v>Nos</v>
          </cell>
          <cell r="D44">
            <v>900</v>
          </cell>
        </row>
        <row r="45">
          <cell r="B45" t="str">
            <v>Roofing Screw</v>
          </cell>
          <cell r="C45" t="str">
            <v>Nos</v>
          </cell>
          <cell r="D45">
            <v>47</v>
          </cell>
        </row>
        <row r="46">
          <cell r="B46" t="str">
            <v>Sand  Paper</v>
          </cell>
          <cell r="C46" t="str">
            <v>Dz</v>
          </cell>
          <cell r="D46">
            <v>2500</v>
          </cell>
        </row>
        <row r="47">
          <cell r="B47" t="str">
            <v>Screw</v>
          </cell>
          <cell r="C47" t="str">
            <v>Dz</v>
          </cell>
          <cell r="D47">
            <v>150</v>
          </cell>
        </row>
        <row r="48">
          <cell r="B48" t="str">
            <v>Turpentine</v>
          </cell>
          <cell r="C48" t="str">
            <v>Gals</v>
          </cell>
          <cell r="D48">
            <v>5900</v>
          </cell>
        </row>
        <row r="49">
          <cell r="B49" t="str">
            <v>Ready Made Window Leaf</v>
          </cell>
          <cell r="C49" t="str">
            <v>Sft</v>
          </cell>
          <cell r="D49">
            <v>9600</v>
          </cell>
        </row>
        <row r="50">
          <cell r="B50" t="str">
            <v>Ready Made Door Leaf</v>
          </cell>
          <cell r="C50" t="str">
            <v>Sft</v>
          </cell>
          <cell r="D50">
            <v>5280</v>
          </cell>
        </row>
        <row r="51">
          <cell r="B51" t="str">
            <v>Wire Nail</v>
          </cell>
          <cell r="C51" t="str">
            <v>Viss</v>
          </cell>
          <cell r="D51">
            <v>1575</v>
          </cell>
        </row>
        <row r="52">
          <cell r="B52" t="str">
            <v>Wood Screw</v>
          </cell>
          <cell r="C52" t="str">
            <v>Lbs</v>
          </cell>
          <cell r="D52">
            <v>1000</v>
          </cell>
        </row>
        <row r="53">
          <cell r="B53" t="str">
            <v>Iron Grill Work ( M + L )</v>
          </cell>
          <cell r="C53" t="str">
            <v>Sft</v>
          </cell>
          <cell r="D53">
            <v>2500</v>
          </cell>
        </row>
        <row r="54">
          <cell r="B54" t="str">
            <v>Labour  (Structure  Of  Roof)</v>
          </cell>
          <cell r="C54" t="str">
            <v>Sft</v>
          </cell>
          <cell r="D54">
            <v>5000</v>
          </cell>
        </row>
        <row r="55">
          <cell r="B55" t="str">
            <v>Stainless Steel Handrail Work ( M + L )</v>
          </cell>
          <cell r="C55" t="str">
            <v>Sft</v>
          </cell>
          <cell r="D55">
            <v>29700</v>
          </cell>
        </row>
        <row r="56">
          <cell r="B56" t="str">
            <v>X-met (2-1/2" Wide)</v>
          </cell>
          <cell r="C56" t="str">
            <v>Rft</v>
          </cell>
          <cell r="D56">
            <v>50</v>
          </cell>
        </row>
        <row r="58">
          <cell r="B58" t="str">
            <v>Carpenter</v>
          </cell>
          <cell r="C58" t="str">
            <v>Nos</v>
          </cell>
          <cell r="D58">
            <v>7000</v>
          </cell>
        </row>
        <row r="59">
          <cell r="B59" t="str">
            <v>Mason</v>
          </cell>
          <cell r="C59" t="str">
            <v>Nos</v>
          </cell>
          <cell r="D59">
            <v>7000</v>
          </cell>
        </row>
        <row r="60">
          <cell r="B60" t="str">
            <v>Steel Fixer</v>
          </cell>
          <cell r="C60" t="str">
            <v>Nos</v>
          </cell>
          <cell r="D60">
            <v>7000</v>
          </cell>
        </row>
        <row r="61">
          <cell r="B61" t="str">
            <v>Smith</v>
          </cell>
          <cell r="C61" t="str">
            <v>Nos</v>
          </cell>
          <cell r="D61">
            <v>7000</v>
          </cell>
        </row>
        <row r="62">
          <cell r="B62" t="str">
            <v>Painter</v>
          </cell>
          <cell r="C62" t="str">
            <v>Nos</v>
          </cell>
          <cell r="D62">
            <v>7000</v>
          </cell>
        </row>
        <row r="63">
          <cell r="B63" t="str">
            <v>Machine Driver</v>
          </cell>
          <cell r="C63" t="str">
            <v>Nos</v>
          </cell>
          <cell r="D63">
            <v>7000</v>
          </cell>
        </row>
        <row r="64">
          <cell r="B64" t="str">
            <v>Worker</v>
          </cell>
          <cell r="C64" t="str">
            <v>Nos</v>
          </cell>
          <cell r="D64">
            <v>6000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J95"/>
  <sheetViews>
    <sheetView view="pageBreakPreview" zoomScale="107" zoomScaleNormal="100" zoomScaleSheetLayoutView="107" workbookViewId="0">
      <selection activeCell="C7" sqref="C7"/>
    </sheetView>
  </sheetViews>
  <sheetFormatPr defaultColWidth="9.33203125" defaultRowHeight="13.8"/>
  <cols>
    <col min="1" max="1" width="7" style="1049" customWidth="1"/>
    <col min="2" max="2" width="35.33203125" style="1081" customWidth="1"/>
    <col min="3" max="3" width="28.109375" style="1080" customWidth="1"/>
    <col min="4" max="4" width="21.77734375" style="1049" customWidth="1"/>
    <col min="5" max="5" width="9.33203125" style="1049"/>
    <col min="6" max="6" width="27.44140625" style="1049" bestFit="1" customWidth="1"/>
    <col min="7" max="7" width="12" style="1049" bestFit="1" customWidth="1"/>
    <col min="8" max="9" width="9.33203125" style="1049"/>
    <col min="10" max="10" width="12.88671875" style="1049" bestFit="1" customWidth="1"/>
    <col min="11" max="256" width="9.33203125" style="1049"/>
    <col min="257" max="257" width="7" style="1049" customWidth="1"/>
    <col min="258" max="258" width="35.33203125" style="1049" customWidth="1"/>
    <col min="259" max="259" width="28.109375" style="1049" customWidth="1"/>
    <col min="260" max="260" width="21.77734375" style="1049" customWidth="1"/>
    <col min="261" max="261" width="9.33203125" style="1049"/>
    <col min="262" max="262" width="27.44140625" style="1049" bestFit="1" customWidth="1"/>
    <col min="263" max="512" width="9.33203125" style="1049"/>
    <col min="513" max="513" width="7" style="1049" customWidth="1"/>
    <col min="514" max="514" width="35.33203125" style="1049" customWidth="1"/>
    <col min="515" max="515" width="28.109375" style="1049" customWidth="1"/>
    <col min="516" max="516" width="21.77734375" style="1049" customWidth="1"/>
    <col min="517" max="517" width="9.33203125" style="1049"/>
    <col min="518" max="518" width="27.44140625" style="1049" bestFit="1" customWidth="1"/>
    <col min="519" max="768" width="9.33203125" style="1049"/>
    <col min="769" max="769" width="7" style="1049" customWidth="1"/>
    <col min="770" max="770" width="35.33203125" style="1049" customWidth="1"/>
    <col min="771" max="771" width="28.109375" style="1049" customWidth="1"/>
    <col min="772" max="772" width="21.77734375" style="1049" customWidth="1"/>
    <col min="773" max="773" width="9.33203125" style="1049"/>
    <col min="774" max="774" width="27.44140625" style="1049" bestFit="1" customWidth="1"/>
    <col min="775" max="1024" width="9.33203125" style="1049"/>
    <col min="1025" max="1025" width="7" style="1049" customWidth="1"/>
    <col min="1026" max="1026" width="35.33203125" style="1049" customWidth="1"/>
    <col min="1027" max="1027" width="28.109375" style="1049" customWidth="1"/>
    <col min="1028" max="1028" width="21.77734375" style="1049" customWidth="1"/>
    <col min="1029" max="1029" width="9.33203125" style="1049"/>
    <col min="1030" max="1030" width="27.44140625" style="1049" bestFit="1" customWidth="1"/>
    <col min="1031" max="1280" width="9.33203125" style="1049"/>
    <col min="1281" max="1281" width="7" style="1049" customWidth="1"/>
    <col min="1282" max="1282" width="35.33203125" style="1049" customWidth="1"/>
    <col min="1283" max="1283" width="28.109375" style="1049" customWidth="1"/>
    <col min="1284" max="1284" width="21.77734375" style="1049" customWidth="1"/>
    <col min="1285" max="1285" width="9.33203125" style="1049"/>
    <col min="1286" max="1286" width="27.44140625" style="1049" bestFit="1" customWidth="1"/>
    <col min="1287" max="1536" width="9.33203125" style="1049"/>
    <col min="1537" max="1537" width="7" style="1049" customWidth="1"/>
    <col min="1538" max="1538" width="35.33203125" style="1049" customWidth="1"/>
    <col min="1539" max="1539" width="28.109375" style="1049" customWidth="1"/>
    <col min="1540" max="1540" width="21.77734375" style="1049" customWidth="1"/>
    <col min="1541" max="1541" width="9.33203125" style="1049"/>
    <col min="1542" max="1542" width="27.44140625" style="1049" bestFit="1" customWidth="1"/>
    <col min="1543" max="1792" width="9.33203125" style="1049"/>
    <col min="1793" max="1793" width="7" style="1049" customWidth="1"/>
    <col min="1794" max="1794" width="35.33203125" style="1049" customWidth="1"/>
    <col min="1795" max="1795" width="28.109375" style="1049" customWidth="1"/>
    <col min="1796" max="1796" width="21.77734375" style="1049" customWidth="1"/>
    <col min="1797" max="1797" width="9.33203125" style="1049"/>
    <col min="1798" max="1798" width="27.44140625" style="1049" bestFit="1" customWidth="1"/>
    <col min="1799" max="2048" width="9.33203125" style="1049"/>
    <col min="2049" max="2049" width="7" style="1049" customWidth="1"/>
    <col min="2050" max="2050" width="35.33203125" style="1049" customWidth="1"/>
    <col min="2051" max="2051" width="28.109375" style="1049" customWidth="1"/>
    <col min="2052" max="2052" width="21.77734375" style="1049" customWidth="1"/>
    <col min="2053" max="2053" width="9.33203125" style="1049"/>
    <col min="2054" max="2054" width="27.44140625" style="1049" bestFit="1" customWidth="1"/>
    <col min="2055" max="2304" width="9.33203125" style="1049"/>
    <col min="2305" max="2305" width="7" style="1049" customWidth="1"/>
    <col min="2306" max="2306" width="35.33203125" style="1049" customWidth="1"/>
    <col min="2307" max="2307" width="28.109375" style="1049" customWidth="1"/>
    <col min="2308" max="2308" width="21.77734375" style="1049" customWidth="1"/>
    <col min="2309" max="2309" width="9.33203125" style="1049"/>
    <col min="2310" max="2310" width="27.44140625" style="1049" bestFit="1" customWidth="1"/>
    <col min="2311" max="2560" width="9.33203125" style="1049"/>
    <col min="2561" max="2561" width="7" style="1049" customWidth="1"/>
    <col min="2562" max="2562" width="35.33203125" style="1049" customWidth="1"/>
    <col min="2563" max="2563" width="28.109375" style="1049" customWidth="1"/>
    <col min="2564" max="2564" width="21.77734375" style="1049" customWidth="1"/>
    <col min="2565" max="2565" width="9.33203125" style="1049"/>
    <col min="2566" max="2566" width="27.44140625" style="1049" bestFit="1" customWidth="1"/>
    <col min="2567" max="2816" width="9.33203125" style="1049"/>
    <col min="2817" max="2817" width="7" style="1049" customWidth="1"/>
    <col min="2818" max="2818" width="35.33203125" style="1049" customWidth="1"/>
    <col min="2819" max="2819" width="28.109375" style="1049" customWidth="1"/>
    <col min="2820" max="2820" width="21.77734375" style="1049" customWidth="1"/>
    <col min="2821" max="2821" width="9.33203125" style="1049"/>
    <col min="2822" max="2822" width="27.44140625" style="1049" bestFit="1" customWidth="1"/>
    <col min="2823" max="3072" width="9.33203125" style="1049"/>
    <col min="3073" max="3073" width="7" style="1049" customWidth="1"/>
    <col min="3074" max="3074" width="35.33203125" style="1049" customWidth="1"/>
    <col min="3075" max="3075" width="28.109375" style="1049" customWidth="1"/>
    <col min="3076" max="3076" width="21.77734375" style="1049" customWidth="1"/>
    <col min="3077" max="3077" width="9.33203125" style="1049"/>
    <col min="3078" max="3078" width="27.44140625" style="1049" bestFit="1" customWidth="1"/>
    <col min="3079" max="3328" width="9.33203125" style="1049"/>
    <col min="3329" max="3329" width="7" style="1049" customWidth="1"/>
    <col min="3330" max="3330" width="35.33203125" style="1049" customWidth="1"/>
    <col min="3331" max="3331" width="28.109375" style="1049" customWidth="1"/>
    <col min="3332" max="3332" width="21.77734375" style="1049" customWidth="1"/>
    <col min="3333" max="3333" width="9.33203125" style="1049"/>
    <col min="3334" max="3334" width="27.44140625" style="1049" bestFit="1" customWidth="1"/>
    <col min="3335" max="3584" width="9.33203125" style="1049"/>
    <col min="3585" max="3585" width="7" style="1049" customWidth="1"/>
    <col min="3586" max="3586" width="35.33203125" style="1049" customWidth="1"/>
    <col min="3587" max="3587" width="28.109375" style="1049" customWidth="1"/>
    <col min="3588" max="3588" width="21.77734375" style="1049" customWidth="1"/>
    <col min="3589" max="3589" width="9.33203125" style="1049"/>
    <col min="3590" max="3590" width="27.44140625" style="1049" bestFit="1" customWidth="1"/>
    <col min="3591" max="3840" width="9.33203125" style="1049"/>
    <col min="3841" max="3841" width="7" style="1049" customWidth="1"/>
    <col min="3842" max="3842" width="35.33203125" style="1049" customWidth="1"/>
    <col min="3843" max="3843" width="28.109375" style="1049" customWidth="1"/>
    <col min="3844" max="3844" width="21.77734375" style="1049" customWidth="1"/>
    <col min="3845" max="3845" width="9.33203125" style="1049"/>
    <col min="3846" max="3846" width="27.44140625" style="1049" bestFit="1" customWidth="1"/>
    <col min="3847" max="4096" width="9.33203125" style="1049"/>
    <col min="4097" max="4097" width="7" style="1049" customWidth="1"/>
    <col min="4098" max="4098" width="35.33203125" style="1049" customWidth="1"/>
    <col min="4099" max="4099" width="28.109375" style="1049" customWidth="1"/>
    <col min="4100" max="4100" width="21.77734375" style="1049" customWidth="1"/>
    <col min="4101" max="4101" width="9.33203125" style="1049"/>
    <col min="4102" max="4102" width="27.44140625" style="1049" bestFit="1" customWidth="1"/>
    <col min="4103" max="4352" width="9.33203125" style="1049"/>
    <col min="4353" max="4353" width="7" style="1049" customWidth="1"/>
    <col min="4354" max="4354" width="35.33203125" style="1049" customWidth="1"/>
    <col min="4355" max="4355" width="28.109375" style="1049" customWidth="1"/>
    <col min="4356" max="4356" width="21.77734375" style="1049" customWidth="1"/>
    <col min="4357" max="4357" width="9.33203125" style="1049"/>
    <col min="4358" max="4358" width="27.44140625" style="1049" bestFit="1" customWidth="1"/>
    <col min="4359" max="4608" width="9.33203125" style="1049"/>
    <col min="4609" max="4609" width="7" style="1049" customWidth="1"/>
    <col min="4610" max="4610" width="35.33203125" style="1049" customWidth="1"/>
    <col min="4611" max="4611" width="28.109375" style="1049" customWidth="1"/>
    <col min="4612" max="4612" width="21.77734375" style="1049" customWidth="1"/>
    <col min="4613" max="4613" width="9.33203125" style="1049"/>
    <col min="4614" max="4614" width="27.44140625" style="1049" bestFit="1" customWidth="1"/>
    <col min="4615" max="4864" width="9.33203125" style="1049"/>
    <col min="4865" max="4865" width="7" style="1049" customWidth="1"/>
    <col min="4866" max="4866" width="35.33203125" style="1049" customWidth="1"/>
    <col min="4867" max="4867" width="28.109375" style="1049" customWidth="1"/>
    <col min="4868" max="4868" width="21.77734375" style="1049" customWidth="1"/>
    <col min="4869" max="4869" width="9.33203125" style="1049"/>
    <col min="4870" max="4870" width="27.44140625" style="1049" bestFit="1" customWidth="1"/>
    <col min="4871" max="5120" width="9.33203125" style="1049"/>
    <col min="5121" max="5121" width="7" style="1049" customWidth="1"/>
    <col min="5122" max="5122" width="35.33203125" style="1049" customWidth="1"/>
    <col min="5123" max="5123" width="28.109375" style="1049" customWidth="1"/>
    <col min="5124" max="5124" width="21.77734375" style="1049" customWidth="1"/>
    <col min="5125" max="5125" width="9.33203125" style="1049"/>
    <col min="5126" max="5126" width="27.44140625" style="1049" bestFit="1" customWidth="1"/>
    <col min="5127" max="5376" width="9.33203125" style="1049"/>
    <col min="5377" max="5377" width="7" style="1049" customWidth="1"/>
    <col min="5378" max="5378" width="35.33203125" style="1049" customWidth="1"/>
    <col min="5379" max="5379" width="28.109375" style="1049" customWidth="1"/>
    <col min="5380" max="5380" width="21.77734375" style="1049" customWidth="1"/>
    <col min="5381" max="5381" width="9.33203125" style="1049"/>
    <col min="5382" max="5382" width="27.44140625" style="1049" bestFit="1" customWidth="1"/>
    <col min="5383" max="5632" width="9.33203125" style="1049"/>
    <col min="5633" max="5633" width="7" style="1049" customWidth="1"/>
    <col min="5634" max="5634" width="35.33203125" style="1049" customWidth="1"/>
    <col min="5635" max="5635" width="28.109375" style="1049" customWidth="1"/>
    <col min="5636" max="5636" width="21.77734375" style="1049" customWidth="1"/>
    <col min="5637" max="5637" width="9.33203125" style="1049"/>
    <col min="5638" max="5638" width="27.44140625" style="1049" bestFit="1" customWidth="1"/>
    <col min="5639" max="5888" width="9.33203125" style="1049"/>
    <col min="5889" max="5889" width="7" style="1049" customWidth="1"/>
    <col min="5890" max="5890" width="35.33203125" style="1049" customWidth="1"/>
    <col min="5891" max="5891" width="28.109375" style="1049" customWidth="1"/>
    <col min="5892" max="5892" width="21.77734375" style="1049" customWidth="1"/>
    <col min="5893" max="5893" width="9.33203125" style="1049"/>
    <col min="5894" max="5894" width="27.44140625" style="1049" bestFit="1" customWidth="1"/>
    <col min="5895" max="6144" width="9.33203125" style="1049"/>
    <col min="6145" max="6145" width="7" style="1049" customWidth="1"/>
    <col min="6146" max="6146" width="35.33203125" style="1049" customWidth="1"/>
    <col min="6147" max="6147" width="28.109375" style="1049" customWidth="1"/>
    <col min="6148" max="6148" width="21.77734375" style="1049" customWidth="1"/>
    <col min="6149" max="6149" width="9.33203125" style="1049"/>
    <col min="6150" max="6150" width="27.44140625" style="1049" bestFit="1" customWidth="1"/>
    <col min="6151" max="6400" width="9.33203125" style="1049"/>
    <col min="6401" max="6401" width="7" style="1049" customWidth="1"/>
    <col min="6402" max="6402" width="35.33203125" style="1049" customWidth="1"/>
    <col min="6403" max="6403" width="28.109375" style="1049" customWidth="1"/>
    <col min="6404" max="6404" width="21.77734375" style="1049" customWidth="1"/>
    <col min="6405" max="6405" width="9.33203125" style="1049"/>
    <col min="6406" max="6406" width="27.44140625" style="1049" bestFit="1" customWidth="1"/>
    <col min="6407" max="6656" width="9.33203125" style="1049"/>
    <col min="6657" max="6657" width="7" style="1049" customWidth="1"/>
    <col min="6658" max="6658" width="35.33203125" style="1049" customWidth="1"/>
    <col min="6659" max="6659" width="28.109375" style="1049" customWidth="1"/>
    <col min="6660" max="6660" width="21.77734375" style="1049" customWidth="1"/>
    <col min="6661" max="6661" width="9.33203125" style="1049"/>
    <col min="6662" max="6662" width="27.44140625" style="1049" bestFit="1" customWidth="1"/>
    <col min="6663" max="6912" width="9.33203125" style="1049"/>
    <col min="6913" max="6913" width="7" style="1049" customWidth="1"/>
    <col min="6914" max="6914" width="35.33203125" style="1049" customWidth="1"/>
    <col min="6915" max="6915" width="28.109375" style="1049" customWidth="1"/>
    <col min="6916" max="6916" width="21.77734375" style="1049" customWidth="1"/>
    <col min="6917" max="6917" width="9.33203125" style="1049"/>
    <col min="6918" max="6918" width="27.44140625" style="1049" bestFit="1" customWidth="1"/>
    <col min="6919" max="7168" width="9.33203125" style="1049"/>
    <col min="7169" max="7169" width="7" style="1049" customWidth="1"/>
    <col min="7170" max="7170" width="35.33203125" style="1049" customWidth="1"/>
    <col min="7171" max="7171" width="28.109375" style="1049" customWidth="1"/>
    <col min="7172" max="7172" width="21.77734375" style="1049" customWidth="1"/>
    <col min="7173" max="7173" width="9.33203125" style="1049"/>
    <col min="7174" max="7174" width="27.44140625" style="1049" bestFit="1" customWidth="1"/>
    <col min="7175" max="7424" width="9.33203125" style="1049"/>
    <col min="7425" max="7425" width="7" style="1049" customWidth="1"/>
    <col min="7426" max="7426" width="35.33203125" style="1049" customWidth="1"/>
    <col min="7427" max="7427" width="28.109375" style="1049" customWidth="1"/>
    <col min="7428" max="7428" width="21.77734375" style="1049" customWidth="1"/>
    <col min="7429" max="7429" width="9.33203125" style="1049"/>
    <col min="7430" max="7430" width="27.44140625" style="1049" bestFit="1" customWidth="1"/>
    <col min="7431" max="7680" width="9.33203125" style="1049"/>
    <col min="7681" max="7681" width="7" style="1049" customWidth="1"/>
    <col min="7682" max="7682" width="35.33203125" style="1049" customWidth="1"/>
    <col min="7683" max="7683" width="28.109375" style="1049" customWidth="1"/>
    <col min="7684" max="7684" width="21.77734375" style="1049" customWidth="1"/>
    <col min="7685" max="7685" width="9.33203125" style="1049"/>
    <col min="7686" max="7686" width="27.44140625" style="1049" bestFit="1" customWidth="1"/>
    <col min="7687" max="7936" width="9.33203125" style="1049"/>
    <col min="7937" max="7937" width="7" style="1049" customWidth="1"/>
    <col min="7938" max="7938" width="35.33203125" style="1049" customWidth="1"/>
    <col min="7939" max="7939" width="28.109375" style="1049" customWidth="1"/>
    <col min="7940" max="7940" width="21.77734375" style="1049" customWidth="1"/>
    <col min="7941" max="7941" width="9.33203125" style="1049"/>
    <col min="7942" max="7942" width="27.44140625" style="1049" bestFit="1" customWidth="1"/>
    <col min="7943" max="8192" width="9.33203125" style="1049"/>
    <col min="8193" max="8193" width="7" style="1049" customWidth="1"/>
    <col min="8194" max="8194" width="35.33203125" style="1049" customWidth="1"/>
    <col min="8195" max="8195" width="28.109375" style="1049" customWidth="1"/>
    <col min="8196" max="8196" width="21.77734375" style="1049" customWidth="1"/>
    <col min="8197" max="8197" width="9.33203125" style="1049"/>
    <col min="8198" max="8198" width="27.44140625" style="1049" bestFit="1" customWidth="1"/>
    <col min="8199" max="8448" width="9.33203125" style="1049"/>
    <col min="8449" max="8449" width="7" style="1049" customWidth="1"/>
    <col min="8450" max="8450" width="35.33203125" style="1049" customWidth="1"/>
    <col min="8451" max="8451" width="28.109375" style="1049" customWidth="1"/>
    <col min="8452" max="8452" width="21.77734375" style="1049" customWidth="1"/>
    <col min="8453" max="8453" width="9.33203125" style="1049"/>
    <col min="8454" max="8454" width="27.44140625" style="1049" bestFit="1" customWidth="1"/>
    <col min="8455" max="8704" width="9.33203125" style="1049"/>
    <col min="8705" max="8705" width="7" style="1049" customWidth="1"/>
    <col min="8706" max="8706" width="35.33203125" style="1049" customWidth="1"/>
    <col min="8707" max="8707" width="28.109375" style="1049" customWidth="1"/>
    <col min="8708" max="8708" width="21.77734375" style="1049" customWidth="1"/>
    <col min="8709" max="8709" width="9.33203125" style="1049"/>
    <col min="8710" max="8710" width="27.44140625" style="1049" bestFit="1" customWidth="1"/>
    <col min="8711" max="8960" width="9.33203125" style="1049"/>
    <col min="8961" max="8961" width="7" style="1049" customWidth="1"/>
    <col min="8962" max="8962" width="35.33203125" style="1049" customWidth="1"/>
    <col min="8963" max="8963" width="28.109375" style="1049" customWidth="1"/>
    <col min="8964" max="8964" width="21.77734375" style="1049" customWidth="1"/>
    <col min="8965" max="8965" width="9.33203125" style="1049"/>
    <col min="8966" max="8966" width="27.44140625" style="1049" bestFit="1" customWidth="1"/>
    <col min="8967" max="9216" width="9.33203125" style="1049"/>
    <col min="9217" max="9217" width="7" style="1049" customWidth="1"/>
    <col min="9218" max="9218" width="35.33203125" style="1049" customWidth="1"/>
    <col min="9219" max="9219" width="28.109375" style="1049" customWidth="1"/>
    <col min="9220" max="9220" width="21.77734375" style="1049" customWidth="1"/>
    <col min="9221" max="9221" width="9.33203125" style="1049"/>
    <col min="9222" max="9222" width="27.44140625" style="1049" bestFit="1" customWidth="1"/>
    <col min="9223" max="9472" width="9.33203125" style="1049"/>
    <col min="9473" max="9473" width="7" style="1049" customWidth="1"/>
    <col min="9474" max="9474" width="35.33203125" style="1049" customWidth="1"/>
    <col min="9475" max="9475" width="28.109375" style="1049" customWidth="1"/>
    <col min="9476" max="9476" width="21.77734375" style="1049" customWidth="1"/>
    <col min="9477" max="9477" width="9.33203125" style="1049"/>
    <col min="9478" max="9478" width="27.44140625" style="1049" bestFit="1" customWidth="1"/>
    <col min="9479" max="9728" width="9.33203125" style="1049"/>
    <col min="9729" max="9729" width="7" style="1049" customWidth="1"/>
    <col min="9730" max="9730" width="35.33203125" style="1049" customWidth="1"/>
    <col min="9731" max="9731" width="28.109375" style="1049" customWidth="1"/>
    <col min="9732" max="9732" width="21.77734375" style="1049" customWidth="1"/>
    <col min="9733" max="9733" width="9.33203125" style="1049"/>
    <col min="9734" max="9734" width="27.44140625" style="1049" bestFit="1" customWidth="1"/>
    <col min="9735" max="9984" width="9.33203125" style="1049"/>
    <col min="9985" max="9985" width="7" style="1049" customWidth="1"/>
    <col min="9986" max="9986" width="35.33203125" style="1049" customWidth="1"/>
    <col min="9987" max="9987" width="28.109375" style="1049" customWidth="1"/>
    <col min="9988" max="9988" width="21.77734375" style="1049" customWidth="1"/>
    <col min="9989" max="9989" width="9.33203125" style="1049"/>
    <col min="9990" max="9990" width="27.44140625" style="1049" bestFit="1" customWidth="1"/>
    <col min="9991" max="10240" width="9.33203125" style="1049"/>
    <col min="10241" max="10241" width="7" style="1049" customWidth="1"/>
    <col min="10242" max="10242" width="35.33203125" style="1049" customWidth="1"/>
    <col min="10243" max="10243" width="28.109375" style="1049" customWidth="1"/>
    <col min="10244" max="10244" width="21.77734375" style="1049" customWidth="1"/>
    <col min="10245" max="10245" width="9.33203125" style="1049"/>
    <col min="10246" max="10246" width="27.44140625" style="1049" bestFit="1" customWidth="1"/>
    <col min="10247" max="10496" width="9.33203125" style="1049"/>
    <col min="10497" max="10497" width="7" style="1049" customWidth="1"/>
    <col min="10498" max="10498" width="35.33203125" style="1049" customWidth="1"/>
    <col min="10499" max="10499" width="28.109375" style="1049" customWidth="1"/>
    <col min="10500" max="10500" width="21.77734375" style="1049" customWidth="1"/>
    <col min="10501" max="10501" width="9.33203125" style="1049"/>
    <col min="10502" max="10502" width="27.44140625" style="1049" bestFit="1" customWidth="1"/>
    <col min="10503" max="10752" width="9.33203125" style="1049"/>
    <col min="10753" max="10753" width="7" style="1049" customWidth="1"/>
    <col min="10754" max="10754" width="35.33203125" style="1049" customWidth="1"/>
    <col min="10755" max="10755" width="28.109375" style="1049" customWidth="1"/>
    <col min="10756" max="10756" width="21.77734375" style="1049" customWidth="1"/>
    <col min="10757" max="10757" width="9.33203125" style="1049"/>
    <col min="10758" max="10758" width="27.44140625" style="1049" bestFit="1" customWidth="1"/>
    <col min="10759" max="11008" width="9.33203125" style="1049"/>
    <col min="11009" max="11009" width="7" style="1049" customWidth="1"/>
    <col min="11010" max="11010" width="35.33203125" style="1049" customWidth="1"/>
    <col min="11011" max="11011" width="28.109375" style="1049" customWidth="1"/>
    <col min="11012" max="11012" width="21.77734375" style="1049" customWidth="1"/>
    <col min="11013" max="11013" width="9.33203125" style="1049"/>
    <col min="11014" max="11014" width="27.44140625" style="1049" bestFit="1" customWidth="1"/>
    <col min="11015" max="11264" width="9.33203125" style="1049"/>
    <col min="11265" max="11265" width="7" style="1049" customWidth="1"/>
    <col min="11266" max="11266" width="35.33203125" style="1049" customWidth="1"/>
    <col min="11267" max="11267" width="28.109375" style="1049" customWidth="1"/>
    <col min="11268" max="11268" width="21.77734375" style="1049" customWidth="1"/>
    <col min="11269" max="11269" width="9.33203125" style="1049"/>
    <col min="11270" max="11270" width="27.44140625" style="1049" bestFit="1" customWidth="1"/>
    <col min="11271" max="11520" width="9.33203125" style="1049"/>
    <col min="11521" max="11521" width="7" style="1049" customWidth="1"/>
    <col min="11522" max="11522" width="35.33203125" style="1049" customWidth="1"/>
    <col min="11523" max="11523" width="28.109375" style="1049" customWidth="1"/>
    <col min="11524" max="11524" width="21.77734375" style="1049" customWidth="1"/>
    <col min="11525" max="11525" width="9.33203125" style="1049"/>
    <col min="11526" max="11526" width="27.44140625" style="1049" bestFit="1" customWidth="1"/>
    <col min="11527" max="11776" width="9.33203125" style="1049"/>
    <col min="11777" max="11777" width="7" style="1049" customWidth="1"/>
    <col min="11778" max="11778" width="35.33203125" style="1049" customWidth="1"/>
    <col min="11779" max="11779" width="28.109375" style="1049" customWidth="1"/>
    <col min="11780" max="11780" width="21.77734375" style="1049" customWidth="1"/>
    <col min="11781" max="11781" width="9.33203125" style="1049"/>
    <col min="11782" max="11782" width="27.44140625" style="1049" bestFit="1" customWidth="1"/>
    <col min="11783" max="12032" width="9.33203125" style="1049"/>
    <col min="12033" max="12033" width="7" style="1049" customWidth="1"/>
    <col min="12034" max="12034" width="35.33203125" style="1049" customWidth="1"/>
    <col min="12035" max="12035" width="28.109375" style="1049" customWidth="1"/>
    <col min="12036" max="12036" width="21.77734375" style="1049" customWidth="1"/>
    <col min="12037" max="12037" width="9.33203125" style="1049"/>
    <col min="12038" max="12038" width="27.44140625" style="1049" bestFit="1" customWidth="1"/>
    <col min="12039" max="12288" width="9.33203125" style="1049"/>
    <col min="12289" max="12289" width="7" style="1049" customWidth="1"/>
    <col min="12290" max="12290" width="35.33203125" style="1049" customWidth="1"/>
    <col min="12291" max="12291" width="28.109375" style="1049" customWidth="1"/>
    <col min="12292" max="12292" width="21.77734375" style="1049" customWidth="1"/>
    <col min="12293" max="12293" width="9.33203125" style="1049"/>
    <col min="12294" max="12294" width="27.44140625" style="1049" bestFit="1" customWidth="1"/>
    <col min="12295" max="12544" width="9.33203125" style="1049"/>
    <col min="12545" max="12545" width="7" style="1049" customWidth="1"/>
    <col min="12546" max="12546" width="35.33203125" style="1049" customWidth="1"/>
    <col min="12547" max="12547" width="28.109375" style="1049" customWidth="1"/>
    <col min="12548" max="12548" width="21.77734375" style="1049" customWidth="1"/>
    <col min="12549" max="12549" width="9.33203125" style="1049"/>
    <col min="12550" max="12550" width="27.44140625" style="1049" bestFit="1" customWidth="1"/>
    <col min="12551" max="12800" width="9.33203125" style="1049"/>
    <col min="12801" max="12801" width="7" style="1049" customWidth="1"/>
    <col min="12802" max="12802" width="35.33203125" style="1049" customWidth="1"/>
    <col min="12803" max="12803" width="28.109375" style="1049" customWidth="1"/>
    <col min="12804" max="12804" width="21.77734375" style="1049" customWidth="1"/>
    <col min="12805" max="12805" width="9.33203125" style="1049"/>
    <col min="12806" max="12806" width="27.44140625" style="1049" bestFit="1" customWidth="1"/>
    <col min="12807" max="13056" width="9.33203125" style="1049"/>
    <col min="13057" max="13057" width="7" style="1049" customWidth="1"/>
    <col min="13058" max="13058" width="35.33203125" style="1049" customWidth="1"/>
    <col min="13059" max="13059" width="28.109375" style="1049" customWidth="1"/>
    <col min="13060" max="13060" width="21.77734375" style="1049" customWidth="1"/>
    <col min="13061" max="13061" width="9.33203125" style="1049"/>
    <col min="13062" max="13062" width="27.44140625" style="1049" bestFit="1" customWidth="1"/>
    <col min="13063" max="13312" width="9.33203125" style="1049"/>
    <col min="13313" max="13313" width="7" style="1049" customWidth="1"/>
    <col min="13314" max="13314" width="35.33203125" style="1049" customWidth="1"/>
    <col min="13315" max="13315" width="28.109375" style="1049" customWidth="1"/>
    <col min="13316" max="13316" width="21.77734375" style="1049" customWidth="1"/>
    <col min="13317" max="13317" width="9.33203125" style="1049"/>
    <col min="13318" max="13318" width="27.44140625" style="1049" bestFit="1" customWidth="1"/>
    <col min="13319" max="13568" width="9.33203125" style="1049"/>
    <col min="13569" max="13569" width="7" style="1049" customWidth="1"/>
    <col min="13570" max="13570" width="35.33203125" style="1049" customWidth="1"/>
    <col min="13571" max="13571" width="28.109375" style="1049" customWidth="1"/>
    <col min="13572" max="13572" width="21.77734375" style="1049" customWidth="1"/>
    <col min="13573" max="13573" width="9.33203125" style="1049"/>
    <col min="13574" max="13574" width="27.44140625" style="1049" bestFit="1" customWidth="1"/>
    <col min="13575" max="13824" width="9.33203125" style="1049"/>
    <col min="13825" max="13825" width="7" style="1049" customWidth="1"/>
    <col min="13826" max="13826" width="35.33203125" style="1049" customWidth="1"/>
    <col min="13827" max="13827" width="28.109375" style="1049" customWidth="1"/>
    <col min="13828" max="13828" width="21.77734375" style="1049" customWidth="1"/>
    <col min="13829" max="13829" width="9.33203125" style="1049"/>
    <col min="13830" max="13830" width="27.44140625" style="1049" bestFit="1" customWidth="1"/>
    <col min="13831" max="14080" width="9.33203125" style="1049"/>
    <col min="14081" max="14081" width="7" style="1049" customWidth="1"/>
    <col min="14082" max="14082" width="35.33203125" style="1049" customWidth="1"/>
    <col min="14083" max="14083" width="28.109375" style="1049" customWidth="1"/>
    <col min="14084" max="14084" width="21.77734375" style="1049" customWidth="1"/>
    <col min="14085" max="14085" width="9.33203125" style="1049"/>
    <col min="14086" max="14086" width="27.44140625" style="1049" bestFit="1" customWidth="1"/>
    <col min="14087" max="14336" width="9.33203125" style="1049"/>
    <col min="14337" max="14337" width="7" style="1049" customWidth="1"/>
    <col min="14338" max="14338" width="35.33203125" style="1049" customWidth="1"/>
    <col min="14339" max="14339" width="28.109375" style="1049" customWidth="1"/>
    <col min="14340" max="14340" width="21.77734375" style="1049" customWidth="1"/>
    <col min="14341" max="14341" width="9.33203125" style="1049"/>
    <col min="14342" max="14342" width="27.44140625" style="1049" bestFit="1" customWidth="1"/>
    <col min="14343" max="14592" width="9.33203125" style="1049"/>
    <col min="14593" max="14593" width="7" style="1049" customWidth="1"/>
    <col min="14594" max="14594" width="35.33203125" style="1049" customWidth="1"/>
    <col min="14595" max="14595" width="28.109375" style="1049" customWidth="1"/>
    <col min="14596" max="14596" width="21.77734375" style="1049" customWidth="1"/>
    <col min="14597" max="14597" width="9.33203125" style="1049"/>
    <col min="14598" max="14598" width="27.44140625" style="1049" bestFit="1" customWidth="1"/>
    <col min="14599" max="14848" width="9.33203125" style="1049"/>
    <col min="14849" max="14849" width="7" style="1049" customWidth="1"/>
    <col min="14850" max="14850" width="35.33203125" style="1049" customWidth="1"/>
    <col min="14851" max="14851" width="28.109375" style="1049" customWidth="1"/>
    <col min="14852" max="14852" width="21.77734375" style="1049" customWidth="1"/>
    <col min="14853" max="14853" width="9.33203125" style="1049"/>
    <col min="14854" max="14854" width="27.44140625" style="1049" bestFit="1" customWidth="1"/>
    <col min="14855" max="15104" width="9.33203125" style="1049"/>
    <col min="15105" max="15105" width="7" style="1049" customWidth="1"/>
    <col min="15106" max="15106" width="35.33203125" style="1049" customWidth="1"/>
    <col min="15107" max="15107" width="28.109375" style="1049" customWidth="1"/>
    <col min="15108" max="15108" width="21.77734375" style="1049" customWidth="1"/>
    <col min="15109" max="15109" width="9.33203125" style="1049"/>
    <col min="15110" max="15110" width="27.44140625" style="1049" bestFit="1" customWidth="1"/>
    <col min="15111" max="15360" width="9.33203125" style="1049"/>
    <col min="15361" max="15361" width="7" style="1049" customWidth="1"/>
    <col min="15362" max="15362" width="35.33203125" style="1049" customWidth="1"/>
    <col min="15363" max="15363" width="28.109375" style="1049" customWidth="1"/>
    <col min="15364" max="15364" width="21.77734375" style="1049" customWidth="1"/>
    <col min="15365" max="15365" width="9.33203125" style="1049"/>
    <col min="15366" max="15366" width="27.44140625" style="1049" bestFit="1" customWidth="1"/>
    <col min="15367" max="15616" width="9.33203125" style="1049"/>
    <col min="15617" max="15617" width="7" style="1049" customWidth="1"/>
    <col min="15618" max="15618" width="35.33203125" style="1049" customWidth="1"/>
    <col min="15619" max="15619" width="28.109375" style="1049" customWidth="1"/>
    <col min="15620" max="15620" width="21.77734375" style="1049" customWidth="1"/>
    <col min="15621" max="15621" width="9.33203125" style="1049"/>
    <col min="15622" max="15622" width="27.44140625" style="1049" bestFit="1" customWidth="1"/>
    <col min="15623" max="15872" width="9.33203125" style="1049"/>
    <col min="15873" max="15873" width="7" style="1049" customWidth="1"/>
    <col min="15874" max="15874" width="35.33203125" style="1049" customWidth="1"/>
    <col min="15875" max="15875" width="28.109375" style="1049" customWidth="1"/>
    <col min="15876" max="15876" width="21.77734375" style="1049" customWidth="1"/>
    <col min="15877" max="15877" width="9.33203125" style="1049"/>
    <col min="15878" max="15878" width="27.44140625" style="1049" bestFit="1" customWidth="1"/>
    <col min="15879" max="16128" width="9.33203125" style="1049"/>
    <col min="16129" max="16129" width="7" style="1049" customWidth="1"/>
    <col min="16130" max="16130" width="35.33203125" style="1049" customWidth="1"/>
    <col min="16131" max="16131" width="28.109375" style="1049" customWidth="1"/>
    <col min="16132" max="16132" width="21.77734375" style="1049" customWidth="1"/>
    <col min="16133" max="16133" width="9.33203125" style="1049"/>
    <col min="16134" max="16134" width="27.44140625" style="1049" bestFit="1" customWidth="1"/>
    <col min="16135" max="16384" width="9.33203125" style="1049"/>
  </cols>
  <sheetData>
    <row r="1" spans="1:10" s="1046" customFormat="1" ht="29.4" customHeight="1">
      <c r="A1" s="1132" t="s">
        <v>794</v>
      </c>
      <c r="B1" s="1132"/>
      <c r="C1" s="1132"/>
      <c r="D1" s="1132"/>
    </row>
    <row r="2" spans="1:10" s="1046" customFormat="1" ht="29.4" customHeight="1">
      <c r="A2" s="1132" t="s">
        <v>795</v>
      </c>
      <c r="B2" s="1132"/>
      <c r="C2" s="1132"/>
      <c r="D2" s="1132"/>
    </row>
    <row r="3" spans="1:10" ht="29.4" customHeight="1" thickBot="1">
      <c r="A3" s="1133" t="s">
        <v>798</v>
      </c>
      <c r="B3" s="1133"/>
      <c r="C3" s="1133"/>
      <c r="D3" s="1133"/>
      <c r="E3" s="1047" t="s">
        <v>778</v>
      </c>
      <c r="F3" s="1048">
        <f ca="1">TODAY()</f>
        <v>46185</v>
      </c>
    </row>
    <row r="4" spans="1:10" ht="22.2" customHeight="1">
      <c r="A4" s="1134" t="s">
        <v>779</v>
      </c>
      <c r="B4" s="1136" t="s">
        <v>1</v>
      </c>
      <c r="C4" s="1138" t="s">
        <v>6</v>
      </c>
      <c r="D4" s="1140" t="s">
        <v>780</v>
      </c>
    </row>
    <row r="5" spans="1:10" s="1050" customFormat="1" ht="22.2" customHeight="1" thickBot="1">
      <c r="A5" s="1135"/>
      <c r="B5" s="1137"/>
      <c r="C5" s="1139"/>
      <c r="D5" s="1141"/>
    </row>
    <row r="6" spans="1:10" ht="34.950000000000003" customHeight="1">
      <c r="A6" s="1051">
        <v>1</v>
      </c>
      <c r="B6" s="1052" t="s">
        <v>237</v>
      </c>
      <c r="C6" s="1053">
        <f>'Summary (Civil)'!D15</f>
        <v>477800000</v>
      </c>
      <c r="D6" s="1051"/>
      <c r="F6" s="1054">
        <v>459900000</v>
      </c>
      <c r="H6" s="1102" t="s">
        <v>806</v>
      </c>
    </row>
    <row r="7" spans="1:10" ht="34.950000000000003" customHeight="1">
      <c r="A7" s="1055">
        <v>2</v>
      </c>
      <c r="B7" s="1056" t="s">
        <v>799</v>
      </c>
      <c r="C7" s="1057">
        <f>[1]Summary!$C$13</f>
        <v>4900000</v>
      </c>
      <c r="D7" s="1055"/>
      <c r="F7" s="1054">
        <v>462500000</v>
      </c>
      <c r="H7" s="1102" t="s">
        <v>805</v>
      </c>
    </row>
    <row r="8" spans="1:10" ht="34.950000000000003" customHeight="1">
      <c r="A8" s="1051">
        <v>3</v>
      </c>
      <c r="B8" s="1058" t="s">
        <v>190</v>
      </c>
      <c r="C8" s="1059">
        <f>[2]Summary!$C$12</f>
        <v>3700000</v>
      </c>
      <c r="D8" s="1060"/>
      <c r="F8" s="1054">
        <v>478800000</v>
      </c>
      <c r="H8" s="1102" t="s">
        <v>804</v>
      </c>
    </row>
    <row r="9" spans="1:10" ht="34.950000000000003" customHeight="1" thickBot="1">
      <c r="A9" s="1060"/>
      <c r="B9" s="1058"/>
      <c r="C9" s="1059"/>
      <c r="D9" s="1060"/>
      <c r="F9" s="1101">
        <v>459000000</v>
      </c>
      <c r="G9" s="1054">
        <f>F9-F10</f>
        <v>1600000</v>
      </c>
      <c r="H9" s="1102" t="s">
        <v>803</v>
      </c>
      <c r="J9" s="1054">
        <f>F8-F9</f>
        <v>19800000</v>
      </c>
    </row>
    <row r="10" spans="1:10" ht="49.2" customHeight="1" thickBot="1">
      <c r="A10" s="1061"/>
      <c r="B10" s="1062" t="s">
        <v>781</v>
      </c>
      <c r="C10" s="1063">
        <f>SUM(C6:C9)</f>
        <v>486400000</v>
      </c>
      <c r="D10" s="1064"/>
      <c r="F10" s="1101">
        <v>457400000</v>
      </c>
    </row>
    <row r="11" spans="1:10" ht="49.2" hidden="1" customHeight="1">
      <c r="A11" s="1065"/>
      <c r="B11" s="1066" t="s">
        <v>782</v>
      </c>
      <c r="C11" s="1067"/>
      <c r="D11" s="1068" t="s">
        <v>783</v>
      </c>
    </row>
    <row r="12" spans="1:10" ht="49.2" customHeight="1" thickBot="1">
      <c r="A12" s="1069"/>
      <c r="B12" s="1070" t="s">
        <v>788</v>
      </c>
      <c r="C12" s="1071">
        <f>ROUNDDOWN(C10,-4)</f>
        <v>486400000</v>
      </c>
      <c r="D12" s="1072"/>
      <c r="F12" s="1054">
        <f>C12-[3]Summary!$C$14</f>
        <v>229100000</v>
      </c>
    </row>
    <row r="13" spans="1:10" ht="15.6">
      <c r="A13" s="790"/>
      <c r="B13" s="1073"/>
      <c r="C13" s="1074"/>
      <c r="D13" s="790"/>
    </row>
    <row r="14" spans="1:10" hidden="1">
      <c r="B14" s="1075" t="s">
        <v>789</v>
      </c>
      <c r="C14" s="1076"/>
      <c r="D14" s="1049" t="s">
        <v>790</v>
      </c>
    </row>
    <row r="15" spans="1:10" hidden="1">
      <c r="B15" s="1075" t="s">
        <v>791</v>
      </c>
      <c r="C15" s="1076" t="e">
        <f>C12/C14</f>
        <v>#DIV/0!</v>
      </c>
      <c r="D15" s="1049" t="s">
        <v>792</v>
      </c>
    </row>
    <row r="16" spans="1:10" s="790" customFormat="1" ht="19.8" customHeight="1">
      <c r="B16" s="1073" t="s">
        <v>789</v>
      </c>
      <c r="C16" s="1074">
        <f>'Summary (Civil)'!D19</f>
        <v>5346.8440000000001</v>
      </c>
      <c r="D16" s="790" t="s">
        <v>790</v>
      </c>
      <c r="F16" s="790">
        <v>20000</v>
      </c>
    </row>
    <row r="17" spans="2:6" s="790" customFormat="1" ht="16.2" customHeight="1">
      <c r="B17" s="1103" t="s">
        <v>807</v>
      </c>
      <c r="C17" s="1074"/>
    </row>
    <row r="18" spans="2:6" s="790" customFormat="1" ht="19.8" customHeight="1">
      <c r="B18" s="1073" t="s">
        <v>791</v>
      </c>
      <c r="C18" s="1074">
        <f>C12/C16</f>
        <v>90969.551383956597</v>
      </c>
      <c r="D18" s="790" t="s">
        <v>792</v>
      </c>
      <c r="F18" s="1077">
        <f>C16*F16</f>
        <v>106936880</v>
      </c>
    </row>
    <row r="19" spans="2:6">
      <c r="B19" s="1078"/>
      <c r="C19" s="1076"/>
    </row>
    <row r="29" spans="2:6">
      <c r="B29" s="1079"/>
    </row>
    <row r="30" spans="2:6">
      <c r="B30" s="1079"/>
    </row>
    <row r="31" spans="2:6">
      <c r="B31" s="1079"/>
    </row>
    <row r="32" spans="2:6">
      <c r="B32" s="1079"/>
    </row>
    <row r="33" spans="2:2">
      <c r="B33" s="1079"/>
    </row>
    <row r="34" spans="2:2">
      <c r="B34" s="1079"/>
    </row>
    <row r="35" spans="2:2">
      <c r="B35" s="1079"/>
    </row>
    <row r="36" spans="2:2">
      <c r="B36" s="1079"/>
    </row>
    <row r="37" spans="2:2">
      <c r="B37" s="1079"/>
    </row>
    <row r="38" spans="2:2">
      <c r="B38" s="1079"/>
    </row>
    <row r="39" spans="2:2">
      <c r="B39" s="1079"/>
    </row>
    <row r="40" spans="2:2">
      <c r="B40" s="1079"/>
    </row>
    <row r="41" spans="2:2">
      <c r="B41" s="1079"/>
    </row>
    <row r="42" spans="2:2">
      <c r="B42" s="1079"/>
    </row>
    <row r="43" spans="2:2">
      <c r="B43" s="1079"/>
    </row>
    <row r="44" spans="2:2">
      <c r="B44" s="1079"/>
    </row>
    <row r="45" spans="2:2">
      <c r="B45" s="1079"/>
    </row>
    <row r="46" spans="2:2">
      <c r="B46" s="1079"/>
    </row>
    <row r="47" spans="2:2">
      <c r="B47" s="1079"/>
    </row>
    <row r="48" spans="2:2">
      <c r="B48" s="1079"/>
    </row>
    <row r="49" spans="2:2">
      <c r="B49" s="1079"/>
    </row>
    <row r="50" spans="2:2">
      <c r="B50" s="1079"/>
    </row>
    <row r="51" spans="2:2">
      <c r="B51" s="1079"/>
    </row>
    <row r="52" spans="2:2">
      <c r="B52" s="1079"/>
    </row>
    <row r="53" spans="2:2">
      <c r="B53" s="1079"/>
    </row>
    <row r="54" spans="2:2">
      <c r="B54" s="1079"/>
    </row>
    <row r="55" spans="2:2">
      <c r="B55" s="1079"/>
    </row>
    <row r="56" spans="2:2">
      <c r="B56" s="1079"/>
    </row>
    <row r="57" spans="2:2">
      <c r="B57" s="1079"/>
    </row>
    <row r="58" spans="2:2">
      <c r="B58" s="1079"/>
    </row>
    <row r="59" spans="2:2">
      <c r="B59" s="1079"/>
    </row>
    <row r="60" spans="2:2">
      <c r="B60" s="1079"/>
    </row>
    <row r="61" spans="2:2">
      <c r="B61" s="1079"/>
    </row>
    <row r="62" spans="2:2">
      <c r="B62" s="1079"/>
    </row>
    <row r="63" spans="2:2">
      <c r="B63" s="1079"/>
    </row>
    <row r="64" spans="2:2">
      <c r="B64" s="1079"/>
    </row>
    <row r="65" spans="2:2">
      <c r="B65" s="1079"/>
    </row>
    <row r="66" spans="2:2">
      <c r="B66" s="1079"/>
    </row>
    <row r="67" spans="2:2">
      <c r="B67" s="1079"/>
    </row>
    <row r="68" spans="2:2">
      <c r="B68" s="1079"/>
    </row>
    <row r="69" spans="2:2">
      <c r="B69" s="1079"/>
    </row>
    <row r="70" spans="2:2">
      <c r="B70" s="1079"/>
    </row>
    <row r="71" spans="2:2">
      <c r="B71" s="1079"/>
    </row>
    <row r="72" spans="2:2">
      <c r="B72" s="1079"/>
    </row>
    <row r="73" spans="2:2">
      <c r="B73" s="1079"/>
    </row>
    <row r="74" spans="2:2">
      <c r="B74" s="1079"/>
    </row>
    <row r="75" spans="2:2">
      <c r="B75" s="1079"/>
    </row>
    <row r="76" spans="2:2">
      <c r="B76" s="1079"/>
    </row>
    <row r="77" spans="2:2">
      <c r="B77" s="1079"/>
    </row>
    <row r="78" spans="2:2">
      <c r="B78" s="1079"/>
    </row>
    <row r="79" spans="2:2">
      <c r="B79" s="1079"/>
    </row>
    <row r="80" spans="2:2">
      <c r="B80" s="1079"/>
    </row>
    <row r="82" spans="2:2">
      <c r="B82" s="1079"/>
    </row>
    <row r="83" spans="2:2">
      <c r="B83" s="1079"/>
    </row>
    <row r="84" spans="2:2">
      <c r="B84" s="1079"/>
    </row>
    <row r="85" spans="2:2">
      <c r="B85" s="1079"/>
    </row>
    <row r="86" spans="2:2">
      <c r="B86" s="1079"/>
    </row>
    <row r="87" spans="2:2">
      <c r="B87" s="1079"/>
    </row>
    <row r="88" spans="2:2">
      <c r="B88" s="1079"/>
    </row>
    <row r="89" spans="2:2">
      <c r="B89" s="1079"/>
    </row>
    <row r="90" spans="2:2">
      <c r="B90" s="1079"/>
    </row>
    <row r="91" spans="2:2">
      <c r="B91" s="1079"/>
    </row>
    <row r="92" spans="2:2">
      <c r="B92" s="1079"/>
    </row>
    <row r="93" spans="2:2">
      <c r="B93" s="1079"/>
    </row>
    <row r="94" spans="2:2">
      <c r="B94" s="1079"/>
    </row>
    <row r="95" spans="2:2">
      <c r="B95" s="1079"/>
    </row>
  </sheetData>
  <mergeCells count="7">
    <mergeCell ref="A1:D1"/>
    <mergeCell ref="A2:D2"/>
    <mergeCell ref="A3:D3"/>
    <mergeCell ref="A4:A5"/>
    <mergeCell ref="B4:B5"/>
    <mergeCell ref="C4:C5"/>
    <mergeCell ref="D4:D5"/>
  </mergeCells>
  <printOptions horizontalCentered="1"/>
  <pageMargins left="0.5" right="0.25" top="2" bottom="0.25" header="0" footer="0"/>
  <pageSetup paperSize="9" scale="95" orientation="portrait" horizontalDpi="4294967293" r:id="rId1"/>
  <headerFooter>
    <oddHeader>&amp;L&amp;G</oddHeader>
    <oddFooter>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00"/>
  </sheetPr>
  <dimension ref="A1:H95"/>
  <sheetViews>
    <sheetView view="pageBreakPreview" zoomScale="107" zoomScaleNormal="100" zoomScaleSheetLayoutView="107" workbookViewId="0">
      <selection activeCell="D19" sqref="D19"/>
    </sheetView>
  </sheetViews>
  <sheetFormatPr defaultColWidth="9.33203125" defaultRowHeight="13.8"/>
  <cols>
    <col min="1" max="1" width="7" style="1049" customWidth="1"/>
    <col min="2" max="2" width="34.5546875" style="1081" customWidth="1"/>
    <col min="3" max="3" width="6.44140625" style="1081" customWidth="1"/>
    <col min="4" max="4" width="23.5546875" style="1080" customWidth="1"/>
    <col min="5" max="5" width="22.88671875" style="1049" customWidth="1"/>
    <col min="6" max="6" width="9.33203125" style="1049"/>
    <col min="7" max="7" width="27.44140625" style="1049" bestFit="1" customWidth="1"/>
    <col min="8" max="257" width="9.33203125" style="1049"/>
    <col min="258" max="258" width="7" style="1049" customWidth="1"/>
    <col min="259" max="259" width="34.5546875" style="1049" customWidth="1"/>
    <col min="260" max="260" width="28.109375" style="1049" customWidth="1"/>
    <col min="261" max="261" width="22.88671875" style="1049" customWidth="1"/>
    <col min="262" max="262" width="9.33203125" style="1049"/>
    <col min="263" max="263" width="27.44140625" style="1049" bestFit="1" customWidth="1"/>
    <col min="264" max="513" width="9.33203125" style="1049"/>
    <col min="514" max="514" width="7" style="1049" customWidth="1"/>
    <col min="515" max="515" width="34.5546875" style="1049" customWidth="1"/>
    <col min="516" max="516" width="28.109375" style="1049" customWidth="1"/>
    <col min="517" max="517" width="22.88671875" style="1049" customWidth="1"/>
    <col min="518" max="518" width="9.33203125" style="1049"/>
    <col min="519" max="519" width="27.44140625" style="1049" bestFit="1" customWidth="1"/>
    <col min="520" max="769" width="9.33203125" style="1049"/>
    <col min="770" max="770" width="7" style="1049" customWidth="1"/>
    <col min="771" max="771" width="34.5546875" style="1049" customWidth="1"/>
    <col min="772" max="772" width="28.109375" style="1049" customWidth="1"/>
    <col min="773" max="773" width="22.88671875" style="1049" customWidth="1"/>
    <col min="774" max="774" width="9.33203125" style="1049"/>
    <col min="775" max="775" width="27.44140625" style="1049" bestFit="1" customWidth="1"/>
    <col min="776" max="1025" width="9.33203125" style="1049"/>
    <col min="1026" max="1026" width="7" style="1049" customWidth="1"/>
    <col min="1027" max="1027" width="34.5546875" style="1049" customWidth="1"/>
    <col min="1028" max="1028" width="28.109375" style="1049" customWidth="1"/>
    <col min="1029" max="1029" width="22.88671875" style="1049" customWidth="1"/>
    <col min="1030" max="1030" width="9.33203125" style="1049"/>
    <col min="1031" max="1031" width="27.44140625" style="1049" bestFit="1" customWidth="1"/>
    <col min="1032" max="1281" width="9.33203125" style="1049"/>
    <col min="1282" max="1282" width="7" style="1049" customWidth="1"/>
    <col min="1283" max="1283" width="34.5546875" style="1049" customWidth="1"/>
    <col min="1284" max="1284" width="28.109375" style="1049" customWidth="1"/>
    <col min="1285" max="1285" width="22.88671875" style="1049" customWidth="1"/>
    <col min="1286" max="1286" width="9.33203125" style="1049"/>
    <col min="1287" max="1287" width="27.44140625" style="1049" bestFit="1" customWidth="1"/>
    <col min="1288" max="1537" width="9.33203125" style="1049"/>
    <col min="1538" max="1538" width="7" style="1049" customWidth="1"/>
    <col min="1539" max="1539" width="34.5546875" style="1049" customWidth="1"/>
    <col min="1540" max="1540" width="28.109375" style="1049" customWidth="1"/>
    <col min="1541" max="1541" width="22.88671875" style="1049" customWidth="1"/>
    <col min="1542" max="1542" width="9.33203125" style="1049"/>
    <col min="1543" max="1543" width="27.44140625" style="1049" bestFit="1" customWidth="1"/>
    <col min="1544" max="1793" width="9.33203125" style="1049"/>
    <col min="1794" max="1794" width="7" style="1049" customWidth="1"/>
    <col min="1795" max="1795" width="34.5546875" style="1049" customWidth="1"/>
    <col min="1796" max="1796" width="28.109375" style="1049" customWidth="1"/>
    <col min="1797" max="1797" width="22.88671875" style="1049" customWidth="1"/>
    <col min="1798" max="1798" width="9.33203125" style="1049"/>
    <col min="1799" max="1799" width="27.44140625" style="1049" bestFit="1" customWidth="1"/>
    <col min="1800" max="2049" width="9.33203125" style="1049"/>
    <col min="2050" max="2050" width="7" style="1049" customWidth="1"/>
    <col min="2051" max="2051" width="34.5546875" style="1049" customWidth="1"/>
    <col min="2052" max="2052" width="28.109375" style="1049" customWidth="1"/>
    <col min="2053" max="2053" width="22.88671875" style="1049" customWidth="1"/>
    <col min="2054" max="2054" width="9.33203125" style="1049"/>
    <col min="2055" max="2055" width="27.44140625" style="1049" bestFit="1" customWidth="1"/>
    <col min="2056" max="2305" width="9.33203125" style="1049"/>
    <col min="2306" max="2306" width="7" style="1049" customWidth="1"/>
    <col min="2307" max="2307" width="34.5546875" style="1049" customWidth="1"/>
    <col min="2308" max="2308" width="28.109375" style="1049" customWidth="1"/>
    <col min="2309" max="2309" width="22.88671875" style="1049" customWidth="1"/>
    <col min="2310" max="2310" width="9.33203125" style="1049"/>
    <col min="2311" max="2311" width="27.44140625" style="1049" bestFit="1" customWidth="1"/>
    <col min="2312" max="2561" width="9.33203125" style="1049"/>
    <col min="2562" max="2562" width="7" style="1049" customWidth="1"/>
    <col min="2563" max="2563" width="34.5546875" style="1049" customWidth="1"/>
    <col min="2564" max="2564" width="28.109375" style="1049" customWidth="1"/>
    <col min="2565" max="2565" width="22.88671875" style="1049" customWidth="1"/>
    <col min="2566" max="2566" width="9.33203125" style="1049"/>
    <col min="2567" max="2567" width="27.44140625" style="1049" bestFit="1" customWidth="1"/>
    <col min="2568" max="2817" width="9.33203125" style="1049"/>
    <col min="2818" max="2818" width="7" style="1049" customWidth="1"/>
    <col min="2819" max="2819" width="34.5546875" style="1049" customWidth="1"/>
    <col min="2820" max="2820" width="28.109375" style="1049" customWidth="1"/>
    <col min="2821" max="2821" width="22.88671875" style="1049" customWidth="1"/>
    <col min="2822" max="2822" width="9.33203125" style="1049"/>
    <col min="2823" max="2823" width="27.44140625" style="1049" bestFit="1" customWidth="1"/>
    <col min="2824" max="3073" width="9.33203125" style="1049"/>
    <col min="3074" max="3074" width="7" style="1049" customWidth="1"/>
    <col min="3075" max="3075" width="34.5546875" style="1049" customWidth="1"/>
    <col min="3076" max="3076" width="28.109375" style="1049" customWidth="1"/>
    <col min="3077" max="3077" width="22.88671875" style="1049" customWidth="1"/>
    <col min="3078" max="3078" width="9.33203125" style="1049"/>
    <col min="3079" max="3079" width="27.44140625" style="1049" bestFit="1" customWidth="1"/>
    <col min="3080" max="3329" width="9.33203125" style="1049"/>
    <col min="3330" max="3330" width="7" style="1049" customWidth="1"/>
    <col min="3331" max="3331" width="34.5546875" style="1049" customWidth="1"/>
    <col min="3332" max="3332" width="28.109375" style="1049" customWidth="1"/>
    <col min="3333" max="3333" width="22.88671875" style="1049" customWidth="1"/>
    <col min="3334" max="3334" width="9.33203125" style="1049"/>
    <col min="3335" max="3335" width="27.44140625" style="1049" bestFit="1" customWidth="1"/>
    <col min="3336" max="3585" width="9.33203125" style="1049"/>
    <col min="3586" max="3586" width="7" style="1049" customWidth="1"/>
    <col min="3587" max="3587" width="34.5546875" style="1049" customWidth="1"/>
    <col min="3588" max="3588" width="28.109375" style="1049" customWidth="1"/>
    <col min="3589" max="3589" width="22.88671875" style="1049" customWidth="1"/>
    <col min="3590" max="3590" width="9.33203125" style="1049"/>
    <col min="3591" max="3591" width="27.44140625" style="1049" bestFit="1" customWidth="1"/>
    <col min="3592" max="3841" width="9.33203125" style="1049"/>
    <col min="3842" max="3842" width="7" style="1049" customWidth="1"/>
    <col min="3843" max="3843" width="34.5546875" style="1049" customWidth="1"/>
    <col min="3844" max="3844" width="28.109375" style="1049" customWidth="1"/>
    <col min="3845" max="3845" width="22.88671875" style="1049" customWidth="1"/>
    <col min="3846" max="3846" width="9.33203125" style="1049"/>
    <col min="3847" max="3847" width="27.44140625" style="1049" bestFit="1" customWidth="1"/>
    <col min="3848" max="4097" width="9.33203125" style="1049"/>
    <col min="4098" max="4098" width="7" style="1049" customWidth="1"/>
    <col min="4099" max="4099" width="34.5546875" style="1049" customWidth="1"/>
    <col min="4100" max="4100" width="28.109375" style="1049" customWidth="1"/>
    <col min="4101" max="4101" width="22.88671875" style="1049" customWidth="1"/>
    <col min="4102" max="4102" width="9.33203125" style="1049"/>
    <col min="4103" max="4103" width="27.44140625" style="1049" bestFit="1" customWidth="1"/>
    <col min="4104" max="4353" width="9.33203125" style="1049"/>
    <col min="4354" max="4354" width="7" style="1049" customWidth="1"/>
    <col min="4355" max="4355" width="34.5546875" style="1049" customWidth="1"/>
    <col min="4356" max="4356" width="28.109375" style="1049" customWidth="1"/>
    <col min="4357" max="4357" width="22.88671875" style="1049" customWidth="1"/>
    <col min="4358" max="4358" width="9.33203125" style="1049"/>
    <col min="4359" max="4359" width="27.44140625" style="1049" bestFit="1" customWidth="1"/>
    <col min="4360" max="4609" width="9.33203125" style="1049"/>
    <col min="4610" max="4610" width="7" style="1049" customWidth="1"/>
    <col min="4611" max="4611" width="34.5546875" style="1049" customWidth="1"/>
    <col min="4612" max="4612" width="28.109375" style="1049" customWidth="1"/>
    <col min="4613" max="4613" width="22.88671875" style="1049" customWidth="1"/>
    <col min="4614" max="4614" width="9.33203125" style="1049"/>
    <col min="4615" max="4615" width="27.44140625" style="1049" bestFit="1" customWidth="1"/>
    <col min="4616" max="4865" width="9.33203125" style="1049"/>
    <col min="4866" max="4866" width="7" style="1049" customWidth="1"/>
    <col min="4867" max="4867" width="34.5546875" style="1049" customWidth="1"/>
    <col min="4868" max="4868" width="28.109375" style="1049" customWidth="1"/>
    <col min="4869" max="4869" width="22.88671875" style="1049" customWidth="1"/>
    <col min="4870" max="4870" width="9.33203125" style="1049"/>
    <col min="4871" max="4871" width="27.44140625" style="1049" bestFit="1" customWidth="1"/>
    <col min="4872" max="5121" width="9.33203125" style="1049"/>
    <col min="5122" max="5122" width="7" style="1049" customWidth="1"/>
    <col min="5123" max="5123" width="34.5546875" style="1049" customWidth="1"/>
    <col min="5124" max="5124" width="28.109375" style="1049" customWidth="1"/>
    <col min="5125" max="5125" width="22.88671875" style="1049" customWidth="1"/>
    <col min="5126" max="5126" width="9.33203125" style="1049"/>
    <col min="5127" max="5127" width="27.44140625" style="1049" bestFit="1" customWidth="1"/>
    <col min="5128" max="5377" width="9.33203125" style="1049"/>
    <col min="5378" max="5378" width="7" style="1049" customWidth="1"/>
    <col min="5379" max="5379" width="34.5546875" style="1049" customWidth="1"/>
    <col min="5380" max="5380" width="28.109375" style="1049" customWidth="1"/>
    <col min="5381" max="5381" width="22.88671875" style="1049" customWidth="1"/>
    <col min="5382" max="5382" width="9.33203125" style="1049"/>
    <col min="5383" max="5383" width="27.44140625" style="1049" bestFit="1" customWidth="1"/>
    <col min="5384" max="5633" width="9.33203125" style="1049"/>
    <col min="5634" max="5634" width="7" style="1049" customWidth="1"/>
    <col min="5635" max="5635" width="34.5546875" style="1049" customWidth="1"/>
    <col min="5636" max="5636" width="28.109375" style="1049" customWidth="1"/>
    <col min="5637" max="5637" width="22.88671875" style="1049" customWidth="1"/>
    <col min="5638" max="5638" width="9.33203125" style="1049"/>
    <col min="5639" max="5639" width="27.44140625" style="1049" bestFit="1" customWidth="1"/>
    <col min="5640" max="5889" width="9.33203125" style="1049"/>
    <col min="5890" max="5890" width="7" style="1049" customWidth="1"/>
    <col min="5891" max="5891" width="34.5546875" style="1049" customWidth="1"/>
    <col min="5892" max="5892" width="28.109375" style="1049" customWidth="1"/>
    <col min="5893" max="5893" width="22.88671875" style="1049" customWidth="1"/>
    <col min="5894" max="5894" width="9.33203125" style="1049"/>
    <col min="5895" max="5895" width="27.44140625" style="1049" bestFit="1" customWidth="1"/>
    <col min="5896" max="6145" width="9.33203125" style="1049"/>
    <col min="6146" max="6146" width="7" style="1049" customWidth="1"/>
    <col min="6147" max="6147" width="34.5546875" style="1049" customWidth="1"/>
    <col min="6148" max="6148" width="28.109375" style="1049" customWidth="1"/>
    <col min="6149" max="6149" width="22.88671875" style="1049" customWidth="1"/>
    <col min="6150" max="6150" width="9.33203125" style="1049"/>
    <col min="6151" max="6151" width="27.44140625" style="1049" bestFit="1" customWidth="1"/>
    <col min="6152" max="6401" width="9.33203125" style="1049"/>
    <col min="6402" max="6402" width="7" style="1049" customWidth="1"/>
    <col min="6403" max="6403" width="34.5546875" style="1049" customWidth="1"/>
    <col min="6404" max="6404" width="28.109375" style="1049" customWidth="1"/>
    <col min="6405" max="6405" width="22.88671875" style="1049" customWidth="1"/>
    <col min="6406" max="6406" width="9.33203125" style="1049"/>
    <col min="6407" max="6407" width="27.44140625" style="1049" bestFit="1" customWidth="1"/>
    <col min="6408" max="6657" width="9.33203125" style="1049"/>
    <col min="6658" max="6658" width="7" style="1049" customWidth="1"/>
    <col min="6659" max="6659" width="34.5546875" style="1049" customWidth="1"/>
    <col min="6660" max="6660" width="28.109375" style="1049" customWidth="1"/>
    <col min="6661" max="6661" width="22.88671875" style="1049" customWidth="1"/>
    <col min="6662" max="6662" width="9.33203125" style="1049"/>
    <col min="6663" max="6663" width="27.44140625" style="1049" bestFit="1" customWidth="1"/>
    <col min="6664" max="6913" width="9.33203125" style="1049"/>
    <col min="6914" max="6914" width="7" style="1049" customWidth="1"/>
    <col min="6915" max="6915" width="34.5546875" style="1049" customWidth="1"/>
    <col min="6916" max="6916" width="28.109375" style="1049" customWidth="1"/>
    <col min="6917" max="6917" width="22.88671875" style="1049" customWidth="1"/>
    <col min="6918" max="6918" width="9.33203125" style="1049"/>
    <col min="6919" max="6919" width="27.44140625" style="1049" bestFit="1" customWidth="1"/>
    <col min="6920" max="7169" width="9.33203125" style="1049"/>
    <col min="7170" max="7170" width="7" style="1049" customWidth="1"/>
    <col min="7171" max="7171" width="34.5546875" style="1049" customWidth="1"/>
    <col min="7172" max="7172" width="28.109375" style="1049" customWidth="1"/>
    <col min="7173" max="7173" width="22.88671875" style="1049" customWidth="1"/>
    <col min="7174" max="7174" width="9.33203125" style="1049"/>
    <col min="7175" max="7175" width="27.44140625" style="1049" bestFit="1" customWidth="1"/>
    <col min="7176" max="7425" width="9.33203125" style="1049"/>
    <col min="7426" max="7426" width="7" style="1049" customWidth="1"/>
    <col min="7427" max="7427" width="34.5546875" style="1049" customWidth="1"/>
    <col min="7428" max="7428" width="28.109375" style="1049" customWidth="1"/>
    <col min="7429" max="7429" width="22.88671875" style="1049" customWidth="1"/>
    <col min="7430" max="7430" width="9.33203125" style="1049"/>
    <col min="7431" max="7431" width="27.44140625" style="1049" bestFit="1" customWidth="1"/>
    <col min="7432" max="7681" width="9.33203125" style="1049"/>
    <col min="7682" max="7682" width="7" style="1049" customWidth="1"/>
    <col min="7683" max="7683" width="34.5546875" style="1049" customWidth="1"/>
    <col min="7684" max="7684" width="28.109375" style="1049" customWidth="1"/>
    <col min="7685" max="7685" width="22.88671875" style="1049" customWidth="1"/>
    <col min="7686" max="7686" width="9.33203125" style="1049"/>
    <col min="7687" max="7687" width="27.44140625" style="1049" bestFit="1" customWidth="1"/>
    <col min="7688" max="7937" width="9.33203125" style="1049"/>
    <col min="7938" max="7938" width="7" style="1049" customWidth="1"/>
    <col min="7939" max="7939" width="34.5546875" style="1049" customWidth="1"/>
    <col min="7940" max="7940" width="28.109375" style="1049" customWidth="1"/>
    <col min="7941" max="7941" width="22.88671875" style="1049" customWidth="1"/>
    <col min="7942" max="7942" width="9.33203125" style="1049"/>
    <col min="7943" max="7943" width="27.44140625" style="1049" bestFit="1" customWidth="1"/>
    <col min="7944" max="8193" width="9.33203125" style="1049"/>
    <col min="8194" max="8194" width="7" style="1049" customWidth="1"/>
    <col min="8195" max="8195" width="34.5546875" style="1049" customWidth="1"/>
    <col min="8196" max="8196" width="28.109375" style="1049" customWidth="1"/>
    <col min="8197" max="8197" width="22.88671875" style="1049" customWidth="1"/>
    <col min="8198" max="8198" width="9.33203125" style="1049"/>
    <col min="8199" max="8199" width="27.44140625" style="1049" bestFit="1" customWidth="1"/>
    <col min="8200" max="8449" width="9.33203125" style="1049"/>
    <col min="8450" max="8450" width="7" style="1049" customWidth="1"/>
    <col min="8451" max="8451" width="34.5546875" style="1049" customWidth="1"/>
    <col min="8452" max="8452" width="28.109375" style="1049" customWidth="1"/>
    <col min="8453" max="8453" width="22.88671875" style="1049" customWidth="1"/>
    <col min="8454" max="8454" width="9.33203125" style="1049"/>
    <col min="8455" max="8455" width="27.44140625" style="1049" bestFit="1" customWidth="1"/>
    <col min="8456" max="8705" width="9.33203125" style="1049"/>
    <col min="8706" max="8706" width="7" style="1049" customWidth="1"/>
    <col min="8707" max="8707" width="34.5546875" style="1049" customWidth="1"/>
    <col min="8708" max="8708" width="28.109375" style="1049" customWidth="1"/>
    <col min="8709" max="8709" width="22.88671875" style="1049" customWidth="1"/>
    <col min="8710" max="8710" width="9.33203125" style="1049"/>
    <col min="8711" max="8711" width="27.44140625" style="1049" bestFit="1" customWidth="1"/>
    <col min="8712" max="8961" width="9.33203125" style="1049"/>
    <col min="8962" max="8962" width="7" style="1049" customWidth="1"/>
    <col min="8963" max="8963" width="34.5546875" style="1049" customWidth="1"/>
    <col min="8964" max="8964" width="28.109375" style="1049" customWidth="1"/>
    <col min="8965" max="8965" width="22.88671875" style="1049" customWidth="1"/>
    <col min="8966" max="8966" width="9.33203125" style="1049"/>
    <col min="8967" max="8967" width="27.44140625" style="1049" bestFit="1" customWidth="1"/>
    <col min="8968" max="9217" width="9.33203125" style="1049"/>
    <col min="9218" max="9218" width="7" style="1049" customWidth="1"/>
    <col min="9219" max="9219" width="34.5546875" style="1049" customWidth="1"/>
    <col min="9220" max="9220" width="28.109375" style="1049" customWidth="1"/>
    <col min="9221" max="9221" width="22.88671875" style="1049" customWidth="1"/>
    <col min="9222" max="9222" width="9.33203125" style="1049"/>
    <col min="9223" max="9223" width="27.44140625" style="1049" bestFit="1" customWidth="1"/>
    <col min="9224" max="9473" width="9.33203125" style="1049"/>
    <col min="9474" max="9474" width="7" style="1049" customWidth="1"/>
    <col min="9475" max="9475" width="34.5546875" style="1049" customWidth="1"/>
    <col min="9476" max="9476" width="28.109375" style="1049" customWidth="1"/>
    <col min="9477" max="9477" width="22.88671875" style="1049" customWidth="1"/>
    <col min="9478" max="9478" width="9.33203125" style="1049"/>
    <col min="9479" max="9479" width="27.44140625" style="1049" bestFit="1" customWidth="1"/>
    <col min="9480" max="9729" width="9.33203125" style="1049"/>
    <col min="9730" max="9730" width="7" style="1049" customWidth="1"/>
    <col min="9731" max="9731" width="34.5546875" style="1049" customWidth="1"/>
    <col min="9732" max="9732" width="28.109375" style="1049" customWidth="1"/>
    <col min="9733" max="9733" width="22.88671875" style="1049" customWidth="1"/>
    <col min="9734" max="9734" width="9.33203125" style="1049"/>
    <col min="9735" max="9735" width="27.44140625" style="1049" bestFit="1" customWidth="1"/>
    <col min="9736" max="9985" width="9.33203125" style="1049"/>
    <col min="9986" max="9986" width="7" style="1049" customWidth="1"/>
    <col min="9987" max="9987" width="34.5546875" style="1049" customWidth="1"/>
    <col min="9988" max="9988" width="28.109375" style="1049" customWidth="1"/>
    <col min="9989" max="9989" width="22.88671875" style="1049" customWidth="1"/>
    <col min="9990" max="9990" width="9.33203125" style="1049"/>
    <col min="9991" max="9991" width="27.44140625" style="1049" bestFit="1" customWidth="1"/>
    <col min="9992" max="10241" width="9.33203125" style="1049"/>
    <col min="10242" max="10242" width="7" style="1049" customWidth="1"/>
    <col min="10243" max="10243" width="34.5546875" style="1049" customWidth="1"/>
    <col min="10244" max="10244" width="28.109375" style="1049" customWidth="1"/>
    <col min="10245" max="10245" width="22.88671875" style="1049" customWidth="1"/>
    <col min="10246" max="10246" width="9.33203125" style="1049"/>
    <col min="10247" max="10247" width="27.44140625" style="1049" bestFit="1" customWidth="1"/>
    <col min="10248" max="10497" width="9.33203125" style="1049"/>
    <col min="10498" max="10498" width="7" style="1049" customWidth="1"/>
    <col min="10499" max="10499" width="34.5546875" style="1049" customWidth="1"/>
    <col min="10500" max="10500" width="28.109375" style="1049" customWidth="1"/>
    <col min="10501" max="10501" width="22.88671875" style="1049" customWidth="1"/>
    <col min="10502" max="10502" width="9.33203125" style="1049"/>
    <col min="10503" max="10503" width="27.44140625" style="1049" bestFit="1" customWidth="1"/>
    <col min="10504" max="10753" width="9.33203125" style="1049"/>
    <col min="10754" max="10754" width="7" style="1049" customWidth="1"/>
    <col min="10755" max="10755" width="34.5546875" style="1049" customWidth="1"/>
    <col min="10756" max="10756" width="28.109375" style="1049" customWidth="1"/>
    <col min="10757" max="10757" width="22.88671875" style="1049" customWidth="1"/>
    <col min="10758" max="10758" width="9.33203125" style="1049"/>
    <col min="10759" max="10759" width="27.44140625" style="1049" bestFit="1" customWidth="1"/>
    <col min="10760" max="11009" width="9.33203125" style="1049"/>
    <col min="11010" max="11010" width="7" style="1049" customWidth="1"/>
    <col min="11011" max="11011" width="34.5546875" style="1049" customWidth="1"/>
    <col min="11012" max="11012" width="28.109375" style="1049" customWidth="1"/>
    <col min="11013" max="11013" width="22.88671875" style="1049" customWidth="1"/>
    <col min="11014" max="11014" width="9.33203125" style="1049"/>
    <col min="11015" max="11015" width="27.44140625" style="1049" bestFit="1" customWidth="1"/>
    <col min="11016" max="11265" width="9.33203125" style="1049"/>
    <col min="11266" max="11266" width="7" style="1049" customWidth="1"/>
    <col min="11267" max="11267" width="34.5546875" style="1049" customWidth="1"/>
    <col min="11268" max="11268" width="28.109375" style="1049" customWidth="1"/>
    <col min="11269" max="11269" width="22.88671875" style="1049" customWidth="1"/>
    <col min="11270" max="11270" width="9.33203125" style="1049"/>
    <col min="11271" max="11271" width="27.44140625" style="1049" bestFit="1" customWidth="1"/>
    <col min="11272" max="11521" width="9.33203125" style="1049"/>
    <col min="11522" max="11522" width="7" style="1049" customWidth="1"/>
    <col min="11523" max="11523" width="34.5546875" style="1049" customWidth="1"/>
    <col min="11524" max="11524" width="28.109375" style="1049" customWidth="1"/>
    <col min="11525" max="11525" width="22.88671875" style="1049" customWidth="1"/>
    <col min="11526" max="11526" width="9.33203125" style="1049"/>
    <col min="11527" max="11527" width="27.44140625" style="1049" bestFit="1" customWidth="1"/>
    <col min="11528" max="11777" width="9.33203125" style="1049"/>
    <col min="11778" max="11778" width="7" style="1049" customWidth="1"/>
    <col min="11779" max="11779" width="34.5546875" style="1049" customWidth="1"/>
    <col min="11780" max="11780" width="28.109375" style="1049" customWidth="1"/>
    <col min="11781" max="11781" width="22.88671875" style="1049" customWidth="1"/>
    <col min="11782" max="11782" width="9.33203125" style="1049"/>
    <col min="11783" max="11783" width="27.44140625" style="1049" bestFit="1" customWidth="1"/>
    <col min="11784" max="12033" width="9.33203125" style="1049"/>
    <col min="12034" max="12034" width="7" style="1049" customWidth="1"/>
    <col min="12035" max="12035" width="34.5546875" style="1049" customWidth="1"/>
    <col min="12036" max="12036" width="28.109375" style="1049" customWidth="1"/>
    <col min="12037" max="12037" width="22.88671875" style="1049" customWidth="1"/>
    <col min="12038" max="12038" width="9.33203125" style="1049"/>
    <col min="12039" max="12039" width="27.44140625" style="1049" bestFit="1" customWidth="1"/>
    <col min="12040" max="12289" width="9.33203125" style="1049"/>
    <col min="12290" max="12290" width="7" style="1049" customWidth="1"/>
    <col min="12291" max="12291" width="34.5546875" style="1049" customWidth="1"/>
    <col min="12292" max="12292" width="28.109375" style="1049" customWidth="1"/>
    <col min="12293" max="12293" width="22.88671875" style="1049" customWidth="1"/>
    <col min="12294" max="12294" width="9.33203125" style="1049"/>
    <col min="12295" max="12295" width="27.44140625" style="1049" bestFit="1" customWidth="1"/>
    <col min="12296" max="12545" width="9.33203125" style="1049"/>
    <col min="12546" max="12546" width="7" style="1049" customWidth="1"/>
    <col min="12547" max="12547" width="34.5546875" style="1049" customWidth="1"/>
    <col min="12548" max="12548" width="28.109375" style="1049" customWidth="1"/>
    <col min="12549" max="12549" width="22.88671875" style="1049" customWidth="1"/>
    <col min="12550" max="12550" width="9.33203125" style="1049"/>
    <col min="12551" max="12551" width="27.44140625" style="1049" bestFit="1" customWidth="1"/>
    <col min="12552" max="12801" width="9.33203125" style="1049"/>
    <col min="12802" max="12802" width="7" style="1049" customWidth="1"/>
    <col min="12803" max="12803" width="34.5546875" style="1049" customWidth="1"/>
    <col min="12804" max="12804" width="28.109375" style="1049" customWidth="1"/>
    <col min="12805" max="12805" width="22.88671875" style="1049" customWidth="1"/>
    <col min="12806" max="12806" width="9.33203125" style="1049"/>
    <col min="12807" max="12807" width="27.44140625" style="1049" bestFit="1" customWidth="1"/>
    <col min="12808" max="13057" width="9.33203125" style="1049"/>
    <col min="13058" max="13058" width="7" style="1049" customWidth="1"/>
    <col min="13059" max="13059" width="34.5546875" style="1049" customWidth="1"/>
    <col min="13060" max="13060" width="28.109375" style="1049" customWidth="1"/>
    <col min="13061" max="13061" width="22.88671875" style="1049" customWidth="1"/>
    <col min="13062" max="13062" width="9.33203125" style="1049"/>
    <col min="13063" max="13063" width="27.44140625" style="1049" bestFit="1" customWidth="1"/>
    <col min="13064" max="13313" width="9.33203125" style="1049"/>
    <col min="13314" max="13314" width="7" style="1049" customWidth="1"/>
    <col min="13315" max="13315" width="34.5546875" style="1049" customWidth="1"/>
    <col min="13316" max="13316" width="28.109375" style="1049" customWidth="1"/>
    <col min="13317" max="13317" width="22.88671875" style="1049" customWidth="1"/>
    <col min="13318" max="13318" width="9.33203125" style="1049"/>
    <col min="13319" max="13319" width="27.44140625" style="1049" bestFit="1" customWidth="1"/>
    <col min="13320" max="13569" width="9.33203125" style="1049"/>
    <col min="13570" max="13570" width="7" style="1049" customWidth="1"/>
    <col min="13571" max="13571" width="34.5546875" style="1049" customWidth="1"/>
    <col min="13572" max="13572" width="28.109375" style="1049" customWidth="1"/>
    <col min="13573" max="13573" width="22.88671875" style="1049" customWidth="1"/>
    <col min="13574" max="13574" width="9.33203125" style="1049"/>
    <col min="13575" max="13575" width="27.44140625" style="1049" bestFit="1" customWidth="1"/>
    <col min="13576" max="13825" width="9.33203125" style="1049"/>
    <col min="13826" max="13826" width="7" style="1049" customWidth="1"/>
    <col min="13827" max="13827" width="34.5546875" style="1049" customWidth="1"/>
    <col min="13828" max="13828" width="28.109375" style="1049" customWidth="1"/>
    <col min="13829" max="13829" width="22.88671875" style="1049" customWidth="1"/>
    <col min="13830" max="13830" width="9.33203125" style="1049"/>
    <col min="13831" max="13831" width="27.44140625" style="1049" bestFit="1" customWidth="1"/>
    <col min="13832" max="14081" width="9.33203125" style="1049"/>
    <col min="14082" max="14082" width="7" style="1049" customWidth="1"/>
    <col min="14083" max="14083" width="34.5546875" style="1049" customWidth="1"/>
    <col min="14084" max="14084" width="28.109375" style="1049" customWidth="1"/>
    <col min="14085" max="14085" width="22.88671875" style="1049" customWidth="1"/>
    <col min="14086" max="14086" width="9.33203125" style="1049"/>
    <col min="14087" max="14087" width="27.44140625" style="1049" bestFit="1" customWidth="1"/>
    <col min="14088" max="14337" width="9.33203125" style="1049"/>
    <col min="14338" max="14338" width="7" style="1049" customWidth="1"/>
    <col min="14339" max="14339" width="34.5546875" style="1049" customWidth="1"/>
    <col min="14340" max="14340" width="28.109375" style="1049" customWidth="1"/>
    <col min="14341" max="14341" width="22.88671875" style="1049" customWidth="1"/>
    <col min="14342" max="14342" width="9.33203125" style="1049"/>
    <col min="14343" max="14343" width="27.44140625" style="1049" bestFit="1" customWidth="1"/>
    <col min="14344" max="14593" width="9.33203125" style="1049"/>
    <col min="14594" max="14594" width="7" style="1049" customWidth="1"/>
    <col min="14595" max="14595" width="34.5546875" style="1049" customWidth="1"/>
    <col min="14596" max="14596" width="28.109375" style="1049" customWidth="1"/>
    <col min="14597" max="14597" width="22.88671875" style="1049" customWidth="1"/>
    <col min="14598" max="14598" width="9.33203125" style="1049"/>
    <col min="14599" max="14599" width="27.44140625" style="1049" bestFit="1" customWidth="1"/>
    <col min="14600" max="14849" width="9.33203125" style="1049"/>
    <col min="14850" max="14850" width="7" style="1049" customWidth="1"/>
    <col min="14851" max="14851" width="34.5546875" style="1049" customWidth="1"/>
    <col min="14852" max="14852" width="28.109375" style="1049" customWidth="1"/>
    <col min="14853" max="14853" width="22.88671875" style="1049" customWidth="1"/>
    <col min="14854" max="14854" width="9.33203125" style="1049"/>
    <col min="14855" max="14855" width="27.44140625" style="1049" bestFit="1" customWidth="1"/>
    <col min="14856" max="15105" width="9.33203125" style="1049"/>
    <col min="15106" max="15106" width="7" style="1049" customWidth="1"/>
    <col min="15107" max="15107" width="34.5546875" style="1049" customWidth="1"/>
    <col min="15108" max="15108" width="28.109375" style="1049" customWidth="1"/>
    <col min="15109" max="15109" width="22.88671875" style="1049" customWidth="1"/>
    <col min="15110" max="15110" width="9.33203125" style="1049"/>
    <col min="15111" max="15111" width="27.44140625" style="1049" bestFit="1" customWidth="1"/>
    <col min="15112" max="15361" width="9.33203125" style="1049"/>
    <col min="15362" max="15362" width="7" style="1049" customWidth="1"/>
    <col min="15363" max="15363" width="34.5546875" style="1049" customWidth="1"/>
    <col min="15364" max="15364" width="28.109375" style="1049" customWidth="1"/>
    <col min="15365" max="15365" width="22.88671875" style="1049" customWidth="1"/>
    <col min="15366" max="15366" width="9.33203125" style="1049"/>
    <col min="15367" max="15367" width="27.44140625" style="1049" bestFit="1" customWidth="1"/>
    <col min="15368" max="15617" width="9.33203125" style="1049"/>
    <col min="15618" max="15618" width="7" style="1049" customWidth="1"/>
    <col min="15619" max="15619" width="34.5546875" style="1049" customWidth="1"/>
    <col min="15620" max="15620" width="28.109375" style="1049" customWidth="1"/>
    <col min="15621" max="15621" width="22.88671875" style="1049" customWidth="1"/>
    <col min="15622" max="15622" width="9.33203125" style="1049"/>
    <col min="15623" max="15623" width="27.44140625" style="1049" bestFit="1" customWidth="1"/>
    <col min="15624" max="15873" width="9.33203125" style="1049"/>
    <col min="15874" max="15874" width="7" style="1049" customWidth="1"/>
    <col min="15875" max="15875" width="34.5546875" style="1049" customWidth="1"/>
    <col min="15876" max="15876" width="28.109375" style="1049" customWidth="1"/>
    <col min="15877" max="15877" width="22.88671875" style="1049" customWidth="1"/>
    <col min="15878" max="15878" width="9.33203125" style="1049"/>
    <col min="15879" max="15879" width="27.44140625" style="1049" bestFit="1" customWidth="1"/>
    <col min="15880" max="16129" width="9.33203125" style="1049"/>
    <col min="16130" max="16130" width="7" style="1049" customWidth="1"/>
    <col min="16131" max="16131" width="34.5546875" style="1049" customWidth="1"/>
    <col min="16132" max="16132" width="28.109375" style="1049" customWidth="1"/>
    <col min="16133" max="16133" width="22.88671875" style="1049" customWidth="1"/>
    <col min="16134" max="16134" width="9.33203125" style="1049"/>
    <col min="16135" max="16135" width="27.44140625" style="1049" bestFit="1" customWidth="1"/>
    <col min="16136" max="16384" width="9.33203125" style="1049"/>
  </cols>
  <sheetData>
    <row r="1" spans="1:8" s="1046" customFormat="1" ht="32.4" customHeight="1">
      <c r="A1" s="1132" t="s">
        <v>794</v>
      </c>
      <c r="B1" s="1132"/>
      <c r="C1" s="1132"/>
      <c r="D1" s="1132"/>
      <c r="E1" s="1132"/>
    </row>
    <row r="2" spans="1:8" s="1046" customFormat="1" ht="32.4" customHeight="1">
      <c r="A2" s="1132" t="s">
        <v>795</v>
      </c>
      <c r="B2" s="1132"/>
      <c r="C2" s="1132"/>
      <c r="D2" s="1132"/>
      <c r="E2" s="1132"/>
      <c r="G2" s="1046">
        <f>13+12+11+3</f>
        <v>39</v>
      </c>
    </row>
    <row r="3" spans="1:8" ht="36" customHeight="1" thickBot="1">
      <c r="A3" s="1133" t="s">
        <v>777</v>
      </c>
      <c r="B3" s="1133"/>
      <c r="C3" s="1133"/>
      <c r="D3" s="1133"/>
      <c r="E3" s="1133"/>
      <c r="F3" s="1047" t="s">
        <v>778</v>
      </c>
      <c r="G3" s="1048">
        <f ca="1">TODAY()</f>
        <v>46185</v>
      </c>
    </row>
    <row r="4" spans="1:8" ht="28.2" customHeight="1">
      <c r="A4" s="1134" t="s">
        <v>779</v>
      </c>
      <c r="B4" s="1142" t="s">
        <v>1</v>
      </c>
      <c r="C4" s="1082"/>
      <c r="D4" s="1138" t="s">
        <v>6</v>
      </c>
      <c r="E4" s="1140" t="s">
        <v>780</v>
      </c>
    </row>
    <row r="5" spans="1:8" s="1050" customFormat="1" ht="28.2" customHeight="1" thickBot="1">
      <c r="A5" s="1135"/>
      <c r="B5" s="1143"/>
      <c r="C5" s="1083"/>
      <c r="D5" s="1139"/>
      <c r="E5" s="1141"/>
    </row>
    <row r="6" spans="1:8" ht="34.950000000000003" customHeight="1">
      <c r="A6" s="1051">
        <v>1</v>
      </c>
      <c r="B6" s="1084" t="s">
        <v>76</v>
      </c>
      <c r="C6" s="1085"/>
      <c r="D6" s="1053">
        <f>BQ!G61</f>
        <v>262281713.97561756</v>
      </c>
      <c r="E6" s="1051"/>
      <c r="G6" s="1054">
        <f>[4]Summary!$C$6+[5]Summary!$C$6</f>
        <v>32096652.156158358</v>
      </c>
    </row>
    <row r="7" spans="1:8" ht="34.950000000000003" customHeight="1">
      <c r="A7" s="1055">
        <v>2</v>
      </c>
      <c r="B7" s="1086" t="s">
        <v>144</v>
      </c>
      <c r="C7" s="1087"/>
      <c r="D7" s="1057">
        <f>BQ!G70</f>
        <v>139390636.83585593</v>
      </c>
      <c r="E7" s="1055"/>
      <c r="G7" s="1054">
        <f>[4]Summary!$C$7+[5]Summary!$C$7</f>
        <v>11754110</v>
      </c>
    </row>
    <row r="8" spans="1:8" ht="34.950000000000003" customHeight="1" thickBot="1">
      <c r="A8" s="1060"/>
      <c r="B8" s="1088"/>
      <c r="C8" s="1089"/>
      <c r="D8" s="1059"/>
      <c r="E8" s="1060"/>
    </row>
    <row r="9" spans="1:8" ht="49.2" customHeight="1" thickBot="1">
      <c r="A9" s="1061"/>
      <c r="B9" s="1090" t="s">
        <v>781</v>
      </c>
      <c r="C9" s="1091"/>
      <c r="D9" s="1063">
        <f>SUM(D6:D7)</f>
        <v>401672350.81147349</v>
      </c>
      <c r="E9" s="1064"/>
    </row>
    <row r="10" spans="1:8" ht="49.2" hidden="1" customHeight="1" thickTop="1" thickBot="1">
      <c r="A10" s="1065"/>
      <c r="B10" s="1092" t="s">
        <v>782</v>
      </c>
      <c r="C10" s="1093"/>
      <c r="D10" s="1067"/>
      <c r="E10" s="1068" t="s">
        <v>783</v>
      </c>
    </row>
    <row r="11" spans="1:8" ht="49.2" customHeight="1" thickBot="1">
      <c r="A11" s="1061"/>
      <c r="B11" s="1090" t="s">
        <v>784</v>
      </c>
      <c r="C11" s="1094">
        <v>0.03</v>
      </c>
      <c r="D11" s="1063">
        <f>D9*C11</f>
        <v>12050170.524344204</v>
      </c>
      <c r="E11" s="1064"/>
    </row>
    <row r="12" spans="1:8" ht="49.2" customHeight="1" thickBot="1">
      <c r="A12" s="1061"/>
      <c r="B12" s="1090" t="s">
        <v>785</v>
      </c>
      <c r="C12" s="1094">
        <v>0.05</v>
      </c>
      <c r="D12" s="1063">
        <f>(D9+D11)*C12</f>
        <v>20686126.066790886</v>
      </c>
      <c r="E12" s="1064"/>
    </row>
    <row r="13" spans="1:8" ht="49.2" customHeight="1" thickBot="1">
      <c r="A13" s="1061"/>
      <c r="B13" s="1090" t="s">
        <v>786</v>
      </c>
      <c r="C13" s="1094">
        <v>0.1</v>
      </c>
      <c r="D13" s="1063">
        <f>(D12+D11+D9)*C13</f>
        <v>43440864.740260862</v>
      </c>
      <c r="E13" s="1064"/>
    </row>
    <row r="14" spans="1:8" ht="49.2" customHeight="1" thickBot="1">
      <c r="A14" s="1061"/>
      <c r="B14" s="1090" t="s">
        <v>787</v>
      </c>
      <c r="C14" s="1091"/>
      <c r="D14" s="1063">
        <f>SUM(D9:D13)</f>
        <v>477849512.14286941</v>
      </c>
      <c r="E14" s="1064"/>
      <c r="G14" s="1095">
        <f>BQ!G74</f>
        <v>434408647.40260857</v>
      </c>
      <c r="H14" s="1054">
        <f>D14-G14</f>
        <v>43440864.740260839</v>
      </c>
    </row>
    <row r="15" spans="1:8" ht="49.2" customHeight="1" thickBot="1">
      <c r="A15" s="1069"/>
      <c r="B15" s="1096" t="s">
        <v>788</v>
      </c>
      <c r="C15" s="1097"/>
      <c r="D15" s="1071">
        <f>ROUNDDOWN(D14,-5)</f>
        <v>477800000</v>
      </c>
      <c r="E15" s="1098" t="s">
        <v>237</v>
      </c>
      <c r="G15" s="1054">
        <f>D15-[3]Summary!$C$14</f>
        <v>220500000</v>
      </c>
    </row>
    <row r="16" spans="1:8" ht="15.6">
      <c r="A16" s="790"/>
      <c r="B16" s="1073"/>
      <c r="C16" s="1073"/>
      <c r="D16" s="1074"/>
      <c r="E16" s="790"/>
    </row>
    <row r="17" spans="2:6" hidden="1">
      <c r="B17" s="1075" t="s">
        <v>789</v>
      </c>
      <c r="C17" s="1075"/>
      <c r="D17" s="1076"/>
      <c r="E17" s="1049" t="s">
        <v>790</v>
      </c>
    </row>
    <row r="18" spans="2:6" hidden="1">
      <c r="B18" s="1075" t="s">
        <v>791</v>
      </c>
      <c r="C18" s="1075"/>
      <c r="D18" s="1076" t="e">
        <f>D15/D17</f>
        <v>#DIV/0!</v>
      </c>
      <c r="E18" s="1049" t="s">
        <v>792</v>
      </c>
    </row>
    <row r="19" spans="2:6" s="790" customFormat="1" ht="19.8" customHeight="1">
      <c r="B19" s="1073" t="s">
        <v>789</v>
      </c>
      <c r="C19" s="1073"/>
      <c r="D19" s="1074">
        <f>(33.5*36*4)+16*4+(17.5*4+16*4)*0.4+17.5*4*0.4+(33.5*25+(13.5+16)*3.58)*0.4</f>
        <v>5346.8440000000001</v>
      </c>
      <c r="F19" s="790">
        <f>45*34</f>
        <v>1530</v>
      </c>
    </row>
    <row r="20" spans="2:6" s="790" customFormat="1" ht="19.8" customHeight="1">
      <c r="B20" s="1073" t="s">
        <v>791</v>
      </c>
      <c r="C20" s="1073"/>
      <c r="D20" s="1074">
        <f>D15/D19</f>
        <v>89361.125927743546</v>
      </c>
      <c r="E20" s="790" t="s">
        <v>793</v>
      </c>
    </row>
    <row r="21" spans="2:6">
      <c r="B21" s="1078"/>
      <c r="C21" s="1078"/>
      <c r="D21" s="1076"/>
    </row>
    <row r="22" spans="2:6" ht="18">
      <c r="B22" s="1099"/>
      <c r="C22" s="1099"/>
      <c r="D22" s="1076"/>
    </row>
    <row r="23" spans="2:6">
      <c r="B23" s="1079"/>
      <c r="C23" s="1079"/>
    </row>
    <row r="25" spans="2:6">
      <c r="D25" s="1080" t="s">
        <v>165</v>
      </c>
    </row>
    <row r="27" spans="2:6">
      <c r="B27" s="1079"/>
      <c r="C27" s="1079"/>
    </row>
    <row r="28" spans="2:6">
      <c r="B28" s="1079"/>
      <c r="C28" s="1079"/>
    </row>
    <row r="29" spans="2:6">
      <c r="B29" s="1079"/>
      <c r="C29" s="1079"/>
    </row>
    <row r="30" spans="2:6">
      <c r="B30" s="1079"/>
      <c r="C30" s="1079"/>
    </row>
    <row r="31" spans="2:6">
      <c r="B31" s="1079"/>
      <c r="C31" s="1079"/>
    </row>
    <row r="32" spans="2:6">
      <c r="B32" s="1079"/>
      <c r="C32" s="1079"/>
    </row>
    <row r="33" spans="2:3">
      <c r="B33" s="1079"/>
      <c r="C33" s="1079"/>
    </row>
    <row r="34" spans="2:3">
      <c r="B34" s="1079"/>
      <c r="C34" s="1079"/>
    </row>
    <row r="35" spans="2:3">
      <c r="B35" s="1079"/>
      <c r="C35" s="1079"/>
    </row>
    <row r="36" spans="2:3">
      <c r="B36" s="1079"/>
      <c r="C36" s="1079"/>
    </row>
    <row r="37" spans="2:3">
      <c r="B37" s="1079"/>
      <c r="C37" s="1079"/>
    </row>
    <row r="38" spans="2:3">
      <c r="B38" s="1079"/>
      <c r="C38" s="1079"/>
    </row>
    <row r="39" spans="2:3">
      <c r="B39" s="1079"/>
      <c r="C39" s="1079"/>
    </row>
    <row r="40" spans="2:3">
      <c r="B40" s="1079"/>
      <c r="C40" s="1079"/>
    </row>
    <row r="41" spans="2:3">
      <c r="B41" s="1079"/>
      <c r="C41" s="1079"/>
    </row>
    <row r="42" spans="2:3">
      <c r="B42" s="1079"/>
      <c r="C42" s="1079"/>
    </row>
    <row r="43" spans="2:3">
      <c r="B43" s="1079"/>
      <c r="C43" s="1079"/>
    </row>
    <row r="44" spans="2:3">
      <c r="B44" s="1079"/>
      <c r="C44" s="1079"/>
    </row>
    <row r="45" spans="2:3">
      <c r="B45" s="1079"/>
      <c r="C45" s="1079"/>
    </row>
    <row r="46" spans="2:3">
      <c r="B46" s="1079"/>
      <c r="C46" s="1079"/>
    </row>
    <row r="47" spans="2:3">
      <c r="B47" s="1079"/>
      <c r="C47" s="1079"/>
    </row>
    <row r="48" spans="2:3">
      <c r="B48" s="1079"/>
      <c r="C48" s="1079"/>
    </row>
    <row r="49" spans="2:3">
      <c r="B49" s="1079"/>
      <c r="C49" s="1079"/>
    </row>
    <row r="50" spans="2:3">
      <c r="B50" s="1079"/>
      <c r="C50" s="1079"/>
    </row>
    <row r="51" spans="2:3">
      <c r="B51" s="1079"/>
      <c r="C51" s="1079"/>
    </row>
    <row r="52" spans="2:3">
      <c r="B52" s="1079"/>
      <c r="C52" s="1079"/>
    </row>
    <row r="53" spans="2:3">
      <c r="B53" s="1079"/>
      <c r="C53" s="1079"/>
    </row>
    <row r="54" spans="2:3">
      <c r="B54" s="1079"/>
      <c r="C54" s="1079"/>
    </row>
    <row r="55" spans="2:3">
      <c r="B55" s="1079"/>
      <c r="C55" s="1079"/>
    </row>
    <row r="56" spans="2:3">
      <c r="B56" s="1079"/>
      <c r="C56" s="1079"/>
    </row>
    <row r="57" spans="2:3">
      <c r="B57" s="1079"/>
      <c r="C57" s="1079"/>
    </row>
    <row r="58" spans="2:3">
      <c r="B58" s="1079"/>
      <c r="C58" s="1079"/>
    </row>
    <row r="59" spans="2:3">
      <c r="B59" s="1079"/>
      <c r="C59" s="1079"/>
    </row>
    <row r="60" spans="2:3">
      <c r="B60" s="1079"/>
      <c r="C60" s="1079"/>
    </row>
    <row r="61" spans="2:3">
      <c r="B61" s="1079"/>
      <c r="C61" s="1079"/>
    </row>
    <row r="62" spans="2:3">
      <c r="B62" s="1079"/>
      <c r="C62" s="1079"/>
    </row>
    <row r="63" spans="2:3">
      <c r="B63" s="1079"/>
      <c r="C63" s="1079"/>
    </row>
    <row r="64" spans="2:3">
      <c r="B64" s="1079"/>
      <c r="C64" s="1079"/>
    </row>
    <row r="65" spans="2:3">
      <c r="B65" s="1079"/>
      <c r="C65" s="1079"/>
    </row>
    <row r="66" spans="2:3">
      <c r="B66" s="1079"/>
      <c r="C66" s="1079"/>
    </row>
    <row r="67" spans="2:3">
      <c r="B67" s="1079"/>
      <c r="C67" s="1079"/>
    </row>
    <row r="68" spans="2:3">
      <c r="B68" s="1079"/>
      <c r="C68" s="1079"/>
    </row>
    <row r="69" spans="2:3">
      <c r="B69" s="1079"/>
      <c r="C69" s="1079"/>
    </row>
    <row r="70" spans="2:3">
      <c r="B70" s="1079"/>
      <c r="C70" s="1079"/>
    </row>
    <row r="71" spans="2:3">
      <c r="B71" s="1079"/>
      <c r="C71" s="1079"/>
    </row>
    <row r="72" spans="2:3">
      <c r="B72" s="1079"/>
      <c r="C72" s="1079"/>
    </row>
    <row r="73" spans="2:3">
      <c r="B73" s="1079"/>
      <c r="C73" s="1079"/>
    </row>
    <row r="74" spans="2:3">
      <c r="B74" s="1079"/>
      <c r="C74" s="1079"/>
    </row>
    <row r="75" spans="2:3">
      <c r="B75" s="1079"/>
      <c r="C75" s="1079"/>
    </row>
    <row r="76" spans="2:3">
      <c r="B76" s="1079"/>
      <c r="C76" s="1079"/>
    </row>
    <row r="77" spans="2:3">
      <c r="B77" s="1079"/>
      <c r="C77" s="1079"/>
    </row>
    <row r="78" spans="2:3">
      <c r="B78" s="1079"/>
      <c r="C78" s="1079"/>
    </row>
    <row r="79" spans="2:3">
      <c r="B79" s="1079"/>
      <c r="C79" s="1079"/>
    </row>
    <row r="80" spans="2:3">
      <c r="B80" s="1079"/>
      <c r="C80" s="1079"/>
    </row>
    <row r="82" spans="2:3">
      <c r="B82" s="1079"/>
      <c r="C82" s="1079"/>
    </row>
    <row r="83" spans="2:3">
      <c r="B83" s="1079"/>
      <c r="C83" s="1079"/>
    </row>
    <row r="84" spans="2:3">
      <c r="B84" s="1079"/>
      <c r="C84" s="1079"/>
    </row>
    <row r="85" spans="2:3">
      <c r="B85" s="1079"/>
      <c r="C85" s="1079"/>
    </row>
    <row r="86" spans="2:3">
      <c r="B86" s="1079"/>
      <c r="C86" s="1079"/>
    </row>
    <row r="87" spans="2:3">
      <c r="B87" s="1079"/>
      <c r="C87" s="1079"/>
    </row>
    <row r="88" spans="2:3">
      <c r="B88" s="1079"/>
      <c r="C88" s="1079"/>
    </row>
    <row r="89" spans="2:3">
      <c r="B89" s="1079"/>
      <c r="C89" s="1079"/>
    </row>
    <row r="90" spans="2:3">
      <c r="B90" s="1079"/>
      <c r="C90" s="1079"/>
    </row>
    <row r="91" spans="2:3">
      <c r="B91" s="1079"/>
      <c r="C91" s="1079"/>
    </row>
    <row r="92" spans="2:3">
      <c r="B92" s="1079"/>
      <c r="C92" s="1079"/>
    </row>
    <row r="93" spans="2:3">
      <c r="B93" s="1079"/>
      <c r="C93" s="1079"/>
    </row>
    <row r="94" spans="2:3">
      <c r="B94" s="1079"/>
      <c r="C94" s="1079"/>
    </row>
    <row r="95" spans="2:3">
      <c r="B95" s="1079"/>
      <c r="C95" s="1079"/>
    </row>
  </sheetData>
  <mergeCells count="7">
    <mergeCell ref="A1:E1"/>
    <mergeCell ref="A2:E2"/>
    <mergeCell ref="A3:E3"/>
    <mergeCell ref="A4:A5"/>
    <mergeCell ref="B4:B5"/>
    <mergeCell ref="D4:D5"/>
    <mergeCell ref="E4:E5"/>
  </mergeCells>
  <printOptions horizontalCentered="1"/>
  <pageMargins left="0.5" right="0.25" top="0.5" bottom="0.5" header="0.25" footer="0.25"/>
  <pageSetup paperSize="9" scale="92" orientation="portrait" r:id="rId1"/>
  <headerFooter scaleWithDoc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N1742"/>
  <sheetViews>
    <sheetView view="pageBreakPreview" topLeftCell="A45" zoomScaleNormal="100" zoomScaleSheetLayoutView="100" workbookViewId="0">
      <selection activeCell="A60" sqref="A60:XFD60"/>
    </sheetView>
  </sheetViews>
  <sheetFormatPr defaultColWidth="8.88671875" defaultRowHeight="16.8"/>
  <cols>
    <col min="1" max="1" width="4.6640625" style="448" customWidth="1"/>
    <col min="2" max="2" width="33.88671875" style="344" customWidth="1"/>
    <col min="3" max="3" width="13.6640625" style="344" customWidth="1"/>
    <col min="4" max="4" width="7" style="344" customWidth="1"/>
    <col min="5" max="5" width="15.109375" style="448" customWidth="1"/>
    <col min="6" max="6" width="6.33203125" style="448" customWidth="1"/>
    <col min="7" max="7" width="17.5546875" style="355" customWidth="1"/>
    <col min="8" max="8" width="20.44140625" style="344" customWidth="1"/>
    <col min="9" max="9" width="24.44140625" style="344" customWidth="1"/>
    <col min="10" max="10" width="10" style="344" bestFit="1" customWidth="1"/>
    <col min="11" max="16384" width="8.88671875" style="344"/>
  </cols>
  <sheetData>
    <row r="1" spans="1:13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  <c r="M1" s="343"/>
    </row>
    <row r="2" spans="1:13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  <c r="M2" s="343"/>
    </row>
    <row r="3" spans="1:13" ht="24.9" customHeight="1">
      <c r="A3" s="1150" t="s">
        <v>9</v>
      </c>
      <c r="B3" s="1150"/>
      <c r="C3" s="1150"/>
      <c r="D3" s="1150"/>
      <c r="E3" s="1150"/>
      <c r="F3" s="1150"/>
      <c r="G3" s="1150"/>
    </row>
    <row r="4" spans="1:13" ht="20.100000000000001" customHeight="1">
      <c r="A4" s="1153" t="s">
        <v>8</v>
      </c>
      <c r="B4" s="1155" t="s">
        <v>1</v>
      </c>
      <c r="C4" s="1151" t="s">
        <v>2</v>
      </c>
      <c r="D4" s="1151" t="s">
        <v>10</v>
      </c>
      <c r="E4" s="1146" t="s">
        <v>4</v>
      </c>
      <c r="F4" s="1146" t="s">
        <v>5</v>
      </c>
      <c r="G4" s="1146" t="s">
        <v>6</v>
      </c>
    </row>
    <row r="5" spans="1:13" ht="24.9" customHeight="1">
      <c r="A5" s="1154"/>
      <c r="B5" s="1156"/>
      <c r="C5" s="1152"/>
      <c r="D5" s="1152"/>
      <c r="E5" s="1147"/>
      <c r="F5" s="1147"/>
      <c r="G5" s="1147"/>
    </row>
    <row r="6" spans="1:13" ht="18" customHeight="1">
      <c r="A6" s="524">
        <v>1</v>
      </c>
      <c r="B6" s="525" t="str">
        <f>VLOOKUP(A6,'Builder Estimate'!A:H,2,FALSE)</f>
        <v>Site  Clearing  Work</v>
      </c>
      <c r="C6" s="524">
        <f>VLOOKUP(A6,'Builder Estimate'!A:H,3,FALSE)</f>
        <v>3246.75</v>
      </c>
      <c r="D6" s="524">
        <f>VLOOKUP(A6,'Builder Estimate'!$A:$H,4,FALSE)</f>
        <v>3246.75</v>
      </c>
      <c r="E6" s="526">
        <f>G6/C6</f>
        <v>217.80000000000004</v>
      </c>
      <c r="F6" s="526" t="str">
        <f>VLOOKUP(A6,'Builder Estimate'!$A:$H,5,FALSE)</f>
        <v>Sft</v>
      </c>
      <c r="G6" s="527">
        <f>VLOOKUP(A6,'Builder Estimate'!$A:$H,8,FALSE)</f>
        <v>707142.15000000014</v>
      </c>
    </row>
    <row r="7" spans="1:13" ht="18" customHeight="1">
      <c r="A7" s="528"/>
      <c r="B7" s="441"/>
      <c r="C7" s="528"/>
      <c r="D7" s="529"/>
      <c r="E7" s="438"/>
      <c r="F7" s="438"/>
      <c r="G7" s="353"/>
    </row>
    <row r="8" spans="1:13" ht="37.5" customHeight="1">
      <c r="A8" s="528">
        <v>2</v>
      </c>
      <c r="B8" s="530" t="str">
        <f>VLOOKUP(A8,'Builder Estimate'!A:H,2,FALSE)</f>
        <v>Surveying  &amp;  Leveling  Work</v>
      </c>
      <c r="C8" s="528">
        <f>VLOOKUP(A8,'Builder Estimate'!A:H,3,FALSE)</f>
        <v>2206.75</v>
      </c>
      <c r="D8" s="528">
        <f>VLOOKUP(A8,'Builder Estimate'!$A:$H,4,FALSE)</f>
        <v>2206.75</v>
      </c>
      <c r="E8" s="438">
        <f>G8/C8</f>
        <v>83.93</v>
      </c>
      <c r="F8" s="438" t="str">
        <f>VLOOKUP(A8,'Builder Estimate'!$A:$H,5,FALSE)</f>
        <v>Sft</v>
      </c>
      <c r="G8" s="353">
        <f>VLOOKUP(A8,'Builder Estimate'!$A:$H,8,FALSE)</f>
        <v>185212.52750000003</v>
      </c>
    </row>
    <row r="9" spans="1:13" ht="18" customHeight="1">
      <c r="A9" s="528"/>
      <c r="B9" s="354"/>
      <c r="C9" s="528"/>
      <c r="D9" s="528"/>
      <c r="E9" s="438"/>
      <c r="F9" s="438"/>
      <c r="G9" s="353"/>
    </row>
    <row r="10" spans="1:13" ht="38.4" customHeight="1">
      <c r="A10" s="528">
        <v>3</v>
      </c>
      <c r="B10" s="530" t="str">
        <f>VLOOKUP(A10,'Builder Estimate'!A:H,2,FALSE)</f>
        <v>Earth  Work  Excavating Foundation in Ordinary Soil to a depth of 5Ft.</v>
      </c>
      <c r="C10" s="528">
        <f>VLOOKUP(A10,'Builder Estimate'!A:H,3,FALSE)</f>
        <v>11624.03125</v>
      </c>
      <c r="D10" s="528">
        <f>VLOOKUP(A10,'Builder Estimate'!$A:$H,4,FALSE)</f>
        <v>11624.03125</v>
      </c>
      <c r="E10" s="438">
        <f>G10/C10</f>
        <v>435.60000000000008</v>
      </c>
      <c r="F10" s="438" t="str">
        <f>VLOOKUP(A10,'Builder Estimate'!$A:$H,5,FALSE)</f>
        <v>Cft</v>
      </c>
      <c r="G10" s="353">
        <f>VLOOKUP(A10,'Builder Estimate'!$A:$H,8,FALSE)</f>
        <v>5063428.0125000011</v>
      </c>
    </row>
    <row r="11" spans="1:13" ht="18" customHeight="1">
      <c r="A11" s="528"/>
      <c r="B11" s="354"/>
      <c r="C11" s="528"/>
      <c r="D11" s="528"/>
      <c r="E11" s="438"/>
      <c r="F11" s="438"/>
      <c r="G11" s="353"/>
    </row>
    <row r="12" spans="1:13" ht="35.4" customHeight="1">
      <c r="A12" s="528">
        <v>4</v>
      </c>
      <c r="B12" s="530" t="str">
        <f>VLOOKUP(A12,'Builder Estimate'!A:H,2,FALSE)</f>
        <v>Plumb Concrete with (6"x9") Stone and (1:3:6)Lean Concrete</v>
      </c>
      <c r="C12" s="528">
        <f>VLOOKUP(A12,'Builder Estimate'!A:H,3,FALSE)</f>
        <v>1375.625</v>
      </c>
      <c r="D12" s="528">
        <f>VLOOKUP(A12,'Builder Estimate'!$A:$H,4,FALSE)</f>
        <v>1375.625</v>
      </c>
      <c r="E12" s="438">
        <f>G12/C12</f>
        <v>5295.9675253672576</v>
      </c>
      <c r="F12" s="438" t="str">
        <f>VLOOKUP(A12,'Builder Estimate'!$A:$H,5,FALSE)</f>
        <v>Cft</v>
      </c>
      <c r="G12" s="353">
        <f>VLOOKUP(A12,'Builder Estimate'!$A:$H,8,FALSE)</f>
        <v>7285265.3270833343</v>
      </c>
    </row>
    <row r="13" spans="1:13" ht="18" customHeight="1">
      <c r="A13" s="528"/>
      <c r="B13" s="354" t="s">
        <v>619</v>
      </c>
      <c r="C13" s="528"/>
      <c r="D13" s="528"/>
      <c r="E13" s="438"/>
      <c r="F13" s="438"/>
      <c r="G13" s="353"/>
    </row>
    <row r="14" spans="1:13" ht="18" customHeight="1">
      <c r="A14" s="528"/>
      <c r="B14" s="354" t="s">
        <v>620</v>
      </c>
      <c r="C14" s="528"/>
      <c r="D14" s="528"/>
      <c r="E14" s="438"/>
      <c r="F14" s="438"/>
      <c r="G14" s="353"/>
    </row>
    <row r="15" spans="1:13" ht="18" customHeight="1">
      <c r="A15" s="528"/>
      <c r="B15" s="354"/>
      <c r="C15" s="528"/>
      <c r="D15" s="528"/>
      <c r="E15" s="438"/>
      <c r="F15" s="438"/>
      <c r="G15" s="353"/>
    </row>
    <row r="16" spans="1:13" ht="18" customHeight="1">
      <c r="A16" s="528">
        <v>5</v>
      </c>
      <c r="B16" s="354" t="str">
        <f>VLOOKUP(A16,'Builder Estimate'!A:H,2,FALSE)</f>
        <v>Hardcore Filling Work</v>
      </c>
      <c r="C16" s="528">
        <f>VLOOKUP(A16,'Builder Estimate'!A:H,3,FALSE)</f>
        <v>454.10416666666663</v>
      </c>
      <c r="D16" s="528">
        <f>VLOOKUP(A16,'Builder Estimate'!$A:$H,4,FALSE)</f>
        <v>454.10416666666663</v>
      </c>
      <c r="E16" s="438">
        <f>G16/C16</f>
        <v>2966.15</v>
      </c>
      <c r="F16" s="438" t="str">
        <f>VLOOKUP(A16,'Builder Estimate'!$A:$H,5,FALSE)</f>
        <v>Cft</v>
      </c>
      <c r="G16" s="353">
        <f>VLOOKUP(A16,'Builder Estimate'!$A:$H,8,FALSE)</f>
        <v>1346941.0739583333</v>
      </c>
    </row>
    <row r="17" spans="1:9" ht="18" customHeight="1">
      <c r="A17" s="528"/>
      <c r="B17" s="354"/>
      <c r="C17" s="528"/>
      <c r="D17" s="528"/>
      <c r="E17" s="438"/>
      <c r="F17" s="438"/>
      <c r="G17" s="353"/>
    </row>
    <row r="18" spans="1:9" ht="18" customHeight="1">
      <c r="A18" s="528">
        <v>6</v>
      </c>
      <c r="B18" s="354" t="str">
        <f>VLOOKUP(A18,'Builder Estimate'!A:H,2,FALSE)</f>
        <v>1:3:6 Lean  Concrete  Laying Work</v>
      </c>
      <c r="C18" s="528">
        <f>VLOOKUP(A18,'Builder Estimate'!A:H,3,FALSE)</f>
        <v>779.45833333333326</v>
      </c>
      <c r="D18" s="528">
        <f>VLOOKUP(A18,'Builder Estimate'!$A:$H,4,FALSE)</f>
        <v>779.45833333333326</v>
      </c>
      <c r="E18" s="438">
        <f>G18/C18</f>
        <v>6283.9857142857145</v>
      </c>
      <c r="F18" s="438" t="str">
        <f>VLOOKUP(A18,'Builder Estimate'!$A:$H,5,FALSE)</f>
        <v>Cft</v>
      </c>
      <c r="G18" s="353">
        <f>VLOOKUP(A18,'Builder Estimate'!$A:$H,8,FALSE)</f>
        <v>4898105.031547619</v>
      </c>
      <c r="I18" s="355"/>
    </row>
    <row r="19" spans="1:9" ht="18" customHeight="1">
      <c r="A19" s="528"/>
      <c r="B19" s="354"/>
      <c r="C19" s="528"/>
      <c r="D19" s="528"/>
      <c r="E19" s="438"/>
      <c r="F19" s="438"/>
      <c r="G19" s="353"/>
      <c r="I19" s="355"/>
    </row>
    <row r="20" spans="1:9" ht="18" customHeight="1">
      <c r="A20" s="528">
        <v>7</v>
      </c>
      <c r="B20" s="354" t="str">
        <f>VLOOKUP(A20,'Builder Estimate'!A:H,2,FALSE)</f>
        <v>Sand  Filling  Work</v>
      </c>
      <c r="C20" s="528">
        <f>VLOOKUP(A20,'Builder Estimate'!A:H,3,FALSE)</f>
        <v>2236.875</v>
      </c>
      <c r="D20" s="528">
        <f>VLOOKUP(A20,'Builder Estimate'!$A:$H,4,FALSE)</f>
        <v>2236.875</v>
      </c>
      <c r="E20" s="438">
        <f>G20/C20</f>
        <v>905.3</v>
      </c>
      <c r="F20" s="438" t="str">
        <f>VLOOKUP(A20,'Builder Estimate'!$A:$H,5,FALSE)</f>
        <v>Cft</v>
      </c>
      <c r="G20" s="353">
        <f>VLOOKUP(A20,'Builder Estimate'!$A:$H,8,FALSE)</f>
        <v>2025042.9375</v>
      </c>
      <c r="I20" s="355"/>
    </row>
    <row r="21" spans="1:9" ht="18" customHeight="1">
      <c r="A21" s="528"/>
      <c r="B21" s="354"/>
      <c r="C21" s="528"/>
      <c r="D21" s="528"/>
      <c r="E21" s="438"/>
      <c r="F21" s="438"/>
      <c r="G21" s="353"/>
      <c r="I21" s="355"/>
    </row>
    <row r="22" spans="1:9" ht="36.6" customHeight="1">
      <c r="A22" s="528">
        <v>8</v>
      </c>
      <c r="B22" s="530" t="str">
        <f>VLOOKUP(A22,'Builder Estimate'!A:H,2,FALSE)</f>
        <v>1:2:4 Reinforced Cement  Concrete  Work</v>
      </c>
      <c r="C22" s="528">
        <f>VLOOKUP(A22,'Builder Estimate'!A:H,3,FALSE)</f>
        <v>6206.162274305555</v>
      </c>
      <c r="D22" s="528">
        <f>VLOOKUP(A22,'Builder Estimate'!$A:$H,4,FALSE)</f>
        <v>6206.162274305555</v>
      </c>
      <c r="E22" s="438">
        <f>G22/C22</f>
        <v>9313.3766620321203</v>
      </c>
      <c r="F22" s="438" t="str">
        <f>VLOOKUP(A22,'Builder Estimate'!$A:$H,5,FALSE)</f>
        <v>Cft</v>
      </c>
      <c r="G22" s="353">
        <f>VLOOKUP(A22,'Builder Estimate'!$A:$H,8,FALSE)</f>
        <v>57800326.88630154</v>
      </c>
    </row>
    <row r="23" spans="1:9" ht="18" customHeight="1">
      <c r="A23" s="528"/>
      <c r="B23" s="354"/>
      <c r="C23" s="528"/>
      <c r="D23" s="528"/>
      <c r="E23" s="438"/>
      <c r="F23" s="438"/>
      <c r="G23" s="353"/>
    </row>
    <row r="24" spans="1:9" ht="18" customHeight="1">
      <c r="A24" s="528">
        <v>9</v>
      </c>
      <c r="B24" s="354" t="str">
        <f>VLOOKUP(A24,'Builder Estimate'!A:H,2,FALSE)</f>
        <v>Earth  Filling  &amp;  Watering  Work</v>
      </c>
      <c r="C24" s="528">
        <f>VLOOKUP(A24,'Builder Estimate'!A:H,3,FALSE)</f>
        <v>8322.6018518518522</v>
      </c>
      <c r="D24" s="528">
        <f>VLOOKUP(A24,'Builder Estimate'!$A:$H,4,FALSE)</f>
        <v>8322.6018518518522</v>
      </c>
      <c r="E24" s="438">
        <f>G24/C24</f>
        <v>217.79999999999998</v>
      </c>
      <c r="F24" s="438" t="str">
        <f>VLOOKUP(A24,'Builder Estimate'!$A:$H,5,FALSE)</f>
        <v>Cft</v>
      </c>
      <c r="G24" s="353">
        <f>VLOOKUP(A24,'Builder Estimate'!$A:$H,8,FALSE)</f>
        <v>1812662.6833333333</v>
      </c>
    </row>
    <row r="25" spans="1:9" ht="18" customHeight="1">
      <c r="A25" s="528"/>
      <c r="B25" s="354"/>
      <c r="C25" s="528"/>
      <c r="D25" s="528"/>
      <c r="E25" s="438"/>
      <c r="F25" s="438"/>
      <c r="G25" s="353"/>
    </row>
    <row r="26" spans="1:9" ht="18" customHeight="1">
      <c r="A26" s="528">
        <v>10</v>
      </c>
      <c r="B26" s="354" t="str">
        <f>VLOOKUP(A26,'Builder Estimate'!A:H,2,FALSE)</f>
        <v>Form Work - 3 Time Used</v>
      </c>
      <c r="C26" s="528">
        <f>VLOOKUP(A26,'Builder Estimate'!A:H,3,FALSE)</f>
        <v>12491.302499999998</v>
      </c>
      <c r="D26" s="528">
        <f>VLOOKUP(A26,'Builder Estimate'!$A:$H,4,FALSE)</f>
        <v>12491.302499999998</v>
      </c>
      <c r="E26" s="438">
        <f>G26/C26</f>
        <v>8023.6291666666666</v>
      </c>
      <c r="F26" s="438" t="str">
        <f>VLOOKUP(A26,'Builder Estimate'!$A:$H,5,FALSE)</f>
        <v>Sft</v>
      </c>
      <c r="G26" s="353">
        <f>VLOOKUP(A26,'Builder Estimate'!$A:$H,8,FALSE)</f>
        <v>100225579.06865624</v>
      </c>
    </row>
    <row r="27" spans="1:9" ht="18" customHeight="1">
      <c r="A27" s="528"/>
      <c r="B27" s="354"/>
      <c r="C27" s="528"/>
      <c r="D27" s="528"/>
      <c r="E27" s="438"/>
      <c r="F27" s="438"/>
      <c r="G27" s="353"/>
    </row>
    <row r="28" spans="1:9" ht="18" customHeight="1">
      <c r="A28" s="528" t="s">
        <v>757</v>
      </c>
      <c r="B28" s="354" t="str">
        <f>VLOOKUP(A28,'Builder Estimate'!A:H,2,FALSE)</f>
        <v xml:space="preserve"> Mild Steel Work for Footing</v>
      </c>
      <c r="C28" s="571">
        <f>VLOOKUP(A28,'Builder Estimate'!A:H,3,FALSE)</f>
        <v>9.1803088489281723</v>
      </c>
      <c r="D28" s="528">
        <f>VLOOKUP(A28,'Builder Estimate'!$A:$H,4,FALSE)</f>
        <v>9.1803088489281723</v>
      </c>
      <c r="E28" s="438">
        <f>G28/C28</f>
        <v>4099700.0000000009</v>
      </c>
      <c r="F28" s="438" t="str">
        <f>VLOOKUP(A28,'Builder Estimate'!$A:$H,5,FALSE)</f>
        <v>Ton</v>
      </c>
      <c r="G28" s="353">
        <f>VLOOKUP(A28,'Builder Estimate'!$A:$H,8,FALSE)</f>
        <v>37636512.187950835</v>
      </c>
    </row>
    <row r="29" spans="1:9" ht="18" customHeight="1">
      <c r="A29" s="528"/>
      <c r="B29" s="354"/>
      <c r="C29" s="571"/>
      <c r="D29" s="528"/>
      <c r="E29" s="438"/>
      <c r="F29" s="438"/>
      <c r="G29" s="353"/>
    </row>
    <row r="30" spans="1:9" ht="18" customHeight="1">
      <c r="A30" s="528" t="s">
        <v>758</v>
      </c>
      <c r="B30" s="354" t="str">
        <f>VLOOKUP(A30,'Builder Estimate'!A:H,2,FALSE)</f>
        <v xml:space="preserve"> Mild Steel Work for Basement Wall</v>
      </c>
      <c r="C30" s="571">
        <f>VLOOKUP(A30,'Builder Estimate'!A:H,3,FALSE)</f>
        <v>1.3835555724880626</v>
      </c>
      <c r="D30" s="528">
        <f>VLOOKUP(A30,'Builder Estimate'!$A:$H,4,FALSE)</f>
        <v>1.3835555724880626</v>
      </c>
      <c r="E30" s="438">
        <f>G30/C30</f>
        <v>3835904.6670803246</v>
      </c>
      <c r="F30" s="438" t="str">
        <f>VLOOKUP(A30,'Builder Estimate'!$A:$H,5,FALSE)</f>
        <v>Ton</v>
      </c>
      <c r="G30" s="353">
        <f>VLOOKUP(A30,'Builder Estimate'!$A:$H,8,FALSE)</f>
        <v>5307187.2776719499</v>
      </c>
    </row>
    <row r="31" spans="1:9" ht="18" customHeight="1">
      <c r="A31" s="528"/>
      <c r="B31" s="354"/>
      <c r="C31" s="571"/>
      <c r="D31" s="528"/>
      <c r="E31" s="438"/>
      <c r="F31" s="438"/>
      <c r="G31" s="353"/>
    </row>
    <row r="32" spans="1:9" ht="18" customHeight="1">
      <c r="A32" s="528" t="s">
        <v>759</v>
      </c>
      <c r="B32" s="354" t="str">
        <f>VLOOKUP(A32,'Builder Estimate'!A:H,2,FALSE)</f>
        <v xml:space="preserve"> Mild Steel Work for Column</v>
      </c>
      <c r="C32" s="571">
        <f>VLOOKUP(A32,'Builder Estimate'!A:H,3,FALSE)</f>
        <v>3.9821284161332926</v>
      </c>
      <c r="D32" s="528">
        <f>VLOOKUP(A32,'Builder Estimate'!$A:$H,4,FALSE)</f>
        <v>3.9821284161332926</v>
      </c>
      <c r="E32" s="438">
        <f>G32/C32</f>
        <v>4172661.0757986316</v>
      </c>
      <c r="F32" s="438" t="str">
        <f>VLOOKUP(A32,'Builder Estimate'!$A:$H,5,FALSE)</f>
        <v>Ton</v>
      </c>
      <c r="G32" s="353">
        <f>VLOOKUP(A32,'Builder Estimate'!$A:$H,8,FALSE)</f>
        <v>16616072.240831045</v>
      </c>
    </row>
    <row r="33" spans="1:7" ht="18" customHeight="1">
      <c r="A33" s="528"/>
      <c r="B33" s="354"/>
      <c r="C33" s="571"/>
      <c r="D33" s="528"/>
      <c r="E33" s="438"/>
      <c r="F33" s="438"/>
      <c r="G33" s="353"/>
    </row>
    <row r="34" spans="1:7" ht="18" customHeight="1">
      <c r="A34" s="528" t="s">
        <v>760</v>
      </c>
      <c r="B34" s="354" t="str">
        <f>VLOOKUP(A34,'Builder Estimate'!A:H,2,FALSE)</f>
        <v xml:space="preserve"> Mild Steel Work for Beam</v>
      </c>
      <c r="C34" s="571">
        <f>VLOOKUP(A34,'Builder Estimate'!A:H,3,FALSE)</f>
        <v>7.544172508381596</v>
      </c>
      <c r="D34" s="528">
        <f>VLOOKUP(A34,'Builder Estimate'!$A:$H,4,FALSE)</f>
        <v>7.544172508381596</v>
      </c>
      <c r="E34" s="438">
        <f>G34/C34</f>
        <v>4105912.0114267566</v>
      </c>
      <c r="F34" s="438" t="str">
        <f>VLOOKUP(A34,'Builder Estimate'!$A:$H,5,FALSE)</f>
        <v>Ton</v>
      </c>
      <c r="G34" s="353">
        <f>VLOOKUP(A34,'Builder Estimate'!$A:$H,8,FALSE)</f>
        <v>30975708.51843952</v>
      </c>
    </row>
    <row r="35" spans="1:7" ht="18" customHeight="1">
      <c r="A35" s="528"/>
      <c r="B35" s="354"/>
      <c r="C35" s="571"/>
      <c r="D35" s="528"/>
      <c r="E35" s="438"/>
      <c r="F35" s="438"/>
      <c r="G35" s="353"/>
    </row>
    <row r="36" spans="1:7" ht="18" customHeight="1">
      <c r="A36" s="528" t="s">
        <v>761</v>
      </c>
      <c r="B36" s="354" t="str">
        <f>VLOOKUP(A36,'Builder Estimate'!A:H,2,FALSE)</f>
        <v xml:space="preserve"> Mild Steel Work for Slab</v>
      </c>
      <c r="C36" s="571">
        <f>VLOOKUP(A36,'Builder Estimate'!A:H,3,FALSE)</f>
        <v>8.8262704460022388</v>
      </c>
      <c r="D36" s="528">
        <f>VLOOKUP(A36,'Builder Estimate'!$A:$H,4,FALSE)</f>
        <v>8.8262704460022388</v>
      </c>
      <c r="E36" s="438">
        <f>G36/C36</f>
        <v>4087670.5878760978</v>
      </c>
      <c r="F36" s="438" t="str">
        <f>VLOOKUP(A36,'Builder Estimate'!$A:$H,5,FALSE)</f>
        <v>Ton</v>
      </c>
      <c r="G36" s="353">
        <f>VLOOKUP(A36,'Builder Estimate'!$A:$H,8,FALSE)</f>
        <v>36078886.102763399</v>
      </c>
    </row>
    <row r="37" spans="1:7" ht="18" customHeight="1">
      <c r="A37" s="528"/>
      <c r="B37" s="354"/>
      <c r="C37" s="571"/>
      <c r="D37" s="528"/>
      <c r="E37" s="438"/>
      <c r="F37" s="438"/>
      <c r="G37" s="353"/>
    </row>
    <row r="38" spans="1:7" ht="18" customHeight="1">
      <c r="A38" s="528" t="s">
        <v>762</v>
      </c>
      <c r="B38" s="354" t="str">
        <f>VLOOKUP(A38,'Builder Estimate'!A:H,2,FALSE)</f>
        <v xml:space="preserve"> Mild Steel Work for Stiffner</v>
      </c>
      <c r="C38" s="571">
        <f>VLOOKUP(A38,'Builder Estimate'!A:H,3,FALSE)</f>
        <v>1.8414568729046021</v>
      </c>
      <c r="D38" s="528">
        <f>VLOOKUP(A38,'Builder Estimate'!$A:$H,4,FALSE)</f>
        <v>1.8414568729046021</v>
      </c>
      <c r="E38" s="438">
        <f>G38/C38</f>
        <v>4661323.0369325811</v>
      </c>
      <c r="F38" s="438" t="str">
        <f>VLOOKUP(A38,'Builder Estimate'!$A:$H,5,FALSE)</f>
        <v>Ton</v>
      </c>
      <c r="G38" s="353">
        <f>VLOOKUP(A38,'Builder Estimate'!$A:$H,8,FALSE)</f>
        <v>8583625.3431880549</v>
      </c>
    </row>
    <row r="39" spans="1:7" ht="18" customHeight="1">
      <c r="A39" s="528"/>
      <c r="B39" s="354"/>
      <c r="C39" s="528"/>
      <c r="D39" s="528"/>
      <c r="E39" s="438"/>
      <c r="F39" s="438"/>
      <c r="G39" s="353"/>
    </row>
    <row r="40" spans="1:7" ht="18" customHeight="1">
      <c r="A40" s="528">
        <v>12</v>
      </c>
      <c r="B40" s="354" t="str">
        <f>VLOOKUP(A40,'Builder Estimate'!A:H,2,FALSE)</f>
        <v>1½" thk; 1:2:4 Cement  Concrete</v>
      </c>
      <c r="C40" s="528">
        <f>VLOOKUP(A40,'Builder Estimate'!A:H,3,FALSE)</f>
        <v>4865.5</v>
      </c>
      <c r="D40" s="528">
        <f>VLOOKUP(A40,'Builder Estimate'!$A:$H,4,FALSE)</f>
        <v>4865.5</v>
      </c>
      <c r="E40" s="438">
        <f>G40/C40</f>
        <v>1294.0025382797248</v>
      </c>
      <c r="F40" s="438" t="str">
        <f>VLOOKUP(A40,'Builder Estimate'!$A:$H,5,FALSE)</f>
        <v>Sft</v>
      </c>
      <c r="G40" s="353">
        <f>VLOOKUP(A40,'Builder Estimate'!$A:$H,8,FALSE)</f>
        <v>6295969.3500000015</v>
      </c>
    </row>
    <row r="41" spans="1:7" ht="18" customHeight="1">
      <c r="A41" s="528"/>
      <c r="B41" s="354"/>
      <c r="C41" s="528"/>
      <c r="D41" s="528"/>
      <c r="E41" s="438"/>
      <c r="F41" s="438"/>
      <c r="G41" s="353"/>
    </row>
    <row r="42" spans="1:7" ht="18" customHeight="1">
      <c r="A42" s="528">
        <v>13</v>
      </c>
      <c r="B42" s="354" t="str">
        <f>VLOOKUP(A42,'Builder Estimate'!A:H,2,FALSE)</f>
        <v>9" &amp; above Thk Brick Retaining Wall</v>
      </c>
      <c r="C42" s="528">
        <f>VLOOKUP(A42,'Builder Estimate'!A:H,3,FALSE)</f>
        <v>752.53906249999989</v>
      </c>
      <c r="D42" s="528">
        <f>VLOOKUP(A42,'Builder Estimate'!$A:$H,4,FALSE)</f>
        <v>752.53906249999989</v>
      </c>
      <c r="E42" s="438">
        <f>G42/C42</f>
        <v>8301.6214285714286</v>
      </c>
      <c r="F42" s="438" t="str">
        <f>VLOOKUP(A42,'Builder Estimate'!$A:$H,5,FALSE)</f>
        <v>Cft</v>
      </c>
      <c r="G42" s="353">
        <f>VLOOKUP(A42,'Builder Estimate'!$A:$H,8,FALSE)</f>
        <v>6247294.4070870532</v>
      </c>
    </row>
    <row r="43" spans="1:7" ht="18" customHeight="1">
      <c r="A43" s="528"/>
      <c r="B43" s="354"/>
      <c r="C43" s="528"/>
      <c r="D43" s="528"/>
      <c r="E43" s="438"/>
      <c r="F43" s="438"/>
      <c r="G43" s="353"/>
    </row>
    <row r="44" spans="1:7" ht="39.6" customHeight="1">
      <c r="A44" s="528">
        <v>14</v>
      </c>
      <c r="B44" s="530" t="str">
        <f>VLOOKUP(A44,'Builder Estimate'!A:H,2,FALSE)</f>
        <v>4½" thk; Brick  Walling   With 1:3  Cement  Mortar</v>
      </c>
      <c r="C44" s="528">
        <f>VLOOKUP(A44,'Builder Estimate'!A:H,3,FALSE)</f>
        <v>6536.9305555555557</v>
      </c>
      <c r="D44" s="528">
        <f>VLOOKUP(A44,'Builder Estimate'!$A:$H,4,FALSE)</f>
        <v>6536.9305555555557</v>
      </c>
      <c r="E44" s="438">
        <f>G44/C44</f>
        <v>3906.7050000000004</v>
      </c>
      <c r="F44" s="438" t="str">
        <f>VLOOKUP(A44,'Builder Estimate'!$A:$H,5,FALSE)</f>
        <v>Sft</v>
      </c>
      <c r="G44" s="353">
        <f>VLOOKUP(A44,'Builder Estimate'!$A:$H,8,FALSE)</f>
        <v>25537859.28604167</v>
      </c>
    </row>
    <row r="45" spans="1:7" ht="18" customHeight="1">
      <c r="A45" s="528"/>
      <c r="B45" s="354"/>
      <c r="C45" s="528"/>
      <c r="D45" s="528"/>
      <c r="E45" s="438"/>
      <c r="F45" s="438"/>
      <c r="G45" s="353"/>
    </row>
    <row r="46" spans="1:7" ht="34.200000000000003" customHeight="1">
      <c r="A46" s="528">
        <v>15</v>
      </c>
      <c r="B46" s="530" t="str">
        <f>VLOOKUP(A46,'Builder Estimate'!A:H,2,FALSE)</f>
        <v>3/4" thk;  1:3 Cement  Mortar Plastering  Work</v>
      </c>
      <c r="C46" s="528">
        <f>VLOOKUP(A46,'Builder Estimate'!A:H,3,FALSE)</f>
        <v>17350.625000000015</v>
      </c>
      <c r="D46" s="528">
        <f>VLOOKUP(A46,'Builder Estimate'!$A:$H,4,FALSE)</f>
        <v>17350.625000000015</v>
      </c>
      <c r="E46" s="438">
        <f>G46/C46</f>
        <v>1687.1544642857143</v>
      </c>
      <c r="F46" s="438" t="str">
        <f>VLOOKUP(A46,'Builder Estimate'!$A:$H,5,FALSE)</f>
        <v>Sft</v>
      </c>
      <c r="G46" s="353">
        <f>VLOOKUP(A46,'Builder Estimate'!$A:$H,8,FALSE)</f>
        <v>29273184.426897347</v>
      </c>
    </row>
    <row r="47" spans="1:7" ht="18" customHeight="1">
      <c r="A47" s="528"/>
      <c r="B47" s="354"/>
      <c r="C47" s="528"/>
      <c r="D47" s="528"/>
      <c r="E47" s="438"/>
      <c r="F47" s="438"/>
      <c r="G47" s="353"/>
    </row>
    <row r="48" spans="1:7" ht="18" customHeight="1">
      <c r="A48" s="528">
        <v>16</v>
      </c>
      <c r="B48" s="354" t="str">
        <f>VLOOKUP(A48,'Builder Estimate'!A:H,2,FALSE)</f>
        <v xml:space="preserve">Making  Door Chowket </v>
      </c>
      <c r="C48" s="528">
        <f>VLOOKUP(A48,'Builder Estimate'!A:H,3,FALSE)</f>
        <v>268.16666666666663</v>
      </c>
      <c r="D48" s="528">
        <f>VLOOKUP(A48,'Builder Estimate'!$A:$H,4,FALSE)</f>
        <v>268.16666666666663</v>
      </c>
      <c r="E48" s="438">
        <f>G48/C48</f>
        <v>14056.339859125752</v>
      </c>
      <c r="F48" s="438" t="str">
        <f>VLOOKUP(A48,'Builder Estimate'!$A:$H,5,FALSE)</f>
        <v>Rft</v>
      </c>
      <c r="G48" s="353">
        <f>VLOOKUP(A48,'Builder Estimate'!$A:$H,8,FALSE)</f>
        <v>3769441.8055555555</v>
      </c>
    </row>
    <row r="49" spans="1:9" ht="18" customHeight="1">
      <c r="A49" s="528"/>
      <c r="B49" s="354"/>
      <c r="C49" s="528"/>
      <c r="D49" s="528"/>
      <c r="E49" s="438"/>
      <c r="F49" s="438"/>
      <c r="G49" s="353"/>
    </row>
    <row r="50" spans="1:9" ht="35.4" customHeight="1">
      <c r="A50" s="528">
        <v>17</v>
      </c>
      <c r="B50" s="530" t="str">
        <f>VLOOKUP(A50,'Builder Estimate'!A:H,2,FALSE)</f>
        <v>Scaffolding  Works  With  Bamboo ,Double Layer</v>
      </c>
      <c r="C50" s="528">
        <f>VLOOKUP(A50,'Builder Estimate'!A:H,3,FALSE)</f>
        <v>7380</v>
      </c>
      <c r="D50" s="528">
        <f>VLOOKUP(A50,'Builder Estimate'!$A:$H,4,FALSE)</f>
        <v>7380</v>
      </c>
      <c r="E50" s="438">
        <f>G50/C50</f>
        <v>746.31944444444457</v>
      </c>
      <c r="F50" s="438" t="str">
        <f>VLOOKUP(A50,'Builder Estimate'!$A:$H,5,FALSE)</f>
        <v>Sft</v>
      </c>
      <c r="G50" s="353">
        <f>VLOOKUP(A50,'Builder Estimate'!$A:$H,8,FALSE)</f>
        <v>5507837.5000000009</v>
      </c>
    </row>
    <row r="51" spans="1:9" ht="18" customHeight="1">
      <c r="A51" s="528"/>
      <c r="B51" s="354"/>
      <c r="C51" s="528"/>
      <c r="D51" s="528"/>
      <c r="E51" s="438"/>
      <c r="F51" s="438"/>
      <c r="G51" s="353"/>
    </row>
    <row r="52" spans="1:9" ht="18" customHeight="1">
      <c r="A52" s="528">
        <v>18</v>
      </c>
      <c r="B52" s="354" t="str">
        <f>VLOOKUP(A52,'Builder Estimate'!A:H,2,FALSE)</f>
        <v>False  Work</v>
      </c>
      <c r="C52" s="528">
        <f>VLOOKUP(A52,'Builder Estimate'!A:H,3,FALSE)</f>
        <v>495.00000000000006</v>
      </c>
      <c r="D52" s="528">
        <f>VLOOKUP(A52,'Builder Estimate'!$A:$H,4,FALSE)</f>
        <v>450</v>
      </c>
      <c r="E52" s="438">
        <f>G52/C52</f>
        <v>8962.9629629629617</v>
      </c>
      <c r="F52" s="438" t="str">
        <f>VLOOKUP(A52,'Builder Estimate'!$A:$H,5,FALSE)</f>
        <v>Nos.</v>
      </c>
      <c r="G52" s="353">
        <f>VLOOKUP(A52,'Builder Estimate'!$A:$H,8,FALSE)</f>
        <v>4436666.666666667</v>
      </c>
    </row>
    <row r="53" spans="1:9" ht="18" customHeight="1">
      <c r="A53" s="528"/>
      <c r="B53" s="354"/>
      <c r="C53" s="528"/>
      <c r="D53" s="528"/>
      <c r="E53" s="438"/>
      <c r="F53" s="438"/>
      <c r="G53" s="353"/>
    </row>
    <row r="54" spans="1:9" ht="18" customHeight="1">
      <c r="A54" s="528">
        <v>19</v>
      </c>
      <c r="B54" s="354" t="str">
        <f>VLOOKUP(A54,'Builder Estimate'!A:H,2,FALSE)</f>
        <v xml:space="preserve">Water Stopper (or) Polyswell Installation </v>
      </c>
      <c r="C54" s="528">
        <f>VLOOKUP(A54,'Builder Estimate'!A:H,3,FALSE)</f>
        <v>127.66666666666667</v>
      </c>
      <c r="D54" s="528">
        <f>VLOOKUP(A54,'Builder Estimate'!$A:$H,4,FALSE)</f>
        <v>127.66666666666667</v>
      </c>
      <c r="E54" s="438">
        <f>G54/C54</f>
        <v>6800</v>
      </c>
      <c r="F54" s="438" t="str">
        <f>VLOOKUP(A54,'Builder Estimate'!$A:$H,5,FALSE)</f>
        <v>Rft</v>
      </c>
      <c r="G54" s="353">
        <f>VLOOKUP(A54,'Builder Estimate'!$A:$H,8,FALSE)</f>
        <v>868133.33333333337</v>
      </c>
    </row>
    <row r="55" spans="1:9" ht="18" customHeight="1">
      <c r="A55" s="528"/>
      <c r="B55" s="354"/>
      <c r="C55" s="528"/>
      <c r="D55" s="528"/>
      <c r="E55" s="438"/>
      <c r="F55" s="438"/>
      <c r="G55" s="353"/>
    </row>
    <row r="56" spans="1:9" ht="18" customHeight="1">
      <c r="A56" s="528">
        <v>20</v>
      </c>
      <c r="B56" s="354" t="str">
        <f>VLOOKUP(A56,'Builder Estimate'!A:H,2,FALSE)</f>
        <v>Water Proofing Membrane with Polyfoam</v>
      </c>
      <c r="C56" s="528">
        <f>VLOOKUP(A56,'Builder Estimate'!A:H,3,FALSE)</f>
        <v>522.66666666666674</v>
      </c>
      <c r="D56" s="528">
        <f>VLOOKUP(A56,'Builder Estimate'!$A:$H,4,FALSE)</f>
        <v>522.66666666666674</v>
      </c>
      <c r="E56" s="438">
        <f>G56/C56</f>
        <v>6100</v>
      </c>
      <c r="F56" s="438" t="str">
        <f>VLOOKUP(A56,'Builder Estimate'!$A:$H,5,FALSE)</f>
        <v>Sft</v>
      </c>
      <c r="G56" s="353">
        <f>VLOOKUP(A56,'Builder Estimate'!$A:$H,8,FALSE)</f>
        <v>3188266.666666667</v>
      </c>
    </row>
    <row r="57" spans="1:9" ht="18" customHeight="1">
      <c r="A57" s="531"/>
      <c r="B57" s="532"/>
      <c r="C57" s="533"/>
      <c r="D57" s="533"/>
      <c r="E57" s="533"/>
      <c r="F57" s="533"/>
      <c r="G57" s="360"/>
    </row>
    <row r="58" spans="1:9" ht="21" customHeight="1">
      <c r="A58" s="534"/>
      <c r="B58" s="1148" t="s">
        <v>781</v>
      </c>
      <c r="C58" s="1148"/>
      <c r="D58" s="1148"/>
      <c r="E58" s="1148"/>
      <c r="F58" s="1149"/>
      <c r="G58" s="459">
        <f>SUM(G6:G57)</f>
        <v>401672350.81147361</v>
      </c>
      <c r="H58" s="355">
        <f>'Builder Estimate'!H648</f>
        <v>401672350.81147355</v>
      </c>
      <c r="I58" s="355">
        <f>G58-H58</f>
        <v>0</v>
      </c>
    </row>
    <row r="59" spans="1:9" ht="18" customHeight="1">
      <c r="A59" s="1036"/>
      <c r="B59" s="1144" t="s">
        <v>784</v>
      </c>
      <c r="C59" s="1144"/>
      <c r="D59" s="1144"/>
      <c r="E59" s="1144"/>
      <c r="F59" s="1037">
        <v>0.03</v>
      </c>
      <c r="G59" s="1038">
        <f>G58*F59</f>
        <v>12050170.524344208</v>
      </c>
    </row>
    <row r="60" spans="1:9" ht="18" customHeight="1">
      <c r="A60" s="1036"/>
      <c r="B60" s="1144" t="s">
        <v>785</v>
      </c>
      <c r="C60" s="1144"/>
      <c r="D60" s="1144"/>
      <c r="E60" s="1144"/>
      <c r="F60" s="1037">
        <v>0.05</v>
      </c>
      <c r="G60" s="1038">
        <f>(G59+G58)*F60</f>
        <v>20686126.066790894</v>
      </c>
    </row>
    <row r="61" spans="1:9" ht="18" hidden="1" customHeight="1">
      <c r="A61" s="1036"/>
      <c r="B61" s="1144" t="s">
        <v>786</v>
      </c>
      <c r="C61" s="1144"/>
      <c r="D61" s="1144"/>
      <c r="E61" s="1144"/>
      <c r="F61" s="1037">
        <v>0.1</v>
      </c>
      <c r="G61" s="1038"/>
    </row>
    <row r="62" spans="1:9" ht="18" customHeight="1">
      <c r="A62" s="1036"/>
      <c r="B62" s="1145" t="s">
        <v>787</v>
      </c>
      <c r="C62" s="1145"/>
      <c r="D62" s="1145"/>
      <c r="E62" s="1145"/>
      <c r="F62" s="1145"/>
      <c r="G62" s="1100">
        <f>SUM(G58:G61)</f>
        <v>434408647.40260869</v>
      </c>
    </row>
    <row r="63" spans="1:9" ht="18" customHeight="1"/>
    <row r="64" spans="1:9" ht="18" customHeight="1"/>
    <row r="65" spans="1:8" ht="18" customHeight="1"/>
    <row r="66" spans="1:8" ht="18" customHeight="1"/>
    <row r="67" spans="1:8" ht="18" customHeight="1"/>
    <row r="68" spans="1:8" ht="18" customHeight="1"/>
    <row r="69" spans="1:8" ht="18" customHeight="1">
      <c r="A69" s="535"/>
      <c r="B69" s="536"/>
      <c r="C69" s="536"/>
      <c r="D69" s="536"/>
      <c r="E69" s="535"/>
      <c r="F69" s="535"/>
      <c r="G69" s="439"/>
    </row>
    <row r="70" spans="1:8" ht="18" customHeight="1">
      <c r="A70" s="535"/>
      <c r="B70" s="536"/>
      <c r="C70" s="536"/>
      <c r="D70" s="536"/>
      <c r="E70" s="535"/>
      <c r="F70" s="535"/>
      <c r="G70" s="439"/>
    </row>
    <row r="71" spans="1:8" ht="18" customHeight="1">
      <c r="A71" s="535"/>
      <c r="B71" s="536"/>
      <c r="C71" s="536"/>
      <c r="D71" s="536"/>
      <c r="E71" s="535"/>
      <c r="F71" s="535"/>
      <c r="G71" s="439"/>
    </row>
    <row r="72" spans="1:8" ht="18" customHeight="1">
      <c r="A72" s="535"/>
      <c r="B72" s="536"/>
      <c r="C72" s="536"/>
      <c r="D72" s="536"/>
      <c r="E72" s="535"/>
      <c r="F72" s="535"/>
      <c r="G72" s="439"/>
    </row>
    <row r="73" spans="1:8" ht="18" customHeight="1">
      <c r="A73" s="535"/>
      <c r="B73" s="536"/>
      <c r="C73" s="536"/>
      <c r="D73" s="536"/>
      <c r="E73" s="535"/>
      <c r="F73" s="535"/>
      <c r="G73" s="439"/>
    </row>
    <row r="74" spans="1:8" ht="18" customHeight="1">
      <c r="A74" s="535"/>
      <c r="B74" s="536"/>
      <c r="C74" s="536"/>
      <c r="D74" s="536"/>
      <c r="E74" s="535"/>
      <c r="F74" s="535"/>
      <c r="G74" s="439"/>
    </row>
    <row r="75" spans="1:8" ht="18" customHeight="1">
      <c r="A75" s="535"/>
      <c r="B75" s="536"/>
      <c r="C75" s="536"/>
      <c r="D75" s="536"/>
      <c r="E75" s="535"/>
      <c r="F75" s="535"/>
      <c r="G75" s="439"/>
    </row>
    <row r="76" spans="1:8" ht="18" customHeight="1">
      <c r="A76" s="535"/>
      <c r="B76" s="536"/>
      <c r="C76" s="536"/>
      <c r="D76" s="536"/>
      <c r="E76" s="535"/>
      <c r="F76" s="535"/>
      <c r="G76" s="439"/>
    </row>
    <row r="77" spans="1:8" ht="18" customHeight="1">
      <c r="A77" s="535"/>
      <c r="B77" s="536"/>
      <c r="C77" s="536"/>
      <c r="D77" s="536"/>
      <c r="E77" s="535"/>
      <c r="F77" s="535"/>
      <c r="G77" s="439"/>
    </row>
    <row r="78" spans="1:8" ht="18" customHeight="1">
      <c r="A78" s="535"/>
      <c r="B78" s="536"/>
      <c r="C78" s="536"/>
      <c r="D78" s="536"/>
      <c r="E78" s="535"/>
      <c r="F78" s="535"/>
      <c r="G78" s="439"/>
      <c r="H78" s="391"/>
    </row>
    <row r="79" spans="1:8" ht="18" customHeight="1">
      <c r="A79" s="535"/>
      <c r="B79" s="536"/>
      <c r="C79" s="536"/>
      <c r="D79" s="536"/>
      <c r="E79" s="535"/>
      <c r="F79" s="535"/>
      <c r="G79" s="439"/>
    </row>
    <row r="80" spans="1:8" ht="18" customHeight="1">
      <c r="A80" s="535"/>
      <c r="B80" s="536"/>
      <c r="C80" s="536"/>
      <c r="D80" s="536"/>
      <c r="E80" s="535"/>
      <c r="F80" s="535"/>
      <c r="G80" s="439"/>
    </row>
    <row r="81" spans="1:7" ht="18" customHeight="1">
      <c r="A81" s="535"/>
      <c r="B81" s="536"/>
      <c r="C81" s="536"/>
      <c r="D81" s="536"/>
      <c r="E81" s="535"/>
      <c r="F81" s="535"/>
      <c r="G81" s="439"/>
    </row>
    <row r="82" spans="1:7" ht="18" customHeight="1">
      <c r="A82" s="535"/>
      <c r="B82" s="536"/>
      <c r="C82" s="536"/>
      <c r="D82" s="536"/>
      <c r="E82" s="535"/>
      <c r="F82" s="535"/>
      <c r="G82" s="439"/>
    </row>
    <row r="83" spans="1:7" ht="18" customHeight="1">
      <c r="A83" s="535"/>
      <c r="B83" s="536"/>
      <c r="C83" s="536"/>
      <c r="D83" s="536"/>
      <c r="E83" s="535"/>
      <c r="F83" s="535"/>
      <c r="G83" s="439"/>
    </row>
    <row r="84" spans="1:7" ht="18" customHeight="1">
      <c r="A84" s="535"/>
      <c r="B84" s="536"/>
      <c r="C84" s="536"/>
      <c r="D84" s="536"/>
      <c r="E84" s="535"/>
      <c r="F84" s="535"/>
      <c r="G84" s="439"/>
    </row>
    <row r="85" spans="1:7" ht="18" customHeight="1">
      <c r="A85" s="535"/>
      <c r="B85" s="536"/>
      <c r="C85" s="536"/>
      <c r="D85" s="536"/>
      <c r="E85" s="535"/>
      <c r="F85" s="535"/>
      <c r="G85" s="439"/>
    </row>
    <row r="86" spans="1:7" ht="18" customHeight="1">
      <c r="A86" s="535"/>
      <c r="B86" s="536"/>
      <c r="C86" s="536"/>
      <c r="D86" s="536"/>
      <c r="E86" s="535"/>
      <c r="F86" s="535"/>
      <c r="G86" s="439"/>
    </row>
    <row r="87" spans="1:7" ht="18" customHeight="1">
      <c r="A87" s="535"/>
      <c r="B87" s="536"/>
      <c r="C87" s="536"/>
      <c r="D87" s="536"/>
      <c r="E87" s="535"/>
      <c r="F87" s="535"/>
      <c r="G87" s="439"/>
    </row>
    <row r="88" spans="1:7" ht="18" customHeight="1">
      <c r="A88" s="535"/>
      <c r="B88" s="536"/>
      <c r="C88" s="536"/>
      <c r="D88" s="536"/>
      <c r="E88" s="535"/>
      <c r="F88" s="535"/>
      <c r="G88" s="439"/>
    </row>
    <row r="89" spans="1:7" ht="18" customHeight="1">
      <c r="A89" s="535"/>
      <c r="B89" s="536"/>
      <c r="C89" s="536"/>
      <c r="D89" s="536"/>
      <c r="E89" s="535"/>
      <c r="F89" s="535"/>
      <c r="G89" s="439"/>
    </row>
    <row r="90" spans="1:7" ht="18" customHeight="1">
      <c r="A90" s="535"/>
      <c r="B90" s="536"/>
      <c r="C90" s="536"/>
      <c r="D90" s="536"/>
      <c r="E90" s="535"/>
      <c r="F90" s="535"/>
      <c r="G90" s="439"/>
    </row>
    <row r="91" spans="1:7" ht="18" customHeight="1">
      <c r="A91" s="535"/>
      <c r="B91" s="536"/>
      <c r="C91" s="536"/>
      <c r="D91" s="536"/>
      <c r="E91" s="535"/>
      <c r="F91" s="535"/>
      <c r="G91" s="439"/>
    </row>
    <row r="92" spans="1:7" ht="18" customHeight="1">
      <c r="A92" s="535"/>
      <c r="B92" s="536"/>
      <c r="C92" s="536"/>
      <c r="D92" s="536"/>
      <c r="E92" s="535"/>
      <c r="F92" s="535"/>
      <c r="G92" s="439"/>
    </row>
    <row r="93" spans="1:7" ht="18" customHeight="1">
      <c r="A93" s="535"/>
      <c r="B93" s="536"/>
      <c r="C93" s="536"/>
      <c r="D93" s="536"/>
      <c r="E93" s="535"/>
      <c r="F93" s="535"/>
      <c r="G93" s="439"/>
    </row>
    <row r="94" spans="1:7" ht="18" customHeight="1">
      <c r="A94" s="535"/>
      <c r="B94" s="536"/>
      <c r="C94" s="536"/>
      <c r="D94" s="536"/>
      <c r="E94" s="535"/>
      <c r="F94" s="535"/>
      <c r="G94" s="439"/>
    </row>
    <row r="95" spans="1:7" ht="18" customHeight="1">
      <c r="A95" s="535"/>
      <c r="B95" s="536"/>
      <c r="C95" s="536"/>
      <c r="D95" s="536"/>
      <c r="E95" s="535"/>
      <c r="F95" s="535"/>
      <c r="G95" s="439"/>
    </row>
    <row r="96" spans="1:7" ht="18" customHeight="1">
      <c r="A96" s="535"/>
      <c r="B96" s="536"/>
      <c r="C96" s="536"/>
      <c r="D96" s="536"/>
      <c r="E96" s="535"/>
      <c r="F96" s="535"/>
      <c r="G96" s="439"/>
    </row>
    <row r="97" spans="1:7" ht="18" customHeight="1">
      <c r="A97" s="535"/>
      <c r="B97" s="536"/>
      <c r="C97" s="536"/>
      <c r="D97" s="536"/>
      <c r="E97" s="535"/>
      <c r="F97" s="535"/>
      <c r="G97" s="439"/>
    </row>
    <row r="98" spans="1:7" ht="18" customHeight="1">
      <c r="A98" s="535"/>
      <c r="B98" s="536"/>
      <c r="C98" s="536"/>
      <c r="D98" s="536"/>
      <c r="E98" s="535"/>
      <c r="F98" s="535"/>
      <c r="G98" s="439"/>
    </row>
    <row r="99" spans="1:7" ht="18" customHeight="1">
      <c r="A99" s="535"/>
      <c r="B99" s="536"/>
      <c r="C99" s="536"/>
      <c r="D99" s="536"/>
      <c r="E99" s="535"/>
      <c r="F99" s="535"/>
      <c r="G99" s="439"/>
    </row>
    <row r="100" spans="1:7" ht="18" customHeight="1">
      <c r="A100" s="535"/>
      <c r="B100" s="536"/>
      <c r="C100" s="536"/>
      <c r="D100" s="536"/>
      <c r="E100" s="535"/>
      <c r="F100" s="535"/>
      <c r="G100" s="439"/>
    </row>
    <row r="101" spans="1:7" ht="18" customHeight="1">
      <c r="A101" s="535"/>
      <c r="B101" s="536"/>
      <c r="C101" s="536"/>
      <c r="D101" s="536"/>
      <c r="E101" s="535"/>
      <c r="F101" s="535"/>
      <c r="G101" s="439"/>
    </row>
    <row r="102" spans="1:7" ht="18" customHeight="1">
      <c r="A102" s="535"/>
      <c r="B102" s="536"/>
      <c r="C102" s="536"/>
      <c r="D102" s="536"/>
      <c r="E102" s="535"/>
      <c r="F102" s="535"/>
      <c r="G102" s="439"/>
    </row>
    <row r="103" spans="1:7" ht="18" customHeight="1">
      <c r="A103" s="535"/>
      <c r="B103" s="536"/>
      <c r="C103" s="536"/>
      <c r="D103" s="536"/>
      <c r="E103" s="535"/>
      <c r="F103" s="535"/>
      <c r="G103" s="439"/>
    </row>
    <row r="104" spans="1:7" ht="18" customHeight="1">
      <c r="A104" s="535"/>
      <c r="B104" s="536"/>
      <c r="C104" s="536"/>
      <c r="D104" s="536"/>
      <c r="E104" s="535"/>
      <c r="F104" s="535"/>
      <c r="G104" s="439"/>
    </row>
    <row r="105" spans="1:7" ht="18" customHeight="1">
      <c r="A105" s="535"/>
      <c r="B105" s="536"/>
      <c r="C105" s="536"/>
      <c r="D105" s="536"/>
      <c r="E105" s="535"/>
      <c r="F105" s="535"/>
      <c r="G105" s="439"/>
    </row>
    <row r="106" spans="1:7" ht="18" customHeight="1">
      <c r="A106" s="535"/>
      <c r="B106" s="536"/>
      <c r="C106" s="536"/>
      <c r="D106" s="536"/>
      <c r="E106" s="535"/>
      <c r="F106" s="535"/>
      <c r="G106" s="439"/>
    </row>
    <row r="107" spans="1:7" ht="18" customHeight="1">
      <c r="A107" s="535"/>
      <c r="B107" s="536"/>
      <c r="C107" s="536"/>
      <c r="D107" s="536"/>
      <c r="E107" s="535"/>
      <c r="F107" s="535"/>
      <c r="G107" s="439"/>
    </row>
    <row r="108" spans="1:7" ht="18" customHeight="1">
      <c r="A108" s="535"/>
      <c r="B108" s="536"/>
      <c r="C108" s="536"/>
      <c r="D108" s="536"/>
      <c r="E108" s="535"/>
      <c r="F108" s="535"/>
      <c r="G108" s="439"/>
    </row>
    <row r="109" spans="1:7" ht="18" customHeight="1">
      <c r="A109" s="535"/>
      <c r="B109" s="536"/>
      <c r="C109" s="536"/>
      <c r="D109" s="536"/>
      <c r="E109" s="535"/>
      <c r="F109" s="535"/>
      <c r="G109" s="439"/>
    </row>
    <row r="110" spans="1:7" ht="18" customHeight="1">
      <c r="A110" s="535"/>
      <c r="B110" s="536"/>
      <c r="C110" s="536"/>
      <c r="D110" s="536"/>
      <c r="E110" s="535"/>
      <c r="F110" s="535"/>
      <c r="G110" s="439"/>
    </row>
    <row r="111" spans="1:7" ht="18" customHeight="1">
      <c r="A111" s="535"/>
      <c r="B111" s="536"/>
      <c r="C111" s="536"/>
      <c r="D111" s="536"/>
      <c r="E111" s="535"/>
      <c r="F111" s="535"/>
      <c r="G111" s="439"/>
    </row>
    <row r="112" spans="1:7" ht="18" customHeight="1">
      <c r="A112" s="535"/>
      <c r="B112" s="536"/>
      <c r="C112" s="536"/>
      <c r="D112" s="536"/>
      <c r="E112" s="535"/>
      <c r="F112" s="535"/>
      <c r="G112" s="439"/>
    </row>
    <row r="113" spans="1:7" ht="18" customHeight="1">
      <c r="A113" s="535"/>
      <c r="B113" s="536"/>
      <c r="C113" s="536"/>
      <c r="D113" s="536"/>
      <c r="E113" s="535"/>
      <c r="F113" s="535"/>
      <c r="G113" s="439"/>
    </row>
    <row r="114" spans="1:7" ht="18" customHeight="1">
      <c r="A114" s="535"/>
      <c r="B114" s="536"/>
      <c r="C114" s="536"/>
      <c r="D114" s="536"/>
      <c r="E114" s="535"/>
      <c r="F114" s="535"/>
      <c r="G114" s="439"/>
    </row>
    <row r="115" spans="1:7" ht="18" customHeight="1">
      <c r="A115" s="535"/>
      <c r="B115" s="536"/>
      <c r="C115" s="536"/>
      <c r="D115" s="536"/>
      <c r="E115" s="535"/>
      <c r="F115" s="535"/>
      <c r="G115" s="439"/>
    </row>
    <row r="116" spans="1:7" ht="18" customHeight="1">
      <c r="A116" s="535"/>
      <c r="B116" s="536"/>
      <c r="C116" s="536"/>
      <c r="D116" s="536"/>
      <c r="E116" s="535"/>
      <c r="F116" s="535"/>
      <c r="G116" s="439"/>
    </row>
    <row r="117" spans="1:7" ht="18" customHeight="1">
      <c r="A117" s="535"/>
      <c r="B117" s="536"/>
      <c r="C117" s="536"/>
      <c r="D117" s="536"/>
      <c r="E117" s="535"/>
      <c r="F117" s="535"/>
      <c r="G117" s="439"/>
    </row>
    <row r="118" spans="1:7" ht="18" customHeight="1">
      <c r="A118" s="535"/>
      <c r="B118" s="536"/>
      <c r="C118" s="536"/>
      <c r="D118" s="536"/>
      <c r="E118" s="535"/>
      <c r="F118" s="535"/>
      <c r="G118" s="439"/>
    </row>
    <row r="119" spans="1:7" ht="18" customHeight="1">
      <c r="A119" s="535"/>
      <c r="B119" s="536"/>
      <c r="C119" s="536"/>
      <c r="D119" s="536"/>
      <c r="E119" s="535"/>
      <c r="F119" s="535"/>
      <c r="G119" s="439"/>
    </row>
    <row r="120" spans="1:7" ht="18" customHeight="1">
      <c r="A120" s="535"/>
      <c r="B120" s="536"/>
      <c r="C120" s="536"/>
      <c r="D120" s="536"/>
      <c r="E120" s="535"/>
      <c r="F120" s="535"/>
      <c r="G120" s="439"/>
    </row>
    <row r="121" spans="1:7" ht="18" customHeight="1">
      <c r="A121" s="535"/>
      <c r="B121" s="536"/>
      <c r="C121" s="536"/>
      <c r="D121" s="536"/>
      <c r="E121" s="535"/>
      <c r="F121" s="535"/>
      <c r="G121" s="439"/>
    </row>
    <row r="122" spans="1:7" ht="18" customHeight="1">
      <c r="A122" s="535"/>
      <c r="B122" s="536"/>
      <c r="C122" s="536"/>
      <c r="D122" s="536"/>
      <c r="E122" s="535"/>
      <c r="F122" s="535"/>
      <c r="G122" s="439"/>
    </row>
    <row r="123" spans="1:7" ht="18" customHeight="1">
      <c r="A123" s="535"/>
      <c r="B123" s="536"/>
      <c r="C123" s="536"/>
      <c r="D123" s="536"/>
      <c r="E123" s="535"/>
      <c r="F123" s="535"/>
      <c r="G123" s="439"/>
    </row>
    <row r="124" spans="1:7" ht="18" customHeight="1">
      <c r="A124" s="535"/>
      <c r="B124" s="536"/>
      <c r="C124" s="536"/>
      <c r="D124" s="536"/>
      <c r="E124" s="535"/>
      <c r="F124" s="535"/>
      <c r="G124" s="439"/>
    </row>
    <row r="125" spans="1:7" ht="18" customHeight="1">
      <c r="A125" s="535"/>
      <c r="B125" s="536"/>
      <c r="C125" s="536"/>
      <c r="D125" s="536"/>
      <c r="E125" s="535"/>
      <c r="F125" s="535"/>
      <c r="G125" s="439"/>
    </row>
    <row r="126" spans="1:7" ht="18" customHeight="1">
      <c r="A126" s="535"/>
      <c r="B126" s="536"/>
      <c r="C126" s="536"/>
      <c r="D126" s="536"/>
      <c r="E126" s="535"/>
      <c r="F126" s="535"/>
      <c r="G126" s="439"/>
    </row>
    <row r="127" spans="1:7" ht="18" customHeight="1">
      <c r="A127" s="535"/>
      <c r="B127" s="536"/>
      <c r="C127" s="536"/>
      <c r="D127" s="536"/>
      <c r="E127" s="535"/>
      <c r="F127" s="535"/>
      <c r="G127" s="439"/>
    </row>
    <row r="128" spans="1:7" ht="18" customHeight="1">
      <c r="A128" s="535"/>
      <c r="B128" s="536"/>
      <c r="C128" s="536"/>
      <c r="D128" s="536"/>
      <c r="E128" s="535"/>
      <c r="F128" s="535"/>
      <c r="G128" s="439"/>
    </row>
    <row r="129" spans="1:7" ht="18" customHeight="1">
      <c r="A129" s="535"/>
      <c r="B129" s="536"/>
      <c r="C129" s="536"/>
      <c r="D129" s="536"/>
      <c r="E129" s="535"/>
      <c r="F129" s="535"/>
      <c r="G129" s="439"/>
    </row>
    <row r="130" spans="1:7" ht="18" customHeight="1">
      <c r="A130" s="535"/>
      <c r="B130" s="536"/>
      <c r="C130" s="536"/>
      <c r="D130" s="536"/>
      <c r="E130" s="535"/>
      <c r="F130" s="535"/>
      <c r="G130" s="439"/>
    </row>
    <row r="131" spans="1:7" ht="18" customHeight="1">
      <c r="A131" s="535"/>
      <c r="B131" s="536"/>
      <c r="C131" s="536"/>
      <c r="D131" s="536"/>
      <c r="E131" s="535"/>
      <c r="F131" s="535"/>
      <c r="G131" s="439"/>
    </row>
    <row r="132" spans="1:7" ht="18" customHeight="1">
      <c r="A132" s="535"/>
      <c r="B132" s="536"/>
      <c r="C132" s="536"/>
      <c r="D132" s="536"/>
      <c r="E132" s="535"/>
      <c r="F132" s="535"/>
      <c r="G132" s="439"/>
    </row>
    <row r="133" spans="1:7" ht="18" customHeight="1">
      <c r="A133" s="535"/>
      <c r="B133" s="536"/>
      <c r="C133" s="536"/>
      <c r="D133" s="536"/>
      <c r="E133" s="535"/>
      <c r="F133" s="535"/>
      <c r="G133" s="439"/>
    </row>
    <row r="134" spans="1:7" ht="18" customHeight="1">
      <c r="A134" s="535"/>
      <c r="B134" s="536"/>
      <c r="C134" s="536"/>
      <c r="D134" s="536"/>
      <c r="E134" s="535"/>
      <c r="F134" s="535"/>
      <c r="G134" s="439"/>
    </row>
    <row r="135" spans="1:7" ht="18" customHeight="1">
      <c r="A135" s="535"/>
      <c r="B135" s="536"/>
      <c r="C135" s="536"/>
      <c r="D135" s="536"/>
      <c r="E135" s="535"/>
      <c r="F135" s="535"/>
      <c r="G135" s="439"/>
    </row>
    <row r="136" spans="1:7" ht="18" customHeight="1">
      <c r="A136" s="535"/>
      <c r="B136" s="536"/>
      <c r="C136" s="536"/>
      <c r="D136" s="536"/>
      <c r="E136" s="535"/>
      <c r="F136" s="535"/>
      <c r="G136" s="439"/>
    </row>
    <row r="137" spans="1:7" ht="18" customHeight="1">
      <c r="A137" s="535"/>
      <c r="B137" s="536"/>
      <c r="C137" s="536"/>
      <c r="D137" s="536"/>
      <c r="E137" s="535"/>
      <c r="F137" s="535"/>
      <c r="G137" s="439"/>
    </row>
    <row r="138" spans="1:7" ht="18" customHeight="1">
      <c r="A138" s="535"/>
      <c r="B138" s="536"/>
      <c r="C138" s="536"/>
      <c r="D138" s="536"/>
      <c r="E138" s="535"/>
      <c r="F138" s="535"/>
      <c r="G138" s="439"/>
    </row>
    <row r="139" spans="1:7" ht="18" customHeight="1">
      <c r="A139" s="535"/>
      <c r="B139" s="536"/>
      <c r="C139" s="536"/>
      <c r="D139" s="536"/>
      <c r="E139" s="535"/>
      <c r="F139" s="535"/>
      <c r="G139" s="439"/>
    </row>
    <row r="140" spans="1:7" ht="18" customHeight="1">
      <c r="A140" s="535"/>
      <c r="B140" s="536"/>
      <c r="C140" s="536"/>
      <c r="D140" s="536"/>
      <c r="E140" s="535"/>
      <c r="F140" s="535"/>
      <c r="G140" s="439"/>
    </row>
    <row r="141" spans="1:7" ht="18" customHeight="1">
      <c r="A141" s="535"/>
      <c r="B141" s="536"/>
      <c r="C141" s="536"/>
      <c r="D141" s="536"/>
      <c r="E141" s="535"/>
      <c r="F141" s="535"/>
      <c r="G141" s="439"/>
    </row>
    <row r="142" spans="1:7" ht="18" customHeight="1">
      <c r="A142" s="535"/>
      <c r="B142" s="536"/>
      <c r="C142" s="536"/>
      <c r="D142" s="536"/>
      <c r="E142" s="535"/>
      <c r="F142" s="535"/>
      <c r="G142" s="439"/>
    </row>
    <row r="143" spans="1:7" ht="18" customHeight="1">
      <c r="A143" s="535"/>
      <c r="B143" s="536"/>
      <c r="C143" s="536"/>
      <c r="D143" s="536"/>
      <c r="E143" s="535"/>
      <c r="F143" s="535"/>
      <c r="G143" s="439"/>
    </row>
    <row r="144" spans="1:7" ht="18" customHeight="1">
      <c r="A144" s="535"/>
      <c r="B144" s="536"/>
      <c r="C144" s="536"/>
      <c r="D144" s="536"/>
      <c r="E144" s="535"/>
      <c r="F144" s="535"/>
      <c r="G144" s="439"/>
    </row>
    <row r="145" spans="1:8" ht="18" customHeight="1">
      <c r="A145" s="535"/>
      <c r="B145" s="536"/>
      <c r="C145" s="536"/>
      <c r="D145" s="536"/>
      <c r="E145" s="535"/>
      <c r="F145" s="535"/>
      <c r="G145" s="439"/>
    </row>
    <row r="146" spans="1:8" ht="18" customHeight="1">
      <c r="A146" s="535"/>
      <c r="B146" s="536"/>
      <c r="C146" s="536"/>
      <c r="D146" s="536"/>
      <c r="E146" s="535"/>
      <c r="F146" s="535"/>
      <c r="G146" s="439"/>
    </row>
    <row r="147" spans="1:8" ht="18" customHeight="1">
      <c r="A147" s="535"/>
      <c r="B147" s="536"/>
      <c r="C147" s="536"/>
      <c r="D147" s="536"/>
      <c r="E147" s="535"/>
      <c r="F147" s="535"/>
      <c r="G147" s="439"/>
    </row>
    <row r="148" spans="1:8" ht="18" customHeight="1">
      <c r="A148" s="535"/>
      <c r="B148" s="536"/>
      <c r="C148" s="536"/>
      <c r="D148" s="536"/>
      <c r="E148" s="535"/>
      <c r="F148" s="535"/>
      <c r="G148" s="439"/>
    </row>
    <row r="149" spans="1:8" ht="18" customHeight="1">
      <c r="A149" s="535"/>
      <c r="B149" s="536"/>
      <c r="C149" s="536"/>
      <c r="D149" s="536"/>
      <c r="E149" s="535"/>
      <c r="F149" s="535"/>
      <c r="G149" s="439"/>
      <c r="H149" s="391"/>
    </row>
    <row r="150" spans="1:8" ht="18" customHeight="1">
      <c r="A150" s="535"/>
      <c r="B150" s="536"/>
      <c r="C150" s="536"/>
      <c r="D150" s="536"/>
      <c r="E150" s="535"/>
      <c r="F150" s="535"/>
      <c r="G150" s="439"/>
    </row>
    <row r="151" spans="1:8" ht="18" customHeight="1">
      <c r="A151" s="535"/>
      <c r="B151" s="536"/>
      <c r="C151" s="536"/>
      <c r="D151" s="536"/>
      <c r="E151" s="535"/>
      <c r="F151" s="535"/>
      <c r="G151" s="439"/>
    </row>
    <row r="152" spans="1:8" ht="18" customHeight="1">
      <c r="A152" s="535"/>
      <c r="B152" s="536"/>
      <c r="C152" s="536"/>
      <c r="D152" s="536"/>
      <c r="E152" s="535"/>
      <c r="F152" s="535"/>
      <c r="G152" s="439"/>
    </row>
    <row r="153" spans="1:8" ht="18" customHeight="1">
      <c r="A153" s="535"/>
      <c r="B153" s="536"/>
      <c r="C153" s="536"/>
      <c r="D153" s="536"/>
      <c r="E153" s="535"/>
      <c r="F153" s="535"/>
      <c r="G153" s="439"/>
    </row>
    <row r="154" spans="1:8" ht="18" customHeight="1">
      <c r="A154" s="535"/>
      <c r="B154" s="536"/>
      <c r="C154" s="536"/>
      <c r="D154" s="536"/>
      <c r="E154" s="535"/>
      <c r="F154" s="535"/>
      <c r="G154" s="439"/>
    </row>
    <row r="155" spans="1:8" ht="18" customHeight="1">
      <c r="A155" s="535"/>
      <c r="B155" s="536"/>
      <c r="C155" s="536"/>
      <c r="D155" s="536"/>
      <c r="E155" s="535"/>
      <c r="F155" s="535"/>
      <c r="G155" s="439"/>
    </row>
    <row r="156" spans="1:8" ht="18" customHeight="1">
      <c r="A156" s="535"/>
      <c r="B156" s="536"/>
      <c r="C156" s="536"/>
      <c r="D156" s="536"/>
      <c r="E156" s="535"/>
      <c r="F156" s="535"/>
      <c r="G156" s="439"/>
    </row>
    <row r="157" spans="1:8" ht="18" customHeight="1">
      <c r="A157" s="535"/>
      <c r="B157" s="536"/>
      <c r="C157" s="536"/>
      <c r="D157" s="536"/>
      <c r="E157" s="535"/>
      <c r="F157" s="535"/>
      <c r="G157" s="439"/>
    </row>
    <row r="158" spans="1:8" ht="18" customHeight="1">
      <c r="A158" s="535"/>
      <c r="B158" s="536"/>
      <c r="C158" s="536"/>
      <c r="D158" s="536"/>
      <c r="E158" s="535"/>
      <c r="F158" s="535"/>
      <c r="G158" s="439"/>
    </row>
    <row r="159" spans="1:8" ht="18" customHeight="1">
      <c r="A159" s="535"/>
      <c r="B159" s="536"/>
      <c r="C159" s="536"/>
      <c r="D159" s="536"/>
      <c r="E159" s="535"/>
      <c r="F159" s="535"/>
      <c r="G159" s="439"/>
    </row>
    <row r="160" spans="1:8" ht="18" customHeight="1">
      <c r="A160" s="535"/>
      <c r="B160" s="536"/>
      <c r="C160" s="536"/>
      <c r="D160" s="536"/>
      <c r="E160" s="535"/>
      <c r="F160" s="535"/>
      <c r="G160" s="439"/>
    </row>
    <row r="161" spans="1:9" ht="18" customHeight="1">
      <c r="A161" s="535"/>
      <c r="B161" s="536"/>
      <c r="C161" s="536"/>
      <c r="D161" s="536"/>
      <c r="E161" s="535"/>
      <c r="F161" s="535"/>
      <c r="G161" s="439"/>
    </row>
    <row r="162" spans="1:9" ht="18" customHeight="1">
      <c r="A162" s="535"/>
      <c r="B162" s="536"/>
      <c r="C162" s="536"/>
      <c r="D162" s="536"/>
      <c r="E162" s="535"/>
      <c r="F162" s="535"/>
      <c r="G162" s="439"/>
    </row>
    <row r="163" spans="1:9" ht="18" customHeight="1">
      <c r="A163" s="535"/>
      <c r="B163" s="536"/>
      <c r="C163" s="536"/>
      <c r="D163" s="536"/>
      <c r="E163" s="535"/>
      <c r="F163" s="535"/>
      <c r="G163" s="439"/>
    </row>
    <row r="164" spans="1:9" ht="18" customHeight="1">
      <c r="A164" s="535"/>
      <c r="B164" s="536"/>
      <c r="C164" s="536"/>
      <c r="D164" s="536"/>
      <c r="E164" s="535"/>
      <c r="F164" s="535"/>
      <c r="G164" s="439"/>
    </row>
    <row r="165" spans="1:9" ht="18" customHeight="1">
      <c r="A165" s="535"/>
      <c r="B165" s="536"/>
      <c r="C165" s="536"/>
      <c r="D165" s="536"/>
      <c r="E165" s="535"/>
      <c r="F165" s="535"/>
      <c r="G165" s="439"/>
    </row>
    <row r="166" spans="1:9" ht="18" customHeight="1">
      <c r="A166" s="535"/>
      <c r="B166" s="536"/>
      <c r="C166" s="536"/>
      <c r="D166" s="536"/>
      <c r="E166" s="535"/>
      <c r="F166" s="535"/>
      <c r="G166" s="439"/>
    </row>
    <row r="167" spans="1:9" ht="18" customHeight="1">
      <c r="A167" s="535"/>
      <c r="B167" s="536"/>
      <c r="C167" s="536"/>
      <c r="D167" s="536"/>
      <c r="E167" s="535"/>
      <c r="F167" s="535"/>
      <c r="G167" s="439"/>
    </row>
    <row r="168" spans="1:9" ht="18" customHeight="1">
      <c r="A168" s="535"/>
      <c r="B168" s="536"/>
      <c r="C168" s="536"/>
      <c r="D168" s="536"/>
      <c r="E168" s="535"/>
      <c r="F168" s="535"/>
      <c r="G168" s="439"/>
    </row>
    <row r="169" spans="1:9" ht="18" customHeight="1">
      <c r="A169" s="535"/>
      <c r="B169" s="536"/>
      <c r="C169" s="536"/>
      <c r="D169" s="536"/>
      <c r="E169" s="535"/>
      <c r="F169" s="535"/>
      <c r="G169" s="439"/>
    </row>
    <row r="170" spans="1:9" ht="18" customHeight="1">
      <c r="A170" s="535"/>
      <c r="B170" s="536"/>
      <c r="C170" s="536"/>
      <c r="D170" s="536"/>
      <c r="E170" s="535"/>
      <c r="F170" s="535"/>
      <c r="G170" s="439"/>
    </row>
    <row r="171" spans="1:9" ht="18" customHeight="1">
      <c r="A171" s="535"/>
      <c r="B171" s="536"/>
      <c r="C171" s="536"/>
      <c r="D171" s="536"/>
      <c r="E171" s="535"/>
      <c r="F171" s="535"/>
      <c r="G171" s="439"/>
    </row>
    <row r="172" spans="1:9" ht="18" customHeight="1">
      <c r="A172" s="535"/>
      <c r="B172" s="536"/>
      <c r="C172" s="536"/>
      <c r="D172" s="536"/>
      <c r="E172" s="535"/>
      <c r="F172" s="535"/>
      <c r="G172" s="439"/>
      <c r="I172" s="537"/>
    </row>
    <row r="173" spans="1:9" ht="18" customHeight="1">
      <c r="A173" s="535"/>
      <c r="B173" s="536"/>
      <c r="C173" s="536"/>
      <c r="D173" s="536"/>
      <c r="E173" s="535"/>
      <c r="F173" s="535"/>
      <c r="G173" s="439"/>
    </row>
    <row r="174" spans="1:9" ht="18" customHeight="1">
      <c r="A174" s="535"/>
      <c r="B174" s="536"/>
      <c r="C174" s="536"/>
      <c r="D174" s="536"/>
      <c r="E174" s="535"/>
      <c r="F174" s="535"/>
      <c r="G174" s="439"/>
    </row>
    <row r="175" spans="1:9" ht="18" customHeight="1">
      <c r="A175" s="535"/>
      <c r="B175" s="536"/>
      <c r="C175" s="536"/>
      <c r="D175" s="536"/>
      <c r="E175" s="535"/>
      <c r="F175" s="535"/>
      <c r="G175" s="439"/>
    </row>
    <row r="176" spans="1:9" ht="18" customHeight="1">
      <c r="A176" s="535"/>
      <c r="B176" s="536"/>
      <c r="C176" s="536"/>
      <c r="D176" s="536"/>
      <c r="E176" s="535"/>
      <c r="F176" s="535"/>
      <c r="G176" s="439"/>
    </row>
    <row r="177" spans="1:9" ht="18" customHeight="1">
      <c r="A177" s="535"/>
      <c r="B177" s="536"/>
      <c r="C177" s="536"/>
      <c r="D177" s="536"/>
      <c r="E177" s="535"/>
      <c r="F177" s="535"/>
      <c r="G177" s="439"/>
    </row>
    <row r="178" spans="1:9" ht="18" customHeight="1">
      <c r="A178" s="535"/>
      <c r="B178" s="536"/>
      <c r="C178" s="536"/>
      <c r="D178" s="536"/>
      <c r="E178" s="535"/>
      <c r="F178" s="535"/>
      <c r="G178" s="439"/>
    </row>
    <row r="179" spans="1:9" ht="18" customHeight="1">
      <c r="A179" s="535"/>
      <c r="B179" s="536"/>
      <c r="C179" s="536"/>
      <c r="D179" s="536"/>
      <c r="E179" s="535"/>
      <c r="F179" s="535"/>
      <c r="G179" s="439"/>
    </row>
    <row r="180" spans="1:9" ht="18" customHeight="1">
      <c r="A180" s="535"/>
      <c r="B180" s="536"/>
      <c r="C180" s="536"/>
      <c r="D180" s="536"/>
      <c r="E180" s="535"/>
      <c r="F180" s="535"/>
      <c r="G180" s="439"/>
    </row>
    <row r="181" spans="1:9" ht="18" customHeight="1">
      <c r="A181" s="535"/>
      <c r="B181" s="536"/>
      <c r="C181" s="536"/>
      <c r="D181" s="536"/>
      <c r="E181" s="535"/>
      <c r="F181" s="535"/>
      <c r="G181" s="439"/>
    </row>
    <row r="182" spans="1:9" ht="18" customHeight="1">
      <c r="A182" s="535"/>
      <c r="B182" s="536"/>
      <c r="C182" s="536"/>
      <c r="D182" s="536"/>
      <c r="E182" s="535"/>
      <c r="F182" s="535"/>
      <c r="G182" s="439"/>
    </row>
    <row r="183" spans="1:9" ht="18" customHeight="1">
      <c r="A183" s="535"/>
      <c r="B183" s="536"/>
      <c r="C183" s="536"/>
      <c r="D183" s="536"/>
      <c r="E183" s="535"/>
      <c r="F183" s="535"/>
      <c r="G183" s="439"/>
    </row>
    <row r="184" spans="1:9" ht="18" customHeight="1">
      <c r="A184" s="535"/>
      <c r="B184" s="536"/>
      <c r="C184" s="536"/>
      <c r="D184" s="536"/>
      <c r="E184" s="535"/>
      <c r="F184" s="535"/>
      <c r="G184" s="439"/>
    </row>
    <row r="185" spans="1:9" ht="18" customHeight="1">
      <c r="A185" s="535"/>
      <c r="B185" s="536"/>
      <c r="C185" s="536"/>
      <c r="D185" s="536"/>
      <c r="E185" s="535"/>
      <c r="F185" s="535"/>
      <c r="G185" s="439"/>
    </row>
    <row r="186" spans="1:9" ht="18" customHeight="1">
      <c r="A186" s="535"/>
      <c r="B186" s="536"/>
      <c r="C186" s="536"/>
      <c r="D186" s="536"/>
      <c r="E186" s="535"/>
      <c r="F186" s="535"/>
      <c r="G186" s="439"/>
    </row>
    <row r="187" spans="1:9" ht="18" customHeight="1">
      <c r="A187" s="535"/>
      <c r="B187" s="536"/>
      <c r="C187" s="536"/>
      <c r="D187" s="536"/>
      <c r="E187" s="535"/>
      <c r="F187" s="535"/>
      <c r="G187" s="439"/>
    </row>
    <row r="188" spans="1:9" ht="18" customHeight="1">
      <c r="A188" s="535"/>
      <c r="B188" s="536"/>
      <c r="C188" s="536"/>
      <c r="D188" s="536"/>
      <c r="E188" s="535"/>
      <c r="F188" s="535"/>
      <c r="G188" s="439"/>
    </row>
    <row r="189" spans="1:9" ht="18" customHeight="1">
      <c r="A189" s="535"/>
      <c r="B189" s="536"/>
      <c r="C189" s="536"/>
      <c r="D189" s="536"/>
      <c r="E189" s="535"/>
      <c r="F189" s="535"/>
      <c r="G189" s="439"/>
    </row>
    <row r="190" spans="1:9" ht="18" customHeight="1">
      <c r="A190" s="535"/>
      <c r="B190" s="536"/>
      <c r="C190" s="536"/>
      <c r="D190" s="536"/>
      <c r="E190" s="535"/>
      <c r="F190" s="535"/>
      <c r="G190" s="439"/>
    </row>
    <row r="191" spans="1:9" ht="18" customHeight="1">
      <c r="A191" s="535"/>
      <c r="B191" s="536"/>
      <c r="C191" s="536"/>
      <c r="D191" s="536"/>
      <c r="E191" s="535"/>
      <c r="F191" s="535"/>
      <c r="G191" s="439"/>
    </row>
    <row r="192" spans="1:9" ht="18" customHeight="1">
      <c r="A192" s="535"/>
      <c r="B192" s="536"/>
      <c r="C192" s="536"/>
      <c r="D192" s="536"/>
      <c r="E192" s="535"/>
      <c r="F192" s="535"/>
      <c r="G192" s="439"/>
      <c r="I192" s="391"/>
    </row>
    <row r="193" spans="1:7" ht="18" customHeight="1">
      <c r="A193" s="535"/>
      <c r="B193" s="536"/>
      <c r="C193" s="536"/>
      <c r="D193" s="536"/>
      <c r="E193" s="535"/>
      <c r="F193" s="535"/>
      <c r="G193" s="439"/>
    </row>
    <row r="194" spans="1:7" ht="18" customHeight="1">
      <c r="A194" s="535"/>
      <c r="B194" s="536"/>
      <c r="C194" s="536"/>
      <c r="D194" s="536"/>
      <c r="E194" s="535"/>
      <c r="F194" s="535"/>
      <c r="G194" s="439"/>
    </row>
    <row r="195" spans="1:7" ht="18" customHeight="1">
      <c r="A195" s="535"/>
      <c r="B195" s="536"/>
      <c r="C195" s="536"/>
      <c r="D195" s="536"/>
      <c r="E195" s="535"/>
      <c r="F195" s="535"/>
      <c r="G195" s="439"/>
    </row>
    <row r="196" spans="1:7" ht="18" customHeight="1">
      <c r="A196" s="535"/>
      <c r="B196" s="536"/>
      <c r="C196" s="536"/>
      <c r="D196" s="536"/>
      <c r="E196" s="535"/>
      <c r="F196" s="535"/>
      <c r="G196" s="439"/>
    </row>
    <row r="197" spans="1:7" ht="18" customHeight="1">
      <c r="A197" s="535"/>
      <c r="B197" s="536"/>
      <c r="C197" s="536"/>
      <c r="D197" s="536"/>
      <c r="E197" s="535"/>
      <c r="F197" s="535"/>
      <c r="G197" s="439"/>
    </row>
    <row r="198" spans="1:7" ht="18" customHeight="1">
      <c r="A198" s="535"/>
      <c r="B198" s="536"/>
      <c r="C198" s="536"/>
      <c r="D198" s="536"/>
      <c r="E198" s="535"/>
      <c r="F198" s="535"/>
      <c r="G198" s="439"/>
    </row>
    <row r="199" spans="1:7" ht="18" customHeight="1">
      <c r="A199" s="535"/>
      <c r="B199" s="536"/>
      <c r="C199" s="536"/>
      <c r="D199" s="536"/>
      <c r="E199" s="535"/>
      <c r="F199" s="535"/>
      <c r="G199" s="439"/>
    </row>
    <row r="200" spans="1:7" ht="18" customHeight="1">
      <c r="A200" s="535"/>
      <c r="B200" s="536"/>
      <c r="C200" s="536"/>
      <c r="D200" s="536"/>
      <c r="E200" s="535"/>
      <c r="F200" s="535"/>
      <c r="G200" s="439"/>
    </row>
    <row r="201" spans="1:7" ht="18" customHeight="1">
      <c r="A201" s="535"/>
      <c r="B201" s="536"/>
      <c r="C201" s="536"/>
      <c r="D201" s="536"/>
      <c r="E201" s="535"/>
      <c r="F201" s="535"/>
      <c r="G201" s="439"/>
    </row>
    <row r="202" spans="1:7" ht="18" customHeight="1">
      <c r="A202" s="535"/>
      <c r="B202" s="536"/>
      <c r="C202" s="536"/>
      <c r="D202" s="536"/>
      <c r="E202" s="535"/>
      <c r="F202" s="535"/>
      <c r="G202" s="439"/>
    </row>
    <row r="203" spans="1:7" ht="18" customHeight="1">
      <c r="A203" s="535"/>
      <c r="B203" s="536"/>
      <c r="C203" s="536"/>
      <c r="D203" s="536"/>
      <c r="E203" s="535"/>
      <c r="F203" s="535"/>
      <c r="G203" s="439"/>
    </row>
    <row r="204" spans="1:7" ht="18" customHeight="1">
      <c r="A204" s="535"/>
      <c r="B204" s="536"/>
      <c r="C204" s="536"/>
      <c r="D204" s="536"/>
      <c r="E204" s="535"/>
      <c r="F204" s="535"/>
      <c r="G204" s="439"/>
    </row>
    <row r="205" spans="1:7" ht="18" customHeight="1">
      <c r="A205" s="535"/>
      <c r="B205" s="536"/>
      <c r="C205" s="536"/>
      <c r="D205" s="536"/>
      <c r="E205" s="535"/>
      <c r="F205" s="535"/>
      <c r="G205" s="439"/>
    </row>
    <row r="206" spans="1:7" ht="18" customHeight="1">
      <c r="A206" s="535"/>
      <c r="B206" s="536"/>
      <c r="C206" s="536"/>
      <c r="D206" s="536"/>
      <c r="E206" s="535"/>
      <c r="F206" s="535"/>
      <c r="G206" s="439"/>
    </row>
    <row r="207" spans="1:7" ht="18" customHeight="1">
      <c r="A207" s="535"/>
      <c r="B207" s="536"/>
      <c r="C207" s="536"/>
      <c r="D207" s="536"/>
      <c r="E207" s="535"/>
      <c r="F207" s="535"/>
      <c r="G207" s="439"/>
    </row>
    <row r="208" spans="1:7" ht="18" customHeight="1">
      <c r="A208" s="535"/>
      <c r="B208" s="536"/>
      <c r="C208" s="536"/>
      <c r="D208" s="536"/>
      <c r="E208" s="535"/>
      <c r="F208" s="535"/>
      <c r="G208" s="439"/>
    </row>
    <row r="209" spans="1:7" ht="18" customHeight="1">
      <c r="A209" s="535"/>
      <c r="B209" s="536"/>
      <c r="C209" s="536"/>
      <c r="D209" s="536"/>
      <c r="E209" s="535"/>
      <c r="F209" s="535"/>
      <c r="G209" s="439"/>
    </row>
    <row r="210" spans="1:7" ht="18" customHeight="1">
      <c r="A210" s="535"/>
      <c r="B210" s="536"/>
      <c r="C210" s="536"/>
      <c r="D210" s="536"/>
      <c r="E210" s="535"/>
      <c r="F210" s="535"/>
      <c r="G210" s="439"/>
    </row>
    <row r="211" spans="1:7" ht="18" customHeight="1">
      <c r="A211" s="535"/>
      <c r="B211" s="536"/>
      <c r="C211" s="536"/>
      <c r="D211" s="536"/>
      <c r="E211" s="535"/>
      <c r="F211" s="535"/>
      <c r="G211" s="439"/>
    </row>
    <row r="212" spans="1:7" ht="18" customHeight="1">
      <c r="A212" s="535"/>
      <c r="B212" s="536"/>
      <c r="C212" s="536"/>
      <c r="D212" s="536"/>
      <c r="E212" s="535"/>
      <c r="F212" s="535"/>
      <c r="G212" s="439"/>
    </row>
    <row r="213" spans="1:7" ht="18" customHeight="1">
      <c r="A213" s="535"/>
      <c r="B213" s="536"/>
      <c r="C213" s="536"/>
      <c r="D213" s="536"/>
      <c r="E213" s="535"/>
      <c r="F213" s="535"/>
      <c r="G213" s="439"/>
    </row>
    <row r="214" spans="1:7" ht="18" customHeight="1">
      <c r="A214" s="535"/>
      <c r="B214" s="536"/>
      <c r="C214" s="536"/>
      <c r="D214" s="536"/>
      <c r="E214" s="535"/>
      <c r="F214" s="535"/>
      <c r="G214" s="439"/>
    </row>
    <row r="215" spans="1:7" ht="18" customHeight="1">
      <c r="A215" s="535"/>
      <c r="B215" s="536"/>
      <c r="C215" s="536"/>
      <c r="D215" s="536"/>
      <c r="E215" s="535"/>
      <c r="F215" s="535"/>
      <c r="G215" s="439"/>
    </row>
    <row r="216" spans="1:7" ht="18" customHeight="1">
      <c r="A216" s="535"/>
      <c r="B216" s="536"/>
      <c r="C216" s="536"/>
      <c r="D216" s="536"/>
      <c r="E216" s="535"/>
      <c r="F216" s="535"/>
      <c r="G216" s="439"/>
    </row>
    <row r="217" spans="1:7" ht="18" customHeight="1">
      <c r="A217" s="535"/>
      <c r="B217" s="536"/>
      <c r="C217" s="536"/>
      <c r="D217" s="536"/>
      <c r="E217" s="535"/>
      <c r="F217" s="535"/>
      <c r="G217" s="439"/>
    </row>
    <row r="218" spans="1:7" ht="18" customHeight="1">
      <c r="A218" s="535"/>
      <c r="B218" s="536"/>
      <c r="C218" s="536"/>
      <c r="D218" s="536"/>
      <c r="E218" s="535"/>
      <c r="F218" s="535"/>
      <c r="G218" s="439"/>
    </row>
    <row r="219" spans="1:7" ht="18" customHeight="1">
      <c r="A219" s="535"/>
      <c r="B219" s="536"/>
      <c r="C219" s="536"/>
      <c r="D219" s="536"/>
      <c r="E219" s="535"/>
      <c r="F219" s="535"/>
      <c r="G219" s="439"/>
    </row>
    <row r="220" spans="1:7" ht="18" customHeight="1">
      <c r="A220" s="535"/>
      <c r="B220" s="536"/>
      <c r="C220" s="536"/>
      <c r="D220" s="536"/>
      <c r="E220" s="535"/>
      <c r="F220" s="535"/>
      <c r="G220" s="439"/>
    </row>
    <row r="221" spans="1:7" ht="18" customHeight="1">
      <c r="A221" s="535"/>
      <c r="B221" s="536"/>
      <c r="C221" s="536"/>
      <c r="D221" s="536"/>
      <c r="E221" s="535"/>
      <c r="F221" s="535"/>
      <c r="G221" s="439"/>
    </row>
    <row r="222" spans="1:7" ht="18" customHeight="1">
      <c r="A222" s="535"/>
      <c r="B222" s="536"/>
      <c r="C222" s="536"/>
      <c r="D222" s="536"/>
      <c r="E222" s="535"/>
      <c r="F222" s="535"/>
      <c r="G222" s="439"/>
    </row>
    <row r="223" spans="1:7" ht="18" customHeight="1">
      <c r="A223" s="535"/>
      <c r="B223" s="536"/>
      <c r="C223" s="536"/>
      <c r="D223" s="536"/>
      <c r="E223" s="535"/>
      <c r="F223" s="535"/>
      <c r="G223" s="439"/>
    </row>
    <row r="224" spans="1:7" ht="18" customHeight="1">
      <c r="A224" s="535"/>
      <c r="B224" s="536"/>
      <c r="C224" s="536"/>
      <c r="D224" s="536"/>
      <c r="E224" s="535"/>
      <c r="F224" s="535"/>
      <c r="G224" s="439"/>
    </row>
    <row r="225" spans="1:7" ht="18" customHeight="1">
      <c r="A225" s="535"/>
      <c r="B225" s="536"/>
      <c r="C225" s="536"/>
      <c r="D225" s="536"/>
      <c r="E225" s="535"/>
      <c r="F225" s="535"/>
      <c r="G225" s="439"/>
    </row>
    <row r="226" spans="1:7" ht="18" customHeight="1">
      <c r="A226" s="535"/>
      <c r="B226" s="536"/>
      <c r="C226" s="536"/>
      <c r="D226" s="536"/>
      <c r="E226" s="535"/>
      <c r="F226" s="535"/>
      <c r="G226" s="439"/>
    </row>
    <row r="227" spans="1:7" ht="18" customHeight="1">
      <c r="A227" s="535"/>
      <c r="B227" s="536"/>
      <c r="C227" s="536"/>
      <c r="D227" s="536"/>
      <c r="E227" s="535"/>
      <c r="F227" s="535"/>
      <c r="G227" s="439"/>
    </row>
    <row r="228" spans="1:7" ht="18" customHeight="1">
      <c r="A228" s="535"/>
      <c r="B228" s="536"/>
      <c r="C228" s="536"/>
      <c r="D228" s="536"/>
      <c r="E228" s="535"/>
      <c r="F228" s="535"/>
      <c r="G228" s="439"/>
    </row>
    <row r="229" spans="1:7" ht="18" customHeight="1">
      <c r="A229" s="535"/>
      <c r="B229" s="536"/>
      <c r="C229" s="536"/>
      <c r="D229" s="536"/>
      <c r="E229" s="535"/>
      <c r="F229" s="535"/>
      <c r="G229" s="439"/>
    </row>
    <row r="230" spans="1:7" ht="18" customHeight="1">
      <c r="A230" s="535"/>
      <c r="B230" s="536"/>
      <c r="C230" s="536"/>
      <c r="D230" s="536"/>
      <c r="E230" s="535"/>
      <c r="F230" s="535"/>
      <c r="G230" s="439"/>
    </row>
    <row r="231" spans="1:7" ht="18" customHeight="1">
      <c r="A231" s="535"/>
      <c r="B231" s="536"/>
      <c r="C231" s="536"/>
      <c r="D231" s="536"/>
      <c r="E231" s="535"/>
      <c r="F231" s="535"/>
      <c r="G231" s="439"/>
    </row>
    <row r="232" spans="1:7" ht="18" customHeight="1">
      <c r="A232" s="535"/>
      <c r="B232" s="536"/>
      <c r="C232" s="536"/>
      <c r="D232" s="536"/>
      <c r="E232" s="535"/>
      <c r="F232" s="535"/>
      <c r="G232" s="439"/>
    </row>
    <row r="233" spans="1:7" ht="18" customHeight="1">
      <c r="A233" s="535"/>
      <c r="B233" s="536"/>
      <c r="C233" s="536"/>
      <c r="D233" s="536"/>
      <c r="E233" s="535"/>
      <c r="F233" s="535"/>
      <c r="G233" s="439"/>
    </row>
    <row r="234" spans="1:7" ht="18" customHeight="1">
      <c r="A234" s="535"/>
      <c r="B234" s="536"/>
      <c r="C234" s="536"/>
      <c r="D234" s="536"/>
      <c r="E234" s="535"/>
      <c r="F234" s="535"/>
      <c r="G234" s="439"/>
    </row>
    <row r="235" spans="1:7" ht="18" customHeight="1">
      <c r="A235" s="535"/>
      <c r="B235" s="536"/>
      <c r="C235" s="536"/>
      <c r="D235" s="536"/>
      <c r="E235" s="535"/>
      <c r="F235" s="535"/>
      <c r="G235" s="439"/>
    </row>
    <row r="236" spans="1:7" ht="18" customHeight="1">
      <c r="A236" s="535"/>
      <c r="B236" s="536"/>
      <c r="C236" s="536"/>
      <c r="D236" s="536"/>
      <c r="E236" s="535"/>
      <c r="F236" s="535"/>
      <c r="G236" s="439"/>
    </row>
    <row r="237" spans="1:7" ht="18" customHeight="1">
      <c r="A237" s="535"/>
      <c r="B237" s="536"/>
      <c r="C237" s="536"/>
      <c r="D237" s="536"/>
      <c r="E237" s="535"/>
      <c r="F237" s="535"/>
      <c r="G237" s="439"/>
    </row>
    <row r="238" spans="1:7" ht="18" customHeight="1">
      <c r="A238" s="535"/>
      <c r="B238" s="536"/>
      <c r="C238" s="536"/>
      <c r="D238" s="536"/>
      <c r="E238" s="535"/>
      <c r="F238" s="535"/>
      <c r="G238" s="439"/>
    </row>
    <row r="239" spans="1:7" ht="18" customHeight="1">
      <c r="A239" s="535"/>
      <c r="B239" s="536"/>
      <c r="C239" s="536"/>
      <c r="D239" s="536"/>
      <c r="E239" s="535"/>
      <c r="F239" s="535"/>
      <c r="G239" s="439"/>
    </row>
    <row r="240" spans="1:7" ht="18" customHeight="1">
      <c r="A240" s="535"/>
      <c r="B240" s="536"/>
      <c r="C240" s="536"/>
      <c r="D240" s="536"/>
      <c r="E240" s="535"/>
      <c r="F240" s="535"/>
      <c r="G240" s="439"/>
    </row>
    <row r="241" spans="1:7" ht="18" customHeight="1">
      <c r="A241" s="535"/>
      <c r="B241" s="536"/>
      <c r="C241" s="536"/>
      <c r="D241" s="536"/>
      <c r="E241" s="535"/>
      <c r="F241" s="535"/>
      <c r="G241" s="439"/>
    </row>
    <row r="242" spans="1:7" ht="18" customHeight="1">
      <c r="A242" s="535"/>
      <c r="B242" s="536"/>
      <c r="C242" s="536"/>
      <c r="D242" s="536"/>
      <c r="E242" s="535"/>
      <c r="F242" s="535"/>
      <c r="G242" s="439"/>
    </row>
    <row r="243" spans="1:7" ht="18" customHeight="1">
      <c r="A243" s="535"/>
      <c r="B243" s="536"/>
      <c r="C243" s="536"/>
      <c r="D243" s="536"/>
      <c r="E243" s="535"/>
      <c r="F243" s="535"/>
      <c r="G243" s="439"/>
    </row>
    <row r="244" spans="1:7" ht="18" customHeight="1">
      <c r="A244" s="535"/>
      <c r="B244" s="536"/>
      <c r="C244" s="536"/>
      <c r="D244" s="536"/>
      <c r="E244" s="535"/>
      <c r="F244" s="535"/>
      <c r="G244" s="439"/>
    </row>
    <row r="245" spans="1:7" ht="18" customHeight="1">
      <c r="A245" s="535"/>
      <c r="B245" s="536"/>
      <c r="C245" s="536"/>
      <c r="D245" s="536"/>
      <c r="E245" s="535"/>
      <c r="F245" s="535"/>
      <c r="G245" s="439"/>
    </row>
    <row r="246" spans="1:7" ht="18" customHeight="1">
      <c r="A246" s="535"/>
      <c r="B246" s="536"/>
      <c r="C246" s="536"/>
      <c r="D246" s="536"/>
      <c r="E246" s="535"/>
      <c r="F246" s="535"/>
      <c r="G246" s="439"/>
    </row>
    <row r="247" spans="1:7" ht="18" customHeight="1">
      <c r="A247" s="535"/>
      <c r="B247" s="536"/>
      <c r="C247" s="536"/>
      <c r="D247" s="536"/>
      <c r="E247" s="535"/>
      <c r="F247" s="535"/>
      <c r="G247" s="439"/>
    </row>
    <row r="248" spans="1:7" ht="18" customHeight="1">
      <c r="A248" s="535"/>
      <c r="B248" s="536"/>
      <c r="C248" s="536"/>
      <c r="D248" s="536"/>
      <c r="E248" s="535"/>
      <c r="F248" s="535"/>
      <c r="G248" s="439"/>
    </row>
    <row r="249" spans="1:7" ht="18" customHeight="1">
      <c r="A249" s="535"/>
      <c r="B249" s="536"/>
      <c r="C249" s="536"/>
      <c r="D249" s="536"/>
      <c r="E249" s="535"/>
      <c r="F249" s="535"/>
      <c r="G249" s="439"/>
    </row>
    <row r="250" spans="1:7" ht="18" customHeight="1">
      <c r="A250" s="535"/>
      <c r="B250" s="536"/>
      <c r="C250" s="536"/>
      <c r="D250" s="536"/>
      <c r="E250" s="535"/>
      <c r="F250" s="535"/>
      <c r="G250" s="439"/>
    </row>
    <row r="251" spans="1:7" ht="18" customHeight="1">
      <c r="A251" s="535"/>
      <c r="B251" s="536"/>
      <c r="C251" s="536"/>
      <c r="D251" s="536"/>
      <c r="E251" s="535"/>
      <c r="F251" s="535"/>
      <c r="G251" s="439"/>
    </row>
    <row r="252" spans="1:7" ht="18" customHeight="1">
      <c r="A252" s="535"/>
      <c r="B252" s="536"/>
      <c r="C252" s="536"/>
      <c r="D252" s="536"/>
      <c r="E252" s="535"/>
      <c r="F252" s="535"/>
      <c r="G252" s="439"/>
    </row>
    <row r="253" spans="1:7" ht="18" customHeight="1">
      <c r="A253" s="535"/>
      <c r="B253" s="536"/>
      <c r="C253" s="536"/>
      <c r="D253" s="536"/>
      <c r="E253" s="535"/>
      <c r="F253" s="535"/>
      <c r="G253" s="439"/>
    </row>
    <row r="254" spans="1:7" ht="18" customHeight="1">
      <c r="A254" s="535"/>
      <c r="B254" s="536"/>
      <c r="C254" s="536"/>
      <c r="D254" s="536"/>
      <c r="E254" s="535"/>
      <c r="F254" s="535"/>
      <c r="G254" s="439"/>
    </row>
    <row r="255" spans="1:7" ht="18" customHeight="1">
      <c r="A255" s="535"/>
      <c r="B255" s="536"/>
      <c r="C255" s="536"/>
      <c r="D255" s="536"/>
      <c r="E255" s="535"/>
      <c r="F255" s="535"/>
      <c r="G255" s="439"/>
    </row>
    <row r="256" spans="1:7" ht="18" customHeight="1">
      <c r="A256" s="535"/>
      <c r="B256" s="536"/>
      <c r="C256" s="536"/>
      <c r="D256" s="536"/>
      <c r="E256" s="535"/>
      <c r="F256" s="535"/>
      <c r="G256" s="439"/>
    </row>
    <row r="257" spans="1:14" ht="18" customHeight="1">
      <c r="A257" s="535"/>
      <c r="B257" s="536"/>
      <c r="C257" s="536"/>
      <c r="D257" s="536"/>
      <c r="E257" s="535"/>
      <c r="F257" s="535"/>
      <c r="G257" s="439"/>
      <c r="H257" s="536"/>
      <c r="J257" s="464"/>
      <c r="K257" s="464"/>
      <c r="L257" s="464"/>
      <c r="M257" s="464"/>
      <c r="N257" s="464"/>
    </row>
    <row r="258" spans="1:14" ht="18" customHeight="1">
      <c r="A258" s="535"/>
      <c r="B258" s="536"/>
      <c r="C258" s="536"/>
      <c r="D258" s="536"/>
      <c r="E258" s="535"/>
      <c r="F258" s="535"/>
      <c r="G258" s="439"/>
    </row>
    <row r="259" spans="1:14" ht="18" customHeight="1">
      <c r="A259" s="535"/>
      <c r="B259" s="536"/>
      <c r="C259" s="536"/>
      <c r="D259" s="536"/>
      <c r="E259" s="535"/>
      <c r="F259" s="535"/>
      <c r="G259" s="439"/>
    </row>
    <row r="260" spans="1:14" ht="18" customHeight="1">
      <c r="A260" s="535"/>
      <c r="B260" s="536"/>
      <c r="C260" s="536"/>
      <c r="D260" s="536"/>
      <c r="E260" s="535"/>
      <c r="F260" s="535"/>
      <c r="G260" s="439"/>
    </row>
    <row r="261" spans="1:14" ht="18" customHeight="1">
      <c r="A261" s="535"/>
      <c r="B261" s="536"/>
      <c r="C261" s="536"/>
      <c r="D261" s="536"/>
      <c r="E261" s="535"/>
      <c r="F261" s="535"/>
      <c r="G261" s="439"/>
    </row>
    <row r="262" spans="1:14" ht="18" customHeight="1">
      <c r="A262" s="535"/>
      <c r="B262" s="536"/>
      <c r="C262" s="536"/>
      <c r="D262" s="536"/>
      <c r="E262" s="535"/>
      <c r="F262" s="535"/>
      <c r="G262" s="439"/>
    </row>
    <row r="263" spans="1:14" ht="18" customHeight="1">
      <c r="A263" s="535"/>
      <c r="B263" s="536"/>
      <c r="C263" s="536"/>
      <c r="D263" s="536"/>
      <c r="E263" s="535"/>
      <c r="F263" s="535"/>
      <c r="G263" s="439"/>
    </row>
    <row r="264" spans="1:14" ht="18" customHeight="1">
      <c r="A264" s="535"/>
      <c r="B264" s="536"/>
      <c r="C264" s="536"/>
      <c r="D264" s="536"/>
      <c r="E264" s="535"/>
      <c r="F264" s="535"/>
      <c r="G264" s="439"/>
    </row>
    <row r="265" spans="1:14" ht="18" customHeight="1">
      <c r="A265" s="535"/>
      <c r="B265" s="536"/>
      <c r="C265" s="536"/>
      <c r="D265" s="536"/>
      <c r="E265" s="535"/>
      <c r="F265" s="535"/>
      <c r="G265" s="439"/>
    </row>
    <row r="266" spans="1:14" ht="18" customHeight="1">
      <c r="A266" s="535"/>
      <c r="B266" s="536"/>
      <c r="C266" s="536"/>
      <c r="D266" s="536"/>
      <c r="E266" s="535"/>
      <c r="F266" s="535"/>
      <c r="G266" s="439"/>
    </row>
    <row r="267" spans="1:14" ht="18" customHeight="1">
      <c r="A267" s="535"/>
      <c r="B267" s="536"/>
      <c r="C267" s="536"/>
      <c r="D267" s="536"/>
      <c r="E267" s="535"/>
      <c r="F267" s="535"/>
      <c r="G267" s="439"/>
    </row>
    <row r="268" spans="1:14" ht="18" customHeight="1">
      <c r="A268" s="535"/>
      <c r="B268" s="536"/>
      <c r="C268" s="536"/>
      <c r="D268" s="536"/>
      <c r="E268" s="535"/>
      <c r="F268" s="535"/>
      <c r="G268" s="439"/>
    </row>
    <row r="269" spans="1:14" ht="18" customHeight="1">
      <c r="A269" s="535"/>
      <c r="B269" s="536"/>
      <c r="C269" s="536"/>
      <c r="D269" s="536"/>
      <c r="E269" s="535"/>
      <c r="F269" s="535"/>
      <c r="G269" s="439"/>
    </row>
    <row r="270" spans="1:14" ht="18" customHeight="1">
      <c r="A270" s="535"/>
      <c r="B270" s="536"/>
      <c r="C270" s="536"/>
      <c r="D270" s="536"/>
      <c r="E270" s="535"/>
      <c r="F270" s="535"/>
      <c r="G270" s="439"/>
    </row>
    <row r="271" spans="1:14" ht="18" customHeight="1">
      <c r="A271" s="535"/>
      <c r="B271" s="536"/>
      <c r="C271" s="536"/>
      <c r="D271" s="536"/>
      <c r="E271" s="535"/>
      <c r="F271" s="535"/>
      <c r="G271" s="439"/>
    </row>
    <row r="272" spans="1:14" ht="18" customHeight="1">
      <c r="A272" s="535"/>
      <c r="B272" s="536"/>
      <c r="C272" s="536"/>
      <c r="D272" s="536"/>
      <c r="E272" s="535"/>
      <c r="F272" s="535"/>
      <c r="G272" s="439"/>
    </row>
    <row r="273" spans="1:8" ht="18" customHeight="1">
      <c r="A273" s="535"/>
      <c r="B273" s="536"/>
      <c r="C273" s="536"/>
      <c r="D273" s="536"/>
      <c r="E273" s="535"/>
      <c r="F273" s="535"/>
      <c r="G273" s="439"/>
    </row>
    <row r="274" spans="1:8" ht="18" customHeight="1">
      <c r="A274" s="535"/>
      <c r="B274" s="536"/>
      <c r="C274" s="536"/>
      <c r="D274" s="536"/>
      <c r="E274" s="535"/>
      <c r="F274" s="535"/>
      <c r="G274" s="439"/>
    </row>
    <row r="275" spans="1:8" ht="18" customHeight="1">
      <c r="A275" s="535"/>
      <c r="B275" s="536"/>
      <c r="C275" s="536"/>
      <c r="D275" s="536"/>
      <c r="E275" s="535"/>
      <c r="F275" s="535"/>
      <c r="G275" s="439"/>
    </row>
    <row r="276" spans="1:8" ht="18" customHeight="1">
      <c r="A276" s="535"/>
      <c r="B276" s="536"/>
      <c r="C276" s="536"/>
      <c r="D276" s="536"/>
      <c r="E276" s="535"/>
      <c r="F276" s="535"/>
      <c r="G276" s="439"/>
    </row>
    <row r="277" spans="1:8" ht="18" customHeight="1">
      <c r="A277" s="535"/>
      <c r="B277" s="536"/>
      <c r="C277" s="536"/>
      <c r="D277" s="536"/>
      <c r="E277" s="535"/>
      <c r="F277" s="535"/>
      <c r="G277" s="439"/>
      <c r="H277" s="391"/>
    </row>
    <row r="278" spans="1:8" ht="18" customHeight="1">
      <c r="A278" s="535"/>
      <c r="B278" s="536"/>
      <c r="C278" s="536"/>
      <c r="D278" s="536"/>
      <c r="E278" s="535"/>
      <c r="F278" s="535"/>
      <c r="G278" s="439"/>
    </row>
    <row r="279" spans="1:8" ht="18" customHeight="1">
      <c r="A279" s="535"/>
      <c r="B279" s="536"/>
      <c r="C279" s="536"/>
      <c r="D279" s="536"/>
      <c r="E279" s="535"/>
      <c r="F279" s="535"/>
      <c r="G279" s="439"/>
    </row>
    <row r="280" spans="1:8" ht="18" customHeight="1">
      <c r="A280" s="535"/>
      <c r="B280" s="536"/>
      <c r="C280" s="536"/>
      <c r="D280" s="536"/>
      <c r="E280" s="535"/>
      <c r="F280" s="535"/>
      <c r="G280" s="439"/>
    </row>
    <row r="281" spans="1:8" ht="18" customHeight="1">
      <c r="A281" s="535"/>
      <c r="B281" s="536"/>
      <c r="C281" s="536"/>
      <c r="D281" s="536"/>
      <c r="E281" s="535"/>
      <c r="F281" s="535"/>
      <c r="G281" s="439"/>
    </row>
    <row r="282" spans="1:8" ht="18" customHeight="1">
      <c r="A282" s="535"/>
      <c r="B282" s="536"/>
      <c r="C282" s="536"/>
      <c r="D282" s="536"/>
      <c r="E282" s="535"/>
      <c r="F282" s="535"/>
      <c r="G282" s="439"/>
    </row>
    <row r="283" spans="1:8" ht="18" customHeight="1">
      <c r="A283" s="535"/>
      <c r="B283" s="536"/>
      <c r="C283" s="536"/>
      <c r="D283" s="536"/>
      <c r="E283" s="535"/>
      <c r="F283" s="535"/>
      <c r="G283" s="439"/>
    </row>
    <row r="284" spans="1:8" ht="18" customHeight="1">
      <c r="A284" s="535"/>
      <c r="B284" s="536"/>
      <c r="C284" s="536"/>
      <c r="D284" s="536"/>
      <c r="E284" s="535"/>
      <c r="F284" s="535"/>
      <c r="G284" s="439"/>
    </row>
    <row r="285" spans="1:8" ht="18" customHeight="1">
      <c r="A285" s="535"/>
      <c r="B285" s="536"/>
      <c r="C285" s="536"/>
      <c r="D285" s="536"/>
      <c r="E285" s="535"/>
      <c r="F285" s="535"/>
      <c r="G285" s="439"/>
    </row>
    <row r="286" spans="1:8" ht="18" customHeight="1">
      <c r="A286" s="535"/>
      <c r="B286" s="536"/>
      <c r="C286" s="536"/>
      <c r="D286" s="536"/>
      <c r="E286" s="535"/>
      <c r="F286" s="535"/>
      <c r="G286" s="439"/>
    </row>
    <row r="287" spans="1:8" ht="18" customHeight="1">
      <c r="A287" s="535"/>
      <c r="B287" s="536"/>
      <c r="C287" s="536"/>
      <c r="D287" s="536"/>
      <c r="E287" s="535"/>
      <c r="F287" s="535"/>
      <c r="G287" s="439"/>
    </row>
    <row r="288" spans="1:8" ht="18" customHeight="1">
      <c r="A288" s="535"/>
      <c r="B288" s="536"/>
      <c r="C288" s="536"/>
      <c r="D288" s="536"/>
      <c r="E288" s="535"/>
      <c r="F288" s="535"/>
      <c r="G288" s="439"/>
    </row>
    <row r="289" spans="1:7" ht="18" customHeight="1">
      <c r="A289" s="535"/>
      <c r="B289" s="536"/>
      <c r="C289" s="536"/>
      <c r="D289" s="536"/>
      <c r="E289" s="535"/>
      <c r="F289" s="535"/>
      <c r="G289" s="439"/>
    </row>
    <row r="290" spans="1:7" ht="18" customHeight="1">
      <c r="A290" s="535"/>
      <c r="B290" s="536"/>
      <c r="C290" s="536"/>
      <c r="D290" s="536"/>
      <c r="E290" s="535"/>
      <c r="F290" s="535"/>
      <c r="G290" s="439"/>
    </row>
    <row r="291" spans="1:7" ht="18" customHeight="1">
      <c r="A291" s="535"/>
      <c r="B291" s="536"/>
      <c r="C291" s="536"/>
      <c r="D291" s="536"/>
      <c r="E291" s="535"/>
      <c r="F291" s="535"/>
      <c r="G291" s="439"/>
    </row>
    <row r="292" spans="1:7" ht="18" customHeight="1">
      <c r="A292" s="535"/>
      <c r="B292" s="536"/>
      <c r="C292" s="536"/>
      <c r="D292" s="536"/>
      <c r="E292" s="535"/>
      <c r="F292" s="535"/>
      <c r="G292" s="439"/>
    </row>
    <row r="293" spans="1:7" ht="18" customHeight="1">
      <c r="A293" s="535"/>
      <c r="B293" s="536"/>
      <c r="C293" s="536"/>
      <c r="D293" s="536"/>
      <c r="E293" s="535"/>
      <c r="F293" s="535"/>
      <c r="G293" s="439"/>
    </row>
    <row r="294" spans="1:7" ht="18" customHeight="1">
      <c r="A294" s="535"/>
      <c r="B294" s="536"/>
      <c r="C294" s="536"/>
      <c r="D294" s="536"/>
      <c r="E294" s="535"/>
      <c r="F294" s="535"/>
      <c r="G294" s="439"/>
    </row>
    <row r="295" spans="1:7" ht="18" customHeight="1">
      <c r="A295" s="535"/>
      <c r="B295" s="536"/>
      <c r="C295" s="536"/>
      <c r="D295" s="536"/>
      <c r="E295" s="535"/>
      <c r="F295" s="535"/>
      <c r="G295" s="439"/>
    </row>
    <row r="296" spans="1:7" ht="18" customHeight="1">
      <c r="A296" s="535"/>
      <c r="B296" s="536"/>
      <c r="C296" s="536"/>
      <c r="D296" s="536"/>
      <c r="E296" s="535"/>
      <c r="F296" s="535"/>
      <c r="G296" s="439"/>
    </row>
    <row r="297" spans="1:7" ht="18" customHeight="1">
      <c r="A297" s="535"/>
      <c r="B297" s="536"/>
      <c r="C297" s="536"/>
      <c r="D297" s="536"/>
      <c r="E297" s="535"/>
      <c r="F297" s="535"/>
      <c r="G297" s="439"/>
    </row>
    <row r="298" spans="1:7" ht="18" customHeight="1">
      <c r="A298" s="535"/>
      <c r="B298" s="536"/>
      <c r="C298" s="536"/>
      <c r="D298" s="536"/>
      <c r="E298" s="535"/>
      <c r="F298" s="535"/>
      <c r="G298" s="439"/>
    </row>
    <row r="299" spans="1:7" ht="18" customHeight="1">
      <c r="A299" s="535"/>
      <c r="B299" s="536"/>
      <c r="C299" s="536"/>
      <c r="D299" s="536"/>
      <c r="E299" s="535"/>
      <c r="F299" s="535"/>
      <c r="G299" s="439"/>
    </row>
    <row r="300" spans="1:7" ht="18" customHeight="1">
      <c r="A300" s="535"/>
      <c r="B300" s="536"/>
      <c r="C300" s="536"/>
      <c r="D300" s="536"/>
      <c r="E300" s="535"/>
      <c r="F300" s="535"/>
      <c r="G300" s="439"/>
    </row>
    <row r="301" spans="1:7" ht="18" customHeight="1">
      <c r="A301" s="535"/>
      <c r="B301" s="536"/>
      <c r="C301" s="536"/>
      <c r="D301" s="536"/>
      <c r="E301" s="535"/>
      <c r="F301" s="535"/>
      <c r="G301" s="439"/>
    </row>
    <row r="302" spans="1:7" ht="18" customHeight="1">
      <c r="A302" s="535"/>
      <c r="B302" s="536"/>
      <c r="C302" s="536"/>
      <c r="D302" s="536"/>
      <c r="E302" s="535"/>
      <c r="F302" s="535"/>
      <c r="G302" s="439"/>
    </row>
    <row r="303" spans="1:7" ht="18" customHeight="1">
      <c r="A303" s="535"/>
      <c r="B303" s="536"/>
      <c r="C303" s="536"/>
      <c r="D303" s="536"/>
      <c r="E303" s="535"/>
      <c r="F303" s="535"/>
      <c r="G303" s="439"/>
    </row>
    <row r="304" spans="1:7" ht="18" customHeight="1">
      <c r="A304" s="535"/>
      <c r="B304" s="536"/>
      <c r="C304" s="536"/>
      <c r="D304" s="536"/>
      <c r="E304" s="535"/>
      <c r="F304" s="535"/>
      <c r="G304" s="439"/>
    </row>
    <row r="305" spans="1:7" ht="18" customHeight="1">
      <c r="A305" s="535"/>
      <c r="B305" s="536"/>
      <c r="C305" s="536"/>
      <c r="D305" s="536"/>
      <c r="E305" s="535"/>
      <c r="F305" s="535"/>
      <c r="G305" s="439"/>
    </row>
    <row r="306" spans="1:7" ht="18" customHeight="1">
      <c r="A306" s="535"/>
      <c r="B306" s="536"/>
      <c r="C306" s="536"/>
      <c r="D306" s="536"/>
      <c r="E306" s="535"/>
      <c r="F306" s="535"/>
      <c r="G306" s="439"/>
    </row>
    <row r="307" spans="1:7" ht="18" customHeight="1">
      <c r="A307" s="535"/>
      <c r="B307" s="536"/>
      <c r="C307" s="536"/>
      <c r="D307" s="536"/>
      <c r="E307" s="535"/>
      <c r="F307" s="535"/>
      <c r="G307" s="439"/>
    </row>
    <row r="308" spans="1:7" ht="18" customHeight="1">
      <c r="A308" s="535"/>
      <c r="B308" s="536"/>
      <c r="C308" s="536"/>
      <c r="D308" s="536"/>
      <c r="E308" s="535"/>
      <c r="F308" s="535"/>
      <c r="G308" s="439"/>
    </row>
    <row r="309" spans="1:7" ht="18" customHeight="1">
      <c r="A309" s="535"/>
      <c r="B309" s="536"/>
      <c r="C309" s="536"/>
      <c r="D309" s="536"/>
      <c r="E309" s="535"/>
      <c r="F309" s="535"/>
      <c r="G309" s="439"/>
    </row>
    <row r="310" spans="1:7" ht="18" customHeight="1">
      <c r="A310" s="535"/>
      <c r="B310" s="536"/>
      <c r="C310" s="536"/>
      <c r="D310" s="536"/>
      <c r="E310" s="535"/>
      <c r="F310" s="535"/>
      <c r="G310" s="439"/>
    </row>
    <row r="311" spans="1:7" ht="18" customHeight="1">
      <c r="A311" s="535"/>
      <c r="B311" s="536"/>
      <c r="C311" s="536"/>
      <c r="D311" s="536"/>
      <c r="E311" s="535"/>
      <c r="F311" s="535"/>
      <c r="G311" s="439"/>
    </row>
    <row r="312" spans="1:7" ht="18" customHeight="1">
      <c r="A312" s="535"/>
      <c r="B312" s="536"/>
      <c r="C312" s="536"/>
      <c r="D312" s="536"/>
      <c r="E312" s="535"/>
      <c r="F312" s="535"/>
      <c r="G312" s="439"/>
    </row>
    <row r="313" spans="1:7" ht="18" customHeight="1">
      <c r="A313" s="535"/>
      <c r="B313" s="536"/>
      <c r="C313" s="536"/>
      <c r="D313" s="536"/>
      <c r="E313" s="535"/>
      <c r="F313" s="535"/>
      <c r="G313" s="439"/>
    </row>
    <row r="314" spans="1:7" ht="18" customHeight="1">
      <c r="A314" s="535"/>
      <c r="B314" s="536"/>
      <c r="C314" s="536"/>
      <c r="D314" s="536"/>
      <c r="E314" s="535"/>
      <c r="F314" s="535"/>
      <c r="G314" s="439"/>
    </row>
    <row r="315" spans="1:7" ht="18" customHeight="1">
      <c r="A315" s="535"/>
      <c r="B315" s="536"/>
      <c r="C315" s="536"/>
      <c r="D315" s="536"/>
      <c r="E315" s="535"/>
      <c r="F315" s="535"/>
      <c r="G315" s="439"/>
    </row>
    <row r="316" spans="1:7" ht="18" customHeight="1">
      <c r="A316" s="535"/>
      <c r="B316" s="536"/>
      <c r="C316" s="536"/>
      <c r="D316" s="536"/>
      <c r="E316" s="535"/>
      <c r="F316" s="535"/>
      <c r="G316" s="439"/>
    </row>
    <row r="317" spans="1:7" ht="18" customHeight="1">
      <c r="A317" s="535"/>
      <c r="B317" s="536"/>
      <c r="C317" s="536"/>
      <c r="D317" s="536"/>
      <c r="E317" s="535"/>
      <c r="F317" s="535"/>
      <c r="G317" s="439"/>
    </row>
    <row r="318" spans="1:7" ht="18" customHeight="1">
      <c r="A318" s="535"/>
      <c r="B318" s="536"/>
      <c r="C318" s="536"/>
      <c r="D318" s="536"/>
      <c r="E318" s="535"/>
      <c r="F318" s="535"/>
      <c r="G318" s="439"/>
    </row>
    <row r="319" spans="1:7" ht="18" customHeight="1">
      <c r="A319" s="535"/>
      <c r="B319" s="536"/>
      <c r="C319" s="536"/>
      <c r="D319" s="536"/>
      <c r="E319" s="535"/>
      <c r="F319" s="535"/>
      <c r="G319" s="439"/>
    </row>
    <row r="320" spans="1:7" ht="18" customHeight="1">
      <c r="A320" s="535"/>
      <c r="B320" s="536"/>
      <c r="C320" s="536"/>
      <c r="D320" s="536"/>
      <c r="E320" s="535"/>
      <c r="F320" s="535"/>
      <c r="G320" s="439"/>
    </row>
    <row r="321" spans="1:7" ht="18" customHeight="1">
      <c r="A321" s="535"/>
      <c r="B321" s="536"/>
      <c r="C321" s="536"/>
      <c r="D321" s="536"/>
      <c r="E321" s="535"/>
      <c r="F321" s="535"/>
      <c r="G321" s="439"/>
    </row>
    <row r="322" spans="1:7" ht="18" customHeight="1">
      <c r="A322" s="535"/>
      <c r="B322" s="536"/>
      <c r="C322" s="536"/>
      <c r="D322" s="536"/>
      <c r="E322" s="535"/>
      <c r="F322" s="535"/>
      <c r="G322" s="439"/>
    </row>
    <row r="323" spans="1:7" ht="18" customHeight="1">
      <c r="A323" s="535"/>
      <c r="B323" s="536"/>
      <c r="C323" s="536"/>
      <c r="D323" s="536"/>
      <c r="E323" s="535"/>
      <c r="F323" s="535"/>
      <c r="G323" s="439"/>
    </row>
    <row r="324" spans="1:7" ht="18" customHeight="1">
      <c r="A324" s="535"/>
      <c r="B324" s="536"/>
      <c r="C324" s="536"/>
      <c r="D324" s="536"/>
      <c r="E324" s="535"/>
      <c r="F324" s="535"/>
      <c r="G324" s="439"/>
    </row>
    <row r="325" spans="1:7" ht="18" customHeight="1">
      <c r="A325" s="535"/>
      <c r="B325" s="536"/>
      <c r="C325" s="536"/>
      <c r="D325" s="536"/>
      <c r="E325" s="535"/>
      <c r="F325" s="535"/>
      <c r="G325" s="439"/>
    </row>
    <row r="326" spans="1:7" ht="18" customHeight="1">
      <c r="A326" s="535"/>
      <c r="B326" s="536"/>
      <c r="C326" s="536"/>
      <c r="D326" s="536"/>
      <c r="E326" s="535"/>
      <c r="F326" s="535"/>
      <c r="G326" s="439"/>
    </row>
    <row r="327" spans="1:7" ht="18" customHeight="1">
      <c r="A327" s="535"/>
      <c r="B327" s="536"/>
      <c r="C327" s="536"/>
      <c r="D327" s="536"/>
      <c r="E327" s="535"/>
      <c r="F327" s="535"/>
      <c r="G327" s="439"/>
    </row>
    <row r="328" spans="1:7" ht="18" customHeight="1">
      <c r="A328" s="535"/>
      <c r="B328" s="536"/>
      <c r="C328" s="536"/>
      <c r="D328" s="536"/>
      <c r="E328" s="535"/>
      <c r="F328" s="535"/>
      <c r="G328" s="439"/>
    </row>
    <row r="329" spans="1:7" ht="18" customHeight="1">
      <c r="A329" s="535"/>
      <c r="B329" s="536"/>
      <c r="C329" s="536"/>
      <c r="D329" s="536"/>
      <c r="E329" s="535"/>
      <c r="F329" s="535"/>
      <c r="G329" s="439"/>
    </row>
    <row r="330" spans="1:7" ht="18" customHeight="1">
      <c r="A330" s="535"/>
      <c r="B330" s="536"/>
      <c r="C330" s="536"/>
      <c r="D330" s="536"/>
      <c r="E330" s="535"/>
      <c r="F330" s="535"/>
      <c r="G330" s="439"/>
    </row>
    <row r="331" spans="1:7" ht="18" customHeight="1">
      <c r="A331" s="535"/>
      <c r="B331" s="536"/>
      <c r="C331" s="536"/>
      <c r="D331" s="536"/>
      <c r="E331" s="535"/>
      <c r="F331" s="535"/>
      <c r="G331" s="439"/>
    </row>
    <row r="332" spans="1:7" ht="18" customHeight="1">
      <c r="A332" s="535"/>
      <c r="B332" s="536"/>
      <c r="C332" s="536"/>
      <c r="D332" s="536"/>
      <c r="E332" s="535"/>
      <c r="F332" s="535"/>
      <c r="G332" s="439"/>
    </row>
    <row r="333" spans="1:7" ht="18" customHeight="1">
      <c r="A333" s="535"/>
      <c r="B333" s="536"/>
      <c r="C333" s="536"/>
      <c r="D333" s="536"/>
      <c r="E333" s="535"/>
      <c r="F333" s="535"/>
      <c r="G333" s="439"/>
    </row>
    <row r="334" spans="1:7" ht="18" customHeight="1">
      <c r="A334" s="535"/>
      <c r="B334" s="536"/>
      <c r="C334" s="536"/>
      <c r="D334" s="536"/>
      <c r="E334" s="535"/>
      <c r="F334" s="535"/>
      <c r="G334" s="439"/>
    </row>
    <row r="335" spans="1:7" ht="18" customHeight="1">
      <c r="A335" s="535"/>
      <c r="B335" s="536"/>
      <c r="C335" s="536"/>
      <c r="D335" s="536"/>
      <c r="E335" s="535"/>
      <c r="F335" s="535"/>
      <c r="G335" s="439"/>
    </row>
    <row r="336" spans="1:7" ht="18" customHeight="1">
      <c r="A336" s="535"/>
      <c r="B336" s="536"/>
      <c r="C336" s="536"/>
      <c r="D336" s="536"/>
      <c r="E336" s="535"/>
      <c r="F336" s="535"/>
      <c r="G336" s="439"/>
    </row>
    <row r="337" spans="1:8" ht="18" customHeight="1">
      <c r="A337" s="535"/>
      <c r="B337" s="536"/>
      <c r="C337" s="536"/>
      <c r="D337" s="536"/>
      <c r="E337" s="535"/>
      <c r="F337" s="535"/>
      <c r="G337" s="439"/>
    </row>
    <row r="338" spans="1:8" ht="18" customHeight="1">
      <c r="A338" s="535"/>
      <c r="B338" s="536"/>
      <c r="C338" s="536"/>
      <c r="D338" s="536"/>
      <c r="E338" s="535"/>
      <c r="F338" s="535"/>
      <c r="G338" s="439"/>
    </row>
    <row r="339" spans="1:8" ht="18" customHeight="1">
      <c r="A339" s="535"/>
      <c r="B339" s="536"/>
      <c r="C339" s="536"/>
      <c r="D339" s="536"/>
      <c r="E339" s="535"/>
      <c r="F339" s="535"/>
      <c r="G339" s="439"/>
    </row>
    <row r="340" spans="1:8" ht="18" customHeight="1">
      <c r="A340" s="535"/>
      <c r="B340" s="536"/>
      <c r="C340" s="536"/>
      <c r="D340" s="536"/>
      <c r="E340" s="535"/>
      <c r="F340" s="535"/>
      <c r="G340" s="439"/>
    </row>
    <row r="341" spans="1:8" ht="18" customHeight="1">
      <c r="A341" s="535"/>
      <c r="B341" s="536"/>
      <c r="C341" s="536"/>
      <c r="D341" s="536"/>
      <c r="E341" s="535"/>
      <c r="F341" s="535"/>
      <c r="G341" s="439"/>
    </row>
    <row r="342" spans="1:8" ht="18" customHeight="1">
      <c r="A342" s="535"/>
      <c r="B342" s="536"/>
      <c r="C342" s="536"/>
      <c r="D342" s="536"/>
      <c r="E342" s="535"/>
      <c r="F342" s="535"/>
      <c r="G342" s="439"/>
    </row>
    <row r="343" spans="1:8" ht="18" customHeight="1">
      <c r="A343" s="535"/>
      <c r="B343" s="536"/>
      <c r="C343" s="536"/>
      <c r="D343" s="536"/>
      <c r="E343" s="535"/>
      <c r="F343" s="535"/>
      <c r="G343" s="439"/>
      <c r="H343" s="391"/>
    </row>
    <row r="344" spans="1:8" ht="18" customHeight="1">
      <c r="A344" s="535"/>
      <c r="B344" s="536"/>
      <c r="C344" s="536"/>
      <c r="D344" s="536"/>
      <c r="E344" s="535"/>
      <c r="F344" s="535"/>
      <c r="G344" s="439"/>
    </row>
    <row r="345" spans="1:8" ht="18" customHeight="1">
      <c r="A345" s="535"/>
      <c r="B345" s="536"/>
      <c r="C345" s="536"/>
      <c r="D345" s="536"/>
      <c r="E345" s="535"/>
      <c r="F345" s="535"/>
      <c r="G345" s="439"/>
    </row>
    <row r="346" spans="1:8" ht="18" customHeight="1">
      <c r="A346" s="535"/>
      <c r="B346" s="536"/>
      <c r="C346" s="536"/>
      <c r="D346" s="536"/>
      <c r="E346" s="535"/>
      <c r="F346" s="535"/>
      <c r="G346" s="439"/>
    </row>
    <row r="347" spans="1:8" ht="18" customHeight="1">
      <c r="A347" s="535"/>
      <c r="B347" s="536"/>
      <c r="C347" s="536"/>
      <c r="D347" s="536"/>
      <c r="E347" s="535"/>
      <c r="F347" s="535"/>
      <c r="G347" s="439"/>
    </row>
    <row r="348" spans="1:8" ht="18" customHeight="1">
      <c r="A348" s="535"/>
      <c r="B348" s="536"/>
      <c r="C348" s="536"/>
      <c r="D348" s="536"/>
      <c r="E348" s="535"/>
      <c r="F348" s="535"/>
      <c r="G348" s="439"/>
    </row>
    <row r="349" spans="1:8" ht="18" customHeight="1">
      <c r="A349" s="535"/>
      <c r="B349" s="536"/>
      <c r="C349" s="536"/>
      <c r="D349" s="536"/>
      <c r="E349" s="535"/>
      <c r="F349" s="535"/>
      <c r="G349" s="439"/>
    </row>
    <row r="350" spans="1:8" ht="18" customHeight="1">
      <c r="A350" s="535"/>
      <c r="B350" s="536"/>
      <c r="C350" s="536"/>
      <c r="D350" s="536"/>
      <c r="E350" s="535"/>
      <c r="F350" s="535"/>
      <c r="G350" s="439"/>
    </row>
    <row r="351" spans="1:8" ht="18" customHeight="1">
      <c r="A351" s="535"/>
      <c r="B351" s="536"/>
      <c r="C351" s="536"/>
      <c r="D351" s="536"/>
      <c r="E351" s="535"/>
      <c r="F351" s="535"/>
      <c r="G351" s="439"/>
    </row>
    <row r="352" spans="1:8" ht="18" customHeight="1">
      <c r="A352" s="535"/>
      <c r="B352" s="536"/>
      <c r="C352" s="536"/>
      <c r="D352" s="536"/>
      <c r="E352" s="535"/>
      <c r="F352" s="535"/>
      <c r="G352" s="439"/>
    </row>
    <row r="353" spans="1:7" ht="18" customHeight="1">
      <c r="A353" s="535"/>
      <c r="B353" s="536"/>
      <c r="C353" s="536"/>
      <c r="D353" s="536"/>
      <c r="E353" s="535"/>
      <c r="F353" s="535"/>
      <c r="G353" s="439"/>
    </row>
    <row r="354" spans="1:7" ht="18" customHeight="1">
      <c r="A354" s="535"/>
      <c r="B354" s="536"/>
      <c r="C354" s="536"/>
      <c r="D354" s="536"/>
      <c r="E354" s="535"/>
      <c r="F354" s="535"/>
      <c r="G354" s="439"/>
    </row>
    <row r="355" spans="1:7" ht="18" customHeight="1">
      <c r="A355" s="535"/>
      <c r="B355" s="536"/>
      <c r="C355" s="536"/>
      <c r="D355" s="536"/>
      <c r="E355" s="535"/>
      <c r="F355" s="535"/>
      <c r="G355" s="439"/>
    </row>
    <row r="356" spans="1:7" ht="18" customHeight="1">
      <c r="A356" s="535"/>
      <c r="B356" s="536"/>
      <c r="C356" s="536"/>
      <c r="D356" s="536"/>
      <c r="E356" s="535"/>
      <c r="F356" s="535"/>
      <c r="G356" s="439"/>
    </row>
    <row r="357" spans="1:7" ht="18" customHeight="1">
      <c r="A357" s="535"/>
      <c r="B357" s="536"/>
      <c r="C357" s="536"/>
      <c r="D357" s="536"/>
      <c r="E357" s="535"/>
      <c r="F357" s="535"/>
      <c r="G357" s="439"/>
    </row>
    <row r="358" spans="1:7" ht="18" customHeight="1">
      <c r="A358" s="535"/>
      <c r="B358" s="536"/>
      <c r="C358" s="536"/>
      <c r="D358" s="536"/>
      <c r="E358" s="535"/>
      <c r="F358" s="535"/>
      <c r="G358" s="439"/>
    </row>
    <row r="359" spans="1:7" ht="18" customHeight="1">
      <c r="A359" s="535"/>
      <c r="B359" s="536"/>
      <c r="C359" s="536"/>
      <c r="D359" s="536"/>
      <c r="E359" s="535"/>
      <c r="F359" s="535"/>
      <c r="G359" s="439"/>
    </row>
    <row r="360" spans="1:7" ht="18" customHeight="1">
      <c r="A360" s="535"/>
      <c r="B360" s="536"/>
      <c r="C360" s="536"/>
      <c r="D360" s="536"/>
      <c r="E360" s="535"/>
      <c r="F360" s="535"/>
      <c r="G360" s="439"/>
    </row>
    <row r="361" spans="1:7" ht="18" customHeight="1">
      <c r="A361" s="535"/>
      <c r="B361" s="536"/>
      <c r="C361" s="536"/>
      <c r="D361" s="536"/>
      <c r="E361" s="535"/>
      <c r="F361" s="535"/>
      <c r="G361" s="439"/>
    </row>
    <row r="362" spans="1:7" ht="18" customHeight="1">
      <c r="A362" s="535"/>
      <c r="B362" s="536"/>
      <c r="C362" s="536"/>
      <c r="D362" s="536"/>
      <c r="E362" s="535"/>
      <c r="F362" s="535"/>
      <c r="G362" s="439"/>
    </row>
    <row r="363" spans="1:7" ht="18" customHeight="1">
      <c r="A363" s="535"/>
      <c r="B363" s="536"/>
      <c r="C363" s="536"/>
      <c r="D363" s="536"/>
      <c r="E363" s="535"/>
      <c r="F363" s="535"/>
      <c r="G363" s="439"/>
    </row>
    <row r="364" spans="1:7" ht="18" customHeight="1">
      <c r="A364" s="535"/>
      <c r="B364" s="536"/>
      <c r="C364" s="536"/>
      <c r="D364" s="536"/>
      <c r="E364" s="535"/>
      <c r="F364" s="535"/>
      <c r="G364" s="439"/>
    </row>
    <row r="365" spans="1:7" ht="18" customHeight="1">
      <c r="A365" s="535"/>
      <c r="B365" s="536"/>
      <c r="C365" s="536"/>
      <c r="D365" s="536"/>
      <c r="E365" s="535"/>
      <c r="F365" s="535"/>
      <c r="G365" s="439"/>
    </row>
    <row r="366" spans="1:7" ht="18" customHeight="1">
      <c r="A366" s="535"/>
      <c r="B366" s="536"/>
      <c r="C366" s="536"/>
      <c r="D366" s="536"/>
      <c r="E366" s="535"/>
      <c r="F366" s="535"/>
      <c r="G366" s="439"/>
    </row>
    <row r="367" spans="1:7" ht="18" customHeight="1">
      <c r="A367" s="535"/>
      <c r="B367" s="536"/>
      <c r="C367" s="536"/>
      <c r="D367" s="536"/>
      <c r="E367" s="535"/>
      <c r="F367" s="535"/>
      <c r="G367" s="439"/>
    </row>
    <row r="368" spans="1:7" ht="18" customHeight="1">
      <c r="A368" s="535"/>
      <c r="B368" s="536"/>
      <c r="C368" s="536"/>
      <c r="D368" s="536"/>
      <c r="E368" s="535"/>
      <c r="F368" s="535"/>
      <c r="G368" s="439"/>
    </row>
    <row r="369" spans="1:7" ht="18" customHeight="1">
      <c r="A369" s="535"/>
      <c r="B369" s="536"/>
      <c r="C369" s="536"/>
      <c r="D369" s="536"/>
      <c r="E369" s="535"/>
      <c r="F369" s="535"/>
      <c r="G369" s="439"/>
    </row>
    <row r="370" spans="1:7" ht="18" customHeight="1">
      <c r="A370" s="535"/>
      <c r="B370" s="536"/>
      <c r="C370" s="536"/>
      <c r="D370" s="536"/>
      <c r="E370" s="535"/>
      <c r="F370" s="535"/>
      <c r="G370" s="439"/>
    </row>
    <row r="371" spans="1:7" ht="18" customHeight="1">
      <c r="A371" s="535"/>
      <c r="B371" s="536"/>
      <c r="C371" s="536"/>
      <c r="D371" s="536"/>
      <c r="E371" s="535"/>
      <c r="F371" s="535"/>
      <c r="G371" s="439"/>
    </row>
    <row r="372" spans="1:7" ht="18" customHeight="1">
      <c r="A372" s="535"/>
      <c r="B372" s="536"/>
      <c r="C372" s="536"/>
      <c r="D372" s="536"/>
      <c r="E372" s="535"/>
      <c r="F372" s="535"/>
      <c r="G372" s="439"/>
    </row>
    <row r="373" spans="1:7" ht="18" customHeight="1">
      <c r="A373" s="535"/>
      <c r="B373" s="536"/>
      <c r="C373" s="536"/>
      <c r="D373" s="536"/>
      <c r="E373" s="535"/>
      <c r="F373" s="535"/>
      <c r="G373" s="439"/>
    </row>
    <row r="374" spans="1:7" ht="18" customHeight="1">
      <c r="A374" s="535"/>
      <c r="B374" s="536"/>
      <c r="C374" s="536"/>
      <c r="D374" s="536"/>
      <c r="E374" s="535"/>
      <c r="F374" s="535"/>
      <c r="G374" s="439"/>
    </row>
    <row r="375" spans="1:7" ht="18" customHeight="1">
      <c r="A375" s="535"/>
      <c r="B375" s="536"/>
      <c r="C375" s="536"/>
      <c r="D375" s="536"/>
      <c r="E375" s="535"/>
      <c r="F375" s="535"/>
      <c r="G375" s="439"/>
    </row>
    <row r="376" spans="1:7" ht="18" customHeight="1">
      <c r="A376" s="535"/>
      <c r="B376" s="536"/>
      <c r="C376" s="536"/>
      <c r="D376" s="536"/>
      <c r="E376" s="535"/>
      <c r="F376" s="535"/>
      <c r="G376" s="439"/>
    </row>
    <row r="377" spans="1:7" ht="18" customHeight="1">
      <c r="A377" s="535"/>
      <c r="B377" s="536"/>
      <c r="C377" s="536"/>
      <c r="D377" s="536"/>
      <c r="E377" s="535"/>
      <c r="F377" s="535"/>
      <c r="G377" s="439"/>
    </row>
    <row r="378" spans="1:7" ht="18" customHeight="1">
      <c r="A378" s="535"/>
      <c r="B378" s="536"/>
      <c r="C378" s="536"/>
      <c r="D378" s="536"/>
      <c r="E378" s="535"/>
      <c r="F378" s="535"/>
      <c r="G378" s="439"/>
    </row>
    <row r="379" spans="1:7" ht="18" customHeight="1">
      <c r="A379" s="535"/>
      <c r="B379" s="536"/>
      <c r="C379" s="536"/>
      <c r="D379" s="536"/>
      <c r="E379" s="535"/>
      <c r="F379" s="535"/>
      <c r="G379" s="439"/>
    </row>
    <row r="380" spans="1:7" ht="18" customHeight="1">
      <c r="A380" s="535"/>
      <c r="B380" s="536"/>
      <c r="C380" s="536"/>
      <c r="D380" s="536"/>
      <c r="E380" s="535"/>
      <c r="F380" s="535"/>
      <c r="G380" s="439"/>
    </row>
    <row r="381" spans="1:7" ht="18" customHeight="1">
      <c r="A381" s="535"/>
      <c r="B381" s="536"/>
      <c r="C381" s="536"/>
      <c r="D381" s="536"/>
      <c r="E381" s="535"/>
      <c r="F381" s="535"/>
      <c r="G381" s="439"/>
    </row>
    <row r="382" spans="1:7" ht="18" customHeight="1">
      <c r="A382" s="535"/>
      <c r="B382" s="536"/>
      <c r="C382" s="536"/>
      <c r="D382" s="536"/>
      <c r="E382" s="535"/>
      <c r="F382" s="535"/>
      <c r="G382" s="439"/>
    </row>
    <row r="383" spans="1:7" ht="18" customHeight="1">
      <c r="A383" s="535"/>
      <c r="B383" s="536"/>
      <c r="C383" s="536"/>
      <c r="D383" s="536"/>
      <c r="E383" s="535"/>
      <c r="F383" s="535"/>
      <c r="G383" s="439"/>
    </row>
    <row r="384" spans="1:7" ht="18" customHeight="1">
      <c r="A384" s="535"/>
      <c r="B384" s="536"/>
      <c r="C384" s="536"/>
      <c r="D384" s="536"/>
      <c r="E384" s="535"/>
      <c r="F384" s="535"/>
      <c r="G384" s="439"/>
    </row>
    <row r="385" spans="1:7" ht="18" customHeight="1">
      <c r="A385" s="535"/>
      <c r="B385" s="536"/>
      <c r="C385" s="536"/>
      <c r="D385" s="536"/>
      <c r="E385" s="535"/>
      <c r="F385" s="535"/>
      <c r="G385" s="439"/>
    </row>
    <row r="386" spans="1:7" ht="18" customHeight="1">
      <c r="A386" s="535"/>
      <c r="B386" s="536"/>
      <c r="C386" s="536"/>
      <c r="D386" s="536"/>
      <c r="E386" s="535"/>
      <c r="F386" s="535"/>
      <c r="G386" s="439"/>
    </row>
    <row r="387" spans="1:7" ht="18" customHeight="1">
      <c r="A387" s="535"/>
      <c r="B387" s="536"/>
      <c r="C387" s="536"/>
      <c r="D387" s="536"/>
      <c r="E387" s="535"/>
      <c r="F387" s="535"/>
      <c r="G387" s="439"/>
    </row>
    <row r="388" spans="1:7" ht="18" customHeight="1">
      <c r="A388" s="535"/>
      <c r="B388" s="536"/>
      <c r="C388" s="536"/>
      <c r="D388" s="536"/>
      <c r="E388" s="535"/>
      <c r="F388" s="535"/>
      <c r="G388" s="439"/>
    </row>
    <row r="389" spans="1:7" ht="18" customHeight="1">
      <c r="A389" s="535"/>
      <c r="B389" s="536"/>
      <c r="C389" s="536"/>
      <c r="D389" s="536"/>
      <c r="E389" s="535"/>
      <c r="F389" s="535"/>
      <c r="G389" s="439"/>
    </row>
    <row r="390" spans="1:7" ht="18" customHeight="1">
      <c r="A390" s="535"/>
      <c r="B390" s="536"/>
      <c r="C390" s="536"/>
      <c r="D390" s="536"/>
      <c r="E390" s="535"/>
      <c r="F390" s="535"/>
      <c r="G390" s="439"/>
    </row>
    <row r="391" spans="1:7" ht="18" customHeight="1">
      <c r="A391" s="535"/>
      <c r="B391" s="536"/>
      <c r="C391" s="536"/>
      <c r="D391" s="536"/>
      <c r="E391" s="535"/>
      <c r="F391" s="535"/>
      <c r="G391" s="439"/>
    </row>
    <row r="392" spans="1:7" ht="18" customHeight="1">
      <c r="A392" s="535"/>
      <c r="B392" s="536"/>
      <c r="C392" s="536"/>
      <c r="D392" s="536"/>
      <c r="E392" s="535"/>
      <c r="F392" s="535"/>
      <c r="G392" s="439"/>
    </row>
    <row r="393" spans="1:7" ht="18" customHeight="1">
      <c r="A393" s="535"/>
      <c r="B393" s="536"/>
      <c r="C393" s="536"/>
      <c r="D393" s="536"/>
      <c r="E393" s="535"/>
      <c r="F393" s="535"/>
      <c r="G393" s="439"/>
    </row>
    <row r="394" spans="1:7" ht="18" customHeight="1">
      <c r="A394" s="535"/>
      <c r="B394" s="536"/>
      <c r="C394" s="536"/>
      <c r="D394" s="536"/>
      <c r="E394" s="535"/>
      <c r="F394" s="535"/>
      <c r="G394" s="439"/>
    </row>
    <row r="395" spans="1:7" ht="18" customHeight="1">
      <c r="A395" s="535"/>
      <c r="B395" s="536"/>
      <c r="C395" s="536"/>
      <c r="D395" s="536"/>
      <c r="E395" s="535"/>
      <c r="F395" s="535"/>
      <c r="G395" s="439"/>
    </row>
    <row r="396" spans="1:7" ht="18" customHeight="1">
      <c r="A396" s="535"/>
      <c r="B396" s="536"/>
      <c r="C396" s="536"/>
      <c r="D396" s="536"/>
      <c r="E396" s="535"/>
      <c r="F396" s="535"/>
      <c r="G396" s="439"/>
    </row>
    <row r="397" spans="1:7" ht="18" customHeight="1">
      <c r="A397" s="535"/>
      <c r="B397" s="536"/>
      <c r="C397" s="536"/>
      <c r="D397" s="536"/>
      <c r="E397" s="535"/>
      <c r="F397" s="535"/>
      <c r="G397" s="439"/>
    </row>
    <row r="398" spans="1:7" ht="18" customHeight="1">
      <c r="A398" s="535"/>
      <c r="B398" s="536"/>
      <c r="C398" s="536"/>
      <c r="D398" s="536"/>
      <c r="E398" s="535"/>
      <c r="F398" s="535"/>
      <c r="G398" s="439"/>
    </row>
    <row r="399" spans="1:7" ht="18" customHeight="1">
      <c r="A399" s="535"/>
      <c r="B399" s="536"/>
      <c r="C399" s="536"/>
      <c r="D399" s="536"/>
      <c r="E399" s="535"/>
      <c r="F399" s="535"/>
      <c r="G399" s="439"/>
    </row>
    <row r="400" spans="1:7" ht="18" customHeight="1">
      <c r="A400" s="535"/>
      <c r="B400" s="536"/>
      <c r="C400" s="536"/>
      <c r="D400" s="536"/>
      <c r="E400" s="535"/>
      <c r="F400" s="535"/>
      <c r="G400" s="439"/>
    </row>
    <row r="401" spans="1:7" ht="18" customHeight="1">
      <c r="A401" s="535"/>
      <c r="B401" s="536"/>
      <c r="C401" s="536"/>
      <c r="D401" s="536"/>
      <c r="E401" s="535"/>
      <c r="F401" s="535"/>
      <c r="G401" s="439"/>
    </row>
    <row r="402" spans="1:7" ht="18" customHeight="1">
      <c r="A402" s="535"/>
      <c r="B402" s="536"/>
      <c r="C402" s="536"/>
      <c r="D402" s="536"/>
      <c r="E402" s="535"/>
      <c r="F402" s="535"/>
      <c r="G402" s="439"/>
    </row>
    <row r="403" spans="1:7" ht="18" customHeight="1">
      <c r="A403" s="535"/>
      <c r="B403" s="536"/>
      <c r="C403" s="536"/>
      <c r="D403" s="536"/>
      <c r="E403" s="535"/>
      <c r="F403" s="535"/>
      <c r="G403" s="439"/>
    </row>
    <row r="404" spans="1:7" ht="18" customHeight="1">
      <c r="A404" s="535"/>
      <c r="B404" s="536"/>
      <c r="C404" s="536"/>
      <c r="D404" s="536"/>
      <c r="E404" s="535"/>
      <c r="F404" s="535"/>
      <c r="G404" s="439"/>
    </row>
    <row r="405" spans="1:7" ht="18" customHeight="1">
      <c r="A405" s="535"/>
      <c r="B405" s="536"/>
      <c r="C405" s="536"/>
      <c r="D405" s="536"/>
      <c r="E405" s="535"/>
      <c r="F405" s="535"/>
      <c r="G405" s="439"/>
    </row>
    <row r="406" spans="1:7" ht="18" customHeight="1">
      <c r="A406" s="535"/>
      <c r="B406" s="536"/>
      <c r="C406" s="536"/>
      <c r="D406" s="536"/>
      <c r="E406" s="535"/>
      <c r="F406" s="535"/>
      <c r="G406" s="439"/>
    </row>
    <row r="407" spans="1:7" ht="18" customHeight="1">
      <c r="A407" s="535"/>
      <c r="B407" s="536"/>
      <c r="C407" s="536"/>
      <c r="D407" s="536"/>
      <c r="E407" s="535"/>
      <c r="F407" s="535"/>
      <c r="G407" s="439"/>
    </row>
    <row r="408" spans="1:7" ht="18" customHeight="1">
      <c r="A408" s="535"/>
      <c r="B408" s="536"/>
      <c r="C408" s="536"/>
      <c r="D408" s="536"/>
      <c r="E408" s="535"/>
      <c r="F408" s="535"/>
      <c r="G408" s="439"/>
    </row>
    <row r="409" spans="1:7" ht="18" customHeight="1">
      <c r="A409" s="535"/>
      <c r="B409" s="536"/>
      <c r="C409" s="536"/>
      <c r="D409" s="536"/>
      <c r="E409" s="535"/>
      <c r="F409" s="535"/>
      <c r="G409" s="439"/>
    </row>
    <row r="410" spans="1:7" ht="18" customHeight="1">
      <c r="A410" s="535"/>
      <c r="B410" s="536"/>
      <c r="C410" s="536"/>
      <c r="D410" s="536"/>
      <c r="E410" s="535"/>
      <c r="F410" s="535"/>
      <c r="G410" s="439"/>
    </row>
    <row r="411" spans="1:7" ht="18" customHeight="1">
      <c r="A411" s="535"/>
      <c r="B411" s="536"/>
      <c r="C411" s="536"/>
      <c r="D411" s="536"/>
      <c r="E411" s="535"/>
      <c r="F411" s="535"/>
      <c r="G411" s="439"/>
    </row>
    <row r="412" spans="1:7" ht="18" customHeight="1">
      <c r="A412" s="535"/>
      <c r="B412" s="536"/>
      <c r="C412" s="536"/>
      <c r="D412" s="536"/>
      <c r="E412" s="535"/>
      <c r="F412" s="535"/>
      <c r="G412" s="439"/>
    </row>
    <row r="413" spans="1:7" ht="18" customHeight="1">
      <c r="A413" s="535"/>
      <c r="B413" s="536"/>
      <c r="C413" s="536"/>
      <c r="D413" s="536"/>
      <c r="E413" s="535"/>
      <c r="F413" s="535"/>
      <c r="G413" s="439"/>
    </row>
    <row r="414" spans="1:7" ht="18" customHeight="1">
      <c r="A414" s="535"/>
      <c r="B414" s="536"/>
      <c r="C414" s="536"/>
      <c r="D414" s="536"/>
      <c r="E414" s="535"/>
      <c r="F414" s="535"/>
      <c r="G414" s="439"/>
    </row>
    <row r="415" spans="1:7" ht="18" customHeight="1">
      <c r="A415" s="535"/>
      <c r="B415" s="536"/>
      <c r="C415" s="536"/>
      <c r="D415" s="536"/>
      <c r="E415" s="535"/>
      <c r="F415" s="535"/>
      <c r="G415" s="439"/>
    </row>
    <row r="416" spans="1:7" ht="18" customHeight="1">
      <c r="A416" s="535"/>
      <c r="B416" s="536"/>
      <c r="C416" s="536"/>
      <c r="D416" s="536"/>
      <c r="E416" s="535"/>
      <c r="F416" s="535"/>
      <c r="G416" s="439"/>
    </row>
    <row r="417" spans="1:7" ht="18" customHeight="1">
      <c r="A417" s="535"/>
      <c r="B417" s="536"/>
      <c r="C417" s="536"/>
      <c r="D417" s="536"/>
      <c r="E417" s="535"/>
      <c r="F417" s="535"/>
      <c r="G417" s="439"/>
    </row>
    <row r="418" spans="1:7" ht="18" customHeight="1">
      <c r="A418" s="535"/>
      <c r="B418" s="536"/>
      <c r="C418" s="536"/>
      <c r="D418" s="536"/>
      <c r="E418" s="535"/>
      <c r="F418" s="535"/>
      <c r="G418" s="439"/>
    </row>
    <row r="419" spans="1:7" ht="18" customHeight="1">
      <c r="A419" s="535"/>
      <c r="B419" s="536"/>
      <c r="C419" s="536"/>
      <c r="D419" s="536"/>
      <c r="E419" s="535"/>
      <c r="F419" s="535"/>
      <c r="G419" s="439"/>
    </row>
    <row r="420" spans="1:7" ht="18" customHeight="1">
      <c r="A420" s="535"/>
      <c r="B420" s="536"/>
      <c r="C420" s="536"/>
      <c r="D420" s="536"/>
      <c r="E420" s="535"/>
      <c r="F420" s="535"/>
      <c r="G420" s="439"/>
    </row>
    <row r="421" spans="1:7" ht="18" customHeight="1">
      <c r="A421" s="535"/>
      <c r="B421" s="536"/>
      <c r="C421" s="536"/>
      <c r="D421" s="536"/>
      <c r="E421" s="535"/>
      <c r="F421" s="535"/>
      <c r="G421" s="439"/>
    </row>
    <row r="422" spans="1:7" ht="18" customHeight="1">
      <c r="A422" s="535"/>
      <c r="B422" s="536"/>
      <c r="C422" s="536"/>
      <c r="D422" s="536"/>
      <c r="E422" s="535"/>
      <c r="F422" s="535"/>
      <c r="G422" s="439"/>
    </row>
    <row r="423" spans="1:7" ht="18" customHeight="1">
      <c r="A423" s="535"/>
      <c r="B423" s="536"/>
      <c r="C423" s="536"/>
      <c r="D423" s="536"/>
      <c r="E423" s="535"/>
      <c r="F423" s="535"/>
      <c r="G423" s="439"/>
    </row>
    <row r="424" spans="1:7" ht="18" customHeight="1">
      <c r="A424" s="535"/>
      <c r="B424" s="536"/>
      <c r="C424" s="536"/>
      <c r="D424" s="536"/>
      <c r="E424" s="535"/>
      <c r="F424" s="535"/>
      <c r="G424" s="439"/>
    </row>
    <row r="425" spans="1:7" ht="18" customHeight="1">
      <c r="A425" s="535"/>
      <c r="B425" s="536"/>
      <c r="C425" s="536"/>
      <c r="D425" s="536"/>
      <c r="E425" s="535"/>
      <c r="F425" s="535"/>
      <c r="G425" s="439"/>
    </row>
    <row r="426" spans="1:7" ht="18" customHeight="1">
      <c r="A426" s="535"/>
      <c r="B426" s="536"/>
      <c r="C426" s="536"/>
      <c r="D426" s="536"/>
      <c r="E426" s="535"/>
      <c r="F426" s="535"/>
      <c r="G426" s="439"/>
    </row>
    <row r="427" spans="1:7" ht="18" customHeight="1">
      <c r="A427" s="535"/>
      <c r="B427" s="536"/>
      <c r="C427" s="536"/>
      <c r="D427" s="536"/>
      <c r="E427" s="535"/>
      <c r="F427" s="535"/>
      <c r="G427" s="439"/>
    </row>
    <row r="428" spans="1:7" ht="18" customHeight="1">
      <c r="A428" s="535"/>
      <c r="B428" s="536"/>
      <c r="C428" s="536"/>
      <c r="D428" s="536"/>
      <c r="E428" s="535"/>
      <c r="F428" s="535"/>
      <c r="G428" s="439"/>
    </row>
    <row r="429" spans="1:7" ht="18" customHeight="1">
      <c r="A429" s="535"/>
      <c r="B429" s="536"/>
      <c r="C429" s="536"/>
      <c r="D429" s="536"/>
      <c r="E429" s="535"/>
      <c r="F429" s="535"/>
      <c r="G429" s="439"/>
    </row>
    <row r="430" spans="1:7" ht="18" customHeight="1">
      <c r="A430" s="535"/>
      <c r="B430" s="536"/>
      <c r="C430" s="536"/>
      <c r="D430" s="536"/>
      <c r="E430" s="535"/>
      <c r="F430" s="535"/>
      <c r="G430" s="439"/>
    </row>
    <row r="431" spans="1:7" ht="18" customHeight="1">
      <c r="A431" s="535"/>
      <c r="B431" s="536"/>
      <c r="C431" s="536"/>
      <c r="D431" s="536"/>
      <c r="E431" s="535"/>
      <c r="F431" s="535"/>
      <c r="G431" s="439"/>
    </row>
    <row r="432" spans="1:7" ht="18" customHeight="1">
      <c r="A432" s="535"/>
      <c r="B432" s="536"/>
      <c r="C432" s="536"/>
      <c r="D432" s="536"/>
      <c r="E432" s="535"/>
      <c r="F432" s="535"/>
      <c r="G432" s="439"/>
    </row>
    <row r="433" spans="1:7" ht="18" customHeight="1">
      <c r="A433" s="535"/>
      <c r="B433" s="536"/>
      <c r="C433" s="536"/>
      <c r="D433" s="536"/>
      <c r="E433" s="535"/>
      <c r="F433" s="535"/>
      <c r="G433" s="439"/>
    </row>
    <row r="434" spans="1:7" ht="18" customHeight="1">
      <c r="A434" s="535"/>
      <c r="B434" s="536"/>
      <c r="C434" s="536"/>
      <c r="D434" s="536"/>
      <c r="E434" s="535"/>
      <c r="F434" s="535"/>
      <c r="G434" s="439"/>
    </row>
    <row r="435" spans="1:7" ht="18" customHeight="1">
      <c r="A435" s="535"/>
      <c r="B435" s="536"/>
      <c r="C435" s="536"/>
      <c r="D435" s="536"/>
      <c r="E435" s="535"/>
      <c r="F435" s="535"/>
      <c r="G435" s="439"/>
    </row>
    <row r="436" spans="1:7" ht="18" customHeight="1">
      <c r="A436" s="535"/>
      <c r="B436" s="536"/>
      <c r="C436" s="536"/>
      <c r="D436" s="536"/>
      <c r="E436" s="535"/>
      <c r="F436" s="535"/>
      <c r="G436" s="439"/>
    </row>
    <row r="437" spans="1:7" ht="18" customHeight="1">
      <c r="A437" s="535"/>
      <c r="B437" s="536"/>
      <c r="C437" s="536"/>
      <c r="D437" s="536"/>
      <c r="E437" s="535"/>
      <c r="F437" s="535"/>
      <c r="G437" s="439"/>
    </row>
    <row r="438" spans="1:7" ht="18" customHeight="1">
      <c r="A438" s="535"/>
      <c r="B438" s="536"/>
      <c r="C438" s="536"/>
      <c r="D438" s="536"/>
      <c r="E438" s="535"/>
      <c r="F438" s="535"/>
      <c r="G438" s="439"/>
    </row>
    <row r="439" spans="1:7" ht="18" customHeight="1">
      <c r="A439" s="535"/>
      <c r="B439" s="536"/>
      <c r="C439" s="536"/>
      <c r="D439" s="536"/>
      <c r="E439" s="535"/>
      <c r="F439" s="535"/>
      <c r="G439" s="439"/>
    </row>
    <row r="440" spans="1:7" ht="18" customHeight="1">
      <c r="A440" s="535"/>
      <c r="B440" s="536"/>
      <c r="C440" s="536"/>
      <c r="D440" s="536"/>
      <c r="E440" s="535"/>
      <c r="F440" s="535"/>
      <c r="G440" s="439"/>
    </row>
    <row r="441" spans="1:7" ht="18" customHeight="1">
      <c r="A441" s="535"/>
      <c r="B441" s="536"/>
      <c r="C441" s="536"/>
      <c r="D441" s="536"/>
      <c r="E441" s="535"/>
      <c r="F441" s="535"/>
      <c r="G441" s="439"/>
    </row>
    <row r="442" spans="1:7" ht="18" customHeight="1">
      <c r="A442" s="535"/>
      <c r="B442" s="536"/>
      <c r="C442" s="536"/>
      <c r="D442" s="536"/>
      <c r="E442" s="535"/>
      <c r="F442" s="535"/>
      <c r="G442" s="439"/>
    </row>
    <row r="443" spans="1:7" ht="18" customHeight="1">
      <c r="A443" s="535"/>
      <c r="B443" s="536"/>
      <c r="C443" s="536"/>
      <c r="D443" s="536"/>
      <c r="E443" s="535"/>
      <c r="F443" s="535"/>
      <c r="G443" s="439"/>
    </row>
    <row r="444" spans="1:7" ht="18" customHeight="1">
      <c r="A444" s="535"/>
      <c r="B444" s="536"/>
      <c r="C444" s="536"/>
      <c r="D444" s="536"/>
      <c r="E444" s="535"/>
      <c r="F444" s="535"/>
      <c r="G444" s="439"/>
    </row>
    <row r="445" spans="1:7" ht="18" customHeight="1">
      <c r="A445" s="535"/>
      <c r="B445" s="536"/>
      <c r="C445" s="536"/>
      <c r="D445" s="536"/>
      <c r="E445" s="535"/>
      <c r="F445" s="535"/>
      <c r="G445" s="439"/>
    </row>
    <row r="446" spans="1:7" ht="18" customHeight="1">
      <c r="A446" s="535"/>
      <c r="B446" s="536"/>
      <c r="C446" s="536"/>
      <c r="D446" s="536"/>
      <c r="E446" s="535"/>
      <c r="F446" s="535"/>
      <c r="G446" s="439"/>
    </row>
    <row r="447" spans="1:7" ht="18" customHeight="1">
      <c r="A447" s="535"/>
      <c r="B447" s="536"/>
      <c r="C447" s="536"/>
      <c r="D447" s="536"/>
      <c r="E447" s="535"/>
      <c r="F447" s="535"/>
      <c r="G447" s="439"/>
    </row>
    <row r="448" spans="1:7" ht="18" customHeight="1">
      <c r="A448" s="535"/>
      <c r="B448" s="536"/>
      <c r="C448" s="536"/>
      <c r="D448" s="536"/>
      <c r="E448" s="535"/>
      <c r="F448" s="535"/>
      <c r="G448" s="439"/>
    </row>
    <row r="449" spans="1:7" ht="18" customHeight="1">
      <c r="A449" s="535"/>
      <c r="B449" s="536"/>
      <c r="C449" s="536"/>
      <c r="D449" s="536"/>
      <c r="E449" s="535"/>
      <c r="F449" s="535"/>
      <c r="G449" s="439"/>
    </row>
    <row r="450" spans="1:7" ht="18" customHeight="1">
      <c r="A450" s="535"/>
      <c r="B450" s="536"/>
      <c r="C450" s="536"/>
      <c r="D450" s="536"/>
      <c r="E450" s="535"/>
      <c r="F450" s="535"/>
      <c r="G450" s="439"/>
    </row>
    <row r="451" spans="1:7" ht="18" customHeight="1">
      <c r="A451" s="535"/>
      <c r="B451" s="536"/>
      <c r="C451" s="536"/>
      <c r="D451" s="536"/>
      <c r="E451" s="535"/>
      <c r="F451" s="535"/>
      <c r="G451" s="439"/>
    </row>
    <row r="452" spans="1:7" ht="18" customHeight="1">
      <c r="A452" s="535"/>
      <c r="B452" s="536"/>
      <c r="C452" s="536"/>
      <c r="D452" s="536"/>
      <c r="E452" s="535"/>
      <c r="F452" s="535"/>
      <c r="G452" s="439"/>
    </row>
    <row r="453" spans="1:7" ht="18" customHeight="1">
      <c r="A453" s="535"/>
      <c r="B453" s="536"/>
      <c r="C453" s="536"/>
      <c r="D453" s="536"/>
      <c r="E453" s="535"/>
      <c r="F453" s="535"/>
      <c r="G453" s="439"/>
    </row>
    <row r="454" spans="1:7" ht="18" customHeight="1">
      <c r="A454" s="535"/>
      <c r="B454" s="536"/>
      <c r="C454" s="536"/>
      <c r="D454" s="536"/>
      <c r="E454" s="535"/>
      <c r="F454" s="535"/>
      <c r="G454" s="439"/>
    </row>
    <row r="455" spans="1:7" ht="18" customHeight="1">
      <c r="A455" s="535"/>
      <c r="B455" s="536"/>
      <c r="C455" s="536"/>
      <c r="D455" s="536"/>
      <c r="E455" s="535"/>
      <c r="F455" s="535"/>
      <c r="G455" s="439"/>
    </row>
    <row r="456" spans="1:7" ht="18" customHeight="1">
      <c r="A456" s="535"/>
      <c r="B456" s="536"/>
      <c r="C456" s="536"/>
      <c r="D456" s="536"/>
      <c r="E456" s="535"/>
      <c r="F456" s="535"/>
      <c r="G456" s="439"/>
    </row>
    <row r="457" spans="1:7" ht="18" customHeight="1">
      <c r="A457" s="535"/>
      <c r="B457" s="536"/>
      <c r="C457" s="536"/>
      <c r="D457" s="536"/>
      <c r="E457" s="535"/>
      <c r="F457" s="535"/>
      <c r="G457" s="439"/>
    </row>
    <row r="458" spans="1:7" ht="18" customHeight="1">
      <c r="A458" s="535"/>
      <c r="B458" s="536"/>
      <c r="C458" s="536"/>
      <c r="D458" s="536"/>
      <c r="E458" s="535"/>
      <c r="F458" s="535"/>
      <c r="G458" s="439"/>
    </row>
    <row r="459" spans="1:7" ht="18" customHeight="1">
      <c r="A459" s="535"/>
      <c r="B459" s="536"/>
      <c r="C459" s="536"/>
      <c r="D459" s="536"/>
      <c r="E459" s="535"/>
      <c r="F459" s="535"/>
      <c r="G459" s="439"/>
    </row>
    <row r="460" spans="1:7" ht="18" customHeight="1">
      <c r="A460" s="535"/>
      <c r="B460" s="536"/>
      <c r="C460" s="536"/>
      <c r="D460" s="536"/>
      <c r="E460" s="535"/>
      <c r="F460" s="535"/>
      <c r="G460" s="439"/>
    </row>
    <row r="461" spans="1:7" ht="18" customHeight="1">
      <c r="A461" s="535"/>
      <c r="B461" s="536"/>
      <c r="C461" s="536"/>
      <c r="D461" s="536"/>
      <c r="E461" s="535"/>
      <c r="F461" s="535"/>
      <c r="G461" s="439"/>
    </row>
    <row r="462" spans="1:7" ht="18" customHeight="1">
      <c r="A462" s="535"/>
      <c r="B462" s="536"/>
      <c r="C462" s="536"/>
      <c r="D462" s="536"/>
      <c r="E462" s="535"/>
      <c r="F462" s="535"/>
      <c r="G462" s="439"/>
    </row>
    <row r="463" spans="1:7" ht="18" customHeight="1">
      <c r="A463" s="535"/>
      <c r="B463" s="536"/>
      <c r="C463" s="536"/>
      <c r="D463" s="536"/>
      <c r="E463" s="535"/>
      <c r="F463" s="535"/>
      <c r="G463" s="439"/>
    </row>
    <row r="464" spans="1:7" ht="18" customHeight="1">
      <c r="A464" s="535"/>
      <c r="B464" s="536"/>
      <c r="C464" s="536"/>
      <c r="D464" s="536"/>
      <c r="E464" s="535"/>
      <c r="F464" s="535"/>
      <c r="G464" s="439"/>
    </row>
    <row r="465" spans="1:7" ht="18" customHeight="1">
      <c r="A465" s="535"/>
      <c r="B465" s="536"/>
      <c r="C465" s="536"/>
      <c r="D465" s="536"/>
      <c r="E465" s="535"/>
      <c r="F465" s="535"/>
      <c r="G465" s="439"/>
    </row>
    <row r="466" spans="1:7" ht="18" customHeight="1">
      <c r="A466" s="535"/>
      <c r="B466" s="536"/>
      <c r="C466" s="536"/>
      <c r="D466" s="536"/>
      <c r="E466" s="535"/>
      <c r="F466" s="535"/>
      <c r="G466" s="439"/>
    </row>
    <row r="467" spans="1:7" ht="18" customHeight="1">
      <c r="A467" s="535"/>
      <c r="B467" s="536"/>
      <c r="C467" s="536"/>
      <c r="D467" s="536"/>
      <c r="E467" s="535"/>
      <c r="F467" s="535"/>
      <c r="G467" s="439"/>
    </row>
    <row r="468" spans="1:7" ht="18" customHeight="1">
      <c r="A468" s="535"/>
      <c r="B468" s="536"/>
      <c r="C468" s="536"/>
      <c r="D468" s="536"/>
      <c r="E468" s="535"/>
      <c r="F468" s="535"/>
      <c r="G468" s="439"/>
    </row>
    <row r="469" spans="1:7" ht="18" customHeight="1">
      <c r="A469" s="535"/>
      <c r="B469" s="536"/>
      <c r="C469" s="536"/>
      <c r="D469" s="536"/>
      <c r="E469" s="535"/>
      <c r="F469" s="535"/>
      <c r="G469" s="439"/>
    </row>
    <row r="470" spans="1:7" ht="18" customHeight="1">
      <c r="A470" s="535"/>
      <c r="B470" s="536"/>
      <c r="C470" s="536"/>
      <c r="D470" s="536"/>
      <c r="E470" s="535"/>
      <c r="F470" s="535"/>
      <c r="G470" s="439"/>
    </row>
    <row r="471" spans="1:7" ht="18" customHeight="1">
      <c r="A471" s="535"/>
      <c r="B471" s="536"/>
      <c r="C471" s="536"/>
      <c r="D471" s="536"/>
      <c r="E471" s="535"/>
      <c r="F471" s="535"/>
      <c r="G471" s="439"/>
    </row>
    <row r="472" spans="1:7" ht="18" customHeight="1">
      <c r="A472" s="535"/>
      <c r="B472" s="536"/>
      <c r="C472" s="536"/>
      <c r="D472" s="536"/>
      <c r="E472" s="535"/>
      <c r="F472" s="535"/>
      <c r="G472" s="439"/>
    </row>
    <row r="473" spans="1:7" ht="18" customHeight="1">
      <c r="A473" s="535"/>
      <c r="B473" s="536"/>
      <c r="C473" s="536"/>
      <c r="D473" s="536"/>
      <c r="E473" s="535"/>
      <c r="F473" s="535"/>
      <c r="G473" s="439"/>
    </row>
    <row r="474" spans="1:7" ht="18" customHeight="1">
      <c r="A474" s="535"/>
      <c r="B474" s="536"/>
      <c r="C474" s="536"/>
      <c r="D474" s="536"/>
      <c r="E474" s="535"/>
      <c r="F474" s="535"/>
      <c r="G474" s="439"/>
    </row>
    <row r="475" spans="1:7" ht="18" customHeight="1">
      <c r="A475" s="535"/>
      <c r="B475" s="536"/>
      <c r="C475" s="536"/>
      <c r="D475" s="536"/>
      <c r="E475" s="535"/>
      <c r="F475" s="535"/>
      <c r="G475" s="439"/>
    </row>
    <row r="476" spans="1:7" ht="18" customHeight="1">
      <c r="A476" s="535"/>
      <c r="B476" s="536"/>
      <c r="C476" s="536"/>
      <c r="D476" s="536"/>
      <c r="E476" s="535"/>
      <c r="F476" s="535"/>
      <c r="G476" s="439"/>
    </row>
    <row r="477" spans="1:7" ht="18" customHeight="1">
      <c r="A477" s="535"/>
      <c r="B477" s="536"/>
      <c r="C477" s="536"/>
      <c r="D477" s="536"/>
      <c r="E477" s="535"/>
      <c r="F477" s="535"/>
      <c r="G477" s="439"/>
    </row>
    <row r="478" spans="1:7" ht="18" customHeight="1">
      <c r="A478" s="535"/>
      <c r="B478" s="536"/>
      <c r="C478" s="536"/>
      <c r="D478" s="536"/>
      <c r="E478" s="535"/>
      <c r="F478" s="535"/>
      <c r="G478" s="439"/>
    </row>
    <row r="479" spans="1:7" ht="18" customHeight="1">
      <c r="A479" s="535"/>
      <c r="B479" s="536"/>
      <c r="C479" s="536"/>
      <c r="D479" s="536"/>
      <c r="E479" s="535"/>
      <c r="F479" s="535"/>
      <c r="G479" s="439"/>
    </row>
    <row r="480" spans="1:7" ht="18" customHeight="1">
      <c r="A480" s="535"/>
      <c r="B480" s="536"/>
      <c r="C480" s="536"/>
      <c r="D480" s="536"/>
      <c r="E480" s="535"/>
      <c r="F480" s="535"/>
      <c r="G480" s="439"/>
    </row>
    <row r="481" spans="1:7" ht="18" customHeight="1">
      <c r="A481" s="535"/>
      <c r="B481" s="536"/>
      <c r="C481" s="536"/>
      <c r="D481" s="536"/>
      <c r="E481" s="535"/>
      <c r="F481" s="535"/>
      <c r="G481" s="439"/>
    </row>
    <row r="482" spans="1:7" ht="18" customHeight="1">
      <c r="A482" s="535"/>
      <c r="B482" s="536"/>
      <c r="C482" s="536"/>
      <c r="D482" s="536"/>
      <c r="E482" s="535"/>
      <c r="F482" s="535"/>
      <c r="G482" s="439"/>
    </row>
    <row r="483" spans="1:7" ht="18" customHeight="1">
      <c r="A483" s="535"/>
      <c r="B483" s="536"/>
      <c r="C483" s="536"/>
      <c r="D483" s="536"/>
      <c r="E483" s="535"/>
      <c r="F483" s="535"/>
      <c r="G483" s="439"/>
    </row>
    <row r="484" spans="1:7" ht="18" customHeight="1">
      <c r="A484" s="535"/>
      <c r="B484" s="536"/>
      <c r="C484" s="536"/>
      <c r="D484" s="536"/>
      <c r="E484" s="535"/>
      <c r="F484" s="535"/>
      <c r="G484" s="439"/>
    </row>
    <row r="485" spans="1:7" ht="18" customHeight="1">
      <c r="A485" s="535"/>
      <c r="B485" s="536"/>
      <c r="C485" s="536"/>
      <c r="D485" s="536"/>
      <c r="E485" s="535"/>
      <c r="F485" s="535"/>
      <c r="G485" s="439"/>
    </row>
    <row r="486" spans="1:7" ht="18" customHeight="1">
      <c r="A486" s="535"/>
      <c r="B486" s="536"/>
      <c r="C486" s="536"/>
      <c r="D486" s="536"/>
      <c r="E486" s="535"/>
      <c r="F486" s="535"/>
      <c r="G486" s="439"/>
    </row>
    <row r="487" spans="1:7" ht="18" customHeight="1">
      <c r="A487" s="535"/>
      <c r="B487" s="536"/>
      <c r="C487" s="536"/>
      <c r="D487" s="536"/>
      <c r="E487" s="535"/>
      <c r="F487" s="535"/>
      <c r="G487" s="439"/>
    </row>
    <row r="488" spans="1:7" ht="18" customHeight="1">
      <c r="A488" s="535"/>
      <c r="B488" s="536"/>
      <c r="C488" s="536"/>
      <c r="D488" s="536"/>
      <c r="E488" s="535"/>
      <c r="F488" s="535"/>
      <c r="G488" s="439"/>
    </row>
    <row r="489" spans="1:7" ht="18" customHeight="1">
      <c r="A489" s="535"/>
      <c r="B489" s="536"/>
      <c r="C489" s="536"/>
      <c r="D489" s="536"/>
      <c r="E489" s="535"/>
      <c r="F489" s="535"/>
      <c r="G489" s="439"/>
    </row>
    <row r="490" spans="1:7" ht="18" customHeight="1">
      <c r="A490" s="535"/>
      <c r="B490" s="536"/>
      <c r="C490" s="536"/>
      <c r="D490" s="536"/>
      <c r="E490" s="535"/>
      <c r="F490" s="535"/>
      <c r="G490" s="439"/>
    </row>
    <row r="491" spans="1:7" ht="18" customHeight="1">
      <c r="A491" s="535"/>
      <c r="B491" s="536"/>
      <c r="C491" s="536"/>
      <c r="D491" s="536"/>
      <c r="E491" s="535"/>
      <c r="F491" s="535"/>
      <c r="G491" s="439"/>
    </row>
    <row r="492" spans="1:7" ht="18" customHeight="1">
      <c r="A492" s="535"/>
      <c r="B492" s="536"/>
      <c r="C492" s="536"/>
      <c r="D492" s="536"/>
      <c r="E492" s="535"/>
      <c r="F492" s="535"/>
      <c r="G492" s="439"/>
    </row>
    <row r="493" spans="1:7" ht="18" customHeight="1">
      <c r="A493" s="535"/>
      <c r="B493" s="536"/>
      <c r="C493" s="536"/>
      <c r="D493" s="536"/>
      <c r="E493" s="535"/>
      <c r="F493" s="535"/>
      <c r="G493" s="439"/>
    </row>
    <row r="494" spans="1:7" ht="18" customHeight="1">
      <c r="A494" s="535"/>
      <c r="B494" s="536"/>
      <c r="C494" s="536"/>
      <c r="D494" s="536"/>
      <c r="E494" s="535"/>
      <c r="F494" s="535"/>
      <c r="G494" s="439"/>
    </row>
    <row r="495" spans="1:7" ht="18" customHeight="1">
      <c r="A495" s="535"/>
      <c r="B495" s="536"/>
      <c r="C495" s="536"/>
      <c r="D495" s="536"/>
      <c r="E495" s="535"/>
      <c r="F495" s="535"/>
      <c r="G495" s="439"/>
    </row>
    <row r="496" spans="1:7" ht="18" customHeight="1">
      <c r="A496" s="535"/>
      <c r="B496" s="536"/>
      <c r="C496" s="536"/>
      <c r="D496" s="536"/>
      <c r="E496" s="535"/>
      <c r="F496" s="535"/>
      <c r="G496" s="439"/>
    </row>
    <row r="497" spans="1:7" ht="18" customHeight="1">
      <c r="A497" s="535"/>
      <c r="B497" s="536"/>
      <c r="C497" s="536"/>
      <c r="D497" s="536"/>
      <c r="E497" s="535"/>
      <c r="F497" s="535"/>
      <c r="G497" s="439"/>
    </row>
    <row r="498" spans="1:7" ht="18" customHeight="1">
      <c r="A498" s="535"/>
      <c r="B498" s="536"/>
      <c r="C498" s="536"/>
      <c r="D498" s="536"/>
      <c r="E498" s="535"/>
      <c r="F498" s="535"/>
      <c r="G498" s="439"/>
    </row>
    <row r="499" spans="1:7" ht="18" customHeight="1">
      <c r="A499" s="535"/>
      <c r="B499" s="536"/>
      <c r="C499" s="536"/>
      <c r="D499" s="536"/>
      <c r="E499" s="535"/>
      <c r="F499" s="535"/>
      <c r="G499" s="439"/>
    </row>
    <row r="500" spans="1:7" ht="18" customHeight="1">
      <c r="A500" s="535"/>
      <c r="B500" s="536"/>
      <c r="C500" s="536"/>
      <c r="D500" s="536"/>
      <c r="E500" s="535"/>
      <c r="F500" s="535"/>
      <c r="G500" s="439"/>
    </row>
    <row r="501" spans="1:7" ht="18" customHeight="1">
      <c r="A501" s="535"/>
      <c r="B501" s="536"/>
      <c r="C501" s="536"/>
      <c r="D501" s="536"/>
      <c r="E501" s="535"/>
      <c r="F501" s="535"/>
      <c r="G501" s="439"/>
    </row>
    <row r="502" spans="1:7" ht="18" customHeight="1">
      <c r="A502" s="535"/>
      <c r="B502" s="536"/>
      <c r="C502" s="536"/>
      <c r="D502" s="536"/>
      <c r="E502" s="535"/>
      <c r="F502" s="535"/>
      <c r="G502" s="439"/>
    </row>
    <row r="503" spans="1:7" ht="18" customHeight="1">
      <c r="A503" s="535"/>
      <c r="B503" s="536"/>
      <c r="C503" s="536"/>
      <c r="D503" s="536"/>
      <c r="E503" s="535"/>
      <c r="F503" s="535"/>
      <c r="G503" s="439"/>
    </row>
    <row r="504" spans="1:7" ht="18" customHeight="1">
      <c r="A504" s="535"/>
      <c r="B504" s="536"/>
      <c r="C504" s="536"/>
      <c r="D504" s="536"/>
      <c r="E504" s="535"/>
      <c r="F504" s="535"/>
      <c r="G504" s="439"/>
    </row>
    <row r="505" spans="1:7" ht="18" customHeight="1">
      <c r="A505" s="535"/>
      <c r="B505" s="536"/>
      <c r="C505" s="536"/>
      <c r="D505" s="536"/>
      <c r="E505" s="535"/>
      <c r="F505" s="535"/>
      <c r="G505" s="439"/>
    </row>
    <row r="506" spans="1:7" ht="18" customHeight="1">
      <c r="A506" s="535"/>
      <c r="B506" s="536"/>
      <c r="C506" s="536"/>
      <c r="D506" s="536"/>
      <c r="E506" s="535"/>
      <c r="F506" s="535"/>
      <c r="G506" s="439"/>
    </row>
    <row r="507" spans="1:7" ht="18" customHeight="1">
      <c r="A507" s="535"/>
      <c r="B507" s="536"/>
      <c r="C507" s="536"/>
      <c r="D507" s="536"/>
      <c r="E507" s="535"/>
      <c r="F507" s="535"/>
      <c r="G507" s="439"/>
    </row>
    <row r="508" spans="1:7" ht="18" customHeight="1">
      <c r="A508" s="535"/>
      <c r="B508" s="536"/>
      <c r="C508" s="536"/>
      <c r="D508" s="536"/>
      <c r="E508" s="535"/>
      <c r="F508" s="535"/>
      <c r="G508" s="439"/>
    </row>
    <row r="509" spans="1:7" ht="18" customHeight="1">
      <c r="A509" s="535"/>
      <c r="B509" s="536"/>
      <c r="C509" s="536"/>
      <c r="D509" s="536"/>
      <c r="E509" s="535"/>
      <c r="F509" s="535"/>
      <c r="G509" s="439"/>
    </row>
    <row r="510" spans="1:7" ht="18" customHeight="1">
      <c r="A510" s="535"/>
      <c r="B510" s="536"/>
      <c r="C510" s="536"/>
      <c r="D510" s="536"/>
      <c r="E510" s="535"/>
      <c r="F510" s="535"/>
      <c r="G510" s="439"/>
    </row>
    <row r="511" spans="1:7" ht="18" customHeight="1">
      <c r="A511" s="535"/>
      <c r="B511" s="536"/>
      <c r="C511" s="536"/>
      <c r="D511" s="536"/>
      <c r="E511" s="535"/>
      <c r="F511" s="535"/>
      <c r="G511" s="439"/>
    </row>
    <row r="512" spans="1:7" ht="18" customHeight="1">
      <c r="A512" s="535"/>
      <c r="B512" s="536"/>
      <c r="C512" s="536"/>
      <c r="D512" s="536"/>
      <c r="E512" s="535"/>
      <c r="F512" s="535"/>
      <c r="G512" s="439"/>
    </row>
    <row r="513" spans="1:7" ht="18" customHeight="1">
      <c r="A513" s="535"/>
      <c r="B513" s="536"/>
      <c r="C513" s="536"/>
      <c r="D513" s="536"/>
      <c r="E513" s="535"/>
      <c r="F513" s="535"/>
      <c r="G513" s="439"/>
    </row>
    <row r="514" spans="1:7" ht="18" customHeight="1">
      <c r="A514" s="535"/>
      <c r="B514" s="536"/>
      <c r="C514" s="536"/>
      <c r="D514" s="536"/>
      <c r="E514" s="535"/>
      <c r="F514" s="535"/>
      <c r="G514" s="439"/>
    </row>
    <row r="515" spans="1:7" ht="18" customHeight="1">
      <c r="A515" s="535"/>
      <c r="B515" s="536"/>
      <c r="C515" s="536"/>
      <c r="D515" s="536"/>
      <c r="E515" s="535"/>
      <c r="F515" s="535"/>
      <c r="G515" s="439"/>
    </row>
    <row r="516" spans="1:7" ht="18" customHeight="1">
      <c r="A516" s="535"/>
      <c r="B516" s="536"/>
      <c r="C516" s="536"/>
      <c r="D516" s="536"/>
      <c r="E516" s="535"/>
      <c r="F516" s="535"/>
      <c r="G516" s="439"/>
    </row>
    <row r="517" spans="1:7" ht="18" customHeight="1">
      <c r="A517" s="535"/>
      <c r="B517" s="536"/>
      <c r="C517" s="536"/>
      <c r="D517" s="536"/>
      <c r="E517" s="535"/>
      <c r="F517" s="535"/>
      <c r="G517" s="439"/>
    </row>
    <row r="518" spans="1:7" ht="18" customHeight="1">
      <c r="A518" s="535"/>
      <c r="B518" s="536"/>
      <c r="C518" s="536"/>
      <c r="D518" s="536"/>
      <c r="E518" s="535"/>
      <c r="F518" s="535"/>
      <c r="G518" s="439"/>
    </row>
    <row r="519" spans="1:7" ht="18" customHeight="1">
      <c r="A519" s="535"/>
      <c r="B519" s="536"/>
      <c r="C519" s="536"/>
      <c r="D519" s="536"/>
      <c r="E519" s="535"/>
      <c r="F519" s="535"/>
      <c r="G519" s="439"/>
    </row>
    <row r="520" spans="1:7" ht="18" customHeight="1">
      <c r="A520" s="535"/>
      <c r="B520" s="536"/>
      <c r="C520" s="536"/>
      <c r="D520" s="536"/>
      <c r="E520" s="535"/>
      <c r="F520" s="535"/>
      <c r="G520" s="439"/>
    </row>
    <row r="521" spans="1:7" ht="18" customHeight="1">
      <c r="A521" s="535"/>
      <c r="B521" s="536"/>
      <c r="C521" s="536"/>
      <c r="D521" s="536"/>
      <c r="E521" s="535"/>
      <c r="F521" s="535"/>
      <c r="G521" s="439"/>
    </row>
    <row r="522" spans="1:7" ht="18" customHeight="1">
      <c r="A522" s="535"/>
      <c r="B522" s="536"/>
      <c r="C522" s="536"/>
      <c r="D522" s="536"/>
      <c r="E522" s="535"/>
      <c r="F522" s="535"/>
      <c r="G522" s="439"/>
    </row>
    <row r="523" spans="1:7" ht="18" customHeight="1">
      <c r="A523" s="535"/>
      <c r="B523" s="536"/>
      <c r="C523" s="536"/>
      <c r="D523" s="536"/>
      <c r="E523" s="535"/>
      <c r="F523" s="535"/>
      <c r="G523" s="439"/>
    </row>
    <row r="524" spans="1:7" ht="18" customHeight="1"/>
    <row r="525" spans="1:7" ht="18" customHeight="1"/>
    <row r="526" spans="1:7" ht="18" customHeight="1"/>
    <row r="527" spans="1:7" ht="18" customHeight="1"/>
    <row r="528" spans="1:7" ht="18" customHeight="1"/>
    <row r="529" ht="18" customHeight="1"/>
    <row r="530" ht="18" customHeight="1"/>
    <row r="531" ht="18" customHeight="1"/>
    <row r="532" ht="18" customHeight="1"/>
    <row r="533" ht="18" customHeight="1"/>
    <row r="534" ht="18" customHeight="1"/>
    <row r="535" ht="18" customHeight="1"/>
    <row r="536" ht="18" customHeight="1"/>
    <row r="537" ht="18" customHeight="1"/>
    <row r="538" ht="18" customHeight="1"/>
    <row r="539" ht="18" customHeight="1"/>
    <row r="540" ht="18" customHeight="1"/>
    <row r="541" ht="18" customHeight="1"/>
    <row r="542" ht="18" customHeight="1"/>
    <row r="543" ht="18" customHeight="1"/>
    <row r="544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spans="8:8" ht="18" customHeight="1"/>
    <row r="626" spans="8:8" ht="18" customHeight="1"/>
    <row r="627" spans="8:8" ht="18" customHeight="1"/>
    <row r="628" spans="8:8" ht="18" customHeight="1">
      <c r="H628" s="391"/>
    </row>
    <row r="629" spans="8:8" ht="18" customHeight="1"/>
    <row r="630" spans="8:8" ht="18" customHeight="1"/>
    <row r="631" spans="8:8" ht="18" customHeight="1"/>
    <row r="632" spans="8:8" ht="18" customHeight="1"/>
    <row r="633" spans="8:8" ht="18" customHeight="1"/>
    <row r="634" spans="8:8" ht="18" customHeight="1"/>
    <row r="635" spans="8:8" ht="18" customHeight="1"/>
    <row r="636" spans="8:8" ht="18" customHeight="1"/>
    <row r="637" spans="8:8" ht="18" customHeight="1"/>
    <row r="638" spans="8:8" ht="18" customHeight="1"/>
    <row r="639" spans="8:8" ht="18" customHeight="1"/>
    <row r="640" spans="8:8" ht="18" customHeight="1"/>
    <row r="641" spans="8:8" ht="18" customHeight="1">
      <c r="H641" s="391"/>
    </row>
    <row r="642" spans="8:8" ht="18" customHeight="1"/>
    <row r="643" spans="8:8" ht="18" customHeight="1"/>
    <row r="644" spans="8:8" ht="18" customHeight="1"/>
    <row r="645" spans="8:8" ht="18" customHeight="1"/>
    <row r="646" spans="8:8" ht="18" customHeight="1"/>
    <row r="647" spans="8:8" ht="18" customHeight="1"/>
    <row r="648" spans="8:8" ht="18" customHeight="1"/>
    <row r="649" spans="8:8" ht="18" customHeight="1"/>
    <row r="650" spans="8:8" ht="18" customHeight="1"/>
    <row r="651" spans="8:8" ht="18" customHeight="1"/>
    <row r="652" spans="8:8" ht="18" customHeight="1"/>
    <row r="653" spans="8:8" ht="18" customHeight="1"/>
    <row r="654" spans="8:8" ht="18" customHeight="1"/>
    <row r="655" spans="8:8" ht="18" customHeight="1"/>
    <row r="656" spans="8:8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</sheetData>
  <mergeCells count="13">
    <mergeCell ref="A3:G3"/>
    <mergeCell ref="D4:D5"/>
    <mergeCell ref="A4:A5"/>
    <mergeCell ref="C4:C5"/>
    <mergeCell ref="B4:B5"/>
    <mergeCell ref="E4:E5"/>
    <mergeCell ref="F4:F5"/>
    <mergeCell ref="B59:E59"/>
    <mergeCell ref="B60:E60"/>
    <mergeCell ref="B61:E61"/>
    <mergeCell ref="B62:F62"/>
    <mergeCell ref="G4:G5"/>
    <mergeCell ref="B58:F58"/>
  </mergeCells>
  <pageMargins left="0.75" right="0.35" top="0.5" bottom="0.5" header="0.3" footer="0.3"/>
  <pageSetup paperSize="9" scale="90" orientation="portrait" r:id="rId1"/>
  <headerFooter scaleWithDoc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E00E1-E447-4876-AA5F-9764C0F1C0AC}">
  <sheetPr>
    <tabColor rgb="FFFF0000"/>
  </sheetPr>
  <dimension ref="A1:K1741"/>
  <sheetViews>
    <sheetView view="pageBreakPreview" topLeftCell="A62" zoomScale="95" zoomScaleNormal="130" zoomScaleSheetLayoutView="95" workbookViewId="0">
      <selection activeCell="A55" sqref="A55:A59"/>
    </sheetView>
  </sheetViews>
  <sheetFormatPr defaultColWidth="8.88671875" defaultRowHeight="16.8"/>
  <cols>
    <col min="1" max="1" width="4.6640625" style="429" customWidth="1"/>
    <col min="2" max="2" width="39.88671875" style="460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50" t="s">
        <v>7</v>
      </c>
      <c r="B3" s="1150"/>
      <c r="C3" s="1150"/>
      <c r="D3" s="1150"/>
      <c r="E3" s="1150"/>
      <c r="F3" s="1150"/>
      <c r="G3" s="1150"/>
      <c r="H3" s="432"/>
    </row>
    <row r="4" spans="1:11" ht="13.2" customHeight="1">
      <c r="A4" s="1158" t="s">
        <v>8</v>
      </c>
      <c r="B4" s="1158" t="s">
        <v>1</v>
      </c>
      <c r="C4" s="1159" t="s">
        <v>2</v>
      </c>
      <c r="D4" s="1160" t="s">
        <v>3</v>
      </c>
      <c r="E4" s="1161" t="s">
        <v>4</v>
      </c>
      <c r="F4" s="1160" t="s">
        <v>5</v>
      </c>
      <c r="G4" s="1161" t="s">
        <v>6</v>
      </c>
      <c r="H4" s="433"/>
    </row>
    <row r="5" spans="1:11" ht="13.2" customHeight="1">
      <c r="A5" s="1158"/>
      <c r="B5" s="1158"/>
      <c r="C5" s="1159"/>
      <c r="D5" s="1160"/>
      <c r="E5" s="1161"/>
      <c r="F5" s="1160"/>
      <c r="G5" s="1161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8" customHeight="1">
      <c r="A7" s="351">
        <v>1</v>
      </c>
      <c r="B7" s="379" t="s">
        <v>102</v>
      </c>
      <c r="C7" s="366">
        <f>SUMIF('Builder Estimate'!$B$6:$B$645,B7,'Builder Estimate'!$C$6:$C$645)</f>
        <v>2291.2144746078252</v>
      </c>
      <c r="D7" s="351" t="str">
        <f>VLOOKUP(B7,'Builder Estimate'!$B:$H,4,FALSE)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>
        <f t="shared" ref="G7:G47" si="0">E7*C7</f>
        <v>42158346.332783982</v>
      </c>
      <c r="H7" s="439"/>
    </row>
    <row r="8" spans="1:11" ht="18" customHeight="1">
      <c r="A8" s="351">
        <v>2</v>
      </c>
      <c r="B8" s="354" t="s">
        <v>36</v>
      </c>
      <c r="C8" s="366">
        <f>SUMIF('Builder Estimate'!$B$6:$B$645,B8,'Builder Estimate'!$C$6:$C$645)</f>
        <v>99.348875812847226</v>
      </c>
      <c r="D8" s="351" t="str">
        <f>VLOOKUP(B8,'Builder Estimate'!$B:$H,4,FALSE)</f>
        <v>Sud</v>
      </c>
      <c r="E8" s="353">
        <f>VLOOKUP(B8,'Price '!B:D,3,FALSE)</f>
        <v>50000</v>
      </c>
      <c r="F8" s="438" t="str">
        <f>VLOOKUP(B8,'Price '!$B:$D,2,FALSE)</f>
        <v>Suds</v>
      </c>
      <c r="G8" s="353">
        <f t="shared" si="0"/>
        <v>4967443.7906423612</v>
      </c>
      <c r="H8" s="344"/>
    </row>
    <row r="9" spans="1:11" ht="18" customHeight="1">
      <c r="A9" s="351">
        <v>3</v>
      </c>
      <c r="B9" s="379" t="s">
        <v>123</v>
      </c>
      <c r="C9" s="366">
        <f>SUMIF('Builder Estimate'!$B$6:$B$645,B9,'Builder Estimate'!$C$6:$C$645)</f>
        <v>86.872299715972218</v>
      </c>
      <c r="D9" s="351" t="str">
        <f>VLOOKUP(B9,'Builder Estimate'!$B:$H,4,FALSE)</f>
        <v>Sud</v>
      </c>
      <c r="E9" s="353">
        <f>VLOOKUP(B9,'Price '!B:D,3,FALSE)</f>
        <v>130000</v>
      </c>
      <c r="F9" s="438" t="str">
        <f>VLOOKUP(B9,'Price '!$B:$D,2,FALSE)</f>
        <v>Suds</v>
      </c>
      <c r="G9" s="353">
        <f t="shared" si="0"/>
        <v>11293398.963076388</v>
      </c>
      <c r="H9" s="439"/>
    </row>
    <row r="10" spans="1:11" ht="18" customHeight="1">
      <c r="A10" s="351">
        <v>4</v>
      </c>
      <c r="B10" s="374" t="s">
        <v>68</v>
      </c>
      <c r="C10" s="366">
        <f>SUMIF('Builder Estimate'!$B$6:$B$645,B10,'Builder Estimate'!$C$6:$C$645)</f>
        <v>10.541059375000001</v>
      </c>
      <c r="D10" s="351" t="str">
        <f>VLOOKUP(B10,'Builder Estimate'!$B:$H,4,FALSE)</f>
        <v>Sud</v>
      </c>
      <c r="E10" s="353">
        <f>VLOOKUP(B10,'Price '!B:D,3,FALSE)</f>
        <v>220000</v>
      </c>
      <c r="F10" s="438" t="str">
        <f>VLOOKUP(B10,'Price '!$B:$D,2,FALSE)</f>
        <v>Suds</v>
      </c>
      <c r="G10" s="353">
        <f>E10*C10</f>
        <v>2319033.0625000005</v>
      </c>
      <c r="H10" s="344"/>
    </row>
    <row r="11" spans="1:11" ht="18" customHeight="1">
      <c r="A11" s="351">
        <v>5</v>
      </c>
      <c r="B11" s="374" t="s">
        <v>58</v>
      </c>
      <c r="C11" s="366">
        <f>SUMIF('Builder Estimate'!$B$6:$B$645,B11,'Builder Estimate'!$C$6:$C$645)</f>
        <v>18.356988374999997</v>
      </c>
      <c r="D11" s="351" t="str">
        <f>VLOOKUP(B11,'Builder Estimate'!$B:$H,4,FALSE)</f>
        <v>Ton</v>
      </c>
      <c r="E11" s="353">
        <f>VLOOKUP(B11,'Price '!B:D,3,FALSE)</f>
        <v>2500000</v>
      </c>
      <c r="F11" s="438" t="str">
        <f>VLOOKUP(B11,'Price '!$B:$D,2,FALSE)</f>
        <v>Ton</v>
      </c>
      <c r="G11" s="353">
        <f t="shared" si="0"/>
        <v>45892470.937499993</v>
      </c>
      <c r="H11" s="344"/>
    </row>
    <row r="12" spans="1:11" ht="18" customHeight="1">
      <c r="A12" s="351">
        <v>6</v>
      </c>
      <c r="B12" s="396" t="s">
        <v>801</v>
      </c>
      <c r="C12" s="366">
        <f>SUMIF('Builder Estimate'!$B$6:$B$645,B12,'Builder Estimate'!$C$6:$C$645)</f>
        <v>157.44245859374996</v>
      </c>
      <c r="D12" s="351" t="str">
        <f>VLOOKUP(B12,'Builder Estimate'!$B:$H,4,FALSE)</f>
        <v>Nos</v>
      </c>
      <c r="E12" s="353">
        <f>VLOOKUP(B12,'Price '!B:D,3,FALSE)</f>
        <v>75000</v>
      </c>
      <c r="F12" s="438" t="str">
        <f>VLOOKUP(B12,'Price '!$B:$D,2,FALSE)</f>
        <v>Sht</v>
      </c>
      <c r="G12" s="353">
        <f t="shared" si="0"/>
        <v>11808184.394531246</v>
      </c>
      <c r="H12" s="344"/>
    </row>
    <row r="13" spans="1:11" ht="18" customHeight="1">
      <c r="A13" s="351">
        <v>7</v>
      </c>
      <c r="B13" s="374" t="s">
        <v>59</v>
      </c>
      <c r="C13" s="366">
        <f>SUMIF('Builder Estimate'!$B$6:$B$645,B13,'Builder Estimate'!$C$6:$C$645)</f>
        <v>261.63189046296293</v>
      </c>
      <c r="D13" s="351" t="str">
        <f>VLOOKUP(B13,'Builder Estimate'!$B:$H,4,FALSE)</f>
        <v>Viss</v>
      </c>
      <c r="E13" s="353">
        <f>VLOOKUP(B13,'Price '!B:D,3,FALSE)</f>
        <v>12000</v>
      </c>
      <c r="F13" s="438" t="str">
        <f>VLOOKUP(B13,'Price '!$B:$D,2,FALSE)</f>
        <v>Viss</v>
      </c>
      <c r="G13" s="353">
        <f t="shared" si="0"/>
        <v>3139582.6855555549</v>
      </c>
      <c r="H13" s="344"/>
    </row>
    <row r="14" spans="1:11" ht="18" customHeight="1">
      <c r="A14" s="351">
        <v>8</v>
      </c>
      <c r="B14" s="374" t="s">
        <v>57</v>
      </c>
      <c r="C14" s="366">
        <f>SUMIF('Builder Estimate'!$B$6:$B$645,B14,'Builder Estimate'!$C$6:$C$645)</f>
        <v>136.53557003472224</v>
      </c>
      <c r="D14" s="351" t="str">
        <f>VLOOKUP(B14,'Builder Estimate'!$B:$H,4,FALSE)</f>
        <v>Gal</v>
      </c>
      <c r="E14" s="353">
        <f>VLOOKUP(B14,'Price '!B:D,3,FALSE)</f>
        <v>20000</v>
      </c>
      <c r="F14" s="438" t="str">
        <f>VLOOKUP(B14,'Price '!$B:$D,2,FALSE)</f>
        <v>Gal</v>
      </c>
      <c r="G14" s="353">
        <f t="shared" si="0"/>
        <v>2730711.4006944448</v>
      </c>
      <c r="H14" s="344"/>
    </row>
    <row r="15" spans="1:11" ht="18" customHeight="1">
      <c r="A15" s="351">
        <v>9</v>
      </c>
      <c r="B15" s="374" t="s">
        <v>772</v>
      </c>
      <c r="C15" s="366">
        <f>SUMIF('Builder Estimate'!$B$6:$B$645,B15,'Builder Estimate'!$C$6:$C$645)</f>
        <v>66</v>
      </c>
      <c r="D15" s="351" t="str">
        <f>VLOOKUP(B15,'Builder Estimate'!$B:$H,4,FALSE)</f>
        <v>Bag</v>
      </c>
      <c r="E15" s="353">
        <f>VLOOKUP(B15,'Price '!B:D,3,FALSE)</f>
        <v>7500</v>
      </c>
      <c r="F15" s="438" t="str">
        <f>VLOOKUP(B15,'Price '!$B:$D,2,FALSE)</f>
        <v>Bag</v>
      </c>
      <c r="G15" s="353">
        <f t="shared" si="0"/>
        <v>495000</v>
      </c>
      <c r="H15" s="344"/>
    </row>
    <row r="16" spans="1:11" ht="18" customHeight="1">
      <c r="A16" s="351">
        <v>10</v>
      </c>
      <c r="B16" s="374" t="s">
        <v>725</v>
      </c>
      <c r="C16" s="366">
        <f>SUMIF('Builder Estimate'!$B$6:$B$645,B16,'Builder Estimate'!$C$6:$C$645)</f>
        <v>166.87407742745535</v>
      </c>
      <c r="D16" s="351" t="str">
        <f>VLOOKUP(B16,'Builder Estimate'!$B:$H,4,FALSE)</f>
        <v>Lit</v>
      </c>
      <c r="E16" s="353">
        <f>VLOOKUP(B16,'Price '!B:D,3,FALSE)</f>
        <v>14700</v>
      </c>
      <c r="F16" s="438" t="str">
        <f>VLOOKUP(B16,'Price '!$B:$D,2,FALSE)</f>
        <v>Lit</v>
      </c>
      <c r="G16" s="353">
        <f t="shared" si="0"/>
        <v>2453048.9381835936</v>
      </c>
      <c r="H16" s="344"/>
    </row>
    <row r="17" spans="1:9" ht="18" customHeight="1">
      <c r="A17" s="351">
        <v>11</v>
      </c>
      <c r="B17" s="374" t="s">
        <v>726</v>
      </c>
      <c r="C17" s="366">
        <f>SUMIF('Builder Estimate'!$B$6:$B$645,B17,'Builder Estimate'!$C$6:$C$645)</f>
        <v>165.88268725198424</v>
      </c>
      <c r="D17" s="351" t="str">
        <f>VLOOKUP(B17,'Builder Estimate'!$B:$H,4,FALSE)</f>
        <v>Lit</v>
      </c>
      <c r="E17" s="353">
        <f>VLOOKUP(B17,'Price '!B:D,3,FALSE)</f>
        <v>14950</v>
      </c>
      <c r="F17" s="438" t="str">
        <f>VLOOKUP(B17,'Price '!$B:$D,2,FALSE)</f>
        <v>Lit</v>
      </c>
      <c r="G17" s="353">
        <f t="shared" si="0"/>
        <v>2479946.1744171642</v>
      </c>
      <c r="H17" s="344"/>
    </row>
    <row r="18" spans="1:9" ht="18" customHeight="1">
      <c r="A18" s="351">
        <v>12</v>
      </c>
      <c r="B18" s="374" t="s">
        <v>756</v>
      </c>
      <c r="C18" s="366">
        <f>SUMIF('Builder Estimate'!$B$6:$B$645,B18,'Builder Estimate'!$C$6:$C$645)</f>
        <v>4.4000000000000004</v>
      </c>
      <c r="D18" s="351" t="str">
        <f>VLOOKUP(B18,'Builder Estimate'!$B:$H,4,FALSE)</f>
        <v>Set</v>
      </c>
      <c r="E18" s="353">
        <f>VLOOKUP(B18,'Price '!B:D,3,FALSE)</f>
        <v>120000</v>
      </c>
      <c r="F18" s="438" t="str">
        <f>VLOOKUP(B18,'Price '!$B:$D,2,FALSE)</f>
        <v>Set</v>
      </c>
      <c r="G18" s="353">
        <f t="shared" si="0"/>
        <v>528000</v>
      </c>
      <c r="H18" s="344"/>
    </row>
    <row r="19" spans="1:9" ht="18" customHeight="1">
      <c r="A19" s="351">
        <v>13</v>
      </c>
      <c r="B19" s="337" t="s">
        <v>95</v>
      </c>
      <c r="C19" s="366">
        <f>'Bill of Quantity'!C19+'Bill of Quantity'!C22+'Bill of Quantity'!C25+'Bill of Quantity'!C28</f>
        <v>19.788707231027132</v>
      </c>
      <c r="D19" s="351" t="s">
        <v>30</v>
      </c>
      <c r="E19" s="353">
        <f>VLOOKUP(B19,'Price '!B:D,3,FALSE)</f>
        <v>2420000</v>
      </c>
      <c r="F19" s="438" t="str">
        <f>D19</f>
        <v>Ton</v>
      </c>
      <c r="G19" s="353">
        <f t="shared" si="0"/>
        <v>47888671.499085657</v>
      </c>
      <c r="H19" s="391">
        <f>SUM(C19:C22)</f>
        <v>37.835366027887844</v>
      </c>
      <c r="I19" s="440"/>
    </row>
    <row r="20" spans="1:9" ht="18" customHeight="1">
      <c r="A20" s="351">
        <v>14</v>
      </c>
      <c r="B20" s="337" t="s">
        <v>562</v>
      </c>
      <c r="C20" s="366">
        <f>'Bill of Quantity'!C29+'Bill of Quantity'!C26+'Bill of Quantity'!C20</f>
        <v>2.1865999314233466</v>
      </c>
      <c r="D20" s="351" t="s">
        <v>30</v>
      </c>
      <c r="E20" s="353">
        <f>VLOOKUP(B20,'Price '!B:D,3,FALSE)</f>
        <v>2060000</v>
      </c>
      <c r="F20" s="438" t="str">
        <f t="shared" ref="F20:F22" si="1">D20</f>
        <v>Ton</v>
      </c>
      <c r="G20" s="353">
        <f t="shared" si="0"/>
        <v>4504395.8587320941</v>
      </c>
      <c r="H20" s="344"/>
      <c r="I20" s="440"/>
    </row>
    <row r="21" spans="1:9" ht="20.25" customHeight="1">
      <c r="A21" s="351">
        <v>15</v>
      </c>
      <c r="B21" s="337" t="s">
        <v>563</v>
      </c>
      <c r="C21" s="366">
        <f>'Bill of Quantity'!C21+'Bill of Quantity'!C23+'Bill of Quantity'!C27+'Bill of Quantity'!C30+'Bill of Quantity'!C31</f>
        <v>14.623494250990555</v>
      </c>
      <c r="D21" s="351" t="s">
        <v>30</v>
      </c>
      <c r="E21" s="353">
        <f>VLOOKUP(B21,'Price '!B:D,3,FALSE)</f>
        <v>2450000</v>
      </c>
      <c r="F21" s="438" t="str">
        <f t="shared" si="1"/>
        <v>Ton</v>
      </c>
      <c r="G21" s="353">
        <f t="shared" si="0"/>
        <v>35827560.914926864</v>
      </c>
      <c r="H21" s="439"/>
      <c r="I21" s="440"/>
    </row>
    <row r="22" spans="1:9" ht="17.25" customHeight="1">
      <c r="A22" s="351">
        <v>16</v>
      </c>
      <c r="B22" s="337" t="s">
        <v>776</v>
      </c>
      <c r="C22" s="366">
        <f>'Bill of Quantity'!C32+'Bill of Quantity'!C24</f>
        <v>1.2365646144468152</v>
      </c>
      <c r="D22" s="351" t="s">
        <v>30</v>
      </c>
      <c r="E22" s="353">
        <f>VLOOKUP(B22,'Price '!B:D,3,FALSE)</f>
        <v>3430000</v>
      </c>
      <c r="F22" s="438" t="str">
        <f t="shared" si="1"/>
        <v>Ton</v>
      </c>
      <c r="G22" s="353">
        <f t="shared" si="0"/>
        <v>4241416.6275525764</v>
      </c>
      <c r="H22" s="344"/>
      <c r="I22" s="440"/>
    </row>
    <row r="23" spans="1:9" ht="18" customHeight="1">
      <c r="A23" s="351">
        <v>17</v>
      </c>
      <c r="B23" s="354" t="s">
        <v>60</v>
      </c>
      <c r="C23" s="366">
        <f>SUMIF('Builder Estimate'!$B$6:$B$645,B23,'Builder Estimate'!$C$6:$C$645)</f>
        <v>720.67363862643526</v>
      </c>
      <c r="D23" s="351" t="str">
        <f>VLOOKUP(B23,'Builder Estimate'!$B:$H,4,FALSE)</f>
        <v>lbs</v>
      </c>
      <c r="E23" s="353">
        <f>VLOOKUP(B23,'Price '!B:D,3,FALSE)</f>
        <v>12000</v>
      </c>
      <c r="F23" s="438" t="str">
        <f>VLOOKUP(B23,'Price '!$B:$D,2,FALSE)</f>
        <v>Lbs</v>
      </c>
      <c r="G23" s="353">
        <f t="shared" si="0"/>
        <v>8648083.6635172237</v>
      </c>
      <c r="H23" s="344"/>
    </row>
    <row r="24" spans="1:9" ht="18" customHeight="1">
      <c r="A24" s="351">
        <v>18</v>
      </c>
      <c r="B24" s="354" t="s">
        <v>747</v>
      </c>
      <c r="C24" s="366">
        <f>SUMIF('Builder Estimate'!$B$6:$B$645,B24,'Builder Estimate'!$C$6:$C$645)</f>
        <v>247.50000000000003</v>
      </c>
      <c r="D24" s="351" t="str">
        <f>VLOOKUP(B24,'Builder Estimate'!$B:$H,4,FALSE)</f>
        <v>Rft</v>
      </c>
      <c r="E24" s="353">
        <f>VLOOKUP(B24,'Price '!B:D,3,FALSE)</f>
        <v>1500</v>
      </c>
      <c r="F24" s="438" t="str">
        <f>VLOOKUP(B24,'Price '!$B:$D,2,FALSE)</f>
        <v>Rft</v>
      </c>
      <c r="G24" s="353">
        <f t="shared" si="0"/>
        <v>371250.00000000006</v>
      </c>
      <c r="H24" s="344"/>
    </row>
    <row r="25" spans="1:9" ht="18.600000000000001" customHeight="1">
      <c r="A25" s="351">
        <v>19</v>
      </c>
      <c r="B25" s="337" t="s">
        <v>796</v>
      </c>
      <c r="C25" s="366">
        <f>SUMIF('Builder Estimate'!$B$6:$B$645,B25,'Builder Estimate'!$C$6:$C$645)</f>
        <v>50723.634939236115</v>
      </c>
      <c r="D25" s="351" t="str">
        <f>VLOOKUP(B25,'Builder Estimate'!$B:$H,4,FALSE)</f>
        <v>Nos</v>
      </c>
      <c r="E25" s="353">
        <f>VLOOKUP(B25,'Price '!B:D,3,FALSE)</f>
        <v>285</v>
      </c>
      <c r="F25" s="438" t="str">
        <f>VLOOKUP(B25,'Price '!$B:$D,2,FALSE)</f>
        <v>Nos</v>
      </c>
      <c r="G25" s="353">
        <f>E25*C25</f>
        <v>14456235.957682293</v>
      </c>
      <c r="H25" s="344"/>
    </row>
    <row r="26" spans="1:9" ht="18.75" customHeight="1">
      <c r="A26" s="351">
        <v>20</v>
      </c>
      <c r="B26" s="337" t="s">
        <v>129</v>
      </c>
      <c r="C26" s="366">
        <f>SUMIF('Builder Estimate'!$B$6:$B$645,B26,'Builder Estimate'!$C$6:$C$645)</f>
        <v>9096.1388680555574</v>
      </c>
      <c r="D26" s="351" t="str">
        <f>VLOOKUP(B26,'Builder Estimate'!$B:$H,4,FALSE)</f>
        <v>Rft</v>
      </c>
      <c r="E26" s="353">
        <f>VLOOKUP(B26,'Price '!B:D,3,FALSE)</f>
        <v>170</v>
      </c>
      <c r="F26" s="438" t="str">
        <f>VLOOKUP(B26,'Price '!$B:$D,2,FALSE)</f>
        <v>Rft</v>
      </c>
      <c r="G26" s="353">
        <f>E26*C26</f>
        <v>1546343.6075694447</v>
      </c>
      <c r="H26" s="344"/>
      <c r="I26" s="344"/>
    </row>
    <row r="27" spans="1:9" ht="18" customHeight="1">
      <c r="A27" s="351">
        <v>21</v>
      </c>
      <c r="B27" s="337" t="s">
        <v>770</v>
      </c>
      <c r="C27" s="366">
        <f>SUMIF('Builder Estimate'!$B$6:$B$645,B27,'Builder Estimate'!$C$6:$C$645)</f>
        <v>25.410000000000004</v>
      </c>
      <c r="D27" s="351" t="str">
        <f>VLOOKUP(B27,'Builder Estimate'!$B:$H,4,FALSE)</f>
        <v>Rft</v>
      </c>
      <c r="E27" s="353">
        <f>VLOOKUP(B27,'Price '!B:D,3,FALSE)</f>
        <v>14000</v>
      </c>
      <c r="F27" s="438" t="str">
        <f>VLOOKUP(B27,'Price '!$B:$D,2,FALSE)</f>
        <v>Rft</v>
      </c>
      <c r="G27" s="353">
        <f>E27*C27</f>
        <v>355740.00000000006</v>
      </c>
      <c r="H27" s="344"/>
    </row>
    <row r="28" spans="1:9" ht="18" customHeight="1">
      <c r="A28" s="351">
        <v>22</v>
      </c>
      <c r="B28" s="337" t="s">
        <v>771</v>
      </c>
      <c r="C28" s="366">
        <f>SUMIF('Builder Estimate'!$B$6:$B$645,B28,'Builder Estimate'!$C$6:$C$645)</f>
        <v>284.32249999999999</v>
      </c>
      <c r="D28" s="351" t="str">
        <f>VLOOKUP(B28,'Builder Estimate'!$B:$H,4,FALSE)</f>
        <v>Rft</v>
      </c>
      <c r="E28" s="353">
        <f>VLOOKUP(B28,'Price '!B:D,3,FALSE)</f>
        <v>9500</v>
      </c>
      <c r="F28" s="438" t="str">
        <f>VLOOKUP(B28,'Price '!$B:$D,2,FALSE)</f>
        <v>Rft</v>
      </c>
      <c r="G28" s="353">
        <f>E28*C28</f>
        <v>2701063.75</v>
      </c>
      <c r="H28" s="344"/>
    </row>
    <row r="29" spans="1:9" ht="18" customHeight="1">
      <c r="A29" s="351">
        <v>23</v>
      </c>
      <c r="B29" s="337" t="s">
        <v>800</v>
      </c>
      <c r="C29" s="366">
        <f>SUMIF('Builder Estimate'!$B$6:$B$645,B29,'Builder Estimate'!$C$6:$C$645)</f>
        <v>165</v>
      </c>
      <c r="D29" s="351" t="str">
        <f>VLOOKUP(B29,'Builder Estimate'!$B:$H,4,FALSE)</f>
        <v>Nos.</v>
      </c>
      <c r="E29" s="353">
        <f>VLOOKUP(B29,'Price '!B:D,3,FALSE)</f>
        <v>450</v>
      </c>
      <c r="F29" s="438" t="str">
        <f>VLOOKUP(B29,'Price '!$B:$D,2,FALSE)</f>
        <v>Nos.</v>
      </c>
      <c r="G29" s="353">
        <f>E29*C29</f>
        <v>74250</v>
      </c>
      <c r="H29" s="344"/>
    </row>
    <row r="30" spans="1:9" ht="18" customHeight="1">
      <c r="A30" s="351">
        <v>24</v>
      </c>
      <c r="B30" s="337" t="s">
        <v>124</v>
      </c>
      <c r="C30" s="366">
        <f>SUMIF('Builder Estimate'!$B$6:$B$645,B30,'Builder Estimate'!$C$6:$C$645)</f>
        <v>11</v>
      </c>
      <c r="D30" s="351" t="str">
        <f>VLOOKUP(B30,'Builder Estimate'!$B:$H,4,FALSE)</f>
        <v>Bottle</v>
      </c>
      <c r="E30" s="353">
        <f>VLOOKUP(B30,'Price '!B:D,3,FALSE)</f>
        <v>12000</v>
      </c>
      <c r="F30" s="438" t="str">
        <f>VLOOKUP(B30,'Price '!$B:$D,2,FALSE)</f>
        <v>Bottle</v>
      </c>
      <c r="G30" s="353">
        <f t="shared" si="0"/>
        <v>132000</v>
      </c>
      <c r="H30" s="344"/>
    </row>
    <row r="31" spans="1:9" s="851" customFormat="1" ht="18" hidden="1" customHeight="1">
      <c r="A31" s="351">
        <v>33</v>
      </c>
      <c r="B31" s="847" t="s">
        <v>239</v>
      </c>
      <c r="C31" s="848">
        <f>SUMIF('Builder Estimate'!$B$7:$B$622,$B$6:$B$67,'Builder Estimate'!$D$7:$D$622)</f>
        <v>374.08333333333337</v>
      </c>
      <c r="D31" s="351" t="str">
        <f>VLOOKUP(B31,'Builder Estimate'!$B:$H,4,FALSE)</f>
        <v>Sqft</v>
      </c>
      <c r="E31" s="849">
        <f>VLOOKUP(B31,'Price '!B:D,3,FALSE)</f>
        <v>0</v>
      </c>
      <c r="F31" s="850" t="str">
        <f>VLOOKUP(B31,'Price '!$B:$D,2,FALSE)</f>
        <v>Sft</v>
      </c>
      <c r="G31" s="849">
        <f t="shared" si="0"/>
        <v>0</v>
      </c>
      <c r="I31" s="852"/>
    </row>
    <row r="32" spans="1:9" s="851" customFormat="1" ht="18" hidden="1" customHeight="1">
      <c r="A32" s="351">
        <v>34</v>
      </c>
      <c r="B32" s="847" t="s">
        <v>183</v>
      </c>
      <c r="C32" s="848">
        <f>SUMIF('Builder Estimate'!$B$7:$B$622,$B$6:$B$67,'Builder Estimate'!$D$7:$D$622)</f>
        <v>15</v>
      </c>
      <c r="D32" s="351" t="str">
        <f>VLOOKUP(B32,'Builder Estimate'!$B:$H,4,FALSE)</f>
        <v>Nos</v>
      </c>
      <c r="E32" s="849">
        <f>VLOOKUP(B32,'Price '!B:D,3,FALSE)</f>
        <v>0</v>
      </c>
      <c r="F32" s="850" t="str">
        <f>VLOOKUP(B32,'Price '!$B:$D,2,FALSE)</f>
        <v>Nos</v>
      </c>
      <c r="G32" s="849">
        <f t="shared" si="0"/>
        <v>0</v>
      </c>
      <c r="I32" s="852"/>
    </row>
    <row r="33" spans="1:9" s="851" customFormat="1" ht="18" hidden="1" customHeight="1">
      <c r="A33" s="351">
        <v>35</v>
      </c>
      <c r="B33" s="847" t="s">
        <v>47</v>
      </c>
      <c r="C33" s="848">
        <f>SUMIF('Builder Estimate'!$B$7:$B$622,$B$6:$B$67,'Builder Estimate'!$D$7:$D$622)</f>
        <v>45</v>
      </c>
      <c r="D33" s="351" t="str">
        <f>VLOOKUP(B33,'Builder Estimate'!$B:$H,4,FALSE)</f>
        <v>Nos</v>
      </c>
      <c r="E33" s="849">
        <f>VLOOKUP(B33,'Price '!B:D,3,FALSE)</f>
        <v>0</v>
      </c>
      <c r="F33" s="850" t="str">
        <f>VLOOKUP(B33,'Price '!$B:$D,2,FALSE)</f>
        <v>Nos</v>
      </c>
      <c r="G33" s="849">
        <f t="shared" si="0"/>
        <v>0</v>
      </c>
      <c r="I33" s="852"/>
    </row>
    <row r="34" spans="1:9" s="851" customFormat="1" ht="18" hidden="1" customHeight="1">
      <c r="A34" s="351">
        <v>36</v>
      </c>
      <c r="B34" s="847" t="s">
        <v>71</v>
      </c>
      <c r="C34" s="848">
        <f>SUMIF('Builder Estimate'!$B$7:$B$622,$B$6:$B$67,'Builder Estimate'!$D$7:$D$622)</f>
        <v>15</v>
      </c>
      <c r="D34" s="351" t="str">
        <f>VLOOKUP(B34,'Builder Estimate'!$B:$H,4,FALSE)</f>
        <v>Nos</v>
      </c>
      <c r="E34" s="849">
        <f>VLOOKUP(B34,'Price '!B:D,3,FALSE)</f>
        <v>0</v>
      </c>
      <c r="F34" s="850" t="str">
        <f>VLOOKUP(B34,'Price '!$B:$D,2,FALSE)</f>
        <v>Nos</v>
      </c>
      <c r="G34" s="849">
        <f t="shared" si="0"/>
        <v>0</v>
      </c>
      <c r="I34" s="852"/>
    </row>
    <row r="35" spans="1:9" s="851" customFormat="1" ht="18" hidden="1" customHeight="1">
      <c r="A35" s="351">
        <v>37</v>
      </c>
      <c r="B35" s="847" t="s">
        <v>126</v>
      </c>
      <c r="C35" s="848">
        <f>SUMIF('Builder Estimate'!$B$7:$B$622,$B$6:$B$67,'Builder Estimate'!$D$7:$D$622)</f>
        <v>15</v>
      </c>
      <c r="D35" s="351" t="str">
        <f>VLOOKUP(B35,'Builder Estimate'!$B:$H,4,FALSE)</f>
        <v>Nos</v>
      </c>
      <c r="E35" s="849">
        <f>VLOOKUP(B35,'Price '!B:D,3,FALSE)</f>
        <v>0</v>
      </c>
      <c r="F35" s="850" t="str">
        <f>VLOOKUP(B35,'Price '!$B:$D,2,FALSE)</f>
        <v>Nos</v>
      </c>
      <c r="G35" s="849">
        <f t="shared" si="0"/>
        <v>0</v>
      </c>
      <c r="I35" s="852"/>
    </row>
    <row r="36" spans="1:9" s="851" customFormat="1" ht="18" hidden="1" customHeight="1">
      <c r="A36" s="351">
        <v>38</v>
      </c>
      <c r="B36" s="847" t="s">
        <v>101</v>
      </c>
      <c r="C36" s="848">
        <f>SUMIF('Builder Estimate'!$B$7:$B$622,$B$6:$B$67,'Builder Estimate'!$D$7:$D$622)</f>
        <v>0</v>
      </c>
      <c r="D36" s="351" t="str">
        <f>VLOOKUP(B36,'Builder Estimate'!$B:$H,4,FALSE)</f>
        <v>Lbs</v>
      </c>
      <c r="E36" s="849">
        <f>VLOOKUP(B36,'Price '!B:D,3,FALSE)</f>
        <v>0</v>
      </c>
      <c r="F36" s="850" t="str">
        <f>VLOOKUP(B36,'Price '!$B:$D,2,FALSE)</f>
        <v>Lbs</v>
      </c>
      <c r="G36" s="849">
        <f t="shared" si="0"/>
        <v>0</v>
      </c>
      <c r="I36" s="852"/>
    </row>
    <row r="37" spans="1:9" s="851" customFormat="1" ht="18" hidden="1" customHeight="1">
      <c r="A37" s="351">
        <v>39</v>
      </c>
      <c r="B37" s="853" t="s">
        <v>552</v>
      </c>
      <c r="C37" s="848">
        <f>SUMIF('Builder Estimate'!$B$7:$B$622,$B$6:$B$67,'Builder Estimate'!$D$7:$D$622)</f>
        <v>0</v>
      </c>
      <c r="D37" s="351" t="str">
        <f>VLOOKUP(B37,'Builder Estimate'!$B:$H,4,FALSE)</f>
        <v>Sft</v>
      </c>
      <c r="E37" s="849">
        <f>VLOOKUP(B37,'Price '!B:D,3,FALSE)</f>
        <v>0</v>
      </c>
      <c r="F37" s="850">
        <f>VLOOKUP(B37,'Price '!$B:$D,2,FALSE)</f>
        <v>0</v>
      </c>
      <c r="G37" s="849">
        <f>E37*C37</f>
        <v>0</v>
      </c>
      <c r="I37" s="852"/>
    </row>
    <row r="38" spans="1:9" s="851" customFormat="1" ht="18" hidden="1" customHeight="1">
      <c r="A38" s="351">
        <v>40</v>
      </c>
      <c r="B38" s="847" t="s">
        <v>99</v>
      </c>
      <c r="C38" s="848">
        <f>SUMIF('Builder Estimate'!$B$7:$B$622,$B$6:$B$67,'Builder Estimate'!$D$7:$D$622)</f>
        <v>0</v>
      </c>
      <c r="D38" s="351" t="str">
        <f>VLOOKUP(B38,'Builder Estimate'!$B:$H,4,FALSE)</f>
        <v>Gal</v>
      </c>
      <c r="E38" s="849">
        <f>VLOOKUP(B38,'Price '!B:D,3,FALSE)</f>
        <v>0</v>
      </c>
      <c r="F38" s="850" t="str">
        <f>VLOOKUP(B38,'Price '!$B:$D,2,FALSE)</f>
        <v>Gal</v>
      </c>
      <c r="G38" s="849">
        <f t="shared" si="0"/>
        <v>0</v>
      </c>
    </row>
    <row r="39" spans="1:9" s="851" customFormat="1" ht="18" hidden="1" customHeight="1">
      <c r="A39" s="351">
        <v>41</v>
      </c>
      <c r="B39" s="847" t="s">
        <v>49</v>
      </c>
      <c r="C39" s="848">
        <f>SUMIF('Builder Estimate'!$B$7:$B$622,$B$6:$B$67,'Builder Estimate'!$D$7:$D$622)</f>
        <v>0</v>
      </c>
      <c r="D39" s="351" t="str">
        <f>VLOOKUP(B39,'Builder Estimate'!$B:$H,4,FALSE)</f>
        <v>Nos</v>
      </c>
      <c r="E39" s="849">
        <f>VLOOKUP(B39,'Price '!B:D,3,FALSE)</f>
        <v>0</v>
      </c>
      <c r="F39" s="850" t="str">
        <f>VLOOKUP(B39,'Price '!$B:$D,2,FALSE)</f>
        <v>Nos</v>
      </c>
      <c r="G39" s="849">
        <f t="shared" si="0"/>
        <v>0</v>
      </c>
    </row>
    <row r="40" spans="1:9" s="851" customFormat="1" ht="18" hidden="1" customHeight="1">
      <c r="A40" s="351">
        <v>42</v>
      </c>
      <c r="B40" s="847" t="s">
        <v>41</v>
      </c>
      <c r="C40" s="848">
        <f>SUMIF('Builder Estimate'!$B$7:$B$622,$B$6:$B$67,'Builder Estimate'!$D$7:$D$622)</f>
        <v>0</v>
      </c>
      <c r="D40" s="351" t="str">
        <f>VLOOKUP(B40,'Builder Estimate'!$B:$H,4,FALSE)</f>
        <v>Gal</v>
      </c>
      <c r="E40" s="849">
        <f>VLOOKUP(B40,'Price '!B:D,3,FALSE)</f>
        <v>0</v>
      </c>
      <c r="F40" s="850" t="str">
        <f>VLOOKUP(B40,'Price '!$B:$D,2,FALSE)</f>
        <v>Gal</v>
      </c>
      <c r="G40" s="849">
        <f t="shared" si="0"/>
        <v>0</v>
      </c>
    </row>
    <row r="41" spans="1:9" s="851" customFormat="1" ht="18" hidden="1" customHeight="1">
      <c r="A41" s="351">
        <v>43</v>
      </c>
      <c r="B41" s="847" t="s">
        <v>50</v>
      </c>
      <c r="C41" s="848">
        <f>SUMIF('Builder Estimate'!$B$7:$B$622,$B$6:$B$67,'Builder Estimate'!$D$7:$D$622)</f>
        <v>0</v>
      </c>
      <c r="D41" s="351" t="str">
        <f>VLOOKUP(B41,'Builder Estimate'!$B:$H,4,FALSE)</f>
        <v>Dz</v>
      </c>
      <c r="E41" s="849">
        <f>VLOOKUP(B41,'Price '!B:D,3,FALSE)</f>
        <v>0</v>
      </c>
      <c r="F41" s="850" t="str">
        <f>VLOOKUP(B41,'Price '!$B:$D,2,FALSE)</f>
        <v>Doz</v>
      </c>
      <c r="G41" s="849">
        <f t="shared" si="0"/>
        <v>0</v>
      </c>
    </row>
    <row r="42" spans="1:9" s="851" customFormat="1" ht="18" hidden="1" customHeight="1">
      <c r="A42" s="351">
        <v>44</v>
      </c>
      <c r="B42" s="847" t="s">
        <v>118</v>
      </c>
      <c r="C42" s="848">
        <f>SUMIF('Builder Estimate'!$B$7:$B$622,$B$6:$B$67,'Builder Estimate'!$D$7:$D$622)</f>
        <v>0</v>
      </c>
      <c r="D42" s="351" t="str">
        <f>VLOOKUP(B42,'Builder Estimate'!$B:$H,4,FALSE)</f>
        <v>Nos</v>
      </c>
      <c r="E42" s="849">
        <f>VLOOKUP(B42,'Price '!B:D,3,FALSE)</f>
        <v>0</v>
      </c>
      <c r="F42" s="850" t="str">
        <f>VLOOKUP(B42,'Price '!$B:$D,2,FALSE)</f>
        <v>Nos</v>
      </c>
      <c r="G42" s="849">
        <f t="shared" si="0"/>
        <v>0</v>
      </c>
    </row>
    <row r="43" spans="1:9" s="851" customFormat="1" ht="18" hidden="1" customHeight="1">
      <c r="A43" s="351">
        <v>45</v>
      </c>
      <c r="B43" s="847" t="s">
        <v>100</v>
      </c>
      <c r="C43" s="848">
        <f>SUMIF('Builder Estimate'!$B$7:$B$622,$B$6:$B$67,'Builder Estimate'!$D$7:$D$622)</f>
        <v>0</v>
      </c>
      <c r="D43" s="351" t="str">
        <f>VLOOKUP(B43,'Builder Estimate'!$B:$H,4,FALSE)</f>
        <v>Gal</v>
      </c>
      <c r="E43" s="849">
        <f>VLOOKUP(B43,'Price '!B:D,3,FALSE)</f>
        <v>0</v>
      </c>
      <c r="F43" s="850" t="str">
        <f>VLOOKUP(B43,'Price '!$B:$D,2,FALSE)</f>
        <v>Gal</v>
      </c>
      <c r="G43" s="849">
        <f t="shared" si="0"/>
        <v>0</v>
      </c>
      <c r="H43" s="854"/>
      <c r="I43" s="855"/>
    </row>
    <row r="44" spans="1:9" s="851" customFormat="1" ht="18" hidden="1" customHeight="1">
      <c r="A44" s="351">
        <v>46</v>
      </c>
      <c r="B44" s="847" t="s">
        <v>62</v>
      </c>
      <c r="C44" s="848">
        <f>SUMIF('Builder Estimate'!$B$7:$B$622,$B$6:$B$67,'Builder Estimate'!$D$7:$D$622)</f>
        <v>0</v>
      </c>
      <c r="D44" s="351" t="str">
        <f>VLOOKUP(B44,'Builder Estimate'!$B:$H,4,FALSE)</f>
        <v>Gal</v>
      </c>
      <c r="E44" s="849">
        <f>VLOOKUP(B44,'Price '!B:D,3,FALSE)</f>
        <v>0</v>
      </c>
      <c r="F44" s="850" t="str">
        <f>VLOOKUP(B44,'Price '!$B:$D,2,FALSE)</f>
        <v>Gal</v>
      </c>
      <c r="G44" s="849">
        <f>E44*C44</f>
        <v>0</v>
      </c>
    </row>
    <row r="45" spans="1:9" s="851" customFormat="1" ht="18" hidden="1" customHeight="1">
      <c r="A45" s="351">
        <v>47</v>
      </c>
      <c r="B45" s="847" t="s">
        <v>61</v>
      </c>
      <c r="C45" s="848">
        <f>SUMIF('Builder Estimate'!$B$7:$B$622,$B$6:$B$67,'Builder Estimate'!$D$7:$D$622)</f>
        <v>0</v>
      </c>
      <c r="D45" s="351" t="str">
        <f>VLOOKUP(B45,'Builder Estimate'!$B:$H,4,FALSE)</f>
        <v>Gal</v>
      </c>
      <c r="E45" s="849">
        <f>VLOOKUP(B45,'Price '!B:D,3,FALSE)</f>
        <v>0</v>
      </c>
      <c r="F45" s="850" t="str">
        <f>VLOOKUP(B45,'Price '!$B:$D,2,FALSE)</f>
        <v>Gal</v>
      </c>
      <c r="G45" s="849">
        <f>E45*C45</f>
        <v>0</v>
      </c>
    </row>
    <row r="46" spans="1:9" s="851" customFormat="1" ht="18" hidden="1" customHeight="1">
      <c r="A46" s="351">
        <v>48</v>
      </c>
      <c r="B46" s="847" t="s">
        <v>51</v>
      </c>
      <c r="C46" s="848">
        <f>SUMIF('Builder Estimate'!$B$7:$B$622,$B$6:$B$67,'Builder Estimate'!$D$7:$D$622)</f>
        <v>0</v>
      </c>
      <c r="D46" s="351" t="str">
        <f>VLOOKUP(B46,'Builder Estimate'!$B:$H,4,FALSE)</f>
        <v>Nos</v>
      </c>
      <c r="E46" s="849">
        <f>VLOOKUP(B46,'Price '!B:D,3,FALSE)</f>
        <v>0</v>
      </c>
      <c r="F46" s="850" t="str">
        <f>VLOOKUP(B46,'Price '!$B:$D,2,FALSE)</f>
        <v>Nos</v>
      </c>
      <c r="G46" s="849">
        <f t="shared" si="0"/>
        <v>0</v>
      </c>
    </row>
    <row r="47" spans="1:9" s="851" customFormat="1" ht="18" hidden="1" customHeight="1">
      <c r="A47" s="351">
        <v>49</v>
      </c>
      <c r="B47" s="847" t="s">
        <v>121</v>
      </c>
      <c r="C47" s="848">
        <f>SUMIF('Builder Estimate'!$B$7:$B$622,$B$6:$B$67,'Builder Estimate'!$D$7:$D$622)</f>
        <v>0</v>
      </c>
      <c r="D47" s="351" t="str">
        <f>VLOOKUP(B47,'Builder Estimate'!$B:$H,4,FALSE)</f>
        <v>Nos</v>
      </c>
      <c r="E47" s="849">
        <f>VLOOKUP(B47,'Price '!B:D,3,FALSE)</f>
        <v>0</v>
      </c>
      <c r="F47" s="850" t="str">
        <f>VLOOKUP(B47,'Price '!$B:$D,2,FALSE)</f>
        <v>Nos</v>
      </c>
      <c r="G47" s="849">
        <f t="shared" si="0"/>
        <v>0</v>
      </c>
    </row>
    <row r="48" spans="1:9" s="851" customFormat="1" ht="18" hidden="1" customHeight="1">
      <c r="A48" s="351">
        <v>50</v>
      </c>
      <c r="B48" s="856" t="s">
        <v>127</v>
      </c>
      <c r="C48" s="848">
        <f>SUMIF('Builder Estimate'!$B$7:$B$622,$B$6:$B$67,'Builder Estimate'!$D$7:$D$622)</f>
        <v>1444.4344542348499</v>
      </c>
      <c r="D48" s="351" t="str">
        <f>VLOOKUP(B48,'Builder Estimate'!$B:$H,4,FALSE)</f>
        <v>Nos</v>
      </c>
      <c r="E48" s="849">
        <f>VLOOKUP(B48,'Price '!B:D,3,FALSE)</f>
        <v>0</v>
      </c>
      <c r="F48" s="850" t="str">
        <f>VLOOKUP(B48,'Price '!$B:$D,2,FALSE)</f>
        <v>Nos</v>
      </c>
      <c r="G48" s="849">
        <f>E48*C48</f>
        <v>0</v>
      </c>
    </row>
    <row r="49" spans="1:9" s="851" customFormat="1" ht="18" hidden="1" customHeight="1">
      <c r="A49" s="351">
        <v>51</v>
      </c>
      <c r="B49" s="856" t="s">
        <v>98</v>
      </c>
      <c r="C49" s="848">
        <f>SUMIF('Builder Estimate'!$B$7:$B$622,$B$6:$B$67,'Builder Estimate'!$D$7:$D$622)</f>
        <v>579.58110566570133</v>
      </c>
      <c r="D49" s="351" t="str">
        <f>VLOOKUP(B49,'Builder Estimate'!$B:$H,4,FALSE)</f>
        <v>Nos</v>
      </c>
      <c r="E49" s="849">
        <f>VLOOKUP(B49,'Price '!B:D,3,FALSE)</f>
        <v>0</v>
      </c>
      <c r="F49" s="850" t="str">
        <f>VLOOKUP(B49,'Price '!$B:$D,2,FALSE)</f>
        <v>Nos</v>
      </c>
      <c r="G49" s="849">
        <f>E49*C49</f>
        <v>0</v>
      </c>
    </row>
    <row r="50" spans="1:9" s="851" customFormat="1" ht="18" hidden="1" customHeight="1">
      <c r="A50" s="351">
        <v>52</v>
      </c>
      <c r="B50" s="857" t="s">
        <v>182</v>
      </c>
      <c r="C50" s="848">
        <f>SUMIF('Builder Estimate'!$B$7:$B$622,$B$6:$B$67,'Builder Estimate'!$D$7:$D$622)</f>
        <v>0</v>
      </c>
      <c r="D50" s="351" t="str">
        <f>VLOOKUP(B50,'Builder Estimate'!$B:$H,4,FALSE)</f>
        <v>Lbs</v>
      </c>
      <c r="E50" s="849">
        <f>VLOOKUP(B50,'Price '!B:D,3,FALSE)</f>
        <v>0</v>
      </c>
      <c r="F50" s="850" t="str">
        <f>VLOOKUP(B50,'Price '!$B:$D,2,FALSE)</f>
        <v>Lbs</v>
      </c>
      <c r="G50" s="849">
        <f>E50*C50</f>
        <v>0</v>
      </c>
    </row>
    <row r="51" spans="1:9" s="851" customFormat="1" ht="18" hidden="1" customHeight="1">
      <c r="A51" s="351">
        <v>53</v>
      </c>
      <c r="B51" s="699" t="s">
        <v>560</v>
      </c>
      <c r="C51" s="848">
        <f>SUMIF('Builder Estimate'!$B$7:$B$622,$B$6:$B$67,'Builder Estimate'!$D$7:$D$622)</f>
        <v>48</v>
      </c>
      <c r="D51" s="351" t="str">
        <f>VLOOKUP(B51,'Builder Estimate'!$B:$H,4,FALSE)</f>
        <v>Rft</v>
      </c>
      <c r="E51" s="849">
        <f>VLOOKUP(B51,'Price '!B:D,3,FALSE)</f>
        <v>0</v>
      </c>
      <c r="F51" s="850" t="str">
        <f>D51</f>
        <v>Rft</v>
      </c>
      <c r="G51" s="849">
        <f>E51*C51</f>
        <v>0</v>
      </c>
    </row>
    <row r="52" spans="1:9" s="851" customFormat="1" ht="18" hidden="1" customHeight="1">
      <c r="A52" s="351">
        <v>54</v>
      </c>
      <c r="B52" s="699" t="s">
        <v>612</v>
      </c>
      <c r="C52" s="848">
        <f>SUMIF('Builder Estimate'!$B$7:$B$622,$B$6:$B$67,'Builder Estimate'!$D$7:$D$622)</f>
        <v>0</v>
      </c>
      <c r="D52" s="351" t="str">
        <f>VLOOKUP(B52,'Builder Estimate'!$B:$H,4,FALSE)</f>
        <v>Rft</v>
      </c>
      <c r="E52" s="849">
        <f>VLOOKUP(B52,'Price '!B:D,3,FALSE)</f>
        <v>6800</v>
      </c>
      <c r="F52" s="850" t="str">
        <f t="shared" ref="F52:F53" si="2">D52</f>
        <v>Rft</v>
      </c>
      <c r="G52" s="849">
        <f t="shared" ref="G52:G54" si="3">E52*C52</f>
        <v>0</v>
      </c>
    </row>
    <row r="53" spans="1:9" s="851" customFormat="1" ht="18" hidden="1" customHeight="1">
      <c r="A53" s="351">
        <v>55</v>
      </c>
      <c r="B53" s="699" t="s">
        <v>613</v>
      </c>
      <c r="C53" s="848">
        <f>SUMIF('Builder Estimate'!$B$7:$B$622,$B$6:$B$67,'Builder Estimate'!$D$7:$D$622)</f>
        <v>0</v>
      </c>
      <c r="D53" s="351" t="str">
        <f>VLOOKUP(B53,'Builder Estimate'!$B:$H,4,FALSE)</f>
        <v>Sft</v>
      </c>
      <c r="E53" s="849">
        <f>VLOOKUP(B53,'Price '!B:D,3,FALSE)</f>
        <v>6100</v>
      </c>
      <c r="F53" s="850" t="str">
        <f t="shared" si="2"/>
        <v>Sft</v>
      </c>
      <c r="G53" s="849">
        <f t="shared" si="3"/>
        <v>0</v>
      </c>
    </row>
    <row r="54" spans="1:9" ht="18" customHeight="1">
      <c r="A54" s="351">
        <v>25</v>
      </c>
      <c r="B54" s="354" t="s">
        <v>45</v>
      </c>
      <c r="C54" s="366">
        <f>SUMIF('Builder Estimate'!$B$6:$B$645,B54,'Builder Estimate'!$C$6:$C$645)</f>
        <v>902.00000000000011</v>
      </c>
      <c r="D54" s="351" t="str">
        <f>VLOOKUP(B54,'Builder Estimate'!$B:$H,4,FALSE)</f>
        <v>Nos</v>
      </c>
      <c r="E54" s="353">
        <f>VLOOKUP(B54,'Price '!B:D,3,FALSE)</f>
        <v>2000</v>
      </c>
      <c r="F54" s="438" t="str">
        <f>VLOOKUP(B54,'Price '!$B:$D,2,FALSE)</f>
        <v>Nos</v>
      </c>
      <c r="G54" s="353">
        <f t="shared" si="3"/>
        <v>1804000.0000000002</v>
      </c>
      <c r="H54" s="344"/>
    </row>
    <row r="55" spans="1:9" ht="18" customHeight="1">
      <c r="A55" s="351">
        <v>26</v>
      </c>
      <c r="B55" s="354" t="s">
        <v>46</v>
      </c>
      <c r="C55" s="366">
        <f>SUMIF('Builder Estimate'!$B$6:$B$645,B55,'Builder Estimate'!$C$6:$C$645)</f>
        <v>64.831250000000011</v>
      </c>
      <c r="D55" s="351" t="str">
        <f>VLOOKUP(B55,'Builder Estimate'!$B:$H,4,FALSE)</f>
        <v>Viss</v>
      </c>
      <c r="E55" s="353">
        <f>VLOOKUP(B55,'Price '!B:D,3,FALSE)</f>
        <v>15000</v>
      </c>
      <c r="F55" s="438" t="str">
        <f>VLOOKUP(B55,'Price '!$B:$D,2,FALSE)</f>
        <v>Viss</v>
      </c>
      <c r="G55" s="353">
        <f>E55*C55</f>
        <v>972468.75000000012</v>
      </c>
      <c r="H55" s="344"/>
    </row>
    <row r="56" spans="1:9" ht="18" customHeight="1">
      <c r="A56" s="351">
        <v>27</v>
      </c>
      <c r="B56" s="354" t="s">
        <v>763</v>
      </c>
      <c r="C56" s="366">
        <f>SUMIF('Builder Estimate'!$B$6:$B$645,B56,'Builder Estimate'!$C$6:$C$645)</f>
        <v>495.00000000000006</v>
      </c>
      <c r="D56" s="351" t="str">
        <f>VLOOKUP(B56,'Builder Estimate'!$B:$H,4,FALSE)</f>
        <v>Nos.</v>
      </c>
      <c r="E56" s="353">
        <f>VLOOKUP(B56,'Price '!B:D,3,FALSE)</f>
        <v>8100</v>
      </c>
      <c r="F56" s="438" t="str">
        <f>VLOOKUP(B56,'Price '!$B:$D,2,FALSE)</f>
        <v>Nos.</v>
      </c>
      <c r="G56" s="353">
        <f>E56*C56</f>
        <v>4009500.0000000005</v>
      </c>
      <c r="H56" s="344"/>
    </row>
    <row r="57" spans="1:9" ht="18" customHeight="1">
      <c r="A57" s="351">
        <v>28</v>
      </c>
      <c r="B57" s="354" t="s">
        <v>764</v>
      </c>
      <c r="C57" s="366">
        <f>SUMIF('Builder Estimate'!$B$6:$B$645,B57,'Builder Estimate'!$C$6:$C$645)</f>
        <v>42.716666666666676</v>
      </c>
      <c r="D57" s="351" t="str">
        <f>VLOOKUP(B57,'Builder Estimate'!$B:$H,4,FALSE)</f>
        <v>Box</v>
      </c>
      <c r="E57" s="353">
        <f>VLOOKUP(B57,'Price '!B:D,3,FALSE)</f>
        <v>10000</v>
      </c>
      <c r="F57" s="438" t="str">
        <f>VLOOKUP(B57,'Price '!$B:$D,2,FALSE)</f>
        <v>Box</v>
      </c>
      <c r="G57" s="353">
        <f>E57*C57</f>
        <v>427166.66666666674</v>
      </c>
      <c r="H57" s="344"/>
    </row>
    <row r="58" spans="1:9" ht="18" customHeight="1">
      <c r="A58" s="351">
        <v>29</v>
      </c>
      <c r="B58" s="419" t="s">
        <v>612</v>
      </c>
      <c r="C58" s="366">
        <f>SUMIF('Builder Estimate'!$B$6:$B$645,B58,'Builder Estimate'!$C$6:$C$645)</f>
        <v>127.66666666666667</v>
      </c>
      <c r="D58" s="351" t="str">
        <f>VLOOKUP(B58,'Builder Estimate'!$B:$H,4,FALSE)</f>
        <v>Rft</v>
      </c>
      <c r="E58" s="353">
        <f>VLOOKUP(B58,'Price '!B:D,3,FALSE)</f>
        <v>6800</v>
      </c>
      <c r="F58" s="438" t="str">
        <f>VLOOKUP(B58,'Price '!$B:$D,2,FALSE)</f>
        <v>Rft</v>
      </c>
      <c r="G58" s="353">
        <f>E58*C58</f>
        <v>868133.33333333337</v>
      </c>
      <c r="H58" s="344"/>
    </row>
    <row r="59" spans="1:9" ht="18" customHeight="1">
      <c r="A59" s="351">
        <v>30</v>
      </c>
      <c r="B59" s="419" t="s">
        <v>613</v>
      </c>
      <c r="C59" s="366">
        <f>SUMIF('Builder Estimate'!$B$6:$B$645,B59,'Builder Estimate'!$C$6:$C$645)</f>
        <v>522.66666666666674</v>
      </c>
      <c r="D59" s="351" t="str">
        <f>VLOOKUP(B59,'Builder Estimate'!$B:$H,4,FALSE)</f>
        <v>Sft</v>
      </c>
      <c r="E59" s="353">
        <f>VLOOKUP(B59,'Price '!B:D,3,FALSE)</f>
        <v>6100</v>
      </c>
      <c r="F59" s="438" t="str">
        <f>VLOOKUP(B59,'Price '!$B:$D,2,FALSE)</f>
        <v>Sft</v>
      </c>
      <c r="G59" s="353">
        <f>E59*C59</f>
        <v>3188266.666666667</v>
      </c>
      <c r="H59" s="344"/>
    </row>
    <row r="60" spans="1:9" ht="9.6" customHeight="1">
      <c r="A60" s="351"/>
      <c r="B60" s="354"/>
      <c r="C60" s="366"/>
      <c r="D60" s="351"/>
      <c r="E60" s="442"/>
      <c r="F60" s="351"/>
      <c r="G60" s="442"/>
      <c r="H60" s="344"/>
    </row>
    <row r="61" spans="1:9" ht="18" customHeight="1">
      <c r="A61" s="443"/>
      <c r="B61" s="444" t="s">
        <v>143</v>
      </c>
      <c r="C61" s="445"/>
      <c r="D61" s="443"/>
      <c r="E61" s="446"/>
      <c r="F61" s="443"/>
      <c r="G61" s="570">
        <f>SUM(G7:G60)</f>
        <v>262281713.97561756</v>
      </c>
      <c r="H61" s="447">
        <f>'Builder Estimate'!H647</f>
        <v>262281713.97561756</v>
      </c>
      <c r="I61" s="448"/>
    </row>
    <row r="62" spans="1:9" ht="18" customHeight="1">
      <c r="A62" s="398"/>
      <c r="B62" s="449" t="s">
        <v>28</v>
      </c>
      <c r="C62" s="450"/>
      <c r="D62" s="398"/>
      <c r="E62" s="451"/>
      <c r="F62" s="398"/>
      <c r="G62" s="451"/>
      <c r="H62" s="439"/>
    </row>
    <row r="63" spans="1:9" ht="18" customHeight="1">
      <c r="A63" s="351">
        <v>1</v>
      </c>
      <c r="B63" s="452" t="s">
        <v>63</v>
      </c>
      <c r="C63" s="366">
        <f>SUMIF('Builder Estimate'!$B$6:$B$645,B63,'Builder Estimate'!$C$6:$C$645)</f>
        <v>668.61091725694473</v>
      </c>
      <c r="D63" s="351" t="str">
        <f>VLOOKUP(B63,'Builder Estimate'!$B:$H,4,FALSE)</f>
        <v>Nos</v>
      </c>
      <c r="E63" s="353">
        <f>VLOOKUP(B63,'Price '!B:D,3,FALSE)</f>
        <v>27500</v>
      </c>
      <c r="F63" s="438" t="str">
        <f>VLOOKUP(B63,'Price '!$B:$D,2,FALSE)</f>
        <v>Nos</v>
      </c>
      <c r="G63" s="353">
        <f t="shared" ref="G63:G66" si="4">E63*C63</f>
        <v>18386800.224565979</v>
      </c>
      <c r="H63" s="439"/>
    </row>
    <row r="64" spans="1:9" ht="18" customHeight="1">
      <c r="A64" s="351">
        <v>2</v>
      </c>
      <c r="B64" s="453" t="s">
        <v>37</v>
      </c>
      <c r="C64" s="366">
        <f>SUMIF('Builder Estimate'!$B$6:$B$645,B64,'Builder Estimate'!$C$6:$C$645)</f>
        <v>3414.2218656287505</v>
      </c>
      <c r="D64" s="351" t="str">
        <f>VLOOKUP(B64,'Builder Estimate'!$B:$H,4,FALSE)</f>
        <v>Nos</v>
      </c>
      <c r="E64" s="353">
        <f>VLOOKUP(B64,'Price '!B:D,3,FALSE)</f>
        <v>19800</v>
      </c>
      <c r="F64" s="438" t="str">
        <f>VLOOKUP(B64,'Price '!$B:$D,2,FALSE)</f>
        <v>Nos</v>
      </c>
      <c r="G64" s="353">
        <f t="shared" si="4"/>
        <v>67601592.939449266</v>
      </c>
      <c r="H64" s="439"/>
    </row>
    <row r="65" spans="1:11" ht="18" customHeight="1">
      <c r="A65" s="351">
        <v>3</v>
      </c>
      <c r="B65" s="454" t="s">
        <v>64</v>
      </c>
      <c r="C65" s="366">
        <f>SUMIF('Builder Estimate'!$B$6:$B$645,B65,'Builder Estimate'!$C$6:$C$645)</f>
        <v>1186.8494962500001</v>
      </c>
      <c r="D65" s="351" t="str">
        <f>VLOOKUP(B65,'Builder Estimate'!$B:$H,4,FALSE)</f>
        <v>Nos</v>
      </c>
      <c r="E65" s="353">
        <f>VLOOKUP(B65,'Price '!B:D,3,FALSE)</f>
        <v>27500</v>
      </c>
      <c r="F65" s="438" t="str">
        <f>VLOOKUP(B65,'Price '!$B:$D,2,FALSE)</f>
        <v>Nos</v>
      </c>
      <c r="G65" s="353">
        <f t="shared" si="4"/>
        <v>32638361.146875005</v>
      </c>
      <c r="H65" s="439"/>
    </row>
    <row r="66" spans="1:11" ht="18" customHeight="1">
      <c r="A66" s="351">
        <v>4</v>
      </c>
      <c r="B66" s="453" t="s">
        <v>724</v>
      </c>
      <c r="C66" s="366">
        <f>SUMIF('Builder Estimate'!$B$6:$B$645,B66,'Builder Estimate'!$C$6:$C$645)</f>
        <v>0.24274250000000003</v>
      </c>
      <c r="D66" s="351" t="str">
        <f>VLOOKUP(B66,'Builder Estimate'!$B:$H,4,FALSE)</f>
        <v>Nos</v>
      </c>
      <c r="E66" s="353">
        <f>VLOOKUP(B66,'Price '!B:D,3,FALSE)</f>
        <v>27500</v>
      </c>
      <c r="F66" s="438" t="str">
        <f>VLOOKUP(B66,'Price '!$B:$D,2,FALSE)</f>
        <v>Nos</v>
      </c>
      <c r="G66" s="353">
        <f t="shared" si="4"/>
        <v>6675.4187500000007</v>
      </c>
      <c r="H66" s="439"/>
    </row>
    <row r="67" spans="1:11" ht="18" customHeight="1">
      <c r="A67" s="351">
        <v>5</v>
      </c>
      <c r="B67" s="454" t="s">
        <v>66</v>
      </c>
      <c r="C67" s="366">
        <f>SUMIF('Builder Estimate'!$B$6:$B$645,B67,'Builder Estimate'!$C$6:$C$645)</f>
        <v>720.67363862643526</v>
      </c>
      <c r="D67" s="351" t="str">
        <f>VLOOKUP(B67,'Builder Estimate'!$B:$H,4,FALSE)</f>
        <v>Nos</v>
      </c>
      <c r="E67" s="353">
        <f>VLOOKUP(B67,'Price '!B:D,3,FALSE)</f>
        <v>27500</v>
      </c>
      <c r="F67" s="438" t="str">
        <f>VLOOKUP(B67,'Price '!$B:$D,2,FALSE)</f>
        <v>Nos</v>
      </c>
      <c r="G67" s="353">
        <f>E67*C67</f>
        <v>19818525.06222697</v>
      </c>
      <c r="H67" s="439"/>
    </row>
    <row r="68" spans="1:11" ht="18" customHeight="1">
      <c r="A68" s="351">
        <v>6</v>
      </c>
      <c r="B68" s="454" t="s">
        <v>67</v>
      </c>
      <c r="C68" s="366">
        <f>SUMIF('Builder Estimate'!$B$6:$B$645,B68,'Builder Estimate'!$C$6:$C$645)</f>
        <v>34.13389250868056</v>
      </c>
      <c r="D68" s="351" t="str">
        <f>VLOOKUP(B68,'Builder Estimate'!$B:$H,4,FALSE)</f>
        <v>Nos</v>
      </c>
      <c r="E68" s="353">
        <f>VLOOKUP(B68,'Price '!B:D,3,FALSE)</f>
        <v>27500</v>
      </c>
      <c r="F68" s="438" t="str">
        <f>VLOOKUP(B68,'Price '!$B:$D,2,FALSE)</f>
        <v>Nos</v>
      </c>
      <c r="G68" s="353">
        <f>E68*C68</f>
        <v>938682.04398871539</v>
      </c>
      <c r="H68" s="439"/>
    </row>
    <row r="69" spans="1:11" ht="10.8" customHeight="1">
      <c r="A69" s="351"/>
      <c r="B69" s="455"/>
      <c r="C69" s="438"/>
      <c r="D69" s="438"/>
      <c r="E69" s="353"/>
      <c r="F69" s="438"/>
      <c r="G69" s="353"/>
      <c r="H69" s="439"/>
    </row>
    <row r="70" spans="1:11" ht="18" customHeight="1">
      <c r="A70" s="443"/>
      <c r="B70" s="456" t="s">
        <v>145</v>
      </c>
      <c r="C70" s="457"/>
      <c r="D70" s="457"/>
      <c r="E70" s="458"/>
      <c r="F70" s="457"/>
      <c r="G70" s="459">
        <f>SUM(G63:G69)</f>
        <v>139390636.83585593</v>
      </c>
      <c r="H70" s="447">
        <f>'Builder Estimate'!H646</f>
        <v>139390636.83585593</v>
      </c>
      <c r="I70" s="448">
        <f>H70-G70</f>
        <v>0</v>
      </c>
    </row>
    <row r="71" spans="1:11" ht="19.8" customHeight="1">
      <c r="A71" s="443"/>
      <c r="B71" s="1157" t="s">
        <v>39</v>
      </c>
      <c r="C71" s="1148"/>
      <c r="D71" s="1148"/>
      <c r="E71" s="1148"/>
      <c r="F71" s="1149"/>
      <c r="G71" s="459">
        <f>G70+G61</f>
        <v>401672350.81147349</v>
      </c>
      <c r="H71" s="447">
        <f>'Builder Estimate'!H648</f>
        <v>401672350.81147355</v>
      </c>
    </row>
    <row r="72" spans="1:11" ht="18" customHeight="1">
      <c r="A72" s="1036"/>
      <c r="B72" s="1144" t="s">
        <v>784</v>
      </c>
      <c r="C72" s="1144"/>
      <c r="D72" s="1144"/>
      <c r="E72" s="1144"/>
      <c r="F72" s="1037">
        <v>0.03</v>
      </c>
      <c r="G72" s="1038">
        <f>G71*F72</f>
        <v>12050170.524344204</v>
      </c>
      <c r="H72" s="355">
        <f>H71-G71</f>
        <v>0</v>
      </c>
    </row>
    <row r="73" spans="1:11" ht="18" customHeight="1">
      <c r="A73" s="1036"/>
      <c r="B73" s="1144" t="s">
        <v>785</v>
      </c>
      <c r="C73" s="1144"/>
      <c r="D73" s="1144"/>
      <c r="E73" s="1144"/>
      <c r="F73" s="1037">
        <v>0.05</v>
      </c>
      <c r="G73" s="1038">
        <f>(G72+G71)*F73</f>
        <v>20686126.066790886</v>
      </c>
    </row>
    <row r="74" spans="1:11" ht="18" customHeight="1">
      <c r="A74" s="1036"/>
      <c r="B74" s="1145" t="s">
        <v>787</v>
      </c>
      <c r="C74" s="1145"/>
      <c r="D74" s="1145"/>
      <c r="E74" s="1145"/>
      <c r="F74" s="1145"/>
      <c r="G74" s="1100">
        <f>SUM(G71:G73)</f>
        <v>434408647.40260857</v>
      </c>
      <c r="H74" s="355">
        <f>'Bill of Quantity'!G85</f>
        <v>434408647.40260857</v>
      </c>
    </row>
    <row r="75" spans="1:11" ht="18" customHeight="1">
      <c r="I75" s="448"/>
    </row>
    <row r="76" spans="1:11" ht="18" customHeight="1"/>
    <row r="77" spans="1:11" ht="18" customHeight="1"/>
    <row r="78" spans="1:11" ht="18" customHeight="1">
      <c r="K78" s="355"/>
    </row>
    <row r="79" spans="1:11" ht="18" customHeight="1"/>
    <row r="80" spans="1:11" ht="18" customHeight="1"/>
    <row r="81" spans="1:11" ht="18" customHeight="1"/>
    <row r="82" spans="1:11" ht="18" customHeight="1"/>
    <row r="83" spans="1:11" ht="18" customHeight="1"/>
    <row r="84" spans="1:11" ht="18" customHeight="1">
      <c r="A84" s="461"/>
      <c r="B84" s="462"/>
      <c r="C84" s="463"/>
      <c r="D84" s="461"/>
      <c r="E84" s="439"/>
      <c r="F84" s="461"/>
      <c r="G84" s="439"/>
      <c r="H84" s="439"/>
    </row>
    <row r="85" spans="1:11" ht="18" customHeight="1">
      <c r="A85" s="461"/>
      <c r="B85" s="462"/>
      <c r="C85" s="463"/>
      <c r="D85" s="461"/>
      <c r="E85" s="439"/>
      <c r="F85" s="461"/>
      <c r="G85" s="439"/>
      <c r="H85" s="439"/>
    </row>
    <row r="86" spans="1:11" ht="18" customHeight="1">
      <c r="A86" s="461"/>
      <c r="B86" s="462"/>
      <c r="C86" s="463"/>
      <c r="D86" s="461"/>
      <c r="E86" s="439"/>
      <c r="F86" s="461"/>
      <c r="G86" s="439"/>
      <c r="H86" s="439"/>
    </row>
    <row r="87" spans="1:11" ht="18" customHeight="1">
      <c r="A87" s="461"/>
      <c r="B87" s="462"/>
      <c r="C87" s="463"/>
      <c r="D87" s="461"/>
      <c r="E87" s="439"/>
      <c r="F87" s="461"/>
      <c r="G87" s="439"/>
      <c r="H87" s="439"/>
    </row>
    <row r="88" spans="1:11" ht="18" customHeight="1">
      <c r="A88" s="461"/>
      <c r="B88" s="462"/>
      <c r="C88" s="463"/>
      <c r="D88" s="461"/>
      <c r="E88" s="439"/>
      <c r="F88" s="461"/>
      <c r="G88" s="439"/>
      <c r="H88" s="439"/>
    </row>
    <row r="89" spans="1:11" s="429" customFormat="1" ht="18" customHeight="1">
      <c r="A89" s="461"/>
      <c r="B89" s="462"/>
      <c r="C89" s="463"/>
      <c r="D89" s="461"/>
      <c r="E89" s="439"/>
      <c r="F89" s="461"/>
      <c r="G89" s="439"/>
      <c r="H89" s="439"/>
      <c r="J89" s="344"/>
      <c r="K89" s="344"/>
    </row>
    <row r="90" spans="1:11" s="429" customFormat="1" ht="18" customHeight="1">
      <c r="A90" s="461"/>
      <c r="B90" s="462"/>
      <c r="C90" s="463"/>
      <c r="D90" s="461"/>
      <c r="E90" s="439"/>
      <c r="F90" s="461"/>
      <c r="G90" s="439"/>
      <c r="H90" s="439"/>
      <c r="J90" s="344"/>
      <c r="K90" s="344"/>
    </row>
    <row r="91" spans="1:11" s="429" customFormat="1" ht="18" customHeight="1">
      <c r="A91" s="461"/>
      <c r="B91" s="462"/>
      <c r="C91" s="463"/>
      <c r="D91" s="461"/>
      <c r="E91" s="439"/>
      <c r="F91" s="461"/>
      <c r="G91" s="439"/>
      <c r="H91" s="439"/>
      <c r="J91" s="344"/>
      <c r="K91" s="344"/>
    </row>
    <row r="92" spans="1:11" s="429" customFormat="1" ht="18" customHeight="1">
      <c r="A92" s="461"/>
      <c r="B92" s="462"/>
      <c r="C92" s="463"/>
      <c r="D92" s="461"/>
      <c r="E92" s="439"/>
      <c r="F92" s="461"/>
      <c r="G92" s="439"/>
      <c r="H92" s="439"/>
      <c r="J92" s="344"/>
      <c r="K92" s="344"/>
    </row>
    <row r="93" spans="1:11" s="429" customFormat="1" ht="18" customHeight="1">
      <c r="A93" s="461"/>
      <c r="B93" s="462"/>
      <c r="C93" s="463"/>
      <c r="D93" s="461"/>
      <c r="E93" s="439"/>
      <c r="F93" s="461"/>
      <c r="G93" s="439"/>
      <c r="H93" s="439"/>
      <c r="J93" s="344"/>
      <c r="K93" s="344"/>
    </row>
    <row r="94" spans="1:11" s="429" customFormat="1" ht="18" customHeight="1">
      <c r="A94" s="461"/>
      <c r="B94" s="462"/>
      <c r="C94" s="463"/>
      <c r="D94" s="461"/>
      <c r="E94" s="439"/>
      <c r="F94" s="461"/>
      <c r="G94" s="439"/>
      <c r="H94" s="439"/>
      <c r="J94" s="344"/>
      <c r="K94" s="344"/>
    </row>
    <row r="95" spans="1:11" s="429" customFormat="1" ht="18" customHeight="1">
      <c r="A95" s="461"/>
      <c r="B95" s="462"/>
      <c r="C95" s="463"/>
      <c r="D95" s="461"/>
      <c r="E95" s="439"/>
      <c r="F95" s="461"/>
      <c r="G95" s="439"/>
      <c r="H95" s="439"/>
      <c r="J95" s="344"/>
      <c r="K95" s="344"/>
    </row>
    <row r="96" spans="1:11" s="429" customFormat="1" ht="18" customHeight="1">
      <c r="A96" s="461"/>
      <c r="B96" s="462"/>
      <c r="C96" s="463"/>
      <c r="D96" s="461"/>
      <c r="E96" s="439"/>
      <c r="F96" s="461"/>
      <c r="G96" s="439"/>
      <c r="H96" s="439"/>
      <c r="J96" s="344"/>
      <c r="K96" s="344"/>
    </row>
    <row r="97" spans="1:11" s="429" customFormat="1" ht="18" customHeight="1">
      <c r="A97" s="461"/>
      <c r="B97" s="462"/>
      <c r="C97" s="463"/>
      <c r="D97" s="461"/>
      <c r="E97" s="439"/>
      <c r="F97" s="461"/>
      <c r="G97" s="439"/>
      <c r="H97" s="439"/>
      <c r="J97" s="344"/>
      <c r="K97" s="344"/>
    </row>
    <row r="98" spans="1:11" s="429" customFormat="1" ht="18" customHeight="1">
      <c r="A98" s="461"/>
      <c r="B98" s="462"/>
      <c r="C98" s="463"/>
      <c r="D98" s="461"/>
      <c r="E98" s="439"/>
      <c r="F98" s="461"/>
      <c r="G98" s="439"/>
      <c r="H98" s="439"/>
      <c r="J98" s="344"/>
      <c r="K98" s="344"/>
    </row>
    <row r="99" spans="1:11" s="429" customFormat="1" ht="18" customHeight="1">
      <c r="A99" s="461"/>
      <c r="B99" s="462"/>
      <c r="C99" s="463"/>
      <c r="D99" s="461"/>
      <c r="E99" s="439"/>
      <c r="F99" s="461"/>
      <c r="G99" s="439"/>
      <c r="H99" s="439"/>
      <c r="J99" s="344"/>
      <c r="K99" s="344"/>
    </row>
    <row r="100" spans="1:11" s="429" customFormat="1" ht="18" customHeight="1">
      <c r="A100" s="461"/>
      <c r="B100" s="462"/>
      <c r="C100" s="463"/>
      <c r="D100" s="461"/>
      <c r="E100" s="439"/>
      <c r="F100" s="461"/>
      <c r="G100" s="439"/>
      <c r="H100" s="439"/>
      <c r="J100" s="344"/>
      <c r="K100" s="344"/>
    </row>
    <row r="101" spans="1:11" s="429" customFormat="1" ht="18" customHeight="1">
      <c r="A101" s="461"/>
      <c r="B101" s="462"/>
      <c r="C101" s="463"/>
      <c r="D101" s="461"/>
      <c r="E101" s="439"/>
      <c r="F101" s="461"/>
      <c r="G101" s="439"/>
      <c r="H101" s="439"/>
      <c r="J101" s="344"/>
      <c r="K101" s="344"/>
    </row>
    <row r="102" spans="1:11" s="429" customFormat="1" ht="18" customHeight="1">
      <c r="A102" s="461"/>
      <c r="B102" s="462"/>
      <c r="C102" s="463"/>
      <c r="D102" s="461"/>
      <c r="E102" s="439"/>
      <c r="F102" s="461"/>
      <c r="G102" s="439"/>
      <c r="H102" s="439"/>
      <c r="J102" s="344"/>
      <c r="K102" s="344"/>
    </row>
    <row r="103" spans="1:11" s="429" customFormat="1" ht="18" customHeight="1">
      <c r="A103" s="461"/>
      <c r="B103" s="462"/>
      <c r="C103" s="463"/>
      <c r="D103" s="461"/>
      <c r="E103" s="439"/>
      <c r="F103" s="461"/>
      <c r="G103" s="439"/>
      <c r="H103" s="439"/>
      <c r="J103" s="344"/>
      <c r="K103" s="344"/>
    </row>
    <row r="104" spans="1:11" s="429" customFormat="1" ht="18" customHeight="1">
      <c r="A104" s="461"/>
      <c r="B104" s="462"/>
      <c r="C104" s="463"/>
      <c r="D104" s="461"/>
      <c r="E104" s="439"/>
      <c r="F104" s="461"/>
      <c r="G104" s="439"/>
      <c r="H104" s="439"/>
      <c r="J104" s="344"/>
      <c r="K104" s="344"/>
    </row>
    <row r="105" spans="1:11" s="429" customFormat="1" ht="18" customHeight="1">
      <c r="A105" s="461"/>
      <c r="B105" s="462"/>
      <c r="C105" s="463"/>
      <c r="D105" s="461"/>
      <c r="E105" s="439"/>
      <c r="F105" s="461"/>
      <c r="G105" s="439"/>
      <c r="H105" s="439"/>
      <c r="J105" s="344"/>
      <c r="K105" s="344"/>
    </row>
    <row r="106" spans="1:11" s="429" customFormat="1" ht="18" customHeight="1">
      <c r="A106" s="461"/>
      <c r="B106" s="462"/>
      <c r="C106" s="463"/>
      <c r="D106" s="461"/>
      <c r="E106" s="439"/>
      <c r="F106" s="461"/>
      <c r="G106" s="439"/>
      <c r="H106" s="439"/>
      <c r="J106" s="344"/>
      <c r="K106" s="344"/>
    </row>
    <row r="107" spans="1:11" s="429" customFormat="1" ht="18" customHeight="1">
      <c r="A107" s="461"/>
      <c r="B107" s="462"/>
      <c r="C107" s="463"/>
      <c r="D107" s="461"/>
      <c r="E107" s="439"/>
      <c r="F107" s="461"/>
      <c r="G107" s="439"/>
      <c r="H107" s="439"/>
      <c r="J107" s="344"/>
      <c r="K107" s="344"/>
    </row>
    <row r="108" spans="1:11" s="429" customFormat="1" ht="18" customHeight="1">
      <c r="A108" s="461"/>
      <c r="B108" s="462"/>
      <c r="C108" s="463"/>
      <c r="D108" s="461"/>
      <c r="E108" s="439"/>
      <c r="F108" s="461"/>
      <c r="G108" s="439"/>
      <c r="H108" s="439"/>
      <c r="J108" s="344"/>
      <c r="K108" s="344"/>
    </row>
    <row r="109" spans="1:11" s="429" customFormat="1" ht="18" customHeight="1">
      <c r="A109" s="461"/>
      <c r="B109" s="462"/>
      <c r="C109" s="463"/>
      <c r="D109" s="461"/>
      <c r="E109" s="439"/>
      <c r="F109" s="461"/>
      <c r="G109" s="439"/>
      <c r="H109" s="439"/>
      <c r="J109" s="344"/>
      <c r="K109" s="344"/>
    </row>
    <row r="110" spans="1:11" s="429" customFormat="1" ht="18" customHeight="1">
      <c r="A110" s="461"/>
      <c r="B110" s="462"/>
      <c r="C110" s="463"/>
      <c r="D110" s="461"/>
      <c r="E110" s="439"/>
      <c r="F110" s="461"/>
      <c r="G110" s="439"/>
      <c r="H110" s="439"/>
      <c r="J110" s="344"/>
      <c r="K110" s="344"/>
    </row>
    <row r="111" spans="1:11" s="429" customFormat="1" ht="18" customHeight="1">
      <c r="A111" s="461"/>
      <c r="B111" s="462"/>
      <c r="C111" s="463"/>
      <c r="D111" s="461"/>
      <c r="E111" s="439"/>
      <c r="F111" s="461"/>
      <c r="G111" s="439"/>
      <c r="H111" s="439"/>
      <c r="J111" s="344"/>
      <c r="K111" s="344"/>
    </row>
    <row r="112" spans="1:11" s="429" customFormat="1" ht="18" customHeight="1">
      <c r="A112" s="461"/>
      <c r="B112" s="462"/>
      <c r="C112" s="463"/>
      <c r="D112" s="461"/>
      <c r="E112" s="439"/>
      <c r="F112" s="461"/>
      <c r="G112" s="439"/>
      <c r="H112" s="439"/>
      <c r="J112" s="344"/>
      <c r="K112" s="344"/>
    </row>
    <row r="113" spans="1:11" s="429" customFormat="1" ht="18" customHeight="1">
      <c r="A113" s="461"/>
      <c r="B113" s="462"/>
      <c r="C113" s="463"/>
      <c r="D113" s="461"/>
      <c r="E113" s="439"/>
      <c r="F113" s="461"/>
      <c r="G113" s="439"/>
      <c r="H113" s="439"/>
      <c r="J113" s="344"/>
      <c r="K113" s="344"/>
    </row>
    <row r="114" spans="1:11" s="429" customFormat="1" ht="18" customHeight="1">
      <c r="A114" s="461"/>
      <c r="B114" s="462"/>
      <c r="C114" s="463"/>
      <c r="D114" s="461"/>
      <c r="E114" s="439"/>
      <c r="F114" s="461"/>
      <c r="G114" s="439"/>
      <c r="H114" s="439"/>
      <c r="J114" s="344"/>
      <c r="K114" s="344"/>
    </row>
    <row r="115" spans="1:11" s="429" customFormat="1" ht="18" customHeight="1">
      <c r="A115" s="461"/>
      <c r="B115" s="462"/>
      <c r="C115" s="463"/>
      <c r="D115" s="461"/>
      <c r="E115" s="439"/>
      <c r="F115" s="461"/>
      <c r="G115" s="439"/>
      <c r="H115" s="439"/>
      <c r="J115" s="344"/>
      <c r="K115" s="344"/>
    </row>
    <row r="116" spans="1:11" s="429" customFormat="1" ht="18" customHeight="1">
      <c r="A116" s="461"/>
      <c r="B116" s="462"/>
      <c r="C116" s="463"/>
      <c r="D116" s="461"/>
      <c r="E116" s="439"/>
      <c r="F116" s="461"/>
      <c r="G116" s="439"/>
      <c r="H116" s="439"/>
      <c r="J116" s="344"/>
      <c r="K116" s="344"/>
    </row>
    <row r="117" spans="1:11" s="429" customFormat="1" ht="18" customHeight="1">
      <c r="A117" s="461"/>
      <c r="B117" s="462"/>
      <c r="C117" s="463"/>
      <c r="D117" s="461"/>
      <c r="E117" s="439"/>
      <c r="F117" s="461"/>
      <c r="G117" s="439"/>
      <c r="H117" s="439"/>
      <c r="J117" s="344"/>
      <c r="K117" s="344"/>
    </row>
    <row r="118" spans="1:11" s="429" customFormat="1" ht="18" customHeight="1">
      <c r="A118" s="461"/>
      <c r="B118" s="462"/>
      <c r="C118" s="463"/>
      <c r="D118" s="461"/>
      <c r="E118" s="439"/>
      <c r="F118" s="461"/>
      <c r="G118" s="439"/>
      <c r="H118" s="439"/>
      <c r="J118" s="344"/>
      <c r="K118" s="344"/>
    </row>
    <row r="119" spans="1:11" s="429" customFormat="1" ht="18" customHeight="1">
      <c r="A119" s="461"/>
      <c r="B119" s="462"/>
      <c r="C119" s="463"/>
      <c r="D119" s="461"/>
      <c r="E119" s="439"/>
      <c r="F119" s="461"/>
      <c r="G119" s="439"/>
      <c r="H119" s="439"/>
      <c r="J119" s="344"/>
      <c r="K119" s="344"/>
    </row>
    <row r="120" spans="1:11" s="429" customFormat="1" ht="18" customHeight="1">
      <c r="A120" s="461"/>
      <c r="B120" s="462"/>
      <c r="C120" s="463"/>
      <c r="D120" s="461"/>
      <c r="E120" s="439"/>
      <c r="F120" s="461"/>
      <c r="G120" s="439"/>
      <c r="H120" s="439"/>
      <c r="J120" s="344"/>
      <c r="K120" s="344"/>
    </row>
    <row r="121" spans="1:11" s="429" customFormat="1" ht="18" customHeight="1">
      <c r="A121" s="461"/>
      <c r="B121" s="462"/>
      <c r="C121" s="463"/>
      <c r="D121" s="461"/>
      <c r="E121" s="439"/>
      <c r="F121" s="461"/>
      <c r="G121" s="439"/>
      <c r="H121" s="439"/>
      <c r="J121" s="344"/>
      <c r="K121" s="344"/>
    </row>
    <row r="122" spans="1:11" s="429" customFormat="1" ht="18" customHeight="1">
      <c r="A122" s="461"/>
      <c r="B122" s="462"/>
      <c r="C122" s="463"/>
      <c r="D122" s="461"/>
      <c r="E122" s="439"/>
      <c r="F122" s="461"/>
      <c r="G122" s="439"/>
      <c r="H122" s="439"/>
      <c r="J122" s="344"/>
      <c r="K122" s="344"/>
    </row>
    <row r="123" spans="1:11" s="429" customFormat="1" ht="18" customHeight="1">
      <c r="A123" s="461"/>
      <c r="B123" s="462"/>
      <c r="C123" s="463"/>
      <c r="D123" s="461"/>
      <c r="E123" s="439"/>
      <c r="F123" s="461"/>
      <c r="G123" s="439"/>
      <c r="H123" s="439"/>
      <c r="J123" s="344"/>
      <c r="K123" s="344"/>
    </row>
    <row r="124" spans="1:11" s="429" customFormat="1" ht="18" customHeight="1">
      <c r="A124" s="461"/>
      <c r="B124" s="462"/>
      <c r="C124" s="463"/>
      <c r="D124" s="461"/>
      <c r="E124" s="439"/>
      <c r="F124" s="461"/>
      <c r="G124" s="439"/>
      <c r="H124" s="439"/>
      <c r="J124" s="344"/>
      <c r="K124" s="344"/>
    </row>
    <row r="125" spans="1:11" s="429" customFormat="1" ht="18" customHeight="1">
      <c r="A125" s="461"/>
      <c r="B125" s="462"/>
      <c r="C125" s="463"/>
      <c r="D125" s="461"/>
      <c r="E125" s="439"/>
      <c r="F125" s="461"/>
      <c r="G125" s="439"/>
      <c r="H125" s="439"/>
      <c r="J125" s="344"/>
      <c r="K125" s="344"/>
    </row>
    <row r="126" spans="1:11" s="429" customFormat="1" ht="18" customHeight="1">
      <c r="A126" s="461"/>
      <c r="B126" s="462"/>
      <c r="C126" s="463"/>
      <c r="D126" s="461"/>
      <c r="E126" s="439"/>
      <c r="F126" s="461"/>
      <c r="G126" s="439"/>
      <c r="H126" s="439"/>
      <c r="J126" s="344"/>
      <c r="K126" s="344"/>
    </row>
    <row r="127" spans="1:11" s="429" customFormat="1" ht="18" customHeight="1">
      <c r="A127" s="461"/>
      <c r="B127" s="462"/>
      <c r="C127" s="463"/>
      <c r="D127" s="461"/>
      <c r="E127" s="439"/>
      <c r="F127" s="461"/>
      <c r="G127" s="439"/>
      <c r="H127" s="439"/>
      <c r="J127" s="344"/>
      <c r="K127" s="344"/>
    </row>
    <row r="128" spans="1:11" s="429" customFormat="1" ht="18" customHeight="1">
      <c r="A128" s="461"/>
      <c r="B128" s="462"/>
      <c r="C128" s="463"/>
      <c r="D128" s="461"/>
      <c r="E128" s="439"/>
      <c r="F128" s="461"/>
      <c r="G128" s="439"/>
      <c r="H128" s="439"/>
      <c r="J128" s="344"/>
      <c r="K128" s="344"/>
    </row>
    <row r="129" spans="1:11" s="429" customFormat="1" ht="18" customHeight="1">
      <c r="A129" s="461"/>
      <c r="B129" s="462"/>
      <c r="C129" s="463"/>
      <c r="D129" s="461"/>
      <c r="E129" s="439"/>
      <c r="F129" s="461"/>
      <c r="G129" s="439"/>
      <c r="H129" s="439"/>
      <c r="J129" s="344"/>
      <c r="K129" s="344"/>
    </row>
    <row r="130" spans="1:11" s="429" customFormat="1" ht="18" customHeight="1">
      <c r="A130" s="461"/>
      <c r="B130" s="462"/>
      <c r="C130" s="463"/>
      <c r="D130" s="461"/>
      <c r="E130" s="439"/>
      <c r="F130" s="461"/>
      <c r="G130" s="439"/>
      <c r="H130" s="439"/>
      <c r="J130" s="344"/>
      <c r="K130" s="344"/>
    </row>
    <row r="131" spans="1:11" s="429" customFormat="1" ht="18" customHeight="1">
      <c r="A131" s="461"/>
      <c r="B131" s="462"/>
      <c r="C131" s="463"/>
      <c r="D131" s="461"/>
      <c r="E131" s="439"/>
      <c r="F131" s="461"/>
      <c r="G131" s="439"/>
      <c r="H131" s="439"/>
      <c r="J131" s="344"/>
      <c r="K131" s="344"/>
    </row>
    <row r="132" spans="1:11" s="429" customFormat="1" ht="18" customHeight="1">
      <c r="A132" s="461"/>
      <c r="B132" s="462"/>
      <c r="C132" s="463"/>
      <c r="D132" s="461"/>
      <c r="E132" s="439"/>
      <c r="F132" s="461"/>
      <c r="G132" s="439"/>
      <c r="H132" s="439"/>
      <c r="J132" s="344"/>
      <c r="K132" s="344"/>
    </row>
    <row r="133" spans="1:11" s="429" customFormat="1" ht="18" customHeight="1">
      <c r="A133" s="461"/>
      <c r="B133" s="462"/>
      <c r="C133" s="463"/>
      <c r="D133" s="461"/>
      <c r="E133" s="439"/>
      <c r="F133" s="461"/>
      <c r="G133" s="439"/>
      <c r="H133" s="439"/>
      <c r="J133" s="344"/>
      <c r="K133" s="344"/>
    </row>
    <row r="134" spans="1:11" s="429" customFormat="1" ht="18" customHeight="1">
      <c r="A134" s="461"/>
      <c r="B134" s="462"/>
      <c r="C134" s="463"/>
      <c r="D134" s="461"/>
      <c r="E134" s="439"/>
      <c r="F134" s="461"/>
      <c r="G134" s="439"/>
      <c r="H134" s="439"/>
      <c r="J134" s="344"/>
      <c r="K134" s="344"/>
    </row>
    <row r="135" spans="1:11" s="429" customFormat="1" ht="18" customHeight="1">
      <c r="A135" s="461"/>
      <c r="B135" s="462"/>
      <c r="C135" s="463"/>
      <c r="D135" s="461"/>
      <c r="E135" s="439"/>
      <c r="F135" s="461"/>
      <c r="G135" s="439"/>
      <c r="H135" s="439"/>
      <c r="J135" s="344"/>
      <c r="K135" s="344"/>
    </row>
    <row r="136" spans="1:11" s="429" customFormat="1" ht="18" customHeight="1">
      <c r="A136" s="461"/>
      <c r="B136" s="462"/>
      <c r="C136" s="463"/>
      <c r="D136" s="461"/>
      <c r="E136" s="439"/>
      <c r="F136" s="461"/>
      <c r="G136" s="439"/>
      <c r="H136" s="439"/>
      <c r="J136" s="344"/>
      <c r="K136" s="344"/>
    </row>
    <row r="137" spans="1:11" s="429" customFormat="1" ht="18" customHeight="1">
      <c r="A137" s="461"/>
      <c r="B137" s="462"/>
      <c r="C137" s="463"/>
      <c r="D137" s="461"/>
      <c r="E137" s="439"/>
      <c r="F137" s="461"/>
      <c r="G137" s="439"/>
      <c r="H137" s="439"/>
      <c r="J137" s="344"/>
      <c r="K137" s="344"/>
    </row>
    <row r="138" spans="1:11" s="429" customFormat="1" ht="18" customHeight="1">
      <c r="A138" s="461"/>
      <c r="B138" s="462"/>
      <c r="C138" s="463"/>
      <c r="D138" s="461"/>
      <c r="E138" s="439"/>
      <c r="F138" s="461"/>
      <c r="G138" s="439"/>
      <c r="H138" s="439"/>
      <c r="J138" s="344"/>
      <c r="K138" s="344"/>
    </row>
    <row r="139" spans="1:11" s="429" customFormat="1" ht="18" customHeight="1">
      <c r="A139" s="461"/>
      <c r="B139" s="462"/>
      <c r="C139" s="463"/>
      <c r="D139" s="461"/>
      <c r="E139" s="439"/>
      <c r="F139" s="461"/>
      <c r="G139" s="439"/>
      <c r="H139" s="439"/>
      <c r="J139" s="344"/>
      <c r="K139" s="344"/>
    </row>
    <row r="140" spans="1:11" s="429" customFormat="1" ht="18" customHeight="1">
      <c r="A140" s="461"/>
      <c r="B140" s="462"/>
      <c r="C140" s="463"/>
      <c r="D140" s="461"/>
      <c r="E140" s="439"/>
      <c r="F140" s="461"/>
      <c r="G140" s="439"/>
      <c r="H140" s="439"/>
      <c r="J140" s="344"/>
      <c r="K140" s="344"/>
    </row>
    <row r="141" spans="1:11" s="429" customFormat="1" ht="18" customHeight="1">
      <c r="A141" s="461"/>
      <c r="B141" s="462"/>
      <c r="C141" s="463"/>
      <c r="D141" s="461"/>
      <c r="E141" s="439"/>
      <c r="F141" s="461"/>
      <c r="G141" s="439"/>
      <c r="H141" s="439"/>
      <c r="J141" s="344"/>
      <c r="K141" s="344"/>
    </row>
    <row r="142" spans="1:11" s="429" customFormat="1" ht="18" customHeight="1">
      <c r="A142" s="461"/>
      <c r="B142" s="462"/>
      <c r="C142" s="463"/>
      <c r="D142" s="461"/>
      <c r="E142" s="439"/>
      <c r="F142" s="461"/>
      <c r="G142" s="439"/>
      <c r="H142" s="439"/>
      <c r="J142" s="344"/>
      <c r="K142" s="344"/>
    </row>
    <row r="143" spans="1:11" s="429" customFormat="1" ht="18" customHeight="1">
      <c r="A143" s="461"/>
      <c r="B143" s="462"/>
      <c r="C143" s="463"/>
      <c r="D143" s="461"/>
      <c r="E143" s="439"/>
      <c r="F143" s="461"/>
      <c r="G143" s="439"/>
      <c r="H143" s="439"/>
      <c r="J143" s="344"/>
      <c r="K143" s="344"/>
    </row>
    <row r="144" spans="1:11" s="429" customFormat="1" ht="18" customHeight="1">
      <c r="A144" s="461"/>
      <c r="B144" s="462"/>
      <c r="C144" s="463"/>
      <c r="D144" s="461"/>
      <c r="E144" s="439"/>
      <c r="F144" s="461"/>
      <c r="G144" s="439"/>
      <c r="H144" s="439"/>
      <c r="J144" s="344"/>
      <c r="K144" s="344"/>
    </row>
    <row r="145" spans="1:11" s="429" customFormat="1" ht="18" customHeight="1">
      <c r="A145" s="461"/>
      <c r="B145" s="462"/>
      <c r="C145" s="463"/>
      <c r="D145" s="461"/>
      <c r="E145" s="439"/>
      <c r="F145" s="461"/>
      <c r="G145" s="439"/>
      <c r="H145" s="439"/>
      <c r="J145" s="344"/>
      <c r="K145" s="344"/>
    </row>
    <row r="146" spans="1:11" s="429" customFormat="1" ht="18" customHeight="1">
      <c r="A146" s="461"/>
      <c r="B146" s="462"/>
      <c r="C146" s="463"/>
      <c r="D146" s="461"/>
      <c r="E146" s="439"/>
      <c r="F146" s="461"/>
      <c r="G146" s="439"/>
      <c r="H146" s="439"/>
      <c r="J146" s="344"/>
      <c r="K146" s="344"/>
    </row>
    <row r="147" spans="1:11" s="429" customFormat="1" ht="18" customHeight="1">
      <c r="A147" s="461"/>
      <c r="B147" s="462"/>
      <c r="C147" s="463"/>
      <c r="D147" s="461"/>
      <c r="E147" s="439"/>
      <c r="F147" s="461"/>
      <c r="G147" s="439"/>
      <c r="H147" s="439"/>
      <c r="J147" s="344"/>
      <c r="K147" s="344"/>
    </row>
    <row r="148" spans="1:11" s="429" customFormat="1" ht="18" customHeight="1">
      <c r="A148" s="461"/>
      <c r="B148" s="462"/>
      <c r="C148" s="463"/>
      <c r="D148" s="461"/>
      <c r="E148" s="439"/>
      <c r="F148" s="461"/>
      <c r="G148" s="439"/>
      <c r="H148" s="439"/>
      <c r="J148" s="344"/>
      <c r="K148" s="344"/>
    </row>
    <row r="149" spans="1:11" s="429" customFormat="1" ht="18" customHeight="1">
      <c r="A149" s="461"/>
      <c r="B149" s="462"/>
      <c r="C149" s="463"/>
      <c r="D149" s="461"/>
      <c r="E149" s="439"/>
      <c r="F149" s="461"/>
      <c r="G149" s="439"/>
      <c r="H149" s="439"/>
      <c r="J149" s="344"/>
      <c r="K149" s="344"/>
    </row>
    <row r="150" spans="1:11" s="429" customFormat="1" ht="18" customHeight="1">
      <c r="A150" s="461"/>
      <c r="B150" s="462"/>
      <c r="C150" s="463"/>
      <c r="D150" s="461"/>
      <c r="E150" s="439"/>
      <c r="F150" s="461"/>
      <c r="G150" s="439"/>
      <c r="H150" s="439"/>
      <c r="J150" s="344"/>
      <c r="K150" s="344"/>
    </row>
    <row r="151" spans="1:11" s="429" customFormat="1" ht="18" customHeight="1">
      <c r="A151" s="461"/>
      <c r="B151" s="462"/>
      <c r="C151" s="463"/>
      <c r="D151" s="461"/>
      <c r="E151" s="439"/>
      <c r="F151" s="461"/>
      <c r="G151" s="439"/>
      <c r="H151" s="439"/>
      <c r="J151" s="344"/>
      <c r="K151" s="344"/>
    </row>
    <row r="152" spans="1:11" s="429" customFormat="1" ht="18" customHeight="1">
      <c r="A152" s="461"/>
      <c r="B152" s="462"/>
      <c r="C152" s="463"/>
      <c r="D152" s="461"/>
      <c r="E152" s="439"/>
      <c r="F152" s="461"/>
      <c r="G152" s="439"/>
      <c r="H152" s="439"/>
      <c r="J152" s="344"/>
      <c r="K152" s="344"/>
    </row>
    <row r="153" spans="1:11" s="429" customFormat="1" ht="18" customHeight="1">
      <c r="A153" s="461"/>
      <c r="B153" s="462"/>
      <c r="C153" s="463"/>
      <c r="D153" s="461"/>
      <c r="E153" s="439"/>
      <c r="F153" s="461"/>
      <c r="G153" s="439"/>
      <c r="H153" s="439"/>
      <c r="J153" s="344"/>
      <c r="K153" s="344"/>
    </row>
    <row r="154" spans="1:11" s="429" customFormat="1" ht="18" customHeight="1">
      <c r="A154" s="461"/>
      <c r="B154" s="462"/>
      <c r="C154" s="463"/>
      <c r="D154" s="461"/>
      <c r="E154" s="439"/>
      <c r="F154" s="461"/>
      <c r="G154" s="439"/>
      <c r="H154" s="439"/>
      <c r="J154" s="344"/>
      <c r="K154" s="344"/>
    </row>
    <row r="155" spans="1:11" s="429" customFormat="1" ht="18" customHeight="1">
      <c r="A155" s="461"/>
      <c r="B155" s="462"/>
      <c r="C155" s="463"/>
      <c r="D155" s="461"/>
      <c r="E155" s="439"/>
      <c r="F155" s="461"/>
      <c r="G155" s="439"/>
      <c r="H155" s="439"/>
      <c r="J155" s="344"/>
      <c r="K155" s="344"/>
    </row>
    <row r="156" spans="1:11" s="429" customFormat="1" ht="18" customHeight="1">
      <c r="A156" s="461"/>
      <c r="B156" s="462"/>
      <c r="C156" s="463"/>
      <c r="D156" s="461"/>
      <c r="E156" s="439"/>
      <c r="F156" s="461"/>
      <c r="G156" s="439"/>
      <c r="H156" s="439"/>
      <c r="J156" s="344"/>
      <c r="K156" s="344"/>
    </row>
    <row r="157" spans="1:11" s="429" customFormat="1" ht="18" customHeight="1">
      <c r="A157" s="461"/>
      <c r="B157" s="462"/>
      <c r="C157" s="463"/>
      <c r="D157" s="461"/>
      <c r="E157" s="439"/>
      <c r="F157" s="461"/>
      <c r="G157" s="439"/>
      <c r="H157" s="439"/>
      <c r="J157" s="344"/>
      <c r="K157" s="344"/>
    </row>
    <row r="158" spans="1:11" s="429" customFormat="1" ht="18" customHeight="1">
      <c r="A158" s="461"/>
      <c r="B158" s="462"/>
      <c r="C158" s="463"/>
      <c r="D158" s="461"/>
      <c r="E158" s="439"/>
      <c r="F158" s="461"/>
      <c r="G158" s="439"/>
      <c r="H158" s="439"/>
      <c r="J158" s="344"/>
      <c r="K158" s="344"/>
    </row>
    <row r="159" spans="1:11" s="429" customFormat="1" ht="18" customHeight="1">
      <c r="A159" s="461"/>
      <c r="B159" s="462"/>
      <c r="C159" s="463"/>
      <c r="D159" s="461"/>
      <c r="E159" s="439"/>
      <c r="F159" s="461"/>
      <c r="G159" s="439"/>
      <c r="H159" s="439"/>
      <c r="J159" s="344"/>
      <c r="K159" s="344"/>
    </row>
    <row r="160" spans="1:11" s="429" customFormat="1" ht="18" customHeight="1">
      <c r="A160" s="461"/>
      <c r="B160" s="462"/>
      <c r="C160" s="463"/>
      <c r="D160" s="461"/>
      <c r="E160" s="439"/>
      <c r="F160" s="461"/>
      <c r="G160" s="439"/>
      <c r="H160" s="439"/>
      <c r="J160" s="344"/>
      <c r="K160" s="344"/>
    </row>
    <row r="161" spans="1:11" s="429" customFormat="1" ht="18" customHeight="1">
      <c r="A161" s="461"/>
      <c r="B161" s="462"/>
      <c r="C161" s="463"/>
      <c r="D161" s="461"/>
      <c r="E161" s="439"/>
      <c r="F161" s="461"/>
      <c r="G161" s="439"/>
      <c r="H161" s="439"/>
      <c r="J161" s="344"/>
      <c r="K161" s="344"/>
    </row>
    <row r="162" spans="1:11" s="429" customFormat="1" ht="18" customHeight="1">
      <c r="A162" s="461"/>
      <c r="B162" s="462"/>
      <c r="C162" s="463"/>
      <c r="D162" s="461"/>
      <c r="E162" s="439"/>
      <c r="F162" s="461"/>
      <c r="G162" s="439"/>
      <c r="H162" s="439"/>
      <c r="J162" s="344"/>
      <c r="K162" s="344"/>
    </row>
    <row r="163" spans="1:11" s="429" customFormat="1" ht="18" customHeight="1">
      <c r="A163" s="461"/>
      <c r="B163" s="462"/>
      <c r="C163" s="463"/>
      <c r="D163" s="461"/>
      <c r="E163" s="439"/>
      <c r="F163" s="461"/>
      <c r="G163" s="439"/>
      <c r="H163" s="439"/>
      <c r="J163" s="344"/>
      <c r="K163" s="344"/>
    </row>
    <row r="164" spans="1:11" s="429" customFormat="1" ht="18" customHeight="1">
      <c r="A164" s="461"/>
      <c r="B164" s="462"/>
      <c r="C164" s="463"/>
      <c r="D164" s="461"/>
      <c r="E164" s="439"/>
      <c r="F164" s="461"/>
      <c r="G164" s="439"/>
      <c r="H164" s="439"/>
      <c r="J164" s="344"/>
      <c r="K164" s="344"/>
    </row>
    <row r="165" spans="1:11" s="429" customFormat="1" ht="18" customHeight="1">
      <c r="A165" s="461"/>
      <c r="B165" s="462"/>
      <c r="C165" s="463"/>
      <c r="D165" s="461"/>
      <c r="E165" s="439"/>
      <c r="F165" s="461"/>
      <c r="G165" s="439"/>
      <c r="H165" s="439"/>
      <c r="J165" s="344"/>
      <c r="K165" s="344"/>
    </row>
    <row r="166" spans="1:11" s="429" customFormat="1" ht="18" customHeight="1">
      <c r="A166" s="461"/>
      <c r="B166" s="462"/>
      <c r="C166" s="463"/>
      <c r="D166" s="461"/>
      <c r="E166" s="439"/>
      <c r="F166" s="461"/>
      <c r="G166" s="439"/>
      <c r="H166" s="439"/>
      <c r="J166" s="344"/>
      <c r="K166" s="344"/>
    </row>
    <row r="167" spans="1:11" s="429" customFormat="1" ht="18" customHeight="1">
      <c r="A167" s="461"/>
      <c r="B167" s="462"/>
      <c r="C167" s="463"/>
      <c r="D167" s="461"/>
      <c r="E167" s="439"/>
      <c r="F167" s="461"/>
      <c r="G167" s="439"/>
      <c r="H167" s="439"/>
      <c r="J167" s="344"/>
      <c r="K167" s="344"/>
    </row>
    <row r="168" spans="1:11" s="429" customFormat="1" ht="18" customHeight="1">
      <c r="A168" s="461"/>
      <c r="B168" s="462"/>
      <c r="C168" s="463"/>
      <c r="D168" s="461"/>
      <c r="E168" s="439"/>
      <c r="F168" s="461"/>
      <c r="G168" s="439"/>
      <c r="H168" s="439"/>
      <c r="J168" s="344"/>
      <c r="K168" s="344"/>
    </row>
    <row r="169" spans="1:11" s="429" customFormat="1" ht="18" customHeight="1">
      <c r="A169" s="461"/>
      <c r="B169" s="462"/>
      <c r="C169" s="463"/>
      <c r="D169" s="461"/>
      <c r="E169" s="439"/>
      <c r="F169" s="461"/>
      <c r="G169" s="439"/>
      <c r="H169" s="439"/>
      <c r="J169" s="344"/>
      <c r="K169" s="344"/>
    </row>
    <row r="170" spans="1:11" s="429" customFormat="1" ht="18" customHeight="1">
      <c r="A170" s="461"/>
      <c r="B170" s="462"/>
      <c r="C170" s="463"/>
      <c r="D170" s="461"/>
      <c r="E170" s="439"/>
      <c r="F170" s="461"/>
      <c r="G170" s="439"/>
      <c r="H170" s="439"/>
      <c r="J170" s="344"/>
      <c r="K170" s="344"/>
    </row>
    <row r="171" spans="1:11" s="429" customFormat="1" ht="18" customHeight="1">
      <c r="A171" s="461"/>
      <c r="B171" s="462"/>
      <c r="C171" s="463"/>
      <c r="D171" s="461"/>
      <c r="E171" s="439"/>
      <c r="F171" s="461"/>
      <c r="G171" s="439"/>
      <c r="H171" s="439"/>
      <c r="J171" s="344"/>
      <c r="K171" s="344"/>
    </row>
    <row r="172" spans="1:11" s="429" customFormat="1" ht="18" customHeight="1">
      <c r="A172" s="461"/>
      <c r="B172" s="462"/>
      <c r="C172" s="463"/>
      <c r="D172" s="461"/>
      <c r="E172" s="439"/>
      <c r="F172" s="461"/>
      <c r="G172" s="439"/>
      <c r="H172" s="439"/>
      <c r="J172" s="344"/>
      <c r="K172" s="344"/>
    </row>
    <row r="173" spans="1:11" s="429" customFormat="1" ht="18" customHeight="1">
      <c r="A173" s="461"/>
      <c r="B173" s="462"/>
      <c r="C173" s="463"/>
      <c r="D173" s="461"/>
      <c r="E173" s="439"/>
      <c r="F173" s="461"/>
      <c r="G173" s="439"/>
      <c r="H173" s="439"/>
      <c r="J173" s="344"/>
      <c r="K173" s="344"/>
    </row>
    <row r="174" spans="1:11" s="429" customFormat="1" ht="18" customHeight="1">
      <c r="A174" s="461"/>
      <c r="B174" s="462"/>
      <c r="C174" s="463"/>
      <c r="D174" s="461"/>
      <c r="E174" s="439"/>
      <c r="F174" s="461"/>
      <c r="G174" s="439"/>
      <c r="H174" s="439"/>
      <c r="J174" s="344"/>
      <c r="K174" s="344"/>
    </row>
    <row r="175" spans="1:11" s="429" customFormat="1" ht="18" customHeight="1">
      <c r="A175" s="461"/>
      <c r="B175" s="462"/>
      <c r="C175" s="463"/>
      <c r="D175" s="461"/>
      <c r="E175" s="439"/>
      <c r="F175" s="461"/>
      <c r="G175" s="439"/>
      <c r="H175" s="439"/>
      <c r="J175" s="344"/>
      <c r="K175" s="344"/>
    </row>
    <row r="176" spans="1:11" s="429" customFormat="1" ht="18" customHeight="1">
      <c r="A176" s="461"/>
      <c r="B176" s="462"/>
      <c r="C176" s="463"/>
      <c r="D176" s="461"/>
      <c r="E176" s="439"/>
      <c r="F176" s="461"/>
      <c r="G176" s="439"/>
      <c r="H176" s="439"/>
      <c r="J176" s="344"/>
      <c r="K176" s="344"/>
    </row>
    <row r="177" spans="1:11" s="429" customFormat="1" ht="18" customHeight="1">
      <c r="A177" s="461"/>
      <c r="B177" s="462"/>
      <c r="C177" s="463"/>
      <c r="D177" s="461"/>
      <c r="E177" s="439"/>
      <c r="F177" s="461"/>
      <c r="G177" s="439"/>
      <c r="H177" s="439"/>
      <c r="J177" s="344"/>
      <c r="K177" s="344"/>
    </row>
    <row r="178" spans="1:11" s="429" customFormat="1" ht="18" customHeight="1">
      <c r="A178" s="461"/>
      <c r="B178" s="462"/>
      <c r="C178" s="463"/>
      <c r="D178" s="461"/>
      <c r="E178" s="439"/>
      <c r="F178" s="461"/>
      <c r="G178" s="439"/>
      <c r="H178" s="439"/>
      <c r="J178" s="344"/>
      <c r="K178" s="344"/>
    </row>
    <row r="179" spans="1:11" s="429" customFormat="1" ht="18" customHeight="1">
      <c r="A179" s="461"/>
      <c r="B179" s="462"/>
      <c r="C179" s="463"/>
      <c r="D179" s="461"/>
      <c r="E179" s="439"/>
      <c r="F179" s="461"/>
      <c r="G179" s="439"/>
      <c r="H179" s="439"/>
      <c r="J179" s="344"/>
      <c r="K179" s="344"/>
    </row>
    <row r="180" spans="1:11" s="429" customFormat="1" ht="18" customHeight="1">
      <c r="A180" s="461"/>
      <c r="B180" s="462"/>
      <c r="C180" s="463"/>
      <c r="D180" s="461"/>
      <c r="E180" s="439"/>
      <c r="F180" s="461"/>
      <c r="G180" s="439"/>
      <c r="H180" s="439"/>
      <c r="J180" s="344"/>
      <c r="K180" s="344"/>
    </row>
    <row r="181" spans="1:11" s="429" customFormat="1" ht="18" customHeight="1">
      <c r="A181" s="461"/>
      <c r="B181" s="462"/>
      <c r="C181" s="463"/>
      <c r="D181" s="461"/>
      <c r="E181" s="439"/>
      <c r="F181" s="461"/>
      <c r="G181" s="439"/>
      <c r="H181" s="439"/>
      <c r="J181" s="344"/>
      <c r="K181" s="344"/>
    </row>
    <row r="182" spans="1:11" s="429" customFormat="1" ht="18" customHeight="1">
      <c r="A182" s="461"/>
      <c r="B182" s="462"/>
      <c r="C182" s="463"/>
      <c r="D182" s="461"/>
      <c r="E182" s="439"/>
      <c r="F182" s="461"/>
      <c r="G182" s="439"/>
      <c r="H182" s="439"/>
      <c r="J182" s="344"/>
      <c r="K182" s="344"/>
    </row>
    <row r="183" spans="1:11" s="429" customFormat="1" ht="18" customHeight="1">
      <c r="A183" s="461"/>
      <c r="B183" s="462"/>
      <c r="C183" s="463"/>
      <c r="D183" s="461"/>
      <c r="E183" s="439"/>
      <c r="F183" s="461"/>
      <c r="G183" s="439"/>
      <c r="H183" s="439"/>
      <c r="J183" s="344"/>
      <c r="K183" s="344"/>
    </row>
    <row r="184" spans="1:11" s="429" customFormat="1" ht="18" customHeight="1">
      <c r="A184" s="461"/>
      <c r="B184" s="462"/>
      <c r="C184" s="463"/>
      <c r="D184" s="461"/>
      <c r="E184" s="439"/>
      <c r="F184" s="461"/>
      <c r="G184" s="439"/>
      <c r="H184" s="439"/>
      <c r="J184" s="344"/>
      <c r="K184" s="344"/>
    </row>
    <row r="185" spans="1:11" s="429" customFormat="1" ht="18" customHeight="1">
      <c r="A185" s="461"/>
      <c r="B185" s="462"/>
      <c r="C185" s="463"/>
      <c r="D185" s="461"/>
      <c r="E185" s="439"/>
      <c r="F185" s="461"/>
      <c r="G185" s="439"/>
      <c r="H185" s="439"/>
      <c r="J185" s="344"/>
      <c r="K185" s="344"/>
    </row>
    <row r="186" spans="1:11" s="429" customFormat="1" ht="18" customHeight="1">
      <c r="A186" s="461"/>
      <c r="B186" s="462"/>
      <c r="C186" s="463"/>
      <c r="D186" s="461"/>
      <c r="E186" s="439"/>
      <c r="F186" s="461"/>
      <c r="G186" s="439"/>
      <c r="H186" s="439"/>
      <c r="J186" s="344"/>
      <c r="K186" s="344"/>
    </row>
    <row r="187" spans="1:11" s="429" customFormat="1" ht="18" customHeight="1">
      <c r="A187" s="461"/>
      <c r="B187" s="462"/>
      <c r="C187" s="463"/>
      <c r="D187" s="461"/>
      <c r="E187" s="439"/>
      <c r="F187" s="461"/>
      <c r="G187" s="439"/>
      <c r="H187" s="439"/>
      <c r="J187" s="344"/>
      <c r="K187" s="344"/>
    </row>
    <row r="188" spans="1:11" s="429" customFormat="1" ht="18" customHeight="1">
      <c r="A188" s="461"/>
      <c r="B188" s="462"/>
      <c r="C188" s="463"/>
      <c r="D188" s="461"/>
      <c r="E188" s="439"/>
      <c r="F188" s="461"/>
      <c r="G188" s="439"/>
      <c r="H188" s="439"/>
      <c r="J188" s="344"/>
      <c r="K188" s="344"/>
    </row>
    <row r="189" spans="1:11" s="429" customFormat="1" ht="18" customHeight="1">
      <c r="A189" s="461"/>
      <c r="B189" s="462"/>
      <c r="C189" s="463"/>
      <c r="D189" s="461"/>
      <c r="E189" s="439"/>
      <c r="F189" s="461"/>
      <c r="G189" s="439"/>
      <c r="H189" s="439"/>
      <c r="J189" s="344"/>
      <c r="K189" s="344"/>
    </row>
    <row r="190" spans="1:11" s="429" customFormat="1" ht="18" customHeight="1">
      <c r="A190" s="461"/>
      <c r="B190" s="462"/>
      <c r="C190" s="463"/>
      <c r="D190" s="461"/>
      <c r="E190" s="439"/>
      <c r="F190" s="461"/>
      <c r="G190" s="439"/>
      <c r="H190" s="439"/>
      <c r="J190" s="344"/>
      <c r="K190" s="344"/>
    </row>
    <row r="191" spans="1:11" s="429" customFormat="1" ht="18" customHeight="1">
      <c r="A191" s="461"/>
      <c r="B191" s="462"/>
      <c r="C191" s="463"/>
      <c r="D191" s="461"/>
      <c r="E191" s="439"/>
      <c r="F191" s="461"/>
      <c r="G191" s="439"/>
      <c r="H191" s="439"/>
      <c r="J191" s="344"/>
      <c r="K191" s="344"/>
    </row>
    <row r="192" spans="1:11" s="429" customFormat="1" ht="18" customHeight="1">
      <c r="A192" s="461"/>
      <c r="B192" s="462"/>
      <c r="C192" s="463"/>
      <c r="D192" s="461"/>
      <c r="E192" s="439"/>
      <c r="F192" s="461"/>
      <c r="G192" s="439"/>
      <c r="H192" s="439"/>
      <c r="J192" s="344"/>
      <c r="K192" s="344"/>
    </row>
    <row r="193" spans="1:11" s="429" customFormat="1" ht="18" customHeight="1">
      <c r="A193" s="461"/>
      <c r="B193" s="462"/>
      <c r="C193" s="463"/>
      <c r="D193" s="461"/>
      <c r="E193" s="439"/>
      <c r="F193" s="461"/>
      <c r="G193" s="439"/>
      <c r="H193" s="439"/>
      <c r="J193" s="344"/>
      <c r="K193" s="344"/>
    </row>
    <row r="194" spans="1:11" s="429" customFormat="1" ht="18" customHeight="1">
      <c r="A194" s="461"/>
      <c r="B194" s="462"/>
      <c r="C194" s="463"/>
      <c r="D194" s="461"/>
      <c r="E194" s="439"/>
      <c r="F194" s="461"/>
      <c r="G194" s="439"/>
      <c r="H194" s="439"/>
      <c r="J194" s="344"/>
      <c r="K194" s="344"/>
    </row>
    <row r="195" spans="1:11" s="429" customFormat="1" ht="18" customHeight="1">
      <c r="A195" s="461"/>
      <c r="B195" s="462"/>
      <c r="C195" s="463"/>
      <c r="D195" s="461"/>
      <c r="E195" s="439"/>
      <c r="F195" s="461"/>
      <c r="G195" s="439"/>
      <c r="H195" s="439"/>
      <c r="J195" s="344"/>
      <c r="K195" s="344"/>
    </row>
    <row r="196" spans="1:11" s="429" customFormat="1" ht="18" customHeight="1">
      <c r="A196" s="461"/>
      <c r="B196" s="462"/>
      <c r="C196" s="463"/>
      <c r="D196" s="461"/>
      <c r="E196" s="439"/>
      <c r="F196" s="461"/>
      <c r="G196" s="439"/>
      <c r="H196" s="439"/>
      <c r="J196" s="344"/>
      <c r="K196" s="344"/>
    </row>
    <row r="197" spans="1:11" s="429" customFormat="1" ht="18" customHeight="1">
      <c r="A197" s="461"/>
      <c r="B197" s="462"/>
      <c r="C197" s="463"/>
      <c r="D197" s="461"/>
      <c r="E197" s="439"/>
      <c r="F197" s="461"/>
      <c r="G197" s="439"/>
      <c r="H197" s="439"/>
      <c r="J197" s="344"/>
      <c r="K197" s="344"/>
    </row>
    <row r="198" spans="1:11" s="429" customFormat="1" ht="18" customHeight="1">
      <c r="A198" s="461"/>
      <c r="B198" s="462"/>
      <c r="C198" s="463"/>
      <c r="D198" s="461"/>
      <c r="E198" s="439"/>
      <c r="F198" s="461"/>
      <c r="G198" s="439"/>
      <c r="H198" s="439"/>
      <c r="J198" s="344"/>
      <c r="K198" s="344"/>
    </row>
    <row r="199" spans="1:11" s="429" customFormat="1" ht="18" customHeight="1">
      <c r="A199" s="461"/>
      <c r="B199" s="462"/>
      <c r="C199" s="463"/>
      <c r="D199" s="461"/>
      <c r="E199" s="439"/>
      <c r="F199" s="461"/>
      <c r="G199" s="439"/>
      <c r="H199" s="439"/>
      <c r="J199" s="344"/>
      <c r="K199" s="344"/>
    </row>
    <row r="200" spans="1:11" s="429" customFormat="1" ht="18" customHeight="1">
      <c r="A200" s="461"/>
      <c r="B200" s="462"/>
      <c r="C200" s="463"/>
      <c r="D200" s="461"/>
      <c r="E200" s="439"/>
      <c r="F200" s="461"/>
      <c r="G200" s="439"/>
      <c r="H200" s="439"/>
      <c r="J200" s="344"/>
      <c r="K200" s="344"/>
    </row>
    <row r="201" spans="1:11" s="429" customFormat="1" ht="18" customHeight="1">
      <c r="A201" s="461"/>
      <c r="B201" s="462"/>
      <c r="C201" s="463"/>
      <c r="D201" s="461"/>
      <c r="E201" s="439"/>
      <c r="F201" s="461"/>
      <c r="G201" s="439"/>
      <c r="H201" s="439"/>
      <c r="J201" s="344"/>
      <c r="K201" s="344"/>
    </row>
    <row r="202" spans="1:11" s="429" customFormat="1" ht="18" customHeight="1">
      <c r="A202" s="461"/>
      <c r="B202" s="462"/>
      <c r="C202" s="463"/>
      <c r="D202" s="461"/>
      <c r="E202" s="439"/>
      <c r="F202" s="461"/>
      <c r="G202" s="439"/>
      <c r="H202" s="439"/>
      <c r="J202" s="344"/>
      <c r="K202" s="344"/>
    </row>
    <row r="203" spans="1:11" s="429" customFormat="1" ht="18" customHeight="1">
      <c r="A203" s="461"/>
      <c r="B203" s="462"/>
      <c r="C203" s="463"/>
      <c r="D203" s="461"/>
      <c r="E203" s="439"/>
      <c r="F203" s="461"/>
      <c r="G203" s="439"/>
      <c r="H203" s="439"/>
      <c r="J203" s="344"/>
      <c r="K203" s="344"/>
    </row>
    <row r="204" spans="1:11" s="429" customFormat="1" ht="18" customHeight="1">
      <c r="A204" s="461"/>
      <c r="B204" s="462"/>
      <c r="C204" s="463"/>
      <c r="D204" s="461"/>
      <c r="E204" s="439"/>
      <c r="F204" s="461"/>
      <c r="G204" s="439"/>
      <c r="H204" s="439"/>
      <c r="J204" s="344"/>
      <c r="K204" s="344"/>
    </row>
    <row r="205" spans="1:11" s="429" customFormat="1" ht="18" customHeight="1">
      <c r="A205" s="461"/>
      <c r="B205" s="462"/>
      <c r="C205" s="463"/>
      <c r="D205" s="461"/>
      <c r="E205" s="439"/>
      <c r="F205" s="461"/>
      <c r="G205" s="439"/>
      <c r="H205" s="439"/>
      <c r="J205" s="344"/>
      <c r="K205" s="344"/>
    </row>
    <row r="206" spans="1:11" s="429" customFormat="1" ht="18" customHeight="1">
      <c r="A206" s="461"/>
      <c r="B206" s="462"/>
      <c r="C206" s="463"/>
      <c r="D206" s="461"/>
      <c r="E206" s="439"/>
      <c r="F206" s="461"/>
      <c r="G206" s="439"/>
      <c r="H206" s="439"/>
      <c r="J206" s="344"/>
      <c r="K206" s="344"/>
    </row>
    <row r="207" spans="1:11" s="429" customFormat="1" ht="18" customHeight="1">
      <c r="A207" s="461"/>
      <c r="B207" s="462"/>
      <c r="C207" s="463"/>
      <c r="D207" s="461"/>
      <c r="E207" s="439"/>
      <c r="F207" s="461"/>
      <c r="G207" s="439"/>
      <c r="H207" s="439"/>
      <c r="J207" s="344"/>
      <c r="K207" s="344"/>
    </row>
    <row r="208" spans="1:11" s="429" customFormat="1" ht="18" customHeight="1">
      <c r="A208" s="461"/>
      <c r="B208" s="462"/>
      <c r="C208" s="463"/>
      <c r="D208" s="461"/>
      <c r="E208" s="439"/>
      <c r="F208" s="461"/>
      <c r="G208" s="439"/>
      <c r="H208" s="439"/>
      <c r="J208" s="344"/>
      <c r="K208" s="344"/>
    </row>
    <row r="209" spans="1:11" s="429" customFormat="1" ht="18" customHeight="1">
      <c r="A209" s="461"/>
      <c r="B209" s="462"/>
      <c r="C209" s="463"/>
      <c r="D209" s="461"/>
      <c r="E209" s="439"/>
      <c r="F209" s="461"/>
      <c r="G209" s="439"/>
      <c r="H209" s="439"/>
      <c r="J209" s="344"/>
      <c r="K209" s="344"/>
    </row>
    <row r="210" spans="1:11" s="429" customFormat="1" ht="18" customHeight="1">
      <c r="A210" s="461"/>
      <c r="B210" s="462"/>
      <c r="C210" s="463"/>
      <c r="D210" s="461"/>
      <c r="E210" s="439"/>
      <c r="F210" s="461"/>
      <c r="G210" s="439"/>
      <c r="H210" s="439"/>
      <c r="J210" s="344"/>
      <c r="K210" s="344"/>
    </row>
    <row r="211" spans="1:11" s="429" customFormat="1" ht="18" customHeight="1">
      <c r="A211" s="461"/>
      <c r="B211" s="462"/>
      <c r="C211" s="463"/>
      <c r="D211" s="461"/>
      <c r="E211" s="439"/>
      <c r="F211" s="461"/>
      <c r="G211" s="439"/>
      <c r="H211" s="439"/>
      <c r="J211" s="344"/>
      <c r="K211" s="344"/>
    </row>
    <row r="212" spans="1:11" s="429" customFormat="1" ht="18" customHeight="1">
      <c r="A212" s="461"/>
      <c r="B212" s="462"/>
      <c r="C212" s="463"/>
      <c r="D212" s="461"/>
      <c r="E212" s="439"/>
      <c r="F212" s="461"/>
      <c r="G212" s="439"/>
      <c r="H212" s="439"/>
      <c r="J212" s="344"/>
      <c r="K212" s="344"/>
    </row>
    <row r="213" spans="1:11" s="429" customFormat="1" ht="18" customHeight="1">
      <c r="A213" s="461"/>
      <c r="B213" s="462"/>
      <c r="C213" s="463"/>
      <c r="D213" s="461"/>
      <c r="E213" s="439"/>
      <c r="F213" s="461"/>
      <c r="G213" s="439"/>
      <c r="H213" s="439"/>
      <c r="J213" s="344"/>
      <c r="K213" s="344"/>
    </row>
    <row r="214" spans="1:11" s="429" customFormat="1" ht="18" customHeight="1">
      <c r="A214" s="461"/>
      <c r="B214" s="462"/>
      <c r="C214" s="463"/>
      <c r="D214" s="461"/>
      <c r="E214" s="439"/>
      <c r="F214" s="461"/>
      <c r="G214" s="439"/>
      <c r="H214" s="439"/>
      <c r="J214" s="344"/>
      <c r="K214" s="344"/>
    </row>
    <row r="215" spans="1:11" s="429" customFormat="1" ht="18" customHeight="1">
      <c r="A215" s="461"/>
      <c r="B215" s="462"/>
      <c r="C215" s="463"/>
      <c r="D215" s="461"/>
      <c r="E215" s="439"/>
      <c r="F215" s="461"/>
      <c r="G215" s="439"/>
      <c r="H215" s="439"/>
      <c r="J215" s="344"/>
      <c r="K215" s="344"/>
    </row>
    <row r="216" spans="1:11" s="429" customFormat="1" ht="18" customHeight="1">
      <c r="A216" s="461"/>
      <c r="B216" s="462"/>
      <c r="C216" s="463"/>
      <c r="D216" s="461"/>
      <c r="E216" s="439"/>
      <c r="F216" s="461"/>
      <c r="G216" s="439"/>
      <c r="H216" s="439"/>
      <c r="J216" s="344"/>
      <c r="K216" s="344"/>
    </row>
    <row r="217" spans="1:11" s="429" customFormat="1" ht="18" customHeight="1">
      <c r="A217" s="461"/>
      <c r="B217" s="462"/>
      <c r="C217" s="463"/>
      <c r="D217" s="461"/>
      <c r="E217" s="439"/>
      <c r="F217" s="461"/>
      <c r="G217" s="439"/>
      <c r="H217" s="439"/>
      <c r="J217" s="344"/>
      <c r="K217" s="344"/>
    </row>
    <row r="218" spans="1:11" s="429" customFormat="1" ht="18" customHeight="1">
      <c r="A218" s="461"/>
      <c r="B218" s="462"/>
      <c r="C218" s="463"/>
      <c r="D218" s="461"/>
      <c r="E218" s="439"/>
      <c r="F218" s="461"/>
      <c r="G218" s="439"/>
      <c r="H218" s="439"/>
      <c r="J218" s="344"/>
      <c r="K218" s="344"/>
    </row>
    <row r="219" spans="1:11" s="429" customFormat="1" ht="18" customHeight="1">
      <c r="A219" s="461"/>
      <c r="B219" s="462"/>
      <c r="C219" s="463"/>
      <c r="D219" s="461"/>
      <c r="E219" s="439"/>
      <c r="F219" s="461"/>
      <c r="G219" s="439"/>
      <c r="H219" s="439"/>
      <c r="J219" s="344"/>
      <c r="K219" s="344"/>
    </row>
    <row r="220" spans="1:11" s="429" customFormat="1" ht="18" customHeight="1">
      <c r="A220" s="461"/>
      <c r="B220" s="462"/>
      <c r="C220" s="463"/>
      <c r="D220" s="461"/>
      <c r="E220" s="439"/>
      <c r="F220" s="461"/>
      <c r="G220" s="439"/>
      <c r="H220" s="439"/>
      <c r="J220" s="344"/>
      <c r="K220" s="344"/>
    </row>
    <row r="221" spans="1:11" s="429" customFormat="1" ht="18" customHeight="1">
      <c r="A221" s="461"/>
      <c r="B221" s="462"/>
      <c r="C221" s="463"/>
      <c r="D221" s="461"/>
      <c r="E221" s="439"/>
      <c r="F221" s="461"/>
      <c r="G221" s="439"/>
      <c r="H221" s="439"/>
      <c r="J221" s="344"/>
      <c r="K221" s="344"/>
    </row>
    <row r="222" spans="1:11" s="429" customFormat="1" ht="18" customHeight="1">
      <c r="A222" s="461"/>
      <c r="B222" s="462"/>
      <c r="C222" s="463"/>
      <c r="D222" s="461"/>
      <c r="E222" s="439"/>
      <c r="F222" s="461"/>
      <c r="G222" s="439"/>
      <c r="H222" s="439"/>
      <c r="J222" s="344"/>
      <c r="K222" s="344"/>
    </row>
    <row r="223" spans="1:11" s="429" customFormat="1" ht="18" customHeight="1">
      <c r="A223" s="461"/>
      <c r="B223" s="462"/>
      <c r="C223" s="463"/>
      <c r="D223" s="461"/>
      <c r="E223" s="439"/>
      <c r="F223" s="461"/>
      <c r="G223" s="439"/>
      <c r="H223" s="439"/>
      <c r="J223" s="344"/>
      <c r="K223" s="344"/>
    </row>
    <row r="224" spans="1:11" s="429" customFormat="1" ht="18" customHeight="1">
      <c r="A224" s="461"/>
      <c r="B224" s="462"/>
      <c r="C224" s="463"/>
      <c r="D224" s="461"/>
      <c r="E224" s="439"/>
      <c r="F224" s="461"/>
      <c r="G224" s="439"/>
      <c r="H224" s="439"/>
      <c r="J224" s="344"/>
      <c r="K224" s="344"/>
    </row>
    <row r="225" spans="1:11" s="429" customFormat="1" ht="18" customHeight="1">
      <c r="A225" s="461"/>
      <c r="B225" s="462"/>
      <c r="C225" s="463"/>
      <c r="D225" s="461"/>
      <c r="E225" s="439"/>
      <c r="F225" s="461"/>
      <c r="G225" s="439"/>
      <c r="H225" s="439"/>
      <c r="J225" s="344"/>
      <c r="K225" s="344"/>
    </row>
    <row r="226" spans="1:11" s="429" customFormat="1" ht="18" customHeight="1">
      <c r="A226" s="461"/>
      <c r="B226" s="462"/>
      <c r="C226" s="463"/>
      <c r="D226" s="461"/>
      <c r="E226" s="439"/>
      <c r="F226" s="461"/>
      <c r="G226" s="439"/>
      <c r="H226" s="439"/>
      <c r="J226" s="344"/>
      <c r="K226" s="344"/>
    </row>
    <row r="227" spans="1:11" s="429" customFormat="1" ht="18" customHeight="1">
      <c r="A227" s="461"/>
      <c r="B227" s="462"/>
      <c r="C227" s="463"/>
      <c r="D227" s="461"/>
      <c r="E227" s="439"/>
      <c r="F227" s="461"/>
      <c r="G227" s="439"/>
      <c r="H227" s="439"/>
      <c r="J227" s="344"/>
      <c r="K227" s="344"/>
    </row>
    <row r="228" spans="1:11" s="429" customFormat="1" ht="18" customHeight="1">
      <c r="A228" s="461"/>
      <c r="B228" s="462"/>
      <c r="C228" s="463"/>
      <c r="D228" s="461"/>
      <c r="E228" s="439"/>
      <c r="F228" s="461"/>
      <c r="G228" s="439"/>
      <c r="H228" s="439"/>
      <c r="J228" s="344"/>
      <c r="K228" s="344"/>
    </row>
    <row r="229" spans="1:11" s="429" customFormat="1" ht="18" customHeight="1">
      <c r="A229" s="461"/>
      <c r="B229" s="462"/>
      <c r="C229" s="463"/>
      <c r="D229" s="461"/>
      <c r="E229" s="439"/>
      <c r="F229" s="461"/>
      <c r="G229" s="439"/>
      <c r="H229" s="439"/>
      <c r="J229" s="344"/>
      <c r="K229" s="344"/>
    </row>
    <row r="230" spans="1:11" s="429" customFormat="1" ht="18" customHeight="1">
      <c r="A230" s="461"/>
      <c r="B230" s="462"/>
      <c r="C230" s="463"/>
      <c r="D230" s="461"/>
      <c r="E230" s="439"/>
      <c r="F230" s="461"/>
      <c r="G230" s="439"/>
      <c r="H230" s="439"/>
      <c r="J230" s="344"/>
      <c r="K230" s="344"/>
    </row>
    <row r="231" spans="1:11" s="429" customFormat="1" ht="18" customHeight="1">
      <c r="A231" s="461"/>
      <c r="B231" s="462"/>
      <c r="C231" s="463"/>
      <c r="D231" s="461"/>
      <c r="E231" s="439"/>
      <c r="F231" s="461"/>
      <c r="G231" s="439"/>
      <c r="H231" s="439"/>
      <c r="J231" s="344"/>
      <c r="K231" s="344"/>
    </row>
    <row r="232" spans="1:11" s="429" customFormat="1" ht="18" customHeight="1">
      <c r="A232" s="461"/>
      <c r="B232" s="462"/>
      <c r="C232" s="463"/>
      <c r="D232" s="461"/>
      <c r="E232" s="439"/>
      <c r="F232" s="461"/>
      <c r="G232" s="439"/>
      <c r="H232" s="439"/>
      <c r="J232" s="344"/>
      <c r="K232" s="344"/>
    </row>
    <row r="233" spans="1:11" s="429" customFormat="1" ht="18" customHeight="1">
      <c r="A233" s="461"/>
      <c r="B233" s="462"/>
      <c r="C233" s="463"/>
      <c r="D233" s="461"/>
      <c r="E233" s="439"/>
      <c r="F233" s="461"/>
      <c r="G233" s="439"/>
      <c r="H233" s="439"/>
      <c r="J233" s="344"/>
      <c r="K233" s="344"/>
    </row>
    <row r="234" spans="1:11" s="429" customFormat="1" ht="18" customHeight="1">
      <c r="A234" s="461"/>
      <c r="B234" s="462"/>
      <c r="C234" s="463"/>
      <c r="D234" s="461"/>
      <c r="E234" s="439"/>
      <c r="F234" s="461"/>
      <c r="G234" s="439"/>
      <c r="H234" s="439"/>
      <c r="J234" s="344"/>
      <c r="K234" s="344"/>
    </row>
    <row r="235" spans="1:11" s="429" customFormat="1" ht="18" customHeight="1">
      <c r="A235" s="461"/>
      <c r="B235" s="462"/>
      <c r="C235" s="463"/>
      <c r="D235" s="461"/>
      <c r="E235" s="439"/>
      <c r="F235" s="461"/>
      <c r="G235" s="439"/>
      <c r="H235" s="439"/>
      <c r="J235" s="344"/>
      <c r="K235" s="344"/>
    </row>
    <row r="236" spans="1:11" s="429" customFormat="1" ht="18" customHeight="1">
      <c r="A236" s="461"/>
      <c r="B236" s="462"/>
      <c r="C236" s="463"/>
      <c r="D236" s="461"/>
      <c r="E236" s="439"/>
      <c r="F236" s="461"/>
      <c r="G236" s="439"/>
      <c r="H236" s="439"/>
      <c r="J236" s="344"/>
      <c r="K236" s="344"/>
    </row>
    <row r="237" spans="1:11" s="429" customFormat="1" ht="18" customHeight="1">
      <c r="A237" s="461"/>
      <c r="B237" s="462"/>
      <c r="C237" s="463"/>
      <c r="D237" s="461"/>
      <c r="E237" s="439"/>
      <c r="F237" s="461"/>
      <c r="G237" s="439"/>
      <c r="H237" s="439"/>
      <c r="J237" s="344"/>
      <c r="K237" s="344"/>
    </row>
    <row r="238" spans="1:11" s="429" customFormat="1" ht="18" customHeight="1">
      <c r="A238" s="461"/>
      <c r="B238" s="462"/>
      <c r="C238" s="463"/>
      <c r="D238" s="461"/>
      <c r="E238" s="439"/>
      <c r="F238" s="461"/>
      <c r="G238" s="439"/>
      <c r="H238" s="439"/>
      <c r="J238" s="344"/>
      <c r="K238" s="344"/>
    </row>
    <row r="239" spans="1:11" s="429" customFormat="1" ht="18" customHeight="1">
      <c r="A239" s="461"/>
      <c r="B239" s="462"/>
      <c r="C239" s="463"/>
      <c r="D239" s="461"/>
      <c r="E239" s="439"/>
      <c r="F239" s="461"/>
      <c r="G239" s="439"/>
      <c r="H239" s="439"/>
      <c r="J239" s="344"/>
      <c r="K239" s="344"/>
    </row>
    <row r="240" spans="1:11" s="429" customFormat="1" ht="18" customHeight="1">
      <c r="A240" s="461"/>
      <c r="B240" s="462"/>
      <c r="C240" s="463"/>
      <c r="D240" s="461"/>
      <c r="E240" s="439"/>
      <c r="F240" s="461"/>
      <c r="G240" s="439"/>
      <c r="H240" s="439"/>
      <c r="J240" s="344"/>
      <c r="K240" s="344"/>
    </row>
    <row r="241" spans="1:11" s="429" customFormat="1" ht="18" customHeight="1">
      <c r="A241" s="461"/>
      <c r="B241" s="462"/>
      <c r="C241" s="463"/>
      <c r="D241" s="461"/>
      <c r="E241" s="439"/>
      <c r="F241" s="461"/>
      <c r="G241" s="439"/>
      <c r="H241" s="439"/>
      <c r="J241" s="344"/>
      <c r="K241" s="344"/>
    </row>
    <row r="242" spans="1:11" s="429" customFormat="1" ht="18" customHeight="1">
      <c r="A242" s="461"/>
      <c r="B242" s="462"/>
      <c r="C242" s="463"/>
      <c r="D242" s="461"/>
      <c r="E242" s="439"/>
      <c r="F242" s="461"/>
      <c r="G242" s="439"/>
      <c r="H242" s="439"/>
      <c r="J242" s="344"/>
      <c r="K242" s="344"/>
    </row>
    <row r="243" spans="1:11" s="429" customFormat="1" ht="18" customHeight="1">
      <c r="A243" s="461"/>
      <c r="B243" s="462"/>
      <c r="C243" s="463"/>
      <c r="D243" s="461"/>
      <c r="E243" s="439"/>
      <c r="F243" s="461"/>
      <c r="G243" s="439"/>
      <c r="H243" s="439"/>
      <c r="J243" s="344"/>
      <c r="K243" s="344"/>
    </row>
    <row r="244" spans="1:11" s="429" customFormat="1" ht="18" customHeight="1">
      <c r="A244" s="461"/>
      <c r="B244" s="462"/>
      <c r="C244" s="463"/>
      <c r="D244" s="461"/>
      <c r="E244" s="439"/>
      <c r="F244" s="461"/>
      <c r="G244" s="439"/>
      <c r="H244" s="439"/>
      <c r="J244" s="344"/>
      <c r="K244" s="344"/>
    </row>
    <row r="245" spans="1:11" s="429" customFormat="1" ht="18" customHeight="1">
      <c r="A245" s="461"/>
      <c r="B245" s="462"/>
      <c r="C245" s="463"/>
      <c r="D245" s="461"/>
      <c r="E245" s="439"/>
      <c r="F245" s="461"/>
      <c r="G245" s="439"/>
      <c r="H245" s="439"/>
      <c r="J245" s="344"/>
      <c r="K245" s="344"/>
    </row>
    <row r="246" spans="1:11" s="429" customFormat="1" ht="18" customHeight="1">
      <c r="A246" s="461"/>
      <c r="B246" s="462"/>
      <c r="C246" s="463"/>
      <c r="D246" s="461"/>
      <c r="E246" s="439"/>
      <c r="F246" s="461"/>
      <c r="G246" s="439"/>
      <c r="H246" s="439"/>
      <c r="J246" s="344"/>
      <c r="K246" s="344"/>
    </row>
    <row r="247" spans="1:11" s="429" customFormat="1" ht="18" customHeight="1">
      <c r="A247" s="461"/>
      <c r="B247" s="462"/>
      <c r="C247" s="463"/>
      <c r="D247" s="461"/>
      <c r="E247" s="439"/>
      <c r="F247" s="461"/>
      <c r="G247" s="439"/>
      <c r="H247" s="439"/>
      <c r="J247" s="344"/>
      <c r="K247" s="344"/>
    </row>
    <row r="248" spans="1:11" s="429" customFormat="1" ht="18" customHeight="1">
      <c r="A248" s="461"/>
      <c r="B248" s="462"/>
      <c r="C248" s="463"/>
      <c r="D248" s="461"/>
      <c r="E248" s="439"/>
      <c r="F248" s="461"/>
      <c r="G248" s="439"/>
      <c r="H248" s="439"/>
      <c r="J248" s="344"/>
      <c r="K248" s="344"/>
    </row>
    <row r="249" spans="1:11" ht="18" customHeight="1">
      <c r="A249" s="461"/>
      <c r="B249" s="462"/>
      <c r="C249" s="463"/>
      <c r="D249" s="461"/>
      <c r="E249" s="439"/>
      <c r="F249" s="461"/>
      <c r="G249" s="439"/>
      <c r="H249" s="439"/>
    </row>
    <row r="250" spans="1:11" ht="18" customHeight="1">
      <c r="A250" s="461"/>
      <c r="B250" s="462"/>
      <c r="C250" s="463"/>
      <c r="D250" s="461"/>
      <c r="E250" s="439"/>
      <c r="F250" s="461"/>
      <c r="G250" s="439"/>
      <c r="H250" s="439"/>
    </row>
    <row r="251" spans="1:11" ht="18" customHeight="1">
      <c r="A251" s="461"/>
      <c r="B251" s="462"/>
      <c r="C251" s="463"/>
      <c r="D251" s="461"/>
      <c r="E251" s="439"/>
      <c r="F251" s="461"/>
      <c r="G251" s="439"/>
      <c r="H251" s="439"/>
    </row>
    <row r="252" spans="1:11" ht="18" customHeight="1">
      <c r="A252" s="461"/>
      <c r="B252" s="462"/>
      <c r="C252" s="463"/>
      <c r="D252" s="461"/>
      <c r="E252" s="439"/>
      <c r="F252" s="461"/>
      <c r="G252" s="439"/>
      <c r="H252" s="439"/>
    </row>
    <row r="253" spans="1:11" ht="18" customHeight="1">
      <c r="A253" s="461"/>
      <c r="B253" s="462"/>
      <c r="C253" s="463"/>
      <c r="D253" s="461"/>
      <c r="E253" s="439"/>
      <c r="F253" s="461"/>
      <c r="G253" s="439"/>
      <c r="H253" s="439"/>
    </row>
    <row r="254" spans="1:11" ht="18" customHeight="1">
      <c r="A254" s="461"/>
      <c r="B254" s="462"/>
      <c r="C254" s="463"/>
      <c r="D254" s="461"/>
      <c r="E254" s="439"/>
      <c r="F254" s="461"/>
      <c r="G254" s="439"/>
      <c r="H254" s="439"/>
    </row>
    <row r="255" spans="1:11" ht="18" customHeight="1">
      <c r="A255" s="461"/>
      <c r="B255" s="462"/>
      <c r="C255" s="463"/>
      <c r="D255" s="461"/>
      <c r="E255" s="439"/>
      <c r="F255" s="461"/>
      <c r="G255" s="439"/>
      <c r="H255" s="439"/>
    </row>
    <row r="256" spans="1:11" ht="18" customHeight="1">
      <c r="A256" s="461"/>
      <c r="B256" s="462"/>
      <c r="C256" s="463"/>
      <c r="D256" s="461"/>
      <c r="E256" s="439"/>
      <c r="F256" s="461"/>
      <c r="G256" s="439"/>
      <c r="H256" s="439"/>
      <c r="I256" s="463"/>
      <c r="J256" s="464"/>
    </row>
    <row r="257" spans="1:11" ht="18" customHeight="1">
      <c r="A257" s="461"/>
      <c r="B257" s="462"/>
      <c r="C257" s="463"/>
      <c r="D257" s="461"/>
      <c r="E257" s="439"/>
      <c r="F257" s="461"/>
      <c r="G257" s="439"/>
      <c r="H257" s="439"/>
    </row>
    <row r="258" spans="1:11" ht="18" customHeight="1">
      <c r="A258" s="461"/>
      <c r="B258" s="462"/>
      <c r="C258" s="463"/>
      <c r="D258" s="461"/>
      <c r="E258" s="439"/>
      <c r="F258" s="461"/>
      <c r="G258" s="439"/>
      <c r="H258" s="439"/>
    </row>
    <row r="259" spans="1:11" ht="18" customHeight="1">
      <c r="A259" s="461"/>
      <c r="B259" s="462"/>
      <c r="C259" s="463"/>
      <c r="D259" s="461"/>
      <c r="E259" s="439"/>
      <c r="F259" s="461"/>
      <c r="G259" s="439"/>
      <c r="H259" s="439"/>
    </row>
    <row r="260" spans="1:11" ht="18" customHeight="1">
      <c r="A260" s="461"/>
      <c r="B260" s="462"/>
      <c r="C260" s="463"/>
      <c r="D260" s="461"/>
      <c r="E260" s="439"/>
      <c r="F260" s="461"/>
      <c r="G260" s="439"/>
      <c r="H260" s="439"/>
    </row>
    <row r="261" spans="1:11" ht="18" customHeight="1">
      <c r="A261" s="461"/>
      <c r="B261" s="462"/>
      <c r="C261" s="463"/>
      <c r="D261" s="461"/>
      <c r="E261" s="439"/>
      <c r="F261" s="461"/>
      <c r="G261" s="439"/>
      <c r="H261" s="439"/>
    </row>
    <row r="262" spans="1:11" ht="18" customHeight="1">
      <c r="A262" s="461"/>
      <c r="B262" s="462"/>
      <c r="C262" s="463"/>
      <c r="D262" s="461"/>
      <c r="E262" s="439"/>
      <c r="F262" s="461"/>
      <c r="G262" s="439"/>
      <c r="H262" s="439"/>
    </row>
    <row r="263" spans="1:11" ht="18" customHeight="1">
      <c r="A263" s="461"/>
      <c r="B263" s="462"/>
      <c r="C263" s="463"/>
      <c r="D263" s="461"/>
      <c r="E263" s="439"/>
      <c r="F263" s="461"/>
      <c r="G263" s="439"/>
      <c r="H263" s="439"/>
    </row>
    <row r="264" spans="1:11" ht="18" customHeight="1">
      <c r="A264" s="461"/>
      <c r="B264" s="462"/>
      <c r="C264" s="463"/>
      <c r="D264" s="461"/>
      <c r="E264" s="439"/>
      <c r="F264" s="461"/>
      <c r="G264" s="439"/>
      <c r="H264" s="439"/>
    </row>
    <row r="265" spans="1:11" s="429" customFormat="1" ht="18" customHeight="1">
      <c r="A265" s="461"/>
      <c r="B265" s="462"/>
      <c r="C265" s="463"/>
      <c r="D265" s="461"/>
      <c r="E265" s="439"/>
      <c r="F265" s="461"/>
      <c r="G265" s="439"/>
      <c r="H265" s="439"/>
      <c r="J265" s="344"/>
      <c r="K265" s="344"/>
    </row>
    <row r="266" spans="1:11" s="429" customFormat="1" ht="18" customHeight="1">
      <c r="A266" s="461"/>
      <c r="B266" s="462"/>
      <c r="C266" s="463"/>
      <c r="D266" s="461"/>
      <c r="E266" s="439"/>
      <c r="F266" s="461"/>
      <c r="G266" s="439"/>
      <c r="H266" s="439"/>
      <c r="J266" s="344"/>
      <c r="K266" s="344"/>
    </row>
    <row r="267" spans="1:11" s="429" customFormat="1" ht="18" customHeight="1">
      <c r="A267" s="461"/>
      <c r="B267" s="462"/>
      <c r="C267" s="463"/>
      <c r="D267" s="461"/>
      <c r="E267" s="439"/>
      <c r="F267" s="461"/>
      <c r="G267" s="439"/>
      <c r="H267" s="439"/>
      <c r="J267" s="344"/>
      <c r="K267" s="344"/>
    </row>
    <row r="268" spans="1:11" s="429" customFormat="1" ht="18" customHeight="1">
      <c r="A268" s="461"/>
      <c r="B268" s="462"/>
      <c r="C268" s="463"/>
      <c r="D268" s="461"/>
      <c r="E268" s="439"/>
      <c r="F268" s="461"/>
      <c r="G268" s="439"/>
      <c r="H268" s="439"/>
      <c r="J268" s="344"/>
      <c r="K268" s="344"/>
    </row>
    <row r="269" spans="1:11" s="429" customFormat="1" ht="18" customHeight="1">
      <c r="A269" s="461"/>
      <c r="B269" s="462"/>
      <c r="C269" s="463"/>
      <c r="D269" s="461"/>
      <c r="E269" s="439"/>
      <c r="F269" s="461"/>
      <c r="G269" s="439"/>
      <c r="H269" s="439"/>
      <c r="J269" s="344"/>
      <c r="K269" s="344"/>
    </row>
    <row r="270" spans="1:11" s="429" customFormat="1" ht="18" customHeight="1">
      <c r="A270" s="461"/>
      <c r="B270" s="462"/>
      <c r="C270" s="463"/>
      <c r="D270" s="461"/>
      <c r="E270" s="439"/>
      <c r="F270" s="461"/>
      <c r="G270" s="439"/>
      <c r="H270" s="439"/>
      <c r="J270" s="344"/>
      <c r="K270" s="344"/>
    </row>
    <row r="271" spans="1:11" s="429" customFormat="1" ht="18" customHeight="1">
      <c r="A271" s="461"/>
      <c r="B271" s="462"/>
      <c r="C271" s="463"/>
      <c r="D271" s="461"/>
      <c r="E271" s="439"/>
      <c r="F271" s="461"/>
      <c r="G271" s="439"/>
      <c r="H271" s="439"/>
      <c r="J271" s="344"/>
      <c r="K271" s="344"/>
    </row>
    <row r="272" spans="1:11" s="429" customFormat="1" ht="18" customHeight="1">
      <c r="A272" s="461"/>
      <c r="B272" s="462"/>
      <c r="C272" s="463"/>
      <c r="D272" s="461"/>
      <c r="E272" s="439"/>
      <c r="F272" s="461"/>
      <c r="G272" s="439"/>
      <c r="H272" s="439"/>
      <c r="J272" s="344"/>
      <c r="K272" s="344"/>
    </row>
    <row r="273" spans="1:11" s="429" customFormat="1" ht="18" customHeight="1">
      <c r="A273" s="461"/>
      <c r="B273" s="462"/>
      <c r="C273" s="463"/>
      <c r="D273" s="461"/>
      <c r="E273" s="439"/>
      <c r="F273" s="461"/>
      <c r="G273" s="439"/>
      <c r="H273" s="439"/>
      <c r="J273" s="344"/>
      <c r="K273" s="344"/>
    </row>
    <row r="274" spans="1:11" s="429" customFormat="1" ht="18" customHeight="1">
      <c r="A274" s="461"/>
      <c r="B274" s="462"/>
      <c r="C274" s="463"/>
      <c r="D274" s="461"/>
      <c r="E274" s="439"/>
      <c r="F274" s="461"/>
      <c r="G274" s="439"/>
      <c r="H274" s="439"/>
      <c r="J274" s="344"/>
      <c r="K274" s="344"/>
    </row>
    <row r="275" spans="1:11" s="429" customFormat="1" ht="18" customHeight="1">
      <c r="A275" s="461"/>
      <c r="B275" s="462"/>
      <c r="C275" s="463"/>
      <c r="D275" s="461"/>
      <c r="E275" s="439"/>
      <c r="F275" s="461"/>
      <c r="G275" s="439"/>
      <c r="H275" s="439"/>
      <c r="J275" s="344"/>
      <c r="K275" s="344"/>
    </row>
    <row r="276" spans="1:11" s="429" customFormat="1" ht="18" customHeight="1">
      <c r="A276" s="461"/>
      <c r="B276" s="462"/>
      <c r="C276" s="463"/>
      <c r="D276" s="461"/>
      <c r="E276" s="439"/>
      <c r="F276" s="461"/>
      <c r="G276" s="439"/>
      <c r="H276" s="439"/>
      <c r="J276" s="344"/>
      <c r="K276" s="344"/>
    </row>
    <row r="277" spans="1:11" s="429" customFormat="1" ht="18" customHeight="1">
      <c r="A277" s="461"/>
      <c r="B277" s="462"/>
      <c r="C277" s="463"/>
      <c r="D277" s="461"/>
      <c r="E277" s="439"/>
      <c r="F277" s="461"/>
      <c r="G277" s="439"/>
      <c r="H277" s="439"/>
      <c r="J277" s="344"/>
      <c r="K277" s="344"/>
    </row>
    <row r="278" spans="1:11" s="429" customFormat="1" ht="18" customHeight="1">
      <c r="A278" s="461"/>
      <c r="B278" s="462"/>
      <c r="C278" s="463"/>
      <c r="D278" s="461"/>
      <c r="E278" s="439"/>
      <c r="F278" s="461"/>
      <c r="G278" s="439"/>
      <c r="H278" s="439"/>
      <c r="J278" s="344"/>
      <c r="K278" s="344"/>
    </row>
    <row r="279" spans="1:11" s="429" customFormat="1" ht="18" customHeight="1">
      <c r="A279" s="461"/>
      <c r="B279" s="462"/>
      <c r="C279" s="463"/>
      <c r="D279" s="461"/>
      <c r="E279" s="439"/>
      <c r="F279" s="461"/>
      <c r="G279" s="439"/>
      <c r="H279" s="439"/>
      <c r="J279" s="344"/>
      <c r="K279" s="344"/>
    </row>
    <row r="280" spans="1:11" s="429" customFormat="1" ht="18" customHeight="1">
      <c r="A280" s="461"/>
      <c r="B280" s="462"/>
      <c r="C280" s="463"/>
      <c r="D280" s="461"/>
      <c r="E280" s="439"/>
      <c r="F280" s="461"/>
      <c r="G280" s="439"/>
      <c r="H280" s="439"/>
      <c r="J280" s="344"/>
      <c r="K280" s="344"/>
    </row>
    <row r="281" spans="1:11" s="429" customFormat="1" ht="18" customHeight="1">
      <c r="A281" s="461"/>
      <c r="B281" s="462"/>
      <c r="C281" s="463"/>
      <c r="D281" s="461"/>
      <c r="E281" s="439"/>
      <c r="F281" s="461"/>
      <c r="G281" s="439"/>
      <c r="H281" s="439"/>
      <c r="J281" s="344"/>
      <c r="K281" s="344"/>
    </row>
    <row r="282" spans="1:11" s="429" customFormat="1" ht="18" customHeight="1">
      <c r="A282" s="461"/>
      <c r="B282" s="462"/>
      <c r="C282" s="463"/>
      <c r="D282" s="461"/>
      <c r="E282" s="439"/>
      <c r="F282" s="461"/>
      <c r="G282" s="439"/>
      <c r="H282" s="439"/>
      <c r="J282" s="344"/>
      <c r="K282" s="344"/>
    </row>
    <row r="283" spans="1:11" s="429" customFormat="1" ht="18" customHeight="1">
      <c r="A283" s="461"/>
      <c r="B283" s="462"/>
      <c r="C283" s="463"/>
      <c r="D283" s="461"/>
      <c r="E283" s="439"/>
      <c r="F283" s="461"/>
      <c r="G283" s="439"/>
      <c r="H283" s="439"/>
      <c r="J283" s="344"/>
      <c r="K283" s="344"/>
    </row>
    <row r="284" spans="1:11" s="429" customFormat="1" ht="18" customHeight="1">
      <c r="A284" s="461"/>
      <c r="B284" s="462"/>
      <c r="C284" s="463"/>
      <c r="D284" s="461"/>
      <c r="E284" s="439"/>
      <c r="F284" s="461"/>
      <c r="G284" s="439"/>
      <c r="H284" s="439"/>
      <c r="J284" s="344"/>
      <c r="K284" s="344"/>
    </row>
    <row r="285" spans="1:11" s="429" customFormat="1" ht="18" customHeight="1">
      <c r="A285" s="461"/>
      <c r="B285" s="462"/>
      <c r="C285" s="463"/>
      <c r="D285" s="461"/>
      <c r="E285" s="439"/>
      <c r="F285" s="461"/>
      <c r="G285" s="439"/>
      <c r="H285" s="439"/>
      <c r="J285" s="344"/>
      <c r="K285" s="344"/>
    </row>
    <row r="286" spans="1:11" s="429" customFormat="1" ht="18" customHeight="1">
      <c r="A286" s="461"/>
      <c r="B286" s="462"/>
      <c r="C286" s="463"/>
      <c r="D286" s="461"/>
      <c r="E286" s="439"/>
      <c r="F286" s="461"/>
      <c r="G286" s="439"/>
      <c r="H286" s="439"/>
      <c r="J286" s="344"/>
      <c r="K286" s="344"/>
    </row>
    <row r="287" spans="1:11" s="429" customFormat="1" ht="18" customHeight="1">
      <c r="A287" s="461"/>
      <c r="B287" s="462"/>
      <c r="C287" s="463"/>
      <c r="D287" s="461"/>
      <c r="E287" s="439"/>
      <c r="F287" s="461"/>
      <c r="G287" s="439"/>
      <c r="H287" s="439"/>
      <c r="J287" s="344"/>
      <c r="K287" s="344"/>
    </row>
    <row r="288" spans="1:11" s="429" customFormat="1" ht="18" customHeight="1">
      <c r="A288" s="461"/>
      <c r="B288" s="462"/>
      <c r="C288" s="463"/>
      <c r="D288" s="461"/>
      <c r="E288" s="439"/>
      <c r="F288" s="461"/>
      <c r="G288" s="439"/>
      <c r="H288" s="439"/>
      <c r="J288" s="344"/>
      <c r="K288" s="344"/>
    </row>
    <row r="289" spans="1:11" s="429" customFormat="1" ht="18" customHeight="1">
      <c r="A289" s="461"/>
      <c r="B289" s="462"/>
      <c r="C289" s="463"/>
      <c r="D289" s="461"/>
      <c r="E289" s="439"/>
      <c r="F289" s="461"/>
      <c r="G289" s="439"/>
      <c r="H289" s="439"/>
      <c r="J289" s="344"/>
      <c r="K289" s="344"/>
    </row>
    <row r="290" spans="1:11" s="429" customFormat="1" ht="18" customHeight="1">
      <c r="A290" s="461"/>
      <c r="B290" s="462"/>
      <c r="C290" s="463"/>
      <c r="D290" s="461"/>
      <c r="E290" s="439"/>
      <c r="F290" s="461"/>
      <c r="G290" s="439"/>
      <c r="H290" s="439"/>
      <c r="J290" s="344"/>
      <c r="K290" s="344"/>
    </row>
    <row r="291" spans="1:11" s="429" customFormat="1" ht="18" customHeight="1">
      <c r="A291" s="461"/>
      <c r="B291" s="462"/>
      <c r="C291" s="463"/>
      <c r="D291" s="461"/>
      <c r="E291" s="439"/>
      <c r="F291" s="461"/>
      <c r="G291" s="439"/>
      <c r="H291" s="439"/>
      <c r="J291" s="344"/>
      <c r="K291" s="344"/>
    </row>
    <row r="292" spans="1:11" s="429" customFormat="1" ht="18" customHeight="1">
      <c r="A292" s="461"/>
      <c r="B292" s="462"/>
      <c r="C292" s="463"/>
      <c r="D292" s="461"/>
      <c r="E292" s="439"/>
      <c r="F292" s="461"/>
      <c r="G292" s="439"/>
      <c r="H292" s="439"/>
      <c r="J292" s="344"/>
      <c r="K292" s="344"/>
    </row>
    <row r="293" spans="1:11" s="429" customFormat="1" ht="18" customHeight="1">
      <c r="A293" s="461"/>
      <c r="B293" s="462"/>
      <c r="C293" s="463"/>
      <c r="D293" s="461"/>
      <c r="E293" s="439"/>
      <c r="F293" s="461"/>
      <c r="G293" s="439"/>
      <c r="H293" s="439"/>
      <c r="J293" s="344"/>
      <c r="K293" s="344"/>
    </row>
    <row r="294" spans="1:11" s="429" customFormat="1" ht="18" customHeight="1">
      <c r="A294" s="461"/>
      <c r="B294" s="462"/>
      <c r="C294" s="463"/>
      <c r="D294" s="461"/>
      <c r="E294" s="439"/>
      <c r="F294" s="461"/>
      <c r="G294" s="439"/>
      <c r="H294" s="439"/>
      <c r="J294" s="344"/>
      <c r="K294" s="344"/>
    </row>
    <row r="295" spans="1:11" s="429" customFormat="1" ht="18" customHeight="1">
      <c r="A295" s="461"/>
      <c r="B295" s="462"/>
      <c r="C295" s="463"/>
      <c r="D295" s="461"/>
      <c r="E295" s="439"/>
      <c r="F295" s="461"/>
      <c r="G295" s="439"/>
      <c r="H295" s="439"/>
      <c r="J295" s="344"/>
      <c r="K295" s="344"/>
    </row>
    <row r="296" spans="1:11" s="429" customFormat="1" ht="18" customHeight="1">
      <c r="A296" s="461"/>
      <c r="B296" s="462"/>
      <c r="C296" s="463"/>
      <c r="D296" s="461"/>
      <c r="E296" s="439"/>
      <c r="F296" s="461"/>
      <c r="G296" s="439"/>
      <c r="H296" s="439"/>
      <c r="J296" s="344"/>
      <c r="K296" s="344"/>
    </row>
    <row r="297" spans="1:11" s="429" customFormat="1" ht="18" customHeight="1">
      <c r="A297" s="461"/>
      <c r="B297" s="462"/>
      <c r="C297" s="463"/>
      <c r="D297" s="461"/>
      <c r="E297" s="439"/>
      <c r="F297" s="461"/>
      <c r="G297" s="439"/>
      <c r="H297" s="439"/>
      <c r="J297" s="344"/>
      <c r="K297" s="344"/>
    </row>
    <row r="298" spans="1:11" s="429" customFormat="1" ht="18" customHeight="1">
      <c r="A298" s="461"/>
      <c r="B298" s="462"/>
      <c r="C298" s="463"/>
      <c r="D298" s="461"/>
      <c r="E298" s="439"/>
      <c r="F298" s="461"/>
      <c r="G298" s="439"/>
      <c r="H298" s="439"/>
      <c r="J298" s="344"/>
      <c r="K298" s="344"/>
    </row>
    <row r="299" spans="1:11" s="429" customFormat="1" ht="18" customHeight="1">
      <c r="A299" s="461"/>
      <c r="B299" s="462"/>
      <c r="C299" s="463"/>
      <c r="D299" s="461"/>
      <c r="E299" s="439"/>
      <c r="F299" s="461"/>
      <c r="G299" s="439"/>
      <c r="H299" s="439"/>
      <c r="J299" s="344"/>
      <c r="K299" s="344"/>
    </row>
    <row r="300" spans="1:11" s="429" customFormat="1" ht="18" customHeight="1">
      <c r="A300" s="461"/>
      <c r="B300" s="462"/>
      <c r="C300" s="463"/>
      <c r="D300" s="461"/>
      <c r="E300" s="439"/>
      <c r="F300" s="461"/>
      <c r="G300" s="439"/>
      <c r="H300" s="439"/>
      <c r="J300" s="344"/>
      <c r="K300" s="344"/>
    </row>
    <row r="301" spans="1:11" s="429" customFormat="1" ht="18" customHeight="1">
      <c r="A301" s="461"/>
      <c r="B301" s="462"/>
      <c r="C301" s="463"/>
      <c r="D301" s="461"/>
      <c r="E301" s="439"/>
      <c r="F301" s="461"/>
      <c r="G301" s="439"/>
      <c r="H301" s="439"/>
      <c r="J301" s="344"/>
      <c r="K301" s="344"/>
    </row>
    <row r="302" spans="1:11" s="429" customFormat="1" ht="18" customHeight="1">
      <c r="A302" s="461"/>
      <c r="B302" s="462"/>
      <c r="C302" s="463"/>
      <c r="D302" s="461"/>
      <c r="E302" s="439"/>
      <c r="F302" s="461"/>
      <c r="G302" s="439"/>
      <c r="H302" s="439"/>
      <c r="J302" s="344"/>
      <c r="K302" s="344"/>
    </row>
    <row r="303" spans="1:11" s="429" customFormat="1" ht="18" customHeight="1">
      <c r="A303" s="461"/>
      <c r="B303" s="462"/>
      <c r="C303" s="463"/>
      <c r="D303" s="461"/>
      <c r="E303" s="439"/>
      <c r="F303" s="461"/>
      <c r="G303" s="439"/>
      <c r="H303" s="439"/>
      <c r="J303" s="344"/>
      <c r="K303" s="344"/>
    </row>
    <row r="304" spans="1:11" s="429" customFormat="1" ht="18" customHeight="1">
      <c r="A304" s="461"/>
      <c r="B304" s="462"/>
      <c r="C304" s="463"/>
      <c r="D304" s="461"/>
      <c r="E304" s="439"/>
      <c r="F304" s="461"/>
      <c r="G304" s="439"/>
      <c r="H304" s="439"/>
      <c r="J304" s="344"/>
      <c r="K304" s="344"/>
    </row>
    <row r="305" spans="1:11" s="429" customFormat="1" ht="18" customHeight="1">
      <c r="A305" s="461"/>
      <c r="B305" s="462"/>
      <c r="C305" s="463"/>
      <c r="D305" s="461"/>
      <c r="E305" s="439"/>
      <c r="F305" s="461"/>
      <c r="G305" s="439"/>
      <c r="H305" s="439"/>
      <c r="J305" s="344"/>
      <c r="K305" s="344"/>
    </row>
    <row r="306" spans="1:11" s="429" customFormat="1" ht="18" customHeight="1">
      <c r="A306" s="461"/>
      <c r="B306" s="462"/>
      <c r="C306" s="463"/>
      <c r="D306" s="461"/>
      <c r="E306" s="439"/>
      <c r="F306" s="461"/>
      <c r="G306" s="439"/>
      <c r="H306" s="439"/>
      <c r="J306" s="344"/>
      <c r="K306" s="344"/>
    </row>
    <row r="307" spans="1:11" s="429" customFormat="1" ht="18" customHeight="1">
      <c r="A307" s="461"/>
      <c r="B307" s="462"/>
      <c r="C307" s="463"/>
      <c r="D307" s="461"/>
      <c r="E307" s="439"/>
      <c r="F307" s="461"/>
      <c r="G307" s="439"/>
      <c r="H307" s="439"/>
      <c r="J307" s="344"/>
      <c r="K307" s="344"/>
    </row>
    <row r="308" spans="1:11" s="429" customFormat="1" ht="18" customHeight="1">
      <c r="A308" s="461"/>
      <c r="B308" s="462"/>
      <c r="C308" s="463"/>
      <c r="D308" s="461"/>
      <c r="E308" s="439"/>
      <c r="F308" s="461"/>
      <c r="G308" s="439"/>
      <c r="H308" s="439"/>
      <c r="J308" s="344"/>
      <c r="K308" s="344"/>
    </row>
    <row r="309" spans="1:11" s="429" customFormat="1" ht="18" customHeight="1">
      <c r="A309" s="461"/>
      <c r="B309" s="462"/>
      <c r="C309" s="463"/>
      <c r="D309" s="461"/>
      <c r="E309" s="439"/>
      <c r="F309" s="461"/>
      <c r="G309" s="439"/>
      <c r="H309" s="439"/>
      <c r="J309" s="344"/>
      <c r="K309" s="344"/>
    </row>
    <row r="310" spans="1:11" s="429" customFormat="1" ht="18" customHeight="1">
      <c r="A310" s="461"/>
      <c r="B310" s="462"/>
      <c r="C310" s="463"/>
      <c r="D310" s="461"/>
      <c r="E310" s="439"/>
      <c r="F310" s="461"/>
      <c r="G310" s="439"/>
      <c r="H310" s="439"/>
      <c r="J310" s="344"/>
      <c r="K310" s="344"/>
    </row>
    <row r="311" spans="1:11" s="429" customFormat="1" ht="18" customHeight="1">
      <c r="A311" s="461"/>
      <c r="B311" s="462"/>
      <c r="C311" s="463"/>
      <c r="D311" s="461"/>
      <c r="E311" s="439"/>
      <c r="F311" s="461"/>
      <c r="G311" s="439"/>
      <c r="H311" s="439"/>
      <c r="J311" s="344"/>
      <c r="K311" s="344"/>
    </row>
    <row r="312" spans="1:11" s="429" customFormat="1" ht="18" customHeight="1">
      <c r="A312" s="461"/>
      <c r="B312" s="462"/>
      <c r="C312" s="463"/>
      <c r="D312" s="461"/>
      <c r="E312" s="439"/>
      <c r="F312" s="461"/>
      <c r="G312" s="439"/>
      <c r="H312" s="439"/>
      <c r="J312" s="344"/>
      <c r="K312" s="344"/>
    </row>
    <row r="313" spans="1:11" s="429" customFormat="1" ht="18" customHeight="1">
      <c r="A313" s="461"/>
      <c r="B313" s="462"/>
      <c r="C313" s="463"/>
      <c r="D313" s="461"/>
      <c r="E313" s="439"/>
      <c r="F313" s="461"/>
      <c r="G313" s="439"/>
      <c r="H313" s="439"/>
      <c r="J313" s="344"/>
      <c r="K313" s="344"/>
    </row>
    <row r="314" spans="1:11" s="429" customFormat="1" ht="18" customHeight="1">
      <c r="B314" s="460"/>
      <c r="C314" s="440"/>
      <c r="E314" s="355"/>
      <c r="G314" s="355"/>
      <c r="H314" s="355"/>
      <c r="J314" s="344"/>
      <c r="K314" s="344"/>
    </row>
    <row r="315" spans="1:11" s="429" customFormat="1" ht="18" customHeight="1">
      <c r="B315" s="460"/>
      <c r="C315" s="440"/>
      <c r="E315" s="355"/>
      <c r="G315" s="355"/>
      <c r="H315" s="355"/>
      <c r="J315" s="344"/>
      <c r="K315" s="344"/>
    </row>
    <row r="316" spans="1:11" s="429" customFormat="1" ht="18" customHeight="1">
      <c r="B316" s="460"/>
      <c r="C316" s="440"/>
      <c r="E316" s="355"/>
      <c r="G316" s="355"/>
      <c r="H316" s="355"/>
      <c r="J316" s="344"/>
      <c r="K316" s="344"/>
    </row>
    <row r="317" spans="1:11" s="429" customFormat="1" ht="18" customHeight="1">
      <c r="A317" s="461"/>
      <c r="B317" s="462"/>
      <c r="C317" s="463"/>
      <c r="D317" s="461"/>
      <c r="E317" s="439"/>
      <c r="F317" s="461"/>
      <c r="G317" s="439"/>
      <c r="H317" s="439"/>
      <c r="J317" s="344"/>
      <c r="K317" s="344"/>
    </row>
    <row r="318" spans="1:11" s="429" customFormat="1" ht="18" customHeight="1">
      <c r="A318" s="461"/>
      <c r="B318" s="462"/>
      <c r="C318" s="463"/>
      <c r="D318" s="461"/>
      <c r="E318" s="439"/>
      <c r="F318" s="461"/>
      <c r="G318" s="439"/>
      <c r="H318" s="439"/>
      <c r="J318" s="344"/>
      <c r="K318" s="344"/>
    </row>
    <row r="319" spans="1:11" s="429" customFormat="1" ht="18" customHeight="1">
      <c r="A319" s="461"/>
      <c r="B319" s="462"/>
      <c r="C319" s="463"/>
      <c r="D319" s="461"/>
      <c r="E319" s="439"/>
      <c r="F319" s="461"/>
      <c r="G319" s="439"/>
      <c r="H319" s="439"/>
      <c r="J319" s="344"/>
      <c r="K319" s="344"/>
    </row>
    <row r="320" spans="1:11" s="429" customFormat="1" ht="18" customHeight="1">
      <c r="A320" s="461"/>
      <c r="B320" s="462"/>
      <c r="C320" s="463"/>
      <c r="D320" s="461"/>
      <c r="E320" s="439"/>
      <c r="F320" s="461"/>
      <c r="G320" s="439"/>
      <c r="H320" s="439"/>
      <c r="J320" s="344"/>
      <c r="K320" s="344"/>
    </row>
    <row r="321" spans="1:11" s="429" customFormat="1" ht="18" customHeight="1">
      <c r="A321" s="461"/>
      <c r="B321" s="462"/>
      <c r="C321" s="463"/>
      <c r="D321" s="461"/>
      <c r="E321" s="439"/>
      <c r="F321" s="461"/>
      <c r="G321" s="439"/>
      <c r="H321" s="439"/>
      <c r="J321" s="344"/>
      <c r="K321" s="344"/>
    </row>
    <row r="322" spans="1:11" s="429" customFormat="1" ht="18" customHeight="1">
      <c r="A322" s="461"/>
      <c r="B322" s="462"/>
      <c r="C322" s="463"/>
      <c r="D322" s="461"/>
      <c r="E322" s="439"/>
      <c r="F322" s="461"/>
      <c r="G322" s="439"/>
      <c r="H322" s="439"/>
      <c r="J322" s="344"/>
      <c r="K322" s="344"/>
    </row>
    <row r="323" spans="1:11" s="429" customFormat="1" ht="18" customHeight="1">
      <c r="A323" s="461"/>
      <c r="B323" s="462"/>
      <c r="C323" s="463"/>
      <c r="D323" s="461"/>
      <c r="E323" s="439"/>
      <c r="F323" s="461"/>
      <c r="G323" s="439"/>
      <c r="H323" s="439"/>
      <c r="J323" s="344"/>
      <c r="K323" s="344"/>
    </row>
    <row r="324" spans="1:11" s="429" customFormat="1" ht="18" customHeight="1">
      <c r="A324" s="461"/>
      <c r="B324" s="462"/>
      <c r="C324" s="463"/>
      <c r="D324" s="461"/>
      <c r="E324" s="439"/>
      <c r="F324" s="461"/>
      <c r="G324" s="439"/>
      <c r="H324" s="439"/>
      <c r="J324" s="344"/>
      <c r="K324" s="344"/>
    </row>
    <row r="325" spans="1:11" s="429" customFormat="1" ht="18" customHeight="1">
      <c r="A325" s="461"/>
      <c r="B325" s="462"/>
      <c r="C325" s="463"/>
      <c r="D325" s="461"/>
      <c r="E325" s="439"/>
      <c r="F325" s="461"/>
      <c r="G325" s="439"/>
      <c r="H325" s="439"/>
      <c r="J325" s="344"/>
      <c r="K325" s="344"/>
    </row>
    <row r="326" spans="1:11" s="429" customFormat="1" ht="18" customHeight="1">
      <c r="A326" s="461"/>
      <c r="B326" s="462"/>
      <c r="C326" s="463"/>
      <c r="D326" s="461"/>
      <c r="E326" s="439"/>
      <c r="F326" s="461"/>
      <c r="G326" s="439"/>
      <c r="H326" s="439"/>
      <c r="J326" s="344"/>
      <c r="K326" s="344"/>
    </row>
    <row r="327" spans="1:11" s="429" customFormat="1" ht="18" customHeight="1">
      <c r="A327" s="461"/>
      <c r="B327" s="462"/>
      <c r="C327" s="463"/>
      <c r="D327" s="461"/>
      <c r="E327" s="439"/>
      <c r="F327" s="461"/>
      <c r="G327" s="439"/>
      <c r="H327" s="439"/>
      <c r="J327" s="344"/>
      <c r="K327" s="344"/>
    </row>
    <row r="328" spans="1:11" s="429" customFormat="1" ht="18" customHeight="1">
      <c r="A328" s="461"/>
      <c r="B328" s="462"/>
      <c r="C328" s="463"/>
      <c r="D328" s="461"/>
      <c r="E328" s="439"/>
      <c r="F328" s="461"/>
      <c r="G328" s="439"/>
      <c r="H328" s="439"/>
      <c r="J328" s="344"/>
      <c r="K328" s="344"/>
    </row>
    <row r="329" spans="1:11" s="429" customFormat="1" ht="18" customHeight="1">
      <c r="A329" s="461"/>
      <c r="B329" s="462"/>
      <c r="C329" s="463"/>
      <c r="D329" s="461"/>
      <c r="E329" s="439"/>
      <c r="F329" s="461"/>
      <c r="G329" s="439"/>
      <c r="H329" s="439"/>
      <c r="J329" s="344"/>
      <c r="K329" s="344"/>
    </row>
    <row r="330" spans="1:11" s="429" customFormat="1" ht="18" customHeight="1">
      <c r="A330" s="461"/>
      <c r="B330" s="462"/>
      <c r="C330" s="463"/>
      <c r="D330" s="461"/>
      <c r="E330" s="439"/>
      <c r="F330" s="461"/>
      <c r="G330" s="439"/>
      <c r="H330" s="439"/>
      <c r="J330" s="344"/>
      <c r="K330" s="344"/>
    </row>
    <row r="331" spans="1:11" s="429" customFormat="1" ht="18" customHeight="1">
      <c r="A331" s="461"/>
      <c r="B331" s="462"/>
      <c r="C331" s="463"/>
      <c r="D331" s="461"/>
      <c r="E331" s="439"/>
      <c r="F331" s="461"/>
      <c r="G331" s="439"/>
      <c r="H331" s="439"/>
      <c r="J331" s="344"/>
      <c r="K331" s="344"/>
    </row>
    <row r="332" spans="1:11" s="429" customFormat="1" ht="18" customHeight="1">
      <c r="A332" s="461"/>
      <c r="B332" s="462"/>
      <c r="C332" s="463"/>
      <c r="D332" s="461"/>
      <c r="E332" s="439"/>
      <c r="F332" s="461"/>
      <c r="G332" s="439"/>
      <c r="H332" s="439"/>
      <c r="J332" s="344"/>
      <c r="K332" s="344"/>
    </row>
    <row r="333" spans="1:11" s="429" customFormat="1" ht="18" customHeight="1">
      <c r="A333" s="461"/>
      <c r="B333" s="462"/>
      <c r="C333" s="463"/>
      <c r="D333" s="461"/>
      <c r="E333" s="439"/>
      <c r="F333" s="461"/>
      <c r="G333" s="439"/>
      <c r="H333" s="439"/>
      <c r="J333" s="344"/>
      <c r="K333" s="344"/>
    </row>
    <row r="334" spans="1:11" s="429" customFormat="1" ht="18" customHeight="1">
      <c r="A334" s="461"/>
      <c r="B334" s="462"/>
      <c r="C334" s="463"/>
      <c r="D334" s="461"/>
      <c r="E334" s="439"/>
      <c r="F334" s="461"/>
      <c r="G334" s="439"/>
      <c r="H334" s="439"/>
      <c r="J334" s="344"/>
      <c r="K334" s="344"/>
    </row>
    <row r="335" spans="1:11" s="429" customFormat="1" ht="18" customHeight="1">
      <c r="A335" s="461"/>
      <c r="B335" s="462"/>
      <c r="C335" s="463"/>
      <c r="D335" s="461"/>
      <c r="E335" s="439"/>
      <c r="F335" s="461"/>
      <c r="G335" s="439"/>
      <c r="H335" s="439"/>
      <c r="J335" s="344"/>
      <c r="K335" s="344"/>
    </row>
    <row r="336" spans="1:11" s="429" customFormat="1" ht="18" customHeight="1">
      <c r="A336" s="461"/>
      <c r="B336" s="462"/>
      <c r="C336" s="463"/>
      <c r="D336" s="461"/>
      <c r="E336" s="439"/>
      <c r="F336" s="461"/>
      <c r="G336" s="439"/>
      <c r="H336" s="439"/>
      <c r="J336" s="344"/>
      <c r="K336" s="344"/>
    </row>
    <row r="337" spans="1:11" s="429" customFormat="1" ht="18" customHeight="1">
      <c r="A337" s="461"/>
      <c r="B337" s="462"/>
      <c r="C337" s="463"/>
      <c r="D337" s="461"/>
      <c r="E337" s="439"/>
      <c r="F337" s="461"/>
      <c r="G337" s="439"/>
      <c r="H337" s="439"/>
      <c r="J337" s="344"/>
      <c r="K337" s="344"/>
    </row>
    <row r="338" spans="1:11" s="429" customFormat="1" ht="18" customHeight="1">
      <c r="A338" s="461"/>
      <c r="B338" s="462"/>
      <c r="C338" s="463"/>
      <c r="D338" s="461"/>
      <c r="E338" s="439"/>
      <c r="F338" s="461"/>
      <c r="G338" s="439"/>
      <c r="H338" s="439"/>
      <c r="J338" s="344"/>
      <c r="K338" s="344"/>
    </row>
    <row r="339" spans="1:11" s="429" customFormat="1" ht="18" customHeight="1">
      <c r="A339" s="461"/>
      <c r="B339" s="462"/>
      <c r="C339" s="463"/>
      <c r="D339" s="461"/>
      <c r="E339" s="439"/>
      <c r="F339" s="461"/>
      <c r="G339" s="439"/>
      <c r="H339" s="439"/>
      <c r="J339" s="344"/>
      <c r="K339" s="344"/>
    </row>
    <row r="340" spans="1:11" s="429" customFormat="1" ht="18" customHeight="1">
      <c r="A340" s="461"/>
      <c r="B340" s="462"/>
      <c r="C340" s="463"/>
      <c r="D340" s="461"/>
      <c r="E340" s="439"/>
      <c r="F340" s="461"/>
      <c r="G340" s="439"/>
      <c r="H340" s="439"/>
      <c r="J340" s="344"/>
      <c r="K340" s="344"/>
    </row>
    <row r="341" spans="1:11" s="429" customFormat="1" ht="18" customHeight="1">
      <c r="A341" s="461"/>
      <c r="B341" s="462"/>
      <c r="C341" s="463"/>
      <c r="D341" s="461"/>
      <c r="E341" s="439"/>
      <c r="F341" s="461"/>
      <c r="G341" s="439"/>
      <c r="H341" s="439"/>
      <c r="J341" s="344"/>
      <c r="K341" s="344"/>
    </row>
    <row r="342" spans="1:11" s="429" customFormat="1" ht="18" customHeight="1">
      <c r="A342" s="461"/>
      <c r="B342" s="462"/>
      <c r="C342" s="463"/>
      <c r="D342" s="461"/>
      <c r="E342" s="439"/>
      <c r="F342" s="461"/>
      <c r="G342" s="439"/>
      <c r="H342" s="439"/>
      <c r="J342" s="344"/>
      <c r="K342" s="344"/>
    </row>
    <row r="343" spans="1:11" s="429" customFormat="1" ht="18" customHeight="1">
      <c r="A343" s="461"/>
      <c r="B343" s="462"/>
      <c r="C343" s="463"/>
      <c r="D343" s="461"/>
      <c r="E343" s="439"/>
      <c r="F343" s="461"/>
      <c r="G343" s="439"/>
      <c r="H343" s="439"/>
      <c r="J343" s="344"/>
      <c r="K343" s="344"/>
    </row>
    <row r="344" spans="1:11" s="429" customFormat="1" ht="18" customHeight="1">
      <c r="A344" s="461"/>
      <c r="B344" s="462"/>
      <c r="C344" s="463"/>
      <c r="D344" s="461"/>
      <c r="E344" s="439"/>
      <c r="F344" s="461"/>
      <c r="G344" s="439"/>
      <c r="H344" s="439"/>
      <c r="J344" s="344"/>
      <c r="K344" s="344"/>
    </row>
    <row r="345" spans="1:11" s="429" customFormat="1" ht="18" customHeight="1">
      <c r="A345" s="461"/>
      <c r="B345" s="462"/>
      <c r="C345" s="463"/>
      <c r="D345" s="461"/>
      <c r="E345" s="439"/>
      <c r="F345" s="461"/>
      <c r="G345" s="439"/>
      <c r="H345" s="439"/>
      <c r="J345" s="344"/>
      <c r="K345" s="344"/>
    </row>
    <row r="346" spans="1:11" s="429" customFormat="1" ht="18" customHeight="1">
      <c r="A346" s="461"/>
      <c r="B346" s="462"/>
      <c r="C346" s="463"/>
      <c r="D346" s="461"/>
      <c r="E346" s="439"/>
      <c r="F346" s="461"/>
      <c r="G346" s="439"/>
      <c r="H346" s="439"/>
      <c r="J346" s="344"/>
      <c r="K346" s="344"/>
    </row>
    <row r="347" spans="1:11" s="429" customFormat="1" ht="18" customHeight="1">
      <c r="A347" s="461"/>
      <c r="B347" s="462"/>
      <c r="C347" s="463"/>
      <c r="D347" s="461"/>
      <c r="E347" s="439"/>
      <c r="F347" s="461"/>
      <c r="G347" s="439"/>
      <c r="H347" s="439"/>
      <c r="J347" s="344"/>
      <c r="K347" s="344"/>
    </row>
    <row r="348" spans="1:11" s="429" customFormat="1" ht="18" customHeight="1">
      <c r="A348" s="461"/>
      <c r="B348" s="462"/>
      <c r="C348" s="463"/>
      <c r="D348" s="461"/>
      <c r="E348" s="439"/>
      <c r="F348" s="461"/>
      <c r="G348" s="439"/>
      <c r="H348" s="439"/>
      <c r="J348" s="344"/>
      <c r="K348" s="344"/>
    </row>
    <row r="349" spans="1:11" s="429" customFormat="1" ht="18" customHeight="1">
      <c r="A349" s="461"/>
      <c r="B349" s="462"/>
      <c r="C349" s="463"/>
      <c r="D349" s="461"/>
      <c r="E349" s="439"/>
      <c r="F349" s="461"/>
      <c r="G349" s="439"/>
      <c r="H349" s="439"/>
      <c r="J349" s="344"/>
      <c r="K349" s="344"/>
    </row>
    <row r="350" spans="1:11" s="429" customFormat="1" ht="18" customHeight="1">
      <c r="A350" s="461"/>
      <c r="B350" s="462"/>
      <c r="C350" s="463"/>
      <c r="D350" s="461"/>
      <c r="E350" s="439"/>
      <c r="F350" s="461"/>
      <c r="G350" s="439"/>
      <c r="H350" s="439"/>
      <c r="J350" s="344"/>
      <c r="K350" s="344"/>
    </row>
    <row r="351" spans="1:11" s="429" customFormat="1" ht="18" customHeight="1">
      <c r="A351" s="461"/>
      <c r="B351" s="462"/>
      <c r="C351" s="463"/>
      <c r="D351" s="461"/>
      <c r="E351" s="439"/>
      <c r="F351" s="461"/>
      <c r="G351" s="439"/>
      <c r="H351" s="439"/>
      <c r="J351" s="344"/>
      <c r="K351" s="344"/>
    </row>
    <row r="352" spans="1:11" s="429" customFormat="1" ht="18" customHeight="1">
      <c r="A352" s="461"/>
      <c r="B352" s="462"/>
      <c r="C352" s="463"/>
      <c r="D352" s="461"/>
      <c r="E352" s="439"/>
      <c r="F352" s="461"/>
      <c r="G352" s="439"/>
      <c r="H352" s="439"/>
      <c r="J352" s="344"/>
      <c r="K352" s="344"/>
    </row>
    <row r="353" spans="1:11" s="429" customFormat="1" ht="18" customHeight="1">
      <c r="A353" s="461"/>
      <c r="B353" s="462"/>
      <c r="C353" s="463"/>
      <c r="D353" s="461"/>
      <c r="E353" s="439"/>
      <c r="F353" s="461"/>
      <c r="G353" s="439"/>
      <c r="H353" s="439"/>
      <c r="J353" s="344"/>
      <c r="K353" s="344"/>
    </row>
    <row r="354" spans="1:11" s="429" customFormat="1" ht="18" customHeight="1">
      <c r="A354" s="461"/>
      <c r="B354" s="462"/>
      <c r="C354" s="463"/>
      <c r="D354" s="461"/>
      <c r="E354" s="439"/>
      <c r="F354" s="461"/>
      <c r="G354" s="439"/>
      <c r="H354" s="439"/>
      <c r="J354" s="344"/>
      <c r="K354" s="344"/>
    </row>
    <row r="355" spans="1:11" s="429" customFormat="1" ht="18" customHeight="1">
      <c r="A355" s="461"/>
      <c r="B355" s="462"/>
      <c r="C355" s="463"/>
      <c r="D355" s="461"/>
      <c r="E355" s="439"/>
      <c r="F355" s="461"/>
      <c r="G355" s="439"/>
      <c r="H355" s="439"/>
      <c r="J355" s="344"/>
      <c r="K355" s="344"/>
    </row>
    <row r="356" spans="1:11" s="429" customFormat="1" ht="18" customHeight="1">
      <c r="A356" s="461"/>
      <c r="B356" s="462"/>
      <c r="C356" s="463"/>
      <c r="D356" s="461"/>
      <c r="E356" s="439"/>
      <c r="F356" s="461"/>
      <c r="G356" s="439"/>
      <c r="H356" s="439"/>
      <c r="J356" s="344"/>
      <c r="K356" s="344"/>
    </row>
    <row r="357" spans="1:11" s="429" customFormat="1" ht="18" customHeight="1">
      <c r="A357" s="461"/>
      <c r="B357" s="462"/>
      <c r="C357" s="463"/>
      <c r="D357" s="461"/>
      <c r="E357" s="439"/>
      <c r="F357" s="461"/>
      <c r="G357" s="439"/>
      <c r="H357" s="439"/>
      <c r="J357" s="344"/>
      <c r="K357" s="344"/>
    </row>
    <row r="358" spans="1:11" s="429" customFormat="1" ht="18" customHeight="1">
      <c r="A358" s="461"/>
      <c r="B358" s="462"/>
      <c r="C358" s="463"/>
      <c r="D358" s="461"/>
      <c r="E358" s="439"/>
      <c r="F358" s="461"/>
      <c r="G358" s="439"/>
      <c r="H358" s="439"/>
      <c r="J358" s="344"/>
      <c r="K358" s="344"/>
    </row>
    <row r="359" spans="1:11" s="429" customFormat="1" ht="18" customHeight="1">
      <c r="A359" s="461"/>
      <c r="B359" s="462"/>
      <c r="C359" s="463"/>
      <c r="D359" s="461"/>
      <c r="E359" s="439"/>
      <c r="F359" s="461"/>
      <c r="G359" s="439"/>
      <c r="H359" s="439"/>
      <c r="J359" s="344"/>
      <c r="K359" s="344"/>
    </row>
    <row r="360" spans="1:11" s="429" customFormat="1" ht="18" customHeight="1">
      <c r="A360" s="461"/>
      <c r="B360" s="462"/>
      <c r="C360" s="463"/>
      <c r="D360" s="461"/>
      <c r="E360" s="439"/>
      <c r="F360" s="461"/>
      <c r="G360" s="439"/>
      <c r="H360" s="439"/>
      <c r="J360" s="344"/>
      <c r="K360" s="344"/>
    </row>
    <row r="361" spans="1:11" s="429" customFormat="1" ht="18" customHeight="1">
      <c r="A361" s="461"/>
      <c r="B361" s="462"/>
      <c r="C361" s="463"/>
      <c r="D361" s="461"/>
      <c r="E361" s="439"/>
      <c r="F361" s="461"/>
      <c r="G361" s="439"/>
      <c r="H361" s="439"/>
      <c r="J361" s="344"/>
      <c r="K361" s="344"/>
    </row>
    <row r="362" spans="1:11" s="429" customFormat="1" ht="18" customHeight="1">
      <c r="A362" s="461"/>
      <c r="B362" s="462"/>
      <c r="C362" s="463"/>
      <c r="D362" s="461"/>
      <c r="E362" s="439"/>
      <c r="F362" s="461"/>
      <c r="G362" s="439"/>
      <c r="H362" s="439"/>
      <c r="J362" s="344"/>
      <c r="K362" s="344"/>
    </row>
    <row r="363" spans="1:11" s="429" customFormat="1" ht="18" customHeight="1">
      <c r="A363" s="461"/>
      <c r="B363" s="462"/>
      <c r="C363" s="463"/>
      <c r="D363" s="461"/>
      <c r="E363" s="439"/>
      <c r="F363" s="461"/>
      <c r="G363" s="439"/>
      <c r="H363" s="439"/>
      <c r="J363" s="344"/>
      <c r="K363" s="344"/>
    </row>
    <row r="364" spans="1:11" s="429" customFormat="1" ht="18" customHeight="1">
      <c r="A364" s="461"/>
      <c r="B364" s="462"/>
      <c r="C364" s="463"/>
      <c r="D364" s="461"/>
      <c r="E364" s="439"/>
      <c r="F364" s="461"/>
      <c r="G364" s="439"/>
      <c r="H364" s="439"/>
      <c r="J364" s="344"/>
      <c r="K364" s="344"/>
    </row>
    <row r="365" spans="1:11" s="429" customFormat="1" ht="18" customHeight="1">
      <c r="A365" s="461"/>
      <c r="B365" s="462"/>
      <c r="C365" s="463"/>
      <c r="D365" s="461"/>
      <c r="E365" s="439"/>
      <c r="F365" s="461"/>
      <c r="G365" s="439"/>
      <c r="H365" s="439"/>
      <c r="J365" s="344"/>
      <c r="K365" s="344"/>
    </row>
    <row r="366" spans="1:11" s="429" customFormat="1" ht="18" customHeight="1">
      <c r="A366" s="461"/>
      <c r="B366" s="462"/>
      <c r="C366" s="463"/>
      <c r="D366" s="461"/>
      <c r="E366" s="439"/>
      <c r="F366" s="461"/>
      <c r="G366" s="439"/>
      <c r="H366" s="439"/>
      <c r="J366" s="344"/>
      <c r="K366" s="344"/>
    </row>
    <row r="367" spans="1:11" s="429" customFormat="1" ht="18" customHeight="1">
      <c r="A367" s="461"/>
      <c r="B367" s="462"/>
      <c r="C367" s="463"/>
      <c r="D367" s="461"/>
      <c r="E367" s="439"/>
      <c r="F367" s="461"/>
      <c r="G367" s="439"/>
      <c r="H367" s="439"/>
      <c r="J367" s="344"/>
      <c r="K367" s="344"/>
    </row>
    <row r="368" spans="1:11" s="429" customFormat="1" ht="18" customHeight="1">
      <c r="A368" s="461"/>
      <c r="B368" s="462"/>
      <c r="C368" s="463"/>
      <c r="D368" s="461"/>
      <c r="E368" s="439"/>
      <c r="F368" s="461"/>
      <c r="G368" s="439"/>
      <c r="H368" s="439"/>
      <c r="J368" s="344"/>
      <c r="K368" s="344"/>
    </row>
    <row r="369" spans="1:11" s="429" customFormat="1" ht="18" customHeight="1">
      <c r="A369" s="461"/>
      <c r="B369" s="462"/>
      <c r="C369" s="463"/>
      <c r="D369" s="461"/>
      <c r="E369" s="439"/>
      <c r="F369" s="461"/>
      <c r="G369" s="439"/>
      <c r="H369" s="439"/>
      <c r="J369" s="344"/>
      <c r="K369" s="344"/>
    </row>
    <row r="370" spans="1:11" s="429" customFormat="1" ht="18" customHeight="1">
      <c r="A370" s="461"/>
      <c r="B370" s="462"/>
      <c r="C370" s="463"/>
      <c r="D370" s="461"/>
      <c r="E370" s="439"/>
      <c r="F370" s="461"/>
      <c r="G370" s="439"/>
      <c r="H370" s="439"/>
      <c r="J370" s="344"/>
      <c r="K370" s="344"/>
    </row>
    <row r="371" spans="1:11" s="429" customFormat="1" ht="18" customHeight="1">
      <c r="A371" s="461"/>
      <c r="B371" s="462"/>
      <c r="C371" s="463"/>
      <c r="D371" s="461"/>
      <c r="E371" s="439"/>
      <c r="F371" s="461"/>
      <c r="G371" s="439"/>
      <c r="H371" s="439"/>
      <c r="J371" s="344"/>
      <c r="K371" s="344"/>
    </row>
    <row r="372" spans="1:11" s="429" customFormat="1" ht="18" customHeight="1">
      <c r="A372" s="461"/>
      <c r="B372" s="462"/>
      <c r="C372" s="463"/>
      <c r="D372" s="461"/>
      <c r="E372" s="439"/>
      <c r="F372" s="461"/>
      <c r="G372" s="439"/>
      <c r="H372" s="439"/>
      <c r="J372" s="344"/>
      <c r="K372" s="344"/>
    </row>
    <row r="373" spans="1:11" s="429" customFormat="1" ht="18" customHeight="1">
      <c r="A373" s="461"/>
      <c r="B373" s="462"/>
      <c r="C373" s="463"/>
      <c r="D373" s="461"/>
      <c r="E373" s="439"/>
      <c r="F373" s="461"/>
      <c r="G373" s="439"/>
      <c r="H373" s="439"/>
      <c r="J373" s="344"/>
      <c r="K373" s="344"/>
    </row>
    <row r="374" spans="1:11" s="429" customFormat="1" ht="18" customHeight="1">
      <c r="A374" s="461"/>
      <c r="B374" s="462"/>
      <c r="C374" s="463"/>
      <c r="D374" s="461"/>
      <c r="E374" s="439"/>
      <c r="F374" s="461"/>
      <c r="G374" s="439"/>
      <c r="H374" s="439"/>
      <c r="J374" s="344"/>
      <c r="K374" s="344"/>
    </row>
    <row r="375" spans="1:11" s="429" customFormat="1" ht="18" customHeight="1">
      <c r="A375" s="461"/>
      <c r="B375" s="462"/>
      <c r="C375" s="463"/>
      <c r="D375" s="461"/>
      <c r="E375" s="439"/>
      <c r="F375" s="461"/>
      <c r="G375" s="439"/>
      <c r="H375" s="439"/>
      <c r="J375" s="344"/>
      <c r="K375" s="344"/>
    </row>
    <row r="376" spans="1:11" s="429" customFormat="1" ht="18" customHeight="1">
      <c r="A376" s="461"/>
      <c r="B376" s="462"/>
      <c r="C376" s="463"/>
      <c r="D376" s="461"/>
      <c r="E376" s="439"/>
      <c r="F376" s="461"/>
      <c r="G376" s="439"/>
      <c r="H376" s="439"/>
      <c r="J376" s="344"/>
      <c r="K376" s="344"/>
    </row>
    <row r="377" spans="1:11" s="429" customFormat="1" ht="18" customHeight="1">
      <c r="A377" s="461"/>
      <c r="B377" s="462"/>
      <c r="C377" s="463"/>
      <c r="D377" s="461"/>
      <c r="E377" s="439"/>
      <c r="F377" s="461"/>
      <c r="G377" s="439"/>
      <c r="H377" s="439"/>
      <c r="J377" s="344"/>
      <c r="K377" s="344"/>
    </row>
    <row r="378" spans="1:11" s="429" customFormat="1" ht="18" customHeight="1">
      <c r="A378" s="461"/>
      <c r="B378" s="462"/>
      <c r="C378" s="463"/>
      <c r="D378" s="461"/>
      <c r="E378" s="439"/>
      <c r="F378" s="461"/>
      <c r="G378" s="439"/>
      <c r="H378" s="439"/>
      <c r="J378" s="344"/>
      <c r="K378" s="344"/>
    </row>
    <row r="379" spans="1:11" s="429" customFormat="1" ht="18" customHeight="1">
      <c r="A379" s="461"/>
      <c r="B379" s="462"/>
      <c r="C379" s="463"/>
      <c r="D379" s="461"/>
      <c r="E379" s="439"/>
      <c r="F379" s="461"/>
      <c r="G379" s="439"/>
      <c r="H379" s="439"/>
      <c r="J379" s="344"/>
      <c r="K379" s="344"/>
    </row>
    <row r="380" spans="1:11" s="429" customFormat="1" ht="18" customHeight="1">
      <c r="A380" s="461"/>
      <c r="B380" s="462"/>
      <c r="C380" s="463"/>
      <c r="D380" s="461"/>
      <c r="E380" s="439"/>
      <c r="F380" s="461"/>
      <c r="G380" s="439"/>
      <c r="H380" s="439"/>
      <c r="J380" s="344"/>
      <c r="K380" s="344"/>
    </row>
    <row r="381" spans="1:11" s="429" customFormat="1" ht="18" customHeight="1">
      <c r="A381" s="461"/>
      <c r="B381" s="462"/>
      <c r="C381" s="463"/>
      <c r="D381" s="461"/>
      <c r="E381" s="439"/>
      <c r="F381" s="461"/>
      <c r="G381" s="439"/>
      <c r="H381" s="439"/>
      <c r="J381" s="344"/>
      <c r="K381" s="344"/>
    </row>
    <row r="382" spans="1:11" s="429" customFormat="1" ht="18" customHeight="1">
      <c r="A382" s="461"/>
      <c r="B382" s="462"/>
      <c r="C382" s="463"/>
      <c r="D382" s="461"/>
      <c r="E382" s="439"/>
      <c r="F382" s="461"/>
      <c r="G382" s="439"/>
      <c r="H382" s="439"/>
      <c r="J382" s="344"/>
      <c r="K382" s="344"/>
    </row>
    <row r="383" spans="1:11" s="429" customFormat="1" ht="18" customHeight="1">
      <c r="A383" s="461"/>
      <c r="B383" s="462"/>
      <c r="C383" s="463"/>
      <c r="D383" s="461"/>
      <c r="E383" s="439"/>
      <c r="F383" s="461"/>
      <c r="G383" s="439"/>
      <c r="H383" s="439"/>
      <c r="J383" s="344"/>
      <c r="K383" s="344"/>
    </row>
    <row r="384" spans="1:11" s="429" customFormat="1" ht="18" customHeight="1">
      <c r="A384" s="461"/>
      <c r="B384" s="462"/>
      <c r="C384" s="463"/>
      <c r="D384" s="461"/>
      <c r="E384" s="439"/>
      <c r="F384" s="461"/>
      <c r="G384" s="439"/>
      <c r="H384" s="439"/>
      <c r="J384" s="344"/>
      <c r="K384" s="344"/>
    </row>
    <row r="385" spans="1:11" s="429" customFormat="1" ht="18" customHeight="1">
      <c r="A385" s="461"/>
      <c r="B385" s="462"/>
      <c r="C385" s="463"/>
      <c r="D385" s="461"/>
      <c r="E385" s="439"/>
      <c r="F385" s="461"/>
      <c r="G385" s="439"/>
      <c r="H385" s="439"/>
      <c r="J385" s="344"/>
      <c r="K385" s="344"/>
    </row>
    <row r="386" spans="1:11" s="429" customFormat="1" ht="18" customHeight="1">
      <c r="A386" s="461"/>
      <c r="B386" s="462"/>
      <c r="C386" s="463"/>
      <c r="D386" s="461"/>
      <c r="E386" s="439"/>
      <c r="F386" s="461"/>
      <c r="G386" s="439"/>
      <c r="H386" s="439"/>
      <c r="J386" s="344"/>
      <c r="K386" s="344"/>
    </row>
    <row r="387" spans="1:11" s="429" customFormat="1" ht="18" customHeight="1">
      <c r="A387" s="461"/>
      <c r="B387" s="462"/>
      <c r="C387" s="463"/>
      <c r="D387" s="461"/>
      <c r="E387" s="439"/>
      <c r="F387" s="461"/>
      <c r="G387" s="439"/>
      <c r="H387" s="439"/>
      <c r="J387" s="344"/>
      <c r="K387" s="344"/>
    </row>
    <row r="388" spans="1:11" s="429" customFormat="1" ht="18" customHeight="1">
      <c r="A388" s="461"/>
      <c r="B388" s="462"/>
      <c r="C388" s="463"/>
      <c r="D388" s="461"/>
      <c r="E388" s="439"/>
      <c r="F388" s="461"/>
      <c r="G388" s="439"/>
      <c r="H388" s="439"/>
      <c r="J388" s="344"/>
      <c r="K388" s="344"/>
    </row>
    <row r="389" spans="1:11" s="429" customFormat="1" ht="18" customHeight="1">
      <c r="A389" s="461"/>
      <c r="B389" s="462"/>
      <c r="C389" s="463"/>
      <c r="D389" s="461"/>
      <c r="E389" s="439"/>
      <c r="F389" s="461"/>
      <c r="G389" s="439"/>
      <c r="H389" s="439"/>
      <c r="J389" s="344"/>
      <c r="K389" s="344"/>
    </row>
    <row r="390" spans="1:11" s="429" customFormat="1" ht="18" customHeight="1">
      <c r="A390" s="461"/>
      <c r="B390" s="462"/>
      <c r="C390" s="463"/>
      <c r="D390" s="461"/>
      <c r="E390" s="439"/>
      <c r="F390" s="461"/>
      <c r="G390" s="439"/>
      <c r="H390" s="439"/>
      <c r="J390" s="344"/>
      <c r="K390" s="344"/>
    </row>
    <row r="391" spans="1:11" s="429" customFormat="1" ht="18" customHeight="1">
      <c r="A391" s="461"/>
      <c r="B391" s="462"/>
      <c r="C391" s="463"/>
      <c r="D391" s="461"/>
      <c r="E391" s="439"/>
      <c r="F391" s="461"/>
      <c r="G391" s="439"/>
      <c r="H391" s="439"/>
      <c r="J391" s="344"/>
      <c r="K391" s="344"/>
    </row>
    <row r="392" spans="1:11" s="429" customFormat="1" ht="18" customHeight="1">
      <c r="A392" s="461"/>
      <c r="B392" s="462"/>
      <c r="C392" s="463"/>
      <c r="D392" s="461"/>
      <c r="E392" s="439"/>
      <c r="F392" s="461"/>
      <c r="G392" s="439"/>
      <c r="H392" s="439"/>
      <c r="J392" s="344"/>
      <c r="K392" s="344"/>
    </row>
    <row r="393" spans="1:11" s="429" customFormat="1" ht="18" customHeight="1">
      <c r="A393" s="461"/>
      <c r="B393" s="462"/>
      <c r="C393" s="463"/>
      <c r="D393" s="461"/>
      <c r="E393" s="439"/>
      <c r="F393" s="461"/>
      <c r="G393" s="439"/>
      <c r="H393" s="439"/>
      <c r="J393" s="344"/>
      <c r="K393" s="344"/>
    </row>
    <row r="394" spans="1:11" s="429" customFormat="1" ht="18" customHeight="1">
      <c r="A394" s="461"/>
      <c r="B394" s="462"/>
      <c r="C394" s="463"/>
      <c r="D394" s="461"/>
      <c r="E394" s="439"/>
      <c r="F394" s="461"/>
      <c r="G394" s="439"/>
      <c r="H394" s="439"/>
      <c r="J394" s="344"/>
      <c r="K394" s="344"/>
    </row>
    <row r="395" spans="1:11" s="429" customFormat="1" ht="18" customHeight="1">
      <c r="A395" s="461"/>
      <c r="B395" s="462"/>
      <c r="C395" s="463"/>
      <c r="D395" s="461"/>
      <c r="E395" s="439"/>
      <c r="F395" s="461"/>
      <c r="G395" s="439"/>
      <c r="H395" s="439"/>
      <c r="J395" s="344"/>
      <c r="K395" s="344"/>
    </row>
    <row r="396" spans="1:11" s="429" customFormat="1" ht="18" customHeight="1">
      <c r="A396" s="461"/>
      <c r="B396" s="462"/>
      <c r="C396" s="463"/>
      <c r="D396" s="461"/>
      <c r="E396" s="439"/>
      <c r="F396" s="461"/>
      <c r="G396" s="439"/>
      <c r="H396" s="439"/>
      <c r="J396" s="344"/>
      <c r="K396" s="344"/>
    </row>
    <row r="397" spans="1:11" s="429" customFormat="1" ht="18" customHeight="1">
      <c r="A397" s="461"/>
      <c r="B397" s="462"/>
      <c r="C397" s="463"/>
      <c r="D397" s="461"/>
      <c r="E397" s="439"/>
      <c r="F397" s="461"/>
      <c r="G397" s="439"/>
      <c r="H397" s="439"/>
      <c r="J397" s="344"/>
      <c r="K397" s="344"/>
    </row>
    <row r="398" spans="1:11" s="429" customFormat="1" ht="18" customHeight="1">
      <c r="A398" s="461"/>
      <c r="B398" s="462"/>
      <c r="C398" s="463"/>
      <c r="D398" s="461"/>
      <c r="E398" s="439"/>
      <c r="F398" s="461"/>
      <c r="G398" s="439"/>
      <c r="H398" s="439"/>
      <c r="J398" s="344"/>
      <c r="K398" s="344"/>
    </row>
    <row r="399" spans="1:11" s="429" customFormat="1" ht="18" customHeight="1">
      <c r="A399" s="461"/>
      <c r="B399" s="462"/>
      <c r="C399" s="463"/>
      <c r="D399" s="461"/>
      <c r="E399" s="439"/>
      <c r="F399" s="461"/>
      <c r="G399" s="439"/>
      <c r="H399" s="439"/>
      <c r="J399" s="344"/>
      <c r="K399" s="344"/>
    </row>
    <row r="400" spans="1:11" s="429" customFormat="1" ht="18" customHeight="1">
      <c r="A400" s="461"/>
      <c r="B400" s="462"/>
      <c r="C400" s="463"/>
      <c r="D400" s="461"/>
      <c r="E400" s="439"/>
      <c r="F400" s="461"/>
      <c r="G400" s="439"/>
      <c r="H400" s="439"/>
      <c r="J400" s="344"/>
      <c r="K400" s="344"/>
    </row>
    <row r="401" spans="1:11" s="429" customFormat="1" ht="18" customHeight="1">
      <c r="A401" s="461"/>
      <c r="B401" s="462"/>
      <c r="C401" s="463"/>
      <c r="D401" s="461"/>
      <c r="E401" s="439"/>
      <c r="F401" s="461"/>
      <c r="G401" s="439"/>
      <c r="H401" s="439"/>
      <c r="J401" s="344"/>
      <c r="K401" s="344"/>
    </row>
    <row r="402" spans="1:11" s="429" customFormat="1" ht="18" customHeight="1">
      <c r="A402" s="461"/>
      <c r="B402" s="462"/>
      <c r="C402" s="463"/>
      <c r="D402" s="461"/>
      <c r="E402" s="439"/>
      <c r="F402" s="461"/>
      <c r="G402" s="439"/>
      <c r="H402" s="439"/>
      <c r="J402" s="344"/>
      <c r="K402" s="344"/>
    </row>
    <row r="403" spans="1:11" s="429" customFormat="1" ht="18" customHeight="1">
      <c r="A403" s="461"/>
      <c r="B403" s="462"/>
      <c r="C403" s="463"/>
      <c r="D403" s="461"/>
      <c r="E403" s="439"/>
      <c r="F403" s="461"/>
      <c r="G403" s="439"/>
      <c r="H403" s="439"/>
      <c r="J403" s="344"/>
      <c r="K403" s="344"/>
    </row>
    <row r="404" spans="1:11" s="429" customFormat="1" ht="18" customHeight="1">
      <c r="A404" s="461"/>
      <c r="B404" s="462"/>
      <c r="C404" s="463"/>
      <c r="D404" s="461"/>
      <c r="E404" s="439"/>
      <c r="F404" s="461"/>
      <c r="G404" s="439"/>
      <c r="H404" s="439"/>
      <c r="J404" s="344"/>
      <c r="K404" s="344"/>
    </row>
    <row r="405" spans="1:11" s="429" customFormat="1" ht="18" customHeight="1">
      <c r="A405" s="461"/>
      <c r="B405" s="462"/>
      <c r="C405" s="463"/>
      <c r="D405" s="461"/>
      <c r="E405" s="439"/>
      <c r="F405" s="461"/>
      <c r="G405" s="439"/>
      <c r="H405" s="439"/>
      <c r="J405" s="344"/>
      <c r="K405" s="344"/>
    </row>
    <row r="406" spans="1:11" s="429" customFormat="1" ht="18" customHeight="1">
      <c r="A406" s="461"/>
      <c r="B406" s="462"/>
      <c r="C406" s="463"/>
      <c r="D406" s="461"/>
      <c r="E406" s="439"/>
      <c r="F406" s="461"/>
      <c r="G406" s="439"/>
      <c r="H406" s="439"/>
      <c r="J406" s="344"/>
      <c r="K406" s="344"/>
    </row>
    <row r="407" spans="1:11" s="429" customFormat="1" ht="18" customHeight="1">
      <c r="A407" s="461"/>
      <c r="B407" s="462"/>
      <c r="C407" s="463"/>
      <c r="D407" s="461"/>
      <c r="E407" s="439"/>
      <c r="F407" s="461"/>
      <c r="G407" s="439"/>
      <c r="H407" s="439"/>
      <c r="J407" s="344"/>
      <c r="K407" s="344"/>
    </row>
    <row r="408" spans="1:11" s="429" customFormat="1" ht="18" customHeight="1">
      <c r="A408" s="461"/>
      <c r="B408" s="462"/>
      <c r="C408" s="463"/>
      <c r="D408" s="461"/>
      <c r="E408" s="439"/>
      <c r="F408" s="461"/>
      <c r="G408" s="439"/>
      <c r="H408" s="439"/>
      <c r="J408" s="344"/>
      <c r="K408" s="344"/>
    </row>
    <row r="409" spans="1:11" s="429" customFormat="1" ht="18" customHeight="1">
      <c r="A409" s="461"/>
      <c r="B409" s="462"/>
      <c r="C409" s="463"/>
      <c r="D409" s="461"/>
      <c r="E409" s="439"/>
      <c r="F409" s="461"/>
      <c r="G409" s="439"/>
      <c r="H409" s="439"/>
      <c r="J409" s="344"/>
      <c r="K409" s="344"/>
    </row>
    <row r="410" spans="1:11" s="429" customFormat="1" ht="18" customHeight="1">
      <c r="A410" s="461"/>
      <c r="B410" s="462"/>
      <c r="C410" s="463"/>
      <c r="D410" s="461"/>
      <c r="E410" s="439"/>
      <c r="F410" s="461"/>
      <c r="G410" s="439"/>
      <c r="H410" s="439"/>
      <c r="J410" s="344"/>
      <c r="K410" s="344"/>
    </row>
    <row r="411" spans="1:11" s="429" customFormat="1" ht="18" customHeight="1">
      <c r="A411" s="461"/>
      <c r="B411" s="462"/>
      <c r="C411" s="463"/>
      <c r="D411" s="461"/>
      <c r="E411" s="439"/>
      <c r="F411" s="461"/>
      <c r="G411" s="439"/>
      <c r="H411" s="439"/>
      <c r="J411" s="344"/>
      <c r="K411" s="344"/>
    </row>
    <row r="412" spans="1:11" s="429" customFormat="1" ht="18" customHeight="1">
      <c r="A412" s="461"/>
      <c r="B412" s="462"/>
      <c r="C412" s="463"/>
      <c r="D412" s="461"/>
      <c r="E412" s="439"/>
      <c r="F412" s="461"/>
      <c r="G412" s="439"/>
      <c r="H412" s="439"/>
      <c r="J412" s="344"/>
      <c r="K412" s="344"/>
    </row>
    <row r="413" spans="1:11" s="429" customFormat="1" ht="18" customHeight="1">
      <c r="A413" s="461"/>
      <c r="B413" s="462"/>
      <c r="C413" s="463"/>
      <c r="D413" s="461"/>
      <c r="E413" s="439"/>
      <c r="F413" s="461"/>
      <c r="G413" s="439"/>
      <c r="H413" s="439"/>
      <c r="J413" s="344"/>
      <c r="K413" s="344"/>
    </row>
    <row r="414" spans="1:11" s="429" customFormat="1" ht="18" customHeight="1">
      <c r="A414" s="461"/>
      <c r="B414" s="462"/>
      <c r="C414" s="463"/>
      <c r="D414" s="461"/>
      <c r="E414" s="439"/>
      <c r="F414" s="461"/>
      <c r="G414" s="439"/>
      <c r="H414" s="439"/>
      <c r="J414" s="344"/>
      <c r="K414" s="344"/>
    </row>
    <row r="415" spans="1:11" s="429" customFormat="1" ht="18" customHeight="1">
      <c r="A415" s="461"/>
      <c r="B415" s="462"/>
      <c r="C415" s="463"/>
      <c r="D415" s="461"/>
      <c r="E415" s="439"/>
      <c r="F415" s="461"/>
      <c r="G415" s="439"/>
      <c r="H415" s="439"/>
      <c r="J415" s="344"/>
      <c r="K415" s="344"/>
    </row>
    <row r="416" spans="1:11" s="429" customFormat="1" ht="18" customHeight="1">
      <c r="A416" s="461"/>
      <c r="B416" s="462"/>
      <c r="C416" s="463"/>
      <c r="D416" s="461"/>
      <c r="E416" s="439"/>
      <c r="F416" s="461"/>
      <c r="G416" s="439"/>
      <c r="H416" s="439"/>
      <c r="J416" s="344"/>
      <c r="K416" s="344"/>
    </row>
    <row r="417" spans="1:11" s="429" customFormat="1" ht="18" customHeight="1">
      <c r="A417" s="461"/>
      <c r="B417" s="462"/>
      <c r="C417" s="463"/>
      <c r="D417" s="461"/>
      <c r="E417" s="439"/>
      <c r="F417" s="461"/>
      <c r="G417" s="439"/>
      <c r="H417" s="439"/>
      <c r="J417" s="344"/>
      <c r="K417" s="344"/>
    </row>
    <row r="418" spans="1:11" s="429" customFormat="1" ht="18" customHeight="1">
      <c r="A418" s="461"/>
      <c r="B418" s="462"/>
      <c r="C418" s="463"/>
      <c r="D418" s="461"/>
      <c r="E418" s="439"/>
      <c r="F418" s="461"/>
      <c r="G418" s="439"/>
      <c r="H418" s="439"/>
      <c r="J418" s="344"/>
      <c r="K418" s="344"/>
    </row>
    <row r="419" spans="1:11" s="429" customFormat="1" ht="18" customHeight="1">
      <c r="A419" s="461"/>
      <c r="B419" s="462"/>
      <c r="C419" s="463"/>
      <c r="D419" s="461"/>
      <c r="E419" s="439"/>
      <c r="F419" s="461"/>
      <c r="G419" s="439"/>
      <c r="H419" s="439"/>
      <c r="J419" s="344"/>
      <c r="K419" s="344"/>
    </row>
    <row r="420" spans="1:11" s="429" customFormat="1" ht="18" customHeight="1">
      <c r="A420" s="461"/>
      <c r="B420" s="462"/>
      <c r="C420" s="463"/>
      <c r="D420" s="461"/>
      <c r="E420" s="439"/>
      <c r="F420" s="461"/>
      <c r="G420" s="439"/>
      <c r="H420" s="439"/>
      <c r="J420" s="344"/>
      <c r="K420" s="344"/>
    </row>
    <row r="421" spans="1:11" s="429" customFormat="1" ht="18" customHeight="1">
      <c r="A421" s="461"/>
      <c r="B421" s="462"/>
      <c r="C421" s="463"/>
      <c r="D421" s="461"/>
      <c r="E421" s="439"/>
      <c r="F421" s="461"/>
      <c r="G421" s="439"/>
      <c r="H421" s="439"/>
      <c r="J421" s="344"/>
      <c r="K421" s="344"/>
    </row>
    <row r="422" spans="1:11" s="429" customFormat="1" ht="18" customHeight="1">
      <c r="A422" s="461"/>
      <c r="B422" s="462"/>
      <c r="C422" s="463"/>
      <c r="D422" s="461"/>
      <c r="E422" s="439"/>
      <c r="F422" s="461"/>
      <c r="G422" s="439"/>
      <c r="H422" s="439"/>
      <c r="J422" s="344"/>
      <c r="K422" s="344"/>
    </row>
    <row r="423" spans="1:11" s="429" customFormat="1" ht="18" customHeight="1">
      <c r="A423" s="461"/>
      <c r="B423" s="462"/>
      <c r="C423" s="463"/>
      <c r="D423" s="461"/>
      <c r="E423" s="439"/>
      <c r="F423" s="461"/>
      <c r="G423" s="439"/>
      <c r="H423" s="439"/>
      <c r="J423" s="344"/>
      <c r="K423" s="344"/>
    </row>
    <row r="424" spans="1:11" s="429" customFormat="1" ht="18" customHeight="1">
      <c r="A424" s="461"/>
      <c r="B424" s="462"/>
      <c r="C424" s="463"/>
      <c r="D424" s="461"/>
      <c r="E424" s="439"/>
      <c r="F424" s="461"/>
      <c r="G424" s="439"/>
      <c r="H424" s="439"/>
      <c r="J424" s="344"/>
      <c r="K424" s="344"/>
    </row>
    <row r="425" spans="1:11" s="429" customFormat="1" ht="18" customHeight="1">
      <c r="A425" s="461"/>
      <c r="B425" s="462"/>
      <c r="C425" s="463"/>
      <c r="D425" s="461"/>
      <c r="E425" s="439"/>
      <c r="F425" s="461"/>
      <c r="G425" s="439"/>
      <c r="H425" s="439"/>
      <c r="J425" s="344"/>
      <c r="K425" s="344"/>
    </row>
    <row r="426" spans="1:11" s="429" customFormat="1" ht="18" customHeight="1">
      <c r="A426" s="461"/>
      <c r="B426" s="462"/>
      <c r="C426" s="463"/>
      <c r="D426" s="461"/>
      <c r="E426" s="439"/>
      <c r="F426" s="461"/>
      <c r="G426" s="439"/>
      <c r="H426" s="439"/>
      <c r="J426" s="344"/>
      <c r="K426" s="344"/>
    </row>
    <row r="427" spans="1:11" s="429" customFormat="1" ht="18" customHeight="1">
      <c r="A427" s="461"/>
      <c r="B427" s="462"/>
      <c r="C427" s="463"/>
      <c r="D427" s="461"/>
      <c r="E427" s="439"/>
      <c r="F427" s="461"/>
      <c r="G427" s="439"/>
      <c r="H427" s="439"/>
      <c r="J427" s="344"/>
      <c r="K427" s="344"/>
    </row>
    <row r="428" spans="1:11" s="429" customFormat="1" ht="18" customHeight="1">
      <c r="A428" s="461"/>
      <c r="B428" s="462"/>
      <c r="C428" s="463"/>
      <c r="D428" s="461"/>
      <c r="E428" s="439"/>
      <c r="F428" s="461"/>
      <c r="G428" s="439"/>
      <c r="H428" s="439"/>
      <c r="J428" s="344"/>
      <c r="K428" s="344"/>
    </row>
    <row r="429" spans="1:11" s="429" customFormat="1" ht="18" customHeight="1">
      <c r="A429" s="461"/>
      <c r="B429" s="462"/>
      <c r="C429" s="463"/>
      <c r="D429" s="461"/>
      <c r="E429" s="439"/>
      <c r="F429" s="461"/>
      <c r="G429" s="439"/>
      <c r="H429" s="439"/>
      <c r="J429" s="344"/>
      <c r="K429" s="344"/>
    </row>
    <row r="430" spans="1:11" s="429" customFormat="1" ht="18" customHeight="1">
      <c r="A430" s="461"/>
      <c r="B430" s="462"/>
      <c r="C430" s="463"/>
      <c r="D430" s="461"/>
      <c r="E430" s="439"/>
      <c r="F430" s="461"/>
      <c r="G430" s="439"/>
      <c r="H430" s="439"/>
      <c r="J430" s="344"/>
      <c r="K430" s="344"/>
    </row>
    <row r="431" spans="1:11" s="429" customFormat="1" ht="18" customHeight="1">
      <c r="A431" s="461"/>
      <c r="B431" s="462"/>
      <c r="C431" s="463"/>
      <c r="D431" s="461"/>
      <c r="E431" s="439"/>
      <c r="F431" s="461"/>
      <c r="G431" s="439"/>
      <c r="H431" s="439"/>
      <c r="J431" s="344"/>
      <c r="K431" s="344"/>
    </row>
    <row r="432" spans="1:11" s="429" customFormat="1" ht="18" customHeight="1">
      <c r="A432" s="461"/>
      <c r="B432" s="462"/>
      <c r="C432" s="463"/>
      <c r="D432" s="461"/>
      <c r="E432" s="439"/>
      <c r="F432" s="461"/>
      <c r="G432" s="439"/>
      <c r="H432" s="439"/>
      <c r="J432" s="344"/>
      <c r="K432" s="344"/>
    </row>
    <row r="433" spans="1:11" s="429" customFormat="1" ht="18" customHeight="1">
      <c r="A433" s="461"/>
      <c r="B433" s="462"/>
      <c r="C433" s="463"/>
      <c r="D433" s="461"/>
      <c r="E433" s="439"/>
      <c r="F433" s="461"/>
      <c r="G433" s="439"/>
      <c r="H433" s="439"/>
      <c r="J433" s="344"/>
      <c r="K433" s="344"/>
    </row>
    <row r="434" spans="1:11" s="429" customFormat="1" ht="18" customHeight="1">
      <c r="A434" s="461"/>
      <c r="B434" s="462"/>
      <c r="C434" s="463"/>
      <c r="D434" s="461"/>
      <c r="E434" s="439"/>
      <c r="F434" s="461"/>
      <c r="G434" s="439"/>
      <c r="H434" s="439"/>
      <c r="J434" s="344"/>
      <c r="K434" s="344"/>
    </row>
    <row r="435" spans="1:11" s="429" customFormat="1" ht="18" customHeight="1">
      <c r="A435" s="461"/>
      <c r="B435" s="462"/>
      <c r="C435" s="463"/>
      <c r="D435" s="461"/>
      <c r="E435" s="439"/>
      <c r="F435" s="461"/>
      <c r="G435" s="439"/>
      <c r="H435" s="439"/>
      <c r="J435" s="344"/>
      <c r="K435" s="344"/>
    </row>
    <row r="436" spans="1:11" s="429" customFormat="1" ht="18" customHeight="1">
      <c r="A436" s="461"/>
      <c r="B436" s="462"/>
      <c r="C436" s="463"/>
      <c r="D436" s="461"/>
      <c r="E436" s="439"/>
      <c r="F436" s="461"/>
      <c r="G436" s="439"/>
      <c r="H436" s="439"/>
      <c r="J436" s="344"/>
      <c r="K436" s="344"/>
    </row>
    <row r="437" spans="1:11" s="429" customFormat="1" ht="18" customHeight="1">
      <c r="A437" s="461"/>
      <c r="B437" s="462"/>
      <c r="C437" s="463"/>
      <c r="D437" s="461"/>
      <c r="E437" s="439"/>
      <c r="F437" s="461"/>
      <c r="G437" s="439"/>
      <c r="H437" s="439"/>
      <c r="J437" s="344"/>
      <c r="K437" s="344"/>
    </row>
    <row r="438" spans="1:11" s="429" customFormat="1" ht="18" customHeight="1">
      <c r="A438" s="461"/>
      <c r="B438" s="462"/>
      <c r="C438" s="463"/>
      <c r="D438" s="461"/>
      <c r="E438" s="439"/>
      <c r="F438" s="461"/>
      <c r="G438" s="439"/>
      <c r="H438" s="439"/>
      <c r="J438" s="344"/>
      <c r="K438" s="344"/>
    </row>
    <row r="439" spans="1:11" s="429" customFormat="1" ht="18" customHeight="1">
      <c r="A439" s="461"/>
      <c r="B439" s="462"/>
      <c r="C439" s="463"/>
      <c r="D439" s="461"/>
      <c r="E439" s="439"/>
      <c r="F439" s="461"/>
      <c r="G439" s="439"/>
      <c r="H439" s="439"/>
      <c r="J439" s="344"/>
      <c r="K439" s="344"/>
    </row>
    <row r="440" spans="1:11" s="429" customFormat="1" ht="18" customHeight="1">
      <c r="A440" s="461"/>
      <c r="B440" s="462"/>
      <c r="C440" s="463"/>
      <c r="D440" s="461"/>
      <c r="E440" s="439"/>
      <c r="F440" s="461"/>
      <c r="G440" s="439"/>
      <c r="H440" s="439"/>
      <c r="J440" s="344"/>
      <c r="K440" s="344"/>
    </row>
    <row r="441" spans="1:11" s="429" customFormat="1" ht="18" customHeight="1">
      <c r="A441" s="461"/>
      <c r="B441" s="462"/>
      <c r="C441" s="463"/>
      <c r="D441" s="461"/>
      <c r="E441" s="439"/>
      <c r="F441" s="461"/>
      <c r="G441" s="439"/>
      <c r="H441" s="439"/>
      <c r="J441" s="344"/>
      <c r="K441" s="344"/>
    </row>
    <row r="442" spans="1:11" s="429" customFormat="1" ht="18" customHeight="1">
      <c r="A442" s="461"/>
      <c r="B442" s="462"/>
      <c r="C442" s="463"/>
      <c r="D442" s="461"/>
      <c r="E442" s="439"/>
      <c r="F442" s="461"/>
      <c r="G442" s="439"/>
      <c r="H442" s="439"/>
      <c r="J442" s="344"/>
      <c r="K442" s="344"/>
    </row>
    <row r="443" spans="1:11" s="429" customFormat="1" ht="18" customHeight="1">
      <c r="A443" s="461"/>
      <c r="B443" s="462"/>
      <c r="C443" s="463"/>
      <c r="D443" s="461"/>
      <c r="E443" s="439"/>
      <c r="F443" s="461"/>
      <c r="G443" s="439"/>
      <c r="H443" s="439"/>
      <c r="J443" s="344"/>
      <c r="K443" s="344"/>
    </row>
    <row r="444" spans="1:11" s="429" customFormat="1" ht="18" customHeight="1">
      <c r="A444" s="461"/>
      <c r="B444" s="462"/>
      <c r="C444" s="463"/>
      <c r="D444" s="461"/>
      <c r="E444" s="439"/>
      <c r="F444" s="461"/>
      <c r="G444" s="439"/>
      <c r="H444" s="439"/>
      <c r="J444" s="344"/>
      <c r="K444" s="344"/>
    </row>
    <row r="445" spans="1:11" s="429" customFormat="1" ht="18" customHeight="1">
      <c r="A445" s="461"/>
      <c r="B445" s="462"/>
      <c r="C445" s="463"/>
      <c r="D445" s="461"/>
      <c r="E445" s="439"/>
      <c r="F445" s="461"/>
      <c r="G445" s="439"/>
      <c r="H445" s="439"/>
      <c r="J445" s="344"/>
      <c r="K445" s="344"/>
    </row>
    <row r="446" spans="1:11" s="429" customFormat="1" ht="18" customHeight="1">
      <c r="A446" s="461"/>
      <c r="B446" s="462"/>
      <c r="C446" s="463"/>
      <c r="D446" s="461"/>
      <c r="E446" s="439"/>
      <c r="F446" s="461"/>
      <c r="G446" s="439"/>
      <c r="H446" s="439"/>
      <c r="J446" s="344"/>
      <c r="K446" s="344"/>
    </row>
    <row r="447" spans="1:11" s="429" customFormat="1" ht="18" customHeight="1">
      <c r="A447" s="461"/>
      <c r="B447" s="462"/>
      <c r="C447" s="463"/>
      <c r="D447" s="461"/>
      <c r="E447" s="439"/>
      <c r="F447" s="461"/>
      <c r="G447" s="439"/>
      <c r="H447" s="439"/>
      <c r="J447" s="344"/>
      <c r="K447" s="344"/>
    </row>
    <row r="448" spans="1:11" s="429" customFormat="1" ht="18" customHeight="1">
      <c r="A448" s="461"/>
      <c r="B448" s="462"/>
      <c r="C448" s="463"/>
      <c r="D448" s="461"/>
      <c r="E448" s="439"/>
      <c r="F448" s="461"/>
      <c r="G448" s="439"/>
      <c r="H448" s="439"/>
      <c r="J448" s="344"/>
      <c r="K448" s="344"/>
    </row>
    <row r="449" spans="1:11" s="429" customFormat="1" ht="18" customHeight="1">
      <c r="A449" s="461"/>
      <c r="B449" s="462"/>
      <c r="C449" s="463"/>
      <c r="D449" s="461"/>
      <c r="E449" s="439"/>
      <c r="F449" s="461"/>
      <c r="G449" s="439"/>
      <c r="H449" s="439"/>
      <c r="J449" s="344"/>
      <c r="K449" s="344"/>
    </row>
    <row r="450" spans="1:11" s="429" customFormat="1" ht="18" customHeight="1">
      <c r="A450" s="461"/>
      <c r="B450" s="462"/>
      <c r="C450" s="463"/>
      <c r="D450" s="461"/>
      <c r="E450" s="439"/>
      <c r="F450" s="461"/>
      <c r="G450" s="439"/>
      <c r="H450" s="439"/>
      <c r="J450" s="344"/>
      <c r="K450" s="344"/>
    </row>
    <row r="451" spans="1:11" s="429" customFormat="1" ht="18" customHeight="1">
      <c r="A451" s="461"/>
      <c r="B451" s="462"/>
      <c r="C451" s="463"/>
      <c r="D451" s="461"/>
      <c r="E451" s="439"/>
      <c r="F451" s="461"/>
      <c r="G451" s="439"/>
      <c r="H451" s="439"/>
      <c r="J451" s="344"/>
      <c r="K451" s="344"/>
    </row>
    <row r="452" spans="1:11" s="429" customFormat="1" ht="18" customHeight="1">
      <c r="A452" s="461"/>
      <c r="B452" s="462"/>
      <c r="C452" s="463"/>
      <c r="D452" s="461"/>
      <c r="E452" s="439"/>
      <c r="F452" s="461"/>
      <c r="G452" s="439"/>
      <c r="H452" s="439"/>
      <c r="J452" s="344"/>
      <c r="K452" s="344"/>
    </row>
    <row r="453" spans="1:11" s="429" customFormat="1" ht="18" customHeight="1">
      <c r="A453" s="461"/>
      <c r="B453" s="462"/>
      <c r="C453" s="463"/>
      <c r="D453" s="461"/>
      <c r="E453" s="439"/>
      <c r="F453" s="461"/>
      <c r="G453" s="439"/>
      <c r="H453" s="439"/>
      <c r="J453" s="344"/>
      <c r="K453" s="344"/>
    </row>
    <row r="454" spans="1:11" s="429" customFormat="1" ht="18" customHeight="1">
      <c r="A454" s="461"/>
      <c r="B454" s="462"/>
      <c r="C454" s="463"/>
      <c r="D454" s="461"/>
      <c r="E454" s="439"/>
      <c r="F454" s="461"/>
      <c r="G454" s="439"/>
      <c r="H454" s="439"/>
      <c r="J454" s="344"/>
      <c r="K454" s="344"/>
    </row>
    <row r="455" spans="1:11" s="429" customFormat="1" ht="18" customHeight="1">
      <c r="A455" s="461"/>
      <c r="B455" s="462"/>
      <c r="C455" s="463"/>
      <c r="D455" s="461"/>
      <c r="E455" s="439"/>
      <c r="F455" s="461"/>
      <c r="G455" s="439"/>
      <c r="H455" s="439"/>
      <c r="J455" s="344"/>
      <c r="K455" s="344"/>
    </row>
    <row r="456" spans="1:11" s="429" customFormat="1" ht="18" customHeight="1">
      <c r="A456" s="461"/>
      <c r="B456" s="462"/>
      <c r="C456" s="463"/>
      <c r="D456" s="461"/>
      <c r="E456" s="439"/>
      <c r="F456" s="461"/>
      <c r="G456" s="439"/>
      <c r="H456" s="439"/>
      <c r="J456" s="344"/>
      <c r="K456" s="344"/>
    </row>
    <row r="457" spans="1:11" s="429" customFormat="1" ht="18" customHeight="1">
      <c r="A457" s="461"/>
      <c r="B457" s="462"/>
      <c r="C457" s="463"/>
      <c r="D457" s="461"/>
      <c r="E457" s="439"/>
      <c r="F457" s="461"/>
      <c r="G457" s="439"/>
      <c r="H457" s="439"/>
      <c r="J457" s="344"/>
      <c r="K457" s="344"/>
    </row>
    <row r="458" spans="1:11" s="429" customFormat="1" ht="18" customHeight="1">
      <c r="A458" s="461"/>
      <c r="B458" s="462"/>
      <c r="C458" s="463"/>
      <c r="D458" s="461"/>
      <c r="E458" s="439"/>
      <c r="F458" s="461"/>
      <c r="G458" s="439"/>
      <c r="H458" s="439"/>
      <c r="J458" s="344"/>
      <c r="K458" s="344"/>
    </row>
    <row r="459" spans="1:11" s="429" customFormat="1" ht="18" customHeight="1">
      <c r="A459" s="461"/>
      <c r="B459" s="462"/>
      <c r="C459" s="463"/>
      <c r="D459" s="461"/>
      <c r="E459" s="439"/>
      <c r="F459" s="461"/>
      <c r="G459" s="439"/>
      <c r="H459" s="439"/>
      <c r="J459" s="344"/>
      <c r="K459" s="344"/>
    </row>
    <row r="460" spans="1:11" s="429" customFormat="1" ht="18" customHeight="1">
      <c r="A460" s="461"/>
      <c r="B460" s="462"/>
      <c r="C460" s="463"/>
      <c r="D460" s="461"/>
      <c r="E460" s="439"/>
      <c r="F460" s="461"/>
      <c r="G460" s="439"/>
      <c r="H460" s="439"/>
      <c r="J460" s="344"/>
      <c r="K460" s="344"/>
    </row>
    <row r="461" spans="1:11" s="429" customFormat="1" ht="18" customHeight="1">
      <c r="A461" s="461"/>
      <c r="B461" s="462"/>
      <c r="C461" s="463"/>
      <c r="D461" s="461"/>
      <c r="E461" s="439"/>
      <c r="F461" s="461"/>
      <c r="G461" s="439"/>
      <c r="H461" s="439"/>
      <c r="J461" s="344"/>
      <c r="K461" s="344"/>
    </row>
    <row r="462" spans="1:11" s="429" customFormat="1" ht="18" customHeight="1">
      <c r="A462" s="461"/>
      <c r="B462" s="462"/>
      <c r="C462" s="463"/>
      <c r="D462" s="461"/>
      <c r="E462" s="439"/>
      <c r="F462" s="461"/>
      <c r="G462" s="439"/>
      <c r="H462" s="439"/>
      <c r="J462" s="344"/>
      <c r="K462" s="344"/>
    </row>
    <row r="463" spans="1:11" s="429" customFormat="1" ht="18" customHeight="1">
      <c r="A463" s="461"/>
      <c r="B463" s="462"/>
      <c r="C463" s="463"/>
      <c r="D463" s="461"/>
      <c r="E463" s="439"/>
      <c r="F463" s="461"/>
      <c r="G463" s="439"/>
      <c r="H463" s="439"/>
      <c r="J463" s="344"/>
      <c r="K463" s="344"/>
    </row>
    <row r="464" spans="1:11" s="429" customFormat="1" ht="18" customHeight="1">
      <c r="A464" s="461"/>
      <c r="B464" s="462"/>
      <c r="C464" s="463"/>
      <c r="D464" s="461"/>
      <c r="E464" s="439"/>
      <c r="F464" s="461"/>
      <c r="G464" s="439"/>
      <c r="H464" s="439"/>
      <c r="J464" s="344"/>
      <c r="K464" s="344"/>
    </row>
    <row r="465" spans="1:11" s="429" customFormat="1" ht="18" customHeight="1">
      <c r="A465" s="461"/>
      <c r="B465" s="462"/>
      <c r="C465" s="463"/>
      <c r="D465" s="461"/>
      <c r="E465" s="439"/>
      <c r="F465" s="461"/>
      <c r="G465" s="439"/>
      <c r="H465" s="439"/>
      <c r="J465" s="344"/>
      <c r="K465" s="344"/>
    </row>
    <row r="466" spans="1:11" s="429" customFormat="1" ht="18" customHeight="1">
      <c r="A466" s="461"/>
      <c r="B466" s="462"/>
      <c r="C466" s="463"/>
      <c r="D466" s="461"/>
      <c r="E466" s="439"/>
      <c r="F466" s="461"/>
      <c r="G466" s="439"/>
      <c r="H466" s="439"/>
      <c r="J466" s="344"/>
      <c r="K466" s="344"/>
    </row>
    <row r="467" spans="1:11" s="429" customFormat="1" ht="18" customHeight="1">
      <c r="A467" s="461"/>
      <c r="B467" s="462"/>
      <c r="C467" s="463"/>
      <c r="D467" s="461"/>
      <c r="E467" s="439"/>
      <c r="F467" s="461"/>
      <c r="G467" s="439"/>
      <c r="H467" s="439"/>
      <c r="J467" s="344"/>
      <c r="K467" s="344"/>
    </row>
    <row r="468" spans="1:11" s="429" customFormat="1" ht="18" customHeight="1">
      <c r="A468" s="461"/>
      <c r="B468" s="462"/>
      <c r="C468" s="463"/>
      <c r="D468" s="461"/>
      <c r="E468" s="439"/>
      <c r="F468" s="461"/>
      <c r="G468" s="439"/>
      <c r="H468" s="439"/>
      <c r="J468" s="344"/>
      <c r="K468" s="344"/>
    </row>
    <row r="469" spans="1:11" s="429" customFormat="1" ht="18" customHeight="1">
      <c r="A469" s="461"/>
      <c r="B469" s="462"/>
      <c r="C469" s="463"/>
      <c r="D469" s="461"/>
      <c r="E469" s="439"/>
      <c r="F469" s="461"/>
      <c r="G469" s="439"/>
      <c r="H469" s="439"/>
      <c r="J469" s="344"/>
      <c r="K469" s="344"/>
    </row>
    <row r="470" spans="1:11" s="429" customFormat="1" ht="18" customHeight="1">
      <c r="A470" s="461"/>
      <c r="B470" s="462"/>
      <c r="C470" s="463"/>
      <c r="D470" s="461"/>
      <c r="E470" s="439"/>
      <c r="F470" s="461"/>
      <c r="G470" s="439"/>
      <c r="H470" s="439"/>
      <c r="J470" s="344"/>
      <c r="K470" s="344"/>
    </row>
    <row r="471" spans="1:11" s="429" customFormat="1" ht="18" customHeight="1">
      <c r="A471" s="461"/>
      <c r="B471" s="462"/>
      <c r="C471" s="463"/>
      <c r="D471" s="461"/>
      <c r="E471" s="439"/>
      <c r="F471" s="461"/>
      <c r="G471" s="439"/>
      <c r="H471" s="439"/>
      <c r="J471" s="344"/>
      <c r="K471" s="344"/>
    </row>
    <row r="472" spans="1:11" s="429" customFormat="1" ht="18" customHeight="1">
      <c r="A472" s="461"/>
      <c r="B472" s="462"/>
      <c r="C472" s="463"/>
      <c r="D472" s="461"/>
      <c r="E472" s="439"/>
      <c r="F472" s="461"/>
      <c r="G472" s="439"/>
      <c r="H472" s="439"/>
      <c r="J472" s="344"/>
      <c r="K472" s="344"/>
    </row>
    <row r="473" spans="1:11" s="429" customFormat="1" ht="18" customHeight="1">
      <c r="A473" s="461"/>
      <c r="B473" s="462"/>
      <c r="C473" s="463"/>
      <c r="D473" s="461"/>
      <c r="E473" s="439"/>
      <c r="F473" s="461"/>
      <c r="G473" s="439"/>
      <c r="H473" s="439"/>
      <c r="J473" s="344"/>
      <c r="K473" s="344"/>
    </row>
    <row r="474" spans="1:11" s="429" customFormat="1" ht="18" customHeight="1">
      <c r="A474" s="461"/>
      <c r="B474" s="462"/>
      <c r="C474" s="463"/>
      <c r="D474" s="461"/>
      <c r="E474" s="439"/>
      <c r="F474" s="461"/>
      <c r="G474" s="439"/>
      <c r="H474" s="439"/>
      <c r="J474" s="344"/>
      <c r="K474" s="344"/>
    </row>
    <row r="475" spans="1:11" s="429" customFormat="1" ht="18" customHeight="1">
      <c r="A475" s="461"/>
      <c r="B475" s="462"/>
      <c r="C475" s="463"/>
      <c r="D475" s="461"/>
      <c r="E475" s="439"/>
      <c r="F475" s="461"/>
      <c r="G475" s="439"/>
      <c r="H475" s="439"/>
      <c r="J475" s="344"/>
      <c r="K475" s="344"/>
    </row>
    <row r="476" spans="1:11" s="429" customFormat="1" ht="18" customHeight="1">
      <c r="A476" s="461"/>
      <c r="B476" s="462"/>
      <c r="C476" s="463"/>
      <c r="D476" s="461"/>
      <c r="E476" s="439"/>
      <c r="F476" s="461"/>
      <c r="G476" s="439"/>
      <c r="H476" s="439"/>
      <c r="J476" s="344"/>
      <c r="K476" s="344"/>
    </row>
    <row r="477" spans="1:11" s="429" customFormat="1" ht="18" customHeight="1">
      <c r="A477" s="461"/>
      <c r="B477" s="462"/>
      <c r="C477" s="463"/>
      <c r="D477" s="461"/>
      <c r="E477" s="439"/>
      <c r="F477" s="461"/>
      <c r="G477" s="439"/>
      <c r="H477" s="439"/>
      <c r="J477" s="344"/>
      <c r="K477" s="344"/>
    </row>
    <row r="478" spans="1:11" s="429" customFormat="1" ht="18" customHeight="1">
      <c r="A478" s="461"/>
      <c r="B478" s="462"/>
      <c r="C478" s="463"/>
      <c r="D478" s="461"/>
      <c r="E478" s="439"/>
      <c r="F478" s="461"/>
      <c r="G478" s="439"/>
      <c r="H478" s="439"/>
      <c r="J478" s="344"/>
      <c r="K478" s="344"/>
    </row>
    <row r="479" spans="1:11" s="429" customFormat="1" ht="18" customHeight="1">
      <c r="A479" s="461"/>
      <c r="B479" s="462"/>
      <c r="C479" s="463"/>
      <c r="D479" s="461"/>
      <c r="E479" s="439"/>
      <c r="F479" s="461"/>
      <c r="G479" s="439"/>
      <c r="H479" s="439"/>
      <c r="J479" s="344"/>
      <c r="K479" s="344"/>
    </row>
    <row r="480" spans="1:11" s="429" customFormat="1" ht="18" customHeight="1">
      <c r="A480" s="461"/>
      <c r="B480" s="462"/>
      <c r="C480" s="463"/>
      <c r="D480" s="461"/>
      <c r="E480" s="439"/>
      <c r="F480" s="461"/>
      <c r="G480" s="439"/>
      <c r="H480" s="439"/>
      <c r="J480" s="344"/>
      <c r="K480" s="344"/>
    </row>
    <row r="481" spans="1:11" s="429" customFormat="1" ht="18" customHeight="1">
      <c r="A481" s="461"/>
      <c r="B481" s="462"/>
      <c r="C481" s="463"/>
      <c r="D481" s="461"/>
      <c r="E481" s="439"/>
      <c r="F481" s="461"/>
      <c r="G481" s="439"/>
      <c r="H481" s="439"/>
      <c r="J481" s="344"/>
      <c r="K481" s="344"/>
    </row>
    <row r="482" spans="1:11" s="429" customFormat="1" ht="18" customHeight="1">
      <c r="A482" s="461"/>
      <c r="B482" s="462"/>
      <c r="C482" s="463"/>
      <c r="D482" s="461"/>
      <c r="E482" s="439"/>
      <c r="F482" s="461"/>
      <c r="G482" s="439"/>
      <c r="H482" s="439"/>
      <c r="J482" s="344"/>
      <c r="K482" s="344"/>
    </row>
    <row r="483" spans="1:11" s="429" customFormat="1" ht="18" customHeight="1">
      <c r="A483" s="461"/>
      <c r="B483" s="462"/>
      <c r="C483" s="463"/>
      <c r="D483" s="461"/>
      <c r="E483" s="439"/>
      <c r="F483" s="461"/>
      <c r="G483" s="439"/>
      <c r="H483" s="439"/>
      <c r="J483" s="344"/>
      <c r="K483" s="344"/>
    </row>
    <row r="484" spans="1:11" s="429" customFormat="1" ht="18" customHeight="1">
      <c r="A484" s="461"/>
      <c r="B484" s="462"/>
      <c r="C484" s="463"/>
      <c r="D484" s="461"/>
      <c r="E484" s="439"/>
      <c r="F484" s="461"/>
      <c r="G484" s="439"/>
      <c r="H484" s="439"/>
      <c r="J484" s="344"/>
      <c r="K484" s="344"/>
    </row>
    <row r="485" spans="1:11" s="429" customFormat="1" ht="18" customHeight="1">
      <c r="A485" s="461"/>
      <c r="B485" s="462"/>
      <c r="C485" s="463"/>
      <c r="D485" s="461"/>
      <c r="E485" s="439"/>
      <c r="F485" s="461"/>
      <c r="G485" s="439"/>
      <c r="H485" s="439"/>
      <c r="J485" s="344"/>
      <c r="K485" s="344"/>
    </row>
    <row r="486" spans="1:11" s="429" customFormat="1" ht="18" customHeight="1">
      <c r="A486" s="461"/>
      <c r="B486" s="462"/>
      <c r="C486" s="463"/>
      <c r="D486" s="461"/>
      <c r="E486" s="439"/>
      <c r="F486" s="461"/>
      <c r="G486" s="439"/>
      <c r="H486" s="439"/>
      <c r="J486" s="344"/>
      <c r="K486" s="344"/>
    </row>
    <row r="487" spans="1:11" s="429" customFormat="1" ht="18" customHeight="1">
      <c r="A487" s="461"/>
      <c r="B487" s="462"/>
      <c r="C487" s="463"/>
      <c r="D487" s="461"/>
      <c r="E487" s="439"/>
      <c r="F487" s="461"/>
      <c r="G487" s="439"/>
      <c r="H487" s="439"/>
      <c r="J487" s="344"/>
      <c r="K487" s="344"/>
    </row>
    <row r="488" spans="1:11" s="429" customFormat="1" ht="18" customHeight="1">
      <c r="A488" s="461"/>
      <c r="B488" s="462"/>
      <c r="C488" s="463"/>
      <c r="D488" s="461"/>
      <c r="E488" s="439"/>
      <c r="F488" s="461"/>
      <c r="G488" s="439"/>
      <c r="H488" s="439"/>
      <c r="J488" s="344"/>
      <c r="K488" s="344"/>
    </row>
    <row r="489" spans="1:11" s="429" customFormat="1" ht="18" customHeight="1">
      <c r="A489" s="461"/>
      <c r="B489" s="462"/>
      <c r="C489" s="463"/>
      <c r="D489" s="461"/>
      <c r="E489" s="439"/>
      <c r="F489" s="461"/>
      <c r="G489" s="439"/>
      <c r="H489" s="439"/>
      <c r="J489" s="344"/>
      <c r="K489" s="344"/>
    </row>
    <row r="490" spans="1:11" s="429" customFormat="1" ht="18" customHeight="1">
      <c r="A490" s="461"/>
      <c r="B490" s="462"/>
      <c r="C490" s="463"/>
      <c r="D490" s="461"/>
      <c r="E490" s="439"/>
      <c r="F490" s="461"/>
      <c r="G490" s="439"/>
      <c r="H490" s="439"/>
      <c r="J490" s="344"/>
      <c r="K490" s="344"/>
    </row>
    <row r="491" spans="1:11" s="429" customFormat="1" ht="18" customHeight="1">
      <c r="A491" s="461"/>
      <c r="B491" s="462"/>
      <c r="C491" s="463"/>
      <c r="D491" s="461"/>
      <c r="E491" s="439"/>
      <c r="F491" s="461"/>
      <c r="G491" s="439"/>
      <c r="H491" s="439"/>
      <c r="J491" s="344"/>
      <c r="K491" s="344"/>
    </row>
    <row r="492" spans="1:11" s="429" customFormat="1" ht="18" customHeight="1">
      <c r="A492" s="461"/>
      <c r="B492" s="462"/>
      <c r="C492" s="463"/>
      <c r="D492" s="461"/>
      <c r="E492" s="439"/>
      <c r="F492" s="461"/>
      <c r="G492" s="439"/>
      <c r="H492" s="439"/>
      <c r="J492" s="344"/>
      <c r="K492" s="344"/>
    </row>
    <row r="493" spans="1:11" s="429" customFormat="1" ht="18" customHeight="1">
      <c r="A493" s="461"/>
      <c r="B493" s="462"/>
      <c r="C493" s="463"/>
      <c r="D493" s="461"/>
      <c r="E493" s="439"/>
      <c r="F493" s="461"/>
      <c r="G493" s="439"/>
      <c r="H493" s="439"/>
      <c r="J493" s="344"/>
      <c r="K493" s="344"/>
    </row>
    <row r="494" spans="1:11" s="429" customFormat="1" ht="18" customHeight="1">
      <c r="A494" s="461"/>
      <c r="B494" s="462"/>
      <c r="C494" s="463"/>
      <c r="D494" s="461"/>
      <c r="E494" s="439"/>
      <c r="F494" s="461"/>
      <c r="G494" s="439"/>
      <c r="H494" s="439"/>
      <c r="J494" s="344"/>
      <c r="K494" s="344"/>
    </row>
    <row r="495" spans="1:11" s="429" customFormat="1" ht="18" customHeight="1">
      <c r="A495" s="461"/>
      <c r="B495" s="462"/>
      <c r="C495" s="463"/>
      <c r="D495" s="461"/>
      <c r="E495" s="439"/>
      <c r="F495" s="461"/>
      <c r="G495" s="439"/>
      <c r="H495" s="439"/>
      <c r="J495" s="344"/>
      <c r="K495" s="344"/>
    </row>
    <row r="496" spans="1:11" s="429" customFormat="1" ht="18" customHeight="1">
      <c r="A496" s="461"/>
      <c r="B496" s="462"/>
      <c r="C496" s="463"/>
      <c r="D496" s="461"/>
      <c r="E496" s="439"/>
      <c r="F496" s="461"/>
      <c r="G496" s="439"/>
      <c r="H496" s="439"/>
      <c r="J496" s="344"/>
      <c r="K496" s="344"/>
    </row>
    <row r="497" spans="1:11" s="429" customFormat="1" ht="18" customHeight="1">
      <c r="A497" s="461"/>
      <c r="B497" s="462"/>
      <c r="C497" s="463"/>
      <c r="D497" s="461"/>
      <c r="E497" s="439"/>
      <c r="F497" s="461"/>
      <c r="G497" s="439"/>
      <c r="H497" s="439"/>
      <c r="J497" s="344"/>
      <c r="K497" s="344"/>
    </row>
    <row r="498" spans="1:11" s="429" customFormat="1" ht="18" customHeight="1">
      <c r="A498" s="461"/>
      <c r="B498" s="462"/>
      <c r="C498" s="463"/>
      <c r="D498" s="461"/>
      <c r="E498" s="439"/>
      <c r="F498" s="461"/>
      <c r="G498" s="439"/>
      <c r="H498" s="439"/>
      <c r="J498" s="344"/>
      <c r="K498" s="344"/>
    </row>
    <row r="499" spans="1:11" s="429" customFormat="1" ht="18" customHeight="1">
      <c r="A499" s="461"/>
      <c r="B499" s="462"/>
      <c r="C499" s="463"/>
      <c r="D499" s="461"/>
      <c r="E499" s="439"/>
      <c r="F499" s="461"/>
      <c r="G499" s="439"/>
      <c r="H499" s="439"/>
      <c r="J499" s="344"/>
      <c r="K499" s="344"/>
    </row>
    <row r="500" spans="1:11" s="429" customFormat="1" ht="18" customHeight="1">
      <c r="A500" s="461"/>
      <c r="B500" s="462"/>
      <c r="C500" s="463"/>
      <c r="D500" s="461"/>
      <c r="E500" s="439"/>
      <c r="F500" s="461"/>
      <c r="G500" s="439"/>
      <c r="H500" s="439"/>
      <c r="J500" s="344"/>
      <c r="K500" s="344"/>
    </row>
    <row r="501" spans="1:11" s="429" customFormat="1" ht="18" customHeight="1">
      <c r="A501" s="461"/>
      <c r="B501" s="462"/>
      <c r="C501" s="463"/>
      <c r="D501" s="461"/>
      <c r="E501" s="439"/>
      <c r="F501" s="461"/>
      <c r="G501" s="439"/>
      <c r="H501" s="439"/>
      <c r="J501" s="344"/>
      <c r="K501" s="344"/>
    </row>
    <row r="502" spans="1:11" s="429" customFormat="1" ht="18" customHeight="1">
      <c r="A502" s="461"/>
      <c r="B502" s="462"/>
      <c r="C502" s="463"/>
      <c r="D502" s="461"/>
      <c r="E502" s="439"/>
      <c r="F502" s="461"/>
      <c r="G502" s="439"/>
      <c r="H502" s="439"/>
      <c r="J502" s="344"/>
      <c r="K502" s="344"/>
    </row>
    <row r="503" spans="1:11" s="429" customFormat="1" ht="18" customHeight="1">
      <c r="A503" s="461"/>
      <c r="B503" s="462"/>
      <c r="C503" s="463"/>
      <c r="D503" s="461"/>
      <c r="E503" s="439"/>
      <c r="F503" s="461"/>
      <c r="G503" s="439"/>
      <c r="H503" s="439"/>
      <c r="J503" s="344"/>
      <c r="K503" s="344"/>
    </row>
    <row r="504" spans="1:11" s="429" customFormat="1" ht="18" customHeight="1">
      <c r="A504" s="461"/>
      <c r="B504" s="462"/>
      <c r="C504" s="463"/>
      <c r="D504" s="461"/>
      <c r="E504" s="439"/>
      <c r="F504" s="461"/>
      <c r="G504" s="439"/>
      <c r="H504" s="439"/>
      <c r="J504" s="344"/>
      <c r="K504" s="344"/>
    </row>
    <row r="505" spans="1:11" s="429" customFormat="1" ht="18" customHeight="1">
      <c r="A505" s="461"/>
      <c r="B505" s="462"/>
      <c r="C505" s="463"/>
      <c r="D505" s="461"/>
      <c r="E505" s="439"/>
      <c r="F505" s="461"/>
      <c r="G505" s="439"/>
      <c r="H505" s="439"/>
      <c r="J505" s="344"/>
      <c r="K505" s="344"/>
    </row>
    <row r="506" spans="1:11" s="429" customFormat="1" ht="18" customHeight="1">
      <c r="A506" s="461"/>
      <c r="B506" s="462"/>
      <c r="C506" s="463"/>
      <c r="D506" s="461"/>
      <c r="E506" s="439"/>
      <c r="F506" s="461"/>
      <c r="G506" s="439"/>
      <c r="H506" s="439"/>
      <c r="J506" s="344"/>
      <c r="K506" s="344"/>
    </row>
    <row r="507" spans="1:11" s="429" customFormat="1" ht="18" customHeight="1">
      <c r="A507" s="461"/>
      <c r="B507" s="462"/>
      <c r="C507" s="463"/>
      <c r="D507" s="461"/>
      <c r="E507" s="439"/>
      <c r="F507" s="461"/>
      <c r="G507" s="439"/>
      <c r="H507" s="439"/>
      <c r="J507" s="344"/>
      <c r="K507" s="344"/>
    </row>
    <row r="508" spans="1:11" s="429" customFormat="1" ht="18" customHeight="1">
      <c r="A508" s="461"/>
      <c r="B508" s="462"/>
      <c r="C508" s="463"/>
      <c r="D508" s="461"/>
      <c r="E508" s="439"/>
      <c r="F508" s="461"/>
      <c r="G508" s="439"/>
      <c r="H508" s="439"/>
      <c r="J508" s="344"/>
      <c r="K508" s="344"/>
    </row>
    <row r="509" spans="1:11" s="429" customFormat="1" ht="18" customHeight="1">
      <c r="A509" s="461"/>
      <c r="B509" s="462"/>
      <c r="C509" s="463"/>
      <c r="D509" s="461"/>
      <c r="E509" s="439"/>
      <c r="F509" s="461"/>
      <c r="G509" s="439"/>
      <c r="H509" s="439"/>
      <c r="J509" s="344"/>
      <c r="K509" s="344"/>
    </row>
    <row r="510" spans="1:11" s="429" customFormat="1" ht="18" customHeight="1">
      <c r="A510" s="461"/>
      <c r="B510" s="462"/>
      <c r="C510" s="463"/>
      <c r="D510" s="461"/>
      <c r="E510" s="439"/>
      <c r="F510" s="461"/>
      <c r="G510" s="439"/>
      <c r="H510" s="439"/>
      <c r="J510" s="344"/>
      <c r="K510" s="344"/>
    </row>
    <row r="511" spans="1:11" s="429" customFormat="1" ht="18" customHeight="1">
      <c r="A511" s="461"/>
      <c r="B511" s="462"/>
      <c r="C511" s="463"/>
      <c r="D511" s="461"/>
      <c r="E511" s="439"/>
      <c r="F511" s="461"/>
      <c r="G511" s="439"/>
      <c r="H511" s="439"/>
      <c r="J511" s="344"/>
      <c r="K511" s="344"/>
    </row>
    <row r="512" spans="1:11" s="429" customFormat="1" ht="18" customHeight="1">
      <c r="A512" s="461"/>
      <c r="B512" s="462"/>
      <c r="C512" s="463"/>
      <c r="D512" s="461"/>
      <c r="E512" s="439"/>
      <c r="F512" s="461"/>
      <c r="G512" s="439"/>
      <c r="H512" s="439"/>
      <c r="J512" s="344"/>
      <c r="K512" s="344"/>
    </row>
    <row r="513" spans="1:11" s="429" customFormat="1" ht="18" customHeight="1">
      <c r="A513" s="461"/>
      <c r="B513" s="462"/>
      <c r="C513" s="463"/>
      <c r="D513" s="461"/>
      <c r="E513" s="439"/>
      <c r="F513" s="461"/>
      <c r="G513" s="439"/>
      <c r="H513" s="439"/>
      <c r="J513" s="344"/>
      <c r="K513" s="344"/>
    </row>
    <row r="514" spans="1:11" s="429" customFormat="1" ht="18" customHeight="1">
      <c r="A514" s="461"/>
      <c r="B514" s="462"/>
      <c r="C514" s="463"/>
      <c r="D514" s="461"/>
      <c r="E514" s="439"/>
      <c r="F514" s="461"/>
      <c r="G514" s="439"/>
      <c r="H514" s="439"/>
      <c r="J514" s="344"/>
      <c r="K514" s="344"/>
    </row>
    <row r="515" spans="1:11" s="429" customFormat="1" ht="18" customHeight="1">
      <c r="A515" s="461"/>
      <c r="B515" s="462"/>
      <c r="C515" s="463"/>
      <c r="D515" s="461"/>
      <c r="E515" s="439"/>
      <c r="F515" s="461"/>
      <c r="G515" s="439"/>
      <c r="H515" s="439"/>
      <c r="J515" s="344"/>
      <c r="K515" s="344"/>
    </row>
    <row r="516" spans="1:11" s="429" customFormat="1" ht="18" customHeight="1">
      <c r="A516" s="461"/>
      <c r="B516" s="462"/>
      <c r="C516" s="463"/>
      <c r="D516" s="461"/>
      <c r="E516" s="439"/>
      <c r="F516" s="461"/>
      <c r="G516" s="439"/>
      <c r="H516" s="439"/>
      <c r="J516" s="344"/>
      <c r="K516" s="344"/>
    </row>
    <row r="517" spans="1:11" s="429" customFormat="1" ht="18" customHeight="1">
      <c r="A517" s="461"/>
      <c r="B517" s="462"/>
      <c r="C517" s="463"/>
      <c r="D517" s="461"/>
      <c r="E517" s="439"/>
      <c r="F517" s="461"/>
      <c r="G517" s="439"/>
      <c r="H517" s="439"/>
      <c r="J517" s="344"/>
      <c r="K517" s="344"/>
    </row>
    <row r="518" spans="1:11" s="429" customFormat="1" ht="18" customHeight="1">
      <c r="A518" s="461"/>
      <c r="B518" s="462"/>
      <c r="C518" s="463"/>
      <c r="D518" s="461"/>
      <c r="E518" s="439"/>
      <c r="F518" s="461"/>
      <c r="G518" s="439"/>
      <c r="H518" s="439"/>
      <c r="J518" s="344"/>
      <c r="K518" s="344"/>
    </row>
    <row r="519" spans="1:11" s="429" customFormat="1" ht="18" customHeight="1">
      <c r="A519" s="461"/>
      <c r="B519" s="462"/>
      <c r="C519" s="463"/>
      <c r="D519" s="461"/>
      <c r="E519" s="439"/>
      <c r="F519" s="461"/>
      <c r="G519" s="439"/>
      <c r="H519" s="439"/>
      <c r="J519" s="344"/>
      <c r="K519" s="344"/>
    </row>
    <row r="520" spans="1:11" s="429" customFormat="1" ht="18" customHeight="1">
      <c r="A520" s="461"/>
      <c r="B520" s="462"/>
      <c r="C520" s="463"/>
      <c r="D520" s="461"/>
      <c r="E520" s="439"/>
      <c r="F520" s="461"/>
      <c r="G520" s="439"/>
      <c r="H520" s="439"/>
      <c r="J520" s="344"/>
      <c r="K520" s="344"/>
    </row>
    <row r="521" spans="1:11" s="429" customFormat="1" ht="18" customHeight="1">
      <c r="A521" s="461"/>
      <c r="B521" s="462"/>
      <c r="C521" s="463"/>
      <c r="D521" s="461"/>
      <c r="E521" s="439"/>
      <c r="F521" s="461"/>
      <c r="G521" s="439"/>
      <c r="H521" s="439"/>
      <c r="J521" s="344"/>
      <c r="K521" s="344"/>
    </row>
    <row r="522" spans="1:11" s="429" customFormat="1" ht="18" customHeight="1">
      <c r="A522" s="461"/>
      <c r="B522" s="462"/>
      <c r="C522" s="463"/>
      <c r="D522" s="461"/>
      <c r="E522" s="439"/>
      <c r="F522" s="461"/>
      <c r="G522" s="439"/>
      <c r="H522" s="439"/>
      <c r="J522" s="344"/>
      <c r="K522" s="344"/>
    </row>
    <row r="523" spans="1:11" s="429" customFormat="1" ht="18" customHeight="1">
      <c r="B523" s="460"/>
      <c r="C523" s="440"/>
      <c r="E523" s="355"/>
      <c r="G523" s="355"/>
      <c r="H523" s="355"/>
      <c r="J523" s="344"/>
      <c r="K523" s="344"/>
    </row>
    <row r="524" spans="1:11" s="429" customFormat="1" ht="18" customHeight="1">
      <c r="B524" s="460"/>
      <c r="C524" s="440"/>
      <c r="E524" s="355"/>
      <c r="G524" s="355"/>
      <c r="H524" s="355"/>
      <c r="J524" s="344"/>
      <c r="K524" s="344"/>
    </row>
    <row r="525" spans="1:11" s="429" customFormat="1" ht="18" customHeight="1">
      <c r="B525" s="460"/>
      <c r="C525" s="440"/>
      <c r="E525" s="355"/>
      <c r="G525" s="355"/>
      <c r="H525" s="355"/>
      <c r="J525" s="344"/>
      <c r="K525" s="344"/>
    </row>
    <row r="526" spans="1:11" s="429" customFormat="1" ht="18" customHeight="1">
      <c r="B526" s="460"/>
      <c r="C526" s="440"/>
      <c r="E526" s="355"/>
      <c r="G526" s="355"/>
      <c r="H526" s="355"/>
      <c r="J526" s="344"/>
      <c r="K526" s="344"/>
    </row>
    <row r="527" spans="1:11" s="429" customFormat="1" ht="18" customHeight="1">
      <c r="B527" s="460"/>
      <c r="C527" s="440"/>
      <c r="E527" s="355"/>
      <c r="G527" s="355"/>
      <c r="H527" s="355"/>
      <c r="J527" s="344"/>
      <c r="K527" s="344"/>
    </row>
    <row r="528" spans="1:11" s="429" customFormat="1" ht="18" customHeight="1">
      <c r="B528" s="460"/>
      <c r="C528" s="440"/>
      <c r="E528" s="355"/>
      <c r="G528" s="355"/>
      <c r="H528" s="355"/>
      <c r="J528" s="344"/>
      <c r="K528" s="344"/>
    </row>
    <row r="529" spans="2:11" s="429" customFormat="1" ht="18" customHeight="1">
      <c r="B529" s="460"/>
      <c r="C529" s="440"/>
      <c r="E529" s="355"/>
      <c r="G529" s="355"/>
      <c r="H529" s="355"/>
      <c r="J529" s="344"/>
      <c r="K529" s="344"/>
    </row>
    <row r="530" spans="2:11" s="429" customFormat="1" ht="18" customHeight="1">
      <c r="B530" s="460"/>
      <c r="C530" s="440"/>
      <c r="E530" s="355"/>
      <c r="G530" s="355"/>
      <c r="H530" s="355"/>
      <c r="J530" s="344"/>
      <c r="K530" s="344"/>
    </row>
    <row r="531" spans="2:11" s="429" customFormat="1" ht="18" customHeight="1">
      <c r="B531" s="460"/>
      <c r="C531" s="440"/>
      <c r="E531" s="355"/>
      <c r="G531" s="355"/>
      <c r="H531" s="355"/>
      <c r="J531" s="344"/>
      <c r="K531" s="344"/>
    </row>
    <row r="532" spans="2:11" s="429" customFormat="1" ht="18" customHeight="1">
      <c r="B532" s="460"/>
      <c r="C532" s="440"/>
      <c r="E532" s="355"/>
      <c r="G532" s="355"/>
      <c r="H532" s="355"/>
      <c r="J532" s="344"/>
      <c r="K532" s="344"/>
    </row>
    <row r="533" spans="2:11" s="429" customFormat="1" ht="18" customHeight="1">
      <c r="B533" s="460"/>
      <c r="C533" s="440"/>
      <c r="E533" s="355"/>
      <c r="G533" s="355"/>
      <c r="H533" s="355"/>
      <c r="J533" s="344"/>
      <c r="K533" s="344"/>
    </row>
    <row r="534" spans="2:11" s="429" customFormat="1" ht="18" customHeight="1">
      <c r="B534" s="460"/>
      <c r="C534" s="440"/>
      <c r="E534" s="355"/>
      <c r="G534" s="355"/>
      <c r="H534" s="355"/>
      <c r="J534" s="344"/>
      <c r="K534" s="344"/>
    </row>
    <row r="535" spans="2:11" s="429" customFormat="1" ht="18" customHeight="1">
      <c r="B535" s="460"/>
      <c r="C535" s="440"/>
      <c r="E535" s="355"/>
      <c r="G535" s="355"/>
      <c r="H535" s="355"/>
      <c r="J535" s="344"/>
      <c r="K535" s="344"/>
    </row>
    <row r="536" spans="2:11" s="429" customFormat="1" ht="18" customHeight="1">
      <c r="B536" s="460"/>
      <c r="C536" s="440"/>
      <c r="E536" s="355"/>
      <c r="G536" s="355"/>
      <c r="H536" s="355"/>
      <c r="J536" s="344"/>
      <c r="K536" s="344"/>
    </row>
    <row r="537" spans="2:11" s="429" customFormat="1" ht="18" customHeight="1">
      <c r="B537" s="460"/>
      <c r="C537" s="440"/>
      <c r="E537" s="355"/>
      <c r="G537" s="355"/>
      <c r="H537" s="355"/>
      <c r="J537" s="344"/>
      <c r="K537" s="344"/>
    </row>
    <row r="538" spans="2:11" s="429" customFormat="1" ht="18" customHeight="1">
      <c r="B538" s="460"/>
      <c r="C538" s="440"/>
      <c r="E538" s="355"/>
      <c r="G538" s="355"/>
      <c r="H538" s="355"/>
      <c r="J538" s="344"/>
      <c r="K538" s="344"/>
    </row>
    <row r="539" spans="2:11" s="429" customFormat="1" ht="18" customHeight="1">
      <c r="B539" s="460"/>
      <c r="C539" s="440"/>
      <c r="E539" s="355"/>
      <c r="G539" s="355"/>
      <c r="H539" s="355"/>
      <c r="J539" s="344"/>
      <c r="K539" s="344"/>
    </row>
    <row r="540" spans="2:11" s="429" customFormat="1" ht="18" customHeight="1">
      <c r="B540" s="460"/>
      <c r="C540" s="440"/>
      <c r="E540" s="355"/>
      <c r="G540" s="355"/>
      <c r="H540" s="355"/>
      <c r="J540" s="344"/>
      <c r="K540" s="344"/>
    </row>
    <row r="541" spans="2:11" s="429" customFormat="1" ht="18" customHeight="1">
      <c r="B541" s="460"/>
      <c r="C541" s="440"/>
      <c r="E541" s="355"/>
      <c r="G541" s="355"/>
      <c r="H541" s="355"/>
      <c r="J541" s="344"/>
      <c r="K541" s="344"/>
    </row>
    <row r="542" spans="2:11" s="429" customFormat="1" ht="18" customHeight="1">
      <c r="B542" s="460"/>
      <c r="C542" s="440"/>
      <c r="E542" s="355"/>
      <c r="G542" s="355"/>
      <c r="H542" s="355"/>
      <c r="J542" s="344"/>
      <c r="K542" s="344"/>
    </row>
    <row r="543" spans="2:11" s="429" customFormat="1" ht="18" customHeight="1">
      <c r="B543" s="460"/>
      <c r="C543" s="440"/>
      <c r="E543" s="355"/>
      <c r="G543" s="355"/>
      <c r="H543" s="355"/>
      <c r="J543" s="344"/>
      <c r="K543" s="344"/>
    </row>
    <row r="544" spans="2:11" s="429" customFormat="1" ht="18" customHeight="1">
      <c r="B544" s="460"/>
      <c r="C544" s="440"/>
      <c r="E544" s="355"/>
      <c r="G544" s="355"/>
      <c r="H544" s="355"/>
      <c r="J544" s="344"/>
      <c r="K544" s="344"/>
    </row>
    <row r="545" spans="2:11" s="429" customFormat="1" ht="18" customHeight="1">
      <c r="B545" s="460"/>
      <c r="C545" s="440"/>
      <c r="E545" s="355"/>
      <c r="G545" s="355"/>
      <c r="H545" s="355"/>
      <c r="J545" s="344"/>
      <c r="K545" s="344"/>
    </row>
    <row r="546" spans="2:11" s="429" customFormat="1" ht="18" customHeight="1">
      <c r="B546" s="460"/>
      <c r="C546" s="440"/>
      <c r="E546" s="355"/>
      <c r="G546" s="355"/>
      <c r="H546" s="355"/>
      <c r="J546" s="344"/>
      <c r="K546" s="344"/>
    </row>
    <row r="547" spans="2:11" s="429" customFormat="1" ht="18" customHeight="1">
      <c r="B547" s="460"/>
      <c r="C547" s="440"/>
      <c r="E547" s="355"/>
      <c r="G547" s="355"/>
      <c r="H547" s="355"/>
      <c r="J547" s="344"/>
      <c r="K547" s="344"/>
    </row>
    <row r="548" spans="2:11" s="429" customFormat="1" ht="18" customHeight="1">
      <c r="B548" s="460"/>
      <c r="C548" s="440"/>
      <c r="E548" s="355"/>
      <c r="G548" s="355"/>
      <c r="H548" s="355"/>
      <c r="J548" s="344"/>
      <c r="K548" s="344"/>
    </row>
    <row r="549" spans="2:11" s="429" customFormat="1" ht="18" customHeight="1">
      <c r="B549" s="460"/>
      <c r="C549" s="440"/>
      <c r="E549" s="355"/>
      <c r="G549" s="355"/>
      <c r="H549" s="355"/>
      <c r="J549" s="344"/>
      <c r="K549" s="344"/>
    </row>
    <row r="550" spans="2:11" s="429" customFormat="1" ht="18" customHeight="1">
      <c r="B550" s="460"/>
      <c r="C550" s="440"/>
      <c r="E550" s="355"/>
      <c r="G550" s="355"/>
      <c r="H550" s="355"/>
      <c r="J550" s="344"/>
      <c r="K550" s="344"/>
    </row>
    <row r="551" spans="2:11" s="429" customFormat="1" ht="18" customHeight="1">
      <c r="B551" s="460"/>
      <c r="C551" s="440"/>
      <c r="E551" s="355"/>
      <c r="G551" s="355"/>
      <c r="H551" s="355"/>
      <c r="J551" s="344"/>
      <c r="K551" s="344"/>
    </row>
    <row r="552" spans="2:11" s="429" customFormat="1" ht="18" customHeight="1">
      <c r="B552" s="460"/>
      <c r="C552" s="440"/>
      <c r="E552" s="355"/>
      <c r="G552" s="355"/>
      <c r="H552" s="355"/>
      <c r="J552" s="344"/>
      <c r="K552" s="344"/>
    </row>
    <row r="553" spans="2:11" s="429" customFormat="1" ht="18" customHeight="1">
      <c r="B553" s="460"/>
      <c r="C553" s="440"/>
      <c r="E553" s="355"/>
      <c r="G553" s="355"/>
      <c r="H553" s="355"/>
      <c r="J553" s="344"/>
      <c r="K553" s="344"/>
    </row>
    <row r="554" spans="2:11" s="429" customFormat="1" ht="18" customHeight="1">
      <c r="B554" s="460"/>
      <c r="C554" s="440"/>
      <c r="E554" s="355"/>
      <c r="G554" s="355"/>
      <c r="H554" s="355"/>
      <c r="J554" s="344"/>
      <c r="K554" s="344"/>
    </row>
    <row r="555" spans="2:11" s="429" customFormat="1" ht="18" customHeight="1">
      <c r="B555" s="460"/>
      <c r="C555" s="440"/>
      <c r="E555" s="355"/>
      <c r="G555" s="355"/>
      <c r="H555" s="355"/>
      <c r="J555" s="344"/>
      <c r="K555" s="344"/>
    </row>
    <row r="556" spans="2:11" s="429" customFormat="1" ht="18" customHeight="1">
      <c r="B556" s="460"/>
      <c r="C556" s="440"/>
      <c r="E556" s="355"/>
      <c r="G556" s="355"/>
      <c r="H556" s="355"/>
      <c r="J556" s="344"/>
      <c r="K556" s="344"/>
    </row>
    <row r="557" spans="2:11" s="429" customFormat="1" ht="18" customHeight="1">
      <c r="B557" s="460"/>
      <c r="C557" s="440"/>
      <c r="E557" s="355"/>
      <c r="G557" s="355"/>
      <c r="H557" s="355"/>
      <c r="J557" s="344"/>
      <c r="K557" s="344"/>
    </row>
    <row r="558" spans="2:11" s="429" customFormat="1" ht="18" customHeight="1">
      <c r="B558" s="460"/>
      <c r="C558" s="440"/>
      <c r="E558" s="355"/>
      <c r="G558" s="355"/>
      <c r="H558" s="355"/>
      <c r="J558" s="344"/>
      <c r="K558" s="344"/>
    </row>
    <row r="559" spans="2:11" s="429" customFormat="1" ht="18" customHeight="1">
      <c r="B559" s="460"/>
      <c r="C559" s="440"/>
      <c r="E559" s="355"/>
      <c r="G559" s="355"/>
      <c r="H559" s="355"/>
      <c r="J559" s="344"/>
      <c r="K559" s="344"/>
    </row>
    <row r="560" spans="2:11" s="429" customFormat="1" ht="18" customHeight="1">
      <c r="B560" s="460"/>
      <c r="C560" s="440"/>
      <c r="E560" s="355"/>
      <c r="G560" s="355"/>
      <c r="H560" s="355"/>
      <c r="J560" s="344"/>
      <c r="K560" s="344"/>
    </row>
    <row r="561" spans="2:11" s="429" customFormat="1" ht="18" customHeight="1">
      <c r="B561" s="460"/>
      <c r="C561" s="440"/>
      <c r="E561" s="355"/>
      <c r="G561" s="355"/>
      <c r="H561" s="355"/>
      <c r="J561" s="344"/>
      <c r="K561" s="344"/>
    </row>
    <row r="562" spans="2:11" s="429" customFormat="1" ht="18" customHeight="1">
      <c r="B562" s="460"/>
      <c r="C562" s="440"/>
      <c r="E562" s="355"/>
      <c r="G562" s="355"/>
      <c r="H562" s="355"/>
      <c r="J562" s="344"/>
      <c r="K562" s="344"/>
    </row>
    <row r="563" spans="2:11" s="429" customFormat="1" ht="18" customHeight="1">
      <c r="B563" s="460"/>
      <c r="C563" s="440"/>
      <c r="E563" s="355"/>
      <c r="G563" s="355"/>
      <c r="H563" s="355"/>
      <c r="J563" s="344"/>
      <c r="K563" s="344"/>
    </row>
    <row r="564" spans="2:11" s="429" customFormat="1" ht="18" customHeight="1">
      <c r="B564" s="460"/>
      <c r="C564" s="440"/>
      <c r="E564" s="355"/>
      <c r="G564" s="355"/>
      <c r="H564" s="355"/>
      <c r="J564" s="344"/>
      <c r="K564" s="344"/>
    </row>
    <row r="565" spans="2:11" s="429" customFormat="1" ht="18" customHeight="1">
      <c r="B565" s="460"/>
      <c r="C565" s="440"/>
      <c r="E565" s="355"/>
      <c r="G565" s="355"/>
      <c r="H565" s="355"/>
      <c r="J565" s="344"/>
      <c r="K565" s="344"/>
    </row>
    <row r="566" spans="2:11" s="429" customFormat="1" ht="18" customHeight="1">
      <c r="B566" s="460"/>
      <c r="C566" s="440"/>
      <c r="E566" s="355"/>
      <c r="G566" s="355"/>
      <c r="H566" s="355"/>
      <c r="J566" s="344"/>
      <c r="K566" s="344"/>
    </row>
    <row r="567" spans="2:11" s="429" customFormat="1" ht="18" customHeight="1">
      <c r="B567" s="460"/>
      <c r="C567" s="440"/>
      <c r="E567" s="355"/>
      <c r="G567" s="355"/>
      <c r="H567" s="355"/>
      <c r="J567" s="344"/>
      <c r="K567" s="344"/>
    </row>
    <row r="568" spans="2:11" s="429" customFormat="1" ht="18" customHeight="1">
      <c r="B568" s="460"/>
      <c r="C568" s="440"/>
      <c r="E568" s="355"/>
      <c r="G568" s="355"/>
      <c r="H568" s="355"/>
      <c r="J568" s="344"/>
      <c r="K568" s="344"/>
    </row>
    <row r="569" spans="2:11" s="429" customFormat="1" ht="18" customHeight="1">
      <c r="B569" s="460"/>
      <c r="C569" s="440"/>
      <c r="E569" s="355"/>
      <c r="G569" s="355"/>
      <c r="H569" s="355"/>
      <c r="J569" s="344"/>
      <c r="K569" s="344"/>
    </row>
    <row r="570" spans="2:11" s="429" customFormat="1" ht="18" customHeight="1">
      <c r="B570" s="460"/>
      <c r="C570" s="440"/>
      <c r="E570" s="355"/>
      <c r="G570" s="355"/>
      <c r="H570" s="355"/>
      <c r="J570" s="344"/>
      <c r="K570" s="344"/>
    </row>
    <row r="571" spans="2:11" s="429" customFormat="1" ht="18" customHeight="1">
      <c r="B571" s="460"/>
      <c r="C571" s="440"/>
      <c r="E571" s="355"/>
      <c r="G571" s="355"/>
      <c r="H571" s="355"/>
      <c r="J571" s="344"/>
      <c r="K571" s="344"/>
    </row>
    <row r="572" spans="2:11" s="429" customFormat="1" ht="18" customHeight="1">
      <c r="B572" s="460"/>
      <c r="C572" s="440"/>
      <c r="E572" s="355"/>
      <c r="G572" s="355"/>
      <c r="H572" s="355"/>
      <c r="J572" s="344"/>
      <c r="K572" s="344"/>
    </row>
    <row r="573" spans="2:11" s="429" customFormat="1" ht="18" customHeight="1">
      <c r="B573" s="460"/>
      <c r="C573" s="440"/>
      <c r="E573" s="355"/>
      <c r="G573" s="355"/>
      <c r="H573" s="355"/>
      <c r="J573" s="344"/>
      <c r="K573" s="344"/>
    </row>
    <row r="574" spans="2:11" s="429" customFormat="1" ht="18" customHeight="1">
      <c r="B574" s="460"/>
      <c r="C574" s="440"/>
      <c r="E574" s="355"/>
      <c r="G574" s="355"/>
      <c r="H574" s="355"/>
      <c r="J574" s="344"/>
      <c r="K574" s="344"/>
    </row>
    <row r="575" spans="2:11" s="429" customFormat="1" ht="18" customHeight="1">
      <c r="B575" s="460"/>
      <c r="C575" s="440"/>
      <c r="E575" s="355"/>
      <c r="G575" s="355"/>
      <c r="H575" s="355"/>
      <c r="J575" s="344"/>
      <c r="K575" s="344"/>
    </row>
    <row r="576" spans="2:11" s="429" customFormat="1" ht="18" customHeight="1">
      <c r="B576" s="460"/>
      <c r="C576" s="440"/>
      <c r="E576" s="355"/>
      <c r="G576" s="355"/>
      <c r="H576" s="355"/>
      <c r="J576" s="344"/>
      <c r="K576" s="344"/>
    </row>
    <row r="577" spans="2:11" s="429" customFormat="1" ht="18" customHeight="1">
      <c r="B577" s="460"/>
      <c r="C577" s="440"/>
      <c r="E577" s="355"/>
      <c r="G577" s="355"/>
      <c r="H577" s="355"/>
      <c r="J577" s="344"/>
      <c r="K577" s="344"/>
    </row>
    <row r="578" spans="2:11" s="429" customFormat="1" ht="18" customHeight="1">
      <c r="B578" s="460"/>
      <c r="C578" s="440"/>
      <c r="E578" s="355"/>
      <c r="G578" s="355"/>
      <c r="H578" s="355"/>
      <c r="J578" s="344"/>
      <c r="K578" s="344"/>
    </row>
    <row r="579" spans="2:11" s="429" customFormat="1" ht="18" customHeight="1">
      <c r="B579" s="460"/>
      <c r="C579" s="440"/>
      <c r="E579" s="355"/>
      <c r="G579" s="355"/>
      <c r="H579" s="355"/>
      <c r="J579" s="344"/>
      <c r="K579" s="344"/>
    </row>
    <row r="580" spans="2:11" s="429" customFormat="1" ht="18" customHeight="1">
      <c r="B580" s="460"/>
      <c r="C580" s="440"/>
      <c r="E580" s="355"/>
      <c r="G580" s="355"/>
      <c r="H580" s="355"/>
      <c r="J580" s="344"/>
      <c r="K580" s="344"/>
    </row>
    <row r="581" spans="2:11" s="429" customFormat="1" ht="18" customHeight="1">
      <c r="B581" s="460"/>
      <c r="C581" s="440"/>
      <c r="E581" s="355"/>
      <c r="G581" s="355"/>
      <c r="H581" s="355"/>
      <c r="J581" s="344"/>
      <c r="K581" s="344"/>
    </row>
    <row r="582" spans="2:11" s="429" customFormat="1" ht="18" customHeight="1">
      <c r="B582" s="460"/>
      <c r="C582" s="440"/>
      <c r="E582" s="355"/>
      <c r="G582" s="355"/>
      <c r="H582" s="355"/>
      <c r="J582" s="344"/>
      <c r="K582" s="344"/>
    </row>
    <row r="583" spans="2:11" s="429" customFormat="1" ht="18" customHeight="1">
      <c r="B583" s="460"/>
      <c r="C583" s="440"/>
      <c r="E583" s="355"/>
      <c r="G583" s="355"/>
      <c r="H583" s="355"/>
      <c r="J583" s="344"/>
      <c r="K583" s="344"/>
    </row>
    <row r="584" spans="2:11" s="429" customFormat="1" ht="18" customHeight="1">
      <c r="B584" s="460"/>
      <c r="C584" s="440"/>
      <c r="E584" s="355"/>
      <c r="G584" s="355"/>
      <c r="H584" s="355"/>
      <c r="J584" s="344"/>
      <c r="K584" s="344"/>
    </row>
    <row r="585" spans="2:11" s="429" customFormat="1" ht="18" customHeight="1">
      <c r="B585" s="460"/>
      <c r="C585" s="440"/>
      <c r="E585" s="355"/>
      <c r="G585" s="355"/>
      <c r="H585" s="355"/>
      <c r="J585" s="344"/>
      <c r="K585" s="344"/>
    </row>
    <row r="586" spans="2:11" s="429" customFormat="1" ht="18" customHeight="1">
      <c r="B586" s="460"/>
      <c r="C586" s="440"/>
      <c r="E586" s="355"/>
      <c r="G586" s="355"/>
      <c r="H586" s="355"/>
      <c r="J586" s="344"/>
      <c r="K586" s="344"/>
    </row>
    <row r="587" spans="2:11" s="429" customFormat="1" ht="18" customHeight="1">
      <c r="B587" s="460"/>
      <c r="C587" s="440"/>
      <c r="E587" s="355"/>
      <c r="G587" s="355"/>
      <c r="H587" s="355"/>
      <c r="J587" s="344"/>
      <c r="K587" s="344"/>
    </row>
    <row r="588" spans="2:11" s="429" customFormat="1" ht="18" customHeight="1">
      <c r="B588" s="460"/>
      <c r="C588" s="440"/>
      <c r="E588" s="355"/>
      <c r="G588" s="355"/>
      <c r="H588" s="355"/>
      <c r="J588" s="344"/>
      <c r="K588" s="344"/>
    </row>
    <row r="589" spans="2:11" s="429" customFormat="1" ht="18" customHeight="1">
      <c r="B589" s="460"/>
      <c r="C589" s="440"/>
      <c r="E589" s="355"/>
      <c r="G589" s="355"/>
      <c r="H589" s="355"/>
      <c r="J589" s="344"/>
      <c r="K589" s="344"/>
    </row>
    <row r="590" spans="2:11" s="429" customFormat="1" ht="18" customHeight="1">
      <c r="B590" s="460"/>
      <c r="C590" s="440"/>
      <c r="E590" s="355"/>
      <c r="G590" s="355"/>
      <c r="H590" s="355"/>
      <c r="J590" s="344"/>
      <c r="K590" s="344"/>
    </row>
    <row r="591" spans="2:11" s="429" customFormat="1" ht="18" customHeight="1">
      <c r="B591" s="460"/>
      <c r="C591" s="440"/>
      <c r="E591" s="355"/>
      <c r="G591" s="355"/>
      <c r="H591" s="355"/>
      <c r="J591" s="344"/>
      <c r="K591" s="344"/>
    </row>
    <row r="592" spans="2:11" s="429" customFormat="1" ht="18" customHeight="1">
      <c r="B592" s="460"/>
      <c r="C592" s="440"/>
      <c r="E592" s="355"/>
      <c r="G592" s="355"/>
      <c r="H592" s="355"/>
      <c r="J592" s="344"/>
      <c r="K592" s="344"/>
    </row>
    <row r="593" spans="2:11" s="429" customFormat="1" ht="18" customHeight="1">
      <c r="B593" s="460"/>
      <c r="C593" s="440"/>
      <c r="E593" s="355"/>
      <c r="G593" s="355"/>
      <c r="H593" s="355"/>
      <c r="J593" s="344"/>
      <c r="K593" s="344"/>
    </row>
    <row r="594" spans="2:11" s="429" customFormat="1" ht="18" customHeight="1">
      <c r="B594" s="460"/>
      <c r="C594" s="440"/>
      <c r="E594" s="355"/>
      <c r="G594" s="355"/>
      <c r="H594" s="355"/>
      <c r="J594" s="344"/>
      <c r="K594" s="344"/>
    </row>
    <row r="595" spans="2:11" s="429" customFormat="1" ht="18" customHeight="1">
      <c r="B595" s="460"/>
      <c r="C595" s="440"/>
      <c r="E595" s="355"/>
      <c r="G595" s="355"/>
      <c r="H595" s="355"/>
      <c r="J595" s="344"/>
      <c r="K595" s="344"/>
    </row>
    <row r="596" spans="2:11" s="429" customFormat="1" ht="18" customHeight="1">
      <c r="B596" s="460"/>
      <c r="C596" s="440"/>
      <c r="E596" s="355"/>
      <c r="G596" s="355"/>
      <c r="H596" s="355"/>
      <c r="J596" s="344"/>
      <c r="K596" s="344"/>
    </row>
    <row r="597" spans="2:11" s="429" customFormat="1" ht="18" customHeight="1">
      <c r="B597" s="460"/>
      <c r="C597" s="440"/>
      <c r="E597" s="355"/>
      <c r="G597" s="355"/>
      <c r="H597" s="355"/>
      <c r="J597" s="344"/>
      <c r="K597" s="344"/>
    </row>
    <row r="598" spans="2:11" s="429" customFormat="1" ht="18" customHeight="1">
      <c r="B598" s="460"/>
      <c r="C598" s="440"/>
      <c r="E598" s="355"/>
      <c r="G598" s="355"/>
      <c r="H598" s="355"/>
      <c r="J598" s="344"/>
      <c r="K598" s="344"/>
    </row>
    <row r="599" spans="2:11" s="429" customFormat="1" ht="18" customHeight="1">
      <c r="B599" s="460"/>
      <c r="C599" s="440"/>
      <c r="E599" s="355"/>
      <c r="G599" s="355"/>
      <c r="H599" s="355"/>
      <c r="J599" s="344"/>
      <c r="K599" s="344"/>
    </row>
    <row r="600" spans="2:11" s="429" customFormat="1" ht="18" customHeight="1">
      <c r="B600" s="460"/>
      <c r="C600" s="440"/>
      <c r="E600" s="355"/>
      <c r="G600" s="355"/>
      <c r="H600" s="355"/>
      <c r="J600" s="344"/>
      <c r="K600" s="344"/>
    </row>
    <row r="601" spans="2:11" s="429" customFormat="1" ht="18" customHeight="1">
      <c r="B601" s="460"/>
      <c r="C601" s="440"/>
      <c r="E601" s="355"/>
      <c r="G601" s="355"/>
      <c r="H601" s="355"/>
      <c r="J601" s="344"/>
      <c r="K601" s="344"/>
    </row>
    <row r="602" spans="2:11" s="429" customFormat="1" ht="18" customHeight="1">
      <c r="B602" s="460"/>
      <c r="C602" s="440"/>
      <c r="E602" s="355"/>
      <c r="G602" s="355"/>
      <c r="H602" s="355"/>
      <c r="J602" s="344"/>
      <c r="K602" s="344"/>
    </row>
    <row r="603" spans="2:11" s="429" customFormat="1" ht="18" customHeight="1">
      <c r="B603" s="460"/>
      <c r="C603" s="440"/>
      <c r="E603" s="355"/>
      <c r="G603" s="355"/>
      <c r="H603" s="355"/>
      <c r="J603" s="344"/>
      <c r="K603" s="344"/>
    </row>
    <row r="604" spans="2:11" s="429" customFormat="1" ht="18" customHeight="1">
      <c r="B604" s="460"/>
      <c r="C604" s="440"/>
      <c r="E604" s="355"/>
      <c r="G604" s="355"/>
      <c r="H604" s="355"/>
      <c r="J604" s="344"/>
      <c r="K604" s="344"/>
    </row>
    <row r="605" spans="2:11" s="429" customFormat="1" ht="18" customHeight="1">
      <c r="B605" s="460"/>
      <c r="C605" s="440"/>
      <c r="E605" s="355"/>
      <c r="G605" s="355"/>
      <c r="H605" s="355"/>
      <c r="J605" s="344"/>
      <c r="K605" s="344"/>
    </row>
    <row r="606" spans="2:11" s="429" customFormat="1" ht="18" customHeight="1">
      <c r="B606" s="460"/>
      <c r="C606" s="440"/>
      <c r="E606" s="355"/>
      <c r="G606" s="355"/>
      <c r="H606" s="355"/>
      <c r="J606" s="344"/>
      <c r="K606" s="344"/>
    </row>
    <row r="607" spans="2:11" s="429" customFormat="1" ht="18" customHeight="1">
      <c r="B607" s="460"/>
      <c r="C607" s="440"/>
      <c r="E607" s="355"/>
      <c r="G607" s="355"/>
      <c r="H607" s="355"/>
      <c r="J607" s="344"/>
      <c r="K607" s="344"/>
    </row>
    <row r="608" spans="2:11" s="429" customFormat="1" ht="18" customHeight="1">
      <c r="B608" s="460"/>
      <c r="C608" s="440"/>
      <c r="E608" s="355"/>
      <c r="G608" s="355"/>
      <c r="H608" s="355"/>
      <c r="J608" s="344"/>
      <c r="K608" s="344"/>
    </row>
    <row r="609" spans="2:11" s="429" customFormat="1" ht="18" customHeight="1">
      <c r="B609" s="460"/>
      <c r="C609" s="440"/>
      <c r="E609" s="355"/>
      <c r="G609" s="355"/>
      <c r="H609" s="355"/>
      <c r="J609" s="344"/>
      <c r="K609" s="344"/>
    </row>
    <row r="610" spans="2:11" s="429" customFormat="1" ht="18" customHeight="1">
      <c r="B610" s="460"/>
      <c r="C610" s="440"/>
      <c r="E610" s="355"/>
      <c r="G610" s="355"/>
      <c r="H610" s="355"/>
      <c r="J610" s="344"/>
      <c r="K610" s="344"/>
    </row>
    <row r="611" spans="2:11" s="429" customFormat="1" ht="18" customHeight="1">
      <c r="B611" s="460"/>
      <c r="C611" s="440"/>
      <c r="E611" s="355"/>
      <c r="G611" s="355"/>
      <c r="H611" s="355"/>
      <c r="J611" s="344"/>
      <c r="K611" s="344"/>
    </row>
    <row r="612" spans="2:11" s="429" customFormat="1" ht="18" customHeight="1">
      <c r="B612" s="460"/>
      <c r="C612" s="440"/>
      <c r="E612" s="355"/>
      <c r="G612" s="355"/>
      <c r="H612" s="355"/>
      <c r="J612" s="344"/>
      <c r="K612" s="344"/>
    </row>
    <row r="613" spans="2:11" s="429" customFormat="1" ht="18" customHeight="1">
      <c r="B613" s="460"/>
      <c r="C613" s="440"/>
      <c r="E613" s="355"/>
      <c r="G613" s="355"/>
      <c r="H613" s="355"/>
      <c r="J613" s="344"/>
      <c r="K613" s="344"/>
    </row>
    <row r="614" spans="2:11" s="429" customFormat="1" ht="18" customHeight="1">
      <c r="B614" s="460"/>
      <c r="C614" s="440"/>
      <c r="E614" s="355"/>
      <c r="G614" s="355"/>
      <c r="H614" s="355"/>
      <c r="J614" s="344"/>
      <c r="K614" s="344"/>
    </row>
    <row r="615" spans="2:11" s="429" customFormat="1" ht="18" customHeight="1">
      <c r="B615" s="460"/>
      <c r="C615" s="440"/>
      <c r="E615" s="355"/>
      <c r="G615" s="355"/>
      <c r="H615" s="355"/>
      <c r="J615" s="344"/>
      <c r="K615" s="344"/>
    </row>
    <row r="616" spans="2:11" s="429" customFormat="1" ht="18" customHeight="1">
      <c r="B616" s="460"/>
      <c r="C616" s="440"/>
      <c r="E616" s="355"/>
      <c r="G616" s="355"/>
      <c r="H616" s="355"/>
      <c r="J616" s="344"/>
      <c r="K616" s="344"/>
    </row>
    <row r="617" spans="2:11" s="429" customFormat="1" ht="18" customHeight="1">
      <c r="B617" s="460"/>
      <c r="C617" s="440"/>
      <c r="E617" s="355"/>
      <c r="G617" s="355"/>
      <c r="H617" s="355"/>
      <c r="J617" s="344"/>
      <c r="K617" s="344"/>
    </row>
    <row r="618" spans="2:11" s="429" customFormat="1" ht="18" customHeight="1">
      <c r="B618" s="460"/>
      <c r="C618" s="440"/>
      <c r="E618" s="355"/>
      <c r="G618" s="355"/>
      <c r="H618" s="355"/>
      <c r="J618" s="344"/>
      <c r="K618" s="344"/>
    </row>
    <row r="619" spans="2:11" s="429" customFormat="1" ht="18" customHeight="1">
      <c r="B619" s="460"/>
      <c r="C619" s="440"/>
      <c r="E619" s="355"/>
      <c r="G619" s="355"/>
      <c r="H619" s="355"/>
      <c r="J619" s="344"/>
      <c r="K619" s="344"/>
    </row>
    <row r="620" spans="2:11" s="429" customFormat="1" ht="18" customHeight="1">
      <c r="B620" s="460"/>
      <c r="C620" s="440"/>
      <c r="E620" s="355"/>
      <c r="G620" s="355"/>
      <c r="H620" s="355"/>
      <c r="J620" s="344"/>
      <c r="K620" s="344"/>
    </row>
    <row r="621" spans="2:11" s="429" customFormat="1" ht="18" customHeight="1">
      <c r="B621" s="460"/>
      <c r="C621" s="440"/>
      <c r="E621" s="355"/>
      <c r="G621" s="355"/>
      <c r="H621" s="355"/>
      <c r="J621" s="344"/>
      <c r="K621" s="344"/>
    </row>
    <row r="622" spans="2:11" s="429" customFormat="1" ht="18" customHeight="1">
      <c r="B622" s="460"/>
      <c r="C622" s="440"/>
      <c r="E622" s="355"/>
      <c r="G622" s="355"/>
      <c r="H622" s="355"/>
      <c r="J622" s="344"/>
      <c r="K622" s="344"/>
    </row>
    <row r="623" spans="2:11" s="429" customFormat="1" ht="18" customHeight="1">
      <c r="B623" s="460"/>
      <c r="C623" s="440"/>
      <c r="E623" s="355"/>
      <c r="G623" s="355"/>
      <c r="H623" s="355"/>
      <c r="J623" s="344"/>
      <c r="K623" s="344"/>
    </row>
    <row r="624" spans="2:11" s="429" customFormat="1" ht="18" customHeight="1">
      <c r="B624" s="460"/>
      <c r="C624" s="440"/>
      <c r="E624" s="355"/>
      <c r="G624" s="355"/>
      <c r="H624" s="355"/>
      <c r="J624" s="344"/>
      <c r="K624" s="344"/>
    </row>
    <row r="625" spans="2:11" s="429" customFormat="1" ht="18" customHeight="1">
      <c r="B625" s="460"/>
      <c r="C625" s="440"/>
      <c r="E625" s="355"/>
      <c r="G625" s="355"/>
      <c r="H625" s="355"/>
      <c r="J625" s="344"/>
      <c r="K625" s="344"/>
    </row>
    <row r="626" spans="2:11" s="429" customFormat="1" ht="18" customHeight="1">
      <c r="B626" s="460"/>
      <c r="C626" s="440"/>
      <c r="E626" s="355"/>
      <c r="G626" s="355"/>
      <c r="H626" s="355"/>
      <c r="J626" s="344"/>
      <c r="K626" s="344"/>
    </row>
    <row r="627" spans="2:11" s="429" customFormat="1" ht="18" customHeight="1">
      <c r="B627" s="460"/>
      <c r="C627" s="440"/>
      <c r="E627" s="355"/>
      <c r="G627" s="355"/>
      <c r="H627" s="355"/>
      <c r="J627" s="344"/>
      <c r="K627" s="344"/>
    </row>
    <row r="628" spans="2:11" s="429" customFormat="1" ht="18" customHeight="1">
      <c r="B628" s="460"/>
      <c r="C628" s="440"/>
      <c r="E628" s="355"/>
      <c r="G628" s="355"/>
      <c r="H628" s="355"/>
      <c r="J628" s="344"/>
      <c r="K628" s="344"/>
    </row>
    <row r="629" spans="2:11" s="429" customFormat="1" ht="18" customHeight="1">
      <c r="B629" s="460"/>
      <c r="C629" s="440"/>
      <c r="E629" s="355"/>
      <c r="G629" s="355"/>
      <c r="H629" s="355"/>
      <c r="J629" s="344"/>
      <c r="K629" s="344"/>
    </row>
    <row r="630" spans="2:11" s="429" customFormat="1" ht="18" customHeight="1">
      <c r="B630" s="460"/>
      <c r="C630" s="440"/>
      <c r="E630" s="355"/>
      <c r="G630" s="355"/>
      <c r="H630" s="355"/>
      <c r="J630" s="344"/>
      <c r="K630" s="344"/>
    </row>
    <row r="631" spans="2:11" s="429" customFormat="1" ht="18" customHeight="1">
      <c r="B631" s="460"/>
      <c r="C631" s="440"/>
      <c r="E631" s="355"/>
      <c r="G631" s="355"/>
      <c r="H631" s="355"/>
      <c r="J631" s="344"/>
      <c r="K631" s="344"/>
    </row>
    <row r="632" spans="2:11" s="429" customFormat="1" ht="18" customHeight="1">
      <c r="B632" s="460"/>
      <c r="C632" s="440"/>
      <c r="E632" s="355"/>
      <c r="G632" s="355"/>
      <c r="H632" s="355"/>
      <c r="J632" s="344"/>
      <c r="K632" s="344"/>
    </row>
    <row r="633" spans="2:11" s="429" customFormat="1" ht="18" customHeight="1">
      <c r="B633" s="460"/>
      <c r="C633" s="440"/>
      <c r="E633" s="355"/>
      <c r="G633" s="355"/>
      <c r="H633" s="355"/>
      <c r="J633" s="344"/>
      <c r="K633" s="344"/>
    </row>
    <row r="634" spans="2:11" s="429" customFormat="1" ht="18" customHeight="1">
      <c r="B634" s="460"/>
      <c r="C634" s="440"/>
      <c r="E634" s="355"/>
      <c r="G634" s="355"/>
      <c r="H634" s="355"/>
      <c r="J634" s="344"/>
      <c r="K634" s="344"/>
    </row>
    <row r="635" spans="2:11" s="429" customFormat="1" ht="18" customHeight="1">
      <c r="B635" s="460"/>
      <c r="C635" s="440"/>
      <c r="E635" s="355"/>
      <c r="G635" s="355"/>
      <c r="H635" s="355"/>
      <c r="J635" s="344"/>
      <c r="K635" s="344"/>
    </row>
    <row r="636" spans="2:11" s="429" customFormat="1" ht="18" customHeight="1">
      <c r="B636" s="460"/>
      <c r="C636" s="440"/>
      <c r="E636" s="355"/>
      <c r="G636" s="355"/>
      <c r="H636" s="355"/>
      <c r="J636" s="344"/>
      <c r="K636" s="344"/>
    </row>
    <row r="637" spans="2:11" s="429" customFormat="1" ht="18" customHeight="1">
      <c r="B637" s="460"/>
      <c r="C637" s="440"/>
      <c r="E637" s="355"/>
      <c r="G637" s="355"/>
      <c r="H637" s="355"/>
      <c r="J637" s="344"/>
      <c r="K637" s="344"/>
    </row>
    <row r="638" spans="2:11" s="429" customFormat="1" ht="18" customHeight="1">
      <c r="B638" s="460"/>
      <c r="C638" s="440"/>
      <c r="E638" s="355"/>
      <c r="G638" s="355"/>
      <c r="H638" s="355"/>
      <c r="J638" s="344"/>
      <c r="K638" s="344"/>
    </row>
    <row r="639" spans="2:11" s="429" customFormat="1" ht="18" customHeight="1">
      <c r="B639" s="460"/>
      <c r="C639" s="440"/>
      <c r="E639" s="355"/>
      <c r="G639" s="355"/>
      <c r="H639" s="355"/>
      <c r="J639" s="344"/>
      <c r="K639" s="344"/>
    </row>
    <row r="640" spans="2:11" s="429" customFormat="1" ht="18" customHeight="1">
      <c r="B640" s="460"/>
      <c r="C640" s="440"/>
      <c r="E640" s="355"/>
      <c r="G640" s="355"/>
      <c r="H640" s="355"/>
      <c r="J640" s="344"/>
      <c r="K640" s="344"/>
    </row>
    <row r="641" spans="2:11" s="429" customFormat="1" ht="18" customHeight="1">
      <c r="B641" s="460"/>
      <c r="C641" s="440"/>
      <c r="E641" s="355"/>
      <c r="G641" s="355"/>
      <c r="H641" s="355"/>
      <c r="J641" s="344"/>
      <c r="K641" s="344"/>
    </row>
    <row r="642" spans="2:11" s="429" customFormat="1" ht="18" customHeight="1">
      <c r="B642" s="460"/>
      <c r="C642" s="440"/>
      <c r="E642" s="355"/>
      <c r="G642" s="355"/>
      <c r="H642" s="355"/>
      <c r="J642" s="344"/>
      <c r="K642" s="344"/>
    </row>
    <row r="643" spans="2:11" s="429" customFormat="1" ht="18" customHeight="1">
      <c r="B643" s="460"/>
      <c r="C643" s="440"/>
      <c r="E643" s="355"/>
      <c r="G643" s="355"/>
      <c r="H643" s="355"/>
      <c r="J643" s="344"/>
      <c r="K643" s="344"/>
    </row>
    <row r="644" spans="2:11" s="429" customFormat="1" ht="18" customHeight="1">
      <c r="B644" s="460"/>
      <c r="C644" s="440"/>
      <c r="E644" s="355"/>
      <c r="G644" s="355"/>
      <c r="H644" s="355"/>
      <c r="J644" s="344"/>
      <c r="K644" s="344"/>
    </row>
    <row r="645" spans="2:11" s="429" customFormat="1" ht="18" customHeight="1">
      <c r="B645" s="460"/>
      <c r="C645" s="440"/>
      <c r="E645" s="355"/>
      <c r="G645" s="355"/>
      <c r="H645" s="355"/>
      <c r="J645" s="344"/>
      <c r="K645" s="344"/>
    </row>
    <row r="646" spans="2:11" s="429" customFormat="1" ht="18" customHeight="1">
      <c r="B646" s="460"/>
      <c r="C646" s="440"/>
      <c r="E646" s="355"/>
      <c r="G646" s="355"/>
      <c r="H646" s="355"/>
      <c r="J646" s="344"/>
      <c r="K646" s="344"/>
    </row>
    <row r="647" spans="2:11" s="429" customFormat="1" ht="18" customHeight="1">
      <c r="B647" s="460"/>
      <c r="C647" s="440"/>
      <c r="E647" s="355"/>
      <c r="G647" s="355"/>
      <c r="H647" s="355"/>
      <c r="J647" s="344"/>
      <c r="K647" s="344"/>
    </row>
    <row r="648" spans="2:11" s="429" customFormat="1" ht="18" customHeight="1">
      <c r="B648" s="460"/>
      <c r="C648" s="440"/>
      <c r="E648" s="355"/>
      <c r="G648" s="355"/>
      <c r="H648" s="355"/>
      <c r="J648" s="344"/>
      <c r="K648" s="344"/>
    </row>
    <row r="649" spans="2:11" s="429" customFormat="1" ht="18" customHeight="1">
      <c r="B649" s="460"/>
      <c r="C649" s="440"/>
      <c r="E649" s="355"/>
      <c r="G649" s="355"/>
      <c r="H649" s="355"/>
      <c r="J649" s="344"/>
      <c r="K649" s="344"/>
    </row>
    <row r="650" spans="2:11" s="429" customFormat="1" ht="18" customHeight="1">
      <c r="B650" s="460"/>
      <c r="C650" s="440"/>
      <c r="E650" s="355"/>
      <c r="G650" s="355"/>
      <c r="H650" s="355"/>
      <c r="J650" s="344"/>
      <c r="K650" s="344"/>
    </row>
    <row r="651" spans="2:11" s="429" customFormat="1" ht="18" customHeight="1">
      <c r="B651" s="460"/>
      <c r="C651" s="440"/>
      <c r="E651" s="355"/>
      <c r="G651" s="355"/>
      <c r="H651" s="355"/>
      <c r="J651" s="344"/>
      <c r="K651" s="344"/>
    </row>
    <row r="652" spans="2:11" s="429" customFormat="1" ht="18" customHeight="1">
      <c r="B652" s="460"/>
      <c r="C652" s="440"/>
      <c r="E652" s="355"/>
      <c r="G652" s="355"/>
      <c r="H652" s="355"/>
      <c r="J652" s="344"/>
      <c r="K652" s="344"/>
    </row>
    <row r="653" spans="2:11" s="429" customFormat="1" ht="18" customHeight="1">
      <c r="B653" s="460"/>
      <c r="C653" s="440"/>
      <c r="E653" s="355"/>
      <c r="G653" s="355"/>
      <c r="H653" s="355"/>
      <c r="J653" s="344"/>
      <c r="K653" s="344"/>
    </row>
    <row r="654" spans="2:11" s="429" customFormat="1" ht="18" customHeight="1">
      <c r="B654" s="460"/>
      <c r="C654" s="440"/>
      <c r="E654" s="355"/>
      <c r="G654" s="355"/>
      <c r="H654" s="355"/>
      <c r="J654" s="344"/>
      <c r="K654" s="344"/>
    </row>
    <row r="655" spans="2:11" s="429" customFormat="1" ht="18" customHeight="1">
      <c r="B655" s="460"/>
      <c r="C655" s="440"/>
      <c r="E655" s="355"/>
      <c r="G655" s="355"/>
      <c r="H655" s="355"/>
      <c r="J655" s="344"/>
      <c r="K655" s="344"/>
    </row>
    <row r="656" spans="2:11" s="429" customFormat="1" ht="18" customHeight="1">
      <c r="B656" s="460"/>
      <c r="C656" s="440"/>
      <c r="E656" s="355"/>
      <c r="G656" s="355"/>
      <c r="H656" s="355"/>
      <c r="J656" s="344"/>
      <c r="K656" s="344"/>
    </row>
    <row r="657" spans="2:11" s="429" customFormat="1" ht="18" customHeight="1">
      <c r="B657" s="460"/>
      <c r="C657" s="440"/>
      <c r="E657" s="355"/>
      <c r="G657" s="355"/>
      <c r="H657" s="355"/>
      <c r="J657" s="344"/>
      <c r="K657" s="344"/>
    </row>
    <row r="658" spans="2:11" s="429" customFormat="1" ht="18" customHeight="1">
      <c r="B658" s="460"/>
      <c r="C658" s="440"/>
      <c r="E658" s="355"/>
      <c r="G658" s="355"/>
      <c r="H658" s="355"/>
      <c r="J658" s="344"/>
      <c r="K658" s="344"/>
    </row>
    <row r="659" spans="2:11" s="429" customFormat="1" ht="18" customHeight="1">
      <c r="B659" s="460"/>
      <c r="C659" s="440"/>
      <c r="E659" s="355"/>
      <c r="G659" s="355"/>
      <c r="H659" s="355"/>
      <c r="J659" s="344"/>
      <c r="K659" s="344"/>
    </row>
    <row r="660" spans="2:11" s="429" customFormat="1" ht="18" customHeight="1">
      <c r="B660" s="460"/>
      <c r="C660" s="440"/>
      <c r="E660" s="355"/>
      <c r="G660" s="355"/>
      <c r="H660" s="355"/>
      <c r="J660" s="344"/>
      <c r="K660" s="344"/>
    </row>
    <row r="661" spans="2:11" s="429" customFormat="1" ht="18" customHeight="1">
      <c r="B661" s="460"/>
      <c r="C661" s="440"/>
      <c r="E661" s="355"/>
      <c r="G661" s="355"/>
      <c r="H661" s="355"/>
      <c r="J661" s="344"/>
      <c r="K661" s="344"/>
    </row>
    <row r="662" spans="2:11" s="429" customFormat="1" ht="18" customHeight="1">
      <c r="B662" s="460"/>
      <c r="C662" s="440"/>
      <c r="E662" s="355"/>
      <c r="G662" s="355"/>
      <c r="H662" s="355"/>
      <c r="J662" s="344"/>
      <c r="K662" s="344"/>
    </row>
    <row r="663" spans="2:11" s="429" customFormat="1" ht="18" customHeight="1">
      <c r="B663" s="460"/>
      <c r="C663" s="440"/>
      <c r="E663" s="355"/>
      <c r="G663" s="355"/>
      <c r="H663" s="355"/>
      <c r="J663" s="344"/>
      <c r="K663" s="344"/>
    </row>
    <row r="664" spans="2:11" s="429" customFormat="1" ht="18" customHeight="1">
      <c r="B664" s="460"/>
      <c r="C664" s="440"/>
      <c r="E664" s="355"/>
      <c r="G664" s="355"/>
      <c r="H664" s="355"/>
      <c r="J664" s="344"/>
      <c r="K664" s="344"/>
    </row>
    <row r="665" spans="2:11" s="429" customFormat="1" ht="18" customHeight="1">
      <c r="B665" s="460"/>
      <c r="C665" s="440"/>
      <c r="E665" s="355"/>
      <c r="G665" s="355"/>
      <c r="H665" s="355"/>
      <c r="J665" s="344"/>
      <c r="K665" s="344"/>
    </row>
    <row r="666" spans="2:11" s="429" customFormat="1" ht="18" customHeight="1">
      <c r="B666" s="460"/>
      <c r="C666" s="440"/>
      <c r="E666" s="355"/>
      <c r="G666" s="355"/>
      <c r="H666" s="355"/>
      <c r="J666" s="344"/>
      <c r="K666" s="344"/>
    </row>
    <row r="667" spans="2:11" s="429" customFormat="1" ht="18" customHeight="1">
      <c r="B667" s="460"/>
      <c r="C667" s="440"/>
      <c r="E667" s="355"/>
      <c r="G667" s="355"/>
      <c r="H667" s="355"/>
      <c r="J667" s="344"/>
      <c r="K667" s="344"/>
    </row>
    <row r="668" spans="2:11" s="429" customFormat="1" ht="18" customHeight="1">
      <c r="B668" s="460"/>
      <c r="C668" s="440"/>
      <c r="E668" s="355"/>
      <c r="G668" s="355"/>
      <c r="H668" s="355"/>
      <c r="J668" s="344"/>
      <c r="K668" s="344"/>
    </row>
    <row r="669" spans="2:11" s="429" customFormat="1" ht="18" customHeight="1">
      <c r="B669" s="460"/>
      <c r="C669" s="440"/>
      <c r="E669" s="355"/>
      <c r="G669" s="355"/>
      <c r="H669" s="355"/>
      <c r="J669" s="344"/>
      <c r="K669" s="344"/>
    </row>
    <row r="670" spans="2:11" s="429" customFormat="1" ht="18" customHeight="1">
      <c r="B670" s="460"/>
      <c r="C670" s="440"/>
      <c r="E670" s="355"/>
      <c r="G670" s="355"/>
      <c r="H670" s="355"/>
      <c r="J670" s="344"/>
      <c r="K670" s="344"/>
    </row>
    <row r="671" spans="2:11" s="429" customFormat="1" ht="18" customHeight="1">
      <c r="B671" s="460"/>
      <c r="C671" s="440"/>
      <c r="E671" s="355"/>
      <c r="G671" s="355"/>
      <c r="H671" s="355"/>
      <c r="J671" s="344"/>
      <c r="K671" s="344"/>
    </row>
    <row r="672" spans="2:11" s="429" customFormat="1" ht="18" customHeight="1">
      <c r="B672" s="460"/>
      <c r="C672" s="440"/>
      <c r="E672" s="355"/>
      <c r="G672" s="355"/>
      <c r="H672" s="355"/>
      <c r="J672" s="344"/>
      <c r="K672" s="344"/>
    </row>
    <row r="673" spans="2:11" s="429" customFormat="1" ht="18" customHeight="1">
      <c r="B673" s="460"/>
      <c r="C673" s="440"/>
      <c r="E673" s="355"/>
      <c r="G673" s="355"/>
      <c r="H673" s="355"/>
      <c r="J673" s="344"/>
      <c r="K673" s="344"/>
    </row>
    <row r="674" spans="2:11" s="429" customFormat="1" ht="18" customHeight="1">
      <c r="B674" s="460"/>
      <c r="C674" s="440"/>
      <c r="E674" s="355"/>
      <c r="G674" s="355"/>
      <c r="H674" s="355"/>
      <c r="J674" s="344"/>
      <c r="K674" s="344"/>
    </row>
    <row r="675" spans="2:11" s="429" customFormat="1" ht="18" customHeight="1">
      <c r="B675" s="460"/>
      <c r="C675" s="440"/>
      <c r="E675" s="355"/>
      <c r="G675" s="355"/>
      <c r="H675" s="355"/>
      <c r="J675" s="344"/>
      <c r="K675" s="344"/>
    </row>
    <row r="676" spans="2:11" s="429" customFormat="1" ht="18" customHeight="1">
      <c r="B676" s="460"/>
      <c r="C676" s="440"/>
      <c r="E676" s="355"/>
      <c r="G676" s="355"/>
      <c r="H676" s="355"/>
      <c r="J676" s="344"/>
      <c r="K676" s="344"/>
    </row>
    <row r="677" spans="2:11" s="429" customFormat="1" ht="18" customHeight="1">
      <c r="B677" s="460"/>
      <c r="C677" s="440"/>
      <c r="E677" s="355"/>
      <c r="G677" s="355"/>
      <c r="H677" s="355"/>
      <c r="J677" s="344"/>
      <c r="K677" s="344"/>
    </row>
    <row r="678" spans="2:11" s="429" customFormat="1" ht="18" customHeight="1">
      <c r="B678" s="460"/>
      <c r="C678" s="440"/>
      <c r="E678" s="355"/>
      <c r="G678" s="355"/>
      <c r="H678" s="355"/>
      <c r="J678" s="344"/>
      <c r="K678" s="344"/>
    </row>
    <row r="679" spans="2:11" s="429" customFormat="1" ht="18" customHeight="1">
      <c r="B679" s="460"/>
      <c r="C679" s="440"/>
      <c r="E679" s="355"/>
      <c r="G679" s="355"/>
      <c r="H679" s="355"/>
      <c r="J679" s="344"/>
      <c r="K679" s="344"/>
    </row>
    <row r="680" spans="2:11" s="429" customFormat="1" ht="18" customHeight="1">
      <c r="B680" s="460"/>
      <c r="C680" s="440"/>
      <c r="E680" s="355"/>
      <c r="G680" s="355"/>
      <c r="H680" s="355"/>
      <c r="J680" s="344"/>
      <c r="K680" s="344"/>
    </row>
    <row r="681" spans="2:11" s="429" customFormat="1" ht="18" customHeight="1">
      <c r="B681" s="460"/>
      <c r="C681" s="440"/>
      <c r="E681" s="355"/>
      <c r="G681" s="355"/>
      <c r="H681" s="355"/>
      <c r="J681" s="344"/>
      <c r="K681" s="344"/>
    </row>
    <row r="682" spans="2:11" s="429" customFormat="1" ht="18" customHeight="1">
      <c r="B682" s="460"/>
      <c r="C682" s="440"/>
      <c r="E682" s="355"/>
      <c r="G682" s="355"/>
      <c r="H682" s="355"/>
      <c r="J682" s="344"/>
      <c r="K682" s="344"/>
    </row>
    <row r="683" spans="2:11" s="429" customFormat="1" ht="18" customHeight="1">
      <c r="B683" s="460"/>
      <c r="C683" s="440"/>
      <c r="E683" s="355"/>
      <c r="G683" s="355"/>
      <c r="H683" s="355"/>
      <c r="J683" s="344"/>
      <c r="K683" s="344"/>
    </row>
    <row r="684" spans="2:11" s="429" customFormat="1" ht="18" customHeight="1">
      <c r="B684" s="460"/>
      <c r="C684" s="440"/>
      <c r="E684" s="355"/>
      <c r="G684" s="355"/>
      <c r="H684" s="355"/>
      <c r="J684" s="344"/>
      <c r="K684" s="344"/>
    </row>
    <row r="685" spans="2:11" s="429" customFormat="1" ht="18" customHeight="1">
      <c r="B685" s="460"/>
      <c r="C685" s="440"/>
      <c r="E685" s="355"/>
      <c r="G685" s="355"/>
      <c r="H685" s="355"/>
      <c r="J685" s="344"/>
      <c r="K685" s="344"/>
    </row>
    <row r="686" spans="2:11" s="429" customFormat="1" ht="18" customHeight="1">
      <c r="B686" s="460"/>
      <c r="C686" s="440"/>
      <c r="E686" s="355"/>
      <c r="G686" s="355"/>
      <c r="H686" s="355"/>
      <c r="J686" s="344"/>
      <c r="K686" s="344"/>
    </row>
    <row r="687" spans="2:11" s="429" customFormat="1" ht="18" customHeight="1">
      <c r="B687" s="460"/>
      <c r="C687" s="440"/>
      <c r="E687" s="355"/>
      <c r="G687" s="355"/>
      <c r="H687" s="355"/>
      <c r="J687" s="344"/>
      <c r="K687" s="344"/>
    </row>
    <row r="688" spans="2:11" s="429" customFormat="1" ht="18" customHeight="1">
      <c r="B688" s="460"/>
      <c r="C688" s="440"/>
      <c r="E688" s="355"/>
      <c r="G688" s="355"/>
      <c r="H688" s="355"/>
      <c r="J688" s="344"/>
      <c r="K688" s="344"/>
    </row>
    <row r="689" spans="2:11" s="429" customFormat="1" ht="18" customHeight="1">
      <c r="B689" s="460"/>
      <c r="C689" s="440"/>
      <c r="E689" s="355"/>
      <c r="G689" s="355"/>
      <c r="H689" s="355"/>
      <c r="J689" s="344"/>
      <c r="K689" s="344"/>
    </row>
    <row r="690" spans="2:11" s="429" customFormat="1" ht="18" customHeight="1">
      <c r="B690" s="460"/>
      <c r="C690" s="440"/>
      <c r="E690" s="355"/>
      <c r="G690" s="355"/>
      <c r="H690" s="355"/>
      <c r="J690" s="344"/>
      <c r="K690" s="344"/>
    </row>
    <row r="691" spans="2:11" s="429" customFormat="1" ht="18" customHeight="1">
      <c r="B691" s="460"/>
      <c r="C691" s="440"/>
      <c r="E691" s="355"/>
      <c r="G691" s="355"/>
      <c r="H691" s="355"/>
      <c r="J691" s="344"/>
      <c r="K691" s="344"/>
    </row>
    <row r="692" spans="2:11" s="429" customFormat="1" ht="18" customHeight="1">
      <c r="B692" s="460"/>
      <c r="C692" s="440"/>
      <c r="E692" s="355"/>
      <c r="G692" s="355"/>
      <c r="H692" s="355"/>
      <c r="J692" s="344"/>
      <c r="K692" s="344"/>
    </row>
    <row r="693" spans="2:11" s="429" customFormat="1" ht="18" customHeight="1">
      <c r="B693" s="460"/>
      <c r="C693" s="440"/>
      <c r="E693" s="355"/>
      <c r="G693" s="355"/>
      <c r="H693" s="355"/>
      <c r="J693" s="344"/>
      <c r="K693" s="344"/>
    </row>
    <row r="694" spans="2:11" s="429" customFormat="1" ht="18" customHeight="1">
      <c r="B694" s="460"/>
      <c r="C694" s="440"/>
      <c r="E694" s="355"/>
      <c r="G694" s="355"/>
      <c r="H694" s="355"/>
      <c r="J694" s="344"/>
      <c r="K694" s="344"/>
    </row>
    <row r="695" spans="2:11" s="429" customFormat="1" ht="18" customHeight="1">
      <c r="B695" s="460"/>
      <c r="C695" s="440"/>
      <c r="E695" s="355"/>
      <c r="G695" s="355"/>
      <c r="H695" s="355"/>
      <c r="J695" s="344"/>
      <c r="K695" s="344"/>
    </row>
    <row r="696" spans="2:11" s="429" customFormat="1" ht="18" customHeight="1">
      <c r="B696" s="460"/>
      <c r="C696" s="440"/>
      <c r="E696" s="355"/>
      <c r="G696" s="355"/>
      <c r="H696" s="355"/>
      <c r="J696" s="344"/>
      <c r="K696" s="344"/>
    </row>
    <row r="697" spans="2:11" s="429" customFormat="1" ht="18" customHeight="1">
      <c r="B697" s="460"/>
      <c r="C697" s="440"/>
      <c r="E697" s="355"/>
      <c r="G697" s="355"/>
      <c r="H697" s="355"/>
      <c r="J697" s="344"/>
      <c r="K697" s="344"/>
    </row>
    <row r="698" spans="2:11" s="429" customFormat="1" ht="18" customHeight="1">
      <c r="B698" s="460"/>
      <c r="C698" s="440"/>
      <c r="E698" s="355"/>
      <c r="G698" s="355"/>
      <c r="H698" s="355"/>
      <c r="J698" s="344"/>
      <c r="K698" s="344"/>
    </row>
    <row r="699" spans="2:11" s="429" customFormat="1" ht="18" customHeight="1">
      <c r="B699" s="460"/>
      <c r="C699" s="440"/>
      <c r="E699" s="355"/>
      <c r="G699" s="355"/>
      <c r="H699" s="355"/>
      <c r="J699" s="344"/>
      <c r="K699" s="344"/>
    </row>
    <row r="700" spans="2:11" s="429" customFormat="1" ht="18" customHeight="1">
      <c r="B700" s="460"/>
      <c r="C700" s="440"/>
      <c r="E700" s="355"/>
      <c r="G700" s="355"/>
      <c r="H700" s="355"/>
      <c r="J700" s="344"/>
      <c r="K700" s="344"/>
    </row>
    <row r="701" spans="2:11" s="429" customFormat="1" ht="18" customHeight="1">
      <c r="B701" s="460"/>
      <c r="C701" s="440"/>
      <c r="E701" s="355"/>
      <c r="G701" s="355"/>
      <c r="H701" s="355"/>
      <c r="J701" s="344"/>
      <c r="K701" s="344"/>
    </row>
    <row r="702" spans="2:11" s="429" customFormat="1" ht="18" customHeight="1">
      <c r="B702" s="460"/>
      <c r="C702" s="440"/>
      <c r="E702" s="355"/>
      <c r="G702" s="355"/>
      <c r="H702" s="355"/>
      <c r="J702" s="344"/>
      <c r="K702" s="344"/>
    </row>
    <row r="703" spans="2:11" s="429" customFormat="1" ht="18" customHeight="1">
      <c r="B703" s="460"/>
      <c r="C703" s="440"/>
      <c r="E703" s="355"/>
      <c r="G703" s="355"/>
      <c r="H703" s="355"/>
      <c r="J703" s="344"/>
      <c r="K703" s="344"/>
    </row>
    <row r="704" spans="2:11" s="429" customFormat="1" ht="18" customHeight="1">
      <c r="B704" s="460"/>
      <c r="C704" s="440"/>
      <c r="E704" s="355"/>
      <c r="G704" s="355"/>
      <c r="H704" s="355"/>
      <c r="J704" s="344"/>
      <c r="K704" s="344"/>
    </row>
    <row r="705" spans="2:11" s="429" customFormat="1" ht="18" customHeight="1">
      <c r="B705" s="460"/>
      <c r="C705" s="440"/>
      <c r="E705" s="355"/>
      <c r="G705" s="355"/>
      <c r="H705" s="355"/>
      <c r="J705" s="344"/>
      <c r="K705" s="344"/>
    </row>
    <row r="706" spans="2:11" s="429" customFormat="1" ht="18" customHeight="1">
      <c r="B706" s="460"/>
      <c r="C706" s="440"/>
      <c r="E706" s="355"/>
      <c r="G706" s="355"/>
      <c r="H706" s="355"/>
      <c r="J706" s="344"/>
      <c r="K706" s="344"/>
    </row>
    <row r="707" spans="2:11" s="429" customFormat="1" ht="18" customHeight="1">
      <c r="B707" s="460"/>
      <c r="C707" s="440"/>
      <c r="E707" s="355"/>
      <c r="G707" s="355"/>
      <c r="H707" s="355"/>
      <c r="J707" s="344"/>
      <c r="K707" s="344"/>
    </row>
    <row r="708" spans="2:11" s="429" customFormat="1" ht="18" customHeight="1">
      <c r="B708" s="460"/>
      <c r="C708" s="440"/>
      <c r="E708" s="355"/>
      <c r="G708" s="355"/>
      <c r="H708" s="355"/>
      <c r="J708" s="344"/>
      <c r="K708" s="344"/>
    </row>
    <row r="709" spans="2:11" s="429" customFormat="1" ht="18" customHeight="1">
      <c r="B709" s="460"/>
      <c r="C709" s="440"/>
      <c r="E709" s="355"/>
      <c r="G709" s="355"/>
      <c r="H709" s="355"/>
      <c r="J709" s="344"/>
      <c r="K709" s="344"/>
    </row>
    <row r="710" spans="2:11" s="429" customFormat="1" ht="18" customHeight="1">
      <c r="B710" s="460"/>
      <c r="C710" s="440"/>
      <c r="E710" s="355"/>
      <c r="G710" s="355"/>
      <c r="H710" s="355"/>
      <c r="J710" s="344"/>
      <c r="K710" s="344"/>
    </row>
    <row r="711" spans="2:11" s="429" customFormat="1" ht="18" customHeight="1">
      <c r="B711" s="460"/>
      <c r="C711" s="440"/>
      <c r="E711" s="355"/>
      <c r="G711" s="355"/>
      <c r="H711" s="355"/>
      <c r="J711" s="344"/>
      <c r="K711" s="344"/>
    </row>
    <row r="712" spans="2:11" s="429" customFormat="1" ht="18" customHeight="1">
      <c r="B712" s="460"/>
      <c r="C712" s="440"/>
      <c r="E712" s="355"/>
      <c r="G712" s="355"/>
      <c r="H712" s="355"/>
      <c r="J712" s="344"/>
      <c r="K712" s="344"/>
    </row>
    <row r="713" spans="2:11" s="429" customFormat="1" ht="18" customHeight="1">
      <c r="B713" s="460"/>
      <c r="C713" s="440"/>
      <c r="E713" s="355"/>
      <c r="G713" s="355"/>
      <c r="H713" s="355"/>
      <c r="J713" s="344"/>
      <c r="K713" s="344"/>
    </row>
    <row r="714" spans="2:11" s="429" customFormat="1" ht="18" customHeight="1">
      <c r="B714" s="460"/>
      <c r="C714" s="440"/>
      <c r="E714" s="355"/>
      <c r="G714" s="355"/>
      <c r="H714" s="355"/>
      <c r="J714" s="344"/>
      <c r="K714" s="344"/>
    </row>
    <row r="715" spans="2:11" s="429" customFormat="1" ht="18" customHeight="1">
      <c r="B715" s="460"/>
      <c r="C715" s="440"/>
      <c r="E715" s="355"/>
      <c r="G715" s="355"/>
      <c r="H715" s="355"/>
      <c r="J715" s="344"/>
      <c r="K715" s="344"/>
    </row>
    <row r="716" spans="2:11" s="429" customFormat="1" ht="18" customHeight="1">
      <c r="B716" s="460"/>
      <c r="C716" s="440"/>
      <c r="E716" s="355"/>
      <c r="G716" s="355"/>
      <c r="H716" s="355"/>
      <c r="J716" s="344"/>
      <c r="K716" s="344"/>
    </row>
    <row r="717" spans="2:11" s="429" customFormat="1" ht="18" customHeight="1">
      <c r="B717" s="460"/>
      <c r="C717" s="440"/>
      <c r="E717" s="355"/>
      <c r="G717" s="355"/>
      <c r="H717" s="355"/>
      <c r="J717" s="344"/>
      <c r="K717" s="344"/>
    </row>
    <row r="718" spans="2:11" s="429" customFormat="1" ht="18" customHeight="1">
      <c r="B718" s="460"/>
      <c r="C718" s="440"/>
      <c r="E718" s="355"/>
      <c r="G718" s="355"/>
      <c r="H718" s="355"/>
      <c r="J718" s="344"/>
      <c r="K718" s="344"/>
    </row>
    <row r="719" spans="2:11" s="429" customFormat="1" ht="18" customHeight="1">
      <c r="B719" s="460"/>
      <c r="C719" s="440"/>
      <c r="E719" s="355"/>
      <c r="G719" s="355"/>
      <c r="H719" s="355"/>
      <c r="J719" s="344"/>
      <c r="K719" s="344"/>
    </row>
    <row r="720" spans="2:11" s="429" customFormat="1" ht="18" customHeight="1">
      <c r="B720" s="460"/>
      <c r="C720" s="440"/>
      <c r="E720" s="355"/>
      <c r="G720" s="355"/>
      <c r="H720" s="355"/>
      <c r="J720" s="344"/>
      <c r="K720" s="344"/>
    </row>
    <row r="721" spans="2:11" s="429" customFormat="1" ht="18" customHeight="1">
      <c r="B721" s="460"/>
      <c r="C721" s="440"/>
      <c r="E721" s="355"/>
      <c r="G721" s="355"/>
      <c r="H721" s="355"/>
      <c r="J721" s="344"/>
      <c r="K721" s="344"/>
    </row>
    <row r="722" spans="2:11" s="429" customFormat="1" ht="18" customHeight="1">
      <c r="B722" s="460"/>
      <c r="C722" s="440"/>
      <c r="E722" s="355"/>
      <c r="G722" s="355"/>
      <c r="H722" s="355"/>
      <c r="J722" s="344"/>
      <c r="K722" s="344"/>
    </row>
    <row r="723" spans="2:11" s="429" customFormat="1" ht="18" customHeight="1">
      <c r="B723" s="460"/>
      <c r="C723" s="440"/>
      <c r="E723" s="355"/>
      <c r="G723" s="355"/>
      <c r="H723" s="355"/>
      <c r="J723" s="344"/>
      <c r="K723" s="344"/>
    </row>
    <row r="724" spans="2:11" s="429" customFormat="1" ht="18" customHeight="1">
      <c r="B724" s="460"/>
      <c r="C724" s="440"/>
      <c r="E724" s="355"/>
      <c r="G724" s="355"/>
      <c r="H724" s="355"/>
      <c r="J724" s="344"/>
      <c r="K724" s="344"/>
    </row>
    <row r="725" spans="2:11" s="429" customFormat="1" ht="18" customHeight="1">
      <c r="B725" s="460"/>
      <c r="C725" s="440"/>
      <c r="E725" s="355"/>
      <c r="G725" s="355"/>
      <c r="H725" s="355"/>
      <c r="J725" s="344"/>
      <c r="K725" s="344"/>
    </row>
    <row r="726" spans="2:11" s="429" customFormat="1" ht="18" customHeight="1">
      <c r="B726" s="460"/>
      <c r="C726" s="440"/>
      <c r="E726" s="355"/>
      <c r="G726" s="355"/>
      <c r="H726" s="355"/>
      <c r="J726" s="344"/>
      <c r="K726" s="344"/>
    </row>
    <row r="727" spans="2:11" s="429" customFormat="1" ht="18" customHeight="1">
      <c r="B727" s="460"/>
      <c r="C727" s="440"/>
      <c r="E727" s="355"/>
      <c r="G727" s="355"/>
      <c r="H727" s="355"/>
      <c r="J727" s="344"/>
      <c r="K727" s="344"/>
    </row>
    <row r="728" spans="2:11" s="429" customFormat="1" ht="18" customHeight="1">
      <c r="B728" s="460"/>
      <c r="C728" s="440"/>
      <c r="E728" s="355"/>
      <c r="G728" s="355"/>
      <c r="H728" s="355"/>
      <c r="J728" s="344"/>
      <c r="K728" s="344"/>
    </row>
    <row r="729" spans="2:11" s="429" customFormat="1" ht="18" customHeight="1">
      <c r="B729" s="460"/>
      <c r="C729" s="440"/>
      <c r="E729" s="355"/>
      <c r="G729" s="355"/>
      <c r="H729" s="355"/>
      <c r="J729" s="344"/>
      <c r="K729" s="344"/>
    </row>
    <row r="730" spans="2:11" s="429" customFormat="1" ht="18" customHeight="1">
      <c r="B730" s="460"/>
      <c r="C730" s="440"/>
      <c r="E730" s="355"/>
      <c r="G730" s="355"/>
      <c r="H730" s="355"/>
      <c r="J730" s="344"/>
      <c r="K730" s="344"/>
    </row>
    <row r="731" spans="2:11" s="429" customFormat="1" ht="18" customHeight="1">
      <c r="B731" s="460"/>
      <c r="C731" s="440"/>
      <c r="E731" s="355"/>
      <c r="G731" s="355"/>
      <c r="H731" s="355"/>
      <c r="J731" s="344"/>
      <c r="K731" s="344"/>
    </row>
    <row r="732" spans="2:11" s="429" customFormat="1" ht="18" customHeight="1">
      <c r="B732" s="460"/>
      <c r="C732" s="440"/>
      <c r="E732" s="355"/>
      <c r="G732" s="355"/>
      <c r="H732" s="355"/>
      <c r="J732" s="344"/>
      <c r="K732" s="344"/>
    </row>
    <row r="733" spans="2:11" s="429" customFormat="1" ht="18" customHeight="1">
      <c r="B733" s="460"/>
      <c r="C733" s="440"/>
      <c r="E733" s="355"/>
      <c r="G733" s="355"/>
      <c r="H733" s="355"/>
      <c r="J733" s="344"/>
      <c r="K733" s="344"/>
    </row>
    <row r="734" spans="2:11" s="429" customFormat="1" ht="18" customHeight="1">
      <c r="B734" s="460"/>
      <c r="C734" s="440"/>
      <c r="E734" s="355"/>
      <c r="G734" s="355"/>
      <c r="H734" s="355"/>
      <c r="J734" s="344"/>
      <c r="K734" s="344"/>
    </row>
    <row r="735" spans="2:11" s="429" customFormat="1" ht="18" customHeight="1">
      <c r="B735" s="460"/>
      <c r="C735" s="440"/>
      <c r="E735" s="355"/>
      <c r="G735" s="355"/>
      <c r="H735" s="355"/>
      <c r="J735" s="344"/>
      <c r="K735" s="344"/>
    </row>
    <row r="736" spans="2:11" s="429" customFormat="1" ht="18" customHeight="1">
      <c r="B736" s="460"/>
      <c r="C736" s="440"/>
      <c r="E736" s="355"/>
      <c r="G736" s="355"/>
      <c r="H736" s="355"/>
      <c r="J736" s="344"/>
      <c r="K736" s="344"/>
    </row>
    <row r="737" spans="2:11" s="429" customFormat="1" ht="18" customHeight="1">
      <c r="B737" s="460"/>
      <c r="C737" s="440"/>
      <c r="E737" s="355"/>
      <c r="G737" s="355"/>
      <c r="H737" s="355"/>
      <c r="J737" s="344"/>
      <c r="K737" s="344"/>
    </row>
    <row r="738" spans="2:11" s="429" customFormat="1" ht="18" customHeight="1">
      <c r="B738" s="460"/>
      <c r="C738" s="440"/>
      <c r="E738" s="355"/>
      <c r="G738" s="355"/>
      <c r="H738" s="355"/>
      <c r="J738" s="344"/>
      <c r="K738" s="344"/>
    </row>
    <row r="739" spans="2:11" s="429" customFormat="1" ht="18" customHeight="1">
      <c r="B739" s="460"/>
      <c r="C739" s="440"/>
      <c r="E739" s="355"/>
      <c r="G739" s="355"/>
      <c r="H739" s="355"/>
      <c r="J739" s="344"/>
      <c r="K739" s="344"/>
    </row>
    <row r="740" spans="2:11" s="429" customFormat="1" ht="18" customHeight="1">
      <c r="B740" s="460"/>
      <c r="C740" s="440"/>
      <c r="E740" s="355"/>
      <c r="G740" s="355"/>
      <c r="H740" s="355"/>
      <c r="J740" s="344"/>
      <c r="K740" s="344"/>
    </row>
    <row r="741" spans="2:11" s="429" customFormat="1" ht="18" customHeight="1">
      <c r="B741" s="460"/>
      <c r="C741" s="440"/>
      <c r="E741" s="355"/>
      <c r="G741" s="355"/>
      <c r="H741" s="355"/>
      <c r="J741" s="344"/>
      <c r="K741" s="344"/>
    </row>
    <row r="742" spans="2:11" s="429" customFormat="1" ht="18" customHeight="1">
      <c r="B742" s="460"/>
      <c r="C742" s="440"/>
      <c r="E742" s="355"/>
      <c r="G742" s="355"/>
      <c r="H742" s="355"/>
      <c r="J742" s="344"/>
      <c r="K742" s="344"/>
    </row>
    <row r="743" spans="2:11" s="429" customFormat="1" ht="18" customHeight="1">
      <c r="B743" s="460"/>
      <c r="C743" s="440"/>
      <c r="E743" s="355"/>
      <c r="G743" s="355"/>
      <c r="H743" s="355"/>
      <c r="J743" s="344"/>
      <c r="K743" s="344"/>
    </row>
    <row r="744" spans="2:11" s="429" customFormat="1" ht="18" customHeight="1">
      <c r="B744" s="460"/>
      <c r="C744" s="440"/>
      <c r="E744" s="355"/>
      <c r="G744" s="355"/>
      <c r="H744" s="355"/>
      <c r="J744" s="344"/>
      <c r="K744" s="344"/>
    </row>
    <row r="745" spans="2:11" s="429" customFormat="1" ht="18" customHeight="1">
      <c r="B745" s="460"/>
      <c r="C745" s="440"/>
      <c r="E745" s="355"/>
      <c r="G745" s="355"/>
      <c r="H745" s="355"/>
      <c r="J745" s="344"/>
      <c r="K745" s="344"/>
    </row>
    <row r="746" spans="2:11" s="429" customFormat="1" ht="18" customHeight="1">
      <c r="B746" s="460"/>
      <c r="C746" s="440"/>
      <c r="E746" s="355"/>
      <c r="G746" s="355"/>
      <c r="H746" s="355"/>
      <c r="J746" s="344"/>
      <c r="K746" s="344"/>
    </row>
    <row r="747" spans="2:11" s="429" customFormat="1" ht="18" customHeight="1">
      <c r="B747" s="460"/>
      <c r="C747" s="440"/>
      <c r="E747" s="355"/>
      <c r="G747" s="355"/>
      <c r="H747" s="355"/>
      <c r="J747" s="344"/>
      <c r="K747" s="344"/>
    </row>
    <row r="748" spans="2:11" s="429" customFormat="1" ht="18" customHeight="1">
      <c r="B748" s="460"/>
      <c r="C748" s="440"/>
      <c r="E748" s="355"/>
      <c r="G748" s="355"/>
      <c r="H748" s="355"/>
      <c r="J748" s="344"/>
      <c r="K748" s="344"/>
    </row>
    <row r="749" spans="2:11" s="429" customFormat="1" ht="18" customHeight="1">
      <c r="B749" s="460"/>
      <c r="C749" s="440"/>
      <c r="E749" s="355"/>
      <c r="G749" s="355"/>
      <c r="H749" s="355"/>
      <c r="J749" s="344"/>
      <c r="K749" s="344"/>
    </row>
    <row r="750" spans="2:11" s="429" customFormat="1" ht="18" customHeight="1">
      <c r="B750" s="460"/>
      <c r="C750" s="440"/>
      <c r="E750" s="355"/>
      <c r="G750" s="355"/>
      <c r="H750" s="355"/>
      <c r="J750" s="344"/>
      <c r="K750" s="344"/>
    </row>
    <row r="751" spans="2:11" s="429" customFormat="1" ht="18" customHeight="1">
      <c r="B751" s="460"/>
      <c r="C751" s="440"/>
      <c r="E751" s="355"/>
      <c r="G751" s="355"/>
      <c r="H751" s="355"/>
      <c r="J751" s="344"/>
      <c r="K751" s="344"/>
    </row>
    <row r="752" spans="2:11" s="429" customFormat="1" ht="18" customHeight="1">
      <c r="B752" s="460"/>
      <c r="C752" s="440"/>
      <c r="E752" s="355"/>
      <c r="G752" s="355"/>
      <c r="H752" s="355"/>
      <c r="J752" s="344"/>
      <c r="K752" s="344"/>
    </row>
    <row r="753" spans="2:11" s="429" customFormat="1" ht="18" customHeight="1">
      <c r="B753" s="460"/>
      <c r="C753" s="440"/>
      <c r="E753" s="355"/>
      <c r="G753" s="355"/>
      <c r="H753" s="355"/>
      <c r="J753" s="344"/>
      <c r="K753" s="344"/>
    </row>
    <row r="754" spans="2:11" s="429" customFormat="1" ht="18" customHeight="1">
      <c r="B754" s="460"/>
      <c r="C754" s="440"/>
      <c r="E754" s="355"/>
      <c r="G754" s="355"/>
      <c r="H754" s="355"/>
      <c r="J754" s="344"/>
      <c r="K754" s="344"/>
    </row>
    <row r="755" spans="2:11" s="429" customFormat="1" ht="18" customHeight="1">
      <c r="B755" s="460"/>
      <c r="C755" s="440"/>
      <c r="E755" s="355"/>
      <c r="G755" s="355"/>
      <c r="H755" s="355"/>
      <c r="J755" s="344"/>
      <c r="K755" s="344"/>
    </row>
    <row r="756" spans="2:11" s="429" customFormat="1" ht="18" customHeight="1">
      <c r="B756" s="460"/>
      <c r="C756" s="440"/>
      <c r="E756" s="355"/>
      <c r="G756" s="355"/>
      <c r="H756" s="355"/>
      <c r="J756" s="344"/>
      <c r="K756" s="344"/>
    </row>
    <row r="757" spans="2:11" s="429" customFormat="1" ht="18" customHeight="1">
      <c r="B757" s="460"/>
      <c r="C757" s="440"/>
      <c r="E757" s="355"/>
      <c r="G757" s="355"/>
      <c r="H757" s="355"/>
      <c r="J757" s="344"/>
      <c r="K757" s="344"/>
    </row>
    <row r="758" spans="2:11" s="429" customFormat="1" ht="18" customHeight="1">
      <c r="B758" s="460"/>
      <c r="C758" s="440"/>
      <c r="E758" s="355"/>
      <c r="G758" s="355"/>
      <c r="H758" s="355"/>
      <c r="J758" s="344"/>
      <c r="K758" s="344"/>
    </row>
    <row r="759" spans="2:11" s="429" customFormat="1" ht="18" customHeight="1">
      <c r="B759" s="460"/>
      <c r="C759" s="440"/>
      <c r="E759" s="355"/>
      <c r="G759" s="355"/>
      <c r="H759" s="355"/>
      <c r="J759" s="344"/>
      <c r="K759" s="344"/>
    </row>
    <row r="760" spans="2:11" s="429" customFormat="1" ht="18" customHeight="1">
      <c r="B760" s="460"/>
      <c r="C760" s="440"/>
      <c r="E760" s="355"/>
      <c r="G760" s="355"/>
      <c r="H760" s="355"/>
      <c r="J760" s="344"/>
      <c r="K760" s="344"/>
    </row>
    <row r="761" spans="2:11" s="429" customFormat="1" ht="18" customHeight="1">
      <c r="B761" s="460"/>
      <c r="C761" s="440"/>
      <c r="E761" s="355"/>
      <c r="G761" s="355"/>
      <c r="H761" s="355"/>
      <c r="J761" s="344"/>
      <c r="K761" s="344"/>
    </row>
    <row r="762" spans="2:11" s="429" customFormat="1" ht="18" customHeight="1">
      <c r="B762" s="460"/>
      <c r="C762" s="440"/>
      <c r="E762" s="355"/>
      <c r="G762" s="355"/>
      <c r="H762" s="355"/>
      <c r="J762" s="344"/>
      <c r="K762" s="344"/>
    </row>
    <row r="763" spans="2:11" s="429" customFormat="1" ht="18" customHeight="1">
      <c r="B763" s="460"/>
      <c r="C763" s="440"/>
      <c r="E763" s="355"/>
      <c r="G763" s="355"/>
      <c r="H763" s="355"/>
      <c r="J763" s="344"/>
      <c r="K763" s="344"/>
    </row>
    <row r="764" spans="2:11" s="429" customFormat="1" ht="18" customHeight="1">
      <c r="B764" s="460"/>
      <c r="C764" s="440"/>
      <c r="E764" s="355"/>
      <c r="G764" s="355"/>
      <c r="H764" s="355"/>
      <c r="J764" s="344"/>
      <c r="K764" s="344"/>
    </row>
    <row r="765" spans="2:11" s="429" customFormat="1" ht="18" customHeight="1">
      <c r="B765" s="460"/>
      <c r="C765" s="440"/>
      <c r="E765" s="355"/>
      <c r="G765" s="355"/>
      <c r="H765" s="355"/>
      <c r="J765" s="344"/>
      <c r="K765" s="344"/>
    </row>
    <row r="766" spans="2:11" s="429" customFormat="1" ht="18" customHeight="1">
      <c r="B766" s="460"/>
      <c r="C766" s="440"/>
      <c r="E766" s="355"/>
      <c r="G766" s="355"/>
      <c r="H766" s="355"/>
      <c r="J766" s="344"/>
      <c r="K766" s="344"/>
    </row>
    <row r="767" spans="2:11" s="429" customFormat="1" ht="18" customHeight="1">
      <c r="B767" s="460"/>
      <c r="C767" s="440"/>
      <c r="E767" s="355"/>
      <c r="G767" s="355"/>
      <c r="H767" s="355"/>
      <c r="J767" s="344"/>
      <c r="K767" s="344"/>
    </row>
    <row r="768" spans="2:11" s="429" customFormat="1" ht="18" customHeight="1">
      <c r="B768" s="460"/>
      <c r="C768" s="440"/>
      <c r="E768" s="355"/>
      <c r="G768" s="355"/>
      <c r="H768" s="355"/>
      <c r="J768" s="344"/>
      <c r="K768" s="344"/>
    </row>
    <row r="769" spans="2:11" s="429" customFormat="1" ht="18" customHeight="1">
      <c r="B769" s="460"/>
      <c r="C769" s="440"/>
      <c r="E769" s="355"/>
      <c r="G769" s="355"/>
      <c r="H769" s="355"/>
      <c r="J769" s="344"/>
      <c r="K769" s="344"/>
    </row>
    <row r="770" spans="2:11" s="429" customFormat="1" ht="18" customHeight="1">
      <c r="B770" s="460"/>
      <c r="C770" s="440"/>
      <c r="E770" s="355"/>
      <c r="G770" s="355"/>
      <c r="H770" s="355"/>
      <c r="J770" s="344"/>
      <c r="K770" s="344"/>
    </row>
    <row r="771" spans="2:11" s="429" customFormat="1" ht="18" customHeight="1">
      <c r="B771" s="460"/>
      <c r="C771" s="440"/>
      <c r="E771" s="355"/>
      <c r="G771" s="355"/>
      <c r="H771" s="355"/>
      <c r="J771" s="344"/>
      <c r="K771" s="344"/>
    </row>
    <row r="772" spans="2:11" s="429" customFormat="1" ht="18" customHeight="1">
      <c r="B772" s="460"/>
      <c r="C772" s="440"/>
      <c r="E772" s="355"/>
      <c r="G772" s="355"/>
      <c r="H772" s="355"/>
      <c r="J772" s="344"/>
      <c r="K772" s="344"/>
    </row>
    <row r="773" spans="2:11" s="429" customFormat="1" ht="18" customHeight="1">
      <c r="B773" s="460"/>
      <c r="C773" s="440"/>
      <c r="E773" s="355"/>
      <c r="G773" s="355"/>
      <c r="H773" s="355"/>
      <c r="J773" s="344"/>
      <c r="K773" s="344"/>
    </row>
    <row r="774" spans="2:11" s="429" customFormat="1" ht="18" customHeight="1">
      <c r="B774" s="460"/>
      <c r="C774" s="440"/>
      <c r="E774" s="355"/>
      <c r="G774" s="355"/>
      <c r="H774" s="355"/>
      <c r="J774" s="344"/>
      <c r="K774" s="344"/>
    </row>
    <row r="775" spans="2:11" s="429" customFormat="1" ht="18" customHeight="1">
      <c r="B775" s="460"/>
      <c r="C775" s="440"/>
      <c r="E775" s="355"/>
      <c r="G775" s="355"/>
      <c r="H775" s="355"/>
      <c r="J775" s="344"/>
      <c r="K775" s="344"/>
    </row>
    <row r="776" spans="2:11" s="429" customFormat="1" ht="18" customHeight="1">
      <c r="B776" s="460"/>
      <c r="C776" s="440"/>
      <c r="E776" s="355"/>
      <c r="G776" s="355"/>
      <c r="H776" s="355"/>
      <c r="J776" s="344"/>
      <c r="K776" s="344"/>
    </row>
    <row r="777" spans="2:11" s="429" customFormat="1" ht="18" customHeight="1">
      <c r="B777" s="460"/>
      <c r="C777" s="440"/>
      <c r="E777" s="355"/>
      <c r="G777" s="355"/>
      <c r="H777" s="355"/>
      <c r="J777" s="344"/>
      <c r="K777" s="344"/>
    </row>
    <row r="778" spans="2:11" s="429" customFormat="1" ht="18" customHeight="1">
      <c r="B778" s="460"/>
      <c r="C778" s="440"/>
      <c r="E778" s="355"/>
      <c r="G778" s="355"/>
      <c r="H778" s="355"/>
      <c r="J778" s="344"/>
      <c r="K778" s="344"/>
    </row>
    <row r="779" spans="2:11" s="429" customFormat="1" ht="18" customHeight="1">
      <c r="B779" s="460"/>
      <c r="C779" s="440"/>
      <c r="E779" s="355"/>
      <c r="G779" s="355"/>
      <c r="H779" s="355"/>
      <c r="J779" s="344"/>
      <c r="K779" s="344"/>
    </row>
    <row r="780" spans="2:11" s="429" customFormat="1" ht="18" customHeight="1">
      <c r="B780" s="460"/>
      <c r="C780" s="440"/>
      <c r="E780" s="355"/>
      <c r="G780" s="355"/>
      <c r="H780" s="355"/>
      <c r="J780" s="344"/>
      <c r="K780" s="344"/>
    </row>
    <row r="781" spans="2:11" s="429" customFormat="1" ht="18" customHeight="1">
      <c r="B781" s="460"/>
      <c r="C781" s="440"/>
      <c r="E781" s="355"/>
      <c r="G781" s="355"/>
      <c r="H781" s="355"/>
      <c r="J781" s="344"/>
      <c r="K781" s="344"/>
    </row>
    <row r="782" spans="2:11" s="429" customFormat="1" ht="18" customHeight="1">
      <c r="B782" s="460"/>
      <c r="C782" s="440"/>
      <c r="E782" s="355"/>
      <c r="G782" s="355"/>
      <c r="H782" s="355"/>
      <c r="J782" s="344"/>
      <c r="K782" s="344"/>
    </row>
    <row r="783" spans="2:11" s="429" customFormat="1" ht="18" customHeight="1">
      <c r="B783" s="460"/>
      <c r="C783" s="440"/>
      <c r="E783" s="355"/>
      <c r="G783" s="355"/>
      <c r="H783" s="355"/>
      <c r="J783" s="344"/>
      <c r="K783" s="344"/>
    </row>
    <row r="784" spans="2:11" s="429" customFormat="1" ht="18" customHeight="1">
      <c r="B784" s="460"/>
      <c r="C784" s="440"/>
      <c r="E784" s="355"/>
      <c r="G784" s="355"/>
      <c r="H784" s="355"/>
      <c r="J784" s="344"/>
      <c r="K784" s="344"/>
    </row>
    <row r="785" spans="2:11" s="429" customFormat="1" ht="18" customHeight="1">
      <c r="B785" s="460"/>
      <c r="C785" s="440"/>
      <c r="E785" s="355"/>
      <c r="G785" s="355"/>
      <c r="H785" s="355"/>
      <c r="J785" s="344"/>
      <c r="K785" s="344"/>
    </row>
    <row r="786" spans="2:11" s="429" customFormat="1" ht="18" customHeight="1">
      <c r="B786" s="460"/>
      <c r="C786" s="440"/>
      <c r="E786" s="355"/>
      <c r="G786" s="355"/>
      <c r="H786" s="355"/>
      <c r="J786" s="344"/>
      <c r="K786" s="344"/>
    </row>
    <row r="787" spans="2:11" s="429" customFormat="1" ht="18" customHeight="1">
      <c r="B787" s="460"/>
      <c r="C787" s="440"/>
      <c r="E787" s="355"/>
      <c r="G787" s="355"/>
      <c r="H787" s="355"/>
      <c r="J787" s="344"/>
      <c r="K787" s="344"/>
    </row>
    <row r="788" spans="2:11" s="429" customFormat="1" ht="18" customHeight="1">
      <c r="B788" s="460"/>
      <c r="C788" s="440"/>
      <c r="E788" s="355"/>
      <c r="G788" s="355"/>
      <c r="H788" s="355"/>
      <c r="J788" s="344"/>
      <c r="K788" s="344"/>
    </row>
    <row r="789" spans="2:11" s="429" customFormat="1" ht="18" customHeight="1">
      <c r="B789" s="460"/>
      <c r="C789" s="440"/>
      <c r="E789" s="355"/>
      <c r="G789" s="355"/>
      <c r="H789" s="355"/>
      <c r="J789" s="344"/>
      <c r="K789" s="344"/>
    </row>
    <row r="790" spans="2:11" s="429" customFormat="1" ht="18" customHeight="1">
      <c r="B790" s="460"/>
      <c r="C790" s="440"/>
      <c r="E790" s="355"/>
      <c r="G790" s="355"/>
      <c r="H790" s="355"/>
      <c r="J790" s="344"/>
      <c r="K790" s="344"/>
    </row>
    <row r="791" spans="2:11" s="429" customFormat="1" ht="18" customHeight="1">
      <c r="B791" s="460"/>
      <c r="C791" s="440"/>
      <c r="E791" s="355"/>
      <c r="G791" s="355"/>
      <c r="H791" s="355"/>
      <c r="J791" s="344"/>
      <c r="K791" s="344"/>
    </row>
    <row r="792" spans="2:11" s="429" customFormat="1" ht="18" customHeight="1">
      <c r="B792" s="460"/>
      <c r="C792" s="440"/>
      <c r="E792" s="355"/>
      <c r="G792" s="355"/>
      <c r="H792" s="355"/>
      <c r="J792" s="344"/>
      <c r="K792" s="344"/>
    </row>
    <row r="793" spans="2:11" s="429" customFormat="1" ht="18" customHeight="1">
      <c r="B793" s="460"/>
      <c r="C793" s="440"/>
      <c r="E793" s="355"/>
      <c r="G793" s="355"/>
      <c r="H793" s="355"/>
      <c r="J793" s="344"/>
      <c r="K793" s="344"/>
    </row>
    <row r="794" spans="2:11" s="429" customFormat="1" ht="18" customHeight="1">
      <c r="B794" s="460"/>
      <c r="C794" s="440"/>
      <c r="E794" s="355"/>
      <c r="G794" s="355"/>
      <c r="H794" s="355"/>
      <c r="J794" s="344"/>
      <c r="K794" s="344"/>
    </row>
    <row r="795" spans="2:11" s="429" customFormat="1" ht="18" customHeight="1">
      <c r="B795" s="460"/>
      <c r="C795" s="440"/>
      <c r="E795" s="355"/>
      <c r="G795" s="355"/>
      <c r="H795" s="355"/>
      <c r="J795" s="344"/>
      <c r="K795" s="344"/>
    </row>
    <row r="796" spans="2:11" s="429" customFormat="1" ht="18" customHeight="1">
      <c r="B796" s="460"/>
      <c r="C796" s="440"/>
      <c r="E796" s="355"/>
      <c r="G796" s="355"/>
      <c r="H796" s="355"/>
      <c r="J796" s="344"/>
      <c r="K796" s="344"/>
    </row>
    <row r="797" spans="2:11" s="429" customFormat="1" ht="18" customHeight="1">
      <c r="B797" s="460"/>
      <c r="C797" s="440"/>
      <c r="E797" s="355"/>
      <c r="G797" s="355"/>
      <c r="H797" s="355"/>
      <c r="J797" s="344"/>
      <c r="K797" s="344"/>
    </row>
    <row r="798" spans="2:11" s="429" customFormat="1" ht="18" customHeight="1">
      <c r="B798" s="460"/>
      <c r="C798" s="440"/>
      <c r="E798" s="355"/>
      <c r="G798" s="355"/>
      <c r="H798" s="355"/>
      <c r="J798" s="344"/>
      <c r="K798" s="344"/>
    </row>
    <row r="799" spans="2:11" s="429" customFormat="1" ht="18" customHeight="1">
      <c r="B799" s="460"/>
      <c r="C799" s="440"/>
      <c r="E799" s="355"/>
      <c r="G799" s="355"/>
      <c r="H799" s="355"/>
      <c r="J799" s="344"/>
      <c r="K799" s="344"/>
    </row>
    <row r="800" spans="2:11" s="429" customFormat="1" ht="18" customHeight="1">
      <c r="B800" s="460"/>
      <c r="C800" s="440"/>
      <c r="E800" s="355"/>
      <c r="G800" s="355"/>
      <c r="H800" s="355"/>
      <c r="J800" s="344"/>
      <c r="K800" s="344"/>
    </row>
    <row r="801" spans="2:11" s="429" customFormat="1" ht="18" customHeight="1">
      <c r="B801" s="460"/>
      <c r="C801" s="440"/>
      <c r="E801" s="355"/>
      <c r="G801" s="355"/>
      <c r="H801" s="355"/>
      <c r="J801" s="344"/>
      <c r="K801" s="344"/>
    </row>
    <row r="802" spans="2:11" s="429" customFormat="1" ht="18" customHeight="1">
      <c r="B802" s="460"/>
      <c r="C802" s="440"/>
      <c r="E802" s="355"/>
      <c r="G802" s="355"/>
      <c r="H802" s="355"/>
      <c r="J802" s="344"/>
      <c r="K802" s="344"/>
    </row>
    <row r="803" spans="2:11" s="429" customFormat="1" ht="18" customHeight="1">
      <c r="B803" s="460"/>
      <c r="C803" s="440"/>
      <c r="E803" s="355"/>
      <c r="G803" s="355"/>
      <c r="H803" s="355"/>
      <c r="J803" s="344"/>
      <c r="K803" s="344"/>
    </row>
    <row r="804" spans="2:11" s="429" customFormat="1" ht="18" customHeight="1">
      <c r="B804" s="460"/>
      <c r="C804" s="440"/>
      <c r="E804" s="355"/>
      <c r="G804" s="355"/>
      <c r="H804" s="355"/>
      <c r="J804" s="344"/>
      <c r="K804" s="344"/>
    </row>
    <row r="805" spans="2:11" s="429" customFormat="1" ht="18" customHeight="1">
      <c r="B805" s="460"/>
      <c r="C805" s="440"/>
      <c r="E805" s="355"/>
      <c r="G805" s="355"/>
      <c r="H805" s="355"/>
      <c r="J805" s="344"/>
      <c r="K805" s="344"/>
    </row>
    <row r="806" spans="2:11" s="429" customFormat="1" ht="18" customHeight="1">
      <c r="B806" s="460"/>
      <c r="C806" s="440"/>
      <c r="E806" s="355"/>
      <c r="G806" s="355"/>
      <c r="H806" s="355"/>
      <c r="J806" s="344"/>
      <c r="K806" s="344"/>
    </row>
    <row r="807" spans="2:11" s="429" customFormat="1" ht="18" customHeight="1">
      <c r="B807" s="460"/>
      <c r="C807" s="440"/>
      <c r="E807" s="355"/>
      <c r="G807" s="355"/>
      <c r="H807" s="355"/>
      <c r="J807" s="344"/>
      <c r="K807" s="344"/>
    </row>
    <row r="808" spans="2:11" s="429" customFormat="1" ht="18" customHeight="1">
      <c r="B808" s="460"/>
      <c r="C808" s="440"/>
      <c r="E808" s="355"/>
      <c r="G808" s="355"/>
      <c r="H808" s="355"/>
      <c r="J808" s="344"/>
      <c r="K808" s="344"/>
    </row>
    <row r="809" spans="2:11" s="429" customFormat="1" ht="18" customHeight="1">
      <c r="B809" s="460"/>
      <c r="C809" s="440"/>
      <c r="E809" s="355"/>
      <c r="G809" s="355"/>
      <c r="H809" s="355"/>
      <c r="J809" s="344"/>
      <c r="K809" s="344"/>
    </row>
    <row r="810" spans="2:11" s="429" customFormat="1" ht="18" customHeight="1">
      <c r="B810" s="460"/>
      <c r="C810" s="440"/>
      <c r="E810" s="355"/>
      <c r="G810" s="355"/>
      <c r="H810" s="355"/>
      <c r="J810" s="344"/>
      <c r="K810" s="344"/>
    </row>
    <row r="811" spans="2:11" s="429" customFormat="1" ht="18" customHeight="1">
      <c r="B811" s="460"/>
      <c r="C811" s="440"/>
      <c r="E811" s="355"/>
      <c r="G811" s="355"/>
      <c r="H811" s="355"/>
      <c r="J811" s="344"/>
      <c r="K811" s="344"/>
    </row>
    <row r="812" spans="2:11" s="429" customFormat="1" ht="18" customHeight="1">
      <c r="B812" s="460"/>
      <c r="C812" s="440"/>
      <c r="E812" s="355"/>
      <c r="G812" s="355"/>
      <c r="H812" s="355"/>
      <c r="J812" s="344"/>
      <c r="K812" s="344"/>
    </row>
    <row r="813" spans="2:11" s="429" customFormat="1" ht="18" customHeight="1">
      <c r="B813" s="460"/>
      <c r="C813" s="440"/>
      <c r="E813" s="355"/>
      <c r="G813" s="355"/>
      <c r="H813" s="355"/>
      <c r="J813" s="344"/>
      <c r="K813" s="344"/>
    </row>
    <row r="814" spans="2:11" s="429" customFormat="1" ht="18" customHeight="1">
      <c r="B814" s="460"/>
      <c r="C814" s="440"/>
      <c r="E814" s="355"/>
      <c r="G814" s="355"/>
      <c r="H814" s="355"/>
      <c r="J814" s="344"/>
      <c r="K814" s="344"/>
    </row>
    <row r="815" spans="2:11" s="429" customFormat="1" ht="18" customHeight="1">
      <c r="B815" s="460"/>
      <c r="C815" s="440"/>
      <c r="E815" s="355"/>
      <c r="G815" s="355"/>
      <c r="H815" s="355"/>
      <c r="J815" s="344"/>
      <c r="K815" s="344"/>
    </row>
    <row r="816" spans="2:11" s="429" customFormat="1" ht="18" customHeight="1">
      <c r="B816" s="460"/>
      <c r="C816" s="440"/>
      <c r="E816" s="355"/>
      <c r="G816" s="355"/>
      <c r="H816" s="355"/>
      <c r="J816" s="344"/>
      <c r="K816" s="344"/>
    </row>
    <row r="817" spans="2:11" s="429" customFormat="1" ht="18" customHeight="1">
      <c r="B817" s="460"/>
      <c r="C817" s="440"/>
      <c r="E817" s="355"/>
      <c r="G817" s="355"/>
      <c r="H817" s="355"/>
      <c r="J817" s="344"/>
      <c r="K817" s="344"/>
    </row>
    <row r="818" spans="2:11" s="429" customFormat="1" ht="18" customHeight="1">
      <c r="B818" s="460"/>
      <c r="C818" s="440"/>
      <c r="E818" s="355"/>
      <c r="G818" s="355"/>
      <c r="H818" s="355"/>
      <c r="J818" s="344"/>
      <c r="K818" s="344"/>
    </row>
    <row r="819" spans="2:11" s="429" customFormat="1" ht="18" customHeight="1">
      <c r="B819" s="460"/>
      <c r="C819" s="440"/>
      <c r="E819" s="355"/>
      <c r="G819" s="355"/>
      <c r="H819" s="355"/>
      <c r="J819" s="344"/>
      <c r="K819" s="344"/>
    </row>
    <row r="820" spans="2:11" s="429" customFormat="1" ht="18" customHeight="1">
      <c r="B820" s="460"/>
      <c r="C820" s="440"/>
      <c r="E820" s="355"/>
      <c r="G820" s="355"/>
      <c r="H820" s="355"/>
      <c r="J820" s="344"/>
      <c r="K820" s="344"/>
    </row>
    <row r="821" spans="2:11" s="429" customFormat="1" ht="18" customHeight="1">
      <c r="B821" s="460"/>
      <c r="C821" s="440"/>
      <c r="E821" s="355"/>
      <c r="G821" s="355"/>
      <c r="H821" s="355"/>
      <c r="J821" s="344"/>
      <c r="K821" s="344"/>
    </row>
    <row r="822" spans="2:11" s="429" customFormat="1" ht="18" customHeight="1">
      <c r="B822" s="460"/>
      <c r="C822" s="440"/>
      <c r="E822" s="355"/>
      <c r="G822" s="355"/>
      <c r="H822" s="355"/>
      <c r="J822" s="344"/>
      <c r="K822" s="344"/>
    </row>
    <row r="823" spans="2:11" s="429" customFormat="1" ht="18" customHeight="1">
      <c r="B823" s="460"/>
      <c r="C823" s="440"/>
      <c r="E823" s="355"/>
      <c r="G823" s="355"/>
      <c r="H823" s="355"/>
      <c r="J823" s="344"/>
      <c r="K823" s="344"/>
    </row>
    <row r="824" spans="2:11" s="429" customFormat="1" ht="18" customHeight="1">
      <c r="B824" s="460"/>
      <c r="C824" s="440"/>
      <c r="E824" s="355"/>
      <c r="G824" s="355"/>
      <c r="H824" s="355"/>
      <c r="J824" s="344"/>
      <c r="K824" s="344"/>
    </row>
    <row r="825" spans="2:11" s="429" customFormat="1" ht="18" customHeight="1">
      <c r="B825" s="460"/>
      <c r="C825" s="440"/>
      <c r="E825" s="355"/>
      <c r="G825" s="355"/>
      <c r="H825" s="355"/>
      <c r="J825" s="344"/>
      <c r="K825" s="344"/>
    </row>
    <row r="826" spans="2:11" s="429" customFormat="1" ht="18" customHeight="1">
      <c r="B826" s="460"/>
      <c r="C826" s="440"/>
      <c r="E826" s="355"/>
      <c r="G826" s="355"/>
      <c r="H826" s="355"/>
      <c r="J826" s="344"/>
      <c r="K826" s="344"/>
    </row>
    <row r="827" spans="2:11" s="429" customFormat="1" ht="18" customHeight="1">
      <c r="B827" s="460"/>
      <c r="C827" s="440"/>
      <c r="E827" s="355"/>
      <c r="G827" s="355"/>
      <c r="H827" s="355"/>
      <c r="J827" s="344"/>
      <c r="K827" s="344"/>
    </row>
    <row r="828" spans="2:11" s="429" customFormat="1" ht="18" customHeight="1">
      <c r="B828" s="460"/>
      <c r="C828" s="440"/>
      <c r="E828" s="355"/>
      <c r="G828" s="355"/>
      <c r="H828" s="355"/>
      <c r="J828" s="344"/>
      <c r="K828" s="344"/>
    </row>
    <row r="829" spans="2:11" s="429" customFormat="1" ht="18" customHeight="1">
      <c r="B829" s="460"/>
      <c r="C829" s="440"/>
      <c r="E829" s="355"/>
      <c r="G829" s="355"/>
      <c r="H829" s="355"/>
      <c r="J829" s="344"/>
      <c r="K829" s="344"/>
    </row>
    <row r="830" spans="2:11" s="429" customFormat="1" ht="18" customHeight="1">
      <c r="B830" s="460"/>
      <c r="C830" s="440"/>
      <c r="E830" s="355"/>
      <c r="G830" s="355"/>
      <c r="H830" s="355"/>
      <c r="J830" s="344"/>
      <c r="K830" s="344"/>
    </row>
    <row r="831" spans="2:11" s="429" customFormat="1" ht="18" customHeight="1">
      <c r="B831" s="460"/>
      <c r="C831" s="440"/>
      <c r="E831" s="355"/>
      <c r="G831" s="355"/>
      <c r="H831" s="355"/>
      <c r="J831" s="344"/>
      <c r="K831" s="344"/>
    </row>
    <row r="832" spans="2:11" s="429" customFormat="1" ht="18" customHeight="1">
      <c r="B832" s="460"/>
      <c r="C832" s="440"/>
      <c r="E832" s="355"/>
      <c r="G832" s="355"/>
      <c r="H832" s="355"/>
      <c r="J832" s="344"/>
      <c r="K832" s="344"/>
    </row>
    <row r="833" spans="2:11" s="429" customFormat="1" ht="18" customHeight="1">
      <c r="B833" s="460"/>
      <c r="C833" s="440"/>
      <c r="E833" s="355"/>
      <c r="G833" s="355"/>
      <c r="H833" s="355"/>
      <c r="J833" s="344"/>
      <c r="K833" s="344"/>
    </row>
    <row r="834" spans="2:11" s="429" customFormat="1" ht="18" customHeight="1">
      <c r="B834" s="460"/>
      <c r="C834" s="440"/>
      <c r="E834" s="355"/>
      <c r="G834" s="355"/>
      <c r="H834" s="355"/>
      <c r="J834" s="344"/>
      <c r="K834" s="344"/>
    </row>
    <row r="835" spans="2:11" s="429" customFormat="1" ht="18" customHeight="1">
      <c r="B835" s="460"/>
      <c r="C835" s="440"/>
      <c r="E835" s="355"/>
      <c r="G835" s="355"/>
      <c r="H835" s="355"/>
      <c r="J835" s="344"/>
      <c r="K835" s="344"/>
    </row>
    <row r="836" spans="2:11" s="429" customFormat="1" ht="18" customHeight="1">
      <c r="B836" s="460"/>
      <c r="C836" s="440"/>
      <c r="E836" s="355"/>
      <c r="G836" s="355"/>
      <c r="H836" s="355"/>
      <c r="J836" s="344"/>
      <c r="K836" s="344"/>
    </row>
    <row r="837" spans="2:11" s="429" customFormat="1" ht="18" customHeight="1">
      <c r="B837" s="460"/>
      <c r="C837" s="440"/>
      <c r="E837" s="355"/>
      <c r="G837" s="355"/>
      <c r="H837" s="355"/>
      <c r="J837" s="344"/>
      <c r="K837" s="344"/>
    </row>
    <row r="838" spans="2:11" s="429" customFormat="1" ht="18" customHeight="1">
      <c r="B838" s="460"/>
      <c r="C838" s="440"/>
      <c r="E838" s="355"/>
      <c r="G838" s="355"/>
      <c r="H838" s="355"/>
      <c r="J838" s="344"/>
      <c r="K838" s="344"/>
    </row>
    <row r="839" spans="2:11" s="429" customFormat="1" ht="18" customHeight="1">
      <c r="B839" s="460"/>
      <c r="C839" s="440"/>
      <c r="E839" s="355"/>
      <c r="G839" s="355"/>
      <c r="H839" s="355"/>
      <c r="J839" s="344"/>
      <c r="K839" s="344"/>
    </row>
    <row r="840" spans="2:11" s="429" customFormat="1" ht="18" customHeight="1">
      <c r="B840" s="460"/>
      <c r="C840" s="440"/>
      <c r="E840" s="355"/>
      <c r="G840" s="355"/>
      <c r="H840" s="355"/>
      <c r="J840" s="344"/>
      <c r="K840" s="344"/>
    </row>
    <row r="841" spans="2:11" s="429" customFormat="1" ht="18" customHeight="1">
      <c r="B841" s="460"/>
      <c r="C841" s="440"/>
      <c r="E841" s="355"/>
      <c r="G841" s="355"/>
      <c r="H841" s="355"/>
      <c r="J841" s="344"/>
      <c r="K841" s="344"/>
    </row>
    <row r="842" spans="2:11" s="429" customFormat="1" ht="18" customHeight="1">
      <c r="B842" s="460"/>
      <c r="C842" s="440"/>
      <c r="E842" s="355"/>
      <c r="G842" s="355"/>
      <c r="H842" s="355"/>
      <c r="J842" s="344"/>
      <c r="K842" s="344"/>
    </row>
    <row r="843" spans="2:11" s="429" customFormat="1" ht="18" customHeight="1">
      <c r="B843" s="460"/>
      <c r="C843" s="440"/>
      <c r="E843" s="355"/>
      <c r="G843" s="355"/>
      <c r="H843" s="355"/>
      <c r="J843" s="344"/>
      <c r="K843" s="344"/>
    </row>
    <row r="844" spans="2:11" s="429" customFormat="1" ht="18" customHeight="1">
      <c r="B844" s="460"/>
      <c r="C844" s="440"/>
      <c r="E844" s="355"/>
      <c r="G844" s="355"/>
      <c r="H844" s="355"/>
      <c r="J844" s="344"/>
      <c r="K844" s="344"/>
    </row>
    <row r="845" spans="2:11" s="429" customFormat="1" ht="18" customHeight="1">
      <c r="B845" s="460"/>
      <c r="C845" s="440"/>
      <c r="E845" s="355"/>
      <c r="G845" s="355"/>
      <c r="H845" s="355"/>
      <c r="J845" s="344"/>
      <c r="K845" s="344"/>
    </row>
    <row r="846" spans="2:11" s="429" customFormat="1" ht="18" customHeight="1">
      <c r="B846" s="460"/>
      <c r="C846" s="440"/>
      <c r="E846" s="355"/>
      <c r="G846" s="355"/>
      <c r="H846" s="355"/>
      <c r="J846" s="344"/>
      <c r="K846" s="344"/>
    </row>
    <row r="847" spans="2:11" s="429" customFormat="1" ht="18" customHeight="1">
      <c r="B847" s="460"/>
      <c r="C847" s="440"/>
      <c r="E847" s="355"/>
      <c r="G847" s="355"/>
      <c r="H847" s="355"/>
      <c r="J847" s="344"/>
      <c r="K847" s="344"/>
    </row>
    <row r="848" spans="2:11" s="429" customFormat="1" ht="18" customHeight="1">
      <c r="B848" s="460"/>
      <c r="C848" s="440"/>
      <c r="E848" s="355"/>
      <c r="G848" s="355"/>
      <c r="H848" s="355"/>
      <c r="J848" s="344"/>
      <c r="K848" s="344"/>
    </row>
    <row r="849" spans="2:11" s="429" customFormat="1" ht="18" customHeight="1">
      <c r="B849" s="460"/>
      <c r="C849" s="440"/>
      <c r="E849" s="355"/>
      <c r="G849" s="355"/>
      <c r="H849" s="355"/>
      <c r="J849" s="344"/>
      <c r="K849" s="344"/>
    </row>
    <row r="850" spans="2:11" s="429" customFormat="1" ht="18" customHeight="1">
      <c r="B850" s="460"/>
      <c r="C850" s="440"/>
      <c r="E850" s="355"/>
      <c r="G850" s="355"/>
      <c r="H850" s="355"/>
      <c r="J850" s="344"/>
      <c r="K850" s="344"/>
    </row>
    <row r="851" spans="2:11" s="429" customFormat="1" ht="18" customHeight="1">
      <c r="B851" s="460"/>
      <c r="C851" s="440"/>
      <c r="E851" s="355"/>
      <c r="G851" s="355"/>
      <c r="H851" s="355"/>
      <c r="J851" s="344"/>
      <c r="K851" s="344"/>
    </row>
    <row r="852" spans="2:11" s="429" customFormat="1" ht="18" customHeight="1">
      <c r="B852" s="460"/>
      <c r="C852" s="440"/>
      <c r="E852" s="355"/>
      <c r="G852" s="355"/>
      <c r="H852" s="355"/>
      <c r="J852" s="344"/>
      <c r="K852" s="344"/>
    </row>
    <row r="853" spans="2:11" s="429" customFormat="1" ht="18" customHeight="1">
      <c r="B853" s="460"/>
      <c r="C853" s="440"/>
      <c r="E853" s="355"/>
      <c r="G853" s="355"/>
      <c r="H853" s="355"/>
      <c r="J853" s="344"/>
      <c r="K853" s="344"/>
    </row>
    <row r="854" spans="2:11" s="429" customFormat="1" ht="18" customHeight="1">
      <c r="B854" s="460"/>
      <c r="C854" s="440"/>
      <c r="E854" s="355"/>
      <c r="G854" s="355"/>
      <c r="H854" s="355"/>
      <c r="J854" s="344"/>
      <c r="K854" s="344"/>
    </row>
    <row r="855" spans="2:11" s="429" customFormat="1" ht="18" customHeight="1">
      <c r="B855" s="460"/>
      <c r="C855" s="440"/>
      <c r="E855" s="355"/>
      <c r="G855" s="355"/>
      <c r="H855" s="355"/>
      <c r="J855" s="344"/>
      <c r="K855" s="344"/>
    </row>
    <row r="856" spans="2:11" s="429" customFormat="1" ht="18" customHeight="1">
      <c r="B856" s="460"/>
      <c r="C856" s="440"/>
      <c r="E856" s="355"/>
      <c r="G856" s="355"/>
      <c r="H856" s="355"/>
      <c r="J856" s="344"/>
      <c r="K856" s="344"/>
    </row>
    <row r="857" spans="2:11" s="429" customFormat="1" ht="18" customHeight="1">
      <c r="B857" s="460"/>
      <c r="C857" s="440"/>
      <c r="E857" s="355"/>
      <c r="G857" s="355"/>
      <c r="H857" s="355"/>
      <c r="J857" s="344"/>
      <c r="K857" s="344"/>
    </row>
    <row r="858" spans="2:11" s="429" customFormat="1" ht="18" customHeight="1">
      <c r="B858" s="460"/>
      <c r="C858" s="440"/>
      <c r="E858" s="355"/>
      <c r="G858" s="355"/>
      <c r="H858" s="355"/>
      <c r="J858" s="344"/>
      <c r="K858" s="344"/>
    </row>
    <row r="859" spans="2:11" s="429" customFormat="1" ht="18" customHeight="1">
      <c r="B859" s="460"/>
      <c r="C859" s="440"/>
      <c r="E859" s="355"/>
      <c r="G859" s="355"/>
      <c r="H859" s="355"/>
      <c r="J859" s="344"/>
      <c r="K859" s="344"/>
    </row>
    <row r="860" spans="2:11" s="429" customFormat="1" ht="18" customHeight="1">
      <c r="B860" s="460"/>
      <c r="C860" s="440"/>
      <c r="E860" s="355"/>
      <c r="G860" s="355"/>
      <c r="H860" s="355"/>
      <c r="J860" s="344"/>
      <c r="K860" s="344"/>
    </row>
    <row r="861" spans="2:11" s="429" customFormat="1" ht="18" customHeight="1">
      <c r="B861" s="460"/>
      <c r="C861" s="440"/>
      <c r="E861" s="355"/>
      <c r="G861" s="355"/>
      <c r="H861" s="355"/>
      <c r="J861" s="344"/>
      <c r="K861" s="344"/>
    </row>
    <row r="862" spans="2:11" s="429" customFormat="1" ht="18" customHeight="1">
      <c r="B862" s="460"/>
      <c r="C862" s="440"/>
      <c r="E862" s="355"/>
      <c r="G862" s="355"/>
      <c r="H862" s="355"/>
      <c r="J862" s="344"/>
      <c r="K862" s="344"/>
    </row>
    <row r="863" spans="2:11" s="429" customFormat="1" ht="18" customHeight="1">
      <c r="B863" s="460"/>
      <c r="C863" s="440"/>
      <c r="E863" s="355"/>
      <c r="G863" s="355"/>
      <c r="H863" s="355"/>
      <c r="J863" s="344"/>
      <c r="K863" s="344"/>
    </row>
    <row r="864" spans="2:11" s="429" customFormat="1" ht="18" customHeight="1">
      <c r="B864" s="460"/>
      <c r="C864" s="440"/>
      <c r="E864" s="355"/>
      <c r="G864" s="355"/>
      <c r="H864" s="355"/>
      <c r="J864" s="344"/>
      <c r="K864" s="344"/>
    </row>
    <row r="865" spans="2:11" s="429" customFormat="1" ht="18" customHeight="1">
      <c r="B865" s="460"/>
      <c r="C865" s="440"/>
      <c r="E865" s="355"/>
      <c r="G865" s="355"/>
      <c r="H865" s="355"/>
      <c r="J865" s="344"/>
      <c r="K865" s="344"/>
    </row>
    <row r="866" spans="2:11" s="429" customFormat="1" ht="18" customHeight="1">
      <c r="B866" s="460"/>
      <c r="C866" s="440"/>
      <c r="E866" s="355"/>
      <c r="G866" s="355"/>
      <c r="H866" s="355"/>
      <c r="J866" s="344"/>
      <c r="K866" s="344"/>
    </row>
    <row r="867" spans="2:11" s="429" customFormat="1" ht="18" customHeight="1">
      <c r="B867" s="460"/>
      <c r="C867" s="440"/>
      <c r="E867" s="355"/>
      <c r="G867" s="355"/>
      <c r="H867" s="355"/>
      <c r="J867" s="344"/>
      <c r="K867" s="344"/>
    </row>
    <row r="868" spans="2:11" s="429" customFormat="1" ht="18" customHeight="1">
      <c r="B868" s="460"/>
      <c r="C868" s="440"/>
      <c r="E868" s="355"/>
      <c r="G868" s="355"/>
      <c r="H868" s="355"/>
      <c r="J868" s="344"/>
      <c r="K868" s="344"/>
    </row>
    <row r="869" spans="2:11" s="429" customFormat="1" ht="18" customHeight="1">
      <c r="B869" s="460"/>
      <c r="C869" s="440"/>
      <c r="E869" s="355"/>
      <c r="G869" s="355"/>
      <c r="H869" s="355"/>
      <c r="J869" s="344"/>
      <c r="K869" s="344"/>
    </row>
    <row r="870" spans="2:11" s="429" customFormat="1" ht="18" customHeight="1">
      <c r="B870" s="460"/>
      <c r="C870" s="440"/>
      <c r="E870" s="355"/>
      <c r="G870" s="355"/>
      <c r="H870" s="355"/>
      <c r="J870" s="344"/>
      <c r="K870" s="344"/>
    </row>
    <row r="871" spans="2:11" s="429" customFormat="1" ht="18" customHeight="1">
      <c r="B871" s="460"/>
      <c r="C871" s="440"/>
      <c r="E871" s="355"/>
      <c r="G871" s="355"/>
      <c r="H871" s="355"/>
      <c r="J871" s="344"/>
      <c r="K871" s="344"/>
    </row>
    <row r="872" spans="2:11" s="429" customFormat="1" ht="18" customHeight="1">
      <c r="B872" s="460"/>
      <c r="C872" s="440"/>
      <c r="E872" s="355"/>
      <c r="G872" s="355"/>
      <c r="H872" s="355"/>
      <c r="J872" s="344"/>
      <c r="K872" s="344"/>
    </row>
    <row r="873" spans="2:11" s="429" customFormat="1" ht="18" customHeight="1">
      <c r="B873" s="460"/>
      <c r="C873" s="440"/>
      <c r="E873" s="355"/>
      <c r="G873" s="355"/>
      <c r="H873" s="355"/>
      <c r="J873" s="344"/>
      <c r="K873" s="344"/>
    </row>
    <row r="874" spans="2:11" s="429" customFormat="1" ht="18" customHeight="1">
      <c r="B874" s="460"/>
      <c r="C874" s="440"/>
      <c r="E874" s="355"/>
      <c r="G874" s="355"/>
      <c r="H874" s="355"/>
      <c r="J874" s="344"/>
      <c r="K874" s="344"/>
    </row>
    <row r="875" spans="2:11" s="429" customFormat="1" ht="18" customHeight="1">
      <c r="B875" s="460"/>
      <c r="C875" s="440"/>
      <c r="E875" s="355"/>
      <c r="G875" s="355"/>
      <c r="H875" s="355"/>
      <c r="J875" s="344"/>
      <c r="K875" s="344"/>
    </row>
    <row r="876" spans="2:11" s="429" customFormat="1" ht="18" customHeight="1">
      <c r="B876" s="460"/>
      <c r="C876" s="440"/>
      <c r="E876" s="355"/>
      <c r="G876" s="355"/>
      <c r="H876" s="355"/>
      <c r="J876" s="344"/>
      <c r="K876" s="344"/>
    </row>
    <row r="877" spans="2:11" s="429" customFormat="1" ht="18" customHeight="1">
      <c r="B877" s="460"/>
      <c r="C877" s="440"/>
      <c r="E877" s="355"/>
      <c r="G877" s="355"/>
      <c r="H877" s="355"/>
      <c r="J877" s="344"/>
      <c r="K877" s="344"/>
    </row>
    <row r="878" spans="2:11" s="429" customFormat="1" ht="18" customHeight="1">
      <c r="B878" s="460"/>
      <c r="C878" s="440"/>
      <c r="E878" s="355"/>
      <c r="G878" s="355"/>
      <c r="H878" s="355"/>
      <c r="J878" s="344"/>
      <c r="K878" s="344"/>
    </row>
    <row r="879" spans="2:11" s="429" customFormat="1" ht="18" customHeight="1">
      <c r="B879" s="460"/>
      <c r="C879" s="440"/>
      <c r="E879" s="355"/>
      <c r="G879" s="355"/>
      <c r="H879" s="355"/>
      <c r="J879" s="344"/>
      <c r="K879" s="344"/>
    </row>
    <row r="880" spans="2:11" s="429" customFormat="1" ht="18" customHeight="1">
      <c r="B880" s="460"/>
      <c r="C880" s="440"/>
      <c r="E880" s="355"/>
      <c r="G880" s="355"/>
      <c r="H880" s="355"/>
      <c r="J880" s="344"/>
      <c r="K880" s="344"/>
    </row>
    <row r="881" spans="2:11" s="429" customFormat="1" ht="18" customHeight="1">
      <c r="B881" s="460"/>
      <c r="C881" s="440"/>
      <c r="E881" s="355"/>
      <c r="G881" s="355"/>
      <c r="H881" s="355"/>
      <c r="J881" s="344"/>
      <c r="K881" s="344"/>
    </row>
    <row r="882" spans="2:11" s="429" customFormat="1" ht="18" customHeight="1">
      <c r="B882" s="460"/>
      <c r="C882" s="440"/>
      <c r="E882" s="355"/>
      <c r="G882" s="355"/>
      <c r="H882" s="355"/>
      <c r="J882" s="344"/>
      <c r="K882" s="344"/>
    </row>
    <row r="883" spans="2:11" s="429" customFormat="1" ht="18" customHeight="1">
      <c r="B883" s="460"/>
      <c r="C883" s="440"/>
      <c r="E883" s="355"/>
      <c r="G883" s="355"/>
      <c r="H883" s="355"/>
      <c r="J883" s="344"/>
      <c r="K883" s="344"/>
    </row>
    <row r="884" spans="2:11" s="429" customFormat="1" ht="18" customHeight="1">
      <c r="B884" s="460"/>
      <c r="C884" s="440"/>
      <c r="E884" s="355"/>
      <c r="G884" s="355"/>
      <c r="H884" s="355"/>
      <c r="J884" s="344"/>
      <c r="K884" s="344"/>
    </row>
    <row r="885" spans="2:11" s="429" customFormat="1" ht="18" customHeight="1">
      <c r="B885" s="460"/>
      <c r="C885" s="440"/>
      <c r="E885" s="355"/>
      <c r="G885" s="355"/>
      <c r="H885" s="355"/>
      <c r="J885" s="344"/>
      <c r="K885" s="344"/>
    </row>
    <row r="886" spans="2:11" s="429" customFormat="1" ht="18" customHeight="1">
      <c r="B886" s="460"/>
      <c r="C886" s="440"/>
      <c r="E886" s="355"/>
      <c r="G886" s="355"/>
      <c r="H886" s="355"/>
      <c r="J886" s="344"/>
      <c r="K886" s="344"/>
    </row>
    <row r="887" spans="2:11" s="429" customFormat="1" ht="18" customHeight="1">
      <c r="B887" s="460"/>
      <c r="C887" s="440"/>
      <c r="E887" s="355"/>
      <c r="G887" s="355"/>
      <c r="H887" s="355"/>
      <c r="J887" s="344"/>
      <c r="K887" s="344"/>
    </row>
    <row r="888" spans="2:11" s="429" customFormat="1" ht="18" customHeight="1">
      <c r="B888" s="460"/>
      <c r="C888" s="440"/>
      <c r="E888" s="355"/>
      <c r="G888" s="355"/>
      <c r="H888" s="355"/>
      <c r="J888" s="344"/>
      <c r="K888" s="344"/>
    </row>
    <row r="889" spans="2:11" s="429" customFormat="1" ht="18" customHeight="1">
      <c r="B889" s="460"/>
      <c r="C889" s="440"/>
      <c r="E889" s="355"/>
      <c r="G889" s="355"/>
      <c r="H889" s="355"/>
      <c r="J889" s="344"/>
      <c r="K889" s="344"/>
    </row>
    <row r="890" spans="2:11" s="429" customFormat="1" ht="18" customHeight="1">
      <c r="B890" s="460"/>
      <c r="C890" s="440"/>
      <c r="E890" s="355"/>
      <c r="G890" s="355"/>
      <c r="H890" s="355"/>
      <c r="J890" s="344"/>
      <c r="K890" s="344"/>
    </row>
    <row r="891" spans="2:11" s="429" customFormat="1" ht="18" customHeight="1">
      <c r="B891" s="460"/>
      <c r="C891" s="440"/>
      <c r="E891" s="355"/>
      <c r="G891" s="355"/>
      <c r="H891" s="355"/>
      <c r="J891" s="344"/>
      <c r="K891" s="344"/>
    </row>
    <row r="892" spans="2:11" s="429" customFormat="1" ht="18" customHeight="1">
      <c r="B892" s="460"/>
      <c r="C892" s="440"/>
      <c r="E892" s="355"/>
      <c r="G892" s="355"/>
      <c r="H892" s="355"/>
      <c r="J892" s="344"/>
      <c r="K892" s="344"/>
    </row>
    <row r="893" spans="2:11" s="429" customFormat="1" ht="18" customHeight="1">
      <c r="B893" s="460"/>
      <c r="C893" s="440"/>
      <c r="E893" s="355"/>
      <c r="G893" s="355"/>
      <c r="H893" s="355"/>
      <c r="J893" s="344"/>
      <c r="K893" s="344"/>
    </row>
    <row r="894" spans="2:11" s="429" customFormat="1" ht="18" customHeight="1">
      <c r="B894" s="460"/>
      <c r="C894" s="440"/>
      <c r="E894" s="355"/>
      <c r="G894" s="355"/>
      <c r="H894" s="355"/>
      <c r="J894" s="344"/>
      <c r="K894" s="344"/>
    </row>
    <row r="895" spans="2:11" s="429" customFormat="1" ht="18" customHeight="1">
      <c r="B895" s="460"/>
      <c r="C895" s="440"/>
      <c r="E895" s="355"/>
      <c r="G895" s="355"/>
      <c r="H895" s="355"/>
      <c r="J895" s="344"/>
      <c r="K895" s="344"/>
    </row>
    <row r="896" spans="2:11" s="429" customFormat="1" ht="18" customHeight="1">
      <c r="B896" s="460"/>
      <c r="C896" s="440"/>
      <c r="E896" s="355"/>
      <c r="G896" s="355"/>
      <c r="H896" s="355"/>
      <c r="J896" s="344"/>
      <c r="K896" s="344"/>
    </row>
    <row r="897" spans="2:11" s="429" customFormat="1" ht="18" customHeight="1">
      <c r="B897" s="460"/>
      <c r="C897" s="440"/>
      <c r="E897" s="355"/>
      <c r="G897" s="355"/>
      <c r="H897" s="355"/>
      <c r="J897" s="344"/>
      <c r="K897" s="344"/>
    </row>
    <row r="898" spans="2:11" s="429" customFormat="1" ht="18" customHeight="1">
      <c r="B898" s="460"/>
      <c r="C898" s="440"/>
      <c r="E898" s="355"/>
      <c r="G898" s="355"/>
      <c r="H898" s="355"/>
      <c r="J898" s="344"/>
      <c r="K898" s="344"/>
    </row>
    <row r="899" spans="2:11" s="429" customFormat="1" ht="18" customHeight="1">
      <c r="B899" s="460"/>
      <c r="C899" s="440"/>
      <c r="E899" s="355"/>
      <c r="G899" s="355"/>
      <c r="H899" s="355"/>
      <c r="J899" s="344"/>
      <c r="K899" s="344"/>
    </row>
    <row r="900" spans="2:11" s="429" customFormat="1" ht="18" customHeight="1">
      <c r="B900" s="460"/>
      <c r="C900" s="440"/>
      <c r="E900" s="355"/>
      <c r="G900" s="355"/>
      <c r="H900" s="355"/>
      <c r="J900" s="344"/>
      <c r="K900" s="344"/>
    </row>
    <row r="901" spans="2:11" s="429" customFormat="1" ht="18" customHeight="1">
      <c r="B901" s="460"/>
      <c r="C901" s="440"/>
      <c r="E901" s="355"/>
      <c r="G901" s="355"/>
      <c r="H901" s="355"/>
      <c r="J901" s="344"/>
      <c r="K901" s="344"/>
    </row>
    <row r="902" spans="2:11" s="429" customFormat="1" ht="18" customHeight="1">
      <c r="B902" s="460"/>
      <c r="C902" s="440"/>
      <c r="E902" s="355"/>
      <c r="G902" s="355"/>
      <c r="H902" s="355"/>
      <c r="J902" s="344"/>
      <c r="K902" s="344"/>
    </row>
    <row r="903" spans="2:11" s="429" customFormat="1" ht="18" customHeight="1">
      <c r="B903" s="460"/>
      <c r="C903" s="440"/>
      <c r="E903" s="355"/>
      <c r="G903" s="355"/>
      <c r="H903" s="355"/>
      <c r="J903" s="344"/>
      <c r="K903" s="344"/>
    </row>
    <row r="904" spans="2:11" s="429" customFormat="1" ht="18" customHeight="1">
      <c r="B904" s="460"/>
      <c r="C904" s="440"/>
      <c r="E904" s="355"/>
      <c r="G904" s="355"/>
      <c r="H904" s="355"/>
      <c r="J904" s="344"/>
      <c r="K904" s="344"/>
    </row>
    <row r="905" spans="2:11" s="429" customFormat="1" ht="18" customHeight="1">
      <c r="B905" s="460"/>
      <c r="C905" s="440"/>
      <c r="E905" s="355"/>
      <c r="G905" s="355"/>
      <c r="H905" s="355"/>
      <c r="J905" s="344"/>
      <c r="K905" s="344"/>
    </row>
    <row r="906" spans="2:11" s="429" customFormat="1" ht="18" customHeight="1">
      <c r="B906" s="460"/>
      <c r="C906" s="440"/>
      <c r="E906" s="355"/>
      <c r="G906" s="355"/>
      <c r="H906" s="355"/>
      <c r="J906" s="344"/>
      <c r="K906" s="344"/>
    </row>
    <row r="907" spans="2:11" s="429" customFormat="1" ht="18" customHeight="1">
      <c r="B907" s="460"/>
      <c r="C907" s="440"/>
      <c r="E907" s="355"/>
      <c r="G907" s="355"/>
      <c r="H907" s="355"/>
      <c r="J907" s="344"/>
      <c r="K907" s="344"/>
    </row>
    <row r="908" spans="2:11" s="429" customFormat="1" ht="18" customHeight="1">
      <c r="B908" s="460"/>
      <c r="C908" s="440"/>
      <c r="E908" s="355"/>
      <c r="G908" s="355"/>
      <c r="H908" s="355"/>
      <c r="J908" s="344"/>
      <c r="K908" s="344"/>
    </row>
    <row r="909" spans="2:11" s="429" customFormat="1" ht="18" customHeight="1">
      <c r="B909" s="460"/>
      <c r="C909" s="440"/>
      <c r="E909" s="355"/>
      <c r="G909" s="355"/>
      <c r="H909" s="355"/>
      <c r="J909" s="344"/>
      <c r="K909" s="344"/>
    </row>
    <row r="910" spans="2:11" s="429" customFormat="1" ht="18" customHeight="1">
      <c r="B910" s="460"/>
      <c r="C910" s="440"/>
      <c r="E910" s="355"/>
      <c r="G910" s="355"/>
      <c r="H910" s="355"/>
      <c r="J910" s="344"/>
      <c r="K910" s="344"/>
    </row>
    <row r="911" spans="2:11" s="429" customFormat="1" ht="18" customHeight="1">
      <c r="B911" s="460"/>
      <c r="C911" s="440"/>
      <c r="E911" s="355"/>
      <c r="G911" s="355"/>
      <c r="H911" s="355"/>
      <c r="J911" s="344"/>
      <c r="K911" s="344"/>
    </row>
    <row r="912" spans="2:11" s="429" customFormat="1" ht="18" customHeight="1">
      <c r="B912" s="460"/>
      <c r="C912" s="440"/>
      <c r="E912" s="355"/>
      <c r="G912" s="355"/>
      <c r="H912" s="355"/>
      <c r="J912" s="344"/>
      <c r="K912" s="344"/>
    </row>
    <row r="913" spans="2:11" s="429" customFormat="1" ht="18" customHeight="1">
      <c r="B913" s="460"/>
      <c r="C913" s="440"/>
      <c r="E913" s="355"/>
      <c r="G913" s="355"/>
      <c r="H913" s="355"/>
      <c r="J913" s="344"/>
      <c r="K913" s="344"/>
    </row>
    <row r="914" spans="2:11" s="429" customFormat="1" ht="18" customHeight="1">
      <c r="B914" s="460"/>
      <c r="C914" s="440"/>
      <c r="E914" s="355"/>
      <c r="G914" s="355"/>
      <c r="H914" s="355"/>
      <c r="J914" s="344"/>
      <c r="K914" s="344"/>
    </row>
    <row r="915" spans="2:11" s="429" customFormat="1" ht="18" customHeight="1">
      <c r="B915" s="460"/>
      <c r="C915" s="440"/>
      <c r="E915" s="355"/>
      <c r="G915" s="355"/>
      <c r="H915" s="355"/>
      <c r="J915" s="344"/>
      <c r="K915" s="344"/>
    </row>
    <row r="916" spans="2:11" s="429" customFormat="1" ht="18" customHeight="1">
      <c r="B916" s="460"/>
      <c r="C916" s="440"/>
      <c r="E916" s="355"/>
      <c r="G916" s="355"/>
      <c r="H916" s="355"/>
      <c r="J916" s="344"/>
      <c r="K916" s="344"/>
    </row>
    <row r="917" spans="2:11" s="429" customFormat="1" ht="18" customHeight="1">
      <c r="B917" s="460"/>
      <c r="C917" s="440"/>
      <c r="E917" s="355"/>
      <c r="G917" s="355"/>
      <c r="H917" s="355"/>
      <c r="J917" s="344"/>
      <c r="K917" s="344"/>
    </row>
    <row r="918" spans="2:11" s="429" customFormat="1" ht="18" customHeight="1">
      <c r="B918" s="460"/>
      <c r="C918" s="440"/>
      <c r="E918" s="355"/>
      <c r="G918" s="355"/>
      <c r="H918" s="355"/>
      <c r="J918" s="344"/>
      <c r="K918" s="344"/>
    </row>
    <row r="919" spans="2:11" s="429" customFormat="1" ht="18" customHeight="1">
      <c r="B919" s="460"/>
      <c r="C919" s="440"/>
      <c r="E919" s="355"/>
      <c r="G919" s="355"/>
      <c r="H919" s="355"/>
      <c r="J919" s="344"/>
      <c r="K919" s="344"/>
    </row>
    <row r="920" spans="2:11" s="429" customFormat="1" ht="18" customHeight="1">
      <c r="B920" s="460"/>
      <c r="C920" s="440"/>
      <c r="E920" s="355"/>
      <c r="G920" s="355"/>
      <c r="H920" s="355"/>
      <c r="J920" s="344"/>
      <c r="K920" s="344"/>
    </row>
    <row r="921" spans="2:11" s="429" customFormat="1" ht="18" customHeight="1">
      <c r="B921" s="460"/>
      <c r="C921" s="440"/>
      <c r="E921" s="355"/>
      <c r="G921" s="355"/>
      <c r="H921" s="355"/>
      <c r="J921" s="344"/>
      <c r="K921" s="344"/>
    </row>
    <row r="922" spans="2:11" s="429" customFormat="1" ht="18" customHeight="1">
      <c r="B922" s="460"/>
      <c r="C922" s="440"/>
      <c r="E922" s="355"/>
      <c r="G922" s="355"/>
      <c r="H922" s="355"/>
      <c r="J922" s="344"/>
      <c r="K922" s="344"/>
    </row>
    <row r="923" spans="2:11" s="429" customFormat="1" ht="18" customHeight="1">
      <c r="B923" s="460"/>
      <c r="C923" s="440"/>
      <c r="E923" s="355"/>
      <c r="G923" s="355"/>
      <c r="H923" s="355"/>
      <c r="J923" s="344"/>
      <c r="K923" s="344"/>
    </row>
    <row r="924" spans="2:11" s="429" customFormat="1" ht="18" customHeight="1">
      <c r="B924" s="460"/>
      <c r="C924" s="440"/>
      <c r="E924" s="355"/>
      <c r="G924" s="355"/>
      <c r="H924" s="355"/>
      <c r="J924" s="344"/>
      <c r="K924" s="344"/>
    </row>
    <row r="925" spans="2:11" s="429" customFormat="1" ht="18" customHeight="1">
      <c r="B925" s="460"/>
      <c r="C925" s="440"/>
      <c r="E925" s="355"/>
      <c r="G925" s="355"/>
      <c r="H925" s="355"/>
      <c r="J925" s="344"/>
      <c r="K925" s="344"/>
    </row>
    <row r="926" spans="2:11" s="429" customFormat="1" ht="18" customHeight="1">
      <c r="B926" s="460"/>
      <c r="C926" s="440"/>
      <c r="E926" s="355"/>
      <c r="G926" s="355"/>
      <c r="H926" s="355"/>
      <c r="J926" s="344"/>
      <c r="K926" s="344"/>
    </row>
    <row r="927" spans="2:11" s="429" customFormat="1" ht="18" customHeight="1">
      <c r="B927" s="460"/>
      <c r="C927" s="440"/>
      <c r="E927" s="355"/>
      <c r="G927" s="355"/>
      <c r="H927" s="355"/>
      <c r="J927" s="344"/>
      <c r="K927" s="344"/>
    </row>
    <row r="928" spans="2:11" s="429" customFormat="1" ht="18" customHeight="1">
      <c r="B928" s="460"/>
      <c r="C928" s="440"/>
      <c r="E928" s="355"/>
      <c r="G928" s="355"/>
      <c r="H928" s="355"/>
      <c r="J928" s="344"/>
      <c r="K928" s="344"/>
    </row>
    <row r="929" spans="2:11" s="429" customFormat="1" ht="18" customHeight="1">
      <c r="B929" s="460"/>
      <c r="C929" s="440"/>
      <c r="E929" s="355"/>
      <c r="G929" s="355"/>
      <c r="H929" s="355"/>
      <c r="J929" s="344"/>
      <c r="K929" s="344"/>
    </row>
    <row r="930" spans="2:11" s="429" customFormat="1" ht="18" customHeight="1">
      <c r="B930" s="460"/>
      <c r="C930" s="440"/>
      <c r="E930" s="355"/>
      <c r="G930" s="355"/>
      <c r="H930" s="355"/>
      <c r="J930" s="344"/>
      <c r="K930" s="344"/>
    </row>
    <row r="931" spans="2:11" s="429" customFormat="1" ht="18" customHeight="1">
      <c r="B931" s="460"/>
      <c r="C931" s="440"/>
      <c r="E931" s="355"/>
      <c r="G931" s="355"/>
      <c r="H931" s="355"/>
      <c r="J931" s="344"/>
      <c r="K931" s="344"/>
    </row>
    <row r="932" spans="2:11" s="429" customFormat="1" ht="18" customHeight="1">
      <c r="B932" s="460"/>
      <c r="C932" s="440"/>
      <c r="E932" s="355"/>
      <c r="G932" s="355"/>
      <c r="H932" s="355"/>
      <c r="J932" s="344"/>
      <c r="K932" s="344"/>
    </row>
    <row r="933" spans="2:11" s="429" customFormat="1" ht="18" customHeight="1">
      <c r="B933" s="460"/>
      <c r="C933" s="440"/>
      <c r="E933" s="355"/>
      <c r="G933" s="355"/>
      <c r="H933" s="355"/>
      <c r="J933" s="344"/>
      <c r="K933" s="344"/>
    </row>
    <row r="934" spans="2:11" s="429" customFormat="1" ht="18" customHeight="1">
      <c r="B934" s="460"/>
      <c r="C934" s="440"/>
      <c r="E934" s="355"/>
      <c r="G934" s="355"/>
      <c r="H934" s="355"/>
      <c r="J934" s="344"/>
      <c r="K934" s="344"/>
    </row>
    <row r="935" spans="2:11" s="429" customFormat="1" ht="18" customHeight="1">
      <c r="B935" s="460"/>
      <c r="C935" s="440"/>
      <c r="E935" s="355"/>
      <c r="G935" s="355"/>
      <c r="H935" s="355"/>
      <c r="J935" s="344"/>
      <c r="K935" s="344"/>
    </row>
    <row r="936" spans="2:11" s="429" customFormat="1" ht="18" customHeight="1">
      <c r="B936" s="460"/>
      <c r="C936" s="440"/>
      <c r="E936" s="355"/>
      <c r="G936" s="355"/>
      <c r="H936" s="355"/>
      <c r="J936" s="344"/>
      <c r="K936" s="344"/>
    </row>
    <row r="937" spans="2:11" s="429" customFormat="1" ht="18" customHeight="1">
      <c r="B937" s="460"/>
      <c r="C937" s="440"/>
      <c r="E937" s="355"/>
      <c r="G937" s="355"/>
      <c r="H937" s="355"/>
      <c r="J937" s="344"/>
      <c r="K937" s="344"/>
    </row>
    <row r="938" spans="2:11" s="429" customFormat="1" ht="18" customHeight="1">
      <c r="B938" s="460"/>
      <c r="C938" s="440"/>
      <c r="E938" s="355"/>
      <c r="G938" s="355"/>
      <c r="H938" s="355"/>
      <c r="J938" s="344"/>
      <c r="K938" s="344"/>
    </row>
    <row r="939" spans="2:11" s="429" customFormat="1" ht="18" customHeight="1">
      <c r="B939" s="460"/>
      <c r="C939" s="440"/>
      <c r="E939" s="355"/>
      <c r="G939" s="355"/>
      <c r="H939" s="355"/>
      <c r="J939" s="344"/>
      <c r="K939" s="344"/>
    </row>
    <row r="940" spans="2:11" s="429" customFormat="1" ht="18" customHeight="1">
      <c r="B940" s="460"/>
      <c r="C940" s="440"/>
      <c r="E940" s="355"/>
      <c r="G940" s="355"/>
      <c r="H940" s="355"/>
      <c r="J940" s="344"/>
      <c r="K940" s="344"/>
    </row>
    <row r="941" spans="2:11" s="429" customFormat="1" ht="18" customHeight="1">
      <c r="B941" s="460"/>
      <c r="C941" s="440"/>
      <c r="E941" s="355"/>
      <c r="G941" s="355"/>
      <c r="H941" s="355"/>
      <c r="J941" s="344"/>
      <c r="K941" s="344"/>
    </row>
    <row r="942" spans="2:11" s="429" customFormat="1" ht="18" customHeight="1">
      <c r="B942" s="460"/>
      <c r="C942" s="440"/>
      <c r="E942" s="355"/>
      <c r="G942" s="355"/>
      <c r="H942" s="355"/>
      <c r="J942" s="344"/>
      <c r="K942" s="344"/>
    </row>
    <row r="943" spans="2:11" s="429" customFormat="1" ht="18" customHeight="1">
      <c r="B943" s="460"/>
      <c r="C943" s="440"/>
      <c r="E943" s="355"/>
      <c r="G943" s="355"/>
      <c r="H943" s="355"/>
      <c r="J943" s="344"/>
      <c r="K943" s="344"/>
    </row>
    <row r="944" spans="2:11" s="429" customFormat="1" ht="18" customHeight="1">
      <c r="B944" s="460"/>
      <c r="C944" s="440"/>
      <c r="E944" s="355"/>
      <c r="G944" s="355"/>
      <c r="H944" s="355"/>
      <c r="J944" s="344"/>
      <c r="K944" s="344"/>
    </row>
    <row r="945" spans="2:11" s="429" customFormat="1" ht="18" customHeight="1">
      <c r="B945" s="460"/>
      <c r="C945" s="440"/>
      <c r="E945" s="355"/>
      <c r="G945" s="355"/>
      <c r="H945" s="355"/>
      <c r="J945" s="344"/>
      <c r="K945" s="344"/>
    </row>
    <row r="946" spans="2:11" s="429" customFormat="1" ht="18" customHeight="1">
      <c r="B946" s="460"/>
      <c r="C946" s="440"/>
      <c r="E946" s="355"/>
      <c r="G946" s="355"/>
      <c r="H946" s="355"/>
      <c r="J946" s="344"/>
      <c r="K946" s="344"/>
    </row>
    <row r="947" spans="2:11" s="429" customFormat="1" ht="18" customHeight="1">
      <c r="B947" s="460"/>
      <c r="C947" s="440"/>
      <c r="E947" s="355"/>
      <c r="G947" s="355"/>
      <c r="H947" s="355"/>
      <c r="J947" s="344"/>
      <c r="K947" s="344"/>
    </row>
    <row r="948" spans="2:11" s="429" customFormat="1" ht="18" customHeight="1">
      <c r="B948" s="460"/>
      <c r="C948" s="440"/>
      <c r="E948" s="355"/>
      <c r="G948" s="355"/>
      <c r="H948" s="355"/>
      <c r="J948" s="344"/>
      <c r="K948" s="344"/>
    </row>
    <row r="949" spans="2:11" s="429" customFormat="1" ht="18" customHeight="1">
      <c r="B949" s="460"/>
      <c r="C949" s="440"/>
      <c r="E949" s="355"/>
      <c r="G949" s="355"/>
      <c r="H949" s="355"/>
      <c r="J949" s="344"/>
      <c r="K949" s="344"/>
    </row>
    <row r="950" spans="2:11" s="429" customFormat="1" ht="18" customHeight="1">
      <c r="B950" s="460"/>
      <c r="C950" s="440"/>
      <c r="E950" s="355"/>
      <c r="G950" s="355"/>
      <c r="H950" s="355"/>
      <c r="J950" s="344"/>
      <c r="K950" s="344"/>
    </row>
    <row r="951" spans="2:11" s="429" customFormat="1" ht="18" customHeight="1">
      <c r="B951" s="460"/>
      <c r="C951" s="440"/>
      <c r="E951" s="355"/>
      <c r="G951" s="355"/>
      <c r="H951" s="355"/>
      <c r="J951" s="344"/>
      <c r="K951" s="344"/>
    </row>
    <row r="952" spans="2:11" s="429" customFormat="1" ht="18" customHeight="1">
      <c r="B952" s="460"/>
      <c r="C952" s="440"/>
      <c r="E952" s="355"/>
      <c r="G952" s="355"/>
      <c r="H952" s="355"/>
      <c r="J952" s="344"/>
      <c r="K952" s="344"/>
    </row>
    <row r="953" spans="2:11" s="429" customFormat="1" ht="18" customHeight="1">
      <c r="B953" s="460"/>
      <c r="C953" s="440"/>
      <c r="E953" s="355"/>
      <c r="G953" s="355"/>
      <c r="H953" s="355"/>
      <c r="J953" s="344"/>
      <c r="K953" s="344"/>
    </row>
    <row r="954" spans="2:11" s="429" customFormat="1" ht="18" customHeight="1">
      <c r="B954" s="460"/>
      <c r="C954" s="440"/>
      <c r="E954" s="355"/>
      <c r="G954" s="355"/>
      <c r="H954" s="355"/>
      <c r="J954" s="344"/>
      <c r="K954" s="344"/>
    </row>
    <row r="955" spans="2:11" s="429" customFormat="1" ht="18" customHeight="1">
      <c r="B955" s="460"/>
      <c r="C955" s="440"/>
      <c r="E955" s="355"/>
      <c r="G955" s="355"/>
      <c r="H955" s="355"/>
      <c r="J955" s="344"/>
      <c r="K955" s="344"/>
    </row>
    <row r="956" spans="2:11" s="429" customFormat="1" ht="18" customHeight="1">
      <c r="B956" s="460"/>
      <c r="C956" s="440"/>
      <c r="E956" s="355"/>
      <c r="G956" s="355"/>
      <c r="H956" s="355"/>
      <c r="J956" s="344"/>
      <c r="K956" s="344"/>
    </row>
    <row r="957" spans="2:11" s="429" customFormat="1" ht="18" customHeight="1">
      <c r="B957" s="460"/>
      <c r="C957" s="440"/>
      <c r="E957" s="355"/>
      <c r="G957" s="355"/>
      <c r="H957" s="355"/>
      <c r="J957" s="344"/>
      <c r="K957" s="344"/>
    </row>
    <row r="958" spans="2:11" s="429" customFormat="1" ht="18" customHeight="1">
      <c r="B958" s="460"/>
      <c r="C958" s="440"/>
      <c r="E958" s="355"/>
      <c r="G958" s="355"/>
      <c r="H958" s="355"/>
      <c r="J958" s="344"/>
      <c r="K958" s="344"/>
    </row>
    <row r="959" spans="2:11" s="429" customFormat="1" ht="18" customHeight="1">
      <c r="B959" s="460"/>
      <c r="C959" s="440"/>
      <c r="E959" s="355"/>
      <c r="G959" s="355"/>
      <c r="H959" s="355"/>
      <c r="J959" s="344"/>
      <c r="K959" s="344"/>
    </row>
    <row r="960" spans="2:11" s="429" customFormat="1" ht="18" customHeight="1">
      <c r="B960" s="460"/>
      <c r="C960" s="440"/>
      <c r="E960" s="355"/>
      <c r="G960" s="355"/>
      <c r="H960" s="355"/>
      <c r="J960" s="344"/>
      <c r="K960" s="344"/>
    </row>
    <row r="961" spans="2:11" s="429" customFormat="1" ht="18" customHeight="1">
      <c r="B961" s="460"/>
      <c r="C961" s="440"/>
      <c r="E961" s="355"/>
      <c r="G961" s="355"/>
      <c r="H961" s="355"/>
      <c r="J961" s="344"/>
      <c r="K961" s="344"/>
    </row>
    <row r="962" spans="2:11" s="429" customFormat="1" ht="18" customHeight="1">
      <c r="B962" s="460"/>
      <c r="C962" s="440"/>
      <c r="E962" s="355"/>
      <c r="G962" s="355"/>
      <c r="H962" s="355"/>
      <c r="J962" s="344"/>
      <c r="K962" s="344"/>
    </row>
    <row r="963" spans="2:11" s="429" customFormat="1" ht="18" customHeight="1">
      <c r="B963" s="460"/>
      <c r="C963" s="440"/>
      <c r="E963" s="355"/>
      <c r="G963" s="355"/>
      <c r="H963" s="355"/>
      <c r="J963" s="344"/>
      <c r="K963" s="344"/>
    </row>
    <row r="964" spans="2:11" s="429" customFormat="1" ht="18" customHeight="1">
      <c r="B964" s="460"/>
      <c r="C964" s="440"/>
      <c r="E964" s="355"/>
      <c r="G964" s="355"/>
      <c r="H964" s="355"/>
      <c r="J964" s="344"/>
      <c r="K964" s="344"/>
    </row>
    <row r="965" spans="2:11" s="429" customFormat="1" ht="18" customHeight="1">
      <c r="B965" s="460"/>
      <c r="C965" s="440"/>
      <c r="E965" s="355"/>
      <c r="G965" s="355"/>
      <c r="H965" s="355"/>
      <c r="J965" s="344"/>
      <c r="K965" s="344"/>
    </row>
    <row r="966" spans="2:11" s="429" customFormat="1" ht="18" customHeight="1">
      <c r="B966" s="460"/>
      <c r="C966" s="440"/>
      <c r="E966" s="355"/>
      <c r="G966" s="355"/>
      <c r="H966" s="355"/>
      <c r="J966" s="344"/>
      <c r="K966" s="344"/>
    </row>
    <row r="967" spans="2:11" s="429" customFormat="1" ht="18" customHeight="1">
      <c r="B967" s="460"/>
      <c r="C967" s="440"/>
      <c r="E967" s="355"/>
      <c r="G967" s="355"/>
      <c r="H967" s="355"/>
      <c r="J967" s="344"/>
      <c r="K967" s="344"/>
    </row>
    <row r="968" spans="2:11" s="429" customFormat="1" ht="18" customHeight="1">
      <c r="B968" s="460"/>
      <c r="C968" s="440"/>
      <c r="E968" s="355"/>
      <c r="G968" s="355"/>
      <c r="H968" s="355"/>
      <c r="J968" s="344"/>
      <c r="K968" s="344"/>
    </row>
    <row r="969" spans="2:11" s="429" customFormat="1" ht="18" customHeight="1">
      <c r="B969" s="460"/>
      <c r="C969" s="440"/>
      <c r="E969" s="355"/>
      <c r="G969" s="355"/>
      <c r="H969" s="355"/>
      <c r="J969" s="344"/>
      <c r="K969" s="344"/>
    </row>
    <row r="970" spans="2:11" s="429" customFormat="1" ht="18" customHeight="1">
      <c r="B970" s="460"/>
      <c r="C970" s="440"/>
      <c r="E970" s="355"/>
      <c r="G970" s="355"/>
      <c r="H970" s="355"/>
      <c r="J970" s="344"/>
      <c r="K970" s="344"/>
    </row>
    <row r="971" spans="2:11" s="429" customFormat="1" ht="18" customHeight="1">
      <c r="B971" s="460"/>
      <c r="C971" s="440"/>
      <c r="E971" s="355"/>
      <c r="G971" s="355"/>
      <c r="H971" s="355"/>
      <c r="J971" s="344"/>
      <c r="K971" s="344"/>
    </row>
    <row r="972" spans="2:11" s="429" customFormat="1" ht="18" customHeight="1">
      <c r="B972" s="460"/>
      <c r="C972" s="440"/>
      <c r="E972" s="355"/>
      <c r="G972" s="355"/>
      <c r="H972" s="355"/>
      <c r="J972" s="344"/>
      <c r="K972" s="344"/>
    </row>
    <row r="973" spans="2:11" s="429" customFormat="1" ht="18" customHeight="1">
      <c r="B973" s="460"/>
      <c r="C973" s="440"/>
      <c r="E973" s="355"/>
      <c r="G973" s="355"/>
      <c r="H973" s="355"/>
      <c r="J973" s="344"/>
      <c r="K973" s="344"/>
    </row>
    <row r="974" spans="2:11" s="429" customFormat="1" ht="18" customHeight="1">
      <c r="B974" s="460"/>
      <c r="C974" s="440"/>
      <c r="E974" s="355"/>
      <c r="G974" s="355"/>
      <c r="H974" s="355"/>
      <c r="J974" s="344"/>
      <c r="K974" s="344"/>
    </row>
    <row r="975" spans="2:11" s="429" customFormat="1" ht="18" customHeight="1">
      <c r="B975" s="460"/>
      <c r="C975" s="440"/>
      <c r="E975" s="355"/>
      <c r="G975" s="355"/>
      <c r="H975" s="355"/>
      <c r="J975" s="344"/>
      <c r="K975" s="344"/>
    </row>
    <row r="976" spans="2:11" s="429" customFormat="1" ht="18" customHeight="1">
      <c r="B976" s="460"/>
      <c r="C976" s="440"/>
      <c r="E976" s="355"/>
      <c r="G976" s="355"/>
      <c r="H976" s="355"/>
      <c r="J976" s="344"/>
      <c r="K976" s="344"/>
    </row>
    <row r="977" spans="2:11" s="429" customFormat="1" ht="18" customHeight="1">
      <c r="B977" s="460"/>
      <c r="C977" s="440"/>
      <c r="E977" s="355"/>
      <c r="G977" s="355"/>
      <c r="H977" s="355"/>
      <c r="J977" s="344"/>
      <c r="K977" s="344"/>
    </row>
    <row r="978" spans="2:11" s="429" customFormat="1" ht="18" customHeight="1">
      <c r="B978" s="460"/>
      <c r="C978" s="440"/>
      <c r="E978" s="355"/>
      <c r="G978" s="355"/>
      <c r="H978" s="355"/>
      <c r="J978" s="344"/>
      <c r="K978" s="344"/>
    </row>
    <row r="979" spans="2:11" s="429" customFormat="1" ht="18" customHeight="1">
      <c r="B979" s="460"/>
      <c r="C979" s="440"/>
      <c r="E979" s="355"/>
      <c r="G979" s="355"/>
      <c r="H979" s="355"/>
      <c r="J979" s="344"/>
      <c r="K979" s="344"/>
    </row>
    <row r="980" spans="2:11" s="429" customFormat="1" ht="18" customHeight="1">
      <c r="B980" s="460"/>
      <c r="C980" s="440"/>
      <c r="E980" s="355"/>
      <c r="G980" s="355"/>
      <c r="H980" s="355"/>
      <c r="J980" s="344"/>
      <c r="K980" s="344"/>
    </row>
    <row r="981" spans="2:11" s="429" customFormat="1" ht="18" customHeight="1">
      <c r="B981" s="460"/>
      <c r="C981" s="440"/>
      <c r="E981" s="355"/>
      <c r="G981" s="355"/>
      <c r="H981" s="355"/>
      <c r="J981" s="344"/>
      <c r="K981" s="344"/>
    </row>
    <row r="982" spans="2:11" s="429" customFormat="1" ht="18" customHeight="1">
      <c r="B982" s="460"/>
      <c r="C982" s="440"/>
      <c r="E982" s="355"/>
      <c r="G982" s="355"/>
      <c r="H982" s="355"/>
      <c r="J982" s="344"/>
      <c r="K982" s="344"/>
    </row>
    <row r="983" spans="2:11" s="429" customFormat="1" ht="18" customHeight="1">
      <c r="B983" s="460"/>
      <c r="C983" s="440"/>
      <c r="E983" s="355"/>
      <c r="G983" s="355"/>
      <c r="H983" s="355"/>
      <c r="J983" s="344"/>
      <c r="K983" s="344"/>
    </row>
    <row r="984" spans="2:11" s="429" customFormat="1" ht="18" customHeight="1">
      <c r="B984" s="460"/>
      <c r="C984" s="440"/>
      <c r="E984" s="355"/>
      <c r="G984" s="355"/>
      <c r="H984" s="355"/>
      <c r="J984" s="344"/>
      <c r="K984" s="344"/>
    </row>
    <row r="985" spans="2:11" s="429" customFormat="1" ht="18" customHeight="1">
      <c r="B985" s="460"/>
      <c r="C985" s="440"/>
      <c r="E985" s="355"/>
      <c r="G985" s="355"/>
      <c r="H985" s="355"/>
      <c r="J985" s="344"/>
      <c r="K985" s="344"/>
    </row>
    <row r="986" spans="2:11" s="429" customFormat="1" ht="18" customHeight="1">
      <c r="B986" s="460"/>
      <c r="C986" s="440"/>
      <c r="E986" s="355"/>
      <c r="G986" s="355"/>
      <c r="H986" s="355"/>
      <c r="J986" s="344"/>
      <c r="K986" s="344"/>
    </row>
    <row r="987" spans="2:11" s="429" customFormat="1" ht="18" customHeight="1">
      <c r="B987" s="460"/>
      <c r="C987" s="440"/>
      <c r="E987" s="355"/>
      <c r="G987" s="355"/>
      <c r="H987" s="355"/>
      <c r="J987" s="344"/>
      <c r="K987" s="344"/>
    </row>
    <row r="988" spans="2:11" s="429" customFormat="1" ht="18" customHeight="1">
      <c r="B988" s="460"/>
      <c r="C988" s="440"/>
      <c r="E988" s="355"/>
      <c r="G988" s="355"/>
      <c r="H988" s="355"/>
      <c r="J988" s="344"/>
      <c r="K988" s="344"/>
    </row>
    <row r="989" spans="2:11" s="429" customFormat="1" ht="18" customHeight="1">
      <c r="B989" s="460"/>
      <c r="C989" s="440"/>
      <c r="E989" s="355"/>
      <c r="G989" s="355"/>
      <c r="H989" s="355"/>
      <c r="J989" s="344"/>
      <c r="K989" s="344"/>
    </row>
    <row r="990" spans="2:11" s="429" customFormat="1" ht="18" customHeight="1">
      <c r="B990" s="460"/>
      <c r="C990" s="440"/>
      <c r="E990" s="355"/>
      <c r="G990" s="355"/>
      <c r="H990" s="355"/>
      <c r="J990" s="344"/>
      <c r="K990" s="344"/>
    </row>
    <row r="991" spans="2:11" s="429" customFormat="1" ht="18" customHeight="1">
      <c r="B991" s="460"/>
      <c r="C991" s="440"/>
      <c r="E991" s="355"/>
      <c r="G991" s="355"/>
      <c r="H991" s="355"/>
      <c r="J991" s="344"/>
      <c r="K991" s="344"/>
    </row>
    <row r="992" spans="2:11" s="429" customFormat="1" ht="18" customHeight="1">
      <c r="B992" s="460"/>
      <c r="C992" s="440"/>
      <c r="E992" s="355"/>
      <c r="G992" s="355"/>
      <c r="H992" s="355"/>
      <c r="J992" s="344"/>
      <c r="K992" s="344"/>
    </row>
    <row r="993" spans="2:11" s="429" customFormat="1" ht="18" customHeight="1">
      <c r="B993" s="460"/>
      <c r="C993" s="440"/>
      <c r="E993" s="355"/>
      <c r="G993" s="355"/>
      <c r="H993" s="355"/>
      <c r="J993" s="344"/>
      <c r="K993" s="344"/>
    </row>
    <row r="994" spans="2:11" s="429" customFormat="1" ht="18" customHeight="1">
      <c r="B994" s="460"/>
      <c r="C994" s="440"/>
      <c r="E994" s="355"/>
      <c r="G994" s="355"/>
      <c r="H994" s="355"/>
      <c r="J994" s="344"/>
      <c r="K994" s="344"/>
    </row>
    <row r="995" spans="2:11" s="429" customFormat="1" ht="18" customHeight="1">
      <c r="B995" s="460"/>
      <c r="C995" s="440"/>
      <c r="E995" s="355"/>
      <c r="G995" s="355"/>
      <c r="H995" s="355"/>
      <c r="J995" s="344"/>
      <c r="K995" s="344"/>
    </row>
    <row r="996" spans="2:11" s="429" customFormat="1" ht="18" customHeight="1">
      <c r="B996" s="460"/>
      <c r="C996" s="440"/>
      <c r="E996" s="355"/>
      <c r="G996" s="355"/>
      <c r="H996" s="355"/>
      <c r="J996" s="344"/>
      <c r="K996" s="344"/>
    </row>
    <row r="997" spans="2:11" s="429" customFormat="1" ht="18" customHeight="1">
      <c r="B997" s="460"/>
      <c r="C997" s="440"/>
      <c r="E997" s="355"/>
      <c r="G997" s="355"/>
      <c r="H997" s="355"/>
      <c r="J997" s="344"/>
      <c r="K997" s="344"/>
    </row>
    <row r="998" spans="2:11" s="429" customFormat="1" ht="18" customHeight="1">
      <c r="B998" s="460"/>
      <c r="C998" s="440"/>
      <c r="E998" s="355"/>
      <c r="G998" s="355"/>
      <c r="H998" s="355"/>
      <c r="J998" s="344"/>
      <c r="K998" s="344"/>
    </row>
    <row r="999" spans="2:11" s="429" customFormat="1" ht="18" customHeight="1">
      <c r="B999" s="460"/>
      <c r="C999" s="440"/>
      <c r="E999" s="355"/>
      <c r="G999" s="355"/>
      <c r="H999" s="355"/>
      <c r="J999" s="344"/>
      <c r="K999" s="344"/>
    </row>
    <row r="1000" spans="2:11" s="429" customFormat="1" ht="18" customHeight="1">
      <c r="B1000" s="460"/>
      <c r="C1000" s="440"/>
      <c r="E1000" s="355"/>
      <c r="G1000" s="355"/>
      <c r="H1000" s="355"/>
      <c r="J1000" s="344"/>
      <c r="K1000" s="344"/>
    </row>
    <row r="1001" spans="2:11" s="429" customFormat="1" ht="18" customHeight="1">
      <c r="B1001" s="460"/>
      <c r="C1001" s="440"/>
      <c r="E1001" s="355"/>
      <c r="G1001" s="355"/>
      <c r="H1001" s="355"/>
      <c r="J1001" s="344"/>
      <c r="K1001" s="344"/>
    </row>
    <row r="1002" spans="2:11" s="429" customFormat="1" ht="18" customHeight="1">
      <c r="B1002" s="460"/>
      <c r="C1002" s="440"/>
      <c r="E1002" s="355"/>
      <c r="G1002" s="355"/>
      <c r="H1002" s="355"/>
      <c r="J1002" s="344"/>
      <c r="K1002" s="344"/>
    </row>
    <row r="1003" spans="2:11" s="429" customFormat="1" ht="18" customHeight="1">
      <c r="B1003" s="460"/>
      <c r="C1003" s="440"/>
      <c r="E1003" s="355"/>
      <c r="G1003" s="355"/>
      <c r="H1003" s="355"/>
      <c r="J1003" s="344"/>
      <c r="K1003" s="344"/>
    </row>
    <row r="1004" spans="2:11" s="429" customFormat="1" ht="18" customHeight="1">
      <c r="B1004" s="460"/>
      <c r="C1004" s="440"/>
      <c r="E1004" s="355"/>
      <c r="G1004" s="355"/>
      <c r="H1004" s="355"/>
      <c r="J1004" s="344"/>
      <c r="K1004" s="344"/>
    </row>
    <row r="1005" spans="2:11" s="429" customFormat="1" ht="18" customHeight="1">
      <c r="B1005" s="460"/>
      <c r="C1005" s="440"/>
      <c r="E1005" s="355"/>
      <c r="G1005" s="355"/>
      <c r="H1005" s="355"/>
      <c r="J1005" s="344"/>
      <c r="K1005" s="344"/>
    </row>
    <row r="1006" spans="2:11" s="429" customFormat="1" ht="18" customHeight="1">
      <c r="B1006" s="460"/>
      <c r="C1006" s="440"/>
      <c r="E1006" s="355"/>
      <c r="G1006" s="355"/>
      <c r="H1006" s="355"/>
      <c r="J1006" s="344"/>
      <c r="K1006" s="344"/>
    </row>
    <row r="1007" spans="2:11" s="429" customFormat="1" ht="18" customHeight="1">
      <c r="B1007" s="460"/>
      <c r="C1007" s="440"/>
      <c r="E1007" s="355"/>
      <c r="G1007" s="355"/>
      <c r="H1007" s="355"/>
      <c r="J1007" s="344"/>
      <c r="K1007" s="344"/>
    </row>
    <row r="1008" spans="2:11" s="429" customFormat="1" ht="18" customHeight="1">
      <c r="B1008" s="460"/>
      <c r="C1008" s="440"/>
      <c r="E1008" s="355"/>
      <c r="G1008" s="355"/>
      <c r="H1008" s="355"/>
      <c r="J1008" s="344"/>
      <c r="K1008" s="344"/>
    </row>
    <row r="1009" spans="2:11" s="429" customFormat="1" ht="18" customHeight="1">
      <c r="B1009" s="460"/>
      <c r="C1009" s="440"/>
      <c r="E1009" s="355"/>
      <c r="G1009" s="355"/>
      <c r="H1009" s="355"/>
      <c r="J1009" s="344"/>
      <c r="K1009" s="344"/>
    </row>
    <row r="1010" spans="2:11" s="429" customFormat="1" ht="18" customHeight="1">
      <c r="B1010" s="460"/>
      <c r="C1010" s="440"/>
      <c r="E1010" s="355"/>
      <c r="G1010" s="355"/>
      <c r="H1010" s="355"/>
      <c r="J1010" s="344"/>
      <c r="K1010" s="344"/>
    </row>
    <row r="1011" spans="2:11" s="429" customFormat="1" ht="18" customHeight="1">
      <c r="B1011" s="460"/>
      <c r="C1011" s="440"/>
      <c r="E1011" s="355"/>
      <c r="G1011" s="355"/>
      <c r="H1011" s="355"/>
      <c r="J1011" s="344"/>
      <c r="K1011" s="344"/>
    </row>
    <row r="1012" spans="2:11" s="429" customFormat="1" ht="18" customHeight="1">
      <c r="B1012" s="460"/>
      <c r="C1012" s="440"/>
      <c r="E1012" s="355"/>
      <c r="G1012" s="355"/>
      <c r="H1012" s="355"/>
      <c r="J1012" s="344"/>
      <c r="K1012" s="344"/>
    </row>
    <row r="1013" spans="2:11" s="429" customFormat="1" ht="18" customHeight="1">
      <c r="B1013" s="460"/>
      <c r="C1013" s="440"/>
      <c r="E1013" s="355"/>
      <c r="G1013" s="355"/>
      <c r="H1013" s="355"/>
      <c r="J1013" s="344"/>
      <c r="K1013" s="344"/>
    </row>
    <row r="1014" spans="2:11" s="429" customFormat="1" ht="18" customHeight="1">
      <c r="B1014" s="460"/>
      <c r="C1014" s="440"/>
      <c r="E1014" s="355"/>
      <c r="G1014" s="355"/>
      <c r="H1014" s="355"/>
      <c r="J1014" s="344"/>
      <c r="K1014" s="344"/>
    </row>
    <row r="1015" spans="2:11" s="429" customFormat="1" ht="18" customHeight="1">
      <c r="B1015" s="460"/>
      <c r="C1015" s="440"/>
      <c r="E1015" s="355"/>
      <c r="G1015" s="355"/>
      <c r="H1015" s="355"/>
      <c r="J1015" s="344"/>
      <c r="K1015" s="344"/>
    </row>
    <row r="1016" spans="2:11" s="429" customFormat="1" ht="18" customHeight="1">
      <c r="B1016" s="460"/>
      <c r="C1016" s="440"/>
      <c r="E1016" s="355"/>
      <c r="G1016" s="355"/>
      <c r="H1016" s="355"/>
      <c r="J1016" s="344"/>
      <c r="K1016" s="344"/>
    </row>
    <row r="1017" spans="2:11" s="429" customFormat="1" ht="18" customHeight="1">
      <c r="B1017" s="460"/>
      <c r="C1017" s="440"/>
      <c r="E1017" s="355"/>
      <c r="G1017" s="355"/>
      <c r="H1017" s="355"/>
      <c r="J1017" s="344"/>
      <c r="K1017" s="344"/>
    </row>
    <row r="1018" spans="2:11" s="429" customFormat="1" ht="18" customHeight="1">
      <c r="B1018" s="460"/>
      <c r="C1018" s="440"/>
      <c r="E1018" s="355"/>
      <c r="G1018" s="355"/>
      <c r="H1018" s="355"/>
      <c r="J1018" s="344"/>
      <c r="K1018" s="344"/>
    </row>
    <row r="1019" spans="2:11" s="429" customFormat="1" ht="18" customHeight="1">
      <c r="B1019" s="460"/>
      <c r="C1019" s="440"/>
      <c r="E1019" s="355"/>
      <c r="G1019" s="355"/>
      <c r="H1019" s="355"/>
      <c r="J1019" s="344"/>
      <c r="K1019" s="344"/>
    </row>
    <row r="1020" spans="2:11" s="429" customFormat="1" ht="18" customHeight="1">
      <c r="B1020" s="460"/>
      <c r="C1020" s="440"/>
      <c r="E1020" s="355"/>
      <c r="G1020" s="355"/>
      <c r="H1020" s="355"/>
      <c r="J1020" s="344"/>
      <c r="K1020" s="344"/>
    </row>
    <row r="1021" spans="2:11" s="429" customFormat="1" ht="18" customHeight="1">
      <c r="B1021" s="460"/>
      <c r="C1021" s="440"/>
      <c r="E1021" s="355"/>
      <c r="G1021" s="355"/>
      <c r="H1021" s="355"/>
      <c r="J1021" s="344"/>
      <c r="K1021" s="344"/>
    </row>
    <row r="1022" spans="2:11" s="429" customFormat="1" ht="18" customHeight="1">
      <c r="B1022" s="460"/>
      <c r="C1022" s="440"/>
      <c r="E1022" s="355"/>
      <c r="G1022" s="355"/>
      <c r="H1022" s="355"/>
      <c r="J1022" s="344"/>
      <c r="K1022" s="344"/>
    </row>
    <row r="1023" spans="2:11" s="429" customFormat="1" ht="18" customHeight="1">
      <c r="B1023" s="460"/>
      <c r="C1023" s="440"/>
      <c r="E1023" s="355"/>
      <c r="G1023" s="355"/>
      <c r="H1023" s="355"/>
      <c r="J1023" s="344"/>
      <c r="K1023" s="344"/>
    </row>
    <row r="1024" spans="2:11" s="429" customFormat="1" ht="18" customHeight="1">
      <c r="B1024" s="460"/>
      <c r="C1024" s="440"/>
      <c r="E1024" s="355"/>
      <c r="G1024" s="355"/>
      <c r="H1024" s="355"/>
      <c r="J1024" s="344"/>
      <c r="K1024" s="344"/>
    </row>
    <row r="1025" spans="2:11" s="429" customFormat="1" ht="18" customHeight="1">
      <c r="B1025" s="460"/>
      <c r="C1025" s="440"/>
      <c r="E1025" s="355"/>
      <c r="G1025" s="355"/>
      <c r="H1025" s="355"/>
      <c r="J1025" s="344"/>
      <c r="K1025" s="344"/>
    </row>
    <row r="1026" spans="2:11" s="429" customFormat="1" ht="18" customHeight="1">
      <c r="B1026" s="460"/>
      <c r="C1026" s="440"/>
      <c r="E1026" s="355"/>
      <c r="G1026" s="355"/>
      <c r="H1026" s="355"/>
      <c r="J1026" s="344"/>
      <c r="K1026" s="344"/>
    </row>
    <row r="1027" spans="2:11" s="429" customFormat="1" ht="18" customHeight="1">
      <c r="B1027" s="460"/>
      <c r="C1027" s="440"/>
      <c r="E1027" s="355"/>
      <c r="G1027" s="355"/>
      <c r="H1027" s="355"/>
      <c r="J1027" s="344"/>
      <c r="K1027" s="344"/>
    </row>
    <row r="1028" spans="2:11" s="429" customFormat="1" ht="18" customHeight="1">
      <c r="B1028" s="460"/>
      <c r="C1028" s="440"/>
      <c r="E1028" s="355"/>
      <c r="G1028" s="355"/>
      <c r="H1028" s="355"/>
      <c r="J1028" s="344"/>
      <c r="K1028" s="344"/>
    </row>
    <row r="1029" spans="2:11" s="429" customFormat="1" ht="18" customHeight="1">
      <c r="B1029" s="460"/>
      <c r="C1029" s="440"/>
      <c r="E1029" s="355"/>
      <c r="G1029" s="355"/>
      <c r="H1029" s="355"/>
      <c r="J1029" s="344"/>
      <c r="K1029" s="344"/>
    </row>
    <row r="1030" spans="2:11" s="429" customFormat="1" ht="18" customHeight="1">
      <c r="B1030" s="460"/>
      <c r="C1030" s="440"/>
      <c r="E1030" s="355"/>
      <c r="G1030" s="355"/>
      <c r="H1030" s="355"/>
      <c r="J1030" s="344"/>
      <c r="K1030" s="344"/>
    </row>
    <row r="1031" spans="2:11" s="429" customFormat="1" ht="18" customHeight="1">
      <c r="B1031" s="460"/>
      <c r="C1031" s="440"/>
      <c r="E1031" s="355"/>
      <c r="G1031" s="355"/>
      <c r="H1031" s="355"/>
      <c r="J1031" s="344"/>
      <c r="K1031" s="344"/>
    </row>
    <row r="1032" spans="2:11" s="429" customFormat="1" ht="18" customHeight="1">
      <c r="B1032" s="460"/>
      <c r="C1032" s="440"/>
      <c r="E1032" s="355"/>
      <c r="G1032" s="355"/>
      <c r="H1032" s="355"/>
      <c r="J1032" s="344"/>
      <c r="K1032" s="344"/>
    </row>
    <row r="1033" spans="2:11" s="429" customFormat="1" ht="18" customHeight="1">
      <c r="B1033" s="460"/>
      <c r="C1033" s="440"/>
      <c r="E1033" s="355"/>
      <c r="G1033" s="355"/>
      <c r="H1033" s="355"/>
      <c r="J1033" s="344"/>
      <c r="K1033" s="344"/>
    </row>
    <row r="1034" spans="2:11" s="429" customFormat="1" ht="18" customHeight="1">
      <c r="B1034" s="460"/>
      <c r="C1034" s="440"/>
      <c r="E1034" s="355"/>
      <c r="G1034" s="355"/>
      <c r="H1034" s="355"/>
      <c r="J1034" s="344"/>
      <c r="K1034" s="344"/>
    </row>
    <row r="1035" spans="2:11" s="429" customFormat="1" ht="18" customHeight="1">
      <c r="B1035" s="460"/>
      <c r="C1035" s="440"/>
      <c r="E1035" s="355"/>
      <c r="G1035" s="355"/>
      <c r="H1035" s="355"/>
      <c r="J1035" s="344"/>
      <c r="K1035" s="344"/>
    </row>
    <row r="1036" spans="2:11" s="429" customFormat="1" ht="18" customHeight="1">
      <c r="B1036" s="460"/>
      <c r="C1036" s="440"/>
      <c r="E1036" s="355"/>
      <c r="G1036" s="355"/>
      <c r="H1036" s="355"/>
      <c r="J1036" s="344"/>
      <c r="K1036" s="344"/>
    </row>
    <row r="1037" spans="2:11" s="429" customFormat="1" ht="18" customHeight="1">
      <c r="B1037" s="460"/>
      <c r="C1037" s="440"/>
      <c r="E1037" s="355"/>
      <c r="G1037" s="355"/>
      <c r="H1037" s="355"/>
      <c r="J1037" s="344"/>
      <c r="K1037" s="344"/>
    </row>
    <row r="1038" spans="2:11" s="429" customFormat="1" ht="18" customHeight="1">
      <c r="B1038" s="460"/>
      <c r="C1038" s="440"/>
      <c r="E1038" s="355"/>
      <c r="G1038" s="355"/>
      <c r="H1038" s="355"/>
      <c r="J1038" s="344"/>
      <c r="K1038" s="344"/>
    </row>
    <row r="1039" spans="2:11" s="429" customFormat="1" ht="18" customHeight="1">
      <c r="B1039" s="460"/>
      <c r="C1039" s="440"/>
      <c r="E1039" s="355"/>
      <c r="G1039" s="355"/>
      <c r="H1039" s="355"/>
      <c r="J1039" s="344"/>
      <c r="K1039" s="344"/>
    </row>
    <row r="1040" spans="2:11" s="429" customFormat="1" ht="18" customHeight="1">
      <c r="B1040" s="460"/>
      <c r="C1040" s="440"/>
      <c r="E1040" s="355"/>
      <c r="G1040" s="355"/>
      <c r="H1040" s="355"/>
      <c r="J1040" s="344"/>
      <c r="K1040" s="344"/>
    </row>
    <row r="1041" spans="2:11" s="429" customFormat="1" ht="18" customHeight="1">
      <c r="B1041" s="460"/>
      <c r="C1041" s="440"/>
      <c r="E1041" s="355"/>
      <c r="G1041" s="355"/>
      <c r="H1041" s="355"/>
      <c r="J1041" s="344"/>
      <c r="K1041" s="344"/>
    </row>
    <row r="1042" spans="2:11" s="429" customFormat="1" ht="18" customHeight="1">
      <c r="B1042" s="460"/>
      <c r="C1042" s="440"/>
      <c r="E1042" s="355"/>
      <c r="G1042" s="355"/>
      <c r="H1042" s="355"/>
      <c r="J1042" s="344"/>
      <c r="K1042" s="344"/>
    </row>
    <row r="1043" spans="2:11" s="429" customFormat="1" ht="18" customHeight="1">
      <c r="B1043" s="460"/>
      <c r="C1043" s="440"/>
      <c r="E1043" s="355"/>
      <c r="G1043" s="355"/>
      <c r="H1043" s="355"/>
      <c r="J1043" s="344"/>
      <c r="K1043" s="344"/>
    </row>
    <row r="1044" spans="2:11" s="429" customFormat="1" ht="18" customHeight="1">
      <c r="B1044" s="460"/>
      <c r="C1044" s="440"/>
      <c r="E1044" s="355"/>
      <c r="G1044" s="355"/>
      <c r="H1044" s="355"/>
      <c r="J1044" s="344"/>
      <c r="K1044" s="344"/>
    </row>
    <row r="1045" spans="2:11" s="429" customFormat="1" ht="18" customHeight="1">
      <c r="B1045" s="460"/>
      <c r="C1045" s="440"/>
      <c r="E1045" s="355"/>
      <c r="G1045" s="355"/>
      <c r="H1045" s="355"/>
      <c r="J1045" s="344"/>
      <c r="K1045" s="344"/>
    </row>
    <row r="1046" spans="2:11" s="429" customFormat="1" ht="18" customHeight="1">
      <c r="B1046" s="460"/>
      <c r="C1046" s="440"/>
      <c r="E1046" s="355"/>
      <c r="G1046" s="355"/>
      <c r="H1046" s="355"/>
      <c r="J1046" s="344"/>
      <c r="K1046" s="344"/>
    </row>
    <row r="1047" spans="2:11" s="429" customFormat="1" ht="18" customHeight="1">
      <c r="B1047" s="460"/>
      <c r="C1047" s="440"/>
      <c r="E1047" s="355"/>
      <c r="G1047" s="355"/>
      <c r="H1047" s="355"/>
      <c r="J1047" s="344"/>
      <c r="K1047" s="344"/>
    </row>
    <row r="1048" spans="2:11" s="429" customFormat="1" ht="18" customHeight="1">
      <c r="B1048" s="460"/>
      <c r="C1048" s="440"/>
      <c r="E1048" s="355"/>
      <c r="G1048" s="355"/>
      <c r="H1048" s="355"/>
      <c r="J1048" s="344"/>
      <c r="K1048" s="344"/>
    </row>
    <row r="1049" spans="2:11" s="429" customFormat="1" ht="18" customHeight="1">
      <c r="B1049" s="460"/>
      <c r="C1049" s="440"/>
      <c r="E1049" s="355"/>
      <c r="G1049" s="355"/>
      <c r="H1049" s="355"/>
      <c r="J1049" s="344"/>
      <c r="K1049" s="344"/>
    </row>
    <row r="1050" spans="2:11" s="429" customFormat="1" ht="18" customHeight="1">
      <c r="B1050" s="460"/>
      <c r="C1050" s="440"/>
      <c r="E1050" s="355"/>
      <c r="G1050" s="355"/>
      <c r="H1050" s="355"/>
      <c r="J1050" s="344"/>
      <c r="K1050" s="344"/>
    </row>
    <row r="1051" spans="2:11" s="429" customFormat="1" ht="18" customHeight="1">
      <c r="B1051" s="460"/>
      <c r="C1051" s="440"/>
      <c r="E1051" s="355"/>
      <c r="G1051" s="355"/>
      <c r="H1051" s="355"/>
      <c r="J1051" s="344"/>
      <c r="K1051" s="344"/>
    </row>
    <row r="1052" spans="2:11" s="429" customFormat="1" ht="18" customHeight="1">
      <c r="B1052" s="460"/>
      <c r="C1052" s="440"/>
      <c r="E1052" s="355"/>
      <c r="G1052" s="355"/>
      <c r="H1052" s="355"/>
      <c r="J1052" s="344"/>
      <c r="K1052" s="344"/>
    </row>
    <row r="1053" spans="2:11" s="429" customFormat="1" ht="18" customHeight="1">
      <c r="B1053" s="460"/>
      <c r="C1053" s="440"/>
      <c r="E1053" s="355"/>
      <c r="G1053" s="355"/>
      <c r="H1053" s="355"/>
      <c r="J1053" s="344"/>
      <c r="K1053" s="344"/>
    </row>
    <row r="1054" spans="2:11" s="429" customFormat="1" ht="18" customHeight="1">
      <c r="B1054" s="460"/>
      <c r="C1054" s="440"/>
      <c r="E1054" s="355"/>
      <c r="G1054" s="355"/>
      <c r="H1054" s="355"/>
      <c r="J1054" s="344"/>
      <c r="K1054" s="344"/>
    </row>
    <row r="1055" spans="2:11" s="429" customFormat="1" ht="18" customHeight="1">
      <c r="B1055" s="460"/>
      <c r="C1055" s="440"/>
      <c r="E1055" s="355"/>
      <c r="G1055" s="355"/>
      <c r="H1055" s="355"/>
      <c r="J1055" s="344"/>
      <c r="K1055" s="344"/>
    </row>
    <row r="1056" spans="2:11" s="429" customFormat="1" ht="18" customHeight="1">
      <c r="B1056" s="460"/>
      <c r="C1056" s="440"/>
      <c r="E1056" s="355"/>
      <c r="G1056" s="355"/>
      <c r="H1056" s="355"/>
      <c r="J1056" s="344"/>
      <c r="K1056" s="344"/>
    </row>
    <row r="1057" spans="2:11" s="429" customFormat="1" ht="18" customHeight="1">
      <c r="B1057" s="460"/>
      <c r="C1057" s="440"/>
      <c r="E1057" s="355"/>
      <c r="G1057" s="355"/>
      <c r="H1057" s="355"/>
      <c r="J1057" s="344"/>
      <c r="K1057" s="344"/>
    </row>
    <row r="1058" spans="2:11" s="429" customFormat="1" ht="18" customHeight="1">
      <c r="B1058" s="460"/>
      <c r="C1058" s="440"/>
      <c r="E1058" s="355"/>
      <c r="G1058" s="355"/>
      <c r="H1058" s="355"/>
      <c r="J1058" s="344"/>
      <c r="K1058" s="344"/>
    </row>
    <row r="1059" spans="2:11" s="429" customFormat="1" ht="18" customHeight="1">
      <c r="B1059" s="460"/>
      <c r="C1059" s="440"/>
      <c r="E1059" s="355"/>
      <c r="G1059" s="355"/>
      <c r="H1059" s="355"/>
      <c r="J1059" s="344"/>
      <c r="K1059" s="344"/>
    </row>
    <row r="1060" spans="2:11" s="429" customFormat="1" ht="18" customHeight="1">
      <c r="B1060" s="460"/>
      <c r="C1060" s="440"/>
      <c r="E1060" s="355"/>
      <c r="G1060" s="355"/>
      <c r="H1060" s="355"/>
      <c r="J1060" s="344"/>
      <c r="K1060" s="344"/>
    </row>
    <row r="1061" spans="2:11" s="429" customFormat="1" ht="18" customHeight="1">
      <c r="B1061" s="460"/>
      <c r="C1061" s="440"/>
      <c r="E1061" s="355"/>
      <c r="G1061" s="355"/>
      <c r="H1061" s="355"/>
      <c r="J1061" s="344"/>
      <c r="K1061" s="344"/>
    </row>
    <row r="1062" spans="2:11" s="429" customFormat="1" ht="18" customHeight="1">
      <c r="B1062" s="460"/>
      <c r="C1062" s="440"/>
      <c r="E1062" s="355"/>
      <c r="G1062" s="355"/>
      <c r="H1062" s="355"/>
      <c r="J1062" s="344"/>
      <c r="K1062" s="344"/>
    </row>
    <row r="1063" spans="2:11" s="429" customFormat="1" ht="18" customHeight="1">
      <c r="B1063" s="460"/>
      <c r="C1063" s="440"/>
      <c r="E1063" s="355"/>
      <c r="G1063" s="355"/>
      <c r="H1063" s="355"/>
      <c r="J1063" s="344"/>
      <c r="K1063" s="344"/>
    </row>
    <row r="1064" spans="2:11" s="429" customFormat="1" ht="18" customHeight="1">
      <c r="B1064" s="460"/>
      <c r="C1064" s="440"/>
      <c r="E1064" s="355"/>
      <c r="G1064" s="355"/>
      <c r="H1064" s="355"/>
      <c r="J1064" s="344"/>
      <c r="K1064" s="344"/>
    </row>
    <row r="1065" spans="2:11" s="429" customFormat="1" ht="18" customHeight="1">
      <c r="B1065" s="460"/>
      <c r="C1065" s="440"/>
      <c r="E1065" s="355"/>
      <c r="G1065" s="355"/>
      <c r="H1065" s="355"/>
      <c r="J1065" s="344"/>
      <c r="K1065" s="344"/>
    </row>
    <row r="1066" spans="2:11" s="429" customFormat="1" ht="18" customHeight="1">
      <c r="B1066" s="460"/>
      <c r="C1066" s="440"/>
      <c r="E1066" s="355"/>
      <c r="G1066" s="355"/>
      <c r="H1066" s="355"/>
      <c r="J1066" s="344"/>
      <c r="K1066" s="344"/>
    </row>
    <row r="1067" spans="2:11" s="429" customFormat="1" ht="18" customHeight="1">
      <c r="B1067" s="460"/>
      <c r="C1067" s="440"/>
      <c r="E1067" s="355"/>
      <c r="G1067" s="355"/>
      <c r="H1067" s="355"/>
      <c r="J1067" s="344"/>
      <c r="K1067" s="344"/>
    </row>
    <row r="1068" spans="2:11" s="429" customFormat="1" ht="18" customHeight="1">
      <c r="B1068" s="460"/>
      <c r="C1068" s="440"/>
      <c r="E1068" s="355"/>
      <c r="G1068" s="355"/>
      <c r="H1068" s="355"/>
      <c r="J1068" s="344"/>
      <c r="K1068" s="344"/>
    </row>
    <row r="1069" spans="2:11" s="429" customFormat="1" ht="18" customHeight="1">
      <c r="B1069" s="460"/>
      <c r="C1069" s="440"/>
      <c r="E1069" s="355"/>
      <c r="G1069" s="355"/>
      <c r="H1069" s="355"/>
      <c r="J1069" s="344"/>
      <c r="K1069" s="344"/>
    </row>
    <row r="1070" spans="2:11" s="429" customFormat="1" ht="18" customHeight="1">
      <c r="B1070" s="460"/>
      <c r="C1070" s="440"/>
      <c r="E1070" s="355"/>
      <c r="G1070" s="355"/>
      <c r="H1070" s="355"/>
      <c r="J1070" s="344"/>
      <c r="K1070" s="344"/>
    </row>
    <row r="1071" spans="2:11" s="429" customFormat="1" ht="18" customHeight="1">
      <c r="B1071" s="460"/>
      <c r="C1071" s="440"/>
      <c r="E1071" s="355"/>
      <c r="G1071" s="355"/>
      <c r="H1071" s="355"/>
      <c r="J1071" s="344"/>
      <c r="K1071" s="344"/>
    </row>
    <row r="1072" spans="2:11" s="429" customFormat="1" ht="18" customHeight="1">
      <c r="B1072" s="460"/>
      <c r="C1072" s="440"/>
      <c r="E1072" s="355"/>
      <c r="G1072" s="355"/>
      <c r="H1072" s="355"/>
      <c r="J1072" s="344"/>
      <c r="K1072" s="344"/>
    </row>
    <row r="1073" spans="2:11" s="429" customFormat="1" ht="18" customHeight="1">
      <c r="B1073" s="460"/>
      <c r="C1073" s="440"/>
      <c r="E1073" s="355"/>
      <c r="G1073" s="355"/>
      <c r="H1073" s="355"/>
      <c r="J1073" s="344"/>
      <c r="K1073" s="344"/>
    </row>
    <row r="1074" spans="2:11" s="429" customFormat="1" ht="18" customHeight="1">
      <c r="B1074" s="460"/>
      <c r="C1074" s="440"/>
      <c r="E1074" s="355"/>
      <c r="G1074" s="355"/>
      <c r="H1074" s="355"/>
      <c r="J1074" s="344"/>
      <c r="K1074" s="344"/>
    </row>
    <row r="1075" spans="2:11" s="429" customFormat="1" ht="18" customHeight="1">
      <c r="B1075" s="460"/>
      <c r="C1075" s="440"/>
      <c r="E1075" s="355"/>
      <c r="G1075" s="355"/>
      <c r="H1075" s="355"/>
      <c r="J1075" s="344"/>
      <c r="K1075" s="344"/>
    </row>
    <row r="1076" spans="2:11" s="429" customFormat="1" ht="18" customHeight="1">
      <c r="B1076" s="460"/>
      <c r="C1076" s="440"/>
      <c r="E1076" s="355"/>
      <c r="G1076" s="355"/>
      <c r="H1076" s="355"/>
      <c r="J1076" s="344"/>
      <c r="K1076" s="344"/>
    </row>
    <row r="1077" spans="2:11" s="429" customFormat="1" ht="18" customHeight="1">
      <c r="B1077" s="460"/>
      <c r="C1077" s="440"/>
      <c r="E1077" s="355"/>
      <c r="G1077" s="355"/>
      <c r="H1077" s="355"/>
      <c r="J1077" s="344"/>
      <c r="K1077" s="344"/>
    </row>
    <row r="1078" spans="2:11" s="429" customFormat="1" ht="18" customHeight="1">
      <c r="B1078" s="460"/>
      <c r="C1078" s="440"/>
      <c r="E1078" s="355"/>
      <c r="G1078" s="355"/>
      <c r="H1078" s="355"/>
      <c r="J1078" s="344"/>
      <c r="K1078" s="344"/>
    </row>
    <row r="1079" spans="2:11" s="429" customFormat="1" ht="18" customHeight="1">
      <c r="B1079" s="460"/>
      <c r="C1079" s="440"/>
      <c r="E1079" s="355"/>
      <c r="G1079" s="355"/>
      <c r="H1079" s="355"/>
      <c r="J1079" s="344"/>
      <c r="K1079" s="344"/>
    </row>
    <row r="1080" spans="2:11" s="429" customFormat="1" ht="18" customHeight="1">
      <c r="B1080" s="460"/>
      <c r="C1080" s="440"/>
      <c r="E1080" s="355"/>
      <c r="G1080" s="355"/>
      <c r="H1080" s="355"/>
      <c r="J1080" s="344"/>
      <c r="K1080" s="344"/>
    </row>
    <row r="1081" spans="2:11" s="429" customFormat="1" ht="18" customHeight="1">
      <c r="B1081" s="460"/>
      <c r="C1081" s="440"/>
      <c r="E1081" s="355"/>
      <c r="G1081" s="355"/>
      <c r="H1081" s="355"/>
      <c r="J1081" s="344"/>
      <c r="K1081" s="344"/>
    </row>
    <row r="1082" spans="2:11" s="429" customFormat="1" ht="18" customHeight="1">
      <c r="B1082" s="460"/>
      <c r="C1082" s="440"/>
      <c r="E1082" s="355"/>
      <c r="G1082" s="355"/>
      <c r="H1082" s="355"/>
      <c r="J1082" s="344"/>
      <c r="K1082" s="344"/>
    </row>
    <row r="1083" spans="2:11" s="429" customFormat="1" ht="18" customHeight="1">
      <c r="B1083" s="460"/>
      <c r="C1083" s="440"/>
      <c r="E1083" s="355"/>
      <c r="G1083" s="355"/>
      <c r="H1083" s="355"/>
      <c r="J1083" s="344"/>
      <c r="K1083" s="344"/>
    </row>
    <row r="1084" spans="2:11" s="429" customFormat="1" ht="18" customHeight="1">
      <c r="B1084" s="460"/>
      <c r="C1084" s="440"/>
      <c r="E1084" s="355"/>
      <c r="G1084" s="355"/>
      <c r="H1084" s="355"/>
      <c r="J1084" s="344"/>
      <c r="K1084" s="344"/>
    </row>
    <row r="1085" spans="2:11" s="429" customFormat="1" ht="18" customHeight="1">
      <c r="B1085" s="460"/>
      <c r="C1085" s="440"/>
      <c r="E1085" s="355"/>
      <c r="G1085" s="355"/>
      <c r="H1085" s="355"/>
      <c r="J1085" s="344"/>
      <c r="K1085" s="344"/>
    </row>
    <row r="1086" spans="2:11" s="429" customFormat="1" ht="18" customHeight="1">
      <c r="B1086" s="460"/>
      <c r="C1086" s="440"/>
      <c r="E1086" s="355"/>
      <c r="G1086" s="355"/>
      <c r="H1086" s="355"/>
      <c r="J1086" s="344"/>
      <c r="K1086" s="344"/>
    </row>
    <row r="1087" spans="2:11" s="429" customFormat="1" ht="18" customHeight="1">
      <c r="B1087" s="460"/>
      <c r="C1087" s="440"/>
      <c r="E1087" s="355"/>
      <c r="G1087" s="355"/>
      <c r="H1087" s="355"/>
      <c r="J1087" s="344"/>
      <c r="K1087" s="344"/>
    </row>
    <row r="1088" spans="2:11" s="429" customFormat="1" ht="18" customHeight="1">
      <c r="B1088" s="460"/>
      <c r="C1088" s="440"/>
      <c r="E1088" s="355"/>
      <c r="G1088" s="355"/>
      <c r="H1088" s="355"/>
      <c r="J1088" s="344"/>
      <c r="K1088" s="344"/>
    </row>
    <row r="1089" spans="2:11" s="429" customFormat="1" ht="18" customHeight="1">
      <c r="B1089" s="460"/>
      <c r="C1089" s="440"/>
      <c r="E1089" s="355"/>
      <c r="G1089" s="355"/>
      <c r="H1089" s="355"/>
      <c r="J1089" s="344"/>
      <c r="K1089" s="344"/>
    </row>
    <row r="1090" spans="2:11" s="429" customFormat="1" ht="18" customHeight="1">
      <c r="B1090" s="460"/>
      <c r="C1090" s="440"/>
      <c r="E1090" s="355"/>
      <c r="G1090" s="355"/>
      <c r="H1090" s="355"/>
      <c r="J1090" s="344"/>
      <c r="K1090" s="344"/>
    </row>
    <row r="1091" spans="2:11" s="429" customFormat="1" ht="18" customHeight="1">
      <c r="B1091" s="460"/>
      <c r="C1091" s="440"/>
      <c r="E1091" s="355"/>
      <c r="G1091" s="355"/>
      <c r="H1091" s="355"/>
      <c r="J1091" s="344"/>
      <c r="K1091" s="344"/>
    </row>
    <row r="1092" spans="2:11" s="429" customFormat="1" ht="18" customHeight="1">
      <c r="B1092" s="460"/>
      <c r="C1092" s="440"/>
      <c r="E1092" s="355"/>
      <c r="G1092" s="355"/>
      <c r="H1092" s="355"/>
      <c r="J1092" s="344"/>
      <c r="K1092" s="344"/>
    </row>
    <row r="1093" spans="2:11" s="429" customFormat="1" ht="18" customHeight="1">
      <c r="B1093" s="460"/>
      <c r="C1093" s="440"/>
      <c r="E1093" s="355"/>
      <c r="G1093" s="355"/>
      <c r="H1093" s="355"/>
      <c r="J1093" s="344"/>
      <c r="K1093" s="344"/>
    </row>
    <row r="1094" spans="2:11" s="429" customFormat="1" ht="18" customHeight="1">
      <c r="B1094" s="460"/>
      <c r="C1094" s="440"/>
      <c r="E1094" s="355"/>
      <c r="G1094" s="355"/>
      <c r="H1094" s="355"/>
      <c r="J1094" s="344"/>
      <c r="K1094" s="344"/>
    </row>
    <row r="1095" spans="2:11" s="429" customFormat="1" ht="18" customHeight="1">
      <c r="B1095" s="460"/>
      <c r="C1095" s="440"/>
      <c r="E1095" s="355"/>
      <c r="G1095" s="355"/>
      <c r="H1095" s="355"/>
      <c r="J1095" s="344"/>
      <c r="K1095" s="344"/>
    </row>
    <row r="1096" spans="2:11" s="429" customFormat="1" ht="18" customHeight="1">
      <c r="B1096" s="460"/>
      <c r="C1096" s="440"/>
      <c r="E1096" s="355"/>
      <c r="G1096" s="355"/>
      <c r="H1096" s="355"/>
      <c r="J1096" s="344"/>
      <c r="K1096" s="344"/>
    </row>
    <row r="1097" spans="2:11" s="429" customFormat="1" ht="18" customHeight="1">
      <c r="B1097" s="460"/>
      <c r="C1097" s="440"/>
      <c r="E1097" s="355"/>
      <c r="G1097" s="355"/>
      <c r="H1097" s="355"/>
      <c r="J1097" s="344"/>
      <c r="K1097" s="344"/>
    </row>
    <row r="1098" spans="2:11" s="429" customFormat="1" ht="18" customHeight="1">
      <c r="B1098" s="460"/>
      <c r="C1098" s="440"/>
      <c r="E1098" s="355"/>
      <c r="G1098" s="355"/>
      <c r="H1098" s="355"/>
      <c r="J1098" s="344"/>
      <c r="K1098" s="344"/>
    </row>
    <row r="1099" spans="2:11" s="429" customFormat="1" ht="18" customHeight="1">
      <c r="B1099" s="460"/>
      <c r="C1099" s="440"/>
      <c r="E1099" s="355"/>
      <c r="G1099" s="355"/>
      <c r="H1099" s="355"/>
      <c r="J1099" s="344"/>
      <c r="K1099" s="344"/>
    </row>
    <row r="1100" spans="2:11" s="429" customFormat="1" ht="18" customHeight="1">
      <c r="B1100" s="460"/>
      <c r="C1100" s="440"/>
      <c r="E1100" s="355"/>
      <c r="G1100" s="355"/>
      <c r="H1100" s="355"/>
      <c r="J1100" s="344"/>
      <c r="K1100" s="344"/>
    </row>
    <row r="1101" spans="2:11" s="429" customFormat="1" ht="18" customHeight="1">
      <c r="B1101" s="460"/>
      <c r="C1101" s="440"/>
      <c r="E1101" s="355"/>
      <c r="G1101" s="355"/>
      <c r="H1101" s="355"/>
      <c r="J1101" s="344"/>
      <c r="K1101" s="344"/>
    </row>
    <row r="1102" spans="2:11" s="429" customFormat="1" ht="18" customHeight="1">
      <c r="B1102" s="460"/>
      <c r="C1102" s="440"/>
      <c r="E1102" s="355"/>
      <c r="G1102" s="355"/>
      <c r="H1102" s="355"/>
      <c r="J1102" s="344"/>
      <c r="K1102" s="344"/>
    </row>
    <row r="1103" spans="2:11" s="429" customFormat="1" ht="18" customHeight="1">
      <c r="B1103" s="460"/>
      <c r="C1103" s="440"/>
      <c r="E1103" s="355"/>
      <c r="G1103" s="355"/>
      <c r="H1103" s="355"/>
      <c r="J1103" s="344"/>
      <c r="K1103" s="344"/>
    </row>
    <row r="1104" spans="2:11" s="429" customFormat="1" ht="18" customHeight="1">
      <c r="B1104" s="460"/>
      <c r="C1104" s="440"/>
      <c r="E1104" s="355"/>
      <c r="G1104" s="355"/>
      <c r="H1104" s="355"/>
      <c r="J1104" s="344"/>
      <c r="K1104" s="344"/>
    </row>
    <row r="1105" spans="2:11" s="429" customFormat="1" ht="18" customHeight="1">
      <c r="B1105" s="460"/>
      <c r="C1105" s="440"/>
      <c r="E1105" s="355"/>
      <c r="G1105" s="355"/>
      <c r="H1105" s="355"/>
      <c r="J1105" s="344"/>
      <c r="K1105" s="344"/>
    </row>
    <row r="1106" spans="2:11" s="429" customFormat="1" ht="18" customHeight="1">
      <c r="B1106" s="460"/>
      <c r="C1106" s="440"/>
      <c r="E1106" s="355"/>
      <c r="G1106" s="355"/>
      <c r="H1106" s="355"/>
      <c r="J1106" s="344"/>
      <c r="K1106" s="344"/>
    </row>
    <row r="1107" spans="2:11" s="429" customFormat="1" ht="18" customHeight="1">
      <c r="B1107" s="460"/>
      <c r="C1107" s="440"/>
      <c r="E1107" s="355"/>
      <c r="G1107" s="355"/>
      <c r="H1107" s="355"/>
      <c r="J1107" s="344"/>
      <c r="K1107" s="344"/>
    </row>
    <row r="1108" spans="2:11" s="429" customFormat="1" ht="18" customHeight="1">
      <c r="B1108" s="460"/>
      <c r="C1108" s="440"/>
      <c r="E1108" s="355"/>
      <c r="G1108" s="355"/>
      <c r="H1108" s="355"/>
      <c r="J1108" s="344"/>
      <c r="K1108" s="344"/>
    </row>
    <row r="1109" spans="2:11" s="429" customFormat="1" ht="18" customHeight="1">
      <c r="B1109" s="460"/>
      <c r="C1109" s="440"/>
      <c r="E1109" s="355"/>
      <c r="G1109" s="355"/>
      <c r="H1109" s="355"/>
      <c r="J1109" s="344"/>
      <c r="K1109" s="344"/>
    </row>
    <row r="1110" spans="2:11" s="429" customFormat="1" ht="18" customHeight="1">
      <c r="B1110" s="460"/>
      <c r="C1110" s="440"/>
      <c r="E1110" s="355"/>
      <c r="G1110" s="355"/>
      <c r="H1110" s="355"/>
      <c r="J1110" s="344"/>
      <c r="K1110" s="344"/>
    </row>
    <row r="1111" spans="2:11" s="429" customFormat="1" ht="18" customHeight="1">
      <c r="B1111" s="460"/>
      <c r="C1111" s="440"/>
      <c r="E1111" s="355"/>
      <c r="G1111" s="355"/>
      <c r="H1111" s="355"/>
      <c r="J1111" s="344"/>
      <c r="K1111" s="344"/>
    </row>
    <row r="1112" spans="2:11" s="429" customFormat="1" ht="18" customHeight="1">
      <c r="B1112" s="460"/>
      <c r="C1112" s="440"/>
      <c r="E1112" s="355"/>
      <c r="G1112" s="355"/>
      <c r="H1112" s="355"/>
      <c r="J1112" s="344"/>
      <c r="K1112" s="344"/>
    </row>
    <row r="1113" spans="2:11" s="429" customFormat="1" ht="18" customHeight="1">
      <c r="B1113" s="460"/>
      <c r="C1113" s="440"/>
      <c r="E1113" s="355"/>
      <c r="G1113" s="355"/>
      <c r="H1113" s="355"/>
      <c r="J1113" s="344"/>
      <c r="K1113" s="344"/>
    </row>
    <row r="1114" spans="2:11" s="429" customFormat="1" ht="18" customHeight="1">
      <c r="B1114" s="460"/>
      <c r="C1114" s="440"/>
      <c r="E1114" s="355"/>
      <c r="G1114" s="355"/>
      <c r="H1114" s="355"/>
      <c r="J1114" s="344"/>
      <c r="K1114" s="344"/>
    </row>
    <row r="1115" spans="2:11" s="429" customFormat="1" ht="18" customHeight="1">
      <c r="B1115" s="460"/>
      <c r="C1115" s="440"/>
      <c r="E1115" s="355"/>
      <c r="G1115" s="355"/>
      <c r="H1115" s="355"/>
      <c r="J1115" s="344"/>
      <c r="K1115" s="344"/>
    </row>
    <row r="1116" spans="2:11" s="429" customFormat="1" ht="18" customHeight="1">
      <c r="B1116" s="460"/>
      <c r="C1116" s="440"/>
      <c r="E1116" s="355"/>
      <c r="G1116" s="355"/>
      <c r="H1116" s="355"/>
      <c r="J1116" s="344"/>
      <c r="K1116" s="344"/>
    </row>
    <row r="1117" spans="2:11" s="429" customFormat="1" ht="18" customHeight="1">
      <c r="B1117" s="460"/>
      <c r="C1117" s="440"/>
      <c r="E1117" s="355"/>
      <c r="G1117" s="355"/>
      <c r="H1117" s="355"/>
      <c r="J1117" s="344"/>
      <c r="K1117" s="344"/>
    </row>
    <row r="1118" spans="2:11" s="429" customFormat="1" ht="18" customHeight="1">
      <c r="B1118" s="460"/>
      <c r="C1118" s="440"/>
      <c r="E1118" s="355"/>
      <c r="G1118" s="355"/>
      <c r="H1118" s="355"/>
      <c r="J1118" s="344"/>
      <c r="K1118" s="344"/>
    </row>
    <row r="1119" spans="2:11" s="429" customFormat="1" ht="18" customHeight="1">
      <c r="B1119" s="460"/>
      <c r="C1119" s="440"/>
      <c r="E1119" s="355"/>
      <c r="G1119" s="355"/>
      <c r="H1119" s="355"/>
      <c r="J1119" s="344"/>
      <c r="K1119" s="344"/>
    </row>
    <row r="1120" spans="2:11" s="429" customFormat="1" ht="18" customHeight="1">
      <c r="B1120" s="460"/>
      <c r="C1120" s="440"/>
      <c r="E1120" s="355"/>
      <c r="G1120" s="355"/>
      <c r="H1120" s="355"/>
      <c r="J1120" s="344"/>
      <c r="K1120" s="344"/>
    </row>
    <row r="1121" spans="2:11" s="429" customFormat="1" ht="18" customHeight="1">
      <c r="B1121" s="460"/>
      <c r="C1121" s="440"/>
      <c r="E1121" s="355"/>
      <c r="G1121" s="355"/>
      <c r="H1121" s="355"/>
      <c r="J1121" s="344"/>
      <c r="K1121" s="344"/>
    </row>
    <row r="1122" spans="2:11" s="429" customFormat="1" ht="18" customHeight="1">
      <c r="B1122" s="460"/>
      <c r="C1122" s="440"/>
      <c r="E1122" s="355"/>
      <c r="G1122" s="355"/>
      <c r="H1122" s="355"/>
      <c r="J1122" s="344"/>
      <c r="K1122" s="344"/>
    </row>
    <row r="1123" spans="2:11" s="429" customFormat="1" ht="18" customHeight="1">
      <c r="B1123" s="460"/>
      <c r="C1123" s="440"/>
      <c r="E1123" s="355"/>
      <c r="G1123" s="355"/>
      <c r="H1123" s="355"/>
      <c r="J1123" s="344"/>
      <c r="K1123" s="344"/>
    </row>
    <row r="1124" spans="2:11" s="429" customFormat="1" ht="18" customHeight="1">
      <c r="B1124" s="460"/>
      <c r="C1124" s="440"/>
      <c r="E1124" s="355"/>
      <c r="G1124" s="355"/>
      <c r="H1124" s="355"/>
      <c r="J1124" s="344"/>
      <c r="K1124" s="344"/>
    </row>
    <row r="1125" spans="2:11" s="429" customFormat="1" ht="18" customHeight="1">
      <c r="B1125" s="460"/>
      <c r="C1125" s="440"/>
      <c r="E1125" s="355"/>
      <c r="G1125" s="355"/>
      <c r="H1125" s="355"/>
      <c r="J1125" s="344"/>
      <c r="K1125" s="344"/>
    </row>
    <row r="1126" spans="2:11" s="429" customFormat="1" ht="18" customHeight="1">
      <c r="B1126" s="460"/>
      <c r="C1126" s="440"/>
      <c r="E1126" s="355"/>
      <c r="G1126" s="355"/>
      <c r="H1126" s="355"/>
      <c r="J1126" s="344"/>
      <c r="K1126" s="344"/>
    </row>
    <row r="1127" spans="2:11" s="429" customFormat="1" ht="18" customHeight="1">
      <c r="B1127" s="460"/>
      <c r="C1127" s="440"/>
      <c r="E1127" s="355"/>
      <c r="G1127" s="355"/>
      <c r="H1127" s="355"/>
      <c r="J1127" s="344"/>
      <c r="K1127" s="344"/>
    </row>
    <row r="1128" spans="2:11" s="429" customFormat="1" ht="18" customHeight="1">
      <c r="B1128" s="460"/>
      <c r="C1128" s="440"/>
      <c r="E1128" s="355"/>
      <c r="G1128" s="355"/>
      <c r="H1128" s="355"/>
      <c r="J1128" s="344"/>
      <c r="K1128" s="344"/>
    </row>
    <row r="1129" spans="2:11" s="429" customFormat="1" ht="18" customHeight="1">
      <c r="B1129" s="460"/>
      <c r="C1129" s="440"/>
      <c r="E1129" s="355"/>
      <c r="G1129" s="355"/>
      <c r="H1129" s="355"/>
      <c r="J1129" s="344"/>
      <c r="K1129" s="344"/>
    </row>
    <row r="1130" spans="2:11" s="429" customFormat="1" ht="18" customHeight="1">
      <c r="B1130" s="460"/>
      <c r="C1130" s="440"/>
      <c r="E1130" s="355"/>
      <c r="G1130" s="355"/>
      <c r="H1130" s="355"/>
      <c r="J1130" s="344"/>
      <c r="K1130" s="344"/>
    </row>
    <row r="1131" spans="2:11" s="429" customFormat="1" ht="18" customHeight="1">
      <c r="B1131" s="460"/>
      <c r="C1131" s="440"/>
      <c r="E1131" s="355"/>
      <c r="G1131" s="355"/>
      <c r="H1131" s="355"/>
      <c r="J1131" s="344"/>
      <c r="K1131" s="344"/>
    </row>
    <row r="1132" spans="2:11" s="429" customFormat="1" ht="18" customHeight="1">
      <c r="B1132" s="460"/>
      <c r="C1132" s="440"/>
      <c r="E1132" s="355"/>
      <c r="G1132" s="355"/>
      <c r="H1132" s="355"/>
      <c r="J1132" s="344"/>
      <c r="K1132" s="344"/>
    </row>
    <row r="1133" spans="2:11" s="429" customFormat="1" ht="18" customHeight="1">
      <c r="B1133" s="460"/>
      <c r="C1133" s="440"/>
      <c r="E1133" s="355"/>
      <c r="G1133" s="355"/>
      <c r="H1133" s="355"/>
      <c r="J1133" s="344"/>
      <c r="K1133" s="344"/>
    </row>
    <row r="1134" spans="2:11" s="429" customFormat="1" ht="18" customHeight="1">
      <c r="B1134" s="460"/>
      <c r="C1134" s="440"/>
      <c r="E1134" s="355"/>
      <c r="G1134" s="355"/>
      <c r="H1134" s="355"/>
      <c r="J1134" s="344"/>
      <c r="K1134" s="344"/>
    </row>
    <row r="1135" spans="2:11" s="429" customFormat="1" ht="18" customHeight="1">
      <c r="B1135" s="460"/>
      <c r="C1135" s="440"/>
      <c r="E1135" s="355"/>
      <c r="G1135" s="355"/>
      <c r="H1135" s="355"/>
      <c r="J1135" s="344"/>
      <c r="K1135" s="344"/>
    </row>
    <row r="1136" spans="2:11" s="429" customFormat="1" ht="18" customHeight="1">
      <c r="B1136" s="460"/>
      <c r="C1136" s="440"/>
      <c r="E1136" s="355"/>
      <c r="G1136" s="355"/>
      <c r="H1136" s="355"/>
      <c r="J1136" s="344"/>
      <c r="K1136" s="344"/>
    </row>
    <row r="1137" spans="2:11" s="429" customFormat="1" ht="18" customHeight="1">
      <c r="B1137" s="460"/>
      <c r="C1137" s="440"/>
      <c r="E1137" s="355"/>
      <c r="G1137" s="355"/>
      <c r="H1137" s="355"/>
      <c r="J1137" s="344"/>
      <c r="K1137" s="344"/>
    </row>
    <row r="1138" spans="2:11" s="429" customFormat="1" ht="18" customHeight="1">
      <c r="B1138" s="460"/>
      <c r="C1138" s="440"/>
      <c r="E1138" s="355"/>
      <c r="G1138" s="355"/>
      <c r="H1138" s="355"/>
      <c r="J1138" s="344"/>
      <c r="K1138" s="344"/>
    </row>
    <row r="1139" spans="2:11" s="429" customFormat="1" ht="18" customHeight="1">
      <c r="B1139" s="460"/>
      <c r="C1139" s="440"/>
      <c r="E1139" s="355"/>
      <c r="G1139" s="355"/>
      <c r="H1139" s="355"/>
      <c r="J1139" s="344"/>
      <c r="K1139" s="344"/>
    </row>
    <row r="1140" spans="2:11" s="429" customFormat="1" ht="18" customHeight="1">
      <c r="B1140" s="460"/>
      <c r="C1140" s="440"/>
      <c r="E1140" s="355"/>
      <c r="G1140" s="355"/>
      <c r="H1140" s="355"/>
      <c r="J1140" s="344"/>
      <c r="K1140" s="344"/>
    </row>
    <row r="1141" spans="2:11" s="429" customFormat="1" ht="18" customHeight="1">
      <c r="B1141" s="460"/>
      <c r="C1141" s="440"/>
      <c r="E1141" s="355"/>
      <c r="G1141" s="355"/>
      <c r="H1141" s="355"/>
      <c r="J1141" s="344"/>
      <c r="K1141" s="344"/>
    </row>
    <row r="1142" spans="2:11" s="429" customFormat="1" ht="18" customHeight="1">
      <c r="B1142" s="460"/>
      <c r="C1142" s="440"/>
      <c r="E1142" s="355"/>
      <c r="G1142" s="355"/>
      <c r="H1142" s="355"/>
      <c r="J1142" s="344"/>
      <c r="K1142" s="344"/>
    </row>
    <row r="1143" spans="2:11" s="429" customFormat="1" ht="18" customHeight="1">
      <c r="B1143" s="460"/>
      <c r="C1143" s="440"/>
      <c r="E1143" s="355"/>
      <c r="G1143" s="355"/>
      <c r="H1143" s="355"/>
      <c r="J1143" s="344"/>
      <c r="K1143" s="344"/>
    </row>
    <row r="1144" spans="2:11" s="429" customFormat="1" ht="18" customHeight="1">
      <c r="B1144" s="460"/>
      <c r="C1144" s="440"/>
      <c r="E1144" s="355"/>
      <c r="G1144" s="355"/>
      <c r="H1144" s="355"/>
      <c r="J1144" s="344"/>
      <c r="K1144" s="344"/>
    </row>
    <row r="1145" spans="2:11" s="429" customFormat="1" ht="18" customHeight="1">
      <c r="B1145" s="460"/>
      <c r="C1145" s="440"/>
      <c r="E1145" s="355"/>
      <c r="G1145" s="355"/>
      <c r="H1145" s="355"/>
      <c r="J1145" s="344"/>
      <c r="K1145" s="344"/>
    </row>
    <row r="1146" spans="2:11" s="429" customFormat="1" ht="18" customHeight="1">
      <c r="B1146" s="460"/>
      <c r="C1146" s="440"/>
      <c r="E1146" s="355"/>
      <c r="G1146" s="355"/>
      <c r="H1146" s="355"/>
      <c r="J1146" s="344"/>
      <c r="K1146" s="344"/>
    </row>
    <row r="1147" spans="2:11" s="429" customFormat="1" ht="18" customHeight="1">
      <c r="B1147" s="460"/>
      <c r="C1147" s="440"/>
      <c r="E1147" s="355"/>
      <c r="G1147" s="355"/>
      <c r="H1147" s="355"/>
      <c r="J1147" s="344"/>
      <c r="K1147" s="344"/>
    </row>
    <row r="1148" spans="2:11" s="429" customFormat="1" ht="18" customHeight="1">
      <c r="B1148" s="460"/>
      <c r="C1148" s="440"/>
      <c r="E1148" s="355"/>
      <c r="G1148" s="355"/>
      <c r="H1148" s="355"/>
      <c r="J1148" s="344"/>
      <c r="K1148" s="344"/>
    </row>
    <row r="1149" spans="2:11" s="429" customFormat="1" ht="18" customHeight="1">
      <c r="B1149" s="460"/>
      <c r="C1149" s="440"/>
      <c r="E1149" s="355"/>
      <c r="G1149" s="355"/>
      <c r="H1149" s="355"/>
      <c r="J1149" s="344"/>
      <c r="K1149" s="344"/>
    </row>
    <row r="1150" spans="2:11" s="429" customFormat="1" ht="18" customHeight="1">
      <c r="B1150" s="460"/>
      <c r="C1150" s="440"/>
      <c r="E1150" s="355"/>
      <c r="G1150" s="355"/>
      <c r="H1150" s="355"/>
      <c r="J1150" s="344"/>
      <c r="K1150" s="344"/>
    </row>
    <row r="1151" spans="2:11" s="429" customFormat="1" ht="18" customHeight="1">
      <c r="B1151" s="460"/>
      <c r="C1151" s="440"/>
      <c r="E1151" s="355"/>
      <c r="G1151" s="355"/>
      <c r="H1151" s="355"/>
      <c r="J1151" s="344"/>
      <c r="K1151" s="344"/>
    </row>
    <row r="1152" spans="2:11" s="429" customFormat="1" ht="18" customHeight="1">
      <c r="B1152" s="460"/>
      <c r="C1152" s="440"/>
      <c r="E1152" s="355"/>
      <c r="G1152" s="355"/>
      <c r="H1152" s="355"/>
      <c r="J1152" s="344"/>
      <c r="K1152" s="344"/>
    </row>
    <row r="1153" spans="2:11" s="429" customFormat="1" ht="18" customHeight="1">
      <c r="B1153" s="460"/>
      <c r="C1153" s="440"/>
      <c r="E1153" s="355"/>
      <c r="G1153" s="355"/>
      <c r="H1153" s="355"/>
      <c r="J1153" s="344"/>
      <c r="K1153" s="344"/>
    </row>
    <row r="1154" spans="2:11" s="429" customFormat="1" ht="18" customHeight="1">
      <c r="B1154" s="460"/>
      <c r="C1154" s="440"/>
      <c r="E1154" s="355"/>
      <c r="G1154" s="355"/>
      <c r="H1154" s="355"/>
      <c r="J1154" s="344"/>
      <c r="K1154" s="344"/>
    </row>
    <row r="1155" spans="2:11" s="429" customFormat="1" ht="18" customHeight="1">
      <c r="B1155" s="460"/>
      <c r="C1155" s="440"/>
      <c r="E1155" s="355"/>
      <c r="G1155" s="355"/>
      <c r="H1155" s="355"/>
      <c r="J1155" s="344"/>
      <c r="K1155" s="344"/>
    </row>
    <row r="1156" spans="2:11" s="429" customFormat="1" ht="18" customHeight="1">
      <c r="B1156" s="460"/>
      <c r="C1156" s="440"/>
      <c r="E1156" s="355"/>
      <c r="G1156" s="355"/>
      <c r="H1156" s="355"/>
      <c r="J1156" s="344"/>
      <c r="K1156" s="344"/>
    </row>
    <row r="1157" spans="2:11" s="429" customFormat="1" ht="18" customHeight="1">
      <c r="B1157" s="460"/>
      <c r="C1157" s="440"/>
      <c r="E1157" s="355"/>
      <c r="G1157" s="355"/>
      <c r="H1157" s="355"/>
      <c r="J1157" s="344"/>
      <c r="K1157" s="344"/>
    </row>
    <row r="1158" spans="2:11" s="429" customFormat="1" ht="18" customHeight="1">
      <c r="B1158" s="460"/>
      <c r="C1158" s="440"/>
      <c r="E1158" s="355"/>
      <c r="G1158" s="355"/>
      <c r="H1158" s="355"/>
      <c r="J1158" s="344"/>
      <c r="K1158" s="344"/>
    </row>
    <row r="1159" spans="2:11" s="429" customFormat="1" ht="18" customHeight="1">
      <c r="B1159" s="460"/>
      <c r="C1159" s="440"/>
      <c r="E1159" s="355"/>
      <c r="G1159" s="355"/>
      <c r="H1159" s="355"/>
      <c r="J1159" s="344"/>
      <c r="K1159" s="344"/>
    </row>
    <row r="1160" spans="2:11" s="429" customFormat="1" ht="18" customHeight="1">
      <c r="B1160" s="460"/>
      <c r="C1160" s="440"/>
      <c r="E1160" s="355"/>
      <c r="G1160" s="355"/>
      <c r="H1160" s="355"/>
      <c r="J1160" s="344"/>
      <c r="K1160" s="344"/>
    </row>
    <row r="1161" spans="2:11" s="429" customFormat="1" ht="18" customHeight="1">
      <c r="B1161" s="460"/>
      <c r="C1161" s="440"/>
      <c r="E1161" s="355"/>
      <c r="G1161" s="355"/>
      <c r="H1161" s="355"/>
      <c r="J1161" s="344"/>
      <c r="K1161" s="344"/>
    </row>
    <row r="1162" spans="2:11" s="429" customFormat="1" ht="18" customHeight="1">
      <c r="B1162" s="460"/>
      <c r="C1162" s="440"/>
      <c r="E1162" s="355"/>
      <c r="G1162" s="355"/>
      <c r="H1162" s="355"/>
      <c r="J1162" s="344"/>
      <c r="K1162" s="344"/>
    </row>
    <row r="1163" spans="2:11" s="429" customFormat="1" ht="18" customHeight="1">
      <c r="B1163" s="460"/>
      <c r="C1163" s="440"/>
      <c r="E1163" s="355"/>
      <c r="G1163" s="355"/>
      <c r="H1163" s="355"/>
      <c r="J1163" s="344"/>
      <c r="K1163" s="344"/>
    </row>
    <row r="1164" spans="2:11" s="429" customFormat="1" ht="18" customHeight="1">
      <c r="B1164" s="460"/>
      <c r="C1164" s="440"/>
      <c r="E1164" s="355"/>
      <c r="G1164" s="355"/>
      <c r="H1164" s="355"/>
      <c r="J1164" s="344"/>
      <c r="K1164" s="344"/>
    </row>
    <row r="1165" spans="2:11" s="429" customFormat="1" ht="18" customHeight="1">
      <c r="B1165" s="460"/>
      <c r="C1165" s="440"/>
      <c r="E1165" s="355"/>
      <c r="G1165" s="355"/>
      <c r="H1165" s="355"/>
      <c r="J1165" s="344"/>
      <c r="K1165" s="344"/>
    </row>
    <row r="1166" spans="2:11" s="429" customFormat="1" ht="18" customHeight="1">
      <c r="B1166" s="460"/>
      <c r="C1166" s="440"/>
      <c r="E1166" s="355"/>
      <c r="G1166" s="355"/>
      <c r="H1166" s="355"/>
      <c r="J1166" s="344"/>
      <c r="K1166" s="344"/>
    </row>
    <row r="1167" spans="2:11" s="429" customFormat="1" ht="18" customHeight="1">
      <c r="B1167" s="460"/>
      <c r="C1167" s="440"/>
      <c r="E1167" s="355"/>
      <c r="G1167" s="355"/>
      <c r="H1167" s="355"/>
      <c r="J1167" s="344"/>
      <c r="K1167" s="344"/>
    </row>
    <row r="1168" spans="2:11" s="429" customFormat="1" ht="18" customHeight="1">
      <c r="B1168" s="460"/>
      <c r="C1168" s="440"/>
      <c r="E1168" s="355"/>
      <c r="G1168" s="355"/>
      <c r="H1168" s="355"/>
      <c r="J1168" s="344"/>
      <c r="K1168" s="344"/>
    </row>
    <row r="1169" spans="2:11" s="429" customFormat="1" ht="18" customHeight="1">
      <c r="B1169" s="460"/>
      <c r="C1169" s="440"/>
      <c r="E1169" s="355"/>
      <c r="G1169" s="355"/>
      <c r="H1169" s="355"/>
      <c r="J1169" s="344"/>
      <c r="K1169" s="344"/>
    </row>
    <row r="1170" spans="2:11" s="429" customFormat="1" ht="18" customHeight="1">
      <c r="B1170" s="460"/>
      <c r="C1170" s="440"/>
      <c r="E1170" s="355"/>
      <c r="G1170" s="355"/>
      <c r="H1170" s="355"/>
      <c r="J1170" s="344"/>
      <c r="K1170" s="344"/>
    </row>
    <row r="1171" spans="2:11" s="429" customFormat="1" ht="18" customHeight="1">
      <c r="B1171" s="460"/>
      <c r="C1171" s="440"/>
      <c r="E1171" s="355"/>
      <c r="G1171" s="355"/>
      <c r="H1171" s="355"/>
      <c r="J1171" s="344"/>
      <c r="K1171" s="344"/>
    </row>
    <row r="1172" spans="2:11" s="429" customFormat="1" ht="18" customHeight="1">
      <c r="B1172" s="460"/>
      <c r="C1172" s="440"/>
      <c r="E1172" s="355"/>
      <c r="G1172" s="355"/>
      <c r="H1172" s="355"/>
      <c r="J1172" s="344"/>
      <c r="K1172" s="344"/>
    </row>
    <row r="1173" spans="2:11" s="429" customFormat="1" ht="18" customHeight="1">
      <c r="B1173" s="460"/>
      <c r="C1173" s="440"/>
      <c r="E1173" s="355"/>
      <c r="G1173" s="355"/>
      <c r="H1173" s="355"/>
      <c r="J1173" s="344"/>
      <c r="K1173" s="344"/>
    </row>
    <row r="1174" spans="2:11" s="429" customFormat="1" ht="18" customHeight="1">
      <c r="B1174" s="460"/>
      <c r="C1174" s="440"/>
      <c r="E1174" s="355"/>
      <c r="G1174" s="355"/>
      <c r="H1174" s="355"/>
      <c r="J1174" s="344"/>
      <c r="K1174" s="344"/>
    </row>
    <row r="1175" spans="2:11" s="429" customFormat="1" ht="18" customHeight="1">
      <c r="B1175" s="460"/>
      <c r="C1175" s="440"/>
      <c r="E1175" s="355"/>
      <c r="G1175" s="355"/>
      <c r="H1175" s="355"/>
      <c r="J1175" s="344"/>
      <c r="K1175" s="344"/>
    </row>
    <row r="1176" spans="2:11" s="429" customFormat="1" ht="18" customHeight="1">
      <c r="B1176" s="460"/>
      <c r="C1176" s="440"/>
      <c r="E1176" s="355"/>
      <c r="G1176" s="355"/>
      <c r="H1176" s="355"/>
      <c r="J1176" s="344"/>
      <c r="K1176" s="344"/>
    </row>
    <row r="1177" spans="2:11" s="429" customFormat="1" ht="18" customHeight="1">
      <c r="B1177" s="460"/>
      <c r="C1177" s="440"/>
      <c r="E1177" s="355"/>
      <c r="G1177" s="355"/>
      <c r="H1177" s="355"/>
      <c r="J1177" s="344"/>
      <c r="K1177" s="344"/>
    </row>
    <row r="1178" spans="2:11" s="429" customFormat="1" ht="18" customHeight="1">
      <c r="B1178" s="460"/>
      <c r="C1178" s="440"/>
      <c r="E1178" s="355"/>
      <c r="G1178" s="355"/>
      <c r="H1178" s="355"/>
      <c r="J1178" s="344"/>
      <c r="K1178" s="344"/>
    </row>
    <row r="1179" spans="2:11" s="429" customFormat="1" ht="18" customHeight="1">
      <c r="B1179" s="460"/>
      <c r="C1179" s="440"/>
      <c r="E1179" s="355"/>
      <c r="G1179" s="355"/>
      <c r="H1179" s="355"/>
      <c r="J1179" s="344"/>
      <c r="K1179" s="344"/>
    </row>
    <row r="1180" spans="2:11" s="429" customFormat="1" ht="18" customHeight="1">
      <c r="B1180" s="460"/>
      <c r="C1180" s="440"/>
      <c r="E1180" s="355"/>
      <c r="G1180" s="355"/>
      <c r="H1180" s="355"/>
      <c r="J1180" s="344"/>
      <c r="K1180" s="344"/>
    </row>
    <row r="1181" spans="2:11" s="429" customFormat="1" ht="18" customHeight="1">
      <c r="B1181" s="460"/>
      <c r="C1181" s="440"/>
      <c r="E1181" s="355"/>
      <c r="G1181" s="355"/>
      <c r="H1181" s="355"/>
      <c r="J1181" s="344"/>
      <c r="K1181" s="344"/>
    </row>
    <row r="1182" spans="2:11" s="429" customFormat="1" ht="18" customHeight="1">
      <c r="B1182" s="460"/>
      <c r="C1182" s="440"/>
      <c r="E1182" s="355"/>
      <c r="G1182" s="355"/>
      <c r="H1182" s="355"/>
      <c r="J1182" s="344"/>
      <c r="K1182" s="344"/>
    </row>
    <row r="1183" spans="2:11" s="429" customFormat="1" ht="18" customHeight="1">
      <c r="B1183" s="460"/>
      <c r="C1183" s="440"/>
      <c r="E1183" s="355"/>
      <c r="G1183" s="355"/>
      <c r="H1183" s="355"/>
      <c r="J1183" s="344"/>
      <c r="K1183" s="344"/>
    </row>
    <row r="1184" spans="2:11" s="429" customFormat="1" ht="18" customHeight="1">
      <c r="B1184" s="460"/>
      <c r="C1184" s="440"/>
      <c r="E1184" s="355"/>
      <c r="G1184" s="355"/>
      <c r="H1184" s="355"/>
      <c r="J1184" s="344"/>
      <c r="K1184" s="344"/>
    </row>
    <row r="1185" spans="2:11" s="429" customFormat="1" ht="18" customHeight="1">
      <c r="B1185" s="460"/>
      <c r="C1185" s="440"/>
      <c r="E1185" s="355"/>
      <c r="G1185" s="355"/>
      <c r="H1185" s="355"/>
      <c r="J1185" s="344"/>
      <c r="K1185" s="344"/>
    </row>
    <row r="1186" spans="2:11" s="429" customFormat="1" ht="18" customHeight="1">
      <c r="B1186" s="460"/>
      <c r="C1186" s="440"/>
      <c r="E1186" s="355"/>
      <c r="G1186" s="355"/>
      <c r="H1186" s="355"/>
      <c r="J1186" s="344"/>
      <c r="K1186" s="344"/>
    </row>
    <row r="1187" spans="2:11" s="429" customFormat="1" ht="18" customHeight="1">
      <c r="B1187" s="460"/>
      <c r="C1187" s="440"/>
      <c r="E1187" s="355"/>
      <c r="G1187" s="355"/>
      <c r="H1187" s="355"/>
      <c r="J1187" s="344"/>
      <c r="K1187" s="344"/>
    </row>
    <row r="1188" spans="2:11" s="429" customFormat="1" ht="18" customHeight="1">
      <c r="B1188" s="460"/>
      <c r="C1188" s="440"/>
      <c r="E1188" s="355"/>
      <c r="G1188" s="355"/>
      <c r="H1188" s="355"/>
      <c r="J1188" s="344"/>
      <c r="K1188" s="344"/>
    </row>
    <row r="1189" spans="2:11" s="429" customFormat="1" ht="18" customHeight="1">
      <c r="B1189" s="460"/>
      <c r="C1189" s="440"/>
      <c r="E1189" s="355"/>
      <c r="G1189" s="355"/>
      <c r="H1189" s="355"/>
      <c r="J1189" s="344"/>
      <c r="K1189" s="344"/>
    </row>
    <row r="1190" spans="2:11" s="429" customFormat="1" ht="18" customHeight="1">
      <c r="B1190" s="460"/>
      <c r="C1190" s="440"/>
      <c r="E1190" s="355"/>
      <c r="G1190" s="355"/>
      <c r="H1190" s="355"/>
      <c r="J1190" s="344"/>
      <c r="K1190" s="344"/>
    </row>
    <row r="1191" spans="2:11" s="429" customFormat="1" ht="18" customHeight="1">
      <c r="B1191" s="460"/>
      <c r="C1191" s="440"/>
      <c r="E1191" s="355"/>
      <c r="G1191" s="355"/>
      <c r="H1191" s="355"/>
      <c r="J1191" s="344"/>
      <c r="K1191" s="344"/>
    </row>
    <row r="1192" spans="2:11" s="429" customFormat="1" ht="18" customHeight="1">
      <c r="B1192" s="460"/>
      <c r="C1192" s="440"/>
      <c r="E1192" s="355"/>
      <c r="G1192" s="355"/>
      <c r="H1192" s="355"/>
      <c r="J1192" s="344"/>
      <c r="K1192" s="344"/>
    </row>
    <row r="1193" spans="2:11" s="429" customFormat="1" ht="18" customHeight="1">
      <c r="B1193" s="460"/>
      <c r="C1193" s="440"/>
      <c r="E1193" s="355"/>
      <c r="G1193" s="355"/>
      <c r="H1193" s="355"/>
      <c r="J1193" s="344"/>
      <c r="K1193" s="344"/>
    </row>
    <row r="1194" spans="2:11" s="429" customFormat="1" ht="18" customHeight="1">
      <c r="B1194" s="460"/>
      <c r="C1194" s="440"/>
      <c r="E1194" s="355"/>
      <c r="G1194" s="355"/>
      <c r="H1194" s="355"/>
      <c r="J1194" s="344"/>
      <c r="K1194" s="344"/>
    </row>
    <row r="1195" spans="2:11" s="429" customFormat="1" ht="18" customHeight="1">
      <c r="B1195" s="460"/>
      <c r="C1195" s="440"/>
      <c r="E1195" s="355"/>
      <c r="G1195" s="355"/>
      <c r="H1195" s="355"/>
      <c r="J1195" s="344"/>
      <c r="K1195" s="344"/>
    </row>
    <row r="1196" spans="2:11" s="429" customFormat="1" ht="18" customHeight="1">
      <c r="B1196" s="460"/>
      <c r="C1196" s="440"/>
      <c r="E1196" s="355"/>
      <c r="G1196" s="355"/>
      <c r="H1196" s="355"/>
      <c r="J1196" s="344"/>
      <c r="K1196" s="344"/>
    </row>
    <row r="1197" spans="2:11" s="429" customFormat="1" ht="18" customHeight="1">
      <c r="B1197" s="460"/>
      <c r="C1197" s="440"/>
      <c r="E1197" s="355"/>
      <c r="G1197" s="355"/>
      <c r="H1197" s="355"/>
      <c r="J1197" s="344"/>
      <c r="K1197" s="344"/>
    </row>
    <row r="1198" spans="2:11" s="429" customFormat="1" ht="18" customHeight="1">
      <c r="B1198" s="460"/>
      <c r="C1198" s="440"/>
      <c r="E1198" s="355"/>
      <c r="G1198" s="355"/>
      <c r="H1198" s="355"/>
      <c r="J1198" s="344"/>
      <c r="K1198" s="344"/>
    </row>
    <row r="1199" spans="2:11" s="429" customFormat="1" ht="18" customHeight="1">
      <c r="B1199" s="460"/>
      <c r="C1199" s="440"/>
      <c r="E1199" s="355"/>
      <c r="G1199" s="355"/>
      <c r="H1199" s="355"/>
      <c r="J1199" s="344"/>
      <c r="K1199" s="344"/>
    </row>
    <row r="1200" spans="2:11" s="429" customFormat="1" ht="18" customHeight="1">
      <c r="B1200" s="460"/>
      <c r="C1200" s="440"/>
      <c r="E1200" s="355"/>
      <c r="G1200" s="355"/>
      <c r="H1200" s="355"/>
      <c r="J1200" s="344"/>
      <c r="K1200" s="344"/>
    </row>
    <row r="1201" spans="2:11" s="429" customFormat="1" ht="18" customHeight="1">
      <c r="B1201" s="460"/>
      <c r="C1201" s="440"/>
      <c r="E1201" s="355"/>
      <c r="G1201" s="355"/>
      <c r="H1201" s="355"/>
      <c r="J1201" s="344"/>
      <c r="K1201" s="344"/>
    </row>
    <row r="1202" spans="2:11" s="429" customFormat="1" ht="18" customHeight="1">
      <c r="B1202" s="460"/>
      <c r="C1202" s="440"/>
      <c r="E1202" s="355"/>
      <c r="G1202" s="355"/>
      <c r="H1202" s="355"/>
      <c r="J1202" s="344"/>
      <c r="K1202" s="344"/>
    </row>
    <row r="1203" spans="2:11" s="429" customFormat="1" ht="18" customHeight="1">
      <c r="B1203" s="460"/>
      <c r="C1203" s="440"/>
      <c r="E1203" s="355"/>
      <c r="G1203" s="355"/>
      <c r="H1203" s="355"/>
      <c r="J1203" s="344"/>
      <c r="K1203" s="344"/>
    </row>
    <row r="1204" spans="2:11" s="429" customFormat="1" ht="18" customHeight="1">
      <c r="B1204" s="460"/>
      <c r="C1204" s="440"/>
      <c r="E1204" s="355"/>
      <c r="G1204" s="355"/>
      <c r="H1204" s="355"/>
      <c r="J1204" s="344"/>
      <c r="K1204" s="344"/>
    </row>
    <row r="1205" spans="2:11" s="429" customFormat="1" ht="18" customHeight="1">
      <c r="B1205" s="460"/>
      <c r="C1205" s="440"/>
      <c r="E1205" s="355"/>
      <c r="G1205" s="355"/>
      <c r="H1205" s="355"/>
      <c r="J1205" s="344"/>
      <c r="K1205" s="344"/>
    </row>
    <row r="1206" spans="2:11" s="429" customFormat="1" ht="18" customHeight="1">
      <c r="B1206" s="460"/>
      <c r="C1206" s="440"/>
      <c r="E1206" s="355"/>
      <c r="G1206" s="355"/>
      <c r="H1206" s="355"/>
      <c r="J1206" s="344"/>
      <c r="K1206" s="344"/>
    </row>
    <row r="1207" spans="2:11" s="429" customFormat="1" ht="18" customHeight="1">
      <c r="B1207" s="460"/>
      <c r="C1207" s="440"/>
      <c r="E1207" s="355"/>
      <c r="G1207" s="355"/>
      <c r="H1207" s="355"/>
      <c r="J1207" s="344"/>
      <c r="K1207" s="344"/>
    </row>
    <row r="1208" spans="2:11" s="429" customFormat="1" ht="18" customHeight="1">
      <c r="B1208" s="460"/>
      <c r="C1208" s="440"/>
      <c r="E1208" s="355"/>
      <c r="G1208" s="355"/>
      <c r="H1208" s="355"/>
      <c r="J1208" s="344"/>
      <c r="K1208" s="344"/>
    </row>
    <row r="1209" spans="2:11" s="429" customFormat="1" ht="18" customHeight="1">
      <c r="B1209" s="460"/>
      <c r="C1209" s="440"/>
      <c r="E1209" s="355"/>
      <c r="G1209" s="355"/>
      <c r="H1209" s="355"/>
      <c r="J1209" s="344"/>
      <c r="K1209" s="344"/>
    </row>
    <row r="1210" spans="2:11" s="429" customFormat="1" ht="18" customHeight="1">
      <c r="B1210" s="460"/>
      <c r="C1210" s="440"/>
      <c r="E1210" s="355"/>
      <c r="G1210" s="355"/>
      <c r="H1210" s="355"/>
      <c r="J1210" s="344"/>
      <c r="K1210" s="344"/>
    </row>
    <row r="1211" spans="2:11" s="429" customFormat="1" ht="18" customHeight="1">
      <c r="B1211" s="460"/>
      <c r="C1211" s="440"/>
      <c r="E1211" s="355"/>
      <c r="G1211" s="355"/>
      <c r="H1211" s="355"/>
      <c r="J1211" s="344"/>
      <c r="K1211" s="344"/>
    </row>
    <row r="1212" spans="2:11" s="429" customFormat="1" ht="18" customHeight="1">
      <c r="B1212" s="460"/>
      <c r="C1212" s="440"/>
      <c r="E1212" s="355"/>
      <c r="G1212" s="355"/>
      <c r="H1212" s="355"/>
      <c r="J1212" s="344"/>
      <c r="K1212" s="344"/>
    </row>
    <row r="1213" spans="2:11" s="429" customFormat="1" ht="18" customHeight="1">
      <c r="B1213" s="460"/>
      <c r="C1213" s="440"/>
      <c r="E1213" s="355"/>
      <c r="G1213" s="355"/>
      <c r="H1213" s="355"/>
      <c r="J1213" s="344"/>
      <c r="K1213" s="344"/>
    </row>
    <row r="1214" spans="2:11" s="429" customFormat="1" ht="18" customHeight="1">
      <c r="B1214" s="460"/>
      <c r="C1214" s="440"/>
      <c r="E1214" s="355"/>
      <c r="G1214" s="355"/>
      <c r="H1214" s="355"/>
      <c r="J1214" s="344"/>
      <c r="K1214" s="344"/>
    </row>
    <row r="1215" spans="2:11" s="429" customFormat="1" ht="18" customHeight="1">
      <c r="B1215" s="460"/>
      <c r="C1215" s="440"/>
      <c r="E1215" s="355"/>
      <c r="G1215" s="355"/>
      <c r="H1215" s="355"/>
      <c r="J1215" s="344"/>
      <c r="K1215" s="344"/>
    </row>
    <row r="1216" spans="2:11" s="429" customFormat="1" ht="18" customHeight="1">
      <c r="B1216" s="460"/>
      <c r="C1216" s="440"/>
      <c r="E1216" s="355"/>
      <c r="G1216" s="355"/>
      <c r="H1216" s="355"/>
      <c r="J1216" s="344"/>
      <c r="K1216" s="344"/>
    </row>
    <row r="1217" spans="2:11" s="429" customFormat="1" ht="18" customHeight="1">
      <c r="B1217" s="460"/>
      <c r="C1217" s="440"/>
      <c r="E1217" s="355"/>
      <c r="G1217" s="355"/>
      <c r="H1217" s="355"/>
      <c r="J1217" s="344"/>
      <c r="K1217" s="344"/>
    </row>
    <row r="1218" spans="2:11" s="429" customFormat="1" ht="18" customHeight="1">
      <c r="B1218" s="460"/>
      <c r="C1218" s="440"/>
      <c r="E1218" s="355"/>
      <c r="G1218" s="355"/>
      <c r="H1218" s="355"/>
      <c r="J1218" s="344"/>
      <c r="K1218" s="344"/>
    </row>
    <row r="1219" spans="2:11" s="429" customFormat="1" ht="18" customHeight="1">
      <c r="B1219" s="460"/>
      <c r="C1219" s="440"/>
      <c r="E1219" s="355"/>
      <c r="G1219" s="355"/>
      <c r="H1219" s="355"/>
      <c r="J1219" s="344"/>
      <c r="K1219" s="344"/>
    </row>
    <row r="1220" spans="2:11" s="429" customFormat="1" ht="18" customHeight="1">
      <c r="B1220" s="460"/>
      <c r="C1220" s="440"/>
      <c r="E1220" s="355"/>
      <c r="G1220" s="355"/>
      <c r="H1220" s="355"/>
      <c r="J1220" s="344"/>
      <c r="K1220" s="344"/>
    </row>
    <row r="1221" spans="2:11" s="429" customFormat="1" ht="18" customHeight="1">
      <c r="B1221" s="460"/>
      <c r="C1221" s="440"/>
      <c r="E1221" s="355"/>
      <c r="G1221" s="355"/>
      <c r="H1221" s="355"/>
      <c r="J1221" s="344"/>
      <c r="K1221" s="344"/>
    </row>
    <row r="1222" spans="2:11" s="429" customFormat="1" ht="18" customHeight="1">
      <c r="B1222" s="460"/>
      <c r="C1222" s="440"/>
      <c r="E1222" s="355"/>
      <c r="G1222" s="355"/>
      <c r="H1222" s="355"/>
      <c r="J1222" s="344"/>
      <c r="K1222" s="344"/>
    </row>
    <row r="1223" spans="2:11" s="429" customFormat="1" ht="18" customHeight="1">
      <c r="B1223" s="460"/>
      <c r="C1223" s="440"/>
      <c r="E1223" s="355"/>
      <c r="G1223" s="355"/>
      <c r="H1223" s="355"/>
      <c r="J1223" s="344"/>
      <c r="K1223" s="344"/>
    </row>
    <row r="1224" spans="2:11" s="429" customFormat="1" ht="18" customHeight="1">
      <c r="B1224" s="460"/>
      <c r="C1224" s="440"/>
      <c r="E1224" s="355"/>
      <c r="G1224" s="355"/>
      <c r="H1224" s="355"/>
      <c r="J1224" s="344"/>
      <c r="K1224" s="344"/>
    </row>
    <row r="1225" spans="2:11" s="429" customFormat="1" ht="18" customHeight="1">
      <c r="B1225" s="460"/>
      <c r="C1225" s="440"/>
      <c r="E1225" s="355"/>
      <c r="G1225" s="355"/>
      <c r="H1225" s="355"/>
      <c r="J1225" s="344"/>
      <c r="K1225" s="344"/>
    </row>
    <row r="1226" spans="2:11" s="429" customFormat="1" ht="18" customHeight="1">
      <c r="B1226" s="460"/>
      <c r="C1226" s="440"/>
      <c r="E1226" s="355"/>
      <c r="G1226" s="355"/>
      <c r="H1226" s="355"/>
      <c r="J1226" s="344"/>
      <c r="K1226" s="344"/>
    </row>
    <row r="1227" spans="2:11" s="429" customFormat="1" ht="18" customHeight="1">
      <c r="B1227" s="460"/>
      <c r="C1227" s="440"/>
      <c r="E1227" s="355"/>
      <c r="G1227" s="355"/>
      <c r="H1227" s="355"/>
      <c r="J1227" s="344"/>
      <c r="K1227" s="344"/>
    </row>
    <row r="1228" spans="2:11" s="429" customFormat="1" ht="18" customHeight="1">
      <c r="B1228" s="460"/>
      <c r="C1228" s="440"/>
      <c r="E1228" s="355"/>
      <c r="G1228" s="355"/>
      <c r="H1228" s="355"/>
      <c r="J1228" s="344"/>
      <c r="K1228" s="344"/>
    </row>
    <row r="1229" spans="2:11" s="429" customFormat="1" ht="18" customHeight="1">
      <c r="B1229" s="460"/>
      <c r="C1229" s="440"/>
      <c r="E1229" s="355"/>
      <c r="G1229" s="355"/>
      <c r="H1229" s="355"/>
      <c r="J1229" s="344"/>
      <c r="K1229" s="344"/>
    </row>
    <row r="1230" spans="2:11" s="429" customFormat="1" ht="18" customHeight="1">
      <c r="B1230" s="460"/>
      <c r="C1230" s="440"/>
      <c r="E1230" s="355"/>
      <c r="G1230" s="355"/>
      <c r="H1230" s="355"/>
      <c r="J1230" s="344"/>
      <c r="K1230" s="344"/>
    </row>
    <row r="1231" spans="2:11" s="429" customFormat="1" ht="18" customHeight="1">
      <c r="B1231" s="460"/>
      <c r="C1231" s="440"/>
      <c r="E1231" s="355"/>
      <c r="G1231" s="355"/>
      <c r="H1231" s="355"/>
      <c r="J1231" s="344"/>
      <c r="K1231" s="344"/>
    </row>
    <row r="1232" spans="2:11" s="429" customFormat="1" ht="18" customHeight="1">
      <c r="B1232" s="460"/>
      <c r="C1232" s="440"/>
      <c r="E1232" s="355"/>
      <c r="G1232" s="355"/>
      <c r="H1232" s="355"/>
      <c r="J1232" s="344"/>
      <c r="K1232" s="344"/>
    </row>
    <row r="1233" spans="2:11" s="429" customFormat="1" ht="18" customHeight="1">
      <c r="B1233" s="460"/>
      <c r="C1233" s="440"/>
      <c r="E1233" s="355"/>
      <c r="G1233" s="355"/>
      <c r="H1233" s="355"/>
      <c r="J1233" s="344"/>
      <c r="K1233" s="344"/>
    </row>
    <row r="1234" spans="2:11" s="429" customFormat="1" ht="18" customHeight="1">
      <c r="B1234" s="460"/>
      <c r="C1234" s="440"/>
      <c r="E1234" s="355"/>
      <c r="G1234" s="355"/>
      <c r="H1234" s="355"/>
      <c r="J1234" s="344"/>
      <c r="K1234" s="344"/>
    </row>
    <row r="1235" spans="2:11" s="429" customFormat="1" ht="18" customHeight="1">
      <c r="B1235" s="460"/>
      <c r="C1235" s="440"/>
      <c r="E1235" s="355"/>
      <c r="G1235" s="355"/>
      <c r="H1235" s="355"/>
      <c r="J1235" s="344"/>
      <c r="K1235" s="344"/>
    </row>
    <row r="1236" spans="2:11" s="429" customFormat="1" ht="18" customHeight="1">
      <c r="B1236" s="460"/>
      <c r="C1236" s="440"/>
      <c r="E1236" s="355"/>
      <c r="G1236" s="355"/>
      <c r="H1236" s="355"/>
      <c r="J1236" s="344"/>
      <c r="K1236" s="344"/>
    </row>
    <row r="1237" spans="2:11" s="429" customFormat="1" ht="18" customHeight="1">
      <c r="B1237" s="460"/>
      <c r="C1237" s="440"/>
      <c r="E1237" s="355"/>
      <c r="G1237" s="355"/>
      <c r="H1237" s="355"/>
      <c r="J1237" s="344"/>
      <c r="K1237" s="344"/>
    </row>
    <row r="1238" spans="2:11" s="429" customFormat="1" ht="18" customHeight="1">
      <c r="B1238" s="460"/>
      <c r="C1238" s="440"/>
      <c r="E1238" s="355"/>
      <c r="G1238" s="355"/>
      <c r="H1238" s="355"/>
      <c r="J1238" s="344"/>
      <c r="K1238" s="344"/>
    </row>
    <row r="1239" spans="2:11" s="429" customFormat="1" ht="18" customHeight="1">
      <c r="B1239" s="460"/>
      <c r="C1239" s="440"/>
      <c r="E1239" s="355"/>
      <c r="G1239" s="355"/>
      <c r="H1239" s="355"/>
      <c r="J1239" s="344"/>
      <c r="K1239" s="344"/>
    </row>
    <row r="1240" spans="2:11" s="429" customFormat="1" ht="18" customHeight="1">
      <c r="B1240" s="460"/>
      <c r="C1240" s="440"/>
      <c r="E1240" s="355"/>
      <c r="G1240" s="355"/>
      <c r="H1240" s="355"/>
      <c r="J1240" s="344"/>
      <c r="K1240" s="344"/>
    </row>
    <row r="1241" spans="2:11" s="429" customFormat="1" ht="18" customHeight="1">
      <c r="B1241" s="460"/>
      <c r="C1241" s="440"/>
      <c r="E1241" s="355"/>
      <c r="G1241" s="355"/>
      <c r="H1241" s="355"/>
      <c r="J1241" s="344"/>
      <c r="K1241" s="344"/>
    </row>
    <row r="1242" spans="2:11" s="429" customFormat="1" ht="18" customHeight="1">
      <c r="B1242" s="460"/>
      <c r="C1242" s="440"/>
      <c r="E1242" s="355"/>
      <c r="G1242" s="355"/>
      <c r="H1242" s="355"/>
      <c r="J1242" s="344"/>
      <c r="K1242" s="344"/>
    </row>
    <row r="1243" spans="2:11" s="429" customFormat="1" ht="18" customHeight="1">
      <c r="B1243" s="460"/>
      <c r="C1243" s="440"/>
      <c r="E1243" s="355"/>
      <c r="G1243" s="355"/>
      <c r="H1243" s="355"/>
      <c r="J1243" s="344"/>
      <c r="K1243" s="344"/>
    </row>
    <row r="1244" spans="2:11" s="429" customFormat="1" ht="18" customHeight="1">
      <c r="B1244" s="460"/>
      <c r="C1244" s="440"/>
      <c r="E1244" s="355"/>
      <c r="G1244" s="355"/>
      <c r="H1244" s="355"/>
      <c r="J1244" s="344"/>
      <c r="K1244" s="344"/>
    </row>
    <row r="1245" spans="2:11" s="429" customFormat="1" ht="18" customHeight="1">
      <c r="B1245" s="460"/>
      <c r="C1245" s="440"/>
      <c r="E1245" s="355"/>
      <c r="G1245" s="355"/>
      <c r="H1245" s="355"/>
      <c r="J1245" s="344"/>
      <c r="K1245" s="344"/>
    </row>
    <row r="1246" spans="2:11" s="429" customFormat="1" ht="18" customHeight="1">
      <c r="B1246" s="460"/>
      <c r="C1246" s="440"/>
      <c r="E1246" s="355"/>
      <c r="G1246" s="355"/>
      <c r="H1246" s="355"/>
      <c r="J1246" s="344"/>
      <c r="K1246" s="344"/>
    </row>
    <row r="1247" spans="2:11" s="429" customFormat="1" ht="18" customHeight="1">
      <c r="B1247" s="460"/>
      <c r="C1247" s="440"/>
      <c r="E1247" s="355"/>
      <c r="G1247" s="355"/>
      <c r="H1247" s="355"/>
      <c r="J1247" s="344"/>
      <c r="K1247" s="344"/>
    </row>
    <row r="1248" spans="2:11" s="429" customFormat="1" ht="18" customHeight="1">
      <c r="B1248" s="460"/>
      <c r="C1248" s="440"/>
      <c r="E1248" s="355"/>
      <c r="G1248" s="355"/>
      <c r="H1248" s="355"/>
      <c r="J1248" s="344"/>
      <c r="K1248" s="344"/>
    </row>
    <row r="1249" spans="2:11" s="429" customFormat="1" ht="18" customHeight="1">
      <c r="B1249" s="460"/>
      <c r="C1249" s="440"/>
      <c r="E1249" s="355"/>
      <c r="G1249" s="355"/>
      <c r="H1249" s="355"/>
      <c r="J1249" s="344"/>
      <c r="K1249" s="344"/>
    </row>
    <row r="1250" spans="2:11" s="429" customFormat="1" ht="18" customHeight="1">
      <c r="B1250" s="460"/>
      <c r="C1250" s="440"/>
      <c r="E1250" s="355"/>
      <c r="G1250" s="355"/>
      <c r="H1250" s="355"/>
      <c r="J1250" s="344"/>
      <c r="K1250" s="344"/>
    </row>
    <row r="1251" spans="2:11" s="429" customFormat="1" ht="18" customHeight="1">
      <c r="B1251" s="460"/>
      <c r="C1251" s="440"/>
      <c r="E1251" s="355"/>
      <c r="G1251" s="355"/>
      <c r="H1251" s="355"/>
      <c r="J1251" s="344"/>
      <c r="K1251" s="344"/>
    </row>
    <row r="1252" spans="2:11" s="429" customFormat="1" ht="18" customHeight="1">
      <c r="B1252" s="460"/>
      <c r="C1252" s="440"/>
      <c r="E1252" s="355"/>
      <c r="G1252" s="355"/>
      <c r="H1252" s="355"/>
      <c r="J1252" s="344"/>
      <c r="K1252" s="344"/>
    </row>
    <row r="1253" spans="2:11" s="429" customFormat="1" ht="18" customHeight="1">
      <c r="B1253" s="460"/>
      <c r="C1253" s="440"/>
      <c r="E1253" s="355"/>
      <c r="G1253" s="355"/>
      <c r="H1253" s="355"/>
      <c r="J1253" s="344"/>
      <c r="K1253" s="344"/>
    </row>
    <row r="1254" spans="2:11" s="429" customFormat="1" ht="18" customHeight="1">
      <c r="B1254" s="460"/>
      <c r="C1254" s="440"/>
      <c r="E1254" s="355"/>
      <c r="G1254" s="355"/>
      <c r="H1254" s="355"/>
      <c r="J1254" s="344"/>
      <c r="K1254" s="344"/>
    </row>
    <row r="1255" spans="2:11" s="429" customFormat="1" ht="18" customHeight="1">
      <c r="B1255" s="460"/>
      <c r="C1255" s="440"/>
      <c r="E1255" s="355"/>
      <c r="G1255" s="355"/>
      <c r="H1255" s="355"/>
      <c r="J1255" s="344"/>
      <c r="K1255" s="344"/>
    </row>
    <row r="1256" spans="2:11" s="429" customFormat="1" ht="18" customHeight="1">
      <c r="B1256" s="460"/>
      <c r="C1256" s="440"/>
      <c r="E1256" s="355"/>
      <c r="G1256" s="355"/>
      <c r="H1256" s="355"/>
      <c r="J1256" s="344"/>
      <c r="K1256" s="344"/>
    </row>
    <row r="1257" spans="2:11" s="429" customFormat="1" ht="18" customHeight="1">
      <c r="B1257" s="460"/>
      <c r="C1257" s="440"/>
      <c r="E1257" s="355"/>
      <c r="G1257" s="355"/>
      <c r="H1257" s="355"/>
      <c r="J1257" s="344"/>
      <c r="K1257" s="344"/>
    </row>
    <row r="1258" spans="2:11" s="429" customFormat="1" ht="18" customHeight="1">
      <c r="B1258" s="460"/>
      <c r="C1258" s="440"/>
      <c r="E1258" s="355"/>
      <c r="G1258" s="355"/>
      <c r="H1258" s="355"/>
      <c r="J1258" s="344"/>
      <c r="K1258" s="344"/>
    </row>
    <row r="1259" spans="2:11" s="429" customFormat="1" ht="18" customHeight="1">
      <c r="B1259" s="460"/>
      <c r="C1259" s="440"/>
      <c r="E1259" s="355"/>
      <c r="G1259" s="355"/>
      <c r="H1259" s="355"/>
      <c r="J1259" s="344"/>
      <c r="K1259" s="344"/>
    </row>
    <row r="1260" spans="2:11" s="429" customFormat="1" ht="18" customHeight="1">
      <c r="B1260" s="460"/>
      <c r="C1260" s="440"/>
      <c r="E1260" s="355"/>
      <c r="G1260" s="355"/>
      <c r="H1260" s="355"/>
      <c r="J1260" s="344"/>
      <c r="K1260" s="344"/>
    </row>
    <row r="1261" spans="2:11" s="429" customFormat="1" ht="18" customHeight="1">
      <c r="B1261" s="460"/>
      <c r="C1261" s="440"/>
      <c r="E1261" s="355"/>
      <c r="G1261" s="355"/>
      <c r="H1261" s="355"/>
      <c r="J1261" s="344"/>
      <c r="K1261" s="344"/>
    </row>
    <row r="1262" spans="2:11" s="429" customFormat="1" ht="18" customHeight="1">
      <c r="B1262" s="460"/>
      <c r="C1262" s="440"/>
      <c r="E1262" s="355"/>
      <c r="G1262" s="355"/>
      <c r="H1262" s="355"/>
      <c r="J1262" s="344"/>
      <c r="K1262" s="344"/>
    </row>
    <row r="1263" spans="2:11" s="429" customFormat="1" ht="18" customHeight="1">
      <c r="B1263" s="460"/>
      <c r="C1263" s="440"/>
      <c r="E1263" s="355"/>
      <c r="G1263" s="355"/>
      <c r="H1263" s="355"/>
      <c r="J1263" s="344"/>
      <c r="K1263" s="344"/>
    </row>
    <row r="1264" spans="2:11" s="429" customFormat="1" ht="18" customHeight="1">
      <c r="B1264" s="460"/>
      <c r="C1264" s="440"/>
      <c r="E1264" s="355"/>
      <c r="G1264" s="355"/>
      <c r="H1264" s="355"/>
      <c r="J1264" s="344"/>
      <c r="K1264" s="344"/>
    </row>
    <row r="1265" spans="2:11" s="429" customFormat="1" ht="18" customHeight="1">
      <c r="B1265" s="460"/>
      <c r="C1265" s="440"/>
      <c r="E1265" s="355"/>
      <c r="G1265" s="355"/>
      <c r="H1265" s="355"/>
      <c r="J1265" s="344"/>
      <c r="K1265" s="344"/>
    </row>
    <row r="1266" spans="2:11" s="429" customFormat="1" ht="18" customHeight="1">
      <c r="B1266" s="460"/>
      <c r="C1266" s="440"/>
      <c r="E1266" s="355"/>
      <c r="G1266" s="355"/>
      <c r="H1266" s="355"/>
      <c r="J1266" s="344"/>
      <c r="K1266" s="344"/>
    </row>
    <row r="1267" spans="2:11" s="429" customFormat="1" ht="18" customHeight="1">
      <c r="B1267" s="460"/>
      <c r="C1267" s="440"/>
      <c r="E1267" s="355"/>
      <c r="G1267" s="355"/>
      <c r="H1267" s="355"/>
      <c r="J1267" s="344"/>
      <c r="K1267" s="344"/>
    </row>
    <row r="1268" spans="2:11" s="429" customFormat="1" ht="18" customHeight="1">
      <c r="B1268" s="460"/>
      <c r="C1268" s="440"/>
      <c r="E1268" s="355"/>
      <c r="G1268" s="355"/>
      <c r="H1268" s="355"/>
      <c r="J1268" s="344"/>
      <c r="K1268" s="344"/>
    </row>
    <row r="1269" spans="2:11" s="429" customFormat="1" ht="18" customHeight="1">
      <c r="B1269" s="460"/>
      <c r="C1269" s="440"/>
      <c r="E1269" s="355"/>
      <c r="G1269" s="355"/>
      <c r="H1269" s="355"/>
      <c r="J1269" s="344"/>
      <c r="K1269" s="344"/>
    </row>
    <row r="1270" spans="2:11" s="429" customFormat="1" ht="18" customHeight="1">
      <c r="B1270" s="460"/>
      <c r="C1270" s="440"/>
      <c r="E1270" s="355"/>
      <c r="G1270" s="355"/>
      <c r="H1270" s="355"/>
      <c r="J1270" s="344"/>
      <c r="K1270" s="344"/>
    </row>
    <row r="1271" spans="2:11" s="429" customFormat="1" ht="18" customHeight="1">
      <c r="B1271" s="460"/>
      <c r="C1271" s="440"/>
      <c r="E1271" s="355"/>
      <c r="G1271" s="355"/>
      <c r="H1271" s="355"/>
      <c r="J1271" s="344"/>
      <c r="K1271" s="344"/>
    </row>
    <row r="1272" spans="2:11" s="429" customFormat="1" ht="18" customHeight="1">
      <c r="B1272" s="460"/>
      <c r="C1272" s="440"/>
      <c r="E1272" s="355"/>
      <c r="G1272" s="355"/>
      <c r="H1272" s="355"/>
      <c r="J1272" s="344"/>
      <c r="K1272" s="344"/>
    </row>
    <row r="1273" spans="2:11" s="429" customFormat="1" ht="18" customHeight="1">
      <c r="B1273" s="460"/>
      <c r="C1273" s="440"/>
      <c r="E1273" s="355"/>
      <c r="G1273" s="355"/>
      <c r="H1273" s="355"/>
      <c r="J1273" s="344"/>
      <c r="K1273" s="344"/>
    </row>
    <row r="1274" spans="2:11" s="429" customFormat="1" ht="18" customHeight="1">
      <c r="B1274" s="460"/>
      <c r="C1274" s="440"/>
      <c r="E1274" s="355"/>
      <c r="G1274" s="355"/>
      <c r="H1274" s="355"/>
      <c r="J1274" s="344"/>
      <c r="K1274" s="344"/>
    </row>
    <row r="1275" spans="2:11" s="429" customFormat="1" ht="18" customHeight="1">
      <c r="B1275" s="460"/>
      <c r="C1275" s="440"/>
      <c r="E1275" s="355"/>
      <c r="G1275" s="355"/>
      <c r="H1275" s="355"/>
      <c r="J1275" s="344"/>
      <c r="K1275" s="344"/>
    </row>
    <row r="1276" spans="2:11" s="429" customFormat="1" ht="18" customHeight="1">
      <c r="B1276" s="460"/>
      <c r="C1276" s="440"/>
      <c r="E1276" s="355"/>
      <c r="G1276" s="355"/>
      <c r="H1276" s="355"/>
      <c r="J1276" s="344"/>
      <c r="K1276" s="344"/>
    </row>
    <row r="1277" spans="2:11" s="429" customFormat="1" ht="18" customHeight="1">
      <c r="B1277" s="460"/>
      <c r="C1277" s="440"/>
      <c r="E1277" s="355"/>
      <c r="G1277" s="355"/>
      <c r="H1277" s="355"/>
      <c r="J1277" s="344"/>
      <c r="K1277" s="344"/>
    </row>
    <row r="1278" spans="2:11" s="429" customFormat="1" ht="18" customHeight="1">
      <c r="B1278" s="460"/>
      <c r="C1278" s="440"/>
      <c r="E1278" s="355"/>
      <c r="G1278" s="355"/>
      <c r="H1278" s="355"/>
      <c r="J1278" s="344"/>
      <c r="K1278" s="344"/>
    </row>
    <row r="1279" spans="2:11" s="429" customFormat="1" ht="18" customHeight="1">
      <c r="B1279" s="460"/>
      <c r="C1279" s="440"/>
      <c r="E1279" s="355"/>
      <c r="G1279" s="355"/>
      <c r="H1279" s="355"/>
      <c r="J1279" s="344"/>
      <c r="K1279" s="344"/>
    </row>
    <row r="1280" spans="2:11" s="429" customFormat="1" ht="18" customHeight="1">
      <c r="B1280" s="460"/>
      <c r="C1280" s="440"/>
      <c r="E1280" s="355"/>
      <c r="G1280" s="355"/>
      <c r="H1280" s="355"/>
      <c r="J1280" s="344"/>
      <c r="K1280" s="344"/>
    </row>
    <row r="1281" spans="2:11" s="429" customFormat="1" ht="18" customHeight="1">
      <c r="B1281" s="460"/>
      <c r="C1281" s="440"/>
      <c r="E1281" s="355"/>
      <c r="G1281" s="355"/>
      <c r="H1281" s="355"/>
      <c r="J1281" s="344"/>
      <c r="K1281" s="344"/>
    </row>
    <row r="1282" spans="2:11" s="429" customFormat="1" ht="18" customHeight="1">
      <c r="B1282" s="460"/>
      <c r="C1282" s="440"/>
      <c r="E1282" s="355"/>
      <c r="G1282" s="355"/>
      <c r="H1282" s="355"/>
      <c r="J1282" s="344"/>
      <c r="K1282" s="344"/>
    </row>
    <row r="1283" spans="2:11" s="429" customFormat="1" ht="18" customHeight="1">
      <c r="B1283" s="460"/>
      <c r="C1283" s="440"/>
      <c r="E1283" s="355"/>
      <c r="G1283" s="355"/>
      <c r="H1283" s="355"/>
      <c r="J1283" s="344"/>
      <c r="K1283" s="344"/>
    </row>
    <row r="1284" spans="2:11" s="429" customFormat="1" ht="18" customHeight="1">
      <c r="B1284" s="460"/>
      <c r="C1284" s="440"/>
      <c r="E1284" s="355"/>
      <c r="G1284" s="355"/>
      <c r="H1284" s="355"/>
      <c r="J1284" s="344"/>
      <c r="K1284" s="344"/>
    </row>
    <row r="1285" spans="2:11" s="429" customFormat="1" ht="18" customHeight="1">
      <c r="B1285" s="460"/>
      <c r="C1285" s="440"/>
      <c r="E1285" s="355"/>
      <c r="G1285" s="355"/>
      <c r="H1285" s="355"/>
      <c r="J1285" s="344"/>
      <c r="K1285" s="344"/>
    </row>
    <row r="1286" spans="2:11" s="429" customFormat="1" ht="18" customHeight="1">
      <c r="B1286" s="460"/>
      <c r="C1286" s="440"/>
      <c r="E1286" s="355"/>
      <c r="G1286" s="355"/>
      <c r="H1286" s="355"/>
      <c r="J1286" s="344"/>
      <c r="K1286" s="344"/>
    </row>
    <row r="1287" spans="2:11" s="429" customFormat="1" ht="18" customHeight="1">
      <c r="B1287" s="460"/>
      <c r="C1287" s="440"/>
      <c r="E1287" s="355"/>
      <c r="G1287" s="355"/>
      <c r="H1287" s="355"/>
      <c r="J1287" s="344"/>
      <c r="K1287" s="344"/>
    </row>
    <row r="1288" spans="2:11" s="429" customFormat="1" ht="18" customHeight="1">
      <c r="B1288" s="460"/>
      <c r="C1288" s="440"/>
      <c r="E1288" s="355"/>
      <c r="G1288" s="355"/>
      <c r="H1288" s="355"/>
      <c r="J1288" s="344"/>
      <c r="K1288" s="344"/>
    </row>
    <row r="1289" spans="2:11" s="429" customFormat="1" ht="18" customHeight="1">
      <c r="B1289" s="460"/>
      <c r="C1289" s="440"/>
      <c r="E1289" s="355"/>
      <c r="G1289" s="355"/>
      <c r="H1289" s="355"/>
      <c r="J1289" s="344"/>
      <c r="K1289" s="344"/>
    </row>
    <row r="1290" spans="2:11" s="429" customFormat="1" ht="18" customHeight="1">
      <c r="B1290" s="460"/>
      <c r="C1290" s="440"/>
      <c r="E1290" s="355"/>
      <c r="G1290" s="355"/>
      <c r="H1290" s="355"/>
      <c r="J1290" s="344"/>
      <c r="K1290" s="344"/>
    </row>
    <row r="1291" spans="2:11" s="429" customFormat="1" ht="18" customHeight="1">
      <c r="B1291" s="460"/>
      <c r="C1291" s="440"/>
      <c r="E1291" s="355"/>
      <c r="G1291" s="355"/>
      <c r="H1291" s="355"/>
      <c r="J1291" s="344"/>
      <c r="K1291" s="344"/>
    </row>
    <row r="1292" spans="2:11" s="429" customFormat="1" ht="18" customHeight="1">
      <c r="B1292" s="460"/>
      <c r="C1292" s="440"/>
      <c r="E1292" s="355"/>
      <c r="G1292" s="355"/>
      <c r="H1292" s="355"/>
      <c r="J1292" s="344"/>
      <c r="K1292" s="344"/>
    </row>
    <row r="1293" spans="2:11" s="429" customFormat="1" ht="18" customHeight="1">
      <c r="B1293" s="460"/>
      <c r="C1293" s="440"/>
      <c r="E1293" s="355"/>
      <c r="G1293" s="355"/>
      <c r="H1293" s="355"/>
      <c r="J1293" s="344"/>
      <c r="K1293" s="344"/>
    </row>
    <row r="1294" spans="2:11" s="429" customFormat="1" ht="18" customHeight="1">
      <c r="B1294" s="460"/>
      <c r="C1294" s="440"/>
      <c r="E1294" s="355"/>
      <c r="G1294" s="355"/>
      <c r="H1294" s="355"/>
      <c r="J1294" s="344"/>
      <c r="K1294" s="344"/>
    </row>
    <row r="1295" spans="2:11" s="429" customFormat="1" ht="18" customHeight="1">
      <c r="B1295" s="460"/>
      <c r="C1295" s="440"/>
      <c r="E1295" s="355"/>
      <c r="G1295" s="355"/>
      <c r="H1295" s="355"/>
      <c r="J1295" s="344"/>
      <c r="K1295" s="344"/>
    </row>
    <row r="1296" spans="2:11" s="429" customFormat="1" ht="18" customHeight="1">
      <c r="B1296" s="460"/>
      <c r="C1296" s="440"/>
      <c r="E1296" s="355"/>
      <c r="G1296" s="355"/>
      <c r="H1296" s="355"/>
      <c r="J1296" s="344"/>
      <c r="K1296" s="344"/>
    </row>
    <row r="1297" spans="2:11" s="429" customFormat="1" ht="18" customHeight="1">
      <c r="B1297" s="460"/>
      <c r="C1297" s="440"/>
      <c r="E1297" s="355"/>
      <c r="G1297" s="355"/>
      <c r="H1297" s="355"/>
      <c r="J1297" s="344"/>
      <c r="K1297" s="344"/>
    </row>
    <row r="1298" spans="2:11" s="429" customFormat="1" ht="18" customHeight="1">
      <c r="B1298" s="460"/>
      <c r="C1298" s="440"/>
      <c r="E1298" s="355"/>
      <c r="G1298" s="355"/>
      <c r="H1298" s="355"/>
      <c r="J1298" s="344"/>
      <c r="K1298" s="344"/>
    </row>
    <row r="1299" spans="2:11" s="429" customFormat="1" ht="18" customHeight="1">
      <c r="B1299" s="460"/>
      <c r="C1299" s="440"/>
      <c r="E1299" s="355"/>
      <c r="G1299" s="355"/>
      <c r="H1299" s="355"/>
      <c r="J1299" s="344"/>
      <c r="K1299" s="344"/>
    </row>
    <row r="1300" spans="2:11" s="429" customFormat="1" ht="18" customHeight="1">
      <c r="B1300" s="460"/>
      <c r="C1300" s="440"/>
      <c r="E1300" s="355"/>
      <c r="G1300" s="355"/>
      <c r="H1300" s="355"/>
      <c r="J1300" s="344"/>
      <c r="K1300" s="344"/>
    </row>
    <row r="1301" spans="2:11" s="429" customFormat="1" ht="18" customHeight="1">
      <c r="B1301" s="460"/>
      <c r="C1301" s="440"/>
      <c r="E1301" s="355"/>
      <c r="G1301" s="355"/>
      <c r="H1301" s="355"/>
      <c r="J1301" s="344"/>
      <c r="K1301" s="344"/>
    </row>
    <row r="1302" spans="2:11" s="429" customFormat="1" ht="18" customHeight="1">
      <c r="B1302" s="460"/>
      <c r="C1302" s="440"/>
      <c r="E1302" s="355"/>
      <c r="G1302" s="355"/>
      <c r="H1302" s="355"/>
      <c r="J1302" s="344"/>
      <c r="K1302" s="344"/>
    </row>
    <row r="1303" spans="2:11" s="429" customFormat="1" ht="18" customHeight="1">
      <c r="B1303" s="460"/>
      <c r="C1303" s="440"/>
      <c r="E1303" s="355"/>
      <c r="G1303" s="355"/>
      <c r="H1303" s="355"/>
      <c r="J1303" s="344"/>
      <c r="K1303" s="344"/>
    </row>
    <row r="1304" spans="2:11" s="429" customFormat="1" ht="18" customHeight="1">
      <c r="B1304" s="460"/>
      <c r="C1304" s="440"/>
      <c r="E1304" s="355"/>
      <c r="G1304" s="355"/>
      <c r="H1304" s="355"/>
      <c r="J1304" s="344"/>
      <c r="K1304" s="344"/>
    </row>
    <row r="1305" spans="2:11" s="429" customFormat="1" ht="18" customHeight="1">
      <c r="B1305" s="460"/>
      <c r="C1305" s="440"/>
      <c r="E1305" s="355"/>
      <c r="G1305" s="355"/>
      <c r="H1305" s="355"/>
      <c r="J1305" s="344"/>
      <c r="K1305" s="344"/>
    </row>
    <row r="1306" spans="2:11" s="429" customFormat="1" ht="18" customHeight="1">
      <c r="B1306" s="460"/>
      <c r="C1306" s="440"/>
      <c r="E1306" s="355"/>
      <c r="G1306" s="355"/>
      <c r="H1306" s="355"/>
      <c r="J1306" s="344"/>
      <c r="K1306" s="344"/>
    </row>
    <row r="1307" spans="2:11" s="429" customFormat="1" ht="18" customHeight="1">
      <c r="B1307" s="460"/>
      <c r="C1307" s="440"/>
      <c r="E1307" s="355"/>
      <c r="G1307" s="355"/>
      <c r="H1307" s="355"/>
      <c r="J1307" s="344"/>
      <c r="K1307" s="344"/>
    </row>
    <row r="1308" spans="2:11" s="429" customFormat="1" ht="18" customHeight="1">
      <c r="B1308" s="460"/>
      <c r="C1308" s="440"/>
      <c r="E1308" s="355"/>
      <c r="G1308" s="355"/>
      <c r="H1308" s="355"/>
      <c r="J1308" s="344"/>
      <c r="K1308" s="344"/>
    </row>
    <row r="1309" spans="2:11" s="429" customFormat="1" ht="18" customHeight="1">
      <c r="B1309" s="460"/>
      <c r="C1309" s="440"/>
      <c r="E1309" s="355"/>
      <c r="G1309" s="355"/>
      <c r="H1309" s="355"/>
      <c r="J1309" s="344"/>
      <c r="K1309" s="344"/>
    </row>
    <row r="1310" spans="2:11" s="429" customFormat="1" ht="18" customHeight="1">
      <c r="B1310" s="460"/>
      <c r="C1310" s="440"/>
      <c r="E1310" s="355"/>
      <c r="G1310" s="355"/>
      <c r="H1310" s="355"/>
      <c r="J1310" s="344"/>
      <c r="K1310" s="344"/>
    </row>
    <row r="1311" spans="2:11" s="429" customFormat="1" ht="18" customHeight="1">
      <c r="B1311" s="460"/>
      <c r="C1311" s="440"/>
      <c r="E1311" s="355"/>
      <c r="G1311" s="355"/>
      <c r="H1311" s="355"/>
      <c r="J1311" s="344"/>
      <c r="K1311" s="344"/>
    </row>
    <row r="1312" spans="2:11" s="429" customFormat="1" ht="18" customHeight="1">
      <c r="B1312" s="460"/>
      <c r="C1312" s="440"/>
      <c r="E1312" s="355"/>
      <c r="G1312" s="355"/>
      <c r="H1312" s="355"/>
      <c r="J1312" s="344"/>
      <c r="K1312" s="344"/>
    </row>
    <row r="1313" spans="2:11" s="429" customFormat="1" ht="18" customHeight="1">
      <c r="B1313" s="460"/>
      <c r="C1313" s="440"/>
      <c r="E1313" s="355"/>
      <c r="G1313" s="355"/>
      <c r="H1313" s="355"/>
      <c r="J1313" s="344"/>
      <c r="K1313" s="344"/>
    </row>
    <row r="1314" spans="2:11" s="429" customFormat="1" ht="18" customHeight="1">
      <c r="B1314" s="460"/>
      <c r="C1314" s="440"/>
      <c r="E1314" s="355"/>
      <c r="G1314" s="355"/>
      <c r="H1314" s="355"/>
      <c r="J1314" s="344"/>
      <c r="K1314" s="344"/>
    </row>
    <row r="1315" spans="2:11" s="429" customFormat="1" ht="18" customHeight="1">
      <c r="B1315" s="460"/>
      <c r="C1315" s="440"/>
      <c r="E1315" s="355"/>
      <c r="G1315" s="355"/>
      <c r="H1315" s="355"/>
      <c r="J1315" s="344"/>
      <c r="K1315" s="344"/>
    </row>
    <row r="1316" spans="2:11" s="429" customFormat="1" ht="18" customHeight="1">
      <c r="B1316" s="460"/>
      <c r="C1316" s="440"/>
      <c r="E1316" s="355"/>
      <c r="G1316" s="355"/>
      <c r="H1316" s="355"/>
      <c r="J1316" s="344"/>
      <c r="K1316" s="344"/>
    </row>
    <row r="1317" spans="2:11" s="429" customFormat="1" ht="18" customHeight="1">
      <c r="B1317" s="460"/>
      <c r="C1317" s="440"/>
      <c r="E1317" s="355"/>
      <c r="G1317" s="355"/>
      <c r="H1317" s="355"/>
      <c r="J1317" s="344"/>
      <c r="K1317" s="344"/>
    </row>
    <row r="1318" spans="2:11" s="429" customFormat="1" ht="18" customHeight="1">
      <c r="B1318" s="460"/>
      <c r="C1318" s="440"/>
      <c r="E1318" s="355"/>
      <c r="G1318" s="355"/>
      <c r="H1318" s="355"/>
      <c r="J1318" s="344"/>
      <c r="K1318" s="344"/>
    </row>
    <row r="1319" spans="2:11" s="429" customFormat="1" ht="18" customHeight="1">
      <c r="B1319" s="460"/>
      <c r="C1319" s="440"/>
      <c r="E1319" s="355"/>
      <c r="G1319" s="355"/>
      <c r="H1319" s="355"/>
      <c r="J1319" s="344"/>
      <c r="K1319" s="344"/>
    </row>
    <row r="1320" spans="2:11" s="429" customFormat="1" ht="18" customHeight="1">
      <c r="B1320" s="460"/>
      <c r="C1320" s="440"/>
      <c r="E1320" s="355"/>
      <c r="G1320" s="355"/>
      <c r="H1320" s="355"/>
      <c r="J1320" s="344"/>
      <c r="K1320" s="344"/>
    </row>
    <row r="1321" spans="2:11" s="429" customFormat="1" ht="18" customHeight="1">
      <c r="B1321" s="460"/>
      <c r="C1321" s="440"/>
      <c r="E1321" s="355"/>
      <c r="G1321" s="355"/>
      <c r="H1321" s="355"/>
      <c r="J1321" s="344"/>
      <c r="K1321" s="344"/>
    </row>
    <row r="1322" spans="2:11" s="429" customFormat="1" ht="18" customHeight="1">
      <c r="B1322" s="460"/>
      <c r="C1322" s="440"/>
      <c r="E1322" s="355"/>
      <c r="G1322" s="355"/>
      <c r="H1322" s="355"/>
      <c r="J1322" s="344"/>
      <c r="K1322" s="344"/>
    </row>
    <row r="1323" spans="2:11" s="429" customFormat="1" ht="18" customHeight="1">
      <c r="B1323" s="460"/>
      <c r="C1323" s="440"/>
      <c r="E1323" s="355"/>
      <c r="G1323" s="355"/>
      <c r="H1323" s="355"/>
      <c r="J1323" s="344"/>
      <c r="K1323" s="344"/>
    </row>
    <row r="1324" spans="2:11" s="429" customFormat="1" ht="18" customHeight="1">
      <c r="B1324" s="460"/>
      <c r="C1324" s="440"/>
      <c r="E1324" s="355"/>
      <c r="G1324" s="355"/>
      <c r="H1324" s="355"/>
      <c r="J1324" s="344"/>
      <c r="K1324" s="344"/>
    </row>
    <row r="1325" spans="2:11" s="429" customFormat="1" ht="18" customHeight="1">
      <c r="B1325" s="460"/>
      <c r="C1325" s="440"/>
      <c r="E1325" s="355"/>
      <c r="G1325" s="355"/>
      <c r="H1325" s="355"/>
      <c r="J1325" s="344"/>
      <c r="K1325" s="344"/>
    </row>
    <row r="1326" spans="2:11" s="429" customFormat="1" ht="18" customHeight="1">
      <c r="B1326" s="460"/>
      <c r="C1326" s="440"/>
      <c r="E1326" s="355"/>
      <c r="G1326" s="355"/>
      <c r="H1326" s="355"/>
      <c r="J1326" s="344"/>
      <c r="K1326" s="344"/>
    </row>
    <row r="1327" spans="2:11" s="429" customFormat="1" ht="18" customHeight="1">
      <c r="B1327" s="460"/>
      <c r="C1327" s="440"/>
      <c r="E1327" s="355"/>
      <c r="G1327" s="355"/>
      <c r="H1327" s="355"/>
      <c r="J1327" s="344"/>
      <c r="K1327" s="344"/>
    </row>
    <row r="1328" spans="2:11" s="429" customFormat="1" ht="18" customHeight="1">
      <c r="B1328" s="460"/>
      <c r="C1328" s="440"/>
      <c r="E1328" s="355"/>
      <c r="G1328" s="355"/>
      <c r="H1328" s="355"/>
      <c r="J1328" s="344"/>
      <c r="K1328" s="344"/>
    </row>
    <row r="1329" spans="2:11" s="429" customFormat="1" ht="18" customHeight="1">
      <c r="B1329" s="460"/>
      <c r="C1329" s="440"/>
      <c r="E1329" s="355"/>
      <c r="G1329" s="355"/>
      <c r="H1329" s="355"/>
      <c r="J1329" s="344"/>
      <c r="K1329" s="344"/>
    </row>
    <row r="1330" spans="2:11" s="429" customFormat="1" ht="18" customHeight="1">
      <c r="B1330" s="460"/>
      <c r="C1330" s="440"/>
      <c r="E1330" s="355"/>
      <c r="G1330" s="355"/>
      <c r="H1330" s="355"/>
      <c r="J1330" s="344"/>
      <c r="K1330" s="344"/>
    </row>
    <row r="1331" spans="2:11" s="429" customFormat="1" ht="18" customHeight="1">
      <c r="B1331" s="460"/>
      <c r="C1331" s="440"/>
      <c r="E1331" s="355"/>
      <c r="G1331" s="355"/>
      <c r="H1331" s="355"/>
      <c r="J1331" s="344"/>
      <c r="K1331" s="344"/>
    </row>
    <row r="1332" spans="2:11" s="429" customFormat="1" ht="18" customHeight="1">
      <c r="B1332" s="460"/>
      <c r="C1332" s="440"/>
      <c r="E1332" s="355"/>
      <c r="G1332" s="355"/>
      <c r="H1332" s="355"/>
      <c r="J1332" s="344"/>
      <c r="K1332" s="344"/>
    </row>
    <row r="1333" spans="2:11" s="429" customFormat="1" ht="18" customHeight="1">
      <c r="B1333" s="460"/>
      <c r="C1333" s="440"/>
      <c r="E1333" s="355"/>
      <c r="G1333" s="355"/>
      <c r="H1333" s="355"/>
      <c r="J1333" s="344"/>
      <c r="K1333" s="344"/>
    </row>
    <row r="1334" spans="2:11" s="429" customFormat="1" ht="18" customHeight="1">
      <c r="B1334" s="460"/>
      <c r="C1334" s="440"/>
      <c r="E1334" s="355"/>
      <c r="G1334" s="355"/>
      <c r="H1334" s="355"/>
      <c r="J1334" s="344"/>
      <c r="K1334" s="344"/>
    </row>
    <row r="1335" spans="2:11" s="429" customFormat="1" ht="18" customHeight="1">
      <c r="B1335" s="460"/>
      <c r="C1335" s="440"/>
      <c r="E1335" s="355"/>
      <c r="G1335" s="355"/>
      <c r="H1335" s="355"/>
      <c r="J1335" s="344"/>
      <c r="K1335" s="344"/>
    </row>
    <row r="1336" spans="2:11" s="429" customFormat="1" ht="18" customHeight="1">
      <c r="B1336" s="460"/>
      <c r="C1336" s="440"/>
      <c r="E1336" s="355"/>
      <c r="G1336" s="355"/>
      <c r="H1336" s="355"/>
      <c r="J1336" s="344"/>
      <c r="K1336" s="344"/>
    </row>
    <row r="1337" spans="2:11" s="429" customFormat="1" ht="18" customHeight="1">
      <c r="B1337" s="460"/>
      <c r="C1337" s="440"/>
      <c r="E1337" s="355"/>
      <c r="G1337" s="355"/>
      <c r="H1337" s="355"/>
      <c r="J1337" s="344"/>
      <c r="K1337" s="344"/>
    </row>
    <row r="1338" spans="2:11" s="429" customFormat="1" ht="18" customHeight="1">
      <c r="B1338" s="460"/>
      <c r="C1338" s="440"/>
      <c r="E1338" s="355"/>
      <c r="G1338" s="355"/>
      <c r="H1338" s="355"/>
      <c r="J1338" s="344"/>
      <c r="K1338" s="344"/>
    </row>
    <row r="1339" spans="2:11" s="429" customFormat="1" ht="18" customHeight="1">
      <c r="B1339" s="460"/>
      <c r="C1339" s="440"/>
      <c r="E1339" s="355"/>
      <c r="G1339" s="355"/>
      <c r="H1339" s="355"/>
      <c r="J1339" s="344"/>
      <c r="K1339" s="344"/>
    </row>
    <row r="1340" spans="2:11" s="429" customFormat="1" ht="18" customHeight="1">
      <c r="B1340" s="460"/>
      <c r="C1340" s="440"/>
      <c r="E1340" s="355"/>
      <c r="G1340" s="355"/>
      <c r="H1340" s="355"/>
      <c r="J1340" s="344"/>
      <c r="K1340" s="344"/>
    </row>
    <row r="1341" spans="2:11" s="429" customFormat="1" ht="18" customHeight="1">
      <c r="B1341" s="460"/>
      <c r="C1341" s="440"/>
      <c r="E1341" s="355"/>
      <c r="G1341" s="355"/>
      <c r="H1341" s="355"/>
      <c r="J1341" s="344"/>
      <c r="K1341" s="344"/>
    </row>
    <row r="1342" spans="2:11" s="429" customFormat="1" ht="18" customHeight="1">
      <c r="B1342" s="460"/>
      <c r="C1342" s="440"/>
      <c r="E1342" s="355"/>
      <c r="G1342" s="355"/>
      <c r="H1342" s="355"/>
      <c r="J1342" s="344"/>
      <c r="K1342" s="344"/>
    </row>
    <row r="1343" spans="2:11" s="429" customFormat="1" ht="18" customHeight="1">
      <c r="B1343" s="460"/>
      <c r="C1343" s="440"/>
      <c r="E1343" s="355"/>
      <c r="G1343" s="355"/>
      <c r="H1343" s="355"/>
      <c r="J1343" s="344"/>
      <c r="K1343" s="344"/>
    </row>
    <row r="1344" spans="2:11" s="429" customFormat="1" ht="18" customHeight="1">
      <c r="B1344" s="460"/>
      <c r="C1344" s="440"/>
      <c r="E1344" s="355"/>
      <c r="G1344" s="355"/>
      <c r="H1344" s="355"/>
      <c r="J1344" s="344"/>
      <c r="K1344" s="344"/>
    </row>
    <row r="1345" spans="2:11" s="429" customFormat="1" ht="18" customHeight="1">
      <c r="B1345" s="460"/>
      <c r="C1345" s="440"/>
      <c r="E1345" s="355"/>
      <c r="G1345" s="355"/>
      <c r="H1345" s="355"/>
      <c r="J1345" s="344"/>
      <c r="K1345" s="344"/>
    </row>
    <row r="1346" spans="2:11" s="429" customFormat="1" ht="18" customHeight="1">
      <c r="B1346" s="460"/>
      <c r="C1346" s="440"/>
      <c r="E1346" s="355"/>
      <c r="G1346" s="355"/>
      <c r="H1346" s="355"/>
      <c r="J1346" s="344"/>
      <c r="K1346" s="344"/>
    </row>
    <row r="1347" spans="2:11" s="429" customFormat="1" ht="18" customHeight="1">
      <c r="B1347" s="460"/>
      <c r="C1347" s="440"/>
      <c r="E1347" s="355"/>
      <c r="G1347" s="355"/>
      <c r="H1347" s="355"/>
      <c r="J1347" s="344"/>
      <c r="K1347" s="344"/>
    </row>
    <row r="1348" spans="2:11" s="429" customFormat="1" ht="18" customHeight="1">
      <c r="B1348" s="460"/>
      <c r="C1348" s="440"/>
      <c r="E1348" s="355"/>
      <c r="G1348" s="355"/>
      <c r="H1348" s="355"/>
      <c r="J1348" s="344"/>
      <c r="K1348" s="344"/>
    </row>
    <row r="1349" spans="2:11" s="429" customFormat="1" ht="18" customHeight="1">
      <c r="B1349" s="460"/>
      <c r="C1349" s="440"/>
      <c r="E1349" s="355"/>
      <c r="G1349" s="355"/>
      <c r="H1349" s="355"/>
      <c r="J1349" s="344"/>
      <c r="K1349" s="344"/>
    </row>
    <row r="1350" spans="2:11" s="429" customFormat="1" ht="18" customHeight="1">
      <c r="B1350" s="460"/>
      <c r="C1350" s="440"/>
      <c r="E1350" s="355"/>
      <c r="G1350" s="355"/>
      <c r="H1350" s="355"/>
      <c r="J1350" s="344"/>
      <c r="K1350" s="344"/>
    </row>
    <row r="1351" spans="2:11" s="429" customFormat="1" ht="18" customHeight="1">
      <c r="B1351" s="460"/>
      <c r="C1351" s="440"/>
      <c r="E1351" s="355"/>
      <c r="G1351" s="355"/>
      <c r="H1351" s="355"/>
      <c r="J1351" s="344"/>
      <c r="K1351" s="344"/>
    </row>
    <row r="1352" spans="2:11" s="429" customFormat="1" ht="18" customHeight="1">
      <c r="B1352" s="460"/>
      <c r="C1352" s="440"/>
      <c r="E1352" s="355"/>
      <c r="G1352" s="355"/>
      <c r="H1352" s="355"/>
      <c r="J1352" s="344"/>
      <c r="K1352" s="344"/>
    </row>
    <row r="1353" spans="2:11" s="429" customFormat="1" ht="18" customHeight="1">
      <c r="B1353" s="460"/>
      <c r="C1353" s="440"/>
      <c r="E1353" s="355"/>
      <c r="G1353" s="355"/>
      <c r="H1353" s="355"/>
      <c r="J1353" s="344"/>
      <c r="K1353" s="344"/>
    </row>
    <row r="1354" spans="2:11" s="429" customFormat="1" ht="18" customHeight="1">
      <c r="B1354" s="460"/>
      <c r="C1354" s="440"/>
      <c r="E1354" s="355"/>
      <c r="G1354" s="355"/>
      <c r="H1354" s="355"/>
      <c r="J1354" s="344"/>
      <c r="K1354" s="344"/>
    </row>
    <row r="1355" spans="2:11" s="429" customFormat="1" ht="18" customHeight="1">
      <c r="B1355" s="460"/>
      <c r="C1355" s="440"/>
      <c r="E1355" s="355"/>
      <c r="G1355" s="355"/>
      <c r="H1355" s="355"/>
      <c r="J1355" s="344"/>
      <c r="K1355" s="344"/>
    </row>
    <row r="1356" spans="2:11" s="429" customFormat="1" ht="18" customHeight="1">
      <c r="B1356" s="460"/>
      <c r="C1356" s="440"/>
      <c r="E1356" s="355"/>
      <c r="G1356" s="355"/>
      <c r="H1356" s="355"/>
      <c r="J1356" s="344"/>
      <c r="K1356" s="344"/>
    </row>
    <row r="1357" spans="2:11" s="429" customFormat="1" ht="18" customHeight="1">
      <c r="B1357" s="460"/>
      <c r="C1357" s="440"/>
      <c r="E1357" s="355"/>
      <c r="G1357" s="355"/>
      <c r="H1357" s="355"/>
      <c r="J1357" s="344"/>
      <c r="K1357" s="344"/>
    </row>
    <row r="1358" spans="2:11" s="429" customFormat="1" ht="18" customHeight="1">
      <c r="B1358" s="460"/>
      <c r="C1358" s="440"/>
      <c r="E1358" s="355"/>
      <c r="G1358" s="355"/>
      <c r="H1358" s="355"/>
      <c r="J1358" s="344"/>
      <c r="K1358" s="344"/>
    </row>
    <row r="1359" spans="2:11" s="429" customFormat="1" ht="18" customHeight="1">
      <c r="B1359" s="460"/>
      <c r="C1359" s="440"/>
      <c r="E1359" s="355"/>
      <c r="G1359" s="355"/>
      <c r="H1359" s="355"/>
      <c r="J1359" s="344"/>
      <c r="K1359" s="344"/>
    </row>
    <row r="1360" spans="2:11" s="429" customFormat="1" ht="18" customHeight="1">
      <c r="B1360" s="460"/>
      <c r="C1360" s="440"/>
      <c r="E1360" s="355"/>
      <c r="G1360" s="355"/>
      <c r="H1360" s="355"/>
      <c r="J1360" s="344"/>
      <c r="K1360" s="344"/>
    </row>
    <row r="1361" spans="2:11" s="429" customFormat="1" ht="18" customHeight="1">
      <c r="B1361" s="460"/>
      <c r="C1361" s="440"/>
      <c r="E1361" s="355"/>
      <c r="G1361" s="355"/>
      <c r="H1361" s="355"/>
      <c r="J1361" s="344"/>
      <c r="K1361" s="344"/>
    </row>
    <row r="1362" spans="2:11" s="429" customFormat="1" ht="18" customHeight="1">
      <c r="B1362" s="460"/>
      <c r="C1362" s="440"/>
      <c r="E1362" s="355"/>
      <c r="G1362" s="355"/>
      <c r="H1362" s="355"/>
      <c r="J1362" s="344"/>
      <c r="K1362" s="344"/>
    </row>
    <row r="1363" spans="2:11" s="429" customFormat="1" ht="18" customHeight="1">
      <c r="B1363" s="460"/>
      <c r="C1363" s="440"/>
      <c r="E1363" s="355"/>
      <c r="G1363" s="355"/>
      <c r="H1363" s="355"/>
      <c r="J1363" s="344"/>
      <c r="K1363" s="344"/>
    </row>
    <row r="1364" spans="2:11" s="429" customFormat="1" ht="18" customHeight="1">
      <c r="B1364" s="460"/>
      <c r="C1364" s="440"/>
      <c r="E1364" s="355"/>
      <c r="G1364" s="355"/>
      <c r="H1364" s="355"/>
      <c r="J1364" s="344"/>
      <c r="K1364" s="344"/>
    </row>
    <row r="1365" spans="2:11" s="429" customFormat="1" ht="18" customHeight="1">
      <c r="B1365" s="460"/>
      <c r="C1365" s="440"/>
      <c r="E1365" s="355"/>
      <c r="G1365" s="355"/>
      <c r="H1365" s="355"/>
      <c r="J1365" s="344"/>
      <c r="K1365" s="344"/>
    </row>
    <row r="1366" spans="2:11" s="429" customFormat="1" ht="18" customHeight="1">
      <c r="B1366" s="460"/>
      <c r="C1366" s="440"/>
      <c r="E1366" s="355"/>
      <c r="G1366" s="355"/>
      <c r="H1366" s="355"/>
      <c r="J1366" s="344"/>
      <c r="K1366" s="344"/>
    </row>
    <row r="1367" spans="2:11" s="429" customFormat="1" ht="18" customHeight="1">
      <c r="B1367" s="460"/>
      <c r="C1367" s="440"/>
      <c r="E1367" s="355"/>
      <c r="G1367" s="355"/>
      <c r="H1367" s="355"/>
      <c r="J1367" s="344"/>
      <c r="K1367" s="344"/>
    </row>
    <row r="1368" spans="2:11" s="429" customFormat="1" ht="18" customHeight="1">
      <c r="B1368" s="460"/>
      <c r="C1368" s="440"/>
      <c r="E1368" s="355"/>
      <c r="G1368" s="355"/>
      <c r="H1368" s="355"/>
      <c r="J1368" s="344"/>
      <c r="K1368" s="344"/>
    </row>
    <row r="1369" spans="2:11" s="429" customFormat="1" ht="18" customHeight="1">
      <c r="B1369" s="460"/>
      <c r="C1369" s="440"/>
      <c r="E1369" s="355"/>
      <c r="G1369" s="355"/>
      <c r="H1369" s="355"/>
      <c r="J1369" s="344"/>
      <c r="K1369" s="344"/>
    </row>
    <row r="1370" spans="2:11" s="429" customFormat="1" ht="18" customHeight="1">
      <c r="B1370" s="460"/>
      <c r="C1370" s="440"/>
      <c r="E1370" s="355"/>
      <c r="G1370" s="355"/>
      <c r="H1370" s="355"/>
      <c r="J1370" s="344"/>
      <c r="K1370" s="344"/>
    </row>
    <row r="1371" spans="2:11" s="429" customFormat="1" ht="18" customHeight="1">
      <c r="B1371" s="460"/>
      <c r="C1371" s="440"/>
      <c r="E1371" s="355"/>
      <c r="G1371" s="355"/>
      <c r="H1371" s="355"/>
      <c r="J1371" s="344"/>
      <c r="K1371" s="344"/>
    </row>
    <row r="1372" spans="2:11" s="429" customFormat="1" ht="18" customHeight="1">
      <c r="B1372" s="460"/>
      <c r="C1372" s="440"/>
      <c r="E1372" s="355"/>
      <c r="G1372" s="355"/>
      <c r="H1372" s="355"/>
      <c r="J1372" s="344"/>
      <c r="K1372" s="344"/>
    </row>
    <row r="1373" spans="2:11" s="429" customFormat="1" ht="18" customHeight="1">
      <c r="B1373" s="460"/>
      <c r="C1373" s="440"/>
      <c r="E1373" s="355"/>
      <c r="G1373" s="355"/>
      <c r="H1373" s="355"/>
      <c r="J1373" s="344"/>
      <c r="K1373" s="344"/>
    </row>
    <row r="1374" spans="2:11" s="429" customFormat="1" ht="18" customHeight="1">
      <c r="B1374" s="460"/>
      <c r="C1374" s="440"/>
      <c r="E1374" s="355"/>
      <c r="G1374" s="355"/>
      <c r="H1374" s="355"/>
      <c r="J1374" s="344"/>
      <c r="K1374" s="344"/>
    </row>
    <row r="1375" spans="2:11" s="429" customFormat="1" ht="18" customHeight="1">
      <c r="B1375" s="460"/>
      <c r="C1375" s="440"/>
      <c r="E1375" s="355"/>
      <c r="G1375" s="355"/>
      <c r="H1375" s="355"/>
      <c r="J1375" s="344"/>
      <c r="K1375" s="344"/>
    </row>
    <row r="1376" spans="2:11" s="429" customFormat="1" ht="18" customHeight="1">
      <c r="B1376" s="460"/>
      <c r="C1376" s="440"/>
      <c r="E1376" s="355"/>
      <c r="G1376" s="355"/>
      <c r="H1376" s="355"/>
      <c r="J1376" s="344"/>
      <c r="K1376" s="344"/>
    </row>
    <row r="1377" spans="2:11" s="429" customFormat="1" ht="18" customHeight="1">
      <c r="B1377" s="460"/>
      <c r="C1377" s="440"/>
      <c r="E1377" s="355"/>
      <c r="G1377" s="355"/>
      <c r="H1377" s="355"/>
      <c r="J1377" s="344"/>
      <c r="K1377" s="344"/>
    </row>
    <row r="1378" spans="2:11" s="429" customFormat="1" ht="18" customHeight="1">
      <c r="B1378" s="460"/>
      <c r="C1378" s="440"/>
      <c r="E1378" s="355"/>
      <c r="G1378" s="355"/>
      <c r="H1378" s="355"/>
      <c r="J1378" s="344"/>
      <c r="K1378" s="344"/>
    </row>
    <row r="1379" spans="2:11" s="429" customFormat="1" ht="18" customHeight="1">
      <c r="B1379" s="460"/>
      <c r="C1379" s="440"/>
      <c r="E1379" s="355"/>
      <c r="G1379" s="355"/>
      <c r="H1379" s="355"/>
      <c r="J1379" s="344"/>
      <c r="K1379" s="344"/>
    </row>
    <row r="1380" spans="2:11" s="429" customFormat="1" ht="18" customHeight="1">
      <c r="B1380" s="460"/>
      <c r="C1380" s="440"/>
      <c r="E1380" s="355"/>
      <c r="G1380" s="355"/>
      <c r="H1380" s="355"/>
      <c r="J1380" s="344"/>
      <c r="K1380" s="344"/>
    </row>
    <row r="1381" spans="2:11" s="429" customFormat="1" ht="18" customHeight="1">
      <c r="B1381" s="460"/>
      <c r="C1381" s="440"/>
      <c r="E1381" s="355"/>
      <c r="G1381" s="355"/>
      <c r="H1381" s="355"/>
      <c r="J1381" s="344"/>
      <c r="K1381" s="344"/>
    </row>
    <row r="1382" spans="2:11" s="429" customFormat="1" ht="18" customHeight="1">
      <c r="B1382" s="460"/>
      <c r="C1382" s="440"/>
      <c r="E1382" s="355"/>
      <c r="G1382" s="355"/>
      <c r="H1382" s="355"/>
      <c r="J1382" s="344"/>
      <c r="K1382" s="344"/>
    </row>
    <row r="1383" spans="2:11" s="429" customFormat="1" ht="18" customHeight="1">
      <c r="B1383" s="460"/>
      <c r="C1383" s="440"/>
      <c r="E1383" s="355"/>
      <c r="G1383" s="355"/>
      <c r="H1383" s="355"/>
      <c r="J1383" s="344"/>
      <c r="K1383" s="344"/>
    </row>
    <row r="1384" spans="2:11" s="429" customFormat="1" ht="18" customHeight="1">
      <c r="B1384" s="460"/>
      <c r="C1384" s="440"/>
      <c r="E1384" s="355"/>
      <c r="G1384" s="355"/>
      <c r="H1384" s="355"/>
      <c r="J1384" s="344"/>
      <c r="K1384" s="344"/>
    </row>
    <row r="1385" spans="2:11" s="429" customFormat="1" ht="18" customHeight="1">
      <c r="B1385" s="460"/>
      <c r="C1385" s="440"/>
      <c r="E1385" s="355"/>
      <c r="G1385" s="355"/>
      <c r="H1385" s="355"/>
      <c r="J1385" s="344"/>
      <c r="K1385" s="344"/>
    </row>
    <row r="1386" spans="2:11" s="429" customFormat="1" ht="18" customHeight="1">
      <c r="B1386" s="460"/>
      <c r="C1386" s="440"/>
      <c r="E1386" s="355"/>
      <c r="G1386" s="355"/>
      <c r="H1386" s="355"/>
      <c r="J1386" s="344"/>
      <c r="K1386" s="344"/>
    </row>
    <row r="1387" spans="2:11" s="429" customFormat="1" ht="18" customHeight="1">
      <c r="B1387" s="460"/>
      <c r="C1387" s="440"/>
      <c r="E1387" s="355"/>
      <c r="G1387" s="355"/>
      <c r="H1387" s="355"/>
      <c r="J1387" s="344"/>
      <c r="K1387" s="344"/>
    </row>
    <row r="1388" spans="2:11" s="429" customFormat="1" ht="18" customHeight="1">
      <c r="B1388" s="460"/>
      <c r="C1388" s="440"/>
      <c r="E1388" s="355"/>
      <c r="G1388" s="355"/>
      <c r="H1388" s="355"/>
      <c r="J1388" s="344"/>
      <c r="K1388" s="344"/>
    </row>
    <row r="1389" spans="2:11" s="429" customFormat="1" ht="18" customHeight="1">
      <c r="B1389" s="460"/>
      <c r="C1389" s="440"/>
      <c r="E1389" s="355"/>
      <c r="G1389" s="355"/>
      <c r="H1389" s="355"/>
      <c r="J1389" s="344"/>
      <c r="K1389" s="344"/>
    </row>
    <row r="1390" spans="2:11" s="429" customFormat="1" ht="18" customHeight="1">
      <c r="B1390" s="460"/>
      <c r="C1390" s="440"/>
      <c r="E1390" s="355"/>
      <c r="G1390" s="355"/>
      <c r="H1390" s="355"/>
      <c r="J1390" s="344"/>
      <c r="K1390" s="344"/>
    </row>
    <row r="1391" spans="2:11" s="429" customFormat="1" ht="18" customHeight="1">
      <c r="B1391" s="460"/>
      <c r="C1391" s="440"/>
      <c r="E1391" s="355"/>
      <c r="G1391" s="355"/>
      <c r="H1391" s="355"/>
      <c r="J1391" s="344"/>
      <c r="K1391" s="344"/>
    </row>
    <row r="1392" spans="2:11" s="429" customFormat="1" ht="18" customHeight="1">
      <c r="B1392" s="460"/>
      <c r="C1392" s="440"/>
      <c r="E1392" s="355"/>
      <c r="G1392" s="355"/>
      <c r="H1392" s="355"/>
      <c r="J1392" s="344"/>
      <c r="K1392" s="344"/>
    </row>
    <row r="1393" spans="2:11" s="429" customFormat="1" ht="18" customHeight="1">
      <c r="B1393" s="460"/>
      <c r="C1393" s="440"/>
      <c r="E1393" s="355"/>
      <c r="G1393" s="355"/>
      <c r="H1393" s="355"/>
      <c r="J1393" s="344"/>
      <c r="K1393" s="344"/>
    </row>
    <row r="1394" spans="2:11" s="429" customFormat="1" ht="18" customHeight="1">
      <c r="B1394" s="460"/>
      <c r="C1394" s="440"/>
      <c r="E1394" s="355"/>
      <c r="G1394" s="355"/>
      <c r="H1394" s="355"/>
      <c r="J1394" s="344"/>
      <c r="K1394" s="344"/>
    </row>
    <row r="1395" spans="2:11" s="429" customFormat="1" ht="18" customHeight="1">
      <c r="B1395" s="460"/>
      <c r="C1395" s="440"/>
      <c r="E1395" s="355"/>
      <c r="G1395" s="355"/>
      <c r="H1395" s="355"/>
      <c r="J1395" s="344"/>
      <c r="K1395" s="344"/>
    </row>
    <row r="1396" spans="2:11" s="429" customFormat="1" ht="18" customHeight="1">
      <c r="B1396" s="460"/>
      <c r="C1396" s="440"/>
      <c r="E1396" s="355"/>
      <c r="G1396" s="355"/>
      <c r="H1396" s="355"/>
      <c r="J1396" s="344"/>
      <c r="K1396" s="344"/>
    </row>
    <row r="1397" spans="2:11" s="429" customFormat="1" ht="18" customHeight="1">
      <c r="B1397" s="460"/>
      <c r="C1397" s="440"/>
      <c r="E1397" s="355"/>
      <c r="G1397" s="355"/>
      <c r="H1397" s="355"/>
      <c r="J1397" s="344"/>
      <c r="K1397" s="344"/>
    </row>
    <row r="1398" spans="2:11" s="429" customFormat="1" ht="18" customHeight="1">
      <c r="B1398" s="460"/>
      <c r="C1398" s="440"/>
      <c r="E1398" s="355"/>
      <c r="G1398" s="355"/>
      <c r="H1398" s="355"/>
      <c r="J1398" s="344"/>
      <c r="K1398" s="344"/>
    </row>
    <row r="1399" spans="2:11" s="429" customFormat="1" ht="18" customHeight="1">
      <c r="B1399" s="460"/>
      <c r="C1399" s="440"/>
      <c r="E1399" s="355"/>
      <c r="G1399" s="355"/>
      <c r="H1399" s="355"/>
      <c r="J1399" s="344"/>
      <c r="K1399" s="344"/>
    </row>
    <row r="1400" spans="2:11" s="429" customFormat="1" ht="18" customHeight="1">
      <c r="B1400" s="460"/>
      <c r="C1400" s="440"/>
      <c r="E1400" s="355"/>
      <c r="G1400" s="355"/>
      <c r="H1400" s="355"/>
      <c r="J1400" s="344"/>
      <c r="K1400" s="344"/>
    </row>
    <row r="1401" spans="2:11" s="429" customFormat="1" ht="18" customHeight="1">
      <c r="B1401" s="460"/>
      <c r="C1401" s="440"/>
      <c r="E1401" s="355"/>
      <c r="G1401" s="355"/>
      <c r="H1401" s="355"/>
      <c r="J1401" s="344"/>
      <c r="K1401" s="344"/>
    </row>
    <row r="1402" spans="2:11" s="429" customFormat="1" ht="18" customHeight="1">
      <c r="B1402" s="460"/>
      <c r="C1402" s="440"/>
      <c r="E1402" s="355"/>
      <c r="G1402" s="355"/>
      <c r="H1402" s="355"/>
      <c r="J1402" s="344"/>
      <c r="K1402" s="344"/>
    </row>
    <row r="1403" spans="2:11" s="429" customFormat="1" ht="18" customHeight="1">
      <c r="B1403" s="460"/>
      <c r="C1403" s="440"/>
      <c r="E1403" s="355"/>
      <c r="G1403" s="355"/>
      <c r="H1403" s="355"/>
      <c r="J1403" s="344"/>
      <c r="K1403" s="344"/>
    </row>
    <row r="1404" spans="2:11" s="429" customFormat="1" ht="18" customHeight="1">
      <c r="B1404" s="460"/>
      <c r="C1404" s="440"/>
      <c r="E1404" s="355"/>
      <c r="G1404" s="355"/>
      <c r="H1404" s="355"/>
      <c r="J1404" s="344"/>
      <c r="K1404" s="344"/>
    </row>
    <row r="1405" spans="2:11" s="429" customFormat="1" ht="18" customHeight="1">
      <c r="B1405" s="460"/>
      <c r="C1405" s="440"/>
      <c r="E1405" s="355"/>
      <c r="G1405" s="355"/>
      <c r="H1405" s="355"/>
      <c r="J1405" s="344"/>
      <c r="K1405" s="344"/>
    </row>
    <row r="1406" spans="2:11" s="429" customFormat="1" ht="18" customHeight="1">
      <c r="B1406" s="460"/>
      <c r="C1406" s="440"/>
      <c r="E1406" s="355"/>
      <c r="G1406" s="355"/>
      <c r="H1406" s="355"/>
      <c r="J1406" s="344"/>
      <c r="K1406" s="344"/>
    </row>
    <row r="1407" spans="2:11" s="429" customFormat="1" ht="18" customHeight="1">
      <c r="B1407" s="460"/>
      <c r="C1407" s="440"/>
      <c r="E1407" s="355"/>
      <c r="G1407" s="355"/>
      <c r="H1407" s="355"/>
      <c r="J1407" s="344"/>
      <c r="K1407" s="344"/>
    </row>
    <row r="1408" spans="2:11" s="429" customFormat="1" ht="18" customHeight="1">
      <c r="B1408" s="460"/>
      <c r="C1408" s="440"/>
      <c r="E1408" s="355"/>
      <c r="G1408" s="355"/>
      <c r="H1408" s="355"/>
      <c r="J1408" s="344"/>
      <c r="K1408" s="344"/>
    </row>
    <row r="1409" spans="2:11" s="429" customFormat="1" ht="18" customHeight="1">
      <c r="B1409" s="460"/>
      <c r="C1409" s="440"/>
      <c r="E1409" s="355"/>
      <c r="G1409" s="355"/>
      <c r="H1409" s="355"/>
      <c r="J1409" s="344"/>
      <c r="K1409" s="344"/>
    </row>
    <row r="1410" spans="2:11" s="429" customFormat="1" ht="18" customHeight="1">
      <c r="B1410" s="460"/>
      <c r="C1410" s="440"/>
      <c r="E1410" s="355"/>
      <c r="G1410" s="355"/>
      <c r="H1410" s="355"/>
      <c r="J1410" s="344"/>
      <c r="K1410" s="344"/>
    </row>
    <row r="1411" spans="2:11" s="429" customFormat="1" ht="18" customHeight="1">
      <c r="B1411" s="460"/>
      <c r="C1411" s="440"/>
      <c r="E1411" s="355"/>
      <c r="G1411" s="355"/>
      <c r="H1411" s="355"/>
      <c r="J1411" s="344"/>
      <c r="K1411" s="344"/>
    </row>
    <row r="1412" spans="2:11" s="429" customFormat="1" ht="18" customHeight="1">
      <c r="B1412" s="460"/>
      <c r="C1412" s="440"/>
      <c r="E1412" s="355"/>
      <c r="G1412" s="355"/>
      <c r="H1412" s="355"/>
      <c r="J1412" s="344"/>
      <c r="K1412" s="344"/>
    </row>
    <row r="1413" spans="2:11" s="429" customFormat="1" ht="18" customHeight="1">
      <c r="B1413" s="460"/>
      <c r="C1413" s="440"/>
      <c r="E1413" s="355"/>
      <c r="G1413" s="355"/>
      <c r="H1413" s="355"/>
      <c r="J1413" s="344"/>
      <c r="K1413" s="344"/>
    </row>
    <row r="1414" spans="2:11" s="429" customFormat="1" ht="18" customHeight="1">
      <c r="B1414" s="460"/>
      <c r="C1414" s="440"/>
      <c r="E1414" s="355"/>
      <c r="G1414" s="355"/>
      <c r="H1414" s="355"/>
      <c r="J1414" s="344"/>
      <c r="K1414" s="344"/>
    </row>
    <row r="1415" spans="2:11" s="429" customFormat="1" ht="18" customHeight="1">
      <c r="B1415" s="460"/>
      <c r="C1415" s="440"/>
      <c r="E1415" s="355"/>
      <c r="G1415" s="355"/>
      <c r="H1415" s="355"/>
      <c r="J1415" s="344"/>
      <c r="K1415" s="344"/>
    </row>
    <row r="1416" spans="2:11" s="429" customFormat="1" ht="18" customHeight="1">
      <c r="B1416" s="460"/>
      <c r="C1416" s="440"/>
      <c r="E1416" s="355"/>
      <c r="G1416" s="355"/>
      <c r="H1416" s="355"/>
      <c r="J1416" s="344"/>
      <c r="K1416" s="344"/>
    </row>
    <row r="1417" spans="2:11" s="429" customFormat="1" ht="18" customHeight="1">
      <c r="B1417" s="460"/>
      <c r="C1417" s="440"/>
      <c r="E1417" s="355"/>
      <c r="G1417" s="355"/>
      <c r="H1417" s="355"/>
      <c r="J1417" s="344"/>
      <c r="K1417" s="344"/>
    </row>
    <row r="1418" spans="2:11" s="429" customFormat="1" ht="18" customHeight="1">
      <c r="B1418" s="460"/>
      <c r="C1418" s="440"/>
      <c r="E1418" s="355"/>
      <c r="G1418" s="355"/>
      <c r="H1418" s="355"/>
      <c r="J1418" s="344"/>
      <c r="K1418" s="344"/>
    </row>
    <row r="1419" spans="2:11" s="429" customFormat="1" ht="18" customHeight="1">
      <c r="B1419" s="460"/>
      <c r="C1419" s="440"/>
      <c r="E1419" s="355"/>
      <c r="G1419" s="355"/>
      <c r="H1419" s="355"/>
      <c r="J1419" s="344"/>
      <c r="K1419" s="344"/>
    </row>
    <row r="1420" spans="2:11" s="429" customFormat="1" ht="18" customHeight="1">
      <c r="B1420" s="460"/>
      <c r="C1420" s="440"/>
      <c r="E1420" s="355"/>
      <c r="G1420" s="355"/>
      <c r="H1420" s="355"/>
      <c r="J1420" s="344"/>
      <c r="K1420" s="344"/>
    </row>
    <row r="1421" spans="2:11" s="429" customFormat="1" ht="18" customHeight="1">
      <c r="B1421" s="460"/>
      <c r="C1421" s="440"/>
      <c r="E1421" s="355"/>
      <c r="G1421" s="355"/>
      <c r="H1421" s="355"/>
      <c r="J1421" s="344"/>
      <c r="K1421" s="344"/>
    </row>
    <row r="1422" spans="2:11" s="429" customFormat="1" ht="18" customHeight="1">
      <c r="B1422" s="460"/>
      <c r="C1422" s="440"/>
      <c r="E1422" s="355"/>
      <c r="G1422" s="355"/>
      <c r="H1422" s="355"/>
      <c r="J1422" s="344"/>
      <c r="K1422" s="344"/>
    </row>
    <row r="1423" spans="2:11" s="429" customFormat="1" ht="18" customHeight="1">
      <c r="B1423" s="460"/>
      <c r="C1423" s="440"/>
      <c r="E1423" s="355"/>
      <c r="G1423" s="355"/>
      <c r="H1423" s="355"/>
      <c r="J1423" s="344"/>
      <c r="K1423" s="344"/>
    </row>
    <row r="1424" spans="2:11" s="429" customFormat="1" ht="18" customHeight="1">
      <c r="B1424" s="460"/>
      <c r="C1424" s="440"/>
      <c r="E1424" s="355"/>
      <c r="G1424" s="355"/>
      <c r="H1424" s="355"/>
      <c r="J1424" s="344"/>
      <c r="K1424" s="344"/>
    </row>
    <row r="1425" spans="2:11" s="429" customFormat="1" ht="18" customHeight="1">
      <c r="B1425" s="460"/>
      <c r="C1425" s="440"/>
      <c r="E1425" s="355"/>
      <c r="G1425" s="355"/>
      <c r="H1425" s="355"/>
      <c r="J1425" s="344"/>
      <c r="K1425" s="344"/>
    </row>
    <row r="1426" spans="2:11" s="429" customFormat="1" ht="18" customHeight="1">
      <c r="B1426" s="460"/>
      <c r="C1426" s="440"/>
      <c r="E1426" s="355"/>
      <c r="G1426" s="355"/>
      <c r="H1426" s="355"/>
      <c r="J1426" s="344"/>
      <c r="K1426" s="344"/>
    </row>
    <row r="1427" spans="2:11" s="429" customFormat="1" ht="18" customHeight="1">
      <c r="B1427" s="460"/>
      <c r="C1427" s="440"/>
      <c r="E1427" s="355"/>
      <c r="G1427" s="355"/>
      <c r="H1427" s="355"/>
      <c r="J1427" s="344"/>
      <c r="K1427" s="344"/>
    </row>
    <row r="1428" spans="2:11" s="429" customFormat="1" ht="18" customHeight="1">
      <c r="B1428" s="460"/>
      <c r="C1428" s="440"/>
      <c r="E1428" s="355"/>
      <c r="G1428" s="355"/>
      <c r="H1428" s="355"/>
      <c r="J1428" s="344"/>
      <c r="K1428" s="344"/>
    </row>
    <row r="1429" spans="2:11" s="429" customFormat="1" ht="18" customHeight="1">
      <c r="B1429" s="460"/>
      <c r="C1429" s="440"/>
      <c r="E1429" s="355"/>
      <c r="G1429" s="355"/>
      <c r="H1429" s="355"/>
      <c r="J1429" s="344"/>
      <c r="K1429" s="344"/>
    </row>
    <row r="1430" spans="2:11" s="429" customFormat="1" ht="18" customHeight="1">
      <c r="B1430" s="460"/>
      <c r="C1430" s="440"/>
      <c r="E1430" s="355"/>
      <c r="G1430" s="355"/>
      <c r="H1430" s="355"/>
      <c r="J1430" s="344"/>
      <c r="K1430" s="344"/>
    </row>
    <row r="1431" spans="2:11" s="429" customFormat="1" ht="18" customHeight="1">
      <c r="B1431" s="460"/>
      <c r="C1431" s="440"/>
      <c r="E1431" s="355"/>
      <c r="G1431" s="355"/>
      <c r="H1431" s="355"/>
      <c r="J1431" s="344"/>
      <c r="K1431" s="344"/>
    </row>
    <row r="1432" spans="2:11" s="429" customFormat="1" ht="18" customHeight="1">
      <c r="B1432" s="460"/>
      <c r="C1432" s="440"/>
      <c r="E1432" s="355"/>
      <c r="G1432" s="355"/>
      <c r="H1432" s="355"/>
      <c r="J1432" s="344"/>
      <c r="K1432" s="344"/>
    </row>
    <row r="1433" spans="2:11" s="429" customFormat="1" ht="18" customHeight="1">
      <c r="B1433" s="460"/>
      <c r="C1433" s="440"/>
      <c r="E1433" s="355"/>
      <c r="G1433" s="355"/>
      <c r="H1433" s="355"/>
      <c r="J1433" s="344"/>
      <c r="K1433" s="344"/>
    </row>
    <row r="1434" spans="2:11" s="429" customFormat="1" ht="18" customHeight="1">
      <c r="B1434" s="460"/>
      <c r="C1434" s="440"/>
      <c r="E1434" s="355"/>
      <c r="G1434" s="355"/>
      <c r="H1434" s="355"/>
      <c r="J1434" s="344"/>
      <c r="K1434" s="344"/>
    </row>
    <row r="1435" spans="2:11" s="429" customFormat="1" ht="18" customHeight="1">
      <c r="B1435" s="460"/>
      <c r="C1435" s="440"/>
      <c r="E1435" s="355"/>
      <c r="G1435" s="355"/>
      <c r="H1435" s="355"/>
      <c r="J1435" s="344"/>
      <c r="K1435" s="344"/>
    </row>
    <row r="1436" spans="2:11" s="429" customFormat="1" ht="18" customHeight="1">
      <c r="B1436" s="460"/>
      <c r="C1436" s="440"/>
      <c r="E1436" s="355"/>
      <c r="G1436" s="355"/>
      <c r="H1436" s="355"/>
      <c r="J1436" s="344"/>
      <c r="K1436" s="344"/>
    </row>
    <row r="1437" spans="2:11" s="429" customFormat="1" ht="18" customHeight="1">
      <c r="B1437" s="460"/>
      <c r="C1437" s="440"/>
      <c r="E1437" s="355"/>
      <c r="G1437" s="355"/>
      <c r="H1437" s="355"/>
      <c r="J1437" s="344"/>
      <c r="K1437" s="344"/>
    </row>
    <row r="1438" spans="2:11" s="429" customFormat="1" ht="18" customHeight="1">
      <c r="B1438" s="460"/>
      <c r="C1438" s="440"/>
      <c r="E1438" s="355"/>
      <c r="G1438" s="355"/>
      <c r="H1438" s="355"/>
      <c r="J1438" s="344"/>
      <c r="K1438" s="344"/>
    </row>
    <row r="1439" spans="2:11" s="429" customFormat="1" ht="18" customHeight="1">
      <c r="B1439" s="460"/>
      <c r="C1439" s="440"/>
      <c r="E1439" s="355"/>
      <c r="G1439" s="355"/>
      <c r="H1439" s="355"/>
      <c r="J1439" s="344"/>
      <c r="K1439" s="344"/>
    </row>
    <row r="1440" spans="2:11" s="429" customFormat="1" ht="18" customHeight="1">
      <c r="B1440" s="460"/>
      <c r="C1440" s="440"/>
      <c r="E1440" s="355"/>
      <c r="G1440" s="355"/>
      <c r="H1440" s="355"/>
      <c r="J1440" s="344"/>
      <c r="K1440" s="344"/>
    </row>
    <row r="1441" spans="2:11" s="429" customFormat="1" ht="18" customHeight="1">
      <c r="B1441" s="460"/>
      <c r="C1441" s="440"/>
      <c r="E1441" s="355"/>
      <c r="G1441" s="355"/>
      <c r="H1441" s="355"/>
      <c r="J1441" s="344"/>
      <c r="K1441" s="344"/>
    </row>
    <row r="1442" spans="2:11" s="429" customFormat="1" ht="18" customHeight="1">
      <c r="B1442" s="460"/>
      <c r="C1442" s="440"/>
      <c r="E1442" s="355"/>
      <c r="G1442" s="355"/>
      <c r="H1442" s="355"/>
      <c r="J1442" s="344"/>
      <c r="K1442" s="344"/>
    </row>
    <row r="1443" spans="2:11" s="429" customFormat="1" ht="18" customHeight="1">
      <c r="B1443" s="460"/>
      <c r="C1443" s="440"/>
      <c r="E1443" s="355"/>
      <c r="G1443" s="355"/>
      <c r="H1443" s="355"/>
      <c r="J1443" s="344"/>
      <c r="K1443" s="344"/>
    </row>
    <row r="1444" spans="2:11" s="429" customFormat="1" ht="18" customHeight="1">
      <c r="B1444" s="460"/>
      <c r="C1444" s="440"/>
      <c r="E1444" s="355"/>
      <c r="G1444" s="355"/>
      <c r="H1444" s="355"/>
      <c r="J1444" s="344"/>
      <c r="K1444" s="344"/>
    </row>
    <row r="1445" spans="2:11" s="429" customFormat="1" ht="18" customHeight="1">
      <c r="B1445" s="460"/>
      <c r="C1445" s="440"/>
      <c r="E1445" s="355"/>
      <c r="G1445" s="355"/>
      <c r="H1445" s="355"/>
      <c r="J1445" s="344"/>
      <c r="K1445" s="344"/>
    </row>
    <row r="1446" spans="2:11" s="429" customFormat="1" ht="18" customHeight="1">
      <c r="B1446" s="460"/>
      <c r="C1446" s="440"/>
      <c r="E1446" s="355"/>
      <c r="G1446" s="355"/>
      <c r="H1446" s="355"/>
      <c r="J1446" s="344"/>
      <c r="K1446" s="344"/>
    </row>
    <row r="1447" spans="2:11" s="429" customFormat="1" ht="18" customHeight="1">
      <c r="B1447" s="460"/>
      <c r="C1447" s="440"/>
      <c r="E1447" s="355"/>
      <c r="G1447" s="355"/>
      <c r="H1447" s="355"/>
      <c r="J1447" s="344"/>
      <c r="K1447" s="344"/>
    </row>
    <row r="1448" spans="2:11" s="429" customFormat="1" ht="18" customHeight="1">
      <c r="B1448" s="460"/>
      <c r="C1448" s="440"/>
      <c r="E1448" s="355"/>
      <c r="G1448" s="355"/>
      <c r="H1448" s="355"/>
      <c r="J1448" s="344"/>
      <c r="K1448" s="344"/>
    </row>
    <row r="1449" spans="2:11" s="429" customFormat="1" ht="18" customHeight="1">
      <c r="B1449" s="460"/>
      <c r="C1449" s="440"/>
      <c r="E1449" s="355"/>
      <c r="G1449" s="355"/>
      <c r="H1449" s="355"/>
      <c r="J1449" s="344"/>
      <c r="K1449" s="344"/>
    </row>
    <row r="1450" spans="2:11" s="429" customFormat="1" ht="18" customHeight="1">
      <c r="B1450" s="460"/>
      <c r="C1450" s="440"/>
      <c r="E1450" s="355"/>
      <c r="G1450" s="355"/>
      <c r="H1450" s="355"/>
      <c r="J1450" s="344"/>
      <c r="K1450" s="344"/>
    </row>
    <row r="1451" spans="2:11" s="429" customFormat="1" ht="18" customHeight="1">
      <c r="B1451" s="460"/>
      <c r="C1451" s="440"/>
      <c r="E1451" s="355"/>
      <c r="G1451" s="355"/>
      <c r="H1451" s="355"/>
      <c r="J1451" s="344"/>
      <c r="K1451" s="344"/>
    </row>
    <row r="1452" spans="2:11" s="429" customFormat="1" ht="18" customHeight="1">
      <c r="B1452" s="460"/>
      <c r="C1452" s="440"/>
      <c r="E1452" s="355"/>
      <c r="G1452" s="355"/>
      <c r="H1452" s="355"/>
      <c r="J1452" s="344"/>
      <c r="K1452" s="344"/>
    </row>
    <row r="1453" spans="2:11" s="429" customFormat="1" ht="18" customHeight="1">
      <c r="B1453" s="460"/>
      <c r="C1453" s="440"/>
      <c r="E1453" s="355"/>
      <c r="G1453" s="355"/>
      <c r="H1453" s="355"/>
      <c r="J1453" s="344"/>
      <c r="K1453" s="344"/>
    </row>
    <row r="1454" spans="2:11" s="429" customFormat="1" ht="18" customHeight="1">
      <c r="B1454" s="460"/>
      <c r="C1454" s="440"/>
      <c r="E1454" s="355"/>
      <c r="G1454" s="355"/>
      <c r="H1454" s="355"/>
      <c r="J1454" s="344"/>
      <c r="K1454" s="344"/>
    </row>
    <row r="1455" spans="2:11" s="429" customFormat="1" ht="18" customHeight="1">
      <c r="B1455" s="460"/>
      <c r="C1455" s="440"/>
      <c r="E1455" s="355"/>
      <c r="G1455" s="355"/>
      <c r="H1455" s="355"/>
      <c r="J1455" s="344"/>
      <c r="K1455" s="344"/>
    </row>
    <row r="1456" spans="2:11" s="429" customFormat="1" ht="18" customHeight="1">
      <c r="B1456" s="460"/>
      <c r="C1456" s="440"/>
      <c r="E1456" s="355"/>
      <c r="G1456" s="355"/>
      <c r="H1456" s="355"/>
      <c r="J1456" s="344"/>
      <c r="K1456" s="344"/>
    </row>
    <row r="1457" spans="2:11" s="429" customFormat="1" ht="18" customHeight="1">
      <c r="B1457" s="460"/>
      <c r="C1457" s="440"/>
      <c r="E1457" s="355"/>
      <c r="G1457" s="355"/>
      <c r="H1457" s="355"/>
      <c r="J1457" s="344"/>
      <c r="K1457" s="344"/>
    </row>
    <row r="1458" spans="2:11" s="429" customFormat="1" ht="18" customHeight="1">
      <c r="B1458" s="460"/>
      <c r="C1458" s="440"/>
      <c r="E1458" s="355"/>
      <c r="G1458" s="355"/>
      <c r="H1458" s="355"/>
      <c r="J1458" s="344"/>
      <c r="K1458" s="344"/>
    </row>
    <row r="1459" spans="2:11" s="429" customFormat="1" ht="18" customHeight="1">
      <c r="B1459" s="460"/>
      <c r="C1459" s="440"/>
      <c r="E1459" s="355"/>
      <c r="G1459" s="355"/>
      <c r="H1459" s="355"/>
      <c r="J1459" s="344"/>
      <c r="K1459" s="344"/>
    </row>
    <row r="1460" spans="2:11" s="429" customFormat="1" ht="18" customHeight="1">
      <c r="B1460" s="460"/>
      <c r="C1460" s="440"/>
      <c r="E1460" s="355"/>
      <c r="G1460" s="355"/>
      <c r="H1460" s="355"/>
      <c r="J1460" s="344"/>
      <c r="K1460" s="344"/>
    </row>
    <row r="1461" spans="2:11" s="429" customFormat="1" ht="18" customHeight="1">
      <c r="B1461" s="460"/>
      <c r="C1461" s="440"/>
      <c r="E1461" s="355"/>
      <c r="G1461" s="355"/>
      <c r="H1461" s="355"/>
      <c r="J1461" s="344"/>
      <c r="K1461" s="344"/>
    </row>
    <row r="1462" spans="2:11" s="429" customFormat="1" ht="18" customHeight="1">
      <c r="B1462" s="460"/>
      <c r="C1462" s="440"/>
      <c r="E1462" s="355"/>
      <c r="G1462" s="355"/>
      <c r="H1462" s="355"/>
      <c r="J1462" s="344"/>
      <c r="K1462" s="344"/>
    </row>
    <row r="1463" spans="2:11" s="429" customFormat="1" ht="18" customHeight="1">
      <c r="B1463" s="460"/>
      <c r="C1463" s="440"/>
      <c r="E1463" s="355"/>
      <c r="G1463" s="355"/>
      <c r="H1463" s="355"/>
      <c r="J1463" s="344"/>
      <c r="K1463" s="344"/>
    </row>
    <row r="1464" spans="2:11" s="429" customFormat="1" ht="18" customHeight="1">
      <c r="B1464" s="460"/>
      <c r="C1464" s="440"/>
      <c r="E1464" s="355"/>
      <c r="G1464" s="355"/>
      <c r="H1464" s="355"/>
      <c r="J1464" s="344"/>
      <c r="K1464" s="344"/>
    </row>
    <row r="1465" spans="2:11" s="429" customFormat="1" ht="18" customHeight="1">
      <c r="B1465" s="460"/>
      <c r="C1465" s="440"/>
      <c r="E1465" s="355"/>
      <c r="G1465" s="355"/>
      <c r="H1465" s="355"/>
      <c r="J1465" s="344"/>
      <c r="K1465" s="344"/>
    </row>
    <row r="1466" spans="2:11" s="429" customFormat="1" ht="18" customHeight="1">
      <c r="B1466" s="460"/>
      <c r="C1466" s="440"/>
      <c r="E1466" s="355"/>
      <c r="G1466" s="355"/>
      <c r="H1466" s="355"/>
      <c r="J1466" s="344"/>
      <c r="K1466" s="344"/>
    </row>
    <row r="1467" spans="2:11" s="429" customFormat="1" ht="18" customHeight="1">
      <c r="B1467" s="460"/>
      <c r="C1467" s="440"/>
      <c r="E1467" s="355"/>
      <c r="G1467" s="355"/>
      <c r="H1467" s="355"/>
      <c r="J1467" s="344"/>
      <c r="K1467" s="344"/>
    </row>
    <row r="1468" spans="2:11" s="429" customFormat="1" ht="18" customHeight="1">
      <c r="B1468" s="460"/>
      <c r="C1468" s="440"/>
      <c r="E1468" s="355"/>
      <c r="G1468" s="355"/>
      <c r="H1468" s="355"/>
      <c r="J1468" s="344"/>
      <c r="K1468" s="344"/>
    </row>
    <row r="1469" spans="2:11" s="429" customFormat="1" ht="18" customHeight="1">
      <c r="B1469" s="460"/>
      <c r="C1469" s="440"/>
      <c r="E1469" s="355"/>
      <c r="G1469" s="355"/>
      <c r="H1469" s="355"/>
      <c r="J1469" s="344"/>
      <c r="K1469" s="344"/>
    </row>
    <row r="1470" spans="2:11" s="429" customFormat="1" ht="18" customHeight="1">
      <c r="B1470" s="460"/>
      <c r="C1470" s="440"/>
      <c r="E1470" s="355"/>
      <c r="G1470" s="355"/>
      <c r="H1470" s="355"/>
      <c r="J1470" s="344"/>
      <c r="K1470" s="344"/>
    </row>
    <row r="1471" spans="2:11" s="429" customFormat="1" ht="18" customHeight="1">
      <c r="B1471" s="460"/>
      <c r="C1471" s="440"/>
      <c r="E1471" s="355"/>
      <c r="G1471" s="355"/>
      <c r="H1471" s="355"/>
      <c r="J1471" s="344"/>
      <c r="K1471" s="344"/>
    </row>
    <row r="1472" spans="2:11" s="429" customFormat="1" ht="18" customHeight="1">
      <c r="B1472" s="460"/>
      <c r="C1472" s="440"/>
      <c r="E1472" s="355"/>
      <c r="G1472" s="355"/>
      <c r="H1472" s="355"/>
      <c r="J1472" s="344"/>
      <c r="K1472" s="344"/>
    </row>
    <row r="1473" spans="2:11" s="429" customFormat="1" ht="18" customHeight="1">
      <c r="B1473" s="460"/>
      <c r="C1473" s="440"/>
      <c r="E1473" s="355"/>
      <c r="G1473" s="355"/>
      <c r="H1473" s="355"/>
      <c r="J1473" s="344"/>
      <c r="K1473" s="344"/>
    </row>
    <row r="1474" spans="2:11" s="429" customFormat="1" ht="18" customHeight="1">
      <c r="B1474" s="460"/>
      <c r="C1474" s="440"/>
      <c r="E1474" s="355"/>
      <c r="G1474" s="355"/>
      <c r="H1474" s="355"/>
      <c r="J1474" s="344"/>
      <c r="K1474" s="344"/>
    </row>
    <row r="1475" spans="2:11" s="429" customFormat="1" ht="18" customHeight="1">
      <c r="B1475" s="460"/>
      <c r="C1475" s="440"/>
      <c r="E1475" s="355"/>
      <c r="G1475" s="355"/>
      <c r="H1475" s="355"/>
      <c r="J1475" s="344"/>
      <c r="K1475" s="344"/>
    </row>
    <row r="1476" spans="2:11" s="429" customFormat="1" ht="18" customHeight="1">
      <c r="B1476" s="460"/>
      <c r="C1476" s="440"/>
      <c r="E1476" s="355"/>
      <c r="G1476" s="355"/>
      <c r="H1476" s="355"/>
      <c r="J1476" s="344"/>
      <c r="K1476" s="344"/>
    </row>
    <row r="1477" spans="2:11" s="429" customFormat="1" ht="18" customHeight="1">
      <c r="B1477" s="460"/>
      <c r="C1477" s="440"/>
      <c r="E1477" s="355"/>
      <c r="G1477" s="355"/>
      <c r="H1477" s="355"/>
      <c r="J1477" s="344"/>
      <c r="K1477" s="344"/>
    </row>
    <row r="1478" spans="2:11" s="429" customFormat="1" ht="18" customHeight="1">
      <c r="B1478" s="460"/>
      <c r="C1478" s="440"/>
      <c r="E1478" s="355"/>
      <c r="G1478" s="355"/>
      <c r="H1478" s="355"/>
      <c r="J1478" s="344"/>
      <c r="K1478" s="344"/>
    </row>
    <row r="1479" spans="2:11" s="429" customFormat="1" ht="18" customHeight="1">
      <c r="B1479" s="460"/>
      <c r="C1479" s="440"/>
      <c r="E1479" s="355"/>
      <c r="G1479" s="355"/>
      <c r="H1479" s="355"/>
      <c r="J1479" s="344"/>
      <c r="K1479" s="344"/>
    </row>
    <row r="1480" spans="2:11" s="429" customFormat="1" ht="18" customHeight="1">
      <c r="B1480" s="460"/>
      <c r="C1480" s="440"/>
      <c r="E1480" s="355"/>
      <c r="G1480" s="355"/>
      <c r="H1480" s="355"/>
      <c r="J1480" s="344"/>
      <c r="K1480" s="344"/>
    </row>
    <row r="1481" spans="2:11" s="429" customFormat="1" ht="18" customHeight="1">
      <c r="B1481" s="460"/>
      <c r="C1481" s="440"/>
      <c r="E1481" s="355"/>
      <c r="G1481" s="355"/>
      <c r="H1481" s="355"/>
      <c r="J1481" s="344"/>
      <c r="K1481" s="344"/>
    </row>
    <row r="1482" spans="2:11" s="429" customFormat="1" ht="18" customHeight="1">
      <c r="B1482" s="460"/>
      <c r="C1482" s="440"/>
      <c r="E1482" s="355"/>
      <c r="G1482" s="355"/>
      <c r="H1482" s="355"/>
      <c r="J1482" s="344"/>
      <c r="K1482" s="344"/>
    </row>
    <row r="1483" spans="2:11" s="429" customFormat="1" ht="18" customHeight="1">
      <c r="B1483" s="460"/>
      <c r="C1483" s="440"/>
      <c r="E1483" s="355"/>
      <c r="G1483" s="355"/>
      <c r="H1483" s="355"/>
      <c r="J1483" s="344"/>
      <c r="K1483" s="344"/>
    </row>
    <row r="1484" spans="2:11" s="429" customFormat="1" ht="18" customHeight="1">
      <c r="B1484" s="460"/>
      <c r="C1484" s="440"/>
      <c r="E1484" s="355"/>
      <c r="G1484" s="355"/>
      <c r="H1484" s="355"/>
      <c r="J1484" s="344"/>
      <c r="K1484" s="344"/>
    </row>
    <row r="1485" spans="2:11" s="429" customFormat="1" ht="18" customHeight="1">
      <c r="B1485" s="460"/>
      <c r="C1485" s="440"/>
      <c r="E1485" s="355"/>
      <c r="G1485" s="355"/>
      <c r="H1485" s="355"/>
      <c r="J1485" s="344"/>
      <c r="K1485" s="344"/>
    </row>
    <row r="1486" spans="2:11" s="429" customFormat="1" ht="18" customHeight="1">
      <c r="B1486" s="460"/>
      <c r="C1486" s="440"/>
      <c r="E1486" s="355"/>
      <c r="G1486" s="355"/>
      <c r="H1486" s="355"/>
      <c r="J1486" s="344"/>
      <c r="K1486" s="344"/>
    </row>
    <row r="1487" spans="2:11" s="429" customFormat="1" ht="18" customHeight="1">
      <c r="B1487" s="460"/>
      <c r="C1487" s="440"/>
      <c r="E1487" s="355"/>
      <c r="G1487" s="355"/>
      <c r="H1487" s="355"/>
      <c r="J1487" s="344"/>
      <c r="K1487" s="344"/>
    </row>
    <row r="1488" spans="2:11" s="429" customFormat="1" ht="18" customHeight="1">
      <c r="B1488" s="460"/>
      <c r="C1488" s="440"/>
      <c r="E1488" s="355"/>
      <c r="G1488" s="355"/>
      <c r="H1488" s="355"/>
      <c r="J1488" s="344"/>
      <c r="K1488" s="344"/>
    </row>
    <row r="1489" spans="2:11" s="429" customFormat="1" ht="18" customHeight="1">
      <c r="B1489" s="460"/>
      <c r="C1489" s="440"/>
      <c r="E1489" s="355"/>
      <c r="G1489" s="355"/>
      <c r="H1489" s="355"/>
      <c r="J1489" s="344"/>
      <c r="K1489" s="344"/>
    </row>
    <row r="1490" spans="2:11" s="429" customFormat="1" ht="18" customHeight="1">
      <c r="B1490" s="460"/>
      <c r="C1490" s="440"/>
      <c r="E1490" s="355"/>
      <c r="G1490" s="355"/>
      <c r="H1490" s="355"/>
      <c r="J1490" s="344"/>
      <c r="K1490" s="344"/>
    </row>
    <row r="1491" spans="2:11" s="429" customFormat="1" ht="18" customHeight="1">
      <c r="B1491" s="460"/>
      <c r="C1491" s="440"/>
      <c r="E1491" s="355"/>
      <c r="G1491" s="355"/>
      <c r="H1491" s="355"/>
      <c r="J1491" s="344"/>
      <c r="K1491" s="344"/>
    </row>
    <row r="1492" spans="2:11" s="429" customFormat="1" ht="18" customHeight="1">
      <c r="B1492" s="460"/>
      <c r="C1492" s="440"/>
      <c r="E1492" s="355"/>
      <c r="G1492" s="355"/>
      <c r="H1492" s="355"/>
      <c r="J1492" s="344"/>
      <c r="K1492" s="344"/>
    </row>
    <row r="1493" spans="2:11" s="429" customFormat="1" ht="18" customHeight="1">
      <c r="B1493" s="460"/>
      <c r="C1493" s="440"/>
      <c r="E1493" s="355"/>
      <c r="G1493" s="355"/>
      <c r="H1493" s="355"/>
      <c r="J1493" s="344"/>
      <c r="K1493" s="344"/>
    </row>
    <row r="1494" spans="2:11" s="429" customFormat="1" ht="18" customHeight="1">
      <c r="B1494" s="460"/>
      <c r="C1494" s="440"/>
      <c r="E1494" s="355"/>
      <c r="G1494" s="355"/>
      <c r="H1494" s="355"/>
      <c r="J1494" s="344"/>
      <c r="K1494" s="344"/>
    </row>
    <row r="1495" spans="2:11" s="429" customFormat="1" ht="18" customHeight="1">
      <c r="B1495" s="460"/>
      <c r="C1495" s="440"/>
      <c r="E1495" s="355"/>
      <c r="G1495" s="355"/>
      <c r="H1495" s="355"/>
      <c r="J1495" s="344"/>
      <c r="K1495" s="344"/>
    </row>
    <row r="1496" spans="2:11" s="429" customFormat="1" ht="18" customHeight="1">
      <c r="B1496" s="460"/>
      <c r="C1496" s="440"/>
      <c r="E1496" s="355"/>
      <c r="G1496" s="355"/>
      <c r="H1496" s="355"/>
      <c r="J1496" s="344"/>
      <c r="K1496" s="344"/>
    </row>
    <row r="1497" spans="2:11" s="429" customFormat="1" ht="18" customHeight="1">
      <c r="B1497" s="460"/>
      <c r="C1497" s="440"/>
      <c r="E1497" s="355"/>
      <c r="G1497" s="355"/>
      <c r="H1497" s="355"/>
      <c r="J1497" s="344"/>
      <c r="K1497" s="344"/>
    </row>
    <row r="1498" spans="2:11" s="429" customFormat="1" ht="18" customHeight="1">
      <c r="B1498" s="460"/>
      <c r="C1498" s="440"/>
      <c r="E1498" s="355"/>
      <c r="G1498" s="355"/>
      <c r="H1498" s="355"/>
      <c r="J1498" s="344"/>
      <c r="K1498" s="344"/>
    </row>
    <row r="1499" spans="2:11" s="429" customFormat="1" ht="18" customHeight="1">
      <c r="B1499" s="460"/>
      <c r="C1499" s="440"/>
      <c r="E1499" s="355"/>
      <c r="G1499" s="355"/>
      <c r="H1499" s="355"/>
      <c r="J1499" s="344"/>
      <c r="K1499" s="344"/>
    </row>
    <row r="1500" spans="2:11" s="429" customFormat="1" ht="18" customHeight="1">
      <c r="B1500" s="460"/>
      <c r="C1500" s="440"/>
      <c r="E1500" s="355"/>
      <c r="G1500" s="355"/>
      <c r="H1500" s="355"/>
      <c r="J1500" s="344"/>
      <c r="K1500" s="344"/>
    </row>
    <row r="1501" spans="2:11" s="429" customFormat="1" ht="18" customHeight="1">
      <c r="B1501" s="460"/>
      <c r="C1501" s="440"/>
      <c r="E1501" s="355"/>
      <c r="G1501" s="355"/>
      <c r="H1501" s="355"/>
      <c r="J1501" s="344"/>
      <c r="K1501" s="344"/>
    </row>
    <row r="1502" spans="2:11" s="429" customFormat="1" ht="18" customHeight="1">
      <c r="B1502" s="460"/>
      <c r="C1502" s="440"/>
      <c r="E1502" s="355"/>
      <c r="G1502" s="355"/>
      <c r="H1502" s="355"/>
      <c r="J1502" s="344"/>
      <c r="K1502" s="344"/>
    </row>
    <row r="1503" spans="2:11" s="429" customFormat="1" ht="18" customHeight="1">
      <c r="B1503" s="460"/>
      <c r="C1503" s="440"/>
      <c r="E1503" s="355"/>
      <c r="G1503" s="355"/>
      <c r="H1503" s="355"/>
      <c r="J1503" s="344"/>
      <c r="K1503" s="344"/>
    </row>
    <row r="1504" spans="2:11" s="429" customFormat="1" ht="18" customHeight="1">
      <c r="B1504" s="460"/>
      <c r="C1504" s="440"/>
      <c r="E1504" s="355"/>
      <c r="G1504" s="355"/>
      <c r="H1504" s="355"/>
      <c r="J1504" s="344"/>
      <c r="K1504" s="344"/>
    </row>
    <row r="1505" spans="2:11" s="429" customFormat="1" ht="18" customHeight="1">
      <c r="B1505" s="460"/>
      <c r="C1505" s="440"/>
      <c r="E1505" s="355"/>
      <c r="G1505" s="355"/>
      <c r="H1505" s="355"/>
      <c r="J1505" s="344"/>
      <c r="K1505" s="344"/>
    </row>
    <row r="1506" spans="2:11" s="429" customFormat="1" ht="18" customHeight="1">
      <c r="B1506" s="460"/>
      <c r="C1506" s="440"/>
      <c r="E1506" s="355"/>
      <c r="G1506" s="355"/>
      <c r="H1506" s="355"/>
      <c r="J1506" s="344"/>
      <c r="K1506" s="344"/>
    </row>
    <row r="1507" spans="2:11" s="429" customFormat="1" ht="18" customHeight="1">
      <c r="B1507" s="460"/>
      <c r="C1507" s="440"/>
      <c r="E1507" s="355"/>
      <c r="G1507" s="355"/>
      <c r="H1507" s="355"/>
      <c r="J1507" s="344"/>
      <c r="K1507" s="344"/>
    </row>
    <row r="1508" spans="2:11" s="429" customFormat="1" ht="18" customHeight="1">
      <c r="B1508" s="460"/>
      <c r="C1508" s="440"/>
      <c r="E1508" s="355"/>
      <c r="G1508" s="355"/>
      <c r="H1508" s="355"/>
      <c r="J1508" s="344"/>
      <c r="K1508" s="344"/>
    </row>
    <row r="1509" spans="2:11" s="429" customFormat="1" ht="18" customHeight="1">
      <c r="B1509" s="460"/>
      <c r="C1509" s="440"/>
      <c r="E1509" s="355"/>
      <c r="G1509" s="355"/>
      <c r="H1509" s="355"/>
      <c r="J1509" s="344"/>
      <c r="K1509" s="344"/>
    </row>
    <row r="1510" spans="2:11" s="429" customFormat="1" ht="18" customHeight="1">
      <c r="B1510" s="460"/>
      <c r="C1510" s="440"/>
      <c r="E1510" s="355"/>
      <c r="G1510" s="355"/>
      <c r="H1510" s="355"/>
      <c r="J1510" s="344"/>
      <c r="K1510" s="344"/>
    </row>
    <row r="1511" spans="2:11" s="429" customFormat="1" ht="18" customHeight="1">
      <c r="B1511" s="460"/>
      <c r="C1511" s="440"/>
      <c r="E1511" s="355"/>
      <c r="G1511" s="355"/>
      <c r="H1511" s="355"/>
      <c r="J1511" s="344"/>
      <c r="K1511" s="344"/>
    </row>
    <row r="1512" spans="2:11" s="429" customFormat="1" ht="18" customHeight="1">
      <c r="B1512" s="460"/>
      <c r="C1512" s="440"/>
      <c r="E1512" s="355"/>
      <c r="G1512" s="355"/>
      <c r="H1512" s="355"/>
      <c r="J1512" s="344"/>
      <c r="K1512" s="344"/>
    </row>
    <row r="1513" spans="2:11" s="429" customFormat="1" ht="18" customHeight="1">
      <c r="B1513" s="460"/>
      <c r="C1513" s="440"/>
      <c r="E1513" s="355"/>
      <c r="G1513" s="355"/>
      <c r="H1513" s="355"/>
      <c r="J1513" s="344"/>
      <c r="K1513" s="344"/>
    </row>
    <row r="1514" spans="2:11" s="429" customFormat="1" ht="18" customHeight="1">
      <c r="B1514" s="460"/>
      <c r="C1514" s="440"/>
      <c r="E1514" s="355"/>
      <c r="G1514" s="355"/>
      <c r="H1514" s="355"/>
      <c r="J1514" s="344"/>
      <c r="K1514" s="344"/>
    </row>
    <row r="1515" spans="2:11" s="429" customFormat="1" ht="18" customHeight="1">
      <c r="B1515" s="460"/>
      <c r="C1515" s="440"/>
      <c r="E1515" s="355"/>
      <c r="G1515" s="355"/>
      <c r="H1515" s="355"/>
      <c r="J1515" s="344"/>
      <c r="K1515" s="344"/>
    </row>
    <row r="1516" spans="2:11" s="429" customFormat="1" ht="18" customHeight="1">
      <c r="B1516" s="460"/>
      <c r="C1516" s="440"/>
      <c r="E1516" s="355"/>
      <c r="G1516" s="355"/>
      <c r="H1516" s="355"/>
      <c r="J1516" s="344"/>
      <c r="K1516" s="344"/>
    </row>
    <row r="1517" spans="2:11" s="429" customFormat="1" ht="18" customHeight="1">
      <c r="B1517" s="460"/>
      <c r="C1517" s="440"/>
      <c r="E1517" s="355"/>
      <c r="G1517" s="355"/>
      <c r="H1517" s="355"/>
      <c r="J1517" s="344"/>
      <c r="K1517" s="344"/>
    </row>
    <row r="1518" spans="2:11" s="429" customFormat="1" ht="18" customHeight="1">
      <c r="B1518" s="460"/>
      <c r="C1518" s="440"/>
      <c r="E1518" s="355"/>
      <c r="G1518" s="355"/>
      <c r="H1518" s="355"/>
      <c r="J1518" s="344"/>
      <c r="K1518" s="344"/>
    </row>
    <row r="1519" spans="2:11" s="429" customFormat="1" ht="18" customHeight="1">
      <c r="B1519" s="460"/>
      <c r="C1519" s="440"/>
      <c r="E1519" s="355"/>
      <c r="G1519" s="355"/>
      <c r="H1519" s="355"/>
      <c r="J1519" s="344"/>
      <c r="K1519" s="344"/>
    </row>
    <row r="1520" spans="2:11" s="429" customFormat="1" ht="18" customHeight="1">
      <c r="B1520" s="460"/>
      <c r="C1520" s="440"/>
      <c r="E1520" s="355"/>
      <c r="G1520" s="355"/>
      <c r="H1520" s="355"/>
      <c r="J1520" s="344"/>
      <c r="K1520" s="344"/>
    </row>
    <row r="1521" spans="2:11" s="429" customFormat="1" ht="18" customHeight="1">
      <c r="B1521" s="460"/>
      <c r="C1521" s="440"/>
      <c r="E1521" s="355"/>
      <c r="G1521" s="355"/>
      <c r="H1521" s="355"/>
      <c r="J1521" s="344"/>
      <c r="K1521" s="344"/>
    </row>
    <row r="1522" spans="2:11" s="429" customFormat="1" ht="18" customHeight="1">
      <c r="B1522" s="460"/>
      <c r="C1522" s="440"/>
      <c r="E1522" s="355"/>
      <c r="G1522" s="355"/>
      <c r="H1522" s="355"/>
      <c r="J1522" s="344"/>
      <c r="K1522" s="344"/>
    </row>
    <row r="1523" spans="2:11" s="429" customFormat="1" ht="18" customHeight="1">
      <c r="B1523" s="460"/>
      <c r="C1523" s="440"/>
      <c r="E1523" s="355"/>
      <c r="G1523" s="355"/>
      <c r="H1523" s="355"/>
      <c r="J1523" s="344"/>
      <c r="K1523" s="344"/>
    </row>
    <row r="1524" spans="2:11" s="429" customFormat="1" ht="18" customHeight="1">
      <c r="B1524" s="460"/>
      <c r="C1524" s="440"/>
      <c r="E1524" s="355"/>
      <c r="G1524" s="355"/>
      <c r="H1524" s="355"/>
      <c r="J1524" s="344"/>
      <c r="K1524" s="344"/>
    </row>
    <row r="1525" spans="2:11" s="429" customFormat="1" ht="18" customHeight="1">
      <c r="B1525" s="460"/>
      <c r="C1525" s="440"/>
      <c r="E1525" s="355"/>
      <c r="G1525" s="355"/>
      <c r="H1525" s="355"/>
      <c r="J1525" s="344"/>
      <c r="K1525" s="344"/>
    </row>
    <row r="1526" spans="2:11" s="429" customFormat="1" ht="18" customHeight="1">
      <c r="B1526" s="460"/>
      <c r="C1526" s="440"/>
      <c r="E1526" s="355"/>
      <c r="G1526" s="355"/>
      <c r="H1526" s="355"/>
      <c r="J1526" s="344"/>
      <c r="K1526" s="344"/>
    </row>
    <row r="1527" spans="2:11" s="429" customFormat="1" ht="18" customHeight="1">
      <c r="B1527" s="460"/>
      <c r="C1527" s="440"/>
      <c r="E1527" s="355"/>
      <c r="G1527" s="355"/>
      <c r="H1527" s="355"/>
      <c r="J1527" s="344"/>
      <c r="K1527" s="344"/>
    </row>
    <row r="1528" spans="2:11" s="429" customFormat="1" ht="18" customHeight="1">
      <c r="B1528" s="460"/>
      <c r="C1528" s="440"/>
      <c r="E1528" s="355"/>
      <c r="G1528" s="355"/>
      <c r="H1528" s="355"/>
      <c r="J1528" s="344"/>
      <c r="K1528" s="344"/>
    </row>
    <row r="1529" spans="2:11" s="429" customFormat="1" ht="18" customHeight="1">
      <c r="B1529" s="460"/>
      <c r="C1529" s="440"/>
      <c r="E1529" s="355"/>
      <c r="G1529" s="355"/>
      <c r="H1529" s="355"/>
      <c r="J1529" s="344"/>
      <c r="K1529" s="344"/>
    </row>
    <row r="1530" spans="2:11" s="429" customFormat="1" ht="18" customHeight="1">
      <c r="B1530" s="460"/>
      <c r="C1530" s="440"/>
      <c r="E1530" s="355"/>
      <c r="G1530" s="355"/>
      <c r="H1530" s="355"/>
      <c r="J1530" s="344"/>
      <c r="K1530" s="344"/>
    </row>
    <row r="1531" spans="2:11" s="429" customFormat="1" ht="18" customHeight="1">
      <c r="B1531" s="460"/>
      <c r="C1531" s="440"/>
      <c r="E1531" s="355"/>
      <c r="G1531" s="355"/>
      <c r="H1531" s="355"/>
      <c r="J1531" s="344"/>
      <c r="K1531" s="344"/>
    </row>
    <row r="1532" spans="2:11" s="429" customFormat="1" ht="18" customHeight="1">
      <c r="B1532" s="460"/>
      <c r="C1532" s="440"/>
      <c r="E1532" s="355"/>
      <c r="G1532" s="355"/>
      <c r="H1532" s="355"/>
      <c r="J1532" s="344"/>
      <c r="K1532" s="344"/>
    </row>
    <row r="1533" spans="2:11" s="429" customFormat="1" ht="18" customHeight="1">
      <c r="B1533" s="460"/>
      <c r="C1533" s="440"/>
      <c r="E1533" s="355"/>
      <c r="G1533" s="355"/>
      <c r="H1533" s="355"/>
      <c r="J1533" s="344"/>
      <c r="K1533" s="344"/>
    </row>
    <row r="1534" spans="2:11" s="429" customFormat="1" ht="18" customHeight="1">
      <c r="B1534" s="460"/>
      <c r="C1534" s="440"/>
      <c r="E1534" s="355"/>
      <c r="G1534" s="355"/>
      <c r="H1534" s="355"/>
      <c r="J1534" s="344"/>
      <c r="K1534" s="344"/>
    </row>
    <row r="1535" spans="2:11" s="429" customFormat="1" ht="18" customHeight="1">
      <c r="B1535" s="460"/>
      <c r="C1535" s="440"/>
      <c r="E1535" s="355"/>
      <c r="G1535" s="355"/>
      <c r="H1535" s="355"/>
      <c r="J1535" s="344"/>
      <c r="K1535" s="344"/>
    </row>
    <row r="1536" spans="2:11" s="429" customFormat="1" ht="18" customHeight="1">
      <c r="B1536" s="460"/>
      <c r="C1536" s="440"/>
      <c r="E1536" s="355"/>
      <c r="G1536" s="355"/>
      <c r="H1536" s="355"/>
      <c r="J1536" s="344"/>
      <c r="K1536" s="344"/>
    </row>
    <row r="1537" spans="2:11" s="429" customFormat="1" ht="18" customHeight="1">
      <c r="B1537" s="460"/>
      <c r="C1537" s="440"/>
      <c r="E1537" s="355"/>
      <c r="G1537" s="355"/>
      <c r="H1537" s="355"/>
      <c r="J1537" s="344"/>
      <c r="K1537" s="344"/>
    </row>
    <row r="1538" spans="2:11" s="429" customFormat="1" ht="18" customHeight="1">
      <c r="B1538" s="460"/>
      <c r="C1538" s="440"/>
      <c r="E1538" s="355"/>
      <c r="G1538" s="355"/>
      <c r="H1538" s="355"/>
      <c r="J1538" s="344"/>
      <c r="K1538" s="344"/>
    </row>
    <row r="1539" spans="2:11" s="429" customFormat="1" ht="18" customHeight="1">
      <c r="B1539" s="460"/>
      <c r="C1539" s="440"/>
      <c r="E1539" s="355"/>
      <c r="G1539" s="355"/>
      <c r="H1539" s="355"/>
      <c r="J1539" s="344"/>
      <c r="K1539" s="344"/>
    </row>
    <row r="1540" spans="2:11" s="429" customFormat="1" ht="18" customHeight="1">
      <c r="B1540" s="460"/>
      <c r="C1540" s="440"/>
      <c r="E1540" s="355"/>
      <c r="G1540" s="355"/>
      <c r="H1540" s="355"/>
      <c r="J1540" s="344"/>
      <c r="K1540" s="344"/>
    </row>
    <row r="1541" spans="2:11" s="429" customFormat="1" ht="18" customHeight="1">
      <c r="B1541" s="460"/>
      <c r="C1541" s="440"/>
      <c r="E1541" s="355"/>
      <c r="G1541" s="355"/>
      <c r="H1541" s="355"/>
      <c r="J1541" s="344"/>
      <c r="K1541" s="344"/>
    </row>
    <row r="1542" spans="2:11" s="429" customFormat="1" ht="18" customHeight="1">
      <c r="B1542" s="460"/>
      <c r="C1542" s="440"/>
      <c r="E1542" s="355"/>
      <c r="G1542" s="355"/>
      <c r="H1542" s="355"/>
      <c r="J1542" s="344"/>
      <c r="K1542" s="344"/>
    </row>
    <row r="1543" spans="2:11" s="429" customFormat="1" ht="18" customHeight="1">
      <c r="B1543" s="460"/>
      <c r="C1543" s="440"/>
      <c r="E1543" s="355"/>
      <c r="G1543" s="355"/>
      <c r="H1543" s="355"/>
      <c r="J1543" s="344"/>
      <c r="K1543" s="344"/>
    </row>
    <row r="1544" spans="2:11" s="429" customFormat="1" ht="18" customHeight="1">
      <c r="B1544" s="460"/>
      <c r="C1544" s="440"/>
      <c r="E1544" s="355"/>
      <c r="G1544" s="355"/>
      <c r="H1544" s="355"/>
      <c r="J1544" s="344"/>
      <c r="K1544" s="344"/>
    </row>
    <row r="1545" spans="2:11" s="429" customFormat="1" ht="18" customHeight="1">
      <c r="B1545" s="460"/>
      <c r="C1545" s="440"/>
      <c r="E1545" s="355"/>
      <c r="G1545" s="355"/>
      <c r="H1545" s="355"/>
      <c r="J1545" s="344"/>
      <c r="K1545" s="344"/>
    </row>
    <row r="1546" spans="2:11" s="429" customFormat="1" ht="18" customHeight="1">
      <c r="B1546" s="460"/>
      <c r="C1546" s="440"/>
      <c r="E1546" s="355"/>
      <c r="G1546" s="355"/>
      <c r="H1546" s="355"/>
      <c r="J1546" s="344"/>
      <c r="K1546" s="344"/>
    </row>
    <row r="1547" spans="2:11" s="429" customFormat="1" ht="18" customHeight="1">
      <c r="B1547" s="460"/>
      <c r="C1547" s="440"/>
      <c r="E1547" s="355"/>
      <c r="G1547" s="355"/>
      <c r="H1547" s="355"/>
      <c r="J1547" s="344"/>
      <c r="K1547" s="344"/>
    </row>
    <row r="1548" spans="2:11" s="429" customFormat="1" ht="18" customHeight="1">
      <c r="B1548" s="460"/>
      <c r="C1548" s="440"/>
      <c r="E1548" s="355"/>
      <c r="G1548" s="355"/>
      <c r="H1548" s="355"/>
      <c r="J1548" s="344"/>
      <c r="K1548" s="344"/>
    </row>
    <row r="1549" spans="2:11" s="429" customFormat="1" ht="18" customHeight="1">
      <c r="B1549" s="460"/>
      <c r="C1549" s="440"/>
      <c r="E1549" s="355"/>
      <c r="G1549" s="355"/>
      <c r="H1549" s="355"/>
      <c r="J1549" s="344"/>
      <c r="K1549" s="344"/>
    </row>
    <row r="1550" spans="2:11" s="429" customFormat="1" ht="18" customHeight="1">
      <c r="B1550" s="460"/>
      <c r="C1550" s="440"/>
      <c r="E1550" s="355"/>
      <c r="G1550" s="355"/>
      <c r="H1550" s="355"/>
      <c r="J1550" s="344"/>
      <c r="K1550" s="344"/>
    </row>
    <row r="1551" spans="2:11" s="429" customFormat="1" ht="18" customHeight="1">
      <c r="B1551" s="460"/>
      <c r="C1551" s="440"/>
      <c r="E1551" s="355"/>
      <c r="G1551" s="355"/>
      <c r="H1551" s="355"/>
      <c r="J1551" s="344"/>
      <c r="K1551" s="344"/>
    </row>
    <row r="1552" spans="2:11" s="429" customFormat="1" ht="18" customHeight="1">
      <c r="B1552" s="460"/>
      <c r="C1552" s="440"/>
      <c r="E1552" s="355"/>
      <c r="G1552" s="355"/>
      <c r="H1552" s="355"/>
      <c r="J1552" s="344"/>
      <c r="K1552" s="344"/>
    </row>
    <row r="1553" spans="2:11" s="429" customFormat="1" ht="18" customHeight="1">
      <c r="B1553" s="460"/>
      <c r="C1553" s="440"/>
      <c r="E1553" s="355"/>
      <c r="G1553" s="355"/>
      <c r="H1553" s="355"/>
      <c r="J1553" s="344"/>
      <c r="K1553" s="344"/>
    </row>
    <row r="1554" spans="2:11" s="429" customFormat="1" ht="18" customHeight="1">
      <c r="B1554" s="460"/>
      <c r="C1554" s="440"/>
      <c r="E1554" s="355"/>
      <c r="G1554" s="355"/>
      <c r="H1554" s="355"/>
      <c r="J1554" s="344"/>
      <c r="K1554" s="344"/>
    </row>
    <row r="1555" spans="2:11" s="429" customFormat="1" ht="18" customHeight="1">
      <c r="B1555" s="460"/>
      <c r="C1555" s="440"/>
      <c r="E1555" s="355"/>
      <c r="G1555" s="355"/>
      <c r="H1555" s="355"/>
      <c r="J1555" s="344"/>
      <c r="K1555" s="344"/>
    </row>
    <row r="1556" spans="2:11" s="429" customFormat="1" ht="18" customHeight="1">
      <c r="B1556" s="460"/>
      <c r="C1556" s="440"/>
      <c r="E1556" s="355"/>
      <c r="G1556" s="355"/>
      <c r="H1556" s="355"/>
      <c r="J1556" s="344"/>
      <c r="K1556" s="344"/>
    </row>
    <row r="1557" spans="2:11" s="429" customFormat="1" ht="18" customHeight="1">
      <c r="B1557" s="460"/>
      <c r="C1557" s="440"/>
      <c r="E1557" s="355"/>
      <c r="G1557" s="355"/>
      <c r="H1557" s="355"/>
      <c r="J1557" s="344"/>
      <c r="K1557" s="344"/>
    </row>
    <row r="1558" spans="2:11" s="429" customFormat="1" ht="18" customHeight="1">
      <c r="B1558" s="460"/>
      <c r="C1558" s="440"/>
      <c r="E1558" s="355"/>
      <c r="G1558" s="355"/>
      <c r="H1558" s="355"/>
      <c r="J1558" s="344"/>
      <c r="K1558" s="344"/>
    </row>
    <row r="1559" spans="2:11" s="429" customFormat="1" ht="18" customHeight="1">
      <c r="B1559" s="460"/>
      <c r="C1559" s="440"/>
      <c r="E1559" s="355"/>
      <c r="G1559" s="355"/>
      <c r="H1559" s="355"/>
      <c r="J1559" s="344"/>
      <c r="K1559" s="344"/>
    </row>
    <row r="1560" spans="2:11" s="429" customFormat="1" ht="18" customHeight="1">
      <c r="B1560" s="460"/>
      <c r="C1560" s="440"/>
      <c r="E1560" s="355"/>
      <c r="G1560" s="355"/>
      <c r="H1560" s="355"/>
      <c r="J1560" s="344"/>
      <c r="K1560" s="344"/>
    </row>
    <row r="1561" spans="2:11" s="429" customFormat="1" ht="18" customHeight="1">
      <c r="B1561" s="460"/>
      <c r="C1561" s="440"/>
      <c r="E1561" s="355"/>
      <c r="G1561" s="355"/>
      <c r="H1561" s="355"/>
      <c r="J1561" s="344"/>
      <c r="K1561" s="344"/>
    </row>
    <row r="1562" spans="2:11" s="429" customFormat="1" ht="18" customHeight="1">
      <c r="B1562" s="460"/>
      <c r="C1562" s="440"/>
      <c r="E1562" s="355"/>
      <c r="G1562" s="355"/>
      <c r="H1562" s="355"/>
      <c r="J1562" s="344"/>
      <c r="K1562" s="344"/>
    </row>
    <row r="1563" spans="2:11" s="429" customFormat="1" ht="18" customHeight="1">
      <c r="B1563" s="460"/>
      <c r="C1563" s="440"/>
      <c r="E1563" s="355"/>
      <c r="G1563" s="355"/>
      <c r="H1563" s="355"/>
      <c r="J1563" s="344"/>
      <c r="K1563" s="344"/>
    </row>
    <row r="1564" spans="2:11" s="429" customFormat="1" ht="18" customHeight="1">
      <c r="B1564" s="460"/>
      <c r="C1564" s="440"/>
      <c r="E1564" s="355"/>
      <c r="G1564" s="355"/>
      <c r="H1564" s="355"/>
      <c r="J1564" s="344"/>
      <c r="K1564" s="344"/>
    </row>
    <row r="1565" spans="2:11" s="429" customFormat="1" ht="18" customHeight="1">
      <c r="B1565" s="460"/>
      <c r="C1565" s="440"/>
      <c r="E1565" s="355"/>
      <c r="G1565" s="355"/>
      <c r="H1565" s="355"/>
      <c r="J1565" s="344"/>
      <c r="K1565" s="344"/>
    </row>
    <row r="1566" spans="2:11" s="429" customFormat="1" ht="18" customHeight="1">
      <c r="B1566" s="460"/>
      <c r="C1566" s="440"/>
      <c r="E1566" s="355"/>
      <c r="G1566" s="355"/>
      <c r="H1566" s="355"/>
      <c r="J1566" s="344"/>
      <c r="K1566" s="344"/>
    </row>
    <row r="1567" spans="2:11" s="429" customFormat="1" ht="18" customHeight="1">
      <c r="B1567" s="460"/>
      <c r="C1567" s="440"/>
      <c r="E1567" s="355"/>
      <c r="G1567" s="355"/>
      <c r="H1567" s="355"/>
      <c r="J1567" s="344"/>
      <c r="K1567" s="344"/>
    </row>
    <row r="1568" spans="2:11" s="429" customFormat="1" ht="18" customHeight="1">
      <c r="B1568" s="460"/>
      <c r="C1568" s="440"/>
      <c r="E1568" s="355"/>
      <c r="G1568" s="355"/>
      <c r="H1568" s="355"/>
      <c r="J1568" s="344"/>
      <c r="K1568" s="344"/>
    </row>
    <row r="1569" spans="2:11" s="429" customFormat="1" ht="18" customHeight="1">
      <c r="B1569" s="460"/>
      <c r="C1569" s="440"/>
      <c r="E1569" s="355"/>
      <c r="G1569" s="355"/>
      <c r="H1569" s="355"/>
      <c r="J1569" s="344"/>
      <c r="K1569" s="344"/>
    </row>
    <row r="1570" spans="2:11" s="429" customFormat="1" ht="18" customHeight="1">
      <c r="B1570" s="460"/>
      <c r="C1570" s="440"/>
      <c r="E1570" s="355"/>
      <c r="G1570" s="355"/>
      <c r="H1570" s="355"/>
      <c r="J1570" s="344"/>
      <c r="K1570" s="344"/>
    </row>
    <row r="1571" spans="2:11" s="429" customFormat="1" ht="18" customHeight="1">
      <c r="B1571" s="460"/>
      <c r="C1571" s="440"/>
      <c r="E1571" s="355"/>
      <c r="G1571" s="355"/>
      <c r="H1571" s="355"/>
      <c r="J1571" s="344"/>
      <c r="K1571" s="344"/>
    </row>
    <row r="1572" spans="2:11" s="429" customFormat="1" ht="18" customHeight="1">
      <c r="B1572" s="460"/>
      <c r="C1572" s="440"/>
      <c r="E1572" s="355"/>
      <c r="G1572" s="355"/>
      <c r="H1572" s="355"/>
      <c r="J1572" s="344"/>
      <c r="K1572" s="344"/>
    </row>
    <row r="1573" spans="2:11" s="429" customFormat="1" ht="18" customHeight="1">
      <c r="B1573" s="460"/>
      <c r="C1573" s="440"/>
      <c r="E1573" s="355"/>
      <c r="G1573" s="355"/>
      <c r="H1573" s="355"/>
      <c r="J1573" s="344"/>
      <c r="K1573" s="344"/>
    </row>
    <row r="1574" spans="2:11" s="429" customFormat="1" ht="18" customHeight="1">
      <c r="B1574" s="460"/>
      <c r="C1574" s="440"/>
      <c r="E1574" s="355"/>
      <c r="G1574" s="355"/>
      <c r="H1574" s="355"/>
      <c r="J1574" s="344"/>
      <c r="K1574" s="344"/>
    </row>
    <row r="1575" spans="2:11" s="429" customFormat="1" ht="18" customHeight="1">
      <c r="B1575" s="460"/>
      <c r="C1575" s="440"/>
      <c r="E1575" s="355"/>
      <c r="G1575" s="355"/>
      <c r="H1575" s="355"/>
      <c r="J1575" s="344"/>
      <c r="K1575" s="344"/>
    </row>
    <row r="1576" spans="2:11" s="429" customFormat="1" ht="18" customHeight="1">
      <c r="B1576" s="460"/>
      <c r="C1576" s="440"/>
      <c r="E1576" s="355"/>
      <c r="G1576" s="355"/>
      <c r="H1576" s="355"/>
      <c r="J1576" s="344"/>
      <c r="K1576" s="344"/>
    </row>
    <row r="1577" spans="2:11" s="429" customFormat="1" ht="18" customHeight="1">
      <c r="B1577" s="460"/>
      <c r="C1577" s="440"/>
      <c r="E1577" s="355"/>
      <c r="G1577" s="355"/>
      <c r="H1577" s="355"/>
      <c r="J1577" s="344"/>
      <c r="K1577" s="344"/>
    </row>
    <row r="1578" spans="2:11" s="429" customFormat="1" ht="18" customHeight="1">
      <c r="B1578" s="460"/>
      <c r="C1578" s="440"/>
      <c r="E1578" s="355"/>
      <c r="G1578" s="355"/>
      <c r="H1578" s="355"/>
      <c r="J1578" s="344"/>
      <c r="K1578" s="344"/>
    </row>
    <row r="1579" spans="2:11" s="429" customFormat="1" ht="18" customHeight="1">
      <c r="B1579" s="460"/>
      <c r="C1579" s="440"/>
      <c r="E1579" s="355"/>
      <c r="G1579" s="355"/>
      <c r="H1579" s="355"/>
      <c r="J1579" s="344"/>
      <c r="K1579" s="344"/>
    </row>
    <row r="1580" spans="2:11" s="429" customFormat="1" ht="18" customHeight="1">
      <c r="B1580" s="460"/>
      <c r="C1580" s="440"/>
      <c r="E1580" s="355"/>
      <c r="G1580" s="355"/>
      <c r="H1580" s="355"/>
      <c r="J1580" s="344"/>
      <c r="K1580" s="344"/>
    </row>
    <row r="1581" spans="2:11" s="429" customFormat="1" ht="18" customHeight="1">
      <c r="B1581" s="460"/>
      <c r="C1581" s="440"/>
      <c r="E1581" s="355"/>
      <c r="G1581" s="355"/>
      <c r="H1581" s="355"/>
      <c r="J1581" s="344"/>
      <c r="K1581" s="344"/>
    </row>
    <row r="1582" spans="2:11" s="429" customFormat="1" ht="18" customHeight="1">
      <c r="B1582" s="460"/>
      <c r="C1582" s="440"/>
      <c r="E1582" s="355"/>
      <c r="G1582" s="355"/>
      <c r="H1582" s="355"/>
      <c r="J1582" s="344"/>
      <c r="K1582" s="344"/>
    </row>
    <row r="1583" spans="2:11" s="429" customFormat="1" ht="18" customHeight="1">
      <c r="B1583" s="460"/>
      <c r="C1583" s="440"/>
      <c r="E1583" s="355"/>
      <c r="G1583" s="355"/>
      <c r="H1583" s="355"/>
      <c r="J1583" s="344"/>
      <c r="K1583" s="344"/>
    </row>
    <row r="1584" spans="2:11" s="429" customFormat="1" ht="18" customHeight="1">
      <c r="B1584" s="460"/>
      <c r="C1584" s="440"/>
      <c r="E1584" s="355"/>
      <c r="G1584" s="355"/>
      <c r="H1584" s="355"/>
      <c r="J1584" s="344"/>
      <c r="K1584" s="344"/>
    </row>
    <row r="1585" spans="2:11" s="429" customFormat="1" ht="18" customHeight="1">
      <c r="B1585" s="460"/>
      <c r="C1585" s="440"/>
      <c r="E1585" s="355"/>
      <c r="G1585" s="355"/>
      <c r="H1585" s="355"/>
      <c r="J1585" s="344"/>
      <c r="K1585" s="344"/>
    </row>
    <row r="1586" spans="2:11" s="429" customFormat="1" ht="18" customHeight="1">
      <c r="B1586" s="460"/>
      <c r="C1586" s="440"/>
      <c r="E1586" s="355"/>
      <c r="G1586" s="355"/>
      <c r="H1586" s="355"/>
      <c r="J1586" s="344"/>
      <c r="K1586" s="344"/>
    </row>
    <row r="1587" spans="2:11" s="429" customFormat="1" ht="18" customHeight="1">
      <c r="B1587" s="460"/>
      <c r="C1587" s="440"/>
      <c r="E1587" s="355"/>
      <c r="G1587" s="355"/>
      <c r="H1587" s="355"/>
      <c r="J1587" s="344"/>
      <c r="K1587" s="344"/>
    </row>
    <row r="1588" spans="2:11" s="429" customFormat="1" ht="18" customHeight="1">
      <c r="B1588" s="460"/>
      <c r="C1588" s="440"/>
      <c r="E1588" s="355"/>
      <c r="G1588" s="355"/>
      <c r="H1588" s="355"/>
      <c r="J1588" s="344"/>
      <c r="K1588" s="344"/>
    </row>
    <row r="1589" spans="2:11" s="429" customFormat="1" ht="18" customHeight="1">
      <c r="B1589" s="460"/>
      <c r="C1589" s="440"/>
      <c r="E1589" s="355"/>
      <c r="G1589" s="355"/>
      <c r="H1589" s="355"/>
      <c r="J1589" s="344"/>
      <c r="K1589" s="344"/>
    </row>
    <row r="1590" spans="2:11" s="429" customFormat="1" ht="18" customHeight="1">
      <c r="B1590" s="460"/>
      <c r="C1590" s="440"/>
      <c r="E1590" s="355"/>
      <c r="G1590" s="355"/>
      <c r="H1590" s="355"/>
      <c r="J1590" s="344"/>
      <c r="K1590" s="344"/>
    </row>
    <row r="1591" spans="2:11" s="429" customFormat="1" ht="18" customHeight="1">
      <c r="B1591" s="460"/>
      <c r="C1591" s="440"/>
      <c r="E1591" s="355"/>
      <c r="G1591" s="355"/>
      <c r="H1591" s="355"/>
      <c r="J1591" s="344"/>
      <c r="K1591" s="344"/>
    </row>
    <row r="1592" spans="2:11" s="429" customFormat="1" ht="18" customHeight="1">
      <c r="B1592" s="460"/>
      <c r="C1592" s="440"/>
      <c r="E1592" s="355"/>
      <c r="G1592" s="355"/>
      <c r="H1592" s="355"/>
      <c r="J1592" s="344"/>
      <c r="K1592" s="344"/>
    </row>
    <row r="1593" spans="2:11" s="429" customFormat="1" ht="18" customHeight="1">
      <c r="B1593" s="460"/>
      <c r="C1593" s="440"/>
      <c r="E1593" s="355"/>
      <c r="G1593" s="355"/>
      <c r="H1593" s="355"/>
      <c r="J1593" s="344"/>
      <c r="K1593" s="344"/>
    </row>
    <row r="1594" spans="2:11" s="429" customFormat="1" ht="18" customHeight="1">
      <c r="B1594" s="460"/>
      <c r="C1594" s="440"/>
      <c r="E1594" s="355"/>
      <c r="G1594" s="355"/>
      <c r="H1594" s="355"/>
      <c r="J1594" s="344"/>
      <c r="K1594" s="344"/>
    </row>
    <row r="1595" spans="2:11" s="429" customFormat="1" ht="18" customHeight="1">
      <c r="B1595" s="460"/>
      <c r="C1595" s="440"/>
      <c r="E1595" s="355"/>
      <c r="G1595" s="355"/>
      <c r="H1595" s="355"/>
      <c r="J1595" s="344"/>
      <c r="K1595" s="344"/>
    </row>
    <row r="1596" spans="2:11" s="429" customFormat="1" ht="18" customHeight="1">
      <c r="B1596" s="460"/>
      <c r="C1596" s="440"/>
      <c r="E1596" s="355"/>
      <c r="G1596" s="355"/>
      <c r="H1596" s="355"/>
      <c r="J1596" s="344"/>
      <c r="K1596" s="344"/>
    </row>
    <row r="1597" spans="2:11" s="429" customFormat="1" ht="18" customHeight="1">
      <c r="B1597" s="460"/>
      <c r="C1597" s="440"/>
      <c r="E1597" s="355"/>
      <c r="G1597" s="355"/>
      <c r="H1597" s="355"/>
      <c r="J1597" s="344"/>
      <c r="K1597" s="344"/>
    </row>
    <row r="1598" spans="2:11" s="429" customFormat="1" ht="18" customHeight="1">
      <c r="B1598" s="460"/>
      <c r="C1598" s="440"/>
      <c r="E1598" s="355"/>
      <c r="G1598" s="355"/>
      <c r="H1598" s="355"/>
      <c r="J1598" s="344"/>
      <c r="K1598" s="344"/>
    </row>
    <row r="1599" spans="2:11" s="429" customFormat="1" ht="18" customHeight="1">
      <c r="B1599" s="460"/>
      <c r="C1599" s="440"/>
      <c r="E1599" s="355"/>
      <c r="G1599" s="355"/>
      <c r="H1599" s="355"/>
      <c r="J1599" s="344"/>
      <c r="K1599" s="344"/>
    </row>
    <row r="1600" spans="2:11" s="429" customFormat="1" ht="18" customHeight="1">
      <c r="B1600" s="460"/>
      <c r="C1600" s="440"/>
      <c r="E1600" s="355"/>
      <c r="G1600" s="355"/>
      <c r="H1600" s="355"/>
      <c r="J1600" s="344"/>
      <c r="K1600" s="344"/>
    </row>
    <row r="1601" spans="2:11" s="429" customFormat="1" ht="18" customHeight="1">
      <c r="B1601" s="460"/>
      <c r="C1601" s="440"/>
      <c r="E1601" s="355"/>
      <c r="G1601" s="355"/>
      <c r="H1601" s="355"/>
      <c r="J1601" s="344"/>
      <c r="K1601" s="344"/>
    </row>
    <row r="1602" spans="2:11" s="429" customFormat="1" ht="18" customHeight="1">
      <c r="B1602" s="460"/>
      <c r="C1602" s="440"/>
      <c r="E1602" s="355"/>
      <c r="G1602" s="355"/>
      <c r="H1602" s="355"/>
      <c r="J1602" s="344"/>
      <c r="K1602" s="344"/>
    </row>
    <row r="1603" spans="2:11" s="429" customFormat="1" ht="18" customHeight="1">
      <c r="B1603" s="460"/>
      <c r="C1603" s="440"/>
      <c r="E1603" s="355"/>
      <c r="G1603" s="355"/>
      <c r="H1603" s="355"/>
      <c r="J1603" s="344"/>
      <c r="K1603" s="344"/>
    </row>
    <row r="1604" spans="2:11" s="429" customFormat="1" ht="18" customHeight="1">
      <c r="B1604" s="460"/>
      <c r="C1604" s="440"/>
      <c r="E1604" s="355"/>
      <c r="G1604" s="355"/>
      <c r="H1604" s="355"/>
      <c r="J1604" s="344"/>
      <c r="K1604" s="344"/>
    </row>
    <row r="1605" spans="2:11" s="429" customFormat="1" ht="18" customHeight="1">
      <c r="B1605" s="460"/>
      <c r="C1605" s="440"/>
      <c r="E1605" s="355"/>
      <c r="G1605" s="355"/>
      <c r="H1605" s="355"/>
      <c r="J1605" s="344"/>
      <c r="K1605" s="344"/>
    </row>
    <row r="1606" spans="2:11" s="429" customFormat="1" ht="18" customHeight="1">
      <c r="B1606" s="460"/>
      <c r="C1606" s="440"/>
      <c r="E1606" s="355"/>
      <c r="G1606" s="355"/>
      <c r="H1606" s="355"/>
      <c r="J1606" s="344"/>
      <c r="K1606" s="344"/>
    </row>
    <row r="1607" spans="2:11" s="429" customFormat="1" ht="18" customHeight="1">
      <c r="B1607" s="460"/>
      <c r="C1607" s="440"/>
      <c r="E1607" s="355"/>
      <c r="G1607" s="355"/>
      <c r="H1607" s="355"/>
      <c r="J1607" s="344"/>
      <c r="K1607" s="344"/>
    </row>
    <row r="1608" spans="2:11" s="429" customFormat="1" ht="18" customHeight="1">
      <c r="B1608" s="460"/>
      <c r="C1608" s="440"/>
      <c r="E1608" s="355"/>
      <c r="G1608" s="355"/>
      <c r="H1608" s="355"/>
      <c r="J1608" s="344"/>
      <c r="K1608" s="344"/>
    </row>
    <row r="1609" spans="2:11" s="429" customFormat="1" ht="18" customHeight="1">
      <c r="B1609" s="460"/>
      <c r="C1609" s="440"/>
      <c r="E1609" s="355"/>
      <c r="G1609" s="355"/>
      <c r="H1609" s="355"/>
      <c r="J1609" s="344"/>
      <c r="K1609" s="344"/>
    </row>
    <row r="1610" spans="2:11" s="429" customFormat="1" ht="18" customHeight="1">
      <c r="B1610" s="460"/>
      <c r="C1610" s="440"/>
      <c r="E1610" s="355"/>
      <c r="G1610" s="355"/>
      <c r="H1610" s="355"/>
      <c r="J1610" s="344"/>
      <c r="K1610" s="344"/>
    </row>
    <row r="1611" spans="2:11" s="429" customFormat="1" ht="18" customHeight="1">
      <c r="B1611" s="460"/>
      <c r="C1611" s="440"/>
      <c r="E1611" s="355"/>
      <c r="G1611" s="355"/>
      <c r="H1611" s="355"/>
      <c r="J1611" s="344"/>
      <c r="K1611" s="344"/>
    </row>
    <row r="1612" spans="2:11" s="429" customFormat="1" ht="18" customHeight="1">
      <c r="B1612" s="460"/>
      <c r="C1612" s="440"/>
      <c r="E1612" s="355"/>
      <c r="G1612" s="355"/>
      <c r="H1612" s="355"/>
      <c r="J1612" s="344"/>
      <c r="K1612" s="344"/>
    </row>
    <row r="1613" spans="2:11" s="429" customFormat="1" ht="18" customHeight="1">
      <c r="B1613" s="460"/>
      <c r="C1613" s="440"/>
      <c r="E1613" s="355"/>
      <c r="G1613" s="355"/>
      <c r="H1613" s="355"/>
      <c r="J1613" s="344"/>
      <c r="K1613" s="344"/>
    </row>
    <row r="1614" spans="2:11" s="429" customFormat="1" ht="18" customHeight="1">
      <c r="B1614" s="460"/>
      <c r="C1614" s="440"/>
      <c r="E1614" s="355"/>
      <c r="G1614" s="355"/>
      <c r="H1614" s="355"/>
      <c r="J1614" s="344"/>
      <c r="K1614" s="344"/>
    </row>
    <row r="1615" spans="2:11" s="429" customFormat="1" ht="18" customHeight="1">
      <c r="B1615" s="460"/>
      <c r="C1615" s="440"/>
      <c r="E1615" s="355"/>
      <c r="G1615" s="355"/>
      <c r="H1615" s="355"/>
      <c r="J1615" s="344"/>
      <c r="K1615" s="344"/>
    </row>
    <row r="1616" spans="2:11" s="429" customFormat="1" ht="18" customHeight="1">
      <c r="B1616" s="460"/>
      <c r="C1616" s="440"/>
      <c r="E1616" s="355"/>
      <c r="G1616" s="355"/>
      <c r="H1616" s="355"/>
      <c r="J1616" s="344"/>
      <c r="K1616" s="344"/>
    </row>
    <row r="1617" spans="2:11" s="429" customFormat="1" ht="18" customHeight="1">
      <c r="B1617" s="460"/>
      <c r="C1617" s="440"/>
      <c r="E1617" s="355"/>
      <c r="G1617" s="355"/>
      <c r="H1617" s="355"/>
      <c r="J1617" s="344"/>
      <c r="K1617" s="344"/>
    </row>
    <row r="1618" spans="2:11" s="429" customFormat="1" ht="18" customHeight="1">
      <c r="B1618" s="460"/>
      <c r="C1618" s="440"/>
      <c r="E1618" s="355"/>
      <c r="G1618" s="355"/>
      <c r="H1618" s="355"/>
      <c r="J1618" s="344"/>
      <c r="K1618" s="344"/>
    </row>
    <row r="1619" spans="2:11" s="429" customFormat="1" ht="18" customHeight="1">
      <c r="B1619" s="460"/>
      <c r="C1619" s="440"/>
      <c r="E1619" s="355"/>
      <c r="G1619" s="355"/>
      <c r="H1619" s="355"/>
      <c r="J1619" s="344"/>
      <c r="K1619" s="344"/>
    </row>
    <row r="1620" spans="2:11" s="429" customFormat="1" ht="18" customHeight="1">
      <c r="B1620" s="460"/>
      <c r="C1620" s="440"/>
      <c r="E1620" s="355"/>
      <c r="G1620" s="355"/>
      <c r="H1620" s="355"/>
      <c r="J1620" s="344"/>
      <c r="K1620" s="344"/>
    </row>
    <row r="1621" spans="2:11" s="429" customFormat="1" ht="18" customHeight="1">
      <c r="B1621" s="460"/>
      <c r="C1621" s="440"/>
      <c r="E1621" s="355"/>
      <c r="G1621" s="355"/>
      <c r="H1621" s="355"/>
      <c r="J1621" s="344"/>
      <c r="K1621" s="344"/>
    </row>
    <row r="1622" spans="2:11" s="429" customFormat="1" ht="18" customHeight="1">
      <c r="B1622" s="460"/>
      <c r="C1622" s="440"/>
      <c r="E1622" s="355"/>
      <c r="G1622" s="355"/>
      <c r="H1622" s="355"/>
      <c r="J1622" s="344"/>
      <c r="K1622" s="344"/>
    </row>
    <row r="1623" spans="2:11" s="429" customFormat="1" ht="18" customHeight="1">
      <c r="B1623" s="460"/>
      <c r="C1623" s="440"/>
      <c r="E1623" s="355"/>
      <c r="G1623" s="355"/>
      <c r="H1623" s="355"/>
      <c r="J1623" s="344"/>
      <c r="K1623" s="344"/>
    </row>
    <row r="1624" spans="2:11" s="429" customFormat="1" ht="18" customHeight="1">
      <c r="B1624" s="460"/>
      <c r="C1624" s="440"/>
      <c r="E1624" s="355"/>
      <c r="G1624" s="355"/>
      <c r="H1624" s="355"/>
      <c r="J1624" s="344"/>
      <c r="K1624" s="344"/>
    </row>
    <row r="1625" spans="2:11" s="429" customFormat="1" ht="18" customHeight="1">
      <c r="B1625" s="460"/>
      <c r="C1625" s="440"/>
      <c r="E1625" s="355"/>
      <c r="G1625" s="355"/>
      <c r="H1625" s="355"/>
      <c r="J1625" s="344"/>
      <c r="K1625" s="344"/>
    </row>
    <row r="1626" spans="2:11" s="429" customFormat="1" ht="18" customHeight="1">
      <c r="B1626" s="460"/>
      <c r="C1626" s="440"/>
      <c r="E1626" s="355"/>
      <c r="G1626" s="355"/>
      <c r="H1626" s="355"/>
      <c r="J1626" s="344"/>
      <c r="K1626" s="344"/>
    </row>
    <row r="1627" spans="2:11" s="429" customFormat="1" ht="18" customHeight="1">
      <c r="B1627" s="460"/>
      <c r="C1627" s="440"/>
      <c r="E1627" s="355"/>
      <c r="G1627" s="355"/>
      <c r="H1627" s="355"/>
      <c r="J1627" s="344"/>
      <c r="K1627" s="344"/>
    </row>
    <row r="1628" spans="2:11" s="429" customFormat="1" ht="18" customHeight="1">
      <c r="B1628" s="460"/>
      <c r="C1628" s="440"/>
      <c r="E1628" s="355"/>
      <c r="G1628" s="355"/>
      <c r="H1628" s="355"/>
      <c r="J1628" s="344"/>
      <c r="K1628" s="344"/>
    </row>
    <row r="1629" spans="2:11" s="429" customFormat="1" ht="18" customHeight="1">
      <c r="B1629" s="460"/>
      <c r="C1629" s="440"/>
      <c r="E1629" s="355"/>
      <c r="G1629" s="355"/>
      <c r="H1629" s="355"/>
      <c r="J1629" s="344"/>
      <c r="K1629" s="344"/>
    </row>
    <row r="1630" spans="2:11" s="429" customFormat="1" ht="18" customHeight="1">
      <c r="B1630" s="460"/>
      <c r="C1630" s="440"/>
      <c r="E1630" s="355"/>
      <c r="G1630" s="355"/>
      <c r="H1630" s="355"/>
      <c r="J1630" s="344"/>
      <c r="K1630" s="344"/>
    </row>
    <row r="1631" spans="2:11" s="429" customFormat="1" ht="18" customHeight="1">
      <c r="B1631" s="460"/>
      <c r="C1631" s="440"/>
      <c r="E1631" s="355"/>
      <c r="G1631" s="355"/>
      <c r="H1631" s="355"/>
      <c r="J1631" s="344"/>
      <c r="K1631" s="344"/>
    </row>
    <row r="1632" spans="2:11" s="429" customFormat="1" ht="18" customHeight="1">
      <c r="B1632" s="460"/>
      <c r="C1632" s="440"/>
      <c r="E1632" s="355"/>
      <c r="G1632" s="355"/>
      <c r="H1632" s="355"/>
      <c r="J1632" s="344"/>
      <c r="K1632" s="344"/>
    </row>
    <row r="1633" spans="2:11" s="429" customFormat="1" ht="18" customHeight="1">
      <c r="B1633" s="460"/>
      <c r="C1633" s="440"/>
      <c r="E1633" s="355"/>
      <c r="G1633" s="355"/>
      <c r="H1633" s="355"/>
      <c r="J1633" s="344"/>
      <c r="K1633" s="344"/>
    </row>
    <row r="1634" spans="2:11" s="429" customFormat="1" ht="18" customHeight="1">
      <c r="B1634" s="460"/>
      <c r="C1634" s="440"/>
      <c r="E1634" s="355"/>
      <c r="G1634" s="355"/>
      <c r="H1634" s="355"/>
      <c r="J1634" s="344"/>
      <c r="K1634" s="344"/>
    </row>
    <row r="1635" spans="2:11" s="429" customFormat="1" ht="18" customHeight="1">
      <c r="B1635" s="460"/>
      <c r="C1635" s="440"/>
      <c r="E1635" s="355"/>
      <c r="G1635" s="355"/>
      <c r="H1635" s="355"/>
      <c r="J1635" s="344"/>
      <c r="K1635" s="344"/>
    </row>
    <row r="1636" spans="2:11" s="429" customFormat="1" ht="18" customHeight="1">
      <c r="B1636" s="460"/>
      <c r="C1636" s="440"/>
      <c r="E1636" s="355"/>
      <c r="G1636" s="355"/>
      <c r="H1636" s="355"/>
      <c r="J1636" s="344"/>
      <c r="K1636" s="344"/>
    </row>
    <row r="1637" spans="2:11" s="429" customFormat="1" ht="18" customHeight="1">
      <c r="B1637" s="460"/>
      <c r="C1637" s="440"/>
      <c r="E1637" s="355"/>
      <c r="G1637" s="355"/>
      <c r="H1637" s="355"/>
      <c r="J1637" s="344"/>
      <c r="K1637" s="344"/>
    </row>
    <row r="1638" spans="2:11" s="429" customFormat="1" ht="18" customHeight="1">
      <c r="B1638" s="460"/>
      <c r="C1638" s="440"/>
      <c r="E1638" s="355"/>
      <c r="G1638" s="355"/>
      <c r="H1638" s="355"/>
      <c r="J1638" s="344"/>
      <c r="K1638" s="344"/>
    </row>
    <row r="1639" spans="2:11" s="429" customFormat="1" ht="18" customHeight="1">
      <c r="B1639" s="460"/>
      <c r="C1639" s="440"/>
      <c r="E1639" s="355"/>
      <c r="G1639" s="355"/>
      <c r="H1639" s="355"/>
      <c r="J1639" s="344"/>
      <c r="K1639" s="344"/>
    </row>
    <row r="1640" spans="2:11" s="429" customFormat="1" ht="18" customHeight="1">
      <c r="B1640" s="460"/>
      <c r="C1640" s="440"/>
      <c r="E1640" s="355"/>
      <c r="G1640" s="355"/>
      <c r="H1640" s="355"/>
      <c r="J1640" s="344"/>
      <c r="K1640" s="344"/>
    </row>
    <row r="1641" spans="2:11" s="429" customFormat="1" ht="18" customHeight="1">
      <c r="B1641" s="460"/>
      <c r="C1641" s="440"/>
      <c r="E1641" s="355"/>
      <c r="G1641" s="355"/>
      <c r="H1641" s="355"/>
      <c r="J1641" s="344"/>
      <c r="K1641" s="344"/>
    </row>
    <row r="1642" spans="2:11" s="429" customFormat="1" ht="18" customHeight="1">
      <c r="B1642" s="460"/>
      <c r="C1642" s="440"/>
      <c r="E1642" s="355"/>
      <c r="G1642" s="355"/>
      <c r="H1642" s="355"/>
      <c r="J1642" s="344"/>
      <c r="K1642" s="344"/>
    </row>
    <row r="1643" spans="2:11" s="429" customFormat="1" ht="18" customHeight="1">
      <c r="B1643" s="460"/>
      <c r="C1643" s="440"/>
      <c r="E1643" s="355"/>
      <c r="G1643" s="355"/>
      <c r="H1643" s="355"/>
      <c r="J1643" s="344"/>
      <c r="K1643" s="344"/>
    </row>
    <row r="1644" spans="2:11" s="429" customFormat="1" ht="18" customHeight="1">
      <c r="B1644" s="460"/>
      <c r="C1644" s="440"/>
      <c r="E1644" s="355"/>
      <c r="G1644" s="355"/>
      <c r="H1644" s="355"/>
      <c r="J1644" s="344"/>
      <c r="K1644" s="344"/>
    </row>
    <row r="1645" spans="2:11" s="429" customFormat="1" ht="18" customHeight="1">
      <c r="B1645" s="460"/>
      <c r="C1645" s="440"/>
      <c r="E1645" s="355"/>
      <c r="G1645" s="355"/>
      <c r="H1645" s="355"/>
      <c r="J1645" s="344"/>
      <c r="K1645" s="344"/>
    </row>
    <row r="1646" spans="2:11" s="429" customFormat="1" ht="18" customHeight="1">
      <c r="B1646" s="460"/>
      <c r="C1646" s="440"/>
      <c r="E1646" s="355"/>
      <c r="G1646" s="355"/>
      <c r="H1646" s="355"/>
      <c r="J1646" s="344"/>
      <c r="K1646" s="344"/>
    </row>
    <row r="1647" spans="2:11" s="429" customFormat="1" ht="18" customHeight="1">
      <c r="B1647" s="460"/>
      <c r="C1647" s="440"/>
      <c r="E1647" s="355"/>
      <c r="G1647" s="355"/>
      <c r="H1647" s="355"/>
      <c r="J1647" s="344"/>
      <c r="K1647" s="344"/>
    </row>
    <row r="1648" spans="2:11" s="429" customFormat="1" ht="18" customHeight="1">
      <c r="B1648" s="460"/>
      <c r="C1648" s="440"/>
      <c r="E1648" s="355"/>
      <c r="G1648" s="355"/>
      <c r="H1648" s="355"/>
      <c r="J1648" s="344"/>
      <c r="K1648" s="344"/>
    </row>
    <row r="1649" spans="2:11" s="429" customFormat="1" ht="18" customHeight="1">
      <c r="B1649" s="460"/>
      <c r="C1649" s="440"/>
      <c r="E1649" s="355"/>
      <c r="G1649" s="355"/>
      <c r="H1649" s="355"/>
      <c r="J1649" s="344"/>
      <c r="K1649" s="344"/>
    </row>
    <row r="1650" spans="2:11" s="429" customFormat="1" ht="18" customHeight="1">
      <c r="B1650" s="460"/>
      <c r="C1650" s="440"/>
      <c r="E1650" s="355"/>
      <c r="G1650" s="355"/>
      <c r="H1650" s="355"/>
      <c r="J1650" s="344"/>
      <c r="K1650" s="344"/>
    </row>
    <row r="1651" spans="2:11" s="429" customFormat="1" ht="18" customHeight="1">
      <c r="B1651" s="460"/>
      <c r="C1651" s="440"/>
      <c r="E1651" s="355"/>
      <c r="G1651" s="355"/>
      <c r="H1651" s="355"/>
      <c r="J1651" s="344"/>
      <c r="K1651" s="344"/>
    </row>
    <row r="1652" spans="2:11" s="429" customFormat="1" ht="18" customHeight="1">
      <c r="B1652" s="460"/>
      <c r="C1652" s="440"/>
      <c r="E1652" s="355"/>
      <c r="G1652" s="355"/>
      <c r="H1652" s="355"/>
      <c r="J1652" s="344"/>
      <c r="K1652" s="344"/>
    </row>
    <row r="1653" spans="2:11" s="429" customFormat="1" ht="18" customHeight="1">
      <c r="B1653" s="460"/>
      <c r="C1653" s="440"/>
      <c r="E1653" s="355"/>
      <c r="G1653" s="355"/>
      <c r="H1653" s="355"/>
      <c r="J1653" s="344"/>
      <c r="K1653" s="344"/>
    </row>
    <row r="1654" spans="2:11" s="429" customFormat="1" ht="18" customHeight="1">
      <c r="B1654" s="460"/>
      <c r="C1654" s="440"/>
      <c r="E1654" s="355"/>
      <c r="G1654" s="355"/>
      <c r="H1654" s="355"/>
      <c r="J1654" s="344"/>
      <c r="K1654" s="344"/>
    </row>
    <row r="1655" spans="2:11" s="429" customFormat="1" ht="18" customHeight="1">
      <c r="B1655" s="460"/>
      <c r="C1655" s="440"/>
      <c r="E1655" s="355"/>
      <c r="G1655" s="355"/>
      <c r="H1655" s="355"/>
      <c r="J1655" s="344"/>
      <c r="K1655" s="344"/>
    </row>
    <row r="1656" spans="2:11" s="429" customFormat="1" ht="18" customHeight="1">
      <c r="B1656" s="460"/>
      <c r="C1656" s="440"/>
      <c r="E1656" s="355"/>
      <c r="G1656" s="355"/>
      <c r="H1656" s="355"/>
      <c r="J1656" s="344"/>
      <c r="K1656" s="344"/>
    </row>
    <row r="1657" spans="2:11" s="429" customFormat="1" ht="18" customHeight="1">
      <c r="B1657" s="460"/>
      <c r="C1657" s="440"/>
      <c r="E1657" s="355"/>
      <c r="G1657" s="355"/>
      <c r="H1657" s="355"/>
      <c r="J1657" s="344"/>
      <c r="K1657" s="344"/>
    </row>
    <row r="1658" spans="2:11" s="429" customFormat="1" ht="18" customHeight="1">
      <c r="B1658" s="460"/>
      <c r="C1658" s="440"/>
      <c r="E1658" s="355"/>
      <c r="G1658" s="355"/>
      <c r="H1658" s="355"/>
      <c r="J1658" s="344"/>
      <c r="K1658" s="344"/>
    </row>
    <row r="1659" spans="2:11" s="429" customFormat="1" ht="18" customHeight="1">
      <c r="B1659" s="460"/>
      <c r="C1659" s="440"/>
      <c r="E1659" s="355"/>
      <c r="G1659" s="355"/>
      <c r="H1659" s="355"/>
      <c r="J1659" s="344"/>
      <c r="K1659" s="344"/>
    </row>
    <row r="1660" spans="2:11" s="429" customFormat="1" ht="18" customHeight="1">
      <c r="B1660" s="460"/>
      <c r="C1660" s="440"/>
      <c r="E1660" s="355"/>
      <c r="G1660" s="355"/>
      <c r="H1660" s="355"/>
      <c r="J1660" s="344"/>
      <c r="K1660" s="344"/>
    </row>
    <row r="1661" spans="2:11" s="429" customFormat="1" ht="18" customHeight="1">
      <c r="B1661" s="460"/>
      <c r="C1661" s="440"/>
      <c r="E1661" s="355"/>
      <c r="G1661" s="355"/>
      <c r="H1661" s="355"/>
      <c r="J1661" s="344"/>
      <c r="K1661" s="344"/>
    </row>
    <row r="1662" spans="2:11" s="429" customFormat="1" ht="18" customHeight="1">
      <c r="B1662" s="460"/>
      <c r="C1662" s="440"/>
      <c r="E1662" s="355"/>
      <c r="G1662" s="355"/>
      <c r="H1662" s="355"/>
      <c r="J1662" s="344"/>
      <c r="K1662" s="344"/>
    </row>
    <row r="1663" spans="2:11" s="429" customFormat="1" ht="18" customHeight="1">
      <c r="B1663" s="460"/>
      <c r="C1663" s="440"/>
      <c r="E1663" s="355"/>
      <c r="G1663" s="355"/>
      <c r="H1663" s="355"/>
      <c r="J1663" s="344"/>
      <c r="K1663" s="344"/>
    </row>
    <row r="1664" spans="2:11" s="429" customFormat="1" ht="18" customHeight="1">
      <c r="B1664" s="460"/>
      <c r="C1664" s="440"/>
      <c r="E1664" s="355"/>
      <c r="G1664" s="355"/>
      <c r="H1664" s="355"/>
      <c r="J1664" s="344"/>
      <c r="K1664" s="344"/>
    </row>
    <row r="1665" spans="2:11" s="429" customFormat="1" ht="18" customHeight="1">
      <c r="B1665" s="460"/>
      <c r="C1665" s="440"/>
      <c r="E1665" s="355"/>
      <c r="G1665" s="355"/>
      <c r="H1665" s="355"/>
      <c r="J1665" s="344"/>
      <c r="K1665" s="344"/>
    </row>
    <row r="1666" spans="2:11" s="429" customFormat="1" ht="18" customHeight="1">
      <c r="B1666" s="460"/>
      <c r="C1666" s="440"/>
      <c r="E1666" s="355"/>
      <c r="G1666" s="355"/>
      <c r="H1666" s="355"/>
      <c r="J1666" s="344"/>
      <c r="K1666" s="344"/>
    </row>
    <row r="1667" spans="2:11" s="429" customFormat="1" ht="18" customHeight="1">
      <c r="B1667" s="460"/>
      <c r="C1667" s="440"/>
      <c r="E1667" s="355"/>
      <c r="G1667" s="355"/>
      <c r="H1667" s="355"/>
      <c r="J1667" s="344"/>
      <c r="K1667" s="344"/>
    </row>
    <row r="1668" spans="2:11" s="429" customFormat="1" ht="18" customHeight="1">
      <c r="B1668" s="460"/>
      <c r="C1668" s="440"/>
      <c r="E1668" s="355"/>
      <c r="G1668" s="355"/>
      <c r="H1668" s="355"/>
      <c r="J1668" s="344"/>
      <c r="K1668" s="344"/>
    </row>
    <row r="1669" spans="2:11" s="429" customFormat="1" ht="18" customHeight="1">
      <c r="B1669" s="460"/>
      <c r="C1669" s="440"/>
      <c r="E1669" s="355"/>
      <c r="G1669" s="355"/>
      <c r="H1669" s="355"/>
      <c r="J1669" s="344"/>
      <c r="K1669" s="344"/>
    </row>
    <row r="1670" spans="2:11" s="429" customFormat="1" ht="18" customHeight="1">
      <c r="B1670" s="460"/>
      <c r="C1670" s="440"/>
      <c r="E1670" s="355"/>
      <c r="G1670" s="355"/>
      <c r="H1670" s="355"/>
      <c r="J1670" s="344"/>
      <c r="K1670" s="344"/>
    </row>
    <row r="1671" spans="2:11" s="429" customFormat="1" ht="18" customHeight="1">
      <c r="B1671" s="460"/>
      <c r="C1671" s="440"/>
      <c r="E1671" s="355"/>
      <c r="G1671" s="355"/>
      <c r="H1671" s="355"/>
      <c r="J1671" s="344"/>
      <c r="K1671" s="344"/>
    </row>
    <row r="1672" spans="2:11" s="429" customFormat="1" ht="18" customHeight="1">
      <c r="B1672" s="460"/>
      <c r="C1672" s="440"/>
      <c r="E1672" s="355"/>
      <c r="G1672" s="355"/>
      <c r="H1672" s="355"/>
      <c r="J1672" s="344"/>
      <c r="K1672" s="344"/>
    </row>
    <row r="1673" spans="2:11" s="429" customFormat="1" ht="18" customHeight="1">
      <c r="B1673" s="460"/>
      <c r="C1673" s="440"/>
      <c r="E1673" s="355"/>
      <c r="G1673" s="355"/>
      <c r="H1673" s="355"/>
      <c r="J1673" s="344"/>
      <c r="K1673" s="344"/>
    </row>
    <row r="1674" spans="2:11" s="429" customFormat="1" ht="18" customHeight="1">
      <c r="B1674" s="460"/>
      <c r="C1674" s="440"/>
      <c r="E1674" s="355"/>
      <c r="G1674" s="355"/>
      <c r="H1674" s="355"/>
      <c r="J1674" s="344"/>
      <c r="K1674" s="344"/>
    </row>
    <row r="1675" spans="2:11" s="429" customFormat="1" ht="18" customHeight="1">
      <c r="B1675" s="460"/>
      <c r="C1675" s="440"/>
      <c r="E1675" s="355"/>
      <c r="G1675" s="355"/>
      <c r="H1675" s="355"/>
      <c r="J1675" s="344"/>
      <c r="K1675" s="344"/>
    </row>
    <row r="1676" spans="2:11" s="429" customFormat="1" ht="18" customHeight="1">
      <c r="B1676" s="460"/>
      <c r="C1676" s="440"/>
      <c r="E1676" s="355"/>
      <c r="G1676" s="355"/>
      <c r="H1676" s="355"/>
      <c r="J1676" s="344"/>
      <c r="K1676" s="344"/>
    </row>
    <row r="1677" spans="2:11" s="429" customFormat="1" ht="18" customHeight="1">
      <c r="B1677" s="460"/>
      <c r="C1677" s="440"/>
      <c r="E1677" s="355"/>
      <c r="G1677" s="355"/>
      <c r="H1677" s="355"/>
      <c r="J1677" s="344"/>
      <c r="K1677" s="344"/>
    </row>
    <row r="1678" spans="2:11" s="429" customFormat="1" ht="18" customHeight="1">
      <c r="B1678" s="460"/>
      <c r="C1678" s="440"/>
      <c r="E1678" s="355"/>
      <c r="G1678" s="355"/>
      <c r="H1678" s="355"/>
      <c r="J1678" s="344"/>
      <c r="K1678" s="344"/>
    </row>
    <row r="1679" spans="2:11" s="429" customFormat="1" ht="18" customHeight="1">
      <c r="B1679" s="460"/>
      <c r="C1679" s="440"/>
      <c r="E1679" s="355"/>
      <c r="G1679" s="355"/>
      <c r="H1679" s="355"/>
      <c r="J1679" s="344"/>
      <c r="K1679" s="344"/>
    </row>
    <row r="1680" spans="2:11" s="429" customFormat="1" ht="18" customHeight="1">
      <c r="B1680" s="460"/>
      <c r="C1680" s="440"/>
      <c r="E1680" s="355"/>
      <c r="G1680" s="355"/>
      <c r="H1680" s="355"/>
      <c r="J1680" s="344"/>
      <c r="K1680" s="344"/>
    </row>
    <row r="1681" spans="2:11" s="429" customFormat="1" ht="18" customHeight="1">
      <c r="B1681" s="460"/>
      <c r="C1681" s="440"/>
      <c r="E1681" s="355"/>
      <c r="G1681" s="355"/>
      <c r="H1681" s="355"/>
      <c r="J1681" s="344"/>
      <c r="K1681" s="344"/>
    </row>
    <row r="1682" spans="2:11" s="429" customFormat="1" ht="18" customHeight="1">
      <c r="B1682" s="460"/>
      <c r="C1682" s="440"/>
      <c r="E1682" s="355"/>
      <c r="G1682" s="355"/>
      <c r="H1682" s="355"/>
      <c r="J1682" s="344"/>
      <c r="K1682" s="344"/>
    </row>
    <row r="1683" spans="2:11" s="429" customFormat="1" ht="18" customHeight="1">
      <c r="B1683" s="460"/>
      <c r="C1683" s="440"/>
      <c r="E1683" s="355"/>
      <c r="G1683" s="355"/>
      <c r="H1683" s="355"/>
      <c r="J1683" s="344"/>
      <c r="K1683" s="344"/>
    </row>
    <row r="1684" spans="2:11" s="429" customFormat="1" ht="18" customHeight="1">
      <c r="B1684" s="460"/>
      <c r="C1684" s="440"/>
      <c r="E1684" s="355"/>
      <c r="G1684" s="355"/>
      <c r="H1684" s="355"/>
      <c r="J1684" s="344"/>
      <c r="K1684" s="344"/>
    </row>
    <row r="1685" spans="2:11" s="429" customFormat="1" ht="18" customHeight="1">
      <c r="B1685" s="460"/>
      <c r="C1685" s="440"/>
      <c r="E1685" s="355"/>
      <c r="G1685" s="355"/>
      <c r="H1685" s="355"/>
      <c r="J1685" s="344"/>
      <c r="K1685" s="344"/>
    </row>
    <row r="1686" spans="2:11" s="429" customFormat="1" ht="18" customHeight="1">
      <c r="B1686" s="460"/>
      <c r="C1686" s="440"/>
      <c r="E1686" s="355"/>
      <c r="G1686" s="355"/>
      <c r="H1686" s="355"/>
      <c r="J1686" s="344"/>
      <c r="K1686" s="344"/>
    </row>
    <row r="1687" spans="2:11" s="429" customFormat="1" ht="18" customHeight="1">
      <c r="B1687" s="460"/>
      <c r="C1687" s="440"/>
      <c r="E1687" s="355"/>
      <c r="G1687" s="355"/>
      <c r="H1687" s="355"/>
      <c r="J1687" s="344"/>
      <c r="K1687" s="344"/>
    </row>
    <row r="1688" spans="2:11" s="429" customFormat="1" ht="18" customHeight="1">
      <c r="B1688" s="460"/>
      <c r="C1688" s="440"/>
      <c r="E1688" s="355"/>
      <c r="G1688" s="355"/>
      <c r="H1688" s="355"/>
      <c r="J1688" s="344"/>
      <c r="K1688" s="344"/>
    </row>
    <row r="1689" spans="2:11" s="429" customFormat="1" ht="18" customHeight="1">
      <c r="B1689" s="460"/>
      <c r="C1689" s="440"/>
      <c r="E1689" s="355"/>
      <c r="G1689" s="355"/>
      <c r="H1689" s="355"/>
      <c r="J1689" s="344"/>
      <c r="K1689" s="344"/>
    </row>
    <row r="1690" spans="2:11" s="429" customFormat="1" ht="18" customHeight="1">
      <c r="B1690" s="460"/>
      <c r="C1690" s="440"/>
      <c r="E1690" s="355"/>
      <c r="G1690" s="355"/>
      <c r="H1690" s="355"/>
      <c r="J1690" s="344"/>
      <c r="K1690" s="344"/>
    </row>
    <row r="1691" spans="2:11" s="429" customFormat="1" ht="18" customHeight="1">
      <c r="B1691" s="460"/>
      <c r="C1691" s="440"/>
      <c r="E1691" s="355"/>
      <c r="G1691" s="355"/>
      <c r="H1691" s="355"/>
      <c r="J1691" s="344"/>
      <c r="K1691" s="344"/>
    </row>
    <row r="1692" spans="2:11" s="429" customFormat="1" ht="18" customHeight="1">
      <c r="B1692" s="460"/>
      <c r="C1692" s="440"/>
      <c r="E1692" s="355"/>
      <c r="G1692" s="355"/>
      <c r="H1692" s="355"/>
      <c r="J1692" s="344"/>
      <c r="K1692" s="344"/>
    </row>
    <row r="1693" spans="2:11" s="429" customFormat="1" ht="18" customHeight="1">
      <c r="B1693" s="460"/>
      <c r="C1693" s="440"/>
      <c r="E1693" s="355"/>
      <c r="G1693" s="355"/>
      <c r="H1693" s="355"/>
      <c r="J1693" s="344"/>
      <c r="K1693" s="344"/>
    </row>
    <row r="1694" spans="2:11" s="429" customFormat="1" ht="18" customHeight="1">
      <c r="B1694" s="460"/>
      <c r="C1694" s="440"/>
      <c r="E1694" s="355"/>
      <c r="G1694" s="355"/>
      <c r="H1694" s="355"/>
      <c r="J1694" s="344"/>
      <c r="K1694" s="344"/>
    </row>
    <row r="1695" spans="2:11" s="429" customFormat="1" ht="18" customHeight="1">
      <c r="B1695" s="460"/>
      <c r="C1695" s="440"/>
      <c r="E1695" s="355"/>
      <c r="G1695" s="355"/>
      <c r="H1695" s="355"/>
      <c r="J1695" s="344"/>
      <c r="K1695" s="344"/>
    </row>
    <row r="1696" spans="2:11" s="429" customFormat="1" ht="18" customHeight="1">
      <c r="B1696" s="460"/>
      <c r="C1696" s="440"/>
      <c r="E1696" s="355"/>
      <c r="G1696" s="355"/>
      <c r="H1696" s="355"/>
      <c r="J1696" s="344"/>
      <c r="K1696" s="344"/>
    </row>
    <row r="1697" spans="2:11" s="429" customFormat="1" ht="18" customHeight="1">
      <c r="B1697" s="460"/>
      <c r="C1697" s="440"/>
      <c r="E1697" s="355"/>
      <c r="G1697" s="355"/>
      <c r="H1697" s="355"/>
      <c r="J1697" s="344"/>
      <c r="K1697" s="344"/>
    </row>
    <row r="1698" spans="2:11" s="429" customFormat="1" ht="18" customHeight="1">
      <c r="B1698" s="460"/>
      <c r="C1698" s="440"/>
      <c r="E1698" s="355"/>
      <c r="G1698" s="355"/>
      <c r="H1698" s="355"/>
      <c r="J1698" s="344"/>
      <c r="K1698" s="344"/>
    </row>
    <row r="1699" spans="2:11" s="429" customFormat="1" ht="18" customHeight="1">
      <c r="B1699" s="460"/>
      <c r="C1699" s="440"/>
      <c r="E1699" s="355"/>
      <c r="G1699" s="355"/>
      <c r="H1699" s="355"/>
      <c r="J1699" s="344"/>
      <c r="K1699" s="344"/>
    </row>
    <row r="1700" spans="2:11" s="429" customFormat="1" ht="18" customHeight="1">
      <c r="B1700" s="460"/>
      <c r="C1700" s="440"/>
      <c r="E1700" s="355"/>
      <c r="G1700" s="355"/>
      <c r="H1700" s="355"/>
      <c r="J1700" s="344"/>
      <c r="K1700" s="344"/>
    </row>
    <row r="1701" spans="2:11" s="429" customFormat="1" ht="18" customHeight="1">
      <c r="B1701" s="460"/>
      <c r="C1701" s="440"/>
      <c r="E1701" s="355"/>
      <c r="G1701" s="355"/>
      <c r="H1701" s="355"/>
      <c r="J1701" s="344"/>
      <c r="K1701" s="344"/>
    </row>
    <row r="1702" spans="2:11" s="429" customFormat="1" ht="18" customHeight="1">
      <c r="B1702" s="460"/>
      <c r="C1702" s="440"/>
      <c r="E1702" s="355"/>
      <c r="G1702" s="355"/>
      <c r="H1702" s="355"/>
      <c r="J1702" s="344"/>
      <c r="K1702" s="344"/>
    </row>
    <row r="1703" spans="2:11" s="429" customFormat="1" ht="18" customHeight="1">
      <c r="B1703" s="460"/>
      <c r="C1703" s="440"/>
      <c r="E1703" s="355"/>
      <c r="G1703" s="355"/>
      <c r="H1703" s="355"/>
      <c r="J1703" s="344"/>
      <c r="K1703" s="344"/>
    </row>
    <row r="1704" spans="2:11" s="429" customFormat="1" ht="18" customHeight="1">
      <c r="B1704" s="460"/>
      <c r="C1704" s="440"/>
      <c r="E1704" s="355"/>
      <c r="G1704" s="355"/>
      <c r="H1704" s="355"/>
      <c r="J1704" s="344"/>
      <c r="K1704" s="344"/>
    </row>
    <row r="1705" spans="2:11" s="429" customFormat="1" ht="18" customHeight="1">
      <c r="B1705" s="460"/>
      <c r="C1705" s="440"/>
      <c r="E1705" s="355"/>
      <c r="G1705" s="355"/>
      <c r="H1705" s="355"/>
      <c r="J1705" s="344"/>
      <c r="K1705" s="344"/>
    </row>
    <row r="1706" spans="2:11" s="429" customFormat="1" ht="18" customHeight="1">
      <c r="B1706" s="460"/>
      <c r="C1706" s="440"/>
      <c r="E1706" s="355"/>
      <c r="G1706" s="355"/>
      <c r="H1706" s="355"/>
      <c r="J1706" s="344"/>
      <c r="K1706" s="344"/>
    </row>
    <row r="1707" spans="2:11" s="429" customFormat="1" ht="18" customHeight="1">
      <c r="B1707" s="460"/>
      <c r="C1707" s="440"/>
      <c r="E1707" s="355"/>
      <c r="G1707" s="355"/>
      <c r="H1707" s="355"/>
      <c r="J1707" s="344"/>
      <c r="K1707" s="344"/>
    </row>
    <row r="1708" spans="2:11" s="429" customFormat="1" ht="18" customHeight="1">
      <c r="B1708" s="460"/>
      <c r="C1708" s="440"/>
      <c r="E1708" s="355"/>
      <c r="G1708" s="355"/>
      <c r="H1708" s="355"/>
      <c r="J1708" s="344"/>
      <c r="K1708" s="344"/>
    </row>
    <row r="1709" spans="2:11" s="429" customFormat="1" ht="18" customHeight="1">
      <c r="B1709" s="460"/>
      <c r="C1709" s="440"/>
      <c r="E1709" s="355"/>
      <c r="G1709" s="355"/>
      <c r="H1709" s="355"/>
      <c r="J1709" s="344"/>
      <c r="K1709" s="344"/>
    </row>
    <row r="1710" spans="2:11" s="429" customFormat="1" ht="18" customHeight="1">
      <c r="B1710" s="460"/>
      <c r="C1710" s="440"/>
      <c r="E1710" s="355"/>
      <c r="G1710" s="355"/>
      <c r="H1710" s="355"/>
      <c r="J1710" s="344"/>
      <c r="K1710" s="344"/>
    </row>
    <row r="1711" spans="2:11" s="429" customFormat="1" ht="18" customHeight="1">
      <c r="B1711" s="460"/>
      <c r="C1711" s="440"/>
      <c r="E1711" s="355"/>
      <c r="G1711" s="355"/>
      <c r="H1711" s="355"/>
      <c r="J1711" s="344"/>
      <c r="K1711" s="344"/>
    </row>
    <row r="1712" spans="2:11" s="429" customFormat="1" ht="18" customHeight="1">
      <c r="B1712" s="460"/>
      <c r="C1712" s="440"/>
      <c r="E1712" s="355"/>
      <c r="G1712" s="355"/>
      <c r="H1712" s="355"/>
      <c r="J1712" s="344"/>
      <c r="K1712" s="344"/>
    </row>
    <row r="1713" spans="2:11" s="429" customFormat="1" ht="18" customHeight="1">
      <c r="B1713" s="460"/>
      <c r="C1713" s="440"/>
      <c r="E1713" s="355"/>
      <c r="G1713" s="355"/>
      <c r="H1713" s="355"/>
      <c r="J1713" s="344"/>
      <c r="K1713" s="344"/>
    </row>
    <row r="1714" spans="2:11" s="429" customFormat="1" ht="18" customHeight="1">
      <c r="B1714" s="460"/>
      <c r="C1714" s="440"/>
      <c r="E1714" s="355"/>
      <c r="G1714" s="355"/>
      <c r="H1714" s="355"/>
      <c r="J1714" s="344"/>
      <c r="K1714" s="344"/>
    </row>
    <row r="1715" spans="2:11" s="429" customFormat="1" ht="18" customHeight="1">
      <c r="B1715" s="460"/>
      <c r="C1715" s="440"/>
      <c r="E1715" s="355"/>
      <c r="G1715" s="355"/>
      <c r="H1715" s="355"/>
      <c r="J1715" s="344"/>
      <c r="K1715" s="344"/>
    </row>
    <row r="1716" spans="2:11" s="429" customFormat="1" ht="18" customHeight="1">
      <c r="B1716" s="460"/>
      <c r="C1716" s="440"/>
      <c r="E1716" s="355"/>
      <c r="G1716" s="355"/>
      <c r="H1716" s="355"/>
      <c r="J1716" s="344"/>
      <c r="K1716" s="344"/>
    </row>
    <row r="1717" spans="2:11" s="429" customFormat="1" ht="18" customHeight="1">
      <c r="B1717" s="460"/>
      <c r="C1717" s="440"/>
      <c r="E1717" s="355"/>
      <c r="G1717" s="355"/>
      <c r="H1717" s="355"/>
      <c r="J1717" s="344"/>
      <c r="K1717" s="344"/>
    </row>
    <row r="1718" spans="2:11" s="429" customFormat="1" ht="18" customHeight="1">
      <c r="B1718" s="460"/>
      <c r="C1718" s="440"/>
      <c r="E1718" s="355"/>
      <c r="G1718" s="355"/>
      <c r="H1718" s="355"/>
      <c r="J1718" s="344"/>
      <c r="K1718" s="344"/>
    </row>
    <row r="1719" spans="2:11" s="429" customFormat="1" ht="18" customHeight="1">
      <c r="B1719" s="460"/>
      <c r="C1719" s="440"/>
      <c r="E1719" s="355"/>
      <c r="G1719" s="355"/>
      <c r="H1719" s="355"/>
      <c r="J1719" s="344"/>
      <c r="K1719" s="344"/>
    </row>
    <row r="1720" spans="2:11" s="429" customFormat="1" ht="18" customHeight="1">
      <c r="B1720" s="460"/>
      <c r="C1720" s="440"/>
      <c r="E1720" s="355"/>
      <c r="G1720" s="355"/>
      <c r="H1720" s="355"/>
      <c r="J1720" s="344"/>
      <c r="K1720" s="344"/>
    </row>
    <row r="1721" spans="2:11" s="429" customFormat="1" ht="18" customHeight="1">
      <c r="B1721" s="460"/>
      <c r="C1721" s="440"/>
      <c r="E1721" s="355"/>
      <c r="G1721" s="355"/>
      <c r="H1721" s="355"/>
      <c r="J1721" s="344"/>
      <c r="K1721" s="344"/>
    </row>
    <row r="1722" spans="2:11" s="429" customFormat="1" ht="18" customHeight="1">
      <c r="B1722" s="460"/>
      <c r="C1722" s="440"/>
      <c r="E1722" s="355"/>
      <c r="G1722" s="355"/>
      <c r="H1722" s="355"/>
      <c r="J1722" s="344"/>
      <c r="K1722" s="344"/>
    </row>
    <row r="1723" spans="2:11" s="429" customFormat="1" ht="18" customHeight="1">
      <c r="B1723" s="460"/>
      <c r="C1723" s="440"/>
      <c r="E1723" s="355"/>
      <c r="G1723" s="355"/>
      <c r="H1723" s="355"/>
      <c r="J1723" s="344"/>
      <c r="K1723" s="344"/>
    </row>
    <row r="1724" spans="2:11" s="429" customFormat="1" ht="18" customHeight="1">
      <c r="B1724" s="460"/>
      <c r="C1724" s="440"/>
      <c r="E1724" s="355"/>
      <c r="G1724" s="355"/>
      <c r="H1724" s="355"/>
      <c r="J1724" s="344"/>
      <c r="K1724" s="344"/>
    </row>
    <row r="1725" spans="2:11" s="429" customFormat="1" ht="18" customHeight="1">
      <c r="B1725" s="460"/>
      <c r="C1725" s="440"/>
      <c r="E1725" s="355"/>
      <c r="G1725" s="355"/>
      <c r="H1725" s="355"/>
      <c r="J1725" s="344"/>
      <c r="K1725" s="344"/>
    </row>
    <row r="1726" spans="2:11" s="429" customFormat="1" ht="18" customHeight="1">
      <c r="B1726" s="460"/>
      <c r="C1726" s="440"/>
      <c r="E1726" s="355"/>
      <c r="G1726" s="355"/>
      <c r="H1726" s="355"/>
      <c r="J1726" s="344"/>
      <c r="K1726" s="344"/>
    </row>
    <row r="1727" spans="2:11" s="429" customFormat="1" ht="18" customHeight="1">
      <c r="B1727" s="460"/>
      <c r="C1727" s="440"/>
      <c r="E1727" s="355"/>
      <c r="G1727" s="355"/>
      <c r="H1727" s="355"/>
      <c r="J1727" s="344"/>
      <c r="K1727" s="344"/>
    </row>
    <row r="1728" spans="2:11" s="429" customFormat="1" ht="18" customHeight="1">
      <c r="B1728" s="460"/>
      <c r="C1728" s="440"/>
      <c r="E1728" s="355"/>
      <c r="G1728" s="355"/>
      <c r="H1728" s="355"/>
      <c r="J1728" s="344"/>
      <c r="K1728" s="344"/>
    </row>
    <row r="1729" spans="2:11" s="429" customFormat="1" ht="18" customHeight="1">
      <c r="B1729" s="460"/>
      <c r="C1729" s="440"/>
      <c r="E1729" s="355"/>
      <c r="G1729" s="355"/>
      <c r="H1729" s="355"/>
      <c r="J1729" s="344"/>
      <c r="K1729" s="344"/>
    </row>
    <row r="1730" spans="2:11" s="429" customFormat="1" ht="18" customHeight="1">
      <c r="B1730" s="460"/>
      <c r="C1730" s="440"/>
      <c r="E1730" s="355"/>
      <c r="G1730" s="355"/>
      <c r="H1730" s="355"/>
      <c r="J1730" s="344"/>
      <c r="K1730" s="344"/>
    </row>
    <row r="1731" spans="2:11" s="429" customFormat="1" ht="18" customHeight="1">
      <c r="B1731" s="460"/>
      <c r="C1731" s="440"/>
      <c r="E1731" s="355"/>
      <c r="G1731" s="355"/>
      <c r="H1731" s="355"/>
      <c r="J1731" s="344"/>
      <c r="K1731" s="344"/>
    </row>
    <row r="1732" spans="2:11" s="429" customFormat="1" ht="18" customHeight="1">
      <c r="B1732" s="460"/>
      <c r="C1732" s="440"/>
      <c r="E1732" s="355"/>
      <c r="G1732" s="355"/>
      <c r="H1732" s="355"/>
      <c r="J1732" s="344"/>
      <c r="K1732" s="344"/>
    </row>
    <row r="1733" spans="2:11" s="429" customFormat="1" ht="18" customHeight="1">
      <c r="B1733" s="460"/>
      <c r="C1733" s="440"/>
      <c r="E1733" s="355"/>
      <c r="G1733" s="355"/>
      <c r="H1733" s="355"/>
      <c r="J1733" s="344"/>
      <c r="K1733" s="344"/>
    </row>
    <row r="1734" spans="2:11" s="429" customFormat="1" ht="18" customHeight="1">
      <c r="B1734" s="460"/>
      <c r="C1734" s="440"/>
      <c r="E1734" s="355"/>
      <c r="G1734" s="355"/>
      <c r="H1734" s="355"/>
      <c r="J1734" s="344"/>
      <c r="K1734" s="344"/>
    </row>
    <row r="1735" spans="2:11" s="429" customFormat="1" ht="18" customHeight="1">
      <c r="B1735" s="460"/>
      <c r="C1735" s="440"/>
      <c r="E1735" s="355"/>
      <c r="G1735" s="355"/>
      <c r="H1735" s="355"/>
      <c r="J1735" s="344"/>
      <c r="K1735" s="344"/>
    </row>
    <row r="1736" spans="2:11" s="429" customFormat="1" ht="18" customHeight="1">
      <c r="B1736" s="460"/>
      <c r="C1736" s="440"/>
      <c r="E1736" s="355"/>
      <c r="G1736" s="355"/>
      <c r="H1736" s="355"/>
      <c r="J1736" s="344"/>
      <c r="K1736" s="344"/>
    </row>
    <row r="1737" spans="2:11" s="429" customFormat="1" ht="18" customHeight="1">
      <c r="B1737" s="460"/>
      <c r="C1737" s="440"/>
      <c r="E1737" s="355"/>
      <c r="G1737" s="355"/>
      <c r="H1737" s="355"/>
      <c r="J1737" s="344"/>
      <c r="K1737" s="344"/>
    </row>
    <row r="1738" spans="2:11" s="429" customFormat="1" ht="18" customHeight="1">
      <c r="B1738" s="460"/>
      <c r="C1738" s="440"/>
      <c r="E1738" s="355"/>
      <c r="G1738" s="355"/>
      <c r="H1738" s="355"/>
      <c r="J1738" s="344"/>
      <c r="K1738" s="344"/>
    </row>
    <row r="1739" spans="2:11" s="429" customFormat="1" ht="18" customHeight="1">
      <c r="B1739" s="460"/>
      <c r="C1739" s="440"/>
      <c r="E1739" s="355"/>
      <c r="G1739" s="355"/>
      <c r="H1739" s="355"/>
      <c r="J1739" s="344"/>
      <c r="K1739" s="344"/>
    </row>
    <row r="1740" spans="2:11" s="429" customFormat="1" ht="18" customHeight="1">
      <c r="B1740" s="460"/>
      <c r="C1740" s="440"/>
      <c r="E1740" s="355"/>
      <c r="G1740" s="355"/>
      <c r="H1740" s="355"/>
      <c r="J1740" s="344"/>
      <c r="K1740" s="344"/>
    </row>
    <row r="1741" spans="2:11" s="429" customFormat="1" ht="18" customHeight="1">
      <c r="B1741" s="460"/>
      <c r="C1741" s="440"/>
      <c r="E1741" s="355"/>
      <c r="G1741" s="355"/>
      <c r="H1741" s="355"/>
      <c r="J1741" s="344"/>
      <c r="K1741" s="344"/>
    </row>
  </sheetData>
  <autoFilter ref="B1:B1741" xr:uid="{00000000-0009-0000-0000-000003000000}"/>
  <mergeCells count="12">
    <mergeCell ref="B71:F71"/>
    <mergeCell ref="B72:E72"/>
    <mergeCell ref="B73:E73"/>
    <mergeCell ref="B74:F74"/>
    <mergeCell ref="A3:G3"/>
    <mergeCell ref="A4:A5"/>
    <mergeCell ref="B4:B5"/>
    <mergeCell ref="C4:C5"/>
    <mergeCell ref="D4:D5"/>
    <mergeCell ref="E4:E5"/>
    <mergeCell ref="F4:F5"/>
    <mergeCell ref="G4:G5"/>
  </mergeCells>
  <printOptions horizontalCentered="1"/>
  <pageMargins left="0.5" right="0.25" top="0.25" bottom="0" header="0" footer="0"/>
  <pageSetup paperSize="9" scale="90" orientation="portrait" r:id="rId1"/>
  <headerFooter>
    <oddFooter>Page &amp;P of &amp;N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752"/>
  <sheetViews>
    <sheetView view="pageBreakPreview" zoomScale="80" zoomScaleNormal="130" zoomScaleSheetLayoutView="80" workbookViewId="0">
      <selection activeCell="G72" sqref="G72"/>
    </sheetView>
  </sheetViews>
  <sheetFormatPr defaultColWidth="8.88671875" defaultRowHeight="16.8"/>
  <cols>
    <col min="1" max="1" width="4.6640625" style="429" customWidth="1"/>
    <col min="2" max="2" width="37.109375" style="460" customWidth="1"/>
    <col min="3" max="3" width="11.5546875" style="440" customWidth="1"/>
    <col min="4" max="4" width="6.6640625" style="429" customWidth="1"/>
    <col min="5" max="5" width="14.77734375" style="355" customWidth="1"/>
    <col min="6" max="6" width="6.6640625" style="429" customWidth="1"/>
    <col min="7" max="7" width="18.33203125" style="355" customWidth="1"/>
    <col min="8" max="8" width="27" style="355" customWidth="1"/>
    <col min="9" max="9" width="16.33203125" style="429" customWidth="1"/>
    <col min="10" max="10" width="8.88671875" style="344"/>
    <col min="11" max="11" width="12.109375" style="344" customWidth="1"/>
    <col min="12" max="12" width="8.88671875" style="344" customWidth="1"/>
    <col min="13" max="13" width="23.88671875" style="344" customWidth="1"/>
    <col min="14" max="14" width="8.88671875" style="344"/>
    <col min="15" max="16" width="20.5546875" style="344" customWidth="1"/>
    <col min="17" max="16384" width="8.88671875" style="344"/>
  </cols>
  <sheetData>
    <row r="1" spans="1:11" s="342" customFormat="1" ht="21.9" customHeight="1">
      <c r="A1" s="338" t="s">
        <v>263</v>
      </c>
      <c r="B1" s="339"/>
      <c r="C1" s="339"/>
      <c r="D1" s="339"/>
      <c r="E1" s="339"/>
      <c r="F1" s="341"/>
      <c r="G1" s="339"/>
      <c r="H1" s="339"/>
      <c r="I1" s="339"/>
      <c r="J1" s="339"/>
      <c r="K1" s="339"/>
    </row>
    <row r="2" spans="1:11" s="342" customFormat="1" ht="21.9" customHeight="1">
      <c r="A2" s="338" t="s">
        <v>162</v>
      </c>
      <c r="B2" s="339"/>
      <c r="C2" s="339"/>
      <c r="D2" s="339"/>
      <c r="E2" s="339"/>
      <c r="F2" s="341"/>
      <c r="G2" s="339"/>
      <c r="H2" s="339"/>
      <c r="I2" s="339"/>
      <c r="J2" s="339"/>
      <c r="K2" s="339"/>
    </row>
    <row r="3" spans="1:11" ht="24.9" customHeight="1">
      <c r="A3" s="1150" t="s">
        <v>7</v>
      </c>
      <c r="B3" s="1150"/>
      <c r="C3" s="1150"/>
      <c r="D3" s="1150"/>
      <c r="E3" s="1150"/>
      <c r="F3" s="1150"/>
      <c r="G3" s="1150"/>
      <c r="H3" s="432"/>
    </row>
    <row r="4" spans="1:11" ht="20.100000000000001" customHeight="1">
      <c r="A4" s="1158" t="s">
        <v>8</v>
      </c>
      <c r="B4" s="1158" t="s">
        <v>1</v>
      </c>
      <c r="C4" s="1159" t="s">
        <v>2</v>
      </c>
      <c r="D4" s="1160" t="s">
        <v>3</v>
      </c>
      <c r="E4" s="1161" t="s">
        <v>4</v>
      </c>
      <c r="F4" s="1160" t="s">
        <v>5</v>
      </c>
      <c r="G4" s="1161" t="s">
        <v>6</v>
      </c>
      <c r="H4" s="433"/>
    </row>
    <row r="5" spans="1:11" ht="24.9" customHeight="1">
      <c r="A5" s="1158"/>
      <c r="B5" s="1158"/>
      <c r="C5" s="1159"/>
      <c r="D5" s="1160"/>
      <c r="E5" s="1161"/>
      <c r="F5" s="1160"/>
      <c r="G5" s="1161"/>
      <c r="H5" s="433"/>
    </row>
    <row r="6" spans="1:11" ht="18" customHeight="1">
      <c r="A6" s="434"/>
      <c r="B6" s="435" t="s">
        <v>29</v>
      </c>
      <c r="C6" s="436"/>
      <c r="D6" s="349"/>
      <c r="E6" s="437"/>
      <c r="F6" s="349"/>
      <c r="G6" s="437"/>
      <c r="H6" s="433"/>
    </row>
    <row r="7" spans="1:11" ht="18" customHeight="1">
      <c r="A7" s="351">
        <v>1</v>
      </c>
      <c r="B7" s="379" t="s">
        <v>102</v>
      </c>
      <c r="C7" s="366">
        <f>SUMIF('Builder Estimate'!$B$6:$B$645,'Bill of Quantity'!B7,'Builder Estimate'!$C$6:$C$645)</f>
        <v>2291.2144746078252</v>
      </c>
      <c r="D7" s="351" t="str">
        <f>VLOOKUP(B7,'Builder Estimate'!$B:$H,4,FALSE)</f>
        <v>Bag</v>
      </c>
      <c r="E7" s="353">
        <f>VLOOKUP(B7,'Price '!B:D,3,FALSE)</f>
        <v>18400</v>
      </c>
      <c r="F7" s="438" t="str">
        <f>VLOOKUP(B7,'Price '!$B:$D,2,FALSE)</f>
        <v>Bags</v>
      </c>
      <c r="G7" s="353">
        <f t="shared" ref="G7:G45" si="0">E7*C7</f>
        <v>42158346.332783982</v>
      </c>
      <c r="H7" s="439"/>
    </row>
    <row r="8" spans="1:11" ht="18" customHeight="1">
      <c r="A8" s="351">
        <v>2</v>
      </c>
      <c r="B8" s="354" t="s">
        <v>36</v>
      </c>
      <c r="C8" s="366">
        <f>SUMIF('Builder Estimate'!$B$6:$B$645,'Bill of Quantity'!B8,'Builder Estimate'!$C$6:$C$645)</f>
        <v>99.348875812847226</v>
      </c>
      <c r="D8" s="351" t="str">
        <f>VLOOKUP(B8,'Builder Estimate'!$B:$H,4,FALSE)</f>
        <v>Sud</v>
      </c>
      <c r="E8" s="353">
        <f>VLOOKUP(B8,'Price '!B:D,3,FALSE)</f>
        <v>50000</v>
      </c>
      <c r="F8" s="438" t="str">
        <f>VLOOKUP(B8,'Price '!$B:$D,2,FALSE)</f>
        <v>Suds</v>
      </c>
      <c r="G8" s="353">
        <f t="shared" si="0"/>
        <v>4967443.7906423612</v>
      </c>
      <c r="H8" s="344"/>
    </row>
    <row r="9" spans="1:11" ht="18" customHeight="1">
      <c r="A9" s="351">
        <v>3</v>
      </c>
      <c r="B9" s="379" t="s">
        <v>123</v>
      </c>
      <c r="C9" s="366">
        <f>SUMIF('Builder Estimate'!$B$6:$B$645,'Bill of Quantity'!B9,'Builder Estimate'!$C$6:$C$645)</f>
        <v>86.872299715972218</v>
      </c>
      <c r="D9" s="351" t="str">
        <f>VLOOKUP(B9,'Builder Estimate'!$B:$H,4,FALSE)</f>
        <v>Sud</v>
      </c>
      <c r="E9" s="353">
        <f>VLOOKUP(B9,'Price '!B:D,3,FALSE)</f>
        <v>130000</v>
      </c>
      <c r="F9" s="438" t="str">
        <f>VLOOKUP(B9,'Price '!$B:$D,2,FALSE)</f>
        <v>Suds</v>
      </c>
      <c r="G9" s="353">
        <f t="shared" si="0"/>
        <v>11293398.963076388</v>
      </c>
      <c r="H9" s="439"/>
    </row>
    <row r="10" spans="1:11" ht="18" customHeight="1">
      <c r="A10" s="351">
        <v>4</v>
      </c>
      <c r="B10" s="374" t="s">
        <v>68</v>
      </c>
      <c r="C10" s="366">
        <f>SUMIF('Builder Estimate'!$B$6:$B$645,'Bill of Quantity'!B10,'Builder Estimate'!$C$6:$C$645)</f>
        <v>10.541059375000001</v>
      </c>
      <c r="D10" s="351" t="str">
        <f>VLOOKUP(B10,'Builder Estimate'!$B:$H,4,FALSE)</f>
        <v>Sud</v>
      </c>
      <c r="E10" s="353">
        <f>VLOOKUP(B10,'Price '!B:D,3,FALSE)</f>
        <v>220000</v>
      </c>
      <c r="F10" s="438" t="str">
        <f>VLOOKUP(B10,'Price '!$B:$D,2,FALSE)</f>
        <v>Suds</v>
      </c>
      <c r="G10" s="353">
        <f>E10*C10</f>
        <v>2319033.0625000005</v>
      </c>
      <c r="H10" s="344"/>
    </row>
    <row r="11" spans="1:11" ht="18" customHeight="1">
      <c r="A11" s="351">
        <v>5</v>
      </c>
      <c r="B11" s="374" t="s">
        <v>58</v>
      </c>
      <c r="C11" s="366">
        <f>SUMIF('Builder Estimate'!$B$6:$B$645,'Bill of Quantity'!B11,'Builder Estimate'!$C$6:$C$645)</f>
        <v>18.356988374999997</v>
      </c>
      <c r="D11" s="351" t="str">
        <f>VLOOKUP(B11,'Builder Estimate'!$B:$H,4,FALSE)</f>
        <v>Ton</v>
      </c>
      <c r="E11" s="353">
        <f>VLOOKUP(B11,'Price '!B:D,3,FALSE)</f>
        <v>2500000</v>
      </c>
      <c r="F11" s="438" t="str">
        <f>VLOOKUP(B11,'Price '!$B:$D,2,FALSE)</f>
        <v>Ton</v>
      </c>
      <c r="G11" s="353">
        <f t="shared" si="0"/>
        <v>45892470.937499993</v>
      </c>
      <c r="H11" s="344"/>
    </row>
    <row r="12" spans="1:11" ht="18" customHeight="1">
      <c r="A12" s="351">
        <v>6</v>
      </c>
      <c r="B12" s="396" t="s">
        <v>801</v>
      </c>
      <c r="C12" s="366">
        <f>SUMIF('Builder Estimate'!$B$6:$B$645,'Bill of Quantity'!B12,'Builder Estimate'!$C$6:$C$645)</f>
        <v>157.44245859374996</v>
      </c>
      <c r="D12" s="351" t="str">
        <f>VLOOKUP(B12,'Builder Estimate'!$B:$H,4,FALSE)</f>
        <v>Nos</v>
      </c>
      <c r="E12" s="353">
        <f>VLOOKUP(B12,'Price '!B:D,3,FALSE)</f>
        <v>75000</v>
      </c>
      <c r="F12" s="438" t="str">
        <f>VLOOKUP(B12,'Price '!$B:$D,2,FALSE)</f>
        <v>Sht</v>
      </c>
      <c r="G12" s="353">
        <f t="shared" si="0"/>
        <v>11808184.394531246</v>
      </c>
      <c r="H12" s="344"/>
    </row>
    <row r="13" spans="1:11" ht="18" customHeight="1">
      <c r="A13" s="351">
        <v>7</v>
      </c>
      <c r="B13" s="374" t="s">
        <v>59</v>
      </c>
      <c r="C13" s="366">
        <f>SUMIF('Builder Estimate'!$B$6:$B$645,'Bill of Quantity'!B13,'Builder Estimate'!$C$6:$C$645)</f>
        <v>261.63189046296293</v>
      </c>
      <c r="D13" s="351" t="str">
        <f>VLOOKUP(B13,'Builder Estimate'!$B:$H,4,FALSE)</f>
        <v>Viss</v>
      </c>
      <c r="E13" s="353">
        <f>VLOOKUP(B13,'Price '!B:D,3,FALSE)</f>
        <v>12000</v>
      </c>
      <c r="F13" s="438" t="str">
        <f>VLOOKUP(B13,'Price '!$B:$D,2,FALSE)</f>
        <v>Viss</v>
      </c>
      <c r="G13" s="353">
        <f t="shared" si="0"/>
        <v>3139582.6855555549</v>
      </c>
      <c r="H13" s="344"/>
    </row>
    <row r="14" spans="1:11" ht="18" customHeight="1">
      <c r="A14" s="351">
        <v>8</v>
      </c>
      <c r="B14" s="374" t="s">
        <v>57</v>
      </c>
      <c r="C14" s="366">
        <f>SUMIF('Builder Estimate'!$B$6:$B$645,'Bill of Quantity'!B14,'Builder Estimate'!$C$6:$C$645)</f>
        <v>136.53557003472224</v>
      </c>
      <c r="D14" s="351" t="str">
        <f>VLOOKUP(B14,'Builder Estimate'!$B:$H,4,FALSE)</f>
        <v>Gal</v>
      </c>
      <c r="E14" s="353">
        <f>VLOOKUP(B14,'Price '!B:D,3,FALSE)</f>
        <v>20000</v>
      </c>
      <c r="F14" s="438" t="str">
        <f>VLOOKUP(B14,'Price '!$B:$D,2,FALSE)</f>
        <v>Gal</v>
      </c>
      <c r="G14" s="353">
        <f t="shared" ref="G14" si="1">E14*C14</f>
        <v>2730711.4006944448</v>
      </c>
      <c r="H14" s="344"/>
    </row>
    <row r="15" spans="1:11" ht="18" customHeight="1">
      <c r="A15" s="351">
        <v>9</v>
      </c>
      <c r="B15" s="374" t="s">
        <v>772</v>
      </c>
      <c r="C15" s="366">
        <f>SUMIF('Builder Estimate'!$B$6:$B$645,'Bill of Quantity'!B15,'Builder Estimate'!$C$6:$C$645)</f>
        <v>66</v>
      </c>
      <c r="D15" s="351" t="str">
        <f>VLOOKUP(B15,'Builder Estimate'!$B:$H,4,FALSE)</f>
        <v>Bag</v>
      </c>
      <c r="E15" s="353">
        <f>VLOOKUP(B15,'Price '!B:D,3,FALSE)</f>
        <v>7500</v>
      </c>
      <c r="F15" s="438" t="str">
        <f>VLOOKUP(B15,'Price '!$B:$D,2,FALSE)</f>
        <v>Bag</v>
      </c>
      <c r="G15" s="353">
        <f t="shared" ref="G15" si="2">E15*C15</f>
        <v>495000</v>
      </c>
      <c r="H15" s="344"/>
    </row>
    <row r="16" spans="1:11" ht="18" customHeight="1">
      <c r="A16" s="351">
        <v>10</v>
      </c>
      <c r="B16" s="374" t="s">
        <v>725</v>
      </c>
      <c r="C16" s="366">
        <f>SUMIF('Builder Estimate'!$B$6:$B$645,'Bill of Quantity'!B16,'Builder Estimate'!$C$6:$C$645)</f>
        <v>166.87407742745535</v>
      </c>
      <c r="D16" s="351" t="str">
        <f>VLOOKUP(B16,'Builder Estimate'!$B:$H,4,FALSE)</f>
        <v>Lit</v>
      </c>
      <c r="E16" s="353">
        <f>VLOOKUP(B16,'Price '!B:D,3,FALSE)</f>
        <v>14700</v>
      </c>
      <c r="F16" s="438" t="str">
        <f>VLOOKUP(B16,'Price '!$B:$D,2,FALSE)</f>
        <v>Lit</v>
      </c>
      <c r="G16" s="353">
        <f t="shared" ref="G16" si="3">E16*C16</f>
        <v>2453048.9381835936</v>
      </c>
      <c r="H16" s="344"/>
    </row>
    <row r="17" spans="1:9" ht="18" customHeight="1">
      <c r="A17" s="351">
        <v>11</v>
      </c>
      <c r="B17" s="374" t="s">
        <v>726</v>
      </c>
      <c r="C17" s="366">
        <f>SUMIF('Builder Estimate'!$B$6:$B$645,'Bill of Quantity'!B17,'Builder Estimate'!$C$6:$C$645)</f>
        <v>165.88268725198424</v>
      </c>
      <c r="D17" s="351" t="str">
        <f>VLOOKUP(B17,'Builder Estimate'!$B:$H,4,FALSE)</f>
        <v>Lit</v>
      </c>
      <c r="E17" s="353">
        <f>VLOOKUP(B17,'Price '!B:D,3,FALSE)</f>
        <v>14950</v>
      </c>
      <c r="F17" s="438" t="str">
        <f>VLOOKUP(B17,'Price '!$B:$D,2,FALSE)</f>
        <v>Lit</v>
      </c>
      <c r="G17" s="353">
        <f t="shared" ref="G17" si="4">E17*C17</f>
        <v>2479946.1744171642</v>
      </c>
      <c r="H17" s="344"/>
    </row>
    <row r="18" spans="1:9" ht="18" customHeight="1">
      <c r="A18" s="351">
        <v>12</v>
      </c>
      <c r="B18" s="374" t="s">
        <v>756</v>
      </c>
      <c r="C18" s="366">
        <f>SUMIF('Builder Estimate'!$B$6:$B$645,'Bill of Quantity'!B18,'Builder Estimate'!$C$6:$C$645)</f>
        <v>4.4000000000000004</v>
      </c>
      <c r="D18" s="351" t="str">
        <f>VLOOKUP(B18,'Builder Estimate'!$B:$H,4,FALSE)</f>
        <v>Set</v>
      </c>
      <c r="E18" s="353">
        <f>VLOOKUP(B18,'Price '!B:D,3,FALSE)</f>
        <v>120000</v>
      </c>
      <c r="F18" s="438" t="str">
        <f>VLOOKUP(B18,'Price '!$B:$D,2,FALSE)</f>
        <v>Set</v>
      </c>
      <c r="G18" s="353">
        <f t="shared" ref="G18" si="5">E18*C18</f>
        <v>528000</v>
      </c>
      <c r="H18" s="344"/>
    </row>
    <row r="19" spans="1:9" ht="18" customHeight="1">
      <c r="A19" s="351">
        <v>13</v>
      </c>
      <c r="B19" s="337" t="s">
        <v>581</v>
      </c>
      <c r="C19" s="366">
        <f>SUMIF('Builder Estimate'!$B$6:$B$645,'Bill of Quantity'!B19,'Builder Estimate'!$C$6:$C$645)</f>
        <v>10.603256720512041</v>
      </c>
      <c r="D19" s="351" t="str">
        <f>VLOOKUP(B19,'Builder Estimate'!$B:$H,4,FALSE)</f>
        <v>Ton</v>
      </c>
      <c r="E19" s="353">
        <f>VLOOKUP(B19,'Price '!B:D,3,FALSE)</f>
        <v>2420000</v>
      </c>
      <c r="F19" s="438" t="str">
        <f>D19</f>
        <v>Ton</v>
      </c>
      <c r="G19" s="353">
        <f t="shared" si="0"/>
        <v>25659881.263639141</v>
      </c>
      <c r="H19" s="391">
        <f>SUM(C19:C32)</f>
        <v>37.835366027887851</v>
      </c>
      <c r="I19" s="440"/>
    </row>
    <row r="20" spans="1:9" ht="18" customHeight="1">
      <c r="A20" s="351">
        <v>14</v>
      </c>
      <c r="B20" s="337" t="s">
        <v>583</v>
      </c>
      <c r="C20" s="366">
        <f>SUMIF('Builder Estimate'!$B$6:$B$645,'Bill of Quantity'!B20,'Builder Estimate'!$C$6:$C$645)</f>
        <v>1.0587582139591589</v>
      </c>
      <c r="D20" s="351" t="str">
        <f>VLOOKUP(B20,'Builder Estimate'!$B:$H,4,FALSE)</f>
        <v>Ton</v>
      </c>
      <c r="E20" s="353">
        <f>VLOOKUP(B20,'Price '!B:D,3,FALSE)</f>
        <v>2060000</v>
      </c>
      <c r="F20" s="438" t="str">
        <f t="shared" ref="F20:F32" si="6">D20</f>
        <v>Ton</v>
      </c>
      <c r="G20" s="353">
        <f t="shared" si="0"/>
        <v>2181041.9207558674</v>
      </c>
      <c r="H20" s="344"/>
      <c r="I20" s="440"/>
    </row>
    <row r="21" spans="1:9" ht="20.25" customHeight="1">
      <c r="A21" s="351">
        <v>15</v>
      </c>
      <c r="B21" s="337" t="s">
        <v>584</v>
      </c>
      <c r="C21" s="366">
        <f>SUMIF('Builder Estimate'!$B$6:$B$645,'Bill of Quantity'!B21,'Builder Estimate'!$C$6:$C$645)</f>
        <v>0.53924847226455352</v>
      </c>
      <c r="D21" s="351" t="str">
        <f>VLOOKUP(B21,'Builder Estimate'!$B:$H,4,FALSE)</f>
        <v>Ton</v>
      </c>
      <c r="E21" s="353">
        <f>VLOOKUP(B21,'Price '!B:D,3,FALSE)</f>
        <v>2450000</v>
      </c>
      <c r="F21" s="438" t="str">
        <f t="shared" si="6"/>
        <v>Ton</v>
      </c>
      <c r="G21" s="353">
        <f t="shared" si="0"/>
        <v>1321158.7570481561</v>
      </c>
      <c r="H21" s="439"/>
      <c r="I21" s="440"/>
    </row>
    <row r="22" spans="1:9" ht="17.25" customHeight="1">
      <c r="A22" s="351">
        <v>16</v>
      </c>
      <c r="B22" s="337" t="s">
        <v>606</v>
      </c>
      <c r="C22" s="366">
        <f>SUMIF('Builder Estimate'!$B$6:$B$645,'Bill of Quantity'!B22,'Builder Estimate'!$C$6:$C$645)</f>
        <v>2.9625192624199936</v>
      </c>
      <c r="D22" s="351" t="str">
        <f>VLOOKUP(B22,'Builder Estimate'!$B:$H,4,FALSE)</f>
        <v>Ton</v>
      </c>
      <c r="E22" s="353">
        <f>VLOOKUP(B22,'Price '!B:D,3,FALSE)</f>
        <v>2420000</v>
      </c>
      <c r="F22" s="438" t="str">
        <f t="shared" si="6"/>
        <v>Ton</v>
      </c>
      <c r="G22" s="353">
        <f t="shared" si="0"/>
        <v>7169296.6150563844</v>
      </c>
      <c r="H22" s="344"/>
      <c r="I22" s="440"/>
    </row>
    <row r="23" spans="1:9" ht="17.25" customHeight="1">
      <c r="A23" s="351">
        <v>17</v>
      </c>
      <c r="B23" s="337" t="s">
        <v>591</v>
      </c>
      <c r="C23" s="366">
        <f>SUMIF('Builder Estimate'!$B$6:$B$645,'Bill of Quantity'!B23,'Builder Estimate'!$C$6:$C$645)</f>
        <v>1.3904766077415425</v>
      </c>
      <c r="D23" s="351" t="str">
        <f>VLOOKUP(B23,'Builder Estimate'!$B:$H,4,FALSE)</f>
        <v>Ton</v>
      </c>
      <c r="E23" s="353">
        <f>VLOOKUP(B23,'Price '!B:D,3,FALSE)</f>
        <v>2450000</v>
      </c>
      <c r="F23" s="438" t="str">
        <f t="shared" si="6"/>
        <v>Ton</v>
      </c>
      <c r="G23" s="353">
        <f t="shared" si="0"/>
        <v>3406667.688966779</v>
      </c>
      <c r="H23" s="344"/>
      <c r="I23" s="440"/>
    </row>
    <row r="24" spans="1:9" ht="17.25" customHeight="1">
      <c r="A24" s="351">
        <v>18</v>
      </c>
      <c r="B24" s="337" t="s">
        <v>746</v>
      </c>
      <c r="C24" s="366">
        <f>SUMIF('Builder Estimate'!$B$6:$B$645,'Bill of Quantity'!B24,'Builder Estimate'!$C$6:$C$645)</f>
        <v>0.24636245047241698</v>
      </c>
      <c r="D24" s="351" t="str">
        <f>VLOOKUP(B24,'Builder Estimate'!$B:$H,4,FALSE)</f>
        <v>Ton</v>
      </c>
      <c r="E24" s="353">
        <f>VLOOKUP(B24,'Price '!B:D,3,FALSE)</f>
        <v>3430000</v>
      </c>
      <c r="F24" s="438" t="str">
        <f t="shared" ref="F24" si="7">D24</f>
        <v>Ton</v>
      </c>
      <c r="G24" s="353">
        <f t="shared" ref="G24" si="8">E24*C24</f>
        <v>845023.20512039028</v>
      </c>
      <c r="H24" s="344"/>
      <c r="I24" s="440"/>
    </row>
    <row r="25" spans="1:9" ht="17.25" customHeight="1">
      <c r="A25" s="351">
        <v>19</v>
      </c>
      <c r="B25" s="337" t="s">
        <v>595</v>
      </c>
      <c r="C25" s="366">
        <f>SUMIF('Builder Estimate'!$B$6:$B$645,'Bill of Quantity'!B25,'Builder Estimate'!$C$6:$C$645)</f>
        <v>6.1093732627247848</v>
      </c>
      <c r="D25" s="351" t="str">
        <f>VLOOKUP(B25,'Builder Estimate'!$B:$H,4,FALSE)</f>
        <v>Ton</v>
      </c>
      <c r="E25" s="353">
        <f>VLOOKUP(B25,'Price '!B:D,3,FALSE)</f>
        <v>2420000</v>
      </c>
      <c r="F25" s="438" t="str">
        <f t="shared" si="6"/>
        <v>Ton</v>
      </c>
      <c r="G25" s="353">
        <f t="shared" si="0"/>
        <v>14784683.295793978</v>
      </c>
      <c r="H25" s="344"/>
      <c r="I25" s="440"/>
    </row>
    <row r="26" spans="1:9" ht="17.25" customHeight="1">
      <c r="A26" s="351">
        <v>20</v>
      </c>
      <c r="B26" s="337" t="s">
        <v>596</v>
      </c>
      <c r="C26" s="366">
        <f>SUMIF('Builder Estimate'!$B$6:$B$645,'Bill of Quantity'!B26,'Builder Estimate'!$C$6:$C$645)</f>
        <v>8.0153573605608056E-2</v>
      </c>
      <c r="D26" s="351" t="str">
        <f>VLOOKUP(B26,'Builder Estimate'!$B:$H,4,FALSE)</f>
        <v>Ton</v>
      </c>
      <c r="E26" s="353">
        <f>VLOOKUP(B26,'Price '!B:D,3,FALSE)</f>
        <v>2060000</v>
      </c>
      <c r="F26" s="438" t="str">
        <f t="shared" si="6"/>
        <v>Ton</v>
      </c>
      <c r="G26" s="353">
        <f t="shared" si="0"/>
        <v>165116.3616275526</v>
      </c>
      <c r="H26" s="344"/>
      <c r="I26" s="440"/>
    </row>
    <row r="27" spans="1:9" ht="17.25" customHeight="1">
      <c r="A27" s="351">
        <v>21</v>
      </c>
      <c r="B27" s="337" t="s">
        <v>597</v>
      </c>
      <c r="C27" s="366">
        <f>SUMIF('Builder Estimate'!$B$6:$B$645,'Bill of Quantity'!B27,'Builder Estimate'!$C$6:$C$645)</f>
        <v>2.5239924108503509</v>
      </c>
      <c r="D27" s="351" t="str">
        <f>VLOOKUP(B27,'Builder Estimate'!$B:$H,4,FALSE)</f>
        <v>Ton</v>
      </c>
      <c r="E27" s="353">
        <f>VLOOKUP(B27,'Price '!B:D,3,FALSE)</f>
        <v>2450000</v>
      </c>
      <c r="F27" s="438" t="str">
        <f t="shared" si="6"/>
        <v>Ton</v>
      </c>
      <c r="G27" s="353">
        <f t="shared" si="0"/>
        <v>6183781.4065833595</v>
      </c>
      <c r="H27" s="344"/>
      <c r="I27" s="440"/>
    </row>
    <row r="28" spans="1:9" ht="17.25" customHeight="1">
      <c r="A28" s="351">
        <v>22</v>
      </c>
      <c r="B28" s="337" t="s">
        <v>601</v>
      </c>
      <c r="C28" s="366">
        <f>SUMIF('Builder Estimate'!$B$6:$B$645,'Bill of Quantity'!B28,'Builder Estimate'!$C$6:$C$645)</f>
        <v>0.11355798537031395</v>
      </c>
      <c r="D28" s="351" t="str">
        <f>VLOOKUP(B28,'Builder Estimate'!$B:$H,4,FALSE)</f>
        <v>Ton</v>
      </c>
      <c r="E28" s="353">
        <f>VLOOKUP(B28,'Price '!B:D,3,FALSE)</f>
        <v>2420000</v>
      </c>
      <c r="F28" s="438" t="str">
        <f t="shared" si="6"/>
        <v>Ton</v>
      </c>
      <c r="G28" s="353">
        <f t="shared" si="0"/>
        <v>274810.32459615974</v>
      </c>
      <c r="H28" s="344"/>
      <c r="I28" s="440"/>
    </row>
    <row r="29" spans="1:9" ht="17.25" customHeight="1">
      <c r="A29" s="351">
        <v>23</v>
      </c>
      <c r="B29" s="337" t="s">
        <v>602</v>
      </c>
      <c r="C29" s="366">
        <f>SUMIF('Builder Estimate'!$B$6:$B$645,'Bill of Quantity'!B29,'Builder Estimate'!$C$6:$C$645)</f>
        <v>1.0476881438585799</v>
      </c>
      <c r="D29" s="351" t="str">
        <f>VLOOKUP(B29,'Builder Estimate'!$B:$H,4,FALSE)</f>
        <v>Ton</v>
      </c>
      <c r="E29" s="353">
        <f>VLOOKUP(B29,'Price '!B:D,3,FALSE)</f>
        <v>2060000</v>
      </c>
      <c r="F29" s="438" t="str">
        <f t="shared" si="6"/>
        <v>Ton</v>
      </c>
      <c r="G29" s="353">
        <f t="shared" si="0"/>
        <v>2158237.5763486745</v>
      </c>
      <c r="H29" s="344"/>
      <c r="I29" s="440"/>
    </row>
    <row r="30" spans="1:9" ht="17.25" customHeight="1">
      <c r="A30" s="351">
        <v>24</v>
      </c>
      <c r="B30" s="337" t="s">
        <v>603</v>
      </c>
      <c r="C30" s="366">
        <f>SUMIF('Builder Estimate'!$B$6:$B$645,'Bill of Quantity'!B30,'Builder Estimate'!$C$6:$C$645)</f>
        <v>9.0330962359036917</v>
      </c>
      <c r="D30" s="351" t="str">
        <f>VLOOKUP(B30,'Builder Estimate'!$B:$H,4,FALSE)</f>
        <v>Ton</v>
      </c>
      <c r="E30" s="353">
        <f>VLOOKUP(B30,'Price '!B:D,3,FALSE)</f>
        <v>2450000</v>
      </c>
      <c r="F30" s="438" t="str">
        <f t="shared" si="6"/>
        <v>Ton</v>
      </c>
      <c r="G30" s="353">
        <f t="shared" si="0"/>
        <v>22131085.777964044</v>
      </c>
      <c r="H30" s="344"/>
      <c r="I30" s="440"/>
    </row>
    <row r="31" spans="1:9" ht="17.25" customHeight="1">
      <c r="A31" s="351">
        <v>25</v>
      </c>
      <c r="B31" s="337" t="s">
        <v>605</v>
      </c>
      <c r="C31" s="366">
        <f>SUMIF('Builder Estimate'!$B$6:$B$645,'Bill of Quantity'!B31,'Builder Estimate'!$C$6:$C$645)</f>
        <v>1.1366805242304177</v>
      </c>
      <c r="D31" s="351" t="str">
        <f>VLOOKUP(B31,'Builder Estimate'!$B:$H,4,FALSE)</f>
        <v>Ton</v>
      </c>
      <c r="E31" s="353">
        <f>VLOOKUP(B31,'Price '!B:D,3,FALSE)</f>
        <v>2450000</v>
      </c>
      <c r="F31" s="438" t="str">
        <f t="shared" si="6"/>
        <v>Ton</v>
      </c>
      <c r="G31" s="353">
        <f t="shared" si="0"/>
        <v>2784867.2843645234</v>
      </c>
      <c r="H31" s="344"/>
      <c r="I31" s="440"/>
    </row>
    <row r="32" spans="1:9" ht="17.25" customHeight="1">
      <c r="A32" s="351">
        <v>26</v>
      </c>
      <c r="B32" s="337" t="s">
        <v>618</v>
      </c>
      <c r="C32" s="366">
        <f>SUMIF('Builder Estimate'!$B$6:$B$645,'Bill of Quantity'!B32,'Builder Estimate'!$C$6:$C$645)</f>
        <v>0.9902021639743982</v>
      </c>
      <c r="D32" s="351" t="str">
        <f>VLOOKUP(B32,'Builder Estimate'!$B:$H,4,FALSE)</f>
        <v>Ton</v>
      </c>
      <c r="E32" s="353">
        <f>VLOOKUP(B32,'Price '!B:D,3,FALSE)</f>
        <v>3430000</v>
      </c>
      <c r="F32" s="438" t="str">
        <f t="shared" si="6"/>
        <v>Ton</v>
      </c>
      <c r="G32" s="353">
        <f t="shared" si="0"/>
        <v>3396393.4224321856</v>
      </c>
      <c r="H32" s="344"/>
      <c r="I32" s="440"/>
    </row>
    <row r="33" spans="1:9" ht="18" customHeight="1">
      <c r="A33" s="351">
        <v>27</v>
      </c>
      <c r="B33" s="354" t="s">
        <v>60</v>
      </c>
      <c r="C33" s="366">
        <f>SUMIF('Builder Estimate'!$B$6:$B$645,'Bill of Quantity'!B33,'Builder Estimate'!$C$6:$C$645)</f>
        <v>720.67363862643526</v>
      </c>
      <c r="D33" s="351" t="str">
        <f>VLOOKUP(B33,'Builder Estimate'!$B:$H,4,FALSE)</f>
        <v>lbs</v>
      </c>
      <c r="E33" s="353">
        <f>VLOOKUP(B33,'Price '!B:D,3,FALSE)</f>
        <v>12000</v>
      </c>
      <c r="F33" s="438" t="str">
        <f>VLOOKUP(B33,'Price '!$B:$D,2,FALSE)</f>
        <v>Lbs</v>
      </c>
      <c r="G33" s="353">
        <f t="shared" si="0"/>
        <v>8648083.6635172237</v>
      </c>
      <c r="H33" s="344"/>
    </row>
    <row r="34" spans="1:9" ht="18" customHeight="1">
      <c r="A34" s="351">
        <v>28</v>
      </c>
      <c r="B34" s="354" t="s">
        <v>747</v>
      </c>
      <c r="C34" s="366">
        <f>SUMIF('Builder Estimate'!$B$6:$B$645,'Bill of Quantity'!B34,'Builder Estimate'!$C$6:$C$645)</f>
        <v>247.50000000000003</v>
      </c>
      <c r="D34" s="351" t="str">
        <f>VLOOKUP(B34,'Builder Estimate'!$B:$H,4,FALSE)</f>
        <v>Rft</v>
      </c>
      <c r="E34" s="353">
        <f>VLOOKUP(B34,'Price '!B:D,3,FALSE)</f>
        <v>1500</v>
      </c>
      <c r="F34" s="438" t="str">
        <f>VLOOKUP(B34,'Price '!$B:$D,2,FALSE)</f>
        <v>Rft</v>
      </c>
      <c r="G34" s="353">
        <f t="shared" ref="G34" si="9">E34*C34</f>
        <v>371250.00000000006</v>
      </c>
      <c r="H34" s="344"/>
    </row>
    <row r="35" spans="1:9" ht="18.600000000000001" customHeight="1">
      <c r="A35" s="351">
        <v>29</v>
      </c>
      <c r="B35" s="337" t="s">
        <v>796</v>
      </c>
      <c r="C35" s="366">
        <f>SUMIF('Builder Estimate'!$B$6:$B$645,'Bill of Quantity'!B35,'Builder Estimate'!$C$6:$C$645)</f>
        <v>50723.634939236115</v>
      </c>
      <c r="D35" s="351" t="str">
        <f>VLOOKUP(B35,'Builder Estimate'!$B:$H,4,FALSE)</f>
        <v>Nos</v>
      </c>
      <c r="E35" s="353">
        <f>VLOOKUP(B35,'Price '!B:D,3,FALSE)</f>
        <v>285</v>
      </c>
      <c r="F35" s="438" t="str">
        <f>VLOOKUP(B35,'Price '!$B:$D,2,FALSE)</f>
        <v>Nos</v>
      </c>
      <c r="G35" s="353">
        <f>E35*C35</f>
        <v>14456235.957682293</v>
      </c>
      <c r="H35" s="344"/>
    </row>
    <row r="36" spans="1:9" ht="18.75" customHeight="1">
      <c r="A36" s="351">
        <v>30</v>
      </c>
      <c r="B36" s="337" t="s">
        <v>129</v>
      </c>
      <c r="C36" s="366">
        <f>SUMIF('Builder Estimate'!$B$6:$B$645,'Bill of Quantity'!B36,'Builder Estimate'!$C$6:$C$645)</f>
        <v>9096.1388680555574</v>
      </c>
      <c r="D36" s="351" t="str">
        <f>VLOOKUP(B36,'Builder Estimate'!$B:$H,4,FALSE)</f>
        <v>Rft</v>
      </c>
      <c r="E36" s="353">
        <f>VLOOKUP(B36,'Price '!B:D,3,FALSE)</f>
        <v>170</v>
      </c>
      <c r="F36" s="438" t="str">
        <f>VLOOKUP(B36,'Price '!$B:$D,2,FALSE)</f>
        <v>Rft</v>
      </c>
      <c r="G36" s="353">
        <f>E36*C36</f>
        <v>1546343.6075694447</v>
      </c>
      <c r="H36" s="344"/>
      <c r="I36" s="344"/>
    </row>
    <row r="37" spans="1:9" ht="18" customHeight="1">
      <c r="A37" s="351">
        <v>31</v>
      </c>
      <c r="B37" s="337" t="s">
        <v>770</v>
      </c>
      <c r="C37" s="366">
        <f>SUMIF('Builder Estimate'!$B$6:$B$645,'Bill of Quantity'!B37,'Builder Estimate'!$C$6:$C$645)</f>
        <v>25.410000000000004</v>
      </c>
      <c r="D37" s="351" t="str">
        <f>VLOOKUP(B37,'Builder Estimate'!$B:$H,4,FALSE)</f>
        <v>Rft</v>
      </c>
      <c r="E37" s="353">
        <f>VLOOKUP(B37,'Price '!B:D,3,FALSE)</f>
        <v>14000</v>
      </c>
      <c r="F37" s="438" t="str">
        <f>VLOOKUP(B37,'Price '!$B:$D,2,FALSE)</f>
        <v>Rft</v>
      </c>
      <c r="G37" s="353">
        <f>E37*C37</f>
        <v>355740.00000000006</v>
      </c>
      <c r="H37" s="344"/>
    </row>
    <row r="38" spans="1:9" ht="18" customHeight="1">
      <c r="A38" s="351">
        <v>32</v>
      </c>
      <c r="B38" s="337" t="s">
        <v>771</v>
      </c>
      <c r="C38" s="366">
        <f>SUMIF('Builder Estimate'!$B$6:$B$645,'Bill of Quantity'!B38,'Builder Estimate'!$C$6:$C$645)</f>
        <v>284.32249999999999</v>
      </c>
      <c r="D38" s="351" t="str">
        <f>VLOOKUP(B38,'Builder Estimate'!$B:$H,4,FALSE)</f>
        <v>Rft</v>
      </c>
      <c r="E38" s="353">
        <f>VLOOKUP(B38,'Price '!B:D,3,FALSE)</f>
        <v>9500</v>
      </c>
      <c r="F38" s="438" t="str">
        <f>VLOOKUP(B38,'Price '!$B:$D,2,FALSE)</f>
        <v>Rft</v>
      </c>
      <c r="G38" s="353">
        <f>E38*C38</f>
        <v>2701063.75</v>
      </c>
      <c r="H38" s="344"/>
    </row>
    <row r="39" spans="1:9" ht="18" customHeight="1">
      <c r="A39" s="351">
        <v>33</v>
      </c>
      <c r="B39" s="337" t="s">
        <v>800</v>
      </c>
      <c r="C39" s="366">
        <f>SUMIF('Builder Estimate'!$B$6:$B$645,'Bill of Quantity'!B39,'Builder Estimate'!$C$6:$C$645)</f>
        <v>165</v>
      </c>
      <c r="D39" s="351" t="str">
        <f>VLOOKUP(B39,'Builder Estimate'!$B:$H,4,FALSE)</f>
        <v>Nos.</v>
      </c>
      <c r="E39" s="353">
        <f>VLOOKUP(B39,'Price '!B:D,3,FALSE)</f>
        <v>450</v>
      </c>
      <c r="F39" s="438" t="str">
        <f>VLOOKUP(B39,'Price '!$B:$D,2,FALSE)</f>
        <v>Nos.</v>
      </c>
      <c r="G39" s="353">
        <f>E39*C39</f>
        <v>74250</v>
      </c>
      <c r="H39" s="344"/>
    </row>
    <row r="40" spans="1:9" ht="18" customHeight="1">
      <c r="A40" s="351">
        <v>34</v>
      </c>
      <c r="B40" s="337" t="s">
        <v>124</v>
      </c>
      <c r="C40" s="366">
        <f>SUMIF('Builder Estimate'!$B$6:$B$645,'Bill of Quantity'!B40,'Builder Estimate'!$C$6:$C$645)</f>
        <v>11</v>
      </c>
      <c r="D40" s="351" t="str">
        <f>VLOOKUP(B40,'Builder Estimate'!$B:$H,4,FALSE)</f>
        <v>Bottle</v>
      </c>
      <c r="E40" s="353">
        <f>VLOOKUP(B40,'Price '!B:D,3,FALSE)</f>
        <v>12000</v>
      </c>
      <c r="F40" s="438" t="str">
        <f>VLOOKUP(B40,'Price '!$B:$D,2,FALSE)</f>
        <v>Bottle</v>
      </c>
      <c r="G40" s="353">
        <f t="shared" si="0"/>
        <v>132000</v>
      </c>
      <c r="H40" s="344"/>
    </row>
    <row r="41" spans="1:9" s="851" customFormat="1" ht="18" hidden="1" customHeight="1">
      <c r="A41" s="351">
        <v>33</v>
      </c>
      <c r="B41" s="847" t="s">
        <v>239</v>
      </c>
      <c r="C41" s="366"/>
      <c r="D41" s="351" t="str">
        <f>VLOOKUP(B41,'Builder Estimate'!$B:$H,4,FALSE)</f>
        <v>Sqft</v>
      </c>
      <c r="E41" s="849">
        <f>VLOOKUP(B41,'Price '!B:D,3,FALSE)</f>
        <v>0</v>
      </c>
      <c r="F41" s="850" t="str">
        <f>VLOOKUP(B41,'Price '!$B:$D,2,FALSE)</f>
        <v>Sft</v>
      </c>
      <c r="G41" s="849">
        <f t="shared" si="0"/>
        <v>0</v>
      </c>
      <c r="I41" s="852"/>
    </row>
    <row r="42" spans="1:9" s="851" customFormat="1" ht="18" hidden="1" customHeight="1">
      <c r="A42" s="351">
        <v>34</v>
      </c>
      <c r="B42" s="847" t="s">
        <v>183</v>
      </c>
      <c r="C42" s="366"/>
      <c r="D42" s="351" t="str">
        <f>VLOOKUP(B42,'Builder Estimate'!$B:$H,4,FALSE)</f>
        <v>Nos</v>
      </c>
      <c r="E42" s="849">
        <f>VLOOKUP(B42,'Price '!B:D,3,FALSE)</f>
        <v>0</v>
      </c>
      <c r="F42" s="850" t="str">
        <f>VLOOKUP(B42,'Price '!$B:$D,2,FALSE)</f>
        <v>Nos</v>
      </c>
      <c r="G42" s="849">
        <f t="shared" si="0"/>
        <v>0</v>
      </c>
      <c r="I42" s="852"/>
    </row>
    <row r="43" spans="1:9" s="851" customFormat="1" ht="18" hidden="1" customHeight="1">
      <c r="A43" s="351">
        <v>35</v>
      </c>
      <c r="B43" s="847" t="s">
        <v>47</v>
      </c>
      <c r="C43" s="366"/>
      <c r="D43" s="351" t="str">
        <f>VLOOKUP(B43,'Builder Estimate'!$B:$H,4,FALSE)</f>
        <v>Nos</v>
      </c>
      <c r="E43" s="849">
        <f>VLOOKUP(B43,'Price '!B:D,3,FALSE)</f>
        <v>0</v>
      </c>
      <c r="F43" s="850" t="str">
        <f>VLOOKUP(B43,'Price '!$B:$D,2,FALSE)</f>
        <v>Nos</v>
      </c>
      <c r="G43" s="849">
        <f t="shared" si="0"/>
        <v>0</v>
      </c>
      <c r="I43" s="852"/>
    </row>
    <row r="44" spans="1:9" s="851" customFormat="1" ht="18" hidden="1" customHeight="1">
      <c r="A44" s="351">
        <v>36</v>
      </c>
      <c r="B44" s="847" t="s">
        <v>71</v>
      </c>
      <c r="C44" s="366"/>
      <c r="D44" s="351" t="str">
        <f>VLOOKUP(B44,'Builder Estimate'!$B:$H,4,FALSE)</f>
        <v>Nos</v>
      </c>
      <c r="E44" s="849">
        <f>VLOOKUP(B44,'Price '!B:D,3,FALSE)</f>
        <v>0</v>
      </c>
      <c r="F44" s="850" t="str">
        <f>VLOOKUP(B44,'Price '!$B:$D,2,FALSE)</f>
        <v>Nos</v>
      </c>
      <c r="G44" s="849">
        <f t="shared" si="0"/>
        <v>0</v>
      </c>
      <c r="I44" s="852"/>
    </row>
    <row r="45" spans="1:9" s="851" customFormat="1" ht="18" hidden="1" customHeight="1">
      <c r="A45" s="351">
        <v>37</v>
      </c>
      <c r="B45" s="847" t="s">
        <v>126</v>
      </c>
      <c r="C45" s="366"/>
      <c r="D45" s="351" t="str">
        <f>VLOOKUP(B45,'Builder Estimate'!$B:$H,4,FALSE)</f>
        <v>Nos</v>
      </c>
      <c r="E45" s="849">
        <f>VLOOKUP(B45,'Price '!B:D,3,FALSE)</f>
        <v>0</v>
      </c>
      <c r="F45" s="850" t="str">
        <f>VLOOKUP(B45,'Price '!$B:$D,2,FALSE)</f>
        <v>Nos</v>
      </c>
      <c r="G45" s="849">
        <f t="shared" si="0"/>
        <v>0</v>
      </c>
      <c r="I45" s="852"/>
    </row>
    <row r="46" spans="1:9" s="851" customFormat="1" ht="18" hidden="1" customHeight="1">
      <c r="A46" s="351">
        <v>38</v>
      </c>
      <c r="B46" s="847" t="s">
        <v>101</v>
      </c>
      <c r="C46" s="366"/>
      <c r="D46" s="351" t="str">
        <f>VLOOKUP(B46,'Builder Estimate'!$B:$H,4,FALSE)</f>
        <v>Lbs</v>
      </c>
      <c r="E46" s="849">
        <f>VLOOKUP(B46,'Price '!B:D,3,FALSE)</f>
        <v>0</v>
      </c>
      <c r="F46" s="850" t="str">
        <f>VLOOKUP(B46,'Price '!$B:$D,2,FALSE)</f>
        <v>Lbs</v>
      </c>
      <c r="G46" s="849">
        <f t="shared" ref="G46:G57" si="10">E46*C46</f>
        <v>0</v>
      </c>
      <c r="I46" s="852"/>
    </row>
    <row r="47" spans="1:9" s="851" customFormat="1" ht="18" hidden="1" customHeight="1">
      <c r="A47" s="351">
        <v>39</v>
      </c>
      <c r="B47" s="853" t="s">
        <v>552</v>
      </c>
      <c r="C47" s="366"/>
      <c r="D47" s="351" t="str">
        <f>VLOOKUP(B47,'Builder Estimate'!$B:$H,4,FALSE)</f>
        <v>Sft</v>
      </c>
      <c r="E47" s="849">
        <f>VLOOKUP(B47,'Price '!B:D,3,FALSE)</f>
        <v>0</v>
      </c>
      <c r="F47" s="850">
        <f>VLOOKUP(B47,'Price '!$B:$D,2,FALSE)</f>
        <v>0</v>
      </c>
      <c r="G47" s="849">
        <f>E47*C47</f>
        <v>0</v>
      </c>
      <c r="I47" s="852"/>
    </row>
    <row r="48" spans="1:9" s="851" customFormat="1" ht="18" hidden="1" customHeight="1">
      <c r="A48" s="351">
        <v>40</v>
      </c>
      <c r="B48" s="847" t="s">
        <v>99</v>
      </c>
      <c r="C48" s="366"/>
      <c r="D48" s="351" t="str">
        <f>VLOOKUP(B48,'Builder Estimate'!$B:$H,4,FALSE)</f>
        <v>Gal</v>
      </c>
      <c r="E48" s="849">
        <f>VLOOKUP(B48,'Price '!B:D,3,FALSE)</f>
        <v>0</v>
      </c>
      <c r="F48" s="850" t="str">
        <f>VLOOKUP(B48,'Price '!$B:$D,2,FALSE)</f>
        <v>Gal</v>
      </c>
      <c r="G48" s="849">
        <f t="shared" si="10"/>
        <v>0</v>
      </c>
    </row>
    <row r="49" spans="1:9" s="851" customFormat="1" ht="18" hidden="1" customHeight="1">
      <c r="A49" s="351">
        <v>41</v>
      </c>
      <c r="B49" s="847" t="s">
        <v>49</v>
      </c>
      <c r="C49" s="366"/>
      <c r="D49" s="351" t="str">
        <f>VLOOKUP(B49,'Builder Estimate'!$B:$H,4,FALSE)</f>
        <v>Nos</v>
      </c>
      <c r="E49" s="849">
        <f>VLOOKUP(B49,'Price '!B:D,3,FALSE)</f>
        <v>0</v>
      </c>
      <c r="F49" s="850" t="str">
        <f>VLOOKUP(B49,'Price '!$B:$D,2,FALSE)</f>
        <v>Nos</v>
      </c>
      <c r="G49" s="849">
        <f t="shared" si="10"/>
        <v>0</v>
      </c>
    </row>
    <row r="50" spans="1:9" s="851" customFormat="1" ht="18" hidden="1" customHeight="1">
      <c r="A50" s="351">
        <v>42</v>
      </c>
      <c r="B50" s="847" t="s">
        <v>41</v>
      </c>
      <c r="C50" s="366"/>
      <c r="D50" s="351" t="str">
        <f>VLOOKUP(B50,'Builder Estimate'!$B:$H,4,FALSE)</f>
        <v>Gal</v>
      </c>
      <c r="E50" s="849">
        <f>VLOOKUP(B50,'Price '!B:D,3,FALSE)</f>
        <v>0</v>
      </c>
      <c r="F50" s="850" t="str">
        <f>VLOOKUP(B50,'Price '!$B:$D,2,FALSE)</f>
        <v>Gal</v>
      </c>
      <c r="G50" s="849">
        <f t="shared" si="10"/>
        <v>0</v>
      </c>
    </row>
    <row r="51" spans="1:9" s="851" customFormat="1" ht="18" hidden="1" customHeight="1">
      <c r="A51" s="351">
        <v>43</v>
      </c>
      <c r="B51" s="847" t="s">
        <v>50</v>
      </c>
      <c r="C51" s="366"/>
      <c r="D51" s="351" t="str">
        <f>VLOOKUP(B51,'Builder Estimate'!$B:$H,4,FALSE)</f>
        <v>Dz</v>
      </c>
      <c r="E51" s="849">
        <f>VLOOKUP(B51,'Price '!B:D,3,FALSE)</f>
        <v>0</v>
      </c>
      <c r="F51" s="850" t="str">
        <f>VLOOKUP(B51,'Price '!$B:$D,2,FALSE)</f>
        <v>Doz</v>
      </c>
      <c r="G51" s="849">
        <f t="shared" si="10"/>
        <v>0</v>
      </c>
    </row>
    <row r="52" spans="1:9" s="851" customFormat="1" ht="18" hidden="1" customHeight="1">
      <c r="A52" s="351">
        <v>44</v>
      </c>
      <c r="B52" s="847" t="s">
        <v>118</v>
      </c>
      <c r="C52" s="366"/>
      <c r="D52" s="351" t="str">
        <f>VLOOKUP(B52,'Builder Estimate'!$B:$H,4,FALSE)</f>
        <v>Nos</v>
      </c>
      <c r="E52" s="849">
        <f>VLOOKUP(B52,'Price '!B:D,3,FALSE)</f>
        <v>0</v>
      </c>
      <c r="F52" s="850" t="str">
        <f>VLOOKUP(B52,'Price '!$B:$D,2,FALSE)</f>
        <v>Nos</v>
      </c>
      <c r="G52" s="849">
        <f t="shared" si="10"/>
        <v>0</v>
      </c>
    </row>
    <row r="53" spans="1:9" s="851" customFormat="1" ht="18" hidden="1" customHeight="1">
      <c r="A53" s="351">
        <v>45</v>
      </c>
      <c r="B53" s="847" t="s">
        <v>100</v>
      </c>
      <c r="C53" s="366"/>
      <c r="D53" s="351" t="str">
        <f>VLOOKUP(B53,'Builder Estimate'!$B:$H,4,FALSE)</f>
        <v>Gal</v>
      </c>
      <c r="E53" s="849">
        <f>VLOOKUP(B53,'Price '!B:D,3,FALSE)</f>
        <v>0</v>
      </c>
      <c r="F53" s="850" t="str">
        <f>VLOOKUP(B53,'Price '!$B:$D,2,FALSE)</f>
        <v>Gal</v>
      </c>
      <c r="G53" s="849">
        <f t="shared" si="10"/>
        <v>0</v>
      </c>
      <c r="H53" s="854"/>
      <c r="I53" s="855"/>
    </row>
    <row r="54" spans="1:9" s="851" customFormat="1" ht="18" hidden="1" customHeight="1">
      <c r="A54" s="351">
        <v>46</v>
      </c>
      <c r="B54" s="847" t="s">
        <v>62</v>
      </c>
      <c r="C54" s="366"/>
      <c r="D54" s="351" t="str">
        <f>VLOOKUP(B54,'Builder Estimate'!$B:$H,4,FALSE)</f>
        <v>Gal</v>
      </c>
      <c r="E54" s="849">
        <f>VLOOKUP(B54,'Price '!B:D,3,FALSE)</f>
        <v>0</v>
      </c>
      <c r="F54" s="850" t="str">
        <f>VLOOKUP(B54,'Price '!$B:$D,2,FALSE)</f>
        <v>Gal</v>
      </c>
      <c r="G54" s="849">
        <f>E54*C54</f>
        <v>0</v>
      </c>
    </row>
    <row r="55" spans="1:9" s="851" customFormat="1" ht="18" hidden="1" customHeight="1">
      <c r="A55" s="351">
        <v>47</v>
      </c>
      <c r="B55" s="847" t="s">
        <v>61</v>
      </c>
      <c r="C55" s="366"/>
      <c r="D55" s="351" t="str">
        <f>VLOOKUP(B55,'Builder Estimate'!$B:$H,4,FALSE)</f>
        <v>Gal</v>
      </c>
      <c r="E55" s="849">
        <f>VLOOKUP(B55,'Price '!B:D,3,FALSE)</f>
        <v>0</v>
      </c>
      <c r="F55" s="850" t="str">
        <f>VLOOKUP(B55,'Price '!$B:$D,2,FALSE)</f>
        <v>Gal</v>
      </c>
      <c r="G55" s="849">
        <f>E55*C55</f>
        <v>0</v>
      </c>
    </row>
    <row r="56" spans="1:9" s="851" customFormat="1" ht="18" hidden="1" customHeight="1">
      <c r="A56" s="351">
        <v>48</v>
      </c>
      <c r="B56" s="847" t="s">
        <v>51</v>
      </c>
      <c r="C56" s="366"/>
      <c r="D56" s="351" t="str">
        <f>VLOOKUP(B56,'Builder Estimate'!$B:$H,4,FALSE)</f>
        <v>Nos</v>
      </c>
      <c r="E56" s="849">
        <f>VLOOKUP(B56,'Price '!B:D,3,FALSE)</f>
        <v>0</v>
      </c>
      <c r="F56" s="850" t="str">
        <f>VLOOKUP(B56,'Price '!$B:$D,2,FALSE)</f>
        <v>Nos</v>
      </c>
      <c r="G56" s="849">
        <f t="shared" si="10"/>
        <v>0</v>
      </c>
    </row>
    <row r="57" spans="1:9" s="851" customFormat="1" ht="18" hidden="1" customHeight="1">
      <c r="A57" s="351">
        <v>49</v>
      </c>
      <c r="B57" s="847" t="s">
        <v>121</v>
      </c>
      <c r="C57" s="366"/>
      <c r="D57" s="351" t="str">
        <f>VLOOKUP(B57,'Builder Estimate'!$B:$H,4,FALSE)</f>
        <v>Nos</v>
      </c>
      <c r="E57" s="849">
        <f>VLOOKUP(B57,'Price '!B:D,3,FALSE)</f>
        <v>0</v>
      </c>
      <c r="F57" s="850" t="str">
        <f>VLOOKUP(B57,'Price '!$B:$D,2,FALSE)</f>
        <v>Nos</v>
      </c>
      <c r="G57" s="849">
        <f t="shared" si="10"/>
        <v>0</v>
      </c>
    </row>
    <row r="58" spans="1:9" s="851" customFormat="1" ht="18" hidden="1" customHeight="1">
      <c r="A58" s="351">
        <v>50</v>
      </c>
      <c r="B58" s="856" t="s">
        <v>127</v>
      </c>
      <c r="C58" s="366"/>
      <c r="D58" s="351" t="str">
        <f>VLOOKUP(B58,'Builder Estimate'!$B:$H,4,FALSE)</f>
        <v>Nos</v>
      </c>
      <c r="E58" s="849">
        <f>VLOOKUP(B58,'Price '!B:D,3,FALSE)</f>
        <v>0</v>
      </c>
      <c r="F58" s="850" t="str">
        <f>VLOOKUP(B58,'Price '!$B:$D,2,FALSE)</f>
        <v>Nos</v>
      </c>
      <c r="G58" s="849">
        <f>E58*C58</f>
        <v>0</v>
      </c>
    </row>
    <row r="59" spans="1:9" s="851" customFormat="1" ht="18" hidden="1" customHeight="1">
      <c r="A59" s="351">
        <v>51</v>
      </c>
      <c r="B59" s="856" t="s">
        <v>98</v>
      </c>
      <c r="C59" s="366"/>
      <c r="D59" s="351" t="str">
        <f>VLOOKUP(B59,'Builder Estimate'!$B:$H,4,FALSE)</f>
        <v>Nos</v>
      </c>
      <c r="E59" s="849">
        <f>VLOOKUP(B59,'Price '!B:D,3,FALSE)</f>
        <v>0</v>
      </c>
      <c r="F59" s="850" t="str">
        <f>VLOOKUP(B59,'Price '!$B:$D,2,FALSE)</f>
        <v>Nos</v>
      </c>
      <c r="G59" s="849">
        <f>E59*C59</f>
        <v>0</v>
      </c>
    </row>
    <row r="60" spans="1:9" s="851" customFormat="1" ht="18" hidden="1" customHeight="1">
      <c r="A60" s="351">
        <v>52</v>
      </c>
      <c r="B60" s="857" t="s">
        <v>182</v>
      </c>
      <c r="C60" s="366"/>
      <c r="D60" s="351" t="str">
        <f>VLOOKUP(B60,'Builder Estimate'!$B:$H,4,FALSE)</f>
        <v>Lbs</v>
      </c>
      <c r="E60" s="849">
        <f>VLOOKUP(B60,'Price '!B:D,3,FALSE)</f>
        <v>0</v>
      </c>
      <c r="F60" s="850" t="str">
        <f>VLOOKUP(B60,'Price '!$B:$D,2,FALSE)</f>
        <v>Lbs</v>
      </c>
      <c r="G60" s="849">
        <f>E60*C60</f>
        <v>0</v>
      </c>
    </row>
    <row r="61" spans="1:9" s="851" customFormat="1" ht="18" hidden="1" customHeight="1">
      <c r="A61" s="351">
        <v>53</v>
      </c>
      <c r="B61" s="699" t="s">
        <v>560</v>
      </c>
      <c r="C61" s="366"/>
      <c r="D61" s="351" t="str">
        <f>VLOOKUP(B61,'Builder Estimate'!$B:$H,4,FALSE)</f>
        <v>Rft</v>
      </c>
      <c r="E61" s="849">
        <f>VLOOKUP(B61,'Price '!B:D,3,FALSE)</f>
        <v>0</v>
      </c>
      <c r="F61" s="850" t="str">
        <f>D61</f>
        <v>Rft</v>
      </c>
      <c r="G61" s="849">
        <f>E61*C61</f>
        <v>0</v>
      </c>
    </row>
    <row r="62" spans="1:9" s="851" customFormat="1" ht="18" hidden="1" customHeight="1">
      <c r="A62" s="351">
        <v>54</v>
      </c>
      <c r="B62" s="699" t="s">
        <v>612</v>
      </c>
      <c r="C62" s="366"/>
      <c r="D62" s="351" t="str">
        <f>VLOOKUP(B62,'Builder Estimate'!$B:$H,4,FALSE)</f>
        <v>Rft</v>
      </c>
      <c r="E62" s="849">
        <f>VLOOKUP(B62,'Price '!B:D,3,FALSE)</f>
        <v>6800</v>
      </c>
      <c r="F62" s="850" t="str">
        <f t="shared" ref="F62:F63" si="11">D62</f>
        <v>Rft</v>
      </c>
      <c r="G62" s="849">
        <f t="shared" ref="G62:G63" si="12">E62*C62</f>
        <v>0</v>
      </c>
    </row>
    <row r="63" spans="1:9" s="851" customFormat="1" ht="18" hidden="1" customHeight="1">
      <c r="A63" s="351">
        <v>55</v>
      </c>
      <c r="B63" s="699" t="s">
        <v>613</v>
      </c>
      <c r="C63" s="366"/>
      <c r="D63" s="351" t="str">
        <f>VLOOKUP(B63,'Builder Estimate'!$B:$H,4,FALSE)</f>
        <v>Sft</v>
      </c>
      <c r="E63" s="849">
        <f>VLOOKUP(B63,'Price '!B:D,3,FALSE)</f>
        <v>6100</v>
      </c>
      <c r="F63" s="850" t="str">
        <f t="shared" si="11"/>
        <v>Sft</v>
      </c>
      <c r="G63" s="849">
        <f t="shared" si="12"/>
        <v>0</v>
      </c>
    </row>
    <row r="64" spans="1:9" ht="18" customHeight="1">
      <c r="A64" s="351">
        <v>35</v>
      </c>
      <c r="B64" s="354" t="s">
        <v>45</v>
      </c>
      <c r="C64" s="366">
        <f>SUMIF('Builder Estimate'!$B$6:$B$645,'Bill of Quantity'!B64,'Builder Estimate'!$C$6:$C$645)</f>
        <v>902.00000000000011</v>
      </c>
      <c r="D64" s="351" t="str">
        <f>VLOOKUP(B64,'Builder Estimate'!$B:$H,4,FALSE)</f>
        <v>Nos</v>
      </c>
      <c r="E64" s="353">
        <f>VLOOKUP(B64,'Price '!B:D,3,FALSE)</f>
        <v>2000</v>
      </c>
      <c r="F64" s="438" t="str">
        <f>VLOOKUP(B64,'Price '!$B:$D,2,FALSE)</f>
        <v>Nos</v>
      </c>
      <c r="G64" s="353">
        <f t="shared" ref="G64" si="13">E64*C64</f>
        <v>1804000.0000000002</v>
      </c>
      <c r="H64" s="344"/>
    </row>
    <row r="65" spans="1:9" ht="18" customHeight="1">
      <c r="A65" s="351">
        <v>36</v>
      </c>
      <c r="B65" s="354" t="s">
        <v>46</v>
      </c>
      <c r="C65" s="366">
        <f>SUMIF('Builder Estimate'!$B$6:$B$645,'Bill of Quantity'!B65,'Builder Estimate'!$C$6:$C$645)</f>
        <v>64.831250000000011</v>
      </c>
      <c r="D65" s="351" t="str">
        <f>VLOOKUP(B65,'Builder Estimate'!$B:$H,4,FALSE)</f>
        <v>Viss</v>
      </c>
      <c r="E65" s="353">
        <f>VLOOKUP(B65,'Price '!B:D,3,FALSE)</f>
        <v>15000</v>
      </c>
      <c r="F65" s="438" t="str">
        <f>VLOOKUP(B65,'Price '!$B:$D,2,FALSE)</f>
        <v>Viss</v>
      </c>
      <c r="G65" s="353">
        <f>E65*C65</f>
        <v>972468.75000000012</v>
      </c>
      <c r="H65" s="344"/>
    </row>
    <row r="66" spans="1:9" ht="18" customHeight="1">
      <c r="A66" s="351">
        <v>37</v>
      </c>
      <c r="B66" s="354" t="s">
        <v>763</v>
      </c>
      <c r="C66" s="366">
        <f>SUMIF('Builder Estimate'!$B$6:$B$645,'Bill of Quantity'!B66,'Builder Estimate'!$C$6:$C$645)</f>
        <v>495.00000000000006</v>
      </c>
      <c r="D66" s="351" t="str">
        <f>VLOOKUP(B66,'Builder Estimate'!$B:$H,4,FALSE)</f>
        <v>Nos.</v>
      </c>
      <c r="E66" s="353">
        <f>VLOOKUP(B66,'Price '!B:D,3,FALSE)</f>
        <v>8100</v>
      </c>
      <c r="F66" s="438" t="str">
        <f>VLOOKUP(B66,'Price '!$B:$D,2,FALSE)</f>
        <v>Nos.</v>
      </c>
      <c r="G66" s="353">
        <f>E66*C66</f>
        <v>4009500.0000000005</v>
      </c>
      <c r="H66" s="344"/>
    </row>
    <row r="67" spans="1:9" ht="18" customHeight="1">
      <c r="A67" s="351">
        <v>38</v>
      </c>
      <c r="B67" s="354" t="s">
        <v>764</v>
      </c>
      <c r="C67" s="366">
        <f>SUMIF('Builder Estimate'!$B$6:$B$645,'Bill of Quantity'!B67,'Builder Estimate'!$C$6:$C$645)</f>
        <v>42.716666666666676</v>
      </c>
      <c r="D67" s="351" t="str">
        <f>VLOOKUP(B67,'Builder Estimate'!$B:$H,4,FALSE)</f>
        <v>Box</v>
      </c>
      <c r="E67" s="353">
        <f>VLOOKUP(B67,'Price '!B:D,3,FALSE)</f>
        <v>10000</v>
      </c>
      <c r="F67" s="438" t="str">
        <f>VLOOKUP(B67,'Price '!$B:$D,2,FALSE)</f>
        <v>Box</v>
      </c>
      <c r="G67" s="353">
        <f>E67*C67</f>
        <v>427166.66666666674</v>
      </c>
      <c r="H67" s="344"/>
    </row>
    <row r="68" spans="1:9" ht="18" customHeight="1">
      <c r="A68" s="351">
        <v>39</v>
      </c>
      <c r="B68" s="419" t="s">
        <v>612</v>
      </c>
      <c r="C68" s="366">
        <f>SUMIF('Builder Estimate'!$B$6:$B$645,'Bill of Quantity'!B68,'Builder Estimate'!$C$6:$C$645)</f>
        <v>127.66666666666667</v>
      </c>
      <c r="D68" s="351" t="str">
        <f>VLOOKUP(B68,'Builder Estimate'!$B:$H,4,FALSE)</f>
        <v>Rft</v>
      </c>
      <c r="E68" s="353">
        <f>VLOOKUP(B68,'Price '!B:D,3,FALSE)</f>
        <v>6800</v>
      </c>
      <c r="F68" s="438" t="str">
        <f>VLOOKUP(B68,'Price '!$B:$D,2,FALSE)</f>
        <v>Rft</v>
      </c>
      <c r="G68" s="353">
        <f t="shared" ref="G68:G69" si="14">E68*C68</f>
        <v>868133.33333333337</v>
      </c>
      <c r="H68" s="344"/>
    </row>
    <row r="69" spans="1:9" ht="18" customHeight="1">
      <c r="A69" s="351">
        <v>40</v>
      </c>
      <c r="B69" s="419" t="s">
        <v>613</v>
      </c>
      <c r="C69" s="366">
        <f>SUMIF('Builder Estimate'!$B$6:$B$645,'Bill of Quantity'!B69,'Builder Estimate'!$C$6:$C$645)</f>
        <v>522.66666666666674</v>
      </c>
      <c r="D69" s="351" t="str">
        <f>VLOOKUP(B69,'Builder Estimate'!$B:$H,4,FALSE)</f>
        <v>Sft</v>
      </c>
      <c r="E69" s="353">
        <f>VLOOKUP(B69,'Price '!B:D,3,FALSE)</f>
        <v>6100</v>
      </c>
      <c r="F69" s="438" t="str">
        <f>VLOOKUP(B69,'Price '!$B:$D,2,FALSE)</f>
        <v>Sft</v>
      </c>
      <c r="G69" s="353">
        <f t="shared" si="14"/>
        <v>3188266.666666667</v>
      </c>
      <c r="H69" s="344"/>
    </row>
    <row r="70" spans="1:9" ht="18" customHeight="1">
      <c r="A70" s="351"/>
      <c r="B70" s="354"/>
      <c r="C70" s="366"/>
      <c r="D70" s="351"/>
      <c r="E70" s="442"/>
      <c r="F70" s="351"/>
      <c r="G70" s="442"/>
      <c r="H70" s="344"/>
    </row>
    <row r="71" spans="1:9" ht="18" customHeight="1">
      <c r="A71" s="443"/>
      <c r="B71" s="444" t="s">
        <v>143</v>
      </c>
      <c r="C71" s="445"/>
      <c r="D71" s="443"/>
      <c r="E71" s="446"/>
      <c r="F71" s="443"/>
      <c r="G71" s="570">
        <f>SUM(G7:G70)</f>
        <v>262281713.97561759</v>
      </c>
      <c r="H71" s="447">
        <f>'Builder Estimate'!H647</f>
        <v>262281713.97561756</v>
      </c>
      <c r="I71" s="448">
        <f>G71-H71</f>
        <v>0</v>
      </c>
    </row>
    <row r="72" spans="1:9" ht="18" customHeight="1">
      <c r="A72" s="398"/>
      <c r="B72" s="449" t="s">
        <v>28</v>
      </c>
      <c r="C72" s="450"/>
      <c r="D72" s="398"/>
      <c r="E72" s="451"/>
      <c r="F72" s="398"/>
      <c r="G72" s="451"/>
      <c r="H72" s="439"/>
    </row>
    <row r="73" spans="1:9" ht="18" customHeight="1">
      <c r="A73" s="351">
        <v>1</v>
      </c>
      <c r="B73" s="452" t="s">
        <v>63</v>
      </c>
      <c r="C73" s="366">
        <f>SUMIF('Builder Estimate'!$B$6:$B$645,'Bill of Quantity'!B73,'Builder Estimate'!$C$6:$C$645)</f>
        <v>668.61091725694473</v>
      </c>
      <c r="D73" s="351" t="str">
        <f>VLOOKUP(B73,'Builder Estimate'!$B:$H,4,FALSE)</f>
        <v>Nos</v>
      </c>
      <c r="E73" s="353">
        <f>VLOOKUP(B73,'Price '!B:D,3,FALSE)</f>
        <v>27500</v>
      </c>
      <c r="F73" s="438" t="str">
        <f>VLOOKUP(B73,'Price '!$B:$D,2,FALSE)</f>
        <v>Nos</v>
      </c>
      <c r="G73" s="353">
        <f t="shared" ref="G73:G76" si="15">E73*C73</f>
        <v>18386800.224565979</v>
      </c>
      <c r="H73" s="439"/>
    </row>
    <row r="74" spans="1:9" ht="18" customHeight="1">
      <c r="A74" s="351">
        <v>2</v>
      </c>
      <c r="B74" s="453" t="s">
        <v>37</v>
      </c>
      <c r="C74" s="366">
        <f>SUMIF('Builder Estimate'!$B$6:$B$645,'Bill of Quantity'!B74,'Builder Estimate'!$C$6:$C$645)</f>
        <v>3414.2218656287505</v>
      </c>
      <c r="D74" s="351" t="str">
        <f>VLOOKUP(B74,'Builder Estimate'!$B:$H,4,FALSE)</f>
        <v>Nos</v>
      </c>
      <c r="E74" s="353">
        <f>VLOOKUP(B74,'Price '!B:D,3,FALSE)</f>
        <v>19800</v>
      </c>
      <c r="F74" s="438" t="str">
        <f>VLOOKUP(B74,'Price '!$B:$D,2,FALSE)</f>
        <v>Nos</v>
      </c>
      <c r="G74" s="353">
        <f t="shared" si="15"/>
        <v>67601592.939449266</v>
      </c>
      <c r="H74" s="439"/>
    </row>
    <row r="75" spans="1:9" ht="18" customHeight="1">
      <c r="A75" s="351">
        <v>3</v>
      </c>
      <c r="B75" s="454" t="s">
        <v>64</v>
      </c>
      <c r="C75" s="366">
        <f>SUMIF('Builder Estimate'!$B$6:$B$645,'Bill of Quantity'!B75,'Builder Estimate'!$C$6:$C$645)</f>
        <v>1186.8494962500001</v>
      </c>
      <c r="D75" s="351" t="str">
        <f>VLOOKUP(B75,'Builder Estimate'!$B:$H,4,FALSE)</f>
        <v>Nos</v>
      </c>
      <c r="E75" s="353">
        <f>VLOOKUP(B75,'Price '!B:D,3,FALSE)</f>
        <v>27500</v>
      </c>
      <c r="F75" s="438" t="str">
        <f>VLOOKUP(B75,'Price '!$B:$D,2,FALSE)</f>
        <v>Nos</v>
      </c>
      <c r="G75" s="353">
        <f t="shared" si="15"/>
        <v>32638361.146875005</v>
      </c>
      <c r="H75" s="439"/>
    </row>
    <row r="76" spans="1:9" ht="18" customHeight="1">
      <c r="A76" s="351">
        <v>4</v>
      </c>
      <c r="B76" s="453" t="s">
        <v>724</v>
      </c>
      <c r="C76" s="366">
        <f>SUMIF('Builder Estimate'!$B$6:$B$645,'Bill of Quantity'!B76,'Builder Estimate'!$C$6:$C$645)</f>
        <v>0.24274250000000003</v>
      </c>
      <c r="D76" s="351" t="str">
        <f>VLOOKUP(B76,'Builder Estimate'!$B:$H,4,FALSE)</f>
        <v>Nos</v>
      </c>
      <c r="E76" s="353">
        <f>VLOOKUP(B76,'Price '!B:D,3,FALSE)</f>
        <v>27500</v>
      </c>
      <c r="F76" s="438" t="str">
        <f>VLOOKUP(B76,'Price '!$B:$D,2,FALSE)</f>
        <v>Nos</v>
      </c>
      <c r="G76" s="353">
        <f t="shared" si="15"/>
        <v>6675.4187500000007</v>
      </c>
      <c r="H76" s="439"/>
    </row>
    <row r="77" spans="1:9" ht="18" customHeight="1">
      <c r="A77" s="351">
        <v>5</v>
      </c>
      <c r="B77" s="454" t="s">
        <v>66</v>
      </c>
      <c r="C77" s="366">
        <f>SUMIF('Builder Estimate'!$B$6:$B$645,'Bill of Quantity'!B77,'Builder Estimate'!$C$6:$C$645)</f>
        <v>720.67363862643526</v>
      </c>
      <c r="D77" s="351" t="str">
        <f>VLOOKUP(B77,'Builder Estimate'!$B:$H,4,FALSE)</f>
        <v>Nos</v>
      </c>
      <c r="E77" s="353">
        <f>VLOOKUP(B77,'Price '!B:D,3,FALSE)</f>
        <v>27500</v>
      </c>
      <c r="F77" s="438" t="str">
        <f>VLOOKUP(B77,'Price '!$B:$D,2,FALSE)</f>
        <v>Nos</v>
      </c>
      <c r="G77" s="353">
        <f>E77*C77</f>
        <v>19818525.06222697</v>
      </c>
      <c r="H77" s="439"/>
    </row>
    <row r="78" spans="1:9" ht="18" customHeight="1">
      <c r="A78" s="351">
        <v>6</v>
      </c>
      <c r="B78" s="454" t="s">
        <v>67</v>
      </c>
      <c r="C78" s="366">
        <f>SUMIF('Builder Estimate'!$B$6:$B$645,'Bill of Quantity'!B78,'Builder Estimate'!$C$6:$C$645)</f>
        <v>34.13389250868056</v>
      </c>
      <c r="D78" s="351" t="str">
        <f>VLOOKUP(B78,'Builder Estimate'!$B:$H,4,FALSE)</f>
        <v>Nos</v>
      </c>
      <c r="E78" s="353">
        <f>VLOOKUP(B78,'Price '!B:D,3,FALSE)</f>
        <v>27500</v>
      </c>
      <c r="F78" s="438" t="str">
        <f>VLOOKUP(B78,'Price '!$B:$D,2,FALSE)</f>
        <v>Nos</v>
      </c>
      <c r="G78" s="353">
        <f>E78*C78</f>
        <v>938682.04398871539</v>
      </c>
      <c r="H78" s="439"/>
    </row>
    <row r="79" spans="1:9" ht="18" customHeight="1">
      <c r="A79" s="351"/>
      <c r="B79" s="455"/>
      <c r="C79" s="438"/>
      <c r="D79" s="438"/>
      <c r="E79" s="353"/>
      <c r="F79" s="438"/>
      <c r="G79" s="353"/>
      <c r="H79" s="439"/>
    </row>
    <row r="80" spans="1:9" ht="18" customHeight="1">
      <c r="A80" s="443"/>
      <c r="B80" s="456" t="s">
        <v>145</v>
      </c>
      <c r="C80" s="457"/>
      <c r="D80" s="457"/>
      <c r="E80" s="458"/>
      <c r="F80" s="457"/>
      <c r="G80" s="459">
        <f>SUM(G73:G79)</f>
        <v>139390636.83585593</v>
      </c>
      <c r="H80" s="447">
        <f>'Builder Estimate'!H646</f>
        <v>139390636.83585593</v>
      </c>
      <c r="I80" s="448">
        <f>G80-H80</f>
        <v>0</v>
      </c>
    </row>
    <row r="81" spans="1:11" ht="25.5" customHeight="1">
      <c r="A81" s="443"/>
      <c r="B81" s="1157" t="s">
        <v>39</v>
      </c>
      <c r="C81" s="1148"/>
      <c r="D81" s="1148"/>
      <c r="E81" s="1148"/>
      <c r="F81" s="1149"/>
      <c r="G81" s="459">
        <f>G80+G71</f>
        <v>401672350.81147349</v>
      </c>
      <c r="H81" s="447">
        <f>'Builder Estimate'!H648</f>
        <v>401672350.81147355</v>
      </c>
    </row>
    <row r="82" spans="1:11" ht="18" customHeight="1">
      <c r="A82" s="1036"/>
      <c r="B82" s="1144" t="s">
        <v>784</v>
      </c>
      <c r="C82" s="1144"/>
      <c r="D82" s="1144"/>
      <c r="E82" s="1144"/>
      <c r="F82" s="1037">
        <v>0.03</v>
      </c>
      <c r="G82" s="1038">
        <f>G81*F82</f>
        <v>12050170.524344204</v>
      </c>
      <c r="H82" s="355">
        <f>H81-G81</f>
        <v>0</v>
      </c>
    </row>
    <row r="83" spans="1:11" ht="18" customHeight="1">
      <c r="A83" s="1036"/>
      <c r="B83" s="1144" t="s">
        <v>785</v>
      </c>
      <c r="C83" s="1144"/>
      <c r="D83" s="1144"/>
      <c r="E83" s="1144"/>
      <c r="F83" s="1037">
        <v>0.05</v>
      </c>
      <c r="G83" s="1038">
        <f>(G82+G81)*F83</f>
        <v>20686126.066790886</v>
      </c>
    </row>
    <row r="84" spans="1:11" ht="18" hidden="1" customHeight="1">
      <c r="A84" s="1036"/>
      <c r="B84" s="1144" t="s">
        <v>786</v>
      </c>
      <c r="C84" s="1144"/>
      <c r="D84" s="1144"/>
      <c r="E84" s="1144"/>
      <c r="F84" s="1037">
        <v>0.1</v>
      </c>
      <c r="G84" s="1038"/>
    </row>
    <row r="85" spans="1:11" ht="18" customHeight="1">
      <c r="A85" s="1036"/>
      <c r="B85" s="1145" t="s">
        <v>787</v>
      </c>
      <c r="C85" s="1145"/>
      <c r="D85" s="1145"/>
      <c r="E85" s="1145"/>
      <c r="F85" s="1145"/>
      <c r="G85" s="1100">
        <f>SUM(G81:G84)</f>
        <v>434408647.40260857</v>
      </c>
    </row>
    <row r="86" spans="1:11" ht="18" customHeight="1">
      <c r="I86" s="448"/>
    </row>
    <row r="87" spans="1:11" ht="18" customHeight="1"/>
    <row r="88" spans="1:11" ht="18" customHeight="1"/>
    <row r="89" spans="1:11" ht="18" customHeight="1">
      <c r="K89" s="355"/>
    </row>
    <row r="90" spans="1:11" ht="18" customHeight="1"/>
    <row r="91" spans="1:11" ht="18" customHeight="1"/>
    <row r="92" spans="1:11" ht="18" customHeight="1"/>
    <row r="93" spans="1:11" ht="18" customHeight="1"/>
    <row r="94" spans="1:11" ht="18" customHeight="1"/>
    <row r="95" spans="1:11" ht="18" customHeight="1">
      <c r="A95" s="461"/>
      <c r="B95" s="462"/>
      <c r="C95" s="463"/>
      <c r="D95" s="461"/>
      <c r="E95" s="439"/>
      <c r="F95" s="461"/>
      <c r="G95" s="439"/>
      <c r="H95" s="439"/>
    </row>
    <row r="96" spans="1:11" ht="18" customHeight="1">
      <c r="A96" s="461"/>
      <c r="B96" s="462"/>
      <c r="C96" s="463"/>
      <c r="D96" s="461"/>
      <c r="E96" s="439"/>
      <c r="F96" s="461"/>
      <c r="G96" s="439"/>
      <c r="H96" s="439"/>
    </row>
    <row r="97" spans="1:8" ht="18" customHeight="1">
      <c r="A97" s="461"/>
      <c r="B97" s="462"/>
      <c r="C97" s="463"/>
      <c r="D97" s="461"/>
      <c r="E97" s="439"/>
      <c r="F97" s="461"/>
      <c r="G97" s="439"/>
      <c r="H97" s="439"/>
    </row>
    <row r="98" spans="1:8" ht="18" customHeight="1">
      <c r="A98" s="461"/>
      <c r="B98" s="462"/>
      <c r="C98" s="463"/>
      <c r="D98" s="461"/>
      <c r="E98" s="439"/>
      <c r="F98" s="461"/>
      <c r="G98" s="439"/>
      <c r="H98" s="439"/>
    </row>
    <row r="99" spans="1:8" ht="18" customHeight="1">
      <c r="A99" s="461"/>
      <c r="B99" s="462"/>
      <c r="C99" s="463"/>
      <c r="D99" s="461"/>
      <c r="E99" s="439"/>
      <c r="F99" s="461"/>
      <c r="G99" s="439"/>
      <c r="H99" s="439"/>
    </row>
    <row r="100" spans="1:8" ht="18" customHeight="1">
      <c r="A100" s="461"/>
      <c r="B100" s="462"/>
      <c r="C100" s="463"/>
      <c r="D100" s="461"/>
      <c r="E100" s="439"/>
      <c r="F100" s="461"/>
      <c r="G100" s="439"/>
      <c r="H100" s="439"/>
    </row>
    <row r="101" spans="1:8" ht="18" customHeight="1">
      <c r="A101" s="461"/>
      <c r="B101" s="462"/>
      <c r="C101" s="463"/>
      <c r="D101" s="461"/>
      <c r="E101" s="439"/>
      <c r="F101" s="461"/>
      <c r="G101" s="439"/>
      <c r="H101" s="439"/>
    </row>
    <row r="102" spans="1:8" ht="18" customHeight="1">
      <c r="A102" s="461"/>
      <c r="B102" s="462"/>
      <c r="C102" s="463"/>
      <c r="D102" s="461"/>
      <c r="E102" s="439"/>
      <c r="F102" s="461"/>
      <c r="G102" s="439"/>
      <c r="H102" s="439"/>
    </row>
    <row r="103" spans="1:8" ht="18" customHeight="1">
      <c r="A103" s="461"/>
      <c r="B103" s="462"/>
      <c r="C103" s="463"/>
      <c r="D103" s="461"/>
      <c r="E103" s="439"/>
      <c r="F103" s="461"/>
      <c r="G103" s="439"/>
      <c r="H103" s="439"/>
    </row>
    <row r="104" spans="1:8" ht="18" customHeight="1">
      <c r="A104" s="461"/>
      <c r="B104" s="462"/>
      <c r="C104" s="463"/>
      <c r="D104" s="461"/>
      <c r="E104" s="439"/>
      <c r="F104" s="461"/>
      <c r="G104" s="439"/>
      <c r="H104" s="439"/>
    </row>
    <row r="105" spans="1:8" ht="18" customHeight="1">
      <c r="A105" s="461"/>
      <c r="B105" s="462"/>
      <c r="C105" s="463"/>
      <c r="D105" s="461"/>
      <c r="E105" s="439"/>
      <c r="F105" s="461"/>
      <c r="G105" s="439"/>
      <c r="H105" s="439"/>
    </row>
    <row r="106" spans="1:8" ht="18" customHeight="1">
      <c r="A106" s="461"/>
      <c r="B106" s="462"/>
      <c r="C106" s="463"/>
      <c r="D106" s="461"/>
      <c r="E106" s="439"/>
      <c r="F106" s="461"/>
      <c r="G106" s="439"/>
      <c r="H106" s="439"/>
    </row>
    <row r="107" spans="1:8" ht="18" customHeight="1">
      <c r="A107" s="461"/>
      <c r="B107" s="462"/>
      <c r="C107" s="463"/>
      <c r="D107" s="461"/>
      <c r="E107" s="439"/>
      <c r="F107" s="461"/>
      <c r="G107" s="439"/>
      <c r="H107" s="439"/>
    </row>
    <row r="108" spans="1:8" ht="18" customHeight="1">
      <c r="A108" s="461"/>
      <c r="B108" s="462"/>
      <c r="C108" s="463"/>
      <c r="D108" s="461"/>
      <c r="E108" s="439"/>
      <c r="F108" s="461"/>
      <c r="G108" s="439"/>
      <c r="H108" s="439"/>
    </row>
    <row r="109" spans="1:8" ht="18" customHeight="1">
      <c r="A109" s="461"/>
      <c r="B109" s="462"/>
      <c r="C109" s="463"/>
      <c r="D109" s="461"/>
      <c r="E109" s="439"/>
      <c r="F109" s="461"/>
      <c r="G109" s="439"/>
      <c r="H109" s="439"/>
    </row>
    <row r="110" spans="1:8" ht="18" customHeight="1">
      <c r="A110" s="461"/>
      <c r="B110" s="462"/>
      <c r="C110" s="463"/>
      <c r="D110" s="461"/>
      <c r="E110" s="439"/>
      <c r="F110" s="461"/>
      <c r="G110" s="439"/>
      <c r="H110" s="439"/>
    </row>
    <row r="111" spans="1:8" ht="18" customHeight="1">
      <c r="A111" s="461"/>
      <c r="B111" s="462"/>
      <c r="C111" s="463"/>
      <c r="D111" s="461"/>
      <c r="E111" s="439"/>
      <c r="F111" s="461"/>
      <c r="G111" s="439"/>
      <c r="H111" s="439"/>
    </row>
    <row r="112" spans="1:8" ht="18" customHeight="1">
      <c r="A112" s="461"/>
      <c r="B112" s="462"/>
      <c r="C112" s="463"/>
      <c r="D112" s="461"/>
      <c r="E112" s="439"/>
      <c r="F112" s="461"/>
      <c r="G112" s="439"/>
      <c r="H112" s="439"/>
    </row>
    <row r="113" spans="1:8" ht="18" customHeight="1">
      <c r="A113" s="461"/>
      <c r="B113" s="462"/>
      <c r="C113" s="463"/>
      <c r="D113" s="461"/>
      <c r="E113" s="439"/>
      <c r="F113" s="461"/>
      <c r="G113" s="439"/>
      <c r="H113" s="439"/>
    </row>
    <row r="114" spans="1:8" ht="18" customHeight="1">
      <c r="A114" s="461"/>
      <c r="B114" s="462"/>
      <c r="C114" s="463"/>
      <c r="D114" s="461"/>
      <c r="E114" s="439"/>
      <c r="F114" s="461"/>
      <c r="G114" s="439"/>
      <c r="H114" s="439"/>
    </row>
    <row r="115" spans="1:8" ht="18" customHeight="1">
      <c r="A115" s="461"/>
      <c r="B115" s="462"/>
      <c r="C115" s="463"/>
      <c r="D115" s="461"/>
      <c r="E115" s="439"/>
      <c r="F115" s="461"/>
      <c r="G115" s="439"/>
      <c r="H115" s="439"/>
    </row>
    <row r="116" spans="1:8" ht="18" customHeight="1">
      <c r="A116" s="461"/>
      <c r="B116" s="462"/>
      <c r="C116" s="463"/>
      <c r="D116" s="461"/>
      <c r="E116" s="439"/>
      <c r="F116" s="461"/>
      <c r="G116" s="439"/>
      <c r="H116" s="439"/>
    </row>
    <row r="117" spans="1:8" ht="18" customHeight="1">
      <c r="A117" s="461"/>
      <c r="B117" s="462"/>
      <c r="C117" s="463"/>
      <c r="D117" s="461"/>
      <c r="E117" s="439"/>
      <c r="F117" s="461"/>
      <c r="G117" s="439"/>
      <c r="H117" s="439"/>
    </row>
    <row r="118" spans="1:8" ht="18" customHeight="1">
      <c r="A118" s="461"/>
      <c r="B118" s="462"/>
      <c r="C118" s="463"/>
      <c r="D118" s="461"/>
      <c r="E118" s="439"/>
      <c r="F118" s="461"/>
      <c r="G118" s="439"/>
      <c r="H118" s="439"/>
    </row>
    <row r="119" spans="1:8" ht="18" customHeight="1">
      <c r="A119" s="461"/>
      <c r="B119" s="462"/>
      <c r="C119" s="463"/>
      <c r="D119" s="461"/>
      <c r="E119" s="439"/>
      <c r="F119" s="461"/>
      <c r="G119" s="439"/>
      <c r="H119" s="439"/>
    </row>
    <row r="120" spans="1:8" ht="18" customHeight="1">
      <c r="A120" s="461"/>
      <c r="B120" s="462"/>
      <c r="C120" s="463"/>
      <c r="D120" s="461"/>
      <c r="E120" s="439"/>
      <c r="F120" s="461"/>
      <c r="G120" s="439"/>
      <c r="H120" s="439"/>
    </row>
    <row r="121" spans="1:8" ht="18" customHeight="1">
      <c r="A121" s="461"/>
      <c r="B121" s="462"/>
      <c r="C121" s="463"/>
      <c r="D121" s="461"/>
      <c r="E121" s="439"/>
      <c r="F121" s="461"/>
      <c r="G121" s="439"/>
      <c r="H121" s="439"/>
    </row>
    <row r="122" spans="1:8" ht="18" customHeight="1">
      <c r="A122" s="461"/>
      <c r="B122" s="462"/>
      <c r="C122" s="463"/>
      <c r="D122" s="461"/>
      <c r="E122" s="439"/>
      <c r="F122" s="461"/>
      <c r="G122" s="439"/>
      <c r="H122" s="439"/>
    </row>
    <row r="123" spans="1:8" ht="18" customHeight="1">
      <c r="A123" s="461"/>
      <c r="B123" s="462"/>
      <c r="C123" s="463"/>
      <c r="D123" s="461"/>
      <c r="E123" s="439"/>
      <c r="F123" s="461"/>
      <c r="G123" s="439"/>
      <c r="H123" s="439"/>
    </row>
    <row r="124" spans="1:8" ht="18" customHeight="1">
      <c r="A124" s="461"/>
      <c r="B124" s="462"/>
      <c r="C124" s="463"/>
      <c r="D124" s="461"/>
      <c r="E124" s="439"/>
      <c r="F124" s="461"/>
      <c r="G124" s="439"/>
      <c r="H124" s="439"/>
    </row>
    <row r="125" spans="1:8" ht="18" customHeight="1">
      <c r="A125" s="461"/>
      <c r="B125" s="462"/>
      <c r="C125" s="463"/>
      <c r="D125" s="461"/>
      <c r="E125" s="439"/>
      <c r="F125" s="461"/>
      <c r="G125" s="439"/>
      <c r="H125" s="439"/>
    </row>
    <row r="126" spans="1:8" ht="18" customHeight="1">
      <c r="A126" s="461"/>
      <c r="B126" s="462"/>
      <c r="C126" s="463"/>
      <c r="D126" s="461"/>
      <c r="E126" s="439"/>
      <c r="F126" s="461"/>
      <c r="G126" s="439"/>
      <c r="H126" s="439"/>
    </row>
    <row r="127" spans="1:8" ht="18" customHeight="1">
      <c r="A127" s="461"/>
      <c r="B127" s="462"/>
      <c r="C127" s="463"/>
      <c r="D127" s="461"/>
      <c r="E127" s="439"/>
      <c r="F127" s="461"/>
      <c r="G127" s="439"/>
      <c r="H127" s="439"/>
    </row>
    <row r="128" spans="1:8" ht="18" customHeight="1">
      <c r="A128" s="461"/>
      <c r="B128" s="462"/>
      <c r="C128" s="463"/>
      <c r="D128" s="461"/>
      <c r="E128" s="439"/>
      <c r="F128" s="461"/>
      <c r="G128" s="439"/>
      <c r="H128" s="439"/>
    </row>
    <row r="129" spans="1:8" ht="18" customHeight="1">
      <c r="A129" s="461"/>
      <c r="B129" s="462"/>
      <c r="C129" s="463"/>
      <c r="D129" s="461"/>
      <c r="E129" s="439"/>
      <c r="F129" s="461"/>
      <c r="G129" s="439"/>
      <c r="H129" s="439"/>
    </row>
    <row r="130" spans="1:8" ht="18" customHeight="1">
      <c r="A130" s="461"/>
      <c r="B130" s="462"/>
      <c r="C130" s="463"/>
      <c r="D130" s="461"/>
      <c r="E130" s="439"/>
      <c r="F130" s="461"/>
      <c r="G130" s="439"/>
      <c r="H130" s="439"/>
    </row>
    <row r="131" spans="1:8" ht="18" customHeight="1">
      <c r="A131" s="461"/>
      <c r="B131" s="462"/>
      <c r="C131" s="463"/>
      <c r="D131" s="461"/>
      <c r="E131" s="439"/>
      <c r="F131" s="461"/>
      <c r="G131" s="439"/>
      <c r="H131" s="439"/>
    </row>
    <row r="132" spans="1:8" ht="18" customHeight="1">
      <c r="A132" s="461"/>
      <c r="B132" s="462"/>
      <c r="C132" s="463"/>
      <c r="D132" s="461"/>
      <c r="E132" s="439"/>
      <c r="F132" s="461"/>
      <c r="G132" s="439"/>
      <c r="H132" s="439"/>
    </row>
    <row r="133" spans="1:8" ht="18" customHeight="1">
      <c r="A133" s="461"/>
      <c r="B133" s="462"/>
      <c r="C133" s="463"/>
      <c r="D133" s="461"/>
      <c r="E133" s="439"/>
      <c r="F133" s="461"/>
      <c r="G133" s="439"/>
      <c r="H133" s="439"/>
    </row>
    <row r="134" spans="1:8" ht="18" customHeight="1">
      <c r="A134" s="461"/>
      <c r="B134" s="462"/>
      <c r="C134" s="463"/>
      <c r="D134" s="461"/>
      <c r="E134" s="439"/>
      <c r="F134" s="461"/>
      <c r="G134" s="439"/>
      <c r="H134" s="439"/>
    </row>
    <row r="135" spans="1:8" ht="18" customHeight="1">
      <c r="A135" s="461"/>
      <c r="B135" s="462"/>
      <c r="C135" s="463"/>
      <c r="D135" s="461"/>
      <c r="E135" s="439"/>
      <c r="F135" s="461"/>
      <c r="G135" s="439"/>
      <c r="H135" s="439"/>
    </row>
    <row r="136" spans="1:8" ht="18" customHeight="1">
      <c r="A136" s="461"/>
      <c r="B136" s="462"/>
      <c r="C136" s="463"/>
      <c r="D136" s="461"/>
      <c r="E136" s="439"/>
      <c r="F136" s="461"/>
      <c r="G136" s="439"/>
      <c r="H136" s="439"/>
    </row>
    <row r="137" spans="1:8" ht="18" customHeight="1">
      <c r="A137" s="461"/>
      <c r="B137" s="462"/>
      <c r="C137" s="463"/>
      <c r="D137" s="461"/>
      <c r="E137" s="439"/>
      <c r="F137" s="461"/>
      <c r="G137" s="439"/>
      <c r="H137" s="439"/>
    </row>
    <row r="138" spans="1:8" ht="18" customHeight="1">
      <c r="A138" s="461"/>
      <c r="B138" s="462"/>
      <c r="C138" s="463"/>
      <c r="D138" s="461"/>
      <c r="E138" s="439"/>
      <c r="F138" s="461"/>
      <c r="G138" s="439"/>
      <c r="H138" s="439"/>
    </row>
    <row r="139" spans="1:8" ht="18" customHeight="1">
      <c r="A139" s="461"/>
      <c r="B139" s="462"/>
      <c r="C139" s="463"/>
      <c r="D139" s="461"/>
      <c r="E139" s="439"/>
      <c r="F139" s="461"/>
      <c r="G139" s="439"/>
      <c r="H139" s="439"/>
    </row>
    <row r="140" spans="1:8" ht="18" customHeight="1">
      <c r="A140" s="461"/>
      <c r="B140" s="462"/>
      <c r="C140" s="463"/>
      <c r="D140" s="461"/>
      <c r="E140" s="439"/>
      <c r="F140" s="461"/>
      <c r="G140" s="439"/>
      <c r="H140" s="439"/>
    </row>
    <row r="141" spans="1:8" ht="18" customHeight="1">
      <c r="A141" s="461"/>
      <c r="B141" s="462"/>
      <c r="C141" s="463"/>
      <c r="D141" s="461"/>
      <c r="E141" s="439"/>
      <c r="F141" s="461"/>
      <c r="G141" s="439"/>
      <c r="H141" s="439"/>
    </row>
    <row r="142" spans="1:8" ht="18" customHeight="1">
      <c r="A142" s="461"/>
      <c r="B142" s="462"/>
      <c r="C142" s="463"/>
      <c r="D142" s="461"/>
      <c r="E142" s="439"/>
      <c r="F142" s="461"/>
      <c r="G142" s="439"/>
      <c r="H142" s="439"/>
    </row>
    <row r="143" spans="1:8" ht="18" customHeight="1">
      <c r="A143" s="461"/>
      <c r="B143" s="462"/>
      <c r="C143" s="463"/>
      <c r="D143" s="461"/>
      <c r="E143" s="439"/>
      <c r="F143" s="461"/>
      <c r="G143" s="439"/>
      <c r="H143" s="439"/>
    </row>
    <row r="144" spans="1:8" ht="18" customHeight="1">
      <c r="A144" s="461"/>
      <c r="B144" s="462"/>
      <c r="C144" s="463"/>
      <c r="D144" s="461"/>
      <c r="E144" s="439"/>
      <c r="F144" s="461"/>
      <c r="G144" s="439"/>
      <c r="H144" s="439"/>
    </row>
    <row r="145" spans="1:8" ht="18" customHeight="1">
      <c r="A145" s="461"/>
      <c r="B145" s="462"/>
      <c r="C145" s="463"/>
      <c r="D145" s="461"/>
      <c r="E145" s="439"/>
      <c r="F145" s="461"/>
      <c r="G145" s="439"/>
      <c r="H145" s="439"/>
    </row>
    <row r="146" spans="1:8" ht="18" customHeight="1">
      <c r="A146" s="461"/>
      <c r="B146" s="462"/>
      <c r="C146" s="463"/>
      <c r="D146" s="461"/>
      <c r="E146" s="439"/>
      <c r="F146" s="461"/>
      <c r="G146" s="439"/>
      <c r="H146" s="439"/>
    </row>
    <row r="147" spans="1:8" ht="18" customHeight="1">
      <c r="A147" s="461"/>
      <c r="B147" s="462"/>
      <c r="C147" s="463"/>
      <c r="D147" s="461"/>
      <c r="E147" s="439"/>
      <c r="F147" s="461"/>
      <c r="G147" s="439"/>
      <c r="H147" s="439"/>
    </row>
    <row r="148" spans="1:8" ht="18" customHeight="1">
      <c r="A148" s="461"/>
      <c r="B148" s="462"/>
      <c r="C148" s="463"/>
      <c r="D148" s="461"/>
      <c r="E148" s="439"/>
      <c r="F148" s="461"/>
      <c r="G148" s="439"/>
      <c r="H148" s="439"/>
    </row>
    <row r="149" spans="1:8" ht="18" customHeight="1">
      <c r="A149" s="461"/>
      <c r="B149" s="462"/>
      <c r="C149" s="463"/>
      <c r="D149" s="461"/>
      <c r="E149" s="439"/>
      <c r="F149" s="461"/>
      <c r="G149" s="439"/>
      <c r="H149" s="439"/>
    </row>
    <row r="150" spans="1:8" ht="18" customHeight="1">
      <c r="A150" s="461"/>
      <c r="B150" s="462"/>
      <c r="C150" s="463"/>
      <c r="D150" s="461"/>
      <c r="E150" s="439"/>
      <c r="F150" s="461"/>
      <c r="G150" s="439"/>
      <c r="H150" s="439"/>
    </row>
    <row r="151" spans="1:8" ht="18" customHeight="1">
      <c r="A151" s="461"/>
      <c r="B151" s="462"/>
      <c r="C151" s="463"/>
      <c r="D151" s="461"/>
      <c r="E151" s="439"/>
      <c r="F151" s="461"/>
      <c r="G151" s="439"/>
      <c r="H151" s="439"/>
    </row>
    <row r="152" spans="1:8" ht="18" customHeight="1">
      <c r="A152" s="461"/>
      <c r="B152" s="462"/>
      <c r="C152" s="463"/>
      <c r="D152" s="461"/>
      <c r="E152" s="439"/>
      <c r="F152" s="461"/>
      <c r="G152" s="439"/>
      <c r="H152" s="439"/>
    </row>
    <row r="153" spans="1:8" ht="18" customHeight="1">
      <c r="A153" s="461"/>
      <c r="B153" s="462"/>
      <c r="C153" s="463"/>
      <c r="D153" s="461"/>
      <c r="E153" s="439"/>
      <c r="F153" s="461"/>
      <c r="G153" s="439"/>
      <c r="H153" s="439"/>
    </row>
    <row r="154" spans="1:8" ht="18" customHeight="1">
      <c r="A154" s="461"/>
      <c r="B154" s="462"/>
      <c r="C154" s="463"/>
      <c r="D154" s="461"/>
      <c r="E154" s="439"/>
      <c r="F154" s="461"/>
      <c r="G154" s="439"/>
      <c r="H154" s="439"/>
    </row>
    <row r="155" spans="1:8" ht="18" customHeight="1">
      <c r="A155" s="461"/>
      <c r="B155" s="462"/>
      <c r="C155" s="463"/>
      <c r="D155" s="461"/>
      <c r="E155" s="439"/>
      <c r="F155" s="461"/>
      <c r="G155" s="439"/>
      <c r="H155" s="439"/>
    </row>
    <row r="156" spans="1:8" ht="18" customHeight="1">
      <c r="A156" s="461"/>
      <c r="B156" s="462"/>
      <c r="C156" s="463"/>
      <c r="D156" s="461"/>
      <c r="E156" s="439"/>
      <c r="F156" s="461"/>
      <c r="G156" s="439"/>
      <c r="H156" s="439"/>
    </row>
    <row r="157" spans="1:8" ht="18" customHeight="1">
      <c r="A157" s="461"/>
      <c r="B157" s="462"/>
      <c r="C157" s="463"/>
      <c r="D157" s="461"/>
      <c r="E157" s="439"/>
      <c r="F157" s="461"/>
      <c r="G157" s="439"/>
      <c r="H157" s="439"/>
    </row>
    <row r="158" spans="1:8" ht="18" customHeight="1">
      <c r="A158" s="461"/>
      <c r="B158" s="462"/>
      <c r="C158" s="463"/>
      <c r="D158" s="461"/>
      <c r="E158" s="439"/>
      <c r="F158" s="461"/>
      <c r="G158" s="439"/>
      <c r="H158" s="439"/>
    </row>
    <row r="159" spans="1:8" ht="18" customHeight="1">
      <c r="A159" s="461"/>
      <c r="B159" s="462"/>
      <c r="C159" s="463"/>
      <c r="D159" s="461"/>
      <c r="E159" s="439"/>
      <c r="F159" s="461"/>
      <c r="G159" s="439"/>
      <c r="H159" s="439"/>
    </row>
    <row r="160" spans="1:8" ht="18" customHeight="1">
      <c r="A160" s="461"/>
      <c r="B160" s="462"/>
      <c r="C160" s="463"/>
      <c r="D160" s="461"/>
      <c r="E160" s="439"/>
      <c r="F160" s="461"/>
      <c r="G160" s="439"/>
      <c r="H160" s="439"/>
    </row>
    <row r="161" spans="1:8" ht="18" customHeight="1">
      <c r="A161" s="461"/>
      <c r="B161" s="462"/>
      <c r="C161" s="463"/>
      <c r="D161" s="461"/>
      <c r="E161" s="439"/>
      <c r="F161" s="461"/>
      <c r="G161" s="439"/>
      <c r="H161" s="439"/>
    </row>
    <row r="162" spans="1:8" ht="18" customHeight="1">
      <c r="A162" s="461"/>
      <c r="B162" s="462"/>
      <c r="C162" s="463"/>
      <c r="D162" s="461"/>
      <c r="E162" s="439"/>
      <c r="F162" s="461"/>
      <c r="G162" s="439"/>
      <c r="H162" s="439"/>
    </row>
    <row r="163" spans="1:8" ht="18" customHeight="1">
      <c r="A163" s="461"/>
      <c r="B163" s="462"/>
      <c r="C163" s="463"/>
      <c r="D163" s="461"/>
      <c r="E163" s="439"/>
      <c r="F163" s="461"/>
      <c r="G163" s="439"/>
      <c r="H163" s="439"/>
    </row>
    <row r="164" spans="1:8" ht="18" customHeight="1">
      <c r="A164" s="461"/>
      <c r="B164" s="462"/>
      <c r="C164" s="463"/>
      <c r="D164" s="461"/>
      <c r="E164" s="439"/>
      <c r="F164" s="461"/>
      <c r="G164" s="439"/>
      <c r="H164" s="439"/>
    </row>
    <row r="165" spans="1:8" ht="18" customHeight="1">
      <c r="A165" s="461"/>
      <c r="B165" s="462"/>
      <c r="C165" s="463"/>
      <c r="D165" s="461"/>
      <c r="E165" s="439"/>
      <c r="F165" s="461"/>
      <c r="G165" s="439"/>
      <c r="H165" s="439"/>
    </row>
    <row r="166" spans="1:8" ht="18" customHeight="1">
      <c r="A166" s="461"/>
      <c r="B166" s="462"/>
      <c r="C166" s="463"/>
      <c r="D166" s="461"/>
      <c r="E166" s="439"/>
      <c r="F166" s="461"/>
      <c r="G166" s="439"/>
      <c r="H166" s="439"/>
    </row>
    <row r="167" spans="1:8" ht="18" customHeight="1">
      <c r="A167" s="461"/>
      <c r="B167" s="462"/>
      <c r="C167" s="463"/>
      <c r="D167" s="461"/>
      <c r="E167" s="439"/>
      <c r="F167" s="461"/>
      <c r="G167" s="439"/>
      <c r="H167" s="439"/>
    </row>
    <row r="168" spans="1:8" ht="18" customHeight="1">
      <c r="A168" s="461"/>
      <c r="B168" s="462"/>
      <c r="C168" s="463"/>
      <c r="D168" s="461"/>
      <c r="E168" s="439"/>
      <c r="F168" s="461"/>
      <c r="G168" s="439"/>
      <c r="H168" s="439"/>
    </row>
    <row r="169" spans="1:8" ht="18" customHeight="1">
      <c r="A169" s="461"/>
      <c r="B169" s="462"/>
      <c r="C169" s="463"/>
      <c r="D169" s="461"/>
      <c r="E169" s="439"/>
      <c r="F169" s="461"/>
      <c r="G169" s="439"/>
      <c r="H169" s="439"/>
    </row>
    <row r="170" spans="1:8" ht="18" customHeight="1">
      <c r="A170" s="461"/>
      <c r="B170" s="462"/>
      <c r="C170" s="463"/>
      <c r="D170" s="461"/>
      <c r="E170" s="439"/>
      <c r="F170" s="461"/>
      <c r="G170" s="439"/>
      <c r="H170" s="439"/>
    </row>
    <row r="171" spans="1:8" ht="18" customHeight="1">
      <c r="A171" s="461"/>
      <c r="B171" s="462"/>
      <c r="C171" s="463"/>
      <c r="D171" s="461"/>
      <c r="E171" s="439"/>
      <c r="F171" s="461"/>
      <c r="G171" s="439"/>
      <c r="H171" s="439"/>
    </row>
    <row r="172" spans="1:8" ht="18" customHeight="1">
      <c r="A172" s="461"/>
      <c r="B172" s="462"/>
      <c r="C172" s="463"/>
      <c r="D172" s="461"/>
      <c r="E172" s="439"/>
      <c r="F172" s="461"/>
      <c r="G172" s="439"/>
      <c r="H172" s="439"/>
    </row>
    <row r="173" spans="1:8" ht="18" customHeight="1">
      <c r="A173" s="461"/>
      <c r="B173" s="462"/>
      <c r="C173" s="463"/>
      <c r="D173" s="461"/>
      <c r="E173" s="439"/>
      <c r="F173" s="461"/>
      <c r="G173" s="439"/>
      <c r="H173" s="439"/>
    </row>
    <row r="174" spans="1:8" ht="18" customHeight="1">
      <c r="A174" s="461"/>
      <c r="B174" s="462"/>
      <c r="C174" s="463"/>
      <c r="D174" s="461"/>
      <c r="E174" s="439"/>
      <c r="F174" s="461"/>
      <c r="G174" s="439"/>
      <c r="H174" s="439"/>
    </row>
    <row r="175" spans="1:8" ht="18" customHeight="1">
      <c r="A175" s="461"/>
      <c r="B175" s="462"/>
      <c r="C175" s="463"/>
      <c r="D175" s="461"/>
      <c r="E175" s="439"/>
      <c r="F175" s="461"/>
      <c r="G175" s="439"/>
      <c r="H175" s="439"/>
    </row>
    <row r="176" spans="1:8" ht="18" customHeight="1">
      <c r="A176" s="461"/>
      <c r="B176" s="462"/>
      <c r="C176" s="463"/>
      <c r="D176" s="461"/>
      <c r="E176" s="439"/>
      <c r="F176" s="461"/>
      <c r="G176" s="439"/>
      <c r="H176" s="439"/>
    </row>
    <row r="177" spans="1:8" ht="18" customHeight="1">
      <c r="A177" s="461"/>
      <c r="B177" s="462"/>
      <c r="C177" s="463"/>
      <c r="D177" s="461"/>
      <c r="E177" s="439"/>
      <c r="F177" s="461"/>
      <c r="G177" s="439"/>
      <c r="H177" s="439"/>
    </row>
    <row r="178" spans="1:8" ht="18" customHeight="1">
      <c r="A178" s="461"/>
      <c r="B178" s="462"/>
      <c r="C178" s="463"/>
      <c r="D178" s="461"/>
      <c r="E178" s="439"/>
      <c r="F178" s="461"/>
      <c r="G178" s="439"/>
      <c r="H178" s="439"/>
    </row>
    <row r="179" spans="1:8" ht="18" customHeight="1">
      <c r="A179" s="461"/>
      <c r="B179" s="462"/>
      <c r="C179" s="463"/>
      <c r="D179" s="461"/>
      <c r="E179" s="439"/>
      <c r="F179" s="461"/>
      <c r="G179" s="439"/>
      <c r="H179" s="439"/>
    </row>
    <row r="180" spans="1:8" ht="18" customHeight="1">
      <c r="A180" s="461"/>
      <c r="B180" s="462"/>
      <c r="C180" s="463"/>
      <c r="D180" s="461"/>
      <c r="E180" s="439"/>
      <c r="F180" s="461"/>
      <c r="G180" s="439"/>
      <c r="H180" s="439"/>
    </row>
    <row r="181" spans="1:8" ht="18" customHeight="1">
      <c r="A181" s="461"/>
      <c r="B181" s="462"/>
      <c r="C181" s="463"/>
      <c r="D181" s="461"/>
      <c r="E181" s="439"/>
      <c r="F181" s="461"/>
      <c r="G181" s="439"/>
      <c r="H181" s="439"/>
    </row>
    <row r="182" spans="1:8" ht="18" customHeight="1">
      <c r="A182" s="461"/>
      <c r="B182" s="462"/>
      <c r="C182" s="463"/>
      <c r="D182" s="461"/>
      <c r="E182" s="439"/>
      <c r="F182" s="461"/>
      <c r="G182" s="439"/>
      <c r="H182" s="439"/>
    </row>
    <row r="183" spans="1:8" ht="18" customHeight="1">
      <c r="A183" s="461"/>
      <c r="B183" s="462"/>
      <c r="C183" s="463"/>
      <c r="D183" s="461"/>
      <c r="E183" s="439"/>
      <c r="F183" s="461"/>
      <c r="G183" s="439"/>
      <c r="H183" s="439"/>
    </row>
    <row r="184" spans="1:8" ht="18" customHeight="1">
      <c r="A184" s="461"/>
      <c r="B184" s="462"/>
      <c r="C184" s="463"/>
      <c r="D184" s="461"/>
      <c r="E184" s="439"/>
      <c r="F184" s="461"/>
      <c r="G184" s="439"/>
      <c r="H184" s="439"/>
    </row>
    <row r="185" spans="1:8" ht="18" customHeight="1">
      <c r="A185" s="461"/>
      <c r="B185" s="462"/>
      <c r="C185" s="463"/>
      <c r="D185" s="461"/>
      <c r="E185" s="439"/>
      <c r="F185" s="461"/>
      <c r="G185" s="439"/>
      <c r="H185" s="439"/>
    </row>
    <row r="186" spans="1:8" ht="18" customHeight="1">
      <c r="A186" s="461"/>
      <c r="B186" s="462"/>
      <c r="C186" s="463"/>
      <c r="D186" s="461"/>
      <c r="E186" s="439"/>
      <c r="F186" s="461"/>
      <c r="G186" s="439"/>
      <c r="H186" s="439"/>
    </row>
    <row r="187" spans="1:8" ht="18" customHeight="1">
      <c r="A187" s="461"/>
      <c r="B187" s="462"/>
      <c r="C187" s="463"/>
      <c r="D187" s="461"/>
      <c r="E187" s="439"/>
      <c r="F187" s="461"/>
      <c r="G187" s="439"/>
      <c r="H187" s="439"/>
    </row>
    <row r="188" spans="1:8" ht="18" customHeight="1">
      <c r="A188" s="461"/>
      <c r="B188" s="462"/>
      <c r="C188" s="463"/>
      <c r="D188" s="461"/>
      <c r="E188" s="439"/>
      <c r="F188" s="461"/>
      <c r="G188" s="439"/>
      <c r="H188" s="439"/>
    </row>
    <row r="189" spans="1:8" ht="18" customHeight="1">
      <c r="A189" s="461"/>
      <c r="B189" s="462"/>
      <c r="C189" s="463"/>
      <c r="D189" s="461"/>
      <c r="E189" s="439"/>
      <c r="F189" s="461"/>
      <c r="G189" s="439"/>
      <c r="H189" s="439"/>
    </row>
    <row r="190" spans="1:8" ht="18" customHeight="1">
      <c r="A190" s="461"/>
      <c r="B190" s="462"/>
      <c r="C190" s="463"/>
      <c r="D190" s="461"/>
      <c r="E190" s="439"/>
      <c r="F190" s="461"/>
      <c r="G190" s="439"/>
      <c r="H190" s="439"/>
    </row>
    <row r="191" spans="1:8" ht="18" customHeight="1">
      <c r="A191" s="461"/>
      <c r="B191" s="462"/>
      <c r="C191" s="463"/>
      <c r="D191" s="461"/>
      <c r="E191" s="439"/>
      <c r="F191" s="461"/>
      <c r="G191" s="439"/>
      <c r="H191" s="439"/>
    </row>
    <row r="192" spans="1:8" ht="18" customHeight="1">
      <c r="A192" s="461"/>
      <c r="B192" s="462"/>
      <c r="C192" s="463"/>
      <c r="D192" s="461"/>
      <c r="E192" s="439"/>
      <c r="F192" s="461"/>
      <c r="G192" s="439"/>
      <c r="H192" s="439"/>
    </row>
    <row r="193" spans="1:8" ht="18" customHeight="1">
      <c r="A193" s="461"/>
      <c r="B193" s="462"/>
      <c r="C193" s="463"/>
      <c r="D193" s="461"/>
      <c r="E193" s="439"/>
      <c r="F193" s="461"/>
      <c r="G193" s="439"/>
      <c r="H193" s="439"/>
    </row>
    <row r="194" spans="1:8" ht="18" customHeight="1">
      <c r="A194" s="461"/>
      <c r="B194" s="462"/>
      <c r="C194" s="463"/>
      <c r="D194" s="461"/>
      <c r="E194" s="439"/>
      <c r="F194" s="461"/>
      <c r="G194" s="439"/>
      <c r="H194" s="439"/>
    </row>
    <row r="195" spans="1:8" ht="18" customHeight="1">
      <c r="A195" s="461"/>
      <c r="B195" s="462"/>
      <c r="C195" s="463"/>
      <c r="D195" s="461"/>
      <c r="E195" s="439"/>
      <c r="F195" s="461"/>
      <c r="G195" s="439"/>
      <c r="H195" s="439"/>
    </row>
    <row r="196" spans="1:8" ht="18" customHeight="1">
      <c r="A196" s="461"/>
      <c r="B196" s="462"/>
      <c r="C196" s="463"/>
      <c r="D196" s="461"/>
      <c r="E196" s="439"/>
      <c r="F196" s="461"/>
      <c r="G196" s="439"/>
      <c r="H196" s="439"/>
    </row>
    <row r="197" spans="1:8" ht="18" customHeight="1">
      <c r="A197" s="461"/>
      <c r="B197" s="462"/>
      <c r="C197" s="463"/>
      <c r="D197" s="461"/>
      <c r="E197" s="439"/>
      <c r="F197" s="461"/>
      <c r="G197" s="439"/>
      <c r="H197" s="439"/>
    </row>
    <row r="198" spans="1:8" ht="18" customHeight="1">
      <c r="A198" s="461"/>
      <c r="B198" s="462"/>
      <c r="C198" s="463"/>
      <c r="D198" s="461"/>
      <c r="E198" s="439"/>
      <c r="F198" s="461"/>
      <c r="G198" s="439"/>
      <c r="H198" s="439"/>
    </row>
    <row r="199" spans="1:8" ht="18" customHeight="1">
      <c r="A199" s="461"/>
      <c r="B199" s="462"/>
      <c r="C199" s="463"/>
      <c r="D199" s="461"/>
      <c r="E199" s="439"/>
      <c r="F199" s="461"/>
      <c r="G199" s="439"/>
      <c r="H199" s="439"/>
    </row>
    <row r="200" spans="1:8" ht="18" customHeight="1">
      <c r="A200" s="461"/>
      <c r="B200" s="462"/>
      <c r="C200" s="463"/>
      <c r="D200" s="461"/>
      <c r="E200" s="439"/>
      <c r="F200" s="461"/>
      <c r="G200" s="439"/>
      <c r="H200" s="439"/>
    </row>
    <row r="201" spans="1:8" ht="18" customHeight="1">
      <c r="A201" s="461"/>
      <c r="B201" s="462"/>
      <c r="C201" s="463"/>
      <c r="D201" s="461"/>
      <c r="E201" s="439"/>
      <c r="F201" s="461"/>
      <c r="G201" s="439"/>
      <c r="H201" s="439"/>
    </row>
    <row r="202" spans="1:8" ht="18" customHeight="1">
      <c r="A202" s="461"/>
      <c r="B202" s="462"/>
      <c r="C202" s="463"/>
      <c r="D202" s="461"/>
      <c r="E202" s="439"/>
      <c r="F202" s="461"/>
      <c r="G202" s="439"/>
      <c r="H202" s="439"/>
    </row>
    <row r="203" spans="1:8" ht="18" customHeight="1">
      <c r="A203" s="461"/>
      <c r="B203" s="462"/>
      <c r="C203" s="463"/>
      <c r="D203" s="461"/>
      <c r="E203" s="439"/>
      <c r="F203" s="461"/>
      <c r="G203" s="439"/>
      <c r="H203" s="439"/>
    </row>
    <row r="204" spans="1:8" ht="18" customHeight="1">
      <c r="A204" s="461"/>
      <c r="B204" s="462"/>
      <c r="C204" s="463"/>
      <c r="D204" s="461"/>
      <c r="E204" s="439"/>
      <c r="F204" s="461"/>
      <c r="G204" s="439"/>
      <c r="H204" s="439"/>
    </row>
    <row r="205" spans="1:8" ht="18" customHeight="1">
      <c r="A205" s="461"/>
      <c r="B205" s="462"/>
      <c r="C205" s="463"/>
      <c r="D205" s="461"/>
      <c r="E205" s="439"/>
      <c r="F205" s="461"/>
      <c r="G205" s="439"/>
      <c r="H205" s="439"/>
    </row>
    <row r="206" spans="1:8" ht="18" customHeight="1">
      <c r="A206" s="461"/>
      <c r="B206" s="462"/>
      <c r="C206" s="463"/>
      <c r="D206" s="461"/>
      <c r="E206" s="439"/>
      <c r="F206" s="461"/>
      <c r="G206" s="439"/>
      <c r="H206" s="439"/>
    </row>
    <row r="207" spans="1:8" ht="18" customHeight="1">
      <c r="A207" s="461"/>
      <c r="B207" s="462"/>
      <c r="C207" s="463"/>
      <c r="D207" s="461"/>
      <c r="E207" s="439"/>
      <c r="F207" s="461"/>
      <c r="G207" s="439"/>
      <c r="H207" s="439"/>
    </row>
    <row r="208" spans="1:8" ht="18" customHeight="1">
      <c r="A208" s="461"/>
      <c r="B208" s="462"/>
      <c r="C208" s="463"/>
      <c r="D208" s="461"/>
      <c r="E208" s="439"/>
      <c r="F208" s="461"/>
      <c r="G208" s="439"/>
      <c r="H208" s="439"/>
    </row>
    <row r="209" spans="1:8" ht="18" customHeight="1">
      <c r="A209" s="461"/>
      <c r="B209" s="462"/>
      <c r="C209" s="463"/>
      <c r="D209" s="461"/>
      <c r="E209" s="439"/>
      <c r="F209" s="461"/>
      <c r="G209" s="439"/>
      <c r="H209" s="439"/>
    </row>
    <row r="210" spans="1:8" ht="18" customHeight="1">
      <c r="A210" s="461"/>
      <c r="B210" s="462"/>
      <c r="C210" s="463"/>
      <c r="D210" s="461"/>
      <c r="E210" s="439"/>
      <c r="F210" s="461"/>
      <c r="G210" s="439"/>
      <c r="H210" s="439"/>
    </row>
    <row r="211" spans="1:8" ht="18" customHeight="1">
      <c r="A211" s="461"/>
      <c r="B211" s="462"/>
      <c r="C211" s="463"/>
      <c r="D211" s="461"/>
      <c r="E211" s="439"/>
      <c r="F211" s="461"/>
      <c r="G211" s="439"/>
      <c r="H211" s="439"/>
    </row>
    <row r="212" spans="1:8" ht="18" customHeight="1">
      <c r="A212" s="461"/>
      <c r="B212" s="462"/>
      <c r="C212" s="463"/>
      <c r="D212" s="461"/>
      <c r="E212" s="439"/>
      <c r="F212" s="461"/>
      <c r="G212" s="439"/>
      <c r="H212" s="439"/>
    </row>
    <row r="213" spans="1:8" ht="18" customHeight="1">
      <c r="A213" s="461"/>
      <c r="B213" s="462"/>
      <c r="C213" s="463"/>
      <c r="D213" s="461"/>
      <c r="E213" s="439"/>
      <c r="F213" s="461"/>
      <c r="G213" s="439"/>
      <c r="H213" s="439"/>
    </row>
    <row r="214" spans="1:8" ht="18" customHeight="1">
      <c r="A214" s="461"/>
      <c r="B214" s="462"/>
      <c r="C214" s="463"/>
      <c r="D214" s="461"/>
      <c r="E214" s="439"/>
      <c r="F214" s="461"/>
      <c r="G214" s="439"/>
      <c r="H214" s="439"/>
    </row>
    <row r="215" spans="1:8" ht="18" customHeight="1">
      <c r="A215" s="461"/>
      <c r="B215" s="462"/>
      <c r="C215" s="463"/>
      <c r="D215" s="461"/>
      <c r="E215" s="439"/>
      <c r="F215" s="461"/>
      <c r="G215" s="439"/>
      <c r="H215" s="439"/>
    </row>
    <row r="216" spans="1:8" ht="18" customHeight="1">
      <c r="A216" s="461"/>
      <c r="B216" s="462"/>
      <c r="C216" s="463"/>
      <c r="D216" s="461"/>
      <c r="E216" s="439"/>
      <c r="F216" s="461"/>
      <c r="G216" s="439"/>
      <c r="H216" s="439"/>
    </row>
    <row r="217" spans="1:8" ht="18" customHeight="1">
      <c r="A217" s="461"/>
      <c r="B217" s="462"/>
      <c r="C217" s="463"/>
      <c r="D217" s="461"/>
      <c r="E217" s="439"/>
      <c r="F217" s="461"/>
      <c r="G217" s="439"/>
      <c r="H217" s="439"/>
    </row>
    <row r="218" spans="1:8" ht="18" customHeight="1">
      <c r="A218" s="461"/>
      <c r="B218" s="462"/>
      <c r="C218" s="463"/>
      <c r="D218" s="461"/>
      <c r="E218" s="439"/>
      <c r="F218" s="461"/>
      <c r="G218" s="439"/>
      <c r="H218" s="439"/>
    </row>
    <row r="219" spans="1:8" ht="18" customHeight="1">
      <c r="A219" s="461"/>
      <c r="B219" s="462"/>
      <c r="C219" s="463"/>
      <c r="D219" s="461"/>
      <c r="E219" s="439"/>
      <c r="F219" s="461"/>
      <c r="G219" s="439"/>
      <c r="H219" s="439"/>
    </row>
    <row r="220" spans="1:8" ht="18" customHeight="1">
      <c r="A220" s="461"/>
      <c r="B220" s="462"/>
      <c r="C220" s="463"/>
      <c r="D220" s="461"/>
      <c r="E220" s="439"/>
      <c r="F220" s="461"/>
      <c r="G220" s="439"/>
      <c r="H220" s="439"/>
    </row>
    <row r="221" spans="1:8" ht="18" customHeight="1">
      <c r="A221" s="461"/>
      <c r="B221" s="462"/>
      <c r="C221" s="463"/>
      <c r="D221" s="461"/>
      <c r="E221" s="439"/>
      <c r="F221" s="461"/>
      <c r="G221" s="439"/>
      <c r="H221" s="439"/>
    </row>
    <row r="222" spans="1:8" ht="18" customHeight="1">
      <c r="A222" s="461"/>
      <c r="B222" s="462"/>
      <c r="C222" s="463"/>
      <c r="D222" s="461"/>
      <c r="E222" s="439"/>
      <c r="F222" s="461"/>
      <c r="G222" s="439"/>
      <c r="H222" s="439"/>
    </row>
    <row r="223" spans="1:8" ht="18" customHeight="1">
      <c r="A223" s="461"/>
      <c r="B223" s="462"/>
      <c r="C223" s="463"/>
      <c r="D223" s="461"/>
      <c r="E223" s="439"/>
      <c r="F223" s="461"/>
      <c r="G223" s="439"/>
      <c r="H223" s="439"/>
    </row>
    <row r="224" spans="1:8" ht="18" customHeight="1">
      <c r="A224" s="461"/>
      <c r="B224" s="462"/>
      <c r="C224" s="463"/>
      <c r="D224" s="461"/>
      <c r="E224" s="439"/>
      <c r="F224" s="461"/>
      <c r="G224" s="439"/>
      <c r="H224" s="439"/>
    </row>
    <row r="225" spans="1:8" ht="18" customHeight="1">
      <c r="A225" s="461"/>
      <c r="B225" s="462"/>
      <c r="C225" s="463"/>
      <c r="D225" s="461"/>
      <c r="E225" s="439"/>
      <c r="F225" s="461"/>
      <c r="G225" s="439"/>
      <c r="H225" s="439"/>
    </row>
    <row r="226" spans="1:8" ht="18" customHeight="1">
      <c r="A226" s="461"/>
      <c r="B226" s="462"/>
      <c r="C226" s="463"/>
      <c r="D226" s="461"/>
      <c r="E226" s="439"/>
      <c r="F226" s="461"/>
      <c r="G226" s="439"/>
      <c r="H226" s="439"/>
    </row>
    <row r="227" spans="1:8" ht="18" customHeight="1">
      <c r="A227" s="461"/>
      <c r="B227" s="462"/>
      <c r="C227" s="463"/>
      <c r="D227" s="461"/>
      <c r="E227" s="439"/>
      <c r="F227" s="461"/>
      <c r="G227" s="439"/>
      <c r="H227" s="439"/>
    </row>
    <row r="228" spans="1:8" ht="18" customHeight="1">
      <c r="A228" s="461"/>
      <c r="B228" s="462"/>
      <c r="C228" s="463"/>
      <c r="D228" s="461"/>
      <c r="E228" s="439"/>
      <c r="F228" s="461"/>
      <c r="G228" s="439"/>
      <c r="H228" s="439"/>
    </row>
    <row r="229" spans="1:8" ht="18" customHeight="1">
      <c r="A229" s="461"/>
      <c r="B229" s="462"/>
      <c r="C229" s="463"/>
      <c r="D229" s="461"/>
      <c r="E229" s="439"/>
      <c r="F229" s="461"/>
      <c r="G229" s="439"/>
      <c r="H229" s="439"/>
    </row>
    <row r="230" spans="1:8" ht="18" customHeight="1">
      <c r="A230" s="461"/>
      <c r="B230" s="462"/>
      <c r="C230" s="463"/>
      <c r="D230" s="461"/>
      <c r="E230" s="439"/>
      <c r="F230" s="461"/>
      <c r="G230" s="439"/>
      <c r="H230" s="439"/>
    </row>
    <row r="231" spans="1:8" ht="18" customHeight="1">
      <c r="A231" s="461"/>
      <c r="B231" s="462"/>
      <c r="C231" s="463"/>
      <c r="D231" s="461"/>
      <c r="E231" s="439"/>
      <c r="F231" s="461"/>
      <c r="G231" s="439"/>
      <c r="H231" s="439"/>
    </row>
    <row r="232" spans="1:8" ht="18" customHeight="1">
      <c r="A232" s="461"/>
      <c r="B232" s="462"/>
      <c r="C232" s="463"/>
      <c r="D232" s="461"/>
      <c r="E232" s="439"/>
      <c r="F232" s="461"/>
      <c r="G232" s="439"/>
      <c r="H232" s="439"/>
    </row>
    <row r="233" spans="1:8" ht="18" customHeight="1">
      <c r="A233" s="461"/>
      <c r="B233" s="462"/>
      <c r="C233" s="463"/>
      <c r="D233" s="461"/>
      <c r="E233" s="439"/>
      <c r="F233" s="461"/>
      <c r="G233" s="439"/>
      <c r="H233" s="439"/>
    </row>
    <row r="234" spans="1:8" ht="18" customHeight="1">
      <c r="A234" s="461"/>
      <c r="B234" s="462"/>
      <c r="C234" s="463"/>
      <c r="D234" s="461"/>
      <c r="E234" s="439"/>
      <c r="F234" s="461"/>
      <c r="G234" s="439"/>
      <c r="H234" s="439"/>
    </row>
    <row r="235" spans="1:8" ht="18" customHeight="1">
      <c r="A235" s="461"/>
      <c r="B235" s="462"/>
      <c r="C235" s="463"/>
      <c r="D235" s="461"/>
      <c r="E235" s="439"/>
      <c r="F235" s="461"/>
      <c r="G235" s="439"/>
      <c r="H235" s="439"/>
    </row>
    <row r="236" spans="1:8" ht="18" customHeight="1">
      <c r="A236" s="461"/>
      <c r="B236" s="462"/>
      <c r="C236" s="463"/>
      <c r="D236" s="461"/>
      <c r="E236" s="439"/>
      <c r="F236" s="461"/>
      <c r="G236" s="439"/>
      <c r="H236" s="439"/>
    </row>
    <row r="237" spans="1:8" ht="18" customHeight="1">
      <c r="A237" s="461"/>
      <c r="B237" s="462"/>
      <c r="C237" s="463"/>
      <c r="D237" s="461"/>
      <c r="E237" s="439"/>
      <c r="F237" s="461"/>
      <c r="G237" s="439"/>
      <c r="H237" s="439"/>
    </row>
    <row r="238" spans="1:8" ht="18" customHeight="1">
      <c r="A238" s="461"/>
      <c r="B238" s="462"/>
      <c r="C238" s="463"/>
      <c r="D238" s="461"/>
      <c r="E238" s="439"/>
      <c r="F238" s="461"/>
      <c r="G238" s="439"/>
      <c r="H238" s="439"/>
    </row>
    <row r="239" spans="1:8" ht="18" customHeight="1">
      <c r="A239" s="461"/>
      <c r="B239" s="462"/>
      <c r="C239" s="463"/>
      <c r="D239" s="461"/>
      <c r="E239" s="439"/>
      <c r="F239" s="461"/>
      <c r="G239" s="439"/>
      <c r="H239" s="439"/>
    </row>
    <row r="240" spans="1:8" ht="18" customHeight="1">
      <c r="A240" s="461"/>
      <c r="B240" s="462"/>
      <c r="C240" s="463"/>
      <c r="D240" s="461"/>
      <c r="E240" s="439"/>
      <c r="F240" s="461"/>
      <c r="G240" s="439"/>
      <c r="H240" s="439"/>
    </row>
    <row r="241" spans="1:8" ht="18" customHeight="1">
      <c r="A241" s="461"/>
      <c r="B241" s="462"/>
      <c r="C241" s="463"/>
      <c r="D241" s="461"/>
      <c r="E241" s="439"/>
      <c r="F241" s="461"/>
      <c r="G241" s="439"/>
      <c r="H241" s="439"/>
    </row>
    <row r="242" spans="1:8" ht="18" customHeight="1">
      <c r="A242" s="461"/>
      <c r="B242" s="462"/>
      <c r="C242" s="463"/>
      <c r="D242" s="461"/>
      <c r="E242" s="439"/>
      <c r="F242" s="461"/>
      <c r="G242" s="439"/>
      <c r="H242" s="439"/>
    </row>
    <row r="243" spans="1:8" ht="18" customHeight="1">
      <c r="A243" s="461"/>
      <c r="B243" s="462"/>
      <c r="C243" s="463"/>
      <c r="D243" s="461"/>
      <c r="E243" s="439"/>
      <c r="F243" s="461"/>
      <c r="G243" s="439"/>
      <c r="H243" s="439"/>
    </row>
    <row r="244" spans="1:8" ht="18" customHeight="1">
      <c r="A244" s="461"/>
      <c r="B244" s="462"/>
      <c r="C244" s="463"/>
      <c r="D244" s="461"/>
      <c r="E244" s="439"/>
      <c r="F244" s="461"/>
      <c r="G244" s="439"/>
      <c r="H244" s="439"/>
    </row>
    <row r="245" spans="1:8" ht="18" customHeight="1">
      <c r="A245" s="461"/>
      <c r="B245" s="462"/>
      <c r="C245" s="463"/>
      <c r="D245" s="461"/>
      <c r="E245" s="439"/>
      <c r="F245" s="461"/>
      <c r="G245" s="439"/>
      <c r="H245" s="439"/>
    </row>
    <row r="246" spans="1:8" ht="18" customHeight="1">
      <c r="A246" s="461"/>
      <c r="B246" s="462"/>
      <c r="C246" s="463"/>
      <c r="D246" s="461"/>
      <c r="E246" s="439"/>
      <c r="F246" s="461"/>
      <c r="G246" s="439"/>
      <c r="H246" s="439"/>
    </row>
    <row r="247" spans="1:8" ht="18" customHeight="1">
      <c r="A247" s="461"/>
      <c r="B247" s="462"/>
      <c r="C247" s="463"/>
      <c r="D247" s="461"/>
      <c r="E247" s="439"/>
      <c r="F247" s="461"/>
      <c r="G247" s="439"/>
      <c r="H247" s="439"/>
    </row>
    <row r="248" spans="1:8" ht="18" customHeight="1">
      <c r="A248" s="461"/>
      <c r="B248" s="462"/>
      <c r="C248" s="463"/>
      <c r="D248" s="461"/>
      <c r="E248" s="439"/>
      <c r="F248" s="461"/>
      <c r="G248" s="439"/>
      <c r="H248" s="439"/>
    </row>
    <row r="249" spans="1:8" ht="18" customHeight="1">
      <c r="A249" s="461"/>
      <c r="B249" s="462"/>
      <c r="C249" s="463"/>
      <c r="D249" s="461"/>
      <c r="E249" s="439"/>
      <c r="F249" s="461"/>
      <c r="G249" s="439"/>
      <c r="H249" s="439"/>
    </row>
    <row r="250" spans="1:8" ht="18" customHeight="1">
      <c r="A250" s="461"/>
      <c r="B250" s="462"/>
      <c r="C250" s="463"/>
      <c r="D250" s="461"/>
      <c r="E250" s="439"/>
      <c r="F250" s="461"/>
      <c r="G250" s="439"/>
      <c r="H250" s="439"/>
    </row>
    <row r="251" spans="1:8" ht="18" customHeight="1">
      <c r="A251" s="461"/>
      <c r="B251" s="462"/>
      <c r="C251" s="463"/>
      <c r="D251" s="461"/>
      <c r="E251" s="439"/>
      <c r="F251" s="461"/>
      <c r="G251" s="439"/>
      <c r="H251" s="439"/>
    </row>
    <row r="252" spans="1:8" ht="18" customHeight="1">
      <c r="A252" s="461"/>
      <c r="B252" s="462"/>
      <c r="C252" s="463"/>
      <c r="D252" s="461"/>
      <c r="E252" s="439"/>
      <c r="F252" s="461"/>
      <c r="G252" s="439"/>
      <c r="H252" s="439"/>
    </row>
    <row r="253" spans="1:8" ht="18" customHeight="1">
      <c r="A253" s="461"/>
      <c r="B253" s="462"/>
      <c r="C253" s="463"/>
      <c r="D253" s="461"/>
      <c r="E253" s="439"/>
      <c r="F253" s="461"/>
      <c r="G253" s="439"/>
      <c r="H253" s="439"/>
    </row>
    <row r="254" spans="1:8" ht="18" customHeight="1">
      <c r="A254" s="461"/>
      <c r="B254" s="462"/>
      <c r="C254" s="463"/>
      <c r="D254" s="461"/>
      <c r="E254" s="439"/>
      <c r="F254" s="461"/>
      <c r="G254" s="439"/>
      <c r="H254" s="439"/>
    </row>
    <row r="255" spans="1:8" ht="18" customHeight="1">
      <c r="A255" s="461"/>
      <c r="B255" s="462"/>
      <c r="C255" s="463"/>
      <c r="D255" s="461"/>
      <c r="E255" s="439"/>
      <c r="F255" s="461"/>
      <c r="G255" s="439"/>
      <c r="H255" s="439"/>
    </row>
    <row r="256" spans="1:8" ht="18" customHeight="1">
      <c r="A256" s="461"/>
      <c r="B256" s="462"/>
      <c r="C256" s="463"/>
      <c r="D256" s="461"/>
      <c r="E256" s="439"/>
      <c r="F256" s="461"/>
      <c r="G256" s="439"/>
      <c r="H256" s="439"/>
    </row>
    <row r="257" spans="1:10" ht="18" customHeight="1">
      <c r="A257" s="461"/>
      <c r="B257" s="462"/>
      <c r="C257" s="463"/>
      <c r="D257" s="461"/>
      <c r="E257" s="439"/>
      <c r="F257" s="461"/>
      <c r="G257" s="439"/>
      <c r="H257" s="439"/>
    </row>
    <row r="258" spans="1:10" ht="18" customHeight="1">
      <c r="A258" s="461"/>
      <c r="B258" s="462"/>
      <c r="C258" s="463"/>
      <c r="D258" s="461"/>
      <c r="E258" s="439"/>
      <c r="F258" s="461"/>
      <c r="G258" s="439"/>
      <c r="H258" s="439"/>
    </row>
    <row r="259" spans="1:10" ht="18" customHeight="1">
      <c r="A259" s="461"/>
      <c r="B259" s="462"/>
      <c r="C259" s="463"/>
      <c r="D259" s="461"/>
      <c r="E259" s="439"/>
      <c r="F259" s="461"/>
      <c r="G259" s="439"/>
      <c r="H259" s="439"/>
    </row>
    <row r="260" spans="1:10" ht="18" customHeight="1">
      <c r="A260" s="461"/>
      <c r="B260" s="462"/>
      <c r="C260" s="463"/>
      <c r="D260" s="461"/>
      <c r="E260" s="439"/>
      <c r="F260" s="461"/>
      <c r="G260" s="439"/>
      <c r="H260" s="439"/>
    </row>
    <row r="261" spans="1:10" ht="18" customHeight="1">
      <c r="A261" s="461"/>
      <c r="B261" s="462"/>
      <c r="C261" s="463"/>
      <c r="D261" s="461"/>
      <c r="E261" s="439"/>
      <c r="F261" s="461"/>
      <c r="G261" s="439"/>
      <c r="H261" s="439"/>
    </row>
    <row r="262" spans="1:10" ht="18" customHeight="1">
      <c r="A262" s="461"/>
      <c r="B262" s="462"/>
      <c r="C262" s="463"/>
      <c r="D262" s="461"/>
      <c r="E262" s="439"/>
      <c r="F262" s="461"/>
      <c r="G262" s="439"/>
      <c r="H262" s="439"/>
    </row>
    <row r="263" spans="1:10" ht="18" customHeight="1">
      <c r="A263" s="461"/>
      <c r="B263" s="462"/>
      <c r="C263" s="463"/>
      <c r="D263" s="461"/>
      <c r="E263" s="439"/>
      <c r="F263" s="461"/>
      <c r="G263" s="439"/>
      <c r="H263" s="439"/>
    </row>
    <row r="264" spans="1:10" ht="18" customHeight="1">
      <c r="A264" s="461"/>
      <c r="B264" s="462"/>
      <c r="C264" s="463"/>
      <c r="D264" s="461"/>
      <c r="E264" s="439"/>
      <c r="F264" s="461"/>
      <c r="G264" s="439"/>
      <c r="H264" s="439"/>
    </row>
    <row r="265" spans="1:10" ht="18" customHeight="1">
      <c r="A265" s="461"/>
      <c r="B265" s="462"/>
      <c r="C265" s="463"/>
      <c r="D265" s="461"/>
      <c r="E265" s="439"/>
      <c r="F265" s="461"/>
      <c r="G265" s="439"/>
      <c r="H265" s="439"/>
    </row>
    <row r="266" spans="1:10" ht="18" customHeight="1">
      <c r="A266" s="461"/>
      <c r="B266" s="462"/>
      <c r="C266" s="463"/>
      <c r="D266" s="461"/>
      <c r="E266" s="439"/>
      <c r="F266" s="461"/>
      <c r="G266" s="439"/>
      <c r="H266" s="439"/>
    </row>
    <row r="267" spans="1:10" ht="18" customHeight="1">
      <c r="A267" s="461"/>
      <c r="B267" s="462"/>
      <c r="C267" s="463"/>
      <c r="D267" s="461"/>
      <c r="E267" s="439"/>
      <c r="F267" s="461"/>
      <c r="G267" s="439"/>
      <c r="H267" s="439"/>
      <c r="I267" s="463"/>
      <c r="J267" s="464"/>
    </row>
    <row r="268" spans="1:10" ht="18" customHeight="1">
      <c r="A268" s="461"/>
      <c r="B268" s="462"/>
      <c r="C268" s="463"/>
      <c r="D268" s="461"/>
      <c r="E268" s="439"/>
      <c r="F268" s="461"/>
      <c r="G268" s="439"/>
      <c r="H268" s="439"/>
    </row>
    <row r="269" spans="1:10" ht="18" customHeight="1">
      <c r="A269" s="461"/>
      <c r="B269" s="462"/>
      <c r="C269" s="463"/>
      <c r="D269" s="461"/>
      <c r="E269" s="439"/>
      <c r="F269" s="461"/>
      <c r="G269" s="439"/>
      <c r="H269" s="439"/>
    </row>
    <row r="270" spans="1:10" ht="18" customHeight="1">
      <c r="A270" s="461"/>
      <c r="B270" s="462"/>
      <c r="C270" s="463"/>
      <c r="D270" s="461"/>
      <c r="E270" s="439"/>
      <c r="F270" s="461"/>
      <c r="G270" s="439"/>
      <c r="H270" s="439"/>
    </row>
    <row r="271" spans="1:10" ht="18" customHeight="1">
      <c r="A271" s="461"/>
      <c r="B271" s="462"/>
      <c r="C271" s="463"/>
      <c r="D271" s="461"/>
      <c r="E271" s="439"/>
      <c r="F271" s="461"/>
      <c r="G271" s="439"/>
      <c r="H271" s="439"/>
    </row>
    <row r="272" spans="1:10" ht="18" customHeight="1">
      <c r="A272" s="461"/>
      <c r="B272" s="462"/>
      <c r="C272" s="463"/>
      <c r="D272" s="461"/>
      <c r="E272" s="439"/>
      <c r="F272" s="461"/>
      <c r="G272" s="439"/>
      <c r="H272" s="439"/>
    </row>
    <row r="273" spans="1:8" ht="18" customHeight="1">
      <c r="A273" s="461"/>
      <c r="B273" s="462"/>
      <c r="C273" s="463"/>
      <c r="D273" s="461"/>
      <c r="E273" s="439"/>
      <c r="F273" s="461"/>
      <c r="G273" s="439"/>
      <c r="H273" s="439"/>
    </row>
    <row r="274" spans="1:8" ht="18" customHeight="1">
      <c r="A274" s="461"/>
      <c r="B274" s="462"/>
      <c r="C274" s="463"/>
      <c r="D274" s="461"/>
      <c r="E274" s="439"/>
      <c r="F274" s="461"/>
      <c r="G274" s="439"/>
      <c r="H274" s="439"/>
    </row>
    <row r="275" spans="1:8" ht="18" customHeight="1">
      <c r="A275" s="461"/>
      <c r="B275" s="462"/>
      <c r="C275" s="463"/>
      <c r="D275" s="461"/>
      <c r="E275" s="439"/>
      <c r="F275" s="461"/>
      <c r="G275" s="439"/>
      <c r="H275" s="439"/>
    </row>
    <row r="276" spans="1:8" ht="18" customHeight="1">
      <c r="A276" s="461"/>
      <c r="B276" s="462"/>
      <c r="C276" s="463"/>
      <c r="D276" s="461"/>
      <c r="E276" s="439"/>
      <c r="F276" s="461"/>
      <c r="G276" s="439"/>
      <c r="H276" s="439"/>
    </row>
    <row r="277" spans="1:8" ht="18" customHeight="1">
      <c r="A277" s="461"/>
      <c r="B277" s="462"/>
      <c r="C277" s="463"/>
      <c r="D277" s="461"/>
      <c r="E277" s="439"/>
      <c r="F277" s="461"/>
      <c r="G277" s="439"/>
      <c r="H277" s="439"/>
    </row>
    <row r="278" spans="1:8" ht="18" customHeight="1">
      <c r="A278" s="461"/>
      <c r="B278" s="462"/>
      <c r="C278" s="463"/>
      <c r="D278" s="461"/>
      <c r="E278" s="439"/>
      <c r="F278" s="461"/>
      <c r="G278" s="439"/>
      <c r="H278" s="439"/>
    </row>
    <row r="279" spans="1:8" ht="18" customHeight="1">
      <c r="A279" s="461"/>
      <c r="B279" s="462"/>
      <c r="C279" s="463"/>
      <c r="D279" s="461"/>
      <c r="E279" s="439"/>
      <c r="F279" s="461"/>
      <c r="G279" s="439"/>
      <c r="H279" s="439"/>
    </row>
    <row r="280" spans="1:8" ht="18" customHeight="1">
      <c r="A280" s="461"/>
      <c r="B280" s="462"/>
      <c r="C280" s="463"/>
      <c r="D280" s="461"/>
      <c r="E280" s="439"/>
      <c r="F280" s="461"/>
      <c r="G280" s="439"/>
      <c r="H280" s="439"/>
    </row>
    <row r="281" spans="1:8" ht="18" customHeight="1">
      <c r="A281" s="461"/>
      <c r="B281" s="462"/>
      <c r="C281" s="463"/>
      <c r="D281" s="461"/>
      <c r="E281" s="439"/>
      <c r="F281" s="461"/>
      <c r="G281" s="439"/>
      <c r="H281" s="439"/>
    </row>
    <row r="282" spans="1:8" ht="18" customHeight="1">
      <c r="A282" s="461"/>
      <c r="B282" s="462"/>
      <c r="C282" s="463"/>
      <c r="D282" s="461"/>
      <c r="E282" s="439"/>
      <c r="F282" s="461"/>
      <c r="G282" s="439"/>
      <c r="H282" s="439"/>
    </row>
    <row r="283" spans="1:8" ht="18" customHeight="1">
      <c r="A283" s="461"/>
      <c r="B283" s="462"/>
      <c r="C283" s="463"/>
      <c r="D283" s="461"/>
      <c r="E283" s="439"/>
      <c r="F283" s="461"/>
      <c r="G283" s="439"/>
      <c r="H283" s="439"/>
    </row>
    <row r="284" spans="1:8" ht="18" customHeight="1">
      <c r="A284" s="461"/>
      <c r="B284" s="462"/>
      <c r="C284" s="463"/>
      <c r="D284" s="461"/>
      <c r="E284" s="439"/>
      <c r="F284" s="461"/>
      <c r="G284" s="439"/>
      <c r="H284" s="439"/>
    </row>
    <row r="285" spans="1:8" ht="18" customHeight="1">
      <c r="A285" s="461"/>
      <c r="B285" s="462"/>
      <c r="C285" s="463"/>
      <c r="D285" s="461"/>
      <c r="E285" s="439"/>
      <c r="F285" s="461"/>
      <c r="G285" s="439"/>
      <c r="H285" s="439"/>
    </row>
    <row r="286" spans="1:8" ht="18" customHeight="1">
      <c r="A286" s="461"/>
      <c r="B286" s="462"/>
      <c r="C286" s="463"/>
      <c r="D286" s="461"/>
      <c r="E286" s="439"/>
      <c r="F286" s="461"/>
      <c r="G286" s="439"/>
      <c r="H286" s="439"/>
    </row>
    <row r="287" spans="1:8" ht="18" customHeight="1">
      <c r="A287" s="461"/>
      <c r="B287" s="462"/>
      <c r="C287" s="463"/>
      <c r="D287" s="461"/>
      <c r="E287" s="439"/>
      <c r="F287" s="461"/>
      <c r="G287" s="439"/>
      <c r="H287" s="439"/>
    </row>
    <row r="288" spans="1:8" ht="18" customHeight="1">
      <c r="A288" s="461"/>
      <c r="B288" s="462"/>
      <c r="C288" s="463"/>
      <c r="D288" s="461"/>
      <c r="E288" s="439"/>
      <c r="F288" s="461"/>
      <c r="G288" s="439"/>
      <c r="H288" s="439"/>
    </row>
    <row r="289" spans="1:8" ht="18" customHeight="1">
      <c r="A289" s="461"/>
      <c r="B289" s="462"/>
      <c r="C289" s="463"/>
      <c r="D289" s="461"/>
      <c r="E289" s="439"/>
      <c r="F289" s="461"/>
      <c r="G289" s="439"/>
      <c r="H289" s="439"/>
    </row>
    <row r="290" spans="1:8" ht="18" customHeight="1">
      <c r="A290" s="461"/>
      <c r="B290" s="462"/>
      <c r="C290" s="463"/>
      <c r="D290" s="461"/>
      <c r="E290" s="439"/>
      <c r="F290" s="461"/>
      <c r="G290" s="439"/>
      <c r="H290" s="439"/>
    </row>
    <row r="291" spans="1:8" ht="18" customHeight="1">
      <c r="A291" s="461"/>
      <c r="B291" s="462"/>
      <c r="C291" s="463"/>
      <c r="D291" s="461"/>
      <c r="E291" s="439"/>
      <c r="F291" s="461"/>
      <c r="G291" s="439"/>
      <c r="H291" s="439"/>
    </row>
    <row r="292" spans="1:8" ht="18" customHeight="1">
      <c r="A292" s="461"/>
      <c r="B292" s="462"/>
      <c r="C292" s="463"/>
      <c r="D292" s="461"/>
      <c r="E292" s="439"/>
      <c r="F292" s="461"/>
      <c r="G292" s="439"/>
      <c r="H292" s="439"/>
    </row>
    <row r="293" spans="1:8" ht="18" customHeight="1">
      <c r="A293" s="461"/>
      <c r="B293" s="462"/>
      <c r="C293" s="463"/>
      <c r="D293" s="461"/>
      <c r="E293" s="439"/>
      <c r="F293" s="461"/>
      <c r="G293" s="439"/>
      <c r="H293" s="439"/>
    </row>
    <row r="294" spans="1:8" ht="18" customHeight="1">
      <c r="A294" s="461"/>
      <c r="B294" s="462"/>
      <c r="C294" s="463"/>
      <c r="D294" s="461"/>
      <c r="E294" s="439"/>
      <c r="F294" s="461"/>
      <c r="G294" s="439"/>
      <c r="H294" s="439"/>
    </row>
    <row r="295" spans="1:8" ht="18" customHeight="1">
      <c r="A295" s="461"/>
      <c r="B295" s="462"/>
      <c r="C295" s="463"/>
      <c r="D295" s="461"/>
      <c r="E295" s="439"/>
      <c r="F295" s="461"/>
      <c r="G295" s="439"/>
      <c r="H295" s="439"/>
    </row>
    <row r="296" spans="1:8" ht="18" customHeight="1">
      <c r="A296" s="461"/>
      <c r="B296" s="462"/>
      <c r="C296" s="463"/>
      <c r="D296" s="461"/>
      <c r="E296" s="439"/>
      <c r="F296" s="461"/>
      <c r="G296" s="439"/>
      <c r="H296" s="439"/>
    </row>
    <row r="297" spans="1:8" ht="18" customHeight="1">
      <c r="A297" s="461"/>
      <c r="B297" s="462"/>
      <c r="C297" s="463"/>
      <c r="D297" s="461"/>
      <c r="E297" s="439"/>
      <c r="F297" s="461"/>
      <c r="G297" s="439"/>
      <c r="H297" s="439"/>
    </row>
    <row r="298" spans="1:8" ht="18" customHeight="1">
      <c r="A298" s="461"/>
      <c r="B298" s="462"/>
      <c r="C298" s="463"/>
      <c r="D298" s="461"/>
      <c r="E298" s="439"/>
      <c r="F298" s="461"/>
      <c r="G298" s="439"/>
      <c r="H298" s="439"/>
    </row>
    <row r="299" spans="1:8" ht="18" customHeight="1">
      <c r="A299" s="461"/>
      <c r="B299" s="462"/>
      <c r="C299" s="463"/>
      <c r="D299" s="461"/>
      <c r="E299" s="439"/>
      <c r="F299" s="461"/>
      <c r="G299" s="439"/>
      <c r="H299" s="439"/>
    </row>
    <row r="300" spans="1:8" ht="18" customHeight="1">
      <c r="A300" s="461"/>
      <c r="B300" s="462"/>
      <c r="C300" s="463"/>
      <c r="D300" s="461"/>
      <c r="E300" s="439"/>
      <c r="F300" s="461"/>
      <c r="G300" s="439"/>
      <c r="H300" s="439"/>
    </row>
    <row r="301" spans="1:8" ht="18" customHeight="1">
      <c r="A301" s="461"/>
      <c r="B301" s="462"/>
      <c r="C301" s="463"/>
      <c r="D301" s="461"/>
      <c r="E301" s="439"/>
      <c r="F301" s="461"/>
      <c r="G301" s="439"/>
      <c r="H301" s="439"/>
    </row>
    <row r="302" spans="1:8" ht="18" customHeight="1">
      <c r="A302" s="461"/>
      <c r="B302" s="462"/>
      <c r="C302" s="463"/>
      <c r="D302" s="461"/>
      <c r="E302" s="439"/>
      <c r="F302" s="461"/>
      <c r="G302" s="439"/>
      <c r="H302" s="439"/>
    </row>
    <row r="303" spans="1:8" ht="18" customHeight="1">
      <c r="A303" s="461"/>
      <c r="B303" s="462"/>
      <c r="C303" s="463"/>
      <c r="D303" s="461"/>
      <c r="E303" s="439"/>
      <c r="F303" s="461"/>
      <c r="G303" s="439"/>
      <c r="H303" s="439"/>
    </row>
    <row r="304" spans="1:8" ht="18" customHeight="1">
      <c r="A304" s="461"/>
      <c r="B304" s="462"/>
      <c r="C304" s="463"/>
      <c r="D304" s="461"/>
      <c r="E304" s="439"/>
      <c r="F304" s="461"/>
      <c r="G304" s="439"/>
      <c r="H304" s="439"/>
    </row>
    <row r="305" spans="1:8" ht="18" customHeight="1">
      <c r="A305" s="461"/>
      <c r="B305" s="462"/>
      <c r="C305" s="463"/>
      <c r="D305" s="461"/>
      <c r="E305" s="439"/>
      <c r="F305" s="461"/>
      <c r="G305" s="439"/>
      <c r="H305" s="439"/>
    </row>
    <row r="306" spans="1:8" ht="18" customHeight="1">
      <c r="A306" s="461"/>
      <c r="B306" s="462"/>
      <c r="C306" s="463"/>
      <c r="D306" s="461"/>
      <c r="E306" s="439"/>
      <c r="F306" s="461"/>
      <c r="G306" s="439"/>
      <c r="H306" s="439"/>
    </row>
    <row r="307" spans="1:8" ht="18" customHeight="1">
      <c r="A307" s="461"/>
      <c r="B307" s="462"/>
      <c r="C307" s="463"/>
      <c r="D307" s="461"/>
      <c r="E307" s="439"/>
      <c r="F307" s="461"/>
      <c r="G307" s="439"/>
      <c r="H307" s="439"/>
    </row>
    <row r="308" spans="1:8" ht="18" customHeight="1">
      <c r="A308" s="461"/>
      <c r="B308" s="462"/>
      <c r="C308" s="463"/>
      <c r="D308" s="461"/>
      <c r="E308" s="439"/>
      <c r="F308" s="461"/>
      <c r="G308" s="439"/>
      <c r="H308" s="439"/>
    </row>
    <row r="309" spans="1:8" ht="18" customHeight="1">
      <c r="A309" s="461"/>
      <c r="B309" s="462"/>
      <c r="C309" s="463"/>
      <c r="D309" s="461"/>
      <c r="E309" s="439"/>
      <c r="F309" s="461"/>
      <c r="G309" s="439"/>
      <c r="H309" s="439"/>
    </row>
    <row r="310" spans="1:8" ht="18" customHeight="1">
      <c r="A310" s="461"/>
      <c r="B310" s="462"/>
      <c r="C310" s="463"/>
      <c r="D310" s="461"/>
      <c r="E310" s="439"/>
      <c r="F310" s="461"/>
      <c r="G310" s="439"/>
      <c r="H310" s="439"/>
    </row>
    <row r="311" spans="1:8" ht="18" customHeight="1">
      <c r="A311" s="461"/>
      <c r="B311" s="462"/>
      <c r="C311" s="463"/>
      <c r="D311" s="461"/>
      <c r="E311" s="439"/>
      <c r="F311" s="461"/>
      <c r="G311" s="439"/>
      <c r="H311" s="439"/>
    </row>
    <row r="312" spans="1:8" ht="18" customHeight="1">
      <c r="A312" s="461"/>
      <c r="B312" s="462"/>
      <c r="C312" s="463"/>
      <c r="D312" s="461"/>
      <c r="E312" s="439"/>
      <c r="F312" s="461"/>
      <c r="G312" s="439"/>
      <c r="H312" s="439"/>
    </row>
    <row r="313" spans="1:8" ht="18" customHeight="1">
      <c r="A313" s="461"/>
      <c r="B313" s="462"/>
      <c r="C313" s="463"/>
      <c r="D313" s="461"/>
      <c r="E313" s="439"/>
      <c r="F313" s="461"/>
      <c r="G313" s="439"/>
      <c r="H313" s="439"/>
    </row>
    <row r="314" spans="1:8" ht="18" customHeight="1">
      <c r="A314" s="461"/>
      <c r="B314" s="462"/>
      <c r="C314" s="463"/>
      <c r="D314" s="461"/>
      <c r="E314" s="439"/>
      <c r="F314" s="461"/>
      <c r="G314" s="439"/>
      <c r="H314" s="439"/>
    </row>
    <row r="315" spans="1:8" ht="18" customHeight="1">
      <c r="A315" s="461"/>
      <c r="B315" s="462"/>
      <c r="C315" s="463"/>
      <c r="D315" s="461"/>
      <c r="E315" s="439"/>
      <c r="F315" s="461"/>
      <c r="G315" s="439"/>
      <c r="H315" s="439"/>
    </row>
    <row r="316" spans="1:8" ht="18" customHeight="1">
      <c r="A316" s="461"/>
      <c r="B316" s="462"/>
      <c r="C316" s="463"/>
      <c r="D316" s="461"/>
      <c r="E316" s="439"/>
      <c r="F316" s="461"/>
      <c r="G316" s="439"/>
      <c r="H316" s="439"/>
    </row>
    <row r="317" spans="1:8" ht="18" customHeight="1">
      <c r="A317" s="461"/>
      <c r="B317" s="462"/>
      <c r="C317" s="463"/>
      <c r="D317" s="461"/>
      <c r="E317" s="439"/>
      <c r="F317" s="461"/>
      <c r="G317" s="439"/>
      <c r="H317" s="439"/>
    </row>
    <row r="318" spans="1:8" ht="18" customHeight="1">
      <c r="A318" s="461"/>
      <c r="B318" s="462"/>
      <c r="C318" s="463"/>
      <c r="D318" s="461"/>
      <c r="E318" s="439"/>
      <c r="F318" s="461"/>
      <c r="G318" s="439"/>
      <c r="H318" s="439"/>
    </row>
    <row r="319" spans="1:8" ht="18" customHeight="1">
      <c r="A319" s="461"/>
      <c r="B319" s="462"/>
      <c r="C319" s="463"/>
      <c r="D319" s="461"/>
      <c r="E319" s="439"/>
      <c r="F319" s="461"/>
      <c r="G319" s="439"/>
      <c r="H319" s="439"/>
    </row>
    <row r="320" spans="1:8" ht="18" customHeight="1">
      <c r="A320" s="461"/>
      <c r="B320" s="462"/>
      <c r="C320" s="463"/>
      <c r="D320" s="461"/>
      <c r="E320" s="439"/>
      <c r="F320" s="461"/>
      <c r="G320" s="439"/>
      <c r="H320" s="439"/>
    </row>
    <row r="321" spans="1:8" ht="18" customHeight="1">
      <c r="A321" s="461"/>
      <c r="B321" s="462"/>
      <c r="C321" s="463"/>
      <c r="D321" s="461"/>
      <c r="E321" s="439"/>
      <c r="F321" s="461"/>
      <c r="G321" s="439"/>
      <c r="H321" s="439"/>
    </row>
    <row r="322" spans="1:8" ht="18" customHeight="1">
      <c r="A322" s="461"/>
      <c r="B322" s="462"/>
      <c r="C322" s="463"/>
      <c r="D322" s="461"/>
      <c r="E322" s="439"/>
      <c r="F322" s="461"/>
      <c r="G322" s="439"/>
      <c r="H322" s="439"/>
    </row>
    <row r="323" spans="1:8" ht="18" customHeight="1">
      <c r="A323" s="461"/>
      <c r="B323" s="462"/>
      <c r="C323" s="463"/>
      <c r="D323" s="461"/>
      <c r="E323" s="439"/>
      <c r="F323" s="461"/>
      <c r="G323" s="439"/>
      <c r="H323" s="439"/>
    </row>
    <row r="324" spans="1:8" ht="18" customHeight="1">
      <c r="A324" s="461"/>
      <c r="B324" s="462"/>
      <c r="C324" s="463"/>
      <c r="D324" s="461"/>
      <c r="E324" s="439"/>
      <c r="F324" s="461"/>
      <c r="G324" s="439"/>
      <c r="H324" s="439"/>
    </row>
    <row r="325" spans="1:8" ht="18" customHeight="1"/>
    <row r="326" spans="1:8" ht="18" customHeight="1"/>
    <row r="327" spans="1:8" ht="18" customHeight="1"/>
    <row r="328" spans="1:8" ht="18" customHeight="1">
      <c r="A328" s="461"/>
      <c r="B328" s="462"/>
      <c r="C328" s="463"/>
      <c r="D328" s="461"/>
      <c r="E328" s="439"/>
      <c r="F328" s="461"/>
      <c r="G328" s="439"/>
      <c r="H328" s="439"/>
    </row>
    <row r="329" spans="1:8" ht="18" customHeight="1">
      <c r="A329" s="461"/>
      <c r="B329" s="462"/>
      <c r="C329" s="463"/>
      <c r="D329" s="461"/>
      <c r="E329" s="439"/>
      <c r="F329" s="461"/>
      <c r="G329" s="439"/>
      <c r="H329" s="439"/>
    </row>
    <row r="330" spans="1:8" ht="18" customHeight="1">
      <c r="A330" s="461"/>
      <c r="B330" s="462"/>
      <c r="C330" s="463"/>
      <c r="D330" s="461"/>
      <c r="E330" s="439"/>
      <c r="F330" s="461"/>
      <c r="G330" s="439"/>
      <c r="H330" s="439"/>
    </row>
    <row r="331" spans="1:8" ht="18" customHeight="1">
      <c r="A331" s="461"/>
      <c r="B331" s="462"/>
      <c r="C331" s="463"/>
      <c r="D331" s="461"/>
      <c r="E331" s="439"/>
      <c r="F331" s="461"/>
      <c r="G331" s="439"/>
      <c r="H331" s="439"/>
    </row>
    <row r="332" spans="1:8" ht="18" customHeight="1">
      <c r="A332" s="461"/>
      <c r="B332" s="462"/>
      <c r="C332" s="463"/>
      <c r="D332" s="461"/>
      <c r="E332" s="439"/>
      <c r="F332" s="461"/>
      <c r="G332" s="439"/>
      <c r="H332" s="439"/>
    </row>
    <row r="333" spans="1:8" ht="18" customHeight="1">
      <c r="A333" s="461"/>
      <c r="B333" s="462"/>
      <c r="C333" s="463"/>
      <c r="D333" s="461"/>
      <c r="E333" s="439"/>
      <c r="F333" s="461"/>
      <c r="G333" s="439"/>
      <c r="H333" s="439"/>
    </row>
    <row r="334" spans="1:8" ht="18" customHeight="1">
      <c r="A334" s="461"/>
      <c r="B334" s="462"/>
      <c r="C334" s="463"/>
      <c r="D334" s="461"/>
      <c r="E334" s="439"/>
      <c r="F334" s="461"/>
      <c r="G334" s="439"/>
      <c r="H334" s="439"/>
    </row>
    <row r="335" spans="1:8" ht="18" customHeight="1">
      <c r="A335" s="461"/>
      <c r="B335" s="462"/>
      <c r="C335" s="463"/>
      <c r="D335" s="461"/>
      <c r="E335" s="439"/>
      <c r="F335" s="461"/>
      <c r="G335" s="439"/>
      <c r="H335" s="439"/>
    </row>
    <row r="336" spans="1:8" ht="18" customHeight="1">
      <c r="A336" s="461"/>
      <c r="B336" s="462"/>
      <c r="C336" s="463"/>
      <c r="D336" s="461"/>
      <c r="E336" s="439"/>
      <c r="F336" s="461"/>
      <c r="G336" s="439"/>
      <c r="H336" s="439"/>
    </row>
    <row r="337" spans="1:8" ht="18" customHeight="1">
      <c r="A337" s="461"/>
      <c r="B337" s="462"/>
      <c r="C337" s="463"/>
      <c r="D337" s="461"/>
      <c r="E337" s="439"/>
      <c r="F337" s="461"/>
      <c r="G337" s="439"/>
      <c r="H337" s="439"/>
    </row>
    <row r="338" spans="1:8" ht="18" customHeight="1">
      <c r="A338" s="461"/>
      <c r="B338" s="462"/>
      <c r="C338" s="463"/>
      <c r="D338" s="461"/>
      <c r="E338" s="439"/>
      <c r="F338" s="461"/>
      <c r="G338" s="439"/>
      <c r="H338" s="439"/>
    </row>
    <row r="339" spans="1:8" ht="18" customHeight="1">
      <c r="A339" s="461"/>
      <c r="B339" s="462"/>
      <c r="C339" s="463"/>
      <c r="D339" s="461"/>
      <c r="E339" s="439"/>
      <c r="F339" s="461"/>
      <c r="G339" s="439"/>
      <c r="H339" s="439"/>
    </row>
    <row r="340" spans="1:8" ht="18" customHeight="1">
      <c r="A340" s="461"/>
      <c r="B340" s="462"/>
      <c r="C340" s="463"/>
      <c r="D340" s="461"/>
      <c r="E340" s="439"/>
      <c r="F340" s="461"/>
      <c r="G340" s="439"/>
      <c r="H340" s="439"/>
    </row>
    <row r="341" spans="1:8" ht="18" customHeight="1">
      <c r="A341" s="461"/>
      <c r="B341" s="462"/>
      <c r="C341" s="463"/>
      <c r="D341" s="461"/>
      <c r="E341" s="439"/>
      <c r="F341" s="461"/>
      <c r="G341" s="439"/>
      <c r="H341" s="439"/>
    </row>
    <row r="342" spans="1:8" ht="18" customHeight="1">
      <c r="A342" s="461"/>
      <c r="B342" s="462"/>
      <c r="C342" s="463"/>
      <c r="D342" s="461"/>
      <c r="E342" s="439"/>
      <c r="F342" s="461"/>
      <c r="G342" s="439"/>
      <c r="H342" s="439"/>
    </row>
    <row r="343" spans="1:8" ht="18" customHeight="1">
      <c r="A343" s="461"/>
      <c r="B343" s="462"/>
      <c r="C343" s="463"/>
      <c r="D343" s="461"/>
      <c r="E343" s="439"/>
      <c r="F343" s="461"/>
      <c r="G343" s="439"/>
      <c r="H343" s="439"/>
    </row>
    <row r="344" spans="1:8" ht="18" customHeight="1">
      <c r="A344" s="461"/>
      <c r="B344" s="462"/>
      <c r="C344" s="463"/>
      <c r="D344" s="461"/>
      <c r="E344" s="439"/>
      <c r="F344" s="461"/>
      <c r="G344" s="439"/>
      <c r="H344" s="439"/>
    </row>
    <row r="345" spans="1:8" ht="18" customHeight="1">
      <c r="A345" s="461"/>
      <c r="B345" s="462"/>
      <c r="C345" s="463"/>
      <c r="D345" s="461"/>
      <c r="E345" s="439"/>
      <c r="F345" s="461"/>
      <c r="G345" s="439"/>
      <c r="H345" s="439"/>
    </row>
    <row r="346" spans="1:8" ht="18" customHeight="1">
      <c r="A346" s="461"/>
      <c r="B346" s="462"/>
      <c r="C346" s="463"/>
      <c r="D346" s="461"/>
      <c r="E346" s="439"/>
      <c r="F346" s="461"/>
      <c r="G346" s="439"/>
      <c r="H346" s="439"/>
    </row>
    <row r="347" spans="1:8" ht="18" customHeight="1">
      <c r="A347" s="461"/>
      <c r="B347" s="462"/>
      <c r="C347" s="463"/>
      <c r="D347" s="461"/>
      <c r="E347" s="439"/>
      <c r="F347" s="461"/>
      <c r="G347" s="439"/>
      <c r="H347" s="439"/>
    </row>
    <row r="348" spans="1:8" ht="18" customHeight="1">
      <c r="A348" s="461"/>
      <c r="B348" s="462"/>
      <c r="C348" s="463"/>
      <c r="D348" s="461"/>
      <c r="E348" s="439"/>
      <c r="F348" s="461"/>
      <c r="G348" s="439"/>
      <c r="H348" s="439"/>
    </row>
    <row r="349" spans="1:8" ht="18" customHeight="1">
      <c r="A349" s="461"/>
      <c r="B349" s="462"/>
      <c r="C349" s="463"/>
      <c r="D349" s="461"/>
      <c r="E349" s="439"/>
      <c r="F349" s="461"/>
      <c r="G349" s="439"/>
      <c r="H349" s="439"/>
    </row>
    <row r="350" spans="1:8" ht="18" customHeight="1">
      <c r="A350" s="461"/>
      <c r="B350" s="462"/>
      <c r="C350" s="463"/>
      <c r="D350" s="461"/>
      <c r="E350" s="439"/>
      <c r="F350" s="461"/>
      <c r="G350" s="439"/>
      <c r="H350" s="439"/>
    </row>
    <row r="351" spans="1:8" ht="18" customHeight="1">
      <c r="A351" s="461"/>
      <c r="B351" s="462"/>
      <c r="C351" s="463"/>
      <c r="D351" s="461"/>
      <c r="E351" s="439"/>
      <c r="F351" s="461"/>
      <c r="G351" s="439"/>
      <c r="H351" s="439"/>
    </row>
    <row r="352" spans="1:8" ht="18" customHeight="1">
      <c r="A352" s="461"/>
      <c r="B352" s="462"/>
      <c r="C352" s="463"/>
      <c r="D352" s="461"/>
      <c r="E352" s="439"/>
      <c r="F352" s="461"/>
      <c r="G352" s="439"/>
      <c r="H352" s="439"/>
    </row>
    <row r="353" spans="1:8" ht="18" customHeight="1">
      <c r="A353" s="461"/>
      <c r="B353" s="462"/>
      <c r="C353" s="463"/>
      <c r="D353" s="461"/>
      <c r="E353" s="439"/>
      <c r="F353" s="461"/>
      <c r="G353" s="439"/>
      <c r="H353" s="439"/>
    </row>
    <row r="354" spans="1:8" ht="18" customHeight="1">
      <c r="A354" s="461"/>
      <c r="B354" s="462"/>
      <c r="C354" s="463"/>
      <c r="D354" s="461"/>
      <c r="E354" s="439"/>
      <c r="F354" s="461"/>
      <c r="G354" s="439"/>
      <c r="H354" s="439"/>
    </row>
    <row r="355" spans="1:8" ht="18" customHeight="1">
      <c r="A355" s="461"/>
      <c r="B355" s="462"/>
      <c r="C355" s="463"/>
      <c r="D355" s="461"/>
      <c r="E355" s="439"/>
      <c r="F355" s="461"/>
      <c r="G355" s="439"/>
      <c r="H355" s="439"/>
    </row>
    <row r="356" spans="1:8" ht="18" customHeight="1">
      <c r="A356" s="461"/>
      <c r="B356" s="462"/>
      <c r="C356" s="463"/>
      <c r="D356" s="461"/>
      <c r="E356" s="439"/>
      <c r="F356" s="461"/>
      <c r="G356" s="439"/>
      <c r="H356" s="439"/>
    </row>
    <row r="357" spans="1:8" ht="18" customHeight="1">
      <c r="A357" s="461"/>
      <c r="B357" s="462"/>
      <c r="C357" s="463"/>
      <c r="D357" s="461"/>
      <c r="E357" s="439"/>
      <c r="F357" s="461"/>
      <c r="G357" s="439"/>
      <c r="H357" s="439"/>
    </row>
    <row r="358" spans="1:8" ht="18" customHeight="1">
      <c r="A358" s="461"/>
      <c r="B358" s="462"/>
      <c r="C358" s="463"/>
      <c r="D358" s="461"/>
      <c r="E358" s="439"/>
      <c r="F358" s="461"/>
      <c r="G358" s="439"/>
      <c r="H358" s="439"/>
    </row>
    <row r="359" spans="1:8" ht="18" customHeight="1">
      <c r="A359" s="461"/>
      <c r="B359" s="462"/>
      <c r="C359" s="463"/>
      <c r="D359" s="461"/>
      <c r="E359" s="439"/>
      <c r="F359" s="461"/>
      <c r="G359" s="439"/>
      <c r="H359" s="439"/>
    </row>
    <row r="360" spans="1:8" ht="18" customHeight="1">
      <c r="A360" s="461"/>
      <c r="B360" s="462"/>
      <c r="C360" s="463"/>
      <c r="D360" s="461"/>
      <c r="E360" s="439"/>
      <c r="F360" s="461"/>
      <c r="G360" s="439"/>
      <c r="H360" s="439"/>
    </row>
    <row r="361" spans="1:8" ht="18" customHeight="1">
      <c r="A361" s="461"/>
      <c r="B361" s="462"/>
      <c r="C361" s="463"/>
      <c r="D361" s="461"/>
      <c r="E361" s="439"/>
      <c r="F361" s="461"/>
      <c r="G361" s="439"/>
      <c r="H361" s="439"/>
    </row>
    <row r="362" spans="1:8" ht="18" customHeight="1">
      <c r="A362" s="461"/>
      <c r="B362" s="462"/>
      <c r="C362" s="463"/>
      <c r="D362" s="461"/>
      <c r="E362" s="439"/>
      <c r="F362" s="461"/>
      <c r="G362" s="439"/>
      <c r="H362" s="439"/>
    </row>
    <row r="363" spans="1:8" ht="18" customHeight="1">
      <c r="A363" s="461"/>
      <c r="B363" s="462"/>
      <c r="C363" s="463"/>
      <c r="D363" s="461"/>
      <c r="E363" s="439"/>
      <c r="F363" s="461"/>
      <c r="G363" s="439"/>
      <c r="H363" s="439"/>
    </row>
    <row r="364" spans="1:8" ht="18" customHeight="1">
      <c r="A364" s="461"/>
      <c r="B364" s="462"/>
      <c r="C364" s="463"/>
      <c r="D364" s="461"/>
      <c r="E364" s="439"/>
      <c r="F364" s="461"/>
      <c r="G364" s="439"/>
      <c r="H364" s="439"/>
    </row>
    <row r="365" spans="1:8" ht="18" customHeight="1">
      <c r="A365" s="461"/>
      <c r="B365" s="462"/>
      <c r="C365" s="463"/>
      <c r="D365" s="461"/>
      <c r="E365" s="439"/>
      <c r="F365" s="461"/>
      <c r="G365" s="439"/>
      <c r="H365" s="439"/>
    </row>
    <row r="366" spans="1:8" ht="18" customHeight="1">
      <c r="A366" s="461"/>
      <c r="B366" s="462"/>
      <c r="C366" s="463"/>
      <c r="D366" s="461"/>
      <c r="E366" s="439"/>
      <c r="F366" s="461"/>
      <c r="G366" s="439"/>
      <c r="H366" s="439"/>
    </row>
    <row r="367" spans="1:8" ht="18" customHeight="1">
      <c r="A367" s="461"/>
      <c r="B367" s="462"/>
      <c r="C367" s="463"/>
      <c r="D367" s="461"/>
      <c r="E367" s="439"/>
      <c r="F367" s="461"/>
      <c r="G367" s="439"/>
      <c r="H367" s="439"/>
    </row>
    <row r="368" spans="1:8" ht="18" customHeight="1">
      <c r="A368" s="461"/>
      <c r="B368" s="462"/>
      <c r="C368" s="463"/>
      <c r="D368" s="461"/>
      <c r="E368" s="439"/>
      <c r="F368" s="461"/>
      <c r="G368" s="439"/>
      <c r="H368" s="439"/>
    </row>
    <row r="369" spans="1:8" ht="18" customHeight="1">
      <c r="A369" s="461"/>
      <c r="B369" s="462"/>
      <c r="C369" s="463"/>
      <c r="D369" s="461"/>
      <c r="E369" s="439"/>
      <c r="F369" s="461"/>
      <c r="G369" s="439"/>
      <c r="H369" s="439"/>
    </row>
    <row r="370" spans="1:8" ht="18" customHeight="1">
      <c r="A370" s="461"/>
      <c r="B370" s="462"/>
      <c r="C370" s="463"/>
      <c r="D370" s="461"/>
      <c r="E370" s="439"/>
      <c r="F370" s="461"/>
      <c r="G370" s="439"/>
      <c r="H370" s="439"/>
    </row>
    <row r="371" spans="1:8" ht="18" customHeight="1">
      <c r="A371" s="461"/>
      <c r="B371" s="462"/>
      <c r="C371" s="463"/>
      <c r="D371" s="461"/>
      <c r="E371" s="439"/>
      <c r="F371" s="461"/>
      <c r="G371" s="439"/>
      <c r="H371" s="439"/>
    </row>
    <row r="372" spans="1:8" ht="18" customHeight="1">
      <c r="A372" s="461"/>
      <c r="B372" s="462"/>
      <c r="C372" s="463"/>
      <c r="D372" s="461"/>
      <c r="E372" s="439"/>
      <c r="F372" s="461"/>
      <c r="G372" s="439"/>
      <c r="H372" s="439"/>
    </row>
    <row r="373" spans="1:8" ht="18" customHeight="1">
      <c r="A373" s="461"/>
      <c r="B373" s="462"/>
      <c r="C373" s="463"/>
      <c r="D373" s="461"/>
      <c r="E373" s="439"/>
      <c r="F373" s="461"/>
      <c r="G373" s="439"/>
      <c r="H373" s="439"/>
    </row>
    <row r="374" spans="1:8" ht="18" customHeight="1">
      <c r="A374" s="461"/>
      <c r="B374" s="462"/>
      <c r="C374" s="463"/>
      <c r="D374" s="461"/>
      <c r="E374" s="439"/>
      <c r="F374" s="461"/>
      <c r="G374" s="439"/>
      <c r="H374" s="439"/>
    </row>
    <row r="375" spans="1:8" ht="18" customHeight="1">
      <c r="A375" s="461"/>
      <c r="B375" s="462"/>
      <c r="C375" s="463"/>
      <c r="D375" s="461"/>
      <c r="E375" s="439"/>
      <c r="F375" s="461"/>
      <c r="G375" s="439"/>
      <c r="H375" s="439"/>
    </row>
    <row r="376" spans="1:8" ht="18" customHeight="1">
      <c r="A376" s="461"/>
      <c r="B376" s="462"/>
      <c r="C376" s="463"/>
      <c r="D376" s="461"/>
      <c r="E376" s="439"/>
      <c r="F376" s="461"/>
      <c r="G376" s="439"/>
      <c r="H376" s="439"/>
    </row>
    <row r="377" spans="1:8" ht="18" customHeight="1">
      <c r="A377" s="461"/>
      <c r="B377" s="462"/>
      <c r="C377" s="463"/>
      <c r="D377" s="461"/>
      <c r="E377" s="439"/>
      <c r="F377" s="461"/>
      <c r="G377" s="439"/>
      <c r="H377" s="439"/>
    </row>
    <row r="378" spans="1:8" ht="18" customHeight="1">
      <c r="A378" s="461"/>
      <c r="B378" s="462"/>
      <c r="C378" s="463"/>
      <c r="D378" s="461"/>
      <c r="E378" s="439"/>
      <c r="F378" s="461"/>
      <c r="G378" s="439"/>
      <c r="H378" s="439"/>
    </row>
    <row r="379" spans="1:8" ht="18" customHeight="1">
      <c r="A379" s="461"/>
      <c r="B379" s="462"/>
      <c r="C379" s="463"/>
      <c r="D379" s="461"/>
      <c r="E379" s="439"/>
      <c r="F379" s="461"/>
      <c r="G379" s="439"/>
      <c r="H379" s="439"/>
    </row>
    <row r="380" spans="1:8" ht="18" customHeight="1">
      <c r="A380" s="461"/>
      <c r="B380" s="462"/>
      <c r="C380" s="463"/>
      <c r="D380" s="461"/>
      <c r="E380" s="439"/>
      <c r="F380" s="461"/>
      <c r="G380" s="439"/>
      <c r="H380" s="439"/>
    </row>
    <row r="381" spans="1:8" ht="18" customHeight="1">
      <c r="A381" s="461"/>
      <c r="B381" s="462"/>
      <c r="C381" s="463"/>
      <c r="D381" s="461"/>
      <c r="E381" s="439"/>
      <c r="F381" s="461"/>
      <c r="G381" s="439"/>
      <c r="H381" s="439"/>
    </row>
    <row r="382" spans="1:8" ht="18" customHeight="1">
      <c r="A382" s="461"/>
      <c r="B382" s="462"/>
      <c r="C382" s="463"/>
      <c r="D382" s="461"/>
      <c r="E382" s="439"/>
      <c r="F382" s="461"/>
      <c r="G382" s="439"/>
      <c r="H382" s="439"/>
    </row>
    <row r="383" spans="1:8" ht="18" customHeight="1">
      <c r="A383" s="461"/>
      <c r="B383" s="462"/>
      <c r="C383" s="463"/>
      <c r="D383" s="461"/>
      <c r="E383" s="439"/>
      <c r="F383" s="461"/>
      <c r="G383" s="439"/>
      <c r="H383" s="439"/>
    </row>
    <row r="384" spans="1:8" ht="18" customHeight="1">
      <c r="A384" s="461"/>
      <c r="B384" s="462"/>
      <c r="C384" s="463"/>
      <c r="D384" s="461"/>
      <c r="E384" s="439"/>
      <c r="F384" s="461"/>
      <c r="G384" s="439"/>
      <c r="H384" s="439"/>
    </row>
    <row r="385" spans="1:8" ht="18" customHeight="1">
      <c r="A385" s="461"/>
      <c r="B385" s="462"/>
      <c r="C385" s="463"/>
      <c r="D385" s="461"/>
      <c r="E385" s="439"/>
      <c r="F385" s="461"/>
      <c r="G385" s="439"/>
      <c r="H385" s="439"/>
    </row>
    <row r="386" spans="1:8" ht="18" customHeight="1">
      <c r="A386" s="461"/>
      <c r="B386" s="462"/>
      <c r="C386" s="463"/>
      <c r="D386" s="461"/>
      <c r="E386" s="439"/>
      <c r="F386" s="461"/>
      <c r="G386" s="439"/>
      <c r="H386" s="439"/>
    </row>
    <row r="387" spans="1:8" ht="18" customHeight="1">
      <c r="A387" s="461"/>
      <c r="B387" s="462"/>
      <c r="C387" s="463"/>
      <c r="D387" s="461"/>
      <c r="E387" s="439"/>
      <c r="F387" s="461"/>
      <c r="G387" s="439"/>
      <c r="H387" s="439"/>
    </row>
    <row r="388" spans="1:8" ht="18" customHeight="1">
      <c r="A388" s="461"/>
      <c r="B388" s="462"/>
      <c r="C388" s="463"/>
      <c r="D388" s="461"/>
      <c r="E388" s="439"/>
      <c r="F388" s="461"/>
      <c r="G388" s="439"/>
      <c r="H388" s="439"/>
    </row>
    <row r="389" spans="1:8" ht="18" customHeight="1">
      <c r="A389" s="461"/>
      <c r="B389" s="462"/>
      <c r="C389" s="463"/>
      <c r="D389" s="461"/>
      <c r="E389" s="439"/>
      <c r="F389" s="461"/>
      <c r="G389" s="439"/>
      <c r="H389" s="439"/>
    </row>
    <row r="390" spans="1:8" ht="18" customHeight="1">
      <c r="A390" s="461"/>
      <c r="B390" s="462"/>
      <c r="C390" s="463"/>
      <c r="D390" s="461"/>
      <c r="E390" s="439"/>
      <c r="F390" s="461"/>
      <c r="G390" s="439"/>
      <c r="H390" s="439"/>
    </row>
    <row r="391" spans="1:8" ht="18" customHeight="1">
      <c r="A391" s="461"/>
      <c r="B391" s="462"/>
      <c r="C391" s="463"/>
      <c r="D391" s="461"/>
      <c r="E391" s="439"/>
      <c r="F391" s="461"/>
      <c r="G391" s="439"/>
      <c r="H391" s="439"/>
    </row>
    <row r="392" spans="1:8" ht="18" customHeight="1">
      <c r="A392" s="461"/>
      <c r="B392" s="462"/>
      <c r="C392" s="463"/>
      <c r="D392" s="461"/>
      <c r="E392" s="439"/>
      <c r="F392" s="461"/>
      <c r="G392" s="439"/>
      <c r="H392" s="439"/>
    </row>
    <row r="393" spans="1:8" ht="18" customHeight="1">
      <c r="A393" s="461"/>
      <c r="B393" s="462"/>
      <c r="C393" s="463"/>
      <c r="D393" s="461"/>
      <c r="E393" s="439"/>
      <c r="F393" s="461"/>
      <c r="G393" s="439"/>
      <c r="H393" s="439"/>
    </row>
    <row r="394" spans="1:8" ht="18" customHeight="1">
      <c r="A394" s="461"/>
      <c r="B394" s="462"/>
      <c r="C394" s="463"/>
      <c r="D394" s="461"/>
      <c r="E394" s="439"/>
      <c r="F394" s="461"/>
      <c r="G394" s="439"/>
      <c r="H394" s="439"/>
    </row>
    <row r="395" spans="1:8" ht="18" customHeight="1">
      <c r="A395" s="461"/>
      <c r="B395" s="462"/>
      <c r="C395" s="463"/>
      <c r="D395" s="461"/>
      <c r="E395" s="439"/>
      <c r="F395" s="461"/>
      <c r="G395" s="439"/>
      <c r="H395" s="439"/>
    </row>
    <row r="396" spans="1:8" ht="18" customHeight="1">
      <c r="A396" s="461"/>
      <c r="B396" s="462"/>
      <c r="C396" s="463"/>
      <c r="D396" s="461"/>
      <c r="E396" s="439"/>
      <c r="F396" s="461"/>
      <c r="G396" s="439"/>
      <c r="H396" s="439"/>
    </row>
    <row r="397" spans="1:8" ht="18" customHeight="1">
      <c r="A397" s="461"/>
      <c r="B397" s="462"/>
      <c r="C397" s="463"/>
      <c r="D397" s="461"/>
      <c r="E397" s="439"/>
      <c r="F397" s="461"/>
      <c r="G397" s="439"/>
      <c r="H397" s="439"/>
    </row>
    <row r="398" spans="1:8" ht="18" customHeight="1">
      <c r="A398" s="461"/>
      <c r="B398" s="462"/>
      <c r="C398" s="463"/>
      <c r="D398" s="461"/>
      <c r="E398" s="439"/>
      <c r="F398" s="461"/>
      <c r="G398" s="439"/>
      <c r="H398" s="439"/>
    </row>
    <row r="399" spans="1:8" ht="18" customHeight="1">
      <c r="A399" s="461"/>
      <c r="B399" s="462"/>
      <c r="C399" s="463"/>
      <c r="D399" s="461"/>
      <c r="E399" s="439"/>
      <c r="F399" s="461"/>
      <c r="G399" s="439"/>
      <c r="H399" s="439"/>
    </row>
    <row r="400" spans="1:8" ht="18" customHeight="1">
      <c r="A400" s="461"/>
      <c r="B400" s="462"/>
      <c r="C400" s="463"/>
      <c r="D400" s="461"/>
      <c r="E400" s="439"/>
      <c r="F400" s="461"/>
      <c r="G400" s="439"/>
      <c r="H400" s="439"/>
    </row>
    <row r="401" spans="1:8" ht="18" customHeight="1">
      <c r="A401" s="461"/>
      <c r="B401" s="462"/>
      <c r="C401" s="463"/>
      <c r="D401" s="461"/>
      <c r="E401" s="439"/>
      <c r="F401" s="461"/>
      <c r="G401" s="439"/>
      <c r="H401" s="439"/>
    </row>
    <row r="402" spans="1:8" ht="18" customHeight="1">
      <c r="A402" s="461"/>
      <c r="B402" s="462"/>
      <c r="C402" s="463"/>
      <c r="D402" s="461"/>
      <c r="E402" s="439"/>
      <c r="F402" s="461"/>
      <c r="G402" s="439"/>
      <c r="H402" s="439"/>
    </row>
    <row r="403" spans="1:8" ht="18" customHeight="1">
      <c r="A403" s="461"/>
      <c r="B403" s="462"/>
      <c r="C403" s="463"/>
      <c r="D403" s="461"/>
      <c r="E403" s="439"/>
      <c r="F403" s="461"/>
      <c r="G403" s="439"/>
      <c r="H403" s="439"/>
    </row>
    <row r="404" spans="1:8" ht="18" customHeight="1">
      <c r="A404" s="461"/>
      <c r="B404" s="462"/>
      <c r="C404" s="463"/>
      <c r="D404" s="461"/>
      <c r="E404" s="439"/>
      <c r="F404" s="461"/>
      <c r="G404" s="439"/>
      <c r="H404" s="439"/>
    </row>
    <row r="405" spans="1:8" ht="18" customHeight="1">
      <c r="A405" s="461"/>
      <c r="B405" s="462"/>
      <c r="C405" s="463"/>
      <c r="D405" s="461"/>
      <c r="E405" s="439"/>
      <c r="F405" s="461"/>
      <c r="G405" s="439"/>
      <c r="H405" s="439"/>
    </row>
    <row r="406" spans="1:8" ht="18" customHeight="1">
      <c r="A406" s="461"/>
      <c r="B406" s="462"/>
      <c r="C406" s="463"/>
      <c r="D406" s="461"/>
      <c r="E406" s="439"/>
      <c r="F406" s="461"/>
      <c r="G406" s="439"/>
      <c r="H406" s="439"/>
    </row>
    <row r="407" spans="1:8" ht="18" customHeight="1">
      <c r="A407" s="461"/>
      <c r="B407" s="462"/>
      <c r="C407" s="463"/>
      <c r="D407" s="461"/>
      <c r="E407" s="439"/>
      <c r="F407" s="461"/>
      <c r="G407" s="439"/>
      <c r="H407" s="439"/>
    </row>
    <row r="408" spans="1:8" ht="18" customHeight="1">
      <c r="A408" s="461"/>
      <c r="B408" s="462"/>
      <c r="C408" s="463"/>
      <c r="D408" s="461"/>
      <c r="E408" s="439"/>
      <c r="F408" s="461"/>
      <c r="G408" s="439"/>
      <c r="H408" s="439"/>
    </row>
    <row r="409" spans="1:8" ht="18" customHeight="1">
      <c r="A409" s="461"/>
      <c r="B409" s="462"/>
      <c r="C409" s="463"/>
      <c r="D409" s="461"/>
      <c r="E409" s="439"/>
      <c r="F409" s="461"/>
      <c r="G409" s="439"/>
      <c r="H409" s="439"/>
    </row>
    <row r="410" spans="1:8" ht="18" customHeight="1">
      <c r="A410" s="461"/>
      <c r="B410" s="462"/>
      <c r="C410" s="463"/>
      <c r="D410" s="461"/>
      <c r="E410" s="439"/>
      <c r="F410" s="461"/>
      <c r="G410" s="439"/>
      <c r="H410" s="439"/>
    </row>
    <row r="411" spans="1:8" ht="18" customHeight="1">
      <c r="A411" s="461"/>
      <c r="B411" s="462"/>
      <c r="C411" s="463"/>
      <c r="D411" s="461"/>
      <c r="E411" s="439"/>
      <c r="F411" s="461"/>
      <c r="G411" s="439"/>
      <c r="H411" s="439"/>
    </row>
    <row r="412" spans="1:8" ht="18" customHeight="1">
      <c r="A412" s="461"/>
      <c r="B412" s="462"/>
      <c r="C412" s="463"/>
      <c r="D412" s="461"/>
      <c r="E412" s="439"/>
      <c r="F412" s="461"/>
      <c r="G412" s="439"/>
      <c r="H412" s="439"/>
    </row>
    <row r="413" spans="1:8" ht="18" customHeight="1">
      <c r="A413" s="461"/>
      <c r="B413" s="462"/>
      <c r="C413" s="463"/>
      <c r="D413" s="461"/>
      <c r="E413" s="439"/>
      <c r="F413" s="461"/>
      <c r="G413" s="439"/>
      <c r="H413" s="439"/>
    </row>
    <row r="414" spans="1:8" ht="18" customHeight="1">
      <c r="A414" s="461"/>
      <c r="B414" s="462"/>
      <c r="C414" s="463"/>
      <c r="D414" s="461"/>
      <c r="E414" s="439"/>
      <c r="F414" s="461"/>
      <c r="G414" s="439"/>
      <c r="H414" s="439"/>
    </row>
    <row r="415" spans="1:8" ht="18" customHeight="1">
      <c r="A415" s="461"/>
      <c r="B415" s="462"/>
      <c r="C415" s="463"/>
      <c r="D415" s="461"/>
      <c r="E415" s="439"/>
      <c r="F415" s="461"/>
      <c r="G415" s="439"/>
      <c r="H415" s="439"/>
    </row>
    <row r="416" spans="1:8" ht="18" customHeight="1">
      <c r="A416" s="461"/>
      <c r="B416" s="462"/>
      <c r="C416" s="463"/>
      <c r="D416" s="461"/>
      <c r="E416" s="439"/>
      <c r="F416" s="461"/>
      <c r="G416" s="439"/>
      <c r="H416" s="439"/>
    </row>
    <row r="417" spans="1:8" ht="18" customHeight="1">
      <c r="A417" s="461"/>
      <c r="B417" s="462"/>
      <c r="C417" s="463"/>
      <c r="D417" s="461"/>
      <c r="E417" s="439"/>
      <c r="F417" s="461"/>
      <c r="G417" s="439"/>
      <c r="H417" s="439"/>
    </row>
    <row r="418" spans="1:8" ht="18" customHeight="1">
      <c r="A418" s="461"/>
      <c r="B418" s="462"/>
      <c r="C418" s="463"/>
      <c r="D418" s="461"/>
      <c r="E418" s="439"/>
      <c r="F418" s="461"/>
      <c r="G418" s="439"/>
      <c r="H418" s="439"/>
    </row>
    <row r="419" spans="1:8" ht="18" customHeight="1">
      <c r="A419" s="461"/>
      <c r="B419" s="462"/>
      <c r="C419" s="463"/>
      <c r="D419" s="461"/>
      <c r="E419" s="439"/>
      <c r="F419" s="461"/>
      <c r="G419" s="439"/>
      <c r="H419" s="439"/>
    </row>
    <row r="420" spans="1:8" ht="18" customHeight="1">
      <c r="A420" s="461"/>
      <c r="B420" s="462"/>
      <c r="C420" s="463"/>
      <c r="D420" s="461"/>
      <c r="E420" s="439"/>
      <c r="F420" s="461"/>
      <c r="G420" s="439"/>
      <c r="H420" s="439"/>
    </row>
    <row r="421" spans="1:8" ht="18" customHeight="1">
      <c r="A421" s="461"/>
      <c r="B421" s="462"/>
      <c r="C421" s="463"/>
      <c r="D421" s="461"/>
      <c r="E421" s="439"/>
      <c r="F421" s="461"/>
      <c r="G421" s="439"/>
      <c r="H421" s="439"/>
    </row>
    <row r="422" spans="1:8" ht="18" customHeight="1">
      <c r="A422" s="461"/>
      <c r="B422" s="462"/>
      <c r="C422" s="463"/>
      <c r="D422" s="461"/>
      <c r="E422" s="439"/>
      <c r="F422" s="461"/>
      <c r="G422" s="439"/>
      <c r="H422" s="439"/>
    </row>
    <row r="423" spans="1:8" ht="18" customHeight="1">
      <c r="A423" s="461"/>
      <c r="B423" s="462"/>
      <c r="C423" s="463"/>
      <c r="D423" s="461"/>
      <c r="E423" s="439"/>
      <c r="F423" s="461"/>
      <c r="G423" s="439"/>
      <c r="H423" s="439"/>
    </row>
    <row r="424" spans="1:8" ht="18" customHeight="1">
      <c r="A424" s="461"/>
      <c r="B424" s="462"/>
      <c r="C424" s="463"/>
      <c r="D424" s="461"/>
      <c r="E424" s="439"/>
      <c r="F424" s="461"/>
      <c r="G424" s="439"/>
      <c r="H424" s="439"/>
    </row>
    <row r="425" spans="1:8" ht="18" customHeight="1">
      <c r="A425" s="461"/>
      <c r="B425" s="462"/>
      <c r="C425" s="463"/>
      <c r="D425" s="461"/>
      <c r="E425" s="439"/>
      <c r="F425" s="461"/>
      <c r="G425" s="439"/>
      <c r="H425" s="439"/>
    </row>
    <row r="426" spans="1:8" ht="18" customHeight="1">
      <c r="A426" s="461"/>
      <c r="B426" s="462"/>
      <c r="C426" s="463"/>
      <c r="D426" s="461"/>
      <c r="E426" s="439"/>
      <c r="F426" s="461"/>
      <c r="G426" s="439"/>
      <c r="H426" s="439"/>
    </row>
    <row r="427" spans="1:8" ht="18" customHeight="1">
      <c r="A427" s="461"/>
      <c r="B427" s="462"/>
      <c r="C427" s="463"/>
      <c r="D427" s="461"/>
      <c r="E427" s="439"/>
      <c r="F427" s="461"/>
      <c r="G427" s="439"/>
      <c r="H427" s="439"/>
    </row>
    <row r="428" spans="1:8" ht="18" customHeight="1">
      <c r="A428" s="461"/>
      <c r="B428" s="462"/>
      <c r="C428" s="463"/>
      <c r="D428" s="461"/>
      <c r="E428" s="439"/>
      <c r="F428" s="461"/>
      <c r="G428" s="439"/>
      <c r="H428" s="439"/>
    </row>
    <row r="429" spans="1:8" ht="18" customHeight="1">
      <c r="A429" s="461"/>
      <c r="B429" s="462"/>
      <c r="C429" s="463"/>
      <c r="D429" s="461"/>
      <c r="E429" s="439"/>
      <c r="F429" s="461"/>
      <c r="G429" s="439"/>
      <c r="H429" s="439"/>
    </row>
    <row r="430" spans="1:8" ht="18" customHeight="1">
      <c r="A430" s="461"/>
      <c r="B430" s="462"/>
      <c r="C430" s="463"/>
      <c r="D430" s="461"/>
      <c r="E430" s="439"/>
      <c r="F430" s="461"/>
      <c r="G430" s="439"/>
      <c r="H430" s="439"/>
    </row>
    <row r="431" spans="1:8" ht="18" customHeight="1">
      <c r="A431" s="461"/>
      <c r="B431" s="462"/>
      <c r="C431" s="463"/>
      <c r="D431" s="461"/>
      <c r="E431" s="439"/>
      <c r="F431" s="461"/>
      <c r="G431" s="439"/>
      <c r="H431" s="439"/>
    </row>
    <row r="432" spans="1:8" ht="18" customHeight="1">
      <c r="A432" s="461"/>
      <c r="B432" s="462"/>
      <c r="C432" s="463"/>
      <c r="D432" s="461"/>
      <c r="E432" s="439"/>
      <c r="F432" s="461"/>
      <c r="G432" s="439"/>
      <c r="H432" s="439"/>
    </row>
    <row r="433" spans="1:8" ht="18" customHeight="1">
      <c r="A433" s="461"/>
      <c r="B433" s="462"/>
      <c r="C433" s="463"/>
      <c r="D433" s="461"/>
      <c r="E433" s="439"/>
      <c r="F433" s="461"/>
      <c r="G433" s="439"/>
      <c r="H433" s="439"/>
    </row>
    <row r="434" spans="1:8" ht="18" customHeight="1">
      <c r="A434" s="461"/>
      <c r="B434" s="462"/>
      <c r="C434" s="463"/>
      <c r="D434" s="461"/>
      <c r="E434" s="439"/>
      <c r="F434" s="461"/>
      <c r="G434" s="439"/>
      <c r="H434" s="439"/>
    </row>
    <row r="435" spans="1:8" ht="18" customHeight="1">
      <c r="A435" s="461"/>
      <c r="B435" s="462"/>
      <c r="C435" s="463"/>
      <c r="D435" s="461"/>
      <c r="E435" s="439"/>
      <c r="F435" s="461"/>
      <c r="G435" s="439"/>
      <c r="H435" s="439"/>
    </row>
    <row r="436" spans="1:8" ht="18" customHeight="1">
      <c r="A436" s="461"/>
      <c r="B436" s="462"/>
      <c r="C436" s="463"/>
      <c r="D436" s="461"/>
      <c r="E436" s="439"/>
      <c r="F436" s="461"/>
      <c r="G436" s="439"/>
      <c r="H436" s="439"/>
    </row>
    <row r="437" spans="1:8" ht="18" customHeight="1">
      <c r="A437" s="461"/>
      <c r="B437" s="462"/>
      <c r="C437" s="463"/>
      <c r="D437" s="461"/>
      <c r="E437" s="439"/>
      <c r="F437" s="461"/>
      <c r="G437" s="439"/>
      <c r="H437" s="439"/>
    </row>
    <row r="438" spans="1:8" ht="18" customHeight="1">
      <c r="A438" s="461"/>
      <c r="B438" s="462"/>
      <c r="C438" s="463"/>
      <c r="D438" s="461"/>
      <c r="E438" s="439"/>
      <c r="F438" s="461"/>
      <c r="G438" s="439"/>
      <c r="H438" s="439"/>
    </row>
    <row r="439" spans="1:8" ht="18" customHeight="1">
      <c r="A439" s="461"/>
      <c r="B439" s="462"/>
      <c r="C439" s="463"/>
      <c r="D439" s="461"/>
      <c r="E439" s="439"/>
      <c r="F439" s="461"/>
      <c r="G439" s="439"/>
      <c r="H439" s="439"/>
    </row>
    <row r="440" spans="1:8" ht="18" customHeight="1">
      <c r="A440" s="461"/>
      <c r="B440" s="462"/>
      <c r="C440" s="463"/>
      <c r="D440" s="461"/>
      <c r="E440" s="439"/>
      <c r="F440" s="461"/>
      <c r="G440" s="439"/>
      <c r="H440" s="439"/>
    </row>
    <row r="441" spans="1:8" ht="18" customHeight="1">
      <c r="A441" s="461"/>
      <c r="B441" s="462"/>
      <c r="C441" s="463"/>
      <c r="D441" s="461"/>
      <c r="E441" s="439"/>
      <c r="F441" s="461"/>
      <c r="G441" s="439"/>
      <c r="H441" s="439"/>
    </row>
    <row r="442" spans="1:8" ht="18" customHeight="1">
      <c r="A442" s="461"/>
      <c r="B442" s="462"/>
      <c r="C442" s="463"/>
      <c r="D442" s="461"/>
      <c r="E442" s="439"/>
      <c r="F442" s="461"/>
      <c r="G442" s="439"/>
      <c r="H442" s="439"/>
    </row>
    <row r="443" spans="1:8" ht="18" customHeight="1">
      <c r="A443" s="461"/>
      <c r="B443" s="462"/>
      <c r="C443" s="463"/>
      <c r="D443" s="461"/>
      <c r="E443" s="439"/>
      <c r="F443" s="461"/>
      <c r="G443" s="439"/>
      <c r="H443" s="439"/>
    </row>
    <row r="444" spans="1:8" ht="18" customHeight="1">
      <c r="A444" s="461"/>
      <c r="B444" s="462"/>
      <c r="C444" s="463"/>
      <c r="D444" s="461"/>
      <c r="E444" s="439"/>
      <c r="F444" s="461"/>
      <c r="G444" s="439"/>
      <c r="H444" s="439"/>
    </row>
    <row r="445" spans="1:8" ht="18" customHeight="1">
      <c r="A445" s="461"/>
      <c r="B445" s="462"/>
      <c r="C445" s="463"/>
      <c r="D445" s="461"/>
      <c r="E445" s="439"/>
      <c r="F445" s="461"/>
      <c r="G445" s="439"/>
      <c r="H445" s="439"/>
    </row>
    <row r="446" spans="1:8" ht="18" customHeight="1">
      <c r="A446" s="461"/>
      <c r="B446" s="462"/>
      <c r="C446" s="463"/>
      <c r="D446" s="461"/>
      <c r="E446" s="439"/>
      <c r="F446" s="461"/>
      <c r="G446" s="439"/>
      <c r="H446" s="439"/>
    </row>
    <row r="447" spans="1:8" ht="18" customHeight="1">
      <c r="A447" s="461"/>
      <c r="B447" s="462"/>
      <c r="C447" s="463"/>
      <c r="D447" s="461"/>
      <c r="E447" s="439"/>
      <c r="F447" s="461"/>
      <c r="G447" s="439"/>
      <c r="H447" s="439"/>
    </row>
    <row r="448" spans="1:8" ht="18" customHeight="1">
      <c r="A448" s="461"/>
      <c r="B448" s="462"/>
      <c r="C448" s="463"/>
      <c r="D448" s="461"/>
      <c r="E448" s="439"/>
      <c r="F448" s="461"/>
      <c r="G448" s="439"/>
      <c r="H448" s="439"/>
    </row>
    <row r="449" spans="1:8" ht="18" customHeight="1">
      <c r="A449" s="461"/>
      <c r="B449" s="462"/>
      <c r="C449" s="463"/>
      <c r="D449" s="461"/>
      <c r="E449" s="439"/>
      <c r="F449" s="461"/>
      <c r="G449" s="439"/>
      <c r="H449" s="439"/>
    </row>
    <row r="450" spans="1:8" ht="18" customHeight="1">
      <c r="A450" s="461"/>
      <c r="B450" s="462"/>
      <c r="C450" s="463"/>
      <c r="D450" s="461"/>
      <c r="E450" s="439"/>
      <c r="F450" s="461"/>
      <c r="G450" s="439"/>
      <c r="H450" s="439"/>
    </row>
    <row r="451" spans="1:8" ht="18" customHeight="1">
      <c r="A451" s="461"/>
      <c r="B451" s="462"/>
      <c r="C451" s="463"/>
      <c r="D451" s="461"/>
      <c r="E451" s="439"/>
      <c r="F451" s="461"/>
      <c r="G451" s="439"/>
      <c r="H451" s="439"/>
    </row>
    <row r="452" spans="1:8" ht="18" customHeight="1">
      <c r="A452" s="461"/>
      <c r="B452" s="462"/>
      <c r="C452" s="463"/>
      <c r="D452" s="461"/>
      <c r="E452" s="439"/>
      <c r="F452" s="461"/>
      <c r="G452" s="439"/>
      <c r="H452" s="439"/>
    </row>
    <row r="453" spans="1:8" ht="18" customHeight="1">
      <c r="A453" s="461"/>
      <c r="B453" s="462"/>
      <c r="C453" s="463"/>
      <c r="D453" s="461"/>
      <c r="E453" s="439"/>
      <c r="F453" s="461"/>
      <c r="G453" s="439"/>
      <c r="H453" s="439"/>
    </row>
    <row r="454" spans="1:8" ht="18" customHeight="1">
      <c r="A454" s="461"/>
      <c r="B454" s="462"/>
      <c r="C454" s="463"/>
      <c r="D454" s="461"/>
      <c r="E454" s="439"/>
      <c r="F454" s="461"/>
      <c r="G454" s="439"/>
      <c r="H454" s="439"/>
    </row>
    <row r="455" spans="1:8" ht="18" customHeight="1">
      <c r="A455" s="461"/>
      <c r="B455" s="462"/>
      <c r="C455" s="463"/>
      <c r="D455" s="461"/>
      <c r="E455" s="439"/>
      <c r="F455" s="461"/>
      <c r="G455" s="439"/>
      <c r="H455" s="439"/>
    </row>
    <row r="456" spans="1:8" ht="18" customHeight="1">
      <c r="A456" s="461"/>
      <c r="B456" s="462"/>
      <c r="C456" s="463"/>
      <c r="D456" s="461"/>
      <c r="E456" s="439"/>
      <c r="F456" s="461"/>
      <c r="G456" s="439"/>
      <c r="H456" s="439"/>
    </row>
    <row r="457" spans="1:8" ht="18" customHeight="1">
      <c r="A457" s="461"/>
      <c r="B457" s="462"/>
      <c r="C457" s="463"/>
      <c r="D457" s="461"/>
      <c r="E457" s="439"/>
      <c r="F457" s="461"/>
      <c r="G457" s="439"/>
      <c r="H457" s="439"/>
    </row>
    <row r="458" spans="1:8" ht="18" customHeight="1">
      <c r="A458" s="461"/>
      <c r="B458" s="462"/>
      <c r="C458" s="463"/>
      <c r="D458" s="461"/>
      <c r="E458" s="439"/>
      <c r="F458" s="461"/>
      <c r="G458" s="439"/>
      <c r="H458" s="439"/>
    </row>
    <row r="459" spans="1:8" ht="18" customHeight="1">
      <c r="A459" s="461"/>
      <c r="B459" s="462"/>
      <c r="C459" s="463"/>
      <c r="D459" s="461"/>
      <c r="E459" s="439"/>
      <c r="F459" s="461"/>
      <c r="G459" s="439"/>
      <c r="H459" s="439"/>
    </row>
    <row r="460" spans="1:8" ht="18" customHeight="1">
      <c r="A460" s="461"/>
      <c r="B460" s="462"/>
      <c r="C460" s="463"/>
      <c r="D460" s="461"/>
      <c r="E460" s="439"/>
      <c r="F460" s="461"/>
      <c r="G460" s="439"/>
      <c r="H460" s="439"/>
    </row>
    <row r="461" spans="1:8" ht="18" customHeight="1">
      <c r="A461" s="461"/>
      <c r="B461" s="462"/>
      <c r="C461" s="463"/>
      <c r="D461" s="461"/>
      <c r="E461" s="439"/>
      <c r="F461" s="461"/>
      <c r="G461" s="439"/>
      <c r="H461" s="439"/>
    </row>
    <row r="462" spans="1:8" ht="18" customHeight="1">
      <c r="A462" s="461"/>
      <c r="B462" s="462"/>
      <c r="C462" s="463"/>
      <c r="D462" s="461"/>
      <c r="E462" s="439"/>
      <c r="F462" s="461"/>
      <c r="G462" s="439"/>
      <c r="H462" s="439"/>
    </row>
    <row r="463" spans="1:8" ht="18" customHeight="1">
      <c r="A463" s="461"/>
      <c r="B463" s="462"/>
      <c r="C463" s="463"/>
      <c r="D463" s="461"/>
      <c r="E463" s="439"/>
      <c r="F463" s="461"/>
      <c r="G463" s="439"/>
      <c r="H463" s="439"/>
    </row>
    <row r="464" spans="1:8" ht="18" customHeight="1">
      <c r="A464" s="461"/>
      <c r="B464" s="462"/>
      <c r="C464" s="463"/>
      <c r="D464" s="461"/>
      <c r="E464" s="439"/>
      <c r="F464" s="461"/>
      <c r="G464" s="439"/>
      <c r="H464" s="439"/>
    </row>
    <row r="465" spans="1:8" ht="18" customHeight="1">
      <c r="A465" s="461"/>
      <c r="B465" s="462"/>
      <c r="C465" s="463"/>
      <c r="D465" s="461"/>
      <c r="E465" s="439"/>
      <c r="F465" s="461"/>
      <c r="G465" s="439"/>
      <c r="H465" s="439"/>
    </row>
    <row r="466" spans="1:8" ht="18" customHeight="1">
      <c r="A466" s="461"/>
      <c r="B466" s="462"/>
      <c r="C466" s="463"/>
      <c r="D466" s="461"/>
      <c r="E466" s="439"/>
      <c r="F466" s="461"/>
      <c r="G466" s="439"/>
      <c r="H466" s="439"/>
    </row>
    <row r="467" spans="1:8" ht="18" customHeight="1">
      <c r="A467" s="461"/>
      <c r="B467" s="462"/>
      <c r="C467" s="463"/>
      <c r="D467" s="461"/>
      <c r="E467" s="439"/>
      <c r="F467" s="461"/>
      <c r="G467" s="439"/>
      <c r="H467" s="439"/>
    </row>
    <row r="468" spans="1:8" ht="18" customHeight="1">
      <c r="A468" s="461"/>
      <c r="B468" s="462"/>
      <c r="C468" s="463"/>
      <c r="D468" s="461"/>
      <c r="E468" s="439"/>
      <c r="F468" s="461"/>
      <c r="G468" s="439"/>
      <c r="H468" s="439"/>
    </row>
    <row r="469" spans="1:8" ht="18" customHeight="1">
      <c r="A469" s="461"/>
      <c r="B469" s="462"/>
      <c r="C469" s="463"/>
      <c r="D469" s="461"/>
      <c r="E469" s="439"/>
      <c r="F469" s="461"/>
      <c r="G469" s="439"/>
      <c r="H469" s="439"/>
    </row>
    <row r="470" spans="1:8" ht="18" customHeight="1">
      <c r="A470" s="461"/>
      <c r="B470" s="462"/>
      <c r="C470" s="463"/>
      <c r="D470" s="461"/>
      <c r="E470" s="439"/>
      <c r="F470" s="461"/>
      <c r="G470" s="439"/>
      <c r="H470" s="439"/>
    </row>
    <row r="471" spans="1:8" ht="18" customHeight="1">
      <c r="A471" s="461"/>
      <c r="B471" s="462"/>
      <c r="C471" s="463"/>
      <c r="D471" s="461"/>
      <c r="E471" s="439"/>
      <c r="F471" s="461"/>
      <c r="G471" s="439"/>
      <c r="H471" s="439"/>
    </row>
    <row r="472" spans="1:8" ht="18" customHeight="1">
      <c r="A472" s="461"/>
      <c r="B472" s="462"/>
      <c r="C472" s="463"/>
      <c r="D472" s="461"/>
      <c r="E472" s="439"/>
      <c r="F472" s="461"/>
      <c r="G472" s="439"/>
      <c r="H472" s="439"/>
    </row>
    <row r="473" spans="1:8" ht="18" customHeight="1">
      <c r="A473" s="461"/>
      <c r="B473" s="462"/>
      <c r="C473" s="463"/>
      <c r="D473" s="461"/>
      <c r="E473" s="439"/>
      <c r="F473" s="461"/>
      <c r="G473" s="439"/>
      <c r="H473" s="439"/>
    </row>
    <row r="474" spans="1:8" ht="18" customHeight="1">
      <c r="A474" s="461"/>
      <c r="B474" s="462"/>
      <c r="C474" s="463"/>
      <c r="D474" s="461"/>
      <c r="E474" s="439"/>
      <c r="F474" s="461"/>
      <c r="G474" s="439"/>
      <c r="H474" s="439"/>
    </row>
    <row r="475" spans="1:8" ht="18" customHeight="1">
      <c r="A475" s="461"/>
      <c r="B475" s="462"/>
      <c r="C475" s="463"/>
      <c r="D475" s="461"/>
      <c r="E475" s="439"/>
      <c r="F475" s="461"/>
      <c r="G475" s="439"/>
      <c r="H475" s="439"/>
    </row>
    <row r="476" spans="1:8" ht="18" customHeight="1">
      <c r="A476" s="461"/>
      <c r="B476" s="462"/>
      <c r="C476" s="463"/>
      <c r="D476" s="461"/>
      <c r="E476" s="439"/>
      <c r="F476" s="461"/>
      <c r="G476" s="439"/>
      <c r="H476" s="439"/>
    </row>
    <row r="477" spans="1:8" ht="18" customHeight="1">
      <c r="A477" s="461"/>
      <c r="B477" s="462"/>
      <c r="C477" s="463"/>
      <c r="D477" s="461"/>
      <c r="E477" s="439"/>
      <c r="F477" s="461"/>
      <c r="G477" s="439"/>
      <c r="H477" s="439"/>
    </row>
    <row r="478" spans="1:8" ht="18" customHeight="1">
      <c r="A478" s="461"/>
      <c r="B478" s="462"/>
      <c r="C478" s="463"/>
      <c r="D478" s="461"/>
      <c r="E478" s="439"/>
      <c r="F478" s="461"/>
      <c r="G478" s="439"/>
      <c r="H478" s="439"/>
    </row>
    <row r="479" spans="1:8" ht="18" customHeight="1">
      <c r="A479" s="461"/>
      <c r="B479" s="462"/>
      <c r="C479" s="463"/>
      <c r="D479" s="461"/>
      <c r="E479" s="439"/>
      <c r="F479" s="461"/>
      <c r="G479" s="439"/>
      <c r="H479" s="439"/>
    </row>
    <row r="480" spans="1:8" ht="18" customHeight="1">
      <c r="A480" s="461"/>
      <c r="B480" s="462"/>
      <c r="C480" s="463"/>
      <c r="D480" s="461"/>
      <c r="E480" s="439"/>
      <c r="F480" s="461"/>
      <c r="G480" s="439"/>
      <c r="H480" s="439"/>
    </row>
    <row r="481" spans="1:8" ht="18" customHeight="1">
      <c r="A481" s="461"/>
      <c r="B481" s="462"/>
      <c r="C481" s="463"/>
      <c r="D481" s="461"/>
      <c r="E481" s="439"/>
      <c r="F481" s="461"/>
      <c r="G481" s="439"/>
      <c r="H481" s="439"/>
    </row>
    <row r="482" spans="1:8" ht="18" customHeight="1">
      <c r="A482" s="461"/>
      <c r="B482" s="462"/>
      <c r="C482" s="463"/>
      <c r="D482" s="461"/>
      <c r="E482" s="439"/>
      <c r="F482" s="461"/>
      <c r="G482" s="439"/>
      <c r="H482" s="439"/>
    </row>
    <row r="483" spans="1:8" ht="18" customHeight="1">
      <c r="A483" s="461"/>
      <c r="B483" s="462"/>
      <c r="C483" s="463"/>
      <c r="D483" s="461"/>
      <c r="E483" s="439"/>
      <c r="F483" s="461"/>
      <c r="G483" s="439"/>
      <c r="H483" s="439"/>
    </row>
    <row r="484" spans="1:8" ht="18" customHeight="1">
      <c r="A484" s="461"/>
      <c r="B484" s="462"/>
      <c r="C484" s="463"/>
      <c r="D484" s="461"/>
      <c r="E484" s="439"/>
      <c r="F484" s="461"/>
      <c r="G484" s="439"/>
      <c r="H484" s="439"/>
    </row>
    <row r="485" spans="1:8" ht="18" customHeight="1">
      <c r="A485" s="461"/>
      <c r="B485" s="462"/>
      <c r="C485" s="463"/>
      <c r="D485" s="461"/>
      <c r="E485" s="439"/>
      <c r="F485" s="461"/>
      <c r="G485" s="439"/>
      <c r="H485" s="439"/>
    </row>
    <row r="486" spans="1:8" ht="18" customHeight="1">
      <c r="A486" s="461"/>
      <c r="B486" s="462"/>
      <c r="C486" s="463"/>
      <c r="D486" s="461"/>
      <c r="E486" s="439"/>
      <c r="F486" s="461"/>
      <c r="G486" s="439"/>
      <c r="H486" s="439"/>
    </row>
    <row r="487" spans="1:8" ht="18" customHeight="1">
      <c r="A487" s="461"/>
      <c r="B487" s="462"/>
      <c r="C487" s="463"/>
      <c r="D487" s="461"/>
      <c r="E487" s="439"/>
      <c r="F487" s="461"/>
      <c r="G487" s="439"/>
      <c r="H487" s="439"/>
    </row>
    <row r="488" spans="1:8" ht="18" customHeight="1">
      <c r="A488" s="461"/>
      <c r="B488" s="462"/>
      <c r="C488" s="463"/>
      <c r="D488" s="461"/>
      <c r="E488" s="439"/>
      <c r="F488" s="461"/>
      <c r="G488" s="439"/>
      <c r="H488" s="439"/>
    </row>
    <row r="489" spans="1:8" ht="18" customHeight="1">
      <c r="A489" s="461"/>
      <c r="B489" s="462"/>
      <c r="C489" s="463"/>
      <c r="D489" s="461"/>
      <c r="E489" s="439"/>
      <c r="F489" s="461"/>
      <c r="G489" s="439"/>
      <c r="H489" s="439"/>
    </row>
    <row r="490" spans="1:8" ht="18" customHeight="1">
      <c r="A490" s="461"/>
      <c r="B490" s="462"/>
      <c r="C490" s="463"/>
      <c r="D490" s="461"/>
      <c r="E490" s="439"/>
      <c r="F490" s="461"/>
      <c r="G490" s="439"/>
      <c r="H490" s="439"/>
    </row>
    <row r="491" spans="1:8" ht="18" customHeight="1">
      <c r="A491" s="461"/>
      <c r="B491" s="462"/>
      <c r="C491" s="463"/>
      <c r="D491" s="461"/>
      <c r="E491" s="439"/>
      <c r="F491" s="461"/>
      <c r="G491" s="439"/>
      <c r="H491" s="439"/>
    </row>
    <row r="492" spans="1:8" ht="18" customHeight="1">
      <c r="A492" s="461"/>
      <c r="B492" s="462"/>
      <c r="C492" s="463"/>
      <c r="D492" s="461"/>
      <c r="E492" s="439"/>
      <c r="F492" s="461"/>
      <c r="G492" s="439"/>
      <c r="H492" s="439"/>
    </row>
    <row r="493" spans="1:8" ht="18" customHeight="1">
      <c r="A493" s="461"/>
      <c r="B493" s="462"/>
      <c r="C493" s="463"/>
      <c r="D493" s="461"/>
      <c r="E493" s="439"/>
      <c r="F493" s="461"/>
      <c r="G493" s="439"/>
      <c r="H493" s="439"/>
    </row>
    <row r="494" spans="1:8" ht="18" customHeight="1">
      <c r="A494" s="461"/>
      <c r="B494" s="462"/>
      <c r="C494" s="463"/>
      <c r="D494" s="461"/>
      <c r="E494" s="439"/>
      <c r="F494" s="461"/>
      <c r="G494" s="439"/>
      <c r="H494" s="439"/>
    </row>
    <row r="495" spans="1:8" ht="18" customHeight="1">
      <c r="A495" s="461"/>
      <c r="B495" s="462"/>
      <c r="C495" s="463"/>
      <c r="D495" s="461"/>
      <c r="E495" s="439"/>
      <c r="F495" s="461"/>
      <c r="G495" s="439"/>
      <c r="H495" s="439"/>
    </row>
    <row r="496" spans="1:8" ht="18" customHeight="1">
      <c r="A496" s="461"/>
      <c r="B496" s="462"/>
      <c r="C496" s="463"/>
      <c r="D496" s="461"/>
      <c r="E496" s="439"/>
      <c r="F496" s="461"/>
      <c r="G496" s="439"/>
      <c r="H496" s="439"/>
    </row>
    <row r="497" spans="1:8" ht="18" customHeight="1">
      <c r="A497" s="461"/>
      <c r="B497" s="462"/>
      <c r="C497" s="463"/>
      <c r="D497" s="461"/>
      <c r="E497" s="439"/>
      <c r="F497" s="461"/>
      <c r="G497" s="439"/>
      <c r="H497" s="439"/>
    </row>
    <row r="498" spans="1:8" ht="18" customHeight="1">
      <c r="A498" s="461"/>
      <c r="B498" s="462"/>
      <c r="C498" s="463"/>
      <c r="D498" s="461"/>
      <c r="E498" s="439"/>
      <c r="F498" s="461"/>
      <c r="G498" s="439"/>
      <c r="H498" s="439"/>
    </row>
    <row r="499" spans="1:8" ht="18" customHeight="1">
      <c r="A499" s="461"/>
      <c r="B499" s="462"/>
      <c r="C499" s="463"/>
      <c r="D499" s="461"/>
      <c r="E499" s="439"/>
      <c r="F499" s="461"/>
      <c r="G499" s="439"/>
      <c r="H499" s="439"/>
    </row>
    <row r="500" spans="1:8" ht="18" customHeight="1">
      <c r="A500" s="461"/>
      <c r="B500" s="462"/>
      <c r="C500" s="463"/>
      <c r="D500" s="461"/>
      <c r="E500" s="439"/>
      <c r="F500" s="461"/>
      <c r="G500" s="439"/>
      <c r="H500" s="439"/>
    </row>
    <row r="501" spans="1:8" ht="18" customHeight="1">
      <c r="A501" s="461"/>
      <c r="B501" s="462"/>
      <c r="C501" s="463"/>
      <c r="D501" s="461"/>
      <c r="E501" s="439"/>
      <c r="F501" s="461"/>
      <c r="G501" s="439"/>
      <c r="H501" s="439"/>
    </row>
    <row r="502" spans="1:8" ht="18" customHeight="1">
      <c r="A502" s="461"/>
      <c r="B502" s="462"/>
      <c r="C502" s="463"/>
      <c r="D502" s="461"/>
      <c r="E502" s="439"/>
      <c r="F502" s="461"/>
      <c r="G502" s="439"/>
      <c r="H502" s="439"/>
    </row>
    <row r="503" spans="1:8" ht="18" customHeight="1">
      <c r="A503" s="461"/>
      <c r="B503" s="462"/>
      <c r="C503" s="463"/>
      <c r="D503" s="461"/>
      <c r="E503" s="439"/>
      <c r="F503" s="461"/>
      <c r="G503" s="439"/>
      <c r="H503" s="439"/>
    </row>
    <row r="504" spans="1:8" ht="18" customHeight="1">
      <c r="A504" s="461"/>
      <c r="B504" s="462"/>
      <c r="C504" s="463"/>
      <c r="D504" s="461"/>
      <c r="E504" s="439"/>
      <c r="F504" s="461"/>
      <c r="G504" s="439"/>
      <c r="H504" s="439"/>
    </row>
    <row r="505" spans="1:8" ht="18" customHeight="1">
      <c r="A505" s="461"/>
      <c r="B505" s="462"/>
      <c r="C505" s="463"/>
      <c r="D505" s="461"/>
      <c r="E505" s="439"/>
      <c r="F505" s="461"/>
      <c r="G505" s="439"/>
      <c r="H505" s="439"/>
    </row>
    <row r="506" spans="1:8" ht="18" customHeight="1">
      <c r="A506" s="461"/>
      <c r="B506" s="462"/>
      <c r="C506" s="463"/>
      <c r="D506" s="461"/>
      <c r="E506" s="439"/>
      <c r="F506" s="461"/>
      <c r="G506" s="439"/>
      <c r="H506" s="439"/>
    </row>
    <row r="507" spans="1:8" ht="18" customHeight="1">
      <c r="A507" s="461"/>
      <c r="B507" s="462"/>
      <c r="C507" s="463"/>
      <c r="D507" s="461"/>
      <c r="E507" s="439"/>
      <c r="F507" s="461"/>
      <c r="G507" s="439"/>
      <c r="H507" s="439"/>
    </row>
    <row r="508" spans="1:8" ht="18" customHeight="1">
      <c r="A508" s="461"/>
      <c r="B508" s="462"/>
      <c r="C508" s="463"/>
      <c r="D508" s="461"/>
      <c r="E508" s="439"/>
      <c r="F508" s="461"/>
      <c r="G508" s="439"/>
      <c r="H508" s="439"/>
    </row>
    <row r="509" spans="1:8" ht="18" customHeight="1">
      <c r="A509" s="461"/>
      <c r="B509" s="462"/>
      <c r="C509" s="463"/>
      <c r="D509" s="461"/>
      <c r="E509" s="439"/>
      <c r="F509" s="461"/>
      <c r="G509" s="439"/>
      <c r="H509" s="439"/>
    </row>
    <row r="510" spans="1:8" ht="18" customHeight="1">
      <c r="A510" s="461"/>
      <c r="B510" s="462"/>
      <c r="C510" s="463"/>
      <c r="D510" s="461"/>
      <c r="E510" s="439"/>
      <c r="F510" s="461"/>
      <c r="G510" s="439"/>
      <c r="H510" s="439"/>
    </row>
    <row r="511" spans="1:8" ht="18" customHeight="1">
      <c r="A511" s="461"/>
      <c r="B511" s="462"/>
      <c r="C511" s="463"/>
      <c r="D511" s="461"/>
      <c r="E511" s="439"/>
      <c r="F511" s="461"/>
      <c r="G511" s="439"/>
      <c r="H511" s="439"/>
    </row>
    <row r="512" spans="1:8" ht="18" customHeight="1">
      <c r="A512" s="461"/>
      <c r="B512" s="462"/>
      <c r="C512" s="463"/>
      <c r="D512" s="461"/>
      <c r="E512" s="439"/>
      <c r="F512" s="461"/>
      <c r="G512" s="439"/>
      <c r="H512" s="439"/>
    </row>
    <row r="513" spans="1:8" ht="18" customHeight="1">
      <c r="A513" s="461"/>
      <c r="B513" s="462"/>
      <c r="C513" s="463"/>
      <c r="D513" s="461"/>
      <c r="E513" s="439"/>
      <c r="F513" s="461"/>
      <c r="G513" s="439"/>
      <c r="H513" s="439"/>
    </row>
    <row r="514" spans="1:8" ht="18" customHeight="1">
      <c r="A514" s="461"/>
      <c r="B514" s="462"/>
      <c r="C514" s="463"/>
      <c r="D514" s="461"/>
      <c r="E514" s="439"/>
      <c r="F514" s="461"/>
      <c r="G514" s="439"/>
      <c r="H514" s="439"/>
    </row>
    <row r="515" spans="1:8" ht="18" customHeight="1">
      <c r="A515" s="461"/>
      <c r="B515" s="462"/>
      <c r="C515" s="463"/>
      <c r="D515" s="461"/>
      <c r="E515" s="439"/>
      <c r="F515" s="461"/>
      <c r="G515" s="439"/>
      <c r="H515" s="439"/>
    </row>
    <row r="516" spans="1:8" ht="18" customHeight="1">
      <c r="A516" s="461"/>
      <c r="B516" s="462"/>
      <c r="C516" s="463"/>
      <c r="D516" s="461"/>
      <c r="E516" s="439"/>
      <c r="F516" s="461"/>
      <c r="G516" s="439"/>
      <c r="H516" s="439"/>
    </row>
    <row r="517" spans="1:8" ht="18" customHeight="1">
      <c r="A517" s="461"/>
      <c r="B517" s="462"/>
      <c r="C517" s="463"/>
      <c r="D517" s="461"/>
      <c r="E517" s="439"/>
      <c r="F517" s="461"/>
      <c r="G517" s="439"/>
      <c r="H517" s="439"/>
    </row>
    <row r="518" spans="1:8" ht="18" customHeight="1">
      <c r="A518" s="461"/>
      <c r="B518" s="462"/>
      <c r="C518" s="463"/>
      <c r="D518" s="461"/>
      <c r="E518" s="439"/>
      <c r="F518" s="461"/>
      <c r="G518" s="439"/>
      <c r="H518" s="439"/>
    </row>
    <row r="519" spans="1:8" ht="18" customHeight="1">
      <c r="A519" s="461"/>
      <c r="B519" s="462"/>
      <c r="C519" s="463"/>
      <c r="D519" s="461"/>
      <c r="E519" s="439"/>
      <c r="F519" s="461"/>
      <c r="G519" s="439"/>
      <c r="H519" s="439"/>
    </row>
    <row r="520" spans="1:8" ht="18" customHeight="1">
      <c r="A520" s="461"/>
      <c r="B520" s="462"/>
      <c r="C520" s="463"/>
      <c r="D520" s="461"/>
      <c r="E520" s="439"/>
      <c r="F520" s="461"/>
      <c r="G520" s="439"/>
      <c r="H520" s="439"/>
    </row>
    <row r="521" spans="1:8" ht="18" customHeight="1">
      <c r="A521" s="461"/>
      <c r="B521" s="462"/>
      <c r="C521" s="463"/>
      <c r="D521" s="461"/>
      <c r="E521" s="439"/>
      <c r="F521" s="461"/>
      <c r="G521" s="439"/>
      <c r="H521" s="439"/>
    </row>
    <row r="522" spans="1:8" ht="18" customHeight="1">
      <c r="A522" s="461"/>
      <c r="B522" s="462"/>
      <c r="C522" s="463"/>
      <c r="D522" s="461"/>
      <c r="E522" s="439"/>
      <c r="F522" s="461"/>
      <c r="G522" s="439"/>
      <c r="H522" s="439"/>
    </row>
    <row r="523" spans="1:8" ht="18" customHeight="1">
      <c r="A523" s="461"/>
      <c r="B523" s="462"/>
      <c r="C523" s="463"/>
      <c r="D523" s="461"/>
      <c r="E523" s="439"/>
      <c r="F523" s="461"/>
      <c r="G523" s="439"/>
      <c r="H523" s="439"/>
    </row>
    <row r="524" spans="1:8" ht="18" customHeight="1">
      <c r="A524" s="461"/>
      <c r="B524" s="462"/>
      <c r="C524" s="463"/>
      <c r="D524" s="461"/>
      <c r="E524" s="439"/>
      <c r="F524" s="461"/>
      <c r="G524" s="439"/>
      <c r="H524" s="439"/>
    </row>
    <row r="525" spans="1:8" ht="18" customHeight="1">
      <c r="A525" s="461"/>
      <c r="B525" s="462"/>
      <c r="C525" s="463"/>
      <c r="D525" s="461"/>
      <c r="E525" s="439"/>
      <c r="F525" s="461"/>
      <c r="G525" s="439"/>
      <c r="H525" s="439"/>
    </row>
    <row r="526" spans="1:8" ht="18" customHeight="1">
      <c r="A526" s="461"/>
      <c r="B526" s="462"/>
      <c r="C526" s="463"/>
      <c r="D526" s="461"/>
      <c r="E526" s="439"/>
      <c r="F526" s="461"/>
      <c r="G526" s="439"/>
      <c r="H526" s="439"/>
    </row>
    <row r="527" spans="1:8" ht="18" customHeight="1">
      <c r="A527" s="461"/>
      <c r="B527" s="462"/>
      <c r="C527" s="463"/>
      <c r="D527" s="461"/>
      <c r="E527" s="439"/>
      <c r="F527" s="461"/>
      <c r="G527" s="439"/>
      <c r="H527" s="439"/>
    </row>
    <row r="528" spans="1:8" ht="18" customHeight="1">
      <c r="A528" s="461"/>
      <c r="B528" s="462"/>
      <c r="C528" s="463"/>
      <c r="D528" s="461"/>
      <c r="E528" s="439"/>
      <c r="F528" s="461"/>
      <c r="G528" s="439"/>
      <c r="H528" s="439"/>
    </row>
    <row r="529" spans="1:8" ht="18" customHeight="1">
      <c r="A529" s="461"/>
      <c r="B529" s="462"/>
      <c r="C529" s="463"/>
      <c r="D529" s="461"/>
      <c r="E529" s="439"/>
      <c r="F529" s="461"/>
      <c r="G529" s="439"/>
      <c r="H529" s="439"/>
    </row>
    <row r="530" spans="1:8" ht="18" customHeight="1">
      <c r="A530" s="461"/>
      <c r="B530" s="462"/>
      <c r="C530" s="463"/>
      <c r="D530" s="461"/>
      <c r="E530" s="439"/>
      <c r="F530" s="461"/>
      <c r="G530" s="439"/>
      <c r="H530" s="439"/>
    </row>
    <row r="531" spans="1:8" ht="18" customHeight="1">
      <c r="A531" s="461"/>
      <c r="B531" s="462"/>
      <c r="C531" s="463"/>
      <c r="D531" s="461"/>
      <c r="E531" s="439"/>
      <c r="F531" s="461"/>
      <c r="G531" s="439"/>
      <c r="H531" s="439"/>
    </row>
    <row r="532" spans="1:8" ht="18" customHeight="1">
      <c r="A532" s="461"/>
      <c r="B532" s="462"/>
      <c r="C532" s="463"/>
      <c r="D532" s="461"/>
      <c r="E532" s="439"/>
      <c r="F532" s="461"/>
      <c r="G532" s="439"/>
      <c r="H532" s="439"/>
    </row>
    <row r="533" spans="1:8" ht="18" customHeight="1">
      <c r="A533" s="461"/>
      <c r="B533" s="462"/>
      <c r="C533" s="463"/>
      <c r="D533" s="461"/>
      <c r="E533" s="439"/>
      <c r="F533" s="461"/>
      <c r="G533" s="439"/>
      <c r="H533" s="439"/>
    </row>
    <row r="534" spans="1:8" ht="18" customHeight="1"/>
    <row r="535" spans="1:8" ht="18" customHeight="1"/>
    <row r="536" spans="1:8" ht="18" customHeight="1"/>
    <row r="537" spans="1:8" ht="18" customHeight="1"/>
    <row r="538" spans="1:8" ht="18" customHeight="1"/>
    <row r="539" spans="1:8" ht="18" customHeight="1"/>
    <row r="540" spans="1:8" ht="18" customHeight="1"/>
    <row r="541" spans="1:8" ht="18" customHeight="1"/>
    <row r="542" spans="1:8" ht="18" customHeight="1"/>
    <row r="543" spans="1:8" ht="18" customHeight="1"/>
    <row r="544" spans="1:8" ht="18" customHeight="1"/>
    <row r="545" ht="18" customHeight="1"/>
    <row r="546" ht="18" customHeight="1"/>
    <row r="547" ht="18" customHeight="1"/>
    <row r="548" ht="18" customHeight="1"/>
    <row r="549" ht="18" customHeight="1"/>
    <row r="550" ht="18" customHeight="1"/>
    <row r="551" ht="18" customHeight="1"/>
    <row r="552" ht="18" customHeight="1"/>
    <row r="553" ht="18" customHeight="1"/>
    <row r="554" ht="18" customHeight="1"/>
    <row r="555" ht="18" customHeight="1"/>
    <row r="556" ht="18" customHeight="1"/>
    <row r="557" ht="18" customHeight="1"/>
    <row r="558" ht="18" customHeight="1"/>
    <row r="559" ht="18" customHeight="1"/>
    <row r="560" ht="18" customHeight="1"/>
    <row r="561" ht="18" customHeight="1"/>
    <row r="562" ht="18" customHeight="1"/>
    <row r="563" ht="18" customHeight="1"/>
    <row r="564" ht="18" customHeight="1"/>
    <row r="565" ht="18" customHeight="1"/>
    <row r="566" ht="18" customHeight="1"/>
    <row r="567" ht="18" customHeight="1"/>
    <row r="568" ht="18" customHeight="1"/>
    <row r="569" ht="18" customHeight="1"/>
    <row r="570" ht="18" customHeight="1"/>
    <row r="571" ht="18" customHeight="1"/>
    <row r="572" ht="18" customHeight="1"/>
    <row r="573" ht="18" customHeight="1"/>
    <row r="574" ht="18" customHeight="1"/>
    <row r="575" ht="18" customHeight="1"/>
    <row r="576" ht="18" customHeight="1"/>
    <row r="577" ht="18" customHeight="1"/>
    <row r="578" ht="18" customHeight="1"/>
    <row r="579" ht="18" customHeight="1"/>
    <row r="580" ht="18" customHeight="1"/>
    <row r="581" ht="18" customHeight="1"/>
    <row r="582" ht="18" customHeight="1"/>
    <row r="583" ht="18" customHeight="1"/>
    <row r="584" ht="18" customHeight="1"/>
    <row r="585" ht="18" customHeight="1"/>
    <row r="586" ht="18" customHeight="1"/>
    <row r="587" ht="18" customHeight="1"/>
    <row r="588" ht="18" customHeight="1"/>
    <row r="589" ht="18" customHeight="1"/>
    <row r="590" ht="18" customHeight="1"/>
    <row r="591" ht="18" customHeight="1"/>
    <row r="592" ht="18" customHeight="1"/>
    <row r="593" ht="18" customHeight="1"/>
    <row r="594" ht="18" customHeight="1"/>
    <row r="595" ht="18" customHeight="1"/>
    <row r="596" ht="18" customHeight="1"/>
    <row r="597" ht="18" customHeight="1"/>
    <row r="598" ht="18" customHeight="1"/>
    <row r="599" ht="18" customHeight="1"/>
    <row r="600" ht="18" customHeight="1"/>
    <row r="601" ht="18" customHeight="1"/>
    <row r="602" ht="18" customHeight="1"/>
    <row r="603" ht="18" customHeight="1"/>
    <row r="604" ht="18" customHeight="1"/>
    <row r="605" ht="18" customHeight="1"/>
    <row r="606" ht="18" customHeight="1"/>
    <row r="607" ht="18" customHeight="1"/>
    <row r="608" ht="18" customHeight="1"/>
    <row r="609" ht="18" customHeight="1"/>
    <row r="610" ht="18" customHeight="1"/>
    <row r="611" ht="18" customHeight="1"/>
    <row r="612" ht="18" customHeight="1"/>
    <row r="613" ht="18" customHeight="1"/>
    <row r="614" ht="18" customHeight="1"/>
    <row r="615" ht="18" customHeight="1"/>
    <row r="616" ht="18" customHeight="1"/>
    <row r="617" ht="18" customHeight="1"/>
    <row r="618" ht="18" customHeight="1"/>
    <row r="619" ht="18" customHeight="1"/>
    <row r="620" ht="18" customHeight="1"/>
    <row r="621" ht="18" customHeight="1"/>
    <row r="622" ht="18" customHeight="1"/>
    <row r="623" ht="18" customHeight="1"/>
    <row r="624" ht="18" customHeight="1"/>
    <row r="625" ht="18" customHeight="1"/>
    <row r="626" ht="18" customHeight="1"/>
    <row r="627" ht="18" customHeight="1"/>
    <row r="628" ht="18" customHeight="1"/>
    <row r="629" ht="18" customHeight="1"/>
    <row r="630" ht="18" customHeight="1"/>
    <row r="631" ht="18" customHeight="1"/>
    <row r="632" ht="18" customHeight="1"/>
    <row r="633" ht="18" customHeight="1"/>
    <row r="634" ht="18" customHeight="1"/>
    <row r="635" ht="18" customHeight="1"/>
    <row r="636" ht="18" customHeight="1"/>
    <row r="637" ht="18" customHeight="1"/>
    <row r="638" ht="18" customHeight="1"/>
    <row r="639" ht="18" customHeight="1"/>
    <row r="640" ht="18" customHeight="1"/>
    <row r="641" ht="18" customHeight="1"/>
    <row r="642" ht="18" customHeight="1"/>
    <row r="643" ht="18" customHeight="1"/>
    <row r="644" ht="18" customHeight="1"/>
    <row r="645" ht="18" customHeight="1"/>
    <row r="646" ht="18" customHeight="1"/>
    <row r="647" ht="18" customHeight="1"/>
    <row r="648" ht="18" customHeight="1"/>
    <row r="649" ht="18" customHeight="1"/>
    <row r="650" ht="18" customHeight="1"/>
    <row r="651" ht="18" customHeight="1"/>
    <row r="652" ht="18" customHeight="1"/>
    <row r="653" ht="18" customHeight="1"/>
    <row r="654" ht="18" customHeight="1"/>
    <row r="655" ht="18" customHeight="1"/>
    <row r="656" ht="18" customHeight="1"/>
    <row r="657" ht="18" customHeight="1"/>
    <row r="658" ht="18" customHeight="1"/>
    <row r="659" ht="18" customHeight="1"/>
    <row r="660" ht="18" customHeight="1"/>
    <row r="661" ht="18" customHeight="1"/>
    <row r="662" ht="18" customHeight="1"/>
    <row r="663" ht="18" customHeight="1"/>
    <row r="664" ht="18" customHeight="1"/>
    <row r="665" ht="18" customHeight="1"/>
    <row r="666" ht="18" customHeight="1"/>
    <row r="667" ht="18" customHeight="1"/>
    <row r="668" ht="18" customHeight="1"/>
    <row r="669" ht="18" customHeight="1"/>
    <row r="670" ht="18" customHeight="1"/>
    <row r="671" ht="18" customHeight="1"/>
    <row r="672" ht="18" customHeight="1"/>
    <row r="673" ht="18" customHeight="1"/>
    <row r="674" ht="18" customHeight="1"/>
    <row r="675" ht="18" customHeight="1"/>
    <row r="676" ht="18" customHeight="1"/>
    <row r="677" ht="18" customHeight="1"/>
    <row r="678" ht="18" customHeight="1"/>
    <row r="679" ht="18" customHeight="1"/>
    <row r="680" ht="18" customHeight="1"/>
    <row r="681" ht="18" customHeight="1"/>
    <row r="682" ht="18" customHeight="1"/>
    <row r="683" ht="18" customHeight="1"/>
    <row r="684" ht="18" customHeight="1"/>
    <row r="685" ht="18" customHeight="1"/>
    <row r="686" ht="18" customHeight="1"/>
    <row r="687" ht="18" customHeight="1"/>
    <row r="688" ht="18" customHeight="1"/>
    <row r="689" ht="18" customHeight="1"/>
    <row r="690" ht="18" customHeight="1"/>
    <row r="691" ht="18" customHeight="1"/>
    <row r="692" ht="18" customHeight="1"/>
    <row r="693" ht="18" customHeight="1"/>
    <row r="694" ht="18" customHeight="1"/>
    <row r="695" ht="18" customHeight="1"/>
    <row r="696" ht="18" customHeight="1"/>
    <row r="697" ht="18" customHeight="1"/>
    <row r="698" ht="18" customHeight="1"/>
    <row r="699" ht="18" customHeight="1"/>
    <row r="700" ht="18" customHeight="1"/>
    <row r="701" ht="18" customHeight="1"/>
    <row r="702" ht="18" customHeight="1"/>
    <row r="703" ht="18" customHeight="1"/>
    <row r="704" ht="18" customHeight="1"/>
    <row r="705" ht="18" customHeight="1"/>
    <row r="706" ht="18" customHeight="1"/>
    <row r="707" ht="18" customHeight="1"/>
    <row r="708" ht="18" customHeight="1"/>
    <row r="709" ht="18" customHeight="1"/>
    <row r="710" ht="18" customHeight="1"/>
    <row r="711" ht="18" customHeight="1"/>
    <row r="712" ht="18" customHeight="1"/>
    <row r="713" ht="18" customHeight="1"/>
    <row r="714" ht="18" customHeight="1"/>
    <row r="715" ht="18" customHeight="1"/>
    <row r="716" ht="18" customHeight="1"/>
    <row r="717" ht="18" customHeight="1"/>
    <row r="718" ht="18" customHeight="1"/>
    <row r="719" ht="18" customHeight="1"/>
    <row r="720" ht="18" customHeight="1"/>
    <row r="721" ht="18" customHeight="1"/>
    <row r="722" ht="18" customHeight="1"/>
    <row r="723" ht="18" customHeight="1"/>
    <row r="724" ht="18" customHeight="1"/>
    <row r="725" ht="18" customHeight="1"/>
    <row r="726" ht="18" customHeight="1"/>
    <row r="727" ht="18" customHeight="1"/>
    <row r="728" ht="18" customHeight="1"/>
    <row r="729" ht="18" customHeight="1"/>
    <row r="730" ht="18" customHeight="1"/>
    <row r="731" ht="18" customHeight="1"/>
    <row r="732" ht="18" customHeight="1"/>
    <row r="733" ht="18" customHeight="1"/>
    <row r="734" ht="18" customHeight="1"/>
    <row r="735" ht="18" customHeight="1"/>
    <row r="736" ht="18" customHeight="1"/>
    <row r="737" ht="18" customHeight="1"/>
    <row r="738" ht="18" customHeight="1"/>
    <row r="739" ht="18" customHeight="1"/>
    <row r="740" ht="18" customHeight="1"/>
    <row r="741" ht="18" customHeight="1"/>
    <row r="742" ht="18" customHeight="1"/>
    <row r="743" ht="18" customHeight="1"/>
    <row r="744" ht="18" customHeight="1"/>
    <row r="745" ht="18" customHeight="1"/>
    <row r="746" ht="18" customHeight="1"/>
    <row r="747" ht="18" customHeight="1"/>
    <row r="748" ht="18" customHeight="1"/>
    <row r="749" ht="18" customHeight="1"/>
    <row r="750" ht="18" customHeight="1"/>
    <row r="751" ht="18" customHeight="1"/>
    <row r="752" ht="18" customHeight="1"/>
    <row r="753" ht="18" customHeight="1"/>
    <row r="754" ht="18" customHeight="1"/>
    <row r="755" ht="18" customHeight="1"/>
    <row r="756" ht="18" customHeight="1"/>
    <row r="757" ht="18" customHeight="1"/>
    <row r="758" ht="18" customHeight="1"/>
    <row r="759" ht="18" customHeight="1"/>
    <row r="760" ht="18" customHeight="1"/>
    <row r="761" ht="18" customHeight="1"/>
    <row r="762" ht="18" customHeight="1"/>
    <row r="763" ht="18" customHeight="1"/>
    <row r="764" ht="18" customHeight="1"/>
    <row r="765" ht="18" customHeight="1"/>
    <row r="766" ht="18" customHeight="1"/>
    <row r="767" ht="18" customHeight="1"/>
    <row r="768" ht="18" customHeight="1"/>
    <row r="769" ht="18" customHeight="1"/>
    <row r="770" ht="18" customHeight="1"/>
    <row r="771" ht="18" customHeight="1"/>
    <row r="772" ht="18" customHeight="1"/>
    <row r="773" ht="18" customHeight="1"/>
    <row r="774" ht="18" customHeight="1"/>
    <row r="775" ht="18" customHeight="1"/>
    <row r="776" ht="18" customHeight="1"/>
    <row r="777" ht="18" customHeight="1"/>
    <row r="778" ht="18" customHeight="1"/>
    <row r="779" ht="18" customHeight="1"/>
    <row r="780" ht="18" customHeight="1"/>
    <row r="781" ht="18" customHeight="1"/>
    <row r="782" ht="18" customHeight="1"/>
    <row r="783" ht="18" customHeight="1"/>
    <row r="784" ht="18" customHeight="1"/>
    <row r="785" ht="18" customHeight="1"/>
    <row r="786" ht="18" customHeight="1"/>
    <row r="787" ht="18" customHeight="1"/>
    <row r="788" ht="18" customHeight="1"/>
    <row r="789" ht="18" customHeight="1"/>
    <row r="790" ht="18" customHeight="1"/>
    <row r="791" ht="18" customHeight="1"/>
    <row r="792" ht="18" customHeight="1"/>
    <row r="793" ht="18" customHeight="1"/>
    <row r="794" ht="18" customHeight="1"/>
    <row r="795" ht="18" customHeight="1"/>
    <row r="796" ht="18" customHeight="1"/>
    <row r="797" ht="18" customHeight="1"/>
    <row r="798" ht="18" customHeight="1"/>
    <row r="799" ht="18" customHeight="1"/>
    <row r="800" ht="18" customHeight="1"/>
    <row r="801" ht="18" customHeight="1"/>
    <row r="802" ht="18" customHeight="1"/>
    <row r="803" ht="18" customHeight="1"/>
    <row r="804" ht="18" customHeight="1"/>
    <row r="805" ht="18" customHeight="1"/>
    <row r="806" ht="18" customHeight="1"/>
    <row r="807" ht="18" customHeight="1"/>
    <row r="808" ht="18" customHeight="1"/>
    <row r="809" ht="18" customHeight="1"/>
    <row r="810" ht="18" customHeight="1"/>
    <row r="811" ht="18" customHeight="1"/>
    <row r="812" ht="18" customHeight="1"/>
    <row r="813" ht="18" customHeight="1"/>
    <row r="814" ht="18" customHeight="1"/>
    <row r="815" ht="18" customHeight="1"/>
    <row r="816" ht="18" customHeight="1"/>
    <row r="817" ht="18" customHeight="1"/>
    <row r="818" ht="18" customHeight="1"/>
    <row r="819" ht="18" customHeight="1"/>
    <row r="820" ht="18" customHeight="1"/>
    <row r="821" ht="18" customHeight="1"/>
    <row r="822" ht="18" customHeight="1"/>
    <row r="823" ht="18" customHeight="1"/>
    <row r="824" ht="18" customHeight="1"/>
    <row r="825" ht="18" customHeight="1"/>
    <row r="826" ht="18" customHeight="1"/>
    <row r="827" ht="18" customHeight="1"/>
    <row r="828" ht="18" customHeight="1"/>
    <row r="829" ht="18" customHeight="1"/>
    <row r="830" ht="18" customHeight="1"/>
    <row r="831" ht="18" customHeight="1"/>
    <row r="832" ht="18" customHeight="1"/>
    <row r="833" ht="18" customHeight="1"/>
    <row r="834" ht="18" customHeight="1"/>
    <row r="835" ht="18" customHeight="1"/>
    <row r="836" ht="18" customHeight="1"/>
    <row r="837" ht="18" customHeight="1"/>
    <row r="838" ht="18" customHeight="1"/>
    <row r="839" ht="18" customHeight="1"/>
    <row r="840" ht="18" customHeight="1"/>
    <row r="841" ht="18" customHeight="1"/>
    <row r="842" ht="18" customHeight="1"/>
    <row r="843" ht="18" customHeight="1"/>
    <row r="844" ht="18" customHeight="1"/>
    <row r="845" ht="18" customHeight="1"/>
    <row r="846" ht="18" customHeight="1"/>
    <row r="847" ht="18" customHeight="1"/>
    <row r="848" ht="18" customHeight="1"/>
    <row r="849" ht="18" customHeight="1"/>
    <row r="850" ht="18" customHeight="1"/>
    <row r="851" ht="18" customHeight="1"/>
    <row r="852" ht="18" customHeight="1"/>
    <row r="853" ht="18" customHeight="1"/>
    <row r="854" ht="18" customHeight="1"/>
    <row r="855" ht="18" customHeight="1"/>
    <row r="856" ht="18" customHeight="1"/>
    <row r="857" ht="18" customHeight="1"/>
    <row r="858" ht="18" customHeight="1"/>
    <row r="859" ht="18" customHeight="1"/>
    <row r="860" ht="18" customHeight="1"/>
    <row r="861" ht="18" customHeight="1"/>
    <row r="862" ht="18" customHeight="1"/>
    <row r="863" ht="18" customHeight="1"/>
    <row r="864" ht="18" customHeight="1"/>
    <row r="865" ht="18" customHeight="1"/>
    <row r="866" ht="18" customHeight="1"/>
    <row r="867" ht="18" customHeight="1"/>
    <row r="868" ht="18" customHeight="1"/>
    <row r="869" ht="18" customHeight="1"/>
    <row r="870" ht="18" customHeight="1"/>
    <row r="871" ht="18" customHeight="1"/>
    <row r="872" ht="18" customHeight="1"/>
    <row r="873" ht="18" customHeight="1"/>
    <row r="874" ht="18" customHeight="1"/>
    <row r="875" ht="18" customHeight="1"/>
    <row r="876" ht="18" customHeight="1"/>
    <row r="877" ht="18" customHeight="1"/>
    <row r="878" ht="18" customHeight="1"/>
    <row r="879" ht="18" customHeight="1"/>
    <row r="880" ht="18" customHeight="1"/>
    <row r="881" ht="18" customHeight="1"/>
    <row r="882" ht="18" customHeight="1"/>
    <row r="883" ht="18" customHeight="1"/>
    <row r="884" ht="18" customHeight="1"/>
    <row r="885" ht="18" customHeight="1"/>
    <row r="886" ht="18" customHeight="1"/>
    <row r="887" ht="18" customHeight="1"/>
    <row r="888" ht="18" customHeight="1"/>
    <row r="889" ht="18" customHeight="1"/>
    <row r="890" ht="18" customHeight="1"/>
    <row r="891" ht="18" customHeight="1"/>
    <row r="892" ht="18" customHeight="1"/>
    <row r="893" ht="18" customHeight="1"/>
    <row r="894" ht="18" customHeight="1"/>
    <row r="895" ht="18" customHeight="1"/>
    <row r="896" ht="18" customHeight="1"/>
    <row r="897" ht="18" customHeight="1"/>
    <row r="898" ht="18" customHeight="1"/>
    <row r="899" ht="18" customHeight="1"/>
    <row r="900" ht="18" customHeight="1"/>
    <row r="901" ht="18" customHeight="1"/>
    <row r="902" ht="18" customHeight="1"/>
    <row r="903" ht="18" customHeight="1"/>
    <row r="904" ht="18" customHeight="1"/>
    <row r="905" ht="18" customHeight="1"/>
    <row r="906" ht="18" customHeight="1"/>
    <row r="907" ht="18" customHeight="1"/>
    <row r="908" ht="18" customHeight="1"/>
    <row r="909" ht="18" customHeight="1"/>
    <row r="910" ht="18" customHeight="1"/>
    <row r="911" ht="18" customHeight="1"/>
    <row r="912" ht="18" customHeight="1"/>
    <row r="913" ht="18" customHeight="1"/>
    <row r="914" ht="18" customHeight="1"/>
    <row r="915" ht="18" customHeight="1"/>
    <row r="916" ht="18" customHeight="1"/>
    <row r="917" ht="18" customHeight="1"/>
    <row r="918" ht="18" customHeight="1"/>
    <row r="919" ht="18" customHeight="1"/>
    <row r="920" ht="18" customHeight="1"/>
    <row r="921" ht="18" customHeight="1"/>
    <row r="922" ht="18" customHeight="1"/>
    <row r="923" ht="18" customHeight="1"/>
    <row r="924" ht="18" customHeight="1"/>
    <row r="925" ht="18" customHeight="1"/>
    <row r="926" ht="18" customHeight="1"/>
    <row r="927" ht="18" customHeight="1"/>
    <row r="928" ht="18" customHeight="1"/>
    <row r="929" ht="18" customHeight="1"/>
    <row r="930" ht="18" customHeight="1"/>
    <row r="931" ht="18" customHeight="1"/>
    <row r="932" ht="18" customHeight="1"/>
    <row r="933" ht="18" customHeight="1"/>
    <row r="934" ht="18" customHeight="1"/>
    <row r="935" ht="18" customHeight="1"/>
    <row r="936" ht="18" customHeight="1"/>
    <row r="937" ht="18" customHeight="1"/>
    <row r="938" ht="18" customHeight="1"/>
    <row r="939" ht="18" customHeight="1"/>
    <row r="940" ht="18" customHeight="1"/>
    <row r="941" ht="18" customHeight="1"/>
    <row r="942" ht="18" customHeight="1"/>
    <row r="943" ht="18" customHeight="1"/>
    <row r="944" ht="18" customHeight="1"/>
    <row r="945" ht="18" customHeight="1"/>
    <row r="946" ht="18" customHeight="1"/>
    <row r="947" ht="18" customHeight="1"/>
    <row r="948" ht="18" customHeight="1"/>
    <row r="949" ht="18" customHeight="1"/>
    <row r="950" ht="18" customHeight="1"/>
    <row r="951" ht="18" customHeight="1"/>
    <row r="952" ht="18" customHeight="1"/>
    <row r="953" ht="18" customHeight="1"/>
    <row r="954" ht="18" customHeight="1"/>
    <row r="955" ht="18" customHeight="1"/>
    <row r="956" ht="18" customHeight="1"/>
    <row r="957" ht="18" customHeight="1"/>
    <row r="958" ht="18" customHeight="1"/>
    <row r="959" ht="18" customHeight="1"/>
    <row r="960" ht="18" customHeight="1"/>
    <row r="961" ht="18" customHeight="1"/>
    <row r="962" ht="18" customHeight="1"/>
    <row r="963" ht="18" customHeight="1"/>
    <row r="964" ht="18" customHeight="1"/>
    <row r="965" ht="18" customHeight="1"/>
    <row r="966" ht="18" customHeight="1"/>
    <row r="967" ht="18" customHeight="1"/>
    <row r="968" ht="18" customHeight="1"/>
    <row r="969" ht="18" customHeight="1"/>
    <row r="970" ht="18" customHeight="1"/>
    <row r="971" ht="18" customHeight="1"/>
    <row r="972" ht="18" customHeight="1"/>
    <row r="973" ht="18" customHeight="1"/>
    <row r="974" ht="18" customHeight="1"/>
    <row r="975" ht="18" customHeight="1"/>
    <row r="976" ht="18" customHeight="1"/>
    <row r="977" ht="18" customHeight="1"/>
    <row r="978" ht="18" customHeight="1"/>
    <row r="979" ht="18" customHeight="1"/>
    <row r="980" ht="18" customHeight="1"/>
    <row r="981" ht="18" customHeight="1"/>
    <row r="982" ht="18" customHeight="1"/>
    <row r="983" ht="18" customHeight="1"/>
    <row r="984" ht="18" customHeight="1"/>
    <row r="985" ht="18" customHeight="1"/>
    <row r="986" ht="18" customHeight="1"/>
    <row r="987" ht="18" customHeight="1"/>
    <row r="988" ht="18" customHeight="1"/>
    <row r="989" ht="18" customHeight="1"/>
    <row r="990" ht="18" customHeight="1"/>
    <row r="991" ht="18" customHeight="1"/>
    <row r="992" ht="18" customHeight="1"/>
    <row r="993" ht="18" customHeight="1"/>
    <row r="994" ht="18" customHeight="1"/>
    <row r="995" ht="18" customHeight="1"/>
    <row r="996" ht="18" customHeight="1"/>
    <row r="997" ht="18" customHeight="1"/>
    <row r="998" ht="18" customHeight="1"/>
    <row r="999" ht="18" customHeight="1"/>
    <row r="1000" ht="18" customHeight="1"/>
    <row r="1001" ht="18" customHeight="1"/>
    <row r="1002" ht="18" customHeight="1"/>
    <row r="1003" ht="18" customHeight="1"/>
    <row r="1004" ht="18" customHeight="1"/>
    <row r="1005" ht="18" customHeight="1"/>
    <row r="1006" ht="18" customHeight="1"/>
    <row r="1007" ht="18" customHeight="1"/>
    <row r="1008" ht="18" customHeight="1"/>
    <row r="1009" ht="18" customHeight="1"/>
    <row r="1010" ht="18" customHeight="1"/>
    <row r="1011" ht="18" customHeight="1"/>
    <row r="1012" ht="18" customHeight="1"/>
    <row r="1013" ht="18" customHeight="1"/>
    <row r="1014" ht="18" customHeight="1"/>
    <row r="1015" ht="18" customHeight="1"/>
    <row r="1016" ht="18" customHeight="1"/>
    <row r="1017" ht="18" customHeight="1"/>
    <row r="1018" ht="18" customHeight="1"/>
    <row r="1019" ht="18" customHeight="1"/>
    <row r="1020" ht="18" customHeight="1"/>
    <row r="1021" ht="18" customHeight="1"/>
    <row r="1022" ht="18" customHeight="1"/>
    <row r="1023" ht="18" customHeight="1"/>
    <row r="1024" ht="18" customHeight="1"/>
    <row r="1025" ht="18" customHeight="1"/>
    <row r="1026" ht="18" customHeight="1"/>
    <row r="1027" ht="18" customHeight="1"/>
    <row r="1028" ht="18" customHeight="1"/>
    <row r="1029" ht="18" customHeight="1"/>
    <row r="1030" ht="18" customHeight="1"/>
    <row r="1031" ht="18" customHeight="1"/>
    <row r="1032" ht="18" customHeight="1"/>
    <row r="1033" ht="18" customHeight="1"/>
    <row r="1034" ht="18" customHeight="1"/>
    <row r="1035" ht="18" customHeight="1"/>
    <row r="1036" ht="18" customHeight="1"/>
    <row r="1037" ht="18" customHeight="1"/>
    <row r="1038" ht="18" customHeight="1"/>
    <row r="1039" ht="18" customHeight="1"/>
    <row r="1040" ht="18" customHeight="1"/>
    <row r="1041" ht="18" customHeight="1"/>
    <row r="1042" ht="18" customHeight="1"/>
    <row r="1043" ht="18" customHeight="1"/>
    <row r="1044" ht="18" customHeight="1"/>
    <row r="1045" ht="18" customHeight="1"/>
    <row r="1046" ht="18" customHeight="1"/>
    <row r="1047" ht="18" customHeight="1"/>
    <row r="1048" ht="18" customHeight="1"/>
    <row r="1049" ht="18" customHeight="1"/>
    <row r="1050" ht="18" customHeight="1"/>
    <row r="1051" ht="18" customHeight="1"/>
    <row r="1052" ht="18" customHeight="1"/>
    <row r="1053" ht="18" customHeight="1"/>
    <row r="1054" ht="18" customHeight="1"/>
    <row r="1055" ht="18" customHeight="1"/>
    <row r="1056" ht="18" customHeight="1"/>
    <row r="1057" ht="18" customHeight="1"/>
    <row r="1058" ht="18" customHeight="1"/>
    <row r="1059" ht="18" customHeight="1"/>
    <row r="1060" ht="18" customHeight="1"/>
    <row r="1061" ht="18" customHeight="1"/>
    <row r="1062" ht="18" customHeight="1"/>
    <row r="1063" ht="18" customHeight="1"/>
    <row r="1064" ht="18" customHeight="1"/>
    <row r="1065" ht="18" customHeight="1"/>
    <row r="1066" ht="18" customHeight="1"/>
    <row r="1067" ht="18" customHeight="1"/>
    <row r="1068" ht="18" customHeight="1"/>
    <row r="1069" ht="18" customHeight="1"/>
    <row r="1070" ht="18" customHeight="1"/>
    <row r="1071" ht="18" customHeight="1"/>
    <row r="1072" ht="18" customHeight="1"/>
    <row r="1073" ht="18" customHeight="1"/>
    <row r="1074" ht="18" customHeight="1"/>
    <row r="1075" ht="18" customHeight="1"/>
    <row r="1076" ht="18" customHeight="1"/>
    <row r="1077" ht="18" customHeight="1"/>
    <row r="1078" ht="18" customHeight="1"/>
    <row r="1079" ht="18" customHeight="1"/>
    <row r="1080" ht="18" customHeight="1"/>
    <row r="1081" ht="18" customHeight="1"/>
    <row r="1082" ht="18" customHeight="1"/>
    <row r="1083" ht="18" customHeight="1"/>
    <row r="1084" ht="18" customHeight="1"/>
    <row r="1085" ht="18" customHeight="1"/>
    <row r="1086" ht="18" customHeight="1"/>
    <row r="1087" ht="18" customHeight="1"/>
    <row r="1088" ht="18" customHeight="1"/>
    <row r="1089" ht="18" customHeight="1"/>
    <row r="1090" ht="18" customHeight="1"/>
    <row r="1091" ht="18" customHeight="1"/>
    <row r="1092" ht="18" customHeight="1"/>
    <row r="1093" ht="18" customHeight="1"/>
    <row r="1094" ht="18" customHeight="1"/>
    <row r="1095" ht="18" customHeight="1"/>
    <row r="1096" ht="18" customHeight="1"/>
    <row r="1097" ht="18" customHeight="1"/>
    <row r="1098" ht="18" customHeight="1"/>
    <row r="1099" ht="18" customHeight="1"/>
    <row r="1100" ht="18" customHeight="1"/>
    <row r="1101" ht="18" customHeight="1"/>
    <row r="1102" ht="18" customHeight="1"/>
    <row r="1103" ht="18" customHeight="1"/>
    <row r="1104" ht="18" customHeight="1"/>
    <row r="1105" ht="18" customHeight="1"/>
    <row r="1106" ht="18" customHeight="1"/>
    <row r="1107" ht="18" customHeight="1"/>
    <row r="1108" ht="18" customHeight="1"/>
    <row r="1109" ht="18" customHeight="1"/>
    <row r="1110" ht="18" customHeight="1"/>
    <row r="1111" ht="18" customHeight="1"/>
    <row r="1112" ht="18" customHeight="1"/>
    <row r="1113" ht="18" customHeight="1"/>
    <row r="1114" ht="18" customHeight="1"/>
    <row r="1115" ht="18" customHeight="1"/>
    <row r="1116" ht="18" customHeight="1"/>
    <row r="1117" ht="18" customHeight="1"/>
    <row r="1118" ht="18" customHeight="1"/>
    <row r="1119" ht="18" customHeight="1"/>
    <row r="1120" ht="18" customHeight="1"/>
    <row r="1121" ht="18" customHeight="1"/>
    <row r="1122" ht="18" customHeight="1"/>
    <row r="1123" ht="18" customHeight="1"/>
    <row r="1124" ht="18" customHeight="1"/>
    <row r="1125" ht="18" customHeight="1"/>
    <row r="1126" ht="18" customHeight="1"/>
    <row r="1127" ht="18" customHeight="1"/>
    <row r="1128" ht="18" customHeight="1"/>
    <row r="1129" ht="18" customHeight="1"/>
    <row r="1130" ht="18" customHeight="1"/>
    <row r="1131" ht="18" customHeight="1"/>
    <row r="1132" ht="18" customHeight="1"/>
    <row r="1133" ht="18" customHeight="1"/>
    <row r="1134" ht="18" customHeight="1"/>
    <row r="1135" ht="18" customHeight="1"/>
    <row r="1136" ht="18" customHeight="1"/>
    <row r="1137" ht="18" customHeight="1"/>
    <row r="1138" ht="18" customHeight="1"/>
    <row r="1139" ht="18" customHeight="1"/>
    <row r="1140" ht="18" customHeight="1"/>
    <row r="1141" ht="18" customHeight="1"/>
    <row r="1142" ht="18" customHeight="1"/>
    <row r="1143" ht="18" customHeight="1"/>
    <row r="1144" ht="18" customHeight="1"/>
    <row r="1145" ht="18" customHeight="1"/>
    <row r="1146" ht="18" customHeight="1"/>
    <row r="1147" ht="18" customHeight="1"/>
    <row r="1148" ht="18" customHeight="1"/>
    <row r="1149" ht="18" customHeight="1"/>
    <row r="1150" ht="18" customHeight="1"/>
    <row r="1151" ht="18" customHeight="1"/>
    <row r="1152" ht="18" customHeight="1"/>
    <row r="1153" ht="18" customHeight="1"/>
    <row r="1154" ht="18" customHeight="1"/>
    <row r="1155" ht="18" customHeight="1"/>
    <row r="1156" ht="18" customHeight="1"/>
    <row r="1157" ht="18" customHeight="1"/>
    <row r="1158" ht="18" customHeight="1"/>
    <row r="1159" ht="18" customHeight="1"/>
    <row r="1160" ht="18" customHeight="1"/>
    <row r="1161" ht="18" customHeight="1"/>
    <row r="1162" ht="18" customHeight="1"/>
    <row r="1163" ht="18" customHeight="1"/>
    <row r="1164" ht="18" customHeight="1"/>
    <row r="1165" ht="18" customHeight="1"/>
    <row r="1166" ht="18" customHeight="1"/>
    <row r="1167" ht="18" customHeight="1"/>
    <row r="1168" ht="18" customHeight="1"/>
    <row r="1169" ht="18" customHeight="1"/>
    <row r="1170" ht="18" customHeight="1"/>
    <row r="1171" ht="18" customHeight="1"/>
    <row r="1172" ht="18" customHeight="1"/>
    <row r="1173" ht="18" customHeight="1"/>
    <row r="1174" ht="18" customHeight="1"/>
    <row r="1175" ht="18" customHeight="1"/>
    <row r="1176" ht="18" customHeight="1"/>
    <row r="1177" ht="18" customHeight="1"/>
    <row r="1178" ht="18" customHeight="1"/>
    <row r="1179" ht="18" customHeight="1"/>
    <row r="1180" ht="18" customHeight="1"/>
    <row r="1181" ht="18" customHeight="1"/>
    <row r="1182" ht="18" customHeight="1"/>
    <row r="1183" ht="18" customHeight="1"/>
    <row r="1184" ht="18" customHeight="1"/>
    <row r="1185" ht="18" customHeight="1"/>
    <row r="1186" ht="18" customHeight="1"/>
    <row r="1187" ht="18" customHeight="1"/>
    <row r="1188" ht="18" customHeight="1"/>
    <row r="1189" ht="18" customHeight="1"/>
    <row r="1190" ht="18" customHeight="1"/>
    <row r="1191" ht="18" customHeight="1"/>
    <row r="1192" ht="18" customHeight="1"/>
    <row r="1193" ht="18" customHeight="1"/>
    <row r="1194" ht="18" customHeight="1"/>
    <row r="1195" ht="18" customHeight="1"/>
    <row r="1196" ht="18" customHeight="1"/>
    <row r="1197" ht="18" customHeight="1"/>
    <row r="1198" ht="18" customHeight="1"/>
    <row r="1199" ht="18" customHeight="1"/>
    <row r="1200" ht="18" customHeight="1"/>
    <row r="1201" ht="18" customHeight="1"/>
    <row r="1202" ht="18" customHeight="1"/>
    <row r="1203" ht="18" customHeight="1"/>
    <row r="1204" ht="18" customHeight="1"/>
    <row r="1205" ht="18" customHeight="1"/>
    <row r="1206" ht="18" customHeight="1"/>
    <row r="1207" ht="18" customHeight="1"/>
    <row r="1208" ht="18" customHeight="1"/>
    <row r="1209" ht="18" customHeight="1"/>
    <row r="1210" ht="18" customHeight="1"/>
    <row r="1211" ht="18" customHeight="1"/>
    <row r="1212" ht="18" customHeight="1"/>
    <row r="1213" ht="18" customHeight="1"/>
    <row r="1214" ht="18" customHeight="1"/>
    <row r="1215" ht="18" customHeight="1"/>
    <row r="1216" ht="18" customHeight="1"/>
    <row r="1217" ht="18" customHeight="1"/>
    <row r="1218" ht="18" customHeight="1"/>
    <row r="1219" ht="18" customHeight="1"/>
    <row r="1220" ht="18" customHeight="1"/>
    <row r="1221" ht="18" customHeight="1"/>
    <row r="1222" ht="18" customHeight="1"/>
    <row r="1223" ht="18" customHeight="1"/>
    <row r="1224" ht="18" customHeight="1"/>
    <row r="1225" ht="18" customHeight="1"/>
    <row r="1226" ht="18" customHeight="1"/>
    <row r="1227" ht="18" customHeight="1"/>
    <row r="1228" ht="18" customHeight="1"/>
    <row r="1229" ht="18" customHeight="1"/>
    <row r="1230" ht="18" customHeight="1"/>
    <row r="1231" ht="18" customHeight="1"/>
    <row r="1232" ht="18" customHeight="1"/>
    <row r="1233" ht="18" customHeight="1"/>
    <row r="1234" ht="18" customHeight="1"/>
    <row r="1235" ht="18" customHeight="1"/>
    <row r="1236" ht="18" customHeight="1"/>
    <row r="1237" ht="18" customHeight="1"/>
    <row r="1238" ht="18" customHeight="1"/>
    <row r="1239" ht="18" customHeight="1"/>
    <row r="1240" ht="18" customHeight="1"/>
    <row r="1241" ht="18" customHeight="1"/>
    <row r="1242" ht="18" customHeight="1"/>
    <row r="1243" ht="18" customHeight="1"/>
    <row r="1244" ht="18" customHeight="1"/>
    <row r="1245" ht="18" customHeight="1"/>
    <row r="1246" ht="18" customHeight="1"/>
    <row r="1247" ht="18" customHeight="1"/>
    <row r="1248" ht="18" customHeight="1"/>
    <row r="1249" ht="18" customHeight="1"/>
    <row r="1250" ht="18" customHeight="1"/>
    <row r="1251" ht="18" customHeight="1"/>
    <row r="1252" ht="18" customHeight="1"/>
    <row r="1253" ht="18" customHeight="1"/>
    <row r="1254" ht="18" customHeight="1"/>
    <row r="1255" ht="18" customHeight="1"/>
    <row r="1256" ht="18" customHeight="1"/>
    <row r="1257" ht="18" customHeight="1"/>
    <row r="1258" ht="18" customHeight="1"/>
    <row r="1259" ht="18" customHeight="1"/>
    <row r="1260" ht="18" customHeight="1"/>
    <row r="1261" ht="18" customHeight="1"/>
    <row r="1262" ht="18" customHeight="1"/>
    <row r="1263" ht="18" customHeight="1"/>
    <row r="1264" ht="18" customHeight="1"/>
    <row r="1265" ht="18" customHeight="1"/>
    <row r="1266" ht="18" customHeight="1"/>
    <row r="1267" ht="18" customHeight="1"/>
    <row r="1268" ht="18" customHeight="1"/>
    <row r="1269" ht="18" customHeight="1"/>
    <row r="1270" ht="18" customHeight="1"/>
    <row r="1271" ht="18" customHeight="1"/>
    <row r="1272" ht="18" customHeight="1"/>
    <row r="1273" ht="18" customHeight="1"/>
    <row r="1274" ht="18" customHeight="1"/>
    <row r="1275" ht="18" customHeight="1"/>
    <row r="1276" ht="18" customHeight="1"/>
    <row r="1277" ht="18" customHeight="1"/>
    <row r="1278" ht="18" customHeight="1"/>
    <row r="1279" ht="18" customHeight="1"/>
    <row r="1280" ht="18" customHeight="1"/>
    <row r="1281" ht="18" customHeight="1"/>
    <row r="1282" ht="18" customHeight="1"/>
    <row r="1283" ht="18" customHeight="1"/>
    <row r="1284" ht="18" customHeight="1"/>
    <row r="1285" ht="18" customHeight="1"/>
    <row r="1286" ht="18" customHeight="1"/>
    <row r="1287" ht="18" customHeight="1"/>
    <row r="1288" ht="18" customHeight="1"/>
    <row r="1289" ht="18" customHeight="1"/>
    <row r="1290" ht="18" customHeight="1"/>
    <row r="1291" ht="18" customHeight="1"/>
    <row r="1292" ht="18" customHeight="1"/>
    <row r="1293" ht="18" customHeight="1"/>
    <row r="1294" ht="18" customHeight="1"/>
    <row r="1295" ht="18" customHeight="1"/>
    <row r="1296" ht="18" customHeight="1"/>
    <row r="1297" ht="18" customHeight="1"/>
    <row r="1298" ht="18" customHeight="1"/>
    <row r="1299" ht="18" customHeight="1"/>
    <row r="1300" ht="18" customHeight="1"/>
    <row r="1301" ht="18" customHeight="1"/>
    <row r="1302" ht="18" customHeight="1"/>
    <row r="1303" ht="18" customHeight="1"/>
    <row r="1304" ht="18" customHeight="1"/>
    <row r="1305" ht="18" customHeight="1"/>
    <row r="1306" ht="18" customHeight="1"/>
    <row r="1307" ht="18" customHeight="1"/>
    <row r="1308" ht="18" customHeight="1"/>
    <row r="1309" ht="18" customHeight="1"/>
    <row r="1310" ht="18" customHeight="1"/>
    <row r="1311" ht="18" customHeight="1"/>
    <row r="1312" ht="18" customHeight="1"/>
    <row r="1313" ht="18" customHeight="1"/>
    <row r="1314" ht="18" customHeight="1"/>
    <row r="1315" ht="18" customHeight="1"/>
    <row r="1316" ht="18" customHeight="1"/>
    <row r="1317" ht="18" customHeight="1"/>
    <row r="1318" ht="18" customHeight="1"/>
    <row r="1319" ht="18" customHeight="1"/>
    <row r="1320" ht="18" customHeight="1"/>
    <row r="1321" ht="18" customHeight="1"/>
    <row r="1322" ht="18" customHeight="1"/>
    <row r="1323" ht="18" customHeight="1"/>
    <row r="1324" ht="18" customHeight="1"/>
    <row r="1325" ht="18" customHeight="1"/>
    <row r="1326" ht="18" customHeight="1"/>
    <row r="1327" ht="18" customHeight="1"/>
    <row r="1328" ht="18" customHeight="1"/>
    <row r="1329" ht="18" customHeight="1"/>
    <row r="1330" ht="18" customHeight="1"/>
    <row r="1331" ht="18" customHeight="1"/>
    <row r="1332" ht="18" customHeight="1"/>
    <row r="1333" ht="18" customHeight="1"/>
    <row r="1334" ht="18" customHeight="1"/>
    <row r="1335" ht="18" customHeight="1"/>
    <row r="1336" ht="18" customHeight="1"/>
    <row r="1337" ht="18" customHeight="1"/>
    <row r="1338" ht="18" customHeight="1"/>
    <row r="1339" ht="18" customHeight="1"/>
    <row r="1340" ht="18" customHeight="1"/>
    <row r="1341" ht="18" customHeight="1"/>
    <row r="1342" ht="18" customHeight="1"/>
    <row r="1343" ht="18" customHeight="1"/>
    <row r="1344" ht="18" customHeight="1"/>
    <row r="1345" ht="18" customHeight="1"/>
    <row r="1346" ht="18" customHeight="1"/>
    <row r="1347" ht="18" customHeight="1"/>
    <row r="1348" ht="18" customHeight="1"/>
    <row r="1349" ht="18" customHeight="1"/>
    <row r="1350" ht="18" customHeight="1"/>
    <row r="1351" ht="18" customHeight="1"/>
    <row r="1352" ht="18" customHeight="1"/>
    <row r="1353" ht="18" customHeight="1"/>
    <row r="1354" ht="18" customHeight="1"/>
    <row r="1355" ht="18" customHeight="1"/>
    <row r="1356" ht="18" customHeight="1"/>
    <row r="1357" ht="18" customHeight="1"/>
    <row r="1358" ht="18" customHeight="1"/>
    <row r="1359" ht="18" customHeight="1"/>
    <row r="1360" ht="18" customHeight="1"/>
    <row r="1361" ht="18" customHeight="1"/>
    <row r="1362" ht="18" customHeight="1"/>
    <row r="1363" ht="18" customHeight="1"/>
    <row r="1364" ht="18" customHeight="1"/>
    <row r="1365" ht="18" customHeight="1"/>
    <row r="1366" ht="18" customHeight="1"/>
    <row r="1367" ht="18" customHeight="1"/>
    <row r="1368" ht="18" customHeight="1"/>
    <row r="1369" ht="18" customHeight="1"/>
    <row r="1370" ht="18" customHeight="1"/>
    <row r="1371" ht="18" customHeight="1"/>
    <row r="1372" ht="18" customHeight="1"/>
    <row r="1373" ht="18" customHeight="1"/>
    <row r="1374" ht="18" customHeight="1"/>
    <row r="1375" ht="18" customHeight="1"/>
    <row r="1376" ht="18" customHeight="1"/>
    <row r="1377" ht="18" customHeight="1"/>
    <row r="1378" ht="18" customHeight="1"/>
    <row r="1379" ht="18" customHeight="1"/>
    <row r="1380" ht="18" customHeight="1"/>
    <row r="1381" ht="18" customHeight="1"/>
    <row r="1382" ht="18" customHeight="1"/>
    <row r="1383" ht="18" customHeight="1"/>
    <row r="1384" ht="18" customHeight="1"/>
    <row r="1385" ht="18" customHeight="1"/>
    <row r="1386" ht="18" customHeight="1"/>
    <row r="1387" ht="18" customHeight="1"/>
    <row r="1388" ht="18" customHeight="1"/>
    <row r="1389" ht="18" customHeight="1"/>
    <row r="1390" ht="18" customHeight="1"/>
    <row r="1391" ht="18" customHeight="1"/>
    <row r="1392" ht="18" customHeight="1"/>
    <row r="1393" ht="18" customHeight="1"/>
    <row r="1394" ht="18" customHeight="1"/>
    <row r="1395" ht="18" customHeight="1"/>
    <row r="1396" ht="18" customHeight="1"/>
    <row r="1397" ht="18" customHeight="1"/>
    <row r="1398" ht="18" customHeight="1"/>
    <row r="1399" ht="18" customHeight="1"/>
    <row r="1400" ht="18" customHeight="1"/>
    <row r="1401" ht="18" customHeight="1"/>
    <row r="1402" ht="18" customHeight="1"/>
    <row r="1403" ht="18" customHeight="1"/>
    <row r="1404" ht="18" customHeight="1"/>
    <row r="1405" ht="18" customHeight="1"/>
    <row r="1406" ht="18" customHeight="1"/>
    <row r="1407" ht="18" customHeight="1"/>
    <row r="1408" ht="18" customHeight="1"/>
    <row r="1409" ht="18" customHeight="1"/>
    <row r="1410" ht="18" customHeight="1"/>
    <row r="1411" ht="18" customHeight="1"/>
    <row r="1412" ht="18" customHeight="1"/>
    <row r="1413" ht="18" customHeight="1"/>
    <row r="1414" ht="18" customHeight="1"/>
    <row r="1415" ht="18" customHeight="1"/>
    <row r="1416" ht="18" customHeight="1"/>
    <row r="1417" ht="18" customHeight="1"/>
    <row r="1418" ht="18" customHeight="1"/>
    <row r="1419" ht="18" customHeight="1"/>
    <row r="1420" ht="18" customHeight="1"/>
    <row r="1421" ht="18" customHeight="1"/>
    <row r="1422" ht="18" customHeight="1"/>
    <row r="1423" ht="18" customHeight="1"/>
    <row r="1424" ht="18" customHeight="1"/>
    <row r="1425" ht="18" customHeight="1"/>
    <row r="1426" ht="18" customHeight="1"/>
    <row r="1427" ht="18" customHeight="1"/>
    <row r="1428" ht="18" customHeight="1"/>
    <row r="1429" ht="18" customHeight="1"/>
    <row r="1430" ht="18" customHeight="1"/>
    <row r="1431" ht="18" customHeight="1"/>
    <row r="1432" ht="18" customHeight="1"/>
    <row r="1433" ht="18" customHeight="1"/>
    <row r="1434" ht="18" customHeight="1"/>
    <row r="1435" ht="18" customHeight="1"/>
    <row r="1436" ht="18" customHeight="1"/>
    <row r="1437" ht="18" customHeight="1"/>
    <row r="1438" ht="18" customHeight="1"/>
    <row r="1439" ht="18" customHeight="1"/>
    <row r="1440" ht="18" customHeight="1"/>
    <row r="1441" ht="18" customHeight="1"/>
    <row r="1442" ht="18" customHeight="1"/>
    <row r="1443" ht="18" customHeight="1"/>
    <row r="1444" ht="18" customHeight="1"/>
    <row r="1445" ht="18" customHeight="1"/>
    <row r="1446" ht="18" customHeight="1"/>
    <row r="1447" ht="18" customHeight="1"/>
    <row r="1448" ht="18" customHeight="1"/>
    <row r="1449" ht="18" customHeight="1"/>
    <row r="1450" ht="18" customHeight="1"/>
    <row r="1451" ht="18" customHeight="1"/>
    <row r="1452" ht="18" customHeight="1"/>
    <row r="1453" ht="18" customHeight="1"/>
    <row r="1454" ht="18" customHeight="1"/>
    <row r="1455" ht="18" customHeight="1"/>
    <row r="1456" ht="18" customHeight="1"/>
    <row r="1457" ht="18" customHeight="1"/>
    <row r="1458" ht="18" customHeight="1"/>
    <row r="1459" ht="18" customHeight="1"/>
    <row r="1460" ht="18" customHeight="1"/>
    <row r="1461" ht="18" customHeight="1"/>
    <row r="1462" ht="18" customHeight="1"/>
    <row r="1463" ht="18" customHeight="1"/>
    <row r="1464" ht="18" customHeight="1"/>
    <row r="1465" ht="18" customHeight="1"/>
    <row r="1466" ht="18" customHeight="1"/>
    <row r="1467" ht="18" customHeight="1"/>
    <row r="1468" ht="18" customHeight="1"/>
    <row r="1469" ht="18" customHeight="1"/>
    <row r="1470" ht="18" customHeight="1"/>
    <row r="1471" ht="18" customHeight="1"/>
    <row r="1472" ht="18" customHeight="1"/>
    <row r="1473" ht="18" customHeight="1"/>
    <row r="1474" ht="18" customHeight="1"/>
    <row r="1475" ht="18" customHeight="1"/>
    <row r="1476" ht="18" customHeight="1"/>
    <row r="1477" ht="18" customHeight="1"/>
    <row r="1478" ht="18" customHeight="1"/>
    <row r="1479" ht="18" customHeight="1"/>
    <row r="1480" ht="18" customHeight="1"/>
    <row r="1481" ht="18" customHeight="1"/>
    <row r="1482" ht="18" customHeight="1"/>
    <row r="1483" ht="18" customHeight="1"/>
    <row r="1484" ht="18" customHeight="1"/>
    <row r="1485" ht="18" customHeight="1"/>
    <row r="1486" ht="18" customHeight="1"/>
    <row r="1487" ht="18" customHeight="1"/>
    <row r="1488" ht="18" customHeight="1"/>
    <row r="1489" ht="18" customHeight="1"/>
    <row r="1490" ht="18" customHeight="1"/>
    <row r="1491" ht="18" customHeight="1"/>
    <row r="1492" ht="18" customHeight="1"/>
    <row r="1493" ht="18" customHeight="1"/>
    <row r="1494" ht="18" customHeight="1"/>
    <row r="1495" ht="18" customHeight="1"/>
    <row r="1496" ht="18" customHeight="1"/>
    <row r="1497" ht="18" customHeight="1"/>
    <row r="1498" ht="18" customHeight="1"/>
    <row r="1499" ht="18" customHeight="1"/>
    <row r="1500" ht="18" customHeight="1"/>
    <row r="1501" ht="18" customHeight="1"/>
    <row r="1502" ht="18" customHeight="1"/>
    <row r="1503" ht="18" customHeight="1"/>
    <row r="1504" ht="18" customHeight="1"/>
    <row r="1505" ht="18" customHeight="1"/>
    <row r="1506" ht="18" customHeight="1"/>
    <row r="1507" ht="18" customHeight="1"/>
    <row r="1508" ht="18" customHeight="1"/>
    <row r="1509" ht="18" customHeight="1"/>
    <row r="1510" ht="18" customHeight="1"/>
    <row r="1511" ht="18" customHeight="1"/>
    <row r="1512" ht="18" customHeight="1"/>
    <row r="1513" ht="18" customHeight="1"/>
    <row r="1514" ht="18" customHeight="1"/>
    <row r="1515" ht="18" customHeight="1"/>
    <row r="1516" ht="18" customHeight="1"/>
    <row r="1517" ht="18" customHeight="1"/>
    <row r="1518" ht="18" customHeight="1"/>
    <row r="1519" ht="18" customHeight="1"/>
    <row r="1520" ht="18" customHeight="1"/>
    <row r="1521" ht="18" customHeight="1"/>
    <row r="1522" ht="18" customHeight="1"/>
    <row r="1523" ht="18" customHeight="1"/>
    <row r="1524" ht="18" customHeight="1"/>
    <row r="1525" ht="18" customHeight="1"/>
    <row r="1526" ht="18" customHeight="1"/>
    <row r="1527" ht="18" customHeight="1"/>
    <row r="1528" ht="18" customHeight="1"/>
    <row r="1529" ht="18" customHeight="1"/>
    <row r="1530" ht="18" customHeight="1"/>
    <row r="1531" ht="18" customHeight="1"/>
    <row r="1532" ht="18" customHeight="1"/>
    <row r="1533" ht="18" customHeight="1"/>
    <row r="1534" ht="18" customHeight="1"/>
    <row r="1535" ht="18" customHeight="1"/>
    <row r="1536" ht="18" customHeight="1"/>
    <row r="1537" ht="18" customHeight="1"/>
    <row r="1538" ht="18" customHeight="1"/>
    <row r="1539" ht="18" customHeight="1"/>
    <row r="1540" ht="18" customHeight="1"/>
    <row r="1541" ht="18" customHeight="1"/>
    <row r="1542" ht="18" customHeight="1"/>
    <row r="1543" ht="18" customHeight="1"/>
    <row r="1544" ht="18" customHeight="1"/>
    <row r="1545" ht="18" customHeight="1"/>
    <row r="1546" ht="18" customHeight="1"/>
    <row r="1547" ht="18" customHeight="1"/>
    <row r="1548" ht="18" customHeight="1"/>
    <row r="1549" ht="18" customHeight="1"/>
    <row r="1550" ht="18" customHeight="1"/>
    <row r="1551" ht="18" customHeight="1"/>
    <row r="1552" ht="18" customHeight="1"/>
    <row r="1553" ht="18" customHeight="1"/>
    <row r="1554" ht="18" customHeight="1"/>
    <row r="1555" ht="18" customHeight="1"/>
    <row r="1556" ht="18" customHeight="1"/>
    <row r="1557" ht="18" customHeight="1"/>
    <row r="1558" ht="18" customHeight="1"/>
    <row r="1559" ht="18" customHeight="1"/>
    <row r="1560" ht="18" customHeight="1"/>
    <row r="1561" ht="18" customHeight="1"/>
    <row r="1562" ht="18" customHeight="1"/>
    <row r="1563" ht="18" customHeight="1"/>
    <row r="1564" ht="18" customHeight="1"/>
    <row r="1565" ht="18" customHeight="1"/>
    <row r="1566" ht="18" customHeight="1"/>
    <row r="1567" ht="18" customHeight="1"/>
    <row r="1568" ht="18" customHeight="1"/>
    <row r="1569" ht="18" customHeight="1"/>
    <row r="1570" ht="18" customHeight="1"/>
    <row r="1571" ht="18" customHeight="1"/>
    <row r="1572" ht="18" customHeight="1"/>
    <row r="1573" ht="18" customHeight="1"/>
    <row r="1574" ht="18" customHeight="1"/>
    <row r="1575" ht="18" customHeight="1"/>
    <row r="1576" ht="18" customHeight="1"/>
    <row r="1577" ht="18" customHeight="1"/>
    <row r="1578" ht="18" customHeight="1"/>
    <row r="1579" ht="18" customHeight="1"/>
    <row r="1580" ht="18" customHeight="1"/>
    <row r="1581" ht="18" customHeight="1"/>
    <row r="1582" ht="18" customHeight="1"/>
    <row r="1583" ht="18" customHeight="1"/>
    <row r="1584" ht="18" customHeight="1"/>
    <row r="1585" ht="18" customHeight="1"/>
    <row r="1586" ht="18" customHeight="1"/>
    <row r="1587" ht="18" customHeight="1"/>
    <row r="1588" ht="18" customHeight="1"/>
    <row r="1589" ht="18" customHeight="1"/>
    <row r="1590" ht="18" customHeight="1"/>
    <row r="1591" ht="18" customHeight="1"/>
    <row r="1592" ht="18" customHeight="1"/>
    <row r="1593" ht="18" customHeight="1"/>
    <row r="1594" ht="18" customHeight="1"/>
    <row r="1595" ht="18" customHeight="1"/>
    <row r="1596" ht="18" customHeight="1"/>
    <row r="1597" ht="18" customHeight="1"/>
    <row r="1598" ht="18" customHeight="1"/>
    <row r="1599" ht="18" customHeight="1"/>
    <row r="1600" ht="18" customHeight="1"/>
    <row r="1601" ht="18" customHeight="1"/>
    <row r="1602" ht="18" customHeight="1"/>
    <row r="1603" ht="18" customHeight="1"/>
    <row r="1604" ht="18" customHeight="1"/>
    <row r="1605" ht="18" customHeight="1"/>
    <row r="1606" ht="18" customHeight="1"/>
    <row r="1607" ht="18" customHeight="1"/>
    <row r="1608" ht="18" customHeight="1"/>
    <row r="1609" ht="18" customHeight="1"/>
    <row r="1610" ht="18" customHeight="1"/>
    <row r="1611" ht="18" customHeight="1"/>
    <row r="1612" ht="18" customHeight="1"/>
    <row r="1613" ht="18" customHeight="1"/>
    <row r="1614" ht="18" customHeight="1"/>
    <row r="1615" ht="18" customHeight="1"/>
    <row r="1616" ht="18" customHeight="1"/>
    <row r="1617" ht="18" customHeight="1"/>
    <row r="1618" ht="18" customHeight="1"/>
    <row r="1619" ht="18" customHeight="1"/>
    <row r="1620" ht="18" customHeight="1"/>
    <row r="1621" ht="18" customHeight="1"/>
    <row r="1622" ht="18" customHeight="1"/>
    <row r="1623" ht="18" customHeight="1"/>
    <row r="1624" ht="18" customHeight="1"/>
    <row r="1625" ht="18" customHeight="1"/>
    <row r="1626" ht="18" customHeight="1"/>
    <row r="1627" ht="18" customHeight="1"/>
    <row r="1628" ht="18" customHeight="1"/>
    <row r="1629" ht="18" customHeight="1"/>
    <row r="1630" ht="18" customHeight="1"/>
    <row r="1631" ht="18" customHeight="1"/>
    <row r="1632" ht="18" customHeight="1"/>
    <row r="1633" ht="18" customHeight="1"/>
    <row r="1634" ht="18" customHeight="1"/>
    <row r="1635" ht="18" customHeight="1"/>
    <row r="1636" ht="18" customHeight="1"/>
    <row r="1637" ht="18" customHeight="1"/>
    <row r="1638" ht="18" customHeight="1"/>
    <row r="1639" ht="18" customHeight="1"/>
    <row r="1640" ht="18" customHeight="1"/>
    <row r="1641" ht="18" customHeight="1"/>
    <row r="1642" ht="18" customHeight="1"/>
    <row r="1643" ht="18" customHeight="1"/>
    <row r="1644" ht="18" customHeight="1"/>
    <row r="1645" ht="18" customHeight="1"/>
    <row r="1646" ht="18" customHeight="1"/>
    <row r="1647" ht="18" customHeight="1"/>
    <row r="1648" ht="18" customHeight="1"/>
    <row r="1649" ht="18" customHeight="1"/>
    <row r="1650" ht="18" customHeight="1"/>
    <row r="1651" ht="18" customHeight="1"/>
    <row r="1652" ht="18" customHeight="1"/>
    <row r="1653" ht="18" customHeight="1"/>
    <row r="1654" ht="18" customHeight="1"/>
    <row r="1655" ht="18" customHeight="1"/>
    <row r="1656" ht="18" customHeight="1"/>
    <row r="1657" ht="18" customHeight="1"/>
    <row r="1658" ht="18" customHeight="1"/>
    <row r="1659" ht="18" customHeight="1"/>
    <row r="1660" ht="18" customHeight="1"/>
    <row r="1661" ht="18" customHeight="1"/>
    <row r="1662" ht="18" customHeight="1"/>
    <row r="1663" ht="18" customHeight="1"/>
    <row r="1664" ht="18" customHeight="1"/>
    <row r="1665" ht="18" customHeight="1"/>
    <row r="1666" ht="18" customHeight="1"/>
    <row r="1667" ht="18" customHeight="1"/>
    <row r="1668" ht="18" customHeight="1"/>
    <row r="1669" ht="18" customHeight="1"/>
    <row r="1670" ht="18" customHeight="1"/>
    <row r="1671" ht="18" customHeight="1"/>
    <row r="1672" ht="18" customHeight="1"/>
    <row r="1673" ht="18" customHeight="1"/>
    <row r="1674" ht="18" customHeight="1"/>
    <row r="1675" ht="18" customHeight="1"/>
    <row r="1676" ht="18" customHeight="1"/>
    <row r="1677" ht="18" customHeight="1"/>
    <row r="1678" ht="18" customHeight="1"/>
    <row r="1679" ht="18" customHeight="1"/>
    <row r="1680" ht="18" customHeight="1"/>
    <row r="1681" ht="18" customHeight="1"/>
    <row r="1682" ht="18" customHeight="1"/>
    <row r="1683" ht="18" customHeight="1"/>
    <row r="1684" ht="18" customHeight="1"/>
    <row r="1685" ht="18" customHeight="1"/>
    <row r="1686" ht="18" customHeight="1"/>
    <row r="1687" ht="18" customHeight="1"/>
    <row r="1688" ht="18" customHeight="1"/>
    <row r="1689" ht="18" customHeight="1"/>
    <row r="1690" ht="18" customHeight="1"/>
    <row r="1691" ht="18" customHeight="1"/>
    <row r="1692" ht="18" customHeight="1"/>
    <row r="1693" ht="18" customHeight="1"/>
    <row r="1694" ht="18" customHeight="1"/>
    <row r="1695" ht="18" customHeight="1"/>
    <row r="1696" ht="18" customHeight="1"/>
    <row r="1697" ht="18" customHeight="1"/>
    <row r="1698" ht="18" customHeight="1"/>
    <row r="1699" ht="18" customHeight="1"/>
    <row r="1700" ht="18" customHeight="1"/>
    <row r="1701" ht="18" customHeight="1"/>
    <row r="1702" ht="18" customHeight="1"/>
    <row r="1703" ht="18" customHeight="1"/>
    <row r="1704" ht="18" customHeight="1"/>
    <row r="1705" ht="18" customHeight="1"/>
    <row r="1706" ht="18" customHeight="1"/>
    <row r="1707" ht="18" customHeight="1"/>
    <row r="1708" ht="18" customHeight="1"/>
    <row r="1709" ht="18" customHeight="1"/>
    <row r="1710" ht="18" customHeight="1"/>
    <row r="1711" ht="18" customHeight="1"/>
    <row r="1712" ht="18" customHeight="1"/>
    <row r="1713" ht="18" customHeight="1"/>
    <row r="1714" ht="18" customHeight="1"/>
    <row r="1715" ht="18" customHeight="1"/>
    <row r="1716" ht="18" customHeight="1"/>
    <row r="1717" ht="18" customHeight="1"/>
    <row r="1718" ht="18" customHeight="1"/>
    <row r="1719" ht="18" customHeight="1"/>
    <row r="1720" ht="18" customHeight="1"/>
    <row r="1721" ht="18" customHeight="1"/>
    <row r="1722" ht="18" customHeight="1"/>
    <row r="1723" ht="18" customHeight="1"/>
    <row r="1724" ht="18" customHeight="1"/>
    <row r="1725" ht="18" customHeight="1"/>
    <row r="1726" ht="18" customHeight="1"/>
    <row r="1727" ht="18" customHeight="1"/>
    <row r="1728" ht="18" customHeight="1"/>
    <row r="1729" ht="18" customHeight="1"/>
    <row r="1730" ht="18" customHeight="1"/>
    <row r="1731" ht="18" customHeight="1"/>
    <row r="1732" ht="18" customHeight="1"/>
    <row r="1733" ht="18" customHeight="1"/>
    <row r="1734" ht="18" customHeight="1"/>
    <row r="1735" ht="18" customHeight="1"/>
    <row r="1736" ht="18" customHeight="1"/>
    <row r="1737" ht="18" customHeight="1"/>
    <row r="1738" ht="18" customHeight="1"/>
    <row r="1739" ht="18" customHeight="1"/>
    <row r="1740" ht="18" customHeight="1"/>
    <row r="1741" ht="18" customHeight="1"/>
    <row r="1742" ht="18" customHeight="1"/>
    <row r="1743" ht="18" customHeight="1"/>
    <row r="1744" ht="18" customHeight="1"/>
    <row r="1745" ht="18" customHeight="1"/>
    <row r="1746" ht="18" customHeight="1"/>
    <row r="1747" ht="18" customHeight="1"/>
    <row r="1748" ht="18" customHeight="1"/>
    <row r="1749" ht="18" customHeight="1"/>
    <row r="1750" ht="18" customHeight="1"/>
    <row r="1751" ht="18" customHeight="1"/>
    <row r="1752" ht="18" customHeight="1"/>
  </sheetData>
  <autoFilter ref="B1:B1752" xr:uid="{00000000-0009-0000-0000-000003000000}"/>
  <mergeCells count="13">
    <mergeCell ref="B82:E82"/>
    <mergeCell ref="B83:E83"/>
    <mergeCell ref="B84:E84"/>
    <mergeCell ref="B85:F85"/>
    <mergeCell ref="A3:G3"/>
    <mergeCell ref="B81:F81"/>
    <mergeCell ref="F4:F5"/>
    <mergeCell ref="G4:G5"/>
    <mergeCell ref="A4:A5"/>
    <mergeCell ref="B4:B5"/>
    <mergeCell ref="C4:C5"/>
    <mergeCell ref="D4:D5"/>
    <mergeCell ref="E4:E5"/>
  </mergeCells>
  <pageMargins left="0.75" right="0.5" top="0.5" bottom="0.5" header="0.3" footer="0.3"/>
  <pageSetup paperSize="9" scale="90" orientation="portrait" r:id="rId1"/>
  <headerFooter>
    <oddFooter>Page &amp;P of &amp;N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O1677"/>
  <sheetViews>
    <sheetView view="pageBreakPreview" zoomScaleNormal="115" zoomScaleSheetLayoutView="100" workbookViewId="0">
      <selection activeCell="B641" sqref="B641"/>
    </sheetView>
  </sheetViews>
  <sheetFormatPr defaultColWidth="8.88671875" defaultRowHeight="16.8"/>
  <cols>
    <col min="1" max="1" width="4.6640625" style="429" customWidth="1"/>
    <col min="2" max="2" width="40.88671875" style="344" customWidth="1"/>
    <col min="3" max="3" width="11.6640625" style="429" customWidth="1"/>
    <col min="4" max="4" width="11.6640625" style="429" hidden="1" customWidth="1"/>
    <col min="5" max="5" width="5.88671875" style="429" customWidth="1"/>
    <col min="6" max="6" width="14" style="430" customWidth="1"/>
    <col min="7" max="7" width="7.33203125" style="429" customWidth="1"/>
    <col min="8" max="8" width="16.109375" style="431" customWidth="1"/>
    <col min="9" max="9" width="16.33203125" style="344" bestFit="1" customWidth="1"/>
    <col min="10" max="10" width="35" style="344" customWidth="1"/>
    <col min="11" max="11" width="9.44140625" style="344" bestFit="1" customWidth="1"/>
    <col min="12" max="12" width="12.44140625" style="344" bestFit="1" customWidth="1"/>
    <col min="13" max="13" width="12.6640625" style="344" customWidth="1"/>
    <col min="14" max="14" width="14.33203125" style="344" bestFit="1" customWidth="1"/>
    <col min="15" max="15" width="17.33203125" style="344" customWidth="1"/>
    <col min="16" max="16" width="9.109375" style="344" bestFit="1" customWidth="1"/>
    <col min="17" max="17" width="8.88671875" style="344"/>
    <col min="18" max="18" width="9.109375" style="344" bestFit="1" customWidth="1"/>
    <col min="19" max="16384" width="8.88671875" style="344"/>
  </cols>
  <sheetData>
    <row r="1" spans="1:14" s="342" customFormat="1" ht="21.9" customHeight="1">
      <c r="A1" s="338" t="s">
        <v>263</v>
      </c>
      <c r="B1" s="338"/>
      <c r="C1" s="339"/>
      <c r="D1" s="339"/>
      <c r="E1" s="339"/>
      <c r="F1" s="340"/>
      <c r="G1" s="341"/>
      <c r="H1" s="340"/>
      <c r="I1" s="339"/>
      <c r="J1" s="339"/>
      <c r="K1" s="339"/>
      <c r="L1" s="339"/>
      <c r="N1" s="343"/>
    </row>
    <row r="2" spans="1:14" s="342" customFormat="1" ht="21.9" customHeight="1">
      <c r="A2" s="338" t="s">
        <v>162</v>
      </c>
      <c r="B2" s="338"/>
      <c r="C2" s="339"/>
      <c r="D2" s="339"/>
      <c r="E2" s="339"/>
      <c r="F2" s="340"/>
      <c r="G2" s="341"/>
      <c r="H2" s="340"/>
      <c r="I2" s="339"/>
      <c r="J2" s="339"/>
      <c r="K2" s="339"/>
      <c r="L2" s="339"/>
      <c r="N2" s="343"/>
    </row>
    <row r="3" spans="1:14" ht="21" customHeight="1">
      <c r="A3" s="1150" t="s">
        <v>0</v>
      </c>
      <c r="B3" s="1150"/>
      <c r="C3" s="1150"/>
      <c r="D3" s="1150"/>
      <c r="E3" s="1150"/>
      <c r="F3" s="1150"/>
      <c r="G3" s="1150"/>
      <c r="H3" s="1150"/>
    </row>
    <row r="4" spans="1:14" ht="15.75" customHeight="1">
      <c r="A4" s="1158" t="s">
        <v>8</v>
      </c>
      <c r="B4" s="1160" t="s">
        <v>1</v>
      </c>
      <c r="C4" s="1160" t="s">
        <v>2</v>
      </c>
      <c r="D4" s="1160" t="s">
        <v>2</v>
      </c>
      <c r="E4" s="1160" t="s">
        <v>3</v>
      </c>
      <c r="F4" s="1162" t="s">
        <v>4</v>
      </c>
      <c r="G4" s="1160" t="s">
        <v>5</v>
      </c>
      <c r="H4" s="1162" t="s">
        <v>6</v>
      </c>
    </row>
    <row r="5" spans="1:14" ht="19.5" customHeight="1">
      <c r="A5" s="1158"/>
      <c r="B5" s="1160"/>
      <c r="C5" s="1160"/>
      <c r="D5" s="1160"/>
      <c r="E5" s="1160"/>
      <c r="F5" s="1162"/>
      <c r="G5" s="1160"/>
      <c r="H5" s="1162"/>
    </row>
    <row r="6" spans="1:14" s="350" customFormat="1" ht="18" customHeight="1">
      <c r="A6" s="345">
        <v>1</v>
      </c>
      <c r="B6" s="346" t="str">
        <f>VLOOKUP(A6,'Details of Measurement'!$A:$O,2,FALSE)</f>
        <v>Site  Clearing  Work</v>
      </c>
      <c r="C6" s="347">
        <f>D6</f>
        <v>3246.75</v>
      </c>
      <c r="D6" s="347">
        <f>VLOOKUP(B6,'Details of Measurement'!B:N,13,FALSE)</f>
        <v>3246.75</v>
      </c>
      <c r="E6" s="345" t="str">
        <f>VLOOKUP(B6,'Details of Measurement'!$B$6:$O$2333,14,FALSE)</f>
        <v>Sft</v>
      </c>
      <c r="F6" s="348"/>
      <c r="G6" s="349"/>
      <c r="H6" s="348">
        <f>H10</f>
        <v>707142.15000000014</v>
      </c>
      <c r="J6" s="344"/>
      <c r="K6" s="344"/>
    </row>
    <row r="7" spans="1:14" ht="18" customHeight="1">
      <c r="A7" s="351"/>
      <c r="B7" s="352" t="s">
        <v>28</v>
      </c>
      <c r="C7" s="351"/>
      <c r="D7" s="351"/>
      <c r="E7" s="351"/>
      <c r="F7" s="353"/>
      <c r="G7" s="351"/>
      <c r="H7" s="353"/>
    </row>
    <row r="8" spans="1:14" ht="18" customHeight="1">
      <c r="A8" s="351"/>
      <c r="B8" s="354" t="s">
        <v>37</v>
      </c>
      <c r="C8" s="351">
        <f>D8*1.1</f>
        <v>35.714250000000007</v>
      </c>
      <c r="D8" s="351">
        <f>D6*1/100</f>
        <v>32.467500000000001</v>
      </c>
      <c r="E8" s="351" t="s">
        <v>10</v>
      </c>
      <c r="F8" s="353">
        <f>VLOOKUP(B8,'Price '!B:D,3,FALSE)</f>
        <v>19800</v>
      </c>
      <c r="G8" s="351" t="str">
        <f>E8</f>
        <v>Nos</v>
      </c>
      <c r="H8" s="353">
        <f>C8*F8</f>
        <v>707142.15000000014</v>
      </c>
      <c r="I8" s="355"/>
    </row>
    <row r="9" spans="1:14" ht="18" customHeight="1">
      <c r="A9" s="351"/>
      <c r="B9" s="356"/>
      <c r="C9" s="351"/>
      <c r="D9" s="351"/>
      <c r="E9" s="351"/>
      <c r="F9" s="353"/>
      <c r="G9" s="351" t="s">
        <v>623</v>
      </c>
      <c r="H9" s="357">
        <f>SUM(H8)</f>
        <v>707142.15000000014</v>
      </c>
    </row>
    <row r="10" spans="1:14" ht="18" customHeight="1">
      <c r="A10" s="381"/>
      <c r="B10" s="580"/>
      <c r="C10" s="381"/>
      <c r="D10" s="381"/>
      <c r="E10" s="381"/>
      <c r="F10" s="581"/>
      <c r="G10" s="381" t="s">
        <v>85</v>
      </c>
      <c r="H10" s="579">
        <f>H9</f>
        <v>707142.15000000014</v>
      </c>
    </row>
    <row r="11" spans="1:14" ht="18" customHeight="1">
      <c r="A11" s="358"/>
      <c r="B11" s="359"/>
      <c r="C11" s="358"/>
      <c r="D11" s="358"/>
      <c r="E11" s="358"/>
      <c r="F11" s="360"/>
      <c r="G11" s="358"/>
      <c r="H11" s="361"/>
    </row>
    <row r="12" spans="1:14" s="350" customFormat="1" ht="35.25" customHeight="1">
      <c r="A12" s="362">
        <v>2</v>
      </c>
      <c r="B12" s="363" t="str">
        <f>VLOOKUP(A12,'Details of Measurement'!$A:$O,2,FALSE)</f>
        <v>Surveying  &amp;  Leveling  Work</v>
      </c>
      <c r="C12" s="364">
        <f>D12</f>
        <v>2206.75</v>
      </c>
      <c r="D12" s="364">
        <f>VLOOKUP(B12,'Details of Measurement'!B:N,13,FALSE)</f>
        <v>2206.75</v>
      </c>
      <c r="E12" s="345" t="str">
        <f>VLOOKUP(B12,'Details of Measurement'!$B$6:$O$2333,14,FALSE)</f>
        <v>Sft</v>
      </c>
      <c r="F12" s="365"/>
      <c r="G12" s="362"/>
      <c r="H12" s="348">
        <f>H23</f>
        <v>185212.52750000003</v>
      </c>
    </row>
    <row r="13" spans="1:14" ht="18" customHeight="1">
      <c r="A13" s="351"/>
      <c r="B13" s="352" t="s">
        <v>29</v>
      </c>
      <c r="C13" s="351"/>
      <c r="D13" s="351"/>
      <c r="E13" s="351"/>
      <c r="F13" s="353"/>
      <c r="G13" s="351"/>
      <c r="H13" s="353"/>
    </row>
    <row r="14" spans="1:14" ht="18" customHeight="1">
      <c r="A14" s="351"/>
      <c r="B14" s="354" t="s">
        <v>58</v>
      </c>
      <c r="C14" s="366">
        <f t="shared" ref="C14:C15" si="0">D14*1.1</f>
        <v>3.6411375000000003E-2</v>
      </c>
      <c r="D14" s="366">
        <f>(D12/10000)*(30/(50*4))</f>
        <v>3.3101249999999999E-2</v>
      </c>
      <c r="E14" s="351" t="s">
        <v>30</v>
      </c>
      <c r="F14" s="353">
        <f>VLOOKUP(B14,'Price '!B:D,3,FALSE)</f>
        <v>2500000</v>
      </c>
      <c r="G14" s="351" t="str">
        <f>E14</f>
        <v>Ton</v>
      </c>
      <c r="H14" s="353">
        <f t="shared" ref="H14:H15" si="1">C14*F14</f>
        <v>91028.4375</v>
      </c>
      <c r="J14" s="355"/>
    </row>
    <row r="15" spans="1:14" ht="18" customHeight="1">
      <c r="A15" s="351"/>
      <c r="B15" s="374" t="s">
        <v>59</v>
      </c>
      <c r="C15" s="366">
        <f t="shared" si="0"/>
        <v>0.50571354166666671</v>
      </c>
      <c r="D15" s="366">
        <f>(D12/10000)*7.5/3.6</f>
        <v>0.45973958333333337</v>
      </c>
      <c r="E15" s="351" t="s">
        <v>31</v>
      </c>
      <c r="F15" s="353">
        <f>VLOOKUP(B15,'Price '!B:D,3,FALSE)</f>
        <v>12000</v>
      </c>
      <c r="G15" s="351" t="str">
        <f>E15</f>
        <v>Viss</v>
      </c>
      <c r="H15" s="353">
        <f t="shared" si="1"/>
        <v>6068.5625000000009</v>
      </c>
      <c r="J15" s="355"/>
      <c r="L15" s="375"/>
    </row>
    <row r="16" spans="1:14" ht="18" customHeight="1">
      <c r="A16" s="351"/>
      <c r="B16" s="374"/>
      <c r="C16" s="366"/>
      <c r="D16" s="366"/>
      <c r="E16" s="351"/>
      <c r="F16" s="353"/>
      <c r="G16" s="351"/>
      <c r="H16" s="353"/>
      <c r="J16" s="355"/>
      <c r="L16" s="375"/>
    </row>
    <row r="17" spans="1:9" ht="18" customHeight="1">
      <c r="A17" s="351"/>
      <c r="B17" s="354"/>
      <c r="C17" s="351"/>
      <c r="D17" s="351"/>
      <c r="E17" s="351"/>
      <c r="F17" s="353"/>
      <c r="G17" s="351" t="s">
        <v>622</v>
      </c>
      <c r="H17" s="376">
        <f>SUM(H14:H15)</f>
        <v>97097</v>
      </c>
    </row>
    <row r="18" spans="1:9" ht="18" customHeight="1">
      <c r="A18" s="351"/>
      <c r="B18" s="352" t="s">
        <v>28</v>
      </c>
      <c r="C18" s="351"/>
      <c r="D18" s="351"/>
      <c r="E18" s="351"/>
      <c r="F18" s="353"/>
      <c r="G18" s="351"/>
      <c r="H18" s="353"/>
    </row>
    <row r="19" spans="1:9" ht="18" customHeight="1">
      <c r="A19" s="351"/>
      <c r="B19" s="377" t="s">
        <v>724</v>
      </c>
      <c r="C19" s="366">
        <f t="shared" ref="C19:C21" si="2">D19*1.1</f>
        <v>0.24274250000000003</v>
      </c>
      <c r="D19" s="366">
        <f>D12*1/10000</f>
        <v>0.22067500000000001</v>
      </c>
      <c r="E19" s="351" t="s">
        <v>10</v>
      </c>
      <c r="F19" s="353">
        <f>VLOOKUP(B19,'Price '!B:D,3,FALSE)</f>
        <v>27500</v>
      </c>
      <c r="G19" s="351" t="str">
        <f t="shared" ref="G19:G21" si="3">E19</f>
        <v>Nos</v>
      </c>
      <c r="H19" s="353">
        <f>C19*F19</f>
        <v>6675.4187500000007</v>
      </c>
      <c r="I19" s="355"/>
    </row>
    <row r="20" spans="1:9" ht="18" customHeight="1">
      <c r="A20" s="351"/>
      <c r="B20" s="377" t="s">
        <v>64</v>
      </c>
      <c r="C20" s="366">
        <f t="shared" si="2"/>
        <v>1.2137125000000002</v>
      </c>
      <c r="D20" s="366">
        <f>D12*5/10000</f>
        <v>1.103375</v>
      </c>
      <c r="E20" s="351" t="s">
        <v>10</v>
      </c>
      <c r="F20" s="353">
        <f>VLOOKUP(B20,'Price '!B:D,3,FALSE)</f>
        <v>27500</v>
      </c>
      <c r="G20" s="351" t="str">
        <f t="shared" si="3"/>
        <v>Nos</v>
      </c>
      <c r="H20" s="353">
        <f t="shared" ref="H20:H21" si="4">C20*F20</f>
        <v>33377.093750000007</v>
      </c>
      <c r="I20" s="355"/>
    </row>
    <row r="21" spans="1:9" ht="18" customHeight="1">
      <c r="A21" s="351"/>
      <c r="B21" s="354" t="s">
        <v>37</v>
      </c>
      <c r="C21" s="366">
        <f t="shared" si="2"/>
        <v>2.4274250000000004</v>
      </c>
      <c r="D21" s="366">
        <f>D12*10/10000</f>
        <v>2.20675</v>
      </c>
      <c r="E21" s="351" t="s">
        <v>10</v>
      </c>
      <c r="F21" s="353">
        <f>VLOOKUP(B21,'Price '!B:D,3,FALSE)</f>
        <v>19800</v>
      </c>
      <c r="G21" s="351" t="str">
        <f t="shared" si="3"/>
        <v>Nos</v>
      </c>
      <c r="H21" s="353">
        <f t="shared" si="4"/>
        <v>48063.015000000007</v>
      </c>
      <c r="I21" s="355"/>
    </row>
    <row r="22" spans="1:9" ht="18" customHeight="1">
      <c r="A22" s="351"/>
      <c r="B22" s="354"/>
      <c r="C22" s="366"/>
      <c r="D22" s="351"/>
      <c r="E22" s="351"/>
      <c r="F22" s="353"/>
      <c r="G22" s="351" t="s">
        <v>623</v>
      </c>
      <c r="H22" s="376">
        <f>SUM(H19:H21)</f>
        <v>88115.527500000026</v>
      </c>
    </row>
    <row r="23" spans="1:9" ht="18" customHeight="1">
      <c r="A23" s="381"/>
      <c r="B23" s="580"/>
      <c r="C23" s="381"/>
      <c r="D23" s="381"/>
      <c r="E23" s="381"/>
      <c r="F23" s="581"/>
      <c r="G23" s="381" t="s">
        <v>85</v>
      </c>
      <c r="H23" s="579">
        <f>H17+H22</f>
        <v>185212.52750000003</v>
      </c>
    </row>
    <row r="24" spans="1:9" s="350" customFormat="1" ht="35.25" customHeight="1">
      <c r="A24" s="345">
        <v>3</v>
      </c>
      <c r="B24" s="363" t="str">
        <f>VLOOKUP(A24,'Details of Measurement'!$A:$O,2,FALSE)</f>
        <v>Earth  Work  Excavating Foundation in Ordinary Soil to a depth of 5Ft.</v>
      </c>
      <c r="C24" s="347">
        <f>D24</f>
        <v>11624.03125</v>
      </c>
      <c r="D24" s="347">
        <f>VLOOKUP(B24,'Details of Measurement'!B:N,13,FALSE)</f>
        <v>11624.03125</v>
      </c>
      <c r="E24" s="345" t="str">
        <f>VLOOKUP(B24,'Details of Measurement'!$B$6:$O$2333,14,FALSE)</f>
        <v>Cft</v>
      </c>
      <c r="F24" s="1017"/>
      <c r="G24" s="345"/>
      <c r="H24" s="348">
        <f>H27</f>
        <v>5063428.0125000011</v>
      </c>
    </row>
    <row r="25" spans="1:9" ht="18" customHeight="1">
      <c r="A25" s="351"/>
      <c r="B25" s="352" t="s">
        <v>28</v>
      </c>
      <c r="C25" s="351"/>
      <c r="D25" s="351"/>
      <c r="E25" s="351"/>
      <c r="F25" s="353"/>
      <c r="G25" s="351"/>
      <c r="H25" s="353"/>
    </row>
    <row r="26" spans="1:9" ht="18" customHeight="1">
      <c r="A26" s="351"/>
      <c r="B26" s="354" t="s">
        <v>37</v>
      </c>
      <c r="C26" s="366">
        <f t="shared" ref="C26" si="5">D26*1.1</f>
        <v>255.72868750000004</v>
      </c>
      <c r="D26" s="366">
        <f>D24*2/100</f>
        <v>232.480625</v>
      </c>
      <c r="E26" s="351" t="s">
        <v>10</v>
      </c>
      <c r="F26" s="353">
        <f>VLOOKUP(B26,'Price '!B:D,3,FALSE)</f>
        <v>19800</v>
      </c>
      <c r="G26" s="351" t="str">
        <f>E26</f>
        <v>Nos</v>
      </c>
      <c r="H26" s="353">
        <f>C26*F26</f>
        <v>5063428.0125000011</v>
      </c>
      <c r="I26" s="355"/>
    </row>
    <row r="27" spans="1:9" ht="18" customHeight="1">
      <c r="A27" s="351"/>
      <c r="B27" s="356"/>
      <c r="C27" s="366"/>
      <c r="D27" s="366"/>
      <c r="E27" s="351"/>
      <c r="F27" s="353"/>
      <c r="G27" s="351" t="s">
        <v>623</v>
      </c>
      <c r="H27" s="357">
        <f>SUM(H26)</f>
        <v>5063428.0125000011</v>
      </c>
    </row>
    <row r="28" spans="1:9" ht="18" customHeight="1">
      <c r="A28" s="381"/>
      <c r="B28" s="580"/>
      <c r="C28" s="383"/>
      <c r="D28" s="383"/>
      <c r="E28" s="381"/>
      <c r="F28" s="581"/>
      <c r="G28" s="381" t="s">
        <v>85</v>
      </c>
      <c r="H28" s="579">
        <f>H27</f>
        <v>5063428.0125000011</v>
      </c>
    </row>
    <row r="29" spans="1:9" ht="18" customHeight="1">
      <c r="A29" s="358"/>
      <c r="B29" s="359"/>
      <c r="C29" s="367"/>
      <c r="D29" s="367"/>
      <c r="E29" s="358"/>
      <c r="F29" s="360"/>
      <c r="G29" s="358"/>
      <c r="H29" s="361"/>
    </row>
    <row r="30" spans="1:9" s="350" customFormat="1" ht="35.25" customHeight="1">
      <c r="A30" s="362">
        <v>4</v>
      </c>
      <c r="B30" s="363" t="str">
        <f>VLOOKUP(A30,'Details of Measurement'!$A:$O,2,FALSE)</f>
        <v>Plumb Concrete with (6"x9") Stone and (1:3:6)Lean Concrete</v>
      </c>
      <c r="C30" s="347">
        <f>D30</f>
        <v>1375.625</v>
      </c>
      <c r="D30" s="364">
        <f>VLOOKUP(B30,'Details of Measurement'!B:N,13,FALSE)</f>
        <v>1375.625</v>
      </c>
      <c r="E30" s="345" t="str">
        <f>VLOOKUP(B30,'Details of Measurement'!$B$6:$O$2333,14,FALSE)</f>
        <v>Cft</v>
      </c>
      <c r="F30" s="365"/>
      <c r="G30" s="362"/>
      <c r="H30" s="348">
        <f>H39+H51</f>
        <v>7285265.3270833343</v>
      </c>
    </row>
    <row r="31" spans="1:9" s="350" customFormat="1" ht="16.8" customHeight="1">
      <c r="A31" s="362"/>
      <c r="B31" s="409" t="s">
        <v>621</v>
      </c>
      <c r="C31" s="364">
        <f>C30*1/3</f>
        <v>458.54166666666669</v>
      </c>
      <c r="D31" s="364">
        <f>D30*1/3</f>
        <v>458.54166666666669</v>
      </c>
      <c r="E31" s="362" t="s">
        <v>21</v>
      </c>
      <c r="F31" s="365"/>
      <c r="G31" s="362"/>
      <c r="H31" s="575"/>
    </row>
    <row r="32" spans="1:9" ht="18" customHeight="1">
      <c r="A32" s="351"/>
      <c r="B32" s="352" t="s">
        <v>29</v>
      </c>
      <c r="C32" s="366"/>
      <c r="D32" s="366"/>
      <c r="E32" s="351"/>
      <c r="F32" s="353"/>
      <c r="G32" s="351"/>
      <c r="H32" s="357"/>
    </row>
    <row r="33" spans="1:12" ht="18" customHeight="1">
      <c r="A33" s="351"/>
      <c r="B33" s="374" t="s">
        <v>68</v>
      </c>
      <c r="C33" s="366">
        <f t="shared" ref="C33" si="6">D33*1.1</f>
        <v>5.296156250000001</v>
      </c>
      <c r="D33" s="366">
        <f>D31*100/100/100*1.05</f>
        <v>4.8146875000000007</v>
      </c>
      <c r="E33" s="351" t="s">
        <v>32</v>
      </c>
      <c r="F33" s="353">
        <f>VLOOKUP(B33,'Price '!B:D,3,FALSE)</f>
        <v>220000</v>
      </c>
      <c r="G33" s="351" t="str">
        <f>E33</f>
        <v>Sud</v>
      </c>
      <c r="H33" s="353">
        <f>C33*F33</f>
        <v>1165154.3750000002</v>
      </c>
    </row>
    <row r="34" spans="1:12" ht="18" customHeight="1">
      <c r="A34" s="351"/>
      <c r="B34" s="374"/>
      <c r="C34" s="366"/>
      <c r="D34" s="366"/>
      <c r="E34" s="351"/>
      <c r="F34" s="353"/>
      <c r="G34" s="351" t="s">
        <v>622</v>
      </c>
      <c r="H34" s="357">
        <f>SUM(H33:H33)</f>
        <v>1165154.3750000002</v>
      </c>
    </row>
    <row r="35" spans="1:12" ht="18" customHeight="1">
      <c r="A35" s="351"/>
      <c r="B35" s="352" t="s">
        <v>28</v>
      </c>
      <c r="C35" s="351"/>
      <c r="D35" s="351"/>
      <c r="E35" s="351"/>
      <c r="F35" s="353"/>
      <c r="G35" s="351"/>
      <c r="H35" s="353"/>
    </row>
    <row r="36" spans="1:12" ht="18" customHeight="1">
      <c r="A36" s="351"/>
      <c r="B36" s="377" t="s">
        <v>63</v>
      </c>
      <c r="C36" s="366">
        <f t="shared" ref="C36:C37" si="7">D36*1.1</f>
        <v>7.5659375000000004</v>
      </c>
      <c r="D36" s="366">
        <f>D30*0.5/100</f>
        <v>6.8781249999999998</v>
      </c>
      <c r="E36" s="351" t="s">
        <v>10</v>
      </c>
      <c r="F36" s="353">
        <f>VLOOKUP(B36,'Price '!B:D,3,FALSE)</f>
        <v>27500</v>
      </c>
      <c r="G36" s="351" t="str">
        <f t="shared" ref="G36:G37" si="8">E36</f>
        <v>Nos</v>
      </c>
      <c r="H36" s="353">
        <f t="shared" ref="H36:H37" si="9">C36*F36</f>
        <v>208063.28125</v>
      </c>
    </row>
    <row r="37" spans="1:12" ht="18" customHeight="1">
      <c r="A37" s="351"/>
      <c r="B37" s="354" t="s">
        <v>37</v>
      </c>
      <c r="C37" s="366">
        <f t="shared" si="7"/>
        <v>7.5659375000000004</v>
      </c>
      <c r="D37" s="366">
        <f>D30*0.5/100</f>
        <v>6.8781249999999998</v>
      </c>
      <c r="E37" s="351" t="s">
        <v>10</v>
      </c>
      <c r="F37" s="353">
        <f>VLOOKUP(B37,'Price '!B:D,3,FALSE)</f>
        <v>19800</v>
      </c>
      <c r="G37" s="351" t="str">
        <f t="shared" si="8"/>
        <v>Nos</v>
      </c>
      <c r="H37" s="353">
        <f t="shared" si="9"/>
        <v>149805.5625</v>
      </c>
    </row>
    <row r="38" spans="1:12" ht="18" customHeight="1">
      <c r="A38" s="351"/>
      <c r="B38" s="354"/>
      <c r="C38" s="351"/>
      <c r="D38" s="351"/>
      <c r="E38" s="351"/>
      <c r="F38" s="353"/>
      <c r="G38" s="351" t="s">
        <v>623</v>
      </c>
      <c r="H38" s="376">
        <f>SUM(H36:H37)</f>
        <v>357868.84375</v>
      </c>
    </row>
    <row r="39" spans="1:12" ht="18" customHeight="1">
      <c r="A39" s="351"/>
      <c r="B39" s="356"/>
      <c r="C39" s="351"/>
      <c r="D39" s="351"/>
      <c r="E39" s="351"/>
      <c r="F39" s="353"/>
      <c r="G39" s="351" t="s">
        <v>85</v>
      </c>
      <c r="H39" s="357">
        <f>H34+H38</f>
        <v>1523023.2187500002</v>
      </c>
    </row>
    <row r="40" spans="1:12" ht="18" customHeight="1">
      <c r="A40" s="351"/>
      <c r="B40" s="354"/>
      <c r="C40" s="366"/>
      <c r="D40" s="366"/>
      <c r="E40" s="351"/>
      <c r="F40" s="353"/>
      <c r="G40" s="351"/>
      <c r="H40" s="579"/>
    </row>
    <row r="41" spans="1:12" s="350" customFormat="1" ht="16.8" customHeight="1">
      <c r="A41" s="389"/>
      <c r="B41" s="576" t="s">
        <v>620</v>
      </c>
      <c r="C41" s="577">
        <f>C30*2/3</f>
        <v>917.08333333333337</v>
      </c>
      <c r="D41" s="577">
        <f>D30*2/3</f>
        <v>917.08333333333337</v>
      </c>
      <c r="E41" s="389" t="s">
        <v>21</v>
      </c>
      <c r="F41" s="357"/>
      <c r="G41" s="389"/>
      <c r="H41" s="578">
        <f>H51</f>
        <v>5762242.1083333343</v>
      </c>
      <c r="K41" s="350">
        <v>275.125</v>
      </c>
      <c r="L41" s="350">
        <f>D30*2/3</f>
        <v>917.08333333333337</v>
      </c>
    </row>
    <row r="42" spans="1:12" ht="18" customHeight="1">
      <c r="A42" s="351"/>
      <c r="B42" s="352" t="s">
        <v>29</v>
      </c>
      <c r="C42" s="366"/>
      <c r="D42" s="366"/>
      <c r="E42" s="351"/>
      <c r="F42" s="353"/>
      <c r="G42" s="351"/>
      <c r="H42" s="357"/>
      <c r="K42" s="350"/>
      <c r="L42" s="350"/>
    </row>
    <row r="43" spans="1:12" ht="18" customHeight="1">
      <c r="A43" s="351"/>
      <c r="B43" s="379" t="s">
        <v>102</v>
      </c>
      <c r="C43" s="366">
        <f t="shared" ref="C43:C45" si="10">D43*1.1</f>
        <v>129.70099999999999</v>
      </c>
      <c r="D43" s="366">
        <f>ROUND(D41*1440/112/100,2)</f>
        <v>117.91</v>
      </c>
      <c r="E43" s="351" t="s">
        <v>33</v>
      </c>
      <c r="F43" s="353">
        <f>VLOOKUP(B43,'Price '!B:D,3,FALSE)</f>
        <v>18400</v>
      </c>
      <c r="G43" s="351" t="str">
        <f t="shared" ref="G43:G45" si="11">E43</f>
        <v>Bag</v>
      </c>
      <c r="H43" s="353">
        <f t="shared" ref="H43:H45" si="12">C43*F43</f>
        <v>2386498.4</v>
      </c>
      <c r="J43" s="355"/>
      <c r="K43" s="574"/>
      <c r="L43" s="574"/>
    </row>
    <row r="44" spans="1:12" ht="18" customHeight="1">
      <c r="A44" s="351"/>
      <c r="B44" s="354" t="s">
        <v>36</v>
      </c>
      <c r="C44" s="366">
        <f t="shared" si="10"/>
        <v>4.8400000000000007</v>
      </c>
      <c r="D44" s="366">
        <f>ROUND(D41*48/100/100,2)</f>
        <v>4.4000000000000004</v>
      </c>
      <c r="E44" s="351" t="s">
        <v>32</v>
      </c>
      <c r="F44" s="353">
        <f>VLOOKUP(B44,'Price '!B:D,3,FALSE)</f>
        <v>50000</v>
      </c>
      <c r="G44" s="351" t="str">
        <f t="shared" si="11"/>
        <v>Sud</v>
      </c>
      <c r="H44" s="353">
        <f t="shared" si="12"/>
        <v>242000.00000000003</v>
      </c>
      <c r="J44" s="355"/>
      <c r="K44" s="366">
        <f>ROUND(K41*1440/112/100,2)</f>
        <v>35.369999999999997</v>
      </c>
      <c r="L44" s="366">
        <f>ROUND(L41*1440/112/100,2)</f>
        <v>117.91</v>
      </c>
    </row>
    <row r="45" spans="1:12" ht="18" customHeight="1">
      <c r="A45" s="351"/>
      <c r="B45" s="379" t="s">
        <v>123</v>
      </c>
      <c r="C45" s="366">
        <f t="shared" si="10"/>
        <v>9.6800000000000015</v>
      </c>
      <c r="D45" s="366">
        <f>ROUND(D41*96/100/100,2)</f>
        <v>8.8000000000000007</v>
      </c>
      <c r="E45" s="351" t="s">
        <v>32</v>
      </c>
      <c r="F45" s="353">
        <f>VLOOKUP(B45,'Price '!B:D,3,FALSE)</f>
        <v>130000</v>
      </c>
      <c r="G45" s="351" t="str">
        <f t="shared" si="11"/>
        <v>Sud</v>
      </c>
      <c r="H45" s="353">
        <f t="shared" si="12"/>
        <v>1258400.0000000002</v>
      </c>
      <c r="J45" s="355"/>
      <c r="K45" s="366">
        <f>ROUND(K41*48/100/100,2)</f>
        <v>1.32</v>
      </c>
      <c r="L45" s="366">
        <f>ROUND(L41*48/100/100,2)</f>
        <v>4.4000000000000004</v>
      </c>
    </row>
    <row r="46" spans="1:12" ht="18" customHeight="1">
      <c r="A46" s="351"/>
      <c r="B46" s="374"/>
      <c r="C46" s="366"/>
      <c r="D46" s="366"/>
      <c r="E46" s="351"/>
      <c r="F46" s="353"/>
      <c r="G46" s="351" t="s">
        <v>622</v>
      </c>
      <c r="H46" s="353">
        <f>SUM(H43:H45)</f>
        <v>3886898.4000000004</v>
      </c>
      <c r="K46" s="366">
        <f>ROUND(K41*96/100/100,2)</f>
        <v>2.64</v>
      </c>
      <c r="L46" s="366">
        <f>ROUND(L41*96/100/100,2)</f>
        <v>8.8000000000000007</v>
      </c>
    </row>
    <row r="47" spans="1:12" ht="18" customHeight="1">
      <c r="A47" s="351"/>
      <c r="B47" s="352" t="s">
        <v>28</v>
      </c>
      <c r="C47" s="351"/>
      <c r="D47" s="351"/>
      <c r="E47" s="351"/>
      <c r="F47" s="353"/>
      <c r="G47" s="351"/>
      <c r="H47" s="353"/>
      <c r="K47" s="366"/>
      <c r="L47" s="366"/>
    </row>
    <row r="48" spans="1:12" ht="18" customHeight="1">
      <c r="A48" s="351"/>
      <c r="B48" s="377" t="s">
        <v>63</v>
      </c>
      <c r="C48" s="366">
        <f t="shared" ref="C48:C49" si="13">D48*1.1</f>
        <v>10.087916666666668</v>
      </c>
      <c r="D48" s="366">
        <f>D41*1/100</f>
        <v>9.1708333333333343</v>
      </c>
      <c r="E48" s="351" t="s">
        <v>10</v>
      </c>
      <c r="F48" s="353">
        <f>VLOOKUP(B48,'Price '!B:D,3,FALSE)</f>
        <v>27500</v>
      </c>
      <c r="G48" s="351" t="str">
        <f t="shared" ref="G48:G49" si="14">E48</f>
        <v>Nos</v>
      </c>
      <c r="H48" s="353">
        <f t="shared" ref="H48:H49" si="15">C48*F48</f>
        <v>277417.70833333337</v>
      </c>
      <c r="K48" s="366"/>
      <c r="L48" s="366"/>
    </row>
    <row r="49" spans="1:12" ht="18" customHeight="1">
      <c r="A49" s="351"/>
      <c r="B49" s="354" t="s">
        <v>37</v>
      </c>
      <c r="C49" s="366">
        <f t="shared" si="13"/>
        <v>80.703333333333347</v>
      </c>
      <c r="D49" s="366">
        <f>D41*8/100</f>
        <v>73.366666666666674</v>
      </c>
      <c r="E49" s="351" t="s">
        <v>10</v>
      </c>
      <c r="F49" s="353">
        <f>VLOOKUP(B49,'Price '!B:D,3,FALSE)</f>
        <v>19800</v>
      </c>
      <c r="G49" s="351" t="str">
        <f t="shared" si="14"/>
        <v>Nos</v>
      </c>
      <c r="H49" s="353">
        <f t="shared" si="15"/>
        <v>1597926.0000000002</v>
      </c>
      <c r="K49" s="366"/>
      <c r="L49" s="366"/>
    </row>
    <row r="50" spans="1:12" ht="18" customHeight="1">
      <c r="A50" s="351"/>
      <c r="B50" s="354"/>
      <c r="C50" s="351"/>
      <c r="D50" s="351"/>
      <c r="E50" s="351"/>
      <c r="F50" s="353"/>
      <c r="G50" s="351" t="s">
        <v>623</v>
      </c>
      <c r="H50" s="376">
        <f>SUM(H48:H49)</f>
        <v>1875343.7083333335</v>
      </c>
      <c r="K50" s="366">
        <f>K41*1/100</f>
        <v>2.7512500000000002</v>
      </c>
      <c r="L50" s="366">
        <f>L41*1/100</f>
        <v>9.1708333333333343</v>
      </c>
    </row>
    <row r="51" spans="1:12" ht="18" customHeight="1">
      <c r="A51" s="351"/>
      <c r="B51" s="356"/>
      <c r="C51" s="351"/>
      <c r="D51" s="351"/>
      <c r="E51" s="351"/>
      <c r="F51" s="353"/>
      <c r="G51" s="351" t="s">
        <v>85</v>
      </c>
      <c r="H51" s="357">
        <f>H46+H50</f>
        <v>5762242.1083333343</v>
      </c>
      <c r="K51" s="367">
        <f>K41*8/100</f>
        <v>22.01</v>
      </c>
      <c r="L51" s="367">
        <f>L41*8/100</f>
        <v>73.366666666666674</v>
      </c>
    </row>
    <row r="52" spans="1:12" ht="18" customHeight="1">
      <c r="A52" s="368"/>
      <c r="B52" s="369"/>
      <c r="C52" s="370"/>
      <c r="D52" s="370"/>
      <c r="E52" s="368"/>
      <c r="F52" s="371"/>
      <c r="G52" s="368"/>
      <c r="H52" s="372"/>
    </row>
    <row r="53" spans="1:12" s="350" customFormat="1" ht="18" customHeight="1">
      <c r="A53" s="362">
        <v>5</v>
      </c>
      <c r="B53" s="373" t="str">
        <f>VLOOKUP(A53,'Details of Measurement'!$A:$O,2,FALSE)</f>
        <v>Hardcore Filling Work</v>
      </c>
      <c r="C53" s="364">
        <f>D53</f>
        <v>454.10416666666663</v>
      </c>
      <c r="D53" s="364">
        <f>VLOOKUP(B53,'Details of Measurement'!B:N,13,FALSE)</f>
        <v>454.10416666666663</v>
      </c>
      <c r="E53" s="362" t="str">
        <f>VLOOKUP(B53,'Details of Measurement'!$B$6:$O$2333,14,FALSE)</f>
        <v>Cft</v>
      </c>
      <c r="F53" s="365"/>
      <c r="G53" s="362"/>
      <c r="H53" s="365">
        <f>H62</f>
        <v>1346941.0739583333</v>
      </c>
    </row>
    <row r="54" spans="1:12" ht="18" customHeight="1">
      <c r="A54" s="351"/>
      <c r="B54" s="352" t="s">
        <v>29</v>
      </c>
      <c r="C54" s="351"/>
      <c r="D54" s="351"/>
      <c r="E54" s="351"/>
      <c r="F54" s="353"/>
      <c r="G54" s="351"/>
      <c r="H54" s="353"/>
    </row>
    <row r="55" spans="1:12" ht="18" customHeight="1">
      <c r="A55" s="351"/>
      <c r="B55" s="354" t="s">
        <v>36</v>
      </c>
      <c r="C55" s="366">
        <f t="shared" ref="C55:C56" si="16">D55*1.1</f>
        <v>1.4985437499999998</v>
      </c>
      <c r="D55" s="366">
        <f>D53*30/100/100</f>
        <v>1.3623124999999998</v>
      </c>
      <c r="E55" s="351" t="s">
        <v>32</v>
      </c>
      <c r="F55" s="353">
        <f>VLOOKUP(B55,'Price '!B:D,3,FALSE)</f>
        <v>50000</v>
      </c>
      <c r="G55" s="351" t="str">
        <f t="shared" ref="G55:G56" si="17">E55</f>
        <v>Sud</v>
      </c>
      <c r="H55" s="353">
        <f t="shared" ref="H55:H56" si="18">C55*F55</f>
        <v>74927.187499999985</v>
      </c>
      <c r="J55" s="355"/>
    </row>
    <row r="56" spans="1:12" ht="18" customHeight="1">
      <c r="A56" s="351"/>
      <c r="B56" s="374" t="s">
        <v>68</v>
      </c>
      <c r="C56" s="366">
        <f t="shared" si="16"/>
        <v>5.2449031250000004</v>
      </c>
      <c r="D56" s="366">
        <f>D53*100/100/100*1.05</f>
        <v>4.7680937500000002</v>
      </c>
      <c r="E56" s="351" t="s">
        <v>32</v>
      </c>
      <c r="F56" s="353">
        <f>VLOOKUP(B56,'Price '!B:D,3,FALSE)</f>
        <v>220000</v>
      </c>
      <c r="G56" s="351" t="str">
        <f t="shared" si="17"/>
        <v>Sud</v>
      </c>
      <c r="H56" s="353">
        <f t="shared" si="18"/>
        <v>1153878.6875</v>
      </c>
      <c r="J56" s="355"/>
      <c r="L56" s="375"/>
    </row>
    <row r="57" spans="1:12" ht="18" customHeight="1">
      <c r="A57" s="351"/>
      <c r="B57" s="354"/>
      <c r="C57" s="351"/>
      <c r="D57" s="351"/>
      <c r="E57" s="351"/>
      <c r="F57" s="353"/>
      <c r="G57" s="351" t="s">
        <v>622</v>
      </c>
      <c r="H57" s="376">
        <f>SUM(H55:H56)</f>
        <v>1228805.875</v>
      </c>
    </row>
    <row r="58" spans="1:12" ht="18" customHeight="1">
      <c r="A58" s="351"/>
      <c r="B58" s="352" t="s">
        <v>28</v>
      </c>
      <c r="C58" s="351"/>
      <c r="D58" s="351"/>
      <c r="E58" s="351"/>
      <c r="F58" s="353"/>
      <c r="G58" s="351"/>
      <c r="H58" s="353"/>
    </row>
    <row r="59" spans="1:12" ht="18" customHeight="1">
      <c r="A59" s="351"/>
      <c r="B59" s="377" t="s">
        <v>63</v>
      </c>
      <c r="C59" s="366">
        <f t="shared" ref="C59:C60" si="19">D59*1.1</f>
        <v>2.4975729166666669</v>
      </c>
      <c r="D59" s="366">
        <f>D53*0.5/100</f>
        <v>2.2705208333333333</v>
      </c>
      <c r="E59" s="351" t="s">
        <v>10</v>
      </c>
      <c r="F59" s="353">
        <f>VLOOKUP(B59,'Price '!B:D,3,FALSE)</f>
        <v>27500</v>
      </c>
      <c r="G59" s="351" t="str">
        <f t="shared" ref="G59:G60" si="20">E59</f>
        <v>Nos</v>
      </c>
      <c r="H59" s="353">
        <f t="shared" ref="H59:H60" si="21">C59*F59</f>
        <v>68683.255208333343</v>
      </c>
      <c r="I59" s="355"/>
    </row>
    <row r="60" spans="1:12" ht="18" customHeight="1">
      <c r="A60" s="351"/>
      <c r="B60" s="354" t="s">
        <v>37</v>
      </c>
      <c r="C60" s="366">
        <f t="shared" si="19"/>
        <v>2.4975729166666669</v>
      </c>
      <c r="D60" s="366">
        <f>D53*0.5/100</f>
        <v>2.2705208333333333</v>
      </c>
      <c r="E60" s="351" t="s">
        <v>10</v>
      </c>
      <c r="F60" s="353">
        <f>VLOOKUP(B60,'Price '!B:D,3,FALSE)</f>
        <v>19800</v>
      </c>
      <c r="G60" s="351" t="str">
        <f t="shared" si="20"/>
        <v>Nos</v>
      </c>
      <c r="H60" s="353">
        <f t="shared" si="21"/>
        <v>49451.943750000006</v>
      </c>
      <c r="I60" s="355"/>
    </row>
    <row r="61" spans="1:12" ht="18" customHeight="1">
      <c r="A61" s="351"/>
      <c r="B61" s="354"/>
      <c r="C61" s="351"/>
      <c r="D61" s="351"/>
      <c r="E61" s="351"/>
      <c r="F61" s="353"/>
      <c r="G61" s="351" t="s">
        <v>623</v>
      </c>
      <c r="H61" s="376">
        <f>SUM(H59:H60)</f>
        <v>118135.19895833335</v>
      </c>
    </row>
    <row r="62" spans="1:12" ht="18" customHeight="1">
      <c r="A62" s="351"/>
      <c r="B62" s="356"/>
      <c r="C62" s="351"/>
      <c r="D62" s="351"/>
      <c r="E62" s="351"/>
      <c r="F62" s="353"/>
      <c r="G62" s="351" t="s">
        <v>85</v>
      </c>
      <c r="H62" s="357">
        <f>H57+H61</f>
        <v>1346941.0739583333</v>
      </c>
    </row>
    <row r="63" spans="1:12" ht="18" customHeight="1">
      <c r="A63" s="358"/>
      <c r="B63" s="378"/>
      <c r="C63" s="358"/>
      <c r="D63" s="358"/>
      <c r="E63" s="358"/>
      <c r="F63" s="360"/>
      <c r="G63" s="358"/>
      <c r="H63" s="360"/>
    </row>
    <row r="64" spans="1:12" s="350" customFormat="1" ht="18" customHeight="1">
      <c r="A64" s="362">
        <v>6</v>
      </c>
      <c r="B64" s="346" t="str">
        <f>VLOOKUP(A64,'Details of Measurement'!$A:$O,2,FALSE)</f>
        <v>1:3:6 Lean  Concrete  Laying Work</v>
      </c>
      <c r="C64" s="364">
        <f>D64</f>
        <v>779.45833333333326</v>
      </c>
      <c r="D64" s="364">
        <f>VLOOKUP(B64,'Details of Measurement'!B:N,13,FALSE)</f>
        <v>779.45833333333326</v>
      </c>
      <c r="E64" s="345" t="str">
        <f>VLOOKUP(B64,'Details of Measurement'!$B$6:$O$2333,14,FALSE)</f>
        <v>Cft</v>
      </c>
      <c r="F64" s="365"/>
      <c r="G64" s="362"/>
      <c r="H64" s="365">
        <f>H74</f>
        <v>4898105.031547619</v>
      </c>
    </row>
    <row r="65" spans="1:10" ht="18" customHeight="1">
      <c r="A65" s="351"/>
      <c r="B65" s="352" t="s">
        <v>29</v>
      </c>
      <c r="C65" s="351"/>
      <c r="D65" s="351"/>
      <c r="E65" s="351"/>
      <c r="F65" s="353"/>
      <c r="G65" s="351"/>
      <c r="H65" s="353"/>
    </row>
    <row r="66" spans="1:10" ht="18" customHeight="1">
      <c r="A66" s="351"/>
      <c r="B66" s="379" t="s">
        <v>102</v>
      </c>
      <c r="C66" s="366">
        <f t="shared" ref="C66:C68" si="22">D66*1.1</f>
        <v>110.23767857142857</v>
      </c>
      <c r="D66" s="366">
        <f>D64*1440/112/100</f>
        <v>100.21607142857142</v>
      </c>
      <c r="E66" s="351" t="s">
        <v>33</v>
      </c>
      <c r="F66" s="353">
        <f>VLOOKUP(B66,'Price '!B:D,3,FALSE)</f>
        <v>18400</v>
      </c>
      <c r="G66" s="351" t="str">
        <f t="shared" ref="G66:G68" si="23">E66</f>
        <v>Bag</v>
      </c>
      <c r="H66" s="353">
        <f t="shared" ref="H66:H68" si="24">C66*F66</f>
        <v>2028373.2857142857</v>
      </c>
      <c r="J66" s="355"/>
    </row>
    <row r="67" spans="1:10" ht="18" customHeight="1">
      <c r="A67" s="351"/>
      <c r="B67" s="354" t="s">
        <v>36</v>
      </c>
      <c r="C67" s="366">
        <f t="shared" si="22"/>
        <v>4.1155400000000002</v>
      </c>
      <c r="D67" s="366">
        <f>D64*48/100/100</f>
        <v>3.7414000000000001</v>
      </c>
      <c r="E67" s="351" t="s">
        <v>32</v>
      </c>
      <c r="F67" s="353">
        <f>VLOOKUP(B67,'Price '!B:D,3,FALSE)</f>
        <v>50000</v>
      </c>
      <c r="G67" s="351" t="str">
        <f t="shared" si="23"/>
        <v>Sud</v>
      </c>
      <c r="H67" s="353">
        <f t="shared" si="24"/>
        <v>205777</v>
      </c>
      <c r="J67" s="355"/>
    </row>
    <row r="68" spans="1:10" ht="18" customHeight="1">
      <c r="A68" s="351"/>
      <c r="B68" s="379" t="s">
        <v>123</v>
      </c>
      <c r="C68" s="366">
        <f t="shared" si="22"/>
        <v>8.2310800000000004</v>
      </c>
      <c r="D68" s="366">
        <f>D64*96/100/100</f>
        <v>7.4828000000000001</v>
      </c>
      <c r="E68" s="351" t="s">
        <v>32</v>
      </c>
      <c r="F68" s="353">
        <f>VLOOKUP(B68,'Price '!B:D,3,FALSE)</f>
        <v>130000</v>
      </c>
      <c r="G68" s="351" t="str">
        <f t="shared" si="23"/>
        <v>Sud</v>
      </c>
      <c r="H68" s="353">
        <f t="shared" si="24"/>
        <v>1070040.4000000001</v>
      </c>
      <c r="J68" s="355"/>
    </row>
    <row r="69" spans="1:10" ht="18" customHeight="1">
      <c r="A69" s="351"/>
      <c r="B69" s="354"/>
      <c r="C69" s="351"/>
      <c r="D69" s="351"/>
      <c r="E69" s="351"/>
      <c r="F69" s="353"/>
      <c r="G69" s="351" t="s">
        <v>622</v>
      </c>
      <c r="H69" s="376">
        <f>SUM(H66:H68)</f>
        <v>3304190.6857142858</v>
      </c>
    </row>
    <row r="70" spans="1:10" ht="18" customHeight="1">
      <c r="A70" s="351"/>
      <c r="B70" s="352" t="s">
        <v>28</v>
      </c>
      <c r="C70" s="351"/>
      <c r="D70" s="351"/>
      <c r="E70" s="351"/>
      <c r="F70" s="353"/>
      <c r="G70" s="351"/>
      <c r="H70" s="353"/>
    </row>
    <row r="71" spans="1:10" ht="18" customHeight="1">
      <c r="A71" s="351"/>
      <c r="B71" s="377" t="s">
        <v>63</v>
      </c>
      <c r="C71" s="366">
        <f t="shared" ref="C71:C72" si="25">D71*1.1</f>
        <v>8.5740416666666661</v>
      </c>
      <c r="D71" s="366">
        <f>D64*1/100</f>
        <v>7.7945833333333328</v>
      </c>
      <c r="E71" s="351" t="s">
        <v>10</v>
      </c>
      <c r="F71" s="353">
        <f>VLOOKUP(B71,'Price '!B:D,3,FALSE)</f>
        <v>27500</v>
      </c>
      <c r="G71" s="351" t="str">
        <f t="shared" ref="G71:G72" si="26">E71</f>
        <v>Nos</v>
      </c>
      <c r="H71" s="353">
        <f t="shared" ref="H71:H72" si="27">C71*F71</f>
        <v>235786.14583333331</v>
      </c>
      <c r="I71" s="355"/>
    </row>
    <row r="72" spans="1:10" ht="18" customHeight="1">
      <c r="A72" s="351"/>
      <c r="B72" s="354" t="s">
        <v>37</v>
      </c>
      <c r="C72" s="366">
        <f t="shared" si="25"/>
        <v>68.592333333333329</v>
      </c>
      <c r="D72" s="366">
        <f>D64*8/100</f>
        <v>62.356666666666662</v>
      </c>
      <c r="E72" s="351" t="s">
        <v>10</v>
      </c>
      <c r="F72" s="353">
        <f>VLOOKUP(B72,'Price '!B:D,3,FALSE)</f>
        <v>19800</v>
      </c>
      <c r="G72" s="351" t="str">
        <f t="shared" si="26"/>
        <v>Nos</v>
      </c>
      <c r="H72" s="353">
        <f t="shared" si="27"/>
        <v>1358128.2</v>
      </c>
      <c r="I72" s="355"/>
    </row>
    <row r="73" spans="1:10" ht="18" customHeight="1">
      <c r="A73" s="351"/>
      <c r="B73" s="354"/>
      <c r="C73" s="351"/>
      <c r="D73" s="351"/>
      <c r="E73" s="351"/>
      <c r="F73" s="353"/>
      <c r="G73" s="351" t="s">
        <v>623</v>
      </c>
      <c r="H73" s="376">
        <f>SUM(H71:H72)</f>
        <v>1593914.3458333332</v>
      </c>
    </row>
    <row r="74" spans="1:10" ht="18" customHeight="1">
      <c r="A74" s="351"/>
      <c r="B74" s="356"/>
      <c r="C74" s="351"/>
      <c r="D74" s="351"/>
      <c r="E74" s="351"/>
      <c r="F74" s="353"/>
      <c r="G74" s="351" t="s">
        <v>85</v>
      </c>
      <c r="H74" s="357">
        <f>H69+H73</f>
        <v>4898105.031547619</v>
      </c>
    </row>
    <row r="75" spans="1:10" ht="18" customHeight="1">
      <c r="A75" s="358"/>
      <c r="B75" s="380"/>
      <c r="C75" s="358"/>
      <c r="D75" s="358"/>
      <c r="E75" s="358"/>
      <c r="F75" s="360"/>
      <c r="G75" s="358"/>
      <c r="H75" s="361"/>
    </row>
    <row r="76" spans="1:10" s="350" customFormat="1" ht="18" customHeight="1">
      <c r="A76" s="362">
        <v>7</v>
      </c>
      <c r="B76" s="346" t="str">
        <f>VLOOKUP(A76,'Details of Measurement'!$A:$O,2,FALSE)</f>
        <v>Sand  Filling  Work</v>
      </c>
      <c r="C76" s="364">
        <f>D76</f>
        <v>2236.875</v>
      </c>
      <c r="D76" s="364">
        <f>VLOOKUP(B76,'Details of Measurement'!B:N,13,FALSE)</f>
        <v>2236.875</v>
      </c>
      <c r="E76" s="345" t="str">
        <f>VLOOKUP(B76,'Details of Measurement'!$B$6:$O$2333,14,FALSE)</f>
        <v>Cft</v>
      </c>
      <c r="F76" s="365"/>
      <c r="G76" s="362"/>
      <c r="H76" s="365">
        <f>H84</f>
        <v>2025042.9375</v>
      </c>
    </row>
    <row r="77" spans="1:10" ht="18" customHeight="1">
      <c r="A77" s="351"/>
      <c r="B77" s="354" t="s">
        <v>20</v>
      </c>
      <c r="C77" s="351"/>
      <c r="D77" s="351"/>
      <c r="E77" s="351"/>
      <c r="F77" s="353"/>
      <c r="G77" s="351"/>
      <c r="H77" s="353"/>
    </row>
    <row r="78" spans="1:10" ht="18" customHeight="1">
      <c r="A78" s="351"/>
      <c r="B78" s="352" t="s">
        <v>29</v>
      </c>
      <c r="C78" s="351"/>
      <c r="D78" s="351"/>
      <c r="E78" s="351"/>
      <c r="F78" s="353"/>
      <c r="G78" s="351"/>
      <c r="H78" s="353"/>
    </row>
    <row r="79" spans="1:10" ht="18" customHeight="1">
      <c r="A79" s="351"/>
      <c r="B79" s="374" t="s">
        <v>36</v>
      </c>
      <c r="C79" s="366">
        <f t="shared" ref="C79" si="28">D79*1.1</f>
        <v>30.757031250000001</v>
      </c>
      <c r="D79" s="366">
        <f>D76*125/100/100</f>
        <v>27.9609375</v>
      </c>
      <c r="E79" s="351" t="s">
        <v>32</v>
      </c>
      <c r="F79" s="353">
        <f>VLOOKUP(B79,'Price '!B:D,3,FALSE)</f>
        <v>50000</v>
      </c>
      <c r="G79" s="351" t="str">
        <f t="shared" ref="G79" si="29">E79</f>
        <v>Sud</v>
      </c>
      <c r="H79" s="353">
        <f>C79*F79</f>
        <v>1537851.5625</v>
      </c>
      <c r="J79" s="355"/>
    </row>
    <row r="80" spans="1:10" ht="18" customHeight="1">
      <c r="A80" s="381"/>
      <c r="B80" s="382"/>
      <c r="C80" s="383"/>
      <c r="D80" s="383"/>
      <c r="E80" s="381"/>
      <c r="F80" s="353"/>
      <c r="G80" s="351" t="s">
        <v>622</v>
      </c>
      <c r="H80" s="384">
        <f>SUM(H79)</f>
        <v>1537851.5625</v>
      </c>
    </row>
    <row r="81" spans="1:15" ht="18" customHeight="1">
      <c r="A81" s="351"/>
      <c r="B81" s="352" t="s">
        <v>28</v>
      </c>
      <c r="C81" s="351"/>
      <c r="D81" s="351"/>
      <c r="E81" s="351"/>
      <c r="F81" s="353"/>
      <c r="G81" s="351"/>
      <c r="H81" s="353"/>
    </row>
    <row r="82" spans="1:15" ht="18" customHeight="1">
      <c r="A82" s="351"/>
      <c r="B82" s="354" t="s">
        <v>37</v>
      </c>
      <c r="C82" s="366">
        <f t="shared" ref="C82" si="30">D82*1.1</f>
        <v>24.605625</v>
      </c>
      <c r="D82" s="366">
        <f>D76*1/100</f>
        <v>22.368749999999999</v>
      </c>
      <c r="E82" s="351" t="s">
        <v>10</v>
      </c>
      <c r="F82" s="353">
        <f>VLOOKUP(B82,'Price '!B:D,3,FALSE)</f>
        <v>19800</v>
      </c>
      <c r="G82" s="351" t="str">
        <f t="shared" ref="G82" si="31">E82</f>
        <v>Nos</v>
      </c>
      <c r="H82" s="353">
        <f>C82*F82</f>
        <v>487191.375</v>
      </c>
      <c r="I82" s="355"/>
    </row>
    <row r="83" spans="1:15" ht="18" customHeight="1">
      <c r="A83" s="351"/>
      <c r="B83" s="354"/>
      <c r="C83" s="351"/>
      <c r="D83" s="351"/>
      <c r="E83" s="351"/>
      <c r="F83" s="353"/>
      <c r="G83" s="351" t="s">
        <v>623</v>
      </c>
      <c r="H83" s="376">
        <f>SUM(H82)</f>
        <v>487191.375</v>
      </c>
    </row>
    <row r="84" spans="1:15" ht="18" customHeight="1">
      <c r="A84" s="351"/>
      <c r="B84" s="356"/>
      <c r="C84" s="351"/>
      <c r="D84" s="351"/>
      <c r="E84" s="351"/>
      <c r="F84" s="353"/>
      <c r="G84" s="351" t="s">
        <v>85</v>
      </c>
      <c r="H84" s="357">
        <f>H80+H83</f>
        <v>2025042.9375</v>
      </c>
    </row>
    <row r="85" spans="1:15" ht="18" customHeight="1">
      <c r="A85" s="358"/>
      <c r="B85" s="359"/>
      <c r="C85" s="1044">
        <f>SUMIF($E$87:$E$353,D87,$D$87:$D$353)</f>
        <v>0</v>
      </c>
      <c r="D85" s="1044">
        <f>SUMIF($E$87:$E$353,E87,$D$87:$D$353)</f>
        <v>6206.162274305555</v>
      </c>
      <c r="E85" s="1045" t="str">
        <f>E86</f>
        <v>Cft</v>
      </c>
      <c r="F85" s="360"/>
      <c r="G85" s="358"/>
      <c r="H85" s="360"/>
    </row>
    <row r="86" spans="1:15" ht="18" customHeight="1">
      <c r="A86" s="362">
        <v>8</v>
      </c>
      <c r="B86" s="346" t="str">
        <f>VLOOKUP(A86,'Details of Measurement'!$A:$O,2,FALSE)</f>
        <v>1:2:4 Reinforced Cement  Concrete  Work</v>
      </c>
      <c r="C86" s="364">
        <f>D86</f>
        <v>6206.162274305555</v>
      </c>
      <c r="D86" s="364">
        <f>VLOOKUP(B86,'Details of Measurement'!B:N,13,FALSE)</f>
        <v>6206.162274305555</v>
      </c>
      <c r="E86" s="345" t="str">
        <f>VLOOKUP(B86,'Details of Measurement'!$B$6:$O$2333,14,FALSE)</f>
        <v>Cft</v>
      </c>
      <c r="F86" s="365"/>
      <c r="G86" s="362"/>
      <c r="H86" s="365">
        <f>SUMIF($G$88:$G$353,G99,$H$88:$H$353)</f>
        <v>57800326.88630154</v>
      </c>
      <c r="I86" s="362">
        <v>8</v>
      </c>
      <c r="J86" s="346" t="str">
        <f>VLOOKUP(I86,'Details of Measurement'!$A:$O,2,FALSE)</f>
        <v>1:2:4 Reinforced Cement  Concrete  Work</v>
      </c>
      <c r="K86" s="364">
        <f>D86</f>
        <v>6206.162274305555</v>
      </c>
      <c r="L86" s="345" t="str">
        <f>VLOOKUP(J86,'Details of Measurement'!$B$6:$O$2333,14,FALSE)</f>
        <v>Cft</v>
      </c>
      <c r="M86" s="365"/>
      <c r="N86" s="362"/>
      <c r="O86" s="365">
        <f>O99</f>
        <v>47763954.754971474</v>
      </c>
    </row>
    <row r="87" spans="1:15" ht="18" customHeight="1">
      <c r="A87" s="362"/>
      <c r="B87" s="373" t="s">
        <v>728</v>
      </c>
      <c r="C87" s="364">
        <f>D87</f>
        <v>2277.9166666666665</v>
      </c>
      <c r="D87" s="364">
        <f>'Details of Measurement'!N82</f>
        <v>2277.9166666666665</v>
      </c>
      <c r="E87" s="389" t="s">
        <v>21</v>
      </c>
      <c r="F87" s="365"/>
      <c r="G87" s="362"/>
      <c r="H87" s="365"/>
      <c r="I87" s="362"/>
      <c r="J87" s="373"/>
      <c r="K87" s="364"/>
      <c r="L87" s="362"/>
      <c r="M87" s="365"/>
      <c r="N87" s="362"/>
      <c r="O87" s="365"/>
    </row>
    <row r="88" spans="1:15" ht="18" customHeight="1">
      <c r="A88" s="351"/>
      <c r="B88" s="352" t="s">
        <v>29</v>
      </c>
      <c r="C88" s="351"/>
      <c r="D88" s="351"/>
      <c r="E88" s="351"/>
      <c r="F88" s="353"/>
      <c r="G88" s="351"/>
      <c r="H88" s="353"/>
      <c r="I88" s="351"/>
      <c r="J88" s="352" t="s">
        <v>29</v>
      </c>
      <c r="K88" s="351"/>
      <c r="L88" s="351"/>
      <c r="M88" s="353"/>
      <c r="N88" s="351"/>
      <c r="O88" s="353"/>
    </row>
    <row r="89" spans="1:15" ht="18" customHeight="1">
      <c r="A89" s="351"/>
      <c r="B89" s="1019" t="s">
        <v>102</v>
      </c>
      <c r="C89" s="366">
        <f t="shared" ref="C89:C92" si="32">D89*1.1</f>
        <v>463.10859375000001</v>
      </c>
      <c r="D89" s="366">
        <f>D87*2070/112/100</f>
        <v>421.0078125</v>
      </c>
      <c r="E89" s="351" t="s">
        <v>33</v>
      </c>
      <c r="F89" s="353">
        <f>VLOOKUP(B89,'Price '!B:D,3,FALSE)</f>
        <v>18400</v>
      </c>
      <c r="G89" s="351" t="str">
        <f t="shared" ref="G89:G92" si="33">E89</f>
        <v>Bag</v>
      </c>
      <c r="H89" s="353">
        <f t="shared" ref="H89:H92" si="34">C89*F89</f>
        <v>8521198.125</v>
      </c>
      <c r="I89" s="351"/>
      <c r="J89" s="379" t="s">
        <v>102</v>
      </c>
      <c r="K89" s="366">
        <f>K86*2070/112/100</f>
        <v>1147.0317774832588</v>
      </c>
      <c r="L89" s="351" t="s">
        <v>33</v>
      </c>
      <c r="M89" s="353">
        <f>F89</f>
        <v>18400</v>
      </c>
      <c r="N89" s="351" t="str">
        <f t="shared" ref="N89:N92" si="35">L89</f>
        <v>Bag</v>
      </c>
      <c r="O89" s="353">
        <f t="shared" ref="O89:O92" si="36">K89*M89</f>
        <v>21105384.705691963</v>
      </c>
    </row>
    <row r="90" spans="1:15" ht="18" customHeight="1">
      <c r="A90" s="351"/>
      <c r="B90" s="354" t="s">
        <v>36</v>
      </c>
      <c r="C90" s="366">
        <f t="shared" si="32"/>
        <v>11.526258333333331</v>
      </c>
      <c r="D90" s="366">
        <f>D87*46/100/100</f>
        <v>10.478416666666664</v>
      </c>
      <c r="E90" s="351" t="s">
        <v>32</v>
      </c>
      <c r="F90" s="353">
        <f>VLOOKUP(B90,'Price '!B:D,3,FALSE)</f>
        <v>50000</v>
      </c>
      <c r="G90" s="351" t="str">
        <f t="shared" si="33"/>
        <v>Sud</v>
      </c>
      <c r="H90" s="353">
        <f t="shared" si="34"/>
        <v>576312.91666666651</v>
      </c>
      <c r="I90" s="351"/>
      <c r="J90" s="354" t="s">
        <v>36</v>
      </c>
      <c r="K90" s="366">
        <f>K86*46/100/100</f>
        <v>28.548346461805554</v>
      </c>
      <c r="L90" s="351" t="s">
        <v>32</v>
      </c>
      <c r="M90" s="353">
        <f t="shared" ref="M90:M91" si="37">F90</f>
        <v>50000</v>
      </c>
      <c r="N90" s="351" t="str">
        <f t="shared" si="35"/>
        <v>Sud</v>
      </c>
      <c r="O90" s="353">
        <f t="shared" si="36"/>
        <v>1427417.3230902776</v>
      </c>
    </row>
    <row r="91" spans="1:15" ht="18" customHeight="1">
      <c r="A91" s="351"/>
      <c r="B91" s="1019" t="s">
        <v>123</v>
      </c>
      <c r="C91" s="366">
        <f t="shared" si="32"/>
        <v>23.052516666666662</v>
      </c>
      <c r="D91" s="366">
        <f>D87*92/100/100</f>
        <v>20.956833333333329</v>
      </c>
      <c r="E91" s="351" t="s">
        <v>32</v>
      </c>
      <c r="F91" s="353">
        <f>VLOOKUP(B91,'Price '!B:D,3,FALSE)</f>
        <v>130000</v>
      </c>
      <c r="G91" s="351" t="str">
        <f t="shared" si="33"/>
        <v>Sud</v>
      </c>
      <c r="H91" s="353">
        <f t="shared" si="34"/>
        <v>2996827.166666666</v>
      </c>
      <c r="I91" s="351"/>
      <c r="J91" s="379" t="s">
        <v>123</v>
      </c>
      <c r="K91" s="366">
        <f>K86*92/100/100</f>
        <v>57.096692923611108</v>
      </c>
      <c r="L91" s="351" t="s">
        <v>32</v>
      </c>
      <c r="M91" s="353">
        <f t="shared" si="37"/>
        <v>130000</v>
      </c>
      <c r="N91" s="351" t="str">
        <f t="shared" si="35"/>
        <v>Sud</v>
      </c>
      <c r="O91" s="353">
        <f t="shared" si="36"/>
        <v>7422570.0800694441</v>
      </c>
    </row>
    <row r="92" spans="1:15" ht="18" customHeight="1">
      <c r="A92" s="351"/>
      <c r="B92" s="1019" t="s">
        <v>57</v>
      </c>
      <c r="C92" s="366">
        <f t="shared" si="32"/>
        <v>50.114166666666669</v>
      </c>
      <c r="D92" s="366">
        <f>D87*2/100</f>
        <v>45.55833333333333</v>
      </c>
      <c r="E92" s="351" t="s">
        <v>35</v>
      </c>
      <c r="F92" s="353">
        <f>VLOOKUP(B92,'Price '!B:D,3,FALSE)</f>
        <v>20000</v>
      </c>
      <c r="G92" s="351" t="str">
        <f t="shared" si="33"/>
        <v>Gal</v>
      </c>
      <c r="H92" s="353">
        <f t="shared" si="34"/>
        <v>1002283.3333333334</v>
      </c>
      <c r="I92" s="351"/>
      <c r="J92" s="379" t="s">
        <v>57</v>
      </c>
      <c r="K92" s="366">
        <f>K86*2/100</f>
        <v>124.1232454861111</v>
      </c>
      <c r="L92" s="351" t="s">
        <v>35</v>
      </c>
      <c r="M92" s="353">
        <f>F92</f>
        <v>20000</v>
      </c>
      <c r="N92" s="351" t="str">
        <f t="shared" si="35"/>
        <v>Gal</v>
      </c>
      <c r="O92" s="353">
        <f t="shared" si="36"/>
        <v>2482464.909722222</v>
      </c>
    </row>
    <row r="93" spans="1:15" ht="18" customHeight="1">
      <c r="A93" s="351"/>
      <c r="B93" s="354"/>
      <c r="C93" s="351"/>
      <c r="D93" s="351"/>
      <c r="E93" s="351"/>
      <c r="F93" s="353"/>
      <c r="G93" s="351" t="s">
        <v>622</v>
      </c>
      <c r="H93" s="376">
        <f>SUM(H89:H92)</f>
        <v>13096621.541666666</v>
      </c>
      <c r="I93" s="351"/>
      <c r="J93" s="354"/>
      <c r="K93" s="351"/>
      <c r="L93" s="351"/>
      <c r="M93" s="353"/>
      <c r="N93" s="351" t="s">
        <v>622</v>
      </c>
      <c r="O93" s="376">
        <f>SUM(O89:O92)</f>
        <v>32437837.01857391</v>
      </c>
    </row>
    <row r="94" spans="1:15" ht="18" customHeight="1">
      <c r="A94" s="351"/>
      <c r="B94" s="352" t="s">
        <v>28</v>
      </c>
      <c r="C94" s="351"/>
      <c r="D94" s="351"/>
      <c r="E94" s="351"/>
      <c r="F94" s="353"/>
      <c r="G94" s="351"/>
      <c r="H94" s="353"/>
      <c r="I94" s="351"/>
      <c r="J94" s="352" t="s">
        <v>28</v>
      </c>
      <c r="K94" s="351"/>
      <c r="L94" s="351"/>
      <c r="M94" s="353"/>
      <c r="N94" s="351"/>
      <c r="O94" s="353"/>
    </row>
    <row r="95" spans="1:15" ht="18" customHeight="1">
      <c r="A95" s="351"/>
      <c r="B95" s="377" t="s">
        <v>63</v>
      </c>
      <c r="C95" s="366">
        <f t="shared" ref="C95:C97" si="38">D95*1.1</f>
        <v>50.114166666666669</v>
      </c>
      <c r="D95" s="366">
        <f>D87*2/100</f>
        <v>45.55833333333333</v>
      </c>
      <c r="E95" s="351" t="s">
        <v>10</v>
      </c>
      <c r="F95" s="353">
        <f>VLOOKUP(B95,'Price '!B:D,3,FALSE)</f>
        <v>27500</v>
      </c>
      <c r="G95" s="351" t="s">
        <v>10</v>
      </c>
      <c r="H95" s="353">
        <f t="shared" ref="H95:H97" si="39">C95*F95</f>
        <v>1378139.5833333335</v>
      </c>
      <c r="I95" s="351"/>
      <c r="J95" s="377" t="s">
        <v>63</v>
      </c>
      <c r="K95" s="366">
        <f>K86*2/100</f>
        <v>124.1232454861111</v>
      </c>
      <c r="L95" s="351" t="s">
        <v>10</v>
      </c>
      <c r="M95" s="353">
        <f>F95</f>
        <v>27500</v>
      </c>
      <c r="N95" s="351" t="s">
        <v>10</v>
      </c>
      <c r="O95" s="353">
        <f>K95*M95</f>
        <v>3413389.2508680555</v>
      </c>
    </row>
    <row r="96" spans="1:15" ht="18" customHeight="1">
      <c r="A96" s="351"/>
      <c r="B96" s="354" t="s">
        <v>37</v>
      </c>
      <c r="C96" s="366">
        <f t="shared" si="38"/>
        <v>225.51375000000002</v>
      </c>
      <c r="D96" s="366">
        <f>D87*9/100</f>
        <v>205.01249999999999</v>
      </c>
      <c r="E96" s="351" t="s">
        <v>10</v>
      </c>
      <c r="F96" s="353">
        <f>VLOOKUP(B96,'Price '!B:D,3,FALSE)</f>
        <v>19800</v>
      </c>
      <c r="G96" s="351" t="s">
        <v>10</v>
      </c>
      <c r="H96" s="353">
        <f t="shared" si="39"/>
        <v>4465172.25</v>
      </c>
      <c r="I96" s="351"/>
      <c r="J96" s="354" t="s">
        <v>37</v>
      </c>
      <c r="K96" s="366">
        <f>K86*9/100</f>
        <v>558.55460468749993</v>
      </c>
      <c r="L96" s="351" t="s">
        <v>10</v>
      </c>
      <c r="M96" s="353">
        <f t="shared" ref="M96:M97" si="40">F96</f>
        <v>19800</v>
      </c>
      <c r="N96" s="351" t="s">
        <v>10</v>
      </c>
      <c r="O96" s="353">
        <f>K96*M96</f>
        <v>11059381.172812499</v>
      </c>
    </row>
    <row r="97" spans="1:15" ht="18" customHeight="1">
      <c r="A97" s="351"/>
      <c r="B97" s="354" t="s">
        <v>67</v>
      </c>
      <c r="C97" s="366">
        <f t="shared" si="38"/>
        <v>12.528541666666667</v>
      </c>
      <c r="D97" s="366">
        <f>D87*0.5/100</f>
        <v>11.389583333333333</v>
      </c>
      <c r="E97" s="351" t="s">
        <v>10</v>
      </c>
      <c r="F97" s="353">
        <f>VLOOKUP(B97,'Price '!B:D,3,FALSE)</f>
        <v>27500</v>
      </c>
      <c r="G97" s="351" t="s">
        <v>10</v>
      </c>
      <c r="H97" s="353">
        <f t="shared" si="39"/>
        <v>344534.89583333337</v>
      </c>
      <c r="I97" s="351"/>
      <c r="J97" s="354" t="s">
        <v>67</v>
      </c>
      <c r="K97" s="366">
        <f>K86*0.5/100</f>
        <v>31.030811371527776</v>
      </c>
      <c r="L97" s="351" t="s">
        <v>10</v>
      </c>
      <c r="M97" s="353">
        <f t="shared" si="40"/>
        <v>27500</v>
      </c>
      <c r="N97" s="351" t="s">
        <v>10</v>
      </c>
      <c r="O97" s="353">
        <f>K97*M97</f>
        <v>853347.31271701388</v>
      </c>
    </row>
    <row r="98" spans="1:15" ht="18" customHeight="1">
      <c r="A98" s="351"/>
      <c r="B98" s="354"/>
      <c r="C98" s="351"/>
      <c r="D98" s="351"/>
      <c r="E98" s="351"/>
      <c r="F98" s="353"/>
      <c r="G98" s="351" t="s">
        <v>623</v>
      </c>
      <c r="H98" s="376">
        <f>SUM(H95:H97)</f>
        <v>6187846.729166667</v>
      </c>
      <c r="I98" s="351"/>
      <c r="J98" s="354"/>
      <c r="K98" s="351"/>
      <c r="L98" s="351"/>
      <c r="M98" s="353"/>
      <c r="N98" s="351" t="s">
        <v>623</v>
      </c>
      <c r="O98" s="376">
        <f>SUM(O95:O97)</f>
        <v>15326117.736397568</v>
      </c>
    </row>
    <row r="99" spans="1:15" ht="18" customHeight="1">
      <c r="A99" s="351"/>
      <c r="B99" s="356"/>
      <c r="C99" s="351"/>
      <c r="D99" s="351"/>
      <c r="E99" s="351"/>
      <c r="F99" s="353"/>
      <c r="G99" s="351" t="s">
        <v>85</v>
      </c>
      <c r="H99" s="357">
        <f>H93+H98</f>
        <v>19284468.270833332</v>
      </c>
      <c r="I99" s="351"/>
      <c r="J99" s="356"/>
      <c r="K99" s="351"/>
      <c r="L99" s="351"/>
      <c r="M99" s="353"/>
      <c r="N99" s="351" t="s">
        <v>85</v>
      </c>
      <c r="O99" s="357">
        <f>O93+O98</f>
        <v>47763954.754971474</v>
      </c>
    </row>
    <row r="100" spans="1:15" ht="18" customHeight="1">
      <c r="A100" s="358"/>
      <c r="B100" s="359"/>
      <c r="C100" s="358"/>
      <c r="D100" s="358"/>
      <c r="E100" s="358"/>
      <c r="F100" s="360"/>
      <c r="G100" s="358"/>
      <c r="H100" s="360"/>
      <c r="I100" s="351"/>
      <c r="J100" s="359"/>
      <c r="K100" s="358"/>
      <c r="L100" s="358"/>
      <c r="M100" s="360"/>
      <c r="N100" s="358"/>
      <c r="O100" s="360"/>
    </row>
    <row r="101" spans="1:15" s="350" customFormat="1" ht="18" customHeight="1">
      <c r="A101" s="362"/>
      <c r="B101" s="373" t="s">
        <v>729</v>
      </c>
      <c r="C101" s="364">
        <f>D101</f>
        <v>125.4814814814815</v>
      </c>
      <c r="D101" s="364">
        <f>'Details of Measurement'!N86</f>
        <v>125.4814814814815</v>
      </c>
      <c r="E101" s="389" t="s">
        <v>21</v>
      </c>
      <c r="F101" s="365"/>
      <c r="G101" s="362"/>
      <c r="H101" s="365"/>
      <c r="I101" s="358"/>
    </row>
    <row r="102" spans="1:15" ht="18" customHeight="1">
      <c r="A102" s="351"/>
      <c r="B102" s="352" t="s">
        <v>29</v>
      </c>
      <c r="C102" s="351"/>
      <c r="D102" s="351"/>
      <c r="E102" s="351"/>
      <c r="F102" s="353"/>
      <c r="G102" s="351"/>
      <c r="H102" s="353"/>
      <c r="I102" s="350"/>
    </row>
    <row r="103" spans="1:15" ht="18" customHeight="1">
      <c r="A103" s="351"/>
      <c r="B103" s="1019" t="s">
        <v>102</v>
      </c>
      <c r="C103" s="366">
        <f t="shared" ref="C103:C107" si="41">D103*1.1</f>
        <v>25.510833333333338</v>
      </c>
      <c r="D103" s="366">
        <f>D101*2070/112/100</f>
        <v>23.19166666666667</v>
      </c>
      <c r="E103" s="351" t="s">
        <v>33</v>
      </c>
      <c r="F103" s="353">
        <f>VLOOKUP(B103,'Price '!B:D,3,FALSE)</f>
        <v>18400</v>
      </c>
      <c r="G103" s="351" t="str">
        <f t="shared" ref="G103:G107" si="42">E103</f>
        <v>Bag</v>
      </c>
      <c r="H103" s="353">
        <f t="shared" ref="H103:H107" si="43">C103*F103</f>
        <v>469399.33333333343</v>
      </c>
    </row>
    <row r="104" spans="1:15" ht="18" customHeight="1">
      <c r="A104" s="351"/>
      <c r="B104" s="354" t="s">
        <v>36</v>
      </c>
      <c r="C104" s="366">
        <f t="shared" si="41"/>
        <v>0.63493629629629633</v>
      </c>
      <c r="D104" s="366">
        <f>D101*46/100/100</f>
        <v>0.57721481481481485</v>
      </c>
      <c r="E104" s="351" t="s">
        <v>32</v>
      </c>
      <c r="F104" s="353">
        <f>VLOOKUP(B104,'Price '!B:D,3,FALSE)</f>
        <v>50000</v>
      </c>
      <c r="G104" s="351" t="str">
        <f t="shared" si="42"/>
        <v>Sud</v>
      </c>
      <c r="H104" s="353">
        <f t="shared" si="43"/>
        <v>31746.814814814818</v>
      </c>
    </row>
    <row r="105" spans="1:15" ht="18" customHeight="1">
      <c r="A105" s="351"/>
      <c r="B105" s="1019" t="s">
        <v>123</v>
      </c>
      <c r="C105" s="366">
        <f t="shared" si="41"/>
        <v>1.2698725925925927</v>
      </c>
      <c r="D105" s="366">
        <f>D101*92/100/100</f>
        <v>1.1544296296296297</v>
      </c>
      <c r="E105" s="351" t="s">
        <v>32</v>
      </c>
      <c r="F105" s="353">
        <f>VLOOKUP(B105,'Price '!B:D,3,FALSE)</f>
        <v>130000</v>
      </c>
      <c r="G105" s="351" t="str">
        <f t="shared" si="42"/>
        <v>Sud</v>
      </c>
      <c r="H105" s="353">
        <f t="shared" si="43"/>
        <v>165083.43703703705</v>
      </c>
      <c r="I105" s="355"/>
    </row>
    <row r="106" spans="1:15" ht="18" customHeight="1">
      <c r="A106" s="351"/>
      <c r="B106" s="1019" t="s">
        <v>756</v>
      </c>
      <c r="C106" s="366">
        <f t="shared" si="41"/>
        <v>1.1000000000000001</v>
      </c>
      <c r="D106" s="366">
        <v>1</v>
      </c>
      <c r="E106" s="351" t="s">
        <v>755</v>
      </c>
      <c r="F106" s="353">
        <f>VLOOKUP(B106,'Price '!B:D,3,FALSE)</f>
        <v>120000</v>
      </c>
      <c r="G106" s="351" t="str">
        <f t="shared" si="42"/>
        <v>Set</v>
      </c>
      <c r="H106" s="353">
        <f t="shared" si="43"/>
        <v>132000</v>
      </c>
      <c r="I106" s="391"/>
    </row>
    <row r="107" spans="1:15" ht="18" customHeight="1">
      <c r="A107" s="351"/>
      <c r="B107" s="1019" t="s">
        <v>57</v>
      </c>
      <c r="C107" s="366">
        <f t="shared" si="41"/>
        <v>2.7605925925925932</v>
      </c>
      <c r="D107" s="366">
        <f>D101*2/100</f>
        <v>2.5096296296296301</v>
      </c>
      <c r="E107" s="351" t="s">
        <v>35</v>
      </c>
      <c r="F107" s="353">
        <f>VLOOKUP(B107,'Price '!B:D,3,FALSE)</f>
        <v>20000</v>
      </c>
      <c r="G107" s="351" t="str">
        <f t="shared" si="42"/>
        <v>Gal</v>
      </c>
      <c r="H107" s="353">
        <f t="shared" si="43"/>
        <v>55211.851851851861</v>
      </c>
      <c r="I107" s="391"/>
    </row>
    <row r="108" spans="1:15" s="350" customFormat="1" ht="18" customHeight="1">
      <c r="A108" s="351"/>
      <c r="B108" s="354"/>
      <c r="C108" s="351"/>
      <c r="D108" s="351"/>
      <c r="E108" s="351"/>
      <c r="F108" s="353"/>
      <c r="G108" s="351" t="s">
        <v>622</v>
      </c>
      <c r="H108" s="376">
        <f>SUM(H103:H107)</f>
        <v>853441.43703703722</v>
      </c>
      <c r="I108" s="344"/>
    </row>
    <row r="109" spans="1:15" ht="18" customHeight="1">
      <c r="A109" s="351"/>
      <c r="B109" s="352" t="s">
        <v>28</v>
      </c>
      <c r="C109" s="351"/>
      <c r="D109" s="351"/>
      <c r="E109" s="351"/>
      <c r="F109" s="353"/>
      <c r="G109" s="351"/>
      <c r="H109" s="353"/>
      <c r="I109" s="350"/>
    </row>
    <row r="110" spans="1:15" ht="18" customHeight="1">
      <c r="A110" s="351"/>
      <c r="B110" s="377" t="s">
        <v>63</v>
      </c>
      <c r="C110" s="366">
        <f t="shared" ref="C110:C112" si="44">D110*1.1</f>
        <v>2.7605925925925932</v>
      </c>
      <c r="D110" s="366">
        <f>D101*2/100</f>
        <v>2.5096296296296301</v>
      </c>
      <c r="E110" s="351" t="s">
        <v>10</v>
      </c>
      <c r="F110" s="353">
        <f>VLOOKUP(B110,'Price '!B:D,3,FALSE)</f>
        <v>27500</v>
      </c>
      <c r="G110" s="351" t="s">
        <v>10</v>
      </c>
      <c r="H110" s="353">
        <f t="shared" ref="H110:H112" si="45">C110*F110</f>
        <v>75916.296296296307</v>
      </c>
      <c r="J110" s="355"/>
    </row>
    <row r="111" spans="1:15" ht="18.75" customHeight="1">
      <c r="A111" s="351"/>
      <c r="B111" s="354" t="s">
        <v>37</v>
      </c>
      <c r="C111" s="366">
        <f t="shared" si="44"/>
        <v>16.563555555555556</v>
      </c>
      <c r="D111" s="366">
        <f>D101*12/100</f>
        <v>15.057777777777778</v>
      </c>
      <c r="E111" s="351" t="s">
        <v>10</v>
      </c>
      <c r="F111" s="353">
        <f>VLOOKUP(B111,'Price '!B:D,3,FALSE)</f>
        <v>19800</v>
      </c>
      <c r="G111" s="351" t="s">
        <v>10</v>
      </c>
      <c r="H111" s="353">
        <f t="shared" si="45"/>
        <v>327958.40000000002</v>
      </c>
      <c r="J111" s="355"/>
    </row>
    <row r="112" spans="1:15" ht="18" customHeight="1">
      <c r="A112" s="351"/>
      <c r="B112" s="354" t="s">
        <v>67</v>
      </c>
      <c r="C112" s="366">
        <f t="shared" si="44"/>
        <v>0.69014814814814829</v>
      </c>
      <c r="D112" s="366">
        <f>D101*0.5/100</f>
        <v>0.62740740740740752</v>
      </c>
      <c r="E112" s="351" t="s">
        <v>10</v>
      </c>
      <c r="F112" s="353">
        <f>VLOOKUP(B112,'Price '!B:D,3,FALSE)</f>
        <v>27500</v>
      </c>
      <c r="G112" s="351" t="s">
        <v>10</v>
      </c>
      <c r="H112" s="353">
        <f t="shared" si="45"/>
        <v>18979.074074074077</v>
      </c>
      <c r="J112" s="355"/>
    </row>
    <row r="113" spans="1:10" ht="18" customHeight="1">
      <c r="A113" s="351"/>
      <c r="B113" s="354"/>
      <c r="C113" s="351"/>
      <c r="D113" s="351"/>
      <c r="E113" s="351"/>
      <c r="F113" s="353"/>
      <c r="G113" s="351" t="s">
        <v>623</v>
      </c>
      <c r="H113" s="376">
        <f>SUM(H110:H112)</f>
        <v>422853.77037037042</v>
      </c>
    </row>
    <row r="114" spans="1:10" ht="18" customHeight="1">
      <c r="A114" s="351"/>
      <c r="B114" s="356"/>
      <c r="C114" s="351"/>
      <c r="D114" s="351"/>
      <c r="E114" s="351"/>
      <c r="F114" s="353"/>
      <c r="G114" s="351" t="s">
        <v>85</v>
      </c>
      <c r="H114" s="357">
        <f>H108+H113</f>
        <v>1276295.2074074077</v>
      </c>
    </row>
    <row r="115" spans="1:10" ht="18" customHeight="1">
      <c r="A115" s="358"/>
      <c r="B115" s="359"/>
      <c r="C115" s="358"/>
      <c r="D115" s="358"/>
      <c r="E115" s="358"/>
      <c r="F115" s="360"/>
      <c r="G115" s="358"/>
      <c r="H115" s="360"/>
    </row>
    <row r="116" spans="1:10" ht="18" customHeight="1">
      <c r="A116" s="362"/>
      <c r="B116" s="373" t="s">
        <v>730</v>
      </c>
      <c r="C116" s="364">
        <f>D116</f>
        <v>369.44444444444446</v>
      </c>
      <c r="D116" s="364">
        <f>'Details of Measurement'!N90</f>
        <v>369.44444444444446</v>
      </c>
      <c r="E116" s="389" t="s">
        <v>21</v>
      </c>
      <c r="F116" s="365"/>
      <c r="G116" s="362"/>
      <c r="H116" s="365"/>
      <c r="I116" s="355"/>
    </row>
    <row r="117" spans="1:10" ht="18" customHeight="1">
      <c r="A117" s="351"/>
      <c r="B117" s="352" t="s">
        <v>29</v>
      </c>
      <c r="C117" s="351"/>
      <c r="D117" s="351"/>
      <c r="E117" s="351"/>
      <c r="F117" s="353"/>
      <c r="G117" s="351"/>
      <c r="H117" s="353"/>
      <c r="I117" s="350"/>
    </row>
    <row r="118" spans="1:10" ht="18" customHeight="1">
      <c r="A118" s="351"/>
      <c r="B118" s="1019" t="s">
        <v>102</v>
      </c>
      <c r="C118" s="366">
        <f t="shared" ref="C118:C122" si="46">D118*1.1</f>
        <v>75.109375</v>
      </c>
      <c r="D118" s="366">
        <f>D116*2070/112/100</f>
        <v>68.28125</v>
      </c>
      <c r="E118" s="351" t="s">
        <v>33</v>
      </c>
      <c r="F118" s="353">
        <f>VLOOKUP(B118,'Price '!B:D,3,FALSE)</f>
        <v>18400</v>
      </c>
      <c r="G118" s="351" t="str">
        <f t="shared" ref="G118:G122" si="47">E118</f>
        <v>Bag</v>
      </c>
      <c r="H118" s="353">
        <f t="shared" ref="H118:H122" si="48">C118*F118</f>
        <v>1382012.5</v>
      </c>
    </row>
    <row r="119" spans="1:10" ht="18" customHeight="1">
      <c r="A119" s="351"/>
      <c r="B119" s="354" t="s">
        <v>36</v>
      </c>
      <c r="C119" s="366">
        <f t="shared" si="46"/>
        <v>1.8693888888888892</v>
      </c>
      <c r="D119" s="366">
        <f>D116*46/100/100</f>
        <v>1.6994444444444445</v>
      </c>
      <c r="E119" s="351" t="s">
        <v>32</v>
      </c>
      <c r="F119" s="353">
        <f>VLOOKUP(B119,'Price '!B:D,3,FALSE)</f>
        <v>50000</v>
      </c>
      <c r="G119" s="351" t="str">
        <f t="shared" si="47"/>
        <v>Sud</v>
      </c>
      <c r="H119" s="353">
        <f t="shared" si="48"/>
        <v>93469.444444444467</v>
      </c>
    </row>
    <row r="120" spans="1:10" ht="18" customHeight="1">
      <c r="A120" s="351"/>
      <c r="B120" s="1019" t="s">
        <v>123</v>
      </c>
      <c r="C120" s="366">
        <f t="shared" si="46"/>
        <v>3.7387777777777784</v>
      </c>
      <c r="D120" s="366">
        <f>D116*92/100/100</f>
        <v>3.3988888888888891</v>
      </c>
      <c r="E120" s="351" t="s">
        <v>32</v>
      </c>
      <c r="F120" s="353">
        <f>VLOOKUP(B120,'Price '!B:D,3,FALSE)</f>
        <v>130000</v>
      </c>
      <c r="G120" s="351" t="str">
        <f t="shared" si="47"/>
        <v>Sud</v>
      </c>
      <c r="H120" s="353">
        <f t="shared" si="48"/>
        <v>486041.11111111118</v>
      </c>
      <c r="I120" s="355"/>
    </row>
    <row r="121" spans="1:10" ht="18" customHeight="1">
      <c r="A121" s="351"/>
      <c r="B121" s="1019" t="s">
        <v>725</v>
      </c>
      <c r="C121" s="366">
        <f t="shared" si="46"/>
        <v>37.5546875</v>
      </c>
      <c r="D121" s="366">
        <f>D118/2</f>
        <v>34.140625</v>
      </c>
      <c r="E121" s="351" t="s">
        <v>727</v>
      </c>
      <c r="F121" s="353">
        <f>VLOOKUP(B121,'Price '!B:D,3,FALSE)</f>
        <v>14700</v>
      </c>
      <c r="G121" s="351" t="str">
        <f t="shared" si="47"/>
        <v>Lit</v>
      </c>
      <c r="H121" s="353">
        <f t="shared" si="48"/>
        <v>552053.90625</v>
      </c>
      <c r="I121" s="391"/>
    </row>
    <row r="122" spans="1:10" ht="18" customHeight="1">
      <c r="A122" s="351"/>
      <c r="B122" s="1019" t="s">
        <v>57</v>
      </c>
      <c r="C122" s="366">
        <f t="shared" si="46"/>
        <v>8.1277777777777782</v>
      </c>
      <c r="D122" s="366">
        <f>D116*2/100</f>
        <v>7.3888888888888893</v>
      </c>
      <c r="E122" s="351" t="s">
        <v>35</v>
      </c>
      <c r="F122" s="353">
        <f>VLOOKUP(B122,'Price '!B:D,3,FALSE)</f>
        <v>20000</v>
      </c>
      <c r="G122" s="351" t="str">
        <f t="shared" si="47"/>
        <v>Gal</v>
      </c>
      <c r="H122" s="353">
        <f t="shared" si="48"/>
        <v>162555.55555555556</v>
      </c>
      <c r="I122" s="391"/>
    </row>
    <row r="123" spans="1:10" s="350" customFormat="1" ht="18" customHeight="1">
      <c r="A123" s="351"/>
      <c r="B123" s="354"/>
      <c r="C123" s="351"/>
      <c r="D123" s="351"/>
      <c r="E123" s="351"/>
      <c r="F123" s="353"/>
      <c r="G123" s="351" t="s">
        <v>622</v>
      </c>
      <c r="H123" s="376">
        <f>SUM(H118:H122)</f>
        <v>2676132.5173611115</v>
      </c>
      <c r="I123" s="344"/>
    </row>
    <row r="124" spans="1:10" ht="18" customHeight="1">
      <c r="A124" s="351"/>
      <c r="B124" s="352" t="s">
        <v>28</v>
      </c>
      <c r="C124" s="351"/>
      <c r="D124" s="351"/>
      <c r="E124" s="351"/>
      <c r="F124" s="353"/>
      <c r="G124" s="351"/>
      <c r="H124" s="353"/>
      <c r="I124" s="350"/>
    </row>
    <row r="125" spans="1:10" ht="18" customHeight="1">
      <c r="A125" s="351"/>
      <c r="B125" s="377" t="s">
        <v>63</v>
      </c>
      <c r="C125" s="366">
        <f t="shared" ref="C125:C127" si="49">D125*1.1</f>
        <v>8.1277777777777782</v>
      </c>
      <c r="D125" s="366">
        <f>D116*2/100</f>
        <v>7.3888888888888893</v>
      </c>
      <c r="E125" s="351" t="s">
        <v>10</v>
      </c>
      <c r="F125" s="353">
        <f>VLOOKUP(B125,'Price '!B:D,3,FALSE)</f>
        <v>27500</v>
      </c>
      <c r="G125" s="351" t="s">
        <v>10</v>
      </c>
      <c r="H125" s="353">
        <f t="shared" ref="H125:H127" si="50">C125*F125</f>
        <v>223513.88888888891</v>
      </c>
      <c r="J125" s="355"/>
    </row>
    <row r="126" spans="1:10" ht="18.75" customHeight="1">
      <c r="A126" s="351"/>
      <c r="B126" s="354" t="s">
        <v>37</v>
      </c>
      <c r="C126" s="366">
        <f t="shared" si="49"/>
        <v>44.702777777777783</v>
      </c>
      <c r="D126" s="366">
        <f>D116*11/100</f>
        <v>40.638888888888893</v>
      </c>
      <c r="E126" s="351" t="s">
        <v>10</v>
      </c>
      <c r="F126" s="353">
        <f>VLOOKUP(B126,'Price '!B:D,3,FALSE)</f>
        <v>19800</v>
      </c>
      <c r="G126" s="351" t="s">
        <v>10</v>
      </c>
      <c r="H126" s="353">
        <f t="shared" si="50"/>
        <v>885115.00000000012</v>
      </c>
      <c r="J126" s="355"/>
    </row>
    <row r="127" spans="1:10" ht="18" customHeight="1">
      <c r="A127" s="351"/>
      <c r="B127" s="354" t="s">
        <v>67</v>
      </c>
      <c r="C127" s="366">
        <f t="shared" si="49"/>
        <v>2.0319444444444446</v>
      </c>
      <c r="D127" s="366">
        <f>D116*0.5/100</f>
        <v>1.8472222222222223</v>
      </c>
      <c r="E127" s="351" t="s">
        <v>10</v>
      </c>
      <c r="F127" s="353">
        <f>VLOOKUP(B127,'Price '!B:D,3,FALSE)</f>
        <v>27500</v>
      </c>
      <c r="G127" s="351" t="s">
        <v>10</v>
      </c>
      <c r="H127" s="353">
        <f t="shared" si="50"/>
        <v>55878.472222222226</v>
      </c>
      <c r="J127" s="355"/>
    </row>
    <row r="128" spans="1:10" ht="18" customHeight="1">
      <c r="A128" s="351"/>
      <c r="B128" s="354"/>
      <c r="C128" s="351"/>
      <c r="D128" s="351"/>
      <c r="E128" s="351"/>
      <c r="F128" s="353"/>
      <c r="G128" s="351" t="s">
        <v>623</v>
      </c>
      <c r="H128" s="376">
        <f>SUM(H125:H127)</f>
        <v>1164507.3611111112</v>
      </c>
    </row>
    <row r="129" spans="1:10" ht="18" customHeight="1">
      <c r="A129" s="351"/>
      <c r="B129" s="356"/>
      <c r="C129" s="351"/>
      <c r="D129" s="351"/>
      <c r="E129" s="351"/>
      <c r="F129" s="353"/>
      <c r="G129" s="351" t="s">
        <v>85</v>
      </c>
      <c r="H129" s="357">
        <f>H123+H128</f>
        <v>3840639.8784722229</v>
      </c>
    </row>
    <row r="130" spans="1:10" ht="18" customHeight="1">
      <c r="A130" s="358"/>
      <c r="B130" s="359"/>
      <c r="C130" s="358"/>
      <c r="D130" s="358"/>
      <c r="E130" s="358"/>
      <c r="F130" s="360"/>
      <c r="G130" s="358"/>
      <c r="H130" s="360"/>
    </row>
    <row r="131" spans="1:10" ht="18" customHeight="1">
      <c r="A131" s="362"/>
      <c r="B131" s="373" t="s">
        <v>731</v>
      </c>
      <c r="C131" s="364">
        <f>D131</f>
        <v>174.77777777777777</v>
      </c>
      <c r="D131" s="364">
        <f>'Details of Measurement'!N95</f>
        <v>174.77777777777777</v>
      </c>
      <c r="E131" s="389" t="s">
        <v>21</v>
      </c>
      <c r="F131" s="365"/>
      <c r="G131" s="362"/>
      <c r="H131" s="365"/>
      <c r="I131" s="355"/>
    </row>
    <row r="132" spans="1:10" ht="18" customHeight="1">
      <c r="A132" s="351"/>
      <c r="B132" s="352" t="s">
        <v>29</v>
      </c>
      <c r="C132" s="351"/>
      <c r="D132" s="351"/>
      <c r="E132" s="351"/>
      <c r="F132" s="353"/>
      <c r="G132" s="351"/>
      <c r="H132" s="353"/>
      <c r="I132" s="350"/>
    </row>
    <row r="133" spans="1:10" ht="18" customHeight="1">
      <c r="A133" s="351"/>
      <c r="B133" s="1019" t="s">
        <v>102</v>
      </c>
      <c r="C133" s="366">
        <f t="shared" ref="C133:C138" si="51">D133*1.1</f>
        <v>35.532946428571435</v>
      </c>
      <c r="D133" s="366">
        <f>D131*2070/112/100</f>
        <v>32.302678571428572</v>
      </c>
      <c r="E133" s="351" t="s">
        <v>33</v>
      </c>
      <c r="F133" s="353">
        <f>VLOOKUP(B133,'Price '!B:D,3,FALSE)</f>
        <v>18400</v>
      </c>
      <c r="G133" s="351" t="str">
        <f t="shared" ref="G133:G138" si="52">E133</f>
        <v>Bag</v>
      </c>
      <c r="H133" s="353">
        <f t="shared" ref="H133:H138" si="53">C133*F133</f>
        <v>653806.21428571444</v>
      </c>
    </row>
    <row r="134" spans="1:10" ht="18" customHeight="1">
      <c r="A134" s="351"/>
      <c r="B134" s="354" t="s">
        <v>36</v>
      </c>
      <c r="C134" s="366">
        <f t="shared" si="51"/>
        <v>0.88437555555555569</v>
      </c>
      <c r="D134" s="366">
        <f>D131*46/100/100</f>
        <v>0.80397777777777779</v>
      </c>
      <c r="E134" s="351" t="s">
        <v>32</v>
      </c>
      <c r="F134" s="353">
        <f>VLOOKUP(B134,'Price '!B:D,3,FALSE)</f>
        <v>50000</v>
      </c>
      <c r="G134" s="351" t="str">
        <f t="shared" si="52"/>
        <v>Sud</v>
      </c>
      <c r="H134" s="353">
        <f t="shared" si="53"/>
        <v>44218.777777777781</v>
      </c>
    </row>
    <row r="135" spans="1:10" ht="18" customHeight="1">
      <c r="A135" s="351"/>
      <c r="B135" s="1019" t="s">
        <v>123</v>
      </c>
      <c r="C135" s="366">
        <f t="shared" si="51"/>
        <v>1.7687511111111114</v>
      </c>
      <c r="D135" s="366">
        <f>D131*92/100/100</f>
        <v>1.6079555555555556</v>
      </c>
      <c r="E135" s="351" t="s">
        <v>32</v>
      </c>
      <c r="F135" s="353">
        <f>VLOOKUP(B135,'Price '!B:D,3,FALSE)</f>
        <v>130000</v>
      </c>
      <c r="G135" s="351" t="str">
        <f t="shared" si="52"/>
        <v>Sud</v>
      </c>
      <c r="H135" s="353">
        <f t="shared" si="53"/>
        <v>229937.64444444448</v>
      </c>
      <c r="I135" s="355"/>
    </row>
    <row r="136" spans="1:10" ht="18" customHeight="1">
      <c r="A136" s="351"/>
      <c r="B136" s="1019" t="s">
        <v>756</v>
      </c>
      <c r="C136" s="366">
        <f t="shared" si="51"/>
        <v>1.1000000000000001</v>
      </c>
      <c r="D136" s="366">
        <v>1</v>
      </c>
      <c r="E136" s="351" t="s">
        <v>755</v>
      </c>
      <c r="F136" s="353">
        <f>VLOOKUP(B136,'Price '!B:D,3,FALSE)</f>
        <v>120000</v>
      </c>
      <c r="G136" s="351" t="str">
        <f t="shared" si="52"/>
        <v>Set</v>
      </c>
      <c r="H136" s="353">
        <f t="shared" si="53"/>
        <v>132000</v>
      </c>
      <c r="I136" s="391"/>
    </row>
    <row r="137" spans="1:10" ht="18" customHeight="1">
      <c r="A137" s="351"/>
      <c r="B137" s="1019" t="s">
        <v>726</v>
      </c>
      <c r="C137" s="366">
        <f t="shared" si="51"/>
        <v>4.8063888888888897</v>
      </c>
      <c r="D137" s="366">
        <f>D131*2.5/100</f>
        <v>4.3694444444444445</v>
      </c>
      <c r="E137" s="351" t="s">
        <v>727</v>
      </c>
      <c r="F137" s="353">
        <f>VLOOKUP(B137,'Price '!B:D,3,FALSE)</f>
        <v>14950</v>
      </c>
      <c r="G137" s="351" t="str">
        <f t="shared" ref="G137" si="54">E137</f>
        <v>Lit</v>
      </c>
      <c r="H137" s="353">
        <f t="shared" si="53"/>
        <v>71855.513888888905</v>
      </c>
      <c r="I137" s="391"/>
    </row>
    <row r="138" spans="1:10" ht="18" customHeight="1">
      <c r="A138" s="351"/>
      <c r="B138" s="1019" t="s">
        <v>57</v>
      </c>
      <c r="C138" s="366">
        <f t="shared" si="51"/>
        <v>3.8451111111111111</v>
      </c>
      <c r="D138" s="366">
        <f>D131*2/100</f>
        <v>3.4955555555555553</v>
      </c>
      <c r="E138" s="351" t="s">
        <v>35</v>
      </c>
      <c r="F138" s="353">
        <f>VLOOKUP(B138,'Price '!B:D,3,FALSE)</f>
        <v>20000</v>
      </c>
      <c r="G138" s="351" t="str">
        <f t="shared" si="52"/>
        <v>Gal</v>
      </c>
      <c r="H138" s="353">
        <f t="shared" si="53"/>
        <v>76902.222222222219</v>
      </c>
      <c r="I138" s="391"/>
    </row>
    <row r="139" spans="1:10" s="350" customFormat="1" ht="18" customHeight="1">
      <c r="A139" s="351"/>
      <c r="B139" s="354"/>
      <c r="C139" s="351"/>
      <c r="D139" s="351"/>
      <c r="E139" s="351"/>
      <c r="F139" s="353"/>
      <c r="G139" s="351" t="s">
        <v>622</v>
      </c>
      <c r="H139" s="376">
        <f>SUM(H133:H138)</f>
        <v>1208720.372619048</v>
      </c>
      <c r="I139" s="344"/>
    </row>
    <row r="140" spans="1:10" ht="18" customHeight="1">
      <c r="A140" s="351"/>
      <c r="B140" s="352" t="s">
        <v>28</v>
      </c>
      <c r="C140" s="351"/>
      <c r="D140" s="351"/>
      <c r="E140" s="351"/>
      <c r="F140" s="353"/>
      <c r="G140" s="351"/>
      <c r="H140" s="353"/>
      <c r="I140" s="350"/>
    </row>
    <row r="141" spans="1:10" ht="18" customHeight="1">
      <c r="A141" s="351"/>
      <c r="B141" s="377" t="s">
        <v>63</v>
      </c>
      <c r="C141" s="366">
        <f t="shared" ref="C141:C143" si="55">D141*1.1</f>
        <v>3.8451111111111111</v>
      </c>
      <c r="D141" s="366">
        <f>D131*2/100</f>
        <v>3.4955555555555553</v>
      </c>
      <c r="E141" s="351" t="s">
        <v>10</v>
      </c>
      <c r="F141" s="353">
        <f>VLOOKUP(B141,'Price '!B:D,3,FALSE)</f>
        <v>27500</v>
      </c>
      <c r="G141" s="351" t="s">
        <v>10</v>
      </c>
      <c r="H141" s="353">
        <f t="shared" ref="H141:H143" si="56">C141*F141</f>
        <v>105740.55555555556</v>
      </c>
      <c r="J141" s="355"/>
    </row>
    <row r="142" spans="1:10" ht="18.75" customHeight="1">
      <c r="A142" s="351"/>
      <c r="B142" s="354" t="s">
        <v>37</v>
      </c>
      <c r="C142" s="366">
        <f t="shared" si="55"/>
        <v>23.070666666666664</v>
      </c>
      <c r="D142" s="366">
        <f>D131*12/100</f>
        <v>20.973333333333329</v>
      </c>
      <c r="E142" s="351" t="s">
        <v>10</v>
      </c>
      <c r="F142" s="353">
        <f>VLOOKUP(B142,'Price '!B:D,3,FALSE)</f>
        <v>19800</v>
      </c>
      <c r="G142" s="351" t="s">
        <v>10</v>
      </c>
      <c r="H142" s="353">
        <f t="shared" si="56"/>
        <v>456799.19999999995</v>
      </c>
      <c r="J142" s="355"/>
    </row>
    <row r="143" spans="1:10" ht="18" customHeight="1">
      <c r="A143" s="351"/>
      <c r="B143" s="354" t="s">
        <v>67</v>
      </c>
      <c r="C143" s="366">
        <f t="shared" si="55"/>
        <v>0.96127777777777779</v>
      </c>
      <c r="D143" s="366">
        <f>D131*0.5/100</f>
        <v>0.87388888888888883</v>
      </c>
      <c r="E143" s="351" t="s">
        <v>10</v>
      </c>
      <c r="F143" s="353">
        <f>VLOOKUP(B143,'Price '!B:D,3,FALSE)</f>
        <v>27500</v>
      </c>
      <c r="G143" s="351" t="s">
        <v>10</v>
      </c>
      <c r="H143" s="353">
        <f t="shared" si="56"/>
        <v>26435.138888888891</v>
      </c>
      <c r="J143" s="355"/>
    </row>
    <row r="144" spans="1:10" ht="18" customHeight="1">
      <c r="A144" s="351"/>
      <c r="B144" s="354"/>
      <c r="C144" s="351"/>
      <c r="D144" s="351"/>
      <c r="E144" s="351"/>
      <c r="F144" s="353"/>
      <c r="G144" s="351" t="s">
        <v>623</v>
      </c>
      <c r="H144" s="376">
        <f>SUM(H141:H143)</f>
        <v>588974.89444444433</v>
      </c>
    </row>
    <row r="145" spans="1:10" ht="18" customHeight="1">
      <c r="A145" s="351"/>
      <c r="B145" s="356"/>
      <c r="C145" s="351"/>
      <c r="D145" s="351"/>
      <c r="E145" s="351"/>
      <c r="F145" s="353"/>
      <c r="G145" s="351" t="s">
        <v>85</v>
      </c>
      <c r="H145" s="357">
        <f>H139+H144</f>
        <v>1797695.2670634924</v>
      </c>
    </row>
    <row r="146" spans="1:10" ht="18" customHeight="1">
      <c r="A146" s="358"/>
      <c r="B146" s="359"/>
      <c r="C146" s="358"/>
      <c r="D146" s="358"/>
      <c r="E146" s="358"/>
      <c r="F146" s="360"/>
      <c r="G146" s="358"/>
      <c r="H146" s="360"/>
    </row>
    <row r="147" spans="1:10" ht="18" customHeight="1">
      <c r="A147" s="362"/>
      <c r="B147" s="373" t="s">
        <v>732</v>
      </c>
      <c r="C147" s="364">
        <f>D147</f>
        <v>148.33333333333334</v>
      </c>
      <c r="D147" s="364">
        <f>'Details of Measurement'!N100</f>
        <v>148.33333333333334</v>
      </c>
      <c r="E147" s="389" t="s">
        <v>21</v>
      </c>
      <c r="F147" s="365"/>
      <c r="G147" s="362"/>
      <c r="H147" s="365"/>
      <c r="I147" s="355"/>
    </row>
    <row r="148" spans="1:10" ht="18" customHeight="1">
      <c r="A148" s="351"/>
      <c r="B148" s="352" t="s">
        <v>29</v>
      </c>
      <c r="C148" s="351"/>
      <c r="D148" s="351"/>
      <c r="E148" s="351"/>
      <c r="F148" s="353"/>
      <c r="G148" s="351"/>
      <c r="H148" s="353"/>
      <c r="I148" s="350"/>
    </row>
    <row r="149" spans="1:10" ht="18" customHeight="1">
      <c r="A149" s="351"/>
      <c r="B149" s="1019" t="s">
        <v>102</v>
      </c>
      <c r="C149" s="366">
        <f t="shared" ref="C149:C154" si="57">D149*1.1</f>
        <v>30.156696428571433</v>
      </c>
      <c r="D149" s="366">
        <f>D147*2070/112/100</f>
        <v>27.415178571428573</v>
      </c>
      <c r="E149" s="351" t="s">
        <v>33</v>
      </c>
      <c r="F149" s="353">
        <f>VLOOKUP(B149,'Price '!B:D,3,FALSE)</f>
        <v>18400</v>
      </c>
      <c r="G149" s="351" t="str">
        <f t="shared" ref="G149:G154" si="58">E149</f>
        <v>Bag</v>
      </c>
      <c r="H149" s="353">
        <f t="shared" ref="H149:H154" si="59">C149*F149</f>
        <v>554883.21428571432</v>
      </c>
    </row>
    <row r="150" spans="1:10" ht="18" customHeight="1">
      <c r="A150" s="351"/>
      <c r="B150" s="354" t="s">
        <v>36</v>
      </c>
      <c r="C150" s="366">
        <f t="shared" si="57"/>
        <v>0.75056666666666672</v>
      </c>
      <c r="D150" s="366">
        <f>D147*46/100/100</f>
        <v>0.68233333333333335</v>
      </c>
      <c r="E150" s="351" t="s">
        <v>32</v>
      </c>
      <c r="F150" s="353">
        <f>VLOOKUP(B150,'Price '!B:D,3,FALSE)</f>
        <v>50000</v>
      </c>
      <c r="G150" s="351" t="str">
        <f t="shared" si="58"/>
        <v>Sud</v>
      </c>
      <c r="H150" s="353">
        <f t="shared" si="59"/>
        <v>37528.333333333336</v>
      </c>
    </row>
    <row r="151" spans="1:10" ht="18" customHeight="1">
      <c r="A151" s="351"/>
      <c r="B151" s="1019" t="s">
        <v>123</v>
      </c>
      <c r="C151" s="366">
        <f t="shared" si="57"/>
        <v>1.5011333333333334</v>
      </c>
      <c r="D151" s="366">
        <f>D147*92/100/100</f>
        <v>1.3646666666666667</v>
      </c>
      <c r="E151" s="351" t="s">
        <v>32</v>
      </c>
      <c r="F151" s="353">
        <f>VLOOKUP(B151,'Price '!B:D,3,FALSE)</f>
        <v>130000</v>
      </c>
      <c r="G151" s="351" t="str">
        <f t="shared" si="58"/>
        <v>Sud</v>
      </c>
      <c r="H151" s="353">
        <f t="shared" si="59"/>
        <v>195147.33333333334</v>
      </c>
      <c r="I151" s="355"/>
    </row>
    <row r="152" spans="1:10" ht="18" customHeight="1">
      <c r="A152" s="351"/>
      <c r="B152" s="1019" t="s">
        <v>756</v>
      </c>
      <c r="C152" s="366">
        <f t="shared" si="57"/>
        <v>1.1000000000000001</v>
      </c>
      <c r="D152" s="366">
        <v>1</v>
      </c>
      <c r="E152" s="351" t="s">
        <v>755</v>
      </c>
      <c r="F152" s="353">
        <f>VLOOKUP(B152,'Price '!B:D,3,FALSE)</f>
        <v>120000</v>
      </c>
      <c r="G152" s="351" t="str">
        <f t="shared" si="58"/>
        <v>Set</v>
      </c>
      <c r="H152" s="353">
        <f t="shared" si="59"/>
        <v>132000</v>
      </c>
      <c r="I152" s="391"/>
    </row>
    <row r="153" spans="1:10" ht="18" customHeight="1">
      <c r="A153" s="351"/>
      <c r="B153" s="1019" t="s">
        <v>726</v>
      </c>
      <c r="C153" s="366">
        <f t="shared" si="57"/>
        <v>4.0791666666666675</v>
      </c>
      <c r="D153" s="366">
        <f>D147*2.5/100</f>
        <v>3.7083333333333339</v>
      </c>
      <c r="E153" s="351" t="s">
        <v>727</v>
      </c>
      <c r="F153" s="353">
        <f>VLOOKUP(B153,'Price '!B:D,3,FALSE)</f>
        <v>14950</v>
      </c>
      <c r="G153" s="351" t="str">
        <f t="shared" si="58"/>
        <v>Lit</v>
      </c>
      <c r="H153" s="353">
        <f t="shared" si="59"/>
        <v>60983.541666666679</v>
      </c>
      <c r="I153" s="391"/>
    </row>
    <row r="154" spans="1:10" ht="18" customHeight="1">
      <c r="A154" s="351"/>
      <c r="B154" s="1019" t="s">
        <v>57</v>
      </c>
      <c r="C154" s="366">
        <f t="shared" si="57"/>
        <v>3.2633333333333336</v>
      </c>
      <c r="D154" s="366">
        <f>D147*2/100</f>
        <v>2.9666666666666668</v>
      </c>
      <c r="E154" s="351" t="s">
        <v>35</v>
      </c>
      <c r="F154" s="353">
        <f>VLOOKUP(B154,'Price '!B:D,3,FALSE)</f>
        <v>20000</v>
      </c>
      <c r="G154" s="351" t="str">
        <f t="shared" si="58"/>
        <v>Gal</v>
      </c>
      <c r="H154" s="353">
        <f t="shared" si="59"/>
        <v>65266.666666666672</v>
      </c>
      <c r="I154" s="391"/>
    </row>
    <row r="155" spans="1:10" s="350" customFormat="1" ht="18" customHeight="1">
      <c r="A155" s="351"/>
      <c r="B155" s="354"/>
      <c r="C155" s="351"/>
      <c r="D155" s="351"/>
      <c r="E155" s="351"/>
      <c r="F155" s="353"/>
      <c r="G155" s="351" t="s">
        <v>622</v>
      </c>
      <c r="H155" s="376">
        <f>SUM(H149:H154)</f>
        <v>1045809.0892857143</v>
      </c>
      <c r="I155" s="344"/>
    </row>
    <row r="156" spans="1:10" ht="18" customHeight="1">
      <c r="A156" s="351"/>
      <c r="B156" s="352" t="s">
        <v>28</v>
      </c>
      <c r="C156" s="351"/>
      <c r="D156" s="351"/>
      <c r="E156" s="351"/>
      <c r="F156" s="353"/>
      <c r="G156" s="351"/>
      <c r="H156" s="353"/>
      <c r="I156" s="350"/>
    </row>
    <row r="157" spans="1:10" ht="18" customHeight="1">
      <c r="A157" s="351"/>
      <c r="B157" s="377" t="s">
        <v>63</v>
      </c>
      <c r="C157" s="366">
        <f t="shared" ref="C157:C159" si="60">D157*1.1</f>
        <v>3.2633333333333336</v>
      </c>
      <c r="D157" s="366">
        <f>D147*2/100</f>
        <v>2.9666666666666668</v>
      </c>
      <c r="E157" s="351" t="s">
        <v>10</v>
      </c>
      <c r="F157" s="353">
        <f>VLOOKUP(B157,'Price '!B:D,3,FALSE)</f>
        <v>27500</v>
      </c>
      <c r="G157" s="351" t="s">
        <v>10</v>
      </c>
      <c r="H157" s="353">
        <f t="shared" ref="H157:H159" si="61">C157*F157</f>
        <v>89741.666666666672</v>
      </c>
      <c r="J157" s="355"/>
    </row>
    <row r="158" spans="1:10" ht="18.75" customHeight="1">
      <c r="A158" s="351"/>
      <c r="B158" s="354" t="s">
        <v>37</v>
      </c>
      <c r="C158" s="366">
        <f t="shared" si="60"/>
        <v>21.21166666666667</v>
      </c>
      <c r="D158" s="366">
        <f>D147*13/100</f>
        <v>19.283333333333335</v>
      </c>
      <c r="E158" s="351" t="s">
        <v>10</v>
      </c>
      <c r="F158" s="353">
        <f>VLOOKUP(B158,'Price '!B:D,3,FALSE)</f>
        <v>19800</v>
      </c>
      <c r="G158" s="351" t="s">
        <v>10</v>
      </c>
      <c r="H158" s="353">
        <f t="shared" si="61"/>
        <v>419991.00000000006</v>
      </c>
      <c r="J158" s="355"/>
    </row>
    <row r="159" spans="1:10" ht="18" customHeight="1">
      <c r="A159" s="351"/>
      <c r="B159" s="354" t="s">
        <v>67</v>
      </c>
      <c r="C159" s="366">
        <f t="shared" si="60"/>
        <v>0.81583333333333341</v>
      </c>
      <c r="D159" s="366">
        <f>D147*0.5/100</f>
        <v>0.7416666666666667</v>
      </c>
      <c r="E159" s="351" t="s">
        <v>10</v>
      </c>
      <c r="F159" s="353">
        <f>VLOOKUP(B159,'Price '!B:D,3,FALSE)</f>
        <v>27500</v>
      </c>
      <c r="G159" s="351" t="s">
        <v>10</v>
      </c>
      <c r="H159" s="353">
        <f t="shared" si="61"/>
        <v>22435.416666666668</v>
      </c>
      <c r="J159" s="355"/>
    </row>
    <row r="160" spans="1:10" ht="18" customHeight="1">
      <c r="A160" s="351"/>
      <c r="B160" s="354"/>
      <c r="C160" s="351"/>
      <c r="D160" s="351"/>
      <c r="E160" s="351"/>
      <c r="F160" s="353"/>
      <c r="G160" s="351" t="s">
        <v>623</v>
      </c>
      <c r="H160" s="376">
        <f>SUM(H157:H159)</f>
        <v>532168.08333333337</v>
      </c>
    </row>
    <row r="161" spans="1:10" ht="18" customHeight="1">
      <c r="A161" s="351"/>
      <c r="B161" s="356"/>
      <c r="C161" s="351"/>
      <c r="D161" s="351"/>
      <c r="E161" s="351"/>
      <c r="F161" s="353"/>
      <c r="G161" s="351" t="s">
        <v>85</v>
      </c>
      <c r="H161" s="357">
        <f>H155+H160</f>
        <v>1577977.1726190476</v>
      </c>
    </row>
    <row r="162" spans="1:10" ht="18" customHeight="1">
      <c r="A162" s="358"/>
      <c r="B162" s="359"/>
      <c r="C162" s="358"/>
      <c r="D162" s="358"/>
      <c r="E162" s="358"/>
      <c r="F162" s="360"/>
      <c r="G162" s="358"/>
      <c r="H162" s="360"/>
    </row>
    <row r="163" spans="1:10" ht="18" customHeight="1">
      <c r="A163" s="362"/>
      <c r="B163" s="373" t="s">
        <v>733</v>
      </c>
      <c r="C163" s="364">
        <f>D163</f>
        <v>132</v>
      </c>
      <c r="D163" s="364">
        <f>'Details of Measurement'!N104</f>
        <v>132</v>
      </c>
      <c r="E163" s="389" t="s">
        <v>21</v>
      </c>
      <c r="F163" s="365"/>
      <c r="G163" s="362"/>
      <c r="H163" s="365"/>
      <c r="I163" s="355"/>
    </row>
    <row r="164" spans="1:10" ht="18" customHeight="1">
      <c r="A164" s="351"/>
      <c r="B164" s="352" t="s">
        <v>29</v>
      </c>
      <c r="C164" s="351"/>
      <c r="D164" s="351"/>
      <c r="E164" s="351"/>
      <c r="F164" s="353"/>
      <c r="G164" s="351"/>
      <c r="H164" s="353"/>
      <c r="I164" s="350"/>
    </row>
    <row r="165" spans="1:10" ht="18" customHeight="1">
      <c r="A165" s="351"/>
      <c r="B165" s="1019" t="s">
        <v>102</v>
      </c>
      <c r="C165" s="366">
        <f t="shared" ref="C165:C170" si="62">D165*1.1</f>
        <v>26.836071428571433</v>
      </c>
      <c r="D165" s="366">
        <f>D163*2070/112/100</f>
        <v>24.396428571428572</v>
      </c>
      <c r="E165" s="351" t="s">
        <v>33</v>
      </c>
      <c r="F165" s="353">
        <f>VLOOKUP(B165,'Price '!B:D,3,FALSE)</f>
        <v>18400</v>
      </c>
      <c r="G165" s="351" t="str">
        <f t="shared" ref="G165:G170" si="63">E165</f>
        <v>Bag</v>
      </c>
      <c r="H165" s="353">
        <f t="shared" ref="H165:H170" si="64">C165*F165</f>
        <v>493783.71428571438</v>
      </c>
    </row>
    <row r="166" spans="1:10" ht="18" customHeight="1">
      <c r="A166" s="351"/>
      <c r="B166" s="354" t="s">
        <v>36</v>
      </c>
      <c r="C166" s="366">
        <f t="shared" si="62"/>
        <v>0.66791999999999996</v>
      </c>
      <c r="D166" s="366">
        <f>D163*46/100/100</f>
        <v>0.60719999999999996</v>
      </c>
      <c r="E166" s="351" t="s">
        <v>32</v>
      </c>
      <c r="F166" s="353">
        <f>VLOOKUP(B166,'Price '!B:D,3,FALSE)</f>
        <v>50000</v>
      </c>
      <c r="G166" s="351" t="str">
        <f t="shared" si="63"/>
        <v>Sud</v>
      </c>
      <c r="H166" s="353">
        <f t="shared" si="64"/>
        <v>33396</v>
      </c>
    </row>
    <row r="167" spans="1:10" ht="18" customHeight="1">
      <c r="A167" s="351"/>
      <c r="B167" s="1019" t="s">
        <v>123</v>
      </c>
      <c r="C167" s="366">
        <f t="shared" si="62"/>
        <v>1.3358399999999999</v>
      </c>
      <c r="D167" s="366">
        <f>D163*92/100/100</f>
        <v>1.2143999999999999</v>
      </c>
      <c r="E167" s="351" t="s">
        <v>32</v>
      </c>
      <c r="F167" s="353">
        <f>VLOOKUP(B167,'Price '!B:D,3,FALSE)</f>
        <v>130000</v>
      </c>
      <c r="G167" s="351" t="str">
        <f t="shared" si="63"/>
        <v>Sud</v>
      </c>
      <c r="H167" s="353">
        <f t="shared" si="64"/>
        <v>173659.19999999998</v>
      </c>
      <c r="I167" s="355"/>
    </row>
    <row r="168" spans="1:10" ht="18" customHeight="1">
      <c r="A168" s="351"/>
      <c r="B168" s="1019" t="s">
        <v>756</v>
      </c>
      <c r="C168" s="366">
        <f t="shared" si="62"/>
        <v>1.1000000000000001</v>
      </c>
      <c r="D168" s="366">
        <v>1</v>
      </c>
      <c r="E168" s="351" t="s">
        <v>755</v>
      </c>
      <c r="F168" s="353">
        <f>VLOOKUP(B168,'Price '!B:D,3,FALSE)</f>
        <v>120000</v>
      </c>
      <c r="G168" s="351" t="str">
        <f t="shared" si="63"/>
        <v>Set</v>
      </c>
      <c r="H168" s="353">
        <f t="shared" si="64"/>
        <v>132000</v>
      </c>
      <c r="I168" s="391"/>
    </row>
    <row r="169" spans="1:10" ht="18" customHeight="1">
      <c r="A169" s="351"/>
      <c r="B169" s="1019" t="s">
        <v>726</v>
      </c>
      <c r="C169" s="366">
        <f t="shared" si="62"/>
        <v>3.63</v>
      </c>
      <c r="D169" s="366">
        <f>D163*2.5/100</f>
        <v>3.3</v>
      </c>
      <c r="E169" s="351" t="s">
        <v>727</v>
      </c>
      <c r="F169" s="353">
        <f>VLOOKUP(B169,'Price '!B:D,3,FALSE)</f>
        <v>14950</v>
      </c>
      <c r="G169" s="351" t="str">
        <f t="shared" si="63"/>
        <v>Lit</v>
      </c>
      <c r="H169" s="353">
        <f t="shared" si="64"/>
        <v>54268.5</v>
      </c>
      <c r="I169" s="391"/>
    </row>
    <row r="170" spans="1:10" ht="18" customHeight="1">
      <c r="A170" s="351"/>
      <c r="B170" s="1019" t="s">
        <v>57</v>
      </c>
      <c r="C170" s="366">
        <f t="shared" si="62"/>
        <v>2.9040000000000004</v>
      </c>
      <c r="D170" s="366">
        <f>D163*2/100</f>
        <v>2.64</v>
      </c>
      <c r="E170" s="351" t="s">
        <v>35</v>
      </c>
      <c r="F170" s="353">
        <f>VLOOKUP(B170,'Price '!B:D,3,FALSE)</f>
        <v>20000</v>
      </c>
      <c r="G170" s="351" t="str">
        <f t="shared" si="63"/>
        <v>Gal</v>
      </c>
      <c r="H170" s="353">
        <f t="shared" si="64"/>
        <v>58080.000000000007</v>
      </c>
      <c r="I170" s="391"/>
    </row>
    <row r="171" spans="1:10" s="350" customFormat="1" ht="18" customHeight="1">
      <c r="A171" s="351"/>
      <c r="B171" s="354"/>
      <c r="C171" s="351"/>
      <c r="D171" s="351"/>
      <c r="E171" s="351"/>
      <c r="F171" s="353"/>
      <c r="G171" s="351" t="s">
        <v>622</v>
      </c>
      <c r="H171" s="376">
        <f>SUM(H165:H170)</f>
        <v>945187.41428571427</v>
      </c>
      <c r="I171" s="344"/>
    </row>
    <row r="172" spans="1:10" ht="18" customHeight="1">
      <c r="A172" s="351"/>
      <c r="B172" s="352" t="s">
        <v>28</v>
      </c>
      <c r="C172" s="351"/>
      <c r="D172" s="351"/>
      <c r="E172" s="351"/>
      <c r="F172" s="353"/>
      <c r="G172" s="351"/>
      <c r="H172" s="353"/>
      <c r="I172" s="350"/>
    </row>
    <row r="173" spans="1:10" ht="18" customHeight="1">
      <c r="A173" s="351"/>
      <c r="B173" s="377" t="s">
        <v>63</v>
      </c>
      <c r="C173" s="366">
        <f t="shared" ref="C173:C175" si="65">D173*1.1</f>
        <v>2.9040000000000004</v>
      </c>
      <c r="D173" s="366">
        <f>D163*2/100</f>
        <v>2.64</v>
      </c>
      <c r="E173" s="351" t="s">
        <v>10</v>
      </c>
      <c r="F173" s="353">
        <f>VLOOKUP(B173,'Price '!B:D,3,FALSE)</f>
        <v>27500</v>
      </c>
      <c r="G173" s="351" t="s">
        <v>10</v>
      </c>
      <c r="H173" s="353">
        <f t="shared" ref="H173:H175" si="66">C173*F173</f>
        <v>79860.000000000015</v>
      </c>
      <c r="J173" s="355"/>
    </row>
    <row r="174" spans="1:10" ht="18.75" customHeight="1">
      <c r="A174" s="351"/>
      <c r="B174" s="354" t="s">
        <v>37</v>
      </c>
      <c r="C174" s="366">
        <f t="shared" si="65"/>
        <v>20.328000000000003</v>
      </c>
      <c r="D174" s="366">
        <f>D163*14/100</f>
        <v>18.48</v>
      </c>
      <c r="E174" s="351" t="s">
        <v>10</v>
      </c>
      <c r="F174" s="353">
        <f>VLOOKUP(B174,'Price '!B:D,3,FALSE)</f>
        <v>19800</v>
      </c>
      <c r="G174" s="351" t="s">
        <v>10</v>
      </c>
      <c r="H174" s="353">
        <f t="shared" si="66"/>
        <v>402494.40000000008</v>
      </c>
      <c r="J174" s="355"/>
    </row>
    <row r="175" spans="1:10" ht="18" customHeight="1">
      <c r="A175" s="351"/>
      <c r="B175" s="354" t="s">
        <v>67</v>
      </c>
      <c r="C175" s="366">
        <f t="shared" si="65"/>
        <v>0.72600000000000009</v>
      </c>
      <c r="D175" s="366">
        <f>D163*0.5/100</f>
        <v>0.66</v>
      </c>
      <c r="E175" s="351" t="s">
        <v>10</v>
      </c>
      <c r="F175" s="353">
        <f>VLOOKUP(B175,'Price '!B:D,3,FALSE)</f>
        <v>27500</v>
      </c>
      <c r="G175" s="351" t="s">
        <v>10</v>
      </c>
      <c r="H175" s="353">
        <f t="shared" si="66"/>
        <v>19965.000000000004</v>
      </c>
      <c r="J175" s="355"/>
    </row>
    <row r="176" spans="1:10" ht="18" customHeight="1">
      <c r="A176" s="351"/>
      <c r="B176" s="354"/>
      <c r="C176" s="351"/>
      <c r="D176" s="351"/>
      <c r="E176" s="351"/>
      <c r="F176" s="353"/>
      <c r="G176" s="351" t="s">
        <v>623</v>
      </c>
      <c r="H176" s="376">
        <f>SUM(H173:H175)</f>
        <v>502319.40000000008</v>
      </c>
    </row>
    <row r="177" spans="1:10" ht="18" customHeight="1">
      <c r="A177" s="351"/>
      <c r="B177" s="356"/>
      <c r="C177" s="351"/>
      <c r="D177" s="351"/>
      <c r="E177" s="351"/>
      <c r="F177" s="353"/>
      <c r="G177" s="351" t="s">
        <v>85</v>
      </c>
      <c r="H177" s="357">
        <f>H171+H176</f>
        <v>1447506.8142857144</v>
      </c>
    </row>
    <row r="178" spans="1:10" ht="18" customHeight="1">
      <c r="A178" s="358"/>
      <c r="B178" s="359"/>
      <c r="C178" s="358"/>
      <c r="D178" s="358"/>
      <c r="E178" s="358"/>
      <c r="F178" s="360"/>
      <c r="G178" s="358"/>
      <c r="H178" s="360"/>
    </row>
    <row r="179" spans="1:10" ht="18" customHeight="1">
      <c r="A179" s="362"/>
      <c r="B179" s="373" t="s">
        <v>735</v>
      </c>
      <c r="C179" s="364">
        <f>D179</f>
        <v>41.504629629629633</v>
      </c>
      <c r="D179" s="364">
        <f>'Details of Measurement'!N111</f>
        <v>41.504629629629633</v>
      </c>
      <c r="E179" s="389" t="s">
        <v>21</v>
      </c>
      <c r="F179" s="365"/>
      <c r="G179" s="362"/>
      <c r="H179" s="365"/>
      <c r="I179" s="355"/>
    </row>
    <row r="180" spans="1:10" ht="18" customHeight="1">
      <c r="A180" s="351"/>
      <c r="B180" s="352" t="s">
        <v>29</v>
      </c>
      <c r="C180" s="351"/>
      <c r="D180" s="351"/>
      <c r="E180" s="351"/>
      <c r="F180" s="353"/>
      <c r="G180" s="351"/>
      <c r="H180" s="353"/>
      <c r="I180" s="350"/>
    </row>
    <row r="181" spans="1:10" ht="18" customHeight="1">
      <c r="A181" s="351"/>
      <c r="B181" s="1019" t="s">
        <v>102</v>
      </c>
      <c r="C181" s="366">
        <f t="shared" ref="C181:C184" si="67">D181*1.1</f>
        <v>8.4380394345238106</v>
      </c>
      <c r="D181" s="366">
        <f>D179*2070/112/100</f>
        <v>7.6709449404761916</v>
      </c>
      <c r="E181" s="351" t="s">
        <v>33</v>
      </c>
      <c r="F181" s="353">
        <f>VLOOKUP(B181,'Price '!B:D,3,FALSE)</f>
        <v>18400</v>
      </c>
      <c r="G181" s="351" t="str">
        <f t="shared" ref="G181:G184" si="68">E181</f>
        <v>Bag</v>
      </c>
      <c r="H181" s="353">
        <f t="shared" ref="H181:H184" si="69">C181*F181</f>
        <v>155259.92559523811</v>
      </c>
    </row>
    <row r="182" spans="1:10" ht="18" customHeight="1">
      <c r="A182" s="351"/>
      <c r="B182" s="354" t="s">
        <v>36</v>
      </c>
      <c r="C182" s="366">
        <f t="shared" si="67"/>
        <v>0.21001342592592595</v>
      </c>
      <c r="D182" s="366">
        <f>D179*46/100/100</f>
        <v>0.19092129629629631</v>
      </c>
      <c r="E182" s="351" t="s">
        <v>32</v>
      </c>
      <c r="F182" s="353">
        <f>VLOOKUP(B182,'Price '!B:D,3,FALSE)</f>
        <v>50000</v>
      </c>
      <c r="G182" s="351" t="str">
        <f t="shared" si="68"/>
        <v>Sud</v>
      </c>
      <c r="H182" s="353">
        <f t="shared" si="69"/>
        <v>10500.671296296297</v>
      </c>
    </row>
    <row r="183" spans="1:10" ht="18" customHeight="1">
      <c r="A183" s="351"/>
      <c r="B183" s="1019" t="s">
        <v>123</v>
      </c>
      <c r="C183" s="366">
        <f t="shared" si="67"/>
        <v>0.4200268518518519</v>
      </c>
      <c r="D183" s="366">
        <f>D179*92/100/100</f>
        <v>0.38184259259259262</v>
      </c>
      <c r="E183" s="351" t="s">
        <v>32</v>
      </c>
      <c r="F183" s="353">
        <f>VLOOKUP(B183,'Price '!B:D,3,FALSE)</f>
        <v>130000</v>
      </c>
      <c r="G183" s="351" t="str">
        <f t="shared" si="68"/>
        <v>Sud</v>
      </c>
      <c r="H183" s="353">
        <f t="shared" si="69"/>
        <v>54603.490740740745</v>
      </c>
      <c r="I183" s="355"/>
    </row>
    <row r="184" spans="1:10" ht="18" customHeight="1">
      <c r="A184" s="351"/>
      <c r="B184" s="1019" t="s">
        <v>57</v>
      </c>
      <c r="C184" s="366">
        <f t="shared" si="67"/>
        <v>0.91310185185185211</v>
      </c>
      <c r="D184" s="366">
        <f>D179*2/100</f>
        <v>0.83009259259259272</v>
      </c>
      <c r="E184" s="351" t="s">
        <v>35</v>
      </c>
      <c r="F184" s="353">
        <f>VLOOKUP(B184,'Price '!B:D,3,FALSE)</f>
        <v>20000</v>
      </c>
      <c r="G184" s="351" t="str">
        <f t="shared" si="68"/>
        <v>Gal</v>
      </c>
      <c r="H184" s="353">
        <f t="shared" si="69"/>
        <v>18262.037037037044</v>
      </c>
      <c r="I184" s="391"/>
    </row>
    <row r="185" spans="1:10" s="350" customFormat="1" ht="18" customHeight="1">
      <c r="A185" s="351"/>
      <c r="B185" s="354"/>
      <c r="C185" s="351"/>
      <c r="D185" s="351"/>
      <c r="E185" s="351"/>
      <c r="F185" s="353"/>
      <c r="G185" s="351" t="s">
        <v>622</v>
      </c>
      <c r="H185" s="376">
        <f>SUM(H181:H184)</f>
        <v>238626.12466931218</v>
      </c>
      <c r="I185" s="344"/>
    </row>
    <row r="186" spans="1:10" ht="18" customHeight="1">
      <c r="A186" s="351"/>
      <c r="B186" s="352" t="s">
        <v>28</v>
      </c>
      <c r="C186" s="351"/>
      <c r="D186" s="351"/>
      <c r="E186" s="351"/>
      <c r="F186" s="353"/>
      <c r="G186" s="351"/>
      <c r="H186" s="353"/>
      <c r="I186" s="350"/>
    </row>
    <row r="187" spans="1:10" ht="18" customHeight="1">
      <c r="A187" s="351"/>
      <c r="B187" s="377" t="s">
        <v>63</v>
      </c>
      <c r="C187" s="366">
        <f t="shared" ref="C187:C189" si="70">D187*1.1</f>
        <v>0.91310185185185211</v>
      </c>
      <c r="D187" s="366">
        <f>D179*2/100</f>
        <v>0.83009259259259272</v>
      </c>
      <c r="E187" s="351" t="s">
        <v>10</v>
      </c>
      <c r="F187" s="353">
        <f>VLOOKUP(B187,'Price '!B:D,3,FALSE)</f>
        <v>27500</v>
      </c>
      <c r="G187" s="351" t="s">
        <v>10</v>
      </c>
      <c r="H187" s="353">
        <f t="shared" ref="H187:H189" si="71">C187*F187</f>
        <v>25110.300925925934</v>
      </c>
      <c r="J187" s="355"/>
    </row>
    <row r="188" spans="1:10" ht="18.75" customHeight="1">
      <c r="A188" s="351"/>
      <c r="B188" s="354" t="s">
        <v>37</v>
      </c>
      <c r="C188" s="366">
        <f t="shared" si="70"/>
        <v>4.1089583333333337</v>
      </c>
      <c r="D188" s="366">
        <f>D179*9/100</f>
        <v>3.7354166666666671</v>
      </c>
      <c r="E188" s="351" t="s">
        <v>10</v>
      </c>
      <c r="F188" s="353">
        <f>VLOOKUP(B188,'Price '!B:D,3,FALSE)</f>
        <v>19800</v>
      </c>
      <c r="G188" s="351" t="s">
        <v>10</v>
      </c>
      <c r="H188" s="353">
        <f t="shared" si="71"/>
        <v>81357.375000000015</v>
      </c>
      <c r="J188" s="355"/>
    </row>
    <row r="189" spans="1:10" ht="18" customHeight="1">
      <c r="A189" s="351"/>
      <c r="B189" s="354" t="s">
        <v>67</v>
      </c>
      <c r="C189" s="366">
        <f t="shared" si="70"/>
        <v>0.22827546296296303</v>
      </c>
      <c r="D189" s="366">
        <f>D179*0.5/100</f>
        <v>0.20752314814814818</v>
      </c>
      <c r="E189" s="351" t="s">
        <v>10</v>
      </c>
      <c r="F189" s="353">
        <f>VLOOKUP(B189,'Price '!B:D,3,FALSE)</f>
        <v>27500</v>
      </c>
      <c r="G189" s="351" t="s">
        <v>10</v>
      </c>
      <c r="H189" s="353">
        <f t="shared" si="71"/>
        <v>6277.5752314814836</v>
      </c>
      <c r="J189" s="355"/>
    </row>
    <row r="190" spans="1:10" ht="18" customHeight="1">
      <c r="A190" s="351"/>
      <c r="B190" s="354"/>
      <c r="C190" s="351"/>
      <c r="D190" s="351"/>
      <c r="E190" s="351"/>
      <c r="F190" s="353"/>
      <c r="G190" s="351" t="s">
        <v>623</v>
      </c>
      <c r="H190" s="376">
        <f>SUM(H187:H189)</f>
        <v>112745.25115740745</v>
      </c>
    </row>
    <row r="191" spans="1:10" ht="18" customHeight="1">
      <c r="A191" s="351"/>
      <c r="B191" s="356"/>
      <c r="C191" s="351"/>
      <c r="D191" s="351"/>
      <c r="E191" s="351"/>
      <c r="F191" s="353"/>
      <c r="G191" s="351" t="s">
        <v>85</v>
      </c>
      <c r="H191" s="357">
        <f>H185+H190</f>
        <v>351371.37582671962</v>
      </c>
    </row>
    <row r="192" spans="1:10" ht="18" customHeight="1">
      <c r="A192" s="358"/>
      <c r="B192" s="359"/>
      <c r="C192" s="358"/>
      <c r="D192" s="358"/>
      <c r="E192" s="358"/>
      <c r="F192" s="360"/>
      <c r="G192" s="358"/>
      <c r="H192" s="360"/>
    </row>
    <row r="193" spans="1:10" ht="18" customHeight="1">
      <c r="A193" s="362"/>
      <c r="B193" s="373" t="s">
        <v>734</v>
      </c>
      <c r="C193" s="364">
        <f>D193</f>
        <v>271.67824074074076</v>
      </c>
      <c r="D193" s="364">
        <f>'Details of Measurement'!N136</f>
        <v>271.67824074074076</v>
      </c>
      <c r="E193" s="389" t="s">
        <v>21</v>
      </c>
      <c r="F193" s="365"/>
      <c r="G193" s="362"/>
      <c r="H193" s="365"/>
      <c r="I193" s="355"/>
    </row>
    <row r="194" spans="1:10" ht="18" customHeight="1">
      <c r="A194" s="351"/>
      <c r="B194" s="352" t="s">
        <v>29</v>
      </c>
      <c r="C194" s="351"/>
      <c r="D194" s="351"/>
      <c r="E194" s="351"/>
      <c r="F194" s="353"/>
      <c r="G194" s="351"/>
      <c r="H194" s="353"/>
      <c r="I194" s="350"/>
    </row>
    <row r="195" spans="1:10" ht="18" customHeight="1">
      <c r="A195" s="351"/>
      <c r="B195" s="1019" t="s">
        <v>102</v>
      </c>
      <c r="C195" s="366">
        <f t="shared" ref="C195:C198" si="72">D195*1.1</f>
        <v>55.233156622023813</v>
      </c>
      <c r="D195" s="366">
        <f>D193*2070/112/100</f>
        <v>50.21196056547619</v>
      </c>
      <c r="E195" s="351" t="s">
        <v>33</v>
      </c>
      <c r="F195" s="353">
        <f>VLOOKUP(B195,'Price '!B:D,3,FALSE)</f>
        <v>18400</v>
      </c>
      <c r="G195" s="351" t="str">
        <f t="shared" ref="G195:G198" si="73">E195</f>
        <v>Bag</v>
      </c>
      <c r="H195" s="353">
        <f t="shared" ref="H195:H198" si="74">C195*F195</f>
        <v>1016290.0818452381</v>
      </c>
    </row>
    <row r="196" spans="1:10" ht="18" customHeight="1">
      <c r="A196" s="351"/>
      <c r="B196" s="354" t="s">
        <v>36</v>
      </c>
      <c r="C196" s="366">
        <f t="shared" si="72"/>
        <v>1.3746918981481484</v>
      </c>
      <c r="D196" s="366">
        <f>D193*46/100/100</f>
        <v>1.2497199074074075</v>
      </c>
      <c r="E196" s="351" t="s">
        <v>32</v>
      </c>
      <c r="F196" s="353">
        <f>VLOOKUP(B196,'Price '!B:D,3,FALSE)</f>
        <v>50000</v>
      </c>
      <c r="G196" s="351" t="str">
        <f t="shared" si="73"/>
        <v>Sud</v>
      </c>
      <c r="H196" s="353">
        <f t="shared" si="74"/>
        <v>68734.594907407416</v>
      </c>
    </row>
    <row r="197" spans="1:10" ht="18" customHeight="1">
      <c r="A197" s="351"/>
      <c r="B197" s="1019" t="s">
        <v>123</v>
      </c>
      <c r="C197" s="366">
        <f t="shared" si="72"/>
        <v>2.7493837962962968</v>
      </c>
      <c r="D197" s="366">
        <f>D193*92/100/100</f>
        <v>2.4994398148148149</v>
      </c>
      <c r="E197" s="351" t="s">
        <v>32</v>
      </c>
      <c r="F197" s="353">
        <f>VLOOKUP(B197,'Price '!B:D,3,FALSE)</f>
        <v>130000</v>
      </c>
      <c r="G197" s="351" t="str">
        <f t="shared" si="73"/>
        <v>Sud</v>
      </c>
      <c r="H197" s="353">
        <f t="shared" si="74"/>
        <v>357419.8935185186</v>
      </c>
      <c r="I197" s="355"/>
    </row>
    <row r="198" spans="1:10" ht="18" customHeight="1">
      <c r="A198" s="351"/>
      <c r="B198" s="1019" t="s">
        <v>57</v>
      </c>
      <c r="C198" s="366">
        <f t="shared" si="72"/>
        <v>5.9769212962962976</v>
      </c>
      <c r="D198" s="366">
        <f>D193*2/100</f>
        <v>5.4335648148148152</v>
      </c>
      <c r="E198" s="351" t="s">
        <v>35</v>
      </c>
      <c r="F198" s="353">
        <f>VLOOKUP(B198,'Price '!B:D,3,FALSE)</f>
        <v>20000</v>
      </c>
      <c r="G198" s="351" t="str">
        <f t="shared" si="73"/>
        <v>Gal</v>
      </c>
      <c r="H198" s="353">
        <f t="shared" si="74"/>
        <v>119538.42592592596</v>
      </c>
      <c r="I198" s="391"/>
    </row>
    <row r="199" spans="1:10" s="350" customFormat="1" ht="18" customHeight="1">
      <c r="A199" s="351"/>
      <c r="B199" s="354"/>
      <c r="C199" s="351"/>
      <c r="D199" s="351"/>
      <c r="E199" s="351"/>
      <c r="F199" s="353"/>
      <c r="G199" s="351" t="s">
        <v>622</v>
      </c>
      <c r="H199" s="376">
        <f>SUM(H195:H198)</f>
        <v>1561982.99619709</v>
      </c>
      <c r="I199" s="344"/>
    </row>
    <row r="200" spans="1:10" ht="18" customHeight="1">
      <c r="A200" s="351"/>
      <c r="B200" s="352" t="s">
        <v>28</v>
      </c>
      <c r="C200" s="351"/>
      <c r="D200" s="351"/>
      <c r="E200" s="351"/>
      <c r="F200" s="353"/>
      <c r="G200" s="351"/>
      <c r="H200" s="353"/>
      <c r="I200" s="350"/>
    </row>
    <row r="201" spans="1:10" ht="18" customHeight="1">
      <c r="A201" s="351"/>
      <c r="B201" s="377" t="s">
        <v>63</v>
      </c>
      <c r="C201" s="366">
        <f t="shared" ref="C201:C203" si="75">D201*1.1</f>
        <v>5.9769212962962976</v>
      </c>
      <c r="D201" s="366">
        <f>D193*2/100</f>
        <v>5.4335648148148152</v>
      </c>
      <c r="E201" s="351" t="s">
        <v>10</v>
      </c>
      <c r="F201" s="353">
        <f>VLOOKUP(B201,'Price '!B:D,3,FALSE)</f>
        <v>27500</v>
      </c>
      <c r="G201" s="351" t="str">
        <f t="shared" ref="G201:G203" si="76">E201</f>
        <v>Nos</v>
      </c>
      <c r="H201" s="353">
        <f t="shared" ref="H201:H203" si="77">C201*F201</f>
        <v>164365.33564814818</v>
      </c>
      <c r="J201" s="355"/>
    </row>
    <row r="202" spans="1:10" ht="18.75" customHeight="1">
      <c r="A202" s="351"/>
      <c r="B202" s="354" t="s">
        <v>37</v>
      </c>
      <c r="C202" s="366">
        <f t="shared" si="75"/>
        <v>26.896145833333339</v>
      </c>
      <c r="D202" s="366">
        <f>D193*9/100</f>
        <v>24.451041666666669</v>
      </c>
      <c r="E202" s="351" t="s">
        <v>10</v>
      </c>
      <c r="F202" s="353">
        <f>VLOOKUP(B202,'Price '!B:D,3,FALSE)</f>
        <v>19800</v>
      </c>
      <c r="G202" s="351" t="str">
        <f t="shared" si="76"/>
        <v>Nos</v>
      </c>
      <c r="H202" s="353">
        <f t="shared" si="77"/>
        <v>532543.68750000012</v>
      </c>
      <c r="J202" s="355"/>
    </row>
    <row r="203" spans="1:10" ht="18" customHeight="1">
      <c r="A203" s="351"/>
      <c r="B203" s="354" t="s">
        <v>67</v>
      </c>
      <c r="C203" s="366">
        <f t="shared" si="75"/>
        <v>1.4942303240740744</v>
      </c>
      <c r="D203" s="366">
        <f>D193*0.5/100</f>
        <v>1.3583912037037038</v>
      </c>
      <c r="E203" s="351" t="s">
        <v>10</v>
      </c>
      <c r="F203" s="353">
        <f>VLOOKUP(B203,'Price '!B:D,3,FALSE)</f>
        <v>27500</v>
      </c>
      <c r="G203" s="351" t="str">
        <f t="shared" si="76"/>
        <v>Nos</v>
      </c>
      <c r="H203" s="353">
        <f t="shared" si="77"/>
        <v>41091.333912037044</v>
      </c>
      <c r="J203" s="355"/>
    </row>
    <row r="204" spans="1:10" ht="18" customHeight="1">
      <c r="A204" s="351"/>
      <c r="B204" s="354"/>
      <c r="C204" s="351"/>
      <c r="D204" s="351"/>
      <c r="E204" s="351"/>
      <c r="F204" s="353"/>
      <c r="G204" s="351" t="s">
        <v>623</v>
      </c>
      <c r="H204" s="376">
        <f>SUM(H201:H203)</f>
        <v>738000.3570601854</v>
      </c>
    </row>
    <row r="205" spans="1:10" ht="18" customHeight="1">
      <c r="A205" s="351"/>
      <c r="B205" s="356"/>
      <c r="C205" s="351"/>
      <c r="D205" s="351"/>
      <c r="E205" s="351"/>
      <c r="F205" s="353"/>
      <c r="G205" s="351" t="s">
        <v>85</v>
      </c>
      <c r="H205" s="357">
        <f>H199+H204</f>
        <v>2299983.3532572752</v>
      </c>
    </row>
    <row r="206" spans="1:10" ht="18" customHeight="1">
      <c r="A206" s="358"/>
      <c r="B206" s="359"/>
      <c r="C206" s="358"/>
      <c r="D206" s="358"/>
      <c r="E206" s="358"/>
      <c r="F206" s="360"/>
      <c r="G206" s="358"/>
      <c r="H206" s="360"/>
    </row>
    <row r="207" spans="1:10" ht="18" customHeight="1">
      <c r="A207" s="362"/>
      <c r="B207" s="373" t="s">
        <v>736</v>
      </c>
      <c r="C207" s="364">
        <f>D207</f>
        <v>386.93287037037032</v>
      </c>
      <c r="D207" s="364">
        <f>'Details of Measurement'!N175</f>
        <v>386.93287037037032</v>
      </c>
      <c r="E207" s="389" t="s">
        <v>21</v>
      </c>
      <c r="F207" s="365"/>
      <c r="G207" s="362"/>
      <c r="H207" s="365"/>
      <c r="I207" s="355"/>
    </row>
    <row r="208" spans="1:10" ht="18" customHeight="1">
      <c r="A208" s="351"/>
      <c r="B208" s="352" t="s">
        <v>29</v>
      </c>
      <c r="C208" s="351"/>
      <c r="D208" s="351"/>
      <c r="E208" s="351"/>
      <c r="F208" s="353"/>
      <c r="G208" s="351"/>
      <c r="H208" s="353"/>
      <c r="I208" s="350"/>
    </row>
    <row r="209" spans="1:10" ht="18" customHeight="1">
      <c r="A209" s="351"/>
      <c r="B209" s="1019" t="s">
        <v>102</v>
      </c>
      <c r="C209" s="366">
        <f t="shared" ref="C209:C212" si="78">D209*1.1</f>
        <v>78.664834449404765</v>
      </c>
      <c r="D209" s="366">
        <f>D207*2070/112/100</f>
        <v>71.513485863095241</v>
      </c>
      <c r="E209" s="351" t="s">
        <v>33</v>
      </c>
      <c r="F209" s="353">
        <f>VLOOKUP(B209,'Price '!B:D,3,FALSE)</f>
        <v>18400</v>
      </c>
      <c r="G209" s="351" t="str">
        <f t="shared" ref="G209:G212" si="79">E209</f>
        <v>Bag</v>
      </c>
      <c r="H209" s="353">
        <f t="shared" ref="H209:H212" si="80">C209*F209</f>
        <v>1447432.9538690476</v>
      </c>
    </row>
    <row r="210" spans="1:10" ht="18" customHeight="1">
      <c r="A210" s="351"/>
      <c r="B210" s="354" t="s">
        <v>36</v>
      </c>
      <c r="C210" s="366">
        <f t="shared" si="78"/>
        <v>1.9578803240740741</v>
      </c>
      <c r="D210" s="366">
        <f>D207*46/100/100</f>
        <v>1.7798912037037036</v>
      </c>
      <c r="E210" s="351" t="s">
        <v>32</v>
      </c>
      <c r="F210" s="353">
        <f>VLOOKUP(B210,'Price '!B:D,3,FALSE)</f>
        <v>50000</v>
      </c>
      <c r="G210" s="351" t="str">
        <f t="shared" si="79"/>
        <v>Sud</v>
      </c>
      <c r="H210" s="353">
        <f t="shared" si="80"/>
        <v>97894.016203703708</v>
      </c>
    </row>
    <row r="211" spans="1:10" ht="18" customHeight="1">
      <c r="A211" s="351"/>
      <c r="B211" s="1019" t="s">
        <v>123</v>
      </c>
      <c r="C211" s="366">
        <f t="shared" si="78"/>
        <v>3.9157606481481482</v>
      </c>
      <c r="D211" s="366">
        <f>D207*92/100/100</f>
        <v>3.5597824074074071</v>
      </c>
      <c r="E211" s="351" t="s">
        <v>32</v>
      </c>
      <c r="F211" s="353">
        <f>VLOOKUP(B211,'Price '!B:D,3,FALSE)</f>
        <v>130000</v>
      </c>
      <c r="G211" s="351" t="str">
        <f t="shared" si="79"/>
        <v>Sud</v>
      </c>
      <c r="H211" s="353">
        <f t="shared" si="80"/>
        <v>509048.88425925927</v>
      </c>
      <c r="I211" s="355"/>
    </row>
    <row r="212" spans="1:10" ht="18" customHeight="1">
      <c r="A212" s="351"/>
      <c r="B212" s="1019" t="s">
        <v>57</v>
      </c>
      <c r="C212" s="366">
        <f t="shared" si="78"/>
        <v>8.5125231481481478</v>
      </c>
      <c r="D212" s="366">
        <f>D207*2/100</f>
        <v>7.7386574074074064</v>
      </c>
      <c r="E212" s="351" t="s">
        <v>35</v>
      </c>
      <c r="F212" s="353">
        <f>VLOOKUP(B212,'Price '!B:D,3,FALSE)</f>
        <v>20000</v>
      </c>
      <c r="G212" s="351" t="str">
        <f t="shared" si="79"/>
        <v>Gal</v>
      </c>
      <c r="H212" s="353">
        <f t="shared" si="80"/>
        <v>170250.46296296295</v>
      </c>
      <c r="I212" s="391"/>
    </row>
    <row r="213" spans="1:10" s="350" customFormat="1" ht="18" customHeight="1">
      <c r="A213" s="351"/>
      <c r="B213" s="354"/>
      <c r="C213" s="351"/>
      <c r="D213" s="351"/>
      <c r="E213" s="351"/>
      <c r="F213" s="353"/>
      <c r="G213" s="351" t="s">
        <v>622</v>
      </c>
      <c r="H213" s="376">
        <f>SUM(H209:H212)</f>
        <v>2224626.3172949739</v>
      </c>
      <c r="I213" s="344"/>
    </row>
    <row r="214" spans="1:10" ht="18" customHeight="1">
      <c r="A214" s="351"/>
      <c r="B214" s="352" t="s">
        <v>28</v>
      </c>
      <c r="C214" s="351"/>
      <c r="D214" s="351"/>
      <c r="E214" s="351"/>
      <c r="F214" s="353"/>
      <c r="G214" s="351"/>
      <c r="H214" s="353"/>
      <c r="I214" s="350"/>
    </row>
    <row r="215" spans="1:10" ht="18" customHeight="1">
      <c r="A215" s="351"/>
      <c r="B215" s="377" t="s">
        <v>63</v>
      </c>
      <c r="C215" s="366">
        <f t="shared" ref="C215:C217" si="81">D215*1.1</f>
        <v>8.5125231481481478</v>
      </c>
      <c r="D215" s="366">
        <f>D207*2/100</f>
        <v>7.7386574074074064</v>
      </c>
      <c r="E215" s="351" t="s">
        <v>10</v>
      </c>
      <c r="F215" s="353">
        <f>VLOOKUP(B215,'Price '!B:D,3,FALSE)</f>
        <v>27500</v>
      </c>
      <c r="G215" s="351" t="str">
        <f t="shared" ref="G215:G217" si="82">E215</f>
        <v>Nos</v>
      </c>
      <c r="H215" s="353">
        <f t="shared" ref="H215:H217" si="83">C215*F215</f>
        <v>234094.38657407407</v>
      </c>
      <c r="J215" s="355"/>
    </row>
    <row r="216" spans="1:10" ht="18.75" customHeight="1">
      <c r="A216" s="351"/>
      <c r="B216" s="354" t="s">
        <v>37</v>
      </c>
      <c r="C216" s="366">
        <f t="shared" si="81"/>
        <v>42.562615740740746</v>
      </c>
      <c r="D216" s="366">
        <f>D207*10/100</f>
        <v>38.693287037037038</v>
      </c>
      <c r="E216" s="351" t="s">
        <v>10</v>
      </c>
      <c r="F216" s="353">
        <f>VLOOKUP(B216,'Price '!B:D,3,FALSE)</f>
        <v>19800</v>
      </c>
      <c r="G216" s="351" t="str">
        <f t="shared" si="82"/>
        <v>Nos</v>
      </c>
      <c r="H216" s="353">
        <f t="shared" si="83"/>
        <v>842739.79166666674</v>
      </c>
      <c r="J216" s="355"/>
    </row>
    <row r="217" spans="1:10" ht="18" customHeight="1">
      <c r="A217" s="351"/>
      <c r="B217" s="354" t="s">
        <v>67</v>
      </c>
      <c r="C217" s="366">
        <f t="shared" si="81"/>
        <v>2.128130787037037</v>
      </c>
      <c r="D217" s="366">
        <f>D207*0.5/100</f>
        <v>1.9346643518518516</v>
      </c>
      <c r="E217" s="351" t="s">
        <v>10</v>
      </c>
      <c r="F217" s="353">
        <f>VLOOKUP(B217,'Price '!B:D,3,FALSE)</f>
        <v>27500</v>
      </c>
      <c r="G217" s="351" t="str">
        <f t="shared" si="82"/>
        <v>Nos</v>
      </c>
      <c r="H217" s="353">
        <f t="shared" si="83"/>
        <v>58523.596643518518</v>
      </c>
      <c r="J217" s="355"/>
    </row>
    <row r="218" spans="1:10" ht="18" customHeight="1">
      <c r="A218" s="351"/>
      <c r="B218" s="354"/>
      <c r="C218" s="351"/>
      <c r="D218" s="351"/>
      <c r="E218" s="351"/>
      <c r="F218" s="353"/>
      <c r="G218" s="351" t="s">
        <v>623</v>
      </c>
      <c r="H218" s="376">
        <f>SUM(H215:H217)</f>
        <v>1135357.7748842593</v>
      </c>
    </row>
    <row r="219" spans="1:10" ht="18" customHeight="1">
      <c r="A219" s="351"/>
      <c r="B219" s="356"/>
      <c r="C219" s="351"/>
      <c r="D219" s="351"/>
      <c r="E219" s="351"/>
      <c r="F219" s="353"/>
      <c r="G219" s="351" t="s">
        <v>85</v>
      </c>
      <c r="H219" s="357">
        <f>H213+H218</f>
        <v>3359984.0921792332</v>
      </c>
    </row>
    <row r="220" spans="1:10" ht="18" customHeight="1">
      <c r="A220" s="358"/>
      <c r="B220" s="359"/>
      <c r="C220" s="358"/>
      <c r="D220" s="358"/>
      <c r="E220" s="358"/>
      <c r="F220" s="360"/>
      <c r="G220" s="358"/>
      <c r="H220" s="360"/>
    </row>
    <row r="221" spans="1:10" ht="18" customHeight="1">
      <c r="A221" s="362"/>
      <c r="B221" s="373" t="s">
        <v>737</v>
      </c>
      <c r="C221" s="364">
        <f>D221</f>
        <v>361.65972222222223</v>
      </c>
      <c r="D221" s="364">
        <f>'Details of Measurement'!N199</f>
        <v>361.65972222222223</v>
      </c>
      <c r="E221" s="389" t="s">
        <v>21</v>
      </c>
      <c r="F221" s="365"/>
      <c r="G221" s="362"/>
      <c r="H221" s="365"/>
      <c r="I221" s="355"/>
    </row>
    <row r="222" spans="1:10" ht="18" customHeight="1">
      <c r="A222" s="351"/>
      <c r="B222" s="352" t="s">
        <v>29</v>
      </c>
      <c r="C222" s="351"/>
      <c r="D222" s="351"/>
      <c r="E222" s="351"/>
      <c r="F222" s="353"/>
      <c r="G222" s="351"/>
      <c r="H222" s="353"/>
      <c r="I222" s="350"/>
    </row>
    <row r="223" spans="1:10" ht="18" customHeight="1">
      <c r="A223" s="351"/>
      <c r="B223" s="1019" t="s">
        <v>102</v>
      </c>
      <c r="C223" s="366">
        <f t="shared" ref="C223:C226" si="84">D223*1.1</f>
        <v>73.526713169642875</v>
      </c>
      <c r="D223" s="366">
        <f>D221*2070/112/100</f>
        <v>66.842466517857147</v>
      </c>
      <c r="E223" s="351" t="s">
        <v>33</v>
      </c>
      <c r="F223" s="353">
        <f>VLOOKUP(B223,'Price '!B:D,3,FALSE)</f>
        <v>18400</v>
      </c>
      <c r="G223" s="351" t="str">
        <f t="shared" ref="G223:G226" si="85">E223</f>
        <v>Bag</v>
      </c>
      <c r="H223" s="353">
        <f t="shared" ref="H223:H226" si="86">C223*F223</f>
        <v>1352891.5223214289</v>
      </c>
    </row>
    <row r="224" spans="1:10" ht="18" customHeight="1">
      <c r="A224" s="351"/>
      <c r="B224" s="354" t="s">
        <v>36</v>
      </c>
      <c r="C224" s="366">
        <f t="shared" si="84"/>
        <v>1.8299981944444443</v>
      </c>
      <c r="D224" s="366">
        <f>D221*46/100/100</f>
        <v>1.6636347222222221</v>
      </c>
      <c r="E224" s="351" t="s">
        <v>32</v>
      </c>
      <c r="F224" s="353">
        <f>VLOOKUP(B224,'Price '!B:D,3,FALSE)</f>
        <v>50000</v>
      </c>
      <c r="G224" s="351" t="str">
        <f t="shared" si="85"/>
        <v>Sud</v>
      </c>
      <c r="H224" s="353">
        <f t="shared" si="86"/>
        <v>91499.909722222219</v>
      </c>
    </row>
    <row r="225" spans="1:10" ht="18" customHeight="1">
      <c r="A225" s="351"/>
      <c r="B225" s="1019" t="s">
        <v>123</v>
      </c>
      <c r="C225" s="366">
        <f t="shared" si="84"/>
        <v>3.6599963888888887</v>
      </c>
      <c r="D225" s="366">
        <f>D221*92/100/100</f>
        <v>3.3272694444444442</v>
      </c>
      <c r="E225" s="351" t="s">
        <v>32</v>
      </c>
      <c r="F225" s="353">
        <f>VLOOKUP(B225,'Price '!B:D,3,FALSE)</f>
        <v>130000</v>
      </c>
      <c r="G225" s="351" t="str">
        <f t="shared" si="85"/>
        <v>Sud</v>
      </c>
      <c r="H225" s="353">
        <f t="shared" si="86"/>
        <v>475799.53055555554</v>
      </c>
      <c r="I225" s="355"/>
    </row>
    <row r="226" spans="1:10" ht="18" customHeight="1">
      <c r="A226" s="351"/>
      <c r="B226" s="1019" t="s">
        <v>57</v>
      </c>
      <c r="C226" s="366">
        <f t="shared" si="84"/>
        <v>7.9565138888888898</v>
      </c>
      <c r="D226" s="366">
        <f>D221*2/100</f>
        <v>7.2331944444444449</v>
      </c>
      <c r="E226" s="351" t="s">
        <v>35</v>
      </c>
      <c r="F226" s="353">
        <f>VLOOKUP(B226,'Price '!B:D,3,FALSE)</f>
        <v>20000</v>
      </c>
      <c r="G226" s="351" t="str">
        <f t="shared" si="85"/>
        <v>Gal</v>
      </c>
      <c r="H226" s="353">
        <f t="shared" si="86"/>
        <v>159130.27777777778</v>
      </c>
      <c r="I226" s="391"/>
    </row>
    <row r="227" spans="1:10" s="350" customFormat="1" ht="18" customHeight="1">
      <c r="A227" s="351"/>
      <c r="B227" s="354"/>
      <c r="C227" s="351"/>
      <c r="D227" s="351"/>
      <c r="E227" s="351"/>
      <c r="F227" s="353"/>
      <c r="G227" s="351" t="s">
        <v>622</v>
      </c>
      <c r="H227" s="376">
        <f>SUM(H223:H226)</f>
        <v>2079321.2403769845</v>
      </c>
      <c r="I227" s="344"/>
    </row>
    <row r="228" spans="1:10" ht="18" customHeight="1">
      <c r="A228" s="351"/>
      <c r="B228" s="352" t="s">
        <v>28</v>
      </c>
      <c r="C228" s="351"/>
      <c r="D228" s="351"/>
      <c r="E228" s="351"/>
      <c r="F228" s="353"/>
      <c r="G228" s="351"/>
      <c r="H228" s="353"/>
      <c r="I228" s="350"/>
    </row>
    <row r="229" spans="1:10" ht="18" customHeight="1">
      <c r="A229" s="351"/>
      <c r="B229" s="377" t="s">
        <v>63</v>
      </c>
      <c r="C229" s="366">
        <f t="shared" ref="C229:C231" si="87">D229*1.1</f>
        <v>7.9565138888888898</v>
      </c>
      <c r="D229" s="366">
        <f>D221*2/100</f>
        <v>7.2331944444444449</v>
      </c>
      <c r="E229" s="351" t="s">
        <v>10</v>
      </c>
      <c r="F229" s="353">
        <f>VLOOKUP(B229,'Price '!B:D,3,FALSE)</f>
        <v>27500</v>
      </c>
      <c r="G229" s="351" t="str">
        <f t="shared" ref="G229:G231" si="88">E229</f>
        <v>Nos</v>
      </c>
      <c r="H229" s="353">
        <f t="shared" ref="H229:H231" si="89">C229*F229</f>
        <v>218804.13194444447</v>
      </c>
      <c r="J229" s="355"/>
    </row>
    <row r="230" spans="1:10" ht="18.75" customHeight="1">
      <c r="A230" s="351"/>
      <c r="B230" s="354" t="s">
        <v>37</v>
      </c>
      <c r="C230" s="366">
        <f t="shared" si="87"/>
        <v>43.760826388888887</v>
      </c>
      <c r="D230" s="366">
        <f>D221*11/100</f>
        <v>39.782569444444441</v>
      </c>
      <c r="E230" s="351" t="s">
        <v>10</v>
      </c>
      <c r="F230" s="353">
        <f>VLOOKUP(B230,'Price '!B:D,3,FALSE)</f>
        <v>19800</v>
      </c>
      <c r="G230" s="351" t="str">
        <f t="shared" si="88"/>
        <v>Nos</v>
      </c>
      <c r="H230" s="353">
        <f t="shared" si="89"/>
        <v>866464.36249999993</v>
      </c>
      <c r="J230" s="355"/>
    </row>
    <row r="231" spans="1:10" ht="18" customHeight="1">
      <c r="A231" s="351"/>
      <c r="B231" s="354" t="s">
        <v>67</v>
      </c>
      <c r="C231" s="366">
        <f t="shared" si="87"/>
        <v>1.9891284722222224</v>
      </c>
      <c r="D231" s="366">
        <f>D221*0.5/100</f>
        <v>1.8082986111111112</v>
      </c>
      <c r="E231" s="351" t="s">
        <v>10</v>
      </c>
      <c r="F231" s="353">
        <f>VLOOKUP(B231,'Price '!B:D,3,FALSE)</f>
        <v>27500</v>
      </c>
      <c r="G231" s="351" t="str">
        <f t="shared" si="88"/>
        <v>Nos</v>
      </c>
      <c r="H231" s="353">
        <f t="shared" si="89"/>
        <v>54701.032986111117</v>
      </c>
      <c r="J231" s="355"/>
    </row>
    <row r="232" spans="1:10" ht="18" customHeight="1">
      <c r="A232" s="351"/>
      <c r="B232" s="354"/>
      <c r="C232" s="351"/>
      <c r="D232" s="351"/>
      <c r="E232" s="351"/>
      <c r="F232" s="353"/>
      <c r="G232" s="351" t="s">
        <v>623</v>
      </c>
      <c r="H232" s="376">
        <f>SUM(H229:H231)</f>
        <v>1139969.5274305553</v>
      </c>
    </row>
    <row r="233" spans="1:10" ht="18" customHeight="1">
      <c r="A233" s="351"/>
      <c r="B233" s="356"/>
      <c r="C233" s="351"/>
      <c r="D233" s="351"/>
      <c r="E233" s="351"/>
      <c r="F233" s="353"/>
      <c r="G233" s="351" t="s">
        <v>85</v>
      </c>
      <c r="H233" s="357">
        <f>H227+H232</f>
        <v>3219290.7678075396</v>
      </c>
    </row>
    <row r="234" spans="1:10" ht="18" customHeight="1">
      <c r="A234" s="358"/>
      <c r="B234" s="359"/>
      <c r="C234" s="358"/>
      <c r="D234" s="358"/>
      <c r="E234" s="358"/>
      <c r="F234" s="360"/>
      <c r="G234" s="358"/>
      <c r="H234" s="360"/>
    </row>
    <row r="235" spans="1:10" ht="18" customHeight="1">
      <c r="A235" s="362"/>
      <c r="B235" s="373" t="s">
        <v>738</v>
      </c>
      <c r="C235" s="364">
        <f>D235</f>
        <v>278.05555555555554</v>
      </c>
      <c r="D235" s="364">
        <f>'Details of Measurement'!N225</f>
        <v>278.05555555555554</v>
      </c>
      <c r="E235" s="389" t="s">
        <v>21</v>
      </c>
      <c r="F235" s="365"/>
      <c r="G235" s="362"/>
      <c r="H235" s="365"/>
      <c r="I235" s="355"/>
    </row>
    <row r="236" spans="1:10" ht="18" customHeight="1">
      <c r="A236" s="351"/>
      <c r="B236" s="352" t="s">
        <v>29</v>
      </c>
      <c r="C236" s="351"/>
      <c r="D236" s="351"/>
      <c r="E236" s="351"/>
      <c r="F236" s="353"/>
      <c r="G236" s="351"/>
      <c r="H236" s="353"/>
      <c r="I236" s="350"/>
    </row>
    <row r="237" spans="1:10" ht="18" customHeight="1">
      <c r="A237" s="351"/>
      <c r="B237" s="1019" t="s">
        <v>102</v>
      </c>
      <c r="C237" s="366">
        <f t="shared" ref="C237:C240" si="90">D237*1.1</f>
        <v>56.529687500000001</v>
      </c>
      <c r="D237" s="366">
        <f>D235*2070/112/100</f>
        <v>51.390625</v>
      </c>
      <c r="E237" s="351" t="s">
        <v>33</v>
      </c>
      <c r="F237" s="353">
        <f>VLOOKUP(B237,'Price '!B:D,3,FALSE)</f>
        <v>18400</v>
      </c>
      <c r="G237" s="351" t="str">
        <f t="shared" ref="G237:G240" si="91">E237</f>
        <v>Bag</v>
      </c>
      <c r="H237" s="353">
        <f t="shared" ref="H237:H240" si="92">C237*F237</f>
        <v>1040146.25</v>
      </c>
    </row>
    <row r="238" spans="1:10" ht="18" customHeight="1">
      <c r="A238" s="351"/>
      <c r="B238" s="354" t="s">
        <v>36</v>
      </c>
      <c r="C238" s="366">
        <f t="shared" si="90"/>
        <v>1.4069611111111113</v>
      </c>
      <c r="D238" s="366">
        <f>D235*46/100/100</f>
        <v>1.2790555555555556</v>
      </c>
      <c r="E238" s="351" t="s">
        <v>32</v>
      </c>
      <c r="F238" s="353">
        <f>VLOOKUP(B238,'Price '!B:D,3,FALSE)</f>
        <v>50000</v>
      </c>
      <c r="G238" s="351" t="str">
        <f t="shared" si="91"/>
        <v>Sud</v>
      </c>
      <c r="H238" s="353">
        <f t="shared" si="92"/>
        <v>70348.055555555562</v>
      </c>
    </row>
    <row r="239" spans="1:10" ht="18" customHeight="1">
      <c r="A239" s="351"/>
      <c r="B239" s="1019" t="s">
        <v>123</v>
      </c>
      <c r="C239" s="366">
        <f t="shared" si="90"/>
        <v>2.8139222222222227</v>
      </c>
      <c r="D239" s="366">
        <f>D235*92/100/100</f>
        <v>2.5581111111111112</v>
      </c>
      <c r="E239" s="351" t="s">
        <v>32</v>
      </c>
      <c r="F239" s="353">
        <f>VLOOKUP(B239,'Price '!B:D,3,FALSE)</f>
        <v>130000</v>
      </c>
      <c r="G239" s="351" t="str">
        <f t="shared" si="91"/>
        <v>Sud</v>
      </c>
      <c r="H239" s="353">
        <f t="shared" si="92"/>
        <v>365809.88888888893</v>
      </c>
      <c r="I239" s="355"/>
    </row>
    <row r="240" spans="1:10" ht="18" customHeight="1">
      <c r="A240" s="351"/>
      <c r="B240" s="1019" t="s">
        <v>57</v>
      </c>
      <c r="C240" s="366">
        <f t="shared" si="90"/>
        <v>6.1172222222222228</v>
      </c>
      <c r="D240" s="366">
        <f>D235*2/100</f>
        <v>5.5611111111111109</v>
      </c>
      <c r="E240" s="351" t="s">
        <v>35</v>
      </c>
      <c r="F240" s="353">
        <f>VLOOKUP(B240,'Price '!B:D,3,FALSE)</f>
        <v>20000</v>
      </c>
      <c r="G240" s="351" t="str">
        <f t="shared" si="91"/>
        <v>Gal</v>
      </c>
      <c r="H240" s="353">
        <f t="shared" si="92"/>
        <v>122344.44444444445</v>
      </c>
      <c r="I240" s="391"/>
    </row>
    <row r="241" spans="1:10" s="350" customFormat="1" ht="18" customHeight="1">
      <c r="A241" s="351"/>
      <c r="B241" s="354"/>
      <c r="C241" s="351"/>
      <c r="D241" s="351"/>
      <c r="E241" s="351"/>
      <c r="F241" s="353"/>
      <c r="G241" s="351" t="s">
        <v>622</v>
      </c>
      <c r="H241" s="376">
        <f>SUM(H237:H240)</f>
        <v>1598648.638888889</v>
      </c>
      <c r="I241" s="344"/>
    </row>
    <row r="242" spans="1:10" ht="18" customHeight="1">
      <c r="A242" s="351"/>
      <c r="B242" s="352" t="s">
        <v>28</v>
      </c>
      <c r="C242" s="351"/>
      <c r="D242" s="351"/>
      <c r="E242" s="351"/>
      <c r="F242" s="353"/>
      <c r="G242" s="351"/>
      <c r="H242" s="353"/>
      <c r="I242" s="350"/>
    </row>
    <row r="243" spans="1:10" ht="18" customHeight="1">
      <c r="A243" s="351"/>
      <c r="B243" s="377" t="s">
        <v>63</v>
      </c>
      <c r="C243" s="366">
        <f t="shared" ref="C243:C245" si="93">D243*1.1</f>
        <v>6.1172222222222228</v>
      </c>
      <c r="D243" s="366">
        <f>D235*2/100</f>
        <v>5.5611111111111109</v>
      </c>
      <c r="E243" s="351" t="s">
        <v>10</v>
      </c>
      <c r="F243" s="353">
        <f>VLOOKUP(B243,'Price '!B:D,3,FALSE)</f>
        <v>27500</v>
      </c>
      <c r="G243" s="351" t="str">
        <f t="shared" ref="G243:G245" si="94">E243</f>
        <v>Nos</v>
      </c>
      <c r="H243" s="353">
        <f t="shared" ref="H243:H245" si="95">C243*F243</f>
        <v>168223.61111111112</v>
      </c>
      <c r="J243" s="355"/>
    </row>
    <row r="244" spans="1:10" ht="18.75" customHeight="1">
      <c r="A244" s="351"/>
      <c r="B244" s="354" t="s">
        <v>37</v>
      </c>
      <c r="C244" s="366">
        <f t="shared" si="93"/>
        <v>36.70333333333334</v>
      </c>
      <c r="D244" s="366">
        <f>D235*12/100</f>
        <v>33.366666666666667</v>
      </c>
      <c r="E244" s="351" t="s">
        <v>10</v>
      </c>
      <c r="F244" s="353">
        <f>VLOOKUP(B244,'Price '!B:D,3,FALSE)</f>
        <v>19800</v>
      </c>
      <c r="G244" s="351" t="str">
        <f t="shared" si="94"/>
        <v>Nos</v>
      </c>
      <c r="H244" s="353">
        <f t="shared" si="95"/>
        <v>726726.00000000012</v>
      </c>
      <c r="J244" s="355"/>
    </row>
    <row r="245" spans="1:10" ht="18" customHeight="1">
      <c r="A245" s="351"/>
      <c r="B245" s="354" t="s">
        <v>67</v>
      </c>
      <c r="C245" s="366">
        <f t="shared" si="93"/>
        <v>1.5293055555555557</v>
      </c>
      <c r="D245" s="366">
        <f>D235*0.5/100</f>
        <v>1.3902777777777777</v>
      </c>
      <c r="E245" s="351" t="s">
        <v>10</v>
      </c>
      <c r="F245" s="353">
        <f>VLOOKUP(B245,'Price '!B:D,3,FALSE)</f>
        <v>27500</v>
      </c>
      <c r="G245" s="351" t="str">
        <f t="shared" si="94"/>
        <v>Nos</v>
      </c>
      <c r="H245" s="353">
        <f t="shared" si="95"/>
        <v>42055.902777777781</v>
      </c>
      <c r="J245" s="355"/>
    </row>
    <row r="246" spans="1:10" ht="18" customHeight="1">
      <c r="A246" s="351"/>
      <c r="B246" s="354"/>
      <c r="C246" s="351"/>
      <c r="D246" s="351"/>
      <c r="E246" s="351"/>
      <c r="F246" s="353"/>
      <c r="G246" s="351" t="s">
        <v>623</v>
      </c>
      <c r="H246" s="376">
        <f>SUM(H243:H245)</f>
        <v>937005.51388888899</v>
      </c>
    </row>
    <row r="247" spans="1:10" ht="18" customHeight="1">
      <c r="A247" s="351"/>
      <c r="B247" s="356"/>
      <c r="C247" s="351"/>
      <c r="D247" s="351"/>
      <c r="E247" s="351"/>
      <c r="F247" s="353"/>
      <c r="G247" s="351" t="s">
        <v>85</v>
      </c>
      <c r="H247" s="357">
        <f>H241+H246</f>
        <v>2535654.152777778</v>
      </c>
    </row>
    <row r="248" spans="1:10" ht="18" customHeight="1">
      <c r="A248" s="358"/>
      <c r="B248" s="359"/>
      <c r="C248" s="358"/>
      <c r="D248" s="358"/>
      <c r="E248" s="358"/>
      <c r="F248" s="360"/>
      <c r="G248" s="358"/>
      <c r="H248" s="360"/>
    </row>
    <row r="249" spans="1:10" ht="18" customHeight="1">
      <c r="A249" s="362"/>
      <c r="B249" s="373" t="s">
        <v>740</v>
      </c>
      <c r="C249" s="364">
        <f>D249</f>
        <v>73.125</v>
      </c>
      <c r="D249" s="364">
        <f>'Details of Measurement'!N229</f>
        <v>73.125</v>
      </c>
      <c r="E249" s="389" t="s">
        <v>21</v>
      </c>
      <c r="F249" s="365"/>
      <c r="G249" s="362"/>
      <c r="H249" s="365"/>
      <c r="I249" s="355"/>
    </row>
    <row r="250" spans="1:10" ht="18" customHeight="1">
      <c r="A250" s="351"/>
      <c r="B250" s="352" t="s">
        <v>29</v>
      </c>
      <c r="C250" s="351"/>
      <c r="D250" s="351"/>
      <c r="E250" s="351"/>
      <c r="F250" s="353"/>
      <c r="G250" s="351"/>
      <c r="H250" s="353"/>
      <c r="I250" s="350"/>
    </row>
    <row r="251" spans="1:10" ht="18" customHeight="1">
      <c r="A251" s="351"/>
      <c r="B251" s="1019" t="s">
        <v>102</v>
      </c>
      <c r="C251" s="366">
        <f t="shared" ref="C251:C255" si="96">D251*1.1</f>
        <v>14.866573660714286</v>
      </c>
      <c r="D251" s="366">
        <f>D249*2070/112/100</f>
        <v>13.515066964285714</v>
      </c>
      <c r="E251" s="351" t="s">
        <v>33</v>
      </c>
      <c r="F251" s="353">
        <f>VLOOKUP(B251,'Price '!B:D,3,FALSE)</f>
        <v>18400</v>
      </c>
      <c r="G251" s="351" t="str">
        <f t="shared" ref="G251:G255" si="97">E251</f>
        <v>Bag</v>
      </c>
      <c r="H251" s="353">
        <f t="shared" ref="H251:H255" si="98">C251*F251</f>
        <v>273544.95535714284</v>
      </c>
    </row>
    <row r="252" spans="1:10" ht="18" customHeight="1">
      <c r="A252" s="351"/>
      <c r="B252" s="354" t="s">
        <v>36</v>
      </c>
      <c r="C252" s="366">
        <f t="shared" si="96"/>
        <v>0.37001250000000008</v>
      </c>
      <c r="D252" s="366">
        <f>D249*46/100/100</f>
        <v>0.33637500000000004</v>
      </c>
      <c r="E252" s="351" t="s">
        <v>32</v>
      </c>
      <c r="F252" s="353">
        <f>VLOOKUP(B252,'Price '!B:D,3,FALSE)</f>
        <v>50000</v>
      </c>
      <c r="G252" s="351" t="str">
        <f t="shared" si="97"/>
        <v>Sud</v>
      </c>
      <c r="H252" s="353">
        <f t="shared" si="98"/>
        <v>18500.625000000004</v>
      </c>
    </row>
    <row r="253" spans="1:10" ht="18" customHeight="1">
      <c r="A253" s="351"/>
      <c r="B253" s="1019" t="s">
        <v>123</v>
      </c>
      <c r="C253" s="366">
        <f t="shared" si="96"/>
        <v>0.74002500000000015</v>
      </c>
      <c r="D253" s="366">
        <f>D249*92/100/100</f>
        <v>0.67275000000000007</v>
      </c>
      <c r="E253" s="351" t="s">
        <v>32</v>
      </c>
      <c r="F253" s="353">
        <f>VLOOKUP(B253,'Price '!B:D,3,FALSE)</f>
        <v>130000</v>
      </c>
      <c r="G253" s="351" t="str">
        <f t="shared" si="97"/>
        <v>Sud</v>
      </c>
      <c r="H253" s="353">
        <f t="shared" si="98"/>
        <v>96203.250000000015</v>
      </c>
      <c r="I253" s="355"/>
    </row>
    <row r="254" spans="1:10" ht="18" customHeight="1">
      <c r="A254" s="351"/>
      <c r="B254" s="1019" t="s">
        <v>725</v>
      </c>
      <c r="C254" s="366">
        <f t="shared" si="96"/>
        <v>7.4332868303571429</v>
      </c>
      <c r="D254" s="366">
        <f>D251/2</f>
        <v>6.7575334821428568</v>
      </c>
      <c r="E254" s="351" t="s">
        <v>727</v>
      </c>
      <c r="F254" s="353">
        <f>VLOOKUP(B254,'Price '!B:D,3,FALSE)</f>
        <v>14700</v>
      </c>
      <c r="G254" s="351" t="str">
        <f t="shared" si="97"/>
        <v>Lit</v>
      </c>
      <c r="H254" s="353">
        <f t="shared" si="98"/>
        <v>109269.31640625</v>
      </c>
      <c r="I254" s="391"/>
    </row>
    <row r="255" spans="1:10" ht="18" customHeight="1">
      <c r="A255" s="351"/>
      <c r="B255" s="1019" t="s">
        <v>57</v>
      </c>
      <c r="C255" s="366">
        <f t="shared" si="96"/>
        <v>1.6087500000000001</v>
      </c>
      <c r="D255" s="366">
        <f>D249*2/100</f>
        <v>1.4624999999999999</v>
      </c>
      <c r="E255" s="351" t="s">
        <v>35</v>
      </c>
      <c r="F255" s="353">
        <f>VLOOKUP(B255,'Price '!B:D,3,FALSE)</f>
        <v>20000</v>
      </c>
      <c r="G255" s="351" t="str">
        <f t="shared" si="97"/>
        <v>Gal</v>
      </c>
      <c r="H255" s="353">
        <f t="shared" si="98"/>
        <v>32175.000000000004</v>
      </c>
      <c r="I255" s="391"/>
    </row>
    <row r="256" spans="1:10" s="350" customFormat="1" ht="18" customHeight="1">
      <c r="A256" s="351"/>
      <c r="B256" s="354"/>
      <c r="C256" s="351"/>
      <c r="D256" s="351"/>
      <c r="E256" s="351"/>
      <c r="F256" s="353"/>
      <c r="G256" s="351" t="s">
        <v>622</v>
      </c>
      <c r="H256" s="376">
        <f>SUM(H251:H255)</f>
        <v>529693.14676339284</v>
      </c>
      <c r="I256" s="344"/>
    </row>
    <row r="257" spans="1:10" ht="18" customHeight="1">
      <c r="A257" s="351"/>
      <c r="B257" s="352" t="s">
        <v>28</v>
      </c>
      <c r="C257" s="351"/>
      <c r="D257" s="351"/>
      <c r="E257" s="351"/>
      <c r="F257" s="353"/>
      <c r="G257" s="351"/>
      <c r="H257" s="353"/>
      <c r="I257" s="350"/>
    </row>
    <row r="258" spans="1:10" ht="18" customHeight="1">
      <c r="A258" s="351"/>
      <c r="B258" s="377" t="s">
        <v>63</v>
      </c>
      <c r="C258" s="366">
        <f t="shared" ref="C258:C260" si="99">D258*1.1</f>
        <v>1.6087500000000001</v>
      </c>
      <c r="D258" s="366">
        <f>D249*2/100</f>
        <v>1.4624999999999999</v>
      </c>
      <c r="E258" s="351" t="s">
        <v>10</v>
      </c>
      <c r="F258" s="353">
        <f>VLOOKUP(B258,'Price '!B:D,3,FALSE)</f>
        <v>27500</v>
      </c>
      <c r="G258" s="351" t="str">
        <f t="shared" ref="G258:G260" si="100">E258</f>
        <v>Nos</v>
      </c>
      <c r="H258" s="353">
        <f t="shared" ref="H258:H260" si="101">C258*F258</f>
        <v>44240.625</v>
      </c>
      <c r="J258" s="355"/>
    </row>
    <row r="259" spans="1:10" ht="18.75" customHeight="1">
      <c r="A259" s="351"/>
      <c r="B259" s="354" t="s">
        <v>37</v>
      </c>
      <c r="C259" s="366">
        <f t="shared" si="99"/>
        <v>7.2393750000000008</v>
      </c>
      <c r="D259" s="366">
        <f>D249*9/100</f>
        <v>6.5812499999999998</v>
      </c>
      <c r="E259" s="351" t="s">
        <v>10</v>
      </c>
      <c r="F259" s="353">
        <f>VLOOKUP(B259,'Price '!B:D,3,FALSE)</f>
        <v>19800</v>
      </c>
      <c r="G259" s="351" t="str">
        <f t="shared" si="100"/>
        <v>Nos</v>
      </c>
      <c r="H259" s="353">
        <f t="shared" si="101"/>
        <v>143339.62500000003</v>
      </c>
      <c r="J259" s="355"/>
    </row>
    <row r="260" spans="1:10" ht="18" customHeight="1">
      <c r="A260" s="351"/>
      <c r="B260" s="354" t="s">
        <v>67</v>
      </c>
      <c r="C260" s="366">
        <f t="shared" si="99"/>
        <v>0.40218750000000003</v>
      </c>
      <c r="D260" s="366">
        <f>D249*0.5/100</f>
        <v>0.36562499999999998</v>
      </c>
      <c r="E260" s="351" t="s">
        <v>10</v>
      </c>
      <c r="F260" s="353">
        <f>VLOOKUP(B260,'Price '!B:D,3,FALSE)</f>
        <v>27500</v>
      </c>
      <c r="G260" s="351" t="str">
        <f t="shared" si="100"/>
        <v>Nos</v>
      </c>
      <c r="H260" s="353">
        <f t="shared" si="101"/>
        <v>11060.15625</v>
      </c>
      <c r="J260" s="355"/>
    </row>
    <row r="261" spans="1:10" ht="18" customHeight="1">
      <c r="A261" s="351"/>
      <c r="B261" s="354"/>
      <c r="C261" s="351"/>
      <c r="D261" s="351"/>
      <c r="E261" s="351"/>
      <c r="F261" s="353"/>
      <c r="G261" s="351" t="s">
        <v>623</v>
      </c>
      <c r="H261" s="376">
        <f>SUM(H258:H260)</f>
        <v>198640.40625000003</v>
      </c>
    </row>
    <row r="262" spans="1:10" ht="18" customHeight="1">
      <c r="A262" s="351"/>
      <c r="B262" s="356"/>
      <c r="C262" s="351"/>
      <c r="D262" s="351"/>
      <c r="E262" s="351"/>
      <c r="F262" s="353"/>
      <c r="G262" s="351" t="s">
        <v>85</v>
      </c>
      <c r="H262" s="357">
        <f>H256+H261</f>
        <v>728333.55301339284</v>
      </c>
    </row>
    <row r="263" spans="1:10" ht="18" customHeight="1">
      <c r="A263" s="358"/>
      <c r="B263" s="359"/>
      <c r="C263" s="358"/>
      <c r="D263" s="358"/>
      <c r="E263" s="358"/>
      <c r="F263" s="360"/>
      <c r="G263" s="358"/>
      <c r="H263" s="360"/>
    </row>
    <row r="264" spans="1:10" ht="18" customHeight="1">
      <c r="A264" s="362"/>
      <c r="B264" s="373" t="s">
        <v>739</v>
      </c>
      <c r="C264" s="364">
        <f>D264</f>
        <v>14</v>
      </c>
      <c r="D264" s="364">
        <f>'Details of Measurement'!N233</f>
        <v>14</v>
      </c>
      <c r="E264" s="389" t="s">
        <v>21</v>
      </c>
      <c r="F264" s="365"/>
      <c r="G264" s="362"/>
      <c r="H264" s="365"/>
      <c r="I264" s="355"/>
    </row>
    <row r="265" spans="1:10" ht="18" customHeight="1">
      <c r="A265" s="351"/>
      <c r="B265" s="352" t="s">
        <v>29</v>
      </c>
      <c r="C265" s="351"/>
      <c r="D265" s="351"/>
      <c r="E265" s="351"/>
      <c r="F265" s="353"/>
      <c r="G265" s="351"/>
      <c r="H265" s="353"/>
      <c r="I265" s="350"/>
    </row>
    <row r="266" spans="1:10" ht="18" customHeight="1">
      <c r="A266" s="351"/>
      <c r="B266" s="1019" t="s">
        <v>102</v>
      </c>
      <c r="C266" s="366">
        <f t="shared" ref="C266:C270" si="102">D266*1.1</f>
        <v>2.8462499999999999</v>
      </c>
      <c r="D266" s="366">
        <f>D264*2070/112/100</f>
        <v>2.5874999999999999</v>
      </c>
      <c r="E266" s="351" t="s">
        <v>33</v>
      </c>
      <c r="F266" s="353">
        <f>VLOOKUP(B266,'Price '!B:D,3,FALSE)</f>
        <v>18400</v>
      </c>
      <c r="G266" s="351" t="str">
        <f t="shared" ref="G266:G270" si="103">E266</f>
        <v>Bag</v>
      </c>
      <c r="H266" s="353">
        <f t="shared" ref="H266:H269" si="104">C266*F266</f>
        <v>52371</v>
      </c>
    </row>
    <row r="267" spans="1:10" ht="18" customHeight="1">
      <c r="A267" s="351"/>
      <c r="B267" s="354" t="s">
        <v>36</v>
      </c>
      <c r="C267" s="366">
        <f t="shared" si="102"/>
        <v>7.084E-2</v>
      </c>
      <c r="D267" s="366">
        <f>D264*46/100/100</f>
        <v>6.4399999999999999E-2</v>
      </c>
      <c r="E267" s="351" t="s">
        <v>32</v>
      </c>
      <c r="F267" s="353">
        <f>VLOOKUP(B267,'Price '!B:D,3,FALSE)</f>
        <v>50000</v>
      </c>
      <c r="G267" s="351" t="str">
        <f t="shared" si="103"/>
        <v>Sud</v>
      </c>
      <c r="H267" s="353">
        <f t="shared" si="104"/>
        <v>3542</v>
      </c>
    </row>
    <row r="268" spans="1:10" ht="18" customHeight="1">
      <c r="A268" s="351"/>
      <c r="B268" s="1019" t="s">
        <v>123</v>
      </c>
      <c r="C268" s="366">
        <f t="shared" si="102"/>
        <v>0.14168</v>
      </c>
      <c r="D268" s="366">
        <f>D264*92/100/100</f>
        <v>0.1288</v>
      </c>
      <c r="E268" s="351" t="s">
        <v>32</v>
      </c>
      <c r="F268" s="353">
        <f>VLOOKUP(B268,'Price '!B:D,3,FALSE)</f>
        <v>130000</v>
      </c>
      <c r="G268" s="351" t="str">
        <f t="shared" si="103"/>
        <v>Sud</v>
      </c>
      <c r="H268" s="353">
        <f t="shared" si="104"/>
        <v>18418.400000000001</v>
      </c>
      <c r="I268" s="355"/>
    </row>
    <row r="269" spans="1:10" ht="18" customHeight="1">
      <c r="A269" s="351"/>
      <c r="B269" s="1019" t="s">
        <v>725</v>
      </c>
      <c r="C269" s="366">
        <f t="shared" si="102"/>
        <v>1.423125</v>
      </c>
      <c r="D269" s="366">
        <f>D266/2</f>
        <v>1.29375</v>
      </c>
      <c r="E269" s="351" t="s">
        <v>727</v>
      </c>
      <c r="F269" s="353">
        <f>VLOOKUP(B269,'Price '!B:D,3,FALSE)</f>
        <v>14700</v>
      </c>
      <c r="G269" s="351" t="str">
        <f t="shared" si="103"/>
        <v>Lit</v>
      </c>
      <c r="H269" s="353">
        <f t="shared" si="104"/>
        <v>20919.9375</v>
      </c>
      <c r="I269" s="391"/>
    </row>
    <row r="270" spans="1:10" ht="18" customHeight="1">
      <c r="A270" s="351"/>
      <c r="B270" s="1019" t="s">
        <v>57</v>
      </c>
      <c r="C270" s="366">
        <f t="shared" si="102"/>
        <v>0.30800000000000005</v>
      </c>
      <c r="D270" s="366">
        <f>D264*2/100</f>
        <v>0.28000000000000003</v>
      </c>
      <c r="E270" s="351" t="s">
        <v>35</v>
      </c>
      <c r="F270" s="353">
        <f>VLOOKUP(B270,'Price '!B:D,3,FALSE)</f>
        <v>20000</v>
      </c>
      <c r="G270" s="351" t="str">
        <f t="shared" si="103"/>
        <v>Gal</v>
      </c>
      <c r="H270" s="353">
        <f>C270*F270</f>
        <v>6160.0000000000009</v>
      </c>
      <c r="I270" s="391"/>
    </row>
    <row r="271" spans="1:10" s="350" customFormat="1" ht="18" customHeight="1">
      <c r="A271" s="351"/>
      <c r="B271" s="354"/>
      <c r="C271" s="351"/>
      <c r="D271" s="351"/>
      <c r="E271" s="351"/>
      <c r="F271" s="353"/>
      <c r="G271" s="351" t="s">
        <v>622</v>
      </c>
      <c r="H271" s="376">
        <f>SUM(H266:H270)</f>
        <v>101411.33749999999</v>
      </c>
      <c r="I271" s="344"/>
    </row>
    <row r="272" spans="1:10" ht="18" customHeight="1">
      <c r="A272" s="351"/>
      <c r="B272" s="352" t="s">
        <v>28</v>
      </c>
      <c r="C272" s="351"/>
      <c r="D272" s="351"/>
      <c r="E272" s="351"/>
      <c r="F272" s="353"/>
      <c r="G272" s="351"/>
      <c r="H272" s="353"/>
      <c r="I272" s="350"/>
    </row>
    <row r="273" spans="1:10" ht="18" customHeight="1">
      <c r="A273" s="351"/>
      <c r="B273" s="377" t="s">
        <v>63</v>
      </c>
      <c r="C273" s="366">
        <f t="shared" ref="C273:C275" si="105">D273*1.1</f>
        <v>0.30800000000000005</v>
      </c>
      <c r="D273" s="366">
        <f>D264*2/100</f>
        <v>0.28000000000000003</v>
      </c>
      <c r="E273" s="351" t="s">
        <v>10</v>
      </c>
      <c r="F273" s="353">
        <f>VLOOKUP(B273,'Price '!B:D,3,FALSE)</f>
        <v>27500</v>
      </c>
      <c r="G273" s="351" t="str">
        <f t="shared" ref="G273:G275" si="106">E273</f>
        <v>Nos</v>
      </c>
      <c r="H273" s="353">
        <f t="shared" ref="H273:H275" si="107">C273*F273</f>
        <v>8470.0000000000018</v>
      </c>
      <c r="J273" s="355"/>
    </row>
    <row r="274" spans="1:10" ht="18.75" customHeight="1">
      <c r="A274" s="351"/>
      <c r="B274" s="354" t="s">
        <v>37</v>
      </c>
      <c r="C274" s="366">
        <f t="shared" si="105"/>
        <v>1.3860000000000001</v>
      </c>
      <c r="D274" s="366">
        <f>D264*9/100</f>
        <v>1.26</v>
      </c>
      <c r="E274" s="351" t="s">
        <v>10</v>
      </c>
      <c r="F274" s="353">
        <f>VLOOKUP(B274,'Price '!B:D,3,FALSE)</f>
        <v>19800</v>
      </c>
      <c r="G274" s="351" t="str">
        <f t="shared" si="106"/>
        <v>Nos</v>
      </c>
      <c r="H274" s="353">
        <f t="shared" si="107"/>
        <v>27442.800000000003</v>
      </c>
      <c r="J274" s="355"/>
    </row>
    <row r="275" spans="1:10" ht="18" customHeight="1">
      <c r="A275" s="351"/>
      <c r="B275" s="354" t="s">
        <v>67</v>
      </c>
      <c r="C275" s="366">
        <f t="shared" si="105"/>
        <v>7.7000000000000013E-2</v>
      </c>
      <c r="D275" s="366">
        <f>D264*0.5/100</f>
        <v>7.0000000000000007E-2</v>
      </c>
      <c r="E275" s="351" t="s">
        <v>10</v>
      </c>
      <c r="F275" s="353">
        <f>VLOOKUP(B275,'Price '!B:D,3,FALSE)</f>
        <v>27500</v>
      </c>
      <c r="G275" s="351" t="str">
        <f t="shared" si="106"/>
        <v>Nos</v>
      </c>
      <c r="H275" s="353">
        <f t="shared" si="107"/>
        <v>2117.5000000000005</v>
      </c>
      <c r="J275" s="355"/>
    </row>
    <row r="276" spans="1:10" ht="18" customHeight="1">
      <c r="A276" s="351"/>
      <c r="B276" s="354"/>
      <c r="C276" s="351"/>
      <c r="D276" s="351"/>
      <c r="E276" s="351"/>
      <c r="F276" s="353"/>
      <c r="G276" s="351" t="s">
        <v>623</v>
      </c>
      <c r="H276" s="376">
        <f>SUM(H273:H275)</f>
        <v>38030.300000000003</v>
      </c>
    </row>
    <row r="277" spans="1:10" ht="18" customHeight="1">
      <c r="A277" s="351"/>
      <c r="B277" s="356"/>
      <c r="C277" s="351"/>
      <c r="D277" s="351"/>
      <c r="E277" s="351"/>
      <c r="F277" s="353"/>
      <c r="G277" s="351" t="s">
        <v>85</v>
      </c>
      <c r="H277" s="357">
        <f>H271+H276</f>
        <v>139441.63750000001</v>
      </c>
    </row>
    <row r="278" spans="1:10" ht="18" customHeight="1">
      <c r="A278" s="358"/>
      <c r="B278" s="359"/>
      <c r="C278" s="358"/>
      <c r="D278" s="358"/>
      <c r="E278" s="358"/>
      <c r="F278" s="360"/>
      <c r="G278" s="358"/>
      <c r="H278" s="360"/>
    </row>
    <row r="279" spans="1:10" ht="18" customHeight="1">
      <c r="A279" s="362"/>
      <c r="B279" s="373" t="s">
        <v>741</v>
      </c>
      <c r="C279" s="364">
        <f>D279</f>
        <v>326.02083333333331</v>
      </c>
      <c r="D279" s="364">
        <f>'Details of Measurement'!N248</f>
        <v>326.02083333333331</v>
      </c>
      <c r="E279" s="389" t="s">
        <v>21</v>
      </c>
      <c r="F279" s="365"/>
      <c r="G279" s="362"/>
      <c r="H279" s="365"/>
      <c r="I279" s="355"/>
    </row>
    <row r="280" spans="1:10" ht="18" customHeight="1">
      <c r="A280" s="351"/>
      <c r="B280" s="352" t="s">
        <v>29</v>
      </c>
      <c r="C280" s="351"/>
      <c r="D280" s="351"/>
      <c r="E280" s="351"/>
      <c r="F280" s="353"/>
      <c r="G280" s="351"/>
      <c r="H280" s="353"/>
      <c r="I280" s="350"/>
    </row>
    <row r="281" spans="1:10" ht="18" customHeight="1">
      <c r="A281" s="351"/>
      <c r="B281" s="1019" t="s">
        <v>102</v>
      </c>
      <c r="C281" s="366">
        <f t="shared" ref="C281:C285" si="108">D281*1.1</f>
        <v>66.281199776785712</v>
      </c>
      <c r="D281" s="366">
        <f>D279*2070/112/100</f>
        <v>60.255636160714282</v>
      </c>
      <c r="E281" s="351" t="s">
        <v>33</v>
      </c>
      <c r="F281" s="353">
        <f>VLOOKUP(B281,'Price '!B:D,3,FALSE)</f>
        <v>18400</v>
      </c>
      <c r="G281" s="351" t="str">
        <f t="shared" ref="G281:G285" si="109">E281</f>
        <v>Bag</v>
      </c>
      <c r="H281" s="353">
        <f t="shared" ref="H281:H285" si="110">C281*F281</f>
        <v>1219574.075892857</v>
      </c>
    </row>
    <row r="282" spans="1:10" ht="18" customHeight="1">
      <c r="A282" s="351"/>
      <c r="B282" s="354" t="s">
        <v>36</v>
      </c>
      <c r="C282" s="366">
        <f t="shared" si="108"/>
        <v>1.6496654166666667</v>
      </c>
      <c r="D282" s="366">
        <f>D279*46/100/100</f>
        <v>1.4996958333333332</v>
      </c>
      <c r="E282" s="351" t="s">
        <v>32</v>
      </c>
      <c r="F282" s="353">
        <f>VLOOKUP(B282,'Price '!B:D,3,FALSE)</f>
        <v>50000</v>
      </c>
      <c r="G282" s="351" t="str">
        <f t="shared" si="109"/>
        <v>Sud</v>
      </c>
      <c r="H282" s="353">
        <f t="shared" si="110"/>
        <v>82483.270833333328</v>
      </c>
    </row>
    <row r="283" spans="1:10" ht="18" customHeight="1">
      <c r="A283" s="351"/>
      <c r="B283" s="1019" t="s">
        <v>123</v>
      </c>
      <c r="C283" s="366">
        <f t="shared" si="108"/>
        <v>3.2993308333333333</v>
      </c>
      <c r="D283" s="366">
        <f>D279*92/100/100</f>
        <v>2.9993916666666665</v>
      </c>
      <c r="E283" s="351" t="s">
        <v>32</v>
      </c>
      <c r="F283" s="353">
        <f>VLOOKUP(B283,'Price '!B:D,3,FALSE)</f>
        <v>130000</v>
      </c>
      <c r="G283" s="351" t="str">
        <f t="shared" si="109"/>
        <v>Sud</v>
      </c>
      <c r="H283" s="353">
        <f t="shared" si="110"/>
        <v>428913.00833333336</v>
      </c>
      <c r="I283" s="355"/>
    </row>
    <row r="284" spans="1:10" ht="18" customHeight="1">
      <c r="A284" s="351"/>
      <c r="B284" s="1019" t="s">
        <v>725</v>
      </c>
      <c r="C284" s="366">
        <f t="shared" si="108"/>
        <v>33.140599888392856</v>
      </c>
      <c r="D284" s="366">
        <f>D281/2</f>
        <v>30.127818080357141</v>
      </c>
      <c r="E284" s="351" t="s">
        <v>727</v>
      </c>
      <c r="F284" s="353">
        <f>VLOOKUP(B284,'Price '!B:D,3,FALSE)</f>
        <v>14700</v>
      </c>
      <c r="G284" s="351" t="str">
        <f t="shared" si="109"/>
        <v>Lit</v>
      </c>
      <c r="H284" s="353">
        <f t="shared" si="110"/>
        <v>487166.818359375</v>
      </c>
      <c r="I284" s="391"/>
    </row>
    <row r="285" spans="1:10" ht="18" customHeight="1">
      <c r="A285" s="351"/>
      <c r="B285" s="1019" t="s">
        <v>57</v>
      </c>
      <c r="C285" s="366">
        <f t="shared" si="108"/>
        <v>7.1724583333333332</v>
      </c>
      <c r="D285" s="366">
        <f>D279*2/100</f>
        <v>6.5204166666666659</v>
      </c>
      <c r="E285" s="351" t="s">
        <v>35</v>
      </c>
      <c r="F285" s="353">
        <f>VLOOKUP(B285,'Price '!B:D,3,FALSE)</f>
        <v>20000</v>
      </c>
      <c r="G285" s="351" t="str">
        <f t="shared" si="109"/>
        <v>Gal</v>
      </c>
      <c r="H285" s="353">
        <f t="shared" si="110"/>
        <v>143449.16666666666</v>
      </c>
      <c r="I285" s="391"/>
    </row>
    <row r="286" spans="1:10" s="350" customFormat="1" ht="18" customHeight="1">
      <c r="A286" s="351"/>
      <c r="B286" s="354"/>
      <c r="C286" s="351"/>
      <c r="D286" s="351"/>
      <c r="E286" s="351"/>
      <c r="F286" s="353"/>
      <c r="G286" s="351" t="s">
        <v>622</v>
      </c>
      <c r="H286" s="376">
        <f>SUM(H281:H285)</f>
        <v>2361586.3400855651</v>
      </c>
      <c r="I286" s="344"/>
    </row>
    <row r="287" spans="1:10" ht="18" customHeight="1">
      <c r="A287" s="351"/>
      <c r="B287" s="352" t="s">
        <v>28</v>
      </c>
      <c r="C287" s="351"/>
      <c r="D287" s="351"/>
      <c r="E287" s="351"/>
      <c r="F287" s="353"/>
      <c r="G287" s="351"/>
      <c r="H287" s="353"/>
      <c r="I287" s="350"/>
    </row>
    <row r="288" spans="1:10" ht="18" customHeight="1">
      <c r="A288" s="351"/>
      <c r="B288" s="377" t="s">
        <v>63</v>
      </c>
      <c r="C288" s="366">
        <f t="shared" ref="C288:C290" si="111">D288*1.1</f>
        <v>7.1724583333333332</v>
      </c>
      <c r="D288" s="366">
        <f>D279*2/100</f>
        <v>6.5204166666666659</v>
      </c>
      <c r="E288" s="351" t="s">
        <v>10</v>
      </c>
      <c r="F288" s="353">
        <f>VLOOKUP(B288,'Price '!B:D,3,FALSE)</f>
        <v>27500</v>
      </c>
      <c r="G288" s="351" t="str">
        <f t="shared" ref="G288:G290" si="112">E288</f>
        <v>Nos</v>
      </c>
      <c r="H288" s="353">
        <f t="shared" ref="H288:H290" si="113">C288*F288</f>
        <v>197242.60416666666</v>
      </c>
      <c r="J288" s="355"/>
    </row>
    <row r="289" spans="1:10" ht="18.75" customHeight="1">
      <c r="A289" s="351"/>
      <c r="B289" s="354" t="s">
        <v>37</v>
      </c>
      <c r="C289" s="366">
        <f t="shared" si="111"/>
        <v>35.862291666666671</v>
      </c>
      <c r="D289" s="366">
        <f>D279*10/100</f>
        <v>32.602083333333333</v>
      </c>
      <c r="E289" s="351" t="s">
        <v>10</v>
      </c>
      <c r="F289" s="353">
        <f>VLOOKUP(B289,'Price '!B:D,3,FALSE)</f>
        <v>19800</v>
      </c>
      <c r="G289" s="351" t="str">
        <f t="shared" si="112"/>
        <v>Nos</v>
      </c>
      <c r="H289" s="353">
        <f t="shared" si="113"/>
        <v>710073.37500000012</v>
      </c>
      <c r="J289" s="355"/>
    </row>
    <row r="290" spans="1:10" ht="18" customHeight="1">
      <c r="A290" s="351"/>
      <c r="B290" s="354" t="s">
        <v>67</v>
      </c>
      <c r="C290" s="366">
        <f t="shared" si="111"/>
        <v>1.7931145833333333</v>
      </c>
      <c r="D290" s="366">
        <f>D279*0.5/100</f>
        <v>1.6301041666666665</v>
      </c>
      <c r="E290" s="351" t="s">
        <v>10</v>
      </c>
      <c r="F290" s="353">
        <f>VLOOKUP(B290,'Price '!B:D,3,FALSE)</f>
        <v>27500</v>
      </c>
      <c r="G290" s="351" t="str">
        <f t="shared" si="112"/>
        <v>Nos</v>
      </c>
      <c r="H290" s="353">
        <f t="shared" si="113"/>
        <v>49310.651041666664</v>
      </c>
      <c r="J290" s="355"/>
    </row>
    <row r="291" spans="1:10" ht="18" customHeight="1">
      <c r="A291" s="351"/>
      <c r="B291" s="354"/>
      <c r="C291" s="351"/>
      <c r="D291" s="351"/>
      <c r="E291" s="351"/>
      <c r="F291" s="353"/>
      <c r="G291" s="351" t="s">
        <v>623</v>
      </c>
      <c r="H291" s="376">
        <f>SUM(H288:H290)</f>
        <v>956626.63020833337</v>
      </c>
    </row>
    <row r="292" spans="1:10" ht="18" customHeight="1">
      <c r="A292" s="351"/>
      <c r="B292" s="356"/>
      <c r="C292" s="351"/>
      <c r="D292" s="351"/>
      <c r="E292" s="351"/>
      <c r="F292" s="353"/>
      <c r="G292" s="351" t="s">
        <v>85</v>
      </c>
      <c r="H292" s="357">
        <f>H286+H291</f>
        <v>3318212.9702938986</v>
      </c>
    </row>
    <row r="293" spans="1:10" ht="18" customHeight="1">
      <c r="A293" s="358"/>
      <c r="B293" s="359"/>
      <c r="C293" s="358"/>
      <c r="D293" s="358"/>
      <c r="E293" s="358"/>
      <c r="F293" s="360"/>
      <c r="G293" s="358"/>
      <c r="H293" s="360"/>
    </row>
    <row r="294" spans="1:10" ht="18" customHeight="1">
      <c r="A294" s="362"/>
      <c r="B294" s="373" t="s">
        <v>742</v>
      </c>
      <c r="C294" s="364">
        <f>D294</f>
        <v>322.51851851851853</v>
      </c>
      <c r="D294" s="364">
        <f>'Details of Measurement'!N266</f>
        <v>322.51851851851853</v>
      </c>
      <c r="E294" s="389" t="s">
        <v>21</v>
      </c>
      <c r="F294" s="365"/>
      <c r="G294" s="362"/>
      <c r="H294" s="365"/>
      <c r="I294" s="355"/>
    </row>
    <row r="295" spans="1:10" ht="18" customHeight="1">
      <c r="A295" s="351"/>
      <c r="B295" s="352" t="s">
        <v>29</v>
      </c>
      <c r="C295" s="351"/>
      <c r="D295" s="351"/>
      <c r="E295" s="351"/>
      <c r="F295" s="353"/>
      <c r="G295" s="351"/>
      <c r="H295" s="353"/>
      <c r="I295" s="350"/>
    </row>
    <row r="296" spans="1:10" ht="18" customHeight="1">
      <c r="A296" s="351"/>
      <c r="B296" s="1019" t="s">
        <v>102</v>
      </c>
      <c r="C296" s="366">
        <f t="shared" ref="C296:C301" si="114">D296*1.1</f>
        <v>65.569166666666675</v>
      </c>
      <c r="D296" s="366">
        <f>D294*2070/112/100</f>
        <v>59.608333333333341</v>
      </c>
      <c r="E296" s="351" t="s">
        <v>33</v>
      </c>
      <c r="F296" s="353">
        <f>VLOOKUP(B296,'Price '!B:D,3,FALSE)</f>
        <v>18400</v>
      </c>
      <c r="G296" s="351" t="str">
        <f t="shared" ref="G296:G301" si="115">E296</f>
        <v>Bag</v>
      </c>
      <c r="H296" s="353">
        <f t="shared" ref="H296:H301" si="116">C296*F296</f>
        <v>1206472.6666666667</v>
      </c>
    </row>
    <row r="297" spans="1:10" ht="18" customHeight="1">
      <c r="A297" s="351"/>
      <c r="B297" s="354" t="s">
        <v>36</v>
      </c>
      <c r="C297" s="366">
        <f t="shared" si="114"/>
        <v>1.6319437037037037</v>
      </c>
      <c r="D297" s="366">
        <f>D294*46/100/100</f>
        <v>1.4835851851851851</v>
      </c>
      <c r="E297" s="351" t="s">
        <v>32</v>
      </c>
      <c r="F297" s="353">
        <f>VLOOKUP(B297,'Price '!B:D,3,FALSE)</f>
        <v>50000</v>
      </c>
      <c r="G297" s="351" t="str">
        <f t="shared" si="115"/>
        <v>Sud</v>
      </c>
      <c r="H297" s="353">
        <f t="shared" si="116"/>
        <v>81597.185185185182</v>
      </c>
    </row>
    <row r="298" spans="1:10" ht="18" customHeight="1">
      <c r="A298" s="351"/>
      <c r="B298" s="1019" t="s">
        <v>123</v>
      </c>
      <c r="C298" s="366">
        <f t="shared" si="114"/>
        <v>3.2638874074074073</v>
      </c>
      <c r="D298" s="366">
        <f>D294*92/100/100</f>
        <v>2.9671703703703702</v>
      </c>
      <c r="E298" s="351" t="s">
        <v>32</v>
      </c>
      <c r="F298" s="353">
        <f>VLOOKUP(B298,'Price '!B:D,3,FALSE)</f>
        <v>130000</v>
      </c>
      <c r="G298" s="351" t="str">
        <f t="shared" si="115"/>
        <v>Sud</v>
      </c>
      <c r="H298" s="353">
        <f t="shared" si="116"/>
        <v>424305.36296296294</v>
      </c>
      <c r="I298" s="355"/>
    </row>
    <row r="299" spans="1:10" ht="18" customHeight="1">
      <c r="A299" s="351"/>
      <c r="B299" s="1019" t="s">
        <v>725</v>
      </c>
      <c r="C299" s="366">
        <f t="shared" si="114"/>
        <v>32.784583333333337</v>
      </c>
      <c r="D299" s="366">
        <f>D296/2</f>
        <v>29.804166666666671</v>
      </c>
      <c r="E299" s="351" t="s">
        <v>727</v>
      </c>
      <c r="F299" s="353">
        <f>VLOOKUP(B299,'Price '!B:D,3,FALSE)</f>
        <v>14700</v>
      </c>
      <c r="G299" s="351" t="str">
        <f t="shared" si="115"/>
        <v>Lit</v>
      </c>
      <c r="H299" s="353">
        <f t="shared" si="116"/>
        <v>481933.37500000006</v>
      </c>
      <c r="I299" s="391"/>
    </row>
    <row r="300" spans="1:10" ht="18" customHeight="1">
      <c r="A300" s="351"/>
      <c r="B300" s="1019" t="s">
        <v>772</v>
      </c>
      <c r="C300" s="366">
        <f t="shared" si="114"/>
        <v>66</v>
      </c>
      <c r="D300" s="366">
        <f>ROUND(D296*1,0)</f>
        <v>60</v>
      </c>
      <c r="E300" s="351" t="s">
        <v>33</v>
      </c>
      <c r="F300" s="353">
        <f>VLOOKUP(B300,'Price '!B:D,3,FALSE)</f>
        <v>7500</v>
      </c>
      <c r="G300" s="351" t="str">
        <f t="shared" ref="G300" si="117">E300</f>
        <v>Bag</v>
      </c>
      <c r="H300" s="353">
        <f t="shared" si="116"/>
        <v>495000</v>
      </c>
      <c r="I300" s="391"/>
    </row>
    <row r="301" spans="1:10" ht="18" customHeight="1">
      <c r="A301" s="351"/>
      <c r="B301" s="1019" t="s">
        <v>57</v>
      </c>
      <c r="C301" s="366">
        <f t="shared" si="114"/>
        <v>7.0954074074074081</v>
      </c>
      <c r="D301" s="366">
        <f>D294*2/100</f>
        <v>6.4503703703703703</v>
      </c>
      <c r="E301" s="351" t="s">
        <v>35</v>
      </c>
      <c r="F301" s="353">
        <f>VLOOKUP(B301,'Price '!B:D,3,FALSE)</f>
        <v>20000</v>
      </c>
      <c r="G301" s="351" t="str">
        <f t="shared" si="115"/>
        <v>Gal</v>
      </c>
      <c r="H301" s="353">
        <f t="shared" si="116"/>
        <v>141908.14814814818</v>
      </c>
      <c r="I301" s="391"/>
    </row>
    <row r="302" spans="1:10" s="350" customFormat="1" ht="18" customHeight="1">
      <c r="A302" s="351"/>
      <c r="B302" s="354"/>
      <c r="C302" s="351"/>
      <c r="D302" s="351"/>
      <c r="E302" s="351"/>
      <c r="F302" s="353"/>
      <c r="G302" s="351" t="s">
        <v>622</v>
      </c>
      <c r="H302" s="376">
        <f>SUM(H296:H301)</f>
        <v>2831216.7379629631</v>
      </c>
      <c r="I302" s="344"/>
    </row>
    <row r="303" spans="1:10" ht="18" customHeight="1">
      <c r="A303" s="351"/>
      <c r="B303" s="352" t="s">
        <v>28</v>
      </c>
      <c r="C303" s="351"/>
      <c r="D303" s="351"/>
      <c r="E303" s="351"/>
      <c r="F303" s="353"/>
      <c r="G303" s="351"/>
      <c r="H303" s="353"/>
      <c r="I303" s="350"/>
    </row>
    <row r="304" spans="1:10" ht="18" customHeight="1">
      <c r="A304" s="351"/>
      <c r="B304" s="377" t="s">
        <v>63</v>
      </c>
      <c r="C304" s="366">
        <f t="shared" ref="C304:C306" si="118">D304*1.1</f>
        <v>7.0954074074074081</v>
      </c>
      <c r="D304" s="366">
        <f>D294*2/100</f>
        <v>6.4503703703703703</v>
      </c>
      <c r="E304" s="351" t="s">
        <v>10</v>
      </c>
      <c r="F304" s="353">
        <f>VLOOKUP(B304,'Price '!B:D,3,FALSE)</f>
        <v>27500</v>
      </c>
      <c r="G304" s="351" t="str">
        <f t="shared" ref="G304:G306" si="119">E304</f>
        <v>Nos</v>
      </c>
      <c r="H304" s="353">
        <f t="shared" ref="H304:H306" si="120">C304*F304</f>
        <v>195123.70370370371</v>
      </c>
      <c r="J304" s="355"/>
    </row>
    <row r="305" spans="1:10" ht="18.75" customHeight="1">
      <c r="A305" s="351"/>
      <c r="B305" s="354" t="s">
        <v>37</v>
      </c>
      <c r="C305" s="366">
        <f t="shared" si="118"/>
        <v>39.024740740740739</v>
      </c>
      <c r="D305" s="366">
        <f>D294*11/100</f>
        <v>35.477037037037036</v>
      </c>
      <c r="E305" s="351" t="s">
        <v>10</v>
      </c>
      <c r="F305" s="353">
        <f>VLOOKUP(B305,'Price '!B:D,3,FALSE)</f>
        <v>19800</v>
      </c>
      <c r="G305" s="351" t="str">
        <f t="shared" si="119"/>
        <v>Nos</v>
      </c>
      <c r="H305" s="353">
        <f t="shared" si="120"/>
        <v>772689.8666666667</v>
      </c>
      <c r="J305" s="355"/>
    </row>
    <row r="306" spans="1:10" ht="18" customHeight="1">
      <c r="A306" s="351"/>
      <c r="B306" s="354" t="s">
        <v>67</v>
      </c>
      <c r="C306" s="366">
        <f t="shared" si="118"/>
        <v>1.773851851851852</v>
      </c>
      <c r="D306" s="366">
        <f>D294*0.5/100</f>
        <v>1.6125925925925926</v>
      </c>
      <c r="E306" s="351" t="s">
        <v>10</v>
      </c>
      <c r="F306" s="353">
        <f>VLOOKUP(B306,'Price '!B:D,3,FALSE)</f>
        <v>27500</v>
      </c>
      <c r="G306" s="351" t="str">
        <f t="shared" si="119"/>
        <v>Nos</v>
      </c>
      <c r="H306" s="353">
        <f t="shared" si="120"/>
        <v>48780.925925925927</v>
      </c>
      <c r="J306" s="355"/>
    </row>
    <row r="307" spans="1:10" ht="18" customHeight="1">
      <c r="A307" s="351"/>
      <c r="B307" s="354"/>
      <c r="C307" s="351"/>
      <c r="D307" s="351"/>
      <c r="E307" s="351"/>
      <c r="F307" s="353"/>
      <c r="G307" s="351" t="s">
        <v>623</v>
      </c>
      <c r="H307" s="376">
        <f>SUM(H304:H306)</f>
        <v>1016594.4962962964</v>
      </c>
    </row>
    <row r="308" spans="1:10" ht="18" customHeight="1">
      <c r="A308" s="351"/>
      <c r="B308" s="356"/>
      <c r="C308" s="351"/>
      <c r="D308" s="351"/>
      <c r="E308" s="351"/>
      <c r="F308" s="353"/>
      <c r="G308" s="351" t="s">
        <v>85</v>
      </c>
      <c r="H308" s="357">
        <f>H302+H307</f>
        <v>3847811.2342592594</v>
      </c>
    </row>
    <row r="309" spans="1:10" ht="18" customHeight="1">
      <c r="A309" s="358"/>
      <c r="B309" s="359"/>
      <c r="C309" s="358"/>
      <c r="D309" s="358"/>
      <c r="E309" s="358"/>
      <c r="F309" s="360"/>
      <c r="G309" s="358"/>
      <c r="H309" s="360"/>
    </row>
    <row r="310" spans="1:10" ht="18" customHeight="1">
      <c r="A310" s="362"/>
      <c r="B310" s="373" t="s">
        <v>743</v>
      </c>
      <c r="C310" s="364">
        <f>D310</f>
        <v>310.19965277777777</v>
      </c>
      <c r="D310" s="364">
        <f>'Details of Measurement'!N281</f>
        <v>310.19965277777777</v>
      </c>
      <c r="E310" s="389" t="s">
        <v>21</v>
      </c>
      <c r="F310" s="365"/>
      <c r="G310" s="362"/>
      <c r="H310" s="365"/>
      <c r="I310" s="355"/>
    </row>
    <row r="311" spans="1:10" ht="18" customHeight="1">
      <c r="A311" s="351"/>
      <c r="B311" s="352" t="s">
        <v>29</v>
      </c>
      <c r="C311" s="351"/>
      <c r="D311" s="351"/>
      <c r="E311" s="351"/>
      <c r="F311" s="353"/>
      <c r="G311" s="351"/>
      <c r="H311" s="353"/>
      <c r="I311" s="350"/>
    </row>
    <row r="312" spans="1:10" ht="18" customHeight="1">
      <c r="A312" s="351"/>
      <c r="B312" s="1019" t="s">
        <v>102</v>
      </c>
      <c r="C312" s="366">
        <f t="shared" ref="C312:C316" si="121">D312*1.1</f>
        <v>63.064697265625007</v>
      </c>
      <c r="D312" s="366">
        <f>D310*2070/112/100</f>
        <v>57.33154296875</v>
      </c>
      <c r="E312" s="351" t="s">
        <v>33</v>
      </c>
      <c r="F312" s="353">
        <f>VLOOKUP(B312,'Price '!B:D,3,FALSE)</f>
        <v>18400</v>
      </c>
      <c r="G312" s="351" t="str">
        <f t="shared" ref="G312:G316" si="122">E312</f>
        <v>Bag</v>
      </c>
      <c r="H312" s="353">
        <f t="shared" ref="H312:H316" si="123">C312*F312</f>
        <v>1160390.4296875002</v>
      </c>
    </row>
    <row r="313" spans="1:10" ht="18" customHeight="1">
      <c r="A313" s="351"/>
      <c r="B313" s="354" t="s">
        <v>36</v>
      </c>
      <c r="C313" s="366">
        <f t="shared" si="121"/>
        <v>1.5696102430555556</v>
      </c>
      <c r="D313" s="366">
        <f>D310*46/100/100</f>
        <v>1.4269184027777777</v>
      </c>
      <c r="E313" s="351" t="s">
        <v>32</v>
      </c>
      <c r="F313" s="353">
        <f>VLOOKUP(B313,'Price '!B:D,3,FALSE)</f>
        <v>50000</v>
      </c>
      <c r="G313" s="351" t="str">
        <f t="shared" si="122"/>
        <v>Sud</v>
      </c>
      <c r="H313" s="353">
        <f t="shared" si="123"/>
        <v>78480.512152777781</v>
      </c>
    </row>
    <row r="314" spans="1:10" ht="18" customHeight="1">
      <c r="A314" s="351"/>
      <c r="B314" s="1019" t="s">
        <v>123</v>
      </c>
      <c r="C314" s="366">
        <f t="shared" si="121"/>
        <v>3.1392204861111113</v>
      </c>
      <c r="D314" s="366">
        <f>D310*92/100/100</f>
        <v>2.8538368055555554</v>
      </c>
      <c r="E314" s="351" t="s">
        <v>32</v>
      </c>
      <c r="F314" s="353">
        <f>VLOOKUP(B314,'Price '!B:D,3,FALSE)</f>
        <v>130000</v>
      </c>
      <c r="G314" s="351" t="str">
        <f t="shared" si="122"/>
        <v>Sud</v>
      </c>
      <c r="H314" s="353">
        <f t="shared" si="123"/>
        <v>408098.66319444444</v>
      </c>
      <c r="I314" s="355"/>
    </row>
    <row r="315" spans="1:10" ht="18" customHeight="1">
      <c r="A315" s="351"/>
      <c r="B315" s="1019" t="s">
        <v>725</v>
      </c>
      <c r="C315" s="366">
        <f t="shared" si="121"/>
        <v>31.532348632812504</v>
      </c>
      <c r="D315" s="366">
        <f>D312/2</f>
        <v>28.665771484375</v>
      </c>
      <c r="E315" s="351" t="s">
        <v>727</v>
      </c>
      <c r="F315" s="353">
        <f>VLOOKUP(B315,'Price '!B:D,3,FALSE)</f>
        <v>14700</v>
      </c>
      <c r="G315" s="351" t="str">
        <f t="shared" si="122"/>
        <v>Lit</v>
      </c>
      <c r="H315" s="353">
        <f t="shared" si="123"/>
        <v>463525.52490234381</v>
      </c>
      <c r="I315" s="391"/>
    </row>
    <row r="316" spans="1:10" ht="18" customHeight="1">
      <c r="A316" s="351"/>
      <c r="B316" s="1019" t="s">
        <v>57</v>
      </c>
      <c r="C316" s="366">
        <f t="shared" si="121"/>
        <v>6.8243923611111112</v>
      </c>
      <c r="D316" s="366">
        <f>D310*2/100</f>
        <v>6.2039930555555554</v>
      </c>
      <c r="E316" s="351" t="s">
        <v>35</v>
      </c>
      <c r="F316" s="353">
        <f>VLOOKUP(B316,'Price '!B:D,3,FALSE)</f>
        <v>20000</v>
      </c>
      <c r="G316" s="351" t="str">
        <f t="shared" si="122"/>
        <v>Gal</v>
      </c>
      <c r="H316" s="353">
        <f t="shared" si="123"/>
        <v>136487.84722222222</v>
      </c>
      <c r="I316" s="391"/>
    </row>
    <row r="317" spans="1:10" s="350" customFormat="1" ht="18" customHeight="1">
      <c r="A317" s="351"/>
      <c r="B317" s="354"/>
      <c r="C317" s="351"/>
      <c r="D317" s="351"/>
      <c r="E317" s="351"/>
      <c r="F317" s="353"/>
      <c r="G317" s="351" t="s">
        <v>622</v>
      </c>
      <c r="H317" s="376">
        <f>SUM(H312:H316)</f>
        <v>2246982.9771592882</v>
      </c>
      <c r="I317" s="344"/>
    </row>
    <row r="318" spans="1:10" ht="18" customHeight="1">
      <c r="A318" s="351"/>
      <c r="B318" s="352" t="s">
        <v>28</v>
      </c>
      <c r="C318" s="351"/>
      <c r="D318" s="351"/>
      <c r="E318" s="351"/>
      <c r="F318" s="353"/>
      <c r="G318" s="351"/>
      <c r="H318" s="353"/>
      <c r="I318" s="350"/>
    </row>
    <row r="319" spans="1:10" ht="18" customHeight="1">
      <c r="A319" s="351"/>
      <c r="B319" s="377" t="s">
        <v>63</v>
      </c>
      <c r="C319" s="366">
        <f t="shared" ref="C319:C321" si="124">D319*1.1</f>
        <v>6.8243923611111112</v>
      </c>
      <c r="D319" s="366">
        <f>D310*2/100</f>
        <v>6.2039930555555554</v>
      </c>
      <c r="E319" s="351" t="s">
        <v>10</v>
      </c>
      <c r="F319" s="353">
        <f>VLOOKUP(B319,'Price '!B:D,3,FALSE)</f>
        <v>27500</v>
      </c>
      <c r="G319" s="351" t="str">
        <f t="shared" ref="G319:G321" si="125">E319</f>
        <v>Nos</v>
      </c>
      <c r="H319" s="353">
        <f t="shared" ref="H319:H321" si="126">C319*F319</f>
        <v>187670.78993055556</v>
      </c>
      <c r="J319" s="355"/>
    </row>
    <row r="320" spans="1:10" ht="18.75" customHeight="1">
      <c r="A320" s="351"/>
      <c r="B320" s="354" t="s">
        <v>37</v>
      </c>
      <c r="C320" s="366">
        <f t="shared" si="124"/>
        <v>40.946354166666666</v>
      </c>
      <c r="D320" s="366">
        <f>D310*12/100</f>
        <v>37.223958333333329</v>
      </c>
      <c r="E320" s="351" t="s">
        <v>10</v>
      </c>
      <c r="F320" s="353">
        <f>VLOOKUP(B320,'Price '!B:D,3,FALSE)</f>
        <v>19800</v>
      </c>
      <c r="G320" s="351" t="str">
        <f t="shared" si="125"/>
        <v>Nos</v>
      </c>
      <c r="H320" s="353">
        <f t="shared" si="126"/>
        <v>810737.8125</v>
      </c>
      <c r="J320" s="355"/>
    </row>
    <row r="321" spans="1:10" ht="18" customHeight="1">
      <c r="A321" s="351"/>
      <c r="B321" s="354" t="s">
        <v>67</v>
      </c>
      <c r="C321" s="366">
        <f t="shared" si="124"/>
        <v>1.7060980902777778</v>
      </c>
      <c r="D321" s="366">
        <f>D310*0.5/100</f>
        <v>1.5509982638888888</v>
      </c>
      <c r="E321" s="351" t="s">
        <v>10</v>
      </c>
      <c r="F321" s="353">
        <f>VLOOKUP(B321,'Price '!B:D,3,FALSE)</f>
        <v>27500</v>
      </c>
      <c r="G321" s="351" t="str">
        <f t="shared" si="125"/>
        <v>Nos</v>
      </c>
      <c r="H321" s="353">
        <f t="shared" si="126"/>
        <v>46917.697482638891</v>
      </c>
      <c r="J321" s="355"/>
    </row>
    <row r="322" spans="1:10" ht="18" customHeight="1">
      <c r="A322" s="351"/>
      <c r="B322" s="354"/>
      <c r="C322" s="351"/>
      <c r="D322" s="351"/>
      <c r="E322" s="351"/>
      <c r="F322" s="353"/>
      <c r="G322" s="351" t="s">
        <v>623</v>
      </c>
      <c r="H322" s="376">
        <f>SUM(H319:H321)</f>
        <v>1045326.2999131944</v>
      </c>
    </row>
    <row r="323" spans="1:10" ht="18" customHeight="1">
      <c r="A323" s="351"/>
      <c r="B323" s="356"/>
      <c r="C323" s="351"/>
      <c r="D323" s="351"/>
      <c r="E323" s="351"/>
      <c r="F323" s="353"/>
      <c r="G323" s="351" t="s">
        <v>85</v>
      </c>
      <c r="H323" s="357">
        <f>H317+H322</f>
        <v>3292309.2770724827</v>
      </c>
    </row>
    <row r="324" spans="1:10" ht="18" customHeight="1">
      <c r="A324" s="358"/>
      <c r="B324" s="359"/>
      <c r="C324" s="358"/>
      <c r="D324" s="358"/>
      <c r="E324" s="358"/>
      <c r="F324" s="360"/>
      <c r="G324" s="358"/>
      <c r="H324" s="360"/>
    </row>
    <row r="325" spans="1:10" ht="18" customHeight="1">
      <c r="A325" s="362"/>
      <c r="B325" s="373" t="s">
        <v>744</v>
      </c>
      <c r="C325" s="364">
        <f>D325</f>
        <v>226.31620370370371</v>
      </c>
      <c r="D325" s="364">
        <f>'Details of Measurement'!N299+'Details of Measurement'!N293</f>
        <v>226.31620370370371</v>
      </c>
      <c r="E325" s="389" t="s">
        <v>21</v>
      </c>
      <c r="F325" s="365"/>
      <c r="G325" s="362"/>
      <c r="H325" s="365"/>
      <c r="I325" s="355"/>
    </row>
    <row r="326" spans="1:10" ht="18" customHeight="1">
      <c r="A326" s="351"/>
      <c r="B326" s="352" t="s">
        <v>29</v>
      </c>
      <c r="C326" s="351"/>
      <c r="D326" s="351"/>
      <c r="E326" s="351"/>
      <c r="F326" s="353"/>
      <c r="G326" s="351"/>
      <c r="H326" s="353"/>
      <c r="I326" s="350"/>
    </row>
    <row r="327" spans="1:10" ht="18" customHeight="1">
      <c r="A327" s="351"/>
      <c r="B327" s="1019" t="s">
        <v>102</v>
      </c>
      <c r="C327" s="366">
        <f t="shared" ref="C327:C331" si="127">D327*1.1</f>
        <v>46.010892485119058</v>
      </c>
      <c r="D327" s="366">
        <f>D325*2070/112/100</f>
        <v>41.828084077380957</v>
      </c>
      <c r="E327" s="351" t="s">
        <v>33</v>
      </c>
      <c r="F327" s="353">
        <f>VLOOKUP(B327,'Price '!B:D,3,FALSE)</f>
        <v>18400</v>
      </c>
      <c r="G327" s="351" t="str">
        <f t="shared" ref="G327:G331" si="128">E327</f>
        <v>Bag</v>
      </c>
      <c r="H327" s="353">
        <f t="shared" ref="H327:H331" si="129">C327*F327</f>
        <v>846600.42172619072</v>
      </c>
    </row>
    <row r="328" spans="1:10" ht="18" customHeight="1">
      <c r="A328" s="351"/>
      <c r="B328" s="354" t="s">
        <v>36</v>
      </c>
      <c r="C328" s="366">
        <f t="shared" si="127"/>
        <v>1.1451599907407408</v>
      </c>
      <c r="D328" s="366">
        <f>D325*46/100/100</f>
        <v>1.041054537037037</v>
      </c>
      <c r="E328" s="351" t="s">
        <v>32</v>
      </c>
      <c r="F328" s="353">
        <f>VLOOKUP(B328,'Price '!B:D,3,FALSE)</f>
        <v>50000</v>
      </c>
      <c r="G328" s="351" t="str">
        <f t="shared" si="128"/>
        <v>Sud</v>
      </c>
      <c r="H328" s="353">
        <f t="shared" si="129"/>
        <v>57257.999537037038</v>
      </c>
    </row>
    <row r="329" spans="1:10" ht="18" customHeight="1">
      <c r="A329" s="351"/>
      <c r="B329" s="1019" t="s">
        <v>123</v>
      </c>
      <c r="C329" s="366">
        <f t="shared" si="127"/>
        <v>2.2903199814814816</v>
      </c>
      <c r="D329" s="366">
        <f>D325*92/100/100</f>
        <v>2.082109074074074</v>
      </c>
      <c r="E329" s="351" t="s">
        <v>32</v>
      </c>
      <c r="F329" s="353">
        <f>VLOOKUP(B329,'Price '!B:D,3,FALSE)</f>
        <v>130000</v>
      </c>
      <c r="G329" s="351" t="str">
        <f t="shared" si="128"/>
        <v>Sud</v>
      </c>
      <c r="H329" s="353">
        <f t="shared" si="129"/>
        <v>297741.59759259259</v>
      </c>
      <c r="I329" s="355"/>
    </row>
    <row r="330" spans="1:10" ht="18" customHeight="1">
      <c r="A330" s="351"/>
      <c r="B330" s="1019" t="s">
        <v>725</v>
      </c>
      <c r="C330" s="366">
        <f t="shared" si="127"/>
        <v>23.005446242559529</v>
      </c>
      <c r="D330" s="366">
        <f>D327/2</f>
        <v>20.914042038690479</v>
      </c>
      <c r="E330" s="351" t="s">
        <v>727</v>
      </c>
      <c r="F330" s="353">
        <f>VLOOKUP(B330,'Price '!B:D,3,FALSE)</f>
        <v>14700</v>
      </c>
      <c r="G330" s="351" t="str">
        <f t="shared" si="128"/>
        <v>Lit</v>
      </c>
      <c r="H330" s="353">
        <f t="shared" si="129"/>
        <v>338180.0597656251</v>
      </c>
      <c r="I330" s="391"/>
    </row>
    <row r="331" spans="1:10" ht="18" customHeight="1">
      <c r="A331" s="351"/>
      <c r="B331" s="1019" t="s">
        <v>57</v>
      </c>
      <c r="C331" s="366">
        <f t="shared" si="127"/>
        <v>4.9789564814814815</v>
      </c>
      <c r="D331" s="366">
        <f>D325*2/100</f>
        <v>4.5263240740740738</v>
      </c>
      <c r="E331" s="351" t="s">
        <v>35</v>
      </c>
      <c r="F331" s="353">
        <f>VLOOKUP(B331,'Price '!B:D,3,FALSE)</f>
        <v>20000</v>
      </c>
      <c r="G331" s="351" t="str">
        <f t="shared" si="128"/>
        <v>Gal</v>
      </c>
      <c r="H331" s="353">
        <f t="shared" si="129"/>
        <v>99579.129629629635</v>
      </c>
      <c r="I331" s="391"/>
    </row>
    <row r="332" spans="1:10" s="350" customFormat="1" ht="18" customHeight="1">
      <c r="A332" s="351"/>
      <c r="B332" s="354"/>
      <c r="C332" s="351"/>
      <c r="D332" s="351"/>
      <c r="E332" s="351"/>
      <c r="F332" s="353"/>
      <c r="G332" s="351" t="s">
        <v>622</v>
      </c>
      <c r="H332" s="376">
        <f>SUM(H327:H331)</f>
        <v>1639359.2082510751</v>
      </c>
      <c r="I332" s="344"/>
    </row>
    <row r="333" spans="1:10" ht="18" customHeight="1">
      <c r="A333" s="351"/>
      <c r="B333" s="352" t="s">
        <v>28</v>
      </c>
      <c r="C333" s="351"/>
      <c r="D333" s="351"/>
      <c r="E333" s="351"/>
      <c r="F333" s="353"/>
      <c r="G333" s="351"/>
      <c r="H333" s="353"/>
      <c r="I333" s="350"/>
    </row>
    <row r="334" spans="1:10" ht="18" customHeight="1">
      <c r="A334" s="351"/>
      <c r="B334" s="377" t="s">
        <v>63</v>
      </c>
      <c r="C334" s="366">
        <f t="shared" ref="C334:C336" si="130">D334*1.1</f>
        <v>4.9789564814814815</v>
      </c>
      <c r="D334" s="366">
        <f>D325*2/100</f>
        <v>4.5263240740740738</v>
      </c>
      <c r="E334" s="351" t="s">
        <v>10</v>
      </c>
      <c r="F334" s="353">
        <f>VLOOKUP(B334,'Price '!B:D,3,FALSE)</f>
        <v>27500</v>
      </c>
      <c r="G334" s="351" t="str">
        <f t="shared" ref="G334:G336" si="131">E334</f>
        <v>Nos</v>
      </c>
      <c r="H334" s="353">
        <f t="shared" ref="H334:H336" si="132">C334*F334</f>
        <v>136921.30324074073</v>
      </c>
      <c r="J334" s="355"/>
    </row>
    <row r="335" spans="1:10" ht="18.75" customHeight="1">
      <c r="A335" s="351"/>
      <c r="B335" s="354" t="s">
        <v>37</v>
      </c>
      <c r="C335" s="366">
        <f t="shared" si="130"/>
        <v>24.894782407407408</v>
      </c>
      <c r="D335" s="366">
        <f>D325*10/100</f>
        <v>22.631620370370371</v>
      </c>
      <c r="E335" s="351" t="s">
        <v>10</v>
      </c>
      <c r="F335" s="353">
        <f>VLOOKUP(B335,'Price '!B:D,3,FALSE)</f>
        <v>19800</v>
      </c>
      <c r="G335" s="351" t="str">
        <f t="shared" si="131"/>
        <v>Nos</v>
      </c>
      <c r="H335" s="353">
        <f t="shared" si="132"/>
        <v>492916.69166666671</v>
      </c>
      <c r="J335" s="355"/>
    </row>
    <row r="336" spans="1:10" ht="18" customHeight="1">
      <c r="A336" s="351"/>
      <c r="B336" s="354" t="s">
        <v>67</v>
      </c>
      <c r="C336" s="366">
        <f t="shared" si="130"/>
        <v>1.2447391203703704</v>
      </c>
      <c r="D336" s="366">
        <f>D325*0.5/100</f>
        <v>1.1315810185185184</v>
      </c>
      <c r="E336" s="351" t="s">
        <v>10</v>
      </c>
      <c r="F336" s="353">
        <f>VLOOKUP(B336,'Price '!B:D,3,FALSE)</f>
        <v>27500</v>
      </c>
      <c r="G336" s="351" t="str">
        <f t="shared" si="131"/>
        <v>Nos</v>
      </c>
      <c r="H336" s="353">
        <f t="shared" si="132"/>
        <v>34230.325810185182</v>
      </c>
      <c r="J336" s="355"/>
    </row>
    <row r="337" spans="1:10" ht="18" customHeight="1">
      <c r="A337" s="351"/>
      <c r="B337" s="354"/>
      <c r="C337" s="351"/>
      <c r="D337" s="351"/>
      <c r="E337" s="351"/>
      <c r="F337" s="353"/>
      <c r="G337" s="351" t="s">
        <v>623</v>
      </c>
      <c r="H337" s="376">
        <f>SUM(H334:H336)</f>
        <v>664068.32071759261</v>
      </c>
    </row>
    <row r="338" spans="1:10" ht="18" customHeight="1">
      <c r="A338" s="351"/>
      <c r="B338" s="356"/>
      <c r="C338" s="351"/>
      <c r="D338" s="351"/>
      <c r="E338" s="351"/>
      <c r="F338" s="353"/>
      <c r="G338" s="351" t="s">
        <v>85</v>
      </c>
      <c r="H338" s="357">
        <f>H332+H337</f>
        <v>2303427.5289686676</v>
      </c>
    </row>
    <row r="339" spans="1:10" ht="18" customHeight="1">
      <c r="A339" s="358"/>
      <c r="B339" s="359"/>
      <c r="C339" s="358"/>
      <c r="D339" s="358"/>
      <c r="E339" s="358"/>
      <c r="F339" s="360"/>
      <c r="G339" s="358"/>
      <c r="H339" s="360"/>
    </row>
    <row r="340" spans="1:10" ht="18" customHeight="1">
      <c r="A340" s="362"/>
      <c r="B340" s="373" t="s">
        <v>745</v>
      </c>
      <c r="C340" s="364">
        <f>D340</f>
        <v>366.19734375000002</v>
      </c>
      <c r="D340" s="364">
        <f>'Details of Measurement'!N325+'Details of Measurement'!N352+'Details of Measurement'!N371+'Details of Measurement'!N404</f>
        <v>366.19734375000002</v>
      </c>
      <c r="E340" s="389" t="s">
        <v>21</v>
      </c>
      <c r="F340" s="365"/>
      <c r="G340" s="362"/>
      <c r="H340" s="365"/>
      <c r="I340" s="355"/>
    </row>
    <row r="341" spans="1:10" ht="18" customHeight="1">
      <c r="A341" s="351"/>
      <c r="B341" s="352" t="s">
        <v>29</v>
      </c>
      <c r="C341" s="351"/>
      <c r="D341" s="351"/>
      <c r="E341" s="351"/>
      <c r="F341" s="353"/>
      <c r="G341" s="351"/>
      <c r="H341" s="353"/>
      <c r="I341" s="350"/>
    </row>
    <row r="342" spans="1:10" ht="18" customHeight="1">
      <c r="A342" s="351"/>
      <c r="B342" s="1019" t="s">
        <v>102</v>
      </c>
      <c r="C342" s="366">
        <f t="shared" ref="C342:C345" si="133">D342*1.1</f>
        <v>74.449227832031255</v>
      </c>
      <c r="D342" s="366">
        <f>D340*2070/112/100</f>
        <v>67.681116210937503</v>
      </c>
      <c r="E342" s="351" t="s">
        <v>33</v>
      </c>
      <c r="F342" s="353">
        <f>VLOOKUP(B342,'Price '!B:D,3,FALSE)</f>
        <v>18400</v>
      </c>
      <c r="G342" s="351" t="str">
        <f t="shared" ref="G342:G345" si="134">E342</f>
        <v>Bag</v>
      </c>
      <c r="H342" s="353">
        <f t="shared" ref="H342:H345" si="135">C342*F342</f>
        <v>1369865.7921093751</v>
      </c>
    </row>
    <row r="343" spans="1:10" ht="18" customHeight="1">
      <c r="A343" s="351"/>
      <c r="B343" s="354" t="s">
        <v>36</v>
      </c>
      <c r="C343" s="366">
        <f t="shared" si="133"/>
        <v>1.8529585593750002</v>
      </c>
      <c r="D343" s="366">
        <f>D340*46/100/100</f>
        <v>1.68450778125</v>
      </c>
      <c r="E343" s="351" t="s">
        <v>32</v>
      </c>
      <c r="F343" s="353">
        <f>VLOOKUP(B343,'Price '!B:D,3,FALSE)</f>
        <v>50000</v>
      </c>
      <c r="G343" s="351" t="str">
        <f t="shared" si="134"/>
        <v>Sud</v>
      </c>
      <c r="H343" s="353">
        <f t="shared" si="135"/>
        <v>92647.927968750009</v>
      </c>
    </row>
    <row r="344" spans="1:10" ht="18" customHeight="1">
      <c r="A344" s="351"/>
      <c r="B344" s="1019" t="s">
        <v>123</v>
      </c>
      <c r="C344" s="366">
        <f t="shared" si="133"/>
        <v>3.7059171187500004</v>
      </c>
      <c r="D344" s="366">
        <f>D340*92/100/100</f>
        <v>3.3690155625</v>
      </c>
      <c r="E344" s="351" t="s">
        <v>32</v>
      </c>
      <c r="F344" s="353">
        <f>VLOOKUP(B344,'Price '!B:D,3,FALSE)</f>
        <v>130000</v>
      </c>
      <c r="G344" s="351" t="str">
        <f t="shared" si="134"/>
        <v>Sud</v>
      </c>
      <c r="H344" s="353">
        <f t="shared" si="135"/>
        <v>481769.22543750005</v>
      </c>
      <c r="I344" s="355"/>
    </row>
    <row r="345" spans="1:10" ht="18" customHeight="1">
      <c r="A345" s="351"/>
      <c r="B345" s="1019" t="s">
        <v>57</v>
      </c>
      <c r="C345" s="366">
        <f t="shared" si="133"/>
        <v>8.0563415625000019</v>
      </c>
      <c r="D345" s="366">
        <f>D340*2/100</f>
        <v>7.3239468750000007</v>
      </c>
      <c r="E345" s="351" t="s">
        <v>35</v>
      </c>
      <c r="F345" s="353">
        <f>VLOOKUP(B345,'Price '!B:D,3,FALSE)</f>
        <v>20000</v>
      </c>
      <c r="G345" s="351" t="str">
        <f t="shared" si="134"/>
        <v>Gal</v>
      </c>
      <c r="H345" s="353">
        <f t="shared" si="135"/>
        <v>161126.83125000005</v>
      </c>
      <c r="I345" s="391"/>
    </row>
    <row r="346" spans="1:10" s="350" customFormat="1" ht="18" customHeight="1">
      <c r="A346" s="351"/>
      <c r="B346" s="354"/>
      <c r="C346" s="351"/>
      <c r="D346" s="351"/>
      <c r="E346" s="351"/>
      <c r="F346" s="353"/>
      <c r="G346" s="351" t="s">
        <v>622</v>
      </c>
      <c r="H346" s="376">
        <f>SUM(H342:H345)</f>
        <v>2105409.776765625</v>
      </c>
      <c r="I346" s="344"/>
    </row>
    <row r="347" spans="1:10" ht="18" customHeight="1">
      <c r="A347" s="351"/>
      <c r="B347" s="352" t="s">
        <v>28</v>
      </c>
      <c r="C347" s="351"/>
      <c r="D347" s="351"/>
      <c r="E347" s="351"/>
      <c r="F347" s="353"/>
      <c r="G347" s="351"/>
      <c r="H347" s="353"/>
      <c r="I347" s="350"/>
    </row>
    <row r="348" spans="1:10" ht="18" customHeight="1">
      <c r="A348" s="351"/>
      <c r="B348" s="377" t="s">
        <v>63</v>
      </c>
      <c r="C348" s="366">
        <f t="shared" ref="C348:C350" si="136">D348*1.1</f>
        <v>8.0563415625000019</v>
      </c>
      <c r="D348" s="366">
        <f>D340*2/100</f>
        <v>7.3239468750000007</v>
      </c>
      <c r="E348" s="351" t="s">
        <v>10</v>
      </c>
      <c r="F348" s="353">
        <f>VLOOKUP(B348,'Price '!B:D,3,FALSE)</f>
        <v>27500</v>
      </c>
      <c r="G348" s="351" t="str">
        <f t="shared" ref="G348:G350" si="137">E348</f>
        <v>Nos</v>
      </c>
      <c r="H348" s="353">
        <f t="shared" ref="H348:H350" si="138">C348*F348</f>
        <v>221549.39296875006</v>
      </c>
      <c r="J348" s="355"/>
    </row>
    <row r="349" spans="1:10" ht="18.75" customHeight="1">
      <c r="A349" s="351"/>
      <c r="B349" s="354" t="s">
        <v>37</v>
      </c>
      <c r="C349" s="366">
        <f t="shared" si="136"/>
        <v>40.281707812500002</v>
      </c>
      <c r="D349" s="366">
        <f>D340*10/100</f>
        <v>36.619734375</v>
      </c>
      <c r="E349" s="351" t="s">
        <v>10</v>
      </c>
      <c r="F349" s="353">
        <f>VLOOKUP(B349,'Price '!B:D,3,FALSE)</f>
        <v>19800</v>
      </c>
      <c r="G349" s="351" t="str">
        <f t="shared" si="137"/>
        <v>Nos</v>
      </c>
      <c r="H349" s="353">
        <f t="shared" si="138"/>
        <v>797577.81468750001</v>
      </c>
      <c r="J349" s="355"/>
    </row>
    <row r="350" spans="1:10" ht="18" customHeight="1">
      <c r="A350" s="351"/>
      <c r="B350" s="354" t="s">
        <v>67</v>
      </c>
      <c r="C350" s="366">
        <f t="shared" si="136"/>
        <v>2.0140853906250005</v>
      </c>
      <c r="D350" s="366">
        <f>D340*0.5/100</f>
        <v>1.8309867187500002</v>
      </c>
      <c r="E350" s="351" t="s">
        <v>10</v>
      </c>
      <c r="F350" s="353">
        <f>VLOOKUP(B350,'Price '!B:D,3,FALSE)</f>
        <v>27500</v>
      </c>
      <c r="G350" s="351" t="str">
        <f t="shared" si="137"/>
        <v>Nos</v>
      </c>
      <c r="H350" s="353">
        <f t="shared" si="138"/>
        <v>55387.348242187516</v>
      </c>
      <c r="J350" s="355"/>
    </row>
    <row r="351" spans="1:10" ht="18" customHeight="1">
      <c r="A351" s="351"/>
      <c r="B351" s="354"/>
      <c r="C351" s="351"/>
      <c r="D351" s="351"/>
      <c r="E351" s="351"/>
      <c r="F351" s="353"/>
      <c r="G351" s="351" t="s">
        <v>623</v>
      </c>
      <c r="H351" s="376">
        <f>SUM(H348:H350)</f>
        <v>1074514.5558984375</v>
      </c>
    </row>
    <row r="352" spans="1:10" ht="18" customHeight="1">
      <c r="A352" s="351"/>
      <c r="B352" s="356"/>
      <c r="C352" s="351"/>
      <c r="D352" s="351"/>
      <c r="E352" s="351"/>
      <c r="F352" s="353"/>
      <c r="G352" s="351" t="s">
        <v>85</v>
      </c>
      <c r="H352" s="357">
        <f>H346+H351</f>
        <v>3179924.3326640623</v>
      </c>
    </row>
    <row r="353" spans="1:9" ht="18" customHeight="1">
      <c r="A353" s="358"/>
      <c r="B353" s="359"/>
      <c r="C353" s="358"/>
      <c r="D353" s="358"/>
      <c r="E353" s="358"/>
      <c r="F353" s="360"/>
      <c r="G353" s="358"/>
      <c r="H353" s="360"/>
    </row>
    <row r="354" spans="1:9" ht="18" customHeight="1">
      <c r="A354" s="362">
        <v>9</v>
      </c>
      <c r="B354" s="346" t="str">
        <f>VLOOKUP(A354,'Details of Measurement'!$A:$O,2,FALSE)</f>
        <v>Earth  Filling  &amp;  Watering  Work</v>
      </c>
      <c r="C354" s="364">
        <f>D354</f>
        <v>8322.6018518518522</v>
      </c>
      <c r="D354" s="364">
        <f>VLOOKUP(B354,'Details of Measurement'!B:N,13,FALSE)</f>
        <v>8322.6018518518522</v>
      </c>
      <c r="E354" s="345" t="str">
        <f>VLOOKUP(B354,'Details of Measurement'!$B$6:$O$2333,14,FALSE)</f>
        <v>Cft</v>
      </c>
      <c r="F354" s="385"/>
      <c r="G354" s="386"/>
      <c r="H354" s="385">
        <f>H359</f>
        <v>1812662.6833333333</v>
      </c>
      <c r="I354" s="355"/>
    </row>
    <row r="355" spans="1:9" ht="18" customHeight="1">
      <c r="A355" s="351"/>
      <c r="B355" s="354" t="s">
        <v>20</v>
      </c>
      <c r="C355" s="387"/>
      <c r="D355" s="387"/>
      <c r="E355" s="387"/>
      <c r="F355" s="388"/>
      <c r="G355" s="387"/>
      <c r="H355" s="388"/>
      <c r="I355" s="355"/>
    </row>
    <row r="356" spans="1:9" ht="18" customHeight="1">
      <c r="A356" s="351"/>
      <c r="B356" s="352" t="s">
        <v>28</v>
      </c>
      <c r="C356" s="351"/>
      <c r="D356" s="351"/>
      <c r="E356" s="351"/>
      <c r="F356" s="353"/>
      <c r="G356" s="351"/>
      <c r="H356" s="353"/>
    </row>
    <row r="357" spans="1:9" ht="18" customHeight="1">
      <c r="A357" s="351"/>
      <c r="B357" s="354" t="s">
        <v>37</v>
      </c>
      <c r="C357" s="366">
        <f t="shared" ref="C357" si="139">D357*1.1</f>
        <v>91.548620370370372</v>
      </c>
      <c r="D357" s="366">
        <f>D354*1/100</f>
        <v>83.226018518518515</v>
      </c>
      <c r="E357" s="387" t="s">
        <v>8</v>
      </c>
      <c r="F357" s="353">
        <f>VLOOKUP(B357,'Price '!B:D,3,FALSE)</f>
        <v>19800</v>
      </c>
      <c r="G357" s="351" t="str">
        <f t="shared" ref="G357" si="140">E357</f>
        <v>No</v>
      </c>
      <c r="H357" s="353">
        <f>C357*F357</f>
        <v>1812662.6833333333</v>
      </c>
    </row>
    <row r="358" spans="1:9" ht="18" customHeight="1">
      <c r="A358" s="351"/>
      <c r="B358" s="389"/>
      <c r="C358" s="387"/>
      <c r="D358" s="387"/>
      <c r="E358" s="387"/>
      <c r="F358" s="388"/>
      <c r="G358" s="351" t="s">
        <v>623</v>
      </c>
      <c r="H358" s="390">
        <f>SUM(H357)</f>
        <v>1812662.6833333333</v>
      </c>
    </row>
    <row r="359" spans="1:9" ht="18" customHeight="1">
      <c r="A359" s="381"/>
      <c r="B359" s="582"/>
      <c r="C359" s="583"/>
      <c r="D359" s="583"/>
      <c r="E359" s="583"/>
      <c r="F359" s="584"/>
      <c r="G359" s="351" t="s">
        <v>85</v>
      </c>
      <c r="H359" s="585">
        <f>H358</f>
        <v>1812662.6833333333</v>
      </c>
    </row>
    <row r="360" spans="1:9" ht="18" customHeight="1">
      <c r="A360" s="358"/>
      <c r="B360" s="392"/>
      <c r="C360" s="393"/>
      <c r="D360" s="393"/>
      <c r="E360" s="393"/>
      <c r="F360" s="394"/>
      <c r="G360" s="393"/>
      <c r="H360" s="395"/>
      <c r="I360" s="355"/>
    </row>
    <row r="361" spans="1:9" ht="18" customHeight="1">
      <c r="A361" s="362">
        <v>10</v>
      </c>
      <c r="B361" s="346" t="str">
        <f>VLOOKUP(A361,'Details of Measurement'!$A:$O,2,FALSE)</f>
        <v>Form Work - 3 Time Used</v>
      </c>
      <c r="C361" s="364">
        <f>D361</f>
        <v>12491.302499999998</v>
      </c>
      <c r="D361" s="364">
        <f>VLOOKUP(B361,'Details of Measurement'!B:N,13,FALSE)</f>
        <v>12491.302499999998</v>
      </c>
      <c r="E361" s="345" t="str">
        <f>VLOOKUP(B361,'Details of Measurement'!$B$6:$O$2333,14,FALSE)</f>
        <v>Sft</v>
      </c>
      <c r="F361" s="365"/>
      <c r="G361" s="362"/>
      <c r="H361" s="365">
        <f>H377</f>
        <v>100225579.06865624</v>
      </c>
      <c r="I361" s="355"/>
    </row>
    <row r="362" spans="1:9" ht="18" customHeight="1">
      <c r="A362" s="351"/>
      <c r="B362" s="352" t="s">
        <v>29</v>
      </c>
      <c r="C362" s="351"/>
      <c r="D362" s="351"/>
      <c r="E362" s="351"/>
      <c r="F362" s="353"/>
      <c r="G362" s="351"/>
      <c r="H362" s="353"/>
    </row>
    <row r="363" spans="1:9" ht="18" customHeight="1">
      <c r="A363" s="351"/>
      <c r="B363" s="374" t="s">
        <v>58</v>
      </c>
      <c r="C363" s="366">
        <f t="shared" ref="C363:C365" si="141">D363*1.1</f>
        <v>18.320576999999997</v>
      </c>
      <c r="D363" s="366">
        <f>D361*20/100/50/3</f>
        <v>16.655069999999995</v>
      </c>
      <c r="E363" s="351" t="s">
        <v>30</v>
      </c>
      <c r="F363" s="353">
        <f>VLOOKUP(B363,'Price '!B:D,3,FALSE)</f>
        <v>2500000</v>
      </c>
      <c r="G363" s="351" t="str">
        <f t="shared" ref="G363:G365" si="142">E363</f>
        <v>Ton</v>
      </c>
      <c r="H363" s="353">
        <f t="shared" ref="H363:H365" si="143">C363*F363</f>
        <v>45801442.499999993</v>
      </c>
    </row>
    <row r="364" spans="1:9" s="350" customFormat="1" ht="18" customHeight="1">
      <c r="A364" s="351"/>
      <c r="B364" s="396" t="s">
        <v>801</v>
      </c>
      <c r="C364" s="366">
        <f t="shared" si="141"/>
        <v>157.44245859374996</v>
      </c>
      <c r="D364" s="366">
        <f>D361*110/100/32/3</f>
        <v>143.12950781249995</v>
      </c>
      <c r="E364" s="351" t="s">
        <v>10</v>
      </c>
      <c r="F364" s="353">
        <f>VLOOKUP(B364,'Price '!B:D,3,FALSE)</f>
        <v>75000</v>
      </c>
      <c r="G364" s="351" t="str">
        <f t="shared" si="142"/>
        <v>Nos</v>
      </c>
      <c r="H364" s="353">
        <f t="shared" si="143"/>
        <v>11808184.394531246</v>
      </c>
      <c r="I364" s="344"/>
    </row>
    <row r="365" spans="1:9" ht="18" customHeight="1">
      <c r="A365" s="351"/>
      <c r="B365" s="374" t="s">
        <v>59</v>
      </c>
      <c r="C365" s="366">
        <f t="shared" si="141"/>
        <v>194.65613062499997</v>
      </c>
      <c r="D365" s="366">
        <f>D361*(3/100/3.6)*1.7</f>
        <v>176.96011874999996</v>
      </c>
      <c r="E365" s="351" t="s">
        <v>31</v>
      </c>
      <c r="F365" s="353">
        <f>VLOOKUP(B365,'Price '!B:D,3,FALSE)</f>
        <v>12000</v>
      </c>
      <c r="G365" s="351" t="str">
        <f t="shared" si="142"/>
        <v>Viss</v>
      </c>
      <c r="H365" s="353">
        <f t="shared" si="143"/>
        <v>2335873.5674999999</v>
      </c>
      <c r="I365" s="350"/>
    </row>
    <row r="366" spans="1:9" ht="18" customHeight="1">
      <c r="A366" s="351"/>
      <c r="B366" s="354"/>
      <c r="C366" s="351"/>
      <c r="D366" s="351"/>
      <c r="E366" s="351"/>
      <c r="F366" s="353"/>
      <c r="G366" s="351" t="s">
        <v>622</v>
      </c>
      <c r="H366" s="376">
        <f>SUM(H363:H365)</f>
        <v>59945500.462031238</v>
      </c>
    </row>
    <row r="367" spans="1:9" ht="18" customHeight="1">
      <c r="A367" s="351"/>
      <c r="B367" s="352" t="s">
        <v>28</v>
      </c>
      <c r="C367" s="351"/>
      <c r="D367" s="351"/>
      <c r="E367" s="351"/>
      <c r="F367" s="353"/>
      <c r="G367" s="351"/>
      <c r="H367" s="353"/>
    </row>
    <row r="368" spans="1:9" ht="18" customHeight="1">
      <c r="A368" s="351"/>
      <c r="B368" s="377" t="s">
        <v>64</v>
      </c>
      <c r="C368" s="366">
        <f t="shared" ref="C368:C369" si="144">D368*1.1</f>
        <v>824.42596500000002</v>
      </c>
      <c r="D368" s="366">
        <f>D361*6/100</f>
        <v>749.47814999999991</v>
      </c>
      <c r="E368" s="351" t="s">
        <v>10</v>
      </c>
      <c r="F368" s="353">
        <f>VLOOKUP(B368,'Price '!B:D,3,FALSE)</f>
        <v>27500</v>
      </c>
      <c r="G368" s="351" t="str">
        <f t="shared" ref="G368:G369" si="145">E368</f>
        <v>Nos</v>
      </c>
      <c r="H368" s="353">
        <f t="shared" ref="H368:H369" si="146">C368*F368</f>
        <v>22671714.037500001</v>
      </c>
    </row>
    <row r="369" spans="1:10" ht="18" customHeight="1">
      <c r="A369" s="351"/>
      <c r="B369" s="354" t="s">
        <v>37</v>
      </c>
      <c r="C369" s="366">
        <f t="shared" si="144"/>
        <v>274.80865499999999</v>
      </c>
      <c r="D369" s="366">
        <f>D361*2/100</f>
        <v>249.82604999999995</v>
      </c>
      <c r="E369" s="351" t="s">
        <v>10</v>
      </c>
      <c r="F369" s="353">
        <f>VLOOKUP(B369,'Price '!B:D,3,FALSE)</f>
        <v>19800</v>
      </c>
      <c r="G369" s="351" t="str">
        <f t="shared" si="145"/>
        <v>Nos</v>
      </c>
      <c r="H369" s="353">
        <f t="shared" si="146"/>
        <v>5441211.3689999999</v>
      </c>
      <c r="J369" s="355"/>
    </row>
    <row r="370" spans="1:10" ht="18" customHeight="1">
      <c r="A370" s="351"/>
      <c r="B370" s="354"/>
      <c r="C370" s="351"/>
      <c r="D370" s="351"/>
      <c r="E370" s="351"/>
      <c r="F370" s="353"/>
      <c r="G370" s="351" t="s">
        <v>623</v>
      </c>
      <c r="H370" s="376">
        <f>SUM(H368:H369)</f>
        <v>28112925.406500001</v>
      </c>
      <c r="J370" s="355"/>
    </row>
    <row r="371" spans="1:10" ht="18" customHeight="1">
      <c r="A371" s="351"/>
      <c r="B371" s="354"/>
      <c r="C371" s="351"/>
      <c r="D371" s="351"/>
      <c r="E371" s="351"/>
      <c r="F371" s="353"/>
      <c r="G371" s="351"/>
      <c r="H371" s="357"/>
      <c r="J371" s="355"/>
    </row>
    <row r="372" spans="1:10" ht="18" customHeight="1">
      <c r="A372" s="351"/>
      <c r="B372" s="397" t="s">
        <v>75</v>
      </c>
      <c r="C372" s="366">
        <f>C361</f>
        <v>12491.302499999998</v>
      </c>
      <c r="D372" s="366">
        <f>D361</f>
        <v>12491.302499999998</v>
      </c>
      <c r="E372" s="351" t="s">
        <v>55</v>
      </c>
      <c r="F372" s="353"/>
      <c r="G372" s="351"/>
      <c r="H372" s="357"/>
    </row>
    <row r="373" spans="1:10" ht="18" customHeight="1">
      <c r="A373" s="351"/>
      <c r="B373" s="352" t="s">
        <v>28</v>
      </c>
      <c r="C373" s="351"/>
      <c r="D373" s="351"/>
      <c r="E373" s="351"/>
      <c r="F373" s="353"/>
      <c r="G373" s="351"/>
      <c r="H373" s="353"/>
    </row>
    <row r="374" spans="1:10" ht="18" customHeight="1">
      <c r="A374" s="351"/>
      <c r="B374" s="377" t="s">
        <v>64</v>
      </c>
      <c r="C374" s="366">
        <f t="shared" ref="C374:C375" si="147">D374*1.1</f>
        <v>343.51081874999994</v>
      </c>
      <c r="D374" s="366">
        <f>D372*2.5/100</f>
        <v>312.28256249999993</v>
      </c>
      <c r="E374" s="351" t="s">
        <v>10</v>
      </c>
      <c r="F374" s="353">
        <f>VLOOKUP(B374,'Price '!B:D,3,FALSE)</f>
        <v>27500</v>
      </c>
      <c r="G374" s="351" t="str">
        <f t="shared" ref="G374:G375" si="148">E374</f>
        <v>Nos</v>
      </c>
      <c r="H374" s="353">
        <f t="shared" ref="H374:H375" si="149">C374*F374</f>
        <v>9446547.5156249981</v>
      </c>
    </row>
    <row r="375" spans="1:10" ht="18" customHeight="1">
      <c r="A375" s="351"/>
      <c r="B375" s="354" t="s">
        <v>37</v>
      </c>
      <c r="C375" s="366">
        <f t="shared" si="147"/>
        <v>137.40432749999999</v>
      </c>
      <c r="D375" s="366">
        <f>D372*1/100</f>
        <v>124.91302499999998</v>
      </c>
      <c r="E375" s="351" t="s">
        <v>10</v>
      </c>
      <c r="F375" s="353">
        <f>VLOOKUP(B375,'Price '!B:D,3,FALSE)</f>
        <v>19800</v>
      </c>
      <c r="G375" s="351" t="str">
        <f t="shared" si="148"/>
        <v>Nos</v>
      </c>
      <c r="H375" s="353">
        <f t="shared" si="149"/>
        <v>2720605.6845</v>
      </c>
      <c r="I375" s="355"/>
    </row>
    <row r="376" spans="1:10" ht="18" customHeight="1">
      <c r="A376" s="351"/>
      <c r="B376" s="354"/>
      <c r="C376" s="351"/>
      <c r="D376" s="351"/>
      <c r="E376" s="351"/>
      <c r="F376" s="353"/>
      <c r="G376" s="351" t="s">
        <v>623</v>
      </c>
      <c r="H376" s="376">
        <f>SUM(H374:H375)</f>
        <v>12167153.200124998</v>
      </c>
      <c r="I376" s="355"/>
    </row>
    <row r="377" spans="1:10" ht="18" customHeight="1">
      <c r="A377" s="351"/>
      <c r="B377" s="356"/>
      <c r="C377" s="351"/>
      <c r="D377" s="351"/>
      <c r="E377" s="351"/>
      <c r="F377" s="353"/>
      <c r="G377" s="351" t="s">
        <v>85</v>
      </c>
      <c r="H377" s="357">
        <f>H366+H370+H376</f>
        <v>100225579.06865624</v>
      </c>
    </row>
    <row r="378" spans="1:10" ht="18" customHeight="1">
      <c r="A378" s="358"/>
      <c r="B378" s="359"/>
      <c r="C378" s="358"/>
      <c r="D378" s="358"/>
      <c r="E378" s="358"/>
      <c r="F378" s="360"/>
      <c r="G378" s="358"/>
      <c r="H378" s="361"/>
    </row>
    <row r="379" spans="1:10" s="350" customFormat="1" ht="18" customHeight="1">
      <c r="A379" s="362" t="s">
        <v>757</v>
      </c>
      <c r="B379" s="346" t="str">
        <f>VLOOKUP(A379,'Details of Measurement'!$A:$O,2,FALSE)</f>
        <v xml:space="preserve"> Mild Steel Work for Footing</v>
      </c>
      <c r="C379" s="364">
        <f>D379</f>
        <v>9.1803088489281723</v>
      </c>
      <c r="D379" s="364">
        <f>VLOOKUP(B379,'Details of Measurement'!B:N,13,FALSE)</f>
        <v>9.1803088489281723</v>
      </c>
      <c r="E379" s="345" t="str">
        <f>VLOOKUP(B379,'Details of Measurement'!$B$6:$O$2333,14,FALSE)</f>
        <v>Ton</v>
      </c>
      <c r="F379" s="365"/>
      <c r="G379" s="362"/>
      <c r="H379" s="365">
        <f>H390</f>
        <v>37636512.187950835</v>
      </c>
      <c r="I379" s="344"/>
    </row>
    <row r="380" spans="1:10" ht="18" customHeight="1">
      <c r="A380" s="351"/>
      <c r="B380" s="337" t="s">
        <v>585</v>
      </c>
      <c r="C380" s="366">
        <f>D380</f>
        <v>9.1803088489281723</v>
      </c>
      <c r="D380" s="366">
        <f>VLOOKUP(B380,'Details of Measurement'!B:N,13,FALSE)</f>
        <v>9.1803088489281723</v>
      </c>
      <c r="E380" s="351" t="s">
        <v>30</v>
      </c>
      <c r="F380" s="353"/>
      <c r="G380" s="351"/>
      <c r="H380" s="353"/>
      <c r="I380" s="350"/>
    </row>
    <row r="381" spans="1:10" ht="18" customHeight="1">
      <c r="A381" s="351"/>
      <c r="B381" s="399"/>
      <c r="C381" s="400">
        <f>SUM(C380:C380)</f>
        <v>9.1803088489281723</v>
      </c>
      <c r="D381" s="400">
        <f>SUM(D380:D380)</f>
        <v>9.1803088489281723</v>
      </c>
      <c r="E381" s="401" t="s">
        <v>30</v>
      </c>
      <c r="F381" s="353"/>
      <c r="G381" s="351"/>
      <c r="H381" s="353"/>
    </row>
    <row r="382" spans="1:10" ht="18" customHeight="1">
      <c r="A382" s="351"/>
      <c r="B382" s="352" t="s">
        <v>29</v>
      </c>
      <c r="C382" s="351"/>
      <c r="D382" s="351"/>
      <c r="E382" s="351"/>
      <c r="F382" s="353"/>
      <c r="G382" s="351"/>
      <c r="H382" s="353"/>
    </row>
    <row r="383" spans="1:10" ht="18" customHeight="1">
      <c r="A383" s="351"/>
      <c r="B383" s="337" t="s">
        <v>581</v>
      </c>
      <c r="C383" s="366">
        <f t="shared" ref="C383:C384" si="150">D383*1.1</f>
        <v>10.603256720512041</v>
      </c>
      <c r="D383" s="366">
        <f>D380*1.05</f>
        <v>9.6393242913745816</v>
      </c>
      <c r="E383" s="351" t="s">
        <v>30</v>
      </c>
      <c r="F383" s="353">
        <f>VLOOKUP(B383,'Price '!B:D,3,FALSE)</f>
        <v>2420000</v>
      </c>
      <c r="G383" s="351" t="str">
        <f t="shared" ref="G383:G384" si="151">E383</f>
        <v>Ton</v>
      </c>
      <c r="H383" s="353">
        <f t="shared" ref="H383:H384" si="152">C383*F383</f>
        <v>25659881.263639141</v>
      </c>
      <c r="J383" s="355"/>
    </row>
    <row r="384" spans="1:10" ht="18" customHeight="1">
      <c r="A384" s="351"/>
      <c r="B384" s="354" t="s">
        <v>60</v>
      </c>
      <c r="C384" s="366">
        <f t="shared" si="150"/>
        <v>201.96679467641979</v>
      </c>
      <c r="D384" s="402">
        <f>D381*20</f>
        <v>183.60617697856344</v>
      </c>
      <c r="E384" s="351" t="s">
        <v>69</v>
      </c>
      <c r="F384" s="353">
        <f>VLOOKUP(B384,'Price '!B:D,3,FALSE)</f>
        <v>12000</v>
      </c>
      <c r="G384" s="351" t="str">
        <f t="shared" si="151"/>
        <v>lbs</v>
      </c>
      <c r="H384" s="353">
        <f t="shared" si="152"/>
        <v>2423601.5361170378</v>
      </c>
      <c r="J384" s="355"/>
    </row>
    <row r="385" spans="1:10" ht="18" customHeight="1">
      <c r="A385" s="351"/>
      <c r="B385" s="354"/>
      <c r="C385" s="351"/>
      <c r="D385" s="351"/>
      <c r="E385" s="351"/>
      <c r="F385" s="353"/>
      <c r="G385" s="351" t="s">
        <v>622</v>
      </c>
      <c r="H385" s="376">
        <f>SUM(H383:H384)</f>
        <v>28083482.799756177</v>
      </c>
    </row>
    <row r="386" spans="1:10" ht="18" customHeight="1">
      <c r="A386" s="351"/>
      <c r="B386" s="352" t="s">
        <v>28</v>
      </c>
      <c r="C386" s="351"/>
      <c r="D386" s="351"/>
      <c r="E386" s="351"/>
      <c r="F386" s="353"/>
      <c r="G386" s="351"/>
      <c r="H386" s="353"/>
    </row>
    <row r="387" spans="1:10" ht="18" customHeight="1">
      <c r="A387" s="351"/>
      <c r="B387" s="379" t="s">
        <v>66</v>
      </c>
      <c r="C387" s="366">
        <f t="shared" ref="C387:C388" si="153">D387*1.1</f>
        <v>201.96679467641979</v>
      </c>
      <c r="D387" s="366">
        <f>D381*20*1</f>
        <v>183.60617697856344</v>
      </c>
      <c r="E387" s="351" t="s">
        <v>10</v>
      </c>
      <c r="F387" s="353">
        <f>VLOOKUP(B387,'Price '!B:D,3,FALSE)</f>
        <v>27500</v>
      </c>
      <c r="G387" s="351" t="str">
        <f t="shared" ref="G387:G388" si="154">E387</f>
        <v>Nos</v>
      </c>
      <c r="H387" s="353">
        <f t="shared" ref="H387:H388" si="155">C387*F387</f>
        <v>5554086.8536015442</v>
      </c>
    </row>
    <row r="388" spans="1:10" ht="18" customHeight="1">
      <c r="A388" s="351"/>
      <c r="B388" s="354" t="s">
        <v>37</v>
      </c>
      <c r="C388" s="366">
        <f t="shared" si="153"/>
        <v>201.96679467641979</v>
      </c>
      <c r="D388" s="366">
        <f>D381*20*1</f>
        <v>183.60617697856344</v>
      </c>
      <c r="E388" s="351" t="s">
        <v>10</v>
      </c>
      <c r="F388" s="353">
        <f>VLOOKUP(B388,'Price '!B:D,3,FALSE)</f>
        <v>19800</v>
      </c>
      <c r="G388" s="351" t="str">
        <f t="shared" si="154"/>
        <v>Nos</v>
      </c>
      <c r="H388" s="353">
        <f t="shared" si="155"/>
        <v>3998942.5345931118</v>
      </c>
      <c r="I388" s="355"/>
    </row>
    <row r="389" spans="1:10" ht="18" customHeight="1">
      <c r="A389" s="351"/>
      <c r="B389" s="354"/>
      <c r="C389" s="351"/>
      <c r="D389" s="351"/>
      <c r="E389" s="351"/>
      <c r="F389" s="353"/>
      <c r="G389" s="351" t="s">
        <v>623</v>
      </c>
      <c r="H389" s="376">
        <f>SUM(H387:H388)</f>
        <v>9553029.388194656</v>
      </c>
      <c r="I389" s="355"/>
    </row>
    <row r="390" spans="1:10" ht="18" customHeight="1">
      <c r="A390" s="351"/>
      <c r="B390" s="356"/>
      <c r="C390" s="351"/>
      <c r="D390" s="351"/>
      <c r="E390" s="351"/>
      <c r="F390" s="353"/>
      <c r="G390" s="351" t="s">
        <v>85</v>
      </c>
      <c r="H390" s="357">
        <f>H385+H389</f>
        <v>37636512.187950835</v>
      </c>
    </row>
    <row r="391" spans="1:10" ht="18" customHeight="1">
      <c r="A391" s="358"/>
      <c r="B391" s="359"/>
      <c r="C391" s="358"/>
      <c r="D391" s="358"/>
      <c r="E391" s="358"/>
      <c r="F391" s="360"/>
      <c r="G391" s="358"/>
      <c r="H391" s="361"/>
    </row>
    <row r="392" spans="1:10" s="350" customFormat="1" ht="18" customHeight="1">
      <c r="A392" s="362" t="s">
        <v>758</v>
      </c>
      <c r="B392" s="346" t="str">
        <f>VLOOKUP(A392,'Details of Measurement'!$A:$O,2,FALSE)</f>
        <v xml:space="preserve"> Mild Steel Work for Basement Wall</v>
      </c>
      <c r="C392" s="364">
        <f>D392</f>
        <v>1.3835555724880626</v>
      </c>
      <c r="D392" s="364">
        <f>VLOOKUP(B392,'Details of Measurement'!B:N,13,FALSE)</f>
        <v>1.3835555724880626</v>
      </c>
      <c r="E392" s="345" t="str">
        <f>VLOOKUP(B392,'Details of Measurement'!$B$6:$O$2333,14,FALSE)</f>
        <v>Ton</v>
      </c>
      <c r="F392" s="365"/>
      <c r="G392" s="362"/>
      <c r="H392" s="365">
        <f>H405</f>
        <v>5307187.2776719499</v>
      </c>
      <c r="I392" s="344"/>
    </row>
    <row r="393" spans="1:10" ht="18" customHeight="1">
      <c r="A393" s="351"/>
      <c r="B393" s="337" t="s">
        <v>586</v>
      </c>
      <c r="C393" s="366">
        <f>D393</f>
        <v>0.91667377831961794</v>
      </c>
      <c r="D393" s="366">
        <f>VLOOKUP(B393,'Details of Measurement'!B:N,13,FALSE)</f>
        <v>0.91667377831961794</v>
      </c>
      <c r="E393" s="351" t="s">
        <v>30</v>
      </c>
      <c r="F393" s="353"/>
      <c r="G393" s="351"/>
      <c r="H393" s="353"/>
      <c r="I393" s="350"/>
    </row>
    <row r="394" spans="1:10" ht="18" customHeight="1">
      <c r="A394" s="351"/>
      <c r="B394" s="337" t="s">
        <v>587</v>
      </c>
      <c r="C394" s="366">
        <f>D394</f>
        <v>0.46688179416844455</v>
      </c>
      <c r="D394" s="366">
        <f>VLOOKUP(B394,'Details of Measurement'!B:N,13,FALSE)</f>
        <v>0.46688179416844455</v>
      </c>
      <c r="E394" s="351" t="s">
        <v>30</v>
      </c>
      <c r="F394" s="353"/>
      <c r="G394" s="351"/>
      <c r="H394" s="353"/>
    </row>
    <row r="395" spans="1:10" ht="18" customHeight="1">
      <c r="A395" s="351"/>
      <c r="B395" s="399"/>
      <c r="C395" s="400">
        <f>SUM(C393:C394)</f>
        <v>1.3835555724880626</v>
      </c>
      <c r="D395" s="400">
        <f>SUM(D393:D394)</f>
        <v>1.3835555724880626</v>
      </c>
      <c r="E395" s="401" t="s">
        <v>30</v>
      </c>
      <c r="F395" s="353"/>
      <c r="G395" s="351"/>
      <c r="H395" s="353"/>
    </row>
    <row r="396" spans="1:10" ht="18" customHeight="1">
      <c r="A396" s="351"/>
      <c r="B396" s="352" t="s">
        <v>29</v>
      </c>
      <c r="C396" s="351"/>
      <c r="D396" s="351"/>
      <c r="E396" s="351"/>
      <c r="F396" s="353"/>
      <c r="G396" s="351"/>
      <c r="H396" s="353"/>
    </row>
    <row r="397" spans="1:10" ht="18" customHeight="1">
      <c r="A397" s="351"/>
      <c r="B397" s="337" t="s">
        <v>583</v>
      </c>
      <c r="C397" s="366">
        <f t="shared" ref="C397:C399" si="156">D397*1.1</f>
        <v>1.0587582139591589</v>
      </c>
      <c r="D397" s="366">
        <f>D393*1.05</f>
        <v>0.96250746723559888</v>
      </c>
      <c r="E397" s="351" t="s">
        <v>30</v>
      </c>
      <c r="F397" s="353">
        <f>VLOOKUP(B397,'Price '!B:D,3,FALSE)</f>
        <v>2060000</v>
      </c>
      <c r="G397" s="351" t="str">
        <f t="shared" ref="G397:G399" si="157">E397</f>
        <v>Ton</v>
      </c>
      <c r="H397" s="353">
        <f t="shared" ref="H397:H399" si="158">C397*F397</f>
        <v>2181041.9207558674</v>
      </c>
      <c r="J397" s="355"/>
    </row>
    <row r="398" spans="1:10" ht="18" customHeight="1">
      <c r="A398" s="351"/>
      <c r="B398" s="337" t="s">
        <v>584</v>
      </c>
      <c r="C398" s="366">
        <f t="shared" si="156"/>
        <v>0.53924847226455352</v>
      </c>
      <c r="D398" s="366">
        <f t="shared" ref="D398" si="159">D394*1.05</f>
        <v>0.49022588387686677</v>
      </c>
      <c r="E398" s="351" t="s">
        <v>30</v>
      </c>
      <c r="F398" s="353">
        <f>VLOOKUP(B398,'Price '!B:D,3,FALSE)</f>
        <v>2450000</v>
      </c>
      <c r="G398" s="351" t="str">
        <f t="shared" si="157"/>
        <v>Ton</v>
      </c>
      <c r="H398" s="353">
        <f t="shared" si="158"/>
        <v>1321158.7570481561</v>
      </c>
      <c r="J398" s="355"/>
    </row>
    <row r="399" spans="1:10" ht="18" customHeight="1">
      <c r="A399" s="351"/>
      <c r="B399" s="354" t="s">
        <v>60</v>
      </c>
      <c r="C399" s="366">
        <f t="shared" si="156"/>
        <v>30.438222594737379</v>
      </c>
      <c r="D399" s="366">
        <f>D395*20</f>
        <v>27.671111449761252</v>
      </c>
      <c r="E399" s="351" t="s">
        <v>69</v>
      </c>
      <c r="F399" s="353">
        <f>VLOOKUP(B399,'Price '!B:D,3,FALSE)</f>
        <v>12000</v>
      </c>
      <c r="G399" s="351" t="str">
        <f t="shared" si="157"/>
        <v>lbs</v>
      </c>
      <c r="H399" s="353">
        <f t="shared" si="158"/>
        <v>365258.67113684857</v>
      </c>
      <c r="J399" s="355"/>
    </row>
    <row r="400" spans="1:10" ht="18" customHeight="1">
      <c r="A400" s="351"/>
      <c r="B400" s="354"/>
      <c r="C400" s="351"/>
      <c r="D400" s="351"/>
      <c r="E400" s="351"/>
      <c r="F400" s="353"/>
      <c r="G400" s="351" t="s">
        <v>622</v>
      </c>
      <c r="H400" s="376">
        <f>SUM(H397:H399)</f>
        <v>3867459.3489408721</v>
      </c>
    </row>
    <row r="401" spans="1:10" ht="18" customHeight="1">
      <c r="A401" s="351"/>
      <c r="B401" s="352" t="s">
        <v>28</v>
      </c>
      <c r="C401" s="351"/>
      <c r="D401" s="351"/>
      <c r="E401" s="351"/>
      <c r="F401" s="353"/>
      <c r="G401" s="351"/>
      <c r="H401" s="353"/>
    </row>
    <row r="402" spans="1:10" ht="18" customHeight="1">
      <c r="A402" s="351"/>
      <c r="B402" s="379" t="s">
        <v>66</v>
      </c>
      <c r="C402" s="366">
        <f t="shared" ref="C402:C403" si="160">D402*1.1</f>
        <v>30.438222594737379</v>
      </c>
      <c r="D402" s="366">
        <f>D395*20*1</f>
        <v>27.671111449761252</v>
      </c>
      <c r="E402" s="351" t="s">
        <v>10</v>
      </c>
      <c r="F402" s="353">
        <f>VLOOKUP(B402,'Price '!B:D,3,FALSE)</f>
        <v>27500</v>
      </c>
      <c r="G402" s="351" t="str">
        <f t="shared" ref="G402:G403" si="161">E402</f>
        <v>Nos</v>
      </c>
      <c r="H402" s="353">
        <f t="shared" ref="H402:H403" si="162">C402*F402</f>
        <v>837051.12135527795</v>
      </c>
    </row>
    <row r="403" spans="1:10" ht="18" customHeight="1">
      <c r="A403" s="351"/>
      <c r="B403" s="354" t="s">
        <v>37</v>
      </c>
      <c r="C403" s="366">
        <f t="shared" si="160"/>
        <v>30.438222594737379</v>
      </c>
      <c r="D403" s="366">
        <f>D395*20*1</f>
        <v>27.671111449761252</v>
      </c>
      <c r="E403" s="351" t="s">
        <v>10</v>
      </c>
      <c r="F403" s="353">
        <f>VLOOKUP(B403,'Price '!B:D,3,FALSE)</f>
        <v>19800</v>
      </c>
      <c r="G403" s="351" t="str">
        <f t="shared" si="161"/>
        <v>Nos</v>
      </c>
      <c r="H403" s="353">
        <f t="shared" si="162"/>
        <v>602676.8073758001</v>
      </c>
      <c r="I403" s="355"/>
    </row>
    <row r="404" spans="1:10" ht="18" customHeight="1">
      <c r="A404" s="351"/>
      <c r="B404" s="354"/>
      <c r="C404" s="351"/>
      <c r="D404" s="351"/>
      <c r="E404" s="351"/>
      <c r="F404" s="353"/>
      <c r="G404" s="351" t="s">
        <v>623</v>
      </c>
      <c r="H404" s="376">
        <f>SUM(H402:H403)</f>
        <v>1439727.928731078</v>
      </c>
      <c r="I404" s="355"/>
    </row>
    <row r="405" spans="1:10" ht="18" customHeight="1">
      <c r="A405" s="351"/>
      <c r="B405" s="356"/>
      <c r="C405" s="351"/>
      <c r="D405" s="351"/>
      <c r="E405" s="351"/>
      <c r="F405" s="353"/>
      <c r="G405" s="351" t="s">
        <v>85</v>
      </c>
      <c r="H405" s="357">
        <f>H400+H404</f>
        <v>5307187.2776719499</v>
      </c>
    </row>
    <row r="406" spans="1:10" ht="18" customHeight="1">
      <c r="A406" s="358"/>
      <c r="B406" s="359"/>
      <c r="C406" s="358"/>
      <c r="D406" s="358"/>
      <c r="E406" s="358"/>
      <c r="F406" s="360"/>
      <c r="G406" s="358"/>
      <c r="H406" s="361"/>
    </row>
    <row r="407" spans="1:10" s="350" customFormat="1" ht="18" customHeight="1">
      <c r="A407" s="362" t="s">
        <v>759</v>
      </c>
      <c r="B407" s="346" t="str">
        <f>VLOOKUP(A407,'Details of Measurement'!$A:$O,2,FALSE)</f>
        <v xml:space="preserve"> Mild Steel Work for Column</v>
      </c>
      <c r="C407" s="364">
        <f>D407</f>
        <v>3.9821284161332926</v>
      </c>
      <c r="D407" s="364">
        <f>VLOOKUP(B407,'Details of Measurement'!B:N,13,FALSE)</f>
        <v>3.9821284161332926</v>
      </c>
      <c r="E407" s="345" t="str">
        <f>VLOOKUP(B407,'Details of Measurement'!$B$6:$O$2333,14,FALSE)</f>
        <v>Ton</v>
      </c>
      <c r="F407" s="365"/>
      <c r="G407" s="362"/>
      <c r="H407" s="365">
        <f>H422</f>
        <v>16616072.240831045</v>
      </c>
      <c r="I407" s="344"/>
    </row>
    <row r="408" spans="1:10" ht="18" customHeight="1">
      <c r="A408" s="351"/>
      <c r="B408" s="337" t="s">
        <v>588</v>
      </c>
      <c r="C408" s="366">
        <f>D408</f>
        <v>2.5649517423549728</v>
      </c>
      <c r="D408" s="366">
        <f>VLOOKUP(B408,'Details of Measurement'!B:N,13,FALSE)</f>
        <v>2.5649517423549728</v>
      </c>
      <c r="E408" s="351" t="s">
        <v>30</v>
      </c>
      <c r="F408" s="353"/>
      <c r="G408" s="351"/>
      <c r="H408" s="353"/>
      <c r="I408" s="350"/>
    </row>
    <row r="409" spans="1:10" ht="18" customHeight="1">
      <c r="A409" s="351"/>
      <c r="B409" s="337" t="s">
        <v>589</v>
      </c>
      <c r="C409" s="366">
        <f>D409</f>
        <v>1.2038758508584781</v>
      </c>
      <c r="D409" s="366">
        <f>VLOOKUP(B409,'Details of Measurement'!B:N,13,FALSE)</f>
        <v>1.2038758508584781</v>
      </c>
      <c r="E409" s="351" t="s">
        <v>30</v>
      </c>
      <c r="F409" s="353"/>
      <c r="G409" s="351"/>
      <c r="H409" s="353"/>
    </row>
    <row r="410" spans="1:10" ht="18" customHeight="1">
      <c r="A410" s="351"/>
      <c r="B410" s="337" t="s">
        <v>694</v>
      </c>
      <c r="C410" s="366">
        <f>D410</f>
        <v>0.21330082291984151</v>
      </c>
      <c r="D410" s="366">
        <f>VLOOKUP(B410,'Details of Measurement'!B:N,13,FALSE)</f>
        <v>0.21330082291984151</v>
      </c>
      <c r="E410" s="351" t="s">
        <v>30</v>
      </c>
      <c r="F410" s="353"/>
      <c r="G410" s="351"/>
      <c r="H410" s="353"/>
    </row>
    <row r="411" spans="1:10" ht="18" customHeight="1">
      <c r="A411" s="351"/>
      <c r="B411" s="399"/>
      <c r="C411" s="400">
        <f>SUM(C408:C410)</f>
        <v>3.9821284161332922</v>
      </c>
      <c r="D411" s="400">
        <f>SUM(D408:D410)</f>
        <v>3.9821284161332922</v>
      </c>
      <c r="E411" s="401" t="s">
        <v>30</v>
      </c>
      <c r="F411" s="353"/>
      <c r="G411" s="351"/>
      <c r="H411" s="353"/>
    </row>
    <row r="412" spans="1:10" ht="18" customHeight="1">
      <c r="A412" s="351"/>
      <c r="B412" s="352" t="s">
        <v>29</v>
      </c>
      <c r="C412" s="351"/>
      <c r="D412" s="351"/>
      <c r="E412" s="351"/>
      <c r="F412" s="353"/>
      <c r="G412" s="351"/>
      <c r="H412" s="353"/>
    </row>
    <row r="413" spans="1:10" ht="18" customHeight="1">
      <c r="A413" s="351"/>
      <c r="B413" s="337" t="s">
        <v>606</v>
      </c>
      <c r="C413" s="366">
        <f t="shared" ref="C413:C416" si="163">D413*1.1</f>
        <v>2.9625192624199936</v>
      </c>
      <c r="D413" s="366">
        <f>D408*1.05</f>
        <v>2.6931993294727214</v>
      </c>
      <c r="E413" s="351" t="s">
        <v>30</v>
      </c>
      <c r="F413" s="353">
        <f>VLOOKUP(B413,'Price '!B:D,3,FALSE)</f>
        <v>2420000</v>
      </c>
      <c r="G413" s="351" t="str">
        <f t="shared" ref="G413:G416" si="164">E413</f>
        <v>Ton</v>
      </c>
      <c r="H413" s="353">
        <f t="shared" ref="H413:H416" si="165">C413*F413</f>
        <v>7169296.6150563844</v>
      </c>
    </row>
    <row r="414" spans="1:10" ht="18" customHeight="1">
      <c r="A414" s="351"/>
      <c r="B414" s="337" t="s">
        <v>591</v>
      </c>
      <c r="C414" s="366">
        <f t="shared" si="163"/>
        <v>1.3904766077415425</v>
      </c>
      <c r="D414" s="366">
        <f t="shared" ref="D414:D415" si="166">D409*1.05</f>
        <v>1.264069643401402</v>
      </c>
      <c r="E414" s="351" t="s">
        <v>30</v>
      </c>
      <c r="F414" s="353">
        <f>VLOOKUP(B414,'Price '!B:D,3,FALSE)</f>
        <v>2450000</v>
      </c>
      <c r="G414" s="351" t="str">
        <f t="shared" si="164"/>
        <v>Ton</v>
      </c>
      <c r="H414" s="353">
        <f t="shared" si="165"/>
        <v>3406667.688966779</v>
      </c>
      <c r="J414" s="355"/>
    </row>
    <row r="415" spans="1:10" ht="18" customHeight="1">
      <c r="A415" s="351"/>
      <c r="B415" s="337" t="s">
        <v>746</v>
      </c>
      <c r="C415" s="366">
        <f t="shared" si="163"/>
        <v>0.24636245047241698</v>
      </c>
      <c r="D415" s="366">
        <f t="shared" si="166"/>
        <v>0.2239658640658336</v>
      </c>
      <c r="E415" s="351" t="s">
        <v>30</v>
      </c>
      <c r="F415" s="353">
        <f>VLOOKUP(B415,'Price '!B:D,3,FALSE)</f>
        <v>3430000</v>
      </c>
      <c r="G415" s="351" t="str">
        <f t="shared" si="164"/>
        <v>Ton</v>
      </c>
      <c r="H415" s="353">
        <f t="shared" si="165"/>
        <v>845023.20512039028</v>
      </c>
      <c r="J415" s="355"/>
    </row>
    <row r="416" spans="1:10" ht="18" customHeight="1">
      <c r="A416" s="351"/>
      <c r="B416" s="354" t="s">
        <v>60</v>
      </c>
      <c r="C416" s="366">
        <f t="shared" si="163"/>
        <v>87.606825154932423</v>
      </c>
      <c r="D416" s="402">
        <f>D411*20</f>
        <v>79.642568322665838</v>
      </c>
      <c r="E416" s="351" t="s">
        <v>69</v>
      </c>
      <c r="F416" s="353">
        <f>VLOOKUP(B416,'Price '!B:D,3,FALSE)</f>
        <v>12000</v>
      </c>
      <c r="G416" s="351" t="str">
        <f t="shared" si="164"/>
        <v>lbs</v>
      </c>
      <c r="H416" s="353">
        <f t="shared" si="165"/>
        <v>1051281.9018591892</v>
      </c>
      <c r="J416" s="355"/>
    </row>
    <row r="417" spans="1:10" ht="18" customHeight="1">
      <c r="A417" s="351"/>
      <c r="B417" s="354"/>
      <c r="C417" s="351"/>
      <c r="D417" s="351"/>
      <c r="E417" s="351"/>
      <c r="F417" s="353"/>
      <c r="G417" s="351" t="s">
        <v>622</v>
      </c>
      <c r="H417" s="376">
        <f>SUM(H413:H416)</f>
        <v>12472269.411002742</v>
      </c>
      <c r="J417" s="355"/>
    </row>
    <row r="418" spans="1:10" ht="18" customHeight="1">
      <c r="A418" s="351"/>
      <c r="B418" s="352" t="s">
        <v>28</v>
      </c>
      <c r="C418" s="351"/>
      <c r="D418" s="351"/>
      <c r="E418" s="351"/>
      <c r="F418" s="353"/>
      <c r="G418" s="351"/>
      <c r="H418" s="353"/>
      <c r="J418" s="355"/>
    </row>
    <row r="419" spans="1:10" ht="18" customHeight="1">
      <c r="A419" s="351"/>
      <c r="B419" s="379" t="s">
        <v>66</v>
      </c>
      <c r="C419" s="366">
        <f t="shared" ref="C419:C420" si="167">D419*1.1</f>
        <v>87.606825154932423</v>
      </c>
      <c r="D419" s="366">
        <f>D411*20*1</f>
        <v>79.642568322665838</v>
      </c>
      <c r="E419" s="351" t="s">
        <v>10</v>
      </c>
      <c r="F419" s="353">
        <f>VLOOKUP(B419,'Price '!B:D,3,FALSE)</f>
        <v>27500</v>
      </c>
      <c r="G419" s="351" t="str">
        <f t="shared" ref="G419:G420" si="168">E419</f>
        <v>Nos</v>
      </c>
      <c r="H419" s="353">
        <f t="shared" ref="H419:H420" si="169">C419*F419</f>
        <v>2409187.6917606415</v>
      </c>
    </row>
    <row r="420" spans="1:10" ht="18" customHeight="1">
      <c r="A420" s="351"/>
      <c r="B420" s="354" t="s">
        <v>37</v>
      </c>
      <c r="C420" s="366">
        <f t="shared" si="167"/>
        <v>87.606825154932423</v>
      </c>
      <c r="D420" s="366">
        <f>D411*20*1</f>
        <v>79.642568322665838</v>
      </c>
      <c r="E420" s="351" t="s">
        <v>10</v>
      </c>
      <c r="F420" s="353">
        <f>VLOOKUP(B420,'Price '!B:D,3,FALSE)</f>
        <v>19800</v>
      </c>
      <c r="G420" s="351" t="str">
        <f t="shared" si="168"/>
        <v>Nos</v>
      </c>
      <c r="H420" s="353">
        <f t="shared" si="169"/>
        <v>1734615.138067662</v>
      </c>
    </row>
    <row r="421" spans="1:10" ht="18" customHeight="1">
      <c r="A421" s="351"/>
      <c r="B421" s="354"/>
      <c r="C421" s="351"/>
      <c r="D421" s="351"/>
      <c r="E421" s="351"/>
      <c r="F421" s="353"/>
      <c r="G421" s="351" t="s">
        <v>623</v>
      </c>
      <c r="H421" s="376">
        <f>SUM(H419:H420)</f>
        <v>4143802.8298283033</v>
      </c>
    </row>
    <row r="422" spans="1:10" ht="18" customHeight="1">
      <c r="A422" s="351"/>
      <c r="B422" s="356"/>
      <c r="C422" s="351"/>
      <c r="D422" s="351"/>
      <c r="E422" s="351"/>
      <c r="F422" s="353"/>
      <c r="G422" s="351" t="s">
        <v>85</v>
      </c>
      <c r="H422" s="357">
        <f>H417+H421</f>
        <v>16616072.240831045</v>
      </c>
      <c r="I422" s="355"/>
    </row>
    <row r="423" spans="1:10" ht="18" customHeight="1">
      <c r="A423" s="358"/>
      <c r="B423" s="359"/>
      <c r="C423" s="358"/>
      <c r="D423" s="358"/>
      <c r="E423" s="358"/>
      <c r="F423" s="360"/>
      <c r="G423" s="358"/>
      <c r="H423" s="361"/>
      <c r="I423" s="355"/>
    </row>
    <row r="424" spans="1:10" ht="18" customHeight="1">
      <c r="A424" s="362" t="s">
        <v>760</v>
      </c>
      <c r="B424" s="346" t="str">
        <f>VLOOKUP(A424,'Details of Measurement'!$A:$O,2,FALSE)</f>
        <v xml:space="preserve"> Mild Steel Work for Beam</v>
      </c>
      <c r="C424" s="364">
        <f>D424</f>
        <v>7.544172508381596</v>
      </c>
      <c r="D424" s="364">
        <f>VLOOKUP(B424,'Details of Measurement'!B:N,13,FALSE)</f>
        <v>7.544172508381596</v>
      </c>
      <c r="E424" s="345" t="str">
        <f>VLOOKUP(B424,'Details of Measurement'!$B$6:$O$2333,14,FALSE)</f>
        <v>Ton</v>
      </c>
      <c r="F424" s="365"/>
      <c r="G424" s="362"/>
      <c r="H424" s="365">
        <f>H439</f>
        <v>30975708.51843952</v>
      </c>
    </row>
    <row r="425" spans="1:10" ht="18" customHeight="1">
      <c r="A425" s="351"/>
      <c r="B425" s="337" t="s">
        <v>592</v>
      </c>
      <c r="C425" s="366">
        <f>D425</f>
        <v>5.2895006603677786</v>
      </c>
      <c r="D425" s="366">
        <f>VLOOKUP(B425,'Details of Measurement'!B:N,13,FALSE)</f>
        <v>5.2895006603677786</v>
      </c>
      <c r="E425" s="351" t="s">
        <v>30</v>
      </c>
      <c r="F425" s="353"/>
      <c r="G425" s="351"/>
      <c r="H425" s="353"/>
    </row>
    <row r="426" spans="1:10" s="350" customFormat="1" ht="18" customHeight="1">
      <c r="A426" s="351"/>
      <c r="B426" s="337" t="s">
        <v>593</v>
      </c>
      <c r="C426" s="366">
        <f>D426</f>
        <v>6.939703342476887E-2</v>
      </c>
      <c r="D426" s="366">
        <f>VLOOKUP(B426,'Details of Measurement'!B:N,13,FALSE)</f>
        <v>6.939703342476887E-2</v>
      </c>
      <c r="E426" s="351" t="s">
        <v>30</v>
      </c>
      <c r="F426" s="353"/>
      <c r="G426" s="351"/>
      <c r="H426" s="353"/>
      <c r="I426" s="344"/>
    </row>
    <row r="427" spans="1:10" ht="18" customHeight="1">
      <c r="A427" s="351"/>
      <c r="B427" s="337" t="s">
        <v>594</v>
      </c>
      <c r="C427" s="366">
        <f>D427</f>
        <v>2.1852748145890484</v>
      </c>
      <c r="D427" s="366">
        <f>VLOOKUP(B427,'Details of Measurement'!B:N,13,FALSE)</f>
        <v>2.1852748145890484</v>
      </c>
      <c r="E427" s="351" t="s">
        <v>30</v>
      </c>
      <c r="F427" s="353"/>
      <c r="G427" s="351"/>
      <c r="H427" s="353"/>
      <c r="I427" s="350"/>
    </row>
    <row r="428" spans="1:10" ht="18" customHeight="1">
      <c r="A428" s="351"/>
      <c r="B428" s="399"/>
      <c r="C428" s="400">
        <f>SUM(C425:C427)</f>
        <v>7.544172508381596</v>
      </c>
      <c r="D428" s="400">
        <f>SUM(D425:D427)</f>
        <v>7.544172508381596</v>
      </c>
      <c r="E428" s="401" t="s">
        <v>30</v>
      </c>
      <c r="F428" s="353"/>
      <c r="G428" s="351"/>
      <c r="H428" s="353"/>
    </row>
    <row r="429" spans="1:10" ht="18" customHeight="1">
      <c r="A429" s="351"/>
      <c r="B429" s="352" t="s">
        <v>29</v>
      </c>
      <c r="C429" s="351"/>
      <c r="D429" s="351"/>
      <c r="E429" s="351"/>
      <c r="F429" s="353"/>
      <c r="G429" s="351"/>
      <c r="H429" s="353"/>
    </row>
    <row r="430" spans="1:10" ht="18" customHeight="1">
      <c r="A430" s="351"/>
      <c r="B430" s="337" t="s">
        <v>595</v>
      </c>
      <c r="C430" s="366">
        <f t="shared" ref="C430:C433" si="170">D430*1.1</f>
        <v>6.1093732627247848</v>
      </c>
      <c r="D430" s="366">
        <f>D425*1.05</f>
        <v>5.5539756933861675</v>
      </c>
      <c r="E430" s="351" t="s">
        <v>30</v>
      </c>
      <c r="F430" s="353">
        <f>VLOOKUP(B430,'Price '!B:D,3,FALSE)</f>
        <v>2420000</v>
      </c>
      <c r="G430" s="351" t="str">
        <f t="shared" ref="G430:G433" si="171">E430</f>
        <v>Ton</v>
      </c>
      <c r="H430" s="353">
        <f t="shared" ref="H430:H433" si="172">C430*F430</f>
        <v>14784683.295793978</v>
      </c>
    </row>
    <row r="431" spans="1:10" ht="18" customHeight="1">
      <c r="A431" s="351"/>
      <c r="B431" s="337" t="s">
        <v>596</v>
      </c>
      <c r="C431" s="366">
        <f t="shared" si="170"/>
        <v>8.0153573605608056E-2</v>
      </c>
      <c r="D431" s="366">
        <f t="shared" ref="D431:D432" si="173">D426*1.05</f>
        <v>7.2866885096007319E-2</v>
      </c>
      <c r="E431" s="351" t="s">
        <v>30</v>
      </c>
      <c r="F431" s="353">
        <f>VLOOKUP(B431,'Price '!B:D,3,FALSE)</f>
        <v>2060000</v>
      </c>
      <c r="G431" s="351" t="str">
        <f t="shared" si="171"/>
        <v>Ton</v>
      </c>
      <c r="H431" s="353">
        <f t="shared" si="172"/>
        <v>165116.3616275526</v>
      </c>
    </row>
    <row r="432" spans="1:10" ht="18" customHeight="1">
      <c r="A432" s="351"/>
      <c r="B432" s="337" t="s">
        <v>597</v>
      </c>
      <c r="C432" s="366">
        <f t="shared" si="170"/>
        <v>2.5239924108503509</v>
      </c>
      <c r="D432" s="366">
        <f t="shared" si="173"/>
        <v>2.2945385553185007</v>
      </c>
      <c r="E432" s="351" t="s">
        <v>30</v>
      </c>
      <c r="F432" s="353">
        <f>VLOOKUP(B432,'Price '!B:D,3,FALSE)</f>
        <v>2450000</v>
      </c>
      <c r="G432" s="351" t="str">
        <f t="shared" si="171"/>
        <v>Ton</v>
      </c>
      <c r="H432" s="353">
        <f t="shared" si="172"/>
        <v>6183781.4065833595</v>
      </c>
      <c r="J432" s="355"/>
    </row>
    <row r="433" spans="1:10" ht="18" customHeight="1">
      <c r="A433" s="351"/>
      <c r="B433" s="354" t="s">
        <v>60</v>
      </c>
      <c r="C433" s="366">
        <f t="shared" si="170"/>
        <v>165.97179518439512</v>
      </c>
      <c r="D433" s="402">
        <f>D428*20</f>
        <v>150.88345016763191</v>
      </c>
      <c r="E433" s="351" t="s">
        <v>69</v>
      </c>
      <c r="F433" s="353">
        <f>VLOOKUP(B433,'Price '!B:D,3,FALSE)</f>
        <v>12000</v>
      </c>
      <c r="G433" s="351" t="str">
        <f t="shared" si="171"/>
        <v>lbs</v>
      </c>
      <c r="H433" s="353">
        <f t="shared" si="172"/>
        <v>1991661.5422127414</v>
      </c>
      <c r="J433" s="355"/>
    </row>
    <row r="434" spans="1:10" ht="18" customHeight="1">
      <c r="A434" s="351"/>
      <c r="B434" s="354"/>
      <c r="C434" s="351"/>
      <c r="D434" s="351"/>
      <c r="E434" s="351"/>
      <c r="F434" s="353"/>
      <c r="G434" s="351" t="s">
        <v>622</v>
      </c>
      <c r="H434" s="376">
        <f>SUM(H430:H433)</f>
        <v>23125242.60621763</v>
      </c>
      <c r="J434" s="355"/>
    </row>
    <row r="435" spans="1:10" ht="18" customHeight="1">
      <c r="A435" s="351"/>
      <c r="B435" s="352" t="s">
        <v>28</v>
      </c>
      <c r="C435" s="351"/>
      <c r="D435" s="351"/>
      <c r="E435" s="351"/>
      <c r="F435" s="353"/>
      <c r="G435" s="351"/>
      <c r="H435" s="353"/>
      <c r="J435" s="355"/>
    </row>
    <row r="436" spans="1:10" ht="18" customHeight="1">
      <c r="A436" s="351"/>
      <c r="B436" s="379" t="s">
        <v>66</v>
      </c>
      <c r="C436" s="366">
        <f t="shared" ref="C436:C437" si="174">D436*1.1</f>
        <v>165.97179518439512</v>
      </c>
      <c r="D436" s="366">
        <f>D428*20*1</f>
        <v>150.88345016763191</v>
      </c>
      <c r="E436" s="351" t="s">
        <v>10</v>
      </c>
      <c r="F436" s="353">
        <f>VLOOKUP(B436,'Price '!B:D,3,FALSE)</f>
        <v>27500</v>
      </c>
      <c r="G436" s="351" t="str">
        <f t="shared" ref="G436:G437" si="175">E436</f>
        <v>Nos</v>
      </c>
      <c r="H436" s="353">
        <f t="shared" ref="H436:H437" si="176">C436*F436</f>
        <v>4564224.3675708659</v>
      </c>
    </row>
    <row r="437" spans="1:10" ht="18" customHeight="1">
      <c r="A437" s="351"/>
      <c r="B437" s="354" t="s">
        <v>37</v>
      </c>
      <c r="C437" s="366">
        <f t="shared" si="174"/>
        <v>165.97179518439512</v>
      </c>
      <c r="D437" s="366">
        <f>D428*20*1</f>
        <v>150.88345016763191</v>
      </c>
      <c r="E437" s="351" t="s">
        <v>10</v>
      </c>
      <c r="F437" s="353">
        <f>VLOOKUP(B437,'Price '!B:D,3,FALSE)</f>
        <v>19800</v>
      </c>
      <c r="G437" s="351" t="str">
        <f t="shared" si="175"/>
        <v>Nos</v>
      </c>
      <c r="H437" s="353">
        <f t="shared" si="176"/>
        <v>3286241.5446510236</v>
      </c>
    </row>
    <row r="438" spans="1:10" ht="18" customHeight="1">
      <c r="A438" s="351"/>
      <c r="B438" s="354"/>
      <c r="C438" s="351"/>
      <c r="D438" s="351"/>
      <c r="E438" s="351"/>
      <c r="F438" s="353"/>
      <c r="G438" s="351" t="s">
        <v>623</v>
      </c>
      <c r="H438" s="376">
        <f>SUM(H436:H437)</f>
        <v>7850465.9122218899</v>
      </c>
    </row>
    <row r="439" spans="1:10" ht="18" customHeight="1">
      <c r="A439" s="351"/>
      <c r="B439" s="356"/>
      <c r="C439" s="351"/>
      <c r="D439" s="351"/>
      <c r="E439" s="351"/>
      <c r="F439" s="353"/>
      <c r="G439" s="351" t="s">
        <v>85</v>
      </c>
      <c r="H439" s="357">
        <f>H434+H438</f>
        <v>30975708.51843952</v>
      </c>
      <c r="I439" s="355"/>
    </row>
    <row r="440" spans="1:10" ht="18" customHeight="1">
      <c r="A440" s="358"/>
      <c r="B440" s="359"/>
      <c r="C440" s="358"/>
      <c r="D440" s="358"/>
      <c r="E440" s="358"/>
      <c r="F440" s="360"/>
      <c r="G440" s="358"/>
      <c r="H440" s="361"/>
      <c r="I440" s="355"/>
    </row>
    <row r="441" spans="1:10" ht="18" customHeight="1">
      <c r="A441" s="362" t="s">
        <v>761</v>
      </c>
      <c r="B441" s="346" t="str">
        <f>VLOOKUP(A441,'Details of Measurement'!$A:$O,2,FALSE)</f>
        <v xml:space="preserve"> Mild Steel Work for Slab</v>
      </c>
      <c r="C441" s="364">
        <f>D441</f>
        <v>8.8262704460022388</v>
      </c>
      <c r="D441" s="364">
        <f>VLOOKUP(B441,'Details of Measurement'!B:N,13,FALSE)</f>
        <v>8.8262704460022388</v>
      </c>
      <c r="E441" s="345" t="str">
        <f>VLOOKUP(B441,'Details of Measurement'!$B$6:$O$2333,14,FALSE)</f>
        <v>Ton</v>
      </c>
      <c r="F441" s="365"/>
      <c r="G441" s="362"/>
      <c r="H441" s="365">
        <f>H456</f>
        <v>36078886.102763399</v>
      </c>
    </row>
    <row r="442" spans="1:10" ht="18" customHeight="1">
      <c r="A442" s="351"/>
      <c r="B442" s="337" t="s">
        <v>598</v>
      </c>
      <c r="C442" s="366">
        <f>D442</f>
        <v>9.8318602052219845E-2</v>
      </c>
      <c r="D442" s="366">
        <f>VLOOKUP(B442,'Details of Measurement'!B:N,13,FALSE)</f>
        <v>9.8318602052219845E-2</v>
      </c>
      <c r="E442" s="351" t="s">
        <v>30</v>
      </c>
      <c r="F442" s="353"/>
      <c r="G442" s="351"/>
      <c r="H442" s="353"/>
    </row>
    <row r="443" spans="1:10" s="350" customFormat="1" ht="18" customHeight="1">
      <c r="A443" s="351"/>
      <c r="B443" s="337" t="s">
        <v>599</v>
      </c>
      <c r="C443" s="366">
        <f>D443</f>
        <v>0.9070893020420604</v>
      </c>
      <c r="D443" s="366">
        <f>VLOOKUP(B443,'Details of Measurement'!B:N,13,FALSE)</f>
        <v>0.9070893020420604</v>
      </c>
      <c r="E443" s="351" t="s">
        <v>30</v>
      </c>
      <c r="F443" s="353"/>
      <c r="G443" s="351"/>
      <c r="H443" s="353"/>
      <c r="I443" s="344"/>
    </row>
    <row r="444" spans="1:10" ht="18" customHeight="1">
      <c r="A444" s="351"/>
      <c r="B444" s="337" t="s">
        <v>600</v>
      </c>
      <c r="C444" s="366">
        <f>D444</f>
        <v>7.8208625419079576</v>
      </c>
      <c r="D444" s="366">
        <f>VLOOKUP(B444,'Details of Measurement'!B:N,13,FALSE)</f>
        <v>7.8208625419079576</v>
      </c>
      <c r="E444" s="351" t="s">
        <v>30</v>
      </c>
      <c r="F444" s="353"/>
      <c r="G444" s="351"/>
      <c r="H444" s="353"/>
      <c r="I444" s="350"/>
    </row>
    <row r="445" spans="1:10" ht="18" customHeight="1">
      <c r="A445" s="351"/>
      <c r="B445" s="399"/>
      <c r="C445" s="400">
        <f>SUM(C442:C444)</f>
        <v>8.826270446002237</v>
      </c>
      <c r="D445" s="400">
        <f>SUM(D442:D444)</f>
        <v>8.826270446002237</v>
      </c>
      <c r="E445" s="401" t="s">
        <v>30</v>
      </c>
      <c r="F445" s="353"/>
      <c r="G445" s="351"/>
      <c r="H445" s="353"/>
    </row>
    <row r="446" spans="1:10" ht="18" customHeight="1">
      <c r="A446" s="351"/>
      <c r="B446" s="352" t="s">
        <v>29</v>
      </c>
      <c r="C446" s="351"/>
      <c r="D446" s="351"/>
      <c r="E446" s="351"/>
      <c r="F446" s="353"/>
      <c r="G446" s="351"/>
      <c r="H446" s="353"/>
    </row>
    <row r="447" spans="1:10" ht="18" customHeight="1">
      <c r="A447" s="351"/>
      <c r="B447" s="337" t="s">
        <v>601</v>
      </c>
      <c r="C447" s="366">
        <f t="shared" ref="C447:C450" si="177">D447*1.1</f>
        <v>0.11355798537031395</v>
      </c>
      <c r="D447" s="366">
        <f>D442*1.05</f>
        <v>0.10323453215483085</v>
      </c>
      <c r="E447" s="351" t="s">
        <v>30</v>
      </c>
      <c r="F447" s="353">
        <f>VLOOKUP(B447,'Price '!B:D,3,FALSE)</f>
        <v>2420000</v>
      </c>
      <c r="G447" s="351" t="str">
        <f t="shared" ref="G447:G450" si="178">E447</f>
        <v>Ton</v>
      </c>
      <c r="H447" s="353">
        <f t="shared" ref="H447:H450" si="179">C447*F447</f>
        <v>274810.32459615974</v>
      </c>
    </row>
    <row r="448" spans="1:10" ht="18" customHeight="1">
      <c r="A448" s="351"/>
      <c r="B448" s="337" t="s">
        <v>602</v>
      </c>
      <c r="C448" s="366">
        <f t="shared" si="177"/>
        <v>1.0476881438585799</v>
      </c>
      <c r="D448" s="366">
        <f t="shared" ref="D448:D449" si="180">D443*1.05</f>
        <v>0.95244376714416346</v>
      </c>
      <c r="E448" s="351" t="s">
        <v>30</v>
      </c>
      <c r="F448" s="353">
        <f>VLOOKUP(B448,'Price '!B:D,3,FALSE)</f>
        <v>2060000</v>
      </c>
      <c r="G448" s="351" t="str">
        <f t="shared" si="178"/>
        <v>Ton</v>
      </c>
      <c r="H448" s="353">
        <f t="shared" si="179"/>
        <v>2158237.5763486745</v>
      </c>
      <c r="J448" s="355"/>
    </row>
    <row r="449" spans="1:10" ht="18" customHeight="1">
      <c r="A449" s="351"/>
      <c r="B449" s="337" t="s">
        <v>603</v>
      </c>
      <c r="C449" s="366">
        <f t="shared" si="177"/>
        <v>9.0330962359036917</v>
      </c>
      <c r="D449" s="366">
        <f t="shared" si="180"/>
        <v>8.2119056690033556</v>
      </c>
      <c r="E449" s="351" t="s">
        <v>30</v>
      </c>
      <c r="F449" s="353">
        <f>VLOOKUP(B449,'Price '!B:D,3,FALSE)</f>
        <v>2450000</v>
      </c>
      <c r="G449" s="351" t="str">
        <f t="shared" si="178"/>
        <v>Ton</v>
      </c>
      <c r="H449" s="353">
        <f t="shared" si="179"/>
        <v>22131085.777964044</v>
      </c>
      <c r="J449" s="355"/>
    </row>
    <row r="450" spans="1:10" ht="18" customHeight="1">
      <c r="A450" s="351"/>
      <c r="B450" s="354" t="s">
        <v>60</v>
      </c>
      <c r="C450" s="366">
        <f t="shared" si="177"/>
        <v>194.17794981204923</v>
      </c>
      <c r="D450" s="402">
        <f>D445*20</f>
        <v>176.52540892004475</v>
      </c>
      <c r="E450" s="351" t="s">
        <v>69</v>
      </c>
      <c r="F450" s="353">
        <f>VLOOKUP(B450,'Price '!B:D,3,FALSE)</f>
        <v>12000</v>
      </c>
      <c r="G450" s="351" t="str">
        <f t="shared" si="178"/>
        <v>lbs</v>
      </c>
      <c r="H450" s="353">
        <f t="shared" si="179"/>
        <v>2330135.3977445909</v>
      </c>
      <c r="J450" s="355"/>
    </row>
    <row r="451" spans="1:10" ht="18" customHeight="1">
      <c r="A451" s="351"/>
      <c r="B451" s="354"/>
      <c r="C451" s="351"/>
      <c r="D451" s="351"/>
      <c r="E451" s="351"/>
      <c r="F451" s="353"/>
      <c r="G451" s="351" t="s">
        <v>622</v>
      </c>
      <c r="H451" s="376">
        <f>SUM(H447:H450)</f>
        <v>26894269.076653469</v>
      </c>
    </row>
    <row r="452" spans="1:10" ht="18" customHeight="1">
      <c r="A452" s="351"/>
      <c r="B452" s="352" t="s">
        <v>28</v>
      </c>
      <c r="C452" s="351"/>
      <c r="D452" s="351"/>
      <c r="E452" s="351"/>
      <c r="F452" s="353"/>
      <c r="G452" s="351"/>
      <c r="H452" s="353"/>
    </row>
    <row r="453" spans="1:10" ht="18" customHeight="1">
      <c r="A453" s="351"/>
      <c r="B453" s="379" t="s">
        <v>66</v>
      </c>
      <c r="C453" s="366">
        <f t="shared" ref="C453:C454" si="181">D453*1.1</f>
        <v>194.17794981204923</v>
      </c>
      <c r="D453" s="366">
        <f>D445*20*1</f>
        <v>176.52540892004475</v>
      </c>
      <c r="E453" s="351" t="s">
        <v>10</v>
      </c>
      <c r="F453" s="353">
        <f>VLOOKUP(B453,'Price '!B:D,3,FALSE)</f>
        <v>27500</v>
      </c>
      <c r="G453" s="351" t="str">
        <f t="shared" ref="G453:G454" si="182">E453</f>
        <v>Nos</v>
      </c>
      <c r="H453" s="353">
        <f t="shared" ref="H453:H454" si="183">C453*F453</f>
        <v>5339893.6198313544</v>
      </c>
    </row>
    <row r="454" spans="1:10" ht="18" customHeight="1">
      <c r="A454" s="351"/>
      <c r="B454" s="354" t="s">
        <v>37</v>
      </c>
      <c r="C454" s="366">
        <f t="shared" si="181"/>
        <v>194.17794981204923</v>
      </c>
      <c r="D454" s="366">
        <f>D445*20*1</f>
        <v>176.52540892004475</v>
      </c>
      <c r="E454" s="351" t="s">
        <v>10</v>
      </c>
      <c r="F454" s="353">
        <f>VLOOKUP(B454,'Price '!B:D,3,FALSE)</f>
        <v>19800</v>
      </c>
      <c r="G454" s="351" t="str">
        <f t="shared" si="182"/>
        <v>Nos</v>
      </c>
      <c r="H454" s="353">
        <f t="shared" si="183"/>
        <v>3844723.4062785748</v>
      </c>
      <c r="I454" s="355"/>
    </row>
    <row r="455" spans="1:10" ht="18" customHeight="1">
      <c r="A455" s="351"/>
      <c r="B455" s="354"/>
      <c r="C455" s="351"/>
      <c r="D455" s="351"/>
      <c r="E455" s="351"/>
      <c r="F455" s="353"/>
      <c r="G455" s="351" t="s">
        <v>623</v>
      </c>
      <c r="H455" s="376">
        <f>SUM(H453:H454)</f>
        <v>9184617.0261099301</v>
      </c>
      <c r="I455" s="355"/>
    </row>
    <row r="456" spans="1:10" ht="18" customHeight="1">
      <c r="A456" s="351"/>
      <c r="B456" s="356"/>
      <c r="C456" s="351"/>
      <c r="D456" s="351"/>
      <c r="E456" s="351"/>
      <c r="F456" s="353"/>
      <c r="G456" s="351" t="s">
        <v>85</v>
      </c>
      <c r="H456" s="357">
        <f>H451+H455</f>
        <v>36078886.102763399</v>
      </c>
    </row>
    <row r="457" spans="1:10" ht="18" customHeight="1">
      <c r="A457" s="358"/>
      <c r="B457" s="359"/>
      <c r="C457" s="358"/>
      <c r="D457" s="358"/>
      <c r="E457" s="358"/>
      <c r="F457" s="360"/>
      <c r="G457" s="358"/>
      <c r="H457" s="361"/>
    </row>
    <row r="458" spans="1:10" ht="18" customHeight="1">
      <c r="A458" s="362" t="s">
        <v>762</v>
      </c>
      <c r="B458" s="346" t="str">
        <f>VLOOKUP(A458,'Details of Measurement'!$A:$O,2,FALSE)</f>
        <v xml:space="preserve"> Mild Steel Work for Stiffner</v>
      </c>
      <c r="C458" s="364">
        <f>D458</f>
        <v>1.8414568729046021</v>
      </c>
      <c r="D458" s="364">
        <f>VLOOKUP(B458,'Details of Measurement'!B:N,13,FALSE)</f>
        <v>1.8414568729046021</v>
      </c>
      <c r="E458" s="345" t="str">
        <f>VLOOKUP(B458,'Details of Measurement'!$B$6:$O$2333,14,FALSE)</f>
        <v>Ton</v>
      </c>
      <c r="F458" s="365"/>
      <c r="G458" s="362"/>
      <c r="H458" s="365">
        <f>H471</f>
        <v>8583625.3431880549</v>
      </c>
    </row>
    <row r="459" spans="1:10" ht="18" customHeight="1">
      <c r="A459" s="351"/>
      <c r="B459" s="337" t="s">
        <v>604</v>
      </c>
      <c r="C459" s="366">
        <f>D459</f>
        <v>0.98413898201767747</v>
      </c>
      <c r="D459" s="366">
        <f>VLOOKUP(B459,'Details of Measurement'!B:N,13,FALSE)</f>
        <v>0.98413898201767747</v>
      </c>
      <c r="E459" s="351" t="s">
        <v>30</v>
      </c>
      <c r="F459" s="353"/>
      <c r="G459" s="351"/>
      <c r="H459" s="353"/>
    </row>
    <row r="460" spans="1:10" ht="18" customHeight="1">
      <c r="A460" s="351"/>
      <c r="B460" s="336" t="s">
        <v>617</v>
      </c>
      <c r="C460" s="366">
        <f>D460</f>
        <v>0.85731789088692467</v>
      </c>
      <c r="D460" s="366">
        <f>VLOOKUP(B460,'Details of Measurement'!B:N,13,FALSE)</f>
        <v>0.85731789088692467</v>
      </c>
      <c r="E460" s="351" t="s">
        <v>30</v>
      </c>
      <c r="F460" s="353"/>
      <c r="G460" s="351"/>
      <c r="H460" s="353"/>
    </row>
    <row r="461" spans="1:10" ht="18" customHeight="1">
      <c r="A461" s="351"/>
      <c r="B461" s="399"/>
      <c r="C461" s="400">
        <f>SUM(C459:C460)</f>
        <v>1.8414568729046021</v>
      </c>
      <c r="D461" s="400">
        <f>SUM(D459:D460)</f>
        <v>1.8414568729046021</v>
      </c>
      <c r="E461" s="401" t="s">
        <v>30</v>
      </c>
      <c r="F461" s="353"/>
      <c r="G461" s="351"/>
      <c r="H461" s="353"/>
    </row>
    <row r="462" spans="1:10" ht="18" customHeight="1">
      <c r="A462" s="351"/>
      <c r="B462" s="352" t="s">
        <v>29</v>
      </c>
      <c r="C462" s="351"/>
      <c r="D462" s="351"/>
      <c r="E462" s="351"/>
      <c r="F462" s="353"/>
      <c r="G462" s="351"/>
      <c r="H462" s="353"/>
    </row>
    <row r="463" spans="1:10" ht="18" customHeight="1">
      <c r="A463" s="351"/>
      <c r="B463" s="337" t="s">
        <v>605</v>
      </c>
      <c r="C463" s="366">
        <f t="shared" ref="C463:C465" si="184">D463*1.1</f>
        <v>1.1366805242304177</v>
      </c>
      <c r="D463" s="366">
        <f>D459*1.05</f>
        <v>1.0333459311185613</v>
      </c>
      <c r="E463" s="351" t="s">
        <v>30</v>
      </c>
      <c r="F463" s="353">
        <f>VLOOKUP(B463,'Price '!B:D,3,FALSE)</f>
        <v>2450000</v>
      </c>
      <c r="G463" s="351" t="str">
        <f t="shared" ref="G463:G465" si="185">E463</f>
        <v>Ton</v>
      </c>
      <c r="H463" s="353">
        <f t="shared" ref="H463:H465" si="186">C463*F463</f>
        <v>2784867.2843645234</v>
      </c>
    </row>
    <row r="464" spans="1:10" ht="18" customHeight="1">
      <c r="A464" s="351"/>
      <c r="B464" s="337" t="s">
        <v>618</v>
      </c>
      <c r="C464" s="366">
        <f t="shared" si="184"/>
        <v>0.9902021639743982</v>
      </c>
      <c r="D464" s="366">
        <f>D460*1.05</f>
        <v>0.90018378543127098</v>
      </c>
      <c r="E464" s="351" t="s">
        <v>30</v>
      </c>
      <c r="F464" s="353">
        <f>VLOOKUP(B464,'Price '!B:D,3,FALSE)</f>
        <v>3430000</v>
      </c>
      <c r="G464" s="351" t="str">
        <f t="shared" si="185"/>
        <v>Ton</v>
      </c>
      <c r="H464" s="353">
        <f t="shared" si="186"/>
        <v>3396393.4224321856</v>
      </c>
    </row>
    <row r="465" spans="1:10" ht="18" customHeight="1">
      <c r="A465" s="351"/>
      <c r="B465" s="354" t="s">
        <v>60</v>
      </c>
      <c r="C465" s="366">
        <f t="shared" si="184"/>
        <v>40.512051203901251</v>
      </c>
      <c r="D465" s="402">
        <f>D461*20</f>
        <v>36.829137458092042</v>
      </c>
      <c r="E465" s="351" t="s">
        <v>69</v>
      </c>
      <c r="F465" s="353">
        <f>VLOOKUP(B465,'Price '!B:D,3,FALSE)</f>
        <v>12000</v>
      </c>
      <c r="G465" s="351" t="str">
        <f t="shared" si="185"/>
        <v>lbs</v>
      </c>
      <c r="H465" s="353">
        <f t="shared" si="186"/>
        <v>486144.61444681499</v>
      </c>
    </row>
    <row r="466" spans="1:10" ht="18" customHeight="1">
      <c r="A466" s="351"/>
      <c r="B466" s="354"/>
      <c r="C466" s="351"/>
      <c r="D466" s="351"/>
      <c r="E466" s="351"/>
      <c r="F466" s="353"/>
      <c r="G466" s="351" t="s">
        <v>622</v>
      </c>
      <c r="H466" s="376">
        <f>SUM(H463:H465)</f>
        <v>6667405.3212435246</v>
      </c>
    </row>
    <row r="467" spans="1:10" ht="18" customHeight="1">
      <c r="A467" s="351"/>
      <c r="B467" s="352" t="s">
        <v>28</v>
      </c>
      <c r="C467" s="351"/>
      <c r="D467" s="351"/>
      <c r="E467" s="351"/>
      <c r="F467" s="353"/>
      <c r="G467" s="351"/>
      <c r="H467" s="353"/>
    </row>
    <row r="468" spans="1:10" ht="18" customHeight="1">
      <c r="A468" s="351"/>
      <c r="B468" s="379" t="s">
        <v>66</v>
      </c>
      <c r="C468" s="366">
        <f t="shared" ref="C468:C469" si="187">D468*1.1</f>
        <v>40.512051203901251</v>
      </c>
      <c r="D468" s="366">
        <f>D461*20*1</f>
        <v>36.829137458092042</v>
      </c>
      <c r="E468" s="351" t="s">
        <v>10</v>
      </c>
      <c r="F468" s="353">
        <f>VLOOKUP(B468,'Price '!B:D,3,FALSE)</f>
        <v>27500</v>
      </c>
      <c r="G468" s="351" t="str">
        <f t="shared" ref="G468:G469" si="188">E468</f>
        <v>Nos</v>
      </c>
      <c r="H468" s="353">
        <f t="shared" ref="H468:H469" si="189">C468*F468</f>
        <v>1114081.4081072845</v>
      </c>
    </row>
    <row r="469" spans="1:10" ht="18" customHeight="1">
      <c r="A469" s="351"/>
      <c r="B469" s="354" t="s">
        <v>37</v>
      </c>
      <c r="C469" s="366">
        <f t="shared" si="187"/>
        <v>40.512051203901251</v>
      </c>
      <c r="D469" s="366">
        <f>D461*20*1</f>
        <v>36.829137458092042</v>
      </c>
      <c r="E469" s="351" t="s">
        <v>10</v>
      </c>
      <c r="F469" s="353">
        <f>VLOOKUP(B469,'Price '!B:D,3,FALSE)</f>
        <v>19800</v>
      </c>
      <c r="G469" s="351" t="str">
        <f t="shared" si="188"/>
        <v>Nos</v>
      </c>
      <c r="H469" s="353">
        <f t="shared" si="189"/>
        <v>802138.6138372448</v>
      </c>
    </row>
    <row r="470" spans="1:10" ht="18" customHeight="1">
      <c r="A470" s="351"/>
      <c r="B470" s="354"/>
      <c r="C470" s="351"/>
      <c r="D470" s="351"/>
      <c r="E470" s="351"/>
      <c r="F470" s="353"/>
      <c r="G470" s="351" t="s">
        <v>623</v>
      </c>
      <c r="H470" s="376">
        <f>SUM(H468:H469)</f>
        <v>1916220.0219445294</v>
      </c>
    </row>
    <row r="471" spans="1:10" s="350" customFormat="1" ht="18" customHeight="1">
      <c r="A471" s="351"/>
      <c r="B471" s="356"/>
      <c r="C471" s="351"/>
      <c r="D471" s="351"/>
      <c r="E471" s="351"/>
      <c r="F471" s="353"/>
      <c r="G471" s="351" t="s">
        <v>85</v>
      </c>
      <c r="H471" s="357">
        <f>H466+H470</f>
        <v>8583625.3431880549</v>
      </c>
      <c r="I471" s="344"/>
    </row>
    <row r="472" spans="1:10" ht="18" customHeight="1">
      <c r="A472" s="358"/>
      <c r="B472" s="359"/>
      <c r="C472" s="358"/>
      <c r="D472" s="358"/>
      <c r="E472" s="358"/>
      <c r="F472" s="360"/>
      <c r="G472" s="358"/>
      <c r="H472" s="361"/>
      <c r="I472" s="350"/>
    </row>
    <row r="473" spans="1:10" ht="18" customHeight="1">
      <c r="A473" s="362">
        <v>12</v>
      </c>
      <c r="B473" s="346" t="str">
        <f>VLOOKUP(A473,'Details of Measurement'!$A:$O,2,FALSE)</f>
        <v>1½" thk; 1:2:4 Cement  Concrete</v>
      </c>
      <c r="C473" s="364">
        <f>D473</f>
        <v>4865.5</v>
      </c>
      <c r="D473" s="364">
        <f>VLOOKUP(B473,'Details of Measurement'!B:N,13,FALSE)</f>
        <v>4865.5</v>
      </c>
      <c r="E473" s="345" t="str">
        <f>VLOOKUP(B473,'Details of Measurement'!$B$6:$O$2333,14,FALSE)</f>
        <v>Sft</v>
      </c>
      <c r="F473" s="365"/>
      <c r="G473" s="362"/>
      <c r="H473" s="365">
        <f>H485</f>
        <v>6295969.3500000015</v>
      </c>
    </row>
    <row r="474" spans="1:10" ht="18" customHeight="1">
      <c r="A474" s="351"/>
      <c r="B474" s="354" t="s">
        <v>22</v>
      </c>
      <c r="C474" s="351"/>
      <c r="D474" s="351"/>
      <c r="E474" s="351"/>
      <c r="F474" s="353"/>
      <c r="G474" s="351"/>
      <c r="H474" s="353"/>
      <c r="J474" s="355"/>
    </row>
    <row r="475" spans="1:10" ht="18" customHeight="1">
      <c r="A475" s="351"/>
      <c r="B475" s="352" t="s">
        <v>29</v>
      </c>
      <c r="C475" s="351"/>
      <c r="D475" s="351"/>
      <c r="E475" s="351"/>
      <c r="F475" s="353"/>
      <c r="G475" s="351"/>
      <c r="H475" s="353"/>
      <c r="J475" s="355"/>
    </row>
    <row r="476" spans="1:10" ht="18" customHeight="1">
      <c r="A476" s="351"/>
      <c r="B476" s="379" t="s">
        <v>102</v>
      </c>
      <c r="C476" s="366">
        <f t="shared" ref="C476:C479" si="190">D476*1.1</f>
        <v>123.76615625000001</v>
      </c>
      <c r="D476" s="366">
        <f>D473*259/112/100</f>
        <v>112.51468749999999</v>
      </c>
      <c r="E476" s="351" t="s">
        <v>33</v>
      </c>
      <c r="F476" s="353">
        <f>VLOOKUP(B476,'Price '!B:D,3,FALSE)</f>
        <v>18400</v>
      </c>
      <c r="G476" s="351" t="str">
        <f t="shared" ref="G476:G479" si="191">E476</f>
        <v>Bag</v>
      </c>
      <c r="H476" s="353">
        <f t="shared" ref="H476:H479" si="192">C476*F476</f>
        <v>2277297.2750000004</v>
      </c>
      <c r="J476" s="355"/>
    </row>
    <row r="477" spans="1:10" ht="18" customHeight="1">
      <c r="A477" s="351"/>
      <c r="B477" s="374" t="s">
        <v>36</v>
      </c>
      <c r="C477" s="366">
        <f t="shared" si="190"/>
        <v>3.0774287500000002</v>
      </c>
      <c r="D477" s="366">
        <f>D473*5.75/100/100</f>
        <v>2.7976624999999999</v>
      </c>
      <c r="E477" s="351" t="s">
        <v>32</v>
      </c>
      <c r="F477" s="353">
        <f>VLOOKUP(B477,'Price '!B:D,3,FALSE)</f>
        <v>50000</v>
      </c>
      <c r="G477" s="351" t="str">
        <f t="shared" si="191"/>
        <v>Sud</v>
      </c>
      <c r="H477" s="353">
        <f t="shared" si="192"/>
        <v>153871.4375</v>
      </c>
    </row>
    <row r="478" spans="1:10" ht="18" customHeight="1">
      <c r="A478" s="351"/>
      <c r="B478" s="379" t="s">
        <v>123</v>
      </c>
      <c r="C478" s="366">
        <f t="shared" si="190"/>
        <v>6.1548575000000003</v>
      </c>
      <c r="D478" s="366">
        <f>D473*11.5/100/100</f>
        <v>5.5953249999999999</v>
      </c>
      <c r="E478" s="351" t="s">
        <v>32</v>
      </c>
      <c r="F478" s="353">
        <f>VLOOKUP(B478,'Price '!B:D,3,FALSE)</f>
        <v>130000</v>
      </c>
      <c r="G478" s="351" t="str">
        <f t="shared" si="191"/>
        <v>Sud</v>
      </c>
      <c r="H478" s="353">
        <f t="shared" si="192"/>
        <v>800131.47500000009</v>
      </c>
    </row>
    <row r="479" spans="1:10" ht="18" customHeight="1">
      <c r="A479" s="351"/>
      <c r="B479" s="379" t="s">
        <v>747</v>
      </c>
      <c r="C479" s="366">
        <f t="shared" si="190"/>
        <v>247.50000000000003</v>
      </c>
      <c r="D479" s="366">
        <f>ROUNDUP(('Details of Measurement'!N1405/6)*1.1,0)</f>
        <v>225</v>
      </c>
      <c r="E479" s="351" t="s">
        <v>26</v>
      </c>
      <c r="F479" s="353">
        <f>VLOOKUP(B479,'Price '!B:D,3,FALSE)</f>
        <v>1500</v>
      </c>
      <c r="G479" s="351" t="str">
        <f t="shared" si="191"/>
        <v>Rft</v>
      </c>
      <c r="H479" s="353">
        <f t="shared" si="192"/>
        <v>371250.00000000006</v>
      </c>
    </row>
    <row r="480" spans="1:10" ht="18" customHeight="1">
      <c r="A480" s="351"/>
      <c r="B480" s="354"/>
      <c r="C480" s="351"/>
      <c r="D480" s="351"/>
      <c r="E480" s="351"/>
      <c r="F480" s="353"/>
      <c r="G480" s="351" t="s">
        <v>622</v>
      </c>
      <c r="H480" s="376">
        <f>SUM(H476:H479)</f>
        <v>3602550.1875000005</v>
      </c>
    </row>
    <row r="481" spans="1:10" ht="18" customHeight="1">
      <c r="A481" s="351"/>
      <c r="B481" s="352" t="s">
        <v>28</v>
      </c>
      <c r="C481" s="351"/>
      <c r="D481" s="351"/>
      <c r="E481" s="351"/>
      <c r="F481" s="353"/>
      <c r="G481" s="351"/>
      <c r="H481" s="353"/>
      <c r="I481" s="355"/>
    </row>
    <row r="482" spans="1:10" ht="18" customHeight="1">
      <c r="A482" s="351"/>
      <c r="B482" s="377" t="s">
        <v>63</v>
      </c>
      <c r="C482" s="366">
        <f t="shared" ref="C482:C483" si="193">D482*1.1</f>
        <v>40.140375000000006</v>
      </c>
      <c r="D482" s="366">
        <f>D473*0.75/100</f>
        <v>36.491250000000001</v>
      </c>
      <c r="E482" s="351" t="s">
        <v>10</v>
      </c>
      <c r="F482" s="353">
        <f>VLOOKUP(B482,'Price '!B:D,3,FALSE)</f>
        <v>27500</v>
      </c>
      <c r="G482" s="351" t="str">
        <f t="shared" ref="G482:G483" si="194">E482</f>
        <v>Nos</v>
      </c>
      <c r="H482" s="353">
        <f t="shared" ref="H482:H483" si="195">C482*F482</f>
        <v>1103860.3125000002</v>
      </c>
      <c r="I482" s="355"/>
    </row>
    <row r="483" spans="1:10" ht="18" customHeight="1">
      <c r="A483" s="351"/>
      <c r="B483" s="354" t="s">
        <v>37</v>
      </c>
      <c r="C483" s="366">
        <f t="shared" si="193"/>
        <v>80.280750000000012</v>
      </c>
      <c r="D483" s="366">
        <f>D473*1.5/100</f>
        <v>72.982500000000002</v>
      </c>
      <c r="E483" s="351" t="s">
        <v>10</v>
      </c>
      <c r="F483" s="353">
        <f>VLOOKUP(B483,'Price '!B:D,3,FALSE)</f>
        <v>19800</v>
      </c>
      <c r="G483" s="351" t="str">
        <f t="shared" si="194"/>
        <v>Nos</v>
      </c>
      <c r="H483" s="353">
        <f t="shared" si="195"/>
        <v>1589558.8500000003</v>
      </c>
    </row>
    <row r="484" spans="1:10" ht="18" customHeight="1">
      <c r="A484" s="351"/>
      <c r="B484" s="354"/>
      <c r="C484" s="351"/>
      <c r="D484" s="351"/>
      <c r="E484" s="351"/>
      <c r="F484" s="353"/>
      <c r="G484" s="351" t="s">
        <v>623</v>
      </c>
      <c r="H484" s="376">
        <f>SUM(H482:H483)</f>
        <v>2693419.1625000006</v>
      </c>
    </row>
    <row r="485" spans="1:10" s="350" customFormat="1" ht="27" customHeight="1">
      <c r="A485" s="351"/>
      <c r="B485" s="356"/>
      <c r="C485" s="351"/>
      <c r="D485" s="351"/>
      <c r="E485" s="351"/>
      <c r="F485" s="353"/>
      <c r="G485" s="351" t="s">
        <v>85</v>
      </c>
      <c r="H485" s="357">
        <f>H480+H484</f>
        <v>6295969.3500000015</v>
      </c>
      <c r="I485" s="344"/>
    </row>
    <row r="486" spans="1:10" ht="18" customHeight="1">
      <c r="A486" s="358"/>
      <c r="B486" s="380"/>
      <c r="C486" s="358"/>
      <c r="D486" s="358"/>
      <c r="E486" s="358"/>
      <c r="F486" s="360"/>
      <c r="G486" s="358"/>
      <c r="H486" s="361"/>
      <c r="I486" s="350"/>
    </row>
    <row r="487" spans="1:10" ht="18" customHeight="1">
      <c r="A487" s="362">
        <v>13</v>
      </c>
      <c r="B487" s="346" t="str">
        <f>VLOOKUP(A487,'Details of Measurement'!$A:$O,2,FALSE)</f>
        <v>9" &amp; above Thk Brick Retaining Wall</v>
      </c>
      <c r="C487" s="364">
        <f>D487</f>
        <v>752.53906249999989</v>
      </c>
      <c r="D487" s="364">
        <f>VLOOKUP(B487,'Details of Measurement'!B:N,13,FALSE)</f>
        <v>752.53906249999989</v>
      </c>
      <c r="E487" s="345" t="str">
        <f>VLOOKUP(B487,'Details of Measurement'!$B$6:$O$2333,14,FALSE)</f>
        <v>Cft</v>
      </c>
      <c r="F487" s="365"/>
      <c r="G487" s="362"/>
      <c r="H487" s="403">
        <f>H498</f>
        <v>6247294.4070870532</v>
      </c>
    </row>
    <row r="488" spans="1:10" ht="18" customHeight="1">
      <c r="A488" s="351"/>
      <c r="B488" s="354" t="s">
        <v>23</v>
      </c>
      <c r="C488" s="351"/>
      <c r="D488" s="351"/>
      <c r="E488" s="351"/>
      <c r="F488" s="353"/>
      <c r="G488" s="351"/>
      <c r="H488" s="353"/>
      <c r="J488" s="355"/>
    </row>
    <row r="489" spans="1:10" ht="18" customHeight="1">
      <c r="A489" s="351"/>
      <c r="B489" s="352" t="s">
        <v>29</v>
      </c>
      <c r="C489" s="351"/>
      <c r="D489" s="351"/>
      <c r="E489" s="351"/>
      <c r="F489" s="353"/>
      <c r="G489" s="351"/>
      <c r="H489" s="353"/>
      <c r="J489" s="355"/>
    </row>
    <row r="490" spans="1:10" ht="18" customHeight="1">
      <c r="A490" s="351"/>
      <c r="B490" s="379" t="s">
        <v>102</v>
      </c>
      <c r="C490" s="366">
        <f t="shared" ref="C490:C492" si="196">D490*1.1</f>
        <v>57.649867466517847</v>
      </c>
      <c r="D490" s="366">
        <f>D487*780/112/100</f>
        <v>52.408970424107132</v>
      </c>
      <c r="E490" s="351" t="s">
        <v>33</v>
      </c>
      <c r="F490" s="353">
        <f>VLOOKUP(B490,'Price '!B:D,3,FALSE)</f>
        <v>18400</v>
      </c>
      <c r="G490" s="351" t="str">
        <f t="shared" ref="G490:G492" si="197">E490</f>
        <v>Bag</v>
      </c>
      <c r="H490" s="353">
        <f t="shared" ref="H490:H492" si="198">C490*F490</f>
        <v>1060757.5613839284</v>
      </c>
      <c r="J490" s="355"/>
    </row>
    <row r="491" spans="1:10" ht="18" customHeight="1">
      <c r="A491" s="351"/>
      <c r="B491" s="374" t="s">
        <v>36</v>
      </c>
      <c r="C491" s="366">
        <f t="shared" si="196"/>
        <v>2.1522617187499997</v>
      </c>
      <c r="D491" s="366">
        <f>D487*26/100/100</f>
        <v>1.9566015624999997</v>
      </c>
      <c r="E491" s="351" t="s">
        <v>32</v>
      </c>
      <c r="F491" s="353">
        <f>VLOOKUP(B491,'Price '!B:D,3,FALSE)</f>
        <v>50000</v>
      </c>
      <c r="G491" s="351" t="str">
        <f t="shared" si="197"/>
        <v>Sud</v>
      </c>
      <c r="H491" s="353">
        <f t="shared" si="198"/>
        <v>107613.08593749999</v>
      </c>
      <c r="J491" s="355"/>
    </row>
    <row r="492" spans="1:10" ht="18" customHeight="1">
      <c r="A492" s="351"/>
      <c r="B492" s="404" t="s">
        <v>796</v>
      </c>
      <c r="C492" s="366">
        <f t="shared" si="196"/>
        <v>11175.205078124998</v>
      </c>
      <c r="D492" s="366">
        <f>D487*1350/100</f>
        <v>10159.277343749998</v>
      </c>
      <c r="E492" s="351" t="s">
        <v>10</v>
      </c>
      <c r="F492" s="353">
        <f>VLOOKUP(B492,'Price '!B:D,3,FALSE)</f>
        <v>285</v>
      </c>
      <c r="G492" s="351" t="str">
        <f t="shared" si="197"/>
        <v>Nos</v>
      </c>
      <c r="H492" s="353">
        <f t="shared" si="198"/>
        <v>3184933.4472656245</v>
      </c>
    </row>
    <row r="493" spans="1:10" ht="18" customHeight="1">
      <c r="A493" s="351"/>
      <c r="B493" s="354"/>
      <c r="C493" s="351"/>
      <c r="D493" s="351"/>
      <c r="E493" s="351"/>
      <c r="F493" s="353"/>
      <c r="G493" s="351" t="s">
        <v>622</v>
      </c>
      <c r="H493" s="376">
        <f>SUM(H490:H492)</f>
        <v>4353304.0945870532</v>
      </c>
    </row>
    <row r="494" spans="1:10" ht="18" customHeight="1">
      <c r="A494" s="351"/>
      <c r="B494" s="352" t="s">
        <v>28</v>
      </c>
      <c r="C494" s="351"/>
      <c r="D494" s="351"/>
      <c r="E494" s="351"/>
      <c r="F494" s="353"/>
      <c r="G494" s="351"/>
      <c r="H494" s="353"/>
    </row>
    <row r="495" spans="1:10" ht="18" customHeight="1">
      <c r="A495" s="351"/>
      <c r="B495" s="377" t="s">
        <v>63</v>
      </c>
      <c r="C495" s="366">
        <f t="shared" ref="C495:C496" si="199">D495*1.1</f>
        <v>33.111718750000001</v>
      </c>
      <c r="D495" s="366">
        <f>D487*4/100</f>
        <v>30.101562499999996</v>
      </c>
      <c r="E495" s="351" t="s">
        <v>10</v>
      </c>
      <c r="F495" s="353">
        <f>VLOOKUP(B495,'Price '!B:D,3,FALSE)</f>
        <v>27500</v>
      </c>
      <c r="G495" s="351" t="str">
        <f t="shared" ref="G495:G496" si="200">E495</f>
        <v>Nos</v>
      </c>
      <c r="H495" s="353">
        <f t="shared" ref="H495:H496" si="201">C495*F495</f>
        <v>910572.265625</v>
      </c>
      <c r="I495" s="355"/>
    </row>
    <row r="496" spans="1:10" ht="18" customHeight="1">
      <c r="A496" s="351"/>
      <c r="B496" s="354" t="s">
        <v>37</v>
      </c>
      <c r="C496" s="366">
        <f t="shared" si="199"/>
        <v>49.667578124999999</v>
      </c>
      <c r="D496" s="366">
        <f>D487*6/100</f>
        <v>45.152343749999993</v>
      </c>
      <c r="E496" s="351" t="s">
        <v>10</v>
      </c>
      <c r="F496" s="353">
        <f>VLOOKUP(B496,'Price '!B:D,3,FALSE)</f>
        <v>19800</v>
      </c>
      <c r="G496" s="351" t="str">
        <f t="shared" si="200"/>
        <v>Nos</v>
      </c>
      <c r="H496" s="353">
        <f t="shared" si="201"/>
        <v>983418.046875</v>
      </c>
      <c r="I496" s="355"/>
    </row>
    <row r="497" spans="1:10" ht="18" customHeight="1">
      <c r="A497" s="351"/>
      <c r="B497" s="354"/>
      <c r="C497" s="351"/>
      <c r="D497" s="351"/>
      <c r="E497" s="351"/>
      <c r="F497" s="353"/>
      <c r="G497" s="351" t="s">
        <v>623</v>
      </c>
      <c r="H497" s="376">
        <f>SUM(H495:H496)</f>
        <v>1893990.3125</v>
      </c>
    </row>
    <row r="498" spans="1:10" ht="18" customHeight="1">
      <c r="A498" s="351"/>
      <c r="B498" s="356"/>
      <c r="C498" s="351"/>
      <c r="D498" s="351"/>
      <c r="E498" s="351"/>
      <c r="F498" s="353"/>
      <c r="G498" s="351" t="s">
        <v>85</v>
      </c>
      <c r="H498" s="357">
        <f>H493+H497</f>
        <v>6247294.4070870532</v>
      </c>
    </row>
    <row r="499" spans="1:10" s="350" customFormat="1" ht="30" customHeight="1">
      <c r="A499" s="358"/>
      <c r="B499" s="380"/>
      <c r="C499" s="358"/>
      <c r="D499" s="358"/>
      <c r="E499" s="358"/>
      <c r="F499" s="360"/>
      <c r="G499" s="358"/>
      <c r="H499" s="361"/>
      <c r="I499" s="344"/>
    </row>
    <row r="500" spans="1:10" ht="35.4" customHeight="1">
      <c r="A500" s="362">
        <v>14</v>
      </c>
      <c r="B500" s="363" t="str">
        <f>VLOOKUP(A500,'Details of Measurement'!$A:$O,2,FALSE)</f>
        <v>4½" thk; Brick  Walling   With 1:3  Cement  Mortar</v>
      </c>
      <c r="C500" s="364">
        <f>D500</f>
        <v>6536.9305555555557</v>
      </c>
      <c r="D500" s="364">
        <f>VLOOKUP(B500,'Details of Measurement'!B:N,13,FALSE)</f>
        <v>6536.9305555555557</v>
      </c>
      <c r="E500" s="345" t="str">
        <f>VLOOKUP(B500,'Details of Measurement'!$B$6:$O$2333,14,FALSE)</f>
        <v>Sft</v>
      </c>
      <c r="F500" s="365"/>
      <c r="G500" s="362"/>
      <c r="H500" s="403">
        <f>H511</f>
        <v>25537859.28604167</v>
      </c>
      <c r="I500" s="350"/>
    </row>
    <row r="501" spans="1:10" ht="18" customHeight="1">
      <c r="A501" s="351"/>
      <c r="B501" s="352" t="s">
        <v>29</v>
      </c>
      <c r="C501" s="351"/>
      <c r="D501" s="351"/>
      <c r="E501" s="351"/>
      <c r="F501" s="353"/>
      <c r="G501" s="351"/>
      <c r="H501" s="353"/>
      <c r="J501" s="355"/>
    </row>
    <row r="502" spans="1:10" ht="18" customHeight="1">
      <c r="A502" s="351"/>
      <c r="B502" s="379" t="s">
        <v>102</v>
      </c>
      <c r="C502" s="366">
        <f t="shared" ref="C502:C505" si="202">D502*1.1</f>
        <v>224.70698784722228</v>
      </c>
      <c r="D502" s="366">
        <f>D500*350/112/100</f>
        <v>204.27907986111114</v>
      </c>
      <c r="E502" s="351" t="s">
        <v>33</v>
      </c>
      <c r="F502" s="353">
        <f>VLOOKUP(B502,'Price '!B:D,3,FALSE)</f>
        <v>18400</v>
      </c>
      <c r="G502" s="351" t="str">
        <f t="shared" ref="G502:G505" si="203">E502</f>
        <v>Bag</v>
      </c>
      <c r="H502" s="353">
        <f t="shared" ref="H502:H505" si="204">C502*F502</f>
        <v>4134608.5763888899</v>
      </c>
    </row>
    <row r="503" spans="1:10" ht="18" customHeight="1">
      <c r="A503" s="351"/>
      <c r="B503" s="374" t="s">
        <v>36</v>
      </c>
      <c r="C503" s="366">
        <f t="shared" si="202"/>
        <v>7.1906236111111124</v>
      </c>
      <c r="D503" s="366">
        <f>D500*10/100/100</f>
        <v>6.5369305555555561</v>
      </c>
      <c r="E503" s="351" t="s">
        <v>32</v>
      </c>
      <c r="F503" s="353">
        <f>VLOOKUP(B503,'Price '!B:D,3,FALSE)</f>
        <v>50000</v>
      </c>
      <c r="G503" s="351" t="str">
        <f t="shared" si="203"/>
        <v>Sud</v>
      </c>
      <c r="H503" s="353">
        <f t="shared" si="204"/>
        <v>359531.18055555562</v>
      </c>
    </row>
    <row r="504" spans="1:10" ht="18" customHeight="1">
      <c r="A504" s="351"/>
      <c r="B504" s="404" t="s">
        <v>796</v>
      </c>
      <c r="C504" s="366">
        <f t="shared" si="202"/>
        <v>39548.429861111115</v>
      </c>
      <c r="D504" s="366">
        <f>D500*550/100</f>
        <v>35953.118055555555</v>
      </c>
      <c r="E504" s="351" t="s">
        <v>10</v>
      </c>
      <c r="F504" s="353">
        <f>VLOOKUP(B504,'Price '!B:D,3,FALSE)</f>
        <v>285</v>
      </c>
      <c r="G504" s="351" t="str">
        <f t="shared" si="203"/>
        <v>Nos</v>
      </c>
      <c r="H504" s="353">
        <f t="shared" si="204"/>
        <v>11271302.510416668</v>
      </c>
    </row>
    <row r="505" spans="1:10" ht="18" customHeight="1">
      <c r="A505" s="351"/>
      <c r="B505" s="404" t="s">
        <v>129</v>
      </c>
      <c r="C505" s="366">
        <f t="shared" si="202"/>
        <v>9096.1388680555574</v>
      </c>
      <c r="D505" s="366">
        <f>D500*115/100*1.1</f>
        <v>8269.2171527777791</v>
      </c>
      <c r="E505" s="351" t="s">
        <v>26</v>
      </c>
      <c r="F505" s="353">
        <f>VLOOKUP(B505,'Price '!B:D,3,FALSE)</f>
        <v>170</v>
      </c>
      <c r="G505" s="351" t="str">
        <f t="shared" si="203"/>
        <v>Rft</v>
      </c>
      <c r="H505" s="353">
        <f t="shared" si="204"/>
        <v>1546343.6075694447</v>
      </c>
      <c r="I505" s="355"/>
    </row>
    <row r="506" spans="1:10" ht="18" customHeight="1">
      <c r="A506" s="351"/>
      <c r="B506" s="354"/>
      <c r="C506" s="351"/>
      <c r="D506" s="351"/>
      <c r="E506" s="351"/>
      <c r="F506" s="353"/>
      <c r="G506" s="351" t="s">
        <v>622</v>
      </c>
      <c r="H506" s="376">
        <f>SUM(H502:H505)</f>
        <v>17311785.874930557</v>
      </c>
      <c r="I506" s="355"/>
    </row>
    <row r="507" spans="1:10" ht="18" customHeight="1">
      <c r="A507" s="351"/>
      <c r="B507" s="352" t="s">
        <v>28</v>
      </c>
      <c r="C507" s="351"/>
      <c r="D507" s="351"/>
      <c r="E507" s="351"/>
      <c r="F507" s="353"/>
      <c r="G507" s="351"/>
      <c r="H507" s="353"/>
    </row>
    <row r="508" spans="1:10" ht="22.8" customHeight="1">
      <c r="A508" s="351"/>
      <c r="B508" s="377" t="s">
        <v>63</v>
      </c>
      <c r="C508" s="366">
        <f t="shared" ref="C508:C509" si="205">D508*1.1</f>
        <v>143.81247222222223</v>
      </c>
      <c r="D508" s="366">
        <f>D500*2/100</f>
        <v>130.73861111111111</v>
      </c>
      <c r="E508" s="351" t="s">
        <v>10</v>
      </c>
      <c r="F508" s="353">
        <f>VLOOKUP(B508,'Price '!B:D,3,FALSE)</f>
        <v>27500</v>
      </c>
      <c r="G508" s="351" t="str">
        <f t="shared" ref="G508:G509" si="206">E508</f>
        <v>Nos</v>
      </c>
      <c r="H508" s="353">
        <f t="shared" ref="H508:H509" si="207">C508*F508</f>
        <v>3954842.986111111</v>
      </c>
    </row>
    <row r="509" spans="1:10" s="350" customFormat="1" ht="22.2" customHeight="1">
      <c r="A509" s="351"/>
      <c r="B509" s="354" t="s">
        <v>37</v>
      </c>
      <c r="C509" s="366">
        <f t="shared" si="205"/>
        <v>215.71870833333338</v>
      </c>
      <c r="D509" s="366">
        <f>D500*3/100</f>
        <v>196.10791666666668</v>
      </c>
      <c r="E509" s="351" t="s">
        <v>10</v>
      </c>
      <c r="F509" s="353">
        <f>VLOOKUP(B509,'Price '!B:D,3,FALSE)</f>
        <v>19800</v>
      </c>
      <c r="G509" s="351" t="str">
        <f t="shared" si="206"/>
        <v>Nos</v>
      </c>
      <c r="H509" s="353">
        <f t="shared" si="207"/>
        <v>4271230.4250000007</v>
      </c>
      <c r="I509" s="344"/>
    </row>
    <row r="510" spans="1:10" ht="18" customHeight="1">
      <c r="A510" s="351"/>
      <c r="B510" s="354"/>
      <c r="C510" s="351"/>
      <c r="D510" s="351"/>
      <c r="E510" s="351"/>
      <c r="F510" s="353"/>
      <c r="G510" s="351" t="s">
        <v>623</v>
      </c>
      <c r="H510" s="376">
        <f>SUM(H508:H509)</f>
        <v>8226073.4111111118</v>
      </c>
      <c r="I510" s="350"/>
    </row>
    <row r="511" spans="1:10" ht="18" customHeight="1">
      <c r="A511" s="351"/>
      <c r="B511" s="356"/>
      <c r="C511" s="351"/>
      <c r="D511" s="351"/>
      <c r="E511" s="351"/>
      <c r="F511" s="353"/>
      <c r="G511" s="351" t="s">
        <v>85</v>
      </c>
      <c r="H511" s="357">
        <f>H506+H510</f>
        <v>25537859.28604167</v>
      </c>
    </row>
    <row r="512" spans="1:10" ht="18" customHeight="1">
      <c r="A512" s="358"/>
      <c r="B512" s="380"/>
      <c r="C512" s="358"/>
      <c r="D512" s="358"/>
      <c r="E512" s="358"/>
      <c r="F512" s="360"/>
      <c r="G512" s="358"/>
      <c r="H512" s="361"/>
    </row>
    <row r="513" spans="1:12" ht="36.6" customHeight="1">
      <c r="A513" s="362">
        <v>15</v>
      </c>
      <c r="B513" s="363" t="str">
        <f>VLOOKUP(A513,'Details of Measurement'!$A:$O,2,FALSE)</f>
        <v>3/4" thk;  1:3 Cement  Mortar Plastering  Work</v>
      </c>
      <c r="C513" s="364">
        <f>D513</f>
        <v>17350.625000000015</v>
      </c>
      <c r="D513" s="364">
        <f>VLOOKUP(B513,'Details of Measurement'!B:N,13,FALSE)</f>
        <v>17350.625000000015</v>
      </c>
      <c r="E513" s="345" t="str">
        <f>VLOOKUP(B513,'Details of Measurement'!$B$6:$O$2333,14,FALSE)</f>
        <v>Sft</v>
      </c>
      <c r="F513" s="365"/>
      <c r="G513" s="362"/>
      <c r="H513" s="365">
        <f>H518+H522</f>
        <v>29273184.426897347</v>
      </c>
    </row>
    <row r="514" spans="1:12" ht="18" customHeight="1">
      <c r="A514" s="351"/>
      <c r="B514" s="352" t="s">
        <v>29</v>
      </c>
      <c r="C514" s="351"/>
      <c r="D514" s="351"/>
      <c r="E514" s="351"/>
      <c r="F514" s="353"/>
      <c r="G514" s="351"/>
      <c r="H514" s="353"/>
      <c r="I514" s="344" t="s">
        <v>33</v>
      </c>
      <c r="J514" s="355" t="s">
        <v>774</v>
      </c>
      <c r="K514" s="344" t="s">
        <v>773</v>
      </c>
      <c r="L514" s="344" t="s">
        <v>727</v>
      </c>
    </row>
    <row r="515" spans="1:12" ht="18" customHeight="1">
      <c r="A515" s="351"/>
      <c r="B515" s="379" t="s">
        <v>102</v>
      </c>
      <c r="C515" s="366">
        <f t="shared" ref="C515:C517" si="208">D515*1.1</f>
        <v>383.41782924107173</v>
      </c>
      <c r="D515" s="366">
        <f>D513*225/112/100</f>
        <v>348.56166294642884</v>
      </c>
      <c r="E515" s="351" t="s">
        <v>33</v>
      </c>
      <c r="F515" s="353">
        <f>VLOOKUP(B515,'Price '!B:D,3,FALSE)</f>
        <v>18400</v>
      </c>
      <c r="G515" s="351" t="str">
        <f t="shared" ref="G515:G516" si="209">E515</f>
        <v>Bag</v>
      </c>
      <c r="H515" s="353">
        <f t="shared" ref="H515:H517" si="210">C515*F515</f>
        <v>7054888.0580357201</v>
      </c>
      <c r="I515" s="391">
        <f>'Details of Measurement'!Q1572</f>
        <v>107.8680245535717</v>
      </c>
      <c r="J515" s="355">
        <f>I515*112</f>
        <v>12081.218750000031</v>
      </c>
      <c r="K515" s="344">
        <f>J515/2.2</f>
        <v>5491.4630681818317</v>
      </c>
      <c r="L515" s="344">
        <f>K515*0.69</f>
        <v>3789.1095170454637</v>
      </c>
    </row>
    <row r="516" spans="1:12" ht="18" customHeight="1">
      <c r="A516" s="351"/>
      <c r="B516" s="374" t="s">
        <v>36</v>
      </c>
      <c r="C516" s="366">
        <f t="shared" si="208"/>
        <v>14.314265625000013</v>
      </c>
      <c r="D516" s="366">
        <f>D513*7.5/100/100</f>
        <v>13.012968750000011</v>
      </c>
      <c r="E516" s="351" t="s">
        <v>32</v>
      </c>
      <c r="F516" s="353">
        <f>VLOOKUP(B516,'Price '!B:D,3,FALSE)</f>
        <v>50000</v>
      </c>
      <c r="G516" s="351" t="str">
        <f t="shared" si="209"/>
        <v>Sud</v>
      </c>
      <c r="H516" s="353">
        <f t="shared" si="210"/>
        <v>715713.2812500007</v>
      </c>
      <c r="J516" s="355"/>
    </row>
    <row r="517" spans="1:12" ht="18" customHeight="1">
      <c r="A517" s="351"/>
      <c r="B517" s="374" t="s">
        <v>726</v>
      </c>
      <c r="C517" s="366">
        <f t="shared" si="208"/>
        <v>153.36713169642869</v>
      </c>
      <c r="D517" s="366">
        <f>D515/2.5</f>
        <v>139.42466517857153</v>
      </c>
      <c r="E517" s="351" t="s">
        <v>727</v>
      </c>
      <c r="F517" s="353">
        <f>VLOOKUP(B517,'Price '!B:D,3,FALSE)</f>
        <v>14950</v>
      </c>
      <c r="G517" s="351" t="str">
        <f t="shared" ref="G517" si="211">E517</f>
        <v>Lit</v>
      </c>
      <c r="H517" s="353">
        <f t="shared" si="210"/>
        <v>2292838.6188616087</v>
      </c>
      <c r="J517" s="355"/>
      <c r="L517" s="344">
        <f>L515/4</f>
        <v>947.27737926136592</v>
      </c>
    </row>
    <row r="518" spans="1:12" ht="18" customHeight="1">
      <c r="A518" s="351"/>
      <c r="B518" s="354"/>
      <c r="C518" s="351"/>
      <c r="D518" s="351"/>
      <c r="E518" s="351"/>
      <c r="F518" s="353"/>
      <c r="G518" s="351" t="s">
        <v>622</v>
      </c>
      <c r="H518" s="376">
        <f>SUM(H515:H517)</f>
        <v>10063439.95814733</v>
      </c>
    </row>
    <row r="519" spans="1:12" ht="18" customHeight="1">
      <c r="A519" s="351"/>
      <c r="B519" s="352" t="s">
        <v>28</v>
      </c>
      <c r="C519" s="351"/>
      <c r="D519" s="351"/>
      <c r="E519" s="351"/>
      <c r="F519" s="353"/>
      <c r="G519" s="351"/>
      <c r="H519" s="353"/>
    </row>
    <row r="520" spans="1:12" ht="18" customHeight="1">
      <c r="A520" s="351"/>
      <c r="B520" s="377" t="s">
        <v>63</v>
      </c>
      <c r="C520" s="366">
        <f t="shared" ref="C520:C521" si="212">D520*1.1</f>
        <v>286.28531250000026</v>
      </c>
      <c r="D520" s="366">
        <f>D513*1.5/100</f>
        <v>260.2593750000002</v>
      </c>
      <c r="E520" s="351" t="s">
        <v>10</v>
      </c>
      <c r="F520" s="353">
        <f>VLOOKUP(B520,'Price '!B:D,3,FALSE)</f>
        <v>27500</v>
      </c>
      <c r="G520" s="351" t="str">
        <f t="shared" ref="G520:G521" si="213">E520</f>
        <v>Nos</v>
      </c>
      <c r="H520" s="353">
        <f t="shared" ref="H520:H521" si="214">C520*F520</f>
        <v>7872846.0937500075</v>
      </c>
    </row>
    <row r="521" spans="1:12" ht="18" customHeight="1">
      <c r="A521" s="351"/>
      <c r="B521" s="354" t="s">
        <v>37</v>
      </c>
      <c r="C521" s="366">
        <f t="shared" si="212"/>
        <v>572.57062500000052</v>
      </c>
      <c r="D521" s="366">
        <f>D513*3/100</f>
        <v>520.51875000000041</v>
      </c>
      <c r="E521" s="351" t="s">
        <v>10</v>
      </c>
      <c r="F521" s="353">
        <f>VLOOKUP(B521,'Price '!B:D,3,FALSE)</f>
        <v>19800</v>
      </c>
      <c r="G521" s="351" t="str">
        <f t="shared" si="213"/>
        <v>Nos</v>
      </c>
      <c r="H521" s="353">
        <f t="shared" si="214"/>
        <v>11336898.375000011</v>
      </c>
      <c r="I521" s="355"/>
    </row>
    <row r="522" spans="1:12" ht="18" customHeight="1">
      <c r="A522" s="351"/>
      <c r="B522" s="354"/>
      <c r="C522" s="351"/>
      <c r="D522" s="351"/>
      <c r="E522" s="351"/>
      <c r="F522" s="353"/>
      <c r="G522" s="351" t="s">
        <v>623</v>
      </c>
      <c r="H522" s="376">
        <f>SUM(H520:H521)</f>
        <v>19209744.468750019</v>
      </c>
    </row>
    <row r="523" spans="1:12" ht="18" customHeight="1">
      <c r="A523" s="351"/>
      <c r="B523" s="356"/>
      <c r="C523" s="351"/>
      <c r="D523" s="351"/>
      <c r="E523" s="351"/>
      <c r="F523" s="353"/>
      <c r="G523" s="351" t="s">
        <v>85</v>
      </c>
      <c r="H523" s="357">
        <f>H522+H518</f>
        <v>29273184.426897347</v>
      </c>
    </row>
    <row r="524" spans="1:12" s="350" customFormat="1" ht="18" customHeight="1">
      <c r="A524" s="358"/>
      <c r="B524" s="380"/>
      <c r="C524" s="358"/>
      <c r="D524" s="358"/>
      <c r="E524" s="358"/>
      <c r="F524" s="360"/>
      <c r="G524" s="358"/>
      <c r="H524" s="361"/>
      <c r="I524" s="344"/>
    </row>
    <row r="525" spans="1:12" s="350" customFormat="1" ht="35.4" customHeight="1">
      <c r="A525" s="389">
        <v>16</v>
      </c>
      <c r="B525" s="363" t="str">
        <f>VLOOKUP(A525,'Details of Measurement'!$A:$O,2,FALSE)</f>
        <v xml:space="preserve">Making  Door Chowket </v>
      </c>
      <c r="C525" s="364">
        <f>D525</f>
        <v>268.16666666666663</v>
      </c>
      <c r="D525" s="364">
        <f>VLOOKUP(B525,'Details of Measurement'!B:N,13,FALSE)</f>
        <v>268.16666666666663</v>
      </c>
      <c r="E525" s="345" t="str">
        <f>VLOOKUP(B525,'Details of Measurement'!$B$6:$O$2333,14,FALSE)</f>
        <v>Rft</v>
      </c>
      <c r="F525" s="365"/>
      <c r="G525" s="362"/>
      <c r="H525" s="365">
        <f>H536</f>
        <v>3769441.8055555555</v>
      </c>
    </row>
    <row r="526" spans="1:12" ht="18" customHeight="1">
      <c r="A526" s="351"/>
      <c r="B526" s="352" t="s">
        <v>29</v>
      </c>
      <c r="C526" s="351"/>
      <c r="D526" s="351"/>
      <c r="E526" s="351"/>
      <c r="F526" s="353"/>
      <c r="G526" s="351"/>
      <c r="H526" s="353"/>
      <c r="J526" s="355"/>
    </row>
    <row r="527" spans="1:12" ht="18" customHeight="1">
      <c r="A527" s="351"/>
      <c r="B527" s="354" t="s">
        <v>770</v>
      </c>
      <c r="C527" s="366">
        <f t="shared" ref="C527:C531" si="215">D527*1.1</f>
        <v>25.410000000000004</v>
      </c>
      <c r="D527" s="366">
        <f>'Details of Measurement'!N1672*1.05</f>
        <v>23.1</v>
      </c>
      <c r="E527" s="351" t="s">
        <v>26</v>
      </c>
      <c r="F527" s="353">
        <f>VLOOKUP(B527,'Price '!B:D,3,FALSE)</f>
        <v>14000</v>
      </c>
      <c r="G527" s="351" t="str">
        <f t="shared" ref="G527:G531" si="216">E527</f>
        <v>Rft</v>
      </c>
      <c r="H527" s="353">
        <f t="shared" ref="H527:H531" si="217">C527*F527</f>
        <v>355740.00000000006</v>
      </c>
      <c r="J527" s="355"/>
    </row>
    <row r="528" spans="1:12" ht="18" customHeight="1">
      <c r="A528" s="351"/>
      <c r="B528" s="354" t="s">
        <v>771</v>
      </c>
      <c r="C528" s="366">
        <f t="shared" si="215"/>
        <v>284.32249999999999</v>
      </c>
      <c r="D528" s="366">
        <f>('Details of Measurement'!N1678+'Details of Measurement'!N1682+'Details of Measurement'!N1687)*1.05</f>
        <v>258.47499999999997</v>
      </c>
      <c r="E528" s="351" t="s">
        <v>26</v>
      </c>
      <c r="F528" s="353">
        <f>VLOOKUP(B528,'Price '!B:D,3,FALSE)</f>
        <v>9500</v>
      </c>
      <c r="G528" s="351" t="str">
        <f t="shared" ref="G528" si="218">E528</f>
        <v>Rft</v>
      </c>
      <c r="H528" s="353">
        <f t="shared" si="217"/>
        <v>2701063.75</v>
      </c>
      <c r="J528" s="355"/>
    </row>
    <row r="529" spans="1:10" ht="18" customHeight="1">
      <c r="A529" s="351"/>
      <c r="B529" s="354" t="s">
        <v>800</v>
      </c>
      <c r="C529" s="366">
        <f t="shared" si="215"/>
        <v>165</v>
      </c>
      <c r="D529" s="366">
        <f>'Details of Measurement'!M1689</f>
        <v>150</v>
      </c>
      <c r="E529" s="351" t="s">
        <v>720</v>
      </c>
      <c r="F529" s="353">
        <f>VLOOKUP(B529,'Price '!B:D,3,FALSE)</f>
        <v>450</v>
      </c>
      <c r="G529" s="351" t="str">
        <f t="shared" ref="G529" si="219">E529</f>
        <v>Nos.</v>
      </c>
      <c r="H529" s="353">
        <f t="shared" si="217"/>
        <v>74250</v>
      </c>
      <c r="J529" s="355"/>
    </row>
    <row r="530" spans="1:10" ht="18" customHeight="1">
      <c r="A530" s="351"/>
      <c r="B530" s="377" t="s">
        <v>59</v>
      </c>
      <c r="C530" s="366">
        <f t="shared" si="215"/>
        <v>1.6387962962962961</v>
      </c>
      <c r="D530" s="366">
        <f>D525*2/100/3.6</f>
        <v>1.4898148148148145</v>
      </c>
      <c r="E530" s="351" t="s">
        <v>31</v>
      </c>
      <c r="F530" s="353">
        <f>VLOOKUP(B530,'Price '!B:D,3,FALSE)</f>
        <v>12000</v>
      </c>
      <c r="G530" s="351" t="str">
        <f t="shared" si="216"/>
        <v>Viss</v>
      </c>
      <c r="H530" s="353">
        <f t="shared" si="217"/>
        <v>19665.555555555555</v>
      </c>
      <c r="J530" s="355"/>
    </row>
    <row r="531" spans="1:10" ht="18" customHeight="1">
      <c r="A531" s="351"/>
      <c r="B531" s="377" t="s">
        <v>124</v>
      </c>
      <c r="C531" s="366">
        <f t="shared" si="215"/>
        <v>11</v>
      </c>
      <c r="D531" s="366">
        <v>10</v>
      </c>
      <c r="E531" s="351" t="s">
        <v>125</v>
      </c>
      <c r="F531" s="353">
        <f>VLOOKUP(B531,'Price '!B:D,3,FALSE)</f>
        <v>12000</v>
      </c>
      <c r="G531" s="351" t="str">
        <f t="shared" si="216"/>
        <v>Bottle</v>
      </c>
      <c r="H531" s="353">
        <f t="shared" si="217"/>
        <v>132000</v>
      </c>
      <c r="J531" s="355"/>
    </row>
    <row r="532" spans="1:10" ht="18" customHeight="1">
      <c r="A532" s="351"/>
      <c r="B532" s="354"/>
      <c r="C532" s="351"/>
      <c r="D532" s="351"/>
      <c r="E532" s="351"/>
      <c r="F532" s="353"/>
      <c r="G532" s="351" t="s">
        <v>622</v>
      </c>
      <c r="H532" s="376">
        <f>SUM(H527:H531)</f>
        <v>3282719.3055555555</v>
      </c>
    </row>
    <row r="533" spans="1:10" ht="18" customHeight="1">
      <c r="A533" s="351"/>
      <c r="B533" s="352" t="s">
        <v>28</v>
      </c>
      <c r="C533" s="351"/>
      <c r="D533" s="351"/>
      <c r="E533" s="351"/>
      <c r="F533" s="353"/>
      <c r="G533" s="351"/>
      <c r="H533" s="353"/>
    </row>
    <row r="534" spans="1:10" ht="18" customHeight="1">
      <c r="A534" s="351"/>
      <c r="B534" s="354" t="s">
        <v>64</v>
      </c>
      <c r="C534" s="366">
        <f t="shared" ref="C534" si="220">D534*1.1</f>
        <v>17.698999999999998</v>
      </c>
      <c r="D534" s="366">
        <f>D525*6/100</f>
        <v>16.089999999999996</v>
      </c>
      <c r="E534" s="351" t="s">
        <v>10</v>
      </c>
      <c r="F534" s="353">
        <f>VLOOKUP(B534,'Price '!B:D,3,FALSE)</f>
        <v>27500</v>
      </c>
      <c r="G534" s="351" t="str">
        <f t="shared" ref="G534" si="221">E534</f>
        <v>Nos</v>
      </c>
      <c r="H534" s="353">
        <f>C534*F534</f>
        <v>486722.49999999994</v>
      </c>
    </row>
    <row r="535" spans="1:10" ht="18" customHeight="1">
      <c r="A535" s="351"/>
      <c r="B535" s="354"/>
      <c r="C535" s="366"/>
      <c r="D535" s="366"/>
      <c r="E535" s="351"/>
      <c r="F535" s="353"/>
      <c r="G535" s="351" t="s">
        <v>623</v>
      </c>
      <c r="H535" s="376">
        <f>SUM(H534)</f>
        <v>486722.49999999994</v>
      </c>
      <c r="I535" s="355"/>
    </row>
    <row r="536" spans="1:10" ht="18" customHeight="1">
      <c r="A536" s="351"/>
      <c r="B536" s="356"/>
      <c r="C536" s="351"/>
      <c r="D536" s="351"/>
      <c r="E536" s="351"/>
      <c r="F536" s="353"/>
      <c r="G536" s="351" t="s">
        <v>85</v>
      </c>
      <c r="H536" s="357">
        <f>H532+H535</f>
        <v>3769441.8055555555</v>
      </c>
    </row>
    <row r="537" spans="1:10" ht="18" customHeight="1">
      <c r="A537" s="358"/>
      <c r="B537" s="359"/>
      <c r="C537" s="358"/>
      <c r="D537" s="358"/>
      <c r="E537" s="358"/>
      <c r="F537" s="360"/>
      <c r="G537" s="358"/>
      <c r="H537" s="360"/>
    </row>
    <row r="538" spans="1:10" ht="18" hidden="1" customHeight="1">
      <c r="A538" s="362">
        <v>21</v>
      </c>
      <c r="B538" s="346" t="str">
        <f>VLOOKUP(A538,'Details of Measurement'!$A:$O,2,FALSE)</f>
        <v>Making  &amp;  Fixing Fully  Pannel Door</v>
      </c>
      <c r="C538" s="364">
        <f>VLOOKUP(A538,'Details of Measurement'!A:M,13,FALSE)</f>
        <v>0</v>
      </c>
      <c r="D538" s="364">
        <f>VLOOKUP(B538,'Details of Measurement'!B:N,13,FALSE)</f>
        <v>0</v>
      </c>
      <c r="E538" s="406" t="str">
        <f>VLOOKUP(B538,'Details of Measurement'!$B$6:$O$2333,14,FALSE)</f>
        <v>Sft</v>
      </c>
      <c r="F538" s="365"/>
      <c r="G538" s="362"/>
      <c r="H538" s="365">
        <f>H551</f>
        <v>0</v>
      </c>
    </row>
    <row r="539" spans="1:10" ht="18" hidden="1" customHeight="1">
      <c r="A539" s="362"/>
      <c r="B539" s="407" t="s">
        <v>91</v>
      </c>
      <c r="C539" s="364">
        <f>'Details of Measurement'!M1891</f>
        <v>0</v>
      </c>
      <c r="D539" s="364">
        <f>'Details of Measurement'!N1891</f>
        <v>374.08333333333337</v>
      </c>
      <c r="E539" s="389" t="s">
        <v>19</v>
      </c>
      <c r="F539" s="365"/>
      <c r="G539" s="362"/>
      <c r="H539" s="365"/>
    </row>
    <row r="540" spans="1:10" ht="18" hidden="1" customHeight="1">
      <c r="A540" s="351"/>
      <c r="B540" s="352" t="s">
        <v>29</v>
      </c>
      <c r="C540" s="351"/>
      <c r="D540" s="351"/>
      <c r="E540" s="351"/>
      <c r="F540" s="353"/>
      <c r="G540" s="351"/>
      <c r="H540" s="353"/>
    </row>
    <row r="541" spans="1:10" ht="18" hidden="1" customHeight="1">
      <c r="A541" s="351"/>
      <c r="B541" s="354" t="s">
        <v>239</v>
      </c>
      <c r="C541" s="366">
        <f>C539</f>
        <v>0</v>
      </c>
      <c r="D541" s="366">
        <f>D539</f>
        <v>374.08333333333337</v>
      </c>
      <c r="E541" s="351" t="s">
        <v>55</v>
      </c>
      <c r="F541" s="353">
        <f>VLOOKUP(B541,'Price '!B:D,3,FALSE)</f>
        <v>0</v>
      </c>
      <c r="G541" s="351" t="str">
        <f>E541</f>
        <v>Sqft</v>
      </c>
      <c r="H541" s="353">
        <f>D541*F541</f>
        <v>0</v>
      </c>
    </row>
    <row r="542" spans="1:10" ht="18" hidden="1" customHeight="1">
      <c r="A542" s="351"/>
      <c r="B542" s="354" t="s">
        <v>183</v>
      </c>
      <c r="C542" s="366">
        <f>'Details of Measurement'!D1882+'Details of Measurement'!D1886+'Details of Measurement'!D1891</f>
        <v>0</v>
      </c>
      <c r="D542" s="366">
        <f>'Details of Measurement'!E1882+'Details of Measurement'!E1886+'Details of Measurement'!E1891</f>
        <v>15</v>
      </c>
      <c r="E542" s="351" t="s">
        <v>10</v>
      </c>
      <c r="F542" s="353">
        <f>VLOOKUP(B542,'Price '!B:D,3,FALSE)</f>
        <v>0</v>
      </c>
      <c r="G542" s="351" t="s">
        <v>10</v>
      </c>
      <c r="H542" s="353">
        <f>D542*F542</f>
        <v>0</v>
      </c>
    </row>
    <row r="543" spans="1:10" ht="18" hidden="1" customHeight="1">
      <c r="A543" s="351"/>
      <c r="B543" s="354" t="s">
        <v>47</v>
      </c>
      <c r="C543" s="366">
        <f>C542*3</f>
        <v>0</v>
      </c>
      <c r="D543" s="366">
        <f>D542*3</f>
        <v>45</v>
      </c>
      <c r="E543" s="351" t="s">
        <v>10</v>
      </c>
      <c r="F543" s="353">
        <f>VLOOKUP(B543,'Price '!B:D,3,FALSE)</f>
        <v>0</v>
      </c>
      <c r="G543" s="351" t="str">
        <f t="shared" ref="G543:G546" si="222">E543</f>
        <v>Nos</v>
      </c>
      <c r="H543" s="353">
        <f>D543*F543</f>
        <v>0</v>
      </c>
    </row>
    <row r="544" spans="1:10" ht="18" hidden="1" customHeight="1">
      <c r="A544" s="351"/>
      <c r="B544" s="354" t="s">
        <v>71</v>
      </c>
      <c r="C544" s="366">
        <f>C542</f>
        <v>0</v>
      </c>
      <c r="D544" s="366">
        <f>D542</f>
        <v>15</v>
      </c>
      <c r="E544" s="351" t="s">
        <v>10</v>
      </c>
      <c r="F544" s="353">
        <f>VLOOKUP(B544,'Price '!B:D,3,FALSE)</f>
        <v>0</v>
      </c>
      <c r="G544" s="351" t="str">
        <f t="shared" si="222"/>
        <v>Nos</v>
      </c>
      <c r="H544" s="353">
        <f t="shared" ref="H544:H546" si="223">D544*F544</f>
        <v>0</v>
      </c>
    </row>
    <row r="545" spans="1:11" ht="18" hidden="1" customHeight="1">
      <c r="A545" s="351"/>
      <c r="B545" s="354" t="s">
        <v>126</v>
      </c>
      <c r="C545" s="366">
        <f>C542</f>
        <v>0</v>
      </c>
      <c r="D545" s="366">
        <f>D542</f>
        <v>15</v>
      </c>
      <c r="E545" s="351" t="s">
        <v>10</v>
      </c>
      <c r="F545" s="353">
        <f>VLOOKUP(B545,'Price '!B:D,3,FALSE)</f>
        <v>0</v>
      </c>
      <c r="G545" s="351" t="str">
        <f t="shared" si="222"/>
        <v>Nos</v>
      </c>
      <c r="H545" s="353">
        <f t="shared" si="223"/>
        <v>0</v>
      </c>
    </row>
    <row r="546" spans="1:11" ht="18" hidden="1" customHeight="1">
      <c r="A546" s="351"/>
      <c r="B546" s="354" t="s">
        <v>101</v>
      </c>
      <c r="C546" s="366">
        <f>0.5*C538/22.75</f>
        <v>0</v>
      </c>
      <c r="D546" s="366">
        <f>0.5*D538/22.75</f>
        <v>0</v>
      </c>
      <c r="E546" s="351" t="s">
        <v>25</v>
      </c>
      <c r="F546" s="353">
        <f>VLOOKUP(B546,'Price '!B:D,3,FALSE)</f>
        <v>0</v>
      </c>
      <c r="G546" s="351" t="str">
        <f t="shared" si="222"/>
        <v>Lbs</v>
      </c>
      <c r="H546" s="353">
        <f t="shared" si="223"/>
        <v>0</v>
      </c>
    </row>
    <row r="547" spans="1:11" s="350" customFormat="1" ht="43.5" hidden="1" customHeight="1">
      <c r="A547" s="351"/>
      <c r="B547" s="354"/>
      <c r="C547" s="366"/>
      <c r="D547" s="366"/>
      <c r="E547" s="351"/>
      <c r="F547" s="353"/>
      <c r="G547" s="351" t="s">
        <v>622</v>
      </c>
      <c r="H547" s="376">
        <f>SUM(H541:H546)</f>
        <v>0</v>
      </c>
      <c r="I547" s="344"/>
    </row>
    <row r="548" spans="1:11" ht="18" hidden="1" customHeight="1">
      <c r="A548" s="351"/>
      <c r="B548" s="352" t="s">
        <v>28</v>
      </c>
      <c r="C548" s="351"/>
      <c r="D548" s="351"/>
      <c r="E548" s="351"/>
      <c r="F548" s="353"/>
      <c r="G548" s="351"/>
      <c r="H548" s="353"/>
      <c r="I548" s="350"/>
    </row>
    <row r="549" spans="1:11" ht="18" hidden="1" customHeight="1">
      <c r="A549" s="351"/>
      <c r="B549" s="354" t="s">
        <v>64</v>
      </c>
      <c r="C549" s="366">
        <f>0.5*C538/21</f>
        <v>0</v>
      </c>
      <c r="D549" s="366">
        <f>0.5*D538/21</f>
        <v>0</v>
      </c>
      <c r="E549" s="351" t="s">
        <v>10</v>
      </c>
      <c r="F549" s="353">
        <f>VLOOKUP(B549,'Price '!B:D,3,FALSE)</f>
        <v>27500</v>
      </c>
      <c r="G549" s="351" t="s">
        <v>10</v>
      </c>
      <c r="H549" s="353">
        <f>D549*F549</f>
        <v>0</v>
      </c>
      <c r="J549" s="355"/>
    </row>
    <row r="550" spans="1:11" ht="18" hidden="1" customHeight="1">
      <c r="A550" s="351"/>
      <c r="B550" s="354"/>
      <c r="C550" s="366"/>
      <c r="D550" s="366"/>
      <c r="E550" s="351"/>
      <c r="F550" s="353"/>
      <c r="G550" s="351" t="s">
        <v>623</v>
      </c>
      <c r="H550" s="376">
        <f>SUM(H549)</f>
        <v>0</v>
      </c>
      <c r="J550" s="355"/>
    </row>
    <row r="551" spans="1:11" ht="18" hidden="1" customHeight="1">
      <c r="A551" s="351"/>
      <c r="B551" s="356"/>
      <c r="C551" s="351"/>
      <c r="D551" s="351"/>
      <c r="E551" s="351"/>
      <c r="F551" s="353"/>
      <c r="G551" s="351" t="s">
        <v>85</v>
      </c>
      <c r="H551" s="357">
        <f>H547+H550</f>
        <v>0</v>
      </c>
      <c r="J551" s="355"/>
    </row>
    <row r="552" spans="1:11" ht="18" hidden="1" customHeight="1">
      <c r="A552" s="358"/>
      <c r="B552" s="359"/>
      <c r="C552" s="358"/>
      <c r="D552" s="358"/>
      <c r="E552" s="358"/>
      <c r="F552" s="360"/>
      <c r="G552" s="358"/>
      <c r="H552" s="360"/>
      <c r="J552" s="355"/>
    </row>
    <row r="553" spans="1:11" ht="18" hidden="1" customHeight="1">
      <c r="A553" s="362">
        <v>22</v>
      </c>
      <c r="B553" s="346" t="str">
        <f>VLOOKUP(A553,'Details of Measurement'!$A:$O,2,FALSE)</f>
        <v>Making  &amp;  Fixing  Aluminium &amp; Glass  Doors and Windows</v>
      </c>
      <c r="C553" s="364">
        <f>VLOOKUP(A553,'Details of Measurement'!A:M,13,FALSE)</f>
        <v>0</v>
      </c>
      <c r="D553" s="364">
        <f>VLOOKUP(B553,'Details of Measurement'!B:N,13,FALSE)</f>
        <v>0</v>
      </c>
      <c r="E553" s="345" t="str">
        <f>VLOOKUP(B553,'Details of Measurement'!$B$6:$O$2333,14,FALSE)</f>
        <v>Sft</v>
      </c>
      <c r="F553" s="365"/>
      <c r="G553" s="362"/>
      <c r="H553" s="365">
        <f>H560</f>
        <v>0</v>
      </c>
      <c r="J553" s="355"/>
    </row>
    <row r="554" spans="1:11" ht="18" hidden="1" customHeight="1">
      <c r="A554" s="351"/>
      <c r="B554" s="352" t="s">
        <v>29</v>
      </c>
      <c r="C554" s="351"/>
      <c r="D554" s="351"/>
      <c r="E554" s="351"/>
      <c r="F554" s="353"/>
      <c r="G554" s="351"/>
      <c r="H554" s="353"/>
      <c r="K554" s="355"/>
    </row>
    <row r="555" spans="1:11" ht="18" hidden="1" customHeight="1">
      <c r="A555" s="351"/>
      <c r="B555" s="379" t="s">
        <v>552</v>
      </c>
      <c r="C555" s="366">
        <f>C553</f>
        <v>0</v>
      </c>
      <c r="D555" s="366">
        <f>D553</f>
        <v>0</v>
      </c>
      <c r="E555" s="351" t="s">
        <v>19</v>
      </c>
      <c r="F555" s="353">
        <f>VLOOKUP(B555,'Price '!B:D,3,FALSE)</f>
        <v>0</v>
      </c>
      <c r="G555" s="351" t="str">
        <f>E555</f>
        <v>Sft</v>
      </c>
      <c r="H555" s="353">
        <f>D555*F555</f>
        <v>0</v>
      </c>
    </row>
    <row r="556" spans="1:11" ht="18" hidden="1" customHeight="1">
      <c r="A556" s="351"/>
      <c r="B556" s="354"/>
      <c r="C556" s="366"/>
      <c r="D556" s="366"/>
      <c r="E556" s="351"/>
      <c r="F556" s="353"/>
      <c r="G556" s="351" t="s">
        <v>622</v>
      </c>
      <c r="H556" s="376">
        <f>SUM(H555)</f>
        <v>0</v>
      </c>
    </row>
    <row r="557" spans="1:11" ht="18" hidden="1" customHeight="1">
      <c r="A557" s="351"/>
      <c r="B557" s="352" t="s">
        <v>28</v>
      </c>
      <c r="C557" s="351"/>
      <c r="D557" s="351"/>
      <c r="E557" s="351"/>
      <c r="F557" s="353"/>
      <c r="G557" s="351"/>
      <c r="H557" s="353"/>
      <c r="I557" s="355"/>
    </row>
    <row r="558" spans="1:11" ht="18" hidden="1" customHeight="1">
      <c r="A558" s="351"/>
      <c r="B558" s="354" t="s">
        <v>64</v>
      </c>
      <c r="C558" s="366">
        <f>C553*2/21</f>
        <v>0</v>
      </c>
      <c r="D558" s="366">
        <f>D553*2/21</f>
        <v>0</v>
      </c>
      <c r="E558" s="351" t="s">
        <v>10</v>
      </c>
      <c r="F558" s="353">
        <f>VLOOKUP(B558,'Price '!B:D,3,FALSE)</f>
        <v>27500</v>
      </c>
      <c r="G558" s="351" t="s">
        <v>10</v>
      </c>
      <c r="H558" s="353">
        <f>D558*F558</f>
        <v>0</v>
      </c>
      <c r="I558" s="355"/>
    </row>
    <row r="559" spans="1:11" ht="18" hidden="1" customHeight="1">
      <c r="A559" s="351"/>
      <c r="B559" s="354"/>
      <c r="C559" s="366"/>
      <c r="D559" s="366"/>
      <c r="E559" s="351"/>
      <c r="F559" s="353"/>
      <c r="G559" s="351" t="s">
        <v>623</v>
      </c>
      <c r="H559" s="376">
        <f>SUM(H558)</f>
        <v>0</v>
      </c>
    </row>
    <row r="560" spans="1:11" ht="18" hidden="1" customHeight="1">
      <c r="A560" s="351"/>
      <c r="B560" s="356"/>
      <c r="C560" s="351"/>
      <c r="D560" s="351"/>
      <c r="E560" s="351"/>
      <c r="F560" s="353"/>
      <c r="G560" s="351" t="s">
        <v>85</v>
      </c>
      <c r="H560" s="357">
        <f>H556+H559</f>
        <v>0</v>
      </c>
    </row>
    <row r="561" spans="1:11" s="350" customFormat="1" ht="18" hidden="1" customHeight="1">
      <c r="A561" s="358"/>
      <c r="B561" s="408"/>
      <c r="C561" s="358"/>
      <c r="D561" s="358"/>
      <c r="E561" s="358"/>
      <c r="F561" s="360"/>
      <c r="G561" s="358"/>
      <c r="H561" s="360"/>
      <c r="I561" s="344"/>
    </row>
    <row r="562" spans="1:11" ht="18" hidden="1" customHeight="1">
      <c r="A562" s="362">
        <v>23</v>
      </c>
      <c r="B562" s="409" t="str">
        <f>VLOOKUP(A562,'Details of Measurement'!$A:$O,2,FALSE)</f>
        <v xml:space="preserve"> Plastic  Emulsion Three Coats &amp; Surface Preparation Before Painting With Putty  </v>
      </c>
      <c r="C562" s="364">
        <f>VLOOKUP(A562,'Details of Measurement'!A:M,13,FALSE)</f>
        <v>0</v>
      </c>
      <c r="D562" s="364">
        <f>VLOOKUP(B562,'Details of Measurement'!B:N,13,FALSE)</f>
        <v>0</v>
      </c>
      <c r="E562" s="362" t="str">
        <f>VLOOKUP(B562,'Details of Measurement'!$B$6:$O$2333,14,FALSE)</f>
        <v>Sft</v>
      </c>
      <c r="F562" s="365"/>
      <c r="G562" s="362"/>
      <c r="H562" s="365">
        <f>H574</f>
        <v>0</v>
      </c>
      <c r="I562" s="350"/>
    </row>
    <row r="563" spans="1:11" ht="18" hidden="1" customHeight="1">
      <c r="A563" s="351"/>
      <c r="B563" s="352" t="s">
        <v>29</v>
      </c>
      <c r="C563" s="351"/>
      <c r="D563" s="351"/>
      <c r="E563" s="351"/>
      <c r="F563" s="353"/>
      <c r="G563" s="351"/>
      <c r="H563" s="353"/>
      <c r="J563" s="355"/>
    </row>
    <row r="564" spans="1:11" ht="18" hidden="1" customHeight="1">
      <c r="A564" s="351"/>
      <c r="B564" s="379" t="s">
        <v>99</v>
      </c>
      <c r="C564" s="366">
        <f>C562*0.75/100</f>
        <v>0</v>
      </c>
      <c r="D564" s="366">
        <f>D562*0.75/100</f>
        <v>0</v>
      </c>
      <c r="E564" s="351" t="s">
        <v>35</v>
      </c>
      <c r="F564" s="353">
        <f>VLOOKUP(B564,'Price '!B:D,3,FALSE)</f>
        <v>0</v>
      </c>
      <c r="G564" s="351" t="s">
        <v>10</v>
      </c>
      <c r="H564" s="353">
        <f t="shared" ref="H564:H568" si="224">D564*F564</f>
        <v>0</v>
      </c>
      <c r="J564" s="355"/>
    </row>
    <row r="565" spans="1:11" ht="18" hidden="1" customHeight="1">
      <c r="A565" s="351"/>
      <c r="B565" s="354" t="s">
        <v>49</v>
      </c>
      <c r="C565" s="366">
        <f>C562*0.25/100</f>
        <v>0</v>
      </c>
      <c r="D565" s="366">
        <f>D562*0.25/100</f>
        <v>0</v>
      </c>
      <c r="E565" s="351" t="s">
        <v>10</v>
      </c>
      <c r="F565" s="353">
        <f>VLOOKUP(B565,'Price '!B:D,3,FALSE)</f>
        <v>0</v>
      </c>
      <c r="G565" s="351" t="s">
        <v>10</v>
      </c>
      <c r="H565" s="353">
        <f t="shared" si="224"/>
        <v>0</v>
      </c>
      <c r="J565" s="355"/>
    </row>
    <row r="566" spans="1:11" ht="18" hidden="1" customHeight="1">
      <c r="A566" s="351"/>
      <c r="B566" s="354" t="s">
        <v>41</v>
      </c>
      <c r="C566" s="366">
        <f>C562*0.5/100</f>
        <v>0</v>
      </c>
      <c r="D566" s="366">
        <f>D562*0.5/100</f>
        <v>0</v>
      </c>
      <c r="E566" s="351" t="s">
        <v>35</v>
      </c>
      <c r="F566" s="353">
        <f>VLOOKUP(B566,'Price '!B:D,3,FALSE)</f>
        <v>0</v>
      </c>
      <c r="G566" s="351" t="s">
        <v>35</v>
      </c>
      <c r="H566" s="353">
        <f t="shared" si="224"/>
        <v>0</v>
      </c>
      <c r="J566" s="355"/>
    </row>
    <row r="567" spans="1:11" ht="18" hidden="1" customHeight="1">
      <c r="A567" s="351"/>
      <c r="B567" s="354" t="s">
        <v>50</v>
      </c>
      <c r="C567" s="366">
        <f>C562*0.5/100</f>
        <v>0</v>
      </c>
      <c r="D567" s="366">
        <f>D562*0.5/100</f>
        <v>0</v>
      </c>
      <c r="E567" s="351" t="s">
        <v>34</v>
      </c>
      <c r="F567" s="353">
        <f>VLOOKUP(B567,'Price '!B:D,3,FALSE)</f>
        <v>0</v>
      </c>
      <c r="G567" s="351" t="s">
        <v>34</v>
      </c>
      <c r="H567" s="353">
        <f t="shared" si="224"/>
        <v>0</v>
      </c>
      <c r="J567" s="355"/>
    </row>
    <row r="568" spans="1:11" ht="18" hidden="1" customHeight="1">
      <c r="A568" s="351"/>
      <c r="B568" s="354" t="s">
        <v>118</v>
      </c>
      <c r="C568" s="366">
        <f>C562*0.1/100</f>
        <v>0</v>
      </c>
      <c r="D568" s="366">
        <f>D562*0.1/100</f>
        <v>0</v>
      </c>
      <c r="E568" s="351" t="s">
        <v>10</v>
      </c>
      <c r="F568" s="353">
        <f>VLOOKUP(B568,'Price '!B:D,3,FALSE)</f>
        <v>0</v>
      </c>
      <c r="G568" s="351" t="s">
        <v>10</v>
      </c>
      <c r="H568" s="353">
        <f t="shared" si="224"/>
        <v>0</v>
      </c>
      <c r="J568" s="391"/>
    </row>
    <row r="569" spans="1:11" ht="18" hidden="1" customHeight="1">
      <c r="A569" s="351"/>
      <c r="B569" s="354"/>
      <c r="C569" s="366"/>
      <c r="D569" s="366"/>
      <c r="E569" s="351"/>
      <c r="F569" s="353"/>
      <c r="G569" s="351" t="s">
        <v>622</v>
      </c>
      <c r="H569" s="376">
        <f>SUM(H564:H568)</f>
        <v>0</v>
      </c>
      <c r="K569" s="355"/>
    </row>
    <row r="570" spans="1:11" ht="18" hidden="1" customHeight="1">
      <c r="A570" s="351"/>
      <c r="B570" s="352" t="s">
        <v>28</v>
      </c>
      <c r="C570" s="351"/>
      <c r="D570" s="351"/>
      <c r="E570" s="351"/>
      <c r="F570" s="353"/>
      <c r="G570" s="351"/>
      <c r="H570" s="353"/>
    </row>
    <row r="571" spans="1:11" ht="18" hidden="1" customHeight="1">
      <c r="A571" s="351"/>
      <c r="B571" s="354" t="s">
        <v>72</v>
      </c>
      <c r="C571" s="366">
        <f>C562*2/100</f>
        <v>0</v>
      </c>
      <c r="D571" s="366">
        <f>D562*2/100</f>
        <v>0</v>
      </c>
      <c r="E571" s="351" t="s">
        <v>10</v>
      </c>
      <c r="F571" s="353">
        <f>VLOOKUP(B571,'Price '!B:D,3,FALSE)</f>
        <v>27500</v>
      </c>
      <c r="G571" s="351" t="s">
        <v>10</v>
      </c>
      <c r="H571" s="353">
        <f t="shared" ref="H571:H572" si="225">D571*F571</f>
        <v>0</v>
      </c>
    </row>
    <row r="572" spans="1:11" ht="18" hidden="1" customHeight="1">
      <c r="A572" s="351"/>
      <c r="B572" s="354" t="s">
        <v>37</v>
      </c>
      <c r="C572" s="366">
        <f>C562*1/100</f>
        <v>0</v>
      </c>
      <c r="D572" s="366">
        <f>D562*1/100</f>
        <v>0</v>
      </c>
      <c r="E572" s="351" t="s">
        <v>10</v>
      </c>
      <c r="F572" s="353">
        <f>VLOOKUP(B572,'Price '!B:D,3,FALSE)</f>
        <v>19800</v>
      </c>
      <c r="G572" s="351" t="s">
        <v>10</v>
      </c>
      <c r="H572" s="353">
        <f t="shared" si="225"/>
        <v>0</v>
      </c>
      <c r="I572" s="355"/>
    </row>
    <row r="573" spans="1:11" ht="18" hidden="1" customHeight="1">
      <c r="A573" s="351"/>
      <c r="B573" s="354"/>
      <c r="C573" s="366"/>
      <c r="D573" s="366"/>
      <c r="E573" s="351"/>
      <c r="F573" s="353"/>
      <c r="G573" s="351" t="s">
        <v>623</v>
      </c>
      <c r="H573" s="376">
        <f>SUM(H571:H572)</f>
        <v>0</v>
      </c>
      <c r="I573" s="355"/>
    </row>
    <row r="574" spans="1:11" ht="18" hidden="1" customHeight="1">
      <c r="A574" s="351"/>
      <c r="B574" s="356"/>
      <c r="C574" s="351"/>
      <c r="D574" s="351"/>
      <c r="E574" s="351"/>
      <c r="F574" s="353"/>
      <c r="G574" s="351" t="s">
        <v>85</v>
      </c>
      <c r="H574" s="357">
        <f>H569+H573</f>
        <v>0</v>
      </c>
    </row>
    <row r="575" spans="1:11" ht="18" hidden="1" customHeight="1">
      <c r="A575" s="358"/>
      <c r="B575" s="408"/>
      <c r="C575" s="358"/>
      <c r="D575" s="358"/>
      <c r="E575" s="358"/>
      <c r="F575" s="360"/>
      <c r="G575" s="358"/>
      <c r="H575" s="360"/>
    </row>
    <row r="576" spans="1:11" s="350" customFormat="1" ht="18" hidden="1" customHeight="1">
      <c r="A576" s="389">
        <v>24</v>
      </c>
      <c r="B576" s="346" t="str">
        <f>VLOOKUP(A576,'Details of Measurement'!$A:$O,2,FALSE)</f>
        <v xml:space="preserve">Enemal Painting Three Coats With Ready Mixed Oil Paint  </v>
      </c>
      <c r="C576" s="364">
        <f>VLOOKUP(A576,'Details of Measurement'!A:M,13,FALSE)</f>
        <v>0</v>
      </c>
      <c r="D576" s="364">
        <f>VLOOKUP(B576,'Details of Measurement'!B:N,13,FALSE)</f>
        <v>0</v>
      </c>
      <c r="E576" s="345" t="str">
        <f>VLOOKUP(B576,'Details of Measurement'!$B$6:$O$2333,14,FALSE)</f>
        <v>Sft</v>
      </c>
      <c r="F576" s="357"/>
      <c r="G576" s="389"/>
      <c r="H576" s="357">
        <f>H589</f>
        <v>0</v>
      </c>
      <c r="I576" s="344"/>
      <c r="J576" s="413"/>
    </row>
    <row r="577" spans="1:15" ht="18" hidden="1" customHeight="1">
      <c r="A577" s="351"/>
      <c r="B577" s="352" t="s">
        <v>29</v>
      </c>
      <c r="C577" s="351"/>
      <c r="D577" s="351"/>
      <c r="E577" s="351"/>
      <c r="F577" s="353"/>
      <c r="G577" s="351"/>
      <c r="H577" s="353"/>
      <c r="I577" s="350"/>
    </row>
    <row r="578" spans="1:15" ht="18" hidden="1" customHeight="1">
      <c r="A578" s="410"/>
      <c r="B578" s="354" t="s">
        <v>100</v>
      </c>
      <c r="C578" s="366">
        <f>C576*0.75/100</f>
        <v>0</v>
      </c>
      <c r="D578" s="366">
        <f>D576*0.75/100</f>
        <v>0</v>
      </c>
      <c r="E578" s="351" t="s">
        <v>35</v>
      </c>
      <c r="F578" s="353">
        <f>VLOOKUP(B578,'Price '!B:D,3,FALSE)</f>
        <v>0</v>
      </c>
      <c r="G578" s="351" t="s">
        <v>35</v>
      </c>
      <c r="H578" s="353">
        <f>D578*F578</f>
        <v>0</v>
      </c>
    </row>
    <row r="579" spans="1:15" ht="18" hidden="1" customHeight="1">
      <c r="A579" s="410"/>
      <c r="B579" s="354" t="s">
        <v>62</v>
      </c>
      <c r="C579" s="366">
        <f>C576*0.75/100</f>
        <v>0</v>
      </c>
      <c r="D579" s="366">
        <f>D576*0.75/100</f>
        <v>0</v>
      </c>
      <c r="E579" s="351" t="s">
        <v>35</v>
      </c>
      <c r="F579" s="353">
        <f>VLOOKUP(B579,'Price '!B:D,3,FALSE)</f>
        <v>0</v>
      </c>
      <c r="G579" s="351" t="s">
        <v>35</v>
      </c>
      <c r="H579" s="353">
        <f t="shared" ref="H579:H583" si="226">D579*F579</f>
        <v>0</v>
      </c>
      <c r="J579" s="355"/>
    </row>
    <row r="580" spans="1:15" ht="18" hidden="1" customHeight="1">
      <c r="A580" s="410"/>
      <c r="B580" s="354" t="s">
        <v>61</v>
      </c>
      <c r="C580" s="366">
        <f>C576*0.5/100</f>
        <v>0</v>
      </c>
      <c r="D580" s="366">
        <f>D576*0.5/100</f>
        <v>0</v>
      </c>
      <c r="E580" s="351" t="s">
        <v>35</v>
      </c>
      <c r="F580" s="353">
        <f>VLOOKUP(B580,'Price '!B:D,3,FALSE)</f>
        <v>0</v>
      </c>
      <c r="G580" s="351" t="s">
        <v>35</v>
      </c>
      <c r="H580" s="353">
        <f t="shared" si="226"/>
        <v>0</v>
      </c>
      <c r="J580" s="355"/>
    </row>
    <row r="581" spans="1:15" ht="18" hidden="1" customHeight="1">
      <c r="A581" s="410"/>
      <c r="B581" s="354" t="s">
        <v>51</v>
      </c>
      <c r="C581" s="366">
        <f>C576*0.2/100</f>
        <v>0</v>
      </c>
      <c r="D581" s="366">
        <f>D576*0.2/100</f>
        <v>0</v>
      </c>
      <c r="E581" s="351" t="s">
        <v>10</v>
      </c>
      <c r="F581" s="353">
        <f>VLOOKUP(B581,'Price '!B:D,3,FALSE)</f>
        <v>0</v>
      </c>
      <c r="G581" s="351" t="s">
        <v>35</v>
      </c>
      <c r="H581" s="353">
        <f t="shared" si="226"/>
        <v>0</v>
      </c>
      <c r="J581" s="355"/>
    </row>
    <row r="582" spans="1:15" ht="18" hidden="1" customHeight="1">
      <c r="A582" s="410"/>
      <c r="B582" s="354" t="s">
        <v>121</v>
      </c>
      <c r="C582" s="366">
        <f>C576*0.2/100</f>
        <v>0</v>
      </c>
      <c r="D582" s="366">
        <f>D576*0.2/100</f>
        <v>0</v>
      </c>
      <c r="E582" s="351" t="s">
        <v>10</v>
      </c>
      <c r="F582" s="353">
        <f>VLOOKUP(B582,'Price '!B:D,3,FALSE)</f>
        <v>0</v>
      </c>
      <c r="G582" s="351" t="s">
        <v>10</v>
      </c>
      <c r="H582" s="353">
        <f t="shared" si="226"/>
        <v>0</v>
      </c>
      <c r="J582" s="355"/>
      <c r="O582" s="417"/>
    </row>
    <row r="583" spans="1:15" ht="18" hidden="1" customHeight="1">
      <c r="A583" s="410"/>
      <c r="B583" s="354" t="s">
        <v>50</v>
      </c>
      <c r="C583" s="366">
        <f>C576*0.2/100</f>
        <v>0</v>
      </c>
      <c r="D583" s="366">
        <f>D576*0.2/100</f>
        <v>0</v>
      </c>
      <c r="E583" s="351" t="s">
        <v>34</v>
      </c>
      <c r="F583" s="353">
        <f>VLOOKUP(B583,'Price '!B:D,3,FALSE)</f>
        <v>0</v>
      </c>
      <c r="G583" s="351" t="s">
        <v>34</v>
      </c>
      <c r="H583" s="353">
        <f t="shared" si="226"/>
        <v>0</v>
      </c>
      <c r="J583" s="355"/>
    </row>
    <row r="584" spans="1:15" ht="18" hidden="1" customHeight="1">
      <c r="A584" s="410"/>
      <c r="B584" s="411"/>
      <c r="C584" s="410"/>
      <c r="D584" s="410"/>
      <c r="E584" s="410"/>
      <c r="F584" s="412"/>
      <c r="G584" s="351" t="s">
        <v>622</v>
      </c>
      <c r="H584" s="376">
        <f>SUM(H578:H583)</f>
        <v>0</v>
      </c>
      <c r="K584" s="355"/>
    </row>
    <row r="585" spans="1:15" ht="18" hidden="1" customHeight="1">
      <c r="A585" s="351"/>
      <c r="B585" s="352" t="s">
        <v>28</v>
      </c>
      <c r="C585" s="351"/>
      <c r="D585" s="351"/>
      <c r="E585" s="351"/>
      <c r="F585" s="353"/>
      <c r="G585" s="351"/>
      <c r="H585" s="353"/>
    </row>
    <row r="586" spans="1:15" ht="18" hidden="1" customHeight="1">
      <c r="A586" s="410"/>
      <c r="B586" s="354" t="s">
        <v>72</v>
      </c>
      <c r="C586" s="366">
        <f>C576*1.25/100</f>
        <v>0</v>
      </c>
      <c r="D586" s="366">
        <f>D576*1.25/100</f>
        <v>0</v>
      </c>
      <c r="E586" s="351" t="s">
        <v>10</v>
      </c>
      <c r="F586" s="353">
        <f>VLOOKUP(B586,'Price '!B:D,3,FALSE)</f>
        <v>27500</v>
      </c>
      <c r="G586" s="351" t="s">
        <v>10</v>
      </c>
      <c r="H586" s="353">
        <f t="shared" ref="H586:H587" si="227">D586*F586</f>
        <v>0</v>
      </c>
    </row>
    <row r="587" spans="1:15" ht="18" hidden="1" customHeight="1">
      <c r="A587" s="410"/>
      <c r="B587" s="354" t="s">
        <v>37</v>
      </c>
      <c r="C587" s="366">
        <f>C576*1/100</f>
        <v>0</v>
      </c>
      <c r="D587" s="366">
        <f>D576*1/100</f>
        <v>0</v>
      </c>
      <c r="E587" s="351" t="s">
        <v>10</v>
      </c>
      <c r="F587" s="353">
        <f>VLOOKUP(B587,'Price '!B:D,3,FALSE)</f>
        <v>19800</v>
      </c>
      <c r="G587" s="351" t="s">
        <v>10</v>
      </c>
      <c r="H587" s="353">
        <f t="shared" si="227"/>
        <v>0</v>
      </c>
      <c r="I587" s="355"/>
    </row>
    <row r="588" spans="1:15" ht="18" hidden="1" customHeight="1">
      <c r="A588" s="351"/>
      <c r="B588" s="354"/>
      <c r="C588" s="366"/>
      <c r="D588" s="366"/>
      <c r="E588" s="351"/>
      <c r="F588" s="353"/>
      <c r="G588" s="351" t="s">
        <v>623</v>
      </c>
      <c r="H588" s="376">
        <f>SUM(H586:H587)</f>
        <v>0</v>
      </c>
      <c r="I588" s="355"/>
    </row>
    <row r="589" spans="1:15" ht="18" hidden="1" customHeight="1">
      <c r="A589" s="351"/>
      <c r="B589" s="356"/>
      <c r="C589" s="351"/>
      <c r="D589" s="351"/>
      <c r="E589" s="351"/>
      <c r="F589" s="353"/>
      <c r="G589" s="351" t="s">
        <v>85</v>
      </c>
      <c r="H589" s="357">
        <f>H584+H588</f>
        <v>0</v>
      </c>
    </row>
    <row r="590" spans="1:15" ht="18" hidden="1" customHeight="1">
      <c r="A590" s="358"/>
      <c r="B590" s="408"/>
      <c r="C590" s="358"/>
      <c r="D590" s="358"/>
      <c r="E590" s="358"/>
      <c r="F590" s="360"/>
      <c r="G590" s="358"/>
      <c r="H590" s="360"/>
    </row>
    <row r="591" spans="1:15" s="350" customFormat="1" ht="18" hidden="1" customHeight="1">
      <c r="A591" s="389">
        <v>25</v>
      </c>
      <c r="B591" s="346" t="str">
        <f>VLOOKUP(A591,'Details of Measurement'!$A:$O,2,FALSE)</f>
        <v>Tiling  Work  With  1:3  cement mortar</v>
      </c>
      <c r="C591" s="364">
        <f>VLOOKUP(A591,'Details of Measurement'!A:M,13,FALSE)</f>
        <v>0</v>
      </c>
      <c r="D591" s="364">
        <f>VLOOKUP(B591,'Details of Measurement'!B:N,13,FALSE)</f>
        <v>0</v>
      </c>
      <c r="E591" s="345" t="str">
        <f>VLOOKUP(B591,'Details of Measurement'!$B$6:$O$2333,14,FALSE)</f>
        <v>Sft</v>
      </c>
      <c r="F591" s="357"/>
      <c r="G591" s="389"/>
      <c r="H591" s="357">
        <f>H604</f>
        <v>0</v>
      </c>
      <c r="I591" s="344"/>
    </row>
    <row r="592" spans="1:15" ht="18" hidden="1" customHeight="1">
      <c r="A592" s="414"/>
      <c r="B592" s="374"/>
      <c r="C592" s="415"/>
      <c r="D592" s="415"/>
      <c r="E592" s="411"/>
      <c r="F592" s="388"/>
      <c r="G592" s="387"/>
      <c r="H592" s="390"/>
      <c r="I592" s="350"/>
    </row>
    <row r="593" spans="1:11" ht="18" hidden="1" customHeight="1">
      <c r="A593" s="351"/>
      <c r="B593" s="352" t="s">
        <v>29</v>
      </c>
      <c r="C593" s="351"/>
      <c r="D593" s="351"/>
      <c r="E593" s="351"/>
      <c r="F593" s="353"/>
      <c r="G593" s="351"/>
      <c r="H593" s="353"/>
    </row>
    <row r="594" spans="1:11" ht="18" hidden="1" customHeight="1">
      <c r="A594" s="414"/>
      <c r="B594" s="404" t="s">
        <v>127</v>
      </c>
      <c r="C594" s="416">
        <f>'Details of Measurement'!M1944/0.67/0.83*1.05</f>
        <v>1628.5290415392915</v>
      </c>
      <c r="D594" s="416">
        <f>'Details of Measurement'!N1944/0.67/0.83*1.05</f>
        <v>1444.4344542348499</v>
      </c>
      <c r="E594" s="387" t="s">
        <v>10</v>
      </c>
      <c r="F594" s="353">
        <f>VLOOKUP(B594,'Price '!B:D,3,FALSE)</f>
        <v>0</v>
      </c>
      <c r="G594" s="387" t="s">
        <v>10</v>
      </c>
      <c r="H594" s="353">
        <f t="shared" ref="H594:H598" si="228">D594*F594</f>
        <v>0</v>
      </c>
      <c r="J594" s="355"/>
    </row>
    <row r="595" spans="1:11" ht="18" hidden="1" customHeight="1">
      <c r="A595" s="414"/>
      <c r="B595" s="404" t="s">
        <v>98</v>
      </c>
      <c r="C595" s="416" t="e">
        <f>'Details of Measurement'!M1954/0.67/0.67*1.05</f>
        <v>#VALUE!</v>
      </c>
      <c r="D595" s="416">
        <f>'Details of Measurement'!N1954/0.67/0.67*1.05</f>
        <v>579.58110566570133</v>
      </c>
      <c r="E595" s="387" t="s">
        <v>10</v>
      </c>
      <c r="F595" s="353">
        <f>VLOOKUP(B595,'Price '!B:D,3,FALSE)</f>
        <v>0</v>
      </c>
      <c r="G595" s="387" t="s">
        <v>10</v>
      </c>
      <c r="H595" s="353">
        <f t="shared" si="228"/>
        <v>0</v>
      </c>
      <c r="K595" s="355"/>
    </row>
    <row r="596" spans="1:11" ht="18" hidden="1" customHeight="1">
      <c r="A596" s="414"/>
      <c r="B596" s="379" t="s">
        <v>102</v>
      </c>
      <c r="C596" s="366">
        <f>C591*180/100/112</f>
        <v>0</v>
      </c>
      <c r="D596" s="366">
        <f>D591*180/100/112</f>
        <v>0</v>
      </c>
      <c r="E596" s="387" t="s">
        <v>33</v>
      </c>
      <c r="F596" s="353">
        <f>VLOOKUP(B596,'Price '!B:D,3,FALSE)</f>
        <v>18400</v>
      </c>
      <c r="G596" s="387" t="s">
        <v>33</v>
      </c>
      <c r="H596" s="353">
        <f t="shared" si="228"/>
        <v>0</v>
      </c>
    </row>
    <row r="597" spans="1:11" ht="18" hidden="1" customHeight="1">
      <c r="A597" s="414"/>
      <c r="B597" s="374" t="s">
        <v>36</v>
      </c>
      <c r="C597" s="366">
        <f>C591*6/100/100</f>
        <v>0</v>
      </c>
      <c r="D597" s="366">
        <f>D591*6/100/100</f>
        <v>0</v>
      </c>
      <c r="E597" s="387" t="s">
        <v>80</v>
      </c>
      <c r="F597" s="353">
        <f>VLOOKUP(B597,'Price '!B:D,3,FALSE)</f>
        <v>50000</v>
      </c>
      <c r="G597" s="387" t="s">
        <v>80</v>
      </c>
      <c r="H597" s="353">
        <f t="shared" si="228"/>
        <v>0</v>
      </c>
    </row>
    <row r="598" spans="1:11" s="350" customFormat="1" ht="18" hidden="1" customHeight="1">
      <c r="A598" s="414"/>
      <c r="B598" s="374" t="s">
        <v>182</v>
      </c>
      <c r="C598" s="366">
        <f>C591*3/100</f>
        <v>0</v>
      </c>
      <c r="D598" s="366">
        <f>D591*3/100</f>
        <v>0</v>
      </c>
      <c r="E598" s="387" t="s">
        <v>25</v>
      </c>
      <c r="F598" s="353">
        <f>VLOOKUP(B598,'Price '!B:D,3,FALSE)</f>
        <v>0</v>
      </c>
      <c r="G598" s="387" t="s">
        <v>25</v>
      </c>
      <c r="H598" s="353">
        <f t="shared" si="228"/>
        <v>0</v>
      </c>
      <c r="I598" s="344"/>
    </row>
    <row r="599" spans="1:11" ht="18" hidden="1" customHeight="1">
      <c r="A599" s="414"/>
      <c r="B599" s="374"/>
      <c r="C599" s="387"/>
      <c r="D599" s="387"/>
      <c r="E599" s="351"/>
      <c r="F599" s="388"/>
      <c r="G599" s="351" t="s">
        <v>622</v>
      </c>
      <c r="H599" s="418">
        <f>SUM(H594:H598)</f>
        <v>0</v>
      </c>
      <c r="I599" s="350"/>
    </row>
    <row r="600" spans="1:11" ht="18" hidden="1" customHeight="1">
      <c r="A600" s="351"/>
      <c r="B600" s="352" t="s">
        <v>28</v>
      </c>
      <c r="C600" s="351"/>
      <c r="D600" s="351"/>
      <c r="E600" s="351"/>
      <c r="F600" s="353"/>
      <c r="G600" s="351"/>
      <c r="H600" s="353"/>
    </row>
    <row r="601" spans="1:11" ht="18" hidden="1" customHeight="1">
      <c r="A601" s="414"/>
      <c r="B601" s="377" t="s">
        <v>63</v>
      </c>
      <c r="C601" s="366">
        <f>C591*3/100</f>
        <v>0</v>
      </c>
      <c r="D601" s="366">
        <f>D591*3/100</f>
        <v>0</v>
      </c>
      <c r="E601" s="387" t="s">
        <v>8</v>
      </c>
      <c r="F601" s="353">
        <f>VLOOKUP(B601,'Price '!B:D,3,FALSE)</f>
        <v>27500</v>
      </c>
      <c r="G601" s="387" t="s">
        <v>8</v>
      </c>
      <c r="H601" s="353">
        <f t="shared" ref="H601:H602" si="229">D601*F601</f>
        <v>0</v>
      </c>
      <c r="J601" s="355"/>
    </row>
    <row r="602" spans="1:11" ht="18" hidden="1" customHeight="1">
      <c r="A602" s="351"/>
      <c r="B602" s="374" t="s">
        <v>37</v>
      </c>
      <c r="C602" s="366">
        <f>C591*2/100</f>
        <v>0</v>
      </c>
      <c r="D602" s="366">
        <f>D591*2/100</f>
        <v>0</v>
      </c>
      <c r="E602" s="387" t="s">
        <v>8</v>
      </c>
      <c r="F602" s="353">
        <f>VLOOKUP(B602,'Price '!B:D,3,FALSE)</f>
        <v>19800</v>
      </c>
      <c r="G602" s="387" t="s">
        <v>8</v>
      </c>
      <c r="H602" s="353">
        <f t="shared" si="229"/>
        <v>0</v>
      </c>
      <c r="K602" s="355"/>
    </row>
    <row r="603" spans="1:11" ht="18" hidden="1" customHeight="1">
      <c r="A603" s="351"/>
      <c r="B603" s="354"/>
      <c r="C603" s="366"/>
      <c r="D603" s="366"/>
      <c r="E603" s="351"/>
      <c r="F603" s="353"/>
      <c r="G603" s="351" t="s">
        <v>623</v>
      </c>
      <c r="H603" s="376">
        <f>SUM(H601:H602)</f>
        <v>0</v>
      </c>
    </row>
    <row r="604" spans="1:11" ht="18" hidden="1" customHeight="1">
      <c r="A604" s="351"/>
      <c r="B604" s="356"/>
      <c r="C604" s="351"/>
      <c r="D604" s="351"/>
      <c r="E604" s="351"/>
      <c r="F604" s="353"/>
      <c r="G604" s="351" t="s">
        <v>85</v>
      </c>
      <c r="H604" s="357">
        <f>H599+H603</f>
        <v>0</v>
      </c>
    </row>
    <row r="605" spans="1:11" s="350" customFormat="1" ht="18" hidden="1" customHeight="1">
      <c r="A605" s="358"/>
      <c r="B605" s="408"/>
      <c r="C605" s="358"/>
      <c r="D605" s="358"/>
      <c r="E605" s="358"/>
      <c r="F605" s="360"/>
      <c r="G605" s="358"/>
      <c r="H605" s="360"/>
      <c r="I605" s="344"/>
    </row>
    <row r="606" spans="1:11" ht="18" hidden="1" customHeight="1">
      <c r="A606" s="389">
        <v>26</v>
      </c>
      <c r="B606" s="346" t="str">
        <f>VLOOKUP(A606,'Details of Measurement'!$A:$O,2,FALSE)</f>
        <v>Stainless Steel &amp; Glass Handrail Installation</v>
      </c>
      <c r="C606" s="364">
        <f>VLOOKUP(A606,'Details of Measurement'!A:M,13,FALSE)</f>
        <v>0</v>
      </c>
      <c r="D606" s="364">
        <f>VLOOKUP(B606,'Details of Measurement'!B:N,13,FALSE)</f>
        <v>0</v>
      </c>
      <c r="E606" s="345" t="str">
        <f>VLOOKUP(B606,'Details of Measurement'!$B$6:$O$2333,14,FALSE)</f>
        <v>Sft</v>
      </c>
      <c r="F606" s="357"/>
      <c r="G606" s="389"/>
      <c r="H606" s="357">
        <f>H611</f>
        <v>0</v>
      </c>
      <c r="I606" s="350"/>
    </row>
    <row r="607" spans="1:11" ht="18" hidden="1" customHeight="1">
      <c r="A607" s="351"/>
      <c r="B607" s="354"/>
      <c r="C607" s="405"/>
      <c r="D607" s="405"/>
      <c r="E607" s="351"/>
      <c r="F607" s="353"/>
      <c r="G607" s="351"/>
      <c r="H607" s="353"/>
    </row>
    <row r="608" spans="1:11" ht="18" hidden="1" customHeight="1">
      <c r="A608" s="351"/>
      <c r="B608" s="352" t="s">
        <v>40</v>
      </c>
      <c r="C608" s="351"/>
      <c r="D608" s="351"/>
      <c r="E608" s="351"/>
      <c r="F608" s="353"/>
      <c r="G608" s="351"/>
      <c r="H608" s="353"/>
      <c r="J608" s="355"/>
    </row>
    <row r="609" spans="1:11" ht="18" hidden="1" customHeight="1">
      <c r="A609" s="351"/>
      <c r="B609" s="419" t="s">
        <v>560</v>
      </c>
      <c r="C609" s="366" t="e">
        <f>VLOOKUP(A609,'Details of Measurement'!A:M,13,FALSE)/3.5</f>
        <v>#N/A</v>
      </c>
      <c r="D609" s="366">
        <f>VLOOKUP(B609,'Details of Measurement'!B:N,13,FALSE)/3.5</f>
        <v>48</v>
      </c>
      <c r="E609" s="351" t="s">
        <v>26</v>
      </c>
      <c r="F609" s="353">
        <f>VLOOKUP(B609,'Price '!B:D,3,FALSE)</f>
        <v>0</v>
      </c>
      <c r="G609" s="351" t="s">
        <v>26</v>
      </c>
      <c r="H609" s="353">
        <f>D609*F609</f>
        <v>0</v>
      </c>
      <c r="K609" s="355"/>
    </row>
    <row r="610" spans="1:11" ht="18" hidden="1" customHeight="1">
      <c r="A610" s="351"/>
      <c r="B610" s="419"/>
      <c r="C610" s="366"/>
      <c r="D610" s="366"/>
      <c r="E610" s="351"/>
      <c r="F610" s="353"/>
      <c r="G610" s="351" t="s">
        <v>622</v>
      </c>
      <c r="H610" s="353">
        <f>SUM(H609)</f>
        <v>0</v>
      </c>
    </row>
    <row r="611" spans="1:11" ht="18" hidden="1" customHeight="1">
      <c r="A611" s="351"/>
      <c r="B611" s="356"/>
      <c r="C611" s="351"/>
      <c r="D611" s="351"/>
      <c r="E611" s="351"/>
      <c r="F611" s="353"/>
      <c r="G611" s="351" t="s">
        <v>85</v>
      </c>
      <c r="H611" s="376">
        <f>H610</f>
        <v>0</v>
      </c>
    </row>
    <row r="612" spans="1:11" s="350" customFormat="1" ht="18" hidden="1" customHeight="1">
      <c r="A612" s="358"/>
      <c r="B612" s="408"/>
      <c r="C612" s="358"/>
      <c r="D612" s="358"/>
      <c r="E612" s="358"/>
      <c r="F612" s="360"/>
      <c r="G612" s="358"/>
      <c r="H612" s="360"/>
      <c r="I612" s="344"/>
    </row>
    <row r="613" spans="1:11" ht="18" customHeight="1">
      <c r="A613" s="389">
        <v>17</v>
      </c>
      <c r="B613" s="346" t="str">
        <f>VLOOKUP(A613,'Details of Measurement'!$A:$O,2,FALSE)</f>
        <v>Scaffolding  Works  With  Bamboo ,Double Layer</v>
      </c>
      <c r="C613" s="364">
        <f>D613</f>
        <v>7380</v>
      </c>
      <c r="D613" s="364">
        <f>VLOOKUP(B613,'Details of Measurement'!B:N,13,FALSE)</f>
        <v>7380</v>
      </c>
      <c r="E613" s="345" t="str">
        <f>VLOOKUP(B613,'Details of Measurement'!$B$6:$O$2333,14,FALSE)</f>
        <v>Sft</v>
      </c>
      <c r="F613" s="357"/>
      <c r="G613" s="389"/>
      <c r="H613" s="357">
        <f>H622</f>
        <v>5507837.5000000009</v>
      </c>
    </row>
    <row r="614" spans="1:11" ht="18" customHeight="1">
      <c r="A614" s="351"/>
      <c r="B614" s="352" t="s">
        <v>29</v>
      </c>
      <c r="C614" s="351"/>
      <c r="D614" s="351"/>
      <c r="E614" s="351"/>
      <c r="F614" s="353"/>
      <c r="G614" s="351"/>
      <c r="H614" s="353"/>
      <c r="J614" s="355"/>
    </row>
    <row r="615" spans="1:11" ht="18" customHeight="1">
      <c r="A615" s="351"/>
      <c r="B615" s="354" t="s">
        <v>45</v>
      </c>
      <c r="C615" s="366">
        <f t="shared" ref="C615:C617" si="230">D615*1.1</f>
        <v>902.00000000000011</v>
      </c>
      <c r="D615" s="366">
        <f>D613*16/  144</f>
        <v>820</v>
      </c>
      <c r="E615" s="351" t="s">
        <v>10</v>
      </c>
      <c r="F615" s="353">
        <f>VLOOKUP(B615,'Price '!B:D,3,FALSE)</f>
        <v>2000</v>
      </c>
      <c r="G615" s="351" t="str">
        <f t="shared" ref="G615:G617" si="231">E615</f>
        <v>Nos</v>
      </c>
      <c r="H615" s="353">
        <f t="shared" ref="H615:H617" si="232">C615*F615</f>
        <v>1804000.0000000002</v>
      </c>
    </row>
    <row r="616" spans="1:11" ht="18" customHeight="1">
      <c r="A616" s="351"/>
      <c r="B616" s="354" t="s">
        <v>46</v>
      </c>
      <c r="C616" s="366">
        <f t="shared" si="230"/>
        <v>64.831250000000011</v>
      </c>
      <c r="D616" s="366">
        <f>D613*1.15/144</f>
        <v>58.9375</v>
      </c>
      <c r="E616" s="351" t="s">
        <v>31</v>
      </c>
      <c r="F616" s="353">
        <f>VLOOKUP(B616,'Price '!B:D,3,FALSE)</f>
        <v>15000</v>
      </c>
      <c r="G616" s="351" t="str">
        <f t="shared" si="231"/>
        <v>Viss</v>
      </c>
      <c r="H616" s="353">
        <f t="shared" si="232"/>
        <v>972468.75000000012</v>
      </c>
      <c r="I616" s="355"/>
    </row>
    <row r="617" spans="1:11" ht="18" customHeight="1">
      <c r="A617" s="351"/>
      <c r="B617" s="354" t="s">
        <v>59</v>
      </c>
      <c r="C617" s="366">
        <f t="shared" si="230"/>
        <v>64.831250000000011</v>
      </c>
      <c r="D617" s="366">
        <f>D613*1.15/144</f>
        <v>58.9375</v>
      </c>
      <c r="E617" s="351" t="s">
        <v>25</v>
      </c>
      <c r="F617" s="353">
        <f>VLOOKUP(B617,'Price '!B:D,3,FALSE)</f>
        <v>12000</v>
      </c>
      <c r="G617" s="351" t="str">
        <f t="shared" si="231"/>
        <v>Lbs</v>
      </c>
      <c r="H617" s="353">
        <f t="shared" si="232"/>
        <v>777975.00000000012</v>
      </c>
    </row>
    <row r="618" spans="1:11" ht="18" customHeight="1">
      <c r="A618" s="351"/>
      <c r="B618" s="354"/>
      <c r="C618" s="366"/>
      <c r="D618" s="366"/>
      <c r="E618" s="351"/>
      <c r="F618" s="353"/>
      <c r="G618" s="351" t="s">
        <v>622</v>
      </c>
      <c r="H618" s="376">
        <f>SUM(H615:H617)</f>
        <v>3554443.7500000005</v>
      </c>
    </row>
    <row r="619" spans="1:11" ht="18" customHeight="1">
      <c r="A619" s="351"/>
      <c r="B619" s="352" t="s">
        <v>28</v>
      </c>
      <c r="C619" s="351"/>
      <c r="D619" s="351"/>
      <c r="E619" s="351"/>
      <c r="F619" s="353"/>
      <c r="G619" s="351"/>
      <c r="H619" s="353"/>
    </row>
    <row r="620" spans="1:11" ht="18" customHeight="1">
      <c r="A620" s="351"/>
      <c r="B620" s="354" t="s">
        <v>37</v>
      </c>
      <c r="C620" s="366">
        <f t="shared" ref="C620" si="233">D620*1.1</f>
        <v>98.656250000000014</v>
      </c>
      <c r="D620" s="366">
        <f>D613*1.75/144</f>
        <v>89.6875</v>
      </c>
      <c r="E620" s="351" t="s">
        <v>10</v>
      </c>
      <c r="F620" s="353">
        <f>VLOOKUP(B620,'Price '!B:D,3,FALSE)</f>
        <v>19800</v>
      </c>
      <c r="G620" s="351" t="str">
        <f t="shared" ref="G620" si="234">E620</f>
        <v>Nos</v>
      </c>
      <c r="H620" s="353">
        <f>C620*F620</f>
        <v>1953393.7500000002</v>
      </c>
    </row>
    <row r="621" spans="1:11" ht="18" customHeight="1">
      <c r="A621" s="351"/>
      <c r="B621" s="354"/>
      <c r="C621" s="366"/>
      <c r="D621" s="366"/>
      <c r="E621" s="351"/>
      <c r="F621" s="353"/>
      <c r="G621" s="351" t="s">
        <v>623</v>
      </c>
      <c r="H621" s="376">
        <f>SUM(H620)</f>
        <v>1953393.7500000002</v>
      </c>
    </row>
    <row r="622" spans="1:11" ht="18" customHeight="1">
      <c r="A622" s="351"/>
      <c r="B622" s="356"/>
      <c r="C622" s="351"/>
      <c r="D622" s="351"/>
      <c r="E622" s="351"/>
      <c r="F622" s="353"/>
      <c r="G622" s="351" t="s">
        <v>85</v>
      </c>
      <c r="H622" s="357">
        <f>H618+H621</f>
        <v>5507837.5000000009</v>
      </c>
    </row>
    <row r="623" spans="1:11" ht="18" customHeight="1">
      <c r="A623" s="358"/>
      <c r="B623" s="359"/>
      <c r="C623" s="358"/>
      <c r="D623" s="358"/>
      <c r="E623" s="358"/>
      <c r="F623" s="360"/>
      <c r="G623" s="358"/>
      <c r="H623" s="361"/>
    </row>
    <row r="624" spans="1:11" ht="18" customHeight="1">
      <c r="A624" s="345">
        <v>18</v>
      </c>
      <c r="B624" s="346" t="str">
        <f>VLOOKUP(A624,'Details of Measurement'!$A:$O,2,FALSE)</f>
        <v>False  Work</v>
      </c>
      <c r="C624" s="347">
        <f>D624*1.1</f>
        <v>495.00000000000006</v>
      </c>
      <c r="D624" s="347">
        <f>VLOOKUP(B624,'Details of Measurement'!B:N,13,FALSE)</f>
        <v>450</v>
      </c>
      <c r="E624" s="345" t="str">
        <f>VLOOKUP(B624,'Details of Measurement'!$B$6:$O$2333,14,FALSE)</f>
        <v>Nos.</v>
      </c>
      <c r="F624" s="1017"/>
      <c r="G624" s="345"/>
      <c r="H624" s="1017">
        <f>H629</f>
        <v>4436666.666666667</v>
      </c>
    </row>
    <row r="625" spans="1:11" ht="18" customHeight="1">
      <c r="A625" s="351"/>
      <c r="B625" s="352" t="s">
        <v>29</v>
      </c>
      <c r="C625" s="351"/>
      <c r="D625" s="351"/>
      <c r="E625" s="351"/>
      <c r="F625" s="353"/>
      <c r="G625" s="351"/>
      <c r="H625" s="353"/>
      <c r="J625" s="355"/>
    </row>
    <row r="626" spans="1:11" ht="18" customHeight="1">
      <c r="A626" s="351"/>
      <c r="B626" s="354" t="s">
        <v>763</v>
      </c>
      <c r="C626" s="366">
        <f t="shared" ref="C626:C627" si="235">D626*1.1</f>
        <v>495.00000000000006</v>
      </c>
      <c r="D626" s="366">
        <f>D624</f>
        <v>450</v>
      </c>
      <c r="E626" s="351" t="s">
        <v>720</v>
      </c>
      <c r="F626" s="353">
        <f>VLOOKUP(B626,'Price '!B:D,3,FALSE)</f>
        <v>8100</v>
      </c>
      <c r="G626" s="351" t="str">
        <f t="shared" ref="G626:G627" si="236">E626</f>
        <v>Nos.</v>
      </c>
      <c r="H626" s="353">
        <f t="shared" ref="H626:H627" si="237">C626*F626</f>
        <v>4009500.0000000005</v>
      </c>
      <c r="I626" s="355"/>
    </row>
    <row r="627" spans="1:11" ht="18" customHeight="1">
      <c r="A627" s="351"/>
      <c r="B627" s="354" t="s">
        <v>764</v>
      </c>
      <c r="C627" s="366">
        <f t="shared" si="235"/>
        <v>42.716666666666676</v>
      </c>
      <c r="D627" s="366">
        <f>'Details of Measurement'!P1699/30</f>
        <v>38.833333333333336</v>
      </c>
      <c r="E627" s="351" t="s">
        <v>765</v>
      </c>
      <c r="F627" s="353">
        <f>VLOOKUP(B627,'Price '!B:D,3,FALSE)</f>
        <v>10000</v>
      </c>
      <c r="G627" s="351" t="str">
        <f t="shared" si="236"/>
        <v>Box</v>
      </c>
      <c r="H627" s="353">
        <f t="shared" si="237"/>
        <v>427166.66666666674</v>
      </c>
      <c r="I627" s="355"/>
    </row>
    <row r="628" spans="1:11" ht="18" customHeight="1">
      <c r="A628" s="351"/>
      <c r="B628" s="354"/>
      <c r="C628" s="366"/>
      <c r="D628" s="366"/>
      <c r="E628" s="351"/>
      <c r="F628" s="353"/>
      <c r="G628" s="351" t="s">
        <v>622</v>
      </c>
      <c r="H628" s="376">
        <f>SUM(H626:H627)</f>
        <v>4436666.666666667</v>
      </c>
    </row>
    <row r="629" spans="1:11" ht="18" customHeight="1">
      <c r="A629" s="351"/>
      <c r="B629" s="356"/>
      <c r="C629" s="351"/>
      <c r="D629" s="351"/>
      <c r="E629" s="351"/>
      <c r="F629" s="353"/>
      <c r="G629" s="351" t="s">
        <v>85</v>
      </c>
      <c r="H629" s="357">
        <f>H628</f>
        <v>4436666.666666667</v>
      </c>
    </row>
    <row r="630" spans="1:11" ht="18" customHeight="1">
      <c r="A630" s="381"/>
      <c r="B630" s="1108"/>
      <c r="C630" s="1107"/>
      <c r="D630" s="1107"/>
      <c r="E630" s="1107"/>
      <c r="F630" s="581"/>
      <c r="G630" s="381"/>
      <c r="H630" s="579"/>
    </row>
    <row r="631" spans="1:11" ht="18" customHeight="1">
      <c r="A631" s="345">
        <v>19</v>
      </c>
      <c r="B631" s="346" t="str">
        <f>VLOOKUP(A631,'Details of Measurement'!$A:$O,2,FALSE)</f>
        <v xml:space="preserve">Water Stopper (or) Polyswell Installation </v>
      </c>
      <c r="C631" s="347">
        <f>VLOOKUP(A631,'Details of Measurement'!A:N,14,FALSE)</f>
        <v>127.66666666666667</v>
      </c>
      <c r="D631" s="347">
        <f>VLOOKUP(B631,'Details of Measurement'!B:N,13,FALSE)</f>
        <v>127.66666666666667</v>
      </c>
      <c r="E631" s="345" t="str">
        <f>VLOOKUP(B631,'Details of Measurement'!$B$6:$O$2333,14,FALSE)</f>
        <v>Rft</v>
      </c>
      <c r="F631" s="1017"/>
      <c r="G631" s="345"/>
      <c r="H631" s="1017">
        <f>H636</f>
        <v>868133.33333333337</v>
      </c>
      <c r="I631" s="350"/>
    </row>
    <row r="632" spans="1:11" ht="18" customHeight="1">
      <c r="A632" s="351"/>
      <c r="B632" s="354"/>
      <c r="C632" s="405"/>
      <c r="D632" s="405"/>
      <c r="E632" s="351"/>
      <c r="F632" s="353"/>
      <c r="G632" s="351"/>
      <c r="H632" s="353"/>
      <c r="J632" s="355"/>
    </row>
    <row r="633" spans="1:11" ht="18" customHeight="1">
      <c r="A633" s="351"/>
      <c r="B633" s="352" t="s">
        <v>40</v>
      </c>
      <c r="C633" s="351"/>
      <c r="D633" s="351"/>
      <c r="E633" s="351"/>
      <c r="F633" s="353"/>
      <c r="G633" s="351"/>
      <c r="H633" s="353"/>
      <c r="J633" s="355"/>
    </row>
    <row r="634" spans="1:11" ht="18" customHeight="1">
      <c r="A634" s="351"/>
      <c r="B634" s="419" t="s">
        <v>612</v>
      </c>
      <c r="C634" s="366">
        <f>C631</f>
        <v>127.66666666666667</v>
      </c>
      <c r="D634" s="366">
        <f>VLOOKUP(B634,'Details of Measurement'!B:N,13,FALSE)</f>
        <v>127.66666666666667</v>
      </c>
      <c r="E634" s="351" t="s">
        <v>26</v>
      </c>
      <c r="F634" s="353">
        <f>VLOOKUP(B634,'Price '!B:D,3,FALSE)</f>
        <v>6800</v>
      </c>
      <c r="G634" s="351" t="s">
        <v>26</v>
      </c>
      <c r="H634" s="353">
        <f>D634*F634</f>
        <v>868133.33333333337</v>
      </c>
      <c r="J634" s="355"/>
    </row>
    <row r="635" spans="1:11" ht="18" customHeight="1">
      <c r="A635" s="351"/>
      <c r="B635" s="419"/>
      <c r="C635" s="366"/>
      <c r="D635" s="366"/>
      <c r="E635" s="351"/>
      <c r="F635" s="353"/>
      <c r="G635" s="351" t="s">
        <v>622</v>
      </c>
      <c r="H635" s="353">
        <f>SUM(H634)</f>
        <v>868133.33333333337</v>
      </c>
      <c r="K635" s="355"/>
    </row>
    <row r="636" spans="1:11" ht="18" customHeight="1">
      <c r="A636" s="351"/>
      <c r="B636" s="356"/>
      <c r="C636" s="351"/>
      <c r="D636" s="351"/>
      <c r="E636" s="351"/>
      <c r="F636" s="353"/>
      <c r="G636" s="351" t="s">
        <v>85</v>
      </c>
      <c r="H636" s="376">
        <f>H635</f>
        <v>868133.33333333337</v>
      </c>
    </row>
    <row r="637" spans="1:11" ht="18" customHeight="1">
      <c r="A637" s="358"/>
      <c r="B637" s="408"/>
      <c r="C637" s="358"/>
      <c r="D637" s="358"/>
      <c r="E637" s="358"/>
      <c r="F637" s="360"/>
      <c r="G637" s="358"/>
      <c r="H637" s="360"/>
    </row>
    <row r="638" spans="1:11" ht="18" customHeight="1">
      <c r="A638" s="389">
        <v>20</v>
      </c>
      <c r="B638" s="346" t="str">
        <f>VLOOKUP(A638,'Details of Measurement'!$A:$O,2,FALSE)</f>
        <v>Water Proofing Membrane with Polyfoam</v>
      </c>
      <c r="C638" s="347">
        <f>VLOOKUP(A638,'Details of Measurement'!A:N,14,FALSE)</f>
        <v>522.66666666666674</v>
      </c>
      <c r="D638" s="364">
        <f>VLOOKUP(B638,'Details of Measurement'!B:N,13,FALSE)</f>
        <v>522.66666666666674</v>
      </c>
      <c r="E638" s="345" t="str">
        <f>VLOOKUP(B638,'Details of Measurement'!$B$6:$O$2333,14,FALSE)</f>
        <v>Sft</v>
      </c>
      <c r="F638" s="357"/>
      <c r="G638" s="389"/>
      <c r="H638" s="357">
        <f>H643</f>
        <v>3188266.666666667</v>
      </c>
      <c r="I638" s="355"/>
      <c r="K638" s="344" t="s">
        <v>244</v>
      </c>
    </row>
    <row r="639" spans="1:11" ht="18" customHeight="1">
      <c r="A639" s="351"/>
      <c r="B639" s="354"/>
      <c r="C639" s="405"/>
      <c r="D639" s="405"/>
      <c r="E639" s="351"/>
      <c r="F639" s="353"/>
      <c r="G639" s="351"/>
      <c r="H639" s="353"/>
    </row>
    <row r="640" spans="1:11" ht="18" customHeight="1">
      <c r="A640" s="351"/>
      <c r="B640" s="352" t="s">
        <v>40</v>
      </c>
      <c r="C640" s="351"/>
      <c r="D640" s="351"/>
      <c r="E640" s="351"/>
      <c r="F640" s="353"/>
      <c r="G640" s="351"/>
      <c r="H640" s="353"/>
    </row>
    <row r="641" spans="1:12" ht="20.100000000000001" customHeight="1">
      <c r="A641" s="351"/>
      <c r="B641" s="419" t="s">
        <v>613</v>
      </c>
      <c r="C641" s="366">
        <f>C638</f>
        <v>522.66666666666674</v>
      </c>
      <c r="D641" s="366">
        <f>VLOOKUP(B641,'Details of Measurement'!B:N,13,FALSE)</f>
        <v>522.66666666666674</v>
      </c>
      <c r="E641" s="351" t="s">
        <v>19</v>
      </c>
      <c r="F641" s="353">
        <f>VLOOKUP(B641,'Price '!B:D,3,FALSE)</f>
        <v>6100</v>
      </c>
      <c r="G641" s="351" t="str">
        <f>E641</f>
        <v>Sft</v>
      </c>
      <c r="H641" s="353">
        <f>D641*F641</f>
        <v>3188266.666666667</v>
      </c>
      <c r="J641" s="428"/>
    </row>
    <row r="642" spans="1:12" ht="20.100000000000001" customHeight="1">
      <c r="A642" s="351"/>
      <c r="B642" s="419"/>
      <c r="C642" s="366"/>
      <c r="D642" s="366"/>
      <c r="E642" s="351"/>
      <c r="F642" s="353"/>
      <c r="G642" s="351" t="s">
        <v>622</v>
      </c>
      <c r="H642" s="353">
        <f>SUM(H641)</f>
        <v>3188266.666666667</v>
      </c>
      <c r="I642" s="428"/>
      <c r="L642" s="355"/>
    </row>
    <row r="643" spans="1:12" ht="20.100000000000001" customHeight="1">
      <c r="A643" s="351"/>
      <c r="B643" s="356"/>
      <c r="C643" s="351"/>
      <c r="D643" s="351"/>
      <c r="E643" s="351"/>
      <c r="F643" s="353"/>
      <c r="G643" s="351" t="s">
        <v>85</v>
      </c>
      <c r="H643" s="376">
        <f>H642</f>
        <v>3188266.666666667</v>
      </c>
      <c r="J643" s="355">
        <f>H647+H646</f>
        <v>401672350.81147349</v>
      </c>
      <c r="L643" s="355"/>
    </row>
    <row r="644" spans="1:12" ht="18" customHeight="1">
      <c r="A644" s="358"/>
      <c r="B644" s="408"/>
      <c r="C644" s="358"/>
      <c r="D644" s="358"/>
      <c r="E644" s="358"/>
      <c r="F644" s="360"/>
      <c r="G644" s="358"/>
      <c r="H644" s="360"/>
      <c r="I644" s="355">
        <f>SUM(H622,H643,H636,H611,H604,H589,H574,H560,H551,H536,H523,H511,H498,H485,H471,H456,H439,H422,H405,H390,H377,H359,H99,H84,H74,H62,H51,H39,H28,H10)</f>
        <v>358534613.00183862</v>
      </c>
      <c r="L644" s="355"/>
    </row>
    <row r="645" spans="1:12" ht="18" customHeight="1" thickBot="1">
      <c r="A645" s="420"/>
      <c r="B645" s="421"/>
      <c r="C645" s="420"/>
      <c r="D645" s="420"/>
      <c r="E645" s="420"/>
      <c r="F645" s="422"/>
      <c r="G645" s="420"/>
      <c r="H645" s="423"/>
    </row>
    <row r="646" spans="1:12" ht="18" customHeight="1" thickBot="1">
      <c r="A646" s="424"/>
      <c r="B646" s="425" t="s">
        <v>73</v>
      </c>
      <c r="C646" s="424"/>
      <c r="D646" s="424"/>
      <c r="E646" s="424"/>
      <c r="F646" s="426"/>
      <c r="G646" s="424" t="s">
        <v>623</v>
      </c>
      <c r="H646" s="427">
        <f>SUMIF($G$6:$G$645,G646,$H$6:$H$645)</f>
        <v>139390636.83585593</v>
      </c>
    </row>
    <row r="647" spans="1:12" ht="18" customHeight="1" thickBot="1">
      <c r="A647" s="424"/>
      <c r="B647" s="425" t="s">
        <v>766</v>
      </c>
      <c r="C647" s="424"/>
      <c r="D647" s="424"/>
      <c r="E647" s="424"/>
      <c r="F647" s="426"/>
      <c r="G647" s="424" t="s">
        <v>622</v>
      </c>
      <c r="H647" s="427">
        <f>SUMIF($G$6:$G$645,G647,$H$6:$H$645)</f>
        <v>262281713.97561756</v>
      </c>
      <c r="I647" s="1018">
        <f>H646+H647</f>
        <v>401672350.81147349</v>
      </c>
      <c r="J647" s="1018">
        <f>H648-I647</f>
        <v>0</v>
      </c>
    </row>
    <row r="648" spans="1:12" ht="18" customHeight="1" thickBot="1">
      <c r="A648" s="424"/>
      <c r="B648" s="425" t="s">
        <v>74</v>
      </c>
      <c r="C648" s="424"/>
      <c r="D648" s="424"/>
      <c r="E648" s="424"/>
      <c r="F648" s="426"/>
      <c r="G648" s="424" t="s">
        <v>85</v>
      </c>
      <c r="H648" s="427">
        <f>SUMIF($G$6:$G$645,G648,$H$6:$H$645)</f>
        <v>401672350.81147355</v>
      </c>
    </row>
    <row r="649" spans="1:12" ht="18" customHeight="1">
      <c r="A649" s="1036"/>
      <c r="B649" s="1144" t="s">
        <v>784</v>
      </c>
      <c r="C649" s="1144"/>
      <c r="D649" s="1144"/>
      <c r="E649" s="1144"/>
      <c r="F649" s="1144"/>
      <c r="G649" s="1037">
        <v>0.03</v>
      </c>
      <c r="H649" s="1038">
        <f>H648*G649</f>
        <v>12050170.524344206</v>
      </c>
    </row>
    <row r="650" spans="1:12" ht="18" customHeight="1">
      <c r="A650" s="1036"/>
      <c r="B650" s="1144" t="s">
        <v>785</v>
      </c>
      <c r="C650" s="1144"/>
      <c r="D650" s="1144"/>
      <c r="E650" s="1144"/>
      <c r="F650" s="1144"/>
      <c r="G650" s="1037">
        <v>0.05</v>
      </c>
      <c r="H650" s="1038">
        <f>(H649+H648)*G650</f>
        <v>20686126.06679089</v>
      </c>
    </row>
    <row r="651" spans="1:12" ht="18" hidden="1" customHeight="1">
      <c r="A651" s="1036"/>
      <c r="B651" s="1144" t="s">
        <v>786</v>
      </c>
      <c r="C651" s="1144"/>
      <c r="D651" s="1144"/>
      <c r="E651" s="1144"/>
      <c r="F651" s="1144"/>
      <c r="G651" s="1037">
        <v>0.1</v>
      </c>
      <c r="H651" s="1038"/>
    </row>
    <row r="652" spans="1:12" ht="18" customHeight="1">
      <c r="A652" s="1036"/>
      <c r="B652" s="1145" t="s">
        <v>787</v>
      </c>
      <c r="C652" s="1145"/>
      <c r="D652" s="1145"/>
      <c r="E652" s="1145"/>
      <c r="F652" s="1145"/>
      <c r="G652" s="1145"/>
      <c r="H652" s="1100">
        <f>SUM(H648:H651)</f>
        <v>434408647.40260863</v>
      </c>
    </row>
    <row r="653" spans="1:12" ht="18" customHeight="1"/>
    <row r="654" spans="1:12" ht="18" customHeight="1"/>
    <row r="655" spans="1:12" ht="18" customHeight="1">
      <c r="A655" s="344"/>
      <c r="C655" s="344"/>
      <c r="D655" s="344"/>
      <c r="E655" s="344"/>
      <c r="G655" s="344"/>
    </row>
    <row r="656" spans="1:12" ht="18" customHeight="1">
      <c r="A656" s="344"/>
      <c r="C656" s="344"/>
      <c r="D656" s="344"/>
      <c r="E656" s="344"/>
      <c r="G656" s="344"/>
    </row>
    <row r="657" spans="1:7" ht="18" customHeight="1">
      <c r="A657" s="344"/>
      <c r="C657" s="344"/>
      <c r="D657" s="344"/>
      <c r="E657" s="344"/>
      <c r="G657" s="344"/>
    </row>
    <row r="658" spans="1:7" ht="18" customHeight="1">
      <c r="A658" s="344"/>
      <c r="C658" s="344"/>
      <c r="D658" s="344"/>
      <c r="E658" s="344"/>
      <c r="G658" s="344"/>
    </row>
    <row r="659" spans="1:7" ht="18" customHeight="1">
      <c r="A659" s="344"/>
      <c r="C659" s="344"/>
      <c r="D659" s="344"/>
      <c r="E659" s="344"/>
      <c r="G659" s="344"/>
    </row>
    <row r="660" spans="1:7" ht="18" customHeight="1">
      <c r="A660" s="344"/>
      <c r="C660" s="344"/>
      <c r="D660" s="344"/>
      <c r="E660" s="344"/>
      <c r="G660" s="344"/>
    </row>
    <row r="661" spans="1:7" ht="18" customHeight="1">
      <c r="A661" s="344"/>
      <c r="C661" s="344"/>
      <c r="D661" s="344"/>
      <c r="E661" s="344"/>
      <c r="G661" s="344"/>
    </row>
    <row r="662" spans="1:7" ht="18" customHeight="1">
      <c r="A662" s="344"/>
      <c r="C662" s="344"/>
      <c r="D662" s="344"/>
      <c r="E662" s="344"/>
      <c r="G662" s="344"/>
    </row>
    <row r="663" spans="1:7" ht="18" customHeight="1">
      <c r="A663" s="344"/>
      <c r="C663" s="344"/>
      <c r="D663" s="344"/>
      <c r="E663" s="344"/>
      <c r="G663" s="344"/>
    </row>
    <row r="664" spans="1:7" ht="18" customHeight="1">
      <c r="A664" s="344"/>
      <c r="C664" s="344"/>
      <c r="D664" s="344"/>
      <c r="E664" s="344"/>
      <c r="G664" s="344"/>
    </row>
    <row r="665" spans="1:7" ht="18" customHeight="1">
      <c r="A665" s="344"/>
      <c r="C665" s="344"/>
      <c r="D665" s="344"/>
      <c r="E665" s="344"/>
      <c r="G665" s="344"/>
    </row>
    <row r="666" spans="1:7" ht="18" customHeight="1">
      <c r="A666" s="344"/>
      <c r="C666" s="344"/>
      <c r="D666" s="344"/>
      <c r="E666" s="344"/>
      <c r="G666" s="344"/>
    </row>
    <row r="667" spans="1:7" ht="18" customHeight="1">
      <c r="A667" s="344"/>
      <c r="C667" s="344"/>
      <c r="D667" s="344"/>
      <c r="E667" s="344"/>
      <c r="G667" s="344"/>
    </row>
    <row r="668" spans="1:7" ht="18" customHeight="1">
      <c r="A668" s="344"/>
      <c r="C668" s="344"/>
      <c r="D668" s="344"/>
      <c r="E668" s="344"/>
      <c r="G668" s="344"/>
    </row>
    <row r="669" spans="1:7" ht="18" customHeight="1">
      <c r="A669" s="344"/>
      <c r="C669" s="344"/>
      <c r="D669" s="344"/>
      <c r="E669" s="344"/>
      <c r="G669" s="344"/>
    </row>
    <row r="670" spans="1:7" ht="18" customHeight="1">
      <c r="A670" s="344"/>
      <c r="C670" s="344"/>
      <c r="D670" s="344"/>
      <c r="E670" s="344"/>
      <c r="G670" s="344"/>
    </row>
    <row r="671" spans="1:7" ht="18" customHeight="1">
      <c r="A671" s="344"/>
      <c r="C671" s="344"/>
      <c r="D671" s="344"/>
      <c r="E671" s="344"/>
      <c r="G671" s="344"/>
    </row>
    <row r="672" spans="1:7" ht="18" customHeight="1">
      <c r="A672" s="344"/>
      <c r="C672" s="344"/>
      <c r="D672" s="344"/>
      <c r="E672" s="344"/>
      <c r="G672" s="344"/>
    </row>
    <row r="673" spans="1:7" ht="18" customHeight="1">
      <c r="A673" s="344"/>
      <c r="C673" s="344"/>
      <c r="D673" s="344"/>
      <c r="E673" s="344"/>
      <c r="G673" s="344"/>
    </row>
    <row r="674" spans="1:7" ht="18" customHeight="1">
      <c r="A674" s="344"/>
      <c r="C674" s="344"/>
      <c r="D674" s="344"/>
      <c r="E674" s="344"/>
      <c r="G674" s="344"/>
    </row>
    <row r="675" spans="1:7" ht="18" customHeight="1">
      <c r="A675" s="344"/>
      <c r="C675" s="344"/>
      <c r="D675" s="344"/>
      <c r="E675" s="344"/>
      <c r="G675" s="344"/>
    </row>
    <row r="676" spans="1:7" ht="18" customHeight="1">
      <c r="A676" s="344"/>
      <c r="C676" s="344"/>
      <c r="D676" s="344"/>
      <c r="E676" s="344"/>
      <c r="G676" s="344"/>
    </row>
    <row r="677" spans="1:7" ht="18" customHeight="1">
      <c r="A677" s="344"/>
      <c r="C677" s="344"/>
      <c r="D677" s="344"/>
      <c r="E677" s="344"/>
      <c r="G677" s="344"/>
    </row>
    <row r="678" spans="1:7" ht="18" customHeight="1">
      <c r="A678" s="344"/>
      <c r="C678" s="344"/>
      <c r="D678" s="344"/>
      <c r="E678" s="344"/>
      <c r="G678" s="344"/>
    </row>
    <row r="679" spans="1:7" ht="18" customHeight="1">
      <c r="A679" s="344"/>
      <c r="C679" s="344"/>
      <c r="D679" s="344"/>
      <c r="E679" s="344"/>
      <c r="G679" s="344"/>
    </row>
    <row r="680" spans="1:7" ht="18" customHeight="1">
      <c r="A680" s="344"/>
      <c r="C680" s="344"/>
      <c r="D680" s="344"/>
      <c r="E680" s="344"/>
      <c r="G680" s="344"/>
    </row>
    <row r="681" spans="1:7" ht="18" customHeight="1">
      <c r="A681" s="344"/>
      <c r="C681" s="344"/>
      <c r="D681" s="344"/>
      <c r="E681" s="344"/>
      <c r="G681" s="344"/>
    </row>
    <row r="682" spans="1:7" ht="18" customHeight="1">
      <c r="A682" s="344"/>
      <c r="C682" s="344"/>
      <c r="D682" s="344"/>
      <c r="E682" s="344"/>
      <c r="G682" s="344"/>
    </row>
    <row r="683" spans="1:7" ht="18" customHeight="1">
      <c r="A683" s="344"/>
      <c r="C683" s="344"/>
      <c r="D683" s="344"/>
      <c r="E683" s="344"/>
      <c r="G683" s="344"/>
    </row>
    <row r="684" spans="1:7" ht="18" customHeight="1">
      <c r="A684" s="344"/>
      <c r="C684" s="344"/>
      <c r="D684" s="344"/>
      <c r="E684" s="344"/>
      <c r="G684" s="344"/>
    </row>
    <row r="685" spans="1:7" ht="18" customHeight="1">
      <c r="A685" s="344"/>
      <c r="C685" s="344"/>
      <c r="D685" s="344"/>
      <c r="E685" s="344"/>
      <c r="G685" s="344"/>
    </row>
    <row r="686" spans="1:7" ht="18" customHeight="1">
      <c r="A686" s="344"/>
      <c r="C686" s="344"/>
      <c r="D686" s="344"/>
      <c r="E686" s="344"/>
      <c r="G686" s="344"/>
    </row>
    <row r="687" spans="1:7" ht="18" customHeight="1">
      <c r="A687" s="344"/>
      <c r="C687" s="344"/>
      <c r="D687" s="344"/>
      <c r="E687" s="344"/>
      <c r="G687" s="344"/>
    </row>
    <row r="688" spans="1:7" ht="18" customHeight="1">
      <c r="A688" s="344"/>
      <c r="C688" s="344"/>
      <c r="D688" s="344"/>
      <c r="E688" s="344"/>
      <c r="G688" s="344"/>
    </row>
    <row r="689" spans="1:7" ht="18" customHeight="1">
      <c r="A689" s="344"/>
      <c r="C689" s="344"/>
      <c r="D689" s="344"/>
      <c r="E689" s="344"/>
      <c r="G689" s="344"/>
    </row>
    <row r="690" spans="1:7" ht="18" customHeight="1">
      <c r="A690" s="344"/>
      <c r="C690" s="344"/>
      <c r="D690" s="344"/>
      <c r="E690" s="344"/>
      <c r="G690" s="344"/>
    </row>
    <row r="691" spans="1:7" ht="18" customHeight="1">
      <c r="A691" s="344"/>
      <c r="C691" s="344"/>
      <c r="D691" s="344"/>
      <c r="E691" s="344"/>
      <c r="G691" s="344"/>
    </row>
    <row r="692" spans="1:7" ht="18" customHeight="1">
      <c r="A692" s="344"/>
      <c r="C692" s="344"/>
      <c r="D692" s="344"/>
      <c r="E692" s="344"/>
      <c r="G692" s="344"/>
    </row>
    <row r="693" spans="1:7" ht="18" customHeight="1">
      <c r="A693" s="344"/>
      <c r="C693" s="344"/>
      <c r="D693" s="344"/>
      <c r="E693" s="344"/>
      <c r="G693" s="344"/>
    </row>
    <row r="694" spans="1:7" ht="18" customHeight="1">
      <c r="A694" s="344"/>
      <c r="C694" s="344"/>
      <c r="D694" s="344"/>
      <c r="E694" s="344"/>
      <c r="G694" s="344"/>
    </row>
    <row r="695" spans="1:7" ht="18" customHeight="1">
      <c r="A695" s="344"/>
      <c r="C695" s="344"/>
      <c r="D695" s="344"/>
      <c r="E695" s="344"/>
      <c r="G695" s="344"/>
    </row>
    <row r="696" spans="1:7" ht="18" customHeight="1">
      <c r="A696" s="344"/>
      <c r="C696" s="344"/>
      <c r="D696" s="344"/>
      <c r="E696" s="344"/>
      <c r="G696" s="344"/>
    </row>
    <row r="697" spans="1:7" ht="18" customHeight="1">
      <c r="A697" s="344"/>
      <c r="C697" s="344"/>
      <c r="D697" s="344"/>
      <c r="E697" s="344"/>
      <c r="G697" s="344"/>
    </row>
    <row r="698" spans="1:7" ht="18" customHeight="1">
      <c r="A698" s="344"/>
      <c r="C698" s="344"/>
      <c r="D698" s="344"/>
      <c r="E698" s="344"/>
      <c r="G698" s="344"/>
    </row>
    <row r="699" spans="1:7" ht="18" customHeight="1">
      <c r="A699" s="344"/>
      <c r="C699" s="344"/>
      <c r="D699" s="344"/>
      <c r="E699" s="344"/>
      <c r="G699" s="344"/>
    </row>
    <row r="700" spans="1:7" ht="18" customHeight="1">
      <c r="A700" s="344"/>
      <c r="C700" s="344"/>
      <c r="D700" s="344"/>
      <c r="E700" s="344"/>
      <c r="G700" s="344"/>
    </row>
    <row r="701" spans="1:7" ht="18" customHeight="1">
      <c r="A701" s="344"/>
      <c r="C701" s="344"/>
      <c r="D701" s="344"/>
      <c r="E701" s="344"/>
      <c r="G701" s="344"/>
    </row>
    <row r="702" spans="1:7" ht="18" customHeight="1">
      <c r="A702" s="344"/>
      <c r="C702" s="344"/>
      <c r="D702" s="344"/>
      <c r="E702" s="344"/>
      <c r="G702" s="344"/>
    </row>
    <row r="703" spans="1:7" ht="18" customHeight="1">
      <c r="A703" s="344"/>
      <c r="C703" s="344"/>
      <c r="D703" s="344"/>
      <c r="E703" s="344"/>
      <c r="G703" s="344"/>
    </row>
    <row r="704" spans="1:7" ht="18" customHeight="1">
      <c r="A704" s="344"/>
      <c r="C704" s="344"/>
      <c r="D704" s="344"/>
      <c r="E704" s="344"/>
      <c r="G704" s="344"/>
    </row>
    <row r="705" spans="1:7" ht="18" customHeight="1">
      <c r="A705" s="344"/>
      <c r="C705" s="344"/>
      <c r="D705" s="344"/>
      <c r="E705" s="344"/>
      <c r="G705" s="344"/>
    </row>
    <row r="706" spans="1:7" ht="18" customHeight="1">
      <c r="A706" s="344"/>
      <c r="C706" s="344"/>
      <c r="D706" s="344"/>
      <c r="E706" s="344"/>
      <c r="G706" s="344"/>
    </row>
    <row r="707" spans="1:7" ht="18" customHeight="1">
      <c r="A707" s="344"/>
      <c r="C707" s="344"/>
      <c r="D707" s="344"/>
      <c r="E707" s="344"/>
      <c r="G707" s="344"/>
    </row>
    <row r="708" spans="1:7" ht="18" customHeight="1">
      <c r="A708" s="344"/>
      <c r="C708" s="344"/>
      <c r="D708" s="344"/>
      <c r="E708" s="344"/>
      <c r="G708" s="344"/>
    </row>
    <row r="709" spans="1:7" ht="18" customHeight="1">
      <c r="A709" s="344"/>
      <c r="C709" s="344"/>
      <c r="D709" s="344"/>
      <c r="E709" s="344"/>
      <c r="G709" s="344"/>
    </row>
    <row r="710" spans="1:7" ht="18" customHeight="1">
      <c r="A710" s="344"/>
      <c r="C710" s="344"/>
      <c r="D710" s="344"/>
      <c r="E710" s="344"/>
      <c r="G710" s="344"/>
    </row>
    <row r="711" spans="1:7" ht="18" customHeight="1">
      <c r="A711" s="344"/>
      <c r="C711" s="344"/>
      <c r="D711" s="344"/>
      <c r="E711" s="344"/>
      <c r="G711" s="344"/>
    </row>
    <row r="712" spans="1:7" ht="18" customHeight="1">
      <c r="A712" s="344"/>
      <c r="C712" s="344"/>
      <c r="D712" s="344"/>
      <c r="E712" s="344"/>
      <c r="G712" s="344"/>
    </row>
    <row r="713" spans="1:7" ht="18" customHeight="1">
      <c r="A713" s="344"/>
      <c r="C713" s="344"/>
      <c r="D713" s="344"/>
      <c r="E713" s="344"/>
      <c r="G713" s="344"/>
    </row>
    <row r="714" spans="1:7" ht="18" customHeight="1">
      <c r="A714" s="344"/>
      <c r="C714" s="344"/>
      <c r="D714" s="344"/>
      <c r="E714" s="344"/>
      <c r="G714" s="344"/>
    </row>
    <row r="715" spans="1:7" ht="18" customHeight="1">
      <c r="A715" s="344"/>
      <c r="C715" s="344"/>
      <c r="D715" s="344"/>
      <c r="E715" s="344"/>
      <c r="G715" s="344"/>
    </row>
    <row r="716" spans="1:7" ht="18" customHeight="1">
      <c r="A716" s="344"/>
      <c r="C716" s="344"/>
      <c r="D716" s="344"/>
      <c r="E716" s="344"/>
      <c r="G716" s="344"/>
    </row>
    <row r="717" spans="1:7" ht="18" customHeight="1">
      <c r="A717" s="344"/>
      <c r="C717" s="344"/>
      <c r="D717" s="344"/>
      <c r="E717" s="344"/>
      <c r="G717" s="344"/>
    </row>
    <row r="718" spans="1:7" ht="18" customHeight="1">
      <c r="A718" s="344"/>
      <c r="C718" s="344"/>
      <c r="D718" s="344"/>
      <c r="E718" s="344"/>
      <c r="G718" s="344"/>
    </row>
    <row r="719" spans="1:7" ht="18" customHeight="1">
      <c r="A719" s="344"/>
      <c r="C719" s="344"/>
      <c r="D719" s="344"/>
      <c r="E719" s="344"/>
      <c r="G719" s="344"/>
    </row>
    <row r="720" spans="1:7" ht="18" customHeight="1">
      <c r="A720" s="344"/>
      <c r="C720" s="344"/>
      <c r="D720" s="344"/>
      <c r="E720" s="344"/>
      <c r="G720" s="344"/>
    </row>
    <row r="721" spans="1:7" ht="18" customHeight="1">
      <c r="A721" s="344"/>
      <c r="C721" s="344"/>
      <c r="D721" s="344"/>
      <c r="E721" s="344"/>
      <c r="G721" s="344"/>
    </row>
    <row r="722" spans="1:7" ht="18" customHeight="1">
      <c r="A722" s="344"/>
      <c r="C722" s="344"/>
      <c r="D722" s="344"/>
      <c r="E722" s="344"/>
      <c r="G722" s="344"/>
    </row>
    <row r="723" spans="1:7" ht="18" customHeight="1">
      <c r="A723" s="344"/>
      <c r="C723" s="344"/>
      <c r="D723" s="344"/>
      <c r="E723" s="344"/>
      <c r="G723" s="344"/>
    </row>
    <row r="724" spans="1:7" ht="18" customHeight="1">
      <c r="A724" s="344"/>
      <c r="C724" s="344"/>
      <c r="D724" s="344"/>
      <c r="E724" s="344"/>
      <c r="G724" s="344"/>
    </row>
    <row r="725" spans="1:7" ht="18" customHeight="1">
      <c r="A725" s="344"/>
      <c r="C725" s="344"/>
      <c r="D725" s="344"/>
      <c r="E725" s="344"/>
      <c r="G725" s="344"/>
    </row>
    <row r="726" spans="1:7" ht="18" customHeight="1">
      <c r="A726" s="344"/>
      <c r="C726" s="344"/>
      <c r="D726" s="344"/>
      <c r="E726" s="344"/>
      <c r="G726" s="344"/>
    </row>
    <row r="727" spans="1:7" ht="18" customHeight="1">
      <c r="A727" s="344"/>
      <c r="C727" s="344"/>
      <c r="D727" s="344"/>
      <c r="E727" s="344"/>
      <c r="G727" s="344"/>
    </row>
    <row r="728" spans="1:7" ht="18" customHeight="1">
      <c r="A728" s="344"/>
      <c r="C728" s="344"/>
      <c r="D728" s="344"/>
      <c r="E728" s="344"/>
      <c r="G728" s="344"/>
    </row>
    <row r="729" spans="1:7" ht="18" customHeight="1">
      <c r="A729" s="344"/>
      <c r="C729" s="344"/>
      <c r="D729" s="344"/>
      <c r="E729" s="344"/>
      <c r="G729" s="344"/>
    </row>
    <row r="730" spans="1:7" ht="18" customHeight="1">
      <c r="A730" s="344"/>
      <c r="C730" s="344"/>
      <c r="D730" s="344"/>
      <c r="E730" s="344"/>
      <c r="G730" s="344"/>
    </row>
    <row r="731" spans="1:7" ht="18" customHeight="1">
      <c r="A731" s="344"/>
      <c r="C731" s="344"/>
      <c r="D731" s="344"/>
      <c r="E731" s="344"/>
      <c r="G731" s="344"/>
    </row>
    <row r="732" spans="1:7" ht="18" customHeight="1">
      <c r="A732" s="344"/>
      <c r="C732" s="344"/>
      <c r="D732" s="344"/>
      <c r="E732" s="344"/>
      <c r="G732" s="344"/>
    </row>
    <row r="733" spans="1:7" ht="18" customHeight="1">
      <c r="A733" s="344"/>
      <c r="C733" s="344"/>
      <c r="D733" s="344"/>
      <c r="E733" s="344"/>
      <c r="G733" s="344"/>
    </row>
    <row r="734" spans="1:7" ht="18" customHeight="1">
      <c r="A734" s="344"/>
      <c r="C734" s="344"/>
      <c r="D734" s="344"/>
      <c r="E734" s="344"/>
      <c r="G734" s="344"/>
    </row>
    <row r="735" spans="1:7" ht="18" customHeight="1">
      <c r="A735" s="344"/>
      <c r="C735" s="344"/>
      <c r="D735" s="344"/>
      <c r="E735" s="344"/>
      <c r="G735" s="344"/>
    </row>
    <row r="736" spans="1:7" ht="18" customHeight="1">
      <c r="A736" s="344"/>
      <c r="C736" s="344"/>
      <c r="D736" s="344"/>
      <c r="E736" s="344"/>
      <c r="G736" s="344"/>
    </row>
    <row r="737" spans="1:7" ht="18" customHeight="1">
      <c r="A737" s="344"/>
      <c r="C737" s="344"/>
      <c r="D737" s="344"/>
      <c r="E737" s="344"/>
      <c r="G737" s="344"/>
    </row>
    <row r="738" spans="1:7" ht="18" customHeight="1">
      <c r="A738" s="344"/>
      <c r="C738" s="344"/>
      <c r="D738" s="344"/>
      <c r="E738" s="344"/>
      <c r="G738" s="344"/>
    </row>
    <row r="739" spans="1:7" ht="18" customHeight="1">
      <c r="A739" s="344"/>
      <c r="C739" s="344"/>
      <c r="D739" s="344"/>
      <c r="E739" s="344"/>
      <c r="G739" s="344"/>
    </row>
    <row r="740" spans="1:7" ht="18" customHeight="1">
      <c r="A740" s="344"/>
      <c r="C740" s="344"/>
      <c r="D740" s="344"/>
      <c r="E740" s="344"/>
      <c r="G740" s="344"/>
    </row>
    <row r="741" spans="1:7" ht="18" customHeight="1">
      <c r="A741" s="344"/>
      <c r="C741" s="344"/>
      <c r="D741" s="344"/>
      <c r="E741" s="344"/>
      <c r="G741" s="344"/>
    </row>
    <row r="742" spans="1:7" ht="18" customHeight="1">
      <c r="A742" s="344"/>
      <c r="C742" s="344"/>
      <c r="D742" s="344"/>
      <c r="E742" s="344"/>
      <c r="G742" s="344"/>
    </row>
    <row r="743" spans="1:7" ht="18" customHeight="1">
      <c r="A743" s="344"/>
      <c r="C743" s="344"/>
      <c r="D743" s="344"/>
      <c r="E743" s="344"/>
      <c r="G743" s="344"/>
    </row>
    <row r="744" spans="1:7" ht="18" customHeight="1">
      <c r="A744" s="344"/>
      <c r="C744" s="344"/>
      <c r="D744" s="344"/>
      <c r="E744" s="344"/>
      <c r="G744" s="344"/>
    </row>
    <row r="745" spans="1:7" ht="18" customHeight="1">
      <c r="A745" s="344"/>
      <c r="C745" s="344"/>
      <c r="D745" s="344"/>
      <c r="E745" s="344"/>
      <c r="G745" s="344"/>
    </row>
    <row r="746" spans="1:7" ht="18" customHeight="1">
      <c r="A746" s="344"/>
      <c r="C746" s="344"/>
      <c r="D746" s="344"/>
      <c r="E746" s="344"/>
      <c r="G746" s="344"/>
    </row>
    <row r="747" spans="1:7" ht="18" customHeight="1">
      <c r="A747" s="344"/>
      <c r="C747" s="344"/>
      <c r="D747" s="344"/>
      <c r="E747" s="344"/>
      <c r="G747" s="344"/>
    </row>
    <row r="748" spans="1:7" ht="18" customHeight="1">
      <c r="A748" s="344"/>
      <c r="C748" s="344"/>
      <c r="D748" s="344"/>
      <c r="E748" s="344"/>
      <c r="G748" s="344"/>
    </row>
    <row r="749" spans="1:7" ht="18" customHeight="1">
      <c r="A749" s="344"/>
      <c r="C749" s="344"/>
      <c r="D749" s="344"/>
      <c r="E749" s="344"/>
      <c r="G749" s="344"/>
    </row>
    <row r="750" spans="1:7" ht="18" customHeight="1">
      <c r="A750" s="344"/>
      <c r="C750" s="344"/>
      <c r="D750" s="344"/>
      <c r="E750" s="344"/>
      <c r="G750" s="344"/>
    </row>
    <row r="751" spans="1:7" ht="18" customHeight="1">
      <c r="A751" s="344"/>
      <c r="C751" s="344"/>
      <c r="D751" s="344"/>
      <c r="E751" s="344"/>
      <c r="G751" s="344"/>
    </row>
    <row r="752" spans="1:7" ht="18" customHeight="1">
      <c r="A752" s="344"/>
      <c r="C752" s="344"/>
      <c r="D752" s="344"/>
      <c r="E752" s="344"/>
      <c r="G752" s="344"/>
    </row>
    <row r="753" spans="1:7" ht="18" customHeight="1">
      <c r="A753" s="344"/>
      <c r="C753" s="344"/>
      <c r="D753" s="344"/>
      <c r="E753" s="344"/>
      <c r="G753" s="344"/>
    </row>
    <row r="754" spans="1:7" ht="18" customHeight="1">
      <c r="A754" s="344"/>
      <c r="C754" s="344"/>
      <c r="D754" s="344"/>
      <c r="E754" s="344"/>
      <c r="G754" s="344"/>
    </row>
    <row r="755" spans="1:7" ht="18" customHeight="1">
      <c r="A755" s="344"/>
      <c r="C755" s="344"/>
      <c r="D755" s="344"/>
      <c r="E755" s="344"/>
      <c r="G755" s="344"/>
    </row>
    <row r="756" spans="1:7" ht="18" customHeight="1">
      <c r="A756" s="344"/>
      <c r="C756" s="344"/>
      <c r="D756" s="344"/>
      <c r="E756" s="344"/>
      <c r="G756" s="344"/>
    </row>
    <row r="757" spans="1:7" ht="18" customHeight="1">
      <c r="A757" s="344"/>
      <c r="C757" s="344"/>
      <c r="D757" s="344"/>
      <c r="E757" s="344"/>
      <c r="G757" s="344"/>
    </row>
    <row r="758" spans="1:7" ht="18" customHeight="1">
      <c r="A758" s="344"/>
      <c r="C758" s="344"/>
      <c r="D758" s="344"/>
      <c r="E758" s="344"/>
      <c r="G758" s="344"/>
    </row>
    <row r="759" spans="1:7" ht="18" customHeight="1">
      <c r="A759" s="344"/>
      <c r="C759" s="344"/>
      <c r="D759" s="344"/>
      <c r="E759" s="344"/>
      <c r="G759" s="344"/>
    </row>
    <row r="760" spans="1:7" ht="18" customHeight="1">
      <c r="A760" s="344"/>
      <c r="C760" s="344"/>
      <c r="D760" s="344"/>
      <c r="E760" s="344"/>
      <c r="G760" s="344"/>
    </row>
    <row r="761" spans="1:7" ht="18" customHeight="1">
      <c r="A761" s="344"/>
      <c r="C761" s="344"/>
      <c r="D761" s="344"/>
      <c r="E761" s="344"/>
      <c r="G761" s="344"/>
    </row>
    <row r="762" spans="1:7" ht="18" customHeight="1">
      <c r="A762" s="344"/>
      <c r="C762" s="344"/>
      <c r="D762" s="344"/>
      <c r="E762" s="344"/>
      <c r="G762" s="344"/>
    </row>
    <row r="763" spans="1:7" ht="18" customHeight="1">
      <c r="A763" s="344"/>
      <c r="C763" s="344"/>
      <c r="D763" s="344"/>
      <c r="E763" s="344"/>
      <c r="G763" s="344"/>
    </row>
    <row r="764" spans="1:7" ht="18" customHeight="1">
      <c r="A764" s="344"/>
      <c r="C764" s="344"/>
      <c r="D764" s="344"/>
      <c r="E764" s="344"/>
      <c r="G764" s="344"/>
    </row>
    <row r="765" spans="1:7" ht="18" customHeight="1">
      <c r="A765" s="344"/>
      <c r="C765" s="344"/>
      <c r="D765" s="344"/>
      <c r="E765" s="344"/>
      <c r="G765" s="344"/>
    </row>
    <row r="766" spans="1:7" ht="18" customHeight="1">
      <c r="A766" s="344"/>
      <c r="C766" s="344"/>
      <c r="D766" s="344"/>
      <c r="E766" s="344"/>
      <c r="G766" s="344"/>
    </row>
    <row r="767" spans="1:7" ht="18" customHeight="1">
      <c r="A767" s="344"/>
      <c r="C767" s="344"/>
      <c r="D767" s="344"/>
      <c r="E767" s="344"/>
      <c r="G767" s="344"/>
    </row>
    <row r="768" spans="1:7" ht="18" customHeight="1">
      <c r="A768" s="344"/>
      <c r="C768" s="344"/>
      <c r="D768" s="344"/>
      <c r="E768" s="344"/>
      <c r="G768" s="344"/>
    </row>
    <row r="769" spans="1:7" ht="18" customHeight="1">
      <c r="A769" s="344"/>
      <c r="C769" s="344"/>
      <c r="D769" s="344"/>
      <c r="E769" s="344"/>
      <c r="G769" s="344"/>
    </row>
    <row r="770" spans="1:7" ht="18" customHeight="1">
      <c r="A770" s="344"/>
      <c r="C770" s="344"/>
      <c r="D770" s="344"/>
      <c r="E770" s="344"/>
      <c r="G770" s="344"/>
    </row>
    <row r="771" spans="1:7" ht="18" customHeight="1">
      <c r="A771" s="344"/>
      <c r="C771" s="344"/>
      <c r="D771" s="344"/>
      <c r="E771" s="344"/>
      <c r="G771" s="344"/>
    </row>
    <row r="772" spans="1:7" ht="18" customHeight="1">
      <c r="A772" s="344"/>
      <c r="C772" s="344"/>
      <c r="D772" s="344"/>
      <c r="E772" s="344"/>
      <c r="G772" s="344"/>
    </row>
    <row r="773" spans="1:7" ht="18" customHeight="1">
      <c r="A773" s="344"/>
      <c r="C773" s="344"/>
      <c r="D773" s="344"/>
      <c r="E773" s="344"/>
      <c r="G773" s="344"/>
    </row>
    <row r="774" spans="1:7" ht="18" customHeight="1">
      <c r="A774" s="344"/>
      <c r="C774" s="344"/>
      <c r="D774" s="344"/>
      <c r="E774" s="344"/>
      <c r="G774" s="344"/>
    </row>
    <row r="775" spans="1:7" ht="18" customHeight="1">
      <c r="A775" s="344"/>
      <c r="C775" s="344"/>
      <c r="D775" s="344"/>
      <c r="E775" s="344"/>
      <c r="G775" s="344"/>
    </row>
    <row r="776" spans="1:7" ht="18" customHeight="1">
      <c r="A776" s="344"/>
      <c r="C776" s="344"/>
      <c r="D776" s="344"/>
      <c r="E776" s="344"/>
      <c r="G776" s="344"/>
    </row>
    <row r="777" spans="1:7" ht="18" customHeight="1">
      <c r="A777" s="344"/>
      <c r="C777" s="344"/>
      <c r="D777" s="344"/>
      <c r="E777" s="344"/>
      <c r="G777" s="344"/>
    </row>
    <row r="778" spans="1:7" ht="18" customHeight="1">
      <c r="A778" s="344"/>
      <c r="C778" s="344"/>
      <c r="D778" s="344"/>
      <c r="E778" s="344"/>
      <c r="G778" s="344"/>
    </row>
    <row r="779" spans="1:7" ht="18" customHeight="1">
      <c r="A779" s="344"/>
      <c r="C779" s="344"/>
      <c r="D779" s="344"/>
      <c r="E779" s="344"/>
      <c r="G779" s="344"/>
    </row>
    <row r="780" spans="1:7" ht="18" customHeight="1">
      <c r="A780" s="344"/>
      <c r="C780" s="344"/>
      <c r="D780" s="344"/>
      <c r="E780" s="344"/>
      <c r="G780" s="344"/>
    </row>
    <row r="781" spans="1:7" ht="18" customHeight="1">
      <c r="A781" s="344"/>
      <c r="C781" s="344"/>
      <c r="D781" s="344"/>
      <c r="E781" s="344"/>
      <c r="G781" s="344"/>
    </row>
    <row r="782" spans="1:7" ht="18" customHeight="1">
      <c r="A782" s="344"/>
      <c r="C782" s="344"/>
      <c r="D782" s="344"/>
      <c r="E782" s="344"/>
      <c r="G782" s="344"/>
    </row>
    <row r="783" spans="1:7" ht="18" customHeight="1">
      <c r="A783" s="344"/>
      <c r="C783" s="344"/>
      <c r="D783" s="344"/>
      <c r="E783" s="344"/>
      <c r="G783" s="344"/>
    </row>
    <row r="784" spans="1:7" ht="18" customHeight="1">
      <c r="A784" s="344"/>
      <c r="C784" s="344"/>
      <c r="D784" s="344"/>
      <c r="E784" s="344"/>
      <c r="G784" s="344"/>
    </row>
    <row r="785" spans="1:7" ht="18" customHeight="1">
      <c r="A785" s="344"/>
      <c r="C785" s="344"/>
      <c r="D785" s="344"/>
      <c r="E785" s="344"/>
      <c r="G785" s="344"/>
    </row>
    <row r="786" spans="1:7" ht="18" customHeight="1">
      <c r="A786" s="344"/>
      <c r="C786" s="344"/>
      <c r="D786" s="344"/>
      <c r="E786" s="344"/>
      <c r="G786" s="344"/>
    </row>
    <row r="787" spans="1:7" ht="18" customHeight="1">
      <c r="A787" s="344"/>
      <c r="C787" s="344"/>
      <c r="D787" s="344"/>
      <c r="E787" s="344"/>
      <c r="G787" s="344"/>
    </row>
    <row r="788" spans="1:7" ht="18" customHeight="1">
      <c r="A788" s="344"/>
      <c r="C788" s="344"/>
      <c r="D788" s="344"/>
      <c r="E788" s="344"/>
      <c r="G788" s="344"/>
    </row>
    <row r="789" spans="1:7" ht="18" customHeight="1">
      <c r="A789" s="344"/>
      <c r="C789" s="344"/>
      <c r="D789" s="344"/>
      <c r="E789" s="344"/>
      <c r="G789" s="344"/>
    </row>
    <row r="790" spans="1:7" ht="18" customHeight="1">
      <c r="A790" s="344"/>
      <c r="C790" s="344"/>
      <c r="D790" s="344"/>
      <c r="E790" s="344"/>
      <c r="G790" s="344"/>
    </row>
    <row r="791" spans="1:7" ht="18" customHeight="1">
      <c r="A791" s="344"/>
      <c r="C791" s="344"/>
      <c r="D791" s="344"/>
      <c r="E791" s="344"/>
      <c r="G791" s="344"/>
    </row>
    <row r="792" spans="1:7" ht="18" customHeight="1">
      <c r="A792" s="344"/>
      <c r="C792" s="344"/>
      <c r="D792" s="344"/>
      <c r="E792" s="344"/>
      <c r="G792" s="344"/>
    </row>
    <row r="793" spans="1:7" ht="18" customHeight="1">
      <c r="A793" s="344"/>
      <c r="C793" s="344"/>
      <c r="D793" s="344"/>
      <c r="E793" s="344"/>
      <c r="G793" s="344"/>
    </row>
    <row r="794" spans="1:7" ht="18" customHeight="1">
      <c r="A794" s="344"/>
      <c r="C794" s="344"/>
      <c r="D794" s="344"/>
      <c r="E794" s="344"/>
      <c r="G794" s="344"/>
    </row>
    <row r="795" spans="1:7" ht="18" customHeight="1">
      <c r="A795" s="344"/>
      <c r="C795" s="344"/>
      <c r="D795" s="344"/>
      <c r="E795" s="344"/>
      <c r="G795" s="344"/>
    </row>
    <row r="796" spans="1:7" ht="18" customHeight="1">
      <c r="A796" s="344"/>
      <c r="C796" s="344"/>
      <c r="D796" s="344"/>
      <c r="E796" s="344"/>
      <c r="G796" s="344"/>
    </row>
    <row r="797" spans="1:7" ht="18" customHeight="1">
      <c r="A797" s="344"/>
      <c r="C797" s="344"/>
      <c r="D797" s="344"/>
      <c r="E797" s="344"/>
      <c r="G797" s="344"/>
    </row>
    <row r="798" spans="1:7" ht="18" customHeight="1">
      <c r="A798" s="344"/>
      <c r="C798" s="344"/>
      <c r="D798" s="344"/>
      <c r="E798" s="344"/>
      <c r="G798" s="344"/>
    </row>
    <row r="799" spans="1:7" ht="18" customHeight="1">
      <c r="A799" s="344"/>
      <c r="C799" s="344"/>
      <c r="D799" s="344"/>
      <c r="E799" s="344"/>
      <c r="G799" s="344"/>
    </row>
    <row r="800" spans="1:7" ht="18" customHeight="1">
      <c r="A800" s="344"/>
      <c r="C800" s="344"/>
      <c r="D800" s="344"/>
      <c r="E800" s="344"/>
      <c r="G800" s="344"/>
    </row>
    <row r="801" spans="1:7" ht="18" customHeight="1">
      <c r="A801" s="344"/>
      <c r="C801" s="344"/>
      <c r="D801" s="344"/>
      <c r="E801" s="344"/>
      <c r="G801" s="344"/>
    </row>
    <row r="802" spans="1:7" ht="18" customHeight="1">
      <c r="A802" s="344"/>
      <c r="C802" s="344"/>
      <c r="D802" s="344"/>
      <c r="E802" s="344"/>
      <c r="G802" s="344"/>
    </row>
    <row r="803" spans="1:7" ht="18" customHeight="1">
      <c r="A803" s="344"/>
      <c r="C803" s="344"/>
      <c r="D803" s="344"/>
      <c r="E803" s="344"/>
      <c r="G803" s="344"/>
    </row>
    <row r="804" spans="1:7" ht="18" customHeight="1">
      <c r="A804" s="344"/>
      <c r="C804" s="344"/>
      <c r="D804" s="344"/>
      <c r="E804" s="344"/>
      <c r="G804" s="344"/>
    </row>
    <row r="805" spans="1:7" ht="18" customHeight="1">
      <c r="A805" s="344"/>
      <c r="C805" s="344"/>
      <c r="D805" s="344"/>
      <c r="E805" s="344"/>
      <c r="G805" s="344"/>
    </row>
    <row r="806" spans="1:7" ht="18" customHeight="1">
      <c r="A806" s="344"/>
      <c r="C806" s="344"/>
      <c r="D806" s="344"/>
      <c r="E806" s="344"/>
      <c r="G806" s="344"/>
    </row>
    <row r="807" spans="1:7" ht="18" customHeight="1">
      <c r="A807" s="344"/>
      <c r="C807" s="344"/>
      <c r="D807" s="344"/>
      <c r="E807" s="344"/>
      <c r="G807" s="344"/>
    </row>
    <row r="808" spans="1:7" ht="18" customHeight="1">
      <c r="A808" s="344"/>
      <c r="C808" s="344"/>
      <c r="D808" s="344"/>
      <c r="E808" s="344"/>
      <c r="G808" s="344"/>
    </row>
    <row r="809" spans="1:7" ht="18" customHeight="1">
      <c r="A809" s="344"/>
      <c r="C809" s="344"/>
      <c r="D809" s="344"/>
      <c r="E809" s="344"/>
      <c r="G809" s="344"/>
    </row>
    <row r="810" spans="1:7" ht="18" customHeight="1">
      <c r="A810" s="344"/>
      <c r="C810" s="344"/>
      <c r="D810" s="344"/>
      <c r="E810" s="344"/>
      <c r="G810" s="344"/>
    </row>
    <row r="811" spans="1:7" ht="18" customHeight="1">
      <c r="A811" s="344"/>
      <c r="C811" s="344"/>
      <c r="D811" s="344"/>
      <c r="E811" s="344"/>
      <c r="G811" s="344"/>
    </row>
    <row r="812" spans="1:7" ht="18" customHeight="1">
      <c r="A812" s="344"/>
      <c r="C812" s="344"/>
      <c r="D812" s="344"/>
      <c r="E812" s="344"/>
      <c r="G812" s="344"/>
    </row>
    <row r="813" spans="1:7" ht="18" customHeight="1">
      <c r="A813" s="344"/>
      <c r="C813" s="344"/>
      <c r="D813" s="344"/>
      <c r="E813" s="344"/>
      <c r="G813" s="344"/>
    </row>
    <row r="814" spans="1:7" ht="18" customHeight="1">
      <c r="A814" s="344"/>
      <c r="C814" s="344"/>
      <c r="D814" s="344"/>
      <c r="E814" s="344"/>
      <c r="G814" s="344"/>
    </row>
    <row r="815" spans="1:7" ht="18" customHeight="1">
      <c r="A815" s="344"/>
      <c r="C815" s="344"/>
      <c r="D815" s="344"/>
      <c r="E815" s="344"/>
      <c r="G815" s="344"/>
    </row>
    <row r="816" spans="1:7" ht="18" customHeight="1">
      <c r="A816" s="344"/>
      <c r="C816" s="344"/>
      <c r="D816" s="344"/>
      <c r="E816" s="344"/>
      <c r="G816" s="344"/>
    </row>
    <row r="817" spans="1:7" ht="18" customHeight="1">
      <c r="A817" s="344"/>
      <c r="C817" s="344"/>
      <c r="D817" s="344"/>
      <c r="E817" s="344"/>
      <c r="G817" s="344"/>
    </row>
    <row r="818" spans="1:7" ht="18" customHeight="1">
      <c r="A818" s="344"/>
      <c r="C818" s="344"/>
      <c r="D818" s="344"/>
      <c r="E818" s="344"/>
      <c r="G818" s="344"/>
    </row>
    <row r="819" spans="1:7" ht="18" customHeight="1">
      <c r="A819" s="344"/>
      <c r="C819" s="344"/>
      <c r="D819" s="344"/>
      <c r="E819" s="344"/>
      <c r="G819" s="344"/>
    </row>
    <row r="820" spans="1:7" ht="18" customHeight="1">
      <c r="A820" s="344"/>
      <c r="C820" s="344"/>
      <c r="D820" s="344"/>
      <c r="E820" s="344"/>
      <c r="G820" s="344"/>
    </row>
    <row r="821" spans="1:7" ht="18" customHeight="1">
      <c r="A821" s="344"/>
      <c r="C821" s="344"/>
      <c r="D821" s="344"/>
      <c r="E821" s="344"/>
      <c r="G821" s="344"/>
    </row>
    <row r="822" spans="1:7" ht="18" customHeight="1">
      <c r="A822" s="344"/>
      <c r="C822" s="344"/>
      <c r="D822" s="344"/>
      <c r="E822" s="344"/>
      <c r="G822" s="344"/>
    </row>
    <row r="823" spans="1:7" ht="18" customHeight="1">
      <c r="A823" s="344"/>
      <c r="C823" s="344"/>
      <c r="D823" s="344"/>
      <c r="E823" s="344"/>
      <c r="G823" s="344"/>
    </row>
    <row r="824" spans="1:7" ht="18" customHeight="1">
      <c r="A824" s="344"/>
      <c r="C824" s="344"/>
      <c r="D824" s="344"/>
      <c r="E824" s="344"/>
      <c r="G824" s="344"/>
    </row>
    <row r="825" spans="1:7" ht="18" customHeight="1">
      <c r="A825" s="344"/>
      <c r="C825" s="344"/>
      <c r="D825" s="344"/>
      <c r="E825" s="344"/>
      <c r="G825" s="344"/>
    </row>
    <row r="826" spans="1:7" ht="18" customHeight="1">
      <c r="A826" s="344"/>
      <c r="C826" s="344"/>
      <c r="D826" s="344"/>
      <c r="E826" s="344"/>
      <c r="G826" s="344"/>
    </row>
    <row r="827" spans="1:7" ht="18" customHeight="1">
      <c r="A827" s="344"/>
      <c r="C827" s="344"/>
      <c r="D827" s="344"/>
      <c r="E827" s="344"/>
      <c r="G827" s="344"/>
    </row>
    <row r="828" spans="1:7" ht="18" customHeight="1">
      <c r="A828" s="344"/>
      <c r="C828" s="344"/>
      <c r="D828" s="344"/>
      <c r="E828" s="344"/>
      <c r="G828" s="344"/>
    </row>
    <row r="829" spans="1:7" ht="18" customHeight="1">
      <c r="A829" s="344"/>
      <c r="C829" s="344"/>
      <c r="D829" s="344"/>
      <c r="E829" s="344"/>
      <c r="G829" s="344"/>
    </row>
    <row r="830" spans="1:7" ht="18" customHeight="1">
      <c r="A830" s="344"/>
      <c r="C830" s="344"/>
      <c r="D830" s="344"/>
      <c r="E830" s="344"/>
      <c r="G830" s="344"/>
    </row>
    <row r="831" spans="1:7" ht="18" customHeight="1">
      <c r="A831" s="344"/>
      <c r="C831" s="344"/>
      <c r="D831" s="344"/>
      <c r="E831" s="344"/>
      <c r="G831" s="344"/>
    </row>
    <row r="832" spans="1:7" ht="18" customHeight="1">
      <c r="A832" s="344"/>
      <c r="C832" s="344"/>
      <c r="D832" s="344"/>
      <c r="E832" s="344"/>
      <c r="G832" s="344"/>
    </row>
    <row r="833" spans="1:7" ht="18" customHeight="1">
      <c r="A833" s="344"/>
      <c r="C833" s="344"/>
      <c r="D833" s="344"/>
      <c r="E833" s="344"/>
      <c r="G833" s="344"/>
    </row>
    <row r="834" spans="1:7" ht="18" customHeight="1">
      <c r="A834" s="344"/>
      <c r="C834" s="344"/>
      <c r="D834" s="344"/>
      <c r="E834" s="344"/>
      <c r="G834" s="344"/>
    </row>
    <row r="835" spans="1:7" ht="18" customHeight="1">
      <c r="A835" s="344"/>
      <c r="C835" s="344"/>
      <c r="D835" s="344"/>
      <c r="E835" s="344"/>
      <c r="G835" s="344"/>
    </row>
    <row r="836" spans="1:7" ht="18" customHeight="1">
      <c r="A836" s="344"/>
      <c r="C836" s="344"/>
      <c r="D836" s="344"/>
      <c r="E836" s="344"/>
      <c r="G836" s="344"/>
    </row>
    <row r="837" spans="1:7" ht="18" customHeight="1">
      <c r="A837" s="344"/>
      <c r="C837" s="344"/>
      <c r="D837" s="344"/>
      <c r="E837" s="344"/>
      <c r="G837" s="344"/>
    </row>
    <row r="838" spans="1:7" ht="18" customHeight="1">
      <c r="A838" s="344"/>
      <c r="C838" s="344"/>
      <c r="D838" s="344"/>
      <c r="E838" s="344"/>
      <c r="G838" s="344"/>
    </row>
    <row r="839" spans="1:7" ht="18" customHeight="1">
      <c r="A839" s="344"/>
      <c r="C839" s="344"/>
      <c r="D839" s="344"/>
      <c r="E839" s="344"/>
      <c r="G839" s="344"/>
    </row>
    <row r="840" spans="1:7" ht="18" customHeight="1">
      <c r="A840" s="344"/>
      <c r="C840" s="344"/>
      <c r="D840" s="344"/>
      <c r="E840" s="344"/>
      <c r="G840" s="344"/>
    </row>
    <row r="841" spans="1:7" ht="18" customHeight="1">
      <c r="A841" s="344"/>
      <c r="C841" s="344"/>
      <c r="D841" s="344"/>
      <c r="E841" s="344"/>
      <c r="G841" s="344"/>
    </row>
    <row r="842" spans="1:7" ht="18" customHeight="1">
      <c r="A842" s="344"/>
      <c r="C842" s="344"/>
      <c r="D842" s="344"/>
      <c r="E842" s="344"/>
      <c r="G842" s="344"/>
    </row>
    <row r="843" spans="1:7" ht="18" customHeight="1">
      <c r="A843" s="344"/>
      <c r="C843" s="344"/>
      <c r="D843" s="344"/>
      <c r="E843" s="344"/>
      <c r="G843" s="344"/>
    </row>
    <row r="844" spans="1:7" ht="18" customHeight="1">
      <c r="A844" s="344"/>
      <c r="C844" s="344"/>
      <c r="D844" s="344"/>
      <c r="E844" s="344"/>
      <c r="G844" s="344"/>
    </row>
    <row r="845" spans="1:7" ht="18" customHeight="1">
      <c r="A845" s="344"/>
      <c r="C845" s="344"/>
      <c r="D845" s="344"/>
      <c r="E845" s="344"/>
      <c r="G845" s="344"/>
    </row>
    <row r="846" spans="1:7" ht="18" customHeight="1">
      <c r="A846" s="344"/>
      <c r="C846" s="344"/>
      <c r="D846" s="344"/>
      <c r="E846" s="344"/>
      <c r="G846" s="344"/>
    </row>
    <row r="847" spans="1:7" ht="18" customHeight="1">
      <c r="A847" s="344"/>
      <c r="C847" s="344"/>
      <c r="D847" s="344"/>
      <c r="E847" s="344"/>
      <c r="G847" s="344"/>
    </row>
    <row r="848" spans="1:7" ht="18" customHeight="1">
      <c r="A848" s="344"/>
      <c r="C848" s="344"/>
      <c r="D848" s="344"/>
      <c r="E848" s="344"/>
      <c r="G848" s="344"/>
    </row>
    <row r="849" spans="1:7" ht="18" customHeight="1">
      <c r="A849" s="344"/>
      <c r="C849" s="344"/>
      <c r="D849" s="344"/>
      <c r="E849" s="344"/>
      <c r="G849" s="344"/>
    </row>
    <row r="850" spans="1:7" ht="18" customHeight="1">
      <c r="A850" s="344"/>
      <c r="C850" s="344"/>
      <c r="D850" s="344"/>
      <c r="E850" s="344"/>
      <c r="G850" s="344"/>
    </row>
    <row r="851" spans="1:7" ht="18" customHeight="1">
      <c r="A851" s="344"/>
      <c r="C851" s="344"/>
      <c r="D851" s="344"/>
      <c r="E851" s="344"/>
      <c r="G851" s="344"/>
    </row>
    <row r="852" spans="1:7" ht="18" customHeight="1">
      <c r="A852" s="344"/>
      <c r="C852" s="344"/>
      <c r="D852" s="344"/>
      <c r="E852" s="344"/>
      <c r="G852" s="344"/>
    </row>
    <row r="853" spans="1:7" ht="18" customHeight="1">
      <c r="A853" s="344"/>
      <c r="C853" s="344"/>
      <c r="D853" s="344"/>
      <c r="E853" s="344"/>
      <c r="G853" s="344"/>
    </row>
    <row r="854" spans="1:7" ht="18" customHeight="1">
      <c r="A854" s="344"/>
      <c r="C854" s="344"/>
      <c r="D854" s="344"/>
      <c r="E854" s="344"/>
      <c r="G854" s="344"/>
    </row>
    <row r="855" spans="1:7" ht="18" customHeight="1">
      <c r="A855" s="344"/>
      <c r="C855" s="344"/>
      <c r="D855" s="344"/>
      <c r="E855" s="344"/>
      <c r="G855" s="344"/>
    </row>
    <row r="856" spans="1:7" ht="18" customHeight="1">
      <c r="A856" s="344"/>
      <c r="C856" s="344"/>
      <c r="D856" s="344"/>
      <c r="E856" s="344"/>
      <c r="G856" s="344"/>
    </row>
    <row r="857" spans="1:7" ht="18" customHeight="1">
      <c r="A857" s="344"/>
      <c r="C857" s="344"/>
      <c r="D857" s="344"/>
      <c r="E857" s="344"/>
      <c r="G857" s="344"/>
    </row>
    <row r="858" spans="1:7" ht="18" customHeight="1">
      <c r="A858" s="344"/>
      <c r="C858" s="344"/>
      <c r="D858" s="344"/>
      <c r="E858" s="344"/>
      <c r="G858" s="344"/>
    </row>
    <row r="859" spans="1:7" ht="18" customHeight="1">
      <c r="A859" s="344"/>
      <c r="C859" s="344"/>
      <c r="D859" s="344"/>
      <c r="E859" s="344"/>
      <c r="G859" s="344"/>
    </row>
    <row r="860" spans="1:7" ht="18" customHeight="1">
      <c r="A860" s="344"/>
      <c r="C860" s="344"/>
      <c r="D860" s="344"/>
      <c r="E860" s="344"/>
      <c r="G860" s="344"/>
    </row>
    <row r="861" spans="1:7" ht="18" customHeight="1">
      <c r="A861" s="344"/>
      <c r="C861" s="344"/>
      <c r="D861" s="344"/>
      <c r="E861" s="344"/>
      <c r="G861" s="344"/>
    </row>
    <row r="862" spans="1:7" ht="18" customHeight="1">
      <c r="A862" s="344"/>
      <c r="C862" s="344"/>
      <c r="D862" s="344"/>
      <c r="E862" s="344"/>
      <c r="G862" s="344"/>
    </row>
    <row r="863" spans="1:7" ht="18" customHeight="1">
      <c r="A863" s="344"/>
      <c r="C863" s="344"/>
      <c r="D863" s="344"/>
      <c r="E863" s="344"/>
      <c r="G863" s="344"/>
    </row>
    <row r="864" spans="1:7" ht="18" customHeight="1">
      <c r="A864" s="344"/>
      <c r="C864" s="344"/>
      <c r="D864" s="344"/>
      <c r="E864" s="344"/>
      <c r="G864" s="344"/>
    </row>
    <row r="865" spans="1:7" ht="18" customHeight="1">
      <c r="A865" s="344"/>
      <c r="C865" s="344"/>
      <c r="D865" s="344"/>
      <c r="E865" s="344"/>
      <c r="G865" s="344"/>
    </row>
    <row r="866" spans="1:7" ht="18" customHeight="1">
      <c r="A866" s="344"/>
      <c r="C866" s="344"/>
      <c r="D866" s="344"/>
      <c r="E866" s="344"/>
      <c r="G866" s="344"/>
    </row>
    <row r="867" spans="1:7" ht="18" customHeight="1">
      <c r="A867" s="344"/>
      <c r="C867" s="344"/>
      <c r="D867" s="344"/>
      <c r="E867" s="344"/>
      <c r="G867" s="344"/>
    </row>
    <row r="868" spans="1:7" ht="18" customHeight="1">
      <c r="A868" s="344"/>
      <c r="C868" s="344"/>
      <c r="D868" s="344"/>
      <c r="E868" s="344"/>
      <c r="G868" s="344"/>
    </row>
    <row r="869" spans="1:7" ht="18" customHeight="1">
      <c r="A869" s="344"/>
      <c r="C869" s="344"/>
      <c r="D869" s="344"/>
      <c r="E869" s="344"/>
      <c r="G869" s="344"/>
    </row>
    <row r="870" spans="1:7" ht="18" customHeight="1">
      <c r="A870" s="344"/>
      <c r="C870" s="344"/>
      <c r="D870" s="344"/>
      <c r="E870" s="344"/>
      <c r="G870" s="344"/>
    </row>
    <row r="871" spans="1:7" ht="18" customHeight="1">
      <c r="A871" s="344"/>
      <c r="C871" s="344"/>
      <c r="D871" s="344"/>
      <c r="E871" s="344"/>
      <c r="G871" s="344"/>
    </row>
    <row r="872" spans="1:7" ht="18" customHeight="1">
      <c r="A872" s="344"/>
      <c r="C872" s="344"/>
      <c r="D872" s="344"/>
      <c r="E872" s="344"/>
      <c r="G872" s="344"/>
    </row>
    <row r="873" spans="1:7" ht="18" customHeight="1">
      <c r="A873" s="344"/>
      <c r="C873" s="344"/>
      <c r="D873" s="344"/>
      <c r="E873" s="344"/>
      <c r="G873" s="344"/>
    </row>
    <row r="874" spans="1:7" ht="18" customHeight="1">
      <c r="A874" s="344"/>
      <c r="C874" s="344"/>
      <c r="D874" s="344"/>
      <c r="E874" s="344"/>
      <c r="G874" s="344"/>
    </row>
    <row r="875" spans="1:7" ht="18" customHeight="1">
      <c r="A875" s="344"/>
      <c r="C875" s="344"/>
      <c r="D875" s="344"/>
      <c r="E875" s="344"/>
      <c r="G875" s="344"/>
    </row>
    <row r="876" spans="1:7" ht="18" customHeight="1">
      <c r="A876" s="344"/>
      <c r="C876" s="344"/>
      <c r="D876" s="344"/>
      <c r="E876" s="344"/>
      <c r="G876" s="344"/>
    </row>
    <row r="877" spans="1:7" ht="18" customHeight="1">
      <c r="A877" s="344"/>
      <c r="C877" s="344"/>
      <c r="D877" s="344"/>
      <c r="E877" s="344"/>
      <c r="G877" s="344"/>
    </row>
    <row r="878" spans="1:7" ht="18" customHeight="1">
      <c r="A878" s="344"/>
      <c r="C878" s="344"/>
      <c r="D878" s="344"/>
      <c r="E878" s="344"/>
      <c r="G878" s="344"/>
    </row>
    <row r="879" spans="1:7" ht="18" customHeight="1">
      <c r="A879" s="344"/>
      <c r="C879" s="344"/>
      <c r="D879" s="344"/>
      <c r="E879" s="344"/>
      <c r="G879" s="344"/>
    </row>
    <row r="880" spans="1:7" ht="18" customHeight="1">
      <c r="A880" s="344"/>
      <c r="C880" s="344"/>
      <c r="D880" s="344"/>
      <c r="E880" s="344"/>
      <c r="G880" s="344"/>
    </row>
    <row r="881" spans="1:7" ht="18" customHeight="1">
      <c r="A881" s="344"/>
      <c r="C881" s="344"/>
      <c r="D881" s="344"/>
      <c r="E881" s="344"/>
      <c r="G881" s="344"/>
    </row>
    <row r="882" spans="1:7" ht="18" customHeight="1">
      <c r="A882" s="344"/>
      <c r="C882" s="344"/>
      <c r="D882" s="344"/>
      <c r="E882" s="344"/>
      <c r="G882" s="344"/>
    </row>
    <row r="883" spans="1:7" ht="18" customHeight="1">
      <c r="A883" s="344"/>
      <c r="C883" s="344"/>
      <c r="D883" s="344"/>
      <c r="E883" s="344"/>
      <c r="G883" s="344"/>
    </row>
    <row r="884" spans="1:7" ht="18" customHeight="1">
      <c r="A884" s="344"/>
      <c r="C884" s="344"/>
      <c r="D884" s="344"/>
      <c r="E884" s="344"/>
      <c r="G884" s="344"/>
    </row>
    <row r="885" spans="1:7" ht="18" customHeight="1">
      <c r="A885" s="344"/>
      <c r="C885" s="344"/>
      <c r="D885" s="344"/>
      <c r="E885" s="344"/>
      <c r="G885" s="344"/>
    </row>
    <row r="886" spans="1:7" ht="18" customHeight="1">
      <c r="A886" s="344"/>
      <c r="C886" s="344"/>
      <c r="D886" s="344"/>
      <c r="E886" s="344"/>
      <c r="G886" s="344"/>
    </row>
    <row r="887" spans="1:7" ht="18" customHeight="1">
      <c r="A887" s="344"/>
      <c r="C887" s="344"/>
      <c r="D887" s="344"/>
      <c r="E887" s="344"/>
      <c r="G887" s="344"/>
    </row>
    <row r="888" spans="1:7" ht="18" customHeight="1">
      <c r="A888" s="344"/>
      <c r="C888" s="344"/>
      <c r="D888" s="344"/>
      <c r="E888" s="344"/>
      <c r="G888" s="344"/>
    </row>
    <row r="889" spans="1:7" ht="18" customHeight="1">
      <c r="A889" s="344"/>
      <c r="C889" s="344"/>
      <c r="D889" s="344"/>
      <c r="E889" s="344"/>
      <c r="G889" s="344"/>
    </row>
    <row r="890" spans="1:7" ht="18" customHeight="1">
      <c r="A890" s="344"/>
      <c r="C890" s="344"/>
      <c r="D890" s="344"/>
      <c r="E890" s="344"/>
      <c r="G890" s="344"/>
    </row>
    <row r="891" spans="1:7" ht="18" customHeight="1">
      <c r="A891" s="344"/>
      <c r="C891" s="344"/>
      <c r="D891" s="344"/>
      <c r="E891" s="344"/>
      <c r="G891" s="344"/>
    </row>
    <row r="892" spans="1:7" ht="18" customHeight="1">
      <c r="A892" s="344"/>
      <c r="C892" s="344"/>
      <c r="D892" s="344"/>
      <c r="E892" s="344"/>
      <c r="G892" s="344"/>
    </row>
    <row r="893" spans="1:7" ht="18" customHeight="1">
      <c r="A893" s="344"/>
      <c r="C893" s="344"/>
      <c r="D893" s="344"/>
      <c r="E893" s="344"/>
      <c r="G893" s="344"/>
    </row>
    <row r="894" spans="1:7" ht="18" customHeight="1">
      <c r="A894" s="344"/>
      <c r="C894" s="344"/>
      <c r="D894" s="344"/>
      <c r="E894" s="344"/>
      <c r="G894" s="344"/>
    </row>
    <row r="895" spans="1:7" ht="18" customHeight="1">
      <c r="A895" s="344"/>
      <c r="C895" s="344"/>
      <c r="D895" s="344"/>
      <c r="E895" s="344"/>
      <c r="G895" s="344"/>
    </row>
    <row r="896" spans="1:7" ht="18" customHeight="1">
      <c r="A896" s="344"/>
      <c r="C896" s="344"/>
      <c r="D896" s="344"/>
      <c r="E896" s="344"/>
      <c r="G896" s="344"/>
    </row>
    <row r="897" spans="1:7" ht="18" customHeight="1">
      <c r="A897" s="344"/>
      <c r="C897" s="344"/>
      <c r="D897" s="344"/>
      <c r="E897" s="344"/>
      <c r="G897" s="344"/>
    </row>
    <row r="898" spans="1:7" ht="18" customHeight="1">
      <c r="A898" s="344"/>
      <c r="C898" s="344"/>
      <c r="D898" s="344"/>
      <c r="E898" s="344"/>
      <c r="G898" s="344"/>
    </row>
    <row r="899" spans="1:7" ht="18" customHeight="1">
      <c r="A899" s="344"/>
      <c r="C899" s="344"/>
      <c r="D899" s="344"/>
      <c r="E899" s="344"/>
      <c r="G899" s="344"/>
    </row>
    <row r="900" spans="1:7" ht="18" customHeight="1">
      <c r="A900" s="344"/>
      <c r="C900" s="344"/>
      <c r="D900" s="344"/>
      <c r="E900" s="344"/>
      <c r="G900" s="344"/>
    </row>
    <row r="901" spans="1:7" ht="18" customHeight="1">
      <c r="A901" s="344"/>
      <c r="C901" s="344"/>
      <c r="D901" s="344"/>
      <c r="E901" s="344"/>
      <c r="G901" s="344"/>
    </row>
    <row r="902" spans="1:7" ht="18" customHeight="1">
      <c r="A902" s="344"/>
      <c r="C902" s="344"/>
      <c r="D902" s="344"/>
      <c r="E902" s="344"/>
      <c r="G902" s="344"/>
    </row>
    <row r="903" spans="1:7" ht="18" customHeight="1">
      <c r="A903" s="344"/>
      <c r="C903" s="344"/>
      <c r="D903" s="344"/>
      <c r="E903" s="344"/>
      <c r="G903" s="344"/>
    </row>
    <row r="904" spans="1:7" ht="18" customHeight="1">
      <c r="A904" s="344"/>
      <c r="C904" s="344"/>
      <c r="D904" s="344"/>
      <c r="E904" s="344"/>
      <c r="G904" s="344"/>
    </row>
    <row r="905" spans="1:7" ht="18" customHeight="1">
      <c r="A905" s="344"/>
      <c r="C905" s="344"/>
      <c r="D905" s="344"/>
      <c r="E905" s="344"/>
      <c r="G905" s="344"/>
    </row>
    <row r="906" spans="1:7" ht="18" customHeight="1">
      <c r="A906" s="344"/>
      <c r="C906" s="344"/>
      <c r="D906" s="344"/>
      <c r="E906" s="344"/>
      <c r="G906" s="344"/>
    </row>
    <row r="907" spans="1:7" ht="18" customHeight="1">
      <c r="A907" s="344"/>
      <c r="C907" s="344"/>
      <c r="D907" s="344"/>
      <c r="E907" s="344"/>
      <c r="G907" s="344"/>
    </row>
    <row r="908" spans="1:7" ht="18" customHeight="1">
      <c r="A908" s="344"/>
      <c r="C908" s="344"/>
      <c r="D908" s="344"/>
      <c r="E908" s="344"/>
      <c r="G908" s="344"/>
    </row>
    <row r="909" spans="1:7" ht="18" customHeight="1">
      <c r="A909" s="344"/>
      <c r="C909" s="344"/>
      <c r="D909" s="344"/>
      <c r="E909" s="344"/>
      <c r="G909" s="344"/>
    </row>
    <row r="910" spans="1:7" ht="18" customHeight="1">
      <c r="A910" s="344"/>
      <c r="C910" s="344"/>
      <c r="D910" s="344"/>
      <c r="E910" s="344"/>
      <c r="G910" s="344"/>
    </row>
    <row r="911" spans="1:7" ht="18" customHeight="1">
      <c r="A911" s="344"/>
      <c r="C911" s="344"/>
      <c r="D911" s="344"/>
      <c r="E911" s="344"/>
      <c r="G911" s="344"/>
    </row>
    <row r="912" spans="1:7" ht="18" customHeight="1">
      <c r="A912" s="344"/>
      <c r="C912" s="344"/>
      <c r="D912" s="344"/>
      <c r="E912" s="344"/>
      <c r="G912" s="344"/>
    </row>
    <row r="913" spans="1:7" ht="18" customHeight="1">
      <c r="A913" s="344"/>
      <c r="C913" s="344"/>
      <c r="D913" s="344"/>
      <c r="E913" s="344"/>
      <c r="G913" s="344"/>
    </row>
    <row r="914" spans="1:7" ht="18" customHeight="1">
      <c r="A914" s="344"/>
      <c r="C914" s="344"/>
      <c r="D914" s="344"/>
      <c r="E914" s="344"/>
      <c r="G914" s="344"/>
    </row>
    <row r="915" spans="1:7" ht="18" customHeight="1">
      <c r="A915" s="344"/>
      <c r="C915" s="344"/>
      <c r="D915" s="344"/>
      <c r="E915" s="344"/>
      <c r="G915" s="344"/>
    </row>
    <row r="916" spans="1:7" ht="18" customHeight="1">
      <c r="A916" s="344"/>
      <c r="C916" s="344"/>
      <c r="D916" s="344"/>
      <c r="E916" s="344"/>
      <c r="G916" s="344"/>
    </row>
    <row r="917" spans="1:7" ht="18" customHeight="1">
      <c r="A917" s="344"/>
      <c r="C917" s="344"/>
      <c r="D917" s="344"/>
      <c r="E917" s="344"/>
      <c r="G917" s="344"/>
    </row>
    <row r="918" spans="1:7" ht="18" customHeight="1">
      <c r="A918" s="344"/>
      <c r="C918" s="344"/>
      <c r="D918" s="344"/>
      <c r="E918" s="344"/>
      <c r="G918" s="344"/>
    </row>
    <row r="919" spans="1:7" ht="18" customHeight="1">
      <c r="A919" s="344"/>
      <c r="C919" s="344"/>
      <c r="D919" s="344"/>
      <c r="E919" s="344"/>
      <c r="G919" s="344"/>
    </row>
    <row r="920" spans="1:7" ht="18" customHeight="1">
      <c r="A920" s="344"/>
      <c r="C920" s="344"/>
      <c r="D920" s="344"/>
      <c r="E920" s="344"/>
      <c r="G920" s="344"/>
    </row>
    <row r="921" spans="1:7" ht="18" customHeight="1">
      <c r="A921" s="344"/>
      <c r="C921" s="344"/>
      <c r="D921" s="344"/>
      <c r="E921" s="344"/>
      <c r="G921" s="344"/>
    </row>
    <row r="922" spans="1:7" ht="18" customHeight="1">
      <c r="A922" s="344"/>
      <c r="C922" s="344"/>
      <c r="D922" s="344"/>
      <c r="E922" s="344"/>
      <c r="G922" s="344"/>
    </row>
    <row r="923" spans="1:7" ht="18" customHeight="1">
      <c r="A923" s="344"/>
      <c r="C923" s="344"/>
      <c r="D923" s="344"/>
      <c r="E923" s="344"/>
      <c r="G923" s="344"/>
    </row>
    <row r="924" spans="1:7" ht="18" customHeight="1">
      <c r="A924" s="344"/>
      <c r="C924" s="344"/>
      <c r="D924" s="344"/>
      <c r="E924" s="344"/>
      <c r="G924" s="344"/>
    </row>
    <row r="925" spans="1:7" ht="18" customHeight="1">
      <c r="A925" s="344"/>
      <c r="C925" s="344"/>
      <c r="D925" s="344"/>
      <c r="E925" s="344"/>
      <c r="G925" s="344"/>
    </row>
    <row r="926" spans="1:7" ht="18" customHeight="1">
      <c r="A926" s="344"/>
      <c r="C926" s="344"/>
      <c r="D926" s="344"/>
      <c r="E926" s="344"/>
      <c r="G926" s="344"/>
    </row>
    <row r="927" spans="1:7" ht="18" customHeight="1">
      <c r="A927" s="344"/>
      <c r="C927" s="344"/>
      <c r="D927" s="344"/>
      <c r="E927" s="344"/>
      <c r="G927" s="344"/>
    </row>
    <row r="928" spans="1:7" ht="18" customHeight="1">
      <c r="A928" s="344"/>
      <c r="C928" s="344"/>
      <c r="D928" s="344"/>
      <c r="E928" s="344"/>
      <c r="G928" s="344"/>
    </row>
    <row r="929" spans="1:7" ht="18" customHeight="1">
      <c r="A929" s="344"/>
      <c r="C929" s="344"/>
      <c r="D929" s="344"/>
      <c r="E929" s="344"/>
      <c r="G929" s="344"/>
    </row>
    <row r="930" spans="1:7" ht="18" customHeight="1">
      <c r="A930" s="344"/>
      <c r="C930" s="344"/>
      <c r="D930" s="344"/>
      <c r="E930" s="344"/>
      <c r="G930" s="344"/>
    </row>
    <row r="931" spans="1:7" ht="18" customHeight="1">
      <c r="A931" s="344"/>
      <c r="C931" s="344"/>
      <c r="D931" s="344"/>
      <c r="E931" s="344"/>
      <c r="G931" s="344"/>
    </row>
    <row r="932" spans="1:7" ht="18" customHeight="1">
      <c r="A932" s="344"/>
      <c r="C932" s="344"/>
      <c r="D932" s="344"/>
      <c r="E932" s="344"/>
      <c r="G932" s="344"/>
    </row>
    <row r="933" spans="1:7" ht="18" customHeight="1">
      <c r="A933" s="344"/>
      <c r="C933" s="344"/>
      <c r="D933" s="344"/>
      <c r="E933" s="344"/>
      <c r="G933" s="344"/>
    </row>
    <row r="934" spans="1:7" ht="18" customHeight="1">
      <c r="A934" s="344"/>
      <c r="C934" s="344"/>
      <c r="D934" s="344"/>
      <c r="E934" s="344"/>
      <c r="G934" s="344"/>
    </row>
    <row r="935" spans="1:7" ht="18" customHeight="1">
      <c r="A935" s="344"/>
      <c r="C935" s="344"/>
      <c r="D935" s="344"/>
      <c r="E935" s="344"/>
      <c r="G935" s="344"/>
    </row>
    <row r="936" spans="1:7" ht="18" customHeight="1">
      <c r="A936" s="344"/>
      <c r="C936" s="344"/>
      <c r="D936" s="344"/>
      <c r="E936" s="344"/>
      <c r="G936" s="344"/>
    </row>
    <row r="937" spans="1:7" ht="18" customHeight="1">
      <c r="A937" s="344"/>
      <c r="C937" s="344"/>
      <c r="D937" s="344"/>
      <c r="E937" s="344"/>
      <c r="G937" s="344"/>
    </row>
    <row r="938" spans="1:7" ht="18" customHeight="1">
      <c r="A938" s="344"/>
      <c r="C938" s="344"/>
      <c r="D938" s="344"/>
      <c r="E938" s="344"/>
      <c r="G938" s="344"/>
    </row>
    <row r="939" spans="1:7" ht="18" customHeight="1">
      <c r="A939" s="344"/>
      <c r="C939" s="344"/>
      <c r="D939" s="344"/>
      <c r="E939" s="344"/>
      <c r="G939" s="344"/>
    </row>
    <row r="940" spans="1:7" ht="18" customHeight="1">
      <c r="A940" s="344"/>
      <c r="C940" s="344"/>
      <c r="D940" s="344"/>
      <c r="E940" s="344"/>
      <c r="G940" s="344"/>
    </row>
    <row r="941" spans="1:7" ht="18" customHeight="1">
      <c r="A941" s="344"/>
      <c r="C941" s="344"/>
      <c r="D941" s="344"/>
      <c r="E941" s="344"/>
      <c r="G941" s="344"/>
    </row>
    <row r="942" spans="1:7" ht="18" customHeight="1">
      <c r="A942" s="344"/>
      <c r="C942" s="344"/>
      <c r="D942" s="344"/>
      <c r="E942" s="344"/>
      <c r="G942" s="344"/>
    </row>
    <row r="943" spans="1:7" ht="18" customHeight="1">
      <c r="A943" s="344"/>
      <c r="C943" s="344"/>
      <c r="D943" s="344"/>
      <c r="E943" s="344"/>
      <c r="G943" s="344"/>
    </row>
    <row r="944" spans="1:7" ht="18" customHeight="1">
      <c r="A944" s="344"/>
      <c r="C944" s="344"/>
      <c r="D944" s="344"/>
      <c r="E944" s="344"/>
      <c r="G944" s="344"/>
    </row>
    <row r="945" spans="1:7" ht="18" customHeight="1">
      <c r="A945" s="344"/>
      <c r="C945" s="344"/>
      <c r="D945" s="344"/>
      <c r="E945" s="344"/>
      <c r="G945" s="344"/>
    </row>
    <row r="946" spans="1:7" ht="18" customHeight="1">
      <c r="A946" s="344"/>
      <c r="C946" s="344"/>
      <c r="D946" s="344"/>
      <c r="E946" s="344"/>
      <c r="G946" s="344"/>
    </row>
    <row r="947" spans="1:7" ht="18" customHeight="1">
      <c r="A947" s="344"/>
      <c r="C947" s="344"/>
      <c r="D947" s="344"/>
      <c r="E947" s="344"/>
      <c r="G947" s="344"/>
    </row>
    <row r="948" spans="1:7" ht="18" customHeight="1">
      <c r="A948" s="344"/>
      <c r="C948" s="344"/>
      <c r="D948" s="344"/>
      <c r="E948" s="344"/>
      <c r="G948" s="344"/>
    </row>
    <row r="949" spans="1:7" ht="18" customHeight="1">
      <c r="A949" s="344"/>
      <c r="C949" s="344"/>
      <c r="D949" s="344"/>
      <c r="E949" s="344"/>
      <c r="G949" s="344"/>
    </row>
    <row r="950" spans="1:7" ht="18" customHeight="1">
      <c r="A950" s="344"/>
      <c r="C950" s="344"/>
      <c r="D950" s="344"/>
      <c r="E950" s="344"/>
      <c r="G950" s="344"/>
    </row>
    <row r="951" spans="1:7" ht="18" customHeight="1">
      <c r="A951" s="344"/>
      <c r="C951" s="344"/>
      <c r="D951" s="344"/>
      <c r="E951" s="344"/>
      <c r="G951" s="344"/>
    </row>
    <row r="952" spans="1:7" ht="18" customHeight="1">
      <c r="A952" s="344"/>
      <c r="C952" s="344"/>
      <c r="D952" s="344"/>
      <c r="E952" s="344"/>
      <c r="G952" s="344"/>
    </row>
    <row r="953" spans="1:7" ht="18" customHeight="1">
      <c r="A953" s="344"/>
      <c r="C953" s="344"/>
      <c r="D953" s="344"/>
      <c r="E953" s="344"/>
      <c r="G953" s="344"/>
    </row>
    <row r="954" spans="1:7" ht="18" customHeight="1">
      <c r="A954" s="344"/>
      <c r="C954" s="344"/>
      <c r="D954" s="344"/>
      <c r="E954" s="344"/>
      <c r="G954" s="344"/>
    </row>
    <row r="955" spans="1:7" ht="18" customHeight="1">
      <c r="A955" s="344"/>
      <c r="C955" s="344"/>
      <c r="D955" s="344"/>
      <c r="E955" s="344"/>
      <c r="G955" s="344"/>
    </row>
    <row r="956" spans="1:7" ht="18" customHeight="1">
      <c r="A956" s="344"/>
      <c r="C956" s="344"/>
      <c r="D956" s="344"/>
      <c r="E956" s="344"/>
      <c r="G956" s="344"/>
    </row>
    <row r="957" spans="1:7" ht="18" customHeight="1">
      <c r="A957" s="344"/>
      <c r="C957" s="344"/>
      <c r="D957" s="344"/>
      <c r="E957" s="344"/>
      <c r="G957" s="344"/>
    </row>
    <row r="958" spans="1:7" ht="18" customHeight="1">
      <c r="A958" s="344"/>
      <c r="C958" s="344"/>
      <c r="D958" s="344"/>
      <c r="E958" s="344"/>
      <c r="G958" s="344"/>
    </row>
    <row r="959" spans="1:7" ht="18" customHeight="1">
      <c r="A959" s="344"/>
      <c r="C959" s="344"/>
      <c r="D959" s="344"/>
      <c r="E959" s="344"/>
      <c r="G959" s="344"/>
    </row>
    <row r="960" spans="1:7" ht="18" customHeight="1">
      <c r="A960" s="344"/>
      <c r="C960" s="344"/>
      <c r="D960" s="344"/>
      <c r="E960" s="344"/>
      <c r="G960" s="344"/>
    </row>
    <row r="961" spans="1:7" ht="18" customHeight="1">
      <c r="A961" s="344"/>
      <c r="C961" s="344"/>
      <c r="D961" s="344"/>
      <c r="E961" s="344"/>
      <c r="G961" s="344"/>
    </row>
    <row r="962" spans="1:7" ht="18" customHeight="1">
      <c r="A962" s="344"/>
      <c r="C962" s="344"/>
      <c r="D962" s="344"/>
      <c r="E962" s="344"/>
      <c r="G962" s="344"/>
    </row>
    <row r="963" spans="1:7" ht="18" customHeight="1">
      <c r="A963" s="344"/>
      <c r="C963" s="344"/>
      <c r="D963" s="344"/>
      <c r="E963" s="344"/>
      <c r="G963" s="344"/>
    </row>
    <row r="964" spans="1:7" ht="18" customHeight="1">
      <c r="A964" s="344"/>
      <c r="C964" s="344"/>
      <c r="D964" s="344"/>
      <c r="E964" s="344"/>
      <c r="G964" s="344"/>
    </row>
    <row r="965" spans="1:7" ht="18" customHeight="1">
      <c r="A965" s="344"/>
      <c r="C965" s="344"/>
      <c r="D965" s="344"/>
      <c r="E965" s="344"/>
      <c r="G965" s="344"/>
    </row>
    <row r="966" spans="1:7" ht="18" customHeight="1">
      <c r="A966" s="344"/>
      <c r="C966" s="344"/>
      <c r="D966" s="344"/>
      <c r="E966" s="344"/>
      <c r="G966" s="344"/>
    </row>
    <row r="967" spans="1:7" ht="18" customHeight="1">
      <c r="A967" s="344"/>
      <c r="C967" s="344"/>
      <c r="D967" s="344"/>
      <c r="E967" s="344"/>
      <c r="G967" s="344"/>
    </row>
    <row r="968" spans="1:7" ht="18" customHeight="1">
      <c r="A968" s="344"/>
      <c r="C968" s="344"/>
      <c r="D968" s="344"/>
      <c r="E968" s="344"/>
      <c r="G968" s="344"/>
    </row>
    <row r="969" spans="1:7" ht="18" customHeight="1">
      <c r="A969" s="344"/>
      <c r="C969" s="344"/>
      <c r="D969" s="344"/>
      <c r="E969" s="344"/>
      <c r="G969" s="344"/>
    </row>
    <row r="970" spans="1:7" ht="18" customHeight="1">
      <c r="A970" s="344"/>
      <c r="C970" s="344"/>
      <c r="D970" s="344"/>
      <c r="E970" s="344"/>
      <c r="G970" s="344"/>
    </row>
    <row r="971" spans="1:7" ht="18" customHeight="1">
      <c r="A971" s="344"/>
      <c r="C971" s="344"/>
      <c r="D971" s="344"/>
      <c r="E971" s="344"/>
      <c r="G971" s="344"/>
    </row>
    <row r="972" spans="1:7" ht="18" customHeight="1">
      <c r="A972" s="344"/>
      <c r="C972" s="344"/>
      <c r="D972" s="344"/>
      <c r="E972" s="344"/>
      <c r="G972" s="344"/>
    </row>
    <row r="973" spans="1:7" ht="18" customHeight="1">
      <c r="A973" s="344"/>
      <c r="C973" s="344"/>
      <c r="D973" s="344"/>
      <c r="E973" s="344"/>
      <c r="G973" s="344"/>
    </row>
    <row r="974" spans="1:7" ht="18" customHeight="1">
      <c r="A974" s="344"/>
      <c r="C974" s="344"/>
      <c r="D974" s="344"/>
      <c r="E974" s="344"/>
      <c r="G974" s="344"/>
    </row>
    <row r="975" spans="1:7" ht="18" customHeight="1">
      <c r="A975" s="344"/>
      <c r="C975" s="344"/>
      <c r="D975" s="344"/>
      <c r="E975" s="344"/>
      <c r="G975" s="344"/>
    </row>
    <row r="976" spans="1:7" ht="18" customHeight="1">
      <c r="A976" s="344"/>
      <c r="C976" s="344"/>
      <c r="D976" s="344"/>
      <c r="E976" s="344"/>
      <c r="G976" s="344"/>
    </row>
    <row r="977" spans="1:7" ht="18" customHeight="1">
      <c r="A977" s="344"/>
      <c r="C977" s="344"/>
      <c r="D977" s="344"/>
      <c r="E977" s="344"/>
      <c r="G977" s="344"/>
    </row>
    <row r="978" spans="1:7" ht="18" customHeight="1">
      <c r="A978" s="344"/>
      <c r="C978" s="344"/>
      <c r="D978" s="344"/>
      <c r="E978" s="344"/>
      <c r="G978" s="344"/>
    </row>
    <row r="979" spans="1:7" ht="18" customHeight="1">
      <c r="A979" s="344"/>
      <c r="C979" s="344"/>
      <c r="D979" s="344"/>
      <c r="E979" s="344"/>
      <c r="G979" s="344"/>
    </row>
    <row r="980" spans="1:7" ht="18" customHeight="1">
      <c r="A980" s="344"/>
      <c r="C980" s="344"/>
      <c r="D980" s="344"/>
      <c r="E980" s="344"/>
      <c r="G980" s="344"/>
    </row>
    <row r="981" spans="1:7" ht="18" customHeight="1">
      <c r="A981" s="344"/>
      <c r="C981" s="344"/>
      <c r="D981" s="344"/>
      <c r="E981" s="344"/>
      <c r="G981" s="344"/>
    </row>
    <row r="982" spans="1:7" ht="18" customHeight="1">
      <c r="A982" s="344"/>
      <c r="C982" s="344"/>
      <c r="D982" s="344"/>
      <c r="E982" s="344"/>
      <c r="G982" s="344"/>
    </row>
    <row r="983" spans="1:7" ht="18" customHeight="1">
      <c r="A983" s="344"/>
      <c r="C983" s="344"/>
      <c r="D983" s="344"/>
      <c r="E983" s="344"/>
      <c r="G983" s="344"/>
    </row>
    <row r="984" spans="1:7" ht="18" customHeight="1">
      <c r="A984" s="344"/>
      <c r="C984" s="344"/>
      <c r="D984" s="344"/>
      <c r="E984" s="344"/>
      <c r="G984" s="344"/>
    </row>
    <row r="985" spans="1:7" ht="18" customHeight="1">
      <c r="A985" s="344"/>
      <c r="C985" s="344"/>
      <c r="D985" s="344"/>
      <c r="E985" s="344"/>
      <c r="G985" s="344"/>
    </row>
    <row r="986" spans="1:7" ht="18" customHeight="1">
      <c r="A986" s="344"/>
      <c r="C986" s="344"/>
      <c r="D986" s="344"/>
      <c r="E986" s="344"/>
      <c r="G986" s="344"/>
    </row>
    <row r="987" spans="1:7" ht="18" customHeight="1">
      <c r="A987" s="344"/>
      <c r="C987" s="344"/>
      <c r="D987" s="344"/>
      <c r="E987" s="344"/>
      <c r="G987" s="344"/>
    </row>
    <row r="988" spans="1:7" ht="18" customHeight="1">
      <c r="A988" s="344"/>
      <c r="C988" s="344"/>
      <c r="D988" s="344"/>
      <c r="E988" s="344"/>
      <c r="G988" s="344"/>
    </row>
    <row r="989" spans="1:7" ht="18" customHeight="1">
      <c r="A989" s="344"/>
      <c r="C989" s="344"/>
      <c r="D989" s="344"/>
      <c r="E989" s="344"/>
      <c r="G989" s="344"/>
    </row>
    <row r="990" spans="1:7" ht="18" customHeight="1">
      <c r="A990" s="344"/>
      <c r="C990" s="344"/>
      <c r="D990" s="344"/>
      <c r="E990" s="344"/>
      <c r="G990" s="344"/>
    </row>
    <row r="991" spans="1:7" ht="18" customHeight="1">
      <c r="A991" s="344"/>
      <c r="C991" s="344"/>
      <c r="D991" s="344"/>
      <c r="E991" s="344"/>
      <c r="G991" s="344"/>
    </row>
    <row r="992" spans="1:7" ht="18" customHeight="1">
      <c r="A992" s="344"/>
      <c r="C992" s="344"/>
      <c r="D992" s="344"/>
      <c r="E992" s="344"/>
      <c r="G992" s="344"/>
    </row>
    <row r="993" spans="1:7" ht="18" customHeight="1">
      <c r="A993" s="344"/>
      <c r="C993" s="344"/>
      <c r="D993" s="344"/>
      <c r="E993" s="344"/>
      <c r="G993" s="344"/>
    </row>
    <row r="994" spans="1:7" ht="18" customHeight="1">
      <c r="A994" s="344"/>
      <c r="C994" s="344"/>
      <c r="D994" s="344"/>
      <c r="E994" s="344"/>
      <c r="G994" s="344"/>
    </row>
    <row r="995" spans="1:7" ht="18" customHeight="1">
      <c r="A995" s="344"/>
      <c r="C995" s="344"/>
      <c r="D995" s="344"/>
      <c r="E995" s="344"/>
      <c r="G995" s="344"/>
    </row>
    <row r="996" spans="1:7" ht="18" customHeight="1">
      <c r="A996" s="344"/>
      <c r="C996" s="344"/>
      <c r="D996" s="344"/>
      <c r="E996" s="344"/>
      <c r="G996" s="344"/>
    </row>
    <row r="997" spans="1:7" ht="18" customHeight="1">
      <c r="A997" s="344"/>
      <c r="C997" s="344"/>
      <c r="D997" s="344"/>
      <c r="E997" s="344"/>
      <c r="G997" s="344"/>
    </row>
    <row r="998" spans="1:7" ht="18" customHeight="1">
      <c r="A998" s="344"/>
      <c r="C998" s="344"/>
      <c r="D998" s="344"/>
      <c r="E998" s="344"/>
      <c r="G998" s="344"/>
    </row>
    <row r="999" spans="1:7" ht="18" customHeight="1">
      <c r="A999" s="344"/>
      <c r="C999" s="344"/>
      <c r="D999" s="344"/>
      <c r="E999" s="344"/>
      <c r="G999" s="344"/>
    </row>
    <row r="1000" spans="1:7" ht="18" customHeight="1">
      <c r="A1000" s="344"/>
      <c r="C1000" s="344"/>
      <c r="D1000" s="344"/>
      <c r="E1000" s="344"/>
      <c r="G1000" s="344"/>
    </row>
    <row r="1001" spans="1:7" ht="18" customHeight="1">
      <c r="A1001" s="344"/>
      <c r="C1001" s="344"/>
      <c r="D1001" s="344"/>
      <c r="E1001" s="344"/>
      <c r="G1001" s="344"/>
    </row>
    <row r="1002" spans="1:7" ht="18" customHeight="1">
      <c r="A1002" s="344"/>
      <c r="C1002" s="344"/>
      <c r="D1002" s="344"/>
      <c r="E1002" s="344"/>
      <c r="G1002" s="344"/>
    </row>
    <row r="1003" spans="1:7" ht="18" customHeight="1">
      <c r="A1003" s="344"/>
      <c r="C1003" s="344"/>
      <c r="D1003" s="344"/>
      <c r="E1003" s="344"/>
      <c r="G1003" s="344"/>
    </row>
    <row r="1004" spans="1:7" ht="18" customHeight="1">
      <c r="A1004" s="344"/>
      <c r="C1004" s="344"/>
      <c r="D1004" s="344"/>
      <c r="E1004" s="344"/>
      <c r="G1004" s="344"/>
    </row>
    <row r="1005" spans="1:7" ht="18" customHeight="1">
      <c r="A1005" s="344"/>
      <c r="C1005" s="344"/>
      <c r="D1005" s="344"/>
      <c r="E1005" s="344"/>
      <c r="G1005" s="344"/>
    </row>
    <row r="1006" spans="1:7" ht="18" customHeight="1">
      <c r="A1006" s="344"/>
      <c r="C1006" s="344"/>
      <c r="D1006" s="344"/>
      <c r="E1006" s="344"/>
      <c r="G1006" s="344"/>
    </row>
    <row r="1007" spans="1:7" ht="18" customHeight="1">
      <c r="A1007" s="344"/>
      <c r="C1007" s="344"/>
      <c r="D1007" s="344"/>
      <c r="E1007" s="344"/>
      <c r="G1007" s="344"/>
    </row>
    <row r="1008" spans="1:7" ht="18" customHeight="1">
      <c r="A1008" s="344"/>
      <c r="C1008" s="344"/>
      <c r="D1008" s="344"/>
      <c r="E1008" s="344"/>
      <c r="G1008" s="344"/>
    </row>
    <row r="1009" spans="1:7" ht="18" customHeight="1">
      <c r="A1009" s="344"/>
      <c r="C1009" s="344"/>
      <c r="D1009" s="344"/>
      <c r="E1009" s="344"/>
      <c r="G1009" s="344"/>
    </row>
    <row r="1010" spans="1:7" ht="18" customHeight="1">
      <c r="A1010" s="344"/>
      <c r="C1010" s="344"/>
      <c r="D1010" s="344"/>
      <c r="E1010" s="344"/>
      <c r="G1010" s="344"/>
    </row>
    <row r="1011" spans="1:7" ht="18" customHeight="1">
      <c r="A1011" s="344"/>
      <c r="C1011" s="344"/>
      <c r="D1011" s="344"/>
      <c r="E1011" s="344"/>
      <c r="G1011" s="344"/>
    </row>
    <row r="1012" spans="1:7" ht="18" customHeight="1">
      <c r="A1012" s="344"/>
      <c r="C1012" s="344"/>
      <c r="D1012" s="344"/>
      <c r="E1012" s="344"/>
      <c r="G1012" s="344"/>
    </row>
    <row r="1013" spans="1:7" ht="18" customHeight="1">
      <c r="A1013" s="344"/>
      <c r="C1013" s="344"/>
      <c r="D1013" s="344"/>
      <c r="E1013" s="344"/>
      <c r="G1013" s="344"/>
    </row>
    <row r="1014" spans="1:7" ht="18" customHeight="1">
      <c r="A1014" s="344"/>
      <c r="C1014" s="344"/>
      <c r="D1014" s="344"/>
      <c r="E1014" s="344"/>
      <c r="G1014" s="344"/>
    </row>
    <row r="1015" spans="1:7" ht="18" customHeight="1">
      <c r="A1015" s="344"/>
      <c r="C1015" s="344"/>
      <c r="D1015" s="344"/>
      <c r="E1015" s="344"/>
      <c r="G1015" s="344"/>
    </row>
    <row r="1016" spans="1:7" ht="18" customHeight="1">
      <c r="A1016" s="344"/>
      <c r="C1016" s="344"/>
      <c r="D1016" s="344"/>
      <c r="E1016" s="344"/>
      <c r="G1016" s="344"/>
    </row>
    <row r="1017" spans="1:7" ht="18" customHeight="1">
      <c r="A1017" s="344"/>
      <c r="C1017" s="344"/>
      <c r="D1017" s="344"/>
      <c r="E1017" s="344"/>
      <c r="G1017" s="344"/>
    </row>
    <row r="1018" spans="1:7" ht="18" customHeight="1">
      <c r="A1018" s="344"/>
      <c r="C1018" s="344"/>
      <c r="D1018" s="344"/>
      <c r="E1018" s="344"/>
      <c r="G1018" s="344"/>
    </row>
    <row r="1019" spans="1:7" ht="18" customHeight="1">
      <c r="A1019" s="344"/>
      <c r="C1019" s="344"/>
      <c r="D1019" s="344"/>
      <c r="E1019" s="344"/>
      <c r="G1019" s="344"/>
    </row>
    <row r="1020" spans="1:7" ht="18" customHeight="1">
      <c r="A1020" s="344"/>
      <c r="C1020" s="344"/>
      <c r="D1020" s="344"/>
      <c r="E1020" s="344"/>
      <c r="G1020" s="344"/>
    </row>
    <row r="1021" spans="1:7" ht="18" customHeight="1">
      <c r="A1021" s="344"/>
      <c r="C1021" s="344"/>
      <c r="D1021" s="344"/>
      <c r="E1021" s="344"/>
      <c r="G1021" s="344"/>
    </row>
    <row r="1022" spans="1:7" ht="18" customHeight="1">
      <c r="A1022" s="344"/>
      <c r="C1022" s="344"/>
      <c r="D1022" s="344"/>
      <c r="E1022" s="344"/>
      <c r="G1022" s="344"/>
    </row>
    <row r="1023" spans="1:7" ht="18" customHeight="1">
      <c r="A1023" s="344"/>
      <c r="C1023" s="344"/>
      <c r="D1023" s="344"/>
      <c r="E1023" s="344"/>
      <c r="G1023" s="344"/>
    </row>
    <row r="1024" spans="1:7" ht="18" customHeight="1">
      <c r="A1024" s="344"/>
      <c r="C1024" s="344"/>
      <c r="D1024" s="344"/>
      <c r="E1024" s="344"/>
      <c r="G1024" s="344"/>
    </row>
    <row r="1025" spans="1:7" ht="18" customHeight="1">
      <c r="A1025" s="344"/>
      <c r="C1025" s="344"/>
      <c r="D1025" s="344"/>
      <c r="E1025" s="344"/>
      <c r="G1025" s="344"/>
    </row>
    <row r="1026" spans="1:7" ht="18" customHeight="1">
      <c r="A1026" s="344"/>
      <c r="C1026" s="344"/>
      <c r="D1026" s="344"/>
      <c r="E1026" s="344"/>
      <c r="G1026" s="344"/>
    </row>
    <row r="1027" spans="1:7" ht="18" customHeight="1">
      <c r="A1027" s="344"/>
      <c r="C1027" s="344"/>
      <c r="D1027" s="344"/>
      <c r="E1027" s="344"/>
      <c r="G1027" s="344"/>
    </row>
    <row r="1028" spans="1:7" ht="18" customHeight="1">
      <c r="A1028" s="344"/>
      <c r="C1028" s="344"/>
      <c r="D1028" s="344"/>
      <c r="E1028" s="344"/>
      <c r="G1028" s="344"/>
    </row>
    <row r="1029" spans="1:7" ht="18" customHeight="1">
      <c r="A1029" s="344"/>
      <c r="C1029" s="344"/>
      <c r="D1029" s="344"/>
      <c r="E1029" s="344"/>
      <c r="G1029" s="344"/>
    </row>
    <row r="1030" spans="1:7" ht="18" customHeight="1">
      <c r="A1030" s="344"/>
      <c r="C1030" s="344"/>
      <c r="D1030" s="344"/>
      <c r="E1030" s="344"/>
      <c r="G1030" s="344"/>
    </row>
    <row r="1031" spans="1:7" ht="18" customHeight="1">
      <c r="A1031" s="344"/>
      <c r="C1031" s="344"/>
      <c r="D1031" s="344"/>
      <c r="E1031" s="344"/>
      <c r="G1031" s="344"/>
    </row>
    <row r="1032" spans="1:7" ht="18" customHeight="1">
      <c r="A1032" s="344"/>
      <c r="C1032" s="344"/>
      <c r="D1032" s="344"/>
      <c r="E1032" s="344"/>
      <c r="G1032" s="344"/>
    </row>
    <row r="1033" spans="1:7" ht="18" customHeight="1">
      <c r="A1033" s="344"/>
      <c r="C1033" s="344"/>
      <c r="D1033" s="344"/>
      <c r="E1033" s="344"/>
      <c r="G1033" s="344"/>
    </row>
    <row r="1034" spans="1:7" ht="18" customHeight="1">
      <c r="A1034" s="344"/>
      <c r="C1034" s="344"/>
      <c r="D1034" s="344"/>
      <c r="E1034" s="344"/>
      <c r="G1034" s="344"/>
    </row>
    <row r="1035" spans="1:7" ht="18" customHeight="1">
      <c r="A1035" s="344"/>
      <c r="C1035" s="344"/>
      <c r="D1035" s="344"/>
      <c r="E1035" s="344"/>
      <c r="G1035" s="344"/>
    </row>
    <row r="1036" spans="1:7" ht="18" customHeight="1">
      <c r="A1036" s="344"/>
      <c r="C1036" s="344"/>
      <c r="D1036" s="344"/>
      <c r="E1036" s="344"/>
      <c r="G1036" s="344"/>
    </row>
    <row r="1037" spans="1:7" ht="18" customHeight="1">
      <c r="A1037" s="344"/>
      <c r="C1037" s="344"/>
      <c r="D1037" s="344"/>
      <c r="E1037" s="344"/>
      <c r="G1037" s="344"/>
    </row>
    <row r="1038" spans="1:7" ht="18" customHeight="1">
      <c r="A1038" s="344"/>
      <c r="C1038" s="344"/>
      <c r="D1038" s="344"/>
      <c r="E1038" s="344"/>
      <c r="G1038" s="344"/>
    </row>
    <row r="1039" spans="1:7" ht="18" customHeight="1">
      <c r="A1039" s="344"/>
      <c r="C1039" s="344"/>
      <c r="D1039" s="344"/>
      <c r="E1039" s="344"/>
      <c r="G1039" s="344"/>
    </row>
    <row r="1040" spans="1:7" ht="18" customHeight="1">
      <c r="A1040" s="344"/>
      <c r="C1040" s="344"/>
      <c r="D1040" s="344"/>
      <c r="E1040" s="344"/>
      <c r="G1040" s="344"/>
    </row>
    <row r="1041" spans="1:7" ht="18" customHeight="1">
      <c r="A1041" s="344"/>
      <c r="C1041" s="344"/>
      <c r="D1041" s="344"/>
      <c r="E1041" s="344"/>
      <c r="G1041" s="344"/>
    </row>
    <row r="1042" spans="1:7" ht="18" customHeight="1">
      <c r="A1042" s="344"/>
      <c r="C1042" s="344"/>
      <c r="D1042" s="344"/>
      <c r="E1042" s="344"/>
      <c r="G1042" s="344"/>
    </row>
    <row r="1043" spans="1:7" ht="18" customHeight="1">
      <c r="A1043" s="344"/>
      <c r="C1043" s="344"/>
      <c r="D1043" s="344"/>
      <c r="E1043" s="344"/>
      <c r="G1043" s="344"/>
    </row>
    <row r="1044" spans="1:7" ht="18" customHeight="1">
      <c r="A1044" s="344"/>
      <c r="C1044" s="344"/>
      <c r="D1044" s="344"/>
      <c r="E1044" s="344"/>
      <c r="G1044" s="344"/>
    </row>
    <row r="1045" spans="1:7" ht="18" customHeight="1">
      <c r="A1045" s="344"/>
      <c r="C1045" s="344"/>
      <c r="D1045" s="344"/>
      <c r="E1045" s="344"/>
      <c r="G1045" s="344"/>
    </row>
    <row r="1046" spans="1:7" ht="18" customHeight="1">
      <c r="A1046" s="344"/>
      <c r="C1046" s="344"/>
      <c r="D1046" s="344"/>
      <c r="E1046" s="344"/>
      <c r="G1046" s="344"/>
    </row>
    <row r="1047" spans="1:7" ht="18" customHeight="1">
      <c r="A1047" s="344"/>
      <c r="C1047" s="344"/>
      <c r="D1047" s="344"/>
      <c r="E1047" s="344"/>
      <c r="G1047" s="344"/>
    </row>
    <row r="1048" spans="1:7" ht="18" customHeight="1">
      <c r="A1048" s="344"/>
      <c r="C1048" s="344"/>
      <c r="D1048" s="344"/>
      <c r="E1048" s="344"/>
      <c r="G1048" s="344"/>
    </row>
    <row r="1049" spans="1:7" ht="18" customHeight="1">
      <c r="A1049" s="344"/>
      <c r="C1049" s="344"/>
      <c r="D1049" s="344"/>
      <c r="E1049" s="344"/>
      <c r="G1049" s="344"/>
    </row>
    <row r="1050" spans="1:7" ht="18" customHeight="1">
      <c r="A1050" s="344"/>
      <c r="C1050" s="344"/>
      <c r="D1050" s="344"/>
      <c r="E1050" s="344"/>
      <c r="G1050" s="344"/>
    </row>
    <row r="1051" spans="1:7" ht="18" customHeight="1">
      <c r="A1051" s="344"/>
      <c r="C1051" s="344"/>
      <c r="D1051" s="344"/>
      <c r="E1051" s="344"/>
      <c r="G1051" s="344"/>
    </row>
    <row r="1052" spans="1:7" ht="18" customHeight="1">
      <c r="A1052" s="344"/>
      <c r="C1052" s="344"/>
      <c r="D1052" s="344"/>
      <c r="E1052" s="344"/>
      <c r="G1052" s="344"/>
    </row>
    <row r="1053" spans="1:7" ht="18" customHeight="1">
      <c r="A1053" s="344"/>
      <c r="C1053" s="344"/>
      <c r="D1053" s="344"/>
      <c r="E1053" s="344"/>
      <c r="G1053" s="344"/>
    </row>
    <row r="1054" spans="1:7" ht="18" customHeight="1">
      <c r="A1054" s="344"/>
      <c r="C1054" s="344"/>
      <c r="D1054" s="344"/>
      <c r="E1054" s="344"/>
      <c r="G1054" s="344"/>
    </row>
    <row r="1055" spans="1:7" ht="18" customHeight="1">
      <c r="A1055" s="344"/>
      <c r="C1055" s="344"/>
      <c r="D1055" s="344"/>
      <c r="E1055" s="344"/>
      <c r="G1055" s="344"/>
    </row>
    <row r="1056" spans="1:7" ht="18" customHeight="1">
      <c r="A1056" s="344"/>
      <c r="C1056" s="344"/>
      <c r="D1056" s="344"/>
      <c r="E1056" s="344"/>
      <c r="G1056" s="344"/>
    </row>
    <row r="1057" spans="1:7" ht="18" customHeight="1">
      <c r="A1057" s="344"/>
      <c r="C1057" s="344"/>
      <c r="D1057" s="344"/>
      <c r="E1057" s="344"/>
      <c r="G1057" s="344"/>
    </row>
    <row r="1058" spans="1:7" ht="18" customHeight="1">
      <c r="A1058" s="344"/>
      <c r="C1058" s="344"/>
      <c r="D1058" s="344"/>
      <c r="E1058" s="344"/>
      <c r="G1058" s="344"/>
    </row>
    <row r="1059" spans="1:7" ht="18" customHeight="1">
      <c r="A1059" s="344"/>
      <c r="C1059" s="344"/>
      <c r="D1059" s="344"/>
      <c r="E1059" s="344"/>
      <c r="G1059" s="344"/>
    </row>
    <row r="1060" spans="1:7" ht="18" customHeight="1">
      <c r="A1060" s="344"/>
      <c r="C1060" s="344"/>
      <c r="D1060" s="344"/>
      <c r="E1060" s="344"/>
      <c r="G1060" s="344"/>
    </row>
    <row r="1061" spans="1:7" ht="18" customHeight="1">
      <c r="A1061" s="344"/>
      <c r="C1061" s="344"/>
      <c r="D1061" s="344"/>
      <c r="E1061" s="344"/>
      <c r="G1061" s="344"/>
    </row>
    <row r="1062" spans="1:7" ht="18" customHeight="1">
      <c r="A1062" s="344"/>
      <c r="C1062" s="344"/>
      <c r="D1062" s="344"/>
      <c r="E1062" s="344"/>
      <c r="G1062" s="344"/>
    </row>
    <row r="1063" spans="1:7" ht="18" customHeight="1">
      <c r="A1063" s="344"/>
      <c r="C1063" s="344"/>
      <c r="D1063" s="344"/>
      <c r="E1063" s="344"/>
      <c r="G1063" s="344"/>
    </row>
    <row r="1064" spans="1:7" ht="18" customHeight="1">
      <c r="A1064" s="344"/>
      <c r="C1064" s="344"/>
      <c r="D1064" s="344"/>
      <c r="E1064" s="344"/>
      <c r="G1064" s="344"/>
    </row>
    <row r="1065" spans="1:7" ht="18" customHeight="1">
      <c r="A1065" s="344"/>
      <c r="C1065" s="344"/>
      <c r="D1065" s="344"/>
      <c r="E1065" s="344"/>
      <c r="G1065" s="344"/>
    </row>
    <row r="1066" spans="1:7" ht="18" customHeight="1">
      <c r="A1066" s="344"/>
      <c r="C1066" s="344"/>
      <c r="D1066" s="344"/>
      <c r="E1066" s="344"/>
      <c r="G1066" s="344"/>
    </row>
    <row r="1067" spans="1:7" ht="18" customHeight="1">
      <c r="A1067" s="344"/>
      <c r="C1067" s="344"/>
      <c r="D1067" s="344"/>
      <c r="E1067" s="344"/>
      <c r="G1067" s="344"/>
    </row>
    <row r="1068" spans="1:7" ht="18" customHeight="1">
      <c r="A1068" s="344"/>
      <c r="C1068" s="344"/>
      <c r="D1068" s="344"/>
      <c r="E1068" s="344"/>
      <c r="G1068" s="344"/>
    </row>
    <row r="1069" spans="1:7" ht="18" customHeight="1">
      <c r="A1069" s="344"/>
      <c r="C1069" s="344"/>
      <c r="D1069" s="344"/>
      <c r="E1069" s="344"/>
      <c r="G1069" s="344"/>
    </row>
    <row r="1070" spans="1:7" ht="18" customHeight="1">
      <c r="A1070" s="344"/>
      <c r="C1070" s="344"/>
      <c r="D1070" s="344"/>
      <c r="E1070" s="344"/>
      <c r="G1070" s="344"/>
    </row>
    <row r="1071" spans="1:7" ht="18" customHeight="1">
      <c r="A1071" s="344"/>
      <c r="C1071" s="344"/>
      <c r="D1071" s="344"/>
      <c r="E1071" s="344"/>
      <c r="G1071" s="344"/>
    </row>
    <row r="1072" spans="1:7" ht="18" customHeight="1">
      <c r="A1072" s="344"/>
      <c r="C1072" s="344"/>
      <c r="D1072" s="344"/>
      <c r="E1072" s="344"/>
      <c r="G1072" s="344"/>
    </row>
    <row r="1073" spans="1:7" ht="18" customHeight="1">
      <c r="A1073" s="344"/>
      <c r="C1073" s="344"/>
      <c r="D1073" s="344"/>
      <c r="E1073" s="344"/>
      <c r="G1073" s="344"/>
    </row>
    <row r="1074" spans="1:7" ht="18" customHeight="1">
      <c r="A1074" s="344"/>
      <c r="C1074" s="344"/>
      <c r="D1074" s="344"/>
      <c r="E1074" s="344"/>
      <c r="G1074" s="344"/>
    </row>
    <row r="1075" spans="1:7" ht="18" customHeight="1">
      <c r="A1075" s="344"/>
      <c r="C1075" s="344"/>
      <c r="D1075" s="344"/>
      <c r="E1075" s="344"/>
      <c r="G1075" s="344"/>
    </row>
    <row r="1076" spans="1:7" ht="18" customHeight="1">
      <c r="A1076" s="344"/>
      <c r="C1076" s="344"/>
      <c r="D1076" s="344"/>
      <c r="E1076" s="344"/>
      <c r="G1076" s="344"/>
    </row>
    <row r="1077" spans="1:7" ht="18" customHeight="1">
      <c r="A1077" s="344"/>
      <c r="C1077" s="344"/>
      <c r="D1077" s="344"/>
      <c r="E1077" s="344"/>
      <c r="G1077" s="344"/>
    </row>
    <row r="1078" spans="1:7" ht="18" customHeight="1">
      <c r="A1078" s="344"/>
      <c r="C1078" s="344"/>
      <c r="D1078" s="344"/>
      <c r="E1078" s="344"/>
      <c r="G1078" s="344"/>
    </row>
    <row r="1079" spans="1:7" ht="18" customHeight="1">
      <c r="A1079" s="344"/>
      <c r="C1079" s="344"/>
      <c r="D1079" s="344"/>
      <c r="E1079" s="344"/>
      <c r="G1079" s="344"/>
    </row>
    <row r="1080" spans="1:7" ht="18" customHeight="1">
      <c r="A1080" s="344"/>
      <c r="C1080" s="344"/>
      <c r="D1080" s="344"/>
      <c r="E1080" s="344"/>
      <c r="G1080" s="344"/>
    </row>
    <row r="1081" spans="1:7" ht="18" customHeight="1">
      <c r="A1081" s="344"/>
      <c r="C1081" s="344"/>
      <c r="D1081" s="344"/>
      <c r="E1081" s="344"/>
      <c r="G1081" s="344"/>
    </row>
    <row r="1082" spans="1:7" ht="18" customHeight="1">
      <c r="A1082" s="344"/>
      <c r="C1082" s="344"/>
      <c r="D1082" s="344"/>
      <c r="E1082" s="344"/>
      <c r="G1082" s="344"/>
    </row>
    <row r="1083" spans="1:7" ht="18" customHeight="1">
      <c r="A1083" s="344"/>
      <c r="C1083" s="344"/>
      <c r="D1083" s="344"/>
      <c r="E1083" s="344"/>
      <c r="G1083" s="344"/>
    </row>
    <row r="1084" spans="1:7" ht="18" customHeight="1">
      <c r="A1084" s="344"/>
      <c r="C1084" s="344"/>
      <c r="D1084" s="344"/>
      <c r="E1084" s="344"/>
      <c r="G1084" s="344"/>
    </row>
    <row r="1085" spans="1:7" ht="18" customHeight="1">
      <c r="A1085" s="344"/>
      <c r="C1085" s="344"/>
      <c r="D1085" s="344"/>
      <c r="E1085" s="344"/>
      <c r="G1085" s="344"/>
    </row>
    <row r="1086" spans="1:7" ht="18" customHeight="1">
      <c r="A1086" s="344"/>
      <c r="C1086" s="344"/>
      <c r="D1086" s="344"/>
      <c r="E1086" s="344"/>
      <c r="G1086" s="344"/>
    </row>
    <row r="1087" spans="1:7" ht="18" customHeight="1">
      <c r="A1087" s="344"/>
      <c r="C1087" s="344"/>
      <c r="D1087" s="344"/>
      <c r="E1087" s="344"/>
      <c r="G1087" s="344"/>
    </row>
    <row r="1088" spans="1:7" ht="18" customHeight="1">
      <c r="A1088" s="344"/>
      <c r="C1088" s="344"/>
      <c r="D1088" s="344"/>
      <c r="E1088" s="344"/>
      <c r="G1088" s="344"/>
    </row>
    <row r="1089" spans="1:7" ht="18" customHeight="1">
      <c r="A1089" s="344"/>
      <c r="C1089" s="344"/>
      <c r="D1089" s="344"/>
      <c r="E1089" s="344"/>
      <c r="G1089" s="344"/>
    </row>
    <row r="1090" spans="1:7" ht="18" customHeight="1">
      <c r="A1090" s="344"/>
      <c r="C1090" s="344"/>
      <c r="D1090" s="344"/>
      <c r="E1090" s="344"/>
      <c r="G1090" s="344"/>
    </row>
    <row r="1091" spans="1:7" ht="18" customHeight="1">
      <c r="A1091" s="344"/>
      <c r="C1091" s="344"/>
      <c r="D1091" s="344"/>
      <c r="E1091" s="344"/>
      <c r="G1091" s="344"/>
    </row>
    <row r="1092" spans="1:7" ht="18" customHeight="1">
      <c r="A1092" s="344"/>
      <c r="C1092" s="344"/>
      <c r="D1092" s="344"/>
      <c r="E1092" s="344"/>
      <c r="G1092" s="344"/>
    </row>
    <row r="1093" spans="1:7" ht="18" customHeight="1">
      <c r="A1093" s="344"/>
      <c r="C1093" s="344"/>
      <c r="D1093" s="344"/>
      <c r="E1093" s="344"/>
      <c r="G1093" s="344"/>
    </row>
    <row r="1094" spans="1:7" ht="18" customHeight="1">
      <c r="A1094" s="344"/>
      <c r="C1094" s="344"/>
      <c r="D1094" s="344"/>
      <c r="E1094" s="344"/>
      <c r="G1094" s="344"/>
    </row>
    <row r="1095" spans="1:7" ht="18" customHeight="1">
      <c r="A1095" s="344"/>
      <c r="C1095" s="344"/>
      <c r="D1095" s="344"/>
      <c r="E1095" s="344"/>
      <c r="G1095" s="344"/>
    </row>
    <row r="1096" spans="1:7" ht="18" customHeight="1">
      <c r="A1096" s="344"/>
      <c r="C1096" s="344"/>
      <c r="D1096" s="344"/>
      <c r="E1096" s="344"/>
      <c r="G1096" s="344"/>
    </row>
    <row r="1097" spans="1:7" ht="18" customHeight="1">
      <c r="A1097" s="344"/>
      <c r="C1097" s="344"/>
      <c r="D1097" s="344"/>
      <c r="E1097" s="344"/>
      <c r="G1097" s="344"/>
    </row>
    <row r="1098" spans="1:7" ht="18" customHeight="1">
      <c r="A1098" s="344"/>
      <c r="C1098" s="344"/>
      <c r="D1098" s="344"/>
      <c r="E1098" s="344"/>
      <c r="G1098" s="344"/>
    </row>
    <row r="1099" spans="1:7" ht="18" customHeight="1">
      <c r="A1099" s="344"/>
      <c r="C1099" s="344"/>
      <c r="D1099" s="344"/>
      <c r="E1099" s="344"/>
      <c r="G1099" s="344"/>
    </row>
    <row r="1100" spans="1:7" ht="18" customHeight="1">
      <c r="A1100" s="344"/>
      <c r="C1100" s="344"/>
      <c r="D1100" s="344"/>
      <c r="E1100" s="344"/>
      <c r="G1100" s="344"/>
    </row>
    <row r="1101" spans="1:7" ht="18" customHeight="1">
      <c r="A1101" s="344"/>
      <c r="C1101" s="344"/>
      <c r="D1101" s="344"/>
      <c r="E1101" s="344"/>
      <c r="G1101" s="344"/>
    </row>
    <row r="1102" spans="1:7" ht="18" customHeight="1">
      <c r="A1102" s="344"/>
      <c r="C1102" s="344"/>
      <c r="D1102" s="344"/>
      <c r="E1102" s="344"/>
      <c r="G1102" s="344"/>
    </row>
    <row r="1103" spans="1:7" ht="18" customHeight="1">
      <c r="A1103" s="344"/>
      <c r="C1103" s="344"/>
      <c r="D1103" s="344"/>
      <c r="E1103" s="344"/>
      <c r="G1103" s="344"/>
    </row>
    <row r="1104" spans="1:7" ht="18" customHeight="1">
      <c r="A1104" s="344"/>
      <c r="C1104" s="344"/>
      <c r="D1104" s="344"/>
      <c r="E1104" s="344"/>
      <c r="G1104" s="344"/>
    </row>
    <row r="1105" spans="1:7" ht="18" customHeight="1">
      <c r="A1105" s="344"/>
      <c r="C1105" s="344"/>
      <c r="D1105" s="344"/>
      <c r="E1105" s="344"/>
      <c r="G1105" s="344"/>
    </row>
    <row r="1106" spans="1:7" ht="18" customHeight="1">
      <c r="A1106" s="344"/>
      <c r="C1106" s="344"/>
      <c r="D1106" s="344"/>
      <c r="E1106" s="344"/>
      <c r="G1106" s="344"/>
    </row>
    <row r="1107" spans="1:7" ht="18" customHeight="1">
      <c r="A1107" s="344"/>
      <c r="C1107" s="344"/>
      <c r="D1107" s="344"/>
      <c r="E1107" s="344"/>
      <c r="G1107" s="344"/>
    </row>
    <row r="1108" spans="1:7" ht="18" customHeight="1">
      <c r="A1108" s="344"/>
      <c r="C1108" s="344"/>
      <c r="D1108" s="344"/>
      <c r="E1108" s="344"/>
      <c r="G1108" s="344"/>
    </row>
    <row r="1109" spans="1:7" ht="18" customHeight="1">
      <c r="A1109" s="344"/>
      <c r="C1109" s="344"/>
      <c r="D1109" s="344"/>
      <c r="E1109" s="344"/>
      <c r="G1109" s="344"/>
    </row>
    <row r="1110" spans="1:7" ht="18" customHeight="1">
      <c r="A1110" s="344"/>
      <c r="C1110" s="344"/>
      <c r="D1110" s="344"/>
      <c r="E1110" s="344"/>
      <c r="G1110" s="344"/>
    </row>
    <row r="1111" spans="1:7" ht="18" customHeight="1">
      <c r="A1111" s="344"/>
      <c r="C1111" s="344"/>
      <c r="D1111" s="344"/>
      <c r="E1111" s="344"/>
      <c r="G1111" s="344"/>
    </row>
    <row r="1112" spans="1:7" ht="18" customHeight="1">
      <c r="A1112" s="344"/>
      <c r="C1112" s="344"/>
      <c r="D1112" s="344"/>
      <c r="E1112" s="344"/>
      <c r="G1112" s="344"/>
    </row>
    <row r="1113" spans="1:7" ht="18" customHeight="1">
      <c r="A1113" s="344"/>
      <c r="C1113" s="344"/>
      <c r="D1113" s="344"/>
      <c r="E1113" s="344"/>
      <c r="G1113" s="344"/>
    </row>
    <row r="1114" spans="1:7" ht="18" customHeight="1">
      <c r="A1114" s="344"/>
      <c r="C1114" s="344"/>
      <c r="D1114" s="344"/>
      <c r="E1114" s="344"/>
      <c r="G1114" s="344"/>
    </row>
    <row r="1115" spans="1:7" ht="18" customHeight="1">
      <c r="A1115" s="344"/>
      <c r="C1115" s="344"/>
      <c r="D1115" s="344"/>
      <c r="E1115" s="344"/>
      <c r="G1115" s="344"/>
    </row>
    <row r="1116" spans="1:7" ht="18" customHeight="1">
      <c r="A1116" s="344"/>
      <c r="C1116" s="344"/>
      <c r="D1116" s="344"/>
      <c r="E1116" s="344"/>
      <c r="G1116" s="344"/>
    </row>
    <row r="1117" spans="1:7" ht="18" customHeight="1">
      <c r="A1117" s="344"/>
      <c r="C1117" s="344"/>
      <c r="D1117" s="344"/>
      <c r="E1117" s="344"/>
      <c r="G1117" s="344"/>
    </row>
    <row r="1118" spans="1:7" ht="18" customHeight="1">
      <c r="A1118" s="344"/>
      <c r="C1118" s="344"/>
      <c r="D1118" s="344"/>
      <c r="E1118" s="344"/>
      <c r="G1118" s="344"/>
    </row>
    <row r="1119" spans="1:7" ht="18" customHeight="1">
      <c r="A1119" s="344"/>
      <c r="C1119" s="344"/>
      <c r="D1119" s="344"/>
      <c r="E1119" s="344"/>
      <c r="G1119" s="344"/>
    </row>
    <row r="1120" spans="1:7" ht="18" customHeight="1">
      <c r="A1120" s="344"/>
      <c r="C1120" s="344"/>
      <c r="D1120" s="344"/>
      <c r="E1120" s="344"/>
      <c r="G1120" s="344"/>
    </row>
    <row r="1121" spans="1:7" ht="18" customHeight="1">
      <c r="A1121" s="344"/>
      <c r="C1121" s="344"/>
      <c r="D1121" s="344"/>
      <c r="E1121" s="344"/>
      <c r="G1121" s="344"/>
    </row>
    <row r="1122" spans="1:7" ht="18" customHeight="1">
      <c r="A1122" s="344"/>
      <c r="C1122" s="344"/>
      <c r="D1122" s="344"/>
      <c r="E1122" s="344"/>
      <c r="G1122" s="344"/>
    </row>
    <row r="1123" spans="1:7" ht="18" customHeight="1">
      <c r="A1123" s="344"/>
      <c r="C1123" s="344"/>
      <c r="D1123" s="344"/>
      <c r="E1123" s="344"/>
      <c r="G1123" s="344"/>
    </row>
    <row r="1124" spans="1:7" ht="18" customHeight="1">
      <c r="A1124" s="344"/>
      <c r="C1124" s="344"/>
      <c r="D1124" s="344"/>
      <c r="E1124" s="344"/>
      <c r="G1124" s="344"/>
    </row>
    <row r="1125" spans="1:7" ht="18" customHeight="1">
      <c r="A1125" s="344"/>
      <c r="C1125" s="344"/>
      <c r="D1125" s="344"/>
      <c r="E1125" s="344"/>
      <c r="G1125" s="344"/>
    </row>
    <row r="1126" spans="1:7" ht="18" customHeight="1">
      <c r="A1126" s="344"/>
      <c r="C1126" s="344"/>
      <c r="D1126" s="344"/>
      <c r="E1126" s="344"/>
      <c r="G1126" s="344"/>
    </row>
    <row r="1127" spans="1:7" ht="18" customHeight="1">
      <c r="A1127" s="344"/>
      <c r="C1127" s="344"/>
      <c r="D1127" s="344"/>
      <c r="E1127" s="344"/>
      <c r="G1127" s="344"/>
    </row>
    <row r="1128" spans="1:7" ht="18" customHeight="1">
      <c r="A1128" s="344"/>
      <c r="C1128" s="344"/>
      <c r="D1128" s="344"/>
      <c r="E1128" s="344"/>
      <c r="G1128" s="344"/>
    </row>
    <row r="1129" spans="1:7" ht="18" customHeight="1">
      <c r="A1129" s="344"/>
      <c r="C1129" s="344"/>
      <c r="D1129" s="344"/>
      <c r="E1129" s="344"/>
      <c r="G1129" s="344"/>
    </row>
    <row r="1130" spans="1:7" ht="18" customHeight="1">
      <c r="A1130" s="344"/>
      <c r="C1130" s="344"/>
      <c r="D1130" s="344"/>
      <c r="E1130" s="344"/>
      <c r="G1130" s="344"/>
    </row>
    <row r="1131" spans="1:7" ht="18" customHeight="1">
      <c r="A1131" s="344"/>
      <c r="C1131" s="344"/>
      <c r="D1131" s="344"/>
      <c r="E1131" s="344"/>
      <c r="G1131" s="344"/>
    </row>
    <row r="1132" spans="1:7" ht="18" customHeight="1">
      <c r="A1132" s="344"/>
      <c r="C1132" s="344"/>
      <c r="D1132" s="344"/>
      <c r="E1132" s="344"/>
      <c r="G1132" s="344"/>
    </row>
    <row r="1133" spans="1:7" ht="18" customHeight="1">
      <c r="A1133" s="344"/>
      <c r="C1133" s="344"/>
      <c r="D1133" s="344"/>
      <c r="E1133" s="344"/>
      <c r="G1133" s="344"/>
    </row>
    <row r="1134" spans="1:7" ht="18" customHeight="1">
      <c r="A1134" s="344"/>
      <c r="C1134" s="344"/>
      <c r="D1134" s="344"/>
      <c r="E1134" s="344"/>
      <c r="G1134" s="344"/>
    </row>
    <row r="1135" spans="1:7" ht="18" customHeight="1">
      <c r="A1135" s="344"/>
      <c r="C1135" s="344"/>
      <c r="D1135" s="344"/>
      <c r="E1135" s="344"/>
      <c r="G1135" s="344"/>
    </row>
    <row r="1136" spans="1:7" ht="18" customHeight="1">
      <c r="A1136" s="344"/>
      <c r="C1136" s="344"/>
      <c r="D1136" s="344"/>
      <c r="E1136" s="344"/>
      <c r="G1136" s="344"/>
    </row>
    <row r="1137" spans="1:7" ht="18" customHeight="1">
      <c r="A1137" s="344"/>
      <c r="C1137" s="344"/>
      <c r="D1137" s="344"/>
      <c r="E1137" s="344"/>
      <c r="G1137" s="344"/>
    </row>
    <row r="1138" spans="1:7" ht="18" customHeight="1">
      <c r="A1138" s="344"/>
      <c r="C1138" s="344"/>
      <c r="D1138" s="344"/>
      <c r="E1138" s="344"/>
      <c r="G1138" s="344"/>
    </row>
    <row r="1139" spans="1:7" ht="18" customHeight="1">
      <c r="A1139" s="344"/>
      <c r="C1139" s="344"/>
      <c r="D1139" s="344"/>
      <c r="E1139" s="344"/>
      <c r="G1139" s="344"/>
    </row>
    <row r="1140" spans="1:7" ht="18" customHeight="1">
      <c r="A1140" s="344"/>
      <c r="C1140" s="344"/>
      <c r="D1140" s="344"/>
      <c r="E1140" s="344"/>
      <c r="G1140" s="344"/>
    </row>
    <row r="1141" spans="1:7" ht="18" customHeight="1">
      <c r="A1141" s="344"/>
      <c r="C1141" s="344"/>
      <c r="D1141" s="344"/>
      <c r="E1141" s="344"/>
      <c r="G1141" s="344"/>
    </row>
    <row r="1142" spans="1:7" ht="18" customHeight="1">
      <c r="A1142" s="344"/>
      <c r="C1142" s="344"/>
      <c r="D1142" s="344"/>
      <c r="E1142" s="344"/>
      <c r="G1142" s="344"/>
    </row>
    <row r="1143" spans="1:7" ht="18" customHeight="1">
      <c r="A1143" s="344"/>
      <c r="C1143" s="344"/>
      <c r="D1143" s="344"/>
      <c r="E1143" s="344"/>
      <c r="G1143" s="344"/>
    </row>
    <row r="1144" spans="1:7" ht="18" customHeight="1">
      <c r="A1144" s="344"/>
      <c r="C1144" s="344"/>
      <c r="D1144" s="344"/>
      <c r="E1144" s="344"/>
      <c r="G1144" s="344"/>
    </row>
    <row r="1145" spans="1:7" ht="18" customHeight="1">
      <c r="A1145" s="344"/>
      <c r="C1145" s="344"/>
      <c r="D1145" s="344"/>
      <c r="E1145" s="344"/>
      <c r="G1145" s="344"/>
    </row>
    <row r="1146" spans="1:7" ht="18" customHeight="1">
      <c r="A1146" s="344"/>
      <c r="C1146" s="344"/>
      <c r="D1146" s="344"/>
      <c r="E1146" s="344"/>
      <c r="G1146" s="344"/>
    </row>
    <row r="1147" spans="1:7" ht="18" customHeight="1">
      <c r="A1147" s="344"/>
      <c r="C1147" s="344"/>
      <c r="D1147" s="344"/>
      <c r="E1147" s="344"/>
      <c r="G1147" s="344"/>
    </row>
    <row r="1148" spans="1:7" ht="18" customHeight="1">
      <c r="A1148" s="344"/>
      <c r="C1148" s="344"/>
      <c r="D1148" s="344"/>
      <c r="E1148" s="344"/>
      <c r="G1148" s="344"/>
    </row>
    <row r="1149" spans="1:7" ht="18" customHeight="1">
      <c r="A1149" s="344"/>
      <c r="C1149" s="344"/>
      <c r="D1149" s="344"/>
      <c r="E1149" s="344"/>
      <c r="G1149" s="344"/>
    </row>
    <row r="1150" spans="1:7" ht="18" customHeight="1">
      <c r="A1150" s="344"/>
      <c r="C1150" s="344"/>
      <c r="D1150" s="344"/>
      <c r="E1150" s="344"/>
      <c r="G1150" s="344"/>
    </row>
    <row r="1151" spans="1:7" ht="18" customHeight="1">
      <c r="A1151" s="344"/>
      <c r="C1151" s="344"/>
      <c r="D1151" s="344"/>
      <c r="E1151" s="344"/>
      <c r="G1151" s="344"/>
    </row>
    <row r="1152" spans="1:7" ht="18" customHeight="1">
      <c r="A1152" s="344"/>
      <c r="C1152" s="344"/>
      <c r="D1152" s="344"/>
      <c r="E1152" s="344"/>
      <c r="G1152" s="344"/>
    </row>
    <row r="1153" spans="1:7" ht="18" customHeight="1">
      <c r="A1153" s="344"/>
      <c r="C1153" s="344"/>
      <c r="D1153" s="344"/>
      <c r="E1153" s="344"/>
      <c r="G1153" s="344"/>
    </row>
    <row r="1154" spans="1:7" ht="18" customHeight="1">
      <c r="A1154" s="344"/>
      <c r="C1154" s="344"/>
      <c r="D1154" s="344"/>
      <c r="E1154" s="344"/>
      <c r="G1154" s="344"/>
    </row>
    <row r="1155" spans="1:7" ht="18" customHeight="1">
      <c r="A1155" s="344"/>
      <c r="C1155" s="344"/>
      <c r="D1155" s="344"/>
      <c r="E1155" s="344"/>
      <c r="G1155" s="344"/>
    </row>
    <row r="1156" spans="1:7" ht="18" customHeight="1">
      <c r="A1156" s="344"/>
      <c r="C1156" s="344"/>
      <c r="D1156" s="344"/>
      <c r="E1156" s="344"/>
      <c r="G1156" s="344"/>
    </row>
    <row r="1157" spans="1:7" ht="18" customHeight="1">
      <c r="A1157" s="344"/>
      <c r="C1157" s="344"/>
      <c r="D1157" s="344"/>
      <c r="E1157" s="344"/>
      <c r="G1157" s="344"/>
    </row>
    <row r="1158" spans="1:7" ht="18" customHeight="1">
      <c r="A1158" s="344"/>
      <c r="C1158" s="344"/>
      <c r="D1158" s="344"/>
      <c r="E1158" s="344"/>
      <c r="G1158" s="344"/>
    </row>
    <row r="1159" spans="1:7" ht="18" customHeight="1">
      <c r="A1159" s="344"/>
      <c r="C1159" s="344"/>
      <c r="D1159" s="344"/>
      <c r="E1159" s="344"/>
      <c r="G1159" s="344"/>
    </row>
    <row r="1160" spans="1:7" ht="18" customHeight="1">
      <c r="A1160" s="344"/>
      <c r="C1160" s="344"/>
      <c r="D1160" s="344"/>
      <c r="E1160" s="344"/>
      <c r="G1160" s="344"/>
    </row>
    <row r="1161" spans="1:7" ht="18" customHeight="1">
      <c r="A1161" s="344"/>
      <c r="C1161" s="344"/>
      <c r="D1161" s="344"/>
      <c r="E1161" s="344"/>
      <c r="G1161" s="344"/>
    </row>
    <row r="1162" spans="1:7" ht="18" customHeight="1">
      <c r="A1162" s="344"/>
      <c r="C1162" s="344"/>
      <c r="D1162" s="344"/>
      <c r="E1162" s="344"/>
      <c r="G1162" s="344"/>
    </row>
    <row r="1163" spans="1:7" ht="18" customHeight="1">
      <c r="A1163" s="344"/>
      <c r="C1163" s="344"/>
      <c r="D1163" s="344"/>
      <c r="E1163" s="344"/>
      <c r="G1163" s="344"/>
    </row>
    <row r="1164" spans="1:7" ht="18" customHeight="1">
      <c r="A1164" s="344"/>
      <c r="C1164" s="344"/>
      <c r="D1164" s="344"/>
      <c r="E1164" s="344"/>
      <c r="G1164" s="344"/>
    </row>
    <row r="1165" spans="1:7" ht="18" customHeight="1">
      <c r="A1165" s="344"/>
      <c r="C1165" s="344"/>
      <c r="D1165" s="344"/>
      <c r="E1165" s="344"/>
      <c r="G1165" s="344"/>
    </row>
    <row r="1166" spans="1:7" ht="18" customHeight="1">
      <c r="A1166" s="344"/>
      <c r="C1166" s="344"/>
      <c r="D1166" s="344"/>
      <c r="E1166" s="344"/>
      <c r="G1166" s="344"/>
    </row>
    <row r="1167" spans="1:7" ht="18" customHeight="1">
      <c r="A1167" s="344"/>
      <c r="C1167" s="344"/>
      <c r="D1167" s="344"/>
      <c r="E1167" s="344"/>
      <c r="G1167" s="344"/>
    </row>
    <row r="1168" spans="1:7" ht="18" customHeight="1">
      <c r="A1168" s="344"/>
      <c r="C1168" s="344"/>
      <c r="D1168" s="344"/>
      <c r="E1168" s="344"/>
      <c r="G1168" s="344"/>
    </row>
    <row r="1169" spans="1:7" ht="18" customHeight="1">
      <c r="A1169" s="344"/>
      <c r="C1169" s="344"/>
      <c r="D1169" s="344"/>
      <c r="E1169" s="344"/>
      <c r="G1169" s="344"/>
    </row>
    <row r="1170" spans="1:7" ht="18" customHeight="1">
      <c r="A1170" s="344"/>
      <c r="C1170" s="344"/>
      <c r="D1170" s="344"/>
      <c r="E1170" s="344"/>
      <c r="G1170" s="344"/>
    </row>
    <row r="1171" spans="1:7" ht="18" customHeight="1">
      <c r="A1171" s="344"/>
      <c r="C1171" s="344"/>
      <c r="D1171" s="344"/>
      <c r="E1171" s="344"/>
      <c r="G1171" s="344"/>
    </row>
    <row r="1172" spans="1:7" ht="18" customHeight="1">
      <c r="A1172" s="344"/>
      <c r="C1172" s="344"/>
      <c r="D1172" s="344"/>
      <c r="E1172" s="344"/>
      <c r="G1172" s="344"/>
    </row>
    <row r="1173" spans="1:7" ht="18" customHeight="1">
      <c r="A1173" s="344"/>
      <c r="C1173" s="344"/>
      <c r="D1173" s="344"/>
      <c r="E1173" s="344"/>
      <c r="G1173" s="344"/>
    </row>
    <row r="1174" spans="1:7" ht="18" customHeight="1">
      <c r="A1174" s="344"/>
      <c r="C1174" s="344"/>
      <c r="D1174" s="344"/>
      <c r="E1174" s="344"/>
      <c r="G1174" s="344"/>
    </row>
    <row r="1175" spans="1:7" ht="18" customHeight="1">
      <c r="A1175" s="344"/>
      <c r="C1175" s="344"/>
      <c r="D1175" s="344"/>
      <c r="E1175" s="344"/>
      <c r="G1175" s="344"/>
    </row>
    <row r="1176" spans="1:7" ht="18" customHeight="1">
      <c r="A1176" s="344"/>
      <c r="C1176" s="344"/>
      <c r="D1176" s="344"/>
      <c r="E1176" s="344"/>
      <c r="G1176" s="344"/>
    </row>
    <row r="1177" spans="1:7" ht="18" customHeight="1">
      <c r="A1177" s="344"/>
      <c r="C1177" s="344"/>
      <c r="D1177" s="344"/>
      <c r="E1177" s="344"/>
      <c r="G1177" s="344"/>
    </row>
    <row r="1178" spans="1:7" ht="18" customHeight="1">
      <c r="A1178" s="344"/>
      <c r="C1178" s="344"/>
      <c r="D1178" s="344"/>
      <c r="E1178" s="344"/>
      <c r="G1178" s="344"/>
    </row>
    <row r="1179" spans="1:7" ht="18" customHeight="1">
      <c r="A1179" s="344"/>
      <c r="C1179" s="344"/>
      <c r="D1179" s="344"/>
      <c r="E1179" s="344"/>
      <c r="G1179" s="344"/>
    </row>
    <row r="1180" spans="1:7" ht="18" customHeight="1">
      <c r="A1180" s="344"/>
      <c r="C1180" s="344"/>
      <c r="D1180" s="344"/>
      <c r="E1180" s="344"/>
      <c r="G1180" s="344"/>
    </row>
    <row r="1181" spans="1:7" ht="18" customHeight="1">
      <c r="A1181" s="344"/>
      <c r="C1181" s="344"/>
      <c r="D1181" s="344"/>
      <c r="E1181" s="344"/>
      <c r="G1181" s="344"/>
    </row>
    <row r="1182" spans="1:7" ht="18" customHeight="1">
      <c r="A1182" s="344"/>
      <c r="C1182" s="344"/>
      <c r="D1182" s="344"/>
      <c r="E1182" s="344"/>
      <c r="G1182" s="344"/>
    </row>
    <row r="1183" spans="1:7" ht="18" customHeight="1">
      <c r="A1183" s="344"/>
      <c r="C1183" s="344"/>
      <c r="D1183" s="344"/>
      <c r="E1183" s="344"/>
      <c r="G1183" s="344"/>
    </row>
    <row r="1184" spans="1:7" ht="18" customHeight="1">
      <c r="A1184" s="344"/>
      <c r="C1184" s="344"/>
      <c r="D1184" s="344"/>
      <c r="E1184" s="344"/>
      <c r="G1184" s="344"/>
    </row>
    <row r="1185" spans="1:7" ht="18" customHeight="1">
      <c r="A1185" s="344"/>
      <c r="C1185" s="344"/>
      <c r="D1185" s="344"/>
      <c r="E1185" s="344"/>
      <c r="G1185" s="344"/>
    </row>
    <row r="1186" spans="1:7" ht="18" customHeight="1">
      <c r="A1186" s="344"/>
      <c r="C1186" s="344"/>
      <c r="D1186" s="344"/>
      <c r="E1186" s="344"/>
      <c r="G1186" s="344"/>
    </row>
    <row r="1187" spans="1:7" ht="18" customHeight="1">
      <c r="A1187" s="344"/>
      <c r="C1187" s="344"/>
      <c r="D1187" s="344"/>
      <c r="E1187" s="344"/>
      <c r="G1187" s="344"/>
    </row>
    <row r="1188" spans="1:7" ht="18" customHeight="1">
      <c r="A1188" s="344"/>
      <c r="C1188" s="344"/>
      <c r="D1188" s="344"/>
      <c r="E1188" s="344"/>
      <c r="G1188" s="344"/>
    </row>
    <row r="1189" spans="1:7" ht="18" customHeight="1">
      <c r="A1189" s="344"/>
      <c r="C1189" s="344"/>
      <c r="D1189" s="344"/>
      <c r="E1189" s="344"/>
      <c r="G1189" s="344"/>
    </row>
    <row r="1190" spans="1:7" ht="18" customHeight="1">
      <c r="A1190" s="344"/>
      <c r="C1190" s="344"/>
      <c r="D1190" s="344"/>
      <c r="E1190" s="344"/>
      <c r="G1190" s="344"/>
    </row>
    <row r="1191" spans="1:7" ht="18" customHeight="1">
      <c r="A1191" s="344"/>
      <c r="C1191" s="344"/>
      <c r="D1191" s="344"/>
      <c r="E1191" s="344"/>
      <c r="G1191" s="344"/>
    </row>
    <row r="1192" spans="1:7" ht="18" customHeight="1">
      <c r="A1192" s="344"/>
      <c r="C1192" s="344"/>
      <c r="D1192" s="344"/>
      <c r="E1192" s="344"/>
      <c r="G1192" s="344"/>
    </row>
    <row r="1193" spans="1:7" ht="18" customHeight="1">
      <c r="A1193" s="344"/>
      <c r="C1193" s="344"/>
      <c r="D1193" s="344"/>
      <c r="E1193" s="344"/>
      <c r="G1193" s="344"/>
    </row>
    <row r="1194" spans="1:7" ht="18" customHeight="1">
      <c r="A1194" s="344"/>
      <c r="C1194" s="344"/>
      <c r="D1194" s="344"/>
      <c r="E1194" s="344"/>
      <c r="G1194" s="344"/>
    </row>
    <row r="1195" spans="1:7" ht="18" customHeight="1">
      <c r="A1195" s="344"/>
      <c r="C1195" s="344"/>
      <c r="D1195" s="344"/>
      <c r="E1195" s="344"/>
      <c r="G1195" s="344"/>
    </row>
    <row r="1196" spans="1:7" ht="18" customHeight="1">
      <c r="A1196" s="344"/>
      <c r="C1196" s="344"/>
      <c r="D1196" s="344"/>
      <c r="E1196" s="344"/>
      <c r="G1196" s="344"/>
    </row>
    <row r="1197" spans="1:7" ht="18" customHeight="1">
      <c r="A1197" s="344"/>
      <c r="C1197" s="344"/>
      <c r="D1197" s="344"/>
      <c r="E1197" s="344"/>
      <c r="G1197" s="344"/>
    </row>
    <row r="1198" spans="1:7" ht="18" customHeight="1">
      <c r="A1198" s="344"/>
      <c r="C1198" s="344"/>
      <c r="D1198" s="344"/>
      <c r="E1198" s="344"/>
      <c r="G1198" s="344"/>
    </row>
    <row r="1199" spans="1:7" ht="18" customHeight="1">
      <c r="A1199" s="344"/>
      <c r="C1199" s="344"/>
      <c r="D1199" s="344"/>
      <c r="E1199" s="344"/>
      <c r="G1199" s="344"/>
    </row>
    <row r="1200" spans="1:7" ht="18" customHeight="1">
      <c r="A1200" s="344"/>
      <c r="C1200" s="344"/>
      <c r="D1200" s="344"/>
      <c r="E1200" s="344"/>
      <c r="G1200" s="344"/>
    </row>
    <row r="1201" spans="1:7" ht="18" customHeight="1">
      <c r="A1201" s="344"/>
      <c r="C1201" s="344"/>
      <c r="D1201" s="344"/>
      <c r="E1201" s="344"/>
      <c r="G1201" s="344"/>
    </row>
    <row r="1202" spans="1:7" ht="18" customHeight="1">
      <c r="A1202" s="344"/>
      <c r="C1202" s="344"/>
      <c r="D1202" s="344"/>
      <c r="E1202" s="344"/>
      <c r="G1202" s="344"/>
    </row>
    <row r="1203" spans="1:7" ht="18" customHeight="1">
      <c r="A1203" s="344"/>
      <c r="C1203" s="344"/>
      <c r="D1203" s="344"/>
      <c r="E1203" s="344"/>
      <c r="G1203" s="344"/>
    </row>
    <row r="1204" spans="1:7" ht="18" customHeight="1">
      <c r="A1204" s="344"/>
      <c r="C1204" s="344"/>
      <c r="D1204" s="344"/>
      <c r="E1204" s="344"/>
      <c r="G1204" s="344"/>
    </row>
    <row r="1205" spans="1:7" ht="18" customHeight="1">
      <c r="A1205" s="344"/>
      <c r="C1205" s="344"/>
      <c r="D1205" s="344"/>
      <c r="E1205" s="344"/>
      <c r="G1205" s="344"/>
    </row>
    <row r="1206" spans="1:7" ht="18" customHeight="1">
      <c r="A1206" s="344"/>
      <c r="C1206" s="344"/>
      <c r="D1206" s="344"/>
      <c r="E1206" s="344"/>
      <c r="G1206" s="344"/>
    </row>
    <row r="1207" spans="1:7" ht="18" customHeight="1">
      <c r="A1207" s="344"/>
      <c r="C1207" s="344"/>
      <c r="D1207" s="344"/>
      <c r="E1207" s="344"/>
      <c r="G1207" s="344"/>
    </row>
    <row r="1208" spans="1:7" ht="18" customHeight="1">
      <c r="A1208" s="344"/>
      <c r="C1208" s="344"/>
      <c r="D1208" s="344"/>
      <c r="E1208" s="344"/>
      <c r="G1208" s="344"/>
    </row>
    <row r="1209" spans="1:7" ht="18" customHeight="1">
      <c r="A1209" s="344"/>
      <c r="C1209" s="344"/>
      <c r="D1209" s="344"/>
      <c r="E1209" s="344"/>
      <c r="G1209" s="344"/>
    </row>
    <row r="1210" spans="1:7" ht="18" customHeight="1">
      <c r="A1210" s="344"/>
      <c r="C1210" s="344"/>
      <c r="D1210" s="344"/>
      <c r="E1210" s="344"/>
      <c r="G1210" s="344"/>
    </row>
    <row r="1211" spans="1:7" ht="18" customHeight="1">
      <c r="A1211" s="344"/>
      <c r="C1211" s="344"/>
      <c r="D1211" s="344"/>
      <c r="E1211" s="344"/>
      <c r="G1211" s="344"/>
    </row>
    <row r="1212" spans="1:7" ht="18" customHeight="1">
      <c r="A1212" s="344"/>
      <c r="C1212" s="344"/>
      <c r="D1212" s="344"/>
      <c r="E1212" s="344"/>
      <c r="G1212" s="344"/>
    </row>
    <row r="1213" spans="1:7" ht="18" customHeight="1">
      <c r="A1213" s="344"/>
      <c r="C1213" s="344"/>
      <c r="D1213" s="344"/>
      <c r="E1213" s="344"/>
      <c r="G1213" s="344"/>
    </row>
    <row r="1214" spans="1:7" ht="18" customHeight="1">
      <c r="A1214" s="344"/>
      <c r="C1214" s="344"/>
      <c r="D1214" s="344"/>
      <c r="E1214" s="344"/>
      <c r="G1214" s="344"/>
    </row>
    <row r="1215" spans="1:7" ht="18" customHeight="1">
      <c r="A1215" s="344"/>
      <c r="C1215" s="344"/>
      <c r="D1215" s="344"/>
      <c r="E1215" s="344"/>
      <c r="G1215" s="344"/>
    </row>
    <row r="1216" spans="1:7" ht="18" customHeight="1">
      <c r="A1216" s="344"/>
      <c r="C1216" s="344"/>
      <c r="D1216" s="344"/>
      <c r="E1216" s="344"/>
      <c r="G1216" s="344"/>
    </row>
    <row r="1217" spans="1:7" ht="18" customHeight="1">
      <c r="A1217" s="344"/>
      <c r="C1217" s="344"/>
      <c r="D1217" s="344"/>
      <c r="E1217" s="344"/>
      <c r="G1217" s="344"/>
    </row>
    <row r="1218" spans="1:7" ht="18" customHeight="1">
      <c r="A1218" s="344"/>
      <c r="C1218" s="344"/>
      <c r="D1218" s="344"/>
      <c r="E1218" s="344"/>
      <c r="G1218" s="344"/>
    </row>
    <row r="1219" spans="1:7" ht="18" customHeight="1">
      <c r="A1219" s="344"/>
      <c r="C1219" s="344"/>
      <c r="D1219" s="344"/>
      <c r="E1219" s="344"/>
      <c r="G1219" s="344"/>
    </row>
    <row r="1220" spans="1:7" ht="18" customHeight="1">
      <c r="A1220" s="344"/>
      <c r="C1220" s="344"/>
      <c r="D1220" s="344"/>
      <c r="E1220" s="344"/>
      <c r="G1220" s="344"/>
    </row>
    <row r="1221" spans="1:7" ht="18" customHeight="1">
      <c r="A1221" s="344"/>
      <c r="C1221" s="344"/>
      <c r="D1221" s="344"/>
      <c r="E1221" s="344"/>
      <c r="G1221" s="344"/>
    </row>
    <row r="1222" spans="1:7" ht="18" customHeight="1">
      <c r="A1222" s="344"/>
      <c r="C1222" s="344"/>
      <c r="D1222" s="344"/>
      <c r="E1222" s="344"/>
      <c r="G1222" s="344"/>
    </row>
    <row r="1223" spans="1:7" ht="18" customHeight="1">
      <c r="A1223" s="344"/>
      <c r="C1223" s="344"/>
      <c r="D1223" s="344"/>
      <c r="E1223" s="344"/>
      <c r="G1223" s="344"/>
    </row>
    <row r="1224" spans="1:7" ht="18" customHeight="1">
      <c r="A1224" s="344"/>
      <c r="C1224" s="344"/>
      <c r="D1224" s="344"/>
      <c r="E1224" s="344"/>
      <c r="G1224" s="344"/>
    </row>
    <row r="1225" spans="1:7" ht="18" customHeight="1">
      <c r="A1225" s="344"/>
      <c r="C1225" s="344"/>
      <c r="D1225" s="344"/>
      <c r="E1225" s="344"/>
      <c r="G1225" s="344"/>
    </row>
    <row r="1226" spans="1:7" ht="18" customHeight="1">
      <c r="A1226" s="344"/>
      <c r="C1226" s="344"/>
      <c r="D1226" s="344"/>
      <c r="E1226" s="344"/>
      <c r="G1226" s="344"/>
    </row>
    <row r="1227" spans="1:7" ht="18" customHeight="1">
      <c r="A1227" s="344"/>
      <c r="C1227" s="344"/>
      <c r="D1227" s="344"/>
      <c r="E1227" s="344"/>
      <c r="G1227" s="344"/>
    </row>
    <row r="1228" spans="1:7" ht="18" customHeight="1">
      <c r="A1228" s="344"/>
      <c r="C1228" s="344"/>
      <c r="D1228" s="344"/>
      <c r="E1228" s="344"/>
      <c r="G1228" s="344"/>
    </row>
    <row r="1229" spans="1:7" ht="18" customHeight="1">
      <c r="A1229" s="344"/>
      <c r="C1229" s="344"/>
      <c r="D1229" s="344"/>
      <c r="E1229" s="344"/>
      <c r="G1229" s="344"/>
    </row>
    <row r="1230" spans="1:7" ht="18" customHeight="1">
      <c r="A1230" s="344"/>
      <c r="C1230" s="344"/>
      <c r="D1230" s="344"/>
      <c r="E1230" s="344"/>
      <c r="G1230" s="344"/>
    </row>
    <row r="1231" spans="1:7" ht="18" customHeight="1">
      <c r="A1231" s="344"/>
      <c r="C1231" s="344"/>
      <c r="D1231" s="344"/>
      <c r="E1231" s="344"/>
      <c r="G1231" s="344"/>
    </row>
    <row r="1232" spans="1:7" ht="18" customHeight="1">
      <c r="A1232" s="344"/>
      <c r="C1232" s="344"/>
      <c r="D1232" s="344"/>
      <c r="E1232" s="344"/>
      <c r="G1232" s="344"/>
    </row>
    <row r="1233" spans="1:7" ht="18" customHeight="1">
      <c r="A1233" s="344"/>
      <c r="C1233" s="344"/>
      <c r="D1233" s="344"/>
      <c r="E1233" s="344"/>
      <c r="G1233" s="344"/>
    </row>
    <row r="1234" spans="1:7" ht="18" customHeight="1">
      <c r="A1234" s="344"/>
      <c r="C1234" s="344"/>
      <c r="D1234" s="344"/>
      <c r="E1234" s="344"/>
      <c r="G1234" s="344"/>
    </row>
    <row r="1235" spans="1:7" ht="18" customHeight="1">
      <c r="A1235" s="344"/>
      <c r="C1235" s="344"/>
      <c r="D1235" s="344"/>
      <c r="E1235" s="344"/>
      <c r="G1235" s="344"/>
    </row>
    <row r="1236" spans="1:7" ht="18" customHeight="1">
      <c r="A1236" s="344"/>
      <c r="C1236" s="344"/>
      <c r="D1236" s="344"/>
      <c r="E1236" s="344"/>
      <c r="G1236" s="344"/>
    </row>
    <row r="1237" spans="1:7" ht="18" customHeight="1">
      <c r="A1237" s="344"/>
      <c r="C1237" s="344"/>
      <c r="D1237" s="344"/>
      <c r="E1237" s="344"/>
      <c r="G1237" s="344"/>
    </row>
    <row r="1238" spans="1:7" ht="18" customHeight="1">
      <c r="A1238" s="344"/>
      <c r="C1238" s="344"/>
      <c r="D1238" s="344"/>
      <c r="E1238" s="344"/>
      <c r="G1238" s="344"/>
    </row>
    <row r="1239" spans="1:7" ht="18" customHeight="1">
      <c r="A1239" s="344"/>
      <c r="C1239" s="344"/>
      <c r="D1239" s="344"/>
      <c r="E1239" s="344"/>
      <c r="G1239" s="344"/>
    </row>
    <row r="1240" spans="1:7" ht="18" customHeight="1">
      <c r="A1240" s="344"/>
      <c r="C1240" s="344"/>
      <c r="D1240" s="344"/>
      <c r="E1240" s="344"/>
      <c r="G1240" s="344"/>
    </row>
    <row r="1241" spans="1:7" ht="18" customHeight="1">
      <c r="A1241" s="344"/>
      <c r="C1241" s="344"/>
      <c r="D1241" s="344"/>
      <c r="E1241" s="344"/>
      <c r="G1241" s="344"/>
    </row>
    <row r="1242" spans="1:7" ht="18" customHeight="1">
      <c r="A1242" s="344"/>
      <c r="C1242" s="344"/>
      <c r="D1242" s="344"/>
      <c r="E1242" s="344"/>
      <c r="G1242" s="344"/>
    </row>
    <row r="1243" spans="1:7" ht="18" customHeight="1">
      <c r="A1243" s="344"/>
      <c r="C1243" s="344"/>
      <c r="D1243" s="344"/>
      <c r="E1243" s="344"/>
      <c r="G1243" s="344"/>
    </row>
    <row r="1244" spans="1:7" ht="18" customHeight="1">
      <c r="A1244" s="344"/>
      <c r="C1244" s="344"/>
      <c r="D1244" s="344"/>
      <c r="E1244" s="344"/>
      <c r="G1244" s="344"/>
    </row>
    <row r="1245" spans="1:7" ht="18" customHeight="1">
      <c r="A1245" s="344"/>
      <c r="C1245" s="344"/>
      <c r="D1245" s="344"/>
      <c r="E1245" s="344"/>
      <c r="G1245" s="344"/>
    </row>
    <row r="1246" spans="1:7" ht="18" customHeight="1">
      <c r="A1246" s="344"/>
      <c r="C1246" s="344"/>
      <c r="D1246" s="344"/>
      <c r="E1246" s="344"/>
      <c r="G1246" s="344"/>
    </row>
    <row r="1247" spans="1:7" ht="18" customHeight="1">
      <c r="A1247" s="344"/>
      <c r="C1247" s="344"/>
      <c r="D1247" s="344"/>
      <c r="E1247" s="344"/>
      <c r="G1247" s="344"/>
    </row>
    <row r="1248" spans="1:7" ht="18" customHeight="1">
      <c r="A1248" s="344"/>
      <c r="C1248" s="344"/>
      <c r="D1248" s="344"/>
      <c r="E1248" s="344"/>
      <c r="G1248" s="344"/>
    </row>
    <row r="1249" spans="1:7" ht="18" customHeight="1">
      <c r="A1249" s="344"/>
      <c r="C1249" s="344"/>
      <c r="D1249" s="344"/>
      <c r="E1249" s="344"/>
      <c r="G1249" s="344"/>
    </row>
    <row r="1250" spans="1:7" ht="18" customHeight="1">
      <c r="A1250" s="344"/>
      <c r="C1250" s="344"/>
      <c r="D1250" s="344"/>
      <c r="E1250" s="344"/>
      <c r="G1250" s="344"/>
    </row>
    <row r="1251" spans="1:7" ht="18" customHeight="1">
      <c r="A1251" s="344"/>
      <c r="C1251" s="344"/>
      <c r="D1251" s="344"/>
      <c r="E1251" s="344"/>
      <c r="G1251" s="344"/>
    </row>
    <row r="1252" spans="1:7" ht="18" customHeight="1">
      <c r="A1252" s="344"/>
      <c r="C1252" s="344"/>
      <c r="D1252" s="344"/>
      <c r="E1252" s="344"/>
      <c r="G1252" s="344"/>
    </row>
    <row r="1253" spans="1:7" ht="18" customHeight="1">
      <c r="A1253" s="344"/>
      <c r="C1253" s="344"/>
      <c r="D1253" s="344"/>
      <c r="E1253" s="344"/>
      <c r="G1253" s="344"/>
    </row>
    <row r="1254" spans="1:7" ht="18" customHeight="1">
      <c r="A1254" s="344"/>
      <c r="C1254" s="344"/>
      <c r="D1254" s="344"/>
      <c r="E1254" s="344"/>
      <c r="G1254" s="344"/>
    </row>
    <row r="1255" spans="1:7" ht="18" customHeight="1">
      <c r="A1255" s="344"/>
      <c r="C1255" s="344"/>
      <c r="D1255" s="344"/>
      <c r="E1255" s="344"/>
      <c r="G1255" s="344"/>
    </row>
    <row r="1256" spans="1:7" ht="18" customHeight="1">
      <c r="A1256" s="344"/>
      <c r="C1256" s="344"/>
      <c r="D1256" s="344"/>
      <c r="E1256" s="344"/>
      <c r="G1256" s="344"/>
    </row>
    <row r="1257" spans="1:7" ht="18" customHeight="1">
      <c r="A1257" s="344"/>
      <c r="C1257" s="344"/>
      <c r="D1257" s="344"/>
      <c r="E1257" s="344"/>
      <c r="G1257" s="344"/>
    </row>
    <row r="1258" spans="1:7" ht="18" customHeight="1">
      <c r="A1258" s="344"/>
      <c r="C1258" s="344"/>
      <c r="D1258" s="344"/>
      <c r="E1258" s="344"/>
      <c r="G1258" s="344"/>
    </row>
    <row r="1259" spans="1:7" ht="18" customHeight="1">
      <c r="A1259" s="344"/>
      <c r="C1259" s="344"/>
      <c r="D1259" s="344"/>
      <c r="E1259" s="344"/>
      <c r="G1259" s="344"/>
    </row>
    <row r="1260" spans="1:7" ht="18" customHeight="1">
      <c r="A1260" s="344"/>
      <c r="C1260" s="344"/>
      <c r="D1260" s="344"/>
      <c r="E1260" s="344"/>
      <c r="G1260" s="344"/>
    </row>
    <row r="1261" spans="1:7" ht="18" customHeight="1">
      <c r="A1261" s="344"/>
      <c r="C1261" s="344"/>
      <c r="D1261" s="344"/>
      <c r="E1261" s="344"/>
      <c r="G1261" s="344"/>
    </row>
    <row r="1262" spans="1:7" ht="18" customHeight="1">
      <c r="A1262" s="344"/>
      <c r="C1262" s="344"/>
      <c r="D1262" s="344"/>
      <c r="E1262" s="344"/>
      <c r="G1262" s="344"/>
    </row>
    <row r="1263" spans="1:7" ht="18" customHeight="1">
      <c r="A1263" s="344"/>
      <c r="C1263" s="344"/>
      <c r="D1263" s="344"/>
      <c r="E1263" s="344"/>
      <c r="G1263" s="344"/>
    </row>
    <row r="1264" spans="1:7" ht="18" customHeight="1">
      <c r="A1264" s="344"/>
      <c r="C1264" s="344"/>
      <c r="D1264" s="344"/>
      <c r="E1264" s="344"/>
      <c r="G1264" s="344"/>
    </row>
    <row r="1265" spans="1:7" ht="18" customHeight="1">
      <c r="A1265" s="344"/>
      <c r="C1265" s="344"/>
      <c r="D1265" s="344"/>
      <c r="E1265" s="344"/>
      <c r="G1265" s="344"/>
    </row>
    <row r="1266" spans="1:7" ht="18" customHeight="1">
      <c r="A1266" s="344"/>
      <c r="C1266" s="344"/>
      <c r="D1266" s="344"/>
      <c r="E1266" s="344"/>
      <c r="G1266" s="344"/>
    </row>
    <row r="1267" spans="1:7" ht="18" customHeight="1">
      <c r="A1267" s="344"/>
      <c r="C1267" s="344"/>
      <c r="D1267" s="344"/>
      <c r="E1267" s="344"/>
      <c r="G1267" s="344"/>
    </row>
    <row r="1268" spans="1:7" ht="18" customHeight="1">
      <c r="A1268" s="344"/>
      <c r="C1268" s="344"/>
      <c r="D1268" s="344"/>
      <c r="E1268" s="344"/>
      <c r="G1268" s="344"/>
    </row>
    <row r="1269" spans="1:7" ht="18" customHeight="1">
      <c r="A1269" s="344"/>
      <c r="C1269" s="344"/>
      <c r="D1269" s="344"/>
      <c r="E1269" s="344"/>
      <c r="G1269" s="344"/>
    </row>
    <row r="1270" spans="1:7" ht="18" customHeight="1">
      <c r="A1270" s="344"/>
      <c r="C1270" s="344"/>
      <c r="D1270" s="344"/>
      <c r="E1270" s="344"/>
      <c r="G1270" s="344"/>
    </row>
    <row r="1271" spans="1:7" ht="18" customHeight="1">
      <c r="A1271" s="344"/>
      <c r="C1271" s="344"/>
      <c r="D1271" s="344"/>
      <c r="E1271" s="344"/>
      <c r="G1271" s="344"/>
    </row>
    <row r="1272" spans="1:7" ht="18" customHeight="1">
      <c r="A1272" s="344"/>
      <c r="C1272" s="344"/>
      <c r="D1272" s="344"/>
      <c r="E1272" s="344"/>
      <c r="G1272" s="344"/>
    </row>
    <row r="1273" spans="1:7" ht="18" customHeight="1">
      <c r="A1273" s="344"/>
      <c r="C1273" s="344"/>
      <c r="D1273" s="344"/>
      <c r="E1273" s="344"/>
      <c r="G1273" s="344"/>
    </row>
    <row r="1274" spans="1:7" ht="18" customHeight="1">
      <c r="A1274" s="344"/>
      <c r="C1274" s="344"/>
      <c r="D1274" s="344"/>
      <c r="E1274" s="344"/>
      <c r="G1274" s="344"/>
    </row>
    <row r="1275" spans="1:7" ht="18" customHeight="1">
      <c r="A1275" s="344"/>
      <c r="C1275" s="344"/>
      <c r="D1275" s="344"/>
      <c r="E1275" s="344"/>
      <c r="G1275" s="344"/>
    </row>
    <row r="1276" spans="1:7" ht="18" customHeight="1">
      <c r="A1276" s="344"/>
      <c r="C1276" s="344"/>
      <c r="D1276" s="344"/>
      <c r="E1276" s="344"/>
      <c r="G1276" s="344"/>
    </row>
    <row r="1277" spans="1:7" ht="18" customHeight="1">
      <c r="A1277" s="344"/>
      <c r="C1277" s="344"/>
      <c r="D1277" s="344"/>
      <c r="E1277" s="344"/>
      <c r="G1277" s="344"/>
    </row>
    <row r="1278" spans="1:7" ht="18" customHeight="1">
      <c r="A1278" s="344"/>
      <c r="C1278" s="344"/>
      <c r="D1278" s="344"/>
      <c r="E1278" s="344"/>
      <c r="G1278" s="344"/>
    </row>
    <row r="1279" spans="1:7" ht="18" customHeight="1">
      <c r="A1279" s="344"/>
      <c r="C1279" s="344"/>
      <c r="D1279" s="344"/>
      <c r="E1279" s="344"/>
      <c r="G1279" s="344"/>
    </row>
    <row r="1280" spans="1:7" ht="18" customHeight="1">
      <c r="A1280" s="344"/>
      <c r="C1280" s="344"/>
      <c r="D1280" s="344"/>
      <c r="E1280" s="344"/>
      <c r="G1280" s="344"/>
    </row>
    <row r="1281" spans="1:7" ht="18" customHeight="1">
      <c r="A1281" s="344"/>
      <c r="C1281" s="344"/>
      <c r="D1281" s="344"/>
      <c r="E1281" s="344"/>
      <c r="G1281" s="344"/>
    </row>
    <row r="1282" spans="1:7" ht="18" customHeight="1">
      <c r="A1282" s="344"/>
      <c r="C1282" s="344"/>
      <c r="D1282" s="344"/>
      <c r="E1282" s="344"/>
      <c r="G1282" s="344"/>
    </row>
    <row r="1283" spans="1:7" ht="18" customHeight="1">
      <c r="A1283" s="344"/>
      <c r="C1283" s="344"/>
      <c r="D1283" s="344"/>
      <c r="E1283" s="344"/>
      <c r="G1283" s="344"/>
    </row>
    <row r="1284" spans="1:7" ht="18" customHeight="1">
      <c r="A1284" s="344"/>
      <c r="C1284" s="344"/>
      <c r="D1284" s="344"/>
      <c r="E1284" s="344"/>
      <c r="G1284" s="344"/>
    </row>
    <row r="1285" spans="1:7" ht="18" customHeight="1">
      <c r="A1285" s="344"/>
      <c r="C1285" s="344"/>
      <c r="D1285" s="344"/>
      <c r="E1285" s="344"/>
      <c r="G1285" s="344"/>
    </row>
    <row r="1286" spans="1:7" ht="18" customHeight="1">
      <c r="A1286" s="344"/>
      <c r="C1286" s="344"/>
      <c r="D1286" s="344"/>
      <c r="E1286" s="344"/>
      <c r="G1286" s="344"/>
    </row>
    <row r="1287" spans="1:7" ht="18" customHeight="1">
      <c r="A1287" s="344"/>
      <c r="C1287" s="344"/>
      <c r="D1287" s="344"/>
      <c r="E1287" s="344"/>
      <c r="G1287" s="344"/>
    </row>
    <row r="1288" spans="1:7" ht="18" customHeight="1">
      <c r="A1288" s="344"/>
      <c r="C1288" s="344"/>
      <c r="D1288" s="344"/>
      <c r="E1288" s="344"/>
      <c r="G1288" s="344"/>
    </row>
    <row r="1289" spans="1:7" ht="18" customHeight="1">
      <c r="A1289" s="344"/>
      <c r="C1289" s="344"/>
      <c r="D1289" s="344"/>
      <c r="E1289" s="344"/>
      <c r="G1289" s="344"/>
    </row>
    <row r="1290" spans="1:7" ht="18" customHeight="1">
      <c r="A1290" s="344"/>
      <c r="C1290" s="344"/>
      <c r="D1290" s="344"/>
      <c r="E1290" s="344"/>
      <c r="G1290" s="344"/>
    </row>
    <row r="1291" spans="1:7" ht="18" customHeight="1">
      <c r="A1291" s="344"/>
      <c r="C1291" s="344"/>
      <c r="D1291" s="344"/>
      <c r="E1291" s="344"/>
      <c r="G1291" s="344"/>
    </row>
    <row r="1292" spans="1:7" ht="18" customHeight="1">
      <c r="A1292" s="344"/>
      <c r="C1292" s="344"/>
      <c r="D1292" s="344"/>
      <c r="E1292" s="344"/>
      <c r="G1292" s="344"/>
    </row>
    <row r="1293" spans="1:7" ht="18" customHeight="1">
      <c r="A1293" s="344"/>
      <c r="C1293" s="344"/>
      <c r="D1293" s="344"/>
      <c r="E1293" s="344"/>
      <c r="G1293" s="344"/>
    </row>
    <row r="1294" spans="1:7" ht="18" customHeight="1">
      <c r="A1294" s="344"/>
      <c r="C1294" s="344"/>
      <c r="D1294" s="344"/>
      <c r="E1294" s="344"/>
      <c r="G1294" s="344"/>
    </row>
    <row r="1295" spans="1:7" ht="18" customHeight="1">
      <c r="A1295" s="344"/>
      <c r="C1295" s="344"/>
      <c r="D1295" s="344"/>
      <c r="E1295" s="344"/>
      <c r="G1295" s="344"/>
    </row>
    <row r="1296" spans="1:7" ht="18" customHeight="1">
      <c r="A1296" s="344"/>
      <c r="C1296" s="344"/>
      <c r="D1296" s="344"/>
      <c r="E1296" s="344"/>
      <c r="G1296" s="344"/>
    </row>
    <row r="1297" spans="1:7" ht="18" customHeight="1">
      <c r="A1297" s="344"/>
      <c r="C1297" s="344"/>
      <c r="D1297" s="344"/>
      <c r="E1297" s="344"/>
      <c r="G1297" s="344"/>
    </row>
    <row r="1298" spans="1:7" ht="18" customHeight="1">
      <c r="A1298" s="344"/>
      <c r="C1298" s="344"/>
      <c r="D1298" s="344"/>
      <c r="E1298" s="344"/>
      <c r="G1298" s="344"/>
    </row>
    <row r="1299" spans="1:7" ht="18" customHeight="1">
      <c r="A1299" s="344"/>
      <c r="C1299" s="344"/>
      <c r="D1299" s="344"/>
      <c r="E1299" s="344"/>
      <c r="G1299" s="344"/>
    </row>
    <row r="1300" spans="1:7" ht="18" customHeight="1">
      <c r="A1300" s="344"/>
      <c r="C1300" s="344"/>
      <c r="D1300" s="344"/>
      <c r="E1300" s="344"/>
      <c r="G1300" s="344"/>
    </row>
    <row r="1301" spans="1:7" ht="18" customHeight="1">
      <c r="A1301" s="344"/>
      <c r="C1301" s="344"/>
      <c r="D1301" s="344"/>
      <c r="E1301" s="344"/>
      <c r="G1301" s="344"/>
    </row>
    <row r="1302" spans="1:7" ht="18" customHeight="1">
      <c r="A1302" s="344"/>
      <c r="C1302" s="344"/>
      <c r="D1302" s="344"/>
      <c r="E1302" s="344"/>
      <c r="G1302" s="344"/>
    </row>
    <row r="1303" spans="1:7" ht="18" customHeight="1">
      <c r="A1303" s="344"/>
      <c r="C1303" s="344"/>
      <c r="D1303" s="344"/>
      <c r="E1303" s="344"/>
      <c r="G1303" s="344"/>
    </row>
    <row r="1304" spans="1:7" ht="18" customHeight="1">
      <c r="A1304" s="344"/>
      <c r="C1304" s="344"/>
      <c r="D1304" s="344"/>
      <c r="E1304" s="344"/>
      <c r="G1304" s="344"/>
    </row>
    <row r="1305" spans="1:7" ht="18" customHeight="1">
      <c r="A1305" s="344"/>
      <c r="C1305" s="344"/>
      <c r="D1305" s="344"/>
      <c r="E1305" s="344"/>
      <c r="G1305" s="344"/>
    </row>
    <row r="1306" spans="1:7" ht="18" customHeight="1">
      <c r="A1306" s="344"/>
      <c r="C1306" s="344"/>
      <c r="D1306" s="344"/>
      <c r="E1306" s="344"/>
      <c r="G1306" s="344"/>
    </row>
    <row r="1307" spans="1:7" ht="18" customHeight="1">
      <c r="A1307" s="344"/>
      <c r="C1307" s="344"/>
      <c r="D1307" s="344"/>
      <c r="E1307" s="344"/>
      <c r="G1307" s="344"/>
    </row>
    <row r="1308" spans="1:7" ht="18" customHeight="1">
      <c r="A1308" s="344"/>
      <c r="C1308" s="344"/>
      <c r="D1308" s="344"/>
      <c r="E1308" s="344"/>
      <c r="G1308" s="344"/>
    </row>
    <row r="1309" spans="1:7" ht="18" customHeight="1">
      <c r="A1309" s="344"/>
      <c r="C1309" s="344"/>
      <c r="D1309" s="344"/>
      <c r="E1309" s="344"/>
      <c r="G1309" s="344"/>
    </row>
    <row r="1310" spans="1:7" ht="18" customHeight="1">
      <c r="A1310" s="344"/>
      <c r="C1310" s="344"/>
      <c r="D1310" s="344"/>
      <c r="E1310" s="344"/>
      <c r="G1310" s="344"/>
    </row>
    <row r="1311" spans="1:7" ht="18" customHeight="1">
      <c r="A1311" s="344"/>
      <c r="C1311" s="344"/>
      <c r="D1311" s="344"/>
      <c r="E1311" s="344"/>
      <c r="G1311" s="344"/>
    </row>
    <row r="1312" spans="1:7" ht="18" customHeight="1">
      <c r="A1312" s="344"/>
      <c r="C1312" s="344"/>
      <c r="D1312" s="344"/>
      <c r="E1312" s="344"/>
      <c r="G1312" s="344"/>
    </row>
    <row r="1313" spans="1:7" ht="18" customHeight="1">
      <c r="A1313" s="344"/>
      <c r="C1313" s="344"/>
      <c r="D1313" s="344"/>
      <c r="E1313" s="344"/>
      <c r="G1313" s="344"/>
    </row>
    <row r="1314" spans="1:7" ht="18" customHeight="1">
      <c r="A1314" s="344"/>
      <c r="C1314" s="344"/>
      <c r="D1314" s="344"/>
      <c r="E1314" s="344"/>
      <c r="G1314" s="344"/>
    </row>
    <row r="1315" spans="1:7" ht="18" customHeight="1">
      <c r="A1315" s="344"/>
      <c r="C1315" s="344"/>
      <c r="D1315" s="344"/>
      <c r="E1315" s="344"/>
      <c r="G1315" s="344"/>
    </row>
    <row r="1316" spans="1:7" ht="18" customHeight="1">
      <c r="A1316" s="344"/>
      <c r="C1316" s="344"/>
      <c r="D1316" s="344"/>
      <c r="E1316" s="344"/>
      <c r="G1316" s="344"/>
    </row>
    <row r="1317" spans="1:7" ht="18" customHeight="1">
      <c r="A1317" s="344"/>
      <c r="C1317" s="344"/>
      <c r="D1317" s="344"/>
      <c r="E1317" s="344"/>
      <c r="G1317" s="344"/>
    </row>
    <row r="1318" spans="1:7" ht="18" customHeight="1">
      <c r="A1318" s="344"/>
      <c r="C1318" s="344"/>
      <c r="D1318" s="344"/>
      <c r="E1318" s="344"/>
      <c r="G1318" s="344"/>
    </row>
    <row r="1319" spans="1:7" ht="18" customHeight="1">
      <c r="A1319" s="344"/>
      <c r="C1319" s="344"/>
      <c r="D1319" s="344"/>
      <c r="E1319" s="344"/>
      <c r="G1319" s="344"/>
    </row>
    <row r="1320" spans="1:7" ht="18" customHeight="1">
      <c r="A1320" s="344"/>
      <c r="C1320" s="344"/>
      <c r="D1320" s="344"/>
      <c r="E1320" s="344"/>
      <c r="G1320" s="344"/>
    </row>
    <row r="1321" spans="1:7" ht="18" customHeight="1">
      <c r="A1321" s="344"/>
      <c r="C1321" s="344"/>
      <c r="D1321" s="344"/>
      <c r="E1321" s="344"/>
      <c r="G1321" s="344"/>
    </row>
    <row r="1322" spans="1:7" ht="18" customHeight="1">
      <c r="A1322" s="344"/>
      <c r="C1322" s="344"/>
      <c r="D1322" s="344"/>
      <c r="E1322" s="344"/>
      <c r="G1322" s="344"/>
    </row>
    <row r="1323" spans="1:7" ht="18" customHeight="1">
      <c r="A1323" s="344"/>
      <c r="C1323" s="344"/>
      <c r="D1323" s="344"/>
      <c r="E1323" s="344"/>
      <c r="G1323" s="344"/>
    </row>
    <row r="1324" spans="1:7" ht="18" customHeight="1">
      <c r="A1324" s="344"/>
      <c r="C1324" s="344"/>
      <c r="D1324" s="344"/>
      <c r="E1324" s="344"/>
      <c r="G1324" s="344"/>
    </row>
    <row r="1325" spans="1:7" ht="18" customHeight="1">
      <c r="A1325" s="344"/>
      <c r="C1325" s="344"/>
      <c r="D1325" s="344"/>
      <c r="E1325" s="344"/>
      <c r="G1325" s="344"/>
    </row>
    <row r="1326" spans="1:7" ht="18" customHeight="1">
      <c r="A1326" s="344"/>
      <c r="C1326" s="344"/>
      <c r="D1326" s="344"/>
      <c r="E1326" s="344"/>
      <c r="G1326" s="344"/>
    </row>
    <row r="1327" spans="1:7" ht="18" customHeight="1">
      <c r="A1327" s="344"/>
      <c r="C1327" s="344"/>
      <c r="D1327" s="344"/>
      <c r="E1327" s="344"/>
      <c r="G1327" s="344"/>
    </row>
    <row r="1328" spans="1:7" ht="18" customHeight="1">
      <c r="A1328" s="344"/>
      <c r="C1328" s="344"/>
      <c r="D1328" s="344"/>
      <c r="E1328" s="344"/>
      <c r="G1328" s="344"/>
    </row>
    <row r="1329" spans="1:7" ht="18" customHeight="1">
      <c r="A1329" s="344"/>
      <c r="C1329" s="344"/>
      <c r="D1329" s="344"/>
      <c r="E1329" s="344"/>
      <c r="G1329" s="344"/>
    </row>
    <row r="1330" spans="1:7" ht="18" customHeight="1">
      <c r="A1330" s="344"/>
      <c r="C1330" s="344"/>
      <c r="D1330" s="344"/>
      <c r="E1330" s="344"/>
      <c r="G1330" s="344"/>
    </row>
    <row r="1331" spans="1:7" ht="18" customHeight="1">
      <c r="A1331" s="344"/>
      <c r="C1331" s="344"/>
      <c r="D1331" s="344"/>
      <c r="E1331" s="344"/>
      <c r="G1331" s="344"/>
    </row>
    <row r="1332" spans="1:7" ht="18" customHeight="1">
      <c r="A1332" s="344"/>
      <c r="C1332" s="344"/>
      <c r="D1332" s="344"/>
      <c r="E1332" s="344"/>
      <c r="G1332" s="344"/>
    </row>
    <row r="1333" spans="1:7" ht="18" customHeight="1">
      <c r="A1333" s="344"/>
      <c r="C1333" s="344"/>
      <c r="D1333" s="344"/>
      <c r="E1333" s="344"/>
      <c r="G1333" s="344"/>
    </row>
    <row r="1334" spans="1:7" ht="18" customHeight="1">
      <c r="A1334" s="344"/>
      <c r="C1334" s="344"/>
      <c r="D1334" s="344"/>
      <c r="E1334" s="344"/>
      <c r="G1334" s="344"/>
    </row>
    <row r="1335" spans="1:7" ht="18" customHeight="1">
      <c r="A1335" s="344"/>
      <c r="C1335" s="344"/>
      <c r="D1335" s="344"/>
      <c r="E1335" s="344"/>
      <c r="G1335" s="344"/>
    </row>
    <row r="1336" spans="1:7" ht="18" customHeight="1">
      <c r="A1336" s="344"/>
      <c r="C1336" s="344"/>
      <c r="D1336" s="344"/>
      <c r="E1336" s="344"/>
      <c r="G1336" s="344"/>
    </row>
    <row r="1337" spans="1:7" ht="18" customHeight="1">
      <c r="A1337" s="344"/>
      <c r="C1337" s="344"/>
      <c r="D1337" s="344"/>
      <c r="E1337" s="344"/>
      <c r="G1337" s="344"/>
    </row>
    <row r="1338" spans="1:7" ht="18" customHeight="1">
      <c r="A1338" s="344"/>
      <c r="C1338" s="344"/>
      <c r="D1338" s="344"/>
      <c r="E1338" s="344"/>
      <c r="G1338" s="344"/>
    </row>
    <row r="1339" spans="1:7" ht="18" customHeight="1">
      <c r="A1339" s="344"/>
      <c r="C1339" s="344"/>
      <c r="D1339" s="344"/>
      <c r="E1339" s="344"/>
      <c r="G1339" s="344"/>
    </row>
    <row r="1340" spans="1:7" ht="18" customHeight="1">
      <c r="A1340" s="344"/>
      <c r="C1340" s="344"/>
      <c r="D1340" s="344"/>
      <c r="E1340" s="344"/>
      <c r="G1340" s="344"/>
    </row>
    <row r="1341" spans="1:7" ht="18" customHeight="1">
      <c r="A1341" s="344"/>
      <c r="C1341" s="344"/>
      <c r="D1341" s="344"/>
      <c r="E1341" s="344"/>
      <c r="G1341" s="344"/>
    </row>
    <row r="1342" spans="1:7" ht="18" customHeight="1">
      <c r="A1342" s="344"/>
      <c r="C1342" s="344"/>
      <c r="D1342" s="344"/>
      <c r="E1342" s="344"/>
      <c r="G1342" s="344"/>
    </row>
    <row r="1343" spans="1:7" ht="18" customHeight="1">
      <c r="A1343" s="344"/>
      <c r="C1343" s="344"/>
      <c r="D1343" s="344"/>
      <c r="E1343" s="344"/>
      <c r="G1343" s="344"/>
    </row>
    <row r="1344" spans="1:7" ht="18" customHeight="1">
      <c r="A1344" s="344"/>
      <c r="C1344" s="344"/>
      <c r="D1344" s="344"/>
      <c r="E1344" s="344"/>
      <c r="G1344" s="344"/>
    </row>
    <row r="1345" spans="1:7" ht="18" customHeight="1">
      <c r="A1345" s="344"/>
      <c r="C1345" s="344"/>
      <c r="D1345" s="344"/>
      <c r="E1345" s="344"/>
      <c r="G1345" s="344"/>
    </row>
    <row r="1346" spans="1:7" ht="18" customHeight="1">
      <c r="A1346" s="344"/>
      <c r="C1346" s="344"/>
      <c r="D1346" s="344"/>
      <c r="E1346" s="344"/>
      <c r="G1346" s="344"/>
    </row>
    <row r="1347" spans="1:7" ht="18" customHeight="1">
      <c r="A1347" s="344"/>
      <c r="C1347" s="344"/>
      <c r="D1347" s="344"/>
      <c r="E1347" s="344"/>
      <c r="G1347" s="344"/>
    </row>
    <row r="1348" spans="1:7" ht="18" customHeight="1">
      <c r="A1348" s="344"/>
      <c r="C1348" s="344"/>
      <c r="D1348" s="344"/>
      <c r="E1348" s="344"/>
      <c r="G1348" s="344"/>
    </row>
    <row r="1349" spans="1:7" ht="18" customHeight="1">
      <c r="A1349" s="344"/>
      <c r="C1349" s="344"/>
      <c r="D1349" s="344"/>
      <c r="E1349" s="344"/>
      <c r="G1349" s="344"/>
    </row>
    <row r="1350" spans="1:7" ht="18" customHeight="1">
      <c r="A1350" s="344"/>
      <c r="C1350" s="344"/>
      <c r="D1350" s="344"/>
      <c r="E1350" s="344"/>
      <c r="G1350" s="344"/>
    </row>
    <row r="1351" spans="1:7" ht="18" customHeight="1">
      <c r="A1351" s="344"/>
      <c r="C1351" s="344"/>
      <c r="D1351" s="344"/>
      <c r="E1351" s="344"/>
      <c r="G1351" s="344"/>
    </row>
    <row r="1352" spans="1:7" ht="18" customHeight="1">
      <c r="A1352" s="344"/>
      <c r="C1352" s="344"/>
      <c r="D1352" s="344"/>
      <c r="E1352" s="344"/>
      <c r="G1352" s="344"/>
    </row>
    <row r="1353" spans="1:7" ht="18" customHeight="1">
      <c r="A1353" s="344"/>
      <c r="C1353" s="344"/>
      <c r="D1353" s="344"/>
      <c r="E1353" s="344"/>
      <c r="G1353" s="344"/>
    </row>
    <row r="1354" spans="1:7" ht="18" customHeight="1">
      <c r="A1354" s="344"/>
      <c r="C1354" s="344"/>
      <c r="D1354" s="344"/>
      <c r="E1354" s="344"/>
      <c r="G1354" s="344"/>
    </row>
    <row r="1355" spans="1:7" ht="18" customHeight="1">
      <c r="A1355" s="344"/>
      <c r="C1355" s="344"/>
      <c r="D1355" s="344"/>
      <c r="E1355" s="344"/>
      <c r="G1355" s="344"/>
    </row>
    <row r="1356" spans="1:7" ht="18" customHeight="1">
      <c r="A1356" s="344"/>
      <c r="C1356" s="344"/>
      <c r="D1356" s="344"/>
      <c r="E1356" s="344"/>
      <c r="G1356" s="344"/>
    </row>
    <row r="1357" spans="1:7" ht="18" customHeight="1">
      <c r="A1357" s="344"/>
      <c r="C1357" s="344"/>
      <c r="D1357" s="344"/>
      <c r="E1357" s="344"/>
      <c r="G1357" s="344"/>
    </row>
    <row r="1358" spans="1:7" ht="18" customHeight="1">
      <c r="A1358" s="344"/>
      <c r="C1358" s="344"/>
      <c r="D1358" s="344"/>
      <c r="E1358" s="344"/>
      <c r="G1358" s="344"/>
    </row>
    <row r="1359" spans="1:7" ht="18" customHeight="1">
      <c r="A1359" s="344"/>
      <c r="C1359" s="344"/>
      <c r="D1359" s="344"/>
      <c r="E1359" s="344"/>
      <c r="G1359" s="344"/>
    </row>
    <row r="1360" spans="1:7" ht="18" customHeight="1">
      <c r="A1360" s="344"/>
      <c r="C1360" s="344"/>
      <c r="D1360" s="344"/>
      <c r="E1360" s="344"/>
      <c r="G1360" s="344"/>
    </row>
    <row r="1361" spans="1:7" ht="18" customHeight="1">
      <c r="A1361" s="344"/>
      <c r="C1361" s="344"/>
      <c r="D1361" s="344"/>
      <c r="E1361" s="344"/>
      <c r="G1361" s="344"/>
    </row>
    <row r="1362" spans="1:7" ht="18" customHeight="1">
      <c r="A1362" s="344"/>
      <c r="C1362" s="344"/>
      <c r="D1362" s="344"/>
      <c r="E1362" s="344"/>
      <c r="G1362" s="344"/>
    </row>
    <row r="1363" spans="1:7" ht="18" customHeight="1">
      <c r="A1363" s="344"/>
      <c r="C1363" s="344"/>
      <c r="D1363" s="344"/>
      <c r="E1363" s="344"/>
      <c r="G1363" s="344"/>
    </row>
    <row r="1364" spans="1:7" ht="18" customHeight="1">
      <c r="A1364" s="344"/>
      <c r="C1364" s="344"/>
      <c r="D1364" s="344"/>
      <c r="E1364" s="344"/>
      <c r="G1364" s="344"/>
    </row>
    <row r="1365" spans="1:7" ht="18" customHeight="1">
      <c r="A1365" s="344"/>
      <c r="C1365" s="344"/>
      <c r="D1365" s="344"/>
      <c r="E1365" s="344"/>
      <c r="G1365" s="344"/>
    </row>
    <row r="1366" spans="1:7" ht="18" customHeight="1">
      <c r="A1366" s="344"/>
      <c r="C1366" s="344"/>
      <c r="D1366" s="344"/>
      <c r="E1366" s="344"/>
      <c r="G1366" s="344"/>
    </row>
    <row r="1367" spans="1:7" ht="18" customHeight="1">
      <c r="A1367" s="344"/>
      <c r="C1367" s="344"/>
      <c r="D1367" s="344"/>
      <c r="E1367" s="344"/>
      <c r="G1367" s="344"/>
    </row>
    <row r="1368" spans="1:7" ht="18" customHeight="1">
      <c r="A1368" s="344"/>
      <c r="C1368" s="344"/>
      <c r="D1368" s="344"/>
      <c r="E1368" s="344"/>
      <c r="G1368" s="344"/>
    </row>
    <row r="1369" spans="1:7" ht="18" customHeight="1">
      <c r="A1369" s="344"/>
      <c r="C1369" s="344"/>
      <c r="D1369" s="344"/>
      <c r="E1369" s="344"/>
      <c r="G1369" s="344"/>
    </row>
    <row r="1370" spans="1:7" ht="18" customHeight="1">
      <c r="A1370" s="344"/>
      <c r="C1370" s="344"/>
      <c r="D1370" s="344"/>
      <c r="E1370" s="344"/>
      <c r="G1370" s="344"/>
    </row>
    <row r="1371" spans="1:7" ht="18" customHeight="1">
      <c r="A1371" s="344"/>
      <c r="C1371" s="344"/>
      <c r="D1371" s="344"/>
      <c r="E1371" s="344"/>
      <c r="G1371" s="344"/>
    </row>
    <row r="1372" spans="1:7" ht="18" customHeight="1">
      <c r="A1372" s="344"/>
      <c r="C1372" s="344"/>
      <c r="D1372" s="344"/>
      <c r="E1372" s="344"/>
      <c r="G1372" s="344"/>
    </row>
    <row r="1373" spans="1:7" ht="18" customHeight="1">
      <c r="A1373" s="344"/>
      <c r="C1373" s="344"/>
      <c r="D1373" s="344"/>
      <c r="E1373" s="344"/>
      <c r="G1373" s="344"/>
    </row>
    <row r="1374" spans="1:7" ht="18" customHeight="1">
      <c r="A1374" s="344"/>
      <c r="C1374" s="344"/>
      <c r="D1374" s="344"/>
      <c r="E1374" s="344"/>
      <c r="G1374" s="344"/>
    </row>
    <row r="1375" spans="1:7" ht="18" customHeight="1">
      <c r="A1375" s="344"/>
      <c r="C1375" s="344"/>
      <c r="D1375" s="344"/>
      <c r="E1375" s="344"/>
      <c r="G1375" s="344"/>
    </row>
    <row r="1376" spans="1:7" ht="18" customHeight="1">
      <c r="A1376" s="344"/>
      <c r="C1376" s="344"/>
      <c r="D1376" s="344"/>
      <c r="E1376" s="344"/>
      <c r="G1376" s="344"/>
    </row>
    <row r="1377" spans="1:7" ht="18" customHeight="1">
      <c r="A1377" s="344"/>
      <c r="C1377" s="344"/>
      <c r="D1377" s="344"/>
      <c r="E1377" s="344"/>
      <c r="G1377" s="344"/>
    </row>
    <row r="1378" spans="1:7" ht="18" customHeight="1">
      <c r="A1378" s="344"/>
      <c r="C1378" s="344"/>
      <c r="D1378" s="344"/>
      <c r="E1378" s="344"/>
      <c r="G1378" s="344"/>
    </row>
    <row r="1379" spans="1:7" ht="18" customHeight="1">
      <c r="A1379" s="344"/>
      <c r="C1379" s="344"/>
      <c r="D1379" s="344"/>
      <c r="E1379" s="344"/>
      <c r="G1379" s="344"/>
    </row>
    <row r="1380" spans="1:7" ht="18" customHeight="1">
      <c r="A1380" s="344"/>
      <c r="C1380" s="344"/>
      <c r="D1380" s="344"/>
      <c r="E1380" s="344"/>
      <c r="G1380" s="344"/>
    </row>
    <row r="1381" spans="1:7" ht="18" customHeight="1">
      <c r="A1381" s="344"/>
      <c r="C1381" s="344"/>
      <c r="D1381" s="344"/>
      <c r="E1381" s="344"/>
      <c r="G1381" s="344"/>
    </row>
    <row r="1382" spans="1:7" ht="18" customHeight="1">
      <c r="A1382" s="344"/>
      <c r="C1382" s="344"/>
      <c r="D1382" s="344"/>
      <c r="E1382" s="344"/>
      <c r="G1382" s="344"/>
    </row>
    <row r="1383" spans="1:7" ht="18" customHeight="1">
      <c r="A1383" s="344"/>
      <c r="C1383" s="344"/>
      <c r="D1383" s="344"/>
      <c r="E1383" s="344"/>
      <c r="G1383" s="344"/>
    </row>
    <row r="1384" spans="1:7" ht="18" customHeight="1">
      <c r="A1384" s="344"/>
      <c r="C1384" s="344"/>
      <c r="D1384" s="344"/>
      <c r="E1384" s="344"/>
      <c r="G1384" s="344"/>
    </row>
    <row r="1385" spans="1:7" ht="18" customHeight="1">
      <c r="A1385" s="344"/>
      <c r="C1385" s="344"/>
      <c r="D1385" s="344"/>
      <c r="E1385" s="344"/>
      <c r="G1385" s="344"/>
    </row>
    <row r="1386" spans="1:7" ht="18" customHeight="1">
      <c r="A1386" s="344"/>
      <c r="C1386" s="344"/>
      <c r="D1386" s="344"/>
      <c r="E1386" s="344"/>
      <c r="G1386" s="344"/>
    </row>
    <row r="1387" spans="1:7" ht="18" customHeight="1">
      <c r="A1387" s="344"/>
      <c r="C1387" s="344"/>
      <c r="D1387" s="344"/>
      <c r="E1387" s="344"/>
      <c r="G1387" s="344"/>
    </row>
    <row r="1388" spans="1:7" ht="18" customHeight="1">
      <c r="A1388" s="344"/>
      <c r="C1388" s="344"/>
      <c r="D1388" s="344"/>
      <c r="E1388" s="344"/>
      <c r="G1388" s="344"/>
    </row>
    <row r="1389" spans="1:7" ht="18" customHeight="1">
      <c r="A1389" s="344"/>
      <c r="C1389" s="344"/>
      <c r="D1389" s="344"/>
      <c r="E1389" s="344"/>
      <c r="G1389" s="344"/>
    </row>
    <row r="1390" spans="1:7" ht="18" customHeight="1">
      <c r="A1390" s="344"/>
      <c r="C1390" s="344"/>
      <c r="D1390" s="344"/>
      <c r="E1390" s="344"/>
      <c r="G1390" s="344"/>
    </row>
    <row r="1391" spans="1:7" ht="18" customHeight="1">
      <c r="A1391" s="344"/>
      <c r="C1391" s="344"/>
      <c r="D1391" s="344"/>
      <c r="E1391" s="344"/>
      <c r="G1391" s="344"/>
    </row>
    <row r="1392" spans="1:7" ht="18" customHeight="1">
      <c r="A1392" s="344"/>
      <c r="C1392" s="344"/>
      <c r="D1392" s="344"/>
      <c r="E1392" s="344"/>
      <c r="G1392" s="344"/>
    </row>
    <row r="1393" spans="1:7" ht="18" customHeight="1">
      <c r="A1393" s="344"/>
      <c r="C1393" s="344"/>
      <c r="D1393" s="344"/>
      <c r="E1393" s="344"/>
      <c r="G1393" s="344"/>
    </row>
    <row r="1394" spans="1:7" ht="18" customHeight="1">
      <c r="A1394" s="344"/>
      <c r="C1394" s="344"/>
      <c r="D1394" s="344"/>
      <c r="E1394" s="344"/>
      <c r="G1394" s="344"/>
    </row>
    <row r="1395" spans="1:7" ht="18" customHeight="1">
      <c r="A1395" s="344"/>
      <c r="C1395" s="344"/>
      <c r="D1395" s="344"/>
      <c r="E1395" s="344"/>
      <c r="G1395" s="344"/>
    </row>
    <row r="1396" spans="1:7" ht="18" customHeight="1">
      <c r="A1396" s="344"/>
      <c r="C1396" s="344"/>
      <c r="D1396" s="344"/>
      <c r="E1396" s="344"/>
      <c r="G1396" s="344"/>
    </row>
    <row r="1397" spans="1:7" ht="18" customHeight="1">
      <c r="A1397" s="344"/>
      <c r="C1397" s="344"/>
      <c r="D1397" s="344"/>
      <c r="E1397" s="344"/>
      <c r="G1397" s="344"/>
    </row>
    <row r="1398" spans="1:7" ht="18" customHeight="1">
      <c r="A1398" s="344"/>
      <c r="C1398" s="344"/>
      <c r="D1398" s="344"/>
      <c r="E1398" s="344"/>
      <c r="G1398" s="344"/>
    </row>
    <row r="1399" spans="1:7" ht="18" customHeight="1">
      <c r="A1399" s="344"/>
      <c r="C1399" s="344"/>
      <c r="D1399" s="344"/>
      <c r="E1399" s="344"/>
      <c r="G1399" s="344"/>
    </row>
    <row r="1400" spans="1:7" ht="18" customHeight="1">
      <c r="A1400" s="344"/>
      <c r="C1400" s="344"/>
      <c r="D1400" s="344"/>
      <c r="E1400" s="344"/>
      <c r="G1400" s="344"/>
    </row>
    <row r="1401" spans="1:7" ht="18" customHeight="1">
      <c r="A1401" s="344"/>
      <c r="C1401" s="344"/>
      <c r="D1401" s="344"/>
      <c r="E1401" s="344"/>
      <c r="G1401" s="344"/>
    </row>
    <row r="1402" spans="1:7" ht="18" customHeight="1">
      <c r="A1402" s="344"/>
      <c r="C1402" s="344"/>
      <c r="D1402" s="344"/>
      <c r="E1402" s="344"/>
      <c r="G1402" s="344"/>
    </row>
    <row r="1403" spans="1:7" ht="18" customHeight="1">
      <c r="A1403" s="344"/>
      <c r="C1403" s="344"/>
      <c r="D1403" s="344"/>
      <c r="E1403" s="344"/>
      <c r="G1403" s="344"/>
    </row>
    <row r="1404" spans="1:7" ht="18" customHeight="1">
      <c r="A1404" s="344"/>
      <c r="C1404" s="344"/>
      <c r="D1404" s="344"/>
      <c r="E1404" s="344"/>
      <c r="G1404" s="344"/>
    </row>
    <row r="1405" spans="1:7" ht="18" customHeight="1">
      <c r="A1405" s="344"/>
      <c r="C1405" s="344"/>
      <c r="D1405" s="344"/>
      <c r="E1405" s="344"/>
      <c r="G1405" s="344"/>
    </row>
    <row r="1406" spans="1:7" ht="18" customHeight="1">
      <c r="A1406" s="344"/>
      <c r="C1406" s="344"/>
      <c r="D1406" s="344"/>
      <c r="E1406" s="344"/>
      <c r="G1406" s="344"/>
    </row>
    <row r="1407" spans="1:7" ht="18" customHeight="1">
      <c r="A1407" s="344"/>
      <c r="C1407" s="344"/>
      <c r="D1407" s="344"/>
      <c r="E1407" s="344"/>
      <c r="G1407" s="344"/>
    </row>
    <row r="1408" spans="1:7" ht="18" customHeight="1">
      <c r="A1408" s="344"/>
      <c r="C1408" s="344"/>
      <c r="D1408" s="344"/>
      <c r="E1408" s="344"/>
      <c r="G1408" s="344"/>
    </row>
    <row r="1409" spans="1:7" ht="18" customHeight="1">
      <c r="A1409" s="344"/>
      <c r="C1409" s="344"/>
      <c r="D1409" s="344"/>
      <c r="E1409" s="344"/>
      <c r="G1409" s="344"/>
    </row>
    <row r="1410" spans="1:7" ht="18" customHeight="1">
      <c r="A1410" s="344"/>
      <c r="C1410" s="344"/>
      <c r="D1410" s="344"/>
      <c r="E1410" s="344"/>
      <c r="G1410" s="344"/>
    </row>
    <row r="1411" spans="1:7" ht="18" customHeight="1">
      <c r="A1411" s="344"/>
      <c r="C1411" s="344"/>
      <c r="D1411" s="344"/>
      <c r="E1411" s="344"/>
      <c r="G1411" s="344"/>
    </row>
    <row r="1412" spans="1:7" ht="18" customHeight="1">
      <c r="A1412" s="344"/>
      <c r="C1412" s="344"/>
      <c r="D1412" s="344"/>
      <c r="E1412" s="344"/>
      <c r="G1412" s="344"/>
    </row>
    <row r="1413" spans="1:7" ht="18" customHeight="1">
      <c r="A1413" s="344"/>
      <c r="C1413" s="344"/>
      <c r="D1413" s="344"/>
      <c r="E1413" s="344"/>
      <c r="G1413" s="344"/>
    </row>
    <row r="1414" spans="1:7" ht="18" customHeight="1">
      <c r="A1414" s="344"/>
      <c r="C1414" s="344"/>
      <c r="D1414" s="344"/>
      <c r="E1414" s="344"/>
      <c r="G1414" s="344"/>
    </row>
    <row r="1415" spans="1:7" ht="18" customHeight="1">
      <c r="A1415" s="344"/>
      <c r="C1415" s="344"/>
      <c r="D1415" s="344"/>
      <c r="E1415" s="344"/>
      <c r="G1415" s="344"/>
    </row>
    <row r="1416" spans="1:7" ht="18" customHeight="1">
      <c r="A1416" s="344"/>
      <c r="C1416" s="344"/>
      <c r="D1416" s="344"/>
      <c r="E1416" s="344"/>
      <c r="G1416" s="344"/>
    </row>
    <row r="1417" spans="1:7" ht="18" customHeight="1">
      <c r="A1417" s="344"/>
      <c r="C1417" s="344"/>
      <c r="D1417" s="344"/>
      <c r="E1417" s="344"/>
      <c r="G1417" s="344"/>
    </row>
    <row r="1418" spans="1:7" ht="18" customHeight="1">
      <c r="A1418" s="344"/>
      <c r="C1418" s="344"/>
      <c r="D1418" s="344"/>
      <c r="E1418" s="344"/>
      <c r="G1418" s="344"/>
    </row>
    <row r="1419" spans="1:7" ht="18" customHeight="1">
      <c r="A1419" s="344"/>
      <c r="C1419" s="344"/>
      <c r="D1419" s="344"/>
      <c r="E1419" s="344"/>
      <c r="G1419" s="344"/>
    </row>
    <row r="1420" spans="1:7" ht="18" customHeight="1">
      <c r="A1420" s="344"/>
      <c r="C1420" s="344"/>
      <c r="D1420" s="344"/>
      <c r="E1420" s="344"/>
      <c r="G1420" s="344"/>
    </row>
    <row r="1421" spans="1:7" ht="18" customHeight="1">
      <c r="A1421" s="344"/>
      <c r="C1421" s="344"/>
      <c r="D1421" s="344"/>
      <c r="E1421" s="344"/>
      <c r="G1421" s="344"/>
    </row>
    <row r="1422" spans="1:7" ht="18" customHeight="1">
      <c r="A1422" s="344"/>
      <c r="C1422" s="344"/>
      <c r="D1422" s="344"/>
      <c r="E1422" s="344"/>
      <c r="G1422" s="344"/>
    </row>
    <row r="1423" spans="1:7" ht="18" customHeight="1">
      <c r="A1423" s="344"/>
      <c r="C1423" s="344"/>
      <c r="D1423" s="344"/>
      <c r="E1423" s="344"/>
      <c r="G1423" s="344"/>
    </row>
    <row r="1424" spans="1:7" ht="18" customHeight="1">
      <c r="A1424" s="344"/>
      <c r="C1424" s="344"/>
      <c r="D1424" s="344"/>
      <c r="E1424" s="344"/>
      <c r="G1424" s="344"/>
    </row>
    <row r="1425" spans="1:7" ht="18" customHeight="1">
      <c r="A1425" s="344"/>
      <c r="C1425" s="344"/>
      <c r="D1425" s="344"/>
      <c r="E1425" s="344"/>
      <c r="G1425" s="344"/>
    </row>
    <row r="1426" spans="1:7" ht="18" customHeight="1">
      <c r="A1426" s="344"/>
      <c r="C1426" s="344"/>
      <c r="D1426" s="344"/>
      <c r="E1426" s="344"/>
      <c r="G1426" s="344"/>
    </row>
    <row r="1427" spans="1:7" ht="18" customHeight="1">
      <c r="A1427" s="344"/>
      <c r="C1427" s="344"/>
      <c r="D1427" s="344"/>
      <c r="E1427" s="344"/>
      <c r="G1427" s="344"/>
    </row>
    <row r="1428" spans="1:7" ht="18" customHeight="1">
      <c r="A1428" s="344"/>
      <c r="C1428" s="344"/>
      <c r="D1428" s="344"/>
      <c r="E1428" s="344"/>
      <c r="G1428" s="344"/>
    </row>
    <row r="1429" spans="1:7" ht="18" customHeight="1">
      <c r="A1429" s="344"/>
      <c r="C1429" s="344"/>
      <c r="D1429" s="344"/>
      <c r="E1429" s="344"/>
      <c r="G1429" s="344"/>
    </row>
    <row r="1430" spans="1:7" ht="18" customHeight="1">
      <c r="A1430" s="344"/>
      <c r="C1430" s="344"/>
      <c r="D1430" s="344"/>
      <c r="E1430" s="344"/>
      <c r="G1430" s="344"/>
    </row>
    <row r="1431" spans="1:7" ht="18" customHeight="1">
      <c r="A1431" s="344"/>
      <c r="C1431" s="344"/>
      <c r="D1431" s="344"/>
      <c r="E1431" s="344"/>
      <c r="G1431" s="344"/>
    </row>
    <row r="1432" spans="1:7" ht="18" customHeight="1">
      <c r="A1432" s="344"/>
      <c r="C1432" s="344"/>
      <c r="D1432" s="344"/>
      <c r="E1432" s="344"/>
      <c r="G1432" s="344"/>
    </row>
    <row r="1433" spans="1:7" ht="18" customHeight="1">
      <c r="A1433" s="344"/>
      <c r="C1433" s="344"/>
      <c r="D1433" s="344"/>
      <c r="E1433" s="344"/>
      <c r="G1433" s="344"/>
    </row>
    <row r="1434" spans="1:7" ht="18" customHeight="1">
      <c r="A1434" s="344"/>
      <c r="C1434" s="344"/>
      <c r="D1434" s="344"/>
      <c r="E1434" s="344"/>
      <c r="G1434" s="344"/>
    </row>
    <row r="1435" spans="1:7" ht="18" customHeight="1">
      <c r="A1435" s="344"/>
      <c r="C1435" s="344"/>
      <c r="D1435" s="344"/>
      <c r="E1435" s="344"/>
      <c r="G1435" s="344"/>
    </row>
    <row r="1436" spans="1:7" ht="18" customHeight="1">
      <c r="A1436" s="344"/>
      <c r="C1436" s="344"/>
      <c r="D1436" s="344"/>
      <c r="E1436" s="344"/>
      <c r="G1436" s="344"/>
    </row>
    <row r="1437" spans="1:7" ht="18" customHeight="1">
      <c r="A1437" s="344"/>
      <c r="C1437" s="344"/>
      <c r="D1437" s="344"/>
      <c r="E1437" s="344"/>
      <c r="G1437" s="344"/>
    </row>
    <row r="1438" spans="1:7" ht="18" customHeight="1">
      <c r="A1438" s="344"/>
      <c r="C1438" s="344"/>
      <c r="D1438" s="344"/>
      <c r="E1438" s="344"/>
      <c r="G1438" s="344"/>
    </row>
    <row r="1439" spans="1:7" ht="18" customHeight="1">
      <c r="A1439" s="344"/>
      <c r="C1439" s="344"/>
      <c r="D1439" s="344"/>
      <c r="E1439" s="344"/>
      <c r="G1439" s="344"/>
    </row>
    <row r="1440" spans="1:7" ht="18" customHeight="1">
      <c r="A1440" s="344"/>
      <c r="C1440" s="344"/>
      <c r="D1440" s="344"/>
      <c r="E1440" s="344"/>
      <c r="G1440" s="344"/>
    </row>
    <row r="1441" spans="1:7" ht="18" customHeight="1">
      <c r="A1441" s="344"/>
      <c r="C1441" s="344"/>
      <c r="D1441" s="344"/>
      <c r="E1441" s="344"/>
      <c r="G1441" s="344"/>
    </row>
    <row r="1442" spans="1:7" ht="18" customHeight="1">
      <c r="A1442" s="344"/>
      <c r="C1442" s="344"/>
      <c r="D1442" s="344"/>
      <c r="E1442" s="344"/>
      <c r="G1442" s="344"/>
    </row>
    <row r="1443" spans="1:7" ht="18" customHeight="1">
      <c r="A1443" s="344"/>
      <c r="C1443" s="344"/>
      <c r="D1443" s="344"/>
      <c r="E1443" s="344"/>
      <c r="G1443" s="344"/>
    </row>
    <row r="1444" spans="1:7" ht="18" customHeight="1">
      <c r="A1444" s="344"/>
      <c r="C1444" s="344"/>
      <c r="D1444" s="344"/>
      <c r="E1444" s="344"/>
      <c r="G1444" s="344"/>
    </row>
    <row r="1445" spans="1:7" ht="18" customHeight="1">
      <c r="A1445" s="344"/>
      <c r="C1445" s="344"/>
      <c r="D1445" s="344"/>
      <c r="E1445" s="344"/>
      <c r="G1445" s="344"/>
    </row>
    <row r="1446" spans="1:7" ht="18" customHeight="1">
      <c r="A1446" s="344"/>
      <c r="C1446" s="344"/>
      <c r="D1446" s="344"/>
      <c r="E1446" s="344"/>
      <c r="G1446" s="344"/>
    </row>
    <row r="1447" spans="1:7" ht="18" customHeight="1">
      <c r="A1447" s="344"/>
      <c r="C1447" s="344"/>
      <c r="D1447" s="344"/>
      <c r="E1447" s="344"/>
      <c r="G1447" s="344"/>
    </row>
    <row r="1448" spans="1:7" ht="18" customHeight="1">
      <c r="A1448" s="344"/>
      <c r="C1448" s="344"/>
      <c r="D1448" s="344"/>
      <c r="E1448" s="344"/>
      <c r="G1448" s="344"/>
    </row>
    <row r="1449" spans="1:7" ht="18" customHeight="1">
      <c r="A1449" s="344"/>
      <c r="C1449" s="344"/>
      <c r="D1449" s="344"/>
      <c r="E1449" s="344"/>
      <c r="G1449" s="344"/>
    </row>
    <row r="1450" spans="1:7" ht="18" customHeight="1">
      <c r="A1450" s="344"/>
      <c r="C1450" s="344"/>
      <c r="D1450" s="344"/>
      <c r="E1450" s="344"/>
      <c r="G1450" s="344"/>
    </row>
    <row r="1451" spans="1:7" ht="18" customHeight="1">
      <c r="A1451" s="344"/>
      <c r="C1451" s="344"/>
      <c r="D1451" s="344"/>
      <c r="E1451" s="344"/>
      <c r="G1451" s="344"/>
    </row>
    <row r="1452" spans="1:7" ht="18" customHeight="1">
      <c r="A1452" s="344"/>
      <c r="C1452" s="344"/>
      <c r="D1452" s="344"/>
      <c r="E1452" s="344"/>
      <c r="G1452" s="344"/>
    </row>
    <row r="1453" spans="1:7" ht="18" customHeight="1">
      <c r="A1453" s="344"/>
      <c r="C1453" s="344"/>
      <c r="D1453" s="344"/>
      <c r="E1453" s="344"/>
      <c r="G1453" s="344"/>
    </row>
    <row r="1454" spans="1:7" ht="18" customHeight="1">
      <c r="A1454" s="344"/>
      <c r="C1454" s="344"/>
      <c r="D1454" s="344"/>
      <c r="E1454" s="344"/>
      <c r="G1454" s="344"/>
    </row>
    <row r="1455" spans="1:7" ht="18" customHeight="1">
      <c r="A1455" s="344"/>
      <c r="C1455" s="344"/>
      <c r="D1455" s="344"/>
      <c r="E1455" s="344"/>
      <c r="G1455" s="344"/>
    </row>
    <row r="1456" spans="1:7" ht="18" customHeight="1">
      <c r="A1456" s="344"/>
      <c r="C1456" s="344"/>
      <c r="D1456" s="344"/>
      <c r="E1456" s="344"/>
      <c r="G1456" s="344"/>
    </row>
    <row r="1457" spans="1:7" ht="18" customHeight="1">
      <c r="A1457" s="344"/>
      <c r="C1457" s="344"/>
      <c r="D1457" s="344"/>
      <c r="E1457" s="344"/>
      <c r="G1457" s="344"/>
    </row>
    <row r="1458" spans="1:7" ht="18" customHeight="1">
      <c r="A1458" s="344"/>
      <c r="C1458" s="344"/>
      <c r="D1458" s="344"/>
      <c r="E1458" s="344"/>
      <c r="G1458" s="344"/>
    </row>
    <row r="1459" spans="1:7" ht="18" customHeight="1">
      <c r="A1459" s="344"/>
      <c r="C1459" s="344"/>
      <c r="D1459" s="344"/>
      <c r="E1459" s="344"/>
      <c r="G1459" s="344"/>
    </row>
    <row r="1460" spans="1:7" ht="18" customHeight="1">
      <c r="A1460" s="344"/>
      <c r="C1460" s="344"/>
      <c r="D1460" s="344"/>
      <c r="E1460" s="344"/>
      <c r="G1460" s="344"/>
    </row>
    <row r="1461" spans="1:7" ht="18" customHeight="1">
      <c r="A1461" s="344"/>
      <c r="C1461" s="344"/>
      <c r="D1461" s="344"/>
      <c r="E1461" s="344"/>
      <c r="G1461" s="344"/>
    </row>
    <row r="1462" spans="1:7" ht="18" customHeight="1">
      <c r="A1462" s="344"/>
      <c r="C1462" s="344"/>
      <c r="D1462" s="344"/>
      <c r="E1462" s="344"/>
      <c r="G1462" s="344"/>
    </row>
    <row r="1463" spans="1:7" ht="18" customHeight="1">
      <c r="A1463" s="344"/>
      <c r="C1463" s="344"/>
      <c r="D1463" s="344"/>
      <c r="E1463" s="344"/>
      <c r="G1463" s="344"/>
    </row>
    <row r="1464" spans="1:7" ht="18" customHeight="1">
      <c r="A1464" s="344"/>
      <c r="C1464" s="344"/>
      <c r="D1464" s="344"/>
      <c r="E1464" s="344"/>
      <c r="G1464" s="344"/>
    </row>
    <row r="1465" spans="1:7" ht="18" customHeight="1">
      <c r="A1465" s="344"/>
      <c r="C1465" s="344"/>
      <c r="D1465" s="344"/>
      <c r="E1465" s="344"/>
      <c r="G1465" s="344"/>
    </row>
    <row r="1466" spans="1:7" ht="18" customHeight="1">
      <c r="A1466" s="344"/>
      <c r="C1466" s="344"/>
      <c r="D1466" s="344"/>
      <c r="E1466" s="344"/>
      <c r="G1466" s="344"/>
    </row>
    <row r="1467" spans="1:7" ht="18" customHeight="1">
      <c r="A1467" s="344"/>
      <c r="C1467" s="344"/>
      <c r="D1467" s="344"/>
      <c r="E1467" s="344"/>
      <c r="G1467" s="344"/>
    </row>
    <row r="1468" spans="1:7" ht="18" customHeight="1">
      <c r="A1468" s="344"/>
      <c r="C1468" s="344"/>
      <c r="D1468" s="344"/>
      <c r="E1468" s="344"/>
      <c r="G1468" s="344"/>
    </row>
    <row r="1469" spans="1:7" ht="18" customHeight="1">
      <c r="A1469" s="344"/>
      <c r="C1469" s="344"/>
      <c r="D1469" s="344"/>
      <c r="E1469" s="344"/>
      <c r="G1469" s="344"/>
    </row>
    <row r="1470" spans="1:7" ht="18" customHeight="1">
      <c r="A1470" s="344"/>
      <c r="C1470" s="344"/>
      <c r="D1470" s="344"/>
      <c r="E1470" s="344"/>
      <c r="G1470" s="344"/>
    </row>
    <row r="1471" spans="1:7" ht="18" customHeight="1">
      <c r="A1471" s="344"/>
      <c r="C1471" s="344"/>
      <c r="D1471" s="344"/>
      <c r="E1471" s="344"/>
      <c r="G1471" s="344"/>
    </row>
    <row r="1472" spans="1:7" ht="18" customHeight="1">
      <c r="A1472" s="344"/>
      <c r="C1472" s="344"/>
      <c r="D1472" s="344"/>
      <c r="E1472" s="344"/>
      <c r="G1472" s="344"/>
    </row>
    <row r="1473" spans="1:7" ht="18" customHeight="1">
      <c r="A1473" s="344"/>
      <c r="C1473" s="344"/>
      <c r="D1473" s="344"/>
      <c r="E1473" s="344"/>
      <c r="G1473" s="344"/>
    </row>
    <row r="1474" spans="1:7" ht="18" customHeight="1">
      <c r="A1474" s="344"/>
      <c r="C1474" s="344"/>
      <c r="D1474" s="344"/>
      <c r="E1474" s="344"/>
      <c r="G1474" s="344"/>
    </row>
    <row r="1475" spans="1:7" ht="18" customHeight="1">
      <c r="A1475" s="344"/>
      <c r="C1475" s="344"/>
      <c r="D1475" s="344"/>
      <c r="E1475" s="344"/>
      <c r="G1475" s="344"/>
    </row>
    <row r="1476" spans="1:7" ht="18" customHeight="1">
      <c r="A1476" s="344"/>
      <c r="C1476" s="344"/>
      <c r="D1476" s="344"/>
      <c r="E1476" s="344"/>
      <c r="G1476" s="344"/>
    </row>
    <row r="1477" spans="1:7" ht="18" customHeight="1">
      <c r="A1477" s="344"/>
      <c r="C1477" s="344"/>
      <c r="D1477" s="344"/>
      <c r="E1477" s="344"/>
      <c r="G1477" s="344"/>
    </row>
    <row r="1478" spans="1:7" ht="18" customHeight="1">
      <c r="A1478" s="344"/>
      <c r="C1478" s="344"/>
      <c r="D1478" s="344"/>
      <c r="E1478" s="344"/>
      <c r="G1478" s="344"/>
    </row>
    <row r="1479" spans="1:7" ht="18" customHeight="1">
      <c r="A1479" s="344"/>
      <c r="C1479" s="344"/>
      <c r="D1479" s="344"/>
      <c r="E1479" s="344"/>
      <c r="G1479" s="344"/>
    </row>
    <row r="1480" spans="1:7" ht="18" customHeight="1">
      <c r="A1480" s="344"/>
      <c r="C1480" s="344"/>
      <c r="D1480" s="344"/>
      <c r="E1480" s="344"/>
      <c r="G1480" s="344"/>
    </row>
    <row r="1481" spans="1:7" ht="18" customHeight="1">
      <c r="A1481" s="344"/>
      <c r="C1481" s="344"/>
      <c r="D1481" s="344"/>
      <c r="E1481" s="344"/>
      <c r="G1481" s="344"/>
    </row>
    <row r="1482" spans="1:7" ht="18" customHeight="1">
      <c r="A1482" s="344"/>
      <c r="C1482" s="344"/>
      <c r="D1482" s="344"/>
      <c r="E1482" s="344"/>
      <c r="G1482" s="344"/>
    </row>
    <row r="1483" spans="1:7" ht="18" customHeight="1">
      <c r="A1483" s="344"/>
      <c r="C1483" s="344"/>
      <c r="D1483" s="344"/>
      <c r="E1483" s="344"/>
      <c r="G1483" s="344"/>
    </row>
    <row r="1484" spans="1:7" ht="18" customHeight="1">
      <c r="A1484" s="344"/>
      <c r="C1484" s="344"/>
      <c r="D1484" s="344"/>
      <c r="E1484" s="344"/>
      <c r="G1484" s="344"/>
    </row>
    <row r="1485" spans="1:7" ht="18" customHeight="1">
      <c r="A1485" s="344"/>
      <c r="C1485" s="344"/>
      <c r="D1485" s="344"/>
      <c r="E1485" s="344"/>
      <c r="G1485" s="344"/>
    </row>
    <row r="1486" spans="1:7" ht="18" customHeight="1">
      <c r="A1486" s="344"/>
      <c r="C1486" s="344"/>
      <c r="D1486" s="344"/>
      <c r="E1486" s="344"/>
      <c r="G1486" s="344"/>
    </row>
    <row r="1487" spans="1:7" ht="18" customHeight="1">
      <c r="A1487" s="344"/>
      <c r="C1487" s="344"/>
      <c r="D1487" s="344"/>
      <c r="E1487" s="344"/>
      <c r="G1487" s="344"/>
    </row>
    <row r="1488" spans="1:7" ht="18" customHeight="1">
      <c r="A1488" s="344"/>
      <c r="C1488" s="344"/>
      <c r="D1488" s="344"/>
      <c r="E1488" s="344"/>
      <c r="G1488" s="344"/>
    </row>
    <row r="1489" spans="1:7" ht="18" customHeight="1">
      <c r="A1489" s="344"/>
      <c r="C1489" s="344"/>
      <c r="D1489" s="344"/>
      <c r="E1489" s="344"/>
      <c r="G1489" s="344"/>
    </row>
    <row r="1490" spans="1:7" ht="18" customHeight="1">
      <c r="A1490" s="344"/>
      <c r="C1490" s="344"/>
      <c r="D1490" s="344"/>
      <c r="E1490" s="344"/>
      <c r="G1490" s="344"/>
    </row>
    <row r="1491" spans="1:7" ht="18" customHeight="1">
      <c r="A1491" s="344"/>
      <c r="C1491" s="344"/>
      <c r="D1491" s="344"/>
      <c r="E1491" s="344"/>
      <c r="G1491" s="344"/>
    </row>
    <row r="1492" spans="1:7" ht="18" customHeight="1">
      <c r="A1492" s="344"/>
      <c r="C1492" s="344"/>
      <c r="D1492" s="344"/>
      <c r="E1492" s="344"/>
      <c r="G1492" s="344"/>
    </row>
    <row r="1493" spans="1:7" ht="18" customHeight="1">
      <c r="A1493" s="344"/>
      <c r="C1493" s="344"/>
      <c r="D1493" s="344"/>
      <c r="E1493" s="344"/>
      <c r="G1493" s="344"/>
    </row>
    <row r="1494" spans="1:7" ht="18" customHeight="1">
      <c r="A1494" s="344"/>
      <c r="C1494" s="344"/>
      <c r="D1494" s="344"/>
      <c r="E1494" s="344"/>
      <c r="G1494" s="344"/>
    </row>
    <row r="1495" spans="1:7" ht="18" customHeight="1">
      <c r="A1495" s="344"/>
      <c r="C1495" s="344"/>
      <c r="D1495" s="344"/>
      <c r="E1495" s="344"/>
      <c r="G1495" s="344"/>
    </row>
    <row r="1496" spans="1:7" ht="18" customHeight="1">
      <c r="A1496" s="344"/>
      <c r="C1496" s="344"/>
      <c r="D1496" s="344"/>
      <c r="E1496" s="344"/>
      <c r="G1496" s="344"/>
    </row>
    <row r="1497" spans="1:7" ht="18" customHeight="1">
      <c r="A1497" s="344"/>
      <c r="C1497" s="344"/>
      <c r="D1497" s="344"/>
      <c r="E1497" s="344"/>
      <c r="G1497" s="344"/>
    </row>
    <row r="1498" spans="1:7" ht="18" customHeight="1">
      <c r="A1498" s="344"/>
      <c r="C1498" s="344"/>
      <c r="D1498" s="344"/>
      <c r="E1498" s="344"/>
      <c r="G1498" s="344"/>
    </row>
    <row r="1499" spans="1:7" ht="18" customHeight="1">
      <c r="A1499" s="344"/>
      <c r="C1499" s="344"/>
      <c r="D1499" s="344"/>
      <c r="E1499" s="344"/>
      <c r="G1499" s="344"/>
    </row>
    <row r="1500" spans="1:7" ht="18" customHeight="1">
      <c r="A1500" s="344"/>
      <c r="C1500" s="344"/>
      <c r="D1500" s="344"/>
      <c r="E1500" s="344"/>
      <c r="G1500" s="344"/>
    </row>
    <row r="1501" spans="1:7" ht="18" customHeight="1">
      <c r="A1501" s="344"/>
      <c r="C1501" s="344"/>
      <c r="D1501" s="344"/>
      <c r="E1501" s="344"/>
      <c r="G1501" s="344"/>
    </row>
    <row r="1502" spans="1:7" ht="18" customHeight="1">
      <c r="A1502" s="344"/>
      <c r="C1502" s="344"/>
      <c r="D1502" s="344"/>
      <c r="E1502" s="344"/>
      <c r="G1502" s="344"/>
    </row>
    <row r="1503" spans="1:7" ht="18" customHeight="1">
      <c r="A1503" s="344"/>
      <c r="C1503" s="344"/>
      <c r="D1503" s="344"/>
      <c r="E1503" s="344"/>
      <c r="G1503" s="344"/>
    </row>
    <row r="1504" spans="1:7" ht="18" customHeight="1">
      <c r="A1504" s="344"/>
      <c r="C1504" s="344"/>
      <c r="D1504" s="344"/>
      <c r="E1504" s="344"/>
      <c r="G1504" s="344"/>
    </row>
    <row r="1505" spans="1:7" ht="18" customHeight="1">
      <c r="A1505" s="344"/>
      <c r="C1505" s="344"/>
      <c r="D1505" s="344"/>
      <c r="E1505" s="344"/>
      <c r="G1505" s="344"/>
    </row>
    <row r="1506" spans="1:7" ht="18" customHeight="1">
      <c r="A1506" s="344"/>
      <c r="C1506" s="344"/>
      <c r="D1506" s="344"/>
      <c r="E1506" s="344"/>
      <c r="G1506" s="344"/>
    </row>
    <row r="1507" spans="1:7" ht="18" customHeight="1">
      <c r="A1507" s="344"/>
      <c r="C1507" s="344"/>
      <c r="D1507" s="344"/>
      <c r="E1507" s="344"/>
      <c r="G1507" s="344"/>
    </row>
    <row r="1508" spans="1:7" ht="18" customHeight="1">
      <c r="A1508" s="344"/>
      <c r="C1508" s="344"/>
      <c r="D1508" s="344"/>
      <c r="E1508" s="344"/>
      <c r="G1508" s="344"/>
    </row>
    <row r="1509" spans="1:7" ht="18" customHeight="1">
      <c r="A1509" s="344"/>
      <c r="C1509" s="344"/>
      <c r="D1509" s="344"/>
      <c r="E1509" s="344"/>
      <c r="G1509" s="344"/>
    </row>
    <row r="1510" spans="1:7" ht="18" customHeight="1">
      <c r="A1510" s="344"/>
      <c r="C1510" s="344"/>
      <c r="D1510" s="344"/>
      <c r="E1510" s="344"/>
      <c r="G1510" s="344"/>
    </row>
    <row r="1511" spans="1:7" ht="18" customHeight="1">
      <c r="A1511" s="344"/>
      <c r="C1511" s="344"/>
      <c r="D1511" s="344"/>
      <c r="E1511" s="344"/>
      <c r="G1511" s="344"/>
    </row>
    <row r="1512" spans="1:7" ht="18" customHeight="1">
      <c r="A1512" s="344"/>
      <c r="C1512" s="344"/>
      <c r="D1512" s="344"/>
      <c r="E1512" s="344"/>
      <c r="G1512" s="344"/>
    </row>
    <row r="1513" spans="1:7" ht="18" customHeight="1">
      <c r="A1513" s="344"/>
      <c r="C1513" s="344"/>
      <c r="D1513" s="344"/>
      <c r="E1513" s="344"/>
      <c r="G1513" s="344"/>
    </row>
    <row r="1514" spans="1:7" ht="18" customHeight="1">
      <c r="A1514" s="344"/>
      <c r="C1514" s="344"/>
      <c r="D1514" s="344"/>
      <c r="E1514" s="344"/>
      <c r="G1514" s="344"/>
    </row>
    <row r="1515" spans="1:7" ht="18" customHeight="1">
      <c r="A1515" s="344"/>
      <c r="C1515" s="344"/>
      <c r="D1515" s="344"/>
      <c r="E1515" s="344"/>
      <c r="G1515" s="344"/>
    </row>
    <row r="1516" spans="1:7" ht="18" customHeight="1">
      <c r="A1516" s="344"/>
      <c r="C1516" s="344"/>
      <c r="D1516" s="344"/>
      <c r="E1516" s="344"/>
      <c r="G1516" s="344"/>
    </row>
    <row r="1517" spans="1:7" ht="18" customHeight="1">
      <c r="A1517" s="344"/>
      <c r="C1517" s="344"/>
      <c r="D1517" s="344"/>
      <c r="E1517" s="344"/>
      <c r="G1517" s="344"/>
    </row>
    <row r="1518" spans="1:7" ht="18" customHeight="1">
      <c r="A1518" s="344"/>
      <c r="C1518" s="344"/>
      <c r="D1518" s="344"/>
      <c r="E1518" s="344"/>
      <c r="G1518" s="344"/>
    </row>
    <row r="1519" spans="1:7" ht="18" customHeight="1">
      <c r="A1519" s="344"/>
      <c r="C1519" s="344"/>
      <c r="D1519" s="344"/>
      <c r="E1519" s="344"/>
      <c r="G1519" s="344"/>
    </row>
    <row r="1520" spans="1:7" ht="18" customHeight="1">
      <c r="A1520" s="344"/>
      <c r="C1520" s="344"/>
      <c r="D1520" s="344"/>
      <c r="E1520" s="344"/>
      <c r="G1520" s="344"/>
    </row>
    <row r="1521" spans="1:7" ht="18" customHeight="1">
      <c r="A1521" s="344"/>
      <c r="C1521" s="344"/>
      <c r="D1521" s="344"/>
      <c r="E1521" s="344"/>
      <c r="G1521" s="344"/>
    </row>
    <row r="1522" spans="1:7" ht="18" customHeight="1">
      <c r="A1522" s="344"/>
      <c r="C1522" s="344"/>
      <c r="D1522" s="344"/>
      <c r="E1522" s="344"/>
      <c r="G1522" s="344"/>
    </row>
    <row r="1523" spans="1:7" ht="18" customHeight="1">
      <c r="A1523" s="344"/>
      <c r="C1523" s="344"/>
      <c r="D1523" s="344"/>
      <c r="E1523" s="344"/>
      <c r="G1523" s="344"/>
    </row>
    <row r="1524" spans="1:7" ht="18" customHeight="1">
      <c r="A1524" s="344"/>
      <c r="C1524" s="344"/>
      <c r="D1524" s="344"/>
      <c r="E1524" s="344"/>
      <c r="G1524" s="344"/>
    </row>
    <row r="1525" spans="1:7" ht="18" customHeight="1">
      <c r="A1525" s="344"/>
      <c r="C1525" s="344"/>
      <c r="D1525" s="344"/>
      <c r="E1525" s="344"/>
      <c r="G1525" s="344"/>
    </row>
    <row r="1526" spans="1:7" ht="18" customHeight="1">
      <c r="A1526" s="344"/>
      <c r="C1526" s="344"/>
      <c r="D1526" s="344"/>
      <c r="E1526" s="344"/>
      <c r="G1526" s="344"/>
    </row>
    <row r="1527" spans="1:7" ht="18" customHeight="1">
      <c r="A1527" s="344"/>
      <c r="C1527" s="344"/>
      <c r="D1527" s="344"/>
      <c r="E1527" s="344"/>
      <c r="G1527" s="344"/>
    </row>
    <row r="1528" spans="1:7" ht="18" customHeight="1">
      <c r="A1528" s="344"/>
      <c r="C1528" s="344"/>
      <c r="D1528" s="344"/>
      <c r="E1528" s="344"/>
      <c r="G1528" s="344"/>
    </row>
    <row r="1529" spans="1:7" ht="18" customHeight="1">
      <c r="A1529" s="344"/>
      <c r="C1529" s="344"/>
      <c r="D1529" s="344"/>
      <c r="E1529" s="344"/>
      <c r="G1529" s="344"/>
    </row>
    <row r="1530" spans="1:7" ht="18" customHeight="1">
      <c r="A1530" s="344"/>
      <c r="C1530" s="344"/>
      <c r="D1530" s="344"/>
      <c r="E1530" s="344"/>
      <c r="G1530" s="344"/>
    </row>
    <row r="1531" spans="1:7" ht="18" customHeight="1">
      <c r="A1531" s="344"/>
      <c r="C1531" s="344"/>
      <c r="D1531" s="344"/>
      <c r="E1531" s="344"/>
      <c r="G1531" s="344"/>
    </row>
    <row r="1532" spans="1:7" ht="18" customHeight="1">
      <c r="A1532" s="344"/>
      <c r="C1532" s="344"/>
      <c r="D1532" s="344"/>
      <c r="E1532" s="344"/>
      <c r="G1532" s="344"/>
    </row>
    <row r="1533" spans="1:7" ht="18" customHeight="1">
      <c r="A1533" s="344"/>
      <c r="C1533" s="344"/>
      <c r="D1533" s="344"/>
      <c r="E1533" s="344"/>
      <c r="G1533" s="344"/>
    </row>
    <row r="1534" spans="1:7" ht="18" customHeight="1">
      <c r="A1534" s="344"/>
      <c r="C1534" s="344"/>
      <c r="D1534" s="344"/>
      <c r="E1534" s="344"/>
      <c r="G1534" s="344"/>
    </row>
    <row r="1535" spans="1:7" ht="18" customHeight="1">
      <c r="A1535" s="344"/>
      <c r="C1535" s="344"/>
      <c r="D1535" s="344"/>
      <c r="E1535" s="344"/>
      <c r="G1535" s="344"/>
    </row>
    <row r="1536" spans="1:7" ht="18" customHeight="1">
      <c r="A1536" s="344"/>
      <c r="C1536" s="344"/>
      <c r="D1536" s="344"/>
      <c r="E1536" s="344"/>
      <c r="G1536" s="344"/>
    </row>
    <row r="1537" spans="1:7" ht="18" customHeight="1">
      <c r="A1537" s="344"/>
      <c r="C1537" s="344"/>
      <c r="D1537" s="344"/>
      <c r="E1537" s="344"/>
      <c r="G1537" s="344"/>
    </row>
    <row r="1538" spans="1:7" ht="18" customHeight="1">
      <c r="A1538" s="344"/>
      <c r="C1538" s="344"/>
      <c r="D1538" s="344"/>
      <c r="E1538" s="344"/>
      <c r="G1538" s="344"/>
    </row>
    <row r="1539" spans="1:7" ht="18" customHeight="1">
      <c r="A1539" s="344"/>
      <c r="C1539" s="344"/>
      <c r="D1539" s="344"/>
      <c r="E1539" s="344"/>
      <c r="G1539" s="344"/>
    </row>
    <row r="1540" spans="1:7" ht="18" customHeight="1">
      <c r="A1540" s="344"/>
      <c r="C1540" s="344"/>
      <c r="D1540" s="344"/>
      <c r="E1540" s="344"/>
      <c r="G1540" s="344"/>
    </row>
    <row r="1541" spans="1:7" ht="18" customHeight="1">
      <c r="A1541" s="344"/>
      <c r="C1541" s="344"/>
      <c r="D1541" s="344"/>
      <c r="E1541" s="344"/>
      <c r="G1541" s="344"/>
    </row>
    <row r="1542" spans="1:7" ht="18" customHeight="1">
      <c r="A1542" s="344"/>
      <c r="C1542" s="344"/>
      <c r="D1542" s="344"/>
      <c r="E1542" s="344"/>
      <c r="G1542" s="344"/>
    </row>
    <row r="1543" spans="1:7" ht="18" customHeight="1">
      <c r="A1543" s="344"/>
      <c r="C1543" s="344"/>
      <c r="D1543" s="344"/>
      <c r="E1543" s="344"/>
      <c r="G1543" s="344"/>
    </row>
    <row r="1544" spans="1:7" ht="18" customHeight="1">
      <c r="A1544" s="344"/>
      <c r="C1544" s="344"/>
      <c r="D1544" s="344"/>
      <c r="E1544" s="344"/>
      <c r="G1544" s="344"/>
    </row>
    <row r="1545" spans="1:7" ht="18" customHeight="1">
      <c r="A1545" s="344"/>
      <c r="C1545" s="344"/>
      <c r="D1545" s="344"/>
      <c r="E1545" s="344"/>
      <c r="G1545" s="344"/>
    </row>
    <row r="1546" spans="1:7" ht="18" customHeight="1">
      <c r="A1546" s="344"/>
      <c r="C1546" s="344"/>
      <c r="D1546" s="344"/>
      <c r="E1546" s="344"/>
      <c r="G1546" s="344"/>
    </row>
    <row r="1547" spans="1:7" ht="18" customHeight="1">
      <c r="A1547" s="344"/>
      <c r="C1547" s="344"/>
      <c r="D1547" s="344"/>
      <c r="E1547" s="344"/>
      <c r="G1547" s="344"/>
    </row>
    <row r="1548" spans="1:7" ht="18" customHeight="1">
      <c r="A1548" s="344"/>
      <c r="C1548" s="344"/>
      <c r="D1548" s="344"/>
      <c r="E1548" s="344"/>
      <c r="G1548" s="344"/>
    </row>
    <row r="1549" spans="1:7" ht="18" customHeight="1">
      <c r="A1549" s="344"/>
      <c r="C1549" s="344"/>
      <c r="D1549" s="344"/>
      <c r="E1549" s="344"/>
      <c r="G1549" s="344"/>
    </row>
    <row r="1550" spans="1:7" ht="18" customHeight="1">
      <c r="A1550" s="344"/>
      <c r="C1550" s="344"/>
      <c r="D1550" s="344"/>
      <c r="E1550" s="344"/>
      <c r="G1550" s="344"/>
    </row>
    <row r="1551" spans="1:7" ht="18" customHeight="1">
      <c r="A1551" s="344"/>
      <c r="C1551" s="344"/>
      <c r="D1551" s="344"/>
      <c r="E1551" s="344"/>
      <c r="G1551" s="344"/>
    </row>
    <row r="1552" spans="1:7" ht="18" customHeight="1">
      <c r="A1552" s="344"/>
      <c r="C1552" s="344"/>
      <c r="D1552" s="344"/>
      <c r="E1552" s="344"/>
      <c r="G1552" s="344"/>
    </row>
    <row r="1553" spans="1:7" ht="18" customHeight="1">
      <c r="A1553" s="344"/>
      <c r="C1553" s="344"/>
      <c r="D1553" s="344"/>
      <c r="E1553" s="344"/>
      <c r="G1553" s="344"/>
    </row>
    <row r="1554" spans="1:7" ht="18" customHeight="1">
      <c r="A1554" s="344"/>
      <c r="C1554" s="344"/>
      <c r="D1554" s="344"/>
      <c r="E1554" s="344"/>
      <c r="G1554" s="344"/>
    </row>
    <row r="1555" spans="1:7" ht="18" customHeight="1">
      <c r="A1555" s="344"/>
      <c r="C1555" s="344"/>
      <c r="D1555" s="344"/>
      <c r="E1555" s="344"/>
      <c r="G1555" s="344"/>
    </row>
    <row r="1556" spans="1:7" ht="18" customHeight="1">
      <c r="A1556" s="344"/>
      <c r="C1556" s="344"/>
      <c r="D1556" s="344"/>
      <c r="E1556" s="344"/>
      <c r="G1556" s="344"/>
    </row>
    <row r="1557" spans="1:7" ht="18" customHeight="1">
      <c r="A1557" s="344"/>
      <c r="C1557" s="344"/>
      <c r="D1557" s="344"/>
      <c r="E1557" s="344"/>
      <c r="G1557" s="344"/>
    </row>
    <row r="1558" spans="1:7" ht="18" customHeight="1">
      <c r="A1558" s="344"/>
      <c r="C1558" s="344"/>
      <c r="D1558" s="344"/>
      <c r="E1558" s="344"/>
      <c r="G1558" s="344"/>
    </row>
    <row r="1559" spans="1:7" ht="18" customHeight="1">
      <c r="A1559" s="344"/>
      <c r="C1559" s="344"/>
      <c r="D1559" s="344"/>
      <c r="E1559" s="344"/>
      <c r="G1559" s="344"/>
    </row>
    <row r="1560" spans="1:7" ht="18" customHeight="1">
      <c r="A1560" s="344"/>
      <c r="C1560" s="344"/>
      <c r="D1560" s="344"/>
      <c r="E1560" s="344"/>
      <c r="G1560" s="344"/>
    </row>
    <row r="1561" spans="1:7" ht="18" customHeight="1">
      <c r="A1561" s="344"/>
      <c r="C1561" s="344"/>
      <c r="D1561" s="344"/>
      <c r="E1561" s="344"/>
      <c r="G1561" s="344"/>
    </row>
    <row r="1562" spans="1:7" ht="18" customHeight="1">
      <c r="A1562" s="344"/>
      <c r="C1562" s="344"/>
      <c r="D1562" s="344"/>
      <c r="E1562" s="344"/>
      <c r="G1562" s="344"/>
    </row>
    <row r="1563" spans="1:7" ht="18" customHeight="1">
      <c r="A1563" s="344"/>
      <c r="C1563" s="344"/>
      <c r="D1563" s="344"/>
      <c r="E1563" s="344"/>
      <c r="G1563" s="344"/>
    </row>
    <row r="1564" spans="1:7" ht="18" customHeight="1">
      <c r="A1564" s="344"/>
      <c r="C1564" s="344"/>
      <c r="D1564" s="344"/>
      <c r="E1564" s="344"/>
      <c r="G1564" s="344"/>
    </row>
    <row r="1565" spans="1:7" ht="18" customHeight="1">
      <c r="A1565" s="344"/>
      <c r="C1565" s="344"/>
      <c r="D1565" s="344"/>
      <c r="E1565" s="344"/>
      <c r="G1565" s="344"/>
    </row>
    <row r="1566" spans="1:7" ht="18" customHeight="1">
      <c r="A1566" s="344"/>
      <c r="C1566" s="344"/>
      <c r="D1566" s="344"/>
      <c r="E1566" s="344"/>
      <c r="G1566" s="344"/>
    </row>
    <row r="1567" spans="1:7" ht="18" customHeight="1">
      <c r="A1567" s="344"/>
      <c r="C1567" s="344"/>
      <c r="D1567" s="344"/>
      <c r="E1567" s="344"/>
      <c r="G1567" s="344"/>
    </row>
    <row r="1568" spans="1:7" ht="18" customHeight="1">
      <c r="A1568" s="344"/>
      <c r="C1568" s="344"/>
      <c r="D1568" s="344"/>
      <c r="E1568" s="344"/>
      <c r="G1568" s="344"/>
    </row>
    <row r="1569" spans="1:7" ht="18" customHeight="1">
      <c r="A1569" s="344"/>
      <c r="C1569" s="344"/>
      <c r="D1569" s="344"/>
      <c r="E1569" s="344"/>
      <c r="G1569" s="344"/>
    </row>
    <row r="1570" spans="1:7" ht="18" customHeight="1">
      <c r="A1570" s="344"/>
      <c r="C1570" s="344"/>
      <c r="D1570" s="344"/>
      <c r="E1570" s="344"/>
      <c r="G1570" s="344"/>
    </row>
    <row r="1571" spans="1:7" ht="18" customHeight="1">
      <c r="A1571" s="344"/>
      <c r="C1571" s="344"/>
      <c r="D1571" s="344"/>
      <c r="E1571" s="344"/>
      <c r="G1571" s="344"/>
    </row>
    <row r="1572" spans="1:7" ht="18" customHeight="1">
      <c r="A1572" s="344"/>
      <c r="C1572" s="344"/>
      <c r="D1572" s="344"/>
      <c r="E1572" s="344"/>
      <c r="G1572" s="344"/>
    </row>
    <row r="1573" spans="1:7" ht="18" customHeight="1">
      <c r="A1573" s="344"/>
      <c r="C1573" s="344"/>
      <c r="D1573" s="344"/>
      <c r="E1573" s="344"/>
      <c r="G1573" s="344"/>
    </row>
    <row r="1574" spans="1:7" ht="18" customHeight="1">
      <c r="A1574" s="344"/>
      <c r="C1574" s="344"/>
      <c r="D1574" s="344"/>
      <c r="E1574" s="344"/>
      <c r="G1574" s="344"/>
    </row>
    <row r="1575" spans="1:7" ht="18" customHeight="1">
      <c r="A1575" s="344"/>
      <c r="C1575" s="344"/>
      <c r="D1575" s="344"/>
      <c r="E1575" s="344"/>
      <c r="G1575" s="344"/>
    </row>
    <row r="1576" spans="1:7" ht="18" customHeight="1">
      <c r="A1576" s="344"/>
      <c r="C1576" s="344"/>
      <c r="D1576" s="344"/>
      <c r="E1576" s="344"/>
      <c r="G1576" s="344"/>
    </row>
    <row r="1577" spans="1:7" ht="18" customHeight="1">
      <c r="A1577" s="344"/>
      <c r="C1577" s="344"/>
      <c r="D1577" s="344"/>
      <c r="E1577" s="344"/>
      <c r="G1577" s="344"/>
    </row>
    <row r="1578" spans="1:7" ht="18" customHeight="1">
      <c r="A1578" s="344"/>
      <c r="C1578" s="344"/>
      <c r="D1578" s="344"/>
      <c r="E1578" s="344"/>
      <c r="G1578" s="344"/>
    </row>
    <row r="1579" spans="1:7" ht="18" customHeight="1">
      <c r="A1579" s="344"/>
      <c r="C1579" s="344"/>
      <c r="D1579" s="344"/>
      <c r="E1579" s="344"/>
      <c r="G1579" s="344"/>
    </row>
    <row r="1580" spans="1:7" ht="18" customHeight="1">
      <c r="A1580" s="344"/>
      <c r="C1580" s="344"/>
      <c r="D1580" s="344"/>
      <c r="E1580" s="344"/>
      <c r="G1580" s="344"/>
    </row>
    <row r="1581" spans="1:7" ht="18" customHeight="1">
      <c r="A1581" s="344"/>
      <c r="C1581" s="344"/>
      <c r="D1581" s="344"/>
      <c r="E1581" s="344"/>
      <c r="G1581" s="344"/>
    </row>
    <row r="1582" spans="1:7" ht="18" customHeight="1">
      <c r="A1582" s="344"/>
      <c r="C1582" s="344"/>
      <c r="D1582" s="344"/>
      <c r="E1582" s="344"/>
      <c r="G1582" s="344"/>
    </row>
    <row r="1583" spans="1:7" ht="18" customHeight="1">
      <c r="A1583" s="344"/>
      <c r="C1583" s="344"/>
      <c r="D1583" s="344"/>
      <c r="E1583" s="344"/>
      <c r="G1583" s="344"/>
    </row>
    <row r="1584" spans="1:7" ht="18" customHeight="1">
      <c r="A1584" s="344"/>
      <c r="C1584" s="344"/>
      <c r="D1584" s="344"/>
      <c r="E1584" s="344"/>
      <c r="G1584" s="344"/>
    </row>
    <row r="1585" spans="1:7" ht="18" customHeight="1">
      <c r="A1585" s="344"/>
      <c r="C1585" s="344"/>
      <c r="D1585" s="344"/>
      <c r="E1585" s="344"/>
      <c r="G1585" s="344"/>
    </row>
    <row r="1586" spans="1:7" ht="18" customHeight="1">
      <c r="A1586" s="344"/>
      <c r="C1586" s="344"/>
      <c r="D1586" s="344"/>
      <c r="E1586" s="344"/>
      <c r="G1586" s="344"/>
    </row>
    <row r="1587" spans="1:7" ht="18" customHeight="1">
      <c r="A1587" s="344"/>
      <c r="C1587" s="344"/>
      <c r="D1587" s="344"/>
      <c r="E1587" s="344"/>
      <c r="G1587" s="344"/>
    </row>
    <row r="1588" spans="1:7" ht="18" customHeight="1">
      <c r="A1588" s="344"/>
      <c r="C1588" s="344"/>
      <c r="D1588" s="344"/>
      <c r="E1588" s="344"/>
      <c r="G1588" s="344"/>
    </row>
    <row r="1589" spans="1:7" ht="18" customHeight="1">
      <c r="A1589" s="344"/>
      <c r="C1589" s="344"/>
      <c r="D1589" s="344"/>
      <c r="E1589" s="344"/>
      <c r="G1589" s="344"/>
    </row>
    <row r="1590" spans="1:7" ht="18" customHeight="1">
      <c r="A1590" s="344"/>
      <c r="C1590" s="344"/>
      <c r="D1590" s="344"/>
      <c r="E1590" s="344"/>
      <c r="G1590" s="344"/>
    </row>
    <row r="1591" spans="1:7" ht="18" customHeight="1">
      <c r="A1591" s="344"/>
      <c r="C1591" s="344"/>
      <c r="D1591" s="344"/>
      <c r="E1591" s="344"/>
      <c r="G1591" s="344"/>
    </row>
    <row r="1592" spans="1:7" ht="18" customHeight="1">
      <c r="A1592" s="344"/>
      <c r="C1592" s="344"/>
      <c r="D1592" s="344"/>
      <c r="E1592" s="344"/>
      <c r="G1592" s="344"/>
    </row>
    <row r="1593" spans="1:7" ht="18" customHeight="1">
      <c r="A1593" s="344"/>
      <c r="C1593" s="344"/>
      <c r="D1593" s="344"/>
      <c r="E1593" s="344"/>
      <c r="G1593" s="344"/>
    </row>
    <row r="1594" spans="1:7" ht="18" customHeight="1">
      <c r="A1594" s="344"/>
      <c r="C1594" s="344"/>
      <c r="D1594" s="344"/>
      <c r="E1594" s="344"/>
      <c r="G1594" s="344"/>
    </row>
    <row r="1595" spans="1:7" ht="18" customHeight="1">
      <c r="A1595" s="344"/>
      <c r="C1595" s="344"/>
      <c r="D1595" s="344"/>
      <c r="E1595" s="344"/>
      <c r="G1595" s="344"/>
    </row>
    <row r="1596" spans="1:7" ht="18" customHeight="1">
      <c r="A1596" s="344"/>
      <c r="C1596" s="344"/>
      <c r="D1596" s="344"/>
      <c r="E1596" s="344"/>
      <c r="G1596" s="344"/>
    </row>
    <row r="1597" spans="1:7" ht="18" customHeight="1">
      <c r="A1597" s="344"/>
      <c r="C1597" s="344"/>
      <c r="D1597" s="344"/>
      <c r="E1597" s="344"/>
      <c r="G1597" s="344"/>
    </row>
    <row r="1598" spans="1:7" ht="18" customHeight="1">
      <c r="A1598" s="344"/>
      <c r="C1598" s="344"/>
      <c r="D1598" s="344"/>
      <c r="E1598" s="344"/>
      <c r="G1598" s="344"/>
    </row>
    <row r="1599" spans="1:7" ht="18" customHeight="1">
      <c r="A1599" s="344"/>
      <c r="C1599" s="344"/>
      <c r="D1599" s="344"/>
      <c r="E1599" s="344"/>
      <c r="G1599" s="344"/>
    </row>
    <row r="1600" spans="1:7" ht="18" customHeight="1">
      <c r="A1600" s="344"/>
      <c r="C1600" s="344"/>
      <c r="D1600" s="344"/>
      <c r="E1600" s="344"/>
      <c r="G1600" s="344"/>
    </row>
    <row r="1601" spans="1:7" ht="18" customHeight="1">
      <c r="A1601" s="344"/>
      <c r="C1601" s="344"/>
      <c r="D1601" s="344"/>
      <c r="E1601" s="344"/>
      <c r="G1601" s="344"/>
    </row>
    <row r="1602" spans="1:7" ht="18" customHeight="1">
      <c r="A1602" s="344"/>
      <c r="C1602" s="344"/>
      <c r="D1602" s="344"/>
      <c r="E1602" s="344"/>
      <c r="G1602" s="344"/>
    </row>
    <row r="1603" spans="1:7" ht="18" customHeight="1">
      <c r="A1603" s="344"/>
      <c r="C1603" s="344"/>
      <c r="D1603" s="344"/>
      <c r="E1603" s="344"/>
      <c r="G1603" s="344"/>
    </row>
    <row r="1604" spans="1:7" ht="18" customHeight="1">
      <c r="A1604" s="344"/>
      <c r="C1604" s="344"/>
      <c r="D1604" s="344"/>
      <c r="E1604" s="344"/>
      <c r="G1604" s="344"/>
    </row>
    <row r="1605" spans="1:7" ht="18" customHeight="1">
      <c r="A1605" s="344"/>
      <c r="C1605" s="344"/>
      <c r="D1605" s="344"/>
      <c r="E1605" s="344"/>
      <c r="G1605" s="344"/>
    </row>
    <row r="1606" spans="1:7" ht="18" customHeight="1">
      <c r="A1606" s="344"/>
      <c r="C1606" s="344"/>
      <c r="D1606" s="344"/>
      <c r="E1606" s="344"/>
      <c r="G1606" s="344"/>
    </row>
    <row r="1607" spans="1:7" ht="18" customHeight="1">
      <c r="A1607" s="344"/>
      <c r="C1607" s="344"/>
      <c r="D1607" s="344"/>
      <c r="E1607" s="344"/>
      <c r="G1607" s="344"/>
    </row>
    <row r="1608" spans="1:7" ht="18" customHeight="1">
      <c r="A1608" s="344"/>
      <c r="C1608" s="344"/>
      <c r="D1608" s="344"/>
      <c r="E1608" s="344"/>
      <c r="G1608" s="344"/>
    </row>
    <row r="1609" spans="1:7" ht="18" customHeight="1">
      <c r="A1609" s="344"/>
      <c r="C1609" s="344"/>
      <c r="D1609" s="344"/>
      <c r="E1609" s="344"/>
      <c r="G1609" s="344"/>
    </row>
    <row r="1610" spans="1:7" ht="18" customHeight="1">
      <c r="A1610" s="344"/>
      <c r="C1610" s="344"/>
      <c r="D1610" s="344"/>
      <c r="E1610" s="344"/>
      <c r="G1610" s="344"/>
    </row>
    <row r="1611" spans="1:7" ht="18" customHeight="1">
      <c r="A1611" s="344"/>
      <c r="C1611" s="344"/>
      <c r="D1611" s="344"/>
      <c r="E1611" s="344"/>
      <c r="G1611" s="344"/>
    </row>
    <row r="1612" spans="1:7" ht="18" customHeight="1">
      <c r="A1612" s="344"/>
      <c r="C1612" s="344"/>
      <c r="D1612" s="344"/>
      <c r="E1612" s="344"/>
      <c r="G1612" s="344"/>
    </row>
    <row r="1613" spans="1:7" ht="18" customHeight="1">
      <c r="A1613" s="344"/>
      <c r="C1613" s="344"/>
      <c r="D1613" s="344"/>
      <c r="E1613" s="344"/>
      <c r="G1613" s="344"/>
    </row>
    <row r="1614" spans="1:7" ht="18" customHeight="1">
      <c r="A1614" s="344"/>
      <c r="C1614" s="344"/>
      <c r="D1614" s="344"/>
      <c r="E1614" s="344"/>
      <c r="G1614" s="344"/>
    </row>
    <row r="1615" spans="1:7" ht="18" customHeight="1">
      <c r="A1615" s="344"/>
      <c r="C1615" s="344"/>
      <c r="D1615" s="344"/>
      <c r="E1615" s="344"/>
      <c r="G1615" s="344"/>
    </row>
    <row r="1616" spans="1:7" ht="18" customHeight="1">
      <c r="A1616" s="344"/>
      <c r="C1616" s="344"/>
      <c r="D1616" s="344"/>
      <c r="E1616" s="344"/>
      <c r="G1616" s="344"/>
    </row>
    <row r="1617" spans="1:7" ht="18" customHeight="1">
      <c r="A1617" s="344"/>
      <c r="C1617" s="344"/>
      <c r="D1617" s="344"/>
      <c r="E1617" s="344"/>
      <c r="G1617" s="344"/>
    </row>
    <row r="1618" spans="1:7" ht="18" customHeight="1">
      <c r="A1618" s="344"/>
      <c r="C1618" s="344"/>
      <c r="D1618" s="344"/>
      <c r="E1618" s="344"/>
      <c r="G1618" s="344"/>
    </row>
    <row r="1619" spans="1:7" ht="18" customHeight="1">
      <c r="A1619" s="344"/>
      <c r="C1619" s="344"/>
      <c r="D1619" s="344"/>
      <c r="E1619" s="344"/>
      <c r="G1619" s="344"/>
    </row>
    <row r="1620" spans="1:7" ht="18" customHeight="1">
      <c r="A1620" s="344"/>
      <c r="C1620" s="344"/>
      <c r="D1620" s="344"/>
      <c r="E1620" s="344"/>
      <c r="G1620" s="344"/>
    </row>
    <row r="1621" spans="1:7" ht="18" customHeight="1">
      <c r="A1621" s="344"/>
      <c r="C1621" s="344"/>
      <c r="D1621" s="344"/>
      <c r="E1621" s="344"/>
      <c r="G1621" s="344"/>
    </row>
    <row r="1622" spans="1:7" ht="18" customHeight="1">
      <c r="A1622" s="344"/>
      <c r="C1622" s="344"/>
      <c r="D1622" s="344"/>
      <c r="E1622" s="344"/>
      <c r="G1622" s="344"/>
    </row>
    <row r="1623" spans="1:7" ht="18" customHeight="1">
      <c r="A1623" s="344"/>
      <c r="C1623" s="344"/>
      <c r="D1623" s="344"/>
      <c r="E1623" s="344"/>
      <c r="G1623" s="344"/>
    </row>
    <row r="1624" spans="1:7" ht="18" customHeight="1">
      <c r="A1624" s="344"/>
      <c r="C1624" s="344"/>
      <c r="D1624" s="344"/>
      <c r="E1624" s="344"/>
      <c r="G1624" s="344"/>
    </row>
    <row r="1625" spans="1:7" ht="18" customHeight="1">
      <c r="A1625" s="344"/>
      <c r="C1625" s="344"/>
      <c r="D1625" s="344"/>
      <c r="E1625" s="344"/>
      <c r="G1625" s="344"/>
    </row>
    <row r="1626" spans="1:7" ht="18" customHeight="1">
      <c r="A1626" s="344"/>
      <c r="C1626" s="344"/>
      <c r="D1626" s="344"/>
      <c r="E1626" s="344"/>
      <c r="G1626" s="344"/>
    </row>
    <row r="1627" spans="1:7" ht="18" customHeight="1">
      <c r="A1627" s="344"/>
      <c r="C1627" s="344"/>
      <c r="D1627" s="344"/>
      <c r="E1627" s="344"/>
      <c r="G1627" s="344"/>
    </row>
    <row r="1628" spans="1:7" ht="18" customHeight="1">
      <c r="A1628" s="344"/>
      <c r="C1628" s="344"/>
      <c r="D1628" s="344"/>
      <c r="E1628" s="344"/>
      <c r="G1628" s="344"/>
    </row>
    <row r="1629" spans="1:7" ht="18" customHeight="1">
      <c r="A1629" s="344"/>
      <c r="C1629" s="344"/>
      <c r="D1629" s="344"/>
      <c r="E1629" s="344"/>
      <c r="G1629" s="344"/>
    </row>
    <row r="1630" spans="1:7" ht="18" customHeight="1">
      <c r="A1630" s="344"/>
      <c r="C1630" s="344"/>
      <c r="D1630" s="344"/>
      <c r="E1630" s="344"/>
      <c r="G1630" s="344"/>
    </row>
    <row r="1631" spans="1:7" ht="18" customHeight="1">
      <c r="A1631" s="344"/>
      <c r="C1631" s="344"/>
      <c r="D1631" s="344"/>
      <c r="E1631" s="344"/>
      <c r="G1631" s="344"/>
    </row>
    <row r="1632" spans="1:7" ht="18" customHeight="1">
      <c r="A1632" s="344"/>
      <c r="C1632" s="344"/>
      <c r="D1632" s="344"/>
      <c r="E1632" s="344"/>
      <c r="G1632" s="344"/>
    </row>
    <row r="1633" spans="1:7" ht="18" customHeight="1">
      <c r="A1633" s="344"/>
      <c r="C1633" s="344"/>
      <c r="D1633" s="344"/>
      <c r="E1633" s="344"/>
      <c r="G1633" s="344"/>
    </row>
    <row r="1634" spans="1:7" ht="18" customHeight="1">
      <c r="A1634" s="344"/>
      <c r="C1634" s="344"/>
      <c r="D1634" s="344"/>
      <c r="E1634" s="344"/>
      <c r="G1634" s="344"/>
    </row>
    <row r="1635" spans="1:7" ht="18" customHeight="1">
      <c r="A1635" s="344"/>
      <c r="C1635" s="344"/>
      <c r="D1635" s="344"/>
      <c r="E1635" s="344"/>
      <c r="G1635" s="344"/>
    </row>
    <row r="1636" spans="1:7" ht="18" customHeight="1">
      <c r="A1636" s="344"/>
      <c r="C1636" s="344"/>
      <c r="D1636" s="344"/>
      <c r="E1636" s="344"/>
      <c r="G1636" s="344"/>
    </row>
    <row r="1637" spans="1:7" ht="18" customHeight="1">
      <c r="A1637" s="344"/>
      <c r="C1637" s="344"/>
      <c r="D1637" s="344"/>
      <c r="E1637" s="344"/>
      <c r="G1637" s="344"/>
    </row>
    <row r="1638" spans="1:7" ht="18" customHeight="1">
      <c r="A1638" s="344"/>
      <c r="C1638" s="344"/>
      <c r="D1638" s="344"/>
      <c r="E1638" s="344"/>
      <c r="G1638" s="344"/>
    </row>
    <row r="1639" spans="1:7" ht="18" customHeight="1">
      <c r="A1639" s="344"/>
      <c r="C1639" s="344"/>
      <c r="D1639" s="344"/>
      <c r="E1639" s="344"/>
      <c r="G1639" s="344"/>
    </row>
    <row r="1640" spans="1:7" ht="18" customHeight="1">
      <c r="A1640" s="344"/>
      <c r="C1640" s="344"/>
      <c r="D1640" s="344"/>
      <c r="E1640" s="344"/>
      <c r="G1640" s="344"/>
    </row>
    <row r="1641" spans="1:7" ht="18" customHeight="1">
      <c r="A1641" s="344"/>
      <c r="C1641" s="344"/>
      <c r="D1641" s="344"/>
      <c r="E1641" s="344"/>
      <c r="G1641" s="344"/>
    </row>
    <row r="1642" spans="1:7" ht="18" customHeight="1">
      <c r="A1642" s="344"/>
      <c r="C1642" s="344"/>
      <c r="D1642" s="344"/>
      <c r="E1642" s="344"/>
      <c r="G1642" s="344"/>
    </row>
    <row r="1643" spans="1:7" ht="18" customHeight="1">
      <c r="A1643" s="344"/>
      <c r="C1643" s="344"/>
      <c r="D1643" s="344"/>
      <c r="E1643" s="344"/>
      <c r="G1643" s="344"/>
    </row>
    <row r="1644" spans="1:7" ht="18" customHeight="1">
      <c r="A1644" s="344"/>
      <c r="C1644" s="344"/>
      <c r="D1644" s="344"/>
      <c r="E1644" s="344"/>
      <c r="G1644" s="344"/>
    </row>
    <row r="1645" spans="1:7" ht="18" customHeight="1">
      <c r="A1645" s="344"/>
      <c r="C1645" s="344"/>
      <c r="D1645" s="344"/>
      <c r="E1645" s="344"/>
      <c r="G1645" s="344"/>
    </row>
    <row r="1646" spans="1:7" ht="18" customHeight="1">
      <c r="A1646" s="344"/>
      <c r="C1646" s="344"/>
      <c r="D1646" s="344"/>
      <c r="E1646" s="344"/>
      <c r="G1646" s="344"/>
    </row>
    <row r="1647" spans="1:7" ht="18" customHeight="1">
      <c r="A1647" s="344"/>
      <c r="C1647" s="344"/>
      <c r="D1647" s="344"/>
      <c r="E1647" s="344"/>
      <c r="G1647" s="344"/>
    </row>
    <row r="1648" spans="1:7" ht="18" customHeight="1">
      <c r="A1648" s="344"/>
      <c r="C1648" s="344"/>
      <c r="D1648" s="344"/>
      <c r="E1648" s="344"/>
      <c r="G1648" s="344"/>
    </row>
    <row r="1649" spans="1:7" ht="18" customHeight="1">
      <c r="A1649" s="344"/>
      <c r="C1649" s="344"/>
      <c r="D1649" s="344"/>
      <c r="E1649" s="344"/>
      <c r="G1649" s="344"/>
    </row>
    <row r="1650" spans="1:7" ht="18" customHeight="1">
      <c r="A1650" s="344"/>
      <c r="C1650" s="344"/>
      <c r="D1650" s="344"/>
      <c r="E1650" s="344"/>
      <c r="G1650" s="344"/>
    </row>
    <row r="1651" spans="1:7" ht="18" customHeight="1">
      <c r="A1651" s="344"/>
      <c r="C1651" s="344"/>
      <c r="D1651" s="344"/>
      <c r="E1651" s="344"/>
      <c r="G1651" s="344"/>
    </row>
    <row r="1652" spans="1:7" ht="18" customHeight="1">
      <c r="A1652" s="344"/>
      <c r="C1652" s="344"/>
      <c r="D1652" s="344"/>
      <c r="E1652" s="344"/>
      <c r="G1652" s="344"/>
    </row>
    <row r="1653" spans="1:7" ht="18" customHeight="1">
      <c r="A1653" s="344"/>
      <c r="C1653" s="344"/>
      <c r="D1653" s="344"/>
      <c r="E1653" s="344"/>
      <c r="G1653" s="344"/>
    </row>
    <row r="1654" spans="1:7" ht="18" customHeight="1">
      <c r="A1654" s="344"/>
      <c r="C1654" s="344"/>
      <c r="D1654" s="344"/>
      <c r="E1654" s="344"/>
      <c r="G1654" s="344"/>
    </row>
    <row r="1655" spans="1:7" ht="18" customHeight="1">
      <c r="A1655" s="344"/>
      <c r="C1655" s="344"/>
      <c r="D1655" s="344"/>
      <c r="E1655" s="344"/>
      <c r="G1655" s="344"/>
    </row>
    <row r="1656" spans="1:7" ht="18" customHeight="1">
      <c r="A1656" s="344"/>
      <c r="C1656" s="344"/>
      <c r="D1656" s="344"/>
      <c r="E1656" s="344"/>
      <c r="G1656" s="344"/>
    </row>
    <row r="1657" spans="1:7" ht="18" customHeight="1">
      <c r="A1657" s="344"/>
      <c r="C1657" s="344"/>
      <c r="D1657" s="344"/>
      <c r="E1657" s="344"/>
      <c r="G1657" s="344"/>
    </row>
    <row r="1658" spans="1:7" ht="18" customHeight="1">
      <c r="A1658" s="344"/>
      <c r="C1658" s="344"/>
      <c r="D1658" s="344"/>
      <c r="E1658" s="344"/>
      <c r="G1658" s="344"/>
    </row>
    <row r="1659" spans="1:7" ht="18" customHeight="1">
      <c r="A1659" s="344"/>
      <c r="C1659" s="344"/>
      <c r="D1659" s="344"/>
      <c r="E1659" s="344"/>
      <c r="G1659" s="344"/>
    </row>
    <row r="1660" spans="1:7" ht="18" customHeight="1">
      <c r="A1660" s="344"/>
      <c r="C1660" s="344"/>
      <c r="D1660" s="344"/>
      <c r="E1660" s="344"/>
      <c r="G1660" s="344"/>
    </row>
    <row r="1661" spans="1:7" ht="18" customHeight="1">
      <c r="A1661" s="344"/>
      <c r="C1661" s="344"/>
      <c r="D1661" s="344"/>
      <c r="E1661" s="344"/>
      <c r="G1661" s="344"/>
    </row>
    <row r="1662" spans="1:7" ht="18" customHeight="1">
      <c r="A1662" s="344"/>
      <c r="C1662" s="344"/>
      <c r="D1662" s="344"/>
      <c r="E1662" s="344"/>
      <c r="G1662" s="344"/>
    </row>
    <row r="1663" spans="1:7">
      <c r="A1663" s="344"/>
      <c r="C1663" s="344"/>
      <c r="D1663" s="344"/>
      <c r="E1663" s="344"/>
      <c r="G1663" s="344"/>
    </row>
    <row r="1664" spans="1:7">
      <c r="A1664" s="344"/>
      <c r="C1664" s="344"/>
      <c r="D1664" s="344"/>
      <c r="E1664" s="344"/>
      <c r="G1664" s="344"/>
    </row>
    <row r="1665" spans="1:7">
      <c r="A1665" s="344"/>
      <c r="C1665" s="344"/>
      <c r="D1665" s="344"/>
      <c r="E1665" s="344"/>
      <c r="G1665" s="344"/>
    </row>
    <row r="1666" spans="1:7">
      <c r="A1666" s="344"/>
      <c r="C1666" s="344"/>
      <c r="D1666" s="344"/>
      <c r="E1666" s="344"/>
      <c r="G1666" s="344"/>
    </row>
    <row r="1667" spans="1:7">
      <c r="A1667" s="344"/>
      <c r="C1667" s="344"/>
      <c r="D1667" s="344"/>
      <c r="E1667" s="344"/>
      <c r="G1667" s="344"/>
    </row>
    <row r="1668" spans="1:7">
      <c r="A1668" s="344"/>
      <c r="C1668" s="344"/>
      <c r="D1668" s="344"/>
      <c r="E1668" s="344"/>
      <c r="G1668" s="344"/>
    </row>
    <row r="1669" spans="1:7">
      <c r="A1669" s="344"/>
      <c r="C1669" s="344"/>
      <c r="D1669" s="344"/>
      <c r="E1669" s="344"/>
      <c r="G1669" s="344"/>
    </row>
    <row r="1670" spans="1:7">
      <c r="A1670" s="344"/>
      <c r="C1670" s="344"/>
      <c r="D1670" s="344"/>
      <c r="E1670" s="344"/>
      <c r="G1670" s="344"/>
    </row>
    <row r="1671" spans="1:7">
      <c r="A1671" s="344"/>
      <c r="C1671" s="344"/>
      <c r="D1671" s="344"/>
      <c r="E1671" s="344"/>
      <c r="G1671" s="344"/>
    </row>
    <row r="1672" spans="1:7">
      <c r="A1672" s="344"/>
      <c r="C1672" s="344"/>
      <c r="D1672" s="344"/>
      <c r="E1672" s="344"/>
      <c r="G1672" s="344"/>
    </row>
    <row r="1673" spans="1:7">
      <c r="A1673" s="344"/>
      <c r="C1673" s="344"/>
      <c r="D1673" s="344"/>
      <c r="E1673" s="344"/>
      <c r="G1673" s="344"/>
    </row>
    <row r="1674" spans="1:7">
      <c r="A1674" s="344"/>
      <c r="C1674" s="344"/>
      <c r="D1674" s="344"/>
      <c r="E1674" s="344"/>
      <c r="G1674" s="344"/>
    </row>
    <row r="1675" spans="1:7">
      <c r="A1675" s="344"/>
      <c r="C1675" s="344"/>
      <c r="D1675" s="344"/>
      <c r="E1675" s="344"/>
      <c r="G1675" s="344"/>
    </row>
    <row r="1676" spans="1:7">
      <c r="A1676" s="344"/>
      <c r="C1676" s="344"/>
      <c r="D1676" s="344"/>
      <c r="E1676" s="344"/>
      <c r="G1676" s="344"/>
    </row>
    <row r="1677" spans="1:7">
      <c r="A1677" s="344"/>
      <c r="C1677" s="344"/>
      <c r="D1677" s="344"/>
      <c r="E1677" s="344"/>
      <c r="G1677" s="344"/>
    </row>
  </sheetData>
  <autoFilter ref="A1:H1677" xr:uid="{00000000-0009-0000-0000-000004000000}"/>
  <mergeCells count="13">
    <mergeCell ref="B649:F649"/>
    <mergeCell ref="B650:F650"/>
    <mergeCell ref="B651:F651"/>
    <mergeCell ref="B652:G652"/>
    <mergeCell ref="A3:H3"/>
    <mergeCell ref="H4:H5"/>
    <mergeCell ref="A4:A5"/>
    <mergeCell ref="B4:B5"/>
    <mergeCell ref="D4:D5"/>
    <mergeCell ref="E4:E5"/>
    <mergeCell ref="F4:F5"/>
    <mergeCell ref="G4:G5"/>
    <mergeCell ref="C4:C5"/>
  </mergeCells>
  <pageMargins left="0.75" right="0.45" top="0.5" bottom="0.5" header="0.3" footer="0.3"/>
  <pageSetup paperSize="9" scale="90" orientation="portrait" r:id="rId1"/>
  <headerFooter differentFirst="1">
    <oddFooter>&amp;CPage &amp;Pof&amp;N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X2561"/>
  <sheetViews>
    <sheetView tabSelected="1" view="pageBreakPreview" topLeftCell="A1865" zoomScaleNormal="115" zoomScaleSheetLayoutView="100" workbookViewId="0">
      <selection activeCell="B1967" sqref="B1967"/>
    </sheetView>
  </sheetViews>
  <sheetFormatPr defaultColWidth="8.88671875" defaultRowHeight="15.6"/>
  <cols>
    <col min="1" max="1" width="4.33203125" style="648" customWidth="1"/>
    <col min="2" max="2" width="28.77734375" style="477" customWidth="1"/>
    <col min="3" max="3" width="5.5546875" style="664" customWidth="1"/>
    <col min="4" max="4" width="1.88671875" style="648" customWidth="1"/>
    <col min="5" max="5" width="3.109375" style="700" customWidth="1"/>
    <col min="6" max="6" width="5" style="701" customWidth="1"/>
    <col min="7" max="7" width="5.33203125" style="702" customWidth="1"/>
    <col min="8" max="8" width="4.44140625" style="703" customWidth="1"/>
    <col min="9" max="9" width="5.33203125" style="702" customWidth="1"/>
    <col min="10" max="10" width="4.6640625" style="703" customWidth="1"/>
    <col min="11" max="11" width="5" style="704" customWidth="1"/>
    <col min="12" max="12" width="9.6640625" style="648" customWidth="1"/>
    <col min="13" max="13" width="10.109375" style="705" customWidth="1"/>
    <col min="14" max="14" width="10" style="648" customWidth="1"/>
    <col min="15" max="15" width="4.6640625" style="648" customWidth="1"/>
    <col min="16" max="16" width="16.6640625" style="477" bestFit="1" customWidth="1"/>
    <col min="17" max="17" width="6" style="477" customWidth="1"/>
    <col min="18" max="18" width="6.21875" style="477" customWidth="1"/>
    <col min="19" max="20" width="8.88671875" style="477"/>
    <col min="21" max="21" width="4.88671875" style="477" customWidth="1"/>
    <col min="22" max="22" width="6.33203125" style="477" customWidth="1"/>
    <col min="23" max="16384" width="8.88671875" style="477"/>
  </cols>
  <sheetData>
    <row r="1" spans="1:15" s="335" customFormat="1" ht="21.9" customHeight="1">
      <c r="A1" s="465" t="s">
        <v>263</v>
      </c>
      <c r="B1" s="466"/>
      <c r="C1" s="467"/>
      <c r="D1" s="466"/>
      <c r="E1" s="468"/>
      <c r="F1" s="467"/>
      <c r="G1" s="468"/>
      <c r="H1" s="467"/>
      <c r="I1" s="468"/>
      <c r="J1" s="467"/>
      <c r="K1" s="468"/>
      <c r="L1" s="469"/>
      <c r="M1" s="470"/>
    </row>
    <row r="2" spans="1:15" s="335" customFormat="1" ht="21.9" customHeight="1">
      <c r="A2" s="465" t="s">
        <v>162</v>
      </c>
      <c r="B2" s="466"/>
      <c r="C2" s="467"/>
      <c r="D2" s="466"/>
      <c r="E2" s="468"/>
      <c r="F2" s="467"/>
      <c r="G2" s="468"/>
      <c r="H2" s="467"/>
      <c r="I2" s="468"/>
      <c r="J2" s="467"/>
      <c r="K2" s="471"/>
      <c r="L2" s="472"/>
    </row>
    <row r="3" spans="1:15" s="487" customFormat="1" ht="24.9" customHeight="1">
      <c r="A3" s="1181" t="s">
        <v>42</v>
      </c>
      <c r="B3" s="1181"/>
      <c r="C3" s="1181"/>
      <c r="D3" s="1181"/>
      <c r="E3" s="1181"/>
      <c r="F3" s="1181"/>
      <c r="G3" s="1181"/>
      <c r="H3" s="1181"/>
      <c r="I3" s="1181"/>
      <c r="J3" s="1181"/>
      <c r="K3" s="1181"/>
      <c r="L3" s="1181"/>
      <c r="M3" s="1181"/>
      <c r="N3" s="1181"/>
    </row>
    <row r="4" spans="1:15" s="487" customFormat="1" ht="20.100000000000001" customHeight="1">
      <c r="A4" s="1177" t="s">
        <v>8</v>
      </c>
      <c r="B4" s="1177" t="s">
        <v>1</v>
      </c>
      <c r="C4" s="1178" t="s">
        <v>10</v>
      </c>
      <c r="D4" s="1179"/>
      <c r="E4" s="1180"/>
      <c r="F4" s="1177" t="s">
        <v>11</v>
      </c>
      <c r="G4" s="1177"/>
      <c r="H4" s="1177"/>
      <c r="I4" s="1177"/>
      <c r="J4" s="1177"/>
      <c r="K4" s="1177"/>
      <c r="L4" s="707" t="s">
        <v>14</v>
      </c>
      <c r="M4" s="1186" t="s">
        <v>16</v>
      </c>
      <c r="N4" s="707" t="s">
        <v>17</v>
      </c>
      <c r="O4" s="1182" t="s">
        <v>3</v>
      </c>
    </row>
    <row r="5" spans="1:15" s="487" customFormat="1" ht="24.9" customHeight="1">
      <c r="A5" s="1177"/>
      <c r="B5" s="1177"/>
      <c r="C5" s="1178"/>
      <c r="D5" s="1179"/>
      <c r="E5" s="1180"/>
      <c r="F5" s="1184" t="s">
        <v>255</v>
      </c>
      <c r="G5" s="1185"/>
      <c r="H5" s="1184" t="s">
        <v>12</v>
      </c>
      <c r="I5" s="1185"/>
      <c r="J5" s="1178" t="s">
        <v>13</v>
      </c>
      <c r="K5" s="1180"/>
      <c r="L5" s="708" t="s">
        <v>15</v>
      </c>
      <c r="M5" s="1187"/>
      <c r="N5" s="708" t="s">
        <v>18</v>
      </c>
      <c r="O5" s="1183"/>
    </row>
    <row r="6" spans="1:15" s="487" customFormat="1" ht="18" customHeight="1">
      <c r="A6" s="709">
        <v>1</v>
      </c>
      <c r="B6" s="710" t="s">
        <v>722</v>
      </c>
      <c r="C6" s="711"/>
      <c r="D6" s="712"/>
      <c r="E6" s="713"/>
      <c r="F6" s="714"/>
      <c r="G6" s="715"/>
      <c r="H6" s="716"/>
      <c r="I6" s="715"/>
      <c r="J6" s="717"/>
      <c r="K6" s="718"/>
      <c r="L6" s="719"/>
      <c r="M6" s="720"/>
      <c r="N6" s="721">
        <f>SUM(M7)</f>
        <v>3246.75</v>
      </c>
      <c r="O6" s="722" t="s">
        <v>19</v>
      </c>
    </row>
    <row r="7" spans="1:15" s="487" customFormat="1" ht="18" customHeight="1">
      <c r="A7" s="478"/>
      <c r="B7" s="723" t="s">
        <v>27</v>
      </c>
      <c r="C7" s="479">
        <v>1</v>
      </c>
      <c r="D7" s="480" t="s">
        <v>87</v>
      </c>
      <c r="E7" s="724">
        <v>1</v>
      </c>
      <c r="F7" s="484">
        <f>35+2*10</f>
        <v>55</v>
      </c>
      <c r="G7" s="483">
        <v>6</v>
      </c>
      <c r="H7" s="484">
        <f>38+2*10</f>
        <v>58</v>
      </c>
      <c r="I7" s="483">
        <v>6</v>
      </c>
      <c r="J7" s="484"/>
      <c r="K7" s="725"/>
      <c r="L7" s="478"/>
      <c r="M7" s="485">
        <f>IF(C7=0,1,C7)*IF(E7=0,1,E7)*IF((F7+G7/12)=0,1,(F7+G7/12))*IF((H7+I7/12)=0,1,(H7+I7/12))*IF((J7+K7/12)=0,1,(J7+K7/12))</f>
        <v>3246.75</v>
      </c>
      <c r="N7" s="726"/>
      <c r="O7" s="726"/>
    </row>
    <row r="8" spans="1:15" s="487" customFormat="1" ht="18" customHeight="1">
      <c r="A8" s="548"/>
      <c r="B8" s="727"/>
      <c r="C8" s="557"/>
      <c r="D8" s="550"/>
      <c r="E8" s="728"/>
      <c r="F8" s="552"/>
      <c r="G8" s="729"/>
      <c r="H8" s="730"/>
      <c r="I8" s="729"/>
      <c r="J8" s="731"/>
      <c r="K8" s="732"/>
      <c r="L8" s="555"/>
      <c r="M8" s="555"/>
      <c r="N8" s="556"/>
      <c r="O8" s="556"/>
    </row>
    <row r="9" spans="1:15" s="487" customFormat="1" ht="18" customHeight="1">
      <c r="A9" s="709">
        <v>2</v>
      </c>
      <c r="B9" s="710" t="s">
        <v>721</v>
      </c>
      <c r="C9" s="711"/>
      <c r="D9" s="712"/>
      <c r="E9" s="713"/>
      <c r="F9" s="714"/>
      <c r="G9" s="715"/>
      <c r="H9" s="716"/>
      <c r="I9" s="715"/>
      <c r="J9" s="717"/>
      <c r="K9" s="718"/>
      <c r="L9" s="719"/>
      <c r="M9" s="720"/>
      <c r="N9" s="721">
        <f>SUM(M10)</f>
        <v>2206.75</v>
      </c>
      <c r="O9" s="722" t="s">
        <v>19</v>
      </c>
    </row>
    <row r="10" spans="1:15" s="487" customFormat="1" ht="18" customHeight="1">
      <c r="A10" s="478"/>
      <c r="B10" s="723" t="s">
        <v>723</v>
      </c>
      <c r="C10" s="479">
        <v>1</v>
      </c>
      <c r="D10" s="480" t="s">
        <v>87</v>
      </c>
      <c r="E10" s="724">
        <v>1</v>
      </c>
      <c r="F10" s="484">
        <f>35+2*5</f>
        <v>45</v>
      </c>
      <c r="G10" s="483">
        <v>6</v>
      </c>
      <c r="H10" s="484">
        <f>38+2*5</f>
        <v>48</v>
      </c>
      <c r="I10" s="483">
        <v>6</v>
      </c>
      <c r="J10" s="484"/>
      <c r="K10" s="725"/>
      <c r="L10" s="478"/>
      <c r="M10" s="485">
        <f>IF(C10=0,1,C10)*IF(E10=0,1,E10)*IF((F10+G10/12)=0,1,(F10+G10/12))*IF((H10+I10/12)=0,1,(H10+I10/12))*IF((J10+K10/12)=0,1,(J10+K10/12))</f>
        <v>2206.75</v>
      </c>
      <c r="N10" s="726"/>
      <c r="O10" s="726"/>
    </row>
    <row r="11" spans="1:15" s="487" customFormat="1" ht="18" customHeight="1">
      <c r="A11" s="548"/>
      <c r="B11" s="727"/>
      <c r="C11" s="557"/>
      <c r="D11" s="550"/>
      <c r="E11" s="728"/>
      <c r="F11" s="552"/>
      <c r="G11" s="729"/>
      <c r="H11" s="730"/>
      <c r="I11" s="729"/>
      <c r="J11" s="731"/>
      <c r="K11" s="732"/>
      <c r="L11" s="555"/>
      <c r="M11" s="555"/>
      <c r="N11" s="556"/>
      <c r="O11" s="556"/>
    </row>
    <row r="12" spans="1:15" s="487" customFormat="1" ht="18" customHeight="1">
      <c r="A12" s="733">
        <v>3</v>
      </c>
      <c r="B12" s="734" t="s">
        <v>238</v>
      </c>
      <c r="C12" s="735"/>
      <c r="D12" s="736"/>
      <c r="E12" s="737"/>
      <c r="F12" s="738"/>
      <c r="G12" s="739"/>
      <c r="H12" s="740"/>
      <c r="I12" s="739"/>
      <c r="J12" s="741"/>
      <c r="K12" s="742"/>
      <c r="L12" s="743"/>
      <c r="M12" s="546"/>
      <c r="N12" s="721">
        <f>SUM(N13:N22)</f>
        <v>11624.03125</v>
      </c>
      <c r="O12" s="546" t="s">
        <v>21</v>
      </c>
    </row>
    <row r="13" spans="1:15" s="487" customFormat="1" ht="18" customHeight="1">
      <c r="A13" s="478"/>
      <c r="B13" s="723" t="s">
        <v>266</v>
      </c>
      <c r="C13" s="479"/>
      <c r="D13" s="480"/>
      <c r="E13" s="744"/>
      <c r="F13" s="482"/>
      <c r="G13" s="745"/>
      <c r="H13" s="746"/>
      <c r="I13" s="745"/>
      <c r="J13" s="747"/>
      <c r="K13" s="725"/>
      <c r="L13" s="478"/>
      <c r="M13" s="485"/>
      <c r="N13" s="486"/>
      <c r="O13" s="486"/>
    </row>
    <row r="14" spans="1:15" s="487" customFormat="1" ht="18" customHeight="1">
      <c r="A14" s="478"/>
      <c r="B14" s="336" t="s">
        <v>614</v>
      </c>
      <c r="C14" s="479">
        <v>1</v>
      </c>
      <c r="D14" s="480" t="s">
        <v>87</v>
      </c>
      <c r="E14" s="481">
        <v>1</v>
      </c>
      <c r="F14" s="482">
        <v>35</v>
      </c>
      <c r="G14" s="483">
        <f>6</f>
        <v>6</v>
      </c>
      <c r="H14" s="484">
        <v>25</v>
      </c>
      <c r="I14" s="483">
        <v>7</v>
      </c>
      <c r="J14" s="484">
        <v>7</v>
      </c>
      <c r="K14" s="483">
        <v>9</v>
      </c>
      <c r="L14" s="485"/>
      <c r="M14" s="485">
        <f t="shared" ref="M14:M15" si="0">IF(C14=0,1,C14)*IF(E14=0,1,E14)*IF((F14+G14/12)=0,1,(F14+G14/12))*IF((H14+I14/12)=0,1,(H14+I14/12))*IF((J14+K14/12)=0,1,(J14+K14/12))</f>
        <v>7038.614583333333</v>
      </c>
      <c r="N14" s="486"/>
      <c r="O14" s="486"/>
    </row>
    <row r="15" spans="1:15" s="487" customFormat="1" ht="18" customHeight="1">
      <c r="A15" s="478"/>
      <c r="B15" s="336" t="s">
        <v>615</v>
      </c>
      <c r="C15" s="479">
        <v>1</v>
      </c>
      <c r="D15" s="480" t="s">
        <v>87</v>
      </c>
      <c r="E15" s="748">
        <v>1</v>
      </c>
      <c r="F15" s="482">
        <f>F14</f>
        <v>35</v>
      </c>
      <c r="G15" s="483">
        <f>G14</f>
        <v>6</v>
      </c>
      <c r="H15" s="484">
        <v>12</v>
      </c>
      <c r="I15" s="483">
        <v>11</v>
      </c>
      <c r="J15" s="749">
        <v>10</v>
      </c>
      <c r="K15" s="483">
        <v>0</v>
      </c>
      <c r="L15" s="485"/>
      <c r="M15" s="485">
        <f t="shared" si="0"/>
        <v>4585.4166666666661</v>
      </c>
      <c r="N15" s="750"/>
      <c r="O15" s="750"/>
    </row>
    <row r="16" spans="1:15" s="487" customFormat="1" ht="18" customHeight="1">
      <c r="A16" s="478"/>
      <c r="B16" s="336"/>
      <c r="C16" s="479"/>
      <c r="D16" s="480"/>
      <c r="E16" s="748"/>
      <c r="F16" s="482"/>
      <c r="G16" s="745"/>
      <c r="H16" s="746"/>
      <c r="I16" s="745"/>
      <c r="J16" s="747"/>
      <c r="K16" s="725"/>
      <c r="L16" s="485"/>
      <c r="M16" s="499"/>
      <c r="N16" s="858">
        <f>SUM(M14:M15)</f>
        <v>11624.03125</v>
      </c>
      <c r="O16" s="835" t="s">
        <v>21</v>
      </c>
    </row>
    <row r="17" spans="1:15" s="764" customFormat="1" ht="18" hidden="1" customHeight="1">
      <c r="A17" s="751"/>
      <c r="B17" s="752" t="s">
        <v>104</v>
      </c>
      <c r="C17" s="753"/>
      <c r="D17" s="754"/>
      <c r="E17" s="755"/>
      <c r="F17" s="756"/>
      <c r="G17" s="757"/>
      <c r="H17" s="758"/>
      <c r="I17" s="757"/>
      <c r="J17" s="759"/>
      <c r="K17" s="760"/>
      <c r="L17" s="761"/>
      <c r="M17" s="762"/>
      <c r="N17" s="763"/>
      <c r="O17" s="763"/>
    </row>
    <row r="18" spans="1:15" s="764" customFormat="1" ht="18" hidden="1" customHeight="1">
      <c r="A18" s="751"/>
      <c r="B18" s="765" t="s">
        <v>213</v>
      </c>
      <c r="C18" s="753"/>
      <c r="D18" s="754"/>
      <c r="E18" s="755"/>
      <c r="F18" s="756"/>
      <c r="G18" s="757"/>
      <c r="H18" s="758"/>
      <c r="I18" s="757"/>
      <c r="J18" s="759"/>
      <c r="K18" s="766"/>
      <c r="L18" s="761"/>
      <c r="M18" s="761"/>
      <c r="N18" s="767"/>
      <c r="O18" s="767"/>
    </row>
    <row r="19" spans="1:15" s="764" customFormat="1" ht="18" hidden="1" customHeight="1">
      <c r="A19" s="751"/>
      <c r="B19" s="768" t="s">
        <v>264</v>
      </c>
      <c r="C19" s="753">
        <v>1</v>
      </c>
      <c r="D19" s="754" t="s">
        <v>87</v>
      </c>
      <c r="E19" s="769">
        <v>1</v>
      </c>
      <c r="F19" s="756">
        <f>17-1</f>
        <v>16</v>
      </c>
      <c r="G19" s="766">
        <v>6</v>
      </c>
      <c r="H19" s="770">
        <v>1</v>
      </c>
      <c r="I19" s="766">
        <v>8</v>
      </c>
      <c r="J19" s="770">
        <v>3</v>
      </c>
      <c r="K19" s="766">
        <v>0</v>
      </c>
      <c r="L19" s="761"/>
      <c r="M19" s="761"/>
      <c r="N19" s="767"/>
      <c r="O19" s="767"/>
    </row>
    <row r="20" spans="1:15" s="764" customFormat="1" ht="18" hidden="1" customHeight="1">
      <c r="A20" s="751"/>
      <c r="B20" s="768" t="s">
        <v>265</v>
      </c>
      <c r="C20" s="753">
        <v>1</v>
      </c>
      <c r="D20" s="754" t="s">
        <v>87</v>
      </c>
      <c r="E20" s="769">
        <v>1</v>
      </c>
      <c r="F20" s="756">
        <f>8</f>
        <v>8</v>
      </c>
      <c r="G20" s="766">
        <v>6</v>
      </c>
      <c r="H20" s="770">
        <f>H19</f>
        <v>1</v>
      </c>
      <c r="I20" s="766">
        <f>I19</f>
        <v>8</v>
      </c>
      <c r="J20" s="771">
        <f>J19</f>
        <v>3</v>
      </c>
      <c r="K20" s="766">
        <f>K19</f>
        <v>0</v>
      </c>
      <c r="L20" s="761"/>
      <c r="M20" s="761"/>
      <c r="N20" s="767"/>
      <c r="O20" s="767"/>
    </row>
    <row r="21" spans="1:15" s="764" customFormat="1" ht="18" hidden="1" customHeight="1">
      <c r="A21" s="772"/>
      <c r="B21" s="773"/>
      <c r="C21" s="774"/>
      <c r="D21" s="775"/>
      <c r="E21" s="776"/>
      <c r="F21" s="777"/>
      <c r="G21" s="778"/>
      <c r="H21" s="779"/>
      <c r="I21" s="778"/>
      <c r="J21" s="780"/>
      <c r="K21" s="781"/>
      <c r="L21" s="782"/>
      <c r="M21" s="761"/>
      <c r="N21" s="783">
        <f>SUM(M18:M20)</f>
        <v>0</v>
      </c>
      <c r="O21" s="784" t="s">
        <v>21</v>
      </c>
    </row>
    <row r="22" spans="1:15" s="487" customFormat="1" ht="18" customHeight="1">
      <c r="A22" s="548"/>
      <c r="B22" s="549"/>
      <c r="C22" s="557"/>
      <c r="D22" s="550"/>
      <c r="E22" s="551"/>
      <c r="F22" s="552"/>
      <c r="G22" s="553"/>
      <c r="H22" s="554"/>
      <c r="I22" s="553"/>
      <c r="J22" s="785"/>
      <c r="K22" s="732"/>
      <c r="L22" s="555"/>
      <c r="M22" s="786"/>
      <c r="N22" s="787"/>
      <c r="O22" s="787"/>
    </row>
    <row r="23" spans="1:15" s="487" customFormat="1" ht="18" customHeight="1">
      <c r="A23" s="733">
        <v>4</v>
      </c>
      <c r="B23" s="734" t="s">
        <v>624</v>
      </c>
      <c r="C23" s="735"/>
      <c r="D23" s="736"/>
      <c r="E23" s="748"/>
      <c r="F23" s="738"/>
      <c r="G23" s="739"/>
      <c r="H23" s="740"/>
      <c r="I23" s="739"/>
      <c r="J23" s="741"/>
      <c r="K23" s="742"/>
      <c r="L23" s="499"/>
      <c r="M23" s="499"/>
      <c r="N23" s="546">
        <f>SUM(N24:N27)</f>
        <v>1375.625</v>
      </c>
      <c r="O23" s="546" t="s">
        <v>21</v>
      </c>
    </row>
    <row r="24" spans="1:15" s="487" customFormat="1" ht="18" customHeight="1">
      <c r="A24" s="788"/>
      <c r="B24" s="723" t="s">
        <v>266</v>
      </c>
      <c r="C24" s="789"/>
      <c r="D24" s="790"/>
      <c r="E24" s="572"/>
      <c r="F24" s="501"/>
      <c r="G24" s="502"/>
      <c r="H24" s="503"/>
      <c r="I24" s="502"/>
      <c r="J24" s="791"/>
      <c r="K24" s="792"/>
      <c r="L24" s="506"/>
      <c r="M24" s="506"/>
      <c r="N24" s="750"/>
      <c r="O24" s="750"/>
    </row>
    <row r="25" spans="1:15" s="487" customFormat="1" ht="18" customHeight="1">
      <c r="A25" s="788"/>
      <c r="B25" s="336" t="s">
        <v>615</v>
      </c>
      <c r="C25" s="479">
        <f>C15</f>
        <v>1</v>
      </c>
      <c r="D25" s="480" t="s">
        <v>87</v>
      </c>
      <c r="E25" s="481">
        <f>E15</f>
        <v>1</v>
      </c>
      <c r="F25" s="482">
        <f>F15</f>
        <v>35</v>
      </c>
      <c r="G25" s="483">
        <f>G15</f>
        <v>6</v>
      </c>
      <c r="H25" s="484">
        <f>H15</f>
        <v>12</v>
      </c>
      <c r="I25" s="483">
        <f>I15</f>
        <v>11</v>
      </c>
      <c r="J25" s="484">
        <v>3</v>
      </c>
      <c r="K25" s="483">
        <v>0</v>
      </c>
      <c r="L25" s="485"/>
      <c r="M25" s="485">
        <f>IF(C25=0,1,C25)*IF(E25=0,1,E25)*IF((F25+G25/12)=0,1,(F25+G25/12))*IF((H25+I25/12)=0,1,(H25+I25/12))*IF((J25+K25/12)=0,1,(J25+K25/12))</f>
        <v>1375.625</v>
      </c>
      <c r="N25" s="486"/>
      <c r="O25" s="486"/>
    </row>
    <row r="26" spans="1:15" s="487" customFormat="1" ht="18" customHeight="1">
      <c r="A26" s="788"/>
      <c r="B26" s="793"/>
      <c r="C26" s="479"/>
      <c r="D26" s="480"/>
      <c r="E26" s="748">
        <f>SUM(E25:E25)</f>
        <v>1</v>
      </c>
      <c r="F26" s="482"/>
      <c r="G26" s="745"/>
      <c r="H26" s="746"/>
      <c r="I26" s="745"/>
      <c r="J26" s="747"/>
      <c r="K26" s="725"/>
      <c r="L26" s="485"/>
      <c r="M26" s="485"/>
      <c r="N26" s="858">
        <f>SUM(M25:M25)</f>
        <v>1375.625</v>
      </c>
      <c r="O26" s="835" t="s">
        <v>21</v>
      </c>
    </row>
    <row r="27" spans="1:15" s="487" customFormat="1" ht="18" customHeight="1">
      <c r="A27" s="794"/>
      <c r="B27" s="795"/>
      <c r="C27" s="796"/>
      <c r="D27" s="797"/>
      <c r="E27" s="798"/>
      <c r="F27" s="799"/>
      <c r="G27" s="800"/>
      <c r="H27" s="801"/>
      <c r="I27" s="800"/>
      <c r="J27" s="802"/>
      <c r="K27" s="803"/>
      <c r="L27" s="786"/>
      <c r="M27" s="786"/>
      <c r="N27" s="787"/>
      <c r="O27" s="787"/>
    </row>
    <row r="28" spans="1:15" s="487" customFormat="1" ht="18" customHeight="1">
      <c r="A28" s="733">
        <v>5</v>
      </c>
      <c r="B28" s="734" t="s">
        <v>163</v>
      </c>
      <c r="C28" s="735"/>
      <c r="D28" s="736"/>
      <c r="E28" s="748"/>
      <c r="F28" s="738"/>
      <c r="G28" s="739"/>
      <c r="H28" s="740"/>
      <c r="I28" s="739"/>
      <c r="J28" s="741"/>
      <c r="K28" s="742"/>
      <c r="L28" s="499"/>
      <c r="M28" s="499"/>
      <c r="N28" s="546">
        <f>SUM(N29:N32)</f>
        <v>454.10416666666663</v>
      </c>
      <c r="O28" s="546" t="s">
        <v>21</v>
      </c>
    </row>
    <row r="29" spans="1:15" s="487" customFormat="1" ht="18" customHeight="1">
      <c r="A29" s="478"/>
      <c r="B29" s="723" t="s">
        <v>266</v>
      </c>
      <c r="C29" s="479"/>
      <c r="D29" s="480"/>
      <c r="E29" s="744"/>
      <c r="F29" s="482"/>
      <c r="G29" s="745"/>
      <c r="H29" s="746"/>
      <c r="I29" s="745"/>
      <c r="J29" s="747"/>
      <c r="K29" s="725"/>
      <c r="L29" s="478"/>
      <c r="M29" s="485"/>
      <c r="N29" s="486"/>
      <c r="O29" s="486"/>
    </row>
    <row r="30" spans="1:15" s="487" customFormat="1" ht="18" customHeight="1">
      <c r="A30" s="478"/>
      <c r="B30" s="336" t="s">
        <v>614</v>
      </c>
      <c r="C30" s="479">
        <f>C14</f>
        <v>1</v>
      </c>
      <c r="D30" s="480" t="s">
        <v>87</v>
      </c>
      <c r="E30" s="481">
        <f>E14</f>
        <v>1</v>
      </c>
      <c r="F30" s="482">
        <f>F14</f>
        <v>35</v>
      </c>
      <c r="G30" s="483">
        <f>G14</f>
        <v>6</v>
      </c>
      <c r="H30" s="484">
        <f>H14</f>
        <v>25</v>
      </c>
      <c r="I30" s="483">
        <f>I14</f>
        <v>7</v>
      </c>
      <c r="J30" s="484">
        <v>0</v>
      </c>
      <c r="K30" s="483">
        <v>6</v>
      </c>
      <c r="L30" s="485"/>
      <c r="M30" s="485">
        <f>IF(C30=0,1,C30)*IF(E30=0,1,E30)*IF((F30+G30/12)=0,1,(F30+G30/12))*IF((H30+I30/12)=0,1,(H30+I30/12))*IF((J30+K30/12)=0,1,(J30+K30/12))</f>
        <v>454.10416666666663</v>
      </c>
      <c r="N30" s="486"/>
      <c r="O30" s="486"/>
    </row>
    <row r="31" spans="1:15" s="487" customFormat="1" ht="18" customHeight="1">
      <c r="A31" s="478"/>
      <c r="B31" s="336"/>
      <c r="C31" s="479"/>
      <c r="D31" s="480"/>
      <c r="E31" s="748">
        <f>SUM(E30:E30)</f>
        <v>1</v>
      </c>
      <c r="F31" s="482"/>
      <c r="G31" s="745"/>
      <c r="H31" s="746"/>
      <c r="I31" s="745"/>
      <c r="J31" s="747"/>
      <c r="K31" s="725"/>
      <c r="L31" s="485"/>
      <c r="M31" s="485"/>
      <c r="N31" s="858">
        <f>SUM(M30:M30)</f>
        <v>454.10416666666663</v>
      </c>
      <c r="O31" s="835" t="s">
        <v>21</v>
      </c>
    </row>
    <row r="32" spans="1:15" s="487" customFormat="1" ht="18" customHeight="1">
      <c r="A32" s="548"/>
      <c r="B32" s="727"/>
      <c r="C32" s="557"/>
      <c r="D32" s="550"/>
      <c r="E32" s="551"/>
      <c r="F32" s="552"/>
      <c r="G32" s="729"/>
      <c r="H32" s="730"/>
      <c r="I32" s="729"/>
      <c r="J32" s="731"/>
      <c r="K32" s="804"/>
      <c r="L32" s="555"/>
      <c r="M32" s="787"/>
      <c r="N32" s="805"/>
      <c r="O32" s="786"/>
    </row>
    <row r="33" spans="1:16" s="487" customFormat="1" ht="18" customHeight="1">
      <c r="A33" s="733">
        <v>6</v>
      </c>
      <c r="B33" s="734" t="s">
        <v>215</v>
      </c>
      <c r="C33" s="735"/>
      <c r="D33" s="736"/>
      <c r="E33" s="737"/>
      <c r="F33" s="738"/>
      <c r="G33" s="739"/>
      <c r="H33" s="740"/>
      <c r="I33" s="739"/>
      <c r="J33" s="741"/>
      <c r="K33" s="483"/>
      <c r="L33" s="743"/>
      <c r="M33" s="499"/>
      <c r="N33" s="546">
        <f>SUM(N34:N64)</f>
        <v>779.45833333333326</v>
      </c>
      <c r="O33" s="546" t="s">
        <v>21</v>
      </c>
    </row>
    <row r="34" spans="1:16" s="487" customFormat="1" ht="18" customHeight="1">
      <c r="A34" s="478"/>
      <c r="B34" s="723" t="s">
        <v>216</v>
      </c>
      <c r="C34" s="479"/>
      <c r="D34" s="480"/>
      <c r="E34" s="744"/>
      <c r="F34" s="482"/>
      <c r="G34" s="745"/>
      <c r="H34" s="746"/>
      <c r="I34" s="745"/>
      <c r="J34" s="747"/>
      <c r="K34" s="725"/>
      <c r="L34" s="478"/>
      <c r="M34" s="485"/>
      <c r="N34" s="486"/>
      <c r="O34" s="486"/>
    </row>
    <row r="35" spans="1:16" s="487" customFormat="1" ht="18" customHeight="1">
      <c r="A35" s="478"/>
      <c r="B35" s="336" t="s">
        <v>614</v>
      </c>
      <c r="C35" s="479">
        <f>C14</f>
        <v>1</v>
      </c>
      <c r="D35" s="480" t="s">
        <v>87</v>
      </c>
      <c r="E35" s="481">
        <f>E14</f>
        <v>1</v>
      </c>
      <c r="F35" s="482">
        <f>F14</f>
        <v>35</v>
      </c>
      <c r="G35" s="483">
        <f>G14</f>
        <v>6</v>
      </c>
      <c r="H35" s="484">
        <f>H14</f>
        <v>25</v>
      </c>
      <c r="I35" s="483">
        <f>I14</f>
        <v>7</v>
      </c>
      <c r="J35" s="484">
        <v>0</v>
      </c>
      <c r="K35" s="483">
        <v>3</v>
      </c>
      <c r="L35" s="485"/>
      <c r="M35" s="485">
        <f>IF(C35=0,1,C35)*IF(E35=0,1,E35)*IF((F35+G35/12)=0,1,(F35+G35/12))*IF((H35+I35/12)=0,1,(H35+I35/12))*IF((J35+K35/12)=0,1,(J35+K35/12))</f>
        <v>227.05208333333331</v>
      </c>
      <c r="N35" s="486"/>
      <c r="O35" s="486"/>
    </row>
    <row r="36" spans="1:16" s="487" customFormat="1" ht="18" customHeight="1">
      <c r="A36" s="478"/>
      <c r="B36" s="726"/>
      <c r="C36" s="479"/>
      <c r="D36" s="480"/>
      <c r="E36" s="481"/>
      <c r="F36" s="482"/>
      <c r="G36" s="745"/>
      <c r="H36" s="746"/>
      <c r="I36" s="745"/>
      <c r="J36" s="747"/>
      <c r="K36" s="483"/>
      <c r="L36" s="485"/>
      <c r="M36" s="485"/>
      <c r="N36" s="722">
        <f>SUM(M35:M35)</f>
        <v>227.05208333333331</v>
      </c>
      <c r="O36" s="709" t="s">
        <v>21</v>
      </c>
    </row>
    <row r="37" spans="1:16" s="487" customFormat="1" ht="18" customHeight="1">
      <c r="A37" s="743"/>
      <c r="B37" s="806" t="s">
        <v>282</v>
      </c>
      <c r="C37" s="735"/>
      <c r="D37" s="736"/>
      <c r="E37" s="737"/>
      <c r="F37" s="738"/>
      <c r="G37" s="807"/>
      <c r="H37" s="808"/>
      <c r="I37" s="807"/>
      <c r="J37" s="808"/>
      <c r="K37" s="807"/>
      <c r="L37" s="499"/>
      <c r="M37" s="499"/>
      <c r="N37" s="546"/>
      <c r="O37" s="546"/>
    </row>
    <row r="38" spans="1:16" s="487" customFormat="1" ht="18" customHeight="1">
      <c r="A38" s="478"/>
      <c r="B38" s="726" t="s">
        <v>213</v>
      </c>
      <c r="C38" s="479"/>
      <c r="D38" s="480"/>
      <c r="E38" s="481"/>
      <c r="F38" s="482"/>
      <c r="G38" s="745"/>
      <c r="H38" s="746"/>
      <c r="I38" s="745"/>
      <c r="J38" s="484"/>
      <c r="K38" s="483"/>
      <c r="L38" s="485"/>
      <c r="M38" s="485"/>
      <c r="N38" s="486"/>
      <c r="O38" s="486"/>
    </row>
    <row r="39" spans="1:16" s="487" customFormat="1" ht="18" customHeight="1">
      <c r="A39" s="478"/>
      <c r="B39" s="336" t="s">
        <v>268</v>
      </c>
      <c r="C39" s="479">
        <v>1</v>
      </c>
      <c r="D39" s="480" t="s">
        <v>87</v>
      </c>
      <c r="E39" s="724">
        <v>2</v>
      </c>
      <c r="F39" s="482">
        <f>17-1</f>
        <v>16</v>
      </c>
      <c r="G39" s="483">
        <v>0</v>
      </c>
      <c r="H39" s="484">
        <f>H19</f>
        <v>1</v>
      </c>
      <c r="I39" s="483">
        <f>I19</f>
        <v>8</v>
      </c>
      <c r="J39" s="484">
        <f>0</f>
        <v>0</v>
      </c>
      <c r="K39" s="483">
        <v>6</v>
      </c>
      <c r="L39" s="485"/>
      <c r="M39" s="485">
        <f>IF(C39=0,1,C39)*IF(E39=0,1,E39)*IF((F39+G39/12)=0,1,(F39+G39/12))*IF((H39+I39/12)=0,1,(H39+I39/12))*IF((J39+K39/12)=0,1,(J39+K39/12))</f>
        <v>26.666666666666664</v>
      </c>
      <c r="N39" s="486"/>
      <c r="O39" s="486"/>
      <c r="P39" s="487">
        <f>17.5-1.5*1</f>
        <v>16</v>
      </c>
    </row>
    <row r="40" spans="1:16" s="487" customFormat="1" ht="18" customHeight="1">
      <c r="A40" s="478"/>
      <c r="B40" s="336" t="s">
        <v>269</v>
      </c>
      <c r="C40" s="479">
        <v>1</v>
      </c>
      <c r="D40" s="480" t="s">
        <v>87</v>
      </c>
      <c r="E40" s="724">
        <v>2</v>
      </c>
      <c r="F40" s="482">
        <v>14</v>
      </c>
      <c r="G40" s="483">
        <v>6</v>
      </c>
      <c r="H40" s="484">
        <f t="shared" ref="H40:K41" si="1">H39</f>
        <v>1</v>
      </c>
      <c r="I40" s="483">
        <f t="shared" si="1"/>
        <v>8</v>
      </c>
      <c r="J40" s="484">
        <f t="shared" si="1"/>
        <v>0</v>
      </c>
      <c r="K40" s="483">
        <f t="shared" si="1"/>
        <v>6</v>
      </c>
      <c r="L40" s="485"/>
      <c r="M40" s="485">
        <f t="shared" ref="M40:M44" si="2">IF(C40=0,1,C40)*IF(E40=0,1,E40)*IF((F40+G40/12)=0,1,(F40+G40/12))*IF((H40+I40/12)=0,1,(H40+I40/12))*IF((J40+K40/12)=0,1,(J40+K40/12))</f>
        <v>24.166666666666664</v>
      </c>
      <c r="N40" s="486"/>
      <c r="O40" s="486"/>
      <c r="P40" s="487">
        <f>16-1.5</f>
        <v>14.5</v>
      </c>
    </row>
    <row r="41" spans="1:16" s="487" customFormat="1" ht="18" customHeight="1">
      <c r="A41" s="478"/>
      <c r="B41" s="336" t="s">
        <v>276</v>
      </c>
      <c r="C41" s="479">
        <f>1</f>
        <v>1</v>
      </c>
      <c r="D41" s="480" t="s">
        <v>87</v>
      </c>
      <c r="E41" s="724">
        <v>1</v>
      </c>
      <c r="F41" s="482">
        <v>11</v>
      </c>
      <c r="G41" s="483">
        <v>0</v>
      </c>
      <c r="H41" s="484">
        <f t="shared" si="1"/>
        <v>1</v>
      </c>
      <c r="I41" s="483">
        <f t="shared" si="1"/>
        <v>8</v>
      </c>
      <c r="J41" s="484">
        <f t="shared" si="1"/>
        <v>0</v>
      </c>
      <c r="K41" s="483">
        <f t="shared" si="1"/>
        <v>6</v>
      </c>
      <c r="L41" s="485"/>
      <c r="M41" s="485">
        <f t="shared" si="2"/>
        <v>9.1666666666666661</v>
      </c>
      <c r="N41" s="486"/>
      <c r="O41" s="486"/>
    </row>
    <row r="42" spans="1:16" s="487" customFormat="1" ht="18" customHeight="1">
      <c r="A42" s="478"/>
      <c r="B42" s="336" t="s">
        <v>270</v>
      </c>
      <c r="C42" s="479">
        <v>1</v>
      </c>
      <c r="D42" s="480" t="s">
        <v>87</v>
      </c>
      <c r="E42" s="724">
        <v>2</v>
      </c>
      <c r="F42" s="482">
        <v>15</v>
      </c>
      <c r="G42" s="483">
        <v>9</v>
      </c>
      <c r="H42" s="484">
        <f t="shared" ref="H42:K44" si="3">H41</f>
        <v>1</v>
      </c>
      <c r="I42" s="483">
        <f t="shared" si="3"/>
        <v>8</v>
      </c>
      <c r="J42" s="484">
        <f t="shared" si="3"/>
        <v>0</v>
      </c>
      <c r="K42" s="483">
        <f t="shared" si="3"/>
        <v>6</v>
      </c>
      <c r="L42" s="485"/>
      <c r="M42" s="485">
        <f t="shared" si="2"/>
        <v>26.249999999999996</v>
      </c>
      <c r="N42" s="486"/>
      <c r="O42" s="486"/>
      <c r="P42" s="487">
        <f>17.5-1*1.17-0.5*1.17</f>
        <v>15.744999999999997</v>
      </c>
    </row>
    <row r="43" spans="1:16" s="487" customFormat="1" ht="18" customHeight="1">
      <c r="A43" s="478"/>
      <c r="B43" s="336" t="s">
        <v>271</v>
      </c>
      <c r="C43" s="479">
        <v>1</v>
      </c>
      <c r="D43" s="480" t="s">
        <v>87</v>
      </c>
      <c r="E43" s="724">
        <v>2</v>
      </c>
      <c r="F43" s="482">
        <v>14</v>
      </c>
      <c r="G43" s="483">
        <v>5</v>
      </c>
      <c r="H43" s="484">
        <f t="shared" si="3"/>
        <v>1</v>
      </c>
      <c r="I43" s="483">
        <f t="shared" si="3"/>
        <v>8</v>
      </c>
      <c r="J43" s="484">
        <f t="shared" si="3"/>
        <v>0</v>
      </c>
      <c r="K43" s="483">
        <f t="shared" si="3"/>
        <v>6</v>
      </c>
      <c r="L43" s="485"/>
      <c r="M43" s="485">
        <f t="shared" si="2"/>
        <v>24.027777777777775</v>
      </c>
      <c r="N43" s="486"/>
      <c r="O43" s="486"/>
      <c r="P43" s="487">
        <f>16-1*1-0.5*1.17</f>
        <v>14.414999999999999</v>
      </c>
    </row>
    <row r="44" spans="1:16" s="487" customFormat="1" ht="18" customHeight="1">
      <c r="A44" s="478"/>
      <c r="B44" s="336" t="s">
        <v>299</v>
      </c>
      <c r="C44" s="479">
        <v>1</v>
      </c>
      <c r="D44" s="480" t="s">
        <v>87</v>
      </c>
      <c r="E44" s="724">
        <v>1</v>
      </c>
      <c r="F44" s="482">
        <v>7</v>
      </c>
      <c r="G44" s="483">
        <v>11</v>
      </c>
      <c r="H44" s="484">
        <f t="shared" si="3"/>
        <v>1</v>
      </c>
      <c r="I44" s="483">
        <f t="shared" si="3"/>
        <v>8</v>
      </c>
      <c r="J44" s="484">
        <f t="shared" si="3"/>
        <v>0</v>
      </c>
      <c r="K44" s="483">
        <f t="shared" si="3"/>
        <v>6</v>
      </c>
      <c r="L44" s="485"/>
      <c r="M44" s="485">
        <f t="shared" si="2"/>
        <v>6.5972222222222223</v>
      </c>
      <c r="N44" s="486"/>
      <c r="O44" s="486"/>
    </row>
    <row r="45" spans="1:16" s="487" customFormat="1" ht="18" customHeight="1">
      <c r="A45" s="726"/>
      <c r="B45" s="336"/>
      <c r="C45" s="809"/>
      <c r="D45" s="810"/>
      <c r="E45" s="817">
        <f>C39*E39+C41*E41+C42*E42+C43*E43+C44*E44+C40*E40</f>
        <v>10</v>
      </c>
      <c r="F45" s="811"/>
      <c r="G45" s="812"/>
      <c r="H45" s="813"/>
      <c r="I45" s="812"/>
      <c r="J45" s="814"/>
      <c r="K45" s="815"/>
      <c r="L45" s="726"/>
      <c r="M45" s="486"/>
      <c r="N45" s="816"/>
      <c r="O45" s="726"/>
    </row>
    <row r="46" spans="1:16" s="487" customFormat="1" ht="18" customHeight="1">
      <c r="A46" s="726"/>
      <c r="B46" s="726" t="s">
        <v>214</v>
      </c>
      <c r="C46" s="809"/>
      <c r="D46" s="810"/>
      <c r="E46" s="818"/>
      <c r="F46" s="811"/>
      <c r="G46" s="812"/>
      <c r="H46" s="813"/>
      <c r="I46" s="812"/>
      <c r="J46" s="814"/>
      <c r="K46" s="815"/>
      <c r="L46" s="726"/>
      <c r="M46" s="486"/>
      <c r="N46" s="816"/>
      <c r="O46" s="726"/>
    </row>
    <row r="47" spans="1:16" s="487" customFormat="1" ht="18" customHeight="1">
      <c r="A47" s="726"/>
      <c r="B47" s="336" t="s">
        <v>273</v>
      </c>
      <c r="C47" s="479">
        <v>1</v>
      </c>
      <c r="D47" s="480" t="s">
        <v>87</v>
      </c>
      <c r="E47" s="724">
        <v>2</v>
      </c>
      <c r="F47" s="482">
        <v>14</v>
      </c>
      <c r="G47" s="483">
        <f>0</f>
        <v>0</v>
      </c>
      <c r="H47" s="484">
        <f>H44</f>
        <v>1</v>
      </c>
      <c r="I47" s="483">
        <f>I44</f>
        <v>8</v>
      </c>
      <c r="J47" s="749">
        <f>J44</f>
        <v>0</v>
      </c>
      <c r="K47" s="819">
        <f>K44</f>
        <v>6</v>
      </c>
      <c r="L47" s="478"/>
      <c r="M47" s="485">
        <f t="shared" ref="M47:M54" si="4">IF(C47=0,1,C47)*IF(E47=0,1,E47)*IF((F47+G47/12)=0,1,(F47+G47/12))*IF((H47+I47/12)=0,1,(H47+I47/12))*IF((J47+K47/12)=0,1,(J47+K47/12))</f>
        <v>23.333333333333332</v>
      </c>
      <c r="N47" s="816"/>
      <c r="O47" s="726"/>
      <c r="P47" s="487">
        <f>15.58-1*1-0.5*1.17</f>
        <v>13.995000000000001</v>
      </c>
    </row>
    <row r="48" spans="1:16" s="487" customFormat="1" ht="18" customHeight="1">
      <c r="A48" s="726"/>
      <c r="B48" s="336" t="s">
        <v>274</v>
      </c>
      <c r="C48" s="479">
        <v>1</v>
      </c>
      <c r="D48" s="480" t="s">
        <v>87</v>
      </c>
      <c r="E48" s="724">
        <v>1</v>
      </c>
      <c r="F48" s="482">
        <v>14</v>
      </c>
      <c r="G48" s="483">
        <v>1</v>
      </c>
      <c r="H48" s="484">
        <f t="shared" ref="H48:K54" si="5">H47</f>
        <v>1</v>
      </c>
      <c r="I48" s="483">
        <f t="shared" si="5"/>
        <v>8</v>
      </c>
      <c r="J48" s="749">
        <f t="shared" si="5"/>
        <v>0</v>
      </c>
      <c r="K48" s="819">
        <f t="shared" si="5"/>
        <v>6</v>
      </c>
      <c r="L48" s="726"/>
      <c r="M48" s="485">
        <f t="shared" si="4"/>
        <v>11.736111111111111</v>
      </c>
      <c r="N48" s="816"/>
      <c r="O48" s="726"/>
      <c r="P48" s="487">
        <f>15.58-1.5*1</f>
        <v>14.08</v>
      </c>
    </row>
    <row r="49" spans="1:17" s="487" customFormat="1" ht="18" customHeight="1">
      <c r="A49" s="478"/>
      <c r="B49" s="336" t="s">
        <v>275</v>
      </c>
      <c r="C49" s="479">
        <v>1</v>
      </c>
      <c r="D49" s="480" t="s">
        <v>87</v>
      </c>
      <c r="E49" s="724">
        <v>1</v>
      </c>
      <c r="F49" s="482">
        <v>14</v>
      </c>
      <c r="G49" s="483">
        <v>6</v>
      </c>
      <c r="H49" s="484">
        <f t="shared" si="5"/>
        <v>1</v>
      </c>
      <c r="I49" s="483">
        <f t="shared" si="5"/>
        <v>8</v>
      </c>
      <c r="J49" s="749">
        <f t="shared" si="5"/>
        <v>0</v>
      </c>
      <c r="K49" s="819">
        <f t="shared" si="5"/>
        <v>6</v>
      </c>
      <c r="L49" s="726"/>
      <c r="M49" s="485">
        <f t="shared" si="4"/>
        <v>12.083333333333332</v>
      </c>
      <c r="N49" s="486"/>
      <c r="O49" s="486"/>
    </row>
    <row r="50" spans="1:17" s="487" customFormat="1" ht="18" customHeight="1">
      <c r="A50" s="478"/>
      <c r="B50" s="336" t="s">
        <v>277</v>
      </c>
      <c r="C50" s="479">
        <v>1</v>
      </c>
      <c r="D50" s="480" t="s">
        <v>87</v>
      </c>
      <c r="E50" s="724">
        <v>2</v>
      </c>
      <c r="F50" s="482">
        <v>7</v>
      </c>
      <c r="G50" s="483">
        <v>10</v>
      </c>
      <c r="H50" s="484">
        <f t="shared" si="5"/>
        <v>1</v>
      </c>
      <c r="I50" s="483">
        <f t="shared" si="5"/>
        <v>8</v>
      </c>
      <c r="J50" s="749">
        <f t="shared" si="5"/>
        <v>0</v>
      </c>
      <c r="K50" s="819">
        <f t="shared" si="5"/>
        <v>6</v>
      </c>
      <c r="L50" s="726"/>
      <c r="M50" s="485">
        <f t="shared" si="4"/>
        <v>13.055555555555554</v>
      </c>
      <c r="N50" s="486"/>
      <c r="O50" s="486"/>
      <c r="P50" s="487">
        <f>9-1*1.17</f>
        <v>7.83</v>
      </c>
    </row>
    <row r="51" spans="1:17" s="487" customFormat="1" ht="18" customHeight="1">
      <c r="A51" s="478"/>
      <c r="B51" s="336" t="s">
        <v>278</v>
      </c>
      <c r="C51" s="479">
        <v>1</v>
      </c>
      <c r="D51" s="480" t="s">
        <v>87</v>
      </c>
      <c r="E51" s="724">
        <v>1</v>
      </c>
      <c r="F51" s="482">
        <v>8</v>
      </c>
      <c r="G51" s="483">
        <v>0</v>
      </c>
      <c r="H51" s="484">
        <f t="shared" si="5"/>
        <v>1</v>
      </c>
      <c r="I51" s="483">
        <f t="shared" si="5"/>
        <v>8</v>
      </c>
      <c r="J51" s="749">
        <f t="shared" si="5"/>
        <v>0</v>
      </c>
      <c r="K51" s="819">
        <f t="shared" si="5"/>
        <v>6</v>
      </c>
      <c r="L51" s="726"/>
      <c r="M51" s="485">
        <f t="shared" si="4"/>
        <v>6.6666666666666661</v>
      </c>
      <c r="N51" s="486"/>
      <c r="O51" s="486"/>
      <c r="P51" s="487">
        <f>9-1*1</f>
        <v>8</v>
      </c>
    </row>
    <row r="52" spans="1:17" s="487" customFormat="1" ht="18" customHeight="1">
      <c r="A52" s="478"/>
      <c r="B52" s="336" t="s">
        <v>279</v>
      </c>
      <c r="C52" s="479">
        <v>1</v>
      </c>
      <c r="D52" s="480" t="s">
        <v>87</v>
      </c>
      <c r="E52" s="724">
        <v>1</v>
      </c>
      <c r="F52" s="482">
        <v>8</v>
      </c>
      <c r="G52" s="483">
        <v>8</v>
      </c>
      <c r="H52" s="484">
        <f t="shared" si="5"/>
        <v>1</v>
      </c>
      <c r="I52" s="483">
        <f t="shared" si="5"/>
        <v>8</v>
      </c>
      <c r="J52" s="749">
        <f t="shared" si="5"/>
        <v>0</v>
      </c>
      <c r="K52" s="819">
        <f t="shared" si="5"/>
        <v>6</v>
      </c>
      <c r="L52" s="726"/>
      <c r="M52" s="485">
        <f t="shared" si="4"/>
        <v>7.2222222222222214</v>
      </c>
      <c r="N52" s="486"/>
      <c r="O52" s="486"/>
      <c r="P52" s="487" t="s">
        <v>627</v>
      </c>
    </row>
    <row r="53" spans="1:17" s="487" customFormat="1" ht="18" customHeight="1">
      <c r="A53" s="478"/>
      <c r="B53" s="336" t="s">
        <v>280</v>
      </c>
      <c r="C53" s="479">
        <v>1</v>
      </c>
      <c r="D53" s="480" t="s">
        <v>87</v>
      </c>
      <c r="E53" s="724">
        <v>2</v>
      </c>
      <c r="F53" s="482">
        <v>10</v>
      </c>
      <c r="G53" s="483">
        <v>4</v>
      </c>
      <c r="H53" s="484">
        <f t="shared" si="5"/>
        <v>1</v>
      </c>
      <c r="I53" s="483">
        <f t="shared" si="5"/>
        <v>8</v>
      </c>
      <c r="J53" s="749">
        <f t="shared" si="5"/>
        <v>0</v>
      </c>
      <c r="K53" s="819">
        <f t="shared" si="5"/>
        <v>6</v>
      </c>
      <c r="L53" s="726"/>
      <c r="M53" s="485">
        <f t="shared" si="4"/>
        <v>17.222222222222221</v>
      </c>
      <c r="N53" s="486"/>
      <c r="O53" s="486"/>
      <c r="P53" s="487">
        <f>11.92-1*1-0.5*1.17</f>
        <v>10.335000000000001</v>
      </c>
    </row>
    <row r="54" spans="1:17" s="487" customFormat="1" ht="18" customHeight="1">
      <c r="A54" s="726"/>
      <c r="B54" s="336" t="s">
        <v>281</v>
      </c>
      <c r="C54" s="479">
        <v>1</v>
      </c>
      <c r="D54" s="480" t="s">
        <v>87</v>
      </c>
      <c r="E54" s="724">
        <v>1</v>
      </c>
      <c r="F54" s="482">
        <v>10</v>
      </c>
      <c r="G54" s="483">
        <v>5</v>
      </c>
      <c r="H54" s="484">
        <f t="shared" si="5"/>
        <v>1</v>
      </c>
      <c r="I54" s="483">
        <f t="shared" si="5"/>
        <v>8</v>
      </c>
      <c r="J54" s="749">
        <f t="shared" si="5"/>
        <v>0</v>
      </c>
      <c r="K54" s="819">
        <f t="shared" si="5"/>
        <v>6</v>
      </c>
      <c r="L54" s="726"/>
      <c r="M54" s="485">
        <f t="shared" si="4"/>
        <v>8.6805555555555536</v>
      </c>
      <c r="N54" s="816"/>
      <c r="O54" s="726"/>
      <c r="P54" s="487">
        <f>11.92-1.5*1</f>
        <v>10.42</v>
      </c>
    </row>
    <row r="55" spans="1:17" s="487" customFormat="1" ht="18" customHeight="1">
      <c r="A55" s="726"/>
      <c r="B55" s="336"/>
      <c r="C55" s="809"/>
      <c r="D55" s="810"/>
      <c r="E55" s="817">
        <f>C48*E48+C49*E49+C50*E50+C51*E51+C53*E53+C54*E54+C52*E52+C47*E47</f>
        <v>11</v>
      </c>
      <c r="F55" s="811"/>
      <c r="G55" s="812"/>
      <c r="H55" s="813"/>
      <c r="I55" s="812"/>
      <c r="J55" s="814"/>
      <c r="K55" s="820"/>
      <c r="L55" s="726"/>
      <c r="M55" s="486"/>
      <c r="N55" s="858">
        <f>SUM(M37:M54)</f>
        <v>216.87499999999997</v>
      </c>
      <c r="O55" s="835" t="s">
        <v>21</v>
      </c>
    </row>
    <row r="56" spans="1:17" s="487" customFormat="1" ht="18" customHeight="1">
      <c r="A56" s="500"/>
      <c r="B56" s="723" t="s">
        <v>256</v>
      </c>
      <c r="C56" s="821"/>
      <c r="D56" s="822"/>
      <c r="E56" s="823"/>
      <c r="F56" s="824"/>
      <c r="G56" s="825"/>
      <c r="H56" s="826"/>
      <c r="I56" s="825"/>
      <c r="J56" s="827"/>
      <c r="K56" s="828"/>
      <c r="L56" s="500"/>
      <c r="M56" s="485"/>
      <c r="N56" s="486"/>
      <c r="O56" s="486"/>
    </row>
    <row r="57" spans="1:17" s="487" customFormat="1" ht="18" customHeight="1">
      <c r="A57" s="500"/>
      <c r="B57" s="829" t="s">
        <v>109</v>
      </c>
      <c r="C57" s="821"/>
      <c r="D57" s="822"/>
      <c r="E57" s="823"/>
      <c r="F57" s="824"/>
      <c r="G57" s="825"/>
      <c r="H57" s="826"/>
      <c r="I57" s="825"/>
      <c r="J57" s="827"/>
      <c r="K57" s="828"/>
      <c r="L57" s="500"/>
      <c r="M57" s="485"/>
      <c r="N57" s="486"/>
      <c r="O57" s="486"/>
    </row>
    <row r="58" spans="1:17" s="487" customFormat="1" ht="18" customHeight="1">
      <c r="A58" s="500"/>
      <c r="B58" s="830" t="s">
        <v>283</v>
      </c>
      <c r="C58" s="479">
        <v>1</v>
      </c>
      <c r="D58" s="480" t="s">
        <v>87</v>
      </c>
      <c r="E58" s="724">
        <v>1</v>
      </c>
      <c r="F58" s="482">
        <v>16</v>
      </c>
      <c r="G58" s="819">
        <v>4.5</v>
      </c>
      <c r="H58" s="484">
        <v>10</v>
      </c>
      <c r="I58" s="819">
        <v>9.5</v>
      </c>
      <c r="J58" s="749">
        <f>0</f>
        <v>0</v>
      </c>
      <c r="K58" s="819">
        <f>4.5</f>
        <v>4.5</v>
      </c>
      <c r="L58" s="500"/>
      <c r="M58" s="485">
        <f t="shared" ref="M58:M63" si="6">IF(C58=0,1,C58)*IF(E58=0,1,E58)*IF((F58+G58/12)=0,1,(F58+G58/12))*IF((H58+I58/12)=0,1,(H58+I58/12))*IF((J58+K58/12)=0,1,(J58+K58/12))</f>
        <v>66.267578125</v>
      </c>
      <c r="N58" s="486"/>
      <c r="O58" s="486"/>
      <c r="P58" s="487">
        <f>17.5-1.5*0.75</f>
        <v>16.375</v>
      </c>
      <c r="Q58" s="487">
        <f>11.92-1.5*0.75</f>
        <v>10.795</v>
      </c>
    </row>
    <row r="59" spans="1:17" s="487" customFormat="1" ht="18" customHeight="1">
      <c r="A59" s="500"/>
      <c r="B59" s="830" t="s">
        <v>284</v>
      </c>
      <c r="C59" s="479">
        <v>1</v>
      </c>
      <c r="D59" s="480" t="s">
        <v>87</v>
      </c>
      <c r="E59" s="724">
        <v>1</v>
      </c>
      <c r="F59" s="482">
        <v>14</v>
      </c>
      <c r="G59" s="819">
        <v>10.5</v>
      </c>
      <c r="H59" s="484">
        <f>H58</f>
        <v>10</v>
      </c>
      <c r="I59" s="819">
        <f>I58</f>
        <v>9.5</v>
      </c>
      <c r="J59" s="749">
        <f>J58</f>
        <v>0</v>
      </c>
      <c r="K59" s="819">
        <f>K58</f>
        <v>4.5</v>
      </c>
      <c r="L59" s="500"/>
      <c r="M59" s="485">
        <f t="shared" si="6"/>
        <v>60.197265625</v>
      </c>
      <c r="N59" s="486"/>
      <c r="O59" s="486"/>
      <c r="P59" s="487">
        <f>16-0.75*1.5</f>
        <v>14.875</v>
      </c>
      <c r="Q59" s="487">
        <f>11.92-1.5*0.75</f>
        <v>10.795</v>
      </c>
    </row>
    <row r="60" spans="1:17" ht="18" customHeight="1">
      <c r="A60" s="626"/>
      <c r="B60" s="635" t="s">
        <v>285</v>
      </c>
      <c r="C60" s="488">
        <v>1</v>
      </c>
      <c r="D60" s="489" t="s">
        <v>87</v>
      </c>
      <c r="E60" s="589">
        <v>1</v>
      </c>
      <c r="F60" s="491">
        <f>F58</f>
        <v>16</v>
      </c>
      <c r="G60" s="625">
        <f>G58</f>
        <v>4.5</v>
      </c>
      <c r="H60" s="497">
        <v>8</v>
      </c>
      <c r="I60" s="496">
        <f>3</f>
        <v>3</v>
      </c>
      <c r="J60" s="609">
        <f>0</f>
        <v>0</v>
      </c>
      <c r="K60" s="625">
        <f>4.5</f>
        <v>4.5</v>
      </c>
      <c r="L60" s="626"/>
      <c r="M60" s="475"/>
      <c r="N60" s="476" t="s">
        <v>628</v>
      </c>
      <c r="O60" s="476"/>
      <c r="P60" s="477">
        <f>17.5-1.5*0.75</f>
        <v>16.375</v>
      </c>
      <c r="Q60" s="477">
        <f>9-0.75</f>
        <v>8.25</v>
      </c>
    </row>
    <row r="61" spans="1:17" s="487" customFormat="1" ht="18" customHeight="1">
      <c r="A61" s="500"/>
      <c r="B61" s="830" t="s">
        <v>286</v>
      </c>
      <c r="C61" s="479">
        <f>1</f>
        <v>1</v>
      </c>
      <c r="D61" s="480" t="s">
        <v>87</v>
      </c>
      <c r="E61" s="724">
        <v>1</v>
      </c>
      <c r="F61" s="482">
        <f>14</f>
        <v>14</v>
      </c>
      <c r="G61" s="819">
        <v>1.5</v>
      </c>
      <c r="H61" s="484">
        <v>8</v>
      </c>
      <c r="I61" s="483">
        <v>3</v>
      </c>
      <c r="J61" s="749">
        <f>0</f>
        <v>0</v>
      </c>
      <c r="K61" s="819">
        <f>4.5</f>
        <v>4.5</v>
      </c>
      <c r="L61" s="500"/>
      <c r="M61" s="485">
        <f t="shared" si="6"/>
        <v>43.69921875</v>
      </c>
      <c r="N61" s="486"/>
      <c r="O61" s="486"/>
      <c r="P61" s="487">
        <f>16-2.5*0.75</f>
        <v>14.125</v>
      </c>
      <c r="Q61" s="487">
        <f>9-2*0.75*0.5</f>
        <v>8.25</v>
      </c>
    </row>
    <row r="62" spans="1:17" s="487" customFormat="1" ht="18" customHeight="1">
      <c r="A62" s="500"/>
      <c r="B62" s="830" t="s">
        <v>287</v>
      </c>
      <c r="C62" s="479">
        <f>1</f>
        <v>1</v>
      </c>
      <c r="D62" s="480" t="s">
        <v>87</v>
      </c>
      <c r="E62" s="724">
        <v>1</v>
      </c>
      <c r="F62" s="482">
        <v>15</v>
      </c>
      <c r="G62" s="819">
        <v>7.5</v>
      </c>
      <c r="H62" s="484">
        <v>14</v>
      </c>
      <c r="I62" s="819">
        <v>5.5</v>
      </c>
      <c r="J62" s="749">
        <f>0</f>
        <v>0</v>
      </c>
      <c r="K62" s="819">
        <f>4.5</f>
        <v>4.5</v>
      </c>
      <c r="L62" s="500"/>
      <c r="M62" s="485">
        <f t="shared" si="6"/>
        <v>84.716796875</v>
      </c>
      <c r="N62" s="486"/>
      <c r="O62" s="486"/>
      <c r="P62" s="487">
        <f>17.5-2.5*0.75</f>
        <v>15.625</v>
      </c>
      <c r="Q62" s="487">
        <f>15.58-1.5*0.75</f>
        <v>14.455</v>
      </c>
    </row>
    <row r="63" spans="1:17" s="487" customFormat="1" ht="18" customHeight="1">
      <c r="A63" s="500"/>
      <c r="B63" s="830" t="s">
        <v>288</v>
      </c>
      <c r="C63" s="479">
        <f>1</f>
        <v>1</v>
      </c>
      <c r="D63" s="480" t="s">
        <v>87</v>
      </c>
      <c r="E63" s="724">
        <f>1</f>
        <v>1</v>
      </c>
      <c r="F63" s="482">
        <v>14</v>
      </c>
      <c r="G63" s="819">
        <v>10.5</v>
      </c>
      <c r="H63" s="484">
        <v>14</v>
      </c>
      <c r="I63" s="819">
        <v>5.5</v>
      </c>
      <c r="J63" s="749">
        <f>0</f>
        <v>0</v>
      </c>
      <c r="K63" s="819">
        <f>4.5</f>
        <v>4.5</v>
      </c>
      <c r="L63" s="500"/>
      <c r="M63" s="485">
        <f t="shared" si="6"/>
        <v>80.650390625</v>
      </c>
      <c r="N63" s="486"/>
      <c r="O63" s="486"/>
      <c r="P63" s="487">
        <f>16-1.5*0.75</f>
        <v>14.875</v>
      </c>
      <c r="Q63" s="487">
        <f>15.58-1.5*0.75</f>
        <v>14.455</v>
      </c>
    </row>
    <row r="64" spans="1:17" s="487" customFormat="1" ht="18" customHeight="1">
      <c r="A64" s="500"/>
      <c r="B64" s="830"/>
      <c r="C64" s="479"/>
      <c r="D64" s="480"/>
      <c r="E64" s="817">
        <f>C58*E58+C59*E59+C60*E60+C62*E62+C63*E63+C61*E61</f>
        <v>6</v>
      </c>
      <c r="F64" s="482"/>
      <c r="G64" s="483"/>
      <c r="H64" s="484"/>
      <c r="I64" s="483"/>
      <c r="J64" s="749"/>
      <c r="K64" s="819"/>
      <c r="L64" s="500"/>
      <c r="M64" s="485"/>
      <c r="N64" s="858">
        <f>SUM(M58:M63)</f>
        <v>335.53125</v>
      </c>
      <c r="O64" s="835" t="s">
        <v>21</v>
      </c>
    </row>
    <row r="65" spans="1:15" ht="18" customHeight="1">
      <c r="A65" s="626"/>
      <c r="B65" s="635"/>
      <c r="C65" s="627"/>
      <c r="D65" s="628"/>
      <c r="E65" s="629"/>
      <c r="F65" s="630"/>
      <c r="G65" s="631"/>
      <c r="H65" s="632"/>
      <c r="I65" s="631"/>
      <c r="J65" s="633"/>
      <c r="K65" s="634"/>
      <c r="L65" s="626"/>
      <c r="M65" s="475"/>
      <c r="N65" s="476"/>
      <c r="O65" s="476"/>
    </row>
    <row r="66" spans="1:15" ht="18" customHeight="1">
      <c r="A66" s="538"/>
      <c r="B66" s="636"/>
      <c r="C66" s="539"/>
      <c r="D66" s="540"/>
      <c r="E66" s="614"/>
      <c r="F66" s="541"/>
      <c r="G66" s="542"/>
      <c r="H66" s="543"/>
      <c r="I66" s="542"/>
      <c r="J66" s="594"/>
      <c r="K66" s="595"/>
      <c r="L66" s="538"/>
      <c r="M66" s="619"/>
      <c r="N66" s="586"/>
      <c r="O66" s="637"/>
    </row>
    <row r="67" spans="1:15" s="487" customFormat="1" ht="18" customHeight="1">
      <c r="A67" s="733"/>
      <c r="B67" s="734" t="s">
        <v>54</v>
      </c>
      <c r="C67" s="735"/>
      <c r="D67" s="736"/>
      <c r="E67" s="748"/>
      <c r="F67" s="738"/>
      <c r="G67" s="739"/>
      <c r="H67" s="740"/>
      <c r="I67" s="739"/>
      <c r="J67" s="741"/>
      <c r="K67" s="742"/>
      <c r="L67" s="743"/>
      <c r="M67" s="499"/>
      <c r="N67" s="733"/>
      <c r="O67" s="733"/>
    </row>
    <row r="68" spans="1:15" s="487" customFormat="1" ht="18" customHeight="1">
      <c r="A68" s="733">
        <v>7</v>
      </c>
      <c r="B68" s="734" t="s">
        <v>164</v>
      </c>
      <c r="C68" s="735"/>
      <c r="D68" s="736"/>
      <c r="E68" s="737"/>
      <c r="F68" s="738"/>
      <c r="G68" s="739"/>
      <c r="H68" s="740"/>
      <c r="I68" s="739"/>
      <c r="J68" s="741"/>
      <c r="K68" s="742"/>
      <c r="L68" s="743"/>
      <c r="M68" s="499"/>
      <c r="N68" s="546">
        <f>SUM(M69:M77)</f>
        <v>2236.875</v>
      </c>
      <c r="O68" s="546" t="s">
        <v>21</v>
      </c>
    </row>
    <row r="69" spans="1:15" s="487" customFormat="1" ht="18" customHeight="1">
      <c r="A69" s="726"/>
      <c r="B69" s="829" t="s">
        <v>109</v>
      </c>
      <c r="C69" s="809"/>
      <c r="D69" s="810"/>
      <c r="E69" s="818"/>
      <c r="F69" s="811"/>
      <c r="G69" s="812"/>
      <c r="H69" s="813"/>
      <c r="I69" s="812"/>
      <c r="J69" s="814"/>
      <c r="K69" s="831"/>
      <c r="L69" s="726"/>
      <c r="M69" s="486"/>
      <c r="N69" s="816"/>
      <c r="O69" s="726"/>
    </row>
    <row r="70" spans="1:15" s="487" customFormat="1" ht="18" customHeight="1">
      <c r="A70" s="726"/>
      <c r="B70" s="830" t="s">
        <v>283</v>
      </c>
      <c r="C70" s="479">
        <f>C58</f>
        <v>1</v>
      </c>
      <c r="D70" s="480" t="s">
        <v>87</v>
      </c>
      <c r="E70" s="724">
        <f>E58</f>
        <v>1</v>
      </c>
      <c r="F70" s="482">
        <f>F58</f>
        <v>16</v>
      </c>
      <c r="G70" s="819">
        <f>G58</f>
        <v>4.5</v>
      </c>
      <c r="H70" s="484">
        <f>H58</f>
        <v>10</v>
      </c>
      <c r="I70" s="819">
        <f>I58</f>
        <v>9.5</v>
      </c>
      <c r="J70" s="749">
        <v>2</v>
      </c>
      <c r="K70" s="819">
        <f>6</f>
        <v>6</v>
      </c>
      <c r="L70" s="500"/>
      <c r="M70" s="485">
        <f t="shared" ref="M70:M75" si="7">IF(C70=0,1,C70)*IF(E70=0,1,E70)*IF((F70+G70/12)=0,1,(F70+G70/12))*IF((H70+I70/12)=0,1,(H70+I70/12))*IF((J70+K70/12)=0,1,(J70+K70/12))</f>
        <v>441.78385416666663</v>
      </c>
      <c r="N70" s="816"/>
      <c r="O70" s="726"/>
    </row>
    <row r="71" spans="1:15" s="487" customFormat="1" ht="18" customHeight="1">
      <c r="A71" s="478"/>
      <c r="B71" s="830" t="s">
        <v>284</v>
      </c>
      <c r="C71" s="479">
        <f t="shared" ref="C71:C75" si="8">C59</f>
        <v>1</v>
      </c>
      <c r="D71" s="480" t="s">
        <v>87</v>
      </c>
      <c r="E71" s="724">
        <f t="shared" ref="E71:I75" si="9">E59</f>
        <v>1</v>
      </c>
      <c r="F71" s="482">
        <f t="shared" si="9"/>
        <v>14</v>
      </c>
      <c r="G71" s="819">
        <f t="shared" si="9"/>
        <v>10.5</v>
      </c>
      <c r="H71" s="484">
        <f t="shared" si="9"/>
        <v>10</v>
      </c>
      <c r="I71" s="819">
        <f t="shared" si="9"/>
        <v>9.5</v>
      </c>
      <c r="J71" s="749">
        <v>2</v>
      </c>
      <c r="K71" s="819">
        <f>6</f>
        <v>6</v>
      </c>
      <c r="L71" s="500"/>
      <c r="M71" s="485">
        <f t="shared" si="7"/>
        <v>401.31510416666663</v>
      </c>
      <c r="N71" s="486"/>
      <c r="O71" s="486"/>
    </row>
    <row r="72" spans="1:15" ht="18" customHeight="1">
      <c r="A72" s="591"/>
      <c r="B72" s="635" t="s">
        <v>285</v>
      </c>
      <c r="C72" s="488">
        <f t="shared" si="8"/>
        <v>1</v>
      </c>
      <c r="D72" s="489" t="s">
        <v>87</v>
      </c>
      <c r="E72" s="589">
        <f t="shared" si="9"/>
        <v>1</v>
      </c>
      <c r="F72" s="491">
        <f t="shared" si="9"/>
        <v>16</v>
      </c>
      <c r="G72" s="625">
        <f t="shared" si="9"/>
        <v>4.5</v>
      </c>
      <c r="H72" s="497">
        <f t="shared" si="9"/>
        <v>8</v>
      </c>
      <c r="I72" s="625">
        <f t="shared" si="9"/>
        <v>3</v>
      </c>
      <c r="J72" s="609">
        <v>2</v>
      </c>
      <c r="K72" s="625">
        <f>6</f>
        <v>6</v>
      </c>
      <c r="L72" s="626"/>
      <c r="M72" s="475"/>
      <c r="N72" s="624" t="s">
        <v>628</v>
      </c>
      <c r="O72" s="591"/>
    </row>
    <row r="73" spans="1:15" s="487" customFormat="1" ht="18" customHeight="1">
      <c r="A73" s="478"/>
      <c r="B73" s="830" t="s">
        <v>286</v>
      </c>
      <c r="C73" s="479">
        <f t="shared" si="8"/>
        <v>1</v>
      </c>
      <c r="D73" s="480" t="s">
        <v>87</v>
      </c>
      <c r="E73" s="724">
        <f t="shared" si="9"/>
        <v>1</v>
      </c>
      <c r="F73" s="482">
        <f t="shared" si="9"/>
        <v>14</v>
      </c>
      <c r="G73" s="819">
        <f t="shared" si="9"/>
        <v>1.5</v>
      </c>
      <c r="H73" s="484">
        <f t="shared" si="9"/>
        <v>8</v>
      </c>
      <c r="I73" s="819">
        <f t="shared" si="9"/>
        <v>3</v>
      </c>
      <c r="J73" s="749">
        <v>2</v>
      </c>
      <c r="K73" s="819">
        <f>6</f>
        <v>6</v>
      </c>
      <c r="L73" s="500"/>
      <c r="M73" s="485">
        <f t="shared" si="7"/>
        <v>291.328125</v>
      </c>
      <c r="N73" s="486"/>
      <c r="O73" s="486"/>
    </row>
    <row r="74" spans="1:15" s="487" customFormat="1" ht="18" customHeight="1">
      <c r="A74" s="478"/>
      <c r="B74" s="830" t="s">
        <v>287</v>
      </c>
      <c r="C74" s="479">
        <f t="shared" si="8"/>
        <v>1</v>
      </c>
      <c r="D74" s="480" t="s">
        <v>87</v>
      </c>
      <c r="E74" s="724">
        <f t="shared" si="9"/>
        <v>1</v>
      </c>
      <c r="F74" s="482">
        <f t="shared" si="9"/>
        <v>15</v>
      </c>
      <c r="G74" s="819">
        <f t="shared" si="9"/>
        <v>7.5</v>
      </c>
      <c r="H74" s="484">
        <f t="shared" si="9"/>
        <v>14</v>
      </c>
      <c r="I74" s="819">
        <f t="shared" si="9"/>
        <v>5.5</v>
      </c>
      <c r="J74" s="749">
        <v>2</v>
      </c>
      <c r="K74" s="819">
        <f>6</f>
        <v>6</v>
      </c>
      <c r="L74" s="500"/>
      <c r="M74" s="485">
        <f t="shared" si="7"/>
        <v>564.77864583333337</v>
      </c>
      <c r="N74" s="750"/>
      <c r="O74" s="750"/>
    </row>
    <row r="75" spans="1:15" s="487" customFormat="1" ht="18" customHeight="1">
      <c r="A75" s="478"/>
      <c r="B75" s="830" t="s">
        <v>288</v>
      </c>
      <c r="C75" s="479">
        <f t="shared" si="8"/>
        <v>1</v>
      </c>
      <c r="D75" s="480" t="s">
        <v>87</v>
      </c>
      <c r="E75" s="724">
        <f t="shared" si="9"/>
        <v>1</v>
      </c>
      <c r="F75" s="482">
        <f t="shared" si="9"/>
        <v>14</v>
      </c>
      <c r="G75" s="819">
        <f t="shared" si="9"/>
        <v>10.5</v>
      </c>
      <c r="H75" s="484">
        <f t="shared" si="9"/>
        <v>14</v>
      </c>
      <c r="I75" s="819">
        <f t="shared" si="9"/>
        <v>5.5</v>
      </c>
      <c r="J75" s="749">
        <v>2</v>
      </c>
      <c r="K75" s="819">
        <f>6</f>
        <v>6</v>
      </c>
      <c r="L75" s="500"/>
      <c r="M75" s="485">
        <f t="shared" si="7"/>
        <v>537.66927083333337</v>
      </c>
      <c r="N75" s="486"/>
      <c r="O75" s="750"/>
    </row>
    <row r="76" spans="1:15" s="487" customFormat="1" ht="18" customHeight="1">
      <c r="A76" s="478"/>
      <c r="B76" s="830"/>
      <c r="C76" s="479"/>
      <c r="D76" s="480"/>
      <c r="E76" s="724"/>
      <c r="F76" s="482"/>
      <c r="G76" s="483"/>
      <c r="H76" s="484"/>
      <c r="I76" s="483"/>
      <c r="J76" s="749"/>
      <c r="K76" s="819"/>
      <c r="L76" s="500"/>
      <c r="M76" s="485"/>
      <c r="N76" s="486"/>
      <c r="O76" s="750"/>
    </row>
    <row r="77" spans="1:15" s="487" customFormat="1" ht="18" customHeight="1">
      <c r="A77" s="478"/>
      <c r="B77" s="336"/>
      <c r="C77" s="479"/>
      <c r="D77" s="480"/>
      <c r="E77" s="481"/>
      <c r="F77" s="482"/>
      <c r="G77" s="483"/>
      <c r="H77" s="484"/>
      <c r="I77" s="483"/>
      <c r="J77" s="749"/>
      <c r="K77" s="483"/>
      <c r="L77" s="478"/>
      <c r="M77" s="485"/>
      <c r="N77" s="858">
        <f>SUM(M70:M75)</f>
        <v>2236.875</v>
      </c>
      <c r="O77" s="835" t="s">
        <v>21</v>
      </c>
    </row>
    <row r="78" spans="1:15" ht="18" customHeight="1">
      <c r="A78" s="538"/>
      <c r="B78" s="638"/>
      <c r="C78" s="639"/>
      <c r="D78" s="640"/>
      <c r="E78" s="614"/>
      <c r="F78" s="541"/>
      <c r="G78" s="615"/>
      <c r="H78" s="541"/>
      <c r="I78" s="615"/>
      <c r="J78" s="641"/>
      <c r="K78" s="615"/>
      <c r="L78" s="538"/>
      <c r="M78" s="568"/>
      <c r="N78" s="545"/>
      <c r="O78" s="545"/>
    </row>
    <row r="79" spans="1:15" s="487" customFormat="1" ht="18" customHeight="1">
      <c r="A79" s="726">
        <v>8</v>
      </c>
      <c r="B79" s="734" t="s">
        <v>635</v>
      </c>
      <c r="C79" s="479"/>
      <c r="D79" s="480"/>
      <c r="E79" s="724"/>
      <c r="F79" s="482"/>
      <c r="G79" s="745"/>
      <c r="H79" s="746"/>
      <c r="I79" s="745"/>
      <c r="J79" s="747"/>
      <c r="K79" s="725"/>
      <c r="L79" s="478"/>
      <c r="M79" s="485"/>
      <c r="N79" s="832">
        <f>SUM(N81:N404)</f>
        <v>6206.162274305555</v>
      </c>
      <c r="O79" s="486" t="s">
        <v>21</v>
      </c>
    </row>
    <row r="80" spans="1:15" s="487" customFormat="1" ht="18" customHeight="1">
      <c r="A80" s="726"/>
      <c r="B80" s="723" t="s">
        <v>427</v>
      </c>
      <c r="C80" s="479"/>
      <c r="D80" s="480"/>
      <c r="E80" s="724"/>
      <c r="F80" s="482"/>
      <c r="G80" s="745"/>
      <c r="H80" s="746"/>
      <c r="I80" s="745"/>
      <c r="J80" s="747"/>
      <c r="K80" s="725"/>
      <c r="L80" s="833"/>
      <c r="M80" s="485"/>
      <c r="N80" s="832"/>
      <c r="O80" s="486"/>
    </row>
    <row r="81" spans="1:16" s="487" customFormat="1" ht="18" customHeight="1">
      <c r="A81" s="478"/>
      <c r="B81" s="336" t="str">
        <f>B35</f>
        <v>MF (35'-6" x 38'-6") GL 1~3</v>
      </c>
      <c r="C81" s="479">
        <f>C35</f>
        <v>1</v>
      </c>
      <c r="D81" s="480" t="s">
        <v>87</v>
      </c>
      <c r="E81" s="481">
        <f>E35</f>
        <v>1</v>
      </c>
      <c r="F81" s="482">
        <f>F35</f>
        <v>35</v>
      </c>
      <c r="G81" s="483">
        <f>G35</f>
        <v>6</v>
      </c>
      <c r="H81" s="484">
        <v>38</v>
      </c>
      <c r="I81" s="483">
        <v>6</v>
      </c>
      <c r="J81" s="749">
        <f>1</f>
        <v>1</v>
      </c>
      <c r="K81" s="483">
        <v>8</v>
      </c>
      <c r="L81" s="500"/>
      <c r="M81" s="485">
        <f>IF(C81=0,1,C81)*IF(E81=0,1,E81)*IF((F81+G81/12)=0,1,(F81+G81/12))*IF((H81+I81/12)=0,1,(H81+I81/12))*IF((J81+K81/12)=0,1,(J81+K81/12))</f>
        <v>2277.9166666666665</v>
      </c>
      <c r="N81" s="486"/>
      <c r="O81" s="486"/>
    </row>
    <row r="82" spans="1:16" s="487" customFormat="1" ht="18" customHeight="1">
      <c r="A82" s="478"/>
      <c r="B82" s="336"/>
      <c r="C82" s="479"/>
      <c r="D82" s="480"/>
      <c r="E82" s="481">
        <f>SUM(E81:E81)</f>
        <v>1</v>
      </c>
      <c r="F82" s="482"/>
      <c r="G82" s="483"/>
      <c r="I82" s="860"/>
      <c r="J82" s="861"/>
      <c r="K82" s="860"/>
      <c r="L82" s="863" t="str">
        <f>B80</f>
        <v>(a)Mat Footing</v>
      </c>
      <c r="M82" s="486"/>
      <c r="N82" s="722">
        <f>SUM(M81:M81)</f>
        <v>2277.9166666666665</v>
      </c>
      <c r="O82" s="709" t="s">
        <v>21</v>
      </c>
    </row>
    <row r="83" spans="1:16" s="487" customFormat="1" ht="18" customHeight="1">
      <c r="A83" s="478"/>
      <c r="B83" s="723" t="s">
        <v>294</v>
      </c>
      <c r="C83" s="479"/>
      <c r="D83" s="480"/>
      <c r="E83" s="481"/>
      <c r="F83" s="482"/>
      <c r="G83" s="483"/>
      <c r="H83" s="484"/>
      <c r="I83" s="483"/>
      <c r="J83" s="749"/>
      <c r="K83" s="483"/>
      <c r="L83" s="500"/>
      <c r="M83" s="485"/>
      <c r="N83" s="499"/>
      <c r="O83" s="743"/>
    </row>
    <row r="84" spans="1:16" s="487" customFormat="1" ht="18" customHeight="1">
      <c r="A84" s="478"/>
      <c r="B84" s="336" t="s">
        <v>289</v>
      </c>
      <c r="C84" s="479">
        <f>C81</f>
        <v>1</v>
      </c>
      <c r="D84" s="480" t="s">
        <v>87</v>
      </c>
      <c r="E84" s="481">
        <v>8</v>
      </c>
      <c r="F84" s="482">
        <f>1</f>
        <v>1</v>
      </c>
      <c r="G84" s="483">
        <v>0</v>
      </c>
      <c r="H84" s="484">
        <f>1</f>
        <v>1</v>
      </c>
      <c r="I84" s="483">
        <v>0</v>
      </c>
      <c r="J84" s="749">
        <v>9</v>
      </c>
      <c r="K84" s="483">
        <v>4</v>
      </c>
      <c r="L84" s="500"/>
      <c r="M84" s="485">
        <f t="shared" ref="M84:M85" si="10">IF(C84=0,1,C84)*IF(E84=0,1,E84)*IF((F84+G84/12)=0,1,(F84+G84/12))*IF((H84+I84/12)=0,1,(H84+I84/12))*IF((J84+K84/12)=0,1,(J84+K84/12))</f>
        <v>74.666666666666671</v>
      </c>
      <c r="N84" s="486"/>
      <c r="O84" s="486"/>
      <c r="P84" s="487">
        <f>11-1.67</f>
        <v>9.33</v>
      </c>
    </row>
    <row r="85" spans="1:16" s="487" customFormat="1" ht="18" customHeight="1">
      <c r="A85" s="478"/>
      <c r="B85" s="336" t="s">
        <v>290</v>
      </c>
      <c r="C85" s="479">
        <v>1</v>
      </c>
      <c r="D85" s="480" t="s">
        <v>87</v>
      </c>
      <c r="E85" s="481">
        <v>4</v>
      </c>
      <c r="F85" s="482">
        <f>1</f>
        <v>1</v>
      </c>
      <c r="G85" s="483">
        <v>2</v>
      </c>
      <c r="H85" s="484">
        <f>1</f>
        <v>1</v>
      </c>
      <c r="I85" s="483">
        <v>2</v>
      </c>
      <c r="J85" s="749">
        <f>J84</f>
        <v>9</v>
      </c>
      <c r="K85" s="483">
        <f>K84</f>
        <v>4</v>
      </c>
      <c r="L85" s="500"/>
      <c r="M85" s="485">
        <f t="shared" si="10"/>
        <v>50.814814814814831</v>
      </c>
      <c r="N85" s="486"/>
      <c r="O85" s="486"/>
      <c r="P85" s="487">
        <f>11-1.67</f>
        <v>9.33</v>
      </c>
    </row>
    <row r="86" spans="1:16" s="487" customFormat="1" ht="18" customHeight="1">
      <c r="A86" s="478"/>
      <c r="B86" s="834"/>
      <c r="C86" s="479"/>
      <c r="D86" s="480"/>
      <c r="E86" s="817">
        <f>SUM(E84:E85)</f>
        <v>12</v>
      </c>
      <c r="F86" s="482"/>
      <c r="G86" s="483"/>
      <c r="J86" s="863" t="str">
        <f>B83</f>
        <v>(b) Column Stump(BF to GF)</v>
      </c>
      <c r="K86" s="860"/>
      <c r="L86" s="500"/>
      <c r="M86" s="486"/>
      <c r="N86" s="858">
        <f>SUM(M84:M85)</f>
        <v>125.4814814814815</v>
      </c>
      <c r="O86" s="835" t="s">
        <v>21</v>
      </c>
    </row>
    <row r="87" spans="1:16" s="487" customFormat="1" ht="18" customHeight="1">
      <c r="A87" s="478"/>
      <c r="B87" s="723" t="s">
        <v>477</v>
      </c>
      <c r="C87" s="479"/>
      <c r="D87" s="480"/>
      <c r="E87" s="481"/>
      <c r="F87" s="482"/>
      <c r="G87" s="483"/>
      <c r="H87" s="484"/>
      <c r="I87" s="483"/>
      <c r="J87" s="749"/>
      <c r="K87" s="483"/>
      <c r="L87" s="500"/>
      <c r="M87" s="485"/>
      <c r="N87" s="486"/>
      <c r="O87" s="486"/>
    </row>
    <row r="88" spans="1:16" s="487" customFormat="1" ht="18" customHeight="1">
      <c r="A88" s="478"/>
      <c r="B88" s="336" t="s">
        <v>475</v>
      </c>
      <c r="C88" s="479">
        <v>1</v>
      </c>
      <c r="D88" s="480" t="s">
        <v>87</v>
      </c>
      <c r="E88" s="481">
        <v>2</v>
      </c>
      <c r="F88" s="482">
        <v>15</v>
      </c>
      <c r="G88" s="483">
        <v>11</v>
      </c>
      <c r="H88" s="484">
        <v>0</v>
      </c>
      <c r="I88" s="483">
        <v>10</v>
      </c>
      <c r="J88" s="749">
        <f>J84</f>
        <v>9</v>
      </c>
      <c r="K88" s="483">
        <f>K84</f>
        <v>4</v>
      </c>
      <c r="L88" s="500"/>
      <c r="M88" s="485">
        <f t="shared" ref="M88:M89" si="11">C88*E88*(F88+G88/12)*(H88+I88/12)*(J88+K88/12)</f>
        <v>247.59259259259261</v>
      </c>
      <c r="N88" s="486"/>
      <c r="O88" s="486"/>
      <c r="P88" s="487">
        <f>17.5-1.5*1.17</f>
        <v>15.745000000000001</v>
      </c>
    </row>
    <row r="89" spans="1:16" s="487" customFormat="1" ht="18" customHeight="1">
      <c r="A89" s="478"/>
      <c r="B89" s="336" t="s">
        <v>476</v>
      </c>
      <c r="C89" s="479">
        <v>1</v>
      </c>
      <c r="D89" s="480" t="s">
        <v>87</v>
      </c>
      <c r="E89" s="481">
        <v>2</v>
      </c>
      <c r="F89" s="482">
        <v>7</v>
      </c>
      <c r="G89" s="483">
        <v>10</v>
      </c>
      <c r="H89" s="484">
        <v>0</v>
      </c>
      <c r="I89" s="483">
        <v>10</v>
      </c>
      <c r="J89" s="749">
        <f>J88</f>
        <v>9</v>
      </c>
      <c r="K89" s="483">
        <f>K88</f>
        <v>4</v>
      </c>
      <c r="L89" s="500"/>
      <c r="M89" s="485">
        <f t="shared" si="11"/>
        <v>121.85185185185186</v>
      </c>
      <c r="N89" s="486"/>
      <c r="O89" s="486"/>
      <c r="P89" s="487">
        <f>9-1*1.17</f>
        <v>7.83</v>
      </c>
    </row>
    <row r="90" spans="1:16" s="487" customFormat="1" ht="18" customHeight="1">
      <c r="A90" s="478"/>
      <c r="B90" s="834"/>
      <c r="C90" s="479"/>
      <c r="D90" s="480"/>
      <c r="E90" s="481"/>
      <c r="F90" s="482"/>
      <c r="G90" s="483"/>
      <c r="I90" s="860"/>
      <c r="J90" s="863" t="str">
        <f>B87</f>
        <v>(b1) Basement Wall(BF to GF)</v>
      </c>
      <c r="K90" s="860"/>
      <c r="L90" s="500"/>
      <c r="M90" s="486"/>
      <c r="N90" s="858">
        <f>SUM(M88:M89)</f>
        <v>369.44444444444446</v>
      </c>
      <c r="O90" s="835" t="s">
        <v>21</v>
      </c>
    </row>
    <row r="91" spans="1:16" s="487" customFormat="1" ht="18" customHeight="1">
      <c r="A91" s="478"/>
      <c r="B91" s="834"/>
      <c r="C91" s="479"/>
      <c r="D91" s="480"/>
      <c r="E91" s="481"/>
      <c r="F91" s="482"/>
      <c r="G91" s="483"/>
      <c r="H91" s="484"/>
      <c r="I91" s="483"/>
      <c r="J91" s="749"/>
      <c r="K91" s="483"/>
      <c r="L91" s="500"/>
      <c r="M91" s="485"/>
      <c r="N91" s="486"/>
      <c r="O91" s="486"/>
    </row>
    <row r="92" spans="1:16" s="487" customFormat="1" ht="18" customHeight="1">
      <c r="A92" s="478"/>
      <c r="B92" s="723" t="s">
        <v>629</v>
      </c>
      <c r="C92" s="479"/>
      <c r="D92" s="480"/>
      <c r="E92" s="724"/>
      <c r="F92" s="482"/>
      <c r="G92" s="483"/>
      <c r="H92" s="484"/>
      <c r="I92" s="483"/>
      <c r="J92" s="749"/>
      <c r="K92" s="483"/>
      <c r="L92" s="500"/>
      <c r="M92" s="485"/>
      <c r="N92" s="486"/>
      <c r="O92" s="486"/>
    </row>
    <row r="93" spans="1:16" s="487" customFormat="1" ht="18" customHeight="1">
      <c r="A93" s="478"/>
      <c r="B93" s="336" t="s">
        <v>289</v>
      </c>
      <c r="C93" s="479">
        <f>C84</f>
        <v>1</v>
      </c>
      <c r="D93" s="480" t="s">
        <v>87</v>
      </c>
      <c r="E93" s="481">
        <f t="shared" ref="E93:I94" si="12">E84</f>
        <v>8</v>
      </c>
      <c r="F93" s="482">
        <f t="shared" si="12"/>
        <v>1</v>
      </c>
      <c r="G93" s="483">
        <f t="shared" si="12"/>
        <v>0</v>
      </c>
      <c r="H93" s="484">
        <f t="shared" si="12"/>
        <v>1</v>
      </c>
      <c r="I93" s="483">
        <f t="shared" si="12"/>
        <v>0</v>
      </c>
      <c r="J93" s="749">
        <v>13</v>
      </c>
      <c r="K93" s="483">
        <v>0</v>
      </c>
      <c r="L93" s="500"/>
      <c r="M93" s="485">
        <f t="shared" ref="M93:M94" si="13">IF(C93=0,1,C93)*IF(E93=0,1,E93)*IF((F93+G93/12)=0,1,(F93+G93/12))*IF((H93+I93/12)=0,1,(H93+I93/12))*IF((J93+K93/12)=0,1,(J93+K93/12))</f>
        <v>104</v>
      </c>
      <c r="N93" s="486"/>
      <c r="O93" s="486"/>
    </row>
    <row r="94" spans="1:16" s="487" customFormat="1" ht="18" customHeight="1">
      <c r="A94" s="478"/>
      <c r="B94" s="336" t="s">
        <v>290</v>
      </c>
      <c r="C94" s="479">
        <f>C85</f>
        <v>1</v>
      </c>
      <c r="D94" s="480" t="s">
        <v>87</v>
      </c>
      <c r="E94" s="481">
        <f t="shared" si="12"/>
        <v>4</v>
      </c>
      <c r="F94" s="482">
        <f t="shared" si="12"/>
        <v>1</v>
      </c>
      <c r="G94" s="483">
        <f t="shared" si="12"/>
        <v>2</v>
      </c>
      <c r="H94" s="484">
        <f t="shared" si="12"/>
        <v>1</v>
      </c>
      <c r="I94" s="483">
        <f t="shared" si="12"/>
        <v>2</v>
      </c>
      <c r="J94" s="749">
        <f>J93</f>
        <v>13</v>
      </c>
      <c r="K94" s="483">
        <v>0</v>
      </c>
      <c r="L94" s="500"/>
      <c r="M94" s="485">
        <f t="shared" si="13"/>
        <v>70.777777777777786</v>
      </c>
      <c r="N94" s="486"/>
      <c r="O94" s="486"/>
    </row>
    <row r="95" spans="1:16" s="487" customFormat="1" ht="18" customHeight="1">
      <c r="A95" s="478"/>
      <c r="B95" s="834"/>
      <c r="C95" s="479"/>
      <c r="D95" s="480"/>
      <c r="E95" s="817">
        <f>SUM(E93:E94)</f>
        <v>12</v>
      </c>
      <c r="F95" s="482"/>
      <c r="G95" s="483"/>
      <c r="J95" s="863" t="str">
        <f>B92</f>
        <v>(c) Long Column(GF  to 1st Floor)</v>
      </c>
      <c r="K95" s="860"/>
      <c r="L95" s="500"/>
      <c r="M95" s="486"/>
      <c r="N95" s="858">
        <f>SUM(M92:M94)</f>
        <v>174.77777777777777</v>
      </c>
      <c r="O95" s="835" t="s">
        <v>21</v>
      </c>
    </row>
    <row r="96" spans="1:16" ht="18" customHeight="1">
      <c r="A96" s="474"/>
      <c r="B96" s="642"/>
      <c r="C96" s="488"/>
      <c r="D96" s="489"/>
      <c r="E96" s="589"/>
      <c r="F96" s="491"/>
      <c r="G96" s="496"/>
      <c r="H96" s="497"/>
      <c r="I96" s="496"/>
      <c r="J96" s="609"/>
      <c r="K96" s="496"/>
      <c r="L96" s="626"/>
      <c r="M96" s="475"/>
      <c r="N96" s="505"/>
      <c r="O96" s="504"/>
    </row>
    <row r="97" spans="1:16" s="487" customFormat="1" ht="18" customHeight="1">
      <c r="A97" s="478"/>
      <c r="B97" s="723" t="s">
        <v>630</v>
      </c>
      <c r="C97" s="479"/>
      <c r="D97" s="480"/>
      <c r="E97" s="724"/>
      <c r="F97" s="482"/>
      <c r="G97" s="483"/>
      <c r="H97" s="484"/>
      <c r="I97" s="483"/>
      <c r="J97" s="749"/>
      <c r="K97" s="483"/>
      <c r="L97" s="500"/>
      <c r="M97" s="485"/>
      <c r="N97" s="486"/>
      <c r="O97" s="486"/>
    </row>
    <row r="98" spans="1:16" s="487" customFormat="1" ht="18" customHeight="1">
      <c r="A98" s="478"/>
      <c r="B98" s="336" t="s">
        <v>291</v>
      </c>
      <c r="C98" s="479">
        <f>C94</f>
        <v>1</v>
      </c>
      <c r="D98" s="480" t="s">
        <v>87</v>
      </c>
      <c r="E98" s="481">
        <v>11</v>
      </c>
      <c r="F98" s="482">
        <f t="shared" ref="F98:I99" si="14">F93</f>
        <v>1</v>
      </c>
      <c r="G98" s="483">
        <f t="shared" si="14"/>
        <v>0</v>
      </c>
      <c r="H98" s="482">
        <f t="shared" si="14"/>
        <v>1</v>
      </c>
      <c r="I98" s="483">
        <f t="shared" si="14"/>
        <v>0</v>
      </c>
      <c r="J98" s="749">
        <v>12</v>
      </c>
      <c r="K98" s="483">
        <v>0</v>
      </c>
      <c r="L98" s="500"/>
      <c r="M98" s="485">
        <f t="shared" ref="M98:M99" si="15">IF(C98=0,1,C98)*IF(E98=0,1,E98)*IF((F98+G98/12)=0,1,(F98+G98/12))*IF((H98+I98/12)=0,1,(H98+I98/12))*IF((J98+K98/12)=0,1,(J98+K98/12))</f>
        <v>132</v>
      </c>
      <c r="N98" s="486"/>
      <c r="O98" s="486"/>
    </row>
    <row r="99" spans="1:16" s="487" customFormat="1" ht="18" customHeight="1">
      <c r="A99" s="478"/>
      <c r="B99" s="336" t="s">
        <v>292</v>
      </c>
      <c r="C99" s="479">
        <v>1</v>
      </c>
      <c r="D99" s="480" t="s">
        <v>87</v>
      </c>
      <c r="E99" s="481">
        <v>1</v>
      </c>
      <c r="F99" s="482">
        <f t="shared" si="14"/>
        <v>1</v>
      </c>
      <c r="G99" s="483">
        <f t="shared" si="14"/>
        <v>2</v>
      </c>
      <c r="H99" s="484">
        <f t="shared" si="14"/>
        <v>1</v>
      </c>
      <c r="I99" s="483">
        <f t="shared" si="14"/>
        <v>2</v>
      </c>
      <c r="J99" s="749">
        <f>J98</f>
        <v>12</v>
      </c>
      <c r="K99" s="483">
        <v>0</v>
      </c>
      <c r="L99" s="500"/>
      <c r="M99" s="485">
        <f t="shared" si="15"/>
        <v>16.333333333333336</v>
      </c>
      <c r="N99" s="486"/>
      <c r="O99" s="486"/>
    </row>
    <row r="100" spans="1:16" s="487" customFormat="1" ht="18" customHeight="1">
      <c r="A100" s="478"/>
      <c r="B100" s="834"/>
      <c r="C100" s="479"/>
      <c r="D100" s="480"/>
      <c r="E100" s="838">
        <f>SUM(E98:E99)</f>
        <v>12</v>
      </c>
      <c r="F100" s="482"/>
      <c r="G100" s="483"/>
      <c r="H100" s="863" t="str">
        <f>B97</f>
        <v>(d) Long Column(1st Floor to 2nd Floor)</v>
      </c>
      <c r="I100" s="860"/>
      <c r="J100" s="861"/>
      <c r="K100" s="860"/>
      <c r="L100" s="500"/>
      <c r="M100" s="486"/>
      <c r="N100" s="858">
        <f>SUM(M97:M99)</f>
        <v>148.33333333333334</v>
      </c>
      <c r="O100" s="835" t="s">
        <v>21</v>
      </c>
    </row>
    <row r="101" spans="1:16" s="487" customFormat="1" ht="18" customHeight="1">
      <c r="A101" s="478"/>
      <c r="B101" s="834"/>
      <c r="C101" s="479"/>
      <c r="D101" s="480"/>
      <c r="E101" s="481"/>
      <c r="F101" s="482"/>
      <c r="G101" s="483"/>
      <c r="H101" s="484"/>
      <c r="I101" s="483"/>
      <c r="J101" s="749"/>
      <c r="K101" s="483"/>
      <c r="L101" s="500"/>
      <c r="M101" s="485"/>
      <c r="N101" s="506"/>
      <c r="O101" s="788"/>
    </row>
    <row r="102" spans="1:16" s="487" customFormat="1" ht="18" customHeight="1">
      <c r="A102" s="478"/>
      <c r="B102" s="723" t="s">
        <v>631</v>
      </c>
      <c r="C102" s="479"/>
      <c r="D102" s="480"/>
      <c r="E102" s="724"/>
      <c r="F102" s="482"/>
      <c r="G102" s="483"/>
      <c r="H102" s="484"/>
      <c r="I102" s="483"/>
      <c r="J102" s="749"/>
      <c r="K102" s="483"/>
      <c r="L102" s="500"/>
      <c r="M102" s="485"/>
      <c r="N102" s="486"/>
      <c r="O102" s="486"/>
    </row>
    <row r="103" spans="1:16" s="487" customFormat="1" ht="18" customHeight="1">
      <c r="A103" s="478"/>
      <c r="B103" s="336" t="s">
        <v>293</v>
      </c>
      <c r="C103" s="479">
        <f>C99</f>
        <v>1</v>
      </c>
      <c r="D103" s="480" t="s">
        <v>87</v>
      </c>
      <c r="E103" s="481">
        <v>12</v>
      </c>
      <c r="F103" s="482">
        <f>F98</f>
        <v>1</v>
      </c>
      <c r="G103" s="483">
        <f>G98</f>
        <v>0</v>
      </c>
      <c r="H103" s="482">
        <f>H98</f>
        <v>1</v>
      </c>
      <c r="I103" s="483">
        <f>I98</f>
        <v>0</v>
      </c>
      <c r="J103" s="749">
        <v>11</v>
      </c>
      <c r="K103" s="483">
        <v>0</v>
      </c>
      <c r="L103" s="500"/>
      <c r="M103" s="485">
        <f>IF(C103=0,1,C103)*IF(E103=0,1,E103)*IF((F103+G103/12)=0,1,(F103+G103/12))*IF((H103+I103/12)=0,1,(H103+I103/12))*IF((J103+K103/12)=0,1,(J103+K103/12))</f>
        <v>132</v>
      </c>
      <c r="N103" s="486"/>
      <c r="O103" s="486"/>
    </row>
    <row r="104" spans="1:16" s="487" customFormat="1" ht="18" customHeight="1">
      <c r="A104" s="478"/>
      <c r="B104" s="834"/>
      <c r="C104" s="479"/>
      <c r="D104" s="480"/>
      <c r="E104" s="838">
        <f>SUM(E103:E103)</f>
        <v>12</v>
      </c>
      <c r="F104" s="482"/>
      <c r="G104" s="483"/>
      <c r="H104" s="860" t="str">
        <f>B102</f>
        <v>(e) Long Column(2nd Floor to Roof Floor)</v>
      </c>
      <c r="J104" s="861"/>
      <c r="K104" s="862"/>
      <c r="L104" s="500"/>
      <c r="M104" s="486"/>
      <c r="N104" s="858">
        <f>SUM(M102:M103)</f>
        <v>132</v>
      </c>
      <c r="O104" s="835" t="s">
        <v>21</v>
      </c>
    </row>
    <row r="105" spans="1:16" s="487" customFormat="1" ht="18" customHeight="1">
      <c r="A105" s="478"/>
      <c r="B105" s="834"/>
      <c r="C105" s="479"/>
      <c r="D105" s="480"/>
      <c r="E105" s="481"/>
      <c r="F105" s="482"/>
      <c r="G105" s="483"/>
      <c r="H105" s="484"/>
      <c r="I105" s="483"/>
      <c r="J105" s="749"/>
      <c r="K105" s="483"/>
      <c r="L105" s="500"/>
      <c r="M105" s="485"/>
      <c r="N105" s="506"/>
      <c r="O105" s="788"/>
    </row>
    <row r="106" spans="1:16" s="487" customFormat="1" ht="18" customHeight="1">
      <c r="A106" s="478"/>
      <c r="B106" s="723" t="s">
        <v>295</v>
      </c>
      <c r="C106" s="479"/>
      <c r="D106" s="480"/>
      <c r="E106" s="724"/>
      <c r="F106" s="482"/>
      <c r="G106" s="483"/>
      <c r="H106" s="484"/>
      <c r="I106" s="483"/>
      <c r="J106" s="749"/>
      <c r="K106" s="483"/>
      <c r="L106" s="500"/>
      <c r="M106" s="485"/>
      <c r="N106" s="486"/>
      <c r="O106" s="486"/>
    </row>
    <row r="107" spans="1:16" s="487" customFormat="1" ht="18" customHeight="1">
      <c r="A107" s="478"/>
      <c r="B107" s="726" t="s">
        <v>296</v>
      </c>
      <c r="C107" s="479"/>
      <c r="D107" s="480"/>
      <c r="E107" s="481"/>
      <c r="F107" s="482"/>
      <c r="G107" s="483"/>
      <c r="H107" s="484"/>
      <c r="I107" s="483"/>
      <c r="J107" s="749"/>
      <c r="K107" s="483"/>
      <c r="L107" s="500"/>
      <c r="M107" s="485"/>
      <c r="N107" s="486"/>
      <c r="O107" s="486"/>
    </row>
    <row r="108" spans="1:16" s="487" customFormat="1" ht="18" customHeight="1">
      <c r="A108" s="478"/>
      <c r="B108" s="336" t="s">
        <v>277</v>
      </c>
      <c r="C108" s="479">
        <f>1</f>
        <v>1</v>
      </c>
      <c r="D108" s="480" t="s">
        <v>87</v>
      </c>
      <c r="E108" s="481">
        <f>2</f>
        <v>2</v>
      </c>
      <c r="F108" s="482">
        <v>7</v>
      </c>
      <c r="G108" s="483">
        <v>10</v>
      </c>
      <c r="H108" s="484">
        <v>0</v>
      </c>
      <c r="I108" s="483">
        <v>10</v>
      </c>
      <c r="J108" s="749">
        <v>0</v>
      </c>
      <c r="K108" s="483">
        <v>10</v>
      </c>
      <c r="L108" s="500"/>
      <c r="M108" s="485">
        <f t="shared" ref="M108:M110" si="16">IF(C108=0,1,C108)*IF(E108=0,1,E108)*IF((F108+G108/12)=0,1,(F108+G108/12))*IF((H108+I108/12)=0,1,(H108+I108/12))*IF((J108+K108/12)=0,1,(J108+K108/12))</f>
        <v>10.87962962962963</v>
      </c>
      <c r="N108" s="486"/>
      <c r="O108" s="486"/>
      <c r="P108" s="487">
        <f>9-1*1.17</f>
        <v>7.83</v>
      </c>
    </row>
    <row r="109" spans="1:16" s="487" customFormat="1" ht="18" customHeight="1">
      <c r="A109" s="478"/>
      <c r="B109" s="726" t="s">
        <v>632</v>
      </c>
      <c r="C109" s="479"/>
      <c r="D109" s="480"/>
      <c r="E109" s="481"/>
      <c r="F109" s="482"/>
      <c r="G109" s="483"/>
      <c r="H109" s="484"/>
      <c r="I109" s="483"/>
      <c r="J109" s="749"/>
      <c r="K109" s="483"/>
      <c r="L109" s="500"/>
      <c r="M109" s="485"/>
      <c r="N109" s="486"/>
      <c r="O109" s="486"/>
    </row>
    <row r="110" spans="1:16" s="487" customFormat="1" ht="18" customHeight="1">
      <c r="A110" s="478"/>
      <c r="B110" s="336" t="s">
        <v>270</v>
      </c>
      <c r="C110" s="479">
        <v>1</v>
      </c>
      <c r="D110" s="480" t="s">
        <v>87</v>
      </c>
      <c r="E110" s="481">
        <v>2</v>
      </c>
      <c r="F110" s="482">
        <v>15</v>
      </c>
      <c r="G110" s="483">
        <v>9</v>
      </c>
      <c r="H110" s="484">
        <f>H108</f>
        <v>0</v>
      </c>
      <c r="I110" s="483">
        <f>I108</f>
        <v>10</v>
      </c>
      <c r="J110" s="484">
        <f>J108</f>
        <v>0</v>
      </c>
      <c r="K110" s="483">
        <v>14</v>
      </c>
      <c r="L110" s="500"/>
      <c r="M110" s="485">
        <f t="shared" si="16"/>
        <v>30.625000000000004</v>
      </c>
      <c r="N110" s="486"/>
      <c r="O110" s="486"/>
      <c r="P110" s="836">
        <f>17.5-1.5*1.17</f>
        <v>15.745000000000001</v>
      </c>
    </row>
    <row r="111" spans="1:16" s="487" customFormat="1" ht="18" customHeight="1">
      <c r="A111" s="478"/>
      <c r="B111" s="834"/>
      <c r="C111" s="479"/>
      <c r="D111" s="480"/>
      <c r="E111" s="481"/>
      <c r="F111" s="482"/>
      <c r="G111" s="483"/>
      <c r="H111" s="484"/>
      <c r="I111" s="483"/>
      <c r="J111" s="749"/>
      <c r="L111" s="860" t="str">
        <f>B106</f>
        <v>(f) Basement  Beam</v>
      </c>
      <c r="M111" s="486"/>
      <c r="N111" s="858">
        <f>SUM(M108:M110)</f>
        <v>41.504629629629633</v>
      </c>
      <c r="O111" s="835" t="s">
        <v>21</v>
      </c>
    </row>
    <row r="112" spans="1:16" s="487" customFormat="1" ht="18" customHeight="1">
      <c r="A112" s="478"/>
      <c r="B112" s="723" t="s">
        <v>297</v>
      </c>
      <c r="C112" s="479"/>
      <c r="D112" s="480"/>
      <c r="E112" s="724"/>
      <c r="F112" s="482"/>
      <c r="G112" s="483"/>
      <c r="H112" s="484"/>
      <c r="I112" s="483"/>
      <c r="J112" s="749"/>
      <c r="K112" s="483"/>
      <c r="L112" s="500"/>
      <c r="M112" s="485"/>
      <c r="N112" s="486"/>
      <c r="O112" s="486"/>
    </row>
    <row r="113" spans="1:16" s="487" customFormat="1" ht="18" customHeight="1">
      <c r="A113" s="478"/>
      <c r="B113" s="726" t="s">
        <v>298</v>
      </c>
      <c r="C113" s="479"/>
      <c r="D113" s="480"/>
      <c r="E113" s="724"/>
      <c r="F113" s="482"/>
      <c r="G113" s="483"/>
      <c r="H113" s="484"/>
      <c r="I113" s="483"/>
      <c r="J113" s="749"/>
      <c r="K113" s="483"/>
      <c r="L113" s="500"/>
      <c r="M113" s="485"/>
      <c r="N113" s="486"/>
      <c r="O113" s="486"/>
    </row>
    <row r="114" spans="1:16" s="487" customFormat="1" ht="18" customHeight="1">
      <c r="A114" s="478"/>
      <c r="B114" s="336" t="s">
        <v>276</v>
      </c>
      <c r="C114" s="479">
        <f>1</f>
        <v>1</v>
      </c>
      <c r="D114" s="480" t="s">
        <v>87</v>
      </c>
      <c r="E114" s="724">
        <f>1</f>
        <v>1</v>
      </c>
      <c r="F114" s="482">
        <v>10</v>
      </c>
      <c r="G114" s="483">
        <v>6</v>
      </c>
      <c r="H114" s="484">
        <v>0</v>
      </c>
      <c r="I114" s="483">
        <v>10</v>
      </c>
      <c r="J114" s="749">
        <v>0</v>
      </c>
      <c r="K114" s="483">
        <v>10</v>
      </c>
      <c r="L114" s="500"/>
      <c r="M114" s="485">
        <f t="shared" ref="M114:M116" si="17">IF(C114=0,1,C114)*IF(E114=0,1,E114)*IF((F114+G114/12)=0,1,(F114+G114/12))*IF((H114+I114/12)=0,1,(H114+I114/12))*IF((J114+K114/12)=0,1,(J114+K114/12))</f>
        <v>7.291666666666667</v>
      </c>
      <c r="N114" s="486"/>
      <c r="O114" s="486"/>
      <c r="P114" s="487">
        <f>11.33-0.83</f>
        <v>10.5</v>
      </c>
    </row>
    <row r="115" spans="1:16" s="487" customFormat="1" ht="18" customHeight="1">
      <c r="A115" s="478"/>
      <c r="B115" s="336" t="s">
        <v>299</v>
      </c>
      <c r="C115" s="479">
        <v>1</v>
      </c>
      <c r="D115" s="480" t="s">
        <v>87</v>
      </c>
      <c r="E115" s="724">
        <v>1</v>
      </c>
      <c r="F115" s="482">
        <v>7</v>
      </c>
      <c r="G115" s="483">
        <v>11</v>
      </c>
      <c r="H115" s="484">
        <f t="shared" ref="H115:K115" si="18">H114</f>
        <v>0</v>
      </c>
      <c r="I115" s="483">
        <f t="shared" si="18"/>
        <v>10</v>
      </c>
      <c r="J115" s="749">
        <f t="shared" si="18"/>
        <v>0</v>
      </c>
      <c r="K115" s="483">
        <f t="shared" si="18"/>
        <v>10</v>
      </c>
      <c r="L115" s="500"/>
      <c r="M115" s="485">
        <f t="shared" si="17"/>
        <v>5.4976851851851851</v>
      </c>
      <c r="N115" s="486"/>
      <c r="O115" s="486"/>
    </row>
    <row r="116" spans="1:16" s="487" customFormat="1" ht="18" customHeight="1">
      <c r="A116" s="478"/>
      <c r="B116" s="336" t="s">
        <v>300</v>
      </c>
      <c r="C116" s="479">
        <f>2</f>
        <v>2</v>
      </c>
      <c r="D116" s="480" t="s">
        <v>87</v>
      </c>
      <c r="E116" s="724">
        <v>1</v>
      </c>
      <c r="F116" s="482">
        <v>8</v>
      </c>
      <c r="G116" s="483">
        <v>6</v>
      </c>
      <c r="H116" s="484">
        <f t="shared" ref="H116:K116" si="19">H114</f>
        <v>0</v>
      </c>
      <c r="I116" s="483">
        <f t="shared" si="19"/>
        <v>10</v>
      </c>
      <c r="J116" s="749">
        <f t="shared" si="19"/>
        <v>0</v>
      </c>
      <c r="K116" s="483">
        <f t="shared" si="19"/>
        <v>10</v>
      </c>
      <c r="L116" s="500"/>
      <c r="M116" s="485">
        <f t="shared" si="17"/>
        <v>11.805555555555557</v>
      </c>
      <c r="N116" s="486"/>
      <c r="O116" s="486"/>
    </row>
    <row r="117" spans="1:16" s="487" customFormat="1" ht="18" customHeight="1">
      <c r="A117" s="478"/>
      <c r="B117" s="336"/>
      <c r="C117" s="479"/>
      <c r="D117" s="480"/>
      <c r="E117" s="837">
        <f>C114*E114+C115*E115+C116*E116</f>
        <v>4</v>
      </c>
      <c r="F117" s="482"/>
      <c r="G117" s="483"/>
      <c r="H117" s="484"/>
      <c r="I117" s="483"/>
      <c r="J117" s="749"/>
      <c r="K117" s="483"/>
      <c r="L117" s="500"/>
      <c r="M117" s="485"/>
      <c r="N117" s="486"/>
      <c r="O117" s="486"/>
    </row>
    <row r="118" spans="1:16" s="487" customFormat="1" ht="18" customHeight="1">
      <c r="A118" s="478"/>
      <c r="B118" s="726" t="s">
        <v>301</v>
      </c>
      <c r="C118" s="479"/>
      <c r="D118" s="480"/>
      <c r="E118" s="724"/>
      <c r="F118" s="482"/>
      <c r="G118" s="483"/>
      <c r="H118" s="484"/>
      <c r="I118" s="483"/>
      <c r="J118" s="749"/>
      <c r="K118" s="483"/>
      <c r="L118" s="500"/>
      <c r="M118" s="485"/>
      <c r="N118" s="486"/>
      <c r="O118" s="486"/>
    </row>
    <row r="119" spans="1:16" s="487" customFormat="1" ht="18" customHeight="1">
      <c r="A119" s="478"/>
      <c r="B119" s="336" t="s">
        <v>302</v>
      </c>
      <c r="C119" s="479">
        <f>1</f>
        <v>1</v>
      </c>
      <c r="D119" s="480" t="s">
        <v>87</v>
      </c>
      <c r="E119" s="724">
        <f>1</f>
        <v>1</v>
      </c>
      <c r="F119" s="482">
        <v>15</v>
      </c>
      <c r="G119" s="483">
        <v>9</v>
      </c>
      <c r="H119" s="484">
        <v>0</v>
      </c>
      <c r="I119" s="483">
        <v>10</v>
      </c>
      <c r="J119" s="749">
        <v>1</v>
      </c>
      <c r="K119" s="483">
        <v>2</v>
      </c>
      <c r="L119" s="500"/>
      <c r="M119" s="485">
        <f t="shared" ref="M119:M128" si="20">IF(C119=0,1,C119)*IF(E119=0,1,E119)*IF((F119+G119/12)=0,1,(F119+G119/12))*IF((H119+I119/12)=0,1,(H119+I119/12))*IF((J119+K119/12)=0,1,(J119+K119/12))</f>
        <v>15.312500000000002</v>
      </c>
      <c r="N119" s="486"/>
      <c r="O119" s="486"/>
      <c r="P119" s="836">
        <f>17.5-1.5*1.17</f>
        <v>15.745000000000001</v>
      </c>
    </row>
    <row r="120" spans="1:16" s="487" customFormat="1" ht="18" customHeight="1">
      <c r="A120" s="478"/>
      <c r="B120" s="336" t="s">
        <v>303</v>
      </c>
      <c r="C120" s="479">
        <f>1</f>
        <v>1</v>
      </c>
      <c r="D120" s="480" t="s">
        <v>87</v>
      </c>
      <c r="E120" s="724">
        <f>1</f>
        <v>1</v>
      </c>
      <c r="F120" s="482">
        <v>14</v>
      </c>
      <c r="G120" s="483">
        <v>5</v>
      </c>
      <c r="H120" s="484">
        <f t="shared" ref="H120:H128" si="21">H119</f>
        <v>0</v>
      </c>
      <c r="I120" s="483">
        <f t="shared" ref="I120:I128" si="22">I119</f>
        <v>10</v>
      </c>
      <c r="J120" s="749">
        <f t="shared" ref="J120:J128" si="23">J119</f>
        <v>1</v>
      </c>
      <c r="K120" s="483">
        <f t="shared" ref="K120:K128" si="24">K119</f>
        <v>2</v>
      </c>
      <c r="L120" s="500"/>
      <c r="M120" s="485">
        <f t="shared" si="20"/>
        <v>14.016203703703706</v>
      </c>
      <c r="N120" s="486"/>
      <c r="O120" s="486"/>
      <c r="P120" s="836">
        <f>16-1*1-0.5*1.17</f>
        <v>14.414999999999999</v>
      </c>
    </row>
    <row r="121" spans="1:16" s="487" customFormat="1" ht="18" customHeight="1">
      <c r="A121" s="478"/>
      <c r="B121" s="336" t="s">
        <v>304</v>
      </c>
      <c r="C121" s="479">
        <f>1</f>
        <v>1</v>
      </c>
      <c r="D121" s="480" t="s">
        <v>87</v>
      </c>
      <c r="E121" s="724">
        <f>1</f>
        <v>1</v>
      </c>
      <c r="F121" s="482">
        <v>16</v>
      </c>
      <c r="G121" s="483">
        <v>0</v>
      </c>
      <c r="H121" s="484">
        <f t="shared" si="21"/>
        <v>0</v>
      </c>
      <c r="I121" s="483">
        <f t="shared" si="22"/>
        <v>10</v>
      </c>
      <c r="J121" s="749">
        <f t="shared" si="23"/>
        <v>1</v>
      </c>
      <c r="K121" s="483">
        <f t="shared" si="24"/>
        <v>2</v>
      </c>
      <c r="L121" s="500"/>
      <c r="M121" s="485">
        <f t="shared" si="20"/>
        <v>15.555555555555557</v>
      </c>
      <c r="N121" s="486"/>
      <c r="O121" s="486"/>
      <c r="P121" s="836">
        <f>17.5-1.5*1</f>
        <v>16</v>
      </c>
    </row>
    <row r="122" spans="1:16" s="487" customFormat="1" ht="18" customHeight="1">
      <c r="A122" s="478"/>
      <c r="B122" s="336" t="s">
        <v>305</v>
      </c>
      <c r="C122" s="479">
        <f>1</f>
        <v>1</v>
      </c>
      <c r="D122" s="480" t="s">
        <v>87</v>
      </c>
      <c r="E122" s="724">
        <f>1</f>
        <v>1</v>
      </c>
      <c r="F122" s="482">
        <v>14</v>
      </c>
      <c r="G122" s="483">
        <v>6</v>
      </c>
      <c r="H122" s="484">
        <f t="shared" si="21"/>
        <v>0</v>
      </c>
      <c r="I122" s="483">
        <f t="shared" si="22"/>
        <v>10</v>
      </c>
      <c r="J122" s="749">
        <f t="shared" si="23"/>
        <v>1</v>
      </c>
      <c r="K122" s="483">
        <f t="shared" si="24"/>
        <v>2</v>
      </c>
      <c r="L122" s="500"/>
      <c r="M122" s="485">
        <f t="shared" si="20"/>
        <v>14.097222222222223</v>
      </c>
      <c r="N122" s="486"/>
      <c r="O122" s="486"/>
      <c r="P122" s="836">
        <f>16-1.5*1</f>
        <v>14.5</v>
      </c>
    </row>
    <row r="123" spans="1:16" s="487" customFormat="1" ht="18" customHeight="1">
      <c r="A123" s="478"/>
      <c r="B123" s="336" t="s">
        <v>273</v>
      </c>
      <c r="C123" s="479">
        <v>1</v>
      </c>
      <c r="D123" s="480" t="s">
        <v>87</v>
      </c>
      <c r="E123" s="724">
        <v>2</v>
      </c>
      <c r="F123" s="482">
        <v>14</v>
      </c>
      <c r="G123" s="483">
        <v>0</v>
      </c>
      <c r="H123" s="484">
        <f t="shared" si="21"/>
        <v>0</v>
      </c>
      <c r="I123" s="483">
        <f t="shared" si="22"/>
        <v>10</v>
      </c>
      <c r="J123" s="749">
        <f t="shared" si="23"/>
        <v>1</v>
      </c>
      <c r="K123" s="483">
        <f t="shared" si="24"/>
        <v>2</v>
      </c>
      <c r="L123" s="500"/>
      <c r="M123" s="485">
        <f t="shared" si="20"/>
        <v>27.222222222222225</v>
      </c>
      <c r="N123" s="486"/>
      <c r="O123" s="486"/>
      <c r="P123" s="836">
        <f>15.58-1*1-0.5*1.17</f>
        <v>13.995000000000001</v>
      </c>
    </row>
    <row r="124" spans="1:16" s="487" customFormat="1" ht="18" customHeight="1">
      <c r="A124" s="478"/>
      <c r="B124" s="336" t="s">
        <v>274</v>
      </c>
      <c r="C124" s="479">
        <v>1</v>
      </c>
      <c r="D124" s="480" t="s">
        <v>87</v>
      </c>
      <c r="E124" s="724">
        <v>1</v>
      </c>
      <c r="F124" s="482">
        <v>14</v>
      </c>
      <c r="G124" s="483">
        <v>1</v>
      </c>
      <c r="H124" s="484">
        <f t="shared" si="21"/>
        <v>0</v>
      </c>
      <c r="I124" s="483">
        <f t="shared" si="22"/>
        <v>10</v>
      </c>
      <c r="J124" s="749">
        <f t="shared" si="23"/>
        <v>1</v>
      </c>
      <c r="K124" s="483">
        <f t="shared" si="24"/>
        <v>2</v>
      </c>
      <c r="L124" s="500"/>
      <c r="M124" s="485">
        <f t="shared" si="20"/>
        <v>13.692129629629632</v>
      </c>
      <c r="N124" s="486"/>
      <c r="O124" s="486"/>
      <c r="P124" s="836">
        <f>15.58-1.5*1</f>
        <v>14.08</v>
      </c>
    </row>
    <row r="125" spans="1:16" s="487" customFormat="1" ht="18" customHeight="1">
      <c r="A125" s="478"/>
      <c r="B125" s="336" t="s">
        <v>277</v>
      </c>
      <c r="C125" s="479">
        <v>1</v>
      </c>
      <c r="D125" s="480" t="s">
        <v>87</v>
      </c>
      <c r="E125" s="724">
        <v>2</v>
      </c>
      <c r="F125" s="482">
        <v>7</v>
      </c>
      <c r="G125" s="483">
        <v>10</v>
      </c>
      <c r="H125" s="484">
        <f t="shared" si="21"/>
        <v>0</v>
      </c>
      <c r="I125" s="483">
        <f t="shared" si="22"/>
        <v>10</v>
      </c>
      <c r="J125" s="749">
        <f t="shared" si="23"/>
        <v>1</v>
      </c>
      <c r="K125" s="483">
        <f t="shared" si="24"/>
        <v>2</v>
      </c>
      <c r="L125" s="500"/>
      <c r="M125" s="485">
        <f t="shared" si="20"/>
        <v>15.231481481481483</v>
      </c>
      <c r="N125" s="486"/>
      <c r="O125" s="486"/>
      <c r="P125" s="487">
        <f>9-1*1.17</f>
        <v>7.83</v>
      </c>
    </row>
    <row r="126" spans="1:16" s="487" customFormat="1" ht="18" customHeight="1">
      <c r="A126" s="478"/>
      <c r="B126" s="336" t="s">
        <v>278</v>
      </c>
      <c r="C126" s="479">
        <v>1</v>
      </c>
      <c r="D126" s="480" t="s">
        <v>87</v>
      </c>
      <c r="E126" s="724">
        <v>1</v>
      </c>
      <c r="F126" s="482">
        <v>8</v>
      </c>
      <c r="G126" s="483">
        <v>0</v>
      </c>
      <c r="H126" s="484">
        <f t="shared" si="21"/>
        <v>0</v>
      </c>
      <c r="I126" s="483">
        <f t="shared" si="22"/>
        <v>10</v>
      </c>
      <c r="J126" s="749">
        <f t="shared" si="23"/>
        <v>1</v>
      </c>
      <c r="K126" s="483">
        <f t="shared" si="24"/>
        <v>2</v>
      </c>
      <c r="L126" s="500"/>
      <c r="M126" s="485">
        <f t="shared" si="20"/>
        <v>7.7777777777777786</v>
      </c>
      <c r="N126" s="486"/>
      <c r="O126" s="486"/>
      <c r="P126" s="836">
        <f>9-1*1</f>
        <v>8</v>
      </c>
    </row>
    <row r="127" spans="1:16" s="487" customFormat="1" ht="18" customHeight="1">
      <c r="A127" s="478"/>
      <c r="B127" s="336" t="s">
        <v>280</v>
      </c>
      <c r="C127" s="479">
        <v>1</v>
      </c>
      <c r="D127" s="480" t="s">
        <v>87</v>
      </c>
      <c r="E127" s="724">
        <v>2</v>
      </c>
      <c r="F127" s="482">
        <v>10</v>
      </c>
      <c r="G127" s="483">
        <v>4</v>
      </c>
      <c r="H127" s="484">
        <f t="shared" si="21"/>
        <v>0</v>
      </c>
      <c r="I127" s="483">
        <f t="shared" si="22"/>
        <v>10</v>
      </c>
      <c r="J127" s="749">
        <f t="shared" si="23"/>
        <v>1</v>
      </c>
      <c r="K127" s="483">
        <f t="shared" si="24"/>
        <v>2</v>
      </c>
      <c r="L127" s="500"/>
      <c r="M127" s="485">
        <f t="shared" si="20"/>
        <v>20.092592592592599</v>
      </c>
      <c r="N127" s="486"/>
      <c r="O127" s="486"/>
      <c r="P127" s="487">
        <f>11.92-1*1-0.5*1.17</f>
        <v>10.335000000000001</v>
      </c>
    </row>
    <row r="128" spans="1:16" s="487" customFormat="1" ht="18" customHeight="1">
      <c r="A128" s="478"/>
      <c r="B128" s="336" t="s">
        <v>281</v>
      </c>
      <c r="C128" s="479">
        <v>1</v>
      </c>
      <c r="D128" s="480" t="s">
        <v>87</v>
      </c>
      <c r="E128" s="724">
        <v>1</v>
      </c>
      <c r="F128" s="482">
        <v>10</v>
      </c>
      <c r="G128" s="483">
        <v>5</v>
      </c>
      <c r="H128" s="484">
        <f t="shared" si="21"/>
        <v>0</v>
      </c>
      <c r="I128" s="483">
        <f t="shared" si="22"/>
        <v>10</v>
      </c>
      <c r="J128" s="749">
        <f t="shared" si="23"/>
        <v>1</v>
      </c>
      <c r="K128" s="483">
        <f t="shared" si="24"/>
        <v>2</v>
      </c>
      <c r="L128" s="500"/>
      <c r="M128" s="485">
        <f t="shared" si="20"/>
        <v>10.127314814814815</v>
      </c>
      <c r="N128" s="486"/>
      <c r="O128" s="486"/>
      <c r="P128" s="487">
        <f>11.92-1.5*1</f>
        <v>10.42</v>
      </c>
    </row>
    <row r="129" spans="1:16" ht="18" customHeight="1">
      <c r="A129" s="474"/>
      <c r="B129" s="494"/>
      <c r="C129" s="488"/>
      <c r="D129" s="489"/>
      <c r="E129" s="838">
        <f>C122*E122+C123*E123+C124*E124+C125*E125+C127*E127+C128*E128+C126*E126+C121*E121+C120*E120+C119*E119</f>
        <v>13</v>
      </c>
      <c r="F129" s="491"/>
      <c r="G129" s="496"/>
      <c r="H129" s="497"/>
      <c r="I129" s="496"/>
      <c r="J129" s="609"/>
      <c r="K129" s="496"/>
      <c r="L129" s="626"/>
      <c r="M129" s="475"/>
      <c r="N129" s="476"/>
      <c r="O129" s="476"/>
    </row>
    <row r="130" spans="1:16" s="487" customFormat="1" ht="18" customHeight="1">
      <c r="A130" s="478"/>
      <c r="B130" s="726" t="s">
        <v>306</v>
      </c>
      <c r="C130" s="479"/>
      <c r="D130" s="480"/>
      <c r="E130" s="724"/>
      <c r="F130" s="482"/>
      <c r="G130" s="483"/>
      <c r="H130" s="484"/>
      <c r="I130" s="483"/>
      <c r="J130" s="749"/>
      <c r="K130" s="483"/>
      <c r="L130" s="500"/>
      <c r="M130" s="485"/>
      <c r="N130" s="486"/>
      <c r="O130" s="486"/>
    </row>
    <row r="131" spans="1:16" s="487" customFormat="1" ht="18" customHeight="1">
      <c r="A131" s="478"/>
      <c r="B131" s="336" t="s">
        <v>264</v>
      </c>
      <c r="C131" s="479">
        <f>1</f>
        <v>1</v>
      </c>
      <c r="D131" s="480" t="s">
        <v>87</v>
      </c>
      <c r="E131" s="724">
        <f>1</f>
        <v>1</v>
      </c>
      <c r="F131" s="482">
        <f>F121</f>
        <v>16</v>
      </c>
      <c r="G131" s="483">
        <f>G121</f>
        <v>0</v>
      </c>
      <c r="H131" s="484">
        <v>0</v>
      </c>
      <c r="I131" s="483">
        <v>10</v>
      </c>
      <c r="J131" s="749">
        <v>1</v>
      </c>
      <c r="K131" s="483">
        <v>6</v>
      </c>
      <c r="L131" s="500"/>
      <c r="M131" s="485">
        <f t="shared" ref="M131:M135" si="25">IF(C131=0,1,C131)*IF(E131=0,1,E131)*IF((F131+G131/12)=0,1,(F131+G131/12))*IF((H131+I131/12)=0,1,(H131+I131/12))*IF((J131+K131/12)=0,1,(J131+K131/12))</f>
        <v>20</v>
      </c>
      <c r="N131" s="486"/>
      <c r="O131" s="486"/>
      <c r="P131" s="487">
        <f>17.5-1.5*1</f>
        <v>16</v>
      </c>
    </row>
    <row r="132" spans="1:16" s="487" customFormat="1" ht="18" customHeight="1">
      <c r="A132" s="478"/>
      <c r="B132" s="336" t="s">
        <v>265</v>
      </c>
      <c r="C132" s="479">
        <f>1</f>
        <v>1</v>
      </c>
      <c r="D132" s="480" t="s">
        <v>87</v>
      </c>
      <c r="E132" s="724">
        <f>1</f>
        <v>1</v>
      </c>
      <c r="F132" s="482">
        <f>F122</f>
        <v>14</v>
      </c>
      <c r="G132" s="483">
        <f>G122</f>
        <v>6</v>
      </c>
      <c r="H132" s="484">
        <f>H131</f>
        <v>0</v>
      </c>
      <c r="I132" s="483">
        <f>I131</f>
        <v>10</v>
      </c>
      <c r="J132" s="749">
        <f>J131</f>
        <v>1</v>
      </c>
      <c r="K132" s="483">
        <f>K131</f>
        <v>6</v>
      </c>
      <c r="L132" s="500"/>
      <c r="M132" s="485">
        <f t="shared" si="25"/>
        <v>18.125</v>
      </c>
      <c r="N132" s="486"/>
      <c r="O132" s="486"/>
      <c r="P132" s="487">
        <f>16-1.5*1</f>
        <v>14.5</v>
      </c>
    </row>
    <row r="133" spans="1:16" s="487" customFormat="1" ht="18" customHeight="1">
      <c r="A133" s="478"/>
      <c r="B133" s="336" t="s">
        <v>323</v>
      </c>
      <c r="C133" s="479">
        <f>1</f>
        <v>1</v>
      </c>
      <c r="D133" s="480" t="s">
        <v>87</v>
      </c>
      <c r="E133" s="724">
        <f>1</f>
        <v>1</v>
      </c>
      <c r="F133" s="482">
        <f>F119</f>
        <v>15</v>
      </c>
      <c r="G133" s="483">
        <f>G119</f>
        <v>9</v>
      </c>
      <c r="H133" s="484">
        <f t="shared" ref="H133:H134" si="26">H132</f>
        <v>0</v>
      </c>
      <c r="I133" s="483">
        <f t="shared" ref="I133:I134" si="27">I132</f>
        <v>10</v>
      </c>
      <c r="J133" s="749">
        <f t="shared" ref="J133:J134" si="28">J132</f>
        <v>1</v>
      </c>
      <c r="K133" s="483">
        <f t="shared" ref="K133:K134" si="29">K132</f>
        <v>6</v>
      </c>
      <c r="L133" s="500"/>
      <c r="M133" s="485">
        <f t="shared" si="25"/>
        <v>19.6875</v>
      </c>
      <c r="N133" s="486"/>
      <c r="O133" s="486"/>
      <c r="P133" s="487">
        <f>17.5-1.5*1.17</f>
        <v>15.745000000000001</v>
      </c>
    </row>
    <row r="134" spans="1:16" s="487" customFormat="1" ht="18" customHeight="1">
      <c r="A134" s="478"/>
      <c r="B134" s="336" t="s">
        <v>324</v>
      </c>
      <c r="C134" s="479">
        <f>1</f>
        <v>1</v>
      </c>
      <c r="D134" s="480" t="s">
        <v>87</v>
      </c>
      <c r="E134" s="724">
        <f>1</f>
        <v>1</v>
      </c>
      <c r="F134" s="482">
        <f>F120</f>
        <v>14</v>
      </c>
      <c r="G134" s="483">
        <f>G120</f>
        <v>5</v>
      </c>
      <c r="H134" s="484">
        <f t="shared" si="26"/>
        <v>0</v>
      </c>
      <c r="I134" s="483">
        <f t="shared" si="27"/>
        <v>10</v>
      </c>
      <c r="J134" s="749">
        <f t="shared" si="28"/>
        <v>1</v>
      </c>
      <c r="K134" s="483">
        <f t="shared" si="29"/>
        <v>6</v>
      </c>
      <c r="L134" s="500"/>
      <c r="M134" s="485">
        <f t="shared" si="25"/>
        <v>18.020833333333336</v>
      </c>
      <c r="N134" s="486"/>
      <c r="O134" s="486"/>
      <c r="P134" s="487">
        <f>16-1*1-0.5*1.17</f>
        <v>14.414999999999999</v>
      </c>
    </row>
    <row r="135" spans="1:16" s="487" customFormat="1" ht="18" customHeight="1">
      <c r="A135" s="478"/>
      <c r="B135" s="336" t="s">
        <v>275</v>
      </c>
      <c r="C135" s="479">
        <f>1</f>
        <v>1</v>
      </c>
      <c r="D135" s="480" t="s">
        <v>87</v>
      </c>
      <c r="E135" s="724">
        <f>1</f>
        <v>1</v>
      </c>
      <c r="F135" s="482">
        <v>14</v>
      </c>
      <c r="G135" s="483">
        <v>6</v>
      </c>
      <c r="H135" s="484">
        <f t="shared" ref="H135" si="30">H134</f>
        <v>0</v>
      </c>
      <c r="I135" s="483">
        <f t="shared" ref="I135" si="31">I134</f>
        <v>10</v>
      </c>
      <c r="J135" s="749">
        <f t="shared" ref="J135" si="32">J134</f>
        <v>1</v>
      </c>
      <c r="K135" s="483">
        <f t="shared" ref="K135" si="33">K134</f>
        <v>6</v>
      </c>
      <c r="L135" s="500"/>
      <c r="M135" s="485">
        <f t="shared" si="25"/>
        <v>18.125</v>
      </c>
      <c r="N135" s="486"/>
      <c r="O135" s="486"/>
    </row>
    <row r="136" spans="1:16" ht="18" customHeight="1">
      <c r="A136" s="474"/>
      <c r="B136" s="494"/>
      <c r="C136" s="488"/>
      <c r="D136" s="489"/>
      <c r="E136" s="837">
        <f>C133*E133+C134*E134+C135*E135+C132*E132+C131*E131</f>
        <v>5</v>
      </c>
      <c r="F136" s="491"/>
      <c r="G136" s="496"/>
      <c r="H136" s="497"/>
      <c r="I136" s="496"/>
      <c r="J136" s="609"/>
      <c r="K136" s="860" t="str">
        <f>B112</f>
        <v>(g) Ground  Beam</v>
      </c>
      <c r="L136" s="500"/>
      <c r="M136" s="486"/>
      <c r="N136" s="858">
        <f>SUM(M114:M136)</f>
        <v>271.67824074074076</v>
      </c>
      <c r="O136" s="835" t="s">
        <v>21</v>
      </c>
      <c r="P136" s="487"/>
    </row>
    <row r="137" spans="1:16" s="487" customFormat="1" ht="18" customHeight="1">
      <c r="A137" s="478"/>
      <c r="B137" s="723" t="s">
        <v>307</v>
      </c>
      <c r="C137" s="479"/>
      <c r="D137" s="480"/>
      <c r="E137" s="724"/>
      <c r="F137" s="482"/>
      <c r="G137" s="483"/>
      <c r="H137" s="484"/>
      <c r="I137" s="483"/>
      <c r="J137" s="749"/>
      <c r="K137" s="483"/>
      <c r="L137" s="500"/>
      <c r="M137" s="485"/>
      <c r="N137" s="486"/>
      <c r="O137" s="486"/>
    </row>
    <row r="138" spans="1:16" s="487" customFormat="1" ht="18" customHeight="1">
      <c r="A138" s="478"/>
      <c r="B138" s="726" t="s">
        <v>308</v>
      </c>
      <c r="C138" s="479"/>
      <c r="D138" s="480"/>
      <c r="E138" s="724"/>
      <c r="F138" s="482"/>
      <c r="G138" s="483"/>
      <c r="H138" s="484"/>
      <c r="I138" s="483"/>
      <c r="J138" s="749"/>
      <c r="K138" s="483"/>
      <c r="L138" s="500"/>
      <c r="M138" s="485"/>
      <c r="N138" s="486"/>
      <c r="O138" s="486"/>
    </row>
    <row r="139" spans="1:16" s="487" customFormat="1" ht="18" customHeight="1">
      <c r="A139" s="478"/>
      <c r="B139" s="336" t="s">
        <v>309</v>
      </c>
      <c r="C139" s="479">
        <v>1</v>
      </c>
      <c r="D139" s="480" t="s">
        <v>87</v>
      </c>
      <c r="E139" s="724">
        <v>1</v>
      </c>
      <c r="F139" s="482">
        <v>5</v>
      </c>
      <c r="G139" s="483">
        <v>4</v>
      </c>
      <c r="H139" s="484">
        <f>0</f>
        <v>0</v>
      </c>
      <c r="I139" s="483">
        <v>10</v>
      </c>
      <c r="J139" s="749">
        <v>0</v>
      </c>
      <c r="K139" s="483">
        <v>10</v>
      </c>
      <c r="L139" s="500"/>
      <c r="M139" s="485">
        <f t="shared" ref="M139:M141" si="34">IF(C139=0,1,C139)*IF(E139=0,1,E139)*IF((F139+G139/12)=0,1,(F139+G139/12))*IF((H139+I139/12)=0,1,(H139+I139/12))*IF((J139+K139/12)=0,1,(J139+K139/12))</f>
        <v>3.7037037037037042</v>
      </c>
      <c r="N139" s="486"/>
      <c r="O139" s="486"/>
      <c r="P139" s="487">
        <f>6.33-1*1</f>
        <v>5.33</v>
      </c>
    </row>
    <row r="140" spans="1:16" s="487" customFormat="1" ht="18" customHeight="1">
      <c r="A140" s="478"/>
      <c r="B140" s="336" t="s">
        <v>310</v>
      </c>
      <c r="C140" s="479">
        <v>1</v>
      </c>
      <c r="D140" s="480" t="s">
        <v>87</v>
      </c>
      <c r="E140" s="724">
        <v>1</v>
      </c>
      <c r="F140" s="482">
        <v>5</v>
      </c>
      <c r="G140" s="483">
        <v>10</v>
      </c>
      <c r="H140" s="484">
        <v>0</v>
      </c>
      <c r="I140" s="483">
        <f t="shared" ref="I140:K141" si="35">I139</f>
        <v>10</v>
      </c>
      <c r="J140" s="749">
        <f t="shared" si="35"/>
        <v>0</v>
      </c>
      <c r="K140" s="483">
        <f t="shared" si="35"/>
        <v>10</v>
      </c>
      <c r="L140" s="500"/>
      <c r="M140" s="485">
        <f t="shared" si="34"/>
        <v>4.0509259259259256</v>
      </c>
      <c r="N140" s="486"/>
      <c r="O140" s="486"/>
    </row>
    <row r="141" spans="1:16" s="487" customFormat="1" ht="18" customHeight="1">
      <c r="A141" s="478"/>
      <c r="B141" s="336" t="s">
        <v>311</v>
      </c>
      <c r="C141" s="479">
        <v>1</v>
      </c>
      <c r="D141" s="480" t="s">
        <v>87</v>
      </c>
      <c r="E141" s="724">
        <v>1</v>
      </c>
      <c r="F141" s="482">
        <v>8</v>
      </c>
      <c r="G141" s="483">
        <v>4</v>
      </c>
      <c r="H141" s="484">
        <f>H140</f>
        <v>0</v>
      </c>
      <c r="I141" s="483">
        <f t="shared" si="35"/>
        <v>10</v>
      </c>
      <c r="J141" s="749">
        <f t="shared" si="35"/>
        <v>0</v>
      </c>
      <c r="K141" s="483">
        <f t="shared" si="35"/>
        <v>10</v>
      </c>
      <c r="L141" s="500"/>
      <c r="M141" s="485">
        <f t="shared" si="34"/>
        <v>5.7870370370370381</v>
      </c>
      <c r="N141" s="486"/>
      <c r="O141" s="486"/>
    </row>
    <row r="142" spans="1:16" ht="18" customHeight="1">
      <c r="A142" s="474"/>
      <c r="B142" s="494"/>
      <c r="C142" s="488"/>
      <c r="D142" s="489"/>
      <c r="E142" s="837">
        <f>C140*E140+C139*E139+C141*E141</f>
        <v>3</v>
      </c>
      <c r="F142" s="491"/>
      <c r="G142" s="496"/>
      <c r="H142" s="497"/>
      <c r="I142" s="496"/>
      <c r="J142" s="609"/>
      <c r="K142" s="496"/>
      <c r="L142" s="591"/>
      <c r="M142" s="475"/>
      <c r="N142" s="476"/>
      <c r="O142" s="476"/>
    </row>
    <row r="143" spans="1:16" s="487" customFormat="1" ht="18" customHeight="1">
      <c r="A143" s="478"/>
      <c r="B143" s="726" t="s">
        <v>312</v>
      </c>
      <c r="C143" s="479"/>
      <c r="D143" s="480"/>
      <c r="E143" s="724"/>
      <c r="F143" s="482"/>
      <c r="G143" s="483"/>
      <c r="H143" s="484"/>
      <c r="I143" s="483"/>
      <c r="J143" s="749"/>
      <c r="K143" s="483"/>
      <c r="L143" s="500"/>
      <c r="M143" s="485"/>
      <c r="N143" s="486"/>
      <c r="O143" s="486"/>
    </row>
    <row r="144" spans="1:16" s="487" customFormat="1" ht="18" customHeight="1">
      <c r="A144" s="478"/>
      <c r="B144" s="336" t="s">
        <v>313</v>
      </c>
      <c r="C144" s="479">
        <v>1</v>
      </c>
      <c r="D144" s="480" t="s">
        <v>87</v>
      </c>
      <c r="E144" s="724">
        <v>1</v>
      </c>
      <c r="F144" s="482">
        <v>4</v>
      </c>
      <c r="G144" s="483">
        <v>10</v>
      </c>
      <c r="H144" s="484">
        <f>0</f>
        <v>0</v>
      </c>
      <c r="I144" s="483">
        <v>10</v>
      </c>
      <c r="J144" s="749">
        <f>1</f>
        <v>1</v>
      </c>
      <c r="K144" s="483">
        <v>0</v>
      </c>
      <c r="L144" s="500"/>
      <c r="M144" s="485">
        <f>IF(C144=0,1,C144)*IF(E144=0,1,E144)*IF((F144+G144/12)=0,1,(F144+G144/12))*IF((H144+I144/12)=0,1,(H144+I144/12))*IF((J144+K144/12)=0,1,(J144+K144/12))</f>
        <v>4.0277777777777777</v>
      </c>
      <c r="N144" s="486"/>
      <c r="O144" s="486"/>
    </row>
    <row r="145" spans="1:16" ht="18" customHeight="1">
      <c r="A145" s="474"/>
      <c r="B145" s="494"/>
      <c r="C145" s="488"/>
      <c r="D145" s="489"/>
      <c r="E145" s="837">
        <f>C144*E144</f>
        <v>1</v>
      </c>
      <c r="F145" s="491"/>
      <c r="G145" s="496"/>
      <c r="H145" s="497"/>
      <c r="I145" s="496"/>
      <c r="J145" s="609"/>
      <c r="K145" s="496"/>
      <c r="L145" s="626"/>
      <c r="M145" s="475"/>
      <c r="N145" s="476"/>
      <c r="O145" s="476"/>
    </row>
    <row r="146" spans="1:16" s="487" customFormat="1" ht="18" customHeight="1">
      <c r="A146" s="478"/>
      <c r="B146" s="726" t="s">
        <v>314</v>
      </c>
      <c r="C146" s="479"/>
      <c r="D146" s="480"/>
      <c r="E146" s="724"/>
      <c r="F146" s="482"/>
      <c r="G146" s="483"/>
      <c r="H146" s="484"/>
      <c r="I146" s="483"/>
      <c r="J146" s="749"/>
      <c r="K146" s="483"/>
      <c r="L146" s="500"/>
      <c r="M146" s="485"/>
      <c r="N146" s="486"/>
      <c r="O146" s="486"/>
    </row>
    <row r="147" spans="1:16" s="487" customFormat="1" ht="18" customHeight="1">
      <c r="A147" s="478"/>
      <c r="B147" s="336" t="s">
        <v>315</v>
      </c>
      <c r="C147" s="479">
        <v>3</v>
      </c>
      <c r="D147" s="480" t="s">
        <v>87</v>
      </c>
      <c r="E147" s="724">
        <f>1</f>
        <v>1</v>
      </c>
      <c r="F147" s="482">
        <v>14</v>
      </c>
      <c r="G147" s="483">
        <v>1</v>
      </c>
      <c r="H147" s="484">
        <f>0</f>
        <v>0</v>
      </c>
      <c r="I147" s="483">
        <v>10</v>
      </c>
      <c r="J147" s="749">
        <v>1</v>
      </c>
      <c r="K147" s="483">
        <v>2</v>
      </c>
      <c r="L147" s="500"/>
      <c r="M147" s="485">
        <f>IF(C147=0,1,C147)*IF(E147=0,1,E147)*IF((F147+G147/12)=0,1,(F147+G147/12))*IF((H147+I147/12)=0,1,(H147+I147/12))*IF((J147+K147/12)=0,1,(J147+K147/12))</f>
        <v>41.076388888888893</v>
      </c>
      <c r="N147" s="486"/>
      <c r="O147" s="486"/>
      <c r="P147" s="487">
        <f>15.58-1.5*1</f>
        <v>14.08</v>
      </c>
    </row>
    <row r="148" spans="1:16" ht="18" customHeight="1">
      <c r="A148" s="474"/>
      <c r="B148" s="494"/>
      <c r="C148" s="488"/>
      <c r="D148" s="489"/>
      <c r="E148" s="837">
        <f>C147*E147</f>
        <v>3</v>
      </c>
      <c r="F148" s="491"/>
      <c r="G148" s="496"/>
      <c r="H148" s="497"/>
      <c r="I148" s="496"/>
      <c r="J148" s="609"/>
      <c r="K148" s="496"/>
      <c r="L148" s="626"/>
      <c r="M148" s="475"/>
      <c r="N148" s="476"/>
      <c r="O148" s="476"/>
    </row>
    <row r="149" spans="1:16" s="487" customFormat="1" ht="18" customHeight="1">
      <c r="A149" s="478"/>
      <c r="B149" s="726" t="s">
        <v>472</v>
      </c>
      <c r="C149" s="479"/>
      <c r="D149" s="480"/>
      <c r="E149" s="724"/>
      <c r="F149" s="482"/>
      <c r="G149" s="483"/>
      <c r="H149" s="484"/>
      <c r="I149" s="483"/>
      <c r="J149" s="749"/>
      <c r="K149" s="483"/>
      <c r="L149" s="500"/>
      <c r="M149" s="485"/>
      <c r="N149" s="486"/>
      <c r="O149" s="486"/>
    </row>
    <row r="150" spans="1:16" s="487" customFormat="1" ht="18" customHeight="1">
      <c r="A150" s="478"/>
      <c r="B150" s="336" t="s">
        <v>317</v>
      </c>
      <c r="C150" s="479">
        <f>2</f>
        <v>2</v>
      </c>
      <c r="D150" s="480" t="s">
        <v>87</v>
      </c>
      <c r="E150" s="724">
        <v>1</v>
      </c>
      <c r="F150" s="482">
        <v>4</v>
      </c>
      <c r="G150" s="483">
        <v>0</v>
      </c>
      <c r="H150" s="484">
        <f>0</f>
        <v>0</v>
      </c>
      <c r="I150" s="483">
        <v>10</v>
      </c>
      <c r="J150" s="749">
        <v>1</v>
      </c>
      <c r="K150" s="483">
        <v>4</v>
      </c>
      <c r="L150" s="500"/>
      <c r="M150" s="485">
        <f t="shared" ref="M150:M151" si="36">IF(C150=0,1,C150)*IF(E150=0,1,E150)*IF((F150+G150/12)=0,1,(F150+G150/12))*IF((H150+I150/12)=0,1,(H150+I150/12))*IF((J150+K150/12)=0,1,(J150+K150/12))</f>
        <v>8.8888888888888893</v>
      </c>
      <c r="N150" s="486"/>
      <c r="O150" s="486"/>
    </row>
    <row r="151" spans="1:16" s="487" customFormat="1" ht="18" customHeight="1">
      <c r="A151" s="478"/>
      <c r="B151" s="336" t="s">
        <v>325</v>
      </c>
      <c r="C151" s="479">
        <v>1</v>
      </c>
      <c r="D151" s="480" t="s">
        <v>87</v>
      </c>
      <c r="E151" s="724">
        <v>1</v>
      </c>
      <c r="F151" s="482">
        <v>30</v>
      </c>
      <c r="G151" s="483">
        <v>10</v>
      </c>
      <c r="H151" s="484">
        <f>H150</f>
        <v>0</v>
      </c>
      <c r="I151" s="483">
        <f>I150</f>
        <v>10</v>
      </c>
      <c r="J151" s="749">
        <f>J150</f>
        <v>1</v>
      </c>
      <c r="K151" s="483">
        <f>K150</f>
        <v>4</v>
      </c>
      <c r="L151" s="500"/>
      <c r="M151" s="485">
        <f t="shared" si="36"/>
        <v>34.259259259259252</v>
      </c>
      <c r="N151" s="486"/>
      <c r="O151" s="486"/>
      <c r="P151" s="487">
        <f>17.5+16-2*0.83-1*1</f>
        <v>30.84</v>
      </c>
    </row>
    <row r="152" spans="1:16" ht="18" customHeight="1">
      <c r="A152" s="474"/>
      <c r="B152" s="494"/>
      <c r="C152" s="488"/>
      <c r="D152" s="489"/>
      <c r="E152" s="837">
        <f>C150*E150+C151*E151</f>
        <v>3</v>
      </c>
      <c r="F152" s="491"/>
      <c r="G152" s="496"/>
      <c r="H152" s="497"/>
      <c r="I152" s="496"/>
      <c r="J152" s="609"/>
      <c r="K152" s="496"/>
      <c r="L152" s="626"/>
      <c r="M152" s="475"/>
      <c r="N152" s="476"/>
      <c r="O152" s="476"/>
    </row>
    <row r="153" spans="1:16" s="487" customFormat="1" ht="18" customHeight="1">
      <c r="A153" s="478"/>
      <c r="B153" s="726" t="s">
        <v>318</v>
      </c>
      <c r="C153" s="479"/>
      <c r="D153" s="480"/>
      <c r="E153" s="724"/>
      <c r="F153" s="482"/>
      <c r="G153" s="483"/>
      <c r="H153" s="484"/>
      <c r="I153" s="483"/>
      <c r="J153" s="749"/>
      <c r="K153" s="483"/>
      <c r="L153" s="500"/>
      <c r="M153" s="485"/>
      <c r="N153" s="486"/>
      <c r="O153" s="486"/>
    </row>
    <row r="154" spans="1:16" s="487" customFormat="1" ht="18" customHeight="1">
      <c r="A154" s="478"/>
      <c r="B154" s="336" t="s">
        <v>302</v>
      </c>
      <c r="C154" s="479">
        <v>1</v>
      </c>
      <c r="D154" s="480" t="s">
        <v>87</v>
      </c>
      <c r="E154" s="724">
        <v>1</v>
      </c>
      <c r="F154" s="482">
        <f>F133</f>
        <v>15</v>
      </c>
      <c r="G154" s="483">
        <f>G133</f>
        <v>9</v>
      </c>
      <c r="H154" s="484">
        <v>0</v>
      </c>
      <c r="I154" s="483">
        <v>10</v>
      </c>
      <c r="J154" s="749">
        <v>1</v>
      </c>
      <c r="K154" s="483">
        <v>6</v>
      </c>
      <c r="L154" s="500"/>
      <c r="M154" s="485">
        <f t="shared" ref="M154:M157" si="37">IF(C154=0,1,C154)*IF(E154=0,1,E154)*IF((F154+G154/12)=0,1,(F154+G154/12))*IF((H154+I154/12)=0,1,(H154+I154/12))*IF((J154+K154/12)=0,1,(J154+K154/12))</f>
        <v>19.6875</v>
      </c>
      <c r="N154" s="486"/>
      <c r="O154" s="486"/>
      <c r="P154" s="487">
        <f>17.5-1.5*1.17</f>
        <v>15.745000000000001</v>
      </c>
    </row>
    <row r="155" spans="1:16" s="487" customFormat="1" ht="18" customHeight="1">
      <c r="A155" s="478"/>
      <c r="B155" s="336" t="s">
        <v>304</v>
      </c>
      <c r="C155" s="479">
        <v>1</v>
      </c>
      <c r="D155" s="480" t="s">
        <v>87</v>
      </c>
      <c r="E155" s="724">
        <v>1</v>
      </c>
      <c r="F155" s="482">
        <f>F131</f>
        <v>16</v>
      </c>
      <c r="G155" s="483">
        <f>G131</f>
        <v>0</v>
      </c>
      <c r="H155" s="484">
        <f t="shared" ref="H155:K157" si="38">H154</f>
        <v>0</v>
      </c>
      <c r="I155" s="483">
        <f t="shared" si="38"/>
        <v>10</v>
      </c>
      <c r="J155" s="749">
        <f t="shared" si="38"/>
        <v>1</v>
      </c>
      <c r="K155" s="483">
        <f t="shared" si="38"/>
        <v>6</v>
      </c>
      <c r="L155" s="500"/>
      <c r="M155" s="485">
        <f t="shared" si="37"/>
        <v>20</v>
      </c>
      <c r="N155" s="486"/>
      <c r="O155" s="486"/>
      <c r="P155" s="487">
        <f>17.5-1.5*1</f>
        <v>16</v>
      </c>
    </row>
    <row r="156" spans="1:16" s="487" customFormat="1" ht="18" customHeight="1">
      <c r="A156" s="478"/>
      <c r="B156" s="336" t="s">
        <v>303</v>
      </c>
      <c r="C156" s="479">
        <v>1</v>
      </c>
      <c r="D156" s="480" t="s">
        <v>87</v>
      </c>
      <c r="E156" s="724">
        <v>1</v>
      </c>
      <c r="F156" s="482">
        <f>F43</f>
        <v>14</v>
      </c>
      <c r="G156" s="483">
        <f>G43</f>
        <v>5</v>
      </c>
      <c r="H156" s="484">
        <f t="shared" si="38"/>
        <v>0</v>
      </c>
      <c r="I156" s="483">
        <f t="shared" si="38"/>
        <v>10</v>
      </c>
      <c r="J156" s="749">
        <f t="shared" si="38"/>
        <v>1</v>
      </c>
      <c r="K156" s="483">
        <f t="shared" si="38"/>
        <v>6</v>
      </c>
      <c r="L156" s="500"/>
      <c r="M156" s="485">
        <f t="shared" si="37"/>
        <v>18.020833333333336</v>
      </c>
      <c r="N156" s="486"/>
      <c r="O156" s="486"/>
      <c r="P156" s="487">
        <f>16-0.5*1.17-1*1</f>
        <v>14.414999999999999</v>
      </c>
    </row>
    <row r="157" spans="1:16" s="487" customFormat="1" ht="18" customHeight="1">
      <c r="A157" s="478"/>
      <c r="B157" s="336" t="s">
        <v>305</v>
      </c>
      <c r="C157" s="479">
        <v>1</v>
      </c>
      <c r="D157" s="480" t="s">
        <v>87</v>
      </c>
      <c r="E157" s="724">
        <v>1</v>
      </c>
      <c r="F157" s="482">
        <f>F40</f>
        <v>14</v>
      </c>
      <c r="G157" s="483">
        <f>G40</f>
        <v>6</v>
      </c>
      <c r="H157" s="484">
        <f t="shared" si="38"/>
        <v>0</v>
      </c>
      <c r="I157" s="483">
        <f t="shared" si="38"/>
        <v>10</v>
      </c>
      <c r="J157" s="749">
        <f t="shared" si="38"/>
        <v>1</v>
      </c>
      <c r="K157" s="483">
        <f t="shared" si="38"/>
        <v>6</v>
      </c>
      <c r="L157" s="500"/>
      <c r="M157" s="485">
        <f t="shared" si="37"/>
        <v>18.125</v>
      </c>
      <c r="N157" s="486"/>
      <c r="O157" s="486"/>
      <c r="P157" s="487">
        <f>16-1.5*1</f>
        <v>14.5</v>
      </c>
    </row>
    <row r="158" spans="1:16" ht="18" customHeight="1">
      <c r="A158" s="474"/>
      <c r="B158" s="494"/>
      <c r="C158" s="488"/>
      <c r="D158" s="489"/>
      <c r="E158" s="837">
        <f>C156*E156+C155*E155+C157*E157+C154*E154</f>
        <v>4</v>
      </c>
      <c r="F158" s="491"/>
      <c r="G158" s="496"/>
      <c r="H158" s="497"/>
      <c r="I158" s="496"/>
      <c r="J158" s="609"/>
      <c r="K158" s="496"/>
      <c r="L158" s="626"/>
      <c r="M158" s="475"/>
      <c r="N158" s="476"/>
      <c r="O158" s="476"/>
    </row>
    <row r="159" spans="1:16" s="487" customFormat="1" ht="18" customHeight="1">
      <c r="A159" s="478"/>
      <c r="B159" s="726" t="s">
        <v>319</v>
      </c>
      <c r="C159" s="479"/>
      <c r="D159" s="480"/>
      <c r="E159" s="724"/>
      <c r="F159" s="482"/>
      <c r="G159" s="483"/>
      <c r="H159" s="484"/>
      <c r="I159" s="483"/>
      <c r="J159" s="749"/>
      <c r="K159" s="483"/>
      <c r="L159" s="500"/>
      <c r="M159" s="485"/>
      <c r="N159" s="486"/>
      <c r="O159" s="486"/>
    </row>
    <row r="160" spans="1:16" s="487" customFormat="1" ht="18" customHeight="1">
      <c r="A160" s="478"/>
      <c r="B160" s="336" t="s">
        <v>273</v>
      </c>
      <c r="C160" s="479">
        <v>1</v>
      </c>
      <c r="D160" s="480" t="s">
        <v>87</v>
      </c>
      <c r="E160" s="724">
        <v>2</v>
      </c>
      <c r="F160" s="482">
        <f>F123</f>
        <v>14</v>
      </c>
      <c r="G160" s="483">
        <f>G123</f>
        <v>0</v>
      </c>
      <c r="H160" s="484">
        <v>1</v>
      </c>
      <c r="I160" s="483">
        <v>0</v>
      </c>
      <c r="J160" s="749">
        <v>1</v>
      </c>
      <c r="K160" s="483">
        <v>2</v>
      </c>
      <c r="L160" s="500"/>
      <c r="M160" s="485">
        <f t="shared" ref="M160:M165" si="39">IF(C160=0,1,C160)*IF(E160=0,1,E160)*IF((F160+G160/12)=0,1,(F160+G160/12))*IF((H160+I160/12)=0,1,(H160+I160/12))*IF((J160+K160/12)=0,1,(J160+K160/12))</f>
        <v>32.666666666666671</v>
      </c>
      <c r="N160" s="486"/>
      <c r="O160" s="486"/>
      <c r="P160" s="487">
        <f>15.58-1*1-0.5*1.17</f>
        <v>13.995000000000001</v>
      </c>
    </row>
    <row r="161" spans="1:16" s="487" customFormat="1" ht="18" customHeight="1">
      <c r="A161" s="478"/>
      <c r="B161" s="336" t="s">
        <v>274</v>
      </c>
      <c r="C161" s="479">
        <v>1</v>
      </c>
      <c r="D161" s="480" t="s">
        <v>87</v>
      </c>
      <c r="E161" s="724">
        <v>1</v>
      </c>
      <c r="F161" s="482">
        <f>F124</f>
        <v>14</v>
      </c>
      <c r="G161" s="483">
        <f>G124</f>
        <v>1</v>
      </c>
      <c r="H161" s="484">
        <f>H160</f>
        <v>1</v>
      </c>
      <c r="I161" s="483">
        <f>I160</f>
        <v>0</v>
      </c>
      <c r="J161" s="749">
        <f>J160</f>
        <v>1</v>
      </c>
      <c r="K161" s="483">
        <f>K160</f>
        <v>2</v>
      </c>
      <c r="L161" s="500"/>
      <c r="M161" s="485">
        <f t="shared" si="39"/>
        <v>16.430555555555557</v>
      </c>
      <c r="N161" s="486"/>
      <c r="O161" s="486"/>
      <c r="P161" s="487">
        <f>15.58-1.5*1</f>
        <v>14.08</v>
      </c>
    </row>
    <row r="162" spans="1:16" s="487" customFormat="1" ht="18" customHeight="1">
      <c r="A162" s="478"/>
      <c r="B162" s="336" t="s">
        <v>277</v>
      </c>
      <c r="C162" s="479">
        <v>1</v>
      </c>
      <c r="D162" s="480" t="s">
        <v>87</v>
      </c>
      <c r="E162" s="724">
        <v>2</v>
      </c>
      <c r="F162" s="482">
        <f t="shared" ref="F162:G162" si="40">F125</f>
        <v>7</v>
      </c>
      <c r="G162" s="483">
        <f t="shared" si="40"/>
        <v>10</v>
      </c>
      <c r="H162" s="484">
        <f t="shared" ref="H162:H163" si="41">H161</f>
        <v>1</v>
      </c>
      <c r="I162" s="483">
        <f t="shared" ref="I162:I163" si="42">I161</f>
        <v>0</v>
      </c>
      <c r="J162" s="749">
        <f t="shared" ref="J162:J163" si="43">J161</f>
        <v>1</v>
      </c>
      <c r="K162" s="483">
        <f t="shared" ref="K162:K163" si="44">K161</f>
        <v>2</v>
      </c>
      <c r="L162" s="500"/>
      <c r="M162" s="485">
        <f t="shared" si="39"/>
        <v>18.277777777777779</v>
      </c>
      <c r="N162" s="486"/>
      <c r="O162" s="486"/>
      <c r="P162" s="487">
        <f>9-1*1.17</f>
        <v>7.83</v>
      </c>
    </row>
    <row r="163" spans="1:16" s="487" customFormat="1" ht="18" customHeight="1">
      <c r="A163" s="478"/>
      <c r="B163" s="336" t="s">
        <v>278</v>
      </c>
      <c r="C163" s="479">
        <v>1</v>
      </c>
      <c r="D163" s="480" t="s">
        <v>87</v>
      </c>
      <c r="E163" s="724">
        <v>1</v>
      </c>
      <c r="F163" s="482">
        <f t="shared" ref="F163:G163" si="45">F126</f>
        <v>8</v>
      </c>
      <c r="G163" s="483">
        <f t="shared" si="45"/>
        <v>0</v>
      </c>
      <c r="H163" s="484">
        <f t="shared" si="41"/>
        <v>1</v>
      </c>
      <c r="I163" s="483">
        <f t="shared" si="42"/>
        <v>0</v>
      </c>
      <c r="J163" s="749">
        <f t="shared" si="43"/>
        <v>1</v>
      </c>
      <c r="K163" s="483">
        <f t="shared" si="44"/>
        <v>2</v>
      </c>
      <c r="L163" s="500"/>
      <c r="M163" s="485">
        <f t="shared" si="39"/>
        <v>9.3333333333333339</v>
      </c>
      <c r="N163" s="486"/>
      <c r="O163" s="486"/>
      <c r="P163" s="487">
        <f>9-1*1</f>
        <v>8</v>
      </c>
    </row>
    <row r="164" spans="1:16" s="487" customFormat="1" ht="18" customHeight="1">
      <c r="A164" s="478"/>
      <c r="B164" s="336" t="s">
        <v>280</v>
      </c>
      <c r="C164" s="479">
        <v>1</v>
      </c>
      <c r="D164" s="480" t="s">
        <v>87</v>
      </c>
      <c r="E164" s="724">
        <v>2</v>
      </c>
      <c r="F164" s="482">
        <f t="shared" ref="F164:G164" si="46">F127</f>
        <v>10</v>
      </c>
      <c r="G164" s="483">
        <f t="shared" si="46"/>
        <v>4</v>
      </c>
      <c r="H164" s="484">
        <f t="shared" ref="H164:H165" si="47">H163</f>
        <v>1</v>
      </c>
      <c r="I164" s="483">
        <f t="shared" ref="I164:I165" si="48">I163</f>
        <v>0</v>
      </c>
      <c r="J164" s="749">
        <f t="shared" ref="J164:J165" si="49">J163</f>
        <v>1</v>
      </c>
      <c r="K164" s="483">
        <f t="shared" ref="K164:K165" si="50">K163</f>
        <v>2</v>
      </c>
      <c r="L164" s="500"/>
      <c r="M164" s="485">
        <f t="shared" si="39"/>
        <v>24.111111111111114</v>
      </c>
      <c r="N164" s="486"/>
      <c r="O164" s="486"/>
      <c r="P164" s="487">
        <f>11.92-1*1-0.5*1.17</f>
        <v>10.335000000000001</v>
      </c>
    </row>
    <row r="165" spans="1:16" s="487" customFormat="1" ht="18" customHeight="1">
      <c r="A165" s="478"/>
      <c r="B165" s="336" t="s">
        <v>281</v>
      </c>
      <c r="C165" s="479">
        <v>1</v>
      </c>
      <c r="D165" s="480" t="s">
        <v>87</v>
      </c>
      <c r="E165" s="724">
        <v>1</v>
      </c>
      <c r="F165" s="482">
        <f t="shared" ref="F165:G165" si="51">F128</f>
        <v>10</v>
      </c>
      <c r="G165" s="483">
        <f t="shared" si="51"/>
        <v>5</v>
      </c>
      <c r="H165" s="484">
        <f t="shared" si="47"/>
        <v>1</v>
      </c>
      <c r="I165" s="483">
        <f t="shared" si="48"/>
        <v>0</v>
      </c>
      <c r="J165" s="749">
        <f t="shared" si="49"/>
        <v>1</v>
      </c>
      <c r="K165" s="483">
        <f t="shared" si="50"/>
        <v>2</v>
      </c>
      <c r="L165" s="500"/>
      <c r="M165" s="485">
        <f t="shared" si="39"/>
        <v>12.152777777777779</v>
      </c>
      <c r="N165" s="486"/>
      <c r="O165" s="486"/>
      <c r="P165" s="487">
        <f>11.92-1.5*1</f>
        <v>10.42</v>
      </c>
    </row>
    <row r="166" spans="1:16" ht="18" customHeight="1">
      <c r="A166" s="474"/>
      <c r="B166" s="494"/>
      <c r="C166" s="488"/>
      <c r="D166" s="489"/>
      <c r="E166" s="837">
        <f>C164*E164+C163*E163+C165*E165+C162*E162+C161*E161+C160*E160</f>
        <v>9</v>
      </c>
      <c r="F166" s="491"/>
      <c r="G166" s="496"/>
      <c r="H166" s="497"/>
      <c r="I166" s="496"/>
      <c r="J166" s="609"/>
      <c r="K166" s="496"/>
      <c r="L166" s="626"/>
      <c r="M166" s="475"/>
      <c r="N166" s="476"/>
      <c r="O166" s="476"/>
    </row>
    <row r="167" spans="1:16" s="487" customFormat="1" ht="18" customHeight="1">
      <c r="A167" s="478"/>
      <c r="B167" s="726" t="s">
        <v>320</v>
      </c>
      <c r="C167" s="479"/>
      <c r="D167" s="480"/>
      <c r="E167" s="724"/>
      <c r="F167" s="482"/>
      <c r="G167" s="483"/>
      <c r="H167" s="484"/>
      <c r="I167" s="483"/>
      <c r="J167" s="749"/>
      <c r="K167" s="483"/>
      <c r="L167" s="500"/>
      <c r="M167" s="485"/>
      <c r="N167" s="486"/>
      <c r="O167" s="486"/>
    </row>
    <row r="168" spans="1:16" s="487" customFormat="1" ht="18" customHeight="1">
      <c r="A168" s="478"/>
      <c r="B168" s="336" t="s">
        <v>321</v>
      </c>
      <c r="C168" s="479">
        <v>1</v>
      </c>
      <c r="D168" s="480" t="s">
        <v>87</v>
      </c>
      <c r="E168" s="724">
        <v>1</v>
      </c>
      <c r="F168" s="482">
        <v>4</v>
      </c>
      <c r="G168" s="483">
        <v>0</v>
      </c>
      <c r="H168" s="484">
        <v>1</v>
      </c>
      <c r="I168" s="483">
        <v>0</v>
      </c>
      <c r="J168" s="749">
        <v>1</v>
      </c>
      <c r="K168" s="483">
        <v>4</v>
      </c>
      <c r="L168" s="500"/>
      <c r="M168" s="485">
        <f>IF(C168=0,1,C168)*IF(E168=0,1,E168)*IF((F168+G168/12)=0,1,(F168+G168/12))*IF((H168+I168/12)=0,1,(H168+I168/12))*IF((J168+K168/12)=0,1,(J168+K168/12))</f>
        <v>5.333333333333333</v>
      </c>
      <c r="N168" s="486"/>
      <c r="O168" s="486"/>
    </row>
    <row r="169" spans="1:16" ht="18" customHeight="1">
      <c r="A169" s="474"/>
      <c r="B169" s="494"/>
      <c r="C169" s="488"/>
      <c r="D169" s="489"/>
      <c r="E169" s="837">
        <f>C168*E168</f>
        <v>1</v>
      </c>
      <c r="F169" s="491"/>
      <c r="G169" s="496"/>
      <c r="H169" s="497"/>
      <c r="I169" s="496"/>
      <c r="J169" s="609"/>
      <c r="K169" s="496"/>
      <c r="L169" s="626"/>
      <c r="M169" s="475"/>
      <c r="N169" s="476"/>
      <c r="O169" s="476"/>
    </row>
    <row r="170" spans="1:16" s="487" customFormat="1" ht="18" customHeight="1">
      <c r="A170" s="478"/>
      <c r="B170" s="726" t="s">
        <v>322</v>
      </c>
      <c r="C170" s="479"/>
      <c r="D170" s="480"/>
      <c r="E170" s="724"/>
      <c r="F170" s="482"/>
      <c r="G170" s="483"/>
      <c r="H170" s="484"/>
      <c r="I170" s="483"/>
      <c r="J170" s="749"/>
      <c r="K170" s="483"/>
      <c r="L170" s="500"/>
      <c r="M170" s="485"/>
      <c r="N170" s="486"/>
      <c r="O170" s="486"/>
    </row>
    <row r="171" spans="1:16" s="487" customFormat="1" ht="18" customHeight="1">
      <c r="A171" s="478"/>
      <c r="B171" s="336" t="s">
        <v>264</v>
      </c>
      <c r="C171" s="479">
        <f>1</f>
        <v>1</v>
      </c>
      <c r="D171" s="480" t="s">
        <v>87</v>
      </c>
      <c r="E171" s="724">
        <f>1</f>
        <v>1</v>
      </c>
      <c r="F171" s="482">
        <f>F131</f>
        <v>16</v>
      </c>
      <c r="G171" s="483">
        <f>G131</f>
        <v>0</v>
      </c>
      <c r="H171" s="484">
        <v>1</v>
      </c>
      <c r="I171" s="483">
        <v>0</v>
      </c>
      <c r="J171" s="749">
        <v>1</v>
      </c>
      <c r="K171" s="483">
        <v>6</v>
      </c>
      <c r="L171" s="500"/>
      <c r="M171" s="485">
        <f t="shared" ref="M171:M174" si="52">IF(C171=0,1,C171)*IF(E171=0,1,E171)*IF((F171+G171/12)=0,1,(F171+G171/12))*IF((H171+I171/12)=0,1,(H171+I171/12))*IF((J171+K171/12)=0,1,(J171+K171/12))</f>
        <v>24</v>
      </c>
      <c r="N171" s="486"/>
      <c r="O171" s="486"/>
      <c r="P171" s="487">
        <f>17.5-1.5*1</f>
        <v>16</v>
      </c>
    </row>
    <row r="172" spans="1:16" s="487" customFormat="1" ht="18" customHeight="1">
      <c r="A172" s="478"/>
      <c r="B172" s="336" t="s">
        <v>323</v>
      </c>
      <c r="C172" s="479">
        <f>1</f>
        <v>1</v>
      </c>
      <c r="D172" s="480" t="s">
        <v>87</v>
      </c>
      <c r="E172" s="724">
        <f>1</f>
        <v>1</v>
      </c>
      <c r="F172" s="482">
        <f>F133</f>
        <v>15</v>
      </c>
      <c r="G172" s="483">
        <f>G133</f>
        <v>9</v>
      </c>
      <c r="H172" s="484">
        <f>H173</f>
        <v>1</v>
      </c>
      <c r="I172" s="483">
        <f>I173</f>
        <v>0</v>
      </c>
      <c r="J172" s="749">
        <f>J173</f>
        <v>1</v>
      </c>
      <c r="K172" s="483">
        <f>K173</f>
        <v>6</v>
      </c>
      <c r="L172" s="500"/>
      <c r="M172" s="485">
        <f t="shared" si="52"/>
        <v>23.625</v>
      </c>
      <c r="N172" s="486"/>
      <c r="O172" s="486"/>
      <c r="P172" s="487">
        <f>17.5-1.5*1.17</f>
        <v>15.745000000000001</v>
      </c>
    </row>
    <row r="173" spans="1:16" s="487" customFormat="1" ht="18" customHeight="1">
      <c r="A173" s="478"/>
      <c r="B173" s="336" t="s">
        <v>265</v>
      </c>
      <c r="C173" s="479">
        <f>1</f>
        <v>1</v>
      </c>
      <c r="D173" s="480" t="s">
        <v>87</v>
      </c>
      <c r="E173" s="724">
        <f>1</f>
        <v>1</v>
      </c>
      <c r="F173" s="482">
        <f>F132</f>
        <v>14</v>
      </c>
      <c r="G173" s="483">
        <f>G132</f>
        <v>6</v>
      </c>
      <c r="H173" s="484">
        <f t="shared" ref="H173:K174" si="53">H171</f>
        <v>1</v>
      </c>
      <c r="I173" s="483">
        <f t="shared" si="53"/>
        <v>0</v>
      </c>
      <c r="J173" s="749">
        <f t="shared" si="53"/>
        <v>1</v>
      </c>
      <c r="K173" s="483">
        <f t="shared" si="53"/>
        <v>6</v>
      </c>
      <c r="L173" s="500"/>
      <c r="M173" s="485">
        <f t="shared" si="52"/>
        <v>21.75</v>
      </c>
      <c r="N173" s="486"/>
      <c r="O173" s="486"/>
      <c r="P173" s="487">
        <f>16-1.5*1</f>
        <v>14.5</v>
      </c>
    </row>
    <row r="174" spans="1:16" s="487" customFormat="1" ht="18" customHeight="1">
      <c r="A174" s="478"/>
      <c r="B174" s="336" t="s">
        <v>324</v>
      </c>
      <c r="C174" s="479">
        <f>1</f>
        <v>1</v>
      </c>
      <c r="D174" s="480" t="s">
        <v>87</v>
      </c>
      <c r="E174" s="724">
        <f>1</f>
        <v>1</v>
      </c>
      <c r="F174" s="482">
        <f t="shared" ref="F174:G174" si="54">F134</f>
        <v>14</v>
      </c>
      <c r="G174" s="483">
        <f t="shared" si="54"/>
        <v>5</v>
      </c>
      <c r="H174" s="484">
        <f t="shared" si="53"/>
        <v>1</v>
      </c>
      <c r="I174" s="483">
        <f t="shared" si="53"/>
        <v>0</v>
      </c>
      <c r="J174" s="749">
        <f t="shared" si="53"/>
        <v>1</v>
      </c>
      <c r="K174" s="483">
        <f t="shared" si="53"/>
        <v>6</v>
      </c>
      <c r="L174" s="500"/>
      <c r="M174" s="485">
        <f t="shared" si="52"/>
        <v>21.625</v>
      </c>
      <c r="N174" s="486"/>
      <c r="O174" s="486"/>
      <c r="P174" s="487">
        <f>16-1*1-0.5*1.17</f>
        <v>14.414999999999999</v>
      </c>
    </row>
    <row r="175" spans="1:16" ht="18" customHeight="1">
      <c r="A175" s="474"/>
      <c r="B175" s="494"/>
      <c r="C175" s="488"/>
      <c r="D175" s="489"/>
      <c r="E175" s="837">
        <f>C173*E173+C172*E172+C174*E174+C171*E171+C170*E170+C169*E169</f>
        <v>4</v>
      </c>
      <c r="F175" s="491"/>
      <c r="G175" s="496"/>
      <c r="H175" s="497"/>
      <c r="I175" s="496"/>
      <c r="K175" s="859" t="str">
        <f>B137</f>
        <v>(h) First  Floor  Beam</v>
      </c>
      <c r="L175" s="500"/>
      <c r="M175" s="486"/>
      <c r="N175" s="858">
        <f>SUM(M139:M174)</f>
        <v>386.93287037037032</v>
      </c>
      <c r="O175" s="835" t="s">
        <v>21</v>
      </c>
    </row>
    <row r="176" spans="1:16" s="487" customFormat="1" ht="18" customHeight="1">
      <c r="A176" s="478"/>
      <c r="B176" s="723" t="s">
        <v>326</v>
      </c>
      <c r="C176" s="479"/>
      <c r="D176" s="480"/>
      <c r="E176" s="724"/>
      <c r="F176" s="482"/>
      <c r="G176" s="483"/>
      <c r="H176" s="484"/>
      <c r="I176" s="483"/>
      <c r="J176" s="749"/>
      <c r="K176" s="483"/>
      <c r="L176" s="500"/>
      <c r="M176" s="485"/>
      <c r="N176" s="486"/>
      <c r="O176" s="486"/>
    </row>
    <row r="177" spans="1:16" s="487" customFormat="1" ht="18" customHeight="1">
      <c r="A177" s="478"/>
      <c r="B177" s="726" t="s">
        <v>327</v>
      </c>
      <c r="C177" s="479"/>
      <c r="D177" s="480"/>
      <c r="E177" s="724"/>
      <c r="F177" s="482"/>
      <c r="G177" s="483"/>
      <c r="H177" s="484"/>
      <c r="I177" s="483"/>
      <c r="J177" s="749"/>
      <c r="K177" s="483"/>
      <c r="L177" s="500"/>
      <c r="M177" s="485"/>
      <c r="N177" s="486"/>
      <c r="O177" s="486"/>
    </row>
    <row r="178" spans="1:16" s="487" customFormat="1" ht="18" customHeight="1">
      <c r="A178" s="478"/>
      <c r="B178" s="336" t="s">
        <v>309</v>
      </c>
      <c r="C178" s="479">
        <f>1</f>
        <v>1</v>
      </c>
      <c r="D178" s="480" t="s">
        <v>87</v>
      </c>
      <c r="E178" s="724">
        <v>1</v>
      </c>
      <c r="F178" s="482">
        <f>5</f>
        <v>5</v>
      </c>
      <c r="G178" s="483">
        <v>4</v>
      </c>
      <c r="H178" s="484">
        <f>0</f>
        <v>0</v>
      </c>
      <c r="I178" s="483">
        <v>10</v>
      </c>
      <c r="J178" s="749">
        <v>0</v>
      </c>
      <c r="K178" s="483">
        <v>10</v>
      </c>
      <c r="L178" s="500"/>
      <c r="M178" s="485">
        <f t="shared" ref="M178:M179" si="55">IF(C178=0,1,C178)*IF(E178=0,1,E178)*IF((F178+G178/12)=0,1,(F178+G178/12))*IF((H178+I178/12)=0,1,(H178+I178/12))*IF((J178+K178/12)=0,1,(J178+K178/12))</f>
        <v>3.7037037037037042</v>
      </c>
      <c r="N178" s="486"/>
      <c r="O178" s="486"/>
      <c r="P178" s="487">
        <f>6.33-1</f>
        <v>5.33</v>
      </c>
    </row>
    <row r="179" spans="1:16" s="487" customFormat="1" ht="18" customHeight="1">
      <c r="A179" s="478"/>
      <c r="B179" s="336" t="s">
        <v>311</v>
      </c>
      <c r="C179" s="479">
        <v>1</v>
      </c>
      <c r="D179" s="480" t="s">
        <v>87</v>
      </c>
      <c r="E179" s="724">
        <v>1</v>
      </c>
      <c r="F179" s="482">
        <v>8</v>
      </c>
      <c r="G179" s="483">
        <v>0</v>
      </c>
      <c r="H179" s="484">
        <f t="shared" ref="H179:K179" si="56">H178</f>
        <v>0</v>
      </c>
      <c r="I179" s="483">
        <f t="shared" si="56"/>
        <v>10</v>
      </c>
      <c r="J179" s="749">
        <f t="shared" si="56"/>
        <v>0</v>
      </c>
      <c r="K179" s="483">
        <f t="shared" si="56"/>
        <v>10</v>
      </c>
      <c r="L179" s="500"/>
      <c r="M179" s="485">
        <f t="shared" si="55"/>
        <v>5.5555555555555562</v>
      </c>
      <c r="N179" s="486"/>
      <c r="O179" s="486"/>
      <c r="P179" s="487">
        <f>9-1*1</f>
        <v>8</v>
      </c>
    </row>
    <row r="180" spans="1:16" ht="18" customHeight="1">
      <c r="A180" s="474"/>
      <c r="B180" s="494"/>
      <c r="C180" s="488"/>
      <c r="D180" s="489"/>
      <c r="E180" s="837">
        <f>C178*E178+C179*E179</f>
        <v>2</v>
      </c>
      <c r="F180" s="491"/>
      <c r="G180" s="496"/>
      <c r="H180" s="497"/>
      <c r="I180" s="496"/>
      <c r="J180" s="609"/>
      <c r="K180" s="496"/>
      <c r="L180" s="626"/>
      <c r="M180" s="475"/>
      <c r="N180" s="476"/>
      <c r="O180" s="476"/>
    </row>
    <row r="181" spans="1:16" s="487" customFormat="1" ht="18" customHeight="1">
      <c r="A181" s="478"/>
      <c r="B181" s="726" t="s">
        <v>328</v>
      </c>
      <c r="C181" s="479"/>
      <c r="D181" s="480"/>
      <c r="E181" s="724"/>
      <c r="F181" s="482"/>
      <c r="G181" s="483"/>
      <c r="H181" s="484"/>
      <c r="I181" s="483"/>
      <c r="J181" s="749"/>
      <c r="K181" s="483"/>
      <c r="L181" s="500"/>
      <c r="M181" s="485"/>
      <c r="N181" s="486"/>
      <c r="O181" s="486"/>
    </row>
    <row r="182" spans="1:16" s="487" customFormat="1" ht="18" customHeight="1">
      <c r="A182" s="478"/>
      <c r="B182" s="336" t="s">
        <v>329</v>
      </c>
      <c r="C182" s="479">
        <v>1</v>
      </c>
      <c r="D182" s="480" t="s">
        <v>87</v>
      </c>
      <c r="E182" s="724">
        <v>1</v>
      </c>
      <c r="F182" s="482">
        <v>15</v>
      </c>
      <c r="G182" s="483">
        <v>0</v>
      </c>
      <c r="H182" s="484">
        <f>0</f>
        <v>0</v>
      </c>
      <c r="I182" s="483">
        <v>10</v>
      </c>
      <c r="J182" s="749">
        <f>1</f>
        <v>1</v>
      </c>
      <c r="K182" s="483">
        <v>2</v>
      </c>
      <c r="L182" s="500"/>
      <c r="M182" s="485">
        <f t="shared" ref="M182:M186" si="57">IF(C182=0,1,C182)*IF(E182=0,1,E182)*IF((F182+G182/12)=0,1,(F182+G182/12))*IF((H182+I182/12)=0,1,(H182+I182/12))*IF((J182+K182/12)=0,1,(J182+K182/12))</f>
        <v>14.583333333333334</v>
      </c>
      <c r="N182" s="486"/>
      <c r="O182" s="486"/>
      <c r="P182" s="487">
        <f>16-1*1-0.5*1</f>
        <v>14.5</v>
      </c>
    </row>
    <row r="183" spans="1:16" s="487" customFormat="1" ht="18" customHeight="1">
      <c r="A183" s="478"/>
      <c r="B183" s="336" t="s">
        <v>330</v>
      </c>
      <c r="C183" s="479">
        <v>1</v>
      </c>
      <c r="D183" s="480" t="s">
        <v>87</v>
      </c>
      <c r="E183" s="724">
        <v>1</v>
      </c>
      <c r="F183" s="482">
        <v>27</v>
      </c>
      <c r="G183" s="483">
        <v>1</v>
      </c>
      <c r="H183" s="484">
        <f t="shared" ref="H183:K186" si="58">H182</f>
        <v>0</v>
      </c>
      <c r="I183" s="483">
        <f t="shared" si="58"/>
        <v>10</v>
      </c>
      <c r="J183" s="749">
        <f t="shared" si="58"/>
        <v>1</v>
      </c>
      <c r="K183" s="483">
        <f t="shared" si="58"/>
        <v>2</v>
      </c>
      <c r="L183" s="500"/>
      <c r="M183" s="485">
        <f t="shared" si="57"/>
        <v>26.331018518518519</v>
      </c>
      <c r="N183" s="486"/>
      <c r="O183" s="486"/>
      <c r="P183" s="487">
        <f>29.5-3*0.83</f>
        <v>27.01</v>
      </c>
    </row>
    <row r="184" spans="1:16" s="487" customFormat="1" ht="18" customHeight="1">
      <c r="A184" s="478"/>
      <c r="B184" s="336" t="s">
        <v>339</v>
      </c>
      <c r="C184" s="479">
        <v>1</v>
      </c>
      <c r="D184" s="480" t="s">
        <v>87</v>
      </c>
      <c r="E184" s="724">
        <v>3</v>
      </c>
      <c r="F184" s="482">
        <v>4</v>
      </c>
      <c r="G184" s="483">
        <v>0</v>
      </c>
      <c r="H184" s="484">
        <f t="shared" si="58"/>
        <v>0</v>
      </c>
      <c r="I184" s="483">
        <f t="shared" si="58"/>
        <v>10</v>
      </c>
      <c r="J184" s="749">
        <f t="shared" si="58"/>
        <v>1</v>
      </c>
      <c r="K184" s="483">
        <f t="shared" si="58"/>
        <v>2</v>
      </c>
      <c r="L184" s="500"/>
      <c r="M184" s="485">
        <f t="shared" si="57"/>
        <v>11.666666666666668</v>
      </c>
      <c r="N184" s="486"/>
      <c r="O184" s="486"/>
    </row>
    <row r="185" spans="1:16" s="487" customFormat="1" ht="18" customHeight="1">
      <c r="A185" s="478"/>
      <c r="B185" s="336" t="s">
        <v>340</v>
      </c>
      <c r="C185" s="479">
        <v>1</v>
      </c>
      <c r="D185" s="480" t="s">
        <v>87</v>
      </c>
      <c r="E185" s="724">
        <v>1</v>
      </c>
      <c r="F185" s="482">
        <v>14</v>
      </c>
      <c r="G185" s="483">
        <v>1</v>
      </c>
      <c r="H185" s="484">
        <f t="shared" si="58"/>
        <v>0</v>
      </c>
      <c r="I185" s="483">
        <f t="shared" si="58"/>
        <v>10</v>
      </c>
      <c r="J185" s="749">
        <f t="shared" si="58"/>
        <v>1</v>
      </c>
      <c r="K185" s="483">
        <f t="shared" si="58"/>
        <v>2</v>
      </c>
      <c r="L185" s="500"/>
      <c r="M185" s="485">
        <f t="shared" si="57"/>
        <v>13.692129629629632</v>
      </c>
      <c r="N185" s="486"/>
      <c r="O185" s="486"/>
      <c r="P185" s="487">
        <f>15.58-1.5*1</f>
        <v>14.08</v>
      </c>
    </row>
    <row r="186" spans="1:16" s="487" customFormat="1" ht="18" customHeight="1">
      <c r="A186" s="478"/>
      <c r="B186" s="336" t="s">
        <v>341</v>
      </c>
      <c r="C186" s="479">
        <v>1</v>
      </c>
      <c r="D186" s="480" t="s">
        <v>87</v>
      </c>
      <c r="E186" s="724">
        <v>1</v>
      </c>
      <c r="F186" s="482">
        <v>10</v>
      </c>
      <c r="G186" s="483">
        <v>5</v>
      </c>
      <c r="H186" s="484">
        <f t="shared" si="58"/>
        <v>0</v>
      </c>
      <c r="I186" s="483">
        <f t="shared" si="58"/>
        <v>10</v>
      </c>
      <c r="J186" s="749">
        <f t="shared" si="58"/>
        <v>1</v>
      </c>
      <c r="K186" s="483">
        <f t="shared" si="58"/>
        <v>2</v>
      </c>
      <c r="L186" s="500"/>
      <c r="M186" s="485">
        <f t="shared" si="57"/>
        <v>10.127314814814815</v>
      </c>
      <c r="N186" s="486"/>
      <c r="O186" s="486"/>
      <c r="P186" s="487">
        <f>11.92-1.5*1</f>
        <v>10.42</v>
      </c>
    </row>
    <row r="187" spans="1:16" ht="18" customHeight="1">
      <c r="A187" s="474"/>
      <c r="B187" s="494"/>
      <c r="C187" s="488"/>
      <c r="D187" s="489"/>
      <c r="E187" s="837">
        <f>+C182*E182+C183*E183+C184*E184+C185*E185+C186*E186</f>
        <v>7</v>
      </c>
      <c r="F187" s="491"/>
      <c r="G187" s="496"/>
      <c r="H187" s="497"/>
      <c r="I187" s="496"/>
      <c r="J187" s="609"/>
      <c r="K187" s="496"/>
      <c r="L187" s="626"/>
      <c r="M187" s="475"/>
      <c r="N187" s="476"/>
      <c r="O187" s="476"/>
    </row>
    <row r="188" spans="1:16" s="487" customFormat="1" ht="18" customHeight="1">
      <c r="A188" s="478"/>
      <c r="B188" s="726" t="s">
        <v>331</v>
      </c>
      <c r="C188" s="479"/>
      <c r="D188" s="480"/>
      <c r="E188" s="724"/>
      <c r="F188" s="482"/>
      <c r="G188" s="483"/>
      <c r="H188" s="484"/>
      <c r="I188" s="483"/>
      <c r="J188" s="749"/>
      <c r="K188" s="483"/>
      <c r="L188" s="500"/>
      <c r="M188" s="485"/>
      <c r="N188" s="486"/>
      <c r="O188" s="486"/>
    </row>
    <row r="189" spans="1:16" s="487" customFormat="1" ht="18" customHeight="1">
      <c r="A189" s="478"/>
      <c r="B189" s="336" t="s">
        <v>332</v>
      </c>
      <c r="C189" s="479">
        <v>1</v>
      </c>
      <c r="D189" s="480" t="s">
        <v>87</v>
      </c>
      <c r="E189" s="724">
        <v>1</v>
      </c>
      <c r="F189" s="482">
        <f>F160</f>
        <v>14</v>
      </c>
      <c r="G189" s="483">
        <f>G160</f>
        <v>0</v>
      </c>
      <c r="H189" s="484">
        <f>1</f>
        <v>1</v>
      </c>
      <c r="I189" s="483">
        <v>0</v>
      </c>
      <c r="J189" s="749">
        <v>1</v>
      </c>
      <c r="K189" s="483">
        <v>2</v>
      </c>
      <c r="L189" s="500"/>
      <c r="M189" s="485">
        <f t="shared" ref="M189:M193" si="59">IF(C189=0,1,C189)*IF(E189=0,1,E189)*IF((F189+G189/12)=0,1,(F189+G189/12))*IF((H189+I189/12)=0,1,(H189+I189/12))*IF((J189+K189/12)=0,1,(J189+K189/12))</f>
        <v>16.333333333333336</v>
      </c>
      <c r="N189" s="486"/>
      <c r="O189" s="486"/>
      <c r="P189" s="487">
        <f>15.58-1*1-0.5*1.17</f>
        <v>13.995000000000001</v>
      </c>
    </row>
    <row r="190" spans="1:16" s="487" customFormat="1" ht="18" customHeight="1">
      <c r="A190" s="478"/>
      <c r="B190" s="336" t="s">
        <v>333</v>
      </c>
      <c r="C190" s="479">
        <v>1</v>
      </c>
      <c r="D190" s="480" t="s">
        <v>87</v>
      </c>
      <c r="E190" s="724">
        <v>2</v>
      </c>
      <c r="F190" s="482">
        <f>F161</f>
        <v>14</v>
      </c>
      <c r="G190" s="483">
        <f>G161</f>
        <v>1</v>
      </c>
      <c r="H190" s="484">
        <f t="shared" ref="H190:K193" si="60">H189</f>
        <v>1</v>
      </c>
      <c r="I190" s="483">
        <f t="shared" si="60"/>
        <v>0</v>
      </c>
      <c r="J190" s="749">
        <f t="shared" si="60"/>
        <v>1</v>
      </c>
      <c r="K190" s="483">
        <f t="shared" si="60"/>
        <v>2</v>
      </c>
      <c r="L190" s="500"/>
      <c r="M190" s="485">
        <f t="shared" si="59"/>
        <v>32.861111111111114</v>
      </c>
      <c r="N190" s="486"/>
      <c r="O190" s="486"/>
      <c r="P190" s="487">
        <f>15.58-1.5*1</f>
        <v>14.08</v>
      </c>
    </row>
    <row r="191" spans="1:16" s="487" customFormat="1" ht="18" customHeight="1">
      <c r="A191" s="478"/>
      <c r="B191" s="336" t="s">
        <v>334</v>
      </c>
      <c r="C191" s="479">
        <v>1</v>
      </c>
      <c r="D191" s="480" t="s">
        <v>87</v>
      </c>
      <c r="E191" s="724">
        <v>1</v>
      </c>
      <c r="F191" s="482">
        <f>7</f>
        <v>7</v>
      </c>
      <c r="G191" s="483">
        <v>11</v>
      </c>
      <c r="H191" s="484">
        <f t="shared" si="60"/>
        <v>1</v>
      </c>
      <c r="I191" s="483">
        <f t="shared" si="60"/>
        <v>0</v>
      </c>
      <c r="J191" s="749">
        <f t="shared" si="60"/>
        <v>1</v>
      </c>
      <c r="K191" s="483">
        <f t="shared" si="60"/>
        <v>2</v>
      </c>
      <c r="L191" s="500"/>
      <c r="M191" s="485">
        <f t="shared" si="59"/>
        <v>9.2361111111111125</v>
      </c>
      <c r="N191" s="486"/>
      <c r="O191" s="486"/>
      <c r="P191" s="487">
        <f>9-0.5*1.17-0.5*1</f>
        <v>7.9149999999999991</v>
      </c>
    </row>
    <row r="192" spans="1:16" s="487" customFormat="1" ht="18" customHeight="1">
      <c r="A192" s="478"/>
      <c r="B192" s="336" t="s">
        <v>335</v>
      </c>
      <c r="C192" s="479">
        <v>1</v>
      </c>
      <c r="D192" s="480" t="s">
        <v>87</v>
      </c>
      <c r="E192" s="724">
        <v>2</v>
      </c>
      <c r="F192" s="482">
        <v>8</v>
      </c>
      <c r="G192" s="483">
        <v>0</v>
      </c>
      <c r="H192" s="484">
        <f t="shared" si="60"/>
        <v>1</v>
      </c>
      <c r="I192" s="483">
        <f t="shared" si="60"/>
        <v>0</v>
      </c>
      <c r="J192" s="749">
        <f t="shared" si="60"/>
        <v>1</v>
      </c>
      <c r="K192" s="483">
        <f t="shared" si="60"/>
        <v>2</v>
      </c>
      <c r="L192" s="500"/>
      <c r="M192" s="485">
        <f t="shared" si="59"/>
        <v>18.666666666666668</v>
      </c>
      <c r="N192" s="486"/>
      <c r="O192" s="486"/>
      <c r="P192" s="487">
        <f>9-1*1</f>
        <v>8</v>
      </c>
    </row>
    <row r="193" spans="1:16" s="487" customFormat="1" ht="18" customHeight="1">
      <c r="A193" s="478"/>
      <c r="B193" s="336" t="s">
        <v>342</v>
      </c>
      <c r="C193" s="479">
        <v>1</v>
      </c>
      <c r="D193" s="480" t="s">
        <v>87</v>
      </c>
      <c r="E193" s="724">
        <v>3</v>
      </c>
      <c r="F193" s="482">
        <v>10</v>
      </c>
      <c r="G193" s="483">
        <v>5</v>
      </c>
      <c r="H193" s="484">
        <f t="shared" si="60"/>
        <v>1</v>
      </c>
      <c r="I193" s="483">
        <f t="shared" si="60"/>
        <v>0</v>
      </c>
      <c r="J193" s="749">
        <f t="shared" si="60"/>
        <v>1</v>
      </c>
      <c r="K193" s="483">
        <f t="shared" si="60"/>
        <v>2</v>
      </c>
      <c r="L193" s="500"/>
      <c r="M193" s="485">
        <f t="shared" si="59"/>
        <v>36.458333333333336</v>
      </c>
      <c r="N193" s="486"/>
      <c r="O193" s="486"/>
      <c r="P193" s="487">
        <f>11.92-1.5*1</f>
        <v>10.42</v>
      </c>
    </row>
    <row r="194" spans="1:16" ht="18" customHeight="1">
      <c r="A194" s="474"/>
      <c r="B194" s="494"/>
      <c r="C194" s="488"/>
      <c r="D194" s="489"/>
      <c r="E194" s="837">
        <f>C192*E192+C191*E191+C193*E193+C190*E190+C189*E189</f>
        <v>9</v>
      </c>
      <c r="F194" s="491"/>
      <c r="G194" s="496"/>
      <c r="H194" s="497"/>
      <c r="I194" s="496"/>
      <c r="J194" s="609"/>
      <c r="K194" s="496"/>
      <c r="L194" s="626"/>
      <c r="M194" s="475"/>
      <c r="N194" s="476"/>
      <c r="O194" s="476"/>
    </row>
    <row r="195" spans="1:16" s="487" customFormat="1" ht="18" customHeight="1">
      <c r="A195" s="478"/>
      <c r="B195" s="726" t="s">
        <v>336</v>
      </c>
      <c r="C195" s="479"/>
      <c r="D195" s="480"/>
      <c r="E195" s="724"/>
      <c r="F195" s="482"/>
      <c r="G195" s="483"/>
      <c r="H195" s="484"/>
      <c r="I195" s="483"/>
      <c r="J195" s="749"/>
      <c r="K195" s="483"/>
      <c r="L195" s="500"/>
      <c r="M195" s="485"/>
      <c r="N195" s="486"/>
      <c r="O195" s="486"/>
    </row>
    <row r="196" spans="1:16" s="487" customFormat="1" ht="18" customHeight="1">
      <c r="A196" s="478"/>
      <c r="B196" s="336" t="s">
        <v>337</v>
      </c>
      <c r="C196" s="479">
        <v>1</v>
      </c>
      <c r="D196" s="480" t="s">
        <v>87</v>
      </c>
      <c r="E196" s="724">
        <v>3</v>
      </c>
      <c r="F196" s="482">
        <f>16</f>
        <v>16</v>
      </c>
      <c r="G196" s="483">
        <v>0</v>
      </c>
      <c r="H196" s="484">
        <f>1</f>
        <v>1</v>
      </c>
      <c r="I196" s="483">
        <v>0</v>
      </c>
      <c r="J196" s="749">
        <v>1</v>
      </c>
      <c r="K196" s="483">
        <v>4</v>
      </c>
      <c r="L196" s="500"/>
      <c r="M196" s="485">
        <f t="shared" ref="M196:M198" si="61">IF(C196=0,1,C196)*IF(E196=0,1,E196)*IF((F196+G196/12)=0,1,(F196+G196/12))*IF((H196+I196/12)=0,1,(H196+I196/12))*IF((J196+K196/12)=0,1,(J196+K196/12))</f>
        <v>64</v>
      </c>
      <c r="N196" s="486"/>
      <c r="O196" s="486"/>
      <c r="P196" s="487">
        <f>17.5-1.5*1</f>
        <v>16</v>
      </c>
    </row>
    <row r="197" spans="1:16" s="487" customFormat="1" ht="18" customHeight="1">
      <c r="A197" s="478"/>
      <c r="B197" s="336" t="s">
        <v>323</v>
      </c>
      <c r="C197" s="479">
        <f>1</f>
        <v>1</v>
      </c>
      <c r="D197" s="480" t="s">
        <v>87</v>
      </c>
      <c r="E197" s="724">
        <f>1</f>
        <v>1</v>
      </c>
      <c r="F197" s="482">
        <v>15</v>
      </c>
      <c r="G197" s="483">
        <v>10</v>
      </c>
      <c r="H197" s="484">
        <f t="shared" ref="H197:K198" si="62">H196</f>
        <v>1</v>
      </c>
      <c r="I197" s="483">
        <f t="shared" si="62"/>
        <v>0</v>
      </c>
      <c r="J197" s="749">
        <f t="shared" si="62"/>
        <v>1</v>
      </c>
      <c r="K197" s="483">
        <f t="shared" si="62"/>
        <v>4</v>
      </c>
      <c r="L197" s="500"/>
      <c r="M197" s="485">
        <f t="shared" si="61"/>
        <v>21.111111111111111</v>
      </c>
      <c r="N197" s="486"/>
      <c r="O197" s="486"/>
      <c r="P197" s="487">
        <f>17.5-0.5*1-1*1.17</f>
        <v>15.83</v>
      </c>
    </row>
    <row r="198" spans="1:16" s="487" customFormat="1" ht="18" customHeight="1">
      <c r="A198" s="478"/>
      <c r="B198" s="336" t="s">
        <v>338</v>
      </c>
      <c r="C198" s="479">
        <v>1</v>
      </c>
      <c r="D198" s="480" t="s">
        <v>87</v>
      </c>
      <c r="E198" s="724">
        <v>4</v>
      </c>
      <c r="F198" s="482">
        <v>14</v>
      </c>
      <c r="G198" s="483">
        <v>6</v>
      </c>
      <c r="H198" s="484">
        <f t="shared" si="62"/>
        <v>1</v>
      </c>
      <c r="I198" s="483">
        <f t="shared" si="62"/>
        <v>0</v>
      </c>
      <c r="J198" s="749">
        <f t="shared" si="62"/>
        <v>1</v>
      </c>
      <c r="K198" s="483">
        <f t="shared" si="62"/>
        <v>4</v>
      </c>
      <c r="L198" s="500"/>
      <c r="M198" s="485">
        <f t="shared" si="61"/>
        <v>77.333333333333329</v>
      </c>
      <c r="N198" s="486"/>
      <c r="O198" s="486"/>
      <c r="P198" s="487">
        <f>16-1.5*1</f>
        <v>14.5</v>
      </c>
    </row>
    <row r="199" spans="1:16" ht="18" customHeight="1">
      <c r="A199" s="474"/>
      <c r="B199" s="494"/>
      <c r="C199" s="488"/>
      <c r="D199" s="489"/>
      <c r="E199" s="837">
        <f>C196*E196+C197*E197+C198*E198</f>
        <v>8</v>
      </c>
      <c r="F199" s="491"/>
      <c r="G199" s="496"/>
      <c r="H199" s="497"/>
      <c r="I199" s="496"/>
      <c r="J199" s="609"/>
      <c r="K199" s="860" t="str">
        <f>B176</f>
        <v>(i) Second  Floor  Beam</v>
      </c>
      <c r="L199" s="500"/>
      <c r="M199" s="486"/>
      <c r="N199" s="858">
        <f>SUM(M178:M199)</f>
        <v>361.65972222222223</v>
      </c>
      <c r="O199" s="835" t="s">
        <v>21</v>
      </c>
    </row>
    <row r="200" spans="1:16" ht="18" customHeight="1">
      <c r="A200" s="474"/>
      <c r="B200" s="494"/>
      <c r="C200" s="488"/>
      <c r="D200" s="489"/>
      <c r="E200" s="495"/>
      <c r="F200" s="491"/>
      <c r="G200" s="496"/>
      <c r="H200" s="497"/>
      <c r="I200" s="496"/>
      <c r="J200" s="609"/>
      <c r="K200" s="496"/>
      <c r="L200" s="626"/>
      <c r="M200" s="475"/>
      <c r="N200" s="476"/>
      <c r="O200" s="476"/>
    </row>
    <row r="201" spans="1:16" s="487" customFormat="1" ht="18" customHeight="1">
      <c r="A201" s="478"/>
      <c r="B201" s="723" t="s">
        <v>343</v>
      </c>
      <c r="C201" s="479"/>
      <c r="D201" s="480"/>
      <c r="E201" s="724"/>
      <c r="F201" s="482"/>
      <c r="G201" s="483"/>
      <c r="H201" s="484"/>
      <c r="I201" s="483"/>
      <c r="J201" s="749"/>
      <c r="K201" s="483"/>
      <c r="L201" s="500"/>
      <c r="M201" s="485"/>
      <c r="N201" s="486"/>
      <c r="O201" s="486"/>
    </row>
    <row r="202" spans="1:16" s="487" customFormat="1" ht="18" customHeight="1">
      <c r="A202" s="478"/>
      <c r="B202" s="726" t="s">
        <v>344</v>
      </c>
      <c r="C202" s="479"/>
      <c r="D202" s="480"/>
      <c r="E202" s="724"/>
      <c r="F202" s="482"/>
      <c r="G202" s="483"/>
      <c r="H202" s="484"/>
      <c r="I202" s="483"/>
      <c r="J202" s="749"/>
      <c r="K202" s="483"/>
      <c r="L202" s="500"/>
      <c r="M202" s="485"/>
      <c r="N202" s="486"/>
      <c r="O202" s="486"/>
    </row>
    <row r="203" spans="1:16" s="487" customFormat="1" ht="18" customHeight="1">
      <c r="A203" s="478"/>
      <c r="B203" s="336" t="s">
        <v>309</v>
      </c>
      <c r="C203" s="479">
        <v>1</v>
      </c>
      <c r="D203" s="480" t="s">
        <v>87</v>
      </c>
      <c r="E203" s="724">
        <v>1</v>
      </c>
      <c r="F203" s="482">
        <v>5</v>
      </c>
      <c r="G203" s="483">
        <v>4</v>
      </c>
      <c r="H203" s="484">
        <f>0</f>
        <v>0</v>
      </c>
      <c r="I203" s="483">
        <v>10</v>
      </c>
      <c r="J203" s="749">
        <v>0</v>
      </c>
      <c r="K203" s="483">
        <v>10</v>
      </c>
      <c r="L203" s="500"/>
      <c r="M203" s="485">
        <f>IF(C203=0,1,C203)*IF(E203=0,1,E203)*IF((F203+G203/12)=0,1,(F203+G203/12))*IF((H203+I203/12)=0,1,(H203+I203/12))*IF((J203+K203/12)=0,1,(J203+K203/12))</f>
        <v>3.7037037037037042</v>
      </c>
      <c r="N203" s="486"/>
      <c r="O203" s="486"/>
      <c r="P203" s="487">
        <f>6.33-1*1</f>
        <v>5.33</v>
      </c>
    </row>
    <row r="204" spans="1:16" ht="18" customHeight="1">
      <c r="A204" s="474"/>
      <c r="B204" s="494"/>
      <c r="C204" s="488"/>
      <c r="D204" s="489"/>
      <c r="E204" s="837">
        <f>C203*E203</f>
        <v>1</v>
      </c>
      <c r="F204" s="491"/>
      <c r="G204" s="496"/>
      <c r="H204" s="497"/>
      <c r="I204" s="496"/>
      <c r="J204" s="609"/>
      <c r="K204" s="496"/>
      <c r="L204" s="626"/>
      <c r="M204" s="475"/>
      <c r="N204" s="476"/>
      <c r="O204" s="476"/>
    </row>
    <row r="205" spans="1:16" s="487" customFormat="1" ht="18" customHeight="1">
      <c r="A205" s="478"/>
      <c r="B205" s="726" t="s">
        <v>345</v>
      </c>
      <c r="C205" s="479"/>
      <c r="D205" s="480"/>
      <c r="E205" s="724"/>
      <c r="F205" s="482"/>
      <c r="G205" s="483"/>
      <c r="H205" s="484"/>
      <c r="I205" s="483"/>
      <c r="J205" s="749"/>
      <c r="K205" s="483"/>
      <c r="L205" s="500"/>
      <c r="M205" s="485"/>
      <c r="N205" s="486"/>
      <c r="O205" s="486"/>
    </row>
    <row r="206" spans="1:16" ht="18" customHeight="1">
      <c r="A206" s="474"/>
      <c r="B206" s="336" t="s">
        <v>302</v>
      </c>
      <c r="C206" s="479">
        <v>1</v>
      </c>
      <c r="D206" s="480" t="s">
        <v>87</v>
      </c>
      <c r="E206" s="724">
        <v>1</v>
      </c>
      <c r="F206" s="482">
        <v>16</v>
      </c>
      <c r="G206" s="483">
        <v>0</v>
      </c>
      <c r="H206" s="484">
        <f>0</f>
        <v>0</v>
      </c>
      <c r="I206" s="483">
        <v>10</v>
      </c>
      <c r="J206" s="749">
        <f>1</f>
        <v>1</v>
      </c>
      <c r="K206" s="483">
        <v>2</v>
      </c>
      <c r="L206" s="500"/>
      <c r="M206" s="485">
        <f t="shared" ref="M206:M210" si="63">IF(C206=0,1,C206)*IF(E206=0,1,E206)*IF((F206+G206/12)=0,1,(F206+G206/12))*IF((H206+I206/12)=0,1,(H206+I206/12))*IF((J206+K206/12)=0,1,(J206+K206/12))</f>
        <v>15.555555555555557</v>
      </c>
      <c r="N206" s="476"/>
      <c r="O206" s="476"/>
      <c r="P206" s="487">
        <f>17.5-1.5*1</f>
        <v>16</v>
      </c>
    </row>
    <row r="207" spans="1:16" ht="18" customHeight="1">
      <c r="A207" s="474"/>
      <c r="B207" s="336" t="s">
        <v>633</v>
      </c>
      <c r="C207" s="479">
        <v>1</v>
      </c>
      <c r="D207" s="480" t="s">
        <v>87</v>
      </c>
      <c r="E207" s="724">
        <v>1</v>
      </c>
      <c r="F207" s="482">
        <v>27</v>
      </c>
      <c r="G207" s="483">
        <v>1</v>
      </c>
      <c r="H207" s="484">
        <f t="shared" ref="H207:K208" si="64">H206</f>
        <v>0</v>
      </c>
      <c r="I207" s="483">
        <f t="shared" si="64"/>
        <v>10</v>
      </c>
      <c r="J207" s="749">
        <f t="shared" si="64"/>
        <v>1</v>
      </c>
      <c r="K207" s="483">
        <f t="shared" si="64"/>
        <v>2</v>
      </c>
      <c r="L207" s="500"/>
      <c r="M207" s="485">
        <f t="shared" si="63"/>
        <v>26.331018518518519</v>
      </c>
      <c r="N207" s="607"/>
      <c r="O207" s="607"/>
      <c r="P207" s="487">
        <f>29.5-3*0.83</f>
        <v>27.01</v>
      </c>
    </row>
    <row r="208" spans="1:16" ht="18" customHeight="1">
      <c r="A208" s="474"/>
      <c r="B208" s="336" t="s">
        <v>634</v>
      </c>
      <c r="C208" s="479">
        <v>1</v>
      </c>
      <c r="D208" s="480" t="s">
        <v>87</v>
      </c>
      <c r="E208" s="724">
        <v>2</v>
      </c>
      <c r="F208" s="482">
        <v>14</v>
      </c>
      <c r="G208" s="483">
        <v>6</v>
      </c>
      <c r="H208" s="484">
        <f t="shared" si="64"/>
        <v>0</v>
      </c>
      <c r="I208" s="483">
        <f t="shared" si="64"/>
        <v>10</v>
      </c>
      <c r="J208" s="749">
        <f t="shared" si="64"/>
        <v>1</v>
      </c>
      <c r="K208" s="483">
        <f t="shared" si="64"/>
        <v>2</v>
      </c>
      <c r="L208" s="500"/>
      <c r="M208" s="485">
        <f t="shared" si="63"/>
        <v>28.194444444444446</v>
      </c>
      <c r="N208" s="607"/>
      <c r="O208" s="607"/>
      <c r="P208" s="487">
        <f>16-1.5*1</f>
        <v>14.5</v>
      </c>
    </row>
    <row r="209" spans="1:16" ht="18" customHeight="1">
      <c r="A209" s="474"/>
      <c r="B209" s="336" t="s">
        <v>311</v>
      </c>
      <c r="C209" s="479">
        <v>1</v>
      </c>
      <c r="D209" s="480" t="s">
        <v>87</v>
      </c>
      <c r="E209" s="724">
        <v>1</v>
      </c>
      <c r="F209" s="482">
        <v>8</v>
      </c>
      <c r="G209" s="483">
        <v>0</v>
      </c>
      <c r="H209" s="484">
        <f t="shared" ref="H209" si="65">H208</f>
        <v>0</v>
      </c>
      <c r="I209" s="483">
        <f t="shared" ref="I209" si="66">I208</f>
        <v>10</v>
      </c>
      <c r="J209" s="749">
        <f t="shared" ref="J209" si="67">J208</f>
        <v>1</v>
      </c>
      <c r="K209" s="483">
        <f t="shared" ref="K209" si="68">K208</f>
        <v>2</v>
      </c>
      <c r="L209" s="500"/>
      <c r="M209" s="485">
        <f t="shared" si="63"/>
        <v>7.7777777777777786</v>
      </c>
      <c r="N209" s="607"/>
      <c r="O209" s="607"/>
      <c r="P209" s="487">
        <f>9-1*1</f>
        <v>8</v>
      </c>
    </row>
    <row r="210" spans="1:16" ht="18" customHeight="1">
      <c r="A210" s="474"/>
      <c r="B210" s="336" t="s">
        <v>351</v>
      </c>
      <c r="C210" s="479">
        <v>1</v>
      </c>
      <c r="D210" s="480" t="s">
        <v>87</v>
      </c>
      <c r="E210" s="724">
        <v>3</v>
      </c>
      <c r="F210" s="482">
        <v>3</v>
      </c>
      <c r="G210" s="483">
        <v>1</v>
      </c>
      <c r="H210" s="484">
        <f t="shared" ref="H210" si="69">H209</f>
        <v>0</v>
      </c>
      <c r="I210" s="483">
        <f t="shared" ref="I210" si="70">I209</f>
        <v>10</v>
      </c>
      <c r="J210" s="749">
        <f t="shared" ref="J210" si="71">J209</f>
        <v>1</v>
      </c>
      <c r="K210" s="483">
        <f t="shared" ref="K210" si="72">K209</f>
        <v>2</v>
      </c>
      <c r="L210" s="500"/>
      <c r="M210" s="485">
        <f t="shared" si="63"/>
        <v>8.9930555555555571</v>
      </c>
      <c r="N210" s="607"/>
      <c r="O210" s="607"/>
      <c r="P210" s="487">
        <f>3.58-0.5*1</f>
        <v>3.08</v>
      </c>
    </row>
    <row r="211" spans="1:16" ht="18" customHeight="1">
      <c r="A211" s="474"/>
      <c r="B211" s="494"/>
      <c r="C211" s="488"/>
      <c r="D211" s="489"/>
      <c r="E211" s="837">
        <f>+C206*E206+C207*E207+C208*E208+C209*E209+C210*E210</f>
        <v>8</v>
      </c>
      <c r="F211" s="491"/>
      <c r="G211" s="496"/>
      <c r="H211" s="497"/>
      <c r="I211" s="496"/>
      <c r="J211" s="609"/>
      <c r="K211" s="496"/>
      <c r="L211" s="626"/>
      <c r="M211" s="475"/>
      <c r="N211" s="607"/>
      <c r="O211" s="607"/>
    </row>
    <row r="212" spans="1:16" s="487" customFormat="1" ht="18" customHeight="1">
      <c r="A212" s="478"/>
      <c r="B212" s="726" t="s">
        <v>347</v>
      </c>
      <c r="C212" s="479"/>
      <c r="D212" s="480"/>
      <c r="E212" s="724"/>
      <c r="F212" s="482"/>
      <c r="G212" s="483"/>
      <c r="H212" s="484"/>
      <c r="I212" s="483"/>
      <c r="J212" s="749"/>
      <c r="K212" s="483"/>
      <c r="L212" s="500"/>
      <c r="M212" s="485"/>
      <c r="N212" s="546"/>
      <c r="O212" s="546"/>
    </row>
    <row r="213" spans="1:16" s="487" customFormat="1" ht="18" customHeight="1">
      <c r="A213" s="478"/>
      <c r="B213" s="336" t="s">
        <v>348</v>
      </c>
      <c r="C213" s="479">
        <v>1</v>
      </c>
      <c r="D213" s="480" t="s">
        <v>87</v>
      </c>
      <c r="E213" s="724">
        <v>3</v>
      </c>
      <c r="F213" s="482">
        <f>F190</f>
        <v>14</v>
      </c>
      <c r="G213" s="483">
        <f>G190</f>
        <v>1</v>
      </c>
      <c r="H213" s="484">
        <v>1</v>
      </c>
      <c r="I213" s="483">
        <v>0</v>
      </c>
      <c r="J213" s="749">
        <f>1</f>
        <v>1</v>
      </c>
      <c r="K213" s="483">
        <v>2</v>
      </c>
      <c r="L213" s="500"/>
      <c r="M213" s="485">
        <f t="shared" ref="M213:M214" si="73">IF(C213=0,1,C213)*IF(E213=0,1,E213)*IF((F213+G213/12)=0,1,(F213+G213/12))*IF((H213+I213/12)=0,1,(H213+I213/12))*IF((J213+K213/12)=0,1,(J213+K213/12))</f>
        <v>49.291666666666671</v>
      </c>
      <c r="N213" s="546"/>
      <c r="O213" s="546"/>
      <c r="P213" s="487">
        <f>15.58-1.5*1</f>
        <v>14.08</v>
      </c>
    </row>
    <row r="214" spans="1:16" s="487" customFormat="1" ht="18" customHeight="1">
      <c r="A214" s="478"/>
      <c r="B214" s="336" t="s">
        <v>300</v>
      </c>
      <c r="C214" s="479">
        <v>1</v>
      </c>
      <c r="D214" s="480" t="s">
        <v>87</v>
      </c>
      <c r="E214" s="724">
        <v>2</v>
      </c>
      <c r="F214" s="482">
        <f>F192</f>
        <v>8</v>
      </c>
      <c r="G214" s="483">
        <f>G192</f>
        <v>0</v>
      </c>
      <c r="H214" s="484">
        <f t="shared" ref="H214" si="74">H213</f>
        <v>1</v>
      </c>
      <c r="I214" s="483">
        <f t="shared" ref="I214" si="75">I213</f>
        <v>0</v>
      </c>
      <c r="J214" s="749">
        <f t="shared" ref="J214" si="76">J213</f>
        <v>1</v>
      </c>
      <c r="K214" s="483">
        <f t="shared" ref="K214" si="77">K213</f>
        <v>2</v>
      </c>
      <c r="L214" s="500"/>
      <c r="M214" s="485">
        <f t="shared" si="73"/>
        <v>18.666666666666668</v>
      </c>
      <c r="N214" s="546"/>
      <c r="O214" s="546"/>
      <c r="P214" s="487">
        <f>9-1*1</f>
        <v>8</v>
      </c>
    </row>
    <row r="215" spans="1:16" ht="18" customHeight="1">
      <c r="A215" s="474"/>
      <c r="B215" s="494"/>
      <c r="C215" s="488"/>
      <c r="D215" s="489"/>
      <c r="E215" s="837">
        <f>C213*E213+C214*E214</f>
        <v>5</v>
      </c>
      <c r="F215" s="491"/>
      <c r="G215" s="496"/>
      <c r="H215" s="497"/>
      <c r="I215" s="496"/>
      <c r="J215" s="609"/>
      <c r="K215" s="496"/>
      <c r="L215" s="626"/>
      <c r="M215" s="475"/>
      <c r="N215" s="607"/>
      <c r="O215" s="607"/>
    </row>
    <row r="216" spans="1:16" s="487" customFormat="1" ht="18" customHeight="1">
      <c r="A216" s="478"/>
      <c r="B216" s="726" t="s">
        <v>349</v>
      </c>
      <c r="C216" s="479"/>
      <c r="D216" s="480"/>
      <c r="E216" s="724"/>
      <c r="F216" s="482"/>
      <c r="G216" s="483"/>
      <c r="H216" s="484"/>
      <c r="I216" s="483"/>
      <c r="J216" s="749"/>
      <c r="K216" s="483"/>
      <c r="L216" s="500"/>
      <c r="M216" s="485"/>
      <c r="N216" s="546"/>
      <c r="O216" s="546"/>
    </row>
    <row r="217" spans="1:16" s="487" customFormat="1" ht="18" customHeight="1">
      <c r="A217" s="478"/>
      <c r="B217" s="336" t="s">
        <v>264</v>
      </c>
      <c r="C217" s="479">
        <v>1</v>
      </c>
      <c r="D217" s="480" t="s">
        <v>87</v>
      </c>
      <c r="E217" s="724">
        <v>1</v>
      </c>
      <c r="F217" s="482">
        <f xml:space="preserve"> F196</f>
        <v>16</v>
      </c>
      <c r="G217" s="483">
        <f>G196</f>
        <v>0</v>
      </c>
      <c r="H217" s="484">
        <v>1</v>
      </c>
      <c r="I217" s="483">
        <v>0</v>
      </c>
      <c r="J217" s="749">
        <v>1</v>
      </c>
      <c r="K217" s="483">
        <v>4</v>
      </c>
      <c r="L217" s="500"/>
      <c r="M217" s="485">
        <f t="shared" ref="M217:M218" si="78">IF(C217=0,1,C217)*IF(E217=0,1,E217)*IF((F217+G217/12)=0,1,(F217+G217/12))*IF((H217+I217/12)=0,1,(H217+I217/12))*IF((J217+K217/12)=0,1,(J217+K217/12))</f>
        <v>21.333333333333332</v>
      </c>
      <c r="N217" s="546"/>
      <c r="O217" s="546"/>
      <c r="P217" s="487">
        <f>17.5-1.5*1</f>
        <v>16</v>
      </c>
    </row>
    <row r="218" spans="1:16" s="487" customFormat="1" ht="18" customHeight="1">
      <c r="A218" s="478"/>
      <c r="B218" s="336" t="s">
        <v>265</v>
      </c>
      <c r="C218" s="479">
        <v>1</v>
      </c>
      <c r="D218" s="480" t="s">
        <v>87</v>
      </c>
      <c r="E218" s="724">
        <v>1</v>
      </c>
      <c r="F218" s="482">
        <f>F198</f>
        <v>14</v>
      </c>
      <c r="G218" s="483">
        <f>G198</f>
        <v>6</v>
      </c>
      <c r="H218" s="484">
        <f t="shared" ref="H218" si="79">H217</f>
        <v>1</v>
      </c>
      <c r="I218" s="483">
        <f t="shared" ref="I218" si="80">I217</f>
        <v>0</v>
      </c>
      <c r="J218" s="749">
        <f t="shared" ref="J218" si="81">J217</f>
        <v>1</v>
      </c>
      <c r="K218" s="483">
        <f t="shared" ref="K218" si="82">K217</f>
        <v>4</v>
      </c>
      <c r="L218" s="500"/>
      <c r="M218" s="485">
        <f t="shared" si="78"/>
        <v>19.333333333333332</v>
      </c>
      <c r="N218" s="546"/>
      <c r="O218" s="546"/>
      <c r="P218" s="487">
        <f>16-1.5*1</f>
        <v>14.5</v>
      </c>
    </row>
    <row r="219" spans="1:16" ht="18" customHeight="1">
      <c r="A219" s="474"/>
      <c r="B219" s="494"/>
      <c r="C219" s="488"/>
      <c r="D219" s="864"/>
      <c r="E219" s="837">
        <f>C217*E217+C218*E218</f>
        <v>2</v>
      </c>
      <c r="F219" s="491"/>
      <c r="G219" s="496"/>
      <c r="H219" s="497"/>
      <c r="I219" s="496"/>
      <c r="J219" s="609"/>
      <c r="K219" s="496"/>
      <c r="L219" s="626"/>
      <c r="M219" s="475"/>
      <c r="N219" s="607"/>
      <c r="O219" s="607"/>
    </row>
    <row r="220" spans="1:16" s="487" customFormat="1" ht="18" customHeight="1">
      <c r="A220" s="478"/>
      <c r="B220" s="726" t="s">
        <v>350</v>
      </c>
      <c r="C220" s="479"/>
      <c r="D220" s="480"/>
      <c r="E220" s="724"/>
      <c r="F220" s="482"/>
      <c r="G220" s="483"/>
      <c r="H220" s="484"/>
      <c r="I220" s="483"/>
      <c r="J220" s="749"/>
      <c r="K220" s="483"/>
      <c r="L220" s="500"/>
      <c r="M220" s="485"/>
      <c r="N220" s="546"/>
      <c r="O220" s="546"/>
    </row>
    <row r="221" spans="1:16" s="487" customFormat="1" ht="18" customHeight="1">
      <c r="A221" s="478"/>
      <c r="B221" s="336" t="s">
        <v>323</v>
      </c>
      <c r="C221" s="479">
        <v>1</v>
      </c>
      <c r="D221" s="480" t="s">
        <v>87</v>
      </c>
      <c r="E221" s="724">
        <v>1</v>
      </c>
      <c r="F221" s="482">
        <f>F217</f>
        <v>16</v>
      </c>
      <c r="G221" s="483">
        <f>G217</f>
        <v>0</v>
      </c>
      <c r="H221" s="484">
        <v>1</v>
      </c>
      <c r="I221" s="483">
        <v>0</v>
      </c>
      <c r="J221" s="749">
        <v>1</v>
      </c>
      <c r="K221" s="483">
        <v>6</v>
      </c>
      <c r="L221" s="500"/>
      <c r="M221" s="485">
        <f t="shared" ref="M221:M224" si="83">IF(C221=0,1,C221)*IF(E221=0,1,E221)*IF((F221+G221/12)=0,1,(F221+G221/12))*IF((H221+I221/12)=0,1,(H221+I221/12))*IF((J221+K221/12)=0,1,(J221+K221/12))</f>
        <v>24</v>
      </c>
      <c r="N221" s="546"/>
      <c r="O221" s="546"/>
      <c r="P221" s="487">
        <f>17.5-1.5*1</f>
        <v>16</v>
      </c>
    </row>
    <row r="222" spans="1:16" s="487" customFormat="1" ht="18" customHeight="1">
      <c r="A222" s="478"/>
      <c r="B222" s="336" t="s">
        <v>324</v>
      </c>
      <c r="C222" s="479">
        <v>1</v>
      </c>
      <c r="D222" s="480" t="s">
        <v>87</v>
      </c>
      <c r="E222" s="724">
        <v>1</v>
      </c>
      <c r="F222" s="482">
        <f>F218</f>
        <v>14</v>
      </c>
      <c r="G222" s="483">
        <f>G218</f>
        <v>6</v>
      </c>
      <c r="H222" s="484">
        <v>1</v>
      </c>
      <c r="I222" s="483">
        <f t="shared" ref="I222" si="84">I221</f>
        <v>0</v>
      </c>
      <c r="J222" s="749">
        <v>1</v>
      </c>
      <c r="K222" s="483">
        <v>6</v>
      </c>
      <c r="L222" s="500"/>
      <c r="M222" s="485">
        <f t="shared" si="83"/>
        <v>21.75</v>
      </c>
      <c r="N222" s="546"/>
      <c r="O222" s="546"/>
      <c r="P222" s="487">
        <f>16-1.5*1</f>
        <v>14.5</v>
      </c>
    </row>
    <row r="223" spans="1:16" s="487" customFormat="1" ht="18" customHeight="1">
      <c r="A223" s="478"/>
      <c r="B223" s="336" t="s">
        <v>459</v>
      </c>
      <c r="C223" s="479">
        <v>1</v>
      </c>
      <c r="D223" s="480" t="s">
        <v>87</v>
      </c>
      <c r="E223" s="724">
        <v>1</v>
      </c>
      <c r="F223" s="482">
        <v>14</v>
      </c>
      <c r="G223" s="483">
        <v>1</v>
      </c>
      <c r="H223" s="484">
        <v>1</v>
      </c>
      <c r="I223" s="483">
        <f>I222</f>
        <v>0</v>
      </c>
      <c r="J223" s="749">
        <v>1</v>
      </c>
      <c r="K223" s="483">
        <v>6</v>
      </c>
      <c r="L223" s="500"/>
      <c r="M223" s="485">
        <f t="shared" si="83"/>
        <v>21.125</v>
      </c>
      <c r="N223" s="546"/>
      <c r="O223" s="546"/>
      <c r="P223" s="487">
        <f>15.58-1.5*1</f>
        <v>14.08</v>
      </c>
    </row>
    <row r="224" spans="1:16" s="487" customFormat="1" ht="18" customHeight="1">
      <c r="A224" s="478"/>
      <c r="B224" s="336" t="s">
        <v>352</v>
      </c>
      <c r="C224" s="479">
        <v>1</v>
      </c>
      <c r="D224" s="480" t="s">
        <v>87</v>
      </c>
      <c r="E224" s="724">
        <v>1</v>
      </c>
      <c r="F224" s="482">
        <v>8</v>
      </c>
      <c r="G224" s="483">
        <v>0</v>
      </c>
      <c r="H224" s="484">
        <f>H222</f>
        <v>1</v>
      </c>
      <c r="I224" s="483">
        <f>I222</f>
        <v>0</v>
      </c>
      <c r="J224" s="749">
        <f>J222</f>
        <v>1</v>
      </c>
      <c r="K224" s="483">
        <f>K222</f>
        <v>6</v>
      </c>
      <c r="L224" s="500"/>
      <c r="M224" s="485">
        <f t="shared" si="83"/>
        <v>12</v>
      </c>
      <c r="N224" s="546"/>
      <c r="O224" s="546"/>
      <c r="P224" s="487">
        <f>9-1*1</f>
        <v>8</v>
      </c>
    </row>
    <row r="225" spans="1:17" ht="18" customHeight="1">
      <c r="A225" s="474"/>
      <c r="B225" s="494"/>
      <c r="C225" s="488"/>
      <c r="D225" s="489"/>
      <c r="E225" s="837">
        <f>C221*E221+C222*E222+C224*E224</f>
        <v>3</v>
      </c>
      <c r="F225" s="491"/>
      <c r="G225" s="496"/>
      <c r="H225" s="497"/>
      <c r="I225" s="496"/>
      <c r="J225" s="609"/>
      <c r="L225" s="860" t="str">
        <f>B201</f>
        <v>(j) Roof  Beam</v>
      </c>
      <c r="M225" s="486"/>
      <c r="N225" s="722">
        <f>SUM(M203:M224)</f>
        <v>278.05555555555554</v>
      </c>
      <c r="O225" s="709" t="s">
        <v>21</v>
      </c>
    </row>
    <row r="226" spans="1:17" s="487" customFormat="1" ht="18" customHeight="1">
      <c r="A226" s="743"/>
      <c r="B226" s="806" t="s">
        <v>353</v>
      </c>
      <c r="C226" s="735"/>
      <c r="D226" s="736"/>
      <c r="E226" s="737"/>
      <c r="F226" s="738"/>
      <c r="G226" s="807"/>
      <c r="H226" s="808"/>
      <c r="I226" s="807"/>
      <c r="J226" s="866"/>
      <c r="K226" s="807"/>
      <c r="L226" s="867"/>
      <c r="M226" s="499"/>
      <c r="N226" s="546"/>
      <c r="O226" s="546"/>
    </row>
    <row r="227" spans="1:17" s="487" customFormat="1" ht="18" customHeight="1">
      <c r="A227" s="478"/>
      <c r="B227" s="726" t="s">
        <v>354</v>
      </c>
      <c r="C227" s="479"/>
      <c r="D227" s="480"/>
      <c r="E227" s="724"/>
      <c r="F227" s="482"/>
      <c r="G227" s="483"/>
      <c r="H227" s="484"/>
      <c r="I227" s="483"/>
      <c r="J227" s="749"/>
      <c r="K227" s="483"/>
      <c r="L227" s="500"/>
      <c r="M227" s="485"/>
      <c r="N227" s="486"/>
      <c r="O227" s="486"/>
    </row>
    <row r="228" spans="1:17" s="487" customFormat="1" ht="18" customHeight="1">
      <c r="A228" s="478"/>
      <c r="B228" s="336" t="s">
        <v>355</v>
      </c>
      <c r="C228" s="479">
        <v>1</v>
      </c>
      <c r="D228" s="480" t="s">
        <v>87</v>
      </c>
      <c r="E228" s="724">
        <v>1</v>
      </c>
      <c r="F228" s="482">
        <v>16</v>
      </c>
      <c r="G228" s="483">
        <f>3</f>
        <v>3</v>
      </c>
      <c r="H228" s="484">
        <v>9</v>
      </c>
      <c r="I228" s="483">
        <v>0</v>
      </c>
      <c r="J228" s="749">
        <f>0</f>
        <v>0</v>
      </c>
      <c r="K228" s="483">
        <v>6</v>
      </c>
      <c r="L228" s="500"/>
      <c r="M228" s="485">
        <f>IF(C228=0,1,C228)*IF(E228=0,1,E228)*IF((F228+G228/12)=0,1,(F228+G228/12))*IF((H228+I228/12)=0,1,(H228+I228/12))*IF((J228+K228/12)=0,1,(J228+K228/12))</f>
        <v>73.125</v>
      </c>
      <c r="N228" s="486"/>
      <c r="O228" s="486"/>
      <c r="P228" s="487">
        <f>17.5-1.5*0.83</f>
        <v>16.254999999999999</v>
      </c>
    </row>
    <row r="229" spans="1:17" ht="18" customHeight="1">
      <c r="A229" s="474"/>
      <c r="B229" s="494"/>
      <c r="C229" s="488"/>
      <c r="D229" s="489"/>
      <c r="E229" s="837">
        <f>C228*E228+E232*C232</f>
        <v>2</v>
      </c>
      <c r="F229" s="491"/>
      <c r="G229" s="496"/>
      <c r="H229" s="497"/>
      <c r="I229" s="496"/>
      <c r="J229" s="609"/>
      <c r="K229" s="865" t="str">
        <f>B226</f>
        <v>(k)  Basement Floor  Slab</v>
      </c>
      <c r="L229" s="500"/>
      <c r="M229" s="486"/>
      <c r="N229" s="858">
        <f>SUM(M228:M229)</f>
        <v>73.125</v>
      </c>
      <c r="O229" s="835" t="s">
        <v>21</v>
      </c>
    </row>
    <row r="230" spans="1:17" s="487" customFormat="1" ht="18" customHeight="1">
      <c r="A230" s="743"/>
      <c r="B230" s="806" t="s">
        <v>638</v>
      </c>
      <c r="C230" s="735"/>
      <c r="D230" s="736"/>
      <c r="E230" s="737"/>
      <c r="F230" s="738"/>
      <c r="G230" s="807"/>
      <c r="H230" s="808"/>
      <c r="I230" s="807"/>
      <c r="J230" s="866"/>
      <c r="K230" s="807"/>
      <c r="L230" s="867"/>
      <c r="M230" s="499"/>
      <c r="N230" s="546"/>
      <c r="O230" s="546"/>
    </row>
    <row r="231" spans="1:17" s="487" customFormat="1" ht="18" customHeight="1">
      <c r="A231" s="478"/>
      <c r="B231" s="726" t="s">
        <v>373</v>
      </c>
      <c r="C231" s="479"/>
      <c r="D231" s="480"/>
      <c r="E231" s="724"/>
      <c r="F231" s="482"/>
      <c r="G231" s="483"/>
      <c r="H231" s="484"/>
      <c r="I231" s="483"/>
      <c r="J231" s="749"/>
      <c r="K231" s="819"/>
      <c r="L231" s="500"/>
      <c r="M231" s="485"/>
      <c r="N231" s="486"/>
      <c r="O231" s="486"/>
    </row>
    <row r="232" spans="1:17" s="487" customFormat="1" ht="18" customHeight="1">
      <c r="A232" s="478"/>
      <c r="B232" s="336" t="s">
        <v>636</v>
      </c>
      <c r="C232" s="479">
        <v>1</v>
      </c>
      <c r="D232" s="480" t="s">
        <v>87</v>
      </c>
      <c r="E232" s="724">
        <v>1</v>
      </c>
      <c r="F232" s="482">
        <v>4</v>
      </c>
      <c r="G232" s="483">
        <v>8</v>
      </c>
      <c r="H232" s="484">
        <v>9</v>
      </c>
      <c r="I232" s="483">
        <v>0</v>
      </c>
      <c r="J232" s="749">
        <f>J227</f>
        <v>0</v>
      </c>
      <c r="K232" s="819">
        <v>4</v>
      </c>
      <c r="L232" s="500"/>
      <c r="M232" s="485">
        <f>IF(C232=0,1,C232)*IF(E232=0,1,E232)*IF((F232+G232/12)=0,1,(F232+G232/12))*IF((H232+I232/12)=0,1,(H232+I232/12))*IF((J232+K232/12)=0,1,(J232+K232/12))</f>
        <v>14</v>
      </c>
      <c r="N232" s="486"/>
      <c r="O232" s="486"/>
      <c r="P232" s="487">
        <f>5.5-1*0.83</f>
        <v>4.67</v>
      </c>
    </row>
    <row r="233" spans="1:17" ht="18" customHeight="1">
      <c r="A233" s="474"/>
      <c r="B233" s="494"/>
      <c r="C233" s="488"/>
      <c r="D233" s="489"/>
      <c r="E233" s="837">
        <f>C232*E232+E236*C236</f>
        <v>3</v>
      </c>
      <c r="F233" s="491"/>
      <c r="G233" s="496"/>
      <c r="H233" s="497"/>
      <c r="I233" s="496"/>
      <c r="J233" s="609"/>
      <c r="K233" s="865" t="str">
        <f>B230</f>
        <v>(l)  Ground Floor  Slab</v>
      </c>
      <c r="L233" s="500"/>
      <c r="M233" s="486"/>
      <c r="N233" s="858">
        <f>SUM(M232:M233)</f>
        <v>14</v>
      </c>
      <c r="O233" s="839" t="s">
        <v>21</v>
      </c>
    </row>
    <row r="234" spans="1:17" s="487" customFormat="1" ht="18" customHeight="1">
      <c r="A234" s="743"/>
      <c r="B234" s="806" t="s">
        <v>639</v>
      </c>
      <c r="C234" s="735"/>
      <c r="D234" s="736"/>
      <c r="E234" s="737"/>
      <c r="F234" s="738"/>
      <c r="G234" s="807"/>
      <c r="H234" s="808"/>
      <c r="I234" s="807"/>
      <c r="J234" s="866"/>
      <c r="K234" s="807"/>
      <c r="L234" s="867"/>
      <c r="M234" s="499"/>
      <c r="N234" s="546"/>
      <c r="O234" s="546"/>
    </row>
    <row r="235" spans="1:17" s="487" customFormat="1" ht="18" customHeight="1">
      <c r="A235" s="478"/>
      <c r="B235" s="726" t="s">
        <v>356</v>
      </c>
      <c r="C235" s="479"/>
      <c r="D235" s="480"/>
      <c r="E235" s="724"/>
      <c r="F235" s="482"/>
      <c r="G235" s="483"/>
      <c r="H235" s="484"/>
      <c r="I235" s="483"/>
      <c r="J235" s="749"/>
      <c r="K235" s="483"/>
      <c r="L235" s="500"/>
      <c r="M235" s="485"/>
      <c r="N235" s="486"/>
      <c r="O235" s="486"/>
    </row>
    <row r="236" spans="1:17" s="487" customFormat="1" ht="18" customHeight="1">
      <c r="A236" s="478"/>
      <c r="B236" s="336" t="s">
        <v>357</v>
      </c>
      <c r="C236" s="479">
        <v>1</v>
      </c>
      <c r="D236" s="480" t="s">
        <v>87</v>
      </c>
      <c r="E236" s="724">
        <v>2</v>
      </c>
      <c r="F236" s="482">
        <v>5</v>
      </c>
      <c r="G236" s="483">
        <v>4</v>
      </c>
      <c r="H236" s="484">
        <v>13</v>
      </c>
      <c r="I236" s="483">
        <v>3</v>
      </c>
      <c r="J236" s="749">
        <f>0</f>
        <v>0</v>
      </c>
      <c r="K236" s="819">
        <v>4</v>
      </c>
      <c r="L236" s="500"/>
      <c r="M236" s="485">
        <f t="shared" ref="M236:M241" si="85">IF(C236=0,1,C236)*IF(E236=0,1,E236)*IF((F236+G236/12)=0,1,(F236+G236/12))*IF((H236+I236/12)=0,1,(H236+I236/12))*IF((J236+K236/12)=0,1,(J236+K236/12))</f>
        <v>47.1111111111111</v>
      </c>
      <c r="N236" s="486"/>
      <c r="O236" s="486"/>
      <c r="P236" s="487">
        <f>6.33-1</f>
        <v>5.33</v>
      </c>
      <c r="Q236" s="487">
        <f>15.58-1.5*1-0.83</f>
        <v>13.25</v>
      </c>
    </row>
    <row r="237" spans="1:17" s="487" customFormat="1" ht="18" customHeight="1">
      <c r="A237" s="478"/>
      <c r="B237" s="336" t="s">
        <v>358</v>
      </c>
      <c r="C237" s="479">
        <v>1</v>
      </c>
      <c r="D237" s="480" t="s">
        <v>87</v>
      </c>
      <c r="E237" s="724">
        <v>1</v>
      </c>
      <c r="F237" s="482">
        <f>4</f>
        <v>4</v>
      </c>
      <c r="G237" s="483">
        <v>10</v>
      </c>
      <c r="H237" s="484">
        <f>H236</f>
        <v>13</v>
      </c>
      <c r="I237" s="483">
        <f>I236</f>
        <v>3</v>
      </c>
      <c r="J237" s="749">
        <f>J236</f>
        <v>0</v>
      </c>
      <c r="K237" s="819">
        <f>K236</f>
        <v>4</v>
      </c>
      <c r="L237" s="500"/>
      <c r="M237" s="485">
        <f t="shared" si="85"/>
        <v>21.347222222222218</v>
      </c>
      <c r="N237" s="486"/>
      <c r="O237" s="486"/>
      <c r="P237" s="487">
        <f>5.33-0.5*1</f>
        <v>4.83</v>
      </c>
      <c r="Q237" s="487">
        <f>15.58-1.5*1-0.83</f>
        <v>13.25</v>
      </c>
    </row>
    <row r="238" spans="1:17" s="487" customFormat="1" ht="18" customHeight="1">
      <c r="A238" s="478"/>
      <c r="B238" s="336" t="s">
        <v>359</v>
      </c>
      <c r="C238" s="479">
        <v>1</v>
      </c>
      <c r="D238" s="480" t="s">
        <v>87</v>
      </c>
      <c r="E238" s="724">
        <v>1</v>
      </c>
      <c r="F238" s="482">
        <v>8</v>
      </c>
      <c r="G238" s="483">
        <v>5</v>
      </c>
      <c r="H238" s="484">
        <v>14</v>
      </c>
      <c r="I238" s="483">
        <v>1</v>
      </c>
      <c r="J238" s="749">
        <f t="shared" ref="J238:K241" si="86">J237</f>
        <v>0</v>
      </c>
      <c r="K238" s="819">
        <f t="shared" si="86"/>
        <v>4</v>
      </c>
      <c r="L238" s="500"/>
      <c r="M238" s="485">
        <f t="shared" si="85"/>
        <v>39.511574074074069</v>
      </c>
      <c r="N238" s="486"/>
      <c r="O238" s="486"/>
      <c r="P238" s="487">
        <f>9.42-1*1</f>
        <v>8.42</v>
      </c>
      <c r="Q238" s="487">
        <f>15.58-1.5*1</f>
        <v>14.08</v>
      </c>
    </row>
    <row r="239" spans="1:17" s="487" customFormat="1" ht="18" customHeight="1">
      <c r="A239" s="478"/>
      <c r="B239" s="336" t="s">
        <v>360</v>
      </c>
      <c r="C239" s="479">
        <v>1</v>
      </c>
      <c r="D239" s="480" t="s">
        <v>87</v>
      </c>
      <c r="E239" s="724">
        <v>1</v>
      </c>
      <c r="F239" s="482">
        <v>14</v>
      </c>
      <c r="G239" s="483">
        <v>6</v>
      </c>
      <c r="H239" s="484">
        <v>9</v>
      </c>
      <c r="I239" s="483">
        <v>0</v>
      </c>
      <c r="J239" s="749">
        <f t="shared" si="86"/>
        <v>0</v>
      </c>
      <c r="K239" s="819">
        <f t="shared" si="86"/>
        <v>4</v>
      </c>
      <c r="L239" s="500"/>
      <c r="M239" s="485">
        <f t="shared" si="85"/>
        <v>43.5</v>
      </c>
      <c r="N239" s="486"/>
      <c r="O239" s="486"/>
      <c r="P239" s="487">
        <f>16-1.5*1</f>
        <v>14.5</v>
      </c>
    </row>
    <row r="240" spans="1:17" s="487" customFormat="1" ht="18" customHeight="1">
      <c r="A240" s="478"/>
      <c r="B240" s="336" t="s">
        <v>361</v>
      </c>
      <c r="C240" s="479">
        <v>1</v>
      </c>
      <c r="D240" s="480" t="s">
        <v>87</v>
      </c>
      <c r="E240" s="724">
        <v>1</v>
      </c>
      <c r="F240" s="482">
        <v>16</v>
      </c>
      <c r="G240" s="483">
        <v>0</v>
      </c>
      <c r="H240" s="484">
        <v>10</v>
      </c>
      <c r="I240" s="483">
        <v>8</v>
      </c>
      <c r="J240" s="749">
        <f t="shared" si="86"/>
        <v>0</v>
      </c>
      <c r="K240" s="819">
        <f t="shared" si="86"/>
        <v>4</v>
      </c>
      <c r="L240" s="500"/>
      <c r="M240" s="485">
        <f t="shared" si="85"/>
        <v>56.888888888888886</v>
      </c>
      <c r="N240" s="486"/>
      <c r="O240" s="486"/>
      <c r="P240" s="487">
        <f>17.5-1.5*1</f>
        <v>16</v>
      </c>
      <c r="Q240" s="487">
        <f>11.92-1.5*0.83</f>
        <v>10.675000000000001</v>
      </c>
    </row>
    <row r="241" spans="1:18" s="487" customFormat="1" ht="18" customHeight="1">
      <c r="A241" s="478"/>
      <c r="B241" s="336" t="s">
        <v>362</v>
      </c>
      <c r="C241" s="479">
        <v>1</v>
      </c>
      <c r="D241" s="480" t="s">
        <v>87</v>
      </c>
      <c r="E241" s="724">
        <v>1</v>
      </c>
      <c r="F241" s="482">
        <f>F239</f>
        <v>14</v>
      </c>
      <c r="G241" s="483">
        <f>G239</f>
        <v>6</v>
      </c>
      <c r="H241" s="484">
        <f>H240</f>
        <v>10</v>
      </c>
      <c r="I241" s="483">
        <f>I240</f>
        <v>8</v>
      </c>
      <c r="J241" s="749">
        <f t="shared" si="86"/>
        <v>0</v>
      </c>
      <c r="K241" s="819">
        <f t="shared" si="86"/>
        <v>4</v>
      </c>
      <c r="L241" s="500"/>
      <c r="M241" s="485">
        <f t="shared" si="85"/>
        <v>51.55555555555555</v>
      </c>
      <c r="N241" s="486"/>
      <c r="O241" s="486"/>
      <c r="P241" s="487">
        <f>16-1.5*1</f>
        <v>14.5</v>
      </c>
      <c r="Q241" s="487">
        <f>11.92-1.5*0.83</f>
        <v>10.675000000000001</v>
      </c>
    </row>
    <row r="242" spans="1:18" ht="18" customHeight="1">
      <c r="A242" s="474"/>
      <c r="B242" s="494"/>
      <c r="C242" s="488"/>
      <c r="D242" s="489"/>
      <c r="E242" s="837">
        <f>C240*E240+C239*E239+C241*E241+C238*E238+C237*E237+C236*E236</f>
        <v>7</v>
      </c>
      <c r="F242" s="491"/>
      <c r="G242" s="496"/>
      <c r="H242" s="497"/>
      <c r="I242" s="496"/>
      <c r="J242" s="609"/>
      <c r="K242" s="625"/>
      <c r="L242" s="626"/>
      <c r="M242" s="475"/>
      <c r="N242" s="476"/>
      <c r="O242" s="476"/>
    </row>
    <row r="243" spans="1:18" s="487" customFormat="1" ht="18" customHeight="1">
      <c r="A243" s="478"/>
      <c r="B243" s="726" t="s">
        <v>363</v>
      </c>
      <c r="C243" s="479"/>
      <c r="D243" s="480"/>
      <c r="E243" s="724"/>
      <c r="F243" s="482"/>
      <c r="G243" s="483"/>
      <c r="H243" s="484"/>
      <c r="I243" s="483"/>
      <c r="J243" s="749"/>
      <c r="K243" s="819"/>
      <c r="L243" s="500"/>
      <c r="M243" s="485"/>
      <c r="N243" s="486"/>
      <c r="O243" s="486"/>
    </row>
    <row r="244" spans="1:18" s="487" customFormat="1" ht="18" customHeight="1">
      <c r="A244" s="478"/>
      <c r="B244" s="336" t="s">
        <v>364</v>
      </c>
      <c r="C244" s="479">
        <v>1</v>
      </c>
      <c r="D244" s="480" t="s">
        <v>87</v>
      </c>
      <c r="E244" s="724">
        <v>1</v>
      </c>
      <c r="F244" s="482">
        <v>4</v>
      </c>
      <c r="G244" s="483">
        <v>2</v>
      </c>
      <c r="H244" s="484">
        <f>H238</f>
        <v>14</v>
      </c>
      <c r="I244" s="483">
        <f>I238</f>
        <v>1</v>
      </c>
      <c r="J244" s="749">
        <f>J238</f>
        <v>0</v>
      </c>
      <c r="K244" s="819">
        <f>K238</f>
        <v>4</v>
      </c>
      <c r="L244" s="500"/>
      <c r="M244" s="485">
        <f t="shared" ref="M244:M247" si="87">IF(C244=0,1,C244)*IF(E244=0,1,E244)*IF((F244+G244/12)=0,1,(F244+G244/12))*IF((H244+I244/12)=0,1,(H244+I244/12))*IF((J244+K244/12)=0,1,(J244+K244/12))</f>
        <v>19.560185185185187</v>
      </c>
      <c r="N244" s="486"/>
      <c r="O244" s="486"/>
      <c r="P244" s="487">
        <f>5.83-2*0.83</f>
        <v>4.17</v>
      </c>
      <c r="Q244" s="487">
        <f>15.58-1.5*1</f>
        <v>14.08</v>
      </c>
      <c r="R244" s="487">
        <f>17.5-6.33-5.33</f>
        <v>5.84</v>
      </c>
    </row>
    <row r="245" spans="1:18" s="487" customFormat="1" ht="18" customHeight="1">
      <c r="A245" s="478"/>
      <c r="B245" s="336" t="s">
        <v>637</v>
      </c>
      <c r="C245" s="479">
        <v>1</v>
      </c>
      <c r="D245" s="480" t="s">
        <v>87</v>
      </c>
      <c r="E245" s="724">
        <v>1</v>
      </c>
      <c r="F245" s="482">
        <f>F244</f>
        <v>4</v>
      </c>
      <c r="G245" s="483">
        <v>8</v>
      </c>
      <c r="H245" s="484">
        <f>H239</f>
        <v>9</v>
      </c>
      <c r="I245" s="483">
        <f>I239</f>
        <v>0</v>
      </c>
      <c r="J245" s="749">
        <f t="shared" ref="J245:K247" si="88">J244</f>
        <v>0</v>
      </c>
      <c r="K245" s="819">
        <f t="shared" si="88"/>
        <v>4</v>
      </c>
      <c r="L245" s="500"/>
      <c r="M245" s="485">
        <f t="shared" si="87"/>
        <v>14</v>
      </c>
      <c r="N245" s="486"/>
      <c r="O245" s="486"/>
      <c r="P245" s="487">
        <f>5.5-1*0.83</f>
        <v>4.67</v>
      </c>
    </row>
    <row r="246" spans="1:18" s="487" customFormat="1" ht="18" customHeight="1">
      <c r="A246" s="478"/>
      <c r="B246" s="336" t="s">
        <v>366</v>
      </c>
      <c r="C246" s="479">
        <v>1</v>
      </c>
      <c r="D246" s="480" t="s">
        <v>87</v>
      </c>
      <c r="E246" s="724">
        <v>1</v>
      </c>
      <c r="F246" s="482">
        <v>16</v>
      </c>
      <c r="G246" s="483">
        <v>2</v>
      </c>
      <c r="H246" s="484">
        <v>3</v>
      </c>
      <c r="I246" s="483">
        <v>2</v>
      </c>
      <c r="J246" s="749">
        <f t="shared" si="88"/>
        <v>0</v>
      </c>
      <c r="K246" s="819">
        <f t="shared" si="88"/>
        <v>4</v>
      </c>
      <c r="L246" s="500"/>
      <c r="M246" s="485">
        <f t="shared" si="87"/>
        <v>17.064814814814813</v>
      </c>
      <c r="N246" s="486"/>
      <c r="O246" s="486"/>
      <c r="P246" s="487">
        <f>17.5-1*0.83-0.5*1</f>
        <v>16.170000000000002</v>
      </c>
      <c r="Q246" s="487">
        <f>4-1*0.83</f>
        <v>3.17</v>
      </c>
    </row>
    <row r="247" spans="1:18" s="487" customFormat="1" ht="18" customHeight="1">
      <c r="A247" s="478"/>
      <c r="B247" s="336" t="s">
        <v>367</v>
      </c>
      <c r="C247" s="479">
        <v>1</v>
      </c>
      <c r="D247" s="480" t="s">
        <v>87</v>
      </c>
      <c r="E247" s="724">
        <v>1</v>
      </c>
      <c r="F247" s="482">
        <f>F241</f>
        <v>14</v>
      </c>
      <c r="G247" s="483">
        <v>8</v>
      </c>
      <c r="H247" s="484">
        <f>H246</f>
        <v>3</v>
      </c>
      <c r="I247" s="483">
        <f>I246</f>
        <v>2</v>
      </c>
      <c r="J247" s="749">
        <f t="shared" si="88"/>
        <v>0</v>
      </c>
      <c r="K247" s="819">
        <f t="shared" si="88"/>
        <v>4</v>
      </c>
      <c r="L247" s="500"/>
      <c r="M247" s="485">
        <f t="shared" si="87"/>
        <v>15.481481481481481</v>
      </c>
      <c r="N247" s="486"/>
      <c r="O247" s="486"/>
      <c r="P247" s="487">
        <f>16-1*0.83-0.5*1</f>
        <v>14.67</v>
      </c>
      <c r="Q247" s="487">
        <f>4-1*0.83</f>
        <v>3.17</v>
      </c>
    </row>
    <row r="248" spans="1:18" ht="18" customHeight="1">
      <c r="A248" s="474"/>
      <c r="B248" s="494"/>
      <c r="C248" s="488"/>
      <c r="D248" s="489"/>
      <c r="E248" s="837">
        <f>C244*E244+C245*E245+C246*E246+C247*E247</f>
        <v>4</v>
      </c>
      <c r="F248" s="491"/>
      <c r="G248" s="496"/>
      <c r="H248" s="497"/>
      <c r="I248" s="496"/>
      <c r="J248" s="609"/>
      <c r="K248" s="865" t="str">
        <f>B234</f>
        <v>(m)  1st Floor  Slab</v>
      </c>
      <c r="L248" s="500"/>
      <c r="M248" s="486"/>
      <c r="N248" s="858">
        <f>SUM(M236:M247)</f>
        <v>326.02083333333331</v>
      </c>
      <c r="O248" s="835" t="s">
        <v>21</v>
      </c>
    </row>
    <row r="249" spans="1:18" s="487" customFormat="1" ht="18" customHeight="1">
      <c r="A249" s="743"/>
      <c r="B249" s="806" t="s">
        <v>640</v>
      </c>
      <c r="C249" s="735"/>
      <c r="D249" s="736"/>
      <c r="E249" s="737"/>
      <c r="F249" s="738"/>
      <c r="G249" s="807"/>
      <c r="H249" s="808"/>
      <c r="I249" s="807"/>
      <c r="J249" s="866"/>
      <c r="K249" s="807"/>
      <c r="L249" s="867"/>
      <c r="M249" s="499"/>
      <c r="N249" s="546"/>
      <c r="O249" s="546"/>
    </row>
    <row r="250" spans="1:18" s="487" customFormat="1" ht="18" customHeight="1">
      <c r="A250" s="478"/>
      <c r="B250" s="726" t="s">
        <v>356</v>
      </c>
      <c r="C250" s="479"/>
      <c r="D250" s="480"/>
      <c r="E250" s="724"/>
      <c r="F250" s="482"/>
      <c r="G250" s="483"/>
      <c r="H250" s="484"/>
      <c r="I250" s="483"/>
      <c r="J250" s="749"/>
      <c r="K250" s="483"/>
      <c r="L250" s="500"/>
      <c r="M250" s="485"/>
      <c r="N250" s="486"/>
      <c r="O250" s="486"/>
    </row>
    <row r="251" spans="1:18" s="487" customFormat="1" ht="18" customHeight="1">
      <c r="A251" s="478"/>
      <c r="B251" s="336" t="s">
        <v>357</v>
      </c>
      <c r="C251" s="479">
        <v>1</v>
      </c>
      <c r="D251" s="480" t="s">
        <v>87</v>
      </c>
      <c r="E251" s="724">
        <v>1</v>
      </c>
      <c r="F251" s="482">
        <v>5</v>
      </c>
      <c r="G251" s="483">
        <v>4</v>
      </c>
      <c r="H251" s="484">
        <v>13</v>
      </c>
      <c r="I251" s="483">
        <v>3</v>
      </c>
      <c r="J251" s="749">
        <f>0</f>
        <v>0</v>
      </c>
      <c r="K251" s="819">
        <v>4</v>
      </c>
      <c r="L251" s="500"/>
      <c r="M251" s="485">
        <f t="shared" ref="M251:M256" si="89">IF(C251=0,1,C251)*IF(E251=0,1,E251)*IF((F251+G251/12)=0,1,(F251+G251/12))*IF((H251+I251/12)=0,1,(H251+I251/12))*IF((J251+K251/12)=0,1,(J251+K251/12))</f>
        <v>23.55555555555555</v>
      </c>
      <c r="N251" s="486"/>
      <c r="O251" s="486"/>
      <c r="P251" s="487">
        <f>6.33-1</f>
        <v>5.33</v>
      </c>
      <c r="Q251" s="487">
        <f>15.58-1.5*1-0.83</f>
        <v>13.25</v>
      </c>
    </row>
    <row r="252" spans="1:18" s="487" customFormat="1" ht="18" customHeight="1">
      <c r="A252" s="478"/>
      <c r="B252" s="336" t="s">
        <v>368</v>
      </c>
      <c r="C252" s="479">
        <v>1</v>
      </c>
      <c r="D252" s="480" t="s">
        <v>87</v>
      </c>
      <c r="E252" s="724">
        <v>1</v>
      </c>
      <c r="F252" s="482">
        <v>9</v>
      </c>
      <c r="G252" s="483">
        <v>10</v>
      </c>
      <c r="H252" s="484">
        <v>14</v>
      </c>
      <c r="I252" s="483">
        <v>1</v>
      </c>
      <c r="J252" s="749">
        <f>J251</f>
        <v>0</v>
      </c>
      <c r="K252" s="819">
        <f>K251</f>
        <v>4</v>
      </c>
      <c r="L252" s="500"/>
      <c r="M252" s="485">
        <f t="shared" si="89"/>
        <v>46.162037037037038</v>
      </c>
      <c r="N252" s="486"/>
      <c r="O252" s="486"/>
      <c r="P252" s="487">
        <f>11.17-1*0.83-0.5*1</f>
        <v>9.84</v>
      </c>
      <c r="Q252" s="487">
        <f>15.58-1.5*1</f>
        <v>14.08</v>
      </c>
    </row>
    <row r="253" spans="1:18" s="487" customFormat="1" ht="18" customHeight="1">
      <c r="A253" s="478"/>
      <c r="B253" s="336" t="s">
        <v>369</v>
      </c>
      <c r="C253" s="479">
        <v>1</v>
      </c>
      <c r="D253" s="480" t="s">
        <v>87</v>
      </c>
      <c r="E253" s="724">
        <v>1</v>
      </c>
      <c r="F253" s="482">
        <v>14</v>
      </c>
      <c r="G253" s="483">
        <v>6</v>
      </c>
      <c r="H253" s="484">
        <v>8</v>
      </c>
      <c r="I253" s="483">
        <v>11</v>
      </c>
      <c r="J253" s="749">
        <f t="shared" ref="J253:K256" si="90">J252</f>
        <v>0</v>
      </c>
      <c r="K253" s="819">
        <f t="shared" si="90"/>
        <v>4</v>
      </c>
      <c r="L253" s="500"/>
      <c r="M253" s="485">
        <f t="shared" si="89"/>
        <v>43.097222222222214</v>
      </c>
      <c r="N253" s="486"/>
      <c r="O253" s="486"/>
      <c r="P253" s="487">
        <f>16-1.5*1</f>
        <v>14.5</v>
      </c>
      <c r="Q253" s="487">
        <f>9.92-1*1</f>
        <v>8.92</v>
      </c>
    </row>
    <row r="254" spans="1:18" s="487" customFormat="1" ht="18" customHeight="1">
      <c r="A254" s="478"/>
      <c r="B254" s="336" t="s">
        <v>360</v>
      </c>
      <c r="C254" s="479">
        <v>1</v>
      </c>
      <c r="D254" s="480" t="s">
        <v>87</v>
      </c>
      <c r="E254" s="724">
        <v>1</v>
      </c>
      <c r="F254" s="482">
        <f>F253</f>
        <v>14</v>
      </c>
      <c r="G254" s="483">
        <f>G253</f>
        <v>6</v>
      </c>
      <c r="H254" s="484">
        <v>9</v>
      </c>
      <c r="I254" s="483">
        <v>0</v>
      </c>
      <c r="J254" s="749">
        <f t="shared" si="90"/>
        <v>0</v>
      </c>
      <c r="K254" s="819">
        <f t="shared" si="90"/>
        <v>4</v>
      </c>
      <c r="L254" s="500"/>
      <c r="M254" s="485">
        <f t="shared" si="89"/>
        <v>43.5</v>
      </c>
      <c r="N254" s="486"/>
      <c r="O254" s="486"/>
      <c r="P254" s="487">
        <f>16-1.5*1</f>
        <v>14.5</v>
      </c>
    </row>
    <row r="255" spans="1:18" s="487" customFormat="1" ht="18" customHeight="1">
      <c r="A255" s="478"/>
      <c r="B255" s="336" t="s">
        <v>370</v>
      </c>
      <c r="C255" s="479">
        <v>1</v>
      </c>
      <c r="D255" s="480" t="s">
        <v>87</v>
      </c>
      <c r="E255" s="724">
        <v>1</v>
      </c>
      <c r="F255" s="482">
        <v>12</v>
      </c>
      <c r="G255" s="483">
        <v>2</v>
      </c>
      <c r="H255" s="484">
        <v>10</v>
      </c>
      <c r="I255" s="483">
        <v>5</v>
      </c>
      <c r="J255" s="749">
        <f t="shared" si="90"/>
        <v>0</v>
      </c>
      <c r="K255" s="819">
        <f t="shared" si="90"/>
        <v>4</v>
      </c>
      <c r="L255" s="500"/>
      <c r="M255" s="485">
        <f t="shared" si="89"/>
        <v>42.245370370370367</v>
      </c>
      <c r="N255" s="486"/>
      <c r="O255" s="486"/>
      <c r="P255" s="487">
        <f>13.5-1*0.83-0.5*1</f>
        <v>12.17</v>
      </c>
      <c r="Q255" s="487">
        <f>11.92-1.5*1</f>
        <v>10.42</v>
      </c>
    </row>
    <row r="256" spans="1:18" s="487" customFormat="1" ht="18" customHeight="1">
      <c r="A256" s="478"/>
      <c r="B256" s="336" t="s">
        <v>362</v>
      </c>
      <c r="C256" s="479">
        <v>1</v>
      </c>
      <c r="D256" s="480" t="s">
        <v>87</v>
      </c>
      <c r="E256" s="724">
        <v>1</v>
      </c>
      <c r="F256" s="482">
        <f>F254</f>
        <v>14</v>
      </c>
      <c r="G256" s="483">
        <f>G254</f>
        <v>6</v>
      </c>
      <c r="H256" s="484">
        <f>H255</f>
        <v>10</v>
      </c>
      <c r="I256" s="483">
        <f>I255</f>
        <v>5</v>
      </c>
      <c r="J256" s="749">
        <f t="shared" si="90"/>
        <v>0</v>
      </c>
      <c r="K256" s="819">
        <f t="shared" si="90"/>
        <v>4</v>
      </c>
      <c r="L256" s="500"/>
      <c r="M256" s="485">
        <f t="shared" si="89"/>
        <v>50.347222222222214</v>
      </c>
      <c r="N256" s="486"/>
      <c r="O256" s="486"/>
      <c r="P256" s="487">
        <f>16-1.5*1</f>
        <v>14.5</v>
      </c>
      <c r="Q256" s="487">
        <f>11.92-1.5*1</f>
        <v>10.42</v>
      </c>
    </row>
    <row r="257" spans="1:18" ht="18" customHeight="1">
      <c r="A257" s="474"/>
      <c r="B257" s="494"/>
      <c r="C257" s="488"/>
      <c r="D257" s="489"/>
      <c r="E257" s="837">
        <f>C255*E255+C254*E254+C256*E256+C253*E253+C252*E252+C251*E251</f>
        <v>6</v>
      </c>
      <c r="F257" s="491"/>
      <c r="G257" s="496"/>
      <c r="H257" s="497"/>
      <c r="I257" s="496"/>
      <c r="J257" s="609"/>
      <c r="K257" s="625"/>
      <c r="L257" s="626"/>
      <c r="M257" s="475"/>
      <c r="N257" s="476"/>
      <c r="O257" s="476"/>
    </row>
    <row r="258" spans="1:18" s="487" customFormat="1" ht="18" customHeight="1">
      <c r="A258" s="478"/>
      <c r="B258" s="726" t="s">
        <v>363</v>
      </c>
      <c r="C258" s="479"/>
      <c r="D258" s="480"/>
      <c r="E258" s="724"/>
      <c r="F258" s="482"/>
      <c r="G258" s="483"/>
      <c r="H258" s="484"/>
      <c r="I258" s="483"/>
      <c r="J258" s="749"/>
      <c r="K258" s="819"/>
      <c r="L258" s="500"/>
      <c r="M258" s="485"/>
      <c r="N258" s="486"/>
      <c r="O258" s="486"/>
    </row>
    <row r="259" spans="1:18" s="487" customFormat="1" ht="18" customHeight="1">
      <c r="A259" s="478"/>
      <c r="B259" s="336" t="s">
        <v>371</v>
      </c>
      <c r="C259" s="479">
        <v>1</v>
      </c>
      <c r="D259" s="480" t="s">
        <v>87</v>
      </c>
      <c r="E259" s="724">
        <v>1</v>
      </c>
      <c r="F259" s="482">
        <f>F256</f>
        <v>14</v>
      </c>
      <c r="G259" s="483">
        <f>G256</f>
        <v>6</v>
      </c>
      <c r="H259" s="484">
        <v>4</v>
      </c>
      <c r="I259" s="483">
        <v>4</v>
      </c>
      <c r="J259" s="749">
        <f>J253</f>
        <v>0</v>
      </c>
      <c r="K259" s="819">
        <f>K253</f>
        <v>4</v>
      </c>
      <c r="L259" s="500"/>
      <c r="M259" s="485">
        <f t="shared" ref="M259:M262" si="91">IF(C259=0,1,C259)*IF(E259=0,1,E259)*IF((F259+G259/12)=0,1,(F259+G259/12))*IF((H259+I259/12)=0,1,(H259+I259/12))*IF((J259+K259/12)=0,1,(J259+K259/12))</f>
        <v>20.944444444444443</v>
      </c>
      <c r="N259" s="486"/>
      <c r="O259" s="486"/>
      <c r="P259" s="487">
        <f>16-1.5*1</f>
        <v>14.5</v>
      </c>
      <c r="Q259" s="487">
        <f>5.67-1*0.83-0.5*1</f>
        <v>4.34</v>
      </c>
      <c r="R259" s="487">
        <f>15.58-9.92</f>
        <v>5.66</v>
      </c>
    </row>
    <row r="260" spans="1:18" s="487" customFormat="1" ht="18" customHeight="1">
      <c r="A260" s="478"/>
      <c r="B260" s="336" t="s">
        <v>637</v>
      </c>
      <c r="C260" s="479">
        <v>1</v>
      </c>
      <c r="D260" s="480" t="s">
        <v>87</v>
      </c>
      <c r="E260" s="724">
        <v>1</v>
      </c>
      <c r="F260" s="482">
        <v>4</v>
      </c>
      <c r="G260" s="483">
        <v>7</v>
      </c>
      <c r="H260" s="484">
        <f>H254</f>
        <v>9</v>
      </c>
      <c r="I260" s="483">
        <f>I254</f>
        <v>0</v>
      </c>
      <c r="J260" s="749">
        <f t="shared" ref="J260:K260" si="92">J259</f>
        <v>0</v>
      </c>
      <c r="K260" s="819">
        <f t="shared" si="92"/>
        <v>4</v>
      </c>
      <c r="L260" s="500"/>
      <c r="M260" s="485">
        <f t="shared" si="91"/>
        <v>13.75</v>
      </c>
      <c r="N260" s="486"/>
      <c r="O260" s="486"/>
      <c r="P260" s="487">
        <f>5.5-0.5*0.83-0.5*1</f>
        <v>4.585</v>
      </c>
    </row>
    <row r="261" spans="1:18" s="487" customFormat="1" ht="18" customHeight="1">
      <c r="A261" s="478"/>
      <c r="B261" s="336" t="s">
        <v>372</v>
      </c>
      <c r="C261" s="479">
        <v>1</v>
      </c>
      <c r="D261" s="480" t="s">
        <v>87</v>
      </c>
      <c r="E261" s="724">
        <v>1</v>
      </c>
      <c r="F261" s="482">
        <v>12</v>
      </c>
      <c r="G261" s="483">
        <v>3</v>
      </c>
      <c r="H261" s="484">
        <v>3</v>
      </c>
      <c r="I261" s="483">
        <v>2</v>
      </c>
      <c r="J261" s="749">
        <f t="shared" ref="J261:K261" si="93">J260</f>
        <v>0</v>
      </c>
      <c r="K261" s="819">
        <f t="shared" si="93"/>
        <v>4</v>
      </c>
      <c r="L261" s="500"/>
      <c r="M261" s="485">
        <f t="shared" si="91"/>
        <v>12.930555555555554</v>
      </c>
      <c r="N261" s="486"/>
      <c r="O261" s="486"/>
      <c r="P261" s="487">
        <f>13.5-1.5*0.83</f>
        <v>12.255000000000001</v>
      </c>
      <c r="Q261" s="487">
        <f>4-1*0.83</f>
        <v>3.17</v>
      </c>
    </row>
    <row r="262" spans="1:18" s="487" customFormat="1" ht="18" customHeight="1">
      <c r="A262" s="478"/>
      <c r="B262" s="336" t="s">
        <v>367</v>
      </c>
      <c r="C262" s="479">
        <v>1</v>
      </c>
      <c r="D262" s="480" t="s">
        <v>87</v>
      </c>
      <c r="E262" s="724">
        <v>1</v>
      </c>
      <c r="F262" s="482">
        <f>F256</f>
        <v>14</v>
      </c>
      <c r="G262" s="483">
        <v>9</v>
      </c>
      <c r="H262" s="484">
        <f>H261</f>
        <v>3</v>
      </c>
      <c r="I262" s="483">
        <f>I261</f>
        <v>2</v>
      </c>
      <c r="J262" s="749">
        <f t="shared" ref="J262:K262" si="94">J261</f>
        <v>0</v>
      </c>
      <c r="K262" s="819">
        <f t="shared" si="94"/>
        <v>4</v>
      </c>
      <c r="L262" s="500"/>
      <c r="M262" s="485">
        <f t="shared" si="91"/>
        <v>15.569444444444443</v>
      </c>
      <c r="N262" s="486"/>
      <c r="O262" s="486"/>
      <c r="P262" s="487">
        <f>16-1.5*0.83</f>
        <v>14.755000000000001</v>
      </c>
      <c r="Q262" s="487">
        <f>4-1*0.83</f>
        <v>3.17</v>
      </c>
    </row>
    <row r="263" spans="1:18" ht="18" customHeight="1">
      <c r="A263" s="474"/>
      <c r="B263" s="494"/>
      <c r="C263" s="488"/>
      <c r="D263" s="489"/>
      <c r="E263" s="837">
        <f>C259*E259+C260*E260+C261*E261+C262*E262</f>
        <v>4</v>
      </c>
      <c r="F263" s="491"/>
      <c r="G263" s="496"/>
      <c r="H263" s="497"/>
      <c r="I263" s="496"/>
      <c r="J263" s="609"/>
      <c r="K263" s="625"/>
      <c r="L263" s="626"/>
      <c r="M263" s="475"/>
      <c r="N263" s="476"/>
      <c r="O263" s="476"/>
    </row>
    <row r="264" spans="1:18" s="487" customFormat="1" ht="18" customHeight="1">
      <c r="A264" s="478"/>
      <c r="B264" s="726" t="s">
        <v>373</v>
      </c>
      <c r="C264" s="479"/>
      <c r="D264" s="480"/>
      <c r="E264" s="724"/>
      <c r="F264" s="482"/>
      <c r="G264" s="483"/>
      <c r="H264" s="484"/>
      <c r="I264" s="483"/>
      <c r="J264" s="749"/>
      <c r="K264" s="819"/>
      <c r="L264" s="500"/>
      <c r="M264" s="485"/>
      <c r="N264" s="486"/>
      <c r="O264" s="486"/>
    </row>
    <row r="265" spans="1:18" s="487" customFormat="1" ht="18" customHeight="1">
      <c r="A265" s="478"/>
      <c r="B265" s="336" t="s">
        <v>374</v>
      </c>
      <c r="C265" s="479">
        <v>1</v>
      </c>
      <c r="D265" s="480" t="s">
        <v>87</v>
      </c>
      <c r="E265" s="724">
        <v>1</v>
      </c>
      <c r="F265" s="482">
        <v>3</v>
      </c>
      <c r="G265" s="483">
        <v>0</v>
      </c>
      <c r="H265" s="484">
        <v>10</v>
      </c>
      <c r="I265" s="483">
        <v>5</v>
      </c>
      <c r="J265" s="749">
        <v>0</v>
      </c>
      <c r="K265" s="819">
        <v>4</v>
      </c>
      <c r="L265" s="500"/>
      <c r="M265" s="485">
        <f>IF(C265=0,1,C265)*IF(E265=0,1,E265)*IF((F265+G265/12)=0,1,(F265+G265/12))*IF((H265+I265/12)=0,1,(H265+I265/12))*IF((J265+K265/12)=0,1,(J265+K265/12))</f>
        <v>10.416666666666666</v>
      </c>
      <c r="N265" s="486"/>
      <c r="O265" s="486"/>
      <c r="P265" s="487">
        <f>11.92-1.5*1</f>
        <v>10.42</v>
      </c>
    </row>
    <row r="266" spans="1:18" ht="18" customHeight="1">
      <c r="A266" s="474"/>
      <c r="B266" s="494"/>
      <c r="C266" s="488"/>
      <c r="D266" s="489"/>
      <c r="E266" s="837">
        <f>E265*C265</f>
        <v>1</v>
      </c>
      <c r="F266" s="491"/>
      <c r="G266" s="496"/>
      <c r="H266" s="497"/>
      <c r="I266" s="496"/>
      <c r="J266" s="609"/>
      <c r="K266" s="865" t="str">
        <f>B249</f>
        <v>(n)  2nd Floor  Slab</v>
      </c>
      <c r="L266" s="500"/>
      <c r="M266" s="486"/>
      <c r="N266" s="858">
        <f>SUM(M251:M265)</f>
        <v>322.51851851851853</v>
      </c>
      <c r="O266" s="835" t="s">
        <v>21</v>
      </c>
    </row>
    <row r="267" spans="1:18" ht="18" customHeight="1">
      <c r="A267" s="474"/>
      <c r="B267" s="494"/>
      <c r="C267" s="488"/>
      <c r="D267" s="489"/>
      <c r="E267" s="589"/>
      <c r="F267" s="491"/>
      <c r="G267" s="496"/>
      <c r="H267" s="497"/>
      <c r="I267" s="496"/>
      <c r="J267" s="609"/>
      <c r="K267" s="625"/>
      <c r="L267" s="626"/>
      <c r="M267" s="475"/>
      <c r="N267" s="476"/>
      <c r="O267" s="476"/>
    </row>
    <row r="268" spans="1:18" s="487" customFormat="1" ht="18" customHeight="1">
      <c r="A268" s="478"/>
      <c r="B268" s="723" t="s">
        <v>641</v>
      </c>
      <c r="C268" s="479"/>
      <c r="D268" s="480"/>
      <c r="E268" s="724"/>
      <c r="F268" s="482"/>
      <c r="G268" s="483"/>
      <c r="H268" s="484"/>
      <c r="I268" s="483"/>
      <c r="J268" s="749"/>
      <c r="K268" s="819"/>
      <c r="L268" s="500"/>
      <c r="M268" s="485"/>
      <c r="N268" s="486"/>
      <c r="O268" s="486"/>
    </row>
    <row r="269" spans="1:18" s="487" customFormat="1" ht="18" customHeight="1">
      <c r="A269" s="478"/>
      <c r="B269" s="726" t="s">
        <v>535</v>
      </c>
      <c r="C269" s="479"/>
      <c r="D269" s="480"/>
      <c r="E269" s="724"/>
      <c r="F269" s="482"/>
      <c r="G269" s="483"/>
      <c r="H269" s="484"/>
      <c r="I269" s="483"/>
      <c r="J269" s="749"/>
      <c r="K269" s="819"/>
      <c r="L269" s="500"/>
      <c r="M269" s="485"/>
      <c r="N269" s="486"/>
      <c r="O269" s="486"/>
    </row>
    <row r="270" spans="1:18" s="487" customFormat="1" ht="18" customHeight="1">
      <c r="A270" s="478"/>
      <c r="B270" s="336" t="s">
        <v>376</v>
      </c>
      <c r="C270" s="479">
        <v>1</v>
      </c>
      <c r="D270" s="480" t="s">
        <v>87</v>
      </c>
      <c r="E270" s="724">
        <v>1</v>
      </c>
      <c r="F270" s="482">
        <v>5</v>
      </c>
      <c r="G270" s="483">
        <v>4</v>
      </c>
      <c r="H270" s="484">
        <v>13</v>
      </c>
      <c r="I270" s="483">
        <f>3</f>
        <v>3</v>
      </c>
      <c r="J270" s="749">
        <f>0</f>
        <v>0</v>
      </c>
      <c r="K270" s="483">
        <v>5</v>
      </c>
      <c r="L270" s="500"/>
      <c r="M270" s="485">
        <f t="shared" ref="M270:M274" si="95">IF(C270=0,1,C270)*IF(E270=0,1,E270)*IF((F270+G270/12)=0,1,(F270+G270/12))*IF((H270+I270/12)=0,1,(H270+I270/12))*IF((J270+K270/12)=0,1,(J270+K270/12))</f>
        <v>29.444444444444443</v>
      </c>
      <c r="N270" s="486"/>
      <c r="O270" s="486"/>
      <c r="P270" s="487">
        <f>6.33-1</f>
        <v>5.33</v>
      </c>
      <c r="Q270" s="487">
        <f>15.58-1.5*1-0.83</f>
        <v>13.25</v>
      </c>
    </row>
    <row r="271" spans="1:18" s="487" customFormat="1" ht="18" customHeight="1">
      <c r="A271" s="478"/>
      <c r="B271" s="336" t="s">
        <v>377</v>
      </c>
      <c r="C271" s="479">
        <v>1</v>
      </c>
      <c r="D271" s="480" t="s">
        <v>87</v>
      </c>
      <c r="E271" s="724">
        <v>1</v>
      </c>
      <c r="F271" s="482">
        <v>9</v>
      </c>
      <c r="G271" s="483">
        <v>9</v>
      </c>
      <c r="H271" s="484">
        <f>H270</f>
        <v>13</v>
      </c>
      <c r="I271" s="483">
        <f>I270</f>
        <v>3</v>
      </c>
      <c r="J271" s="749">
        <f t="shared" ref="J271:K274" si="96">J270</f>
        <v>0</v>
      </c>
      <c r="K271" s="483">
        <f t="shared" si="96"/>
        <v>5</v>
      </c>
      <c r="L271" s="500"/>
      <c r="M271" s="485">
        <f t="shared" si="95"/>
        <v>53.828125</v>
      </c>
      <c r="N271" s="486"/>
      <c r="O271" s="486"/>
      <c r="P271" s="487">
        <f>10.25-0.5*1</f>
        <v>9.75</v>
      </c>
      <c r="Q271" s="487">
        <f t="shared" ref="Q271" si="97">15.58-1.5*1-0.83</f>
        <v>13.25</v>
      </c>
    </row>
    <row r="272" spans="1:18" s="487" customFormat="1" ht="18" customHeight="1">
      <c r="A272" s="478"/>
      <c r="B272" s="336" t="s">
        <v>378</v>
      </c>
      <c r="C272" s="479">
        <v>1</v>
      </c>
      <c r="D272" s="480" t="s">
        <v>87</v>
      </c>
      <c r="E272" s="724">
        <v>1</v>
      </c>
      <c r="F272" s="482">
        <v>14</v>
      </c>
      <c r="G272" s="483">
        <v>6</v>
      </c>
      <c r="H272" s="484">
        <v>8</v>
      </c>
      <c r="I272" s="483">
        <v>11</v>
      </c>
      <c r="J272" s="749">
        <f t="shared" si="96"/>
        <v>0</v>
      </c>
      <c r="K272" s="483">
        <f t="shared" si="96"/>
        <v>5</v>
      </c>
      <c r="L272" s="500"/>
      <c r="M272" s="485">
        <f t="shared" si="95"/>
        <v>53.871527777777779</v>
      </c>
      <c r="N272" s="486"/>
      <c r="O272" s="486"/>
      <c r="P272" s="487">
        <f>16-1.5*1</f>
        <v>14.5</v>
      </c>
      <c r="Q272" s="487">
        <f>9.92-1*1</f>
        <v>8.92</v>
      </c>
    </row>
    <row r="273" spans="1:18" s="487" customFormat="1" ht="18" customHeight="1">
      <c r="A273" s="478"/>
      <c r="B273" s="336" t="s">
        <v>379</v>
      </c>
      <c r="C273" s="479">
        <v>1</v>
      </c>
      <c r="D273" s="480" t="s">
        <v>87</v>
      </c>
      <c r="E273" s="724">
        <v>1</v>
      </c>
      <c r="F273" s="482">
        <v>12</v>
      </c>
      <c r="G273" s="483">
        <v>2</v>
      </c>
      <c r="H273" s="484">
        <v>9</v>
      </c>
      <c r="I273" s="483">
        <v>0</v>
      </c>
      <c r="J273" s="749">
        <f t="shared" si="96"/>
        <v>0</v>
      </c>
      <c r="K273" s="483">
        <f t="shared" si="96"/>
        <v>5</v>
      </c>
      <c r="L273" s="500"/>
      <c r="M273" s="485">
        <f t="shared" si="95"/>
        <v>45.625</v>
      </c>
      <c r="N273" s="486"/>
      <c r="O273" s="486"/>
      <c r="P273" s="487">
        <f>13.5-1*0.83-0.5*1</f>
        <v>12.17</v>
      </c>
    </row>
    <row r="274" spans="1:18" s="487" customFormat="1" ht="18" customHeight="1">
      <c r="A274" s="478"/>
      <c r="B274" s="336" t="s">
        <v>380</v>
      </c>
      <c r="C274" s="479">
        <v>1</v>
      </c>
      <c r="D274" s="480" t="s">
        <v>87</v>
      </c>
      <c r="E274" s="724">
        <v>1</v>
      </c>
      <c r="F274" s="482">
        <f>F272</f>
        <v>14</v>
      </c>
      <c r="G274" s="483">
        <f>G272</f>
        <v>6</v>
      </c>
      <c r="H274" s="484">
        <f>H273</f>
        <v>9</v>
      </c>
      <c r="I274" s="483">
        <f>I273</f>
        <v>0</v>
      </c>
      <c r="J274" s="749">
        <f t="shared" si="96"/>
        <v>0</v>
      </c>
      <c r="K274" s="483">
        <f t="shared" si="96"/>
        <v>5</v>
      </c>
      <c r="L274" s="500"/>
      <c r="M274" s="485">
        <f t="shared" si="95"/>
        <v>54.375</v>
      </c>
      <c r="N274" s="486"/>
      <c r="O274" s="486"/>
      <c r="P274" s="487">
        <f>16-1.5*1</f>
        <v>14.5</v>
      </c>
    </row>
    <row r="275" spans="1:18" ht="18" customHeight="1">
      <c r="A275" s="474"/>
      <c r="B275" s="494"/>
      <c r="C275" s="488"/>
      <c r="D275" s="489"/>
      <c r="E275" s="837">
        <f>C270*E270+C271*E271+C272*E272+C273*E273+C274*E274</f>
        <v>5</v>
      </c>
      <c r="F275" s="491"/>
      <c r="G275" s="496"/>
      <c r="H275" s="497"/>
      <c r="I275" s="496"/>
      <c r="J275" s="609"/>
      <c r="K275" s="625"/>
      <c r="L275" s="626"/>
      <c r="M275" s="475"/>
      <c r="N275" s="476"/>
      <c r="O275" s="476"/>
    </row>
    <row r="276" spans="1:18" s="487" customFormat="1" ht="18" customHeight="1">
      <c r="A276" s="478"/>
      <c r="B276" s="726" t="s">
        <v>382</v>
      </c>
      <c r="C276" s="479"/>
      <c r="D276" s="480"/>
      <c r="E276" s="724"/>
      <c r="F276" s="482"/>
      <c r="G276" s="483"/>
      <c r="H276" s="484"/>
      <c r="I276" s="483"/>
      <c r="J276" s="749"/>
      <c r="K276" s="819"/>
      <c r="L276" s="500"/>
      <c r="M276" s="485"/>
      <c r="N276" s="486"/>
      <c r="O276" s="486"/>
    </row>
    <row r="277" spans="1:18" s="487" customFormat="1" ht="18" customHeight="1">
      <c r="A277" s="478"/>
      <c r="B277" s="336" t="s">
        <v>381</v>
      </c>
      <c r="C277" s="479">
        <v>1</v>
      </c>
      <c r="D277" s="480" t="s">
        <v>87</v>
      </c>
      <c r="E277" s="724">
        <v>1</v>
      </c>
      <c r="F277" s="482">
        <f>F272</f>
        <v>14</v>
      </c>
      <c r="G277" s="483">
        <f>G272</f>
        <v>6</v>
      </c>
      <c r="H277" s="484">
        <v>4</v>
      </c>
      <c r="I277" s="483">
        <v>4</v>
      </c>
      <c r="J277" s="749">
        <f>J274</f>
        <v>0</v>
      </c>
      <c r="K277" s="483">
        <f>K274</f>
        <v>5</v>
      </c>
      <c r="L277" s="500"/>
      <c r="M277" s="485">
        <f t="shared" ref="M277:M280" si="98">IF(C277=0,1,C277)*IF(E277=0,1,E277)*IF((F277+G277/12)=0,1,(F277+G277/12))*IF((H277+I277/12)=0,1,(H277+I277/12))*IF((J277+K277/12)=0,1,(J277+K277/12))</f>
        <v>26.180555555555554</v>
      </c>
      <c r="N277" s="486"/>
      <c r="O277" s="486"/>
      <c r="P277" s="487">
        <f>16-1.5*1</f>
        <v>14.5</v>
      </c>
      <c r="Q277" s="487">
        <f>5.67-1*0.83-0.5*1</f>
        <v>4.34</v>
      </c>
      <c r="R277" s="487">
        <f>15.58-9.92</f>
        <v>5.66</v>
      </c>
    </row>
    <row r="278" spans="1:18" s="487" customFormat="1" ht="18" customHeight="1">
      <c r="A278" s="478"/>
      <c r="B278" s="336" t="s">
        <v>383</v>
      </c>
      <c r="C278" s="479">
        <v>1</v>
      </c>
      <c r="D278" s="480" t="s">
        <v>87</v>
      </c>
      <c r="E278" s="724">
        <v>1</v>
      </c>
      <c r="F278" s="482">
        <v>3</v>
      </c>
      <c r="G278" s="483">
        <v>0</v>
      </c>
      <c r="H278" s="484">
        <v>9</v>
      </c>
      <c r="I278" s="483">
        <v>0</v>
      </c>
      <c r="J278" s="749">
        <f t="shared" ref="J278:K280" si="99">J277</f>
        <v>0</v>
      </c>
      <c r="K278" s="483">
        <f t="shared" si="99"/>
        <v>5</v>
      </c>
      <c r="L278" s="500"/>
      <c r="M278" s="485">
        <f t="shared" si="98"/>
        <v>11.25</v>
      </c>
      <c r="N278" s="486"/>
      <c r="O278" s="486"/>
      <c r="P278" s="487">
        <f>4-1</f>
        <v>3</v>
      </c>
    </row>
    <row r="279" spans="1:18" s="487" customFormat="1" ht="18" customHeight="1">
      <c r="A279" s="478"/>
      <c r="B279" s="336" t="s">
        <v>384</v>
      </c>
      <c r="C279" s="479">
        <v>1</v>
      </c>
      <c r="D279" s="480" t="s">
        <v>87</v>
      </c>
      <c r="E279" s="724">
        <v>1</v>
      </c>
      <c r="F279" s="482">
        <v>12</v>
      </c>
      <c r="G279" s="483">
        <v>3</v>
      </c>
      <c r="H279" s="484">
        <v>3</v>
      </c>
      <c r="I279" s="483">
        <v>2</v>
      </c>
      <c r="J279" s="749">
        <f t="shared" si="99"/>
        <v>0</v>
      </c>
      <c r="K279" s="483">
        <f t="shared" si="99"/>
        <v>5</v>
      </c>
      <c r="L279" s="500"/>
      <c r="M279" s="485">
        <f t="shared" si="98"/>
        <v>16.163194444444443</v>
      </c>
      <c r="N279" s="486"/>
      <c r="O279" s="486"/>
      <c r="P279" s="487">
        <f>13.5-1.5*0.83</f>
        <v>12.255000000000001</v>
      </c>
      <c r="Q279" s="487">
        <f>3.58-0.5*0.83</f>
        <v>3.165</v>
      </c>
    </row>
    <row r="280" spans="1:18" s="487" customFormat="1" ht="18" customHeight="1">
      <c r="A280" s="478"/>
      <c r="B280" s="336" t="s">
        <v>385</v>
      </c>
      <c r="C280" s="479">
        <v>1</v>
      </c>
      <c r="D280" s="480" t="s">
        <v>87</v>
      </c>
      <c r="E280" s="724">
        <v>1</v>
      </c>
      <c r="F280" s="482">
        <v>14</v>
      </c>
      <c r="G280" s="483">
        <v>9</v>
      </c>
      <c r="H280" s="484">
        <f>H279</f>
        <v>3</v>
      </c>
      <c r="I280" s="483">
        <f>I279</f>
        <v>2</v>
      </c>
      <c r="J280" s="749">
        <f t="shared" si="99"/>
        <v>0</v>
      </c>
      <c r="K280" s="483">
        <f t="shared" si="99"/>
        <v>5</v>
      </c>
      <c r="L280" s="500"/>
      <c r="M280" s="485">
        <f t="shared" si="98"/>
        <v>19.461805555555554</v>
      </c>
      <c r="N280" s="486"/>
      <c r="O280" s="486"/>
      <c r="P280" s="487">
        <f>16-1.5*0.83</f>
        <v>14.755000000000001</v>
      </c>
      <c r="Q280" s="487">
        <f>3.58-0.5*0.83</f>
        <v>3.165</v>
      </c>
    </row>
    <row r="281" spans="1:18" ht="18" customHeight="1">
      <c r="A281" s="474"/>
      <c r="B281" s="494"/>
      <c r="C281" s="488"/>
      <c r="D281" s="489"/>
      <c r="E281" s="837">
        <f>C277*E277+C278*E278+C279*E279+C280*E280</f>
        <v>4</v>
      </c>
      <c r="F281" s="491"/>
      <c r="G281" s="496"/>
      <c r="H281" s="497"/>
      <c r="I281" s="496"/>
      <c r="J281" s="609"/>
      <c r="K281" s="860" t="str">
        <f>B268</f>
        <v>(o)  Roof Floor  Slab</v>
      </c>
      <c r="L281" s="626"/>
      <c r="M281" s="475"/>
      <c r="N281" s="858">
        <f>SUM(M269:M281)</f>
        <v>310.19965277777777</v>
      </c>
      <c r="O281" s="839" t="s">
        <v>21</v>
      </c>
    </row>
    <row r="282" spans="1:18" ht="18" customHeight="1">
      <c r="A282" s="474"/>
      <c r="B282" s="494"/>
      <c r="C282" s="488"/>
      <c r="D282" s="489"/>
      <c r="E282" s="589"/>
      <c r="F282" s="491"/>
      <c r="G282" s="496"/>
      <c r="H282" s="497"/>
      <c r="I282" s="496"/>
      <c r="J282" s="609"/>
      <c r="K282" s="625"/>
      <c r="L282" s="626"/>
      <c r="M282" s="475"/>
      <c r="N282" s="476"/>
      <c r="O282" s="476"/>
    </row>
    <row r="283" spans="1:18" s="487" customFormat="1" ht="18" customHeight="1">
      <c r="A283" s="478"/>
      <c r="B283" s="723" t="s">
        <v>642</v>
      </c>
      <c r="C283" s="479"/>
      <c r="D283" s="480"/>
      <c r="E283" s="724"/>
      <c r="F283" s="482"/>
      <c r="G283" s="483"/>
      <c r="H283" s="484"/>
      <c r="I283" s="483"/>
      <c r="J283" s="749"/>
      <c r="K283" s="483"/>
      <c r="L283" s="500"/>
      <c r="M283" s="485"/>
      <c r="N283" s="486"/>
      <c r="O283" s="486"/>
    </row>
    <row r="284" spans="1:18" s="487" customFormat="1" ht="18" hidden="1" customHeight="1">
      <c r="A284" s="478"/>
      <c r="B284" s="869" t="s">
        <v>218</v>
      </c>
      <c r="C284" s="479"/>
      <c r="D284" s="480"/>
      <c r="E284" s="724"/>
      <c r="F284" s="482"/>
      <c r="G284" s="483"/>
      <c r="H284" s="484"/>
      <c r="I284" s="483"/>
      <c r="J284" s="749"/>
      <c r="K284" s="483"/>
      <c r="L284" s="500"/>
      <c r="M284" s="485"/>
      <c r="N284" s="486"/>
      <c r="O284" s="486"/>
    </row>
    <row r="285" spans="1:18" s="764" customFormat="1" ht="18" hidden="1" customHeight="1">
      <c r="A285" s="751"/>
      <c r="B285" s="768" t="s">
        <v>166</v>
      </c>
      <c r="C285" s="753">
        <f>1</f>
        <v>1</v>
      </c>
      <c r="D285" s="754" t="s">
        <v>87</v>
      </c>
      <c r="E285" s="769">
        <f>1</f>
        <v>1</v>
      </c>
      <c r="F285" s="756">
        <f>74</f>
        <v>74</v>
      </c>
      <c r="G285" s="766">
        <f>0</f>
        <v>0</v>
      </c>
      <c r="H285" s="770">
        <f>2</f>
        <v>2</v>
      </c>
      <c r="I285" s="766">
        <v>0</v>
      </c>
      <c r="J285" s="771">
        <f>1</f>
        <v>1</v>
      </c>
      <c r="K285" s="766">
        <v>0</v>
      </c>
      <c r="L285" s="870"/>
      <c r="M285" s="761"/>
      <c r="N285" s="767"/>
      <c r="O285" s="767"/>
    </row>
    <row r="286" spans="1:18" s="764" customFormat="1" ht="18" hidden="1" customHeight="1">
      <c r="A286" s="751"/>
      <c r="B286" s="768" t="s">
        <v>167</v>
      </c>
      <c r="C286" s="753">
        <f>1</f>
        <v>1</v>
      </c>
      <c r="D286" s="754" t="s">
        <v>87</v>
      </c>
      <c r="E286" s="769">
        <f>1</f>
        <v>1</v>
      </c>
      <c r="F286" s="756">
        <f>F285</f>
        <v>74</v>
      </c>
      <c r="G286" s="766">
        <f>G285</f>
        <v>0</v>
      </c>
      <c r="H286" s="770">
        <f>1</f>
        <v>1</v>
      </c>
      <c r="I286" s="766">
        <f>0</f>
        <v>0</v>
      </c>
      <c r="J286" s="771">
        <f>J285</f>
        <v>1</v>
      </c>
      <c r="K286" s="766">
        <f>K285</f>
        <v>0</v>
      </c>
      <c r="L286" s="870"/>
      <c r="M286" s="761"/>
      <c r="N286" s="767"/>
      <c r="O286" s="767"/>
    </row>
    <row r="287" spans="1:18" s="487" customFormat="1" ht="18" hidden="1" customHeight="1">
      <c r="A287" s="478"/>
      <c r="B287" s="336"/>
      <c r="C287" s="479"/>
      <c r="D287" s="480"/>
      <c r="E287" s="724"/>
      <c r="F287" s="482"/>
      <c r="G287" s="483"/>
      <c r="H287" s="484"/>
      <c r="I287" s="483"/>
      <c r="J287" s="749"/>
      <c r="K287" s="483"/>
      <c r="L287" s="500"/>
      <c r="M287" s="485"/>
      <c r="N287" s="871">
        <f>SUM(M285:M286)</f>
        <v>0</v>
      </c>
      <c r="O287" s="872" t="s">
        <v>21</v>
      </c>
    </row>
    <row r="288" spans="1:18" s="487" customFormat="1" ht="18" customHeight="1">
      <c r="A288" s="478"/>
      <c r="B288" s="869" t="s">
        <v>386</v>
      </c>
      <c r="C288" s="479"/>
      <c r="D288" s="480"/>
      <c r="E288" s="724"/>
      <c r="F288" s="482"/>
      <c r="G288" s="483"/>
      <c r="H288" s="484"/>
      <c r="I288" s="483"/>
      <c r="J288" s="749"/>
      <c r="K288" s="483"/>
      <c r="L288" s="500"/>
      <c r="M288" s="485"/>
      <c r="N288" s="486"/>
      <c r="O288" s="486"/>
    </row>
    <row r="289" spans="1:17" s="487" customFormat="1" ht="18" customHeight="1">
      <c r="A289" s="478"/>
      <c r="B289" s="336" t="s">
        <v>52</v>
      </c>
      <c r="C289" s="479">
        <v>1</v>
      </c>
      <c r="D289" s="480" t="s">
        <v>87</v>
      </c>
      <c r="E289" s="724">
        <v>2</v>
      </c>
      <c r="F289" s="482">
        <v>10</v>
      </c>
      <c r="G289" s="483">
        <v>9</v>
      </c>
      <c r="H289" s="484">
        <f>4</f>
        <v>4</v>
      </c>
      <c r="I289" s="483">
        <v>5</v>
      </c>
      <c r="J289" s="749">
        <v>0</v>
      </c>
      <c r="K289" s="483">
        <v>6</v>
      </c>
      <c r="L289" s="500"/>
      <c r="M289" s="485">
        <f t="shared" ref="M289:M292" si="100">IF(C289=0,1,C289)*IF(E289=0,1,E289)*IF((F289+G289/12)=0,1,(F289+G289/12))*IF((H289+I289/12)=0,1,(H289+I289/12))*IF((J289+K289/12)=0,1,(J289+K289/12))</f>
        <v>47.479166666666671</v>
      </c>
      <c r="N289" s="486"/>
      <c r="O289" s="486"/>
      <c r="P289" s="487">
        <f>10.75+9.5</f>
        <v>20.25</v>
      </c>
      <c r="Q289" s="487">
        <f>P289/2</f>
        <v>10.125</v>
      </c>
    </row>
    <row r="290" spans="1:17" s="487" customFormat="1" ht="18" customHeight="1">
      <c r="A290" s="478"/>
      <c r="B290" s="336" t="s">
        <v>43</v>
      </c>
      <c r="C290" s="479">
        <v>2</v>
      </c>
      <c r="D290" s="480" t="s">
        <v>87</v>
      </c>
      <c r="E290" s="724">
        <v>11</v>
      </c>
      <c r="F290" s="482">
        <f>H289</f>
        <v>4</v>
      </c>
      <c r="G290" s="483">
        <f>I289</f>
        <v>5</v>
      </c>
      <c r="H290" s="484">
        <f>0</f>
        <v>0</v>
      </c>
      <c r="I290" s="483">
        <v>9</v>
      </c>
      <c r="J290" s="749">
        <f>0</f>
        <v>0</v>
      </c>
      <c r="K290" s="819">
        <v>7.1</v>
      </c>
      <c r="L290" s="500"/>
      <c r="M290" s="485">
        <f t="shared" si="100"/>
        <v>43.117708333333333</v>
      </c>
      <c r="N290" s="486"/>
      <c r="O290" s="486"/>
    </row>
    <row r="291" spans="1:17" s="487" customFormat="1" ht="18" customHeight="1">
      <c r="A291" s="478"/>
      <c r="B291" s="336" t="s">
        <v>644</v>
      </c>
      <c r="C291" s="479">
        <v>1</v>
      </c>
      <c r="D291" s="480" t="s">
        <v>87</v>
      </c>
      <c r="E291" s="724">
        <f>1</f>
        <v>1</v>
      </c>
      <c r="F291" s="482">
        <v>7</v>
      </c>
      <c r="G291" s="483">
        <v>10</v>
      </c>
      <c r="H291" s="484">
        <v>1</v>
      </c>
      <c r="I291" s="483">
        <v>2</v>
      </c>
      <c r="J291" s="749">
        <v>1</v>
      </c>
      <c r="K291" s="483">
        <v>4</v>
      </c>
      <c r="L291" s="500"/>
      <c r="M291" s="485">
        <f t="shared" si="100"/>
        <v>12.185185185185185</v>
      </c>
      <c r="N291" s="486"/>
      <c r="O291" s="486"/>
      <c r="P291" s="487">
        <f>9-1.17</f>
        <v>7.83</v>
      </c>
    </row>
    <row r="292" spans="1:17" s="487" customFormat="1" ht="18" customHeight="1">
      <c r="A292" s="478"/>
      <c r="B292" s="336" t="s">
        <v>53</v>
      </c>
      <c r="C292" s="479">
        <v>1</v>
      </c>
      <c r="D292" s="480" t="s">
        <v>87</v>
      </c>
      <c r="E292" s="724">
        <f>1</f>
        <v>1</v>
      </c>
      <c r="F292" s="482">
        <v>9</v>
      </c>
      <c r="G292" s="483">
        <v>0</v>
      </c>
      <c r="H292" s="484">
        <v>2</v>
      </c>
      <c r="I292" s="483">
        <v>10</v>
      </c>
      <c r="J292" s="749">
        <f>0</f>
        <v>0</v>
      </c>
      <c r="K292" s="483">
        <v>6</v>
      </c>
      <c r="L292" s="500"/>
      <c r="M292" s="485">
        <f t="shared" si="100"/>
        <v>12.75</v>
      </c>
      <c r="N292" s="486"/>
      <c r="O292" s="486"/>
      <c r="P292" s="487">
        <f>4-1.17</f>
        <v>2.83</v>
      </c>
    </row>
    <row r="293" spans="1:17" ht="18" customHeight="1">
      <c r="A293" s="474"/>
      <c r="B293" s="494"/>
      <c r="C293" s="488"/>
      <c r="D293" s="489"/>
      <c r="E293" s="589"/>
      <c r="F293" s="491"/>
      <c r="G293" s="496"/>
      <c r="H293" s="497"/>
      <c r="I293" s="496"/>
      <c r="J293" s="609"/>
      <c r="K293" s="496"/>
      <c r="L293" s="626"/>
      <c r="M293" s="475"/>
      <c r="N293" s="874">
        <f>SUM(M289:M293)</f>
        <v>115.5320601851852</v>
      </c>
      <c r="O293" s="875" t="s">
        <v>21</v>
      </c>
    </row>
    <row r="294" spans="1:17" s="487" customFormat="1" ht="18" customHeight="1">
      <c r="A294" s="478"/>
      <c r="B294" s="869" t="s">
        <v>387</v>
      </c>
      <c r="C294" s="479"/>
      <c r="D294" s="480"/>
      <c r="E294" s="724"/>
      <c r="F294" s="482"/>
      <c r="G294" s="483"/>
      <c r="H294" s="484"/>
      <c r="I294" s="483"/>
      <c r="J294" s="749"/>
      <c r="K294" s="483"/>
      <c r="L294" s="500"/>
      <c r="M294" s="485"/>
      <c r="N294" s="486"/>
      <c r="O294" s="486"/>
    </row>
    <row r="295" spans="1:17" s="487" customFormat="1" ht="18" customHeight="1">
      <c r="A295" s="478"/>
      <c r="B295" s="336" t="s">
        <v>52</v>
      </c>
      <c r="C295" s="479">
        <v>1</v>
      </c>
      <c r="D295" s="480" t="s">
        <v>87</v>
      </c>
      <c r="E295" s="724">
        <v>2</v>
      </c>
      <c r="F295" s="482">
        <v>10</v>
      </c>
      <c r="G295" s="483">
        <v>6</v>
      </c>
      <c r="H295" s="484">
        <f>4</f>
        <v>4</v>
      </c>
      <c r="I295" s="483">
        <v>5</v>
      </c>
      <c r="J295" s="749">
        <v>0</v>
      </c>
      <c r="K295" s="483">
        <v>6</v>
      </c>
      <c r="L295" s="500"/>
      <c r="M295" s="485">
        <f t="shared" ref="M295:M298" si="101">IF(C295=0,1,C295)*IF(E295=0,1,E295)*IF((F295+G295/12)=0,1,(F295+G295/12))*IF((H295+I295/12)=0,1,(H295+I295/12))*IF((J295+K295/12)=0,1,(J295+K295/12))</f>
        <v>46.375</v>
      </c>
      <c r="N295" s="486"/>
      <c r="O295" s="486"/>
    </row>
    <row r="296" spans="1:17" s="487" customFormat="1" ht="18" customHeight="1">
      <c r="A296" s="478"/>
      <c r="B296" s="336" t="s">
        <v>43</v>
      </c>
      <c r="C296" s="479">
        <v>2</v>
      </c>
      <c r="D296" s="480" t="s">
        <v>87</v>
      </c>
      <c r="E296" s="724">
        <v>11</v>
      </c>
      <c r="F296" s="482">
        <f>H295</f>
        <v>4</v>
      </c>
      <c r="G296" s="483">
        <f>I295</f>
        <v>5</v>
      </c>
      <c r="H296" s="484">
        <f>0</f>
        <v>0</v>
      </c>
      <c r="I296" s="483">
        <v>9</v>
      </c>
      <c r="J296" s="749">
        <f>0</f>
        <v>0</v>
      </c>
      <c r="K296" s="819">
        <v>6.5</v>
      </c>
      <c r="L296" s="500"/>
      <c r="M296" s="485">
        <f t="shared" si="101"/>
        <v>39.473958333333329</v>
      </c>
      <c r="N296" s="486"/>
      <c r="O296" s="486"/>
    </row>
    <row r="297" spans="1:17" s="487" customFormat="1" ht="18" customHeight="1">
      <c r="A297" s="478"/>
      <c r="B297" s="336" t="s">
        <v>644</v>
      </c>
      <c r="C297" s="479">
        <v>1</v>
      </c>
      <c r="D297" s="480" t="s">
        <v>87</v>
      </c>
      <c r="E297" s="724">
        <f>1</f>
        <v>1</v>
      </c>
      <c r="F297" s="482">
        <f>F291</f>
        <v>7</v>
      </c>
      <c r="G297" s="483">
        <f>G291</f>
        <v>10</v>
      </c>
      <c r="H297" s="484">
        <v>1</v>
      </c>
      <c r="I297" s="483">
        <v>2</v>
      </c>
      <c r="J297" s="749">
        <v>1</v>
      </c>
      <c r="K297" s="483">
        <v>4</v>
      </c>
      <c r="L297" s="500"/>
      <c r="M297" s="485">
        <f t="shared" si="101"/>
        <v>12.185185185185185</v>
      </c>
      <c r="N297" s="486"/>
      <c r="O297" s="486"/>
    </row>
    <row r="298" spans="1:17" s="487" customFormat="1" ht="18" customHeight="1">
      <c r="A298" s="478"/>
      <c r="B298" s="336" t="s">
        <v>53</v>
      </c>
      <c r="C298" s="479">
        <v>1</v>
      </c>
      <c r="D298" s="480" t="s">
        <v>87</v>
      </c>
      <c r="E298" s="724">
        <f>1</f>
        <v>1</v>
      </c>
      <c r="F298" s="482">
        <v>9</v>
      </c>
      <c r="G298" s="483">
        <v>0</v>
      </c>
      <c r="H298" s="484">
        <v>2</v>
      </c>
      <c r="I298" s="483">
        <v>10</v>
      </c>
      <c r="J298" s="749">
        <f>0</f>
        <v>0</v>
      </c>
      <c r="K298" s="483">
        <v>6</v>
      </c>
      <c r="L298" s="500"/>
      <c r="M298" s="485">
        <f t="shared" si="101"/>
        <v>12.75</v>
      </c>
      <c r="N298" s="486"/>
      <c r="O298" s="486"/>
    </row>
    <row r="299" spans="1:17" s="487" customFormat="1" ht="18" customHeight="1">
      <c r="A299" s="478"/>
      <c r="B299" s="336"/>
      <c r="C299" s="479"/>
      <c r="D299" s="480"/>
      <c r="E299" s="724"/>
      <c r="F299" s="482"/>
      <c r="G299" s="483"/>
      <c r="H299" s="484"/>
      <c r="I299" s="483"/>
      <c r="J299" s="749"/>
      <c r="K299" s="483"/>
      <c r="L299" s="500" t="str">
        <f>B283</f>
        <v>(p) Stair</v>
      </c>
      <c r="M299" s="485"/>
      <c r="N299" s="858">
        <f>SUM(M295:M298)</f>
        <v>110.78414351851852</v>
      </c>
      <c r="O299" s="839" t="s">
        <v>21</v>
      </c>
    </row>
    <row r="300" spans="1:17" s="487" customFormat="1" ht="18" customHeight="1">
      <c r="A300" s="478"/>
      <c r="B300" s="723" t="s">
        <v>643</v>
      </c>
      <c r="C300" s="479"/>
      <c r="D300" s="480"/>
      <c r="E300" s="724"/>
      <c r="F300" s="482"/>
      <c r="G300" s="483"/>
      <c r="H300" s="484"/>
      <c r="I300" s="483"/>
      <c r="J300" s="749"/>
      <c r="K300" s="483"/>
      <c r="L300" s="500"/>
      <c r="M300" s="485"/>
      <c r="N300" s="486"/>
      <c r="O300" s="486"/>
    </row>
    <row r="301" spans="1:17" s="487" customFormat="1" ht="18" customHeight="1">
      <c r="A301" s="478"/>
      <c r="B301" s="869" t="s">
        <v>109</v>
      </c>
      <c r="C301" s="479"/>
      <c r="D301" s="480"/>
      <c r="E301" s="724"/>
      <c r="F301" s="482"/>
      <c r="G301" s="483"/>
      <c r="H301" s="484"/>
      <c r="I301" s="483"/>
      <c r="J301" s="749"/>
      <c r="K301" s="483"/>
      <c r="L301" s="500"/>
      <c r="M301" s="485"/>
      <c r="N301" s="486"/>
      <c r="O301" s="486"/>
    </row>
    <row r="302" spans="1:17" s="487" customFormat="1" ht="18" customHeight="1">
      <c r="A302" s="478"/>
      <c r="B302" s="726" t="s">
        <v>169</v>
      </c>
      <c r="C302" s="479"/>
      <c r="D302" s="480"/>
      <c r="E302" s="724"/>
      <c r="F302" s="482"/>
      <c r="G302" s="483"/>
      <c r="H302" s="484"/>
      <c r="I302" s="483"/>
      <c r="J302" s="749"/>
      <c r="K302" s="483"/>
      <c r="L302" s="500"/>
      <c r="M302" s="485"/>
      <c r="N302" s="486"/>
      <c r="O302" s="486"/>
    </row>
    <row r="303" spans="1:17" s="487" customFormat="1" ht="18" customHeight="1">
      <c r="A303" s="478"/>
      <c r="B303" s="873" t="s">
        <v>388</v>
      </c>
      <c r="C303" s="479"/>
      <c r="D303" s="480"/>
      <c r="E303" s="724"/>
      <c r="F303" s="482"/>
      <c r="G303" s="483"/>
      <c r="H303" s="484"/>
      <c r="I303" s="483"/>
      <c r="J303" s="749"/>
      <c r="K303" s="483"/>
      <c r="L303" s="500"/>
      <c r="M303" s="485"/>
      <c r="N303" s="486"/>
      <c r="O303" s="486"/>
    </row>
    <row r="304" spans="1:17" s="487" customFormat="1" ht="18" customHeight="1">
      <c r="A304" s="478"/>
      <c r="B304" s="336" t="s">
        <v>389</v>
      </c>
      <c r="C304" s="479">
        <v>2</v>
      </c>
      <c r="D304" s="480" t="s">
        <v>87</v>
      </c>
      <c r="E304" s="724">
        <v>1</v>
      </c>
      <c r="F304" s="482">
        <v>16</v>
      </c>
      <c r="G304" s="483">
        <v>6</v>
      </c>
      <c r="H304" s="484">
        <f>0</f>
        <v>0</v>
      </c>
      <c r="I304" s="819">
        <v>4.5</v>
      </c>
      <c r="J304" s="749">
        <f>0</f>
        <v>0</v>
      </c>
      <c r="K304" s="819">
        <f>4.5</f>
        <v>4.5</v>
      </c>
      <c r="L304" s="500"/>
      <c r="M304" s="485">
        <f t="shared" ref="M304:M312" si="102">IF(C304=0,1,C304)*IF(E304=0,1,E304)*IF((F304+G304/12)=0,1,(F304+G304/12))*IF((H304+I304/12)=0,1,(H304+I304/12))*IF((J304+K304/12)=0,1,(J304+K304/12))</f>
        <v>4.640625</v>
      </c>
      <c r="N304" s="486"/>
      <c r="O304" s="486"/>
    </row>
    <row r="305" spans="1:16" s="487" customFormat="1" ht="18" customHeight="1">
      <c r="A305" s="478"/>
      <c r="B305" s="336" t="s">
        <v>390</v>
      </c>
      <c r="C305" s="479">
        <v>2</v>
      </c>
      <c r="D305" s="480" t="s">
        <v>87</v>
      </c>
      <c r="E305" s="724">
        <v>1</v>
      </c>
      <c r="F305" s="482">
        <f>F304</f>
        <v>16</v>
      </c>
      <c r="G305" s="483">
        <v>6</v>
      </c>
      <c r="H305" s="484">
        <f t="shared" ref="H305:K312" si="103">H304</f>
        <v>0</v>
      </c>
      <c r="I305" s="819">
        <f t="shared" si="103"/>
        <v>4.5</v>
      </c>
      <c r="J305" s="749">
        <f t="shared" si="103"/>
        <v>0</v>
      </c>
      <c r="K305" s="819">
        <f t="shared" si="103"/>
        <v>4.5</v>
      </c>
      <c r="L305" s="500"/>
      <c r="M305" s="485">
        <f t="shared" si="102"/>
        <v>4.640625</v>
      </c>
      <c r="N305" s="486"/>
      <c r="O305" s="486"/>
    </row>
    <row r="306" spans="1:16" s="487" customFormat="1" ht="18" customHeight="1">
      <c r="A306" s="478"/>
      <c r="B306" s="336" t="s">
        <v>391</v>
      </c>
      <c r="C306" s="479">
        <v>2</v>
      </c>
      <c r="D306" s="480" t="s">
        <v>87</v>
      </c>
      <c r="E306" s="724">
        <v>2</v>
      </c>
      <c r="F306" s="482">
        <v>15</v>
      </c>
      <c r="G306" s="483">
        <v>0</v>
      </c>
      <c r="H306" s="484">
        <f t="shared" si="103"/>
        <v>0</v>
      </c>
      <c r="I306" s="819">
        <f t="shared" si="103"/>
        <v>4.5</v>
      </c>
      <c r="J306" s="749">
        <f t="shared" si="103"/>
        <v>0</v>
      </c>
      <c r="K306" s="819">
        <f t="shared" si="103"/>
        <v>4.5</v>
      </c>
      <c r="L306" s="500"/>
      <c r="M306" s="485">
        <f t="shared" si="102"/>
        <v>8.4375</v>
      </c>
      <c r="N306" s="486"/>
      <c r="O306" s="486"/>
    </row>
    <row r="307" spans="1:16" s="487" customFormat="1" ht="18" customHeight="1">
      <c r="A307" s="478"/>
      <c r="B307" s="336" t="s">
        <v>392</v>
      </c>
      <c r="C307" s="479">
        <v>2</v>
      </c>
      <c r="D307" s="480" t="s">
        <v>87</v>
      </c>
      <c r="E307" s="724">
        <v>1</v>
      </c>
      <c r="F307" s="482">
        <v>14</v>
      </c>
      <c r="G307" s="483">
        <v>0</v>
      </c>
      <c r="H307" s="484">
        <f t="shared" si="103"/>
        <v>0</v>
      </c>
      <c r="I307" s="819">
        <f t="shared" si="103"/>
        <v>4.5</v>
      </c>
      <c r="J307" s="749">
        <f t="shared" si="103"/>
        <v>0</v>
      </c>
      <c r="K307" s="819">
        <f t="shared" si="103"/>
        <v>4.5</v>
      </c>
      <c r="L307" s="500"/>
      <c r="M307" s="485">
        <f t="shared" si="102"/>
        <v>3.9375</v>
      </c>
      <c r="N307" s="486"/>
      <c r="O307" s="486"/>
      <c r="P307" s="487">
        <f>15.58-1-0.5*1.17</f>
        <v>13.995000000000001</v>
      </c>
    </row>
    <row r="308" spans="1:16" s="487" customFormat="1" ht="18" customHeight="1">
      <c r="A308" s="478"/>
      <c r="B308" s="336" t="s">
        <v>393</v>
      </c>
      <c r="C308" s="479">
        <v>2</v>
      </c>
      <c r="D308" s="480" t="s">
        <v>87</v>
      </c>
      <c r="E308" s="724">
        <v>1</v>
      </c>
      <c r="F308" s="482">
        <v>14</v>
      </c>
      <c r="G308" s="483">
        <v>7</v>
      </c>
      <c r="H308" s="484">
        <f t="shared" si="103"/>
        <v>0</v>
      </c>
      <c r="I308" s="819">
        <f t="shared" si="103"/>
        <v>4.5</v>
      </c>
      <c r="J308" s="749">
        <f t="shared" si="103"/>
        <v>0</v>
      </c>
      <c r="K308" s="819">
        <f t="shared" si="103"/>
        <v>4.5</v>
      </c>
      <c r="L308" s="500"/>
      <c r="M308" s="485">
        <f t="shared" si="102"/>
        <v>4.1015625</v>
      </c>
      <c r="N308" s="486"/>
      <c r="O308" s="486"/>
    </row>
    <row r="309" spans="1:16" s="487" customFormat="1" ht="18" customHeight="1">
      <c r="A309" s="478"/>
      <c r="B309" s="336" t="s">
        <v>394</v>
      </c>
      <c r="C309" s="479">
        <v>2</v>
      </c>
      <c r="D309" s="480" t="s">
        <v>87</v>
      </c>
      <c r="E309" s="724">
        <v>1</v>
      </c>
      <c r="F309" s="482">
        <v>7</v>
      </c>
      <c r="G309" s="483">
        <v>10</v>
      </c>
      <c r="H309" s="484">
        <f t="shared" si="103"/>
        <v>0</v>
      </c>
      <c r="I309" s="819">
        <f t="shared" si="103"/>
        <v>4.5</v>
      </c>
      <c r="J309" s="749">
        <f t="shared" si="103"/>
        <v>0</v>
      </c>
      <c r="K309" s="819">
        <f t="shared" si="103"/>
        <v>4.5</v>
      </c>
      <c r="L309" s="500"/>
      <c r="M309" s="485">
        <f t="shared" si="102"/>
        <v>2.203125</v>
      </c>
      <c r="N309" s="486"/>
      <c r="O309" s="486"/>
    </row>
    <row r="310" spans="1:16" s="487" customFormat="1" ht="18" customHeight="1">
      <c r="A310" s="478"/>
      <c r="B310" s="336" t="s">
        <v>395</v>
      </c>
      <c r="C310" s="479">
        <v>2</v>
      </c>
      <c r="D310" s="480" t="s">
        <v>87</v>
      </c>
      <c r="E310" s="724">
        <v>1</v>
      </c>
      <c r="F310" s="482">
        <v>8</v>
      </c>
      <c r="G310" s="483">
        <v>0</v>
      </c>
      <c r="H310" s="484">
        <f t="shared" si="103"/>
        <v>0</v>
      </c>
      <c r="I310" s="819">
        <f t="shared" si="103"/>
        <v>4.5</v>
      </c>
      <c r="J310" s="749">
        <f t="shared" si="103"/>
        <v>0</v>
      </c>
      <c r="K310" s="819">
        <f t="shared" si="103"/>
        <v>4.5</v>
      </c>
      <c r="L310" s="500"/>
      <c r="M310" s="485">
        <f t="shared" si="102"/>
        <v>2.25</v>
      </c>
      <c r="N310" s="486"/>
      <c r="O310" s="486"/>
    </row>
    <row r="311" spans="1:16" s="487" customFormat="1" ht="18" customHeight="1">
      <c r="A311" s="478"/>
      <c r="B311" s="336" t="s">
        <v>396</v>
      </c>
      <c r="C311" s="479">
        <v>2</v>
      </c>
      <c r="D311" s="480" t="s">
        <v>87</v>
      </c>
      <c r="E311" s="724">
        <v>1</v>
      </c>
      <c r="F311" s="482">
        <v>10</v>
      </c>
      <c r="G311" s="483">
        <v>4</v>
      </c>
      <c r="H311" s="484">
        <f t="shared" si="103"/>
        <v>0</v>
      </c>
      <c r="I311" s="819">
        <f t="shared" si="103"/>
        <v>4.5</v>
      </c>
      <c r="J311" s="749">
        <f t="shared" si="103"/>
        <v>0</v>
      </c>
      <c r="K311" s="819">
        <f t="shared" si="103"/>
        <v>4.5</v>
      </c>
      <c r="L311" s="500"/>
      <c r="M311" s="485">
        <f t="shared" si="102"/>
        <v>2.90625</v>
      </c>
      <c r="N311" s="486"/>
      <c r="O311" s="486"/>
      <c r="P311" s="487">
        <f>11.92-1-0.5*1.17</f>
        <v>10.335000000000001</v>
      </c>
    </row>
    <row r="312" spans="1:16" s="487" customFormat="1" ht="18" customHeight="1">
      <c r="A312" s="478"/>
      <c r="B312" s="336" t="s">
        <v>397</v>
      </c>
      <c r="C312" s="479">
        <v>2</v>
      </c>
      <c r="D312" s="480" t="s">
        <v>87</v>
      </c>
      <c r="E312" s="724">
        <v>1</v>
      </c>
      <c r="F312" s="482">
        <v>10</v>
      </c>
      <c r="G312" s="483">
        <v>11</v>
      </c>
      <c r="H312" s="484">
        <f t="shared" si="103"/>
        <v>0</v>
      </c>
      <c r="I312" s="819">
        <f t="shared" si="103"/>
        <v>4.5</v>
      </c>
      <c r="J312" s="749">
        <f t="shared" si="103"/>
        <v>0</v>
      </c>
      <c r="K312" s="819">
        <f t="shared" si="103"/>
        <v>4.5</v>
      </c>
      <c r="L312" s="500"/>
      <c r="M312" s="485">
        <f t="shared" si="102"/>
        <v>3.0703125</v>
      </c>
      <c r="N312" s="486"/>
      <c r="O312" s="486"/>
    </row>
    <row r="313" spans="1:16" ht="18" customHeight="1">
      <c r="A313" s="474"/>
      <c r="B313" s="494"/>
      <c r="C313" s="488"/>
      <c r="D313" s="489"/>
      <c r="E313" s="589"/>
      <c r="F313" s="491"/>
      <c r="G313" s="496"/>
      <c r="H313" s="497"/>
      <c r="I313" s="625"/>
      <c r="J313" s="609"/>
      <c r="K313" s="625"/>
      <c r="L313" s="626"/>
      <c r="M313" s="475"/>
      <c r="N313" s="476"/>
      <c r="O313" s="476"/>
    </row>
    <row r="314" spans="1:16" s="487" customFormat="1" ht="18" customHeight="1">
      <c r="A314" s="478"/>
      <c r="B314" s="873" t="s">
        <v>406</v>
      </c>
      <c r="C314" s="479"/>
      <c r="D314" s="480"/>
      <c r="E314" s="724"/>
      <c r="F314" s="482"/>
      <c r="G314" s="483"/>
      <c r="H314" s="484"/>
      <c r="I314" s="483"/>
      <c r="J314" s="749"/>
      <c r="K314" s="483"/>
      <c r="L314" s="500"/>
      <c r="M314" s="485"/>
      <c r="N314" s="486"/>
      <c r="O314" s="486"/>
    </row>
    <row r="315" spans="1:16" s="487" customFormat="1" ht="18" customHeight="1">
      <c r="A315" s="478"/>
      <c r="B315" s="336" t="s">
        <v>398</v>
      </c>
      <c r="C315" s="479">
        <f>2</f>
        <v>2</v>
      </c>
      <c r="D315" s="480" t="s">
        <v>87</v>
      </c>
      <c r="E315" s="724">
        <v>2</v>
      </c>
      <c r="F315" s="482">
        <v>10</v>
      </c>
      <c r="G315" s="483">
        <v>10</v>
      </c>
      <c r="H315" s="484">
        <f>0</f>
        <v>0</v>
      </c>
      <c r="I315" s="819">
        <v>4.5</v>
      </c>
      <c r="J315" s="749">
        <f>0</f>
        <v>0</v>
      </c>
      <c r="K315" s="819">
        <f>4.5</f>
        <v>4.5</v>
      </c>
      <c r="L315" s="500"/>
      <c r="M315" s="485">
        <f t="shared" ref="M315:M322" si="104">IF(C315=0,1,C315)*IF(E315=0,1,E315)*IF((F315+G315/12)=0,1,(F315+G315/12))*IF((H315+I315/12)=0,1,(H315+I315/12))*IF((J315+K315/12)=0,1,(J315+K315/12))</f>
        <v>6.09375</v>
      </c>
      <c r="N315" s="486"/>
      <c r="O315" s="486"/>
      <c r="P315" s="487">
        <f>12-1.17</f>
        <v>10.83</v>
      </c>
    </row>
    <row r="316" spans="1:16" s="487" customFormat="1" ht="18" customHeight="1">
      <c r="A316" s="478"/>
      <c r="B316" s="336" t="s">
        <v>399</v>
      </c>
      <c r="C316" s="479">
        <v>2</v>
      </c>
      <c r="D316" s="480" t="s">
        <v>87</v>
      </c>
      <c r="E316" s="724">
        <v>1</v>
      </c>
      <c r="F316" s="482">
        <v>15</v>
      </c>
      <c r="G316" s="483">
        <v>7</v>
      </c>
      <c r="H316" s="484">
        <f>H315</f>
        <v>0</v>
      </c>
      <c r="I316" s="819">
        <f>I315</f>
        <v>4.5</v>
      </c>
      <c r="J316" s="749">
        <f>J315</f>
        <v>0</v>
      </c>
      <c r="K316" s="819">
        <f>K315</f>
        <v>4.5</v>
      </c>
      <c r="L316" s="500"/>
      <c r="M316" s="485">
        <f t="shared" si="104"/>
        <v>4.3828125</v>
      </c>
      <c r="N316" s="486"/>
      <c r="O316" s="486"/>
    </row>
    <row r="317" spans="1:16" s="487" customFormat="1" ht="18" customHeight="1">
      <c r="A317" s="478"/>
      <c r="B317" s="336" t="s">
        <v>645</v>
      </c>
      <c r="C317" s="479">
        <v>2</v>
      </c>
      <c r="D317" s="480" t="s">
        <v>87</v>
      </c>
      <c r="E317" s="724">
        <v>1</v>
      </c>
      <c r="F317" s="482">
        <v>11</v>
      </c>
      <c r="G317" s="483">
        <v>0</v>
      </c>
      <c r="H317" s="484">
        <f t="shared" ref="H317:H322" si="105">H316</f>
        <v>0</v>
      </c>
      <c r="I317" s="819">
        <f t="shared" ref="I317:I322" si="106">I316</f>
        <v>4.5</v>
      </c>
      <c r="J317" s="749">
        <f t="shared" ref="J317:J322" si="107">J316</f>
        <v>0</v>
      </c>
      <c r="K317" s="819">
        <f t="shared" ref="K317:K322" si="108">K316</f>
        <v>4.5</v>
      </c>
      <c r="L317" s="500"/>
      <c r="M317" s="485">
        <f t="shared" si="104"/>
        <v>3.09375</v>
      </c>
      <c r="N317" s="486"/>
      <c r="O317" s="486"/>
    </row>
    <row r="318" spans="1:16" s="487" customFormat="1" ht="18" customHeight="1">
      <c r="A318" s="478"/>
      <c r="B318" s="336" t="s">
        <v>400</v>
      </c>
      <c r="C318" s="479">
        <v>2</v>
      </c>
      <c r="D318" s="480" t="s">
        <v>87</v>
      </c>
      <c r="E318" s="724">
        <f>1</f>
        <v>1</v>
      </c>
      <c r="F318" s="482">
        <v>14</v>
      </c>
      <c r="G318" s="483">
        <v>6</v>
      </c>
      <c r="H318" s="484">
        <f t="shared" si="105"/>
        <v>0</v>
      </c>
      <c r="I318" s="819">
        <f t="shared" si="106"/>
        <v>4.5</v>
      </c>
      <c r="J318" s="749">
        <f t="shared" si="107"/>
        <v>0</v>
      </c>
      <c r="K318" s="819">
        <f t="shared" si="108"/>
        <v>4.5</v>
      </c>
      <c r="L318" s="726"/>
      <c r="M318" s="485">
        <f t="shared" si="104"/>
        <v>4.078125</v>
      </c>
      <c r="N318" s="486"/>
      <c r="O318" s="486"/>
    </row>
    <row r="319" spans="1:16" s="487" customFormat="1" ht="18" customHeight="1">
      <c r="A319" s="478"/>
      <c r="B319" s="336" t="s">
        <v>401</v>
      </c>
      <c r="C319" s="479">
        <v>2</v>
      </c>
      <c r="D319" s="480" t="s">
        <v>87</v>
      </c>
      <c r="E319" s="724">
        <f>1</f>
        <v>1</v>
      </c>
      <c r="F319" s="482">
        <v>7</v>
      </c>
      <c r="G319" s="483">
        <v>6</v>
      </c>
      <c r="H319" s="484">
        <f t="shared" si="105"/>
        <v>0</v>
      </c>
      <c r="I319" s="819">
        <f t="shared" si="106"/>
        <v>4.5</v>
      </c>
      <c r="J319" s="749">
        <f t="shared" si="107"/>
        <v>0</v>
      </c>
      <c r="K319" s="819">
        <f t="shared" si="108"/>
        <v>4.5</v>
      </c>
      <c r="L319" s="500"/>
      <c r="M319" s="485">
        <f t="shared" si="104"/>
        <v>2.109375</v>
      </c>
      <c r="N319" s="486"/>
      <c r="O319" s="486"/>
      <c r="P319" s="487">
        <f>9-1.5*1</f>
        <v>7.5</v>
      </c>
    </row>
    <row r="320" spans="1:16" s="487" customFormat="1" ht="18" customHeight="1">
      <c r="A320" s="478"/>
      <c r="B320" s="336" t="s">
        <v>402</v>
      </c>
      <c r="C320" s="479">
        <v>2</v>
      </c>
      <c r="D320" s="480" t="s">
        <v>87</v>
      </c>
      <c r="E320" s="724">
        <f>1</f>
        <v>1</v>
      </c>
      <c r="F320" s="482">
        <v>10</v>
      </c>
      <c r="G320" s="483">
        <v>5</v>
      </c>
      <c r="H320" s="484">
        <f t="shared" si="105"/>
        <v>0</v>
      </c>
      <c r="I320" s="819">
        <f t="shared" si="106"/>
        <v>4.5</v>
      </c>
      <c r="J320" s="749">
        <f t="shared" si="107"/>
        <v>0</v>
      </c>
      <c r="K320" s="819">
        <f t="shared" si="108"/>
        <v>4.5</v>
      </c>
      <c r="L320" s="500"/>
      <c r="M320" s="485">
        <f t="shared" si="104"/>
        <v>2.9296875</v>
      </c>
      <c r="N320" s="486"/>
      <c r="O320" s="486"/>
      <c r="P320" s="487">
        <f>11.92-1.5*1</f>
        <v>10.42</v>
      </c>
    </row>
    <row r="321" spans="1:16" s="487" customFormat="1" ht="18" customHeight="1">
      <c r="A321" s="478"/>
      <c r="B321" s="336" t="s">
        <v>403</v>
      </c>
      <c r="C321" s="479">
        <v>2</v>
      </c>
      <c r="D321" s="480" t="s">
        <v>87</v>
      </c>
      <c r="E321" s="724">
        <v>1</v>
      </c>
      <c r="F321" s="482">
        <v>7</v>
      </c>
      <c r="G321" s="483">
        <v>11</v>
      </c>
      <c r="H321" s="484">
        <f t="shared" si="105"/>
        <v>0</v>
      </c>
      <c r="I321" s="819">
        <f t="shared" si="106"/>
        <v>4.5</v>
      </c>
      <c r="J321" s="749">
        <f t="shared" si="107"/>
        <v>0</v>
      </c>
      <c r="K321" s="819">
        <f t="shared" si="108"/>
        <v>4.5</v>
      </c>
      <c r="L321" s="500"/>
      <c r="M321" s="485">
        <f t="shared" si="104"/>
        <v>2.2265625</v>
      </c>
      <c r="N321" s="486"/>
      <c r="O321" s="486"/>
    </row>
    <row r="322" spans="1:16" s="487" customFormat="1" ht="18" customHeight="1">
      <c r="A322" s="478"/>
      <c r="B322" s="336" t="s">
        <v>404</v>
      </c>
      <c r="C322" s="479">
        <f>2</f>
        <v>2</v>
      </c>
      <c r="D322" s="480" t="s">
        <v>87</v>
      </c>
      <c r="E322" s="724">
        <v>1</v>
      </c>
      <c r="F322" s="482">
        <v>5</v>
      </c>
      <c r="G322" s="483">
        <v>7</v>
      </c>
      <c r="H322" s="484">
        <f t="shared" si="105"/>
        <v>0</v>
      </c>
      <c r="I322" s="819">
        <f t="shared" si="106"/>
        <v>4.5</v>
      </c>
      <c r="J322" s="749">
        <f t="shared" si="107"/>
        <v>0</v>
      </c>
      <c r="K322" s="819">
        <f t="shared" si="108"/>
        <v>4.5</v>
      </c>
      <c r="L322" s="500"/>
      <c r="M322" s="485">
        <f t="shared" si="104"/>
        <v>1.5703125</v>
      </c>
      <c r="N322" s="486"/>
      <c r="O322" s="486"/>
    </row>
    <row r="323" spans="1:16" s="487" customFormat="1" ht="18" customHeight="1">
      <c r="A323" s="478"/>
      <c r="B323" s="726" t="s">
        <v>170</v>
      </c>
      <c r="C323" s="479"/>
      <c r="D323" s="480"/>
      <c r="E323" s="724"/>
      <c r="F323" s="482"/>
      <c r="G323" s="483"/>
      <c r="H323" s="484"/>
      <c r="I323" s="483"/>
      <c r="J323" s="749"/>
      <c r="K323" s="483"/>
      <c r="L323" s="500"/>
      <c r="M323" s="485"/>
      <c r="N323" s="486"/>
      <c r="O323" s="486"/>
    </row>
    <row r="324" spans="1:16" s="487" customFormat="1" ht="18" customHeight="1">
      <c r="A324" s="478"/>
      <c r="B324" s="336" t="s">
        <v>405</v>
      </c>
      <c r="C324" s="479">
        <v>6</v>
      </c>
      <c r="D324" s="480" t="s">
        <v>87</v>
      </c>
      <c r="E324" s="724">
        <f>1</f>
        <v>1</v>
      </c>
      <c r="F324" s="482">
        <v>13</v>
      </c>
      <c r="G324" s="483">
        <v>0</v>
      </c>
      <c r="H324" s="484">
        <f>H322</f>
        <v>0</v>
      </c>
      <c r="I324" s="819">
        <f>I322</f>
        <v>4.5</v>
      </c>
      <c r="J324" s="749">
        <f>J322</f>
        <v>0</v>
      </c>
      <c r="K324" s="819">
        <f>K322</f>
        <v>4.5</v>
      </c>
      <c r="L324" s="500"/>
      <c r="M324" s="485">
        <f>IF(C324=0,1,C324)*IF(E324=0,1,E324)*IF((F324+G324/12)=0,1,(F324+G324/12))*IF((H324+I324/12)=0,1,(H324+I324/12))*IF((J324+K324/12)=0,1,(J324+K324/12))</f>
        <v>10.96875</v>
      </c>
      <c r="N324" s="486"/>
      <c r="O324" s="486"/>
    </row>
    <row r="325" spans="1:16" ht="18" customHeight="1">
      <c r="A325" s="474"/>
      <c r="B325" s="494"/>
      <c r="C325" s="488"/>
      <c r="D325" s="489"/>
      <c r="E325" s="589"/>
      <c r="F325" s="491"/>
      <c r="G325" s="496"/>
      <c r="H325" s="497"/>
      <c r="I325" s="625"/>
      <c r="J325" s="609"/>
      <c r="K325" s="625"/>
      <c r="L325" s="626"/>
      <c r="M325" s="475"/>
      <c r="N325" s="858">
        <f>SUM(M304:M324)</f>
        <v>73.640625</v>
      </c>
      <c r="O325" s="839" t="s">
        <v>21</v>
      </c>
      <c r="P325" s="477">
        <f>N325/((I324/12)*(K324/12))</f>
        <v>523.66666666666663</v>
      </c>
    </row>
    <row r="326" spans="1:16" s="487" customFormat="1" ht="18" customHeight="1">
      <c r="A326" s="478"/>
      <c r="B326" s="876" t="s">
        <v>171</v>
      </c>
      <c r="C326" s="479"/>
      <c r="D326" s="480"/>
      <c r="E326" s="724"/>
      <c r="F326" s="482"/>
      <c r="G326" s="483"/>
      <c r="H326" s="484"/>
      <c r="I326" s="483"/>
      <c r="J326" s="749"/>
      <c r="K326" s="483"/>
      <c r="L326" s="500"/>
      <c r="M326" s="485"/>
      <c r="N326" s="486"/>
      <c r="O326" s="486"/>
    </row>
    <row r="327" spans="1:16" s="487" customFormat="1" ht="18" customHeight="1">
      <c r="A327" s="478"/>
      <c r="B327" s="726" t="s">
        <v>169</v>
      </c>
      <c r="C327" s="479"/>
      <c r="D327" s="480"/>
      <c r="E327" s="724"/>
      <c r="F327" s="482"/>
      <c r="G327" s="483"/>
      <c r="H327" s="484"/>
      <c r="I327" s="483"/>
      <c r="J327" s="749"/>
      <c r="K327" s="483"/>
      <c r="L327" s="500"/>
      <c r="M327" s="485"/>
      <c r="N327" s="486"/>
      <c r="O327" s="486"/>
    </row>
    <row r="328" spans="1:16" s="487" customFormat="1" ht="18" customHeight="1">
      <c r="A328" s="478"/>
      <c r="B328" s="873" t="s">
        <v>388</v>
      </c>
      <c r="C328" s="479"/>
      <c r="D328" s="480"/>
      <c r="E328" s="724"/>
      <c r="F328" s="482"/>
      <c r="G328" s="483"/>
      <c r="H328" s="484"/>
      <c r="I328" s="483"/>
      <c r="J328" s="749"/>
      <c r="K328" s="483"/>
      <c r="L328" s="500"/>
      <c r="M328" s="485"/>
      <c r="N328" s="486"/>
      <c r="O328" s="486"/>
    </row>
    <row r="329" spans="1:16" s="487" customFormat="1" ht="18" customHeight="1">
      <c r="A329" s="478"/>
      <c r="B329" s="336" t="s">
        <v>389</v>
      </c>
      <c r="C329" s="479">
        <v>2</v>
      </c>
      <c r="D329" s="480" t="s">
        <v>87</v>
      </c>
      <c r="E329" s="724">
        <v>1</v>
      </c>
      <c r="F329" s="482">
        <v>16</v>
      </c>
      <c r="G329" s="483">
        <v>6</v>
      </c>
      <c r="H329" s="484">
        <f>0</f>
        <v>0</v>
      </c>
      <c r="I329" s="819">
        <v>4.5</v>
      </c>
      <c r="J329" s="749">
        <f>0</f>
        <v>0</v>
      </c>
      <c r="K329" s="819">
        <f>4.5</f>
        <v>4.5</v>
      </c>
      <c r="L329" s="500"/>
      <c r="M329" s="485">
        <f t="shared" ref="M329:M337" si="109">IF(C329=0,1,C329)*IF(E329=0,1,E329)*IF((F329+G329/12)=0,1,(F329+G329/12))*IF((H329+I329/12)=0,1,(H329+I329/12))*IF((J329+K329/12)=0,1,(J329+K329/12))</f>
        <v>4.640625</v>
      </c>
      <c r="N329" s="486"/>
      <c r="O329" s="486"/>
    </row>
    <row r="330" spans="1:16" s="487" customFormat="1" ht="18" customHeight="1">
      <c r="A330" s="478"/>
      <c r="B330" s="336" t="s">
        <v>390</v>
      </c>
      <c r="C330" s="479">
        <v>2</v>
      </c>
      <c r="D330" s="480" t="s">
        <v>87</v>
      </c>
      <c r="E330" s="724">
        <v>1</v>
      </c>
      <c r="F330" s="482">
        <f>F329</f>
        <v>16</v>
      </c>
      <c r="G330" s="483">
        <v>6</v>
      </c>
      <c r="H330" s="484">
        <f t="shared" ref="H330:K330" si="110">H329</f>
        <v>0</v>
      </c>
      <c r="I330" s="819">
        <f t="shared" si="110"/>
        <v>4.5</v>
      </c>
      <c r="J330" s="749">
        <f t="shared" si="110"/>
        <v>0</v>
      </c>
      <c r="K330" s="819">
        <f t="shared" si="110"/>
        <v>4.5</v>
      </c>
      <c r="L330" s="500"/>
      <c r="M330" s="485">
        <f t="shared" si="109"/>
        <v>4.640625</v>
      </c>
      <c r="N330" s="486"/>
      <c r="O330" s="486"/>
    </row>
    <row r="331" spans="1:16" s="487" customFormat="1" ht="18" customHeight="1">
      <c r="A331" s="478"/>
      <c r="B331" s="336" t="s">
        <v>391</v>
      </c>
      <c r="C331" s="479">
        <v>2</v>
      </c>
      <c r="D331" s="480" t="s">
        <v>87</v>
      </c>
      <c r="E331" s="724">
        <v>2</v>
      </c>
      <c r="F331" s="482">
        <v>15</v>
      </c>
      <c r="G331" s="483">
        <v>0</v>
      </c>
      <c r="H331" s="484">
        <f t="shared" ref="H331:K331" si="111">H330</f>
        <v>0</v>
      </c>
      <c r="I331" s="819">
        <f t="shared" si="111"/>
        <v>4.5</v>
      </c>
      <c r="J331" s="749">
        <f t="shared" si="111"/>
        <v>0</v>
      </c>
      <c r="K331" s="819">
        <f t="shared" si="111"/>
        <v>4.5</v>
      </c>
      <c r="L331" s="500"/>
      <c r="M331" s="485">
        <f t="shared" si="109"/>
        <v>8.4375</v>
      </c>
      <c r="N331" s="486"/>
      <c r="O331" s="486"/>
    </row>
    <row r="332" spans="1:16" s="487" customFormat="1" ht="18" customHeight="1">
      <c r="A332" s="478"/>
      <c r="B332" s="336" t="s">
        <v>392</v>
      </c>
      <c r="C332" s="479">
        <v>2</v>
      </c>
      <c r="D332" s="480" t="s">
        <v>87</v>
      </c>
      <c r="E332" s="724">
        <v>1</v>
      </c>
      <c r="F332" s="482">
        <v>14</v>
      </c>
      <c r="G332" s="483">
        <v>0</v>
      </c>
      <c r="H332" s="484">
        <f t="shared" ref="H332:K332" si="112">H331</f>
        <v>0</v>
      </c>
      <c r="I332" s="819">
        <f t="shared" si="112"/>
        <v>4.5</v>
      </c>
      <c r="J332" s="749">
        <f t="shared" si="112"/>
        <v>0</v>
      </c>
      <c r="K332" s="819">
        <f t="shared" si="112"/>
        <v>4.5</v>
      </c>
      <c r="L332" s="500"/>
      <c r="M332" s="485">
        <f t="shared" si="109"/>
        <v>3.9375</v>
      </c>
      <c r="N332" s="486"/>
      <c r="O332" s="486"/>
      <c r="P332" s="487">
        <f>15.58-1-0.5*1.17</f>
        <v>13.995000000000001</v>
      </c>
    </row>
    <row r="333" spans="1:16" s="487" customFormat="1" ht="18" customHeight="1">
      <c r="A333" s="478"/>
      <c r="B333" s="336" t="s">
        <v>393</v>
      </c>
      <c r="C333" s="479">
        <v>2</v>
      </c>
      <c r="D333" s="480" t="s">
        <v>87</v>
      </c>
      <c r="E333" s="724">
        <v>1</v>
      </c>
      <c r="F333" s="482">
        <v>14</v>
      </c>
      <c r="G333" s="483">
        <v>7</v>
      </c>
      <c r="H333" s="484">
        <f t="shared" ref="H333:K333" si="113">H332</f>
        <v>0</v>
      </c>
      <c r="I333" s="819">
        <f t="shared" si="113"/>
        <v>4.5</v>
      </c>
      <c r="J333" s="749">
        <f t="shared" si="113"/>
        <v>0</v>
      </c>
      <c r="K333" s="819">
        <f t="shared" si="113"/>
        <v>4.5</v>
      </c>
      <c r="L333" s="500"/>
      <c r="M333" s="485">
        <f t="shared" si="109"/>
        <v>4.1015625</v>
      </c>
      <c r="N333" s="486"/>
      <c r="O333" s="486"/>
    </row>
    <row r="334" spans="1:16" s="487" customFormat="1" ht="18" customHeight="1">
      <c r="A334" s="478"/>
      <c r="B334" s="336" t="s">
        <v>394</v>
      </c>
      <c r="C334" s="479">
        <v>2</v>
      </c>
      <c r="D334" s="480" t="s">
        <v>87</v>
      </c>
      <c r="E334" s="724">
        <v>1</v>
      </c>
      <c r="F334" s="482">
        <v>7</v>
      </c>
      <c r="G334" s="483">
        <v>10</v>
      </c>
      <c r="H334" s="484">
        <f t="shared" ref="H334:K334" si="114">H333</f>
        <v>0</v>
      </c>
      <c r="I334" s="819">
        <f t="shared" si="114"/>
        <v>4.5</v>
      </c>
      <c r="J334" s="749">
        <f t="shared" si="114"/>
        <v>0</v>
      </c>
      <c r="K334" s="819">
        <f t="shared" si="114"/>
        <v>4.5</v>
      </c>
      <c r="L334" s="500"/>
      <c r="M334" s="485">
        <f t="shared" si="109"/>
        <v>2.203125</v>
      </c>
      <c r="N334" s="486"/>
      <c r="O334" s="486"/>
    </row>
    <row r="335" spans="1:16" s="487" customFormat="1" ht="18" customHeight="1">
      <c r="A335" s="478"/>
      <c r="B335" s="336" t="s">
        <v>395</v>
      </c>
      <c r="C335" s="479">
        <v>2</v>
      </c>
      <c r="D335" s="480" t="s">
        <v>87</v>
      </c>
      <c r="E335" s="724">
        <v>1</v>
      </c>
      <c r="F335" s="482">
        <v>8</v>
      </c>
      <c r="G335" s="483">
        <v>0</v>
      </c>
      <c r="H335" s="484">
        <f t="shared" ref="H335:K335" si="115">H334</f>
        <v>0</v>
      </c>
      <c r="I335" s="819">
        <f t="shared" si="115"/>
        <v>4.5</v>
      </c>
      <c r="J335" s="749">
        <f t="shared" si="115"/>
        <v>0</v>
      </c>
      <c r="K335" s="819">
        <f t="shared" si="115"/>
        <v>4.5</v>
      </c>
      <c r="L335" s="500"/>
      <c r="M335" s="485">
        <f t="shared" si="109"/>
        <v>2.25</v>
      </c>
      <c r="N335" s="486"/>
      <c r="O335" s="486"/>
    </row>
    <row r="336" spans="1:16" s="487" customFormat="1" ht="18" customHeight="1">
      <c r="A336" s="478"/>
      <c r="B336" s="336" t="s">
        <v>396</v>
      </c>
      <c r="C336" s="479">
        <v>2</v>
      </c>
      <c r="D336" s="480" t="s">
        <v>87</v>
      </c>
      <c r="E336" s="724">
        <v>1</v>
      </c>
      <c r="F336" s="482">
        <v>10</v>
      </c>
      <c r="G336" s="483">
        <v>4</v>
      </c>
      <c r="H336" s="484">
        <f t="shared" ref="H336:K336" si="116">H335</f>
        <v>0</v>
      </c>
      <c r="I336" s="819">
        <f t="shared" si="116"/>
        <v>4.5</v>
      </c>
      <c r="J336" s="749">
        <f t="shared" si="116"/>
        <v>0</v>
      </c>
      <c r="K336" s="819">
        <f t="shared" si="116"/>
        <v>4.5</v>
      </c>
      <c r="L336" s="500"/>
      <c r="M336" s="485">
        <f t="shared" si="109"/>
        <v>2.90625</v>
      </c>
      <c r="N336" s="486"/>
      <c r="O336" s="486"/>
      <c r="P336" s="487">
        <f>11.92-1-0.5*1.17</f>
        <v>10.335000000000001</v>
      </c>
    </row>
    <row r="337" spans="1:16" s="487" customFormat="1" ht="18" customHeight="1">
      <c r="A337" s="478"/>
      <c r="B337" s="336" t="s">
        <v>397</v>
      </c>
      <c r="C337" s="479">
        <v>2</v>
      </c>
      <c r="D337" s="480" t="s">
        <v>87</v>
      </c>
      <c r="E337" s="724">
        <v>1</v>
      </c>
      <c r="F337" s="482">
        <v>10</v>
      </c>
      <c r="G337" s="483">
        <v>11</v>
      </c>
      <c r="H337" s="484">
        <f t="shared" ref="H337:K337" si="117">H336</f>
        <v>0</v>
      </c>
      <c r="I337" s="819">
        <f t="shared" si="117"/>
        <v>4.5</v>
      </c>
      <c r="J337" s="749">
        <f t="shared" si="117"/>
        <v>0</v>
      </c>
      <c r="K337" s="819">
        <f t="shared" si="117"/>
        <v>4.5</v>
      </c>
      <c r="L337" s="500"/>
      <c r="M337" s="485">
        <f t="shared" si="109"/>
        <v>3.0703125</v>
      </c>
      <c r="N337" s="486"/>
      <c r="O337" s="486"/>
    </row>
    <row r="338" spans="1:16" s="487" customFormat="1" ht="18" customHeight="1">
      <c r="A338" s="478"/>
      <c r="B338" s="336" t="s">
        <v>646</v>
      </c>
      <c r="C338" s="479">
        <v>2</v>
      </c>
      <c r="D338" s="480" t="s">
        <v>87</v>
      </c>
      <c r="E338" s="724">
        <v>2</v>
      </c>
      <c r="F338" s="482">
        <v>4</v>
      </c>
      <c r="G338" s="483">
        <v>0</v>
      </c>
      <c r="H338" s="484">
        <f t="shared" ref="H338:K338" si="118">H337</f>
        <v>0</v>
      </c>
      <c r="I338" s="819">
        <f t="shared" si="118"/>
        <v>4.5</v>
      </c>
      <c r="J338" s="749">
        <f t="shared" si="118"/>
        <v>0</v>
      </c>
      <c r="K338" s="819">
        <f t="shared" si="118"/>
        <v>4.5</v>
      </c>
      <c r="L338" s="500"/>
      <c r="M338" s="485">
        <f t="shared" ref="M338" si="119">IF(C338=0,1,C338)*IF(E338=0,1,E338)*IF((F338+G338/12)=0,1,(F338+G338/12))*IF((H338+I338/12)=0,1,(H338+I338/12))*IF((J338+K338/12)=0,1,(J338+K338/12))</f>
        <v>2.25</v>
      </c>
      <c r="N338" s="486"/>
      <c r="O338" s="486"/>
    </row>
    <row r="339" spans="1:16" ht="18" customHeight="1">
      <c r="A339" s="474"/>
      <c r="B339" s="494"/>
      <c r="C339" s="488"/>
      <c r="D339" s="489"/>
      <c r="E339" s="589"/>
      <c r="F339" s="491"/>
      <c r="G339" s="496"/>
      <c r="H339" s="497"/>
      <c r="I339" s="625"/>
      <c r="J339" s="609"/>
      <c r="K339" s="625"/>
      <c r="L339" s="626"/>
      <c r="M339" s="475"/>
      <c r="N339" s="476"/>
      <c r="O339" s="476"/>
    </row>
    <row r="340" spans="1:16" s="487" customFormat="1" ht="18" customHeight="1">
      <c r="A340" s="478"/>
      <c r="B340" s="873" t="s">
        <v>406</v>
      </c>
      <c r="C340" s="479"/>
      <c r="D340" s="480"/>
      <c r="E340" s="724"/>
      <c r="F340" s="482"/>
      <c r="G340" s="483"/>
      <c r="H340" s="484"/>
      <c r="I340" s="483"/>
      <c r="J340" s="749"/>
      <c r="K340" s="483"/>
      <c r="L340" s="500"/>
      <c r="M340" s="485"/>
      <c r="N340" s="486"/>
      <c r="O340" s="486"/>
    </row>
    <row r="341" spans="1:16" s="487" customFormat="1" ht="18" customHeight="1">
      <c r="A341" s="478"/>
      <c r="B341" s="336" t="s">
        <v>398</v>
      </c>
      <c r="C341" s="479">
        <f>2</f>
        <v>2</v>
      </c>
      <c r="D341" s="480" t="s">
        <v>87</v>
      </c>
      <c r="E341" s="724">
        <v>2</v>
      </c>
      <c r="F341" s="482">
        <v>10</v>
      </c>
      <c r="G341" s="483">
        <v>10</v>
      </c>
      <c r="H341" s="484">
        <f>H324</f>
        <v>0</v>
      </c>
      <c r="I341" s="819">
        <f>I324</f>
        <v>4.5</v>
      </c>
      <c r="J341" s="749">
        <f>J324</f>
        <v>0</v>
      </c>
      <c r="K341" s="819">
        <f>K324</f>
        <v>4.5</v>
      </c>
      <c r="L341" s="500"/>
      <c r="M341" s="485">
        <f t="shared" ref="M341:M348" si="120">IF(C341=0,1,C341)*IF(E341=0,1,E341)*IF((F341+G341/12)=0,1,(F341+G341/12))*IF((H341+I341/12)=0,1,(H341+I341/12))*IF((J341+K341/12)=0,1,(J341+K341/12))</f>
        <v>6.09375</v>
      </c>
      <c r="N341" s="486"/>
      <c r="O341" s="486"/>
    </row>
    <row r="342" spans="1:16" s="487" customFormat="1" ht="18" customHeight="1">
      <c r="A342" s="478"/>
      <c r="B342" s="336" t="s">
        <v>407</v>
      </c>
      <c r="C342" s="479">
        <f>2</f>
        <v>2</v>
      </c>
      <c r="D342" s="480" t="s">
        <v>87</v>
      </c>
      <c r="E342" s="724">
        <v>1</v>
      </c>
      <c r="F342" s="482">
        <v>8</v>
      </c>
      <c r="G342" s="483">
        <v>0</v>
      </c>
      <c r="H342" s="484">
        <f>H341</f>
        <v>0</v>
      </c>
      <c r="I342" s="819">
        <f>I341</f>
        <v>4.5</v>
      </c>
      <c r="J342" s="749">
        <f>J341</f>
        <v>0</v>
      </c>
      <c r="K342" s="819">
        <f>K341</f>
        <v>4.5</v>
      </c>
      <c r="L342" s="500"/>
      <c r="M342" s="485">
        <f t="shared" si="120"/>
        <v>2.25</v>
      </c>
      <c r="N342" s="486"/>
      <c r="O342" s="486"/>
    </row>
    <row r="343" spans="1:16" s="487" customFormat="1" ht="18" customHeight="1">
      <c r="A343" s="478"/>
      <c r="B343" s="336" t="s">
        <v>660</v>
      </c>
      <c r="C343" s="479">
        <f>2</f>
        <v>2</v>
      </c>
      <c r="D343" s="480" t="s">
        <v>87</v>
      </c>
      <c r="E343" s="724">
        <v>1</v>
      </c>
      <c r="F343" s="482">
        <v>6</v>
      </c>
      <c r="G343" s="483">
        <v>0</v>
      </c>
      <c r="H343" s="484">
        <f t="shared" ref="H343:H348" si="121">H342</f>
        <v>0</v>
      </c>
      <c r="I343" s="819">
        <f t="shared" ref="I343:I348" si="122">I342</f>
        <v>4.5</v>
      </c>
      <c r="J343" s="749">
        <f t="shared" ref="J343:J348" si="123">J342</f>
        <v>0</v>
      </c>
      <c r="K343" s="819">
        <f t="shared" ref="K343:K348" si="124">K342</f>
        <v>4.5</v>
      </c>
      <c r="L343" s="500"/>
      <c r="M343" s="485">
        <f t="shared" si="120"/>
        <v>1.6875</v>
      </c>
      <c r="N343" s="486"/>
      <c r="O343" s="486"/>
    </row>
    <row r="344" spans="1:16" s="487" customFormat="1" ht="18" customHeight="1">
      <c r="A344" s="478"/>
      <c r="B344" s="336" t="s">
        <v>649</v>
      </c>
      <c r="C344" s="479">
        <f>2</f>
        <v>2</v>
      </c>
      <c r="D344" s="480" t="s">
        <v>87</v>
      </c>
      <c r="E344" s="724">
        <v>1</v>
      </c>
      <c r="F344" s="482">
        <v>9</v>
      </c>
      <c r="G344" s="483">
        <v>6</v>
      </c>
      <c r="H344" s="484">
        <f t="shared" si="121"/>
        <v>0</v>
      </c>
      <c r="I344" s="819">
        <f t="shared" si="122"/>
        <v>4.5</v>
      </c>
      <c r="J344" s="749">
        <f t="shared" si="123"/>
        <v>0</v>
      </c>
      <c r="K344" s="819">
        <f t="shared" si="124"/>
        <v>4.5</v>
      </c>
      <c r="L344" s="500"/>
      <c r="M344" s="485">
        <f t="shared" ref="M344" si="125">IF(C344=0,1,C344)*IF(E344=0,1,E344)*IF((F344+G344/12)=0,1,(F344+G344/12))*IF((H344+I344/12)=0,1,(H344+I344/12))*IF((J344+K344/12)=0,1,(J344+K344/12))</f>
        <v>2.671875</v>
      </c>
      <c r="N344" s="486"/>
      <c r="O344" s="486"/>
    </row>
    <row r="345" spans="1:16" s="487" customFormat="1" ht="18" customHeight="1">
      <c r="A345" s="478"/>
      <c r="B345" s="336" t="s">
        <v>647</v>
      </c>
      <c r="C345" s="479">
        <f>C315</f>
        <v>2</v>
      </c>
      <c r="D345" s="480" t="s">
        <v>87</v>
      </c>
      <c r="E345" s="724">
        <v>1</v>
      </c>
      <c r="F345" s="482">
        <f>F342</f>
        <v>8</v>
      </c>
      <c r="G345" s="483">
        <f>G342</f>
        <v>0</v>
      </c>
      <c r="H345" s="484">
        <f>H343</f>
        <v>0</v>
      </c>
      <c r="I345" s="819">
        <f>I343</f>
        <v>4.5</v>
      </c>
      <c r="J345" s="749">
        <f>J343</f>
        <v>0</v>
      </c>
      <c r="K345" s="819">
        <f>K343</f>
        <v>4.5</v>
      </c>
      <c r="L345" s="500"/>
      <c r="M345" s="485">
        <f t="shared" si="120"/>
        <v>2.25</v>
      </c>
      <c r="N345" s="486"/>
      <c r="O345" s="486"/>
    </row>
    <row r="346" spans="1:16" s="487" customFormat="1" ht="18" customHeight="1">
      <c r="A346" s="478"/>
      <c r="B346" s="336" t="s">
        <v>661</v>
      </c>
      <c r="C346" s="479">
        <f>2</f>
        <v>2</v>
      </c>
      <c r="D346" s="480" t="s">
        <v>87</v>
      </c>
      <c r="E346" s="724">
        <v>1</v>
      </c>
      <c r="F346" s="482">
        <v>6</v>
      </c>
      <c r="G346" s="483">
        <v>0</v>
      </c>
      <c r="H346" s="484">
        <f t="shared" si="121"/>
        <v>0</v>
      </c>
      <c r="I346" s="819">
        <f t="shared" si="122"/>
        <v>4.5</v>
      </c>
      <c r="J346" s="749">
        <f t="shared" si="123"/>
        <v>0</v>
      </c>
      <c r="K346" s="819">
        <f t="shared" si="124"/>
        <v>4.5</v>
      </c>
      <c r="L346" s="500"/>
      <c r="M346" s="485">
        <f t="shared" ref="M346" si="126">IF(C346=0,1,C346)*IF(E346=0,1,E346)*IF((F346+G346/12)=0,1,(F346+G346/12))*IF((H346+I346/12)=0,1,(H346+I346/12))*IF((J346+K346/12)=0,1,(J346+K346/12))</f>
        <v>1.6875</v>
      </c>
      <c r="N346" s="486"/>
      <c r="O346" s="486"/>
    </row>
    <row r="347" spans="1:16" s="487" customFormat="1" ht="18" customHeight="1">
      <c r="A347" s="478"/>
      <c r="B347" s="336" t="s">
        <v>648</v>
      </c>
      <c r="C347" s="479">
        <f>C316</f>
        <v>2</v>
      </c>
      <c r="D347" s="480" t="s">
        <v>87</v>
      </c>
      <c r="E347" s="724">
        <v>2</v>
      </c>
      <c r="F347" s="482">
        <v>14</v>
      </c>
      <c r="G347" s="483">
        <v>5</v>
      </c>
      <c r="H347" s="484">
        <f>H345</f>
        <v>0</v>
      </c>
      <c r="I347" s="819">
        <f>I345</f>
        <v>4.5</v>
      </c>
      <c r="J347" s="749">
        <f>J345</f>
        <v>0</v>
      </c>
      <c r="K347" s="819">
        <f>K345</f>
        <v>4.5</v>
      </c>
      <c r="L347" s="500"/>
      <c r="M347" s="485">
        <f t="shared" si="120"/>
        <v>8.109375</v>
      </c>
      <c r="N347" s="486"/>
      <c r="O347" s="486"/>
    </row>
    <row r="348" spans="1:16" s="487" customFormat="1" ht="18" customHeight="1">
      <c r="A348" s="478"/>
      <c r="B348" s="336" t="s">
        <v>650</v>
      </c>
      <c r="C348" s="479">
        <f>2</f>
        <v>2</v>
      </c>
      <c r="D348" s="480" t="s">
        <v>87</v>
      </c>
      <c r="E348" s="724">
        <v>1</v>
      </c>
      <c r="F348" s="482">
        <v>14</v>
      </c>
      <c r="G348" s="483">
        <v>0</v>
      </c>
      <c r="H348" s="484">
        <f t="shared" si="121"/>
        <v>0</v>
      </c>
      <c r="I348" s="819">
        <f t="shared" si="122"/>
        <v>4.5</v>
      </c>
      <c r="J348" s="749">
        <f t="shared" si="123"/>
        <v>0</v>
      </c>
      <c r="K348" s="819">
        <f t="shared" si="124"/>
        <v>4.5</v>
      </c>
      <c r="L348" s="500"/>
      <c r="M348" s="485">
        <f t="shared" si="120"/>
        <v>3.9375</v>
      </c>
      <c r="N348" s="486"/>
      <c r="O348" s="486"/>
      <c r="P348" s="487">
        <f>15.58-1*1-0.5*1.17</f>
        <v>13.995000000000001</v>
      </c>
    </row>
    <row r="349" spans="1:16" s="487" customFormat="1" ht="18" customHeight="1">
      <c r="A349" s="478"/>
      <c r="B349" s="336" t="s">
        <v>651</v>
      </c>
      <c r="C349" s="479">
        <f>C318</f>
        <v>2</v>
      </c>
      <c r="D349" s="480" t="s">
        <v>87</v>
      </c>
      <c r="E349" s="724">
        <v>1</v>
      </c>
      <c r="F349" s="482">
        <v>7</v>
      </c>
      <c r="G349" s="483">
        <v>10</v>
      </c>
      <c r="H349" s="484">
        <f>H347</f>
        <v>0</v>
      </c>
      <c r="I349" s="819">
        <f>I347</f>
        <v>4.5</v>
      </c>
      <c r="J349" s="749">
        <f>J347</f>
        <v>0</v>
      </c>
      <c r="K349" s="819">
        <f>K347</f>
        <v>4.5</v>
      </c>
      <c r="L349" s="500"/>
      <c r="M349" s="485">
        <f t="shared" ref="M349" si="127">IF(C349=0,1,C349)*IF(E349=0,1,E349)*IF((F349+G349/12)=0,1,(F349+G349/12))*IF((H349+I349/12)=0,1,(H349+I349/12))*IF((J349+K349/12)=0,1,(J349+K349/12))</f>
        <v>2.203125</v>
      </c>
      <c r="N349" s="486"/>
      <c r="O349" s="486"/>
      <c r="P349" s="487">
        <f>9-1*1.17</f>
        <v>7.83</v>
      </c>
    </row>
    <row r="350" spans="1:16" s="487" customFormat="1" ht="18" customHeight="1">
      <c r="A350" s="478"/>
      <c r="B350" s="726" t="s">
        <v>170</v>
      </c>
      <c r="C350" s="479"/>
      <c r="D350" s="480"/>
      <c r="E350" s="724"/>
      <c r="F350" s="482"/>
      <c r="G350" s="483"/>
      <c r="H350" s="484"/>
      <c r="I350" s="483"/>
      <c r="J350" s="749"/>
      <c r="K350" s="483"/>
      <c r="L350" s="500"/>
      <c r="M350" s="485"/>
      <c r="N350" s="486"/>
      <c r="O350" s="486"/>
    </row>
    <row r="351" spans="1:16" s="487" customFormat="1" ht="18" customHeight="1">
      <c r="A351" s="478"/>
      <c r="B351" s="336" t="s">
        <v>408</v>
      </c>
      <c r="C351" s="479">
        <v>8</v>
      </c>
      <c r="D351" s="480" t="s">
        <v>87</v>
      </c>
      <c r="E351" s="724">
        <f>1</f>
        <v>1</v>
      </c>
      <c r="F351" s="482">
        <v>12</v>
      </c>
      <c r="G351" s="483">
        <f>0</f>
        <v>0</v>
      </c>
      <c r="H351" s="484">
        <f>0</f>
        <v>0</v>
      </c>
      <c r="I351" s="819">
        <v>4.5</v>
      </c>
      <c r="J351" s="749">
        <f>0</f>
        <v>0</v>
      </c>
      <c r="K351" s="819">
        <f>4.5</f>
        <v>4.5</v>
      </c>
      <c r="L351" s="500"/>
      <c r="M351" s="485">
        <f>IF(C351=0,1,C351)*IF(E351=0,1,E351)*IF((F351+G351/12)=0,1,(F351+G351/12))*IF((H351+I351/12)=0,1,(H351+I351/12))*IF((J351+K351/12)=0,1,(J351+K351/12))</f>
        <v>13.5</v>
      </c>
      <c r="N351" s="486"/>
      <c r="O351" s="486"/>
    </row>
    <row r="352" spans="1:16" s="487" customFormat="1" ht="18" customHeight="1">
      <c r="A352" s="478"/>
      <c r="C352" s="479"/>
      <c r="D352" s="480"/>
      <c r="E352" s="724"/>
      <c r="F352" s="482"/>
      <c r="G352" s="483"/>
      <c r="H352" s="484"/>
      <c r="I352" s="483"/>
      <c r="J352" s="749"/>
      <c r="K352" s="483"/>
      <c r="L352" s="500"/>
      <c r="M352" s="485"/>
      <c r="N352" s="858">
        <f>SUM(M328:M351)</f>
        <v>82.828125</v>
      </c>
      <c r="O352" s="839" t="s">
        <v>21</v>
      </c>
      <c r="P352" s="477">
        <f>N352/((I351/12)*(K351/12))</f>
        <v>589</v>
      </c>
    </row>
    <row r="353" spans="1:16" s="487" customFormat="1" ht="18" customHeight="1">
      <c r="A353" s="478"/>
      <c r="B353" s="876" t="s">
        <v>409</v>
      </c>
      <c r="C353" s="479"/>
      <c r="D353" s="480"/>
      <c r="E353" s="724"/>
      <c r="F353" s="482"/>
      <c r="G353" s="483"/>
      <c r="H353" s="484"/>
      <c r="I353" s="483"/>
      <c r="J353" s="749"/>
      <c r="K353" s="483"/>
      <c r="L353" s="500"/>
      <c r="M353" s="485"/>
      <c r="N353" s="486"/>
      <c r="O353" s="486"/>
    </row>
    <row r="354" spans="1:16" s="487" customFormat="1" ht="18" customHeight="1">
      <c r="A354" s="478"/>
      <c r="B354" s="726" t="s">
        <v>169</v>
      </c>
      <c r="C354" s="479"/>
      <c r="D354" s="480"/>
      <c r="E354" s="724"/>
      <c r="F354" s="482"/>
      <c r="G354" s="483"/>
      <c r="H354" s="484"/>
      <c r="I354" s="483"/>
      <c r="J354" s="749"/>
      <c r="K354" s="483"/>
      <c r="L354" s="500"/>
      <c r="M354" s="485"/>
      <c r="N354" s="486"/>
      <c r="O354" s="486"/>
    </row>
    <row r="355" spans="1:16" s="487" customFormat="1" ht="18" customHeight="1">
      <c r="A355" s="478"/>
      <c r="B355" s="873" t="s">
        <v>388</v>
      </c>
      <c r="C355" s="479"/>
      <c r="D355" s="480"/>
      <c r="E355" s="724"/>
      <c r="F355" s="482"/>
      <c r="G355" s="483"/>
      <c r="H355" s="484"/>
      <c r="I355" s="483"/>
      <c r="J355" s="749"/>
      <c r="K355" s="483"/>
      <c r="L355" s="500"/>
      <c r="M355" s="485"/>
      <c r="N355" s="486"/>
      <c r="O355" s="486"/>
    </row>
    <row r="356" spans="1:16" s="487" customFormat="1" ht="18" customHeight="1">
      <c r="A356" s="478"/>
      <c r="B356" s="336" t="s">
        <v>652</v>
      </c>
      <c r="C356" s="479">
        <f>2</f>
        <v>2</v>
      </c>
      <c r="D356" s="480" t="s">
        <v>87</v>
      </c>
      <c r="E356" s="724">
        <v>2</v>
      </c>
      <c r="F356" s="482">
        <v>16</v>
      </c>
      <c r="G356" s="483">
        <v>6</v>
      </c>
      <c r="H356" s="484">
        <f>H351</f>
        <v>0</v>
      </c>
      <c r="I356" s="819">
        <f>I351</f>
        <v>4.5</v>
      </c>
      <c r="J356" s="749">
        <f>J351</f>
        <v>0</v>
      </c>
      <c r="K356" s="819">
        <f>K351</f>
        <v>4.5</v>
      </c>
      <c r="L356" s="500"/>
      <c r="M356" s="485">
        <f t="shared" ref="M356:M362" si="128">IF(C356=0,1,C356)*IF(E356=0,1,E356)*IF((F356+G356/12)=0,1,(F356+G356/12))*IF((H356+I356/12)=0,1,(H356+I356/12))*IF((J356+K356/12)=0,1,(J356+K356/12))</f>
        <v>9.28125</v>
      </c>
      <c r="N356" s="486"/>
      <c r="O356" s="486"/>
    </row>
    <row r="357" spans="1:16" s="487" customFormat="1" ht="18" customHeight="1">
      <c r="A357" s="478"/>
      <c r="B357" s="336" t="s">
        <v>653</v>
      </c>
      <c r="C357" s="479">
        <f>2</f>
        <v>2</v>
      </c>
      <c r="D357" s="480" t="s">
        <v>87</v>
      </c>
      <c r="E357" s="724">
        <v>2</v>
      </c>
      <c r="F357" s="482">
        <v>14</v>
      </c>
      <c r="G357" s="483">
        <v>6</v>
      </c>
      <c r="H357" s="484">
        <f>H356</f>
        <v>0</v>
      </c>
      <c r="I357" s="819">
        <f>I356</f>
        <v>4.5</v>
      </c>
      <c r="J357" s="749">
        <f>J356</f>
        <v>0</v>
      </c>
      <c r="K357" s="819">
        <f>K356</f>
        <v>4.5</v>
      </c>
      <c r="L357" s="500"/>
      <c r="M357" s="485">
        <f t="shared" si="128"/>
        <v>8.15625</v>
      </c>
      <c r="N357" s="486"/>
      <c r="O357" s="486"/>
    </row>
    <row r="358" spans="1:16" s="487" customFormat="1" ht="18" customHeight="1">
      <c r="A358" s="478"/>
      <c r="B358" s="336" t="s">
        <v>654</v>
      </c>
      <c r="C358" s="479">
        <f>2</f>
        <v>2</v>
      </c>
      <c r="D358" s="480" t="s">
        <v>87</v>
      </c>
      <c r="E358" s="724">
        <v>1</v>
      </c>
      <c r="F358" s="482">
        <v>14</v>
      </c>
      <c r="G358" s="483">
        <v>1</v>
      </c>
      <c r="H358" s="484">
        <f t="shared" ref="H358:H361" si="129">H357</f>
        <v>0</v>
      </c>
      <c r="I358" s="819">
        <f t="shared" ref="I358:I361" si="130">I357</f>
        <v>4.5</v>
      </c>
      <c r="J358" s="749">
        <f t="shared" ref="J358:J361" si="131">J357</f>
        <v>0</v>
      </c>
      <c r="K358" s="819">
        <f t="shared" ref="K358:K361" si="132">K357</f>
        <v>4.5</v>
      </c>
      <c r="L358" s="500"/>
      <c r="M358" s="485">
        <f t="shared" si="128"/>
        <v>3.9609375</v>
      </c>
      <c r="N358" s="486"/>
      <c r="O358" s="486"/>
      <c r="P358" s="487">
        <f>15.58-1.5*1</f>
        <v>14.08</v>
      </c>
    </row>
    <row r="359" spans="1:16" s="487" customFormat="1" ht="18" customHeight="1">
      <c r="A359" s="478"/>
      <c r="B359" s="336" t="s">
        <v>655</v>
      </c>
      <c r="C359" s="479">
        <f>2</f>
        <v>2</v>
      </c>
      <c r="D359" s="480" t="s">
        <v>87</v>
      </c>
      <c r="E359" s="724">
        <v>2</v>
      </c>
      <c r="F359" s="482">
        <v>8</v>
      </c>
      <c r="G359" s="483">
        <v>0</v>
      </c>
      <c r="H359" s="484">
        <f t="shared" si="129"/>
        <v>0</v>
      </c>
      <c r="I359" s="819">
        <f t="shared" si="130"/>
        <v>4.5</v>
      </c>
      <c r="J359" s="749">
        <f t="shared" si="131"/>
        <v>0</v>
      </c>
      <c r="K359" s="819">
        <f t="shared" si="132"/>
        <v>4.5</v>
      </c>
      <c r="L359" s="500"/>
      <c r="M359" s="485">
        <f t="shared" ref="M359" si="133">IF(C359=0,1,C359)*IF(E359=0,1,E359)*IF((F359+G359/12)=0,1,(F359+G359/12))*IF((H359+I359/12)=0,1,(H359+I359/12))*IF((J359+K359/12)=0,1,(J359+K359/12))</f>
        <v>4.5</v>
      </c>
      <c r="N359" s="486"/>
      <c r="O359" s="486"/>
      <c r="P359" s="487">
        <f>15.58-1.5*1</f>
        <v>14.08</v>
      </c>
    </row>
    <row r="360" spans="1:16" s="487" customFormat="1" ht="18" customHeight="1">
      <c r="A360" s="478"/>
      <c r="B360" s="336" t="s">
        <v>656</v>
      </c>
      <c r="C360" s="479">
        <f>2</f>
        <v>2</v>
      </c>
      <c r="D360" s="480" t="s">
        <v>87</v>
      </c>
      <c r="E360" s="724">
        <v>1</v>
      </c>
      <c r="F360" s="482">
        <v>9</v>
      </c>
      <c r="G360" s="483">
        <v>5</v>
      </c>
      <c r="H360" s="484">
        <f t="shared" si="129"/>
        <v>0</v>
      </c>
      <c r="I360" s="819">
        <f t="shared" si="130"/>
        <v>4.5</v>
      </c>
      <c r="J360" s="749">
        <f t="shared" si="131"/>
        <v>0</v>
      </c>
      <c r="K360" s="819">
        <f t="shared" si="132"/>
        <v>4.5</v>
      </c>
      <c r="L360" s="500"/>
      <c r="M360" s="485">
        <f t="shared" ref="M360" si="134">IF(C360=0,1,C360)*IF(E360=0,1,E360)*IF((F360+G360/12)=0,1,(F360+G360/12))*IF((H360+I360/12)=0,1,(H360+I360/12))*IF((J360+K360/12)=0,1,(J360+K360/12))</f>
        <v>2.6484375</v>
      </c>
      <c r="N360" s="486"/>
      <c r="O360" s="486"/>
    </row>
    <row r="361" spans="1:16" s="487" customFormat="1" ht="18" customHeight="1">
      <c r="A361" s="478"/>
      <c r="B361" s="336" t="s">
        <v>657</v>
      </c>
      <c r="C361" s="479">
        <f>2</f>
        <v>2</v>
      </c>
      <c r="D361" s="480" t="s">
        <v>87</v>
      </c>
      <c r="E361" s="724">
        <v>1</v>
      </c>
      <c r="F361" s="482">
        <v>4</v>
      </c>
      <c r="G361" s="483">
        <v>5</v>
      </c>
      <c r="H361" s="484">
        <f t="shared" si="129"/>
        <v>0</v>
      </c>
      <c r="I361" s="819">
        <f t="shared" si="130"/>
        <v>4.5</v>
      </c>
      <c r="J361" s="749">
        <f t="shared" si="131"/>
        <v>0</v>
      </c>
      <c r="K361" s="819">
        <f t="shared" si="132"/>
        <v>4.5</v>
      </c>
      <c r="L361" s="500"/>
      <c r="M361" s="485">
        <f t="shared" ref="M361" si="135">IF(C361=0,1,C361)*IF(E361=0,1,E361)*IF((F361+G361/12)=0,1,(F361+G361/12))*IF((H361+I361/12)=0,1,(H361+I361/12))*IF((J361+K361/12)=0,1,(J361+K361/12))</f>
        <v>1.2421875</v>
      </c>
      <c r="N361" s="486"/>
      <c r="O361" s="486"/>
    </row>
    <row r="362" spans="1:16" s="487" customFormat="1" ht="18" customHeight="1">
      <c r="A362" s="478"/>
      <c r="B362" s="336" t="s">
        <v>658</v>
      </c>
      <c r="C362" s="479">
        <f>2</f>
        <v>2</v>
      </c>
      <c r="D362" s="480" t="s">
        <v>87</v>
      </c>
      <c r="E362" s="724">
        <v>1</v>
      </c>
      <c r="F362" s="482">
        <v>62</v>
      </c>
      <c r="G362" s="483">
        <v>10</v>
      </c>
      <c r="H362" s="484">
        <f>H358</f>
        <v>0</v>
      </c>
      <c r="I362" s="819">
        <f>I358</f>
        <v>4.5</v>
      </c>
      <c r="J362" s="749">
        <f>J358</f>
        <v>0</v>
      </c>
      <c r="K362" s="819">
        <f>K358</f>
        <v>4.5</v>
      </c>
      <c r="L362" s="500"/>
      <c r="M362" s="485">
        <f t="shared" si="128"/>
        <v>17.671875</v>
      </c>
      <c r="N362" s="486"/>
      <c r="O362" s="486"/>
      <c r="P362" s="487">
        <f>30+16.92+4+11.92</f>
        <v>62.84</v>
      </c>
    </row>
    <row r="363" spans="1:16" ht="18" customHeight="1">
      <c r="A363" s="474"/>
      <c r="B363" s="591"/>
      <c r="C363" s="488"/>
      <c r="D363" s="489"/>
      <c r="E363" s="589"/>
      <c r="F363" s="491"/>
      <c r="G363" s="496"/>
      <c r="H363" s="497"/>
      <c r="I363" s="496"/>
      <c r="J363" s="609"/>
      <c r="K363" s="496"/>
      <c r="L363" s="626"/>
      <c r="M363" s="475"/>
      <c r="N363" s="476"/>
      <c r="O363" s="476"/>
    </row>
    <row r="364" spans="1:16" s="487" customFormat="1" ht="18" customHeight="1">
      <c r="A364" s="478"/>
      <c r="B364" s="873" t="s">
        <v>406</v>
      </c>
      <c r="C364" s="479"/>
      <c r="D364" s="480"/>
      <c r="E364" s="724"/>
      <c r="F364" s="482"/>
      <c r="G364" s="483"/>
      <c r="H364" s="484"/>
      <c r="I364" s="483"/>
      <c r="J364" s="749"/>
      <c r="K364" s="483"/>
      <c r="L364" s="500"/>
      <c r="M364" s="485"/>
      <c r="N364" s="486"/>
      <c r="O364" s="486"/>
    </row>
    <row r="365" spans="1:16" s="487" customFormat="1" ht="18" customHeight="1">
      <c r="A365" s="478"/>
      <c r="B365" s="336" t="s">
        <v>410</v>
      </c>
      <c r="C365" s="479">
        <f>2</f>
        <v>2</v>
      </c>
      <c r="D365" s="480" t="s">
        <v>87</v>
      </c>
      <c r="E365" s="724">
        <v>1</v>
      </c>
      <c r="F365" s="482">
        <v>16</v>
      </c>
      <c r="G365" s="483">
        <v>0</v>
      </c>
      <c r="H365" s="484">
        <f>H357</f>
        <v>0</v>
      </c>
      <c r="I365" s="819">
        <f>I357</f>
        <v>4.5</v>
      </c>
      <c r="J365" s="749">
        <f>J357</f>
        <v>0</v>
      </c>
      <c r="K365" s="819">
        <f>K357</f>
        <v>4.5</v>
      </c>
      <c r="L365" s="500"/>
      <c r="M365" s="485">
        <f t="shared" ref="M365:M368" si="136">IF(C365=0,1,C365)*IF(E365=0,1,E365)*IF((F365+G365/12)=0,1,(F365+G365/12))*IF((H365+I365/12)=0,1,(H365+I365/12))*IF((J365+K365/12)=0,1,(J365+K365/12))</f>
        <v>4.5</v>
      </c>
      <c r="N365" s="486"/>
      <c r="O365" s="486"/>
    </row>
    <row r="366" spans="1:16" s="487" customFormat="1" ht="18" customHeight="1">
      <c r="A366" s="478"/>
      <c r="B366" s="336" t="s">
        <v>411</v>
      </c>
      <c r="C366" s="479">
        <f>2</f>
        <v>2</v>
      </c>
      <c r="D366" s="480" t="s">
        <v>87</v>
      </c>
      <c r="E366" s="724">
        <v>1</v>
      </c>
      <c r="F366" s="482">
        <v>8</v>
      </c>
      <c r="G366" s="483">
        <v>0</v>
      </c>
      <c r="H366" s="484">
        <f t="shared" ref="H366:H367" si="137">H365</f>
        <v>0</v>
      </c>
      <c r="I366" s="819">
        <f t="shared" ref="I366:I367" si="138">I365</f>
        <v>4.5</v>
      </c>
      <c r="J366" s="749">
        <f t="shared" ref="J366:J367" si="139">J365</f>
        <v>0</v>
      </c>
      <c r="K366" s="819">
        <f t="shared" ref="K366:K367" si="140">K365</f>
        <v>4.5</v>
      </c>
      <c r="L366" s="500"/>
      <c r="M366" s="485">
        <f t="shared" si="136"/>
        <v>2.25</v>
      </c>
      <c r="N366" s="486"/>
      <c r="O366" s="486"/>
    </row>
    <row r="367" spans="1:16" s="487" customFormat="1" ht="18" customHeight="1">
      <c r="A367" s="478"/>
      <c r="B367" s="336" t="s">
        <v>659</v>
      </c>
      <c r="C367" s="479">
        <f>2</f>
        <v>2</v>
      </c>
      <c r="D367" s="480" t="s">
        <v>87</v>
      </c>
      <c r="E367" s="724">
        <v>1</v>
      </c>
      <c r="F367" s="482">
        <v>6</v>
      </c>
      <c r="G367" s="483">
        <v>0</v>
      </c>
      <c r="H367" s="484">
        <f t="shared" si="137"/>
        <v>0</v>
      </c>
      <c r="I367" s="819">
        <f t="shared" si="138"/>
        <v>4.5</v>
      </c>
      <c r="J367" s="749">
        <f t="shared" si="139"/>
        <v>0</v>
      </c>
      <c r="K367" s="819">
        <f t="shared" si="140"/>
        <v>4.5</v>
      </c>
      <c r="L367" s="500"/>
      <c r="M367" s="485">
        <f t="shared" ref="M367" si="141">IF(C367=0,1,C367)*IF(E367=0,1,E367)*IF((F367+G367/12)=0,1,(F367+G367/12))*IF((H367+I367/12)=0,1,(H367+I367/12))*IF((J367+K367/12)=0,1,(J367+K367/12))</f>
        <v>1.6875</v>
      </c>
      <c r="N367" s="486"/>
      <c r="O367" s="486"/>
    </row>
    <row r="368" spans="1:16" s="487" customFormat="1" ht="18" customHeight="1">
      <c r="A368" s="478"/>
      <c r="B368" s="336" t="s">
        <v>412</v>
      </c>
      <c r="C368" s="479">
        <v>1</v>
      </c>
      <c r="D368" s="480" t="s">
        <v>87</v>
      </c>
      <c r="E368" s="724">
        <v>1</v>
      </c>
      <c r="F368" s="482">
        <v>9</v>
      </c>
      <c r="G368" s="483">
        <v>5</v>
      </c>
      <c r="H368" s="484">
        <f>H366</f>
        <v>0</v>
      </c>
      <c r="I368" s="819">
        <f>I366</f>
        <v>4.5</v>
      </c>
      <c r="J368" s="749">
        <f>J366</f>
        <v>0</v>
      </c>
      <c r="K368" s="819">
        <f>K366</f>
        <v>4.5</v>
      </c>
      <c r="L368" s="500"/>
      <c r="M368" s="485">
        <f t="shared" si="136"/>
        <v>1.32421875</v>
      </c>
      <c r="N368" s="486"/>
      <c r="O368" s="486"/>
    </row>
    <row r="369" spans="1:16" s="487" customFormat="1" ht="18" customHeight="1">
      <c r="A369" s="478"/>
      <c r="B369" s="726" t="s">
        <v>170</v>
      </c>
      <c r="C369" s="479"/>
      <c r="D369" s="480"/>
      <c r="E369" s="724"/>
      <c r="F369" s="482"/>
      <c r="G369" s="483"/>
      <c r="H369" s="484"/>
      <c r="I369" s="483"/>
      <c r="J369" s="749"/>
      <c r="K369" s="483"/>
      <c r="L369" s="500"/>
      <c r="M369" s="485"/>
      <c r="N369" s="486"/>
      <c r="O369" s="486"/>
    </row>
    <row r="370" spans="1:16" s="487" customFormat="1" ht="18" customHeight="1">
      <c r="A370" s="478"/>
      <c r="B370" s="336" t="s">
        <v>413</v>
      </c>
      <c r="C370" s="479">
        <v>5</v>
      </c>
      <c r="D370" s="480" t="s">
        <v>87</v>
      </c>
      <c r="E370" s="724">
        <f>1</f>
        <v>1</v>
      </c>
      <c r="F370" s="482">
        <v>11</v>
      </c>
      <c r="G370" s="483">
        <f>0</f>
        <v>0</v>
      </c>
      <c r="H370" s="484">
        <f>0</f>
        <v>0</v>
      </c>
      <c r="I370" s="819">
        <v>4.5</v>
      </c>
      <c r="J370" s="749">
        <f>0</f>
        <v>0</v>
      </c>
      <c r="K370" s="819">
        <f>4.5</f>
        <v>4.5</v>
      </c>
      <c r="L370" s="500"/>
      <c r="M370" s="485">
        <f>IF(C370=0,1,C370)*IF(E370=0,1,E370)*IF((F370+G370/12)=0,1,(F370+G370/12))*IF((H370+I370/12)=0,1,(H370+I370/12))*IF((J370+K370/12)=0,1,(J370+K370/12))</f>
        <v>7.734375</v>
      </c>
      <c r="N370" s="486"/>
      <c r="O370" s="486"/>
    </row>
    <row r="371" spans="1:16" s="487" customFormat="1" ht="18" customHeight="1">
      <c r="A371" s="478"/>
      <c r="C371" s="479"/>
      <c r="D371" s="480"/>
      <c r="E371" s="724"/>
      <c r="F371" s="482"/>
      <c r="G371" s="483"/>
      <c r="H371" s="484"/>
      <c r="I371" s="483"/>
      <c r="J371" s="749"/>
      <c r="K371" s="483"/>
      <c r="L371" s="500"/>
      <c r="M371" s="485"/>
      <c r="N371" s="858">
        <f>SUM(M356:M370)</f>
        <v>64.95703125</v>
      </c>
      <c r="O371" s="839" t="s">
        <v>21</v>
      </c>
      <c r="P371" s="477">
        <f>N371/((I370/12)*(K370/12))</f>
        <v>461.91666666666669</v>
      </c>
    </row>
    <row r="372" spans="1:16" s="487" customFormat="1" ht="18" customHeight="1">
      <c r="A372" s="478"/>
      <c r="B372" s="869" t="s">
        <v>662</v>
      </c>
      <c r="C372" s="479"/>
      <c r="D372" s="480"/>
      <c r="E372" s="724"/>
      <c r="F372" s="482"/>
      <c r="G372" s="483"/>
      <c r="H372" s="484"/>
      <c r="I372" s="483"/>
      <c r="J372" s="749"/>
      <c r="K372" s="483"/>
      <c r="L372" s="500"/>
      <c r="M372" s="485"/>
      <c r="N372" s="506"/>
      <c r="O372" s="788"/>
    </row>
    <row r="373" spans="1:16" s="487" customFormat="1" ht="18" customHeight="1">
      <c r="A373" s="478"/>
      <c r="B373" s="869" t="s">
        <v>109</v>
      </c>
      <c r="C373" s="479"/>
      <c r="D373" s="480"/>
      <c r="E373" s="724"/>
      <c r="F373" s="482"/>
      <c r="G373" s="483"/>
      <c r="H373" s="484"/>
      <c r="I373" s="483"/>
      <c r="J373" s="749"/>
      <c r="K373" s="483"/>
      <c r="L373" s="500"/>
      <c r="M373" s="485"/>
      <c r="N373" s="486"/>
      <c r="O373" s="486"/>
    </row>
    <row r="374" spans="1:16" s="487" customFormat="1" ht="18" customHeight="1">
      <c r="A374" s="478"/>
      <c r="B374" s="336" t="s">
        <v>414</v>
      </c>
      <c r="C374" s="479">
        <v>1</v>
      </c>
      <c r="D374" s="480" t="s">
        <v>87</v>
      </c>
      <c r="E374" s="724">
        <v>1</v>
      </c>
      <c r="F374" s="482">
        <f>(8+0.33)*2+(6+0.33*2)</f>
        <v>23.32</v>
      </c>
      <c r="G374" s="483">
        <v>4</v>
      </c>
      <c r="H374" s="484">
        <v>0</v>
      </c>
      <c r="I374" s="819">
        <v>4.5</v>
      </c>
      <c r="J374" s="749">
        <v>0</v>
      </c>
      <c r="K374" s="819">
        <v>4.5</v>
      </c>
      <c r="L374" s="500"/>
      <c r="M374" s="485">
        <f t="shared" ref="M374:M383" si="142">IF(C374=0,1,C374)*IF(E374=0,1,E374)*IF((F374+G374/12)=0,1,(F374+G374/12))*IF((H374+I374/12)=0,1,(H374+I374/12))*IF((J374+K374/12)=0,1,(J374+K374/12))</f>
        <v>3.3262499999999999</v>
      </c>
      <c r="N374" s="486"/>
      <c r="O374" s="486"/>
      <c r="P374" s="877">
        <f>(8+0.33)*2+(6+0.33*2)</f>
        <v>23.32</v>
      </c>
    </row>
    <row r="375" spans="1:16" s="487" customFormat="1" ht="18" customHeight="1">
      <c r="A375" s="478"/>
      <c r="B375" s="336" t="s">
        <v>415</v>
      </c>
      <c r="C375" s="479">
        <v>2</v>
      </c>
      <c r="D375" s="480" t="s">
        <v>87</v>
      </c>
      <c r="E375" s="724">
        <v>1</v>
      </c>
      <c r="F375" s="482">
        <v>21</v>
      </c>
      <c r="G375" s="483">
        <v>6</v>
      </c>
      <c r="H375" s="484">
        <f t="shared" ref="H375:K394" si="143">H374</f>
        <v>0</v>
      </c>
      <c r="I375" s="819">
        <f t="shared" si="143"/>
        <v>4.5</v>
      </c>
      <c r="J375" s="749">
        <f t="shared" si="143"/>
        <v>0</v>
      </c>
      <c r="K375" s="819">
        <f t="shared" si="143"/>
        <v>4.5</v>
      </c>
      <c r="L375" s="500"/>
      <c r="M375" s="485">
        <f t="shared" si="142"/>
        <v>6.046875</v>
      </c>
      <c r="N375" s="486"/>
      <c r="O375" s="486"/>
      <c r="P375" s="877">
        <f>(7.17+0.33)*2+(3.25*2)</f>
        <v>21.5</v>
      </c>
    </row>
    <row r="376" spans="1:16" s="487" customFormat="1" ht="18" customHeight="1">
      <c r="A376" s="478"/>
      <c r="B376" s="336" t="s">
        <v>416</v>
      </c>
      <c r="C376" s="479">
        <f>2</f>
        <v>2</v>
      </c>
      <c r="D376" s="480" t="s">
        <v>87</v>
      </c>
      <c r="E376" s="724">
        <v>1</v>
      </c>
      <c r="F376" s="482">
        <f>F375</f>
        <v>21</v>
      </c>
      <c r="G376" s="483">
        <f>G375</f>
        <v>6</v>
      </c>
      <c r="H376" s="484">
        <f t="shared" si="143"/>
        <v>0</v>
      </c>
      <c r="I376" s="819">
        <f t="shared" si="143"/>
        <v>4.5</v>
      </c>
      <c r="J376" s="749">
        <f t="shared" si="143"/>
        <v>0</v>
      </c>
      <c r="K376" s="819">
        <f t="shared" si="143"/>
        <v>4.5</v>
      </c>
      <c r="L376" s="500"/>
      <c r="M376" s="485">
        <f t="shared" si="142"/>
        <v>6.046875</v>
      </c>
      <c r="N376" s="486"/>
      <c r="O376" s="486"/>
    </row>
    <row r="377" spans="1:16" s="487" customFormat="1" ht="18" customHeight="1">
      <c r="A377" s="478"/>
      <c r="B377" s="336" t="s">
        <v>417</v>
      </c>
      <c r="C377" s="479">
        <v>1</v>
      </c>
      <c r="D377" s="480" t="s">
        <v>87</v>
      </c>
      <c r="E377" s="724">
        <v>1</v>
      </c>
      <c r="F377" s="482">
        <f>F376</f>
        <v>21</v>
      </c>
      <c r="G377" s="483">
        <f>G376</f>
        <v>6</v>
      </c>
      <c r="H377" s="484">
        <f t="shared" si="143"/>
        <v>0</v>
      </c>
      <c r="I377" s="819">
        <f t="shared" si="143"/>
        <v>4.5</v>
      </c>
      <c r="J377" s="749">
        <f t="shared" si="143"/>
        <v>0</v>
      </c>
      <c r="K377" s="819">
        <f t="shared" si="143"/>
        <v>4.5</v>
      </c>
      <c r="L377" s="500"/>
      <c r="M377" s="485">
        <f t="shared" si="142"/>
        <v>3.0234375</v>
      </c>
      <c r="N377" s="486"/>
      <c r="O377" s="486"/>
    </row>
    <row r="378" spans="1:16" s="487" customFormat="1" ht="18" customHeight="1">
      <c r="A378" s="478"/>
      <c r="B378" s="336" t="s">
        <v>418</v>
      </c>
      <c r="C378" s="479">
        <v>1</v>
      </c>
      <c r="D378" s="480" t="s">
        <v>87</v>
      </c>
      <c r="E378" s="724">
        <v>1</v>
      </c>
      <c r="F378" s="482">
        <v>17</v>
      </c>
      <c r="G378" s="483">
        <f>0</f>
        <v>0</v>
      </c>
      <c r="H378" s="484">
        <f t="shared" si="143"/>
        <v>0</v>
      </c>
      <c r="I378" s="819">
        <f t="shared" si="143"/>
        <v>4.5</v>
      </c>
      <c r="J378" s="749">
        <f t="shared" si="143"/>
        <v>0</v>
      </c>
      <c r="K378" s="819">
        <f t="shared" si="143"/>
        <v>4.5</v>
      </c>
      <c r="L378" s="500"/>
      <c r="M378" s="485">
        <f t="shared" si="142"/>
        <v>2.390625</v>
      </c>
      <c r="N378" s="486"/>
      <c r="O378" s="486"/>
      <c r="P378" s="877">
        <f>(2.17+0.33*2)*2+(5+0.33*2)*2</f>
        <v>16.98</v>
      </c>
    </row>
    <row r="379" spans="1:16" s="487" customFormat="1" ht="17.399999999999999" customHeight="1">
      <c r="A379" s="478"/>
      <c r="B379" s="336" t="s">
        <v>419</v>
      </c>
      <c r="C379" s="479">
        <v>5</v>
      </c>
      <c r="D379" s="480" t="s">
        <v>87</v>
      </c>
      <c r="E379" s="724">
        <v>1</v>
      </c>
      <c r="F379" s="482">
        <v>25</v>
      </c>
      <c r="G379" s="483">
        <v>0</v>
      </c>
      <c r="H379" s="484">
        <f t="shared" si="143"/>
        <v>0</v>
      </c>
      <c r="I379" s="819">
        <f t="shared" si="143"/>
        <v>4.5</v>
      </c>
      <c r="J379" s="749">
        <f t="shared" si="143"/>
        <v>0</v>
      </c>
      <c r="K379" s="819">
        <f t="shared" si="143"/>
        <v>4.5</v>
      </c>
      <c r="L379" s="500"/>
      <c r="M379" s="485">
        <f t="shared" si="142"/>
        <v>17.578125</v>
      </c>
      <c r="N379" s="486"/>
      <c r="O379" s="486"/>
      <c r="P379" s="877">
        <f>(6.17+0.33*2)*2+(5+0.33*2)*2</f>
        <v>24.98</v>
      </c>
    </row>
    <row r="380" spans="1:16" s="487" customFormat="1" ht="18" customHeight="1">
      <c r="A380" s="478"/>
      <c r="B380" s="336" t="s">
        <v>420</v>
      </c>
      <c r="C380" s="479">
        <f>2</f>
        <v>2</v>
      </c>
      <c r="D380" s="480" t="s">
        <v>87</v>
      </c>
      <c r="E380" s="724">
        <v>1</v>
      </c>
      <c r="F380" s="482">
        <v>26</v>
      </c>
      <c r="G380" s="483">
        <v>8</v>
      </c>
      <c r="H380" s="484">
        <f t="shared" si="143"/>
        <v>0</v>
      </c>
      <c r="I380" s="819">
        <f t="shared" si="143"/>
        <v>4.5</v>
      </c>
      <c r="J380" s="749">
        <f t="shared" si="143"/>
        <v>0</v>
      </c>
      <c r="K380" s="819">
        <f t="shared" si="143"/>
        <v>4.5</v>
      </c>
      <c r="L380" s="500"/>
      <c r="M380" s="485">
        <f t="shared" si="142"/>
        <v>7.5</v>
      </c>
      <c r="N380" s="486"/>
      <c r="O380" s="486"/>
      <c r="P380" s="877">
        <f>(6+0.33*2)*2+(6+0.33*2)*2</f>
        <v>26.64</v>
      </c>
    </row>
    <row r="381" spans="1:16" s="487" customFormat="1" ht="18" customHeight="1">
      <c r="A381" s="478"/>
      <c r="B381" s="336" t="s">
        <v>421</v>
      </c>
      <c r="C381" s="479">
        <f>2</f>
        <v>2</v>
      </c>
      <c r="D381" s="480" t="s">
        <v>87</v>
      </c>
      <c r="E381" s="724">
        <v>1</v>
      </c>
      <c r="F381" s="482">
        <v>10</v>
      </c>
      <c r="G381" s="483">
        <v>8</v>
      </c>
      <c r="H381" s="484">
        <f t="shared" si="143"/>
        <v>0</v>
      </c>
      <c r="I381" s="819">
        <f t="shared" si="143"/>
        <v>4.5</v>
      </c>
      <c r="J381" s="749">
        <f t="shared" si="143"/>
        <v>0</v>
      </c>
      <c r="K381" s="819">
        <f t="shared" si="143"/>
        <v>4.5</v>
      </c>
      <c r="L381" s="500"/>
      <c r="M381" s="485">
        <f t="shared" si="142"/>
        <v>3</v>
      </c>
      <c r="N381" s="486"/>
      <c r="O381" s="486"/>
      <c r="P381" s="877">
        <f>(2+0.33*2)*2+(2+0.33*2)*2</f>
        <v>10.64</v>
      </c>
    </row>
    <row r="382" spans="1:16" s="487" customFormat="1" ht="18" customHeight="1">
      <c r="A382" s="478"/>
      <c r="B382" s="336" t="s">
        <v>422</v>
      </c>
      <c r="C382" s="479">
        <v>1</v>
      </c>
      <c r="D382" s="480" t="s">
        <v>87</v>
      </c>
      <c r="E382" s="724">
        <v>1</v>
      </c>
      <c r="F382" s="482">
        <v>12</v>
      </c>
      <c r="G382" s="483">
        <v>8</v>
      </c>
      <c r="H382" s="484">
        <f t="shared" si="143"/>
        <v>0</v>
      </c>
      <c r="I382" s="819">
        <f t="shared" si="143"/>
        <v>4.5</v>
      </c>
      <c r="J382" s="749">
        <f t="shared" si="143"/>
        <v>0</v>
      </c>
      <c r="K382" s="819">
        <f t="shared" si="143"/>
        <v>4.5</v>
      </c>
      <c r="L382" s="500"/>
      <c r="M382" s="485">
        <f t="shared" si="142"/>
        <v>1.78125</v>
      </c>
      <c r="N382" s="486"/>
      <c r="O382" s="486"/>
      <c r="P382" s="877">
        <f>(3+0.33*2)*2+(2+0.33*2)*2</f>
        <v>12.64</v>
      </c>
    </row>
    <row r="383" spans="1:16" s="487" customFormat="1" ht="18" customHeight="1">
      <c r="A383" s="478"/>
      <c r="B383" s="336" t="s">
        <v>423</v>
      </c>
      <c r="C383" s="479">
        <v>1</v>
      </c>
      <c r="D383" s="480" t="s">
        <v>87</v>
      </c>
      <c r="E383" s="724">
        <v>1</v>
      </c>
      <c r="F383" s="482">
        <v>22</v>
      </c>
      <c r="G383" s="483">
        <v>4</v>
      </c>
      <c r="H383" s="484">
        <f t="shared" si="143"/>
        <v>0</v>
      </c>
      <c r="I383" s="819">
        <f t="shared" si="143"/>
        <v>4.5</v>
      </c>
      <c r="J383" s="749">
        <f t="shared" si="143"/>
        <v>0</v>
      </c>
      <c r="K383" s="819">
        <f t="shared" si="143"/>
        <v>4.5</v>
      </c>
      <c r="L383" s="500"/>
      <c r="M383" s="485">
        <f t="shared" si="142"/>
        <v>3.140625</v>
      </c>
      <c r="N383" s="486"/>
      <c r="O383" s="486"/>
      <c r="P383" s="877">
        <f>(7+0.33*2)*2+(2.83+0.33*2)*2</f>
        <v>22.3</v>
      </c>
    </row>
    <row r="384" spans="1:16" s="487" customFormat="1" ht="18" customHeight="1">
      <c r="A384" s="478"/>
      <c r="B384" s="869" t="s">
        <v>172</v>
      </c>
      <c r="C384" s="479"/>
      <c r="D384" s="480"/>
      <c r="E384" s="724"/>
      <c r="F384" s="482"/>
      <c r="G384" s="483"/>
      <c r="H384" s="484"/>
      <c r="I384" s="483"/>
      <c r="J384" s="749"/>
      <c r="K384" s="483"/>
      <c r="L384" s="500"/>
      <c r="M384" s="485"/>
      <c r="N384" s="486"/>
      <c r="O384" s="486"/>
    </row>
    <row r="385" spans="1:16" s="487" customFormat="1" ht="18" customHeight="1">
      <c r="A385" s="478"/>
      <c r="B385" s="336" t="s">
        <v>415</v>
      </c>
      <c r="C385" s="479">
        <v>3</v>
      </c>
      <c r="D385" s="480" t="s">
        <v>87</v>
      </c>
      <c r="E385" s="724">
        <v>1</v>
      </c>
      <c r="F385" s="482">
        <v>23</v>
      </c>
      <c r="G385" s="483">
        <v>4</v>
      </c>
      <c r="H385" s="484">
        <f>H383</f>
        <v>0</v>
      </c>
      <c r="I385" s="819">
        <f>I383</f>
        <v>4.5</v>
      </c>
      <c r="J385" s="749">
        <f>J383</f>
        <v>0</v>
      </c>
      <c r="K385" s="819">
        <f>K383</f>
        <v>4.5</v>
      </c>
      <c r="L385" s="500"/>
      <c r="M385" s="485">
        <f t="shared" ref="M385:M394" si="144">IF(C385=0,1,C385)*IF(E385=0,1,E385)*IF((F385+G385/12)=0,1,(F385+G385/12))*IF((H385+I385/12)=0,1,(H385+I385/12))*IF((J385+K385/12)=0,1,(J385+K385/12))</f>
        <v>9.84375</v>
      </c>
      <c r="N385" s="486"/>
      <c r="O385" s="486"/>
    </row>
    <row r="386" spans="1:16" s="487" customFormat="1" ht="18" customHeight="1">
      <c r="A386" s="478"/>
      <c r="B386" s="336" t="s">
        <v>416</v>
      </c>
      <c r="C386" s="479">
        <v>2</v>
      </c>
      <c r="D386" s="480" t="s">
        <v>87</v>
      </c>
      <c r="E386" s="724">
        <v>1</v>
      </c>
      <c r="F386" s="482">
        <f>F385</f>
        <v>23</v>
      </c>
      <c r="G386" s="483">
        <f>G385</f>
        <v>4</v>
      </c>
      <c r="H386" s="484">
        <f t="shared" si="143"/>
        <v>0</v>
      </c>
      <c r="I386" s="819">
        <f t="shared" si="143"/>
        <v>4.5</v>
      </c>
      <c r="J386" s="749">
        <f t="shared" si="143"/>
        <v>0</v>
      </c>
      <c r="K386" s="819">
        <f t="shared" si="143"/>
        <v>4.5</v>
      </c>
      <c r="L386" s="500"/>
      <c r="M386" s="485">
        <f t="shared" si="144"/>
        <v>6.5625</v>
      </c>
      <c r="N386" s="486"/>
      <c r="O386" s="486"/>
    </row>
    <row r="387" spans="1:16" s="487" customFormat="1" ht="18" customHeight="1">
      <c r="A387" s="478"/>
      <c r="B387" s="336" t="s">
        <v>424</v>
      </c>
      <c r="C387" s="479">
        <v>1</v>
      </c>
      <c r="D387" s="480" t="s">
        <v>87</v>
      </c>
      <c r="E387" s="724">
        <v>1</v>
      </c>
      <c r="F387" s="482">
        <v>34</v>
      </c>
      <c r="G387" s="483">
        <v>8</v>
      </c>
      <c r="H387" s="484">
        <f t="shared" si="143"/>
        <v>0</v>
      </c>
      <c r="I387" s="819">
        <f t="shared" si="143"/>
        <v>4.5</v>
      </c>
      <c r="J387" s="749">
        <f t="shared" si="143"/>
        <v>0</v>
      </c>
      <c r="K387" s="819">
        <f t="shared" si="143"/>
        <v>4.5</v>
      </c>
      <c r="L387" s="500"/>
      <c r="M387" s="485">
        <f t="shared" si="144"/>
        <v>4.875</v>
      </c>
      <c r="N387" s="486"/>
      <c r="O387" s="486"/>
      <c r="P387" s="877">
        <f>(7.5+0.33)*2+(9.5*2)</f>
        <v>34.659999999999997</v>
      </c>
    </row>
    <row r="388" spans="1:16" s="487" customFormat="1" ht="18" customHeight="1">
      <c r="A388" s="478"/>
      <c r="B388" s="336" t="s">
        <v>418</v>
      </c>
      <c r="C388" s="479">
        <v>1</v>
      </c>
      <c r="D388" s="480" t="s">
        <v>87</v>
      </c>
      <c r="E388" s="724">
        <v>1</v>
      </c>
      <c r="F388" s="482">
        <v>17</v>
      </c>
      <c r="G388" s="483">
        <f>0</f>
        <v>0</v>
      </c>
      <c r="H388" s="484">
        <f t="shared" si="143"/>
        <v>0</v>
      </c>
      <c r="I388" s="819">
        <f t="shared" si="143"/>
        <v>4.5</v>
      </c>
      <c r="J388" s="749">
        <f t="shared" si="143"/>
        <v>0</v>
      </c>
      <c r="K388" s="819">
        <f t="shared" si="143"/>
        <v>4.5</v>
      </c>
      <c r="L388" s="500"/>
      <c r="M388" s="485">
        <f t="shared" si="144"/>
        <v>2.390625</v>
      </c>
      <c r="N388" s="486"/>
      <c r="O388" s="486"/>
      <c r="P388" s="877">
        <f>(2.17+0.33*2)*2+(5+0.33*2)*2</f>
        <v>16.98</v>
      </c>
    </row>
    <row r="389" spans="1:16" s="487" customFormat="1" ht="18" customHeight="1">
      <c r="A389" s="478"/>
      <c r="B389" s="336" t="s">
        <v>426</v>
      </c>
      <c r="C389" s="479">
        <v>1</v>
      </c>
      <c r="D389" s="480" t="s">
        <v>87</v>
      </c>
      <c r="E389" s="724">
        <v>1</v>
      </c>
      <c r="F389" s="482">
        <v>21</v>
      </c>
      <c r="G389" s="483">
        <v>0</v>
      </c>
      <c r="H389" s="484">
        <f t="shared" si="143"/>
        <v>0</v>
      </c>
      <c r="I389" s="819">
        <f t="shared" si="143"/>
        <v>4.5</v>
      </c>
      <c r="J389" s="749">
        <f t="shared" si="143"/>
        <v>0</v>
      </c>
      <c r="K389" s="819">
        <f t="shared" si="143"/>
        <v>4.5</v>
      </c>
      <c r="L389" s="500"/>
      <c r="M389" s="485">
        <f t="shared" si="144"/>
        <v>2.953125</v>
      </c>
      <c r="N389" s="486"/>
      <c r="O389" s="486"/>
      <c r="P389" s="877">
        <f>(4.17+0.33*2)*2+(5+0.33*2)*2</f>
        <v>20.98</v>
      </c>
    </row>
    <row r="390" spans="1:16" s="487" customFormat="1" ht="18" customHeight="1">
      <c r="A390" s="478"/>
      <c r="B390" s="336" t="s">
        <v>419</v>
      </c>
      <c r="C390" s="479">
        <v>4</v>
      </c>
      <c r="D390" s="480" t="s">
        <v>87</v>
      </c>
      <c r="E390" s="724">
        <v>1</v>
      </c>
      <c r="F390" s="482">
        <v>25</v>
      </c>
      <c r="G390" s="483">
        <v>0</v>
      </c>
      <c r="H390" s="484">
        <f t="shared" si="143"/>
        <v>0</v>
      </c>
      <c r="I390" s="819">
        <f t="shared" si="143"/>
        <v>4.5</v>
      </c>
      <c r="J390" s="749">
        <f t="shared" si="143"/>
        <v>0</v>
      </c>
      <c r="K390" s="819">
        <f t="shared" si="143"/>
        <v>4.5</v>
      </c>
      <c r="L390" s="500"/>
      <c r="M390" s="485">
        <f t="shared" si="144"/>
        <v>14.0625</v>
      </c>
      <c r="N390" s="486"/>
      <c r="O390" s="486"/>
    </row>
    <row r="391" spans="1:16" s="487" customFormat="1" ht="18" customHeight="1">
      <c r="A391" s="478"/>
      <c r="B391" s="336" t="s">
        <v>420</v>
      </c>
      <c r="C391" s="479">
        <v>1</v>
      </c>
      <c r="D391" s="480" t="s">
        <v>87</v>
      </c>
      <c r="E391" s="724">
        <v>1</v>
      </c>
      <c r="F391" s="482">
        <v>26</v>
      </c>
      <c r="G391" s="483">
        <v>8</v>
      </c>
      <c r="H391" s="484">
        <f t="shared" si="143"/>
        <v>0</v>
      </c>
      <c r="I391" s="819">
        <f t="shared" si="143"/>
        <v>4.5</v>
      </c>
      <c r="J391" s="749">
        <f t="shared" si="143"/>
        <v>0</v>
      </c>
      <c r="K391" s="819">
        <f t="shared" si="143"/>
        <v>4.5</v>
      </c>
      <c r="L391" s="500"/>
      <c r="M391" s="485">
        <f t="shared" si="144"/>
        <v>3.75</v>
      </c>
      <c r="N391" s="486"/>
      <c r="O391" s="486"/>
    </row>
    <row r="392" spans="1:16" s="487" customFormat="1" ht="18" customHeight="1">
      <c r="A392" s="478"/>
      <c r="B392" s="336" t="s">
        <v>422</v>
      </c>
      <c r="C392" s="479">
        <v>2</v>
      </c>
      <c r="D392" s="480" t="s">
        <v>87</v>
      </c>
      <c r="E392" s="724">
        <v>1</v>
      </c>
      <c r="F392" s="482">
        <v>12</v>
      </c>
      <c r="G392" s="483">
        <v>8</v>
      </c>
      <c r="H392" s="484">
        <f t="shared" si="143"/>
        <v>0</v>
      </c>
      <c r="I392" s="819">
        <f t="shared" si="143"/>
        <v>4.5</v>
      </c>
      <c r="J392" s="749">
        <f t="shared" si="143"/>
        <v>0</v>
      </c>
      <c r="K392" s="819">
        <f t="shared" si="143"/>
        <v>4.5</v>
      </c>
      <c r="L392" s="500"/>
      <c r="M392" s="485">
        <f t="shared" si="144"/>
        <v>3.5625</v>
      </c>
      <c r="N392" s="486"/>
      <c r="O392" s="486"/>
    </row>
    <row r="393" spans="1:16" s="487" customFormat="1" ht="18" customHeight="1">
      <c r="A393" s="478"/>
      <c r="B393" s="336" t="s">
        <v>425</v>
      </c>
      <c r="C393" s="479">
        <v>2</v>
      </c>
      <c r="D393" s="480" t="s">
        <v>87</v>
      </c>
      <c r="E393" s="724">
        <v>1</v>
      </c>
      <c r="F393" s="482">
        <v>20</v>
      </c>
      <c r="G393" s="483">
        <v>8</v>
      </c>
      <c r="H393" s="484">
        <f t="shared" si="143"/>
        <v>0</v>
      </c>
      <c r="I393" s="819">
        <f t="shared" si="143"/>
        <v>4.5</v>
      </c>
      <c r="J393" s="749">
        <f t="shared" si="143"/>
        <v>0</v>
      </c>
      <c r="K393" s="819">
        <f t="shared" si="143"/>
        <v>4.5</v>
      </c>
      <c r="L393" s="500"/>
      <c r="M393" s="485">
        <f t="shared" si="144"/>
        <v>5.8125</v>
      </c>
      <c r="N393" s="486"/>
      <c r="O393" s="486"/>
      <c r="P393" s="877">
        <f>(2+0.33*2)*2+(7+0.33*2)*2</f>
        <v>20.64</v>
      </c>
    </row>
    <row r="394" spans="1:16" s="487" customFormat="1" ht="18" customHeight="1">
      <c r="A394" s="478"/>
      <c r="B394" s="336" t="s">
        <v>423</v>
      </c>
      <c r="C394" s="479">
        <v>2</v>
      </c>
      <c r="D394" s="480" t="s">
        <v>87</v>
      </c>
      <c r="E394" s="724">
        <v>1</v>
      </c>
      <c r="F394" s="482">
        <v>22</v>
      </c>
      <c r="G394" s="483">
        <v>4</v>
      </c>
      <c r="H394" s="484">
        <f t="shared" si="143"/>
        <v>0</v>
      </c>
      <c r="I394" s="819">
        <f t="shared" si="143"/>
        <v>4.5</v>
      </c>
      <c r="J394" s="749">
        <f t="shared" si="143"/>
        <v>0</v>
      </c>
      <c r="K394" s="819">
        <f t="shared" si="143"/>
        <v>4.5</v>
      </c>
      <c r="L394" s="500"/>
      <c r="M394" s="485">
        <f t="shared" si="144"/>
        <v>6.28125</v>
      </c>
      <c r="N394" s="486"/>
      <c r="O394" s="486"/>
      <c r="P394" s="877">
        <f>(2.83+0.33*2)*2+(7+0.33*2)*2</f>
        <v>22.3</v>
      </c>
    </row>
    <row r="395" spans="1:16" s="487" customFormat="1" ht="18" customHeight="1">
      <c r="A395" s="478"/>
      <c r="B395" s="869" t="s">
        <v>409</v>
      </c>
      <c r="C395" s="479"/>
      <c r="D395" s="480"/>
      <c r="E395" s="724"/>
      <c r="F395" s="482"/>
      <c r="G395" s="483"/>
      <c r="H395" s="484"/>
      <c r="I395" s="819"/>
      <c r="J395" s="749"/>
      <c r="K395" s="819"/>
      <c r="L395" s="500"/>
      <c r="M395" s="485"/>
      <c r="N395" s="486"/>
      <c r="O395" s="486"/>
    </row>
    <row r="396" spans="1:16" s="487" customFormat="1" ht="18" customHeight="1">
      <c r="A396" s="478"/>
      <c r="B396" s="336" t="s">
        <v>415</v>
      </c>
      <c r="C396" s="479">
        <v>2</v>
      </c>
      <c r="D396" s="480" t="s">
        <v>87</v>
      </c>
      <c r="E396" s="724">
        <v>1</v>
      </c>
      <c r="F396" s="482">
        <v>23</v>
      </c>
      <c r="G396" s="483">
        <v>4</v>
      </c>
      <c r="H396" s="484">
        <f>H394</f>
        <v>0</v>
      </c>
      <c r="I396" s="819">
        <f>I394</f>
        <v>4.5</v>
      </c>
      <c r="J396" s="749">
        <f>J394</f>
        <v>0</v>
      </c>
      <c r="K396" s="819">
        <f>K394</f>
        <v>4.5</v>
      </c>
      <c r="L396" s="500"/>
      <c r="M396" s="485">
        <f t="shared" ref="M396:M403" si="145">IF(C396=0,1,C396)*IF(E396=0,1,E396)*IF((F396+G396/12)=0,1,(F396+G396/12))*IF((H396+I396/12)=0,1,(H396+I396/12))*IF((J396+K396/12)=0,1,(J396+K396/12))</f>
        <v>6.5625</v>
      </c>
      <c r="N396" s="486"/>
      <c r="O396" s="486"/>
    </row>
    <row r="397" spans="1:16" s="487" customFormat="1" ht="18" customHeight="1">
      <c r="A397" s="478"/>
      <c r="B397" s="336" t="s">
        <v>416</v>
      </c>
      <c r="C397" s="479">
        <v>1</v>
      </c>
      <c r="D397" s="480" t="s">
        <v>87</v>
      </c>
      <c r="E397" s="724">
        <v>1</v>
      </c>
      <c r="F397" s="482">
        <f>F396</f>
        <v>23</v>
      </c>
      <c r="G397" s="483">
        <f>G396</f>
        <v>4</v>
      </c>
      <c r="H397" s="484">
        <f t="shared" ref="H397:K399" si="146">H396</f>
        <v>0</v>
      </c>
      <c r="I397" s="819">
        <f t="shared" si="146"/>
        <v>4.5</v>
      </c>
      <c r="J397" s="749">
        <f t="shared" si="146"/>
        <v>0</v>
      </c>
      <c r="K397" s="819">
        <f t="shared" si="146"/>
        <v>4.5</v>
      </c>
      <c r="L397" s="500"/>
      <c r="M397" s="485">
        <f t="shared" si="145"/>
        <v>3.28125</v>
      </c>
      <c r="N397" s="486"/>
      <c r="O397" s="486"/>
    </row>
    <row r="398" spans="1:16" s="487" customFormat="1" ht="18" customHeight="1">
      <c r="A398" s="478"/>
      <c r="B398" s="336" t="s">
        <v>417</v>
      </c>
      <c r="C398" s="479">
        <v>1</v>
      </c>
      <c r="D398" s="480" t="s">
        <v>87</v>
      </c>
      <c r="E398" s="724">
        <v>1</v>
      </c>
      <c r="F398" s="482">
        <f>F397</f>
        <v>23</v>
      </c>
      <c r="G398" s="483">
        <f>G397</f>
        <v>4</v>
      </c>
      <c r="H398" s="484">
        <f t="shared" si="146"/>
        <v>0</v>
      </c>
      <c r="I398" s="819">
        <f t="shared" si="146"/>
        <v>4.5</v>
      </c>
      <c r="J398" s="749">
        <f t="shared" si="146"/>
        <v>0</v>
      </c>
      <c r="K398" s="819">
        <f t="shared" si="146"/>
        <v>4.5</v>
      </c>
      <c r="L398" s="500"/>
      <c r="M398" s="485">
        <f t="shared" si="145"/>
        <v>3.28125</v>
      </c>
      <c r="N398" s="486"/>
      <c r="O398" s="486"/>
    </row>
    <row r="399" spans="1:16" s="487" customFormat="1" ht="18" customHeight="1">
      <c r="A399" s="478"/>
      <c r="B399" s="336" t="s">
        <v>418</v>
      </c>
      <c r="C399" s="479">
        <v>1</v>
      </c>
      <c r="D399" s="480" t="s">
        <v>87</v>
      </c>
      <c r="E399" s="724">
        <v>1</v>
      </c>
      <c r="F399" s="482">
        <v>17</v>
      </c>
      <c r="G399" s="483">
        <f>0</f>
        <v>0</v>
      </c>
      <c r="H399" s="484">
        <f t="shared" si="146"/>
        <v>0</v>
      </c>
      <c r="I399" s="819">
        <f t="shared" si="146"/>
        <v>4.5</v>
      </c>
      <c r="J399" s="749">
        <f t="shared" si="146"/>
        <v>0</v>
      </c>
      <c r="K399" s="819">
        <f t="shared" si="146"/>
        <v>4.5</v>
      </c>
      <c r="L399" s="500"/>
      <c r="M399" s="485">
        <f t="shared" si="145"/>
        <v>2.390625</v>
      </c>
      <c r="N399" s="486"/>
      <c r="O399" s="486"/>
    </row>
    <row r="400" spans="1:16" s="487" customFormat="1" ht="18" customHeight="1">
      <c r="A400" s="478"/>
      <c r="B400" s="336" t="s">
        <v>419</v>
      </c>
      <c r="C400" s="479">
        <v>1</v>
      </c>
      <c r="D400" s="480" t="s">
        <v>87</v>
      </c>
      <c r="E400" s="724">
        <v>1</v>
      </c>
      <c r="F400" s="482">
        <v>25</v>
      </c>
      <c r="G400" s="483">
        <v>0</v>
      </c>
      <c r="H400" s="484">
        <f t="shared" ref="H400:K400" si="147">H399</f>
        <v>0</v>
      </c>
      <c r="I400" s="819">
        <f t="shared" si="147"/>
        <v>4.5</v>
      </c>
      <c r="J400" s="749">
        <f t="shared" si="147"/>
        <v>0</v>
      </c>
      <c r="K400" s="819">
        <f t="shared" si="147"/>
        <v>4.5</v>
      </c>
      <c r="L400" s="500"/>
      <c r="M400" s="485">
        <f t="shared" si="145"/>
        <v>3.515625</v>
      </c>
      <c r="N400" s="486"/>
      <c r="O400" s="486"/>
    </row>
    <row r="401" spans="1:17" s="487" customFormat="1" ht="18" customHeight="1">
      <c r="A401" s="478"/>
      <c r="B401" s="336" t="s">
        <v>420</v>
      </c>
      <c r="C401" s="479">
        <v>1</v>
      </c>
      <c r="D401" s="480" t="s">
        <v>87</v>
      </c>
      <c r="E401" s="724">
        <v>1</v>
      </c>
      <c r="F401" s="482">
        <v>26</v>
      </c>
      <c r="G401" s="483">
        <v>8</v>
      </c>
      <c r="H401" s="484">
        <f t="shared" ref="H401:K402" si="148">H400</f>
        <v>0</v>
      </c>
      <c r="I401" s="819">
        <f t="shared" si="148"/>
        <v>4.5</v>
      </c>
      <c r="J401" s="749">
        <f t="shared" si="148"/>
        <v>0</v>
      </c>
      <c r="K401" s="819">
        <f t="shared" si="148"/>
        <v>4.5</v>
      </c>
      <c r="L401" s="500"/>
      <c r="M401" s="485">
        <f t="shared" si="145"/>
        <v>3.75</v>
      </c>
      <c r="N401" s="486"/>
      <c r="O401" s="486"/>
    </row>
    <row r="402" spans="1:17" s="487" customFormat="1" ht="18" customHeight="1">
      <c r="A402" s="478"/>
      <c r="B402" s="336" t="s">
        <v>422</v>
      </c>
      <c r="C402" s="479">
        <v>1</v>
      </c>
      <c r="D402" s="480" t="s">
        <v>87</v>
      </c>
      <c r="E402" s="724">
        <v>1</v>
      </c>
      <c r="F402" s="482">
        <v>12</v>
      </c>
      <c r="G402" s="483">
        <v>8</v>
      </c>
      <c r="H402" s="484">
        <f t="shared" si="148"/>
        <v>0</v>
      </c>
      <c r="I402" s="819">
        <f t="shared" si="148"/>
        <v>4.5</v>
      </c>
      <c r="J402" s="749">
        <f t="shared" si="148"/>
        <v>0</v>
      </c>
      <c r="K402" s="819">
        <f t="shared" si="148"/>
        <v>4.5</v>
      </c>
      <c r="L402" s="500"/>
      <c r="M402" s="485">
        <f t="shared" si="145"/>
        <v>1.78125</v>
      </c>
      <c r="N402" s="486"/>
      <c r="O402" s="486"/>
    </row>
    <row r="403" spans="1:17" s="487" customFormat="1" ht="18" customHeight="1">
      <c r="A403" s="478"/>
      <c r="B403" s="336" t="s">
        <v>423</v>
      </c>
      <c r="C403" s="479">
        <v>2</v>
      </c>
      <c r="D403" s="480" t="s">
        <v>87</v>
      </c>
      <c r="E403" s="724">
        <v>1</v>
      </c>
      <c r="F403" s="482">
        <v>22</v>
      </c>
      <c r="G403" s="483">
        <v>4</v>
      </c>
      <c r="H403" s="484">
        <f>H401</f>
        <v>0</v>
      </c>
      <c r="I403" s="819">
        <f>I401</f>
        <v>4.5</v>
      </c>
      <c r="J403" s="749">
        <f>J401</f>
        <v>0</v>
      </c>
      <c r="K403" s="819">
        <f>K401</f>
        <v>4.5</v>
      </c>
      <c r="L403" s="500"/>
      <c r="M403" s="485">
        <f t="shared" si="145"/>
        <v>6.28125</v>
      </c>
      <c r="N403" s="486"/>
      <c r="O403" s="486"/>
    </row>
    <row r="404" spans="1:17" ht="18" customHeight="1">
      <c r="A404" s="474"/>
      <c r="B404" s="645"/>
      <c r="C404" s="488"/>
      <c r="D404" s="489"/>
      <c r="E404" s="589"/>
      <c r="F404" s="491"/>
      <c r="G404" s="496"/>
      <c r="H404" s="497"/>
      <c r="I404" s="496"/>
      <c r="J404" s="609"/>
      <c r="K404" s="477"/>
      <c r="L404" s="878" t="str">
        <f>B300</f>
        <v>(q) Wall Stiffner</v>
      </c>
      <c r="M404" s="475"/>
      <c r="N404" s="858">
        <f>SUM(M374:M403)</f>
        <v>144.77156250000002</v>
      </c>
      <c r="O404" s="839" t="s">
        <v>21</v>
      </c>
      <c r="P404" s="477">
        <f>N404/((I403/12)*(K403/12))</f>
        <v>1029.4866666666667</v>
      </c>
      <c r="Q404" s="477">
        <f>P404+P371+P352+P325</f>
        <v>2604.0700000000002</v>
      </c>
    </row>
    <row r="405" spans="1:17" ht="18" customHeight="1">
      <c r="A405" s="538"/>
      <c r="B405" s="613"/>
      <c r="C405" s="539"/>
      <c r="D405" s="540"/>
      <c r="E405" s="593"/>
      <c r="F405" s="541"/>
      <c r="G405" s="615"/>
      <c r="H405" s="616"/>
      <c r="I405" s="615"/>
      <c r="J405" s="617"/>
      <c r="K405" s="615"/>
      <c r="L405" s="637"/>
      <c r="M405" s="544"/>
      <c r="N405" s="545"/>
      <c r="O405" s="545"/>
    </row>
    <row r="406" spans="1:17" s="487" customFormat="1" ht="18" customHeight="1">
      <c r="A406" s="726">
        <v>9</v>
      </c>
      <c r="B406" s="983" t="s">
        <v>111</v>
      </c>
      <c r="C406" s="479"/>
      <c r="D406" s="480"/>
      <c r="E406" s="724"/>
      <c r="F406" s="482"/>
      <c r="G406" s="745"/>
      <c r="H406" s="746"/>
      <c r="I406" s="745"/>
      <c r="J406" s="747"/>
      <c r="K406" s="725"/>
      <c r="L406" s="478"/>
      <c r="M406" s="485"/>
      <c r="N406" s="879">
        <f>SUM(N408:N422)</f>
        <v>8322.6018518518522</v>
      </c>
      <c r="O406" s="546" t="s">
        <v>21</v>
      </c>
    </row>
    <row r="407" spans="1:17" s="487" customFormat="1" ht="18" customHeight="1">
      <c r="A407" s="726"/>
      <c r="B407" s="336" t="s">
        <v>155</v>
      </c>
      <c r="C407" s="479"/>
      <c r="D407" s="480"/>
      <c r="E407" s="724"/>
      <c r="F407" s="482"/>
      <c r="G407" s="745"/>
      <c r="H407" s="746"/>
      <c r="I407" s="745"/>
      <c r="J407" s="747"/>
      <c r="K407" s="725"/>
      <c r="L407" s="478"/>
      <c r="M407" s="485">
        <f>N12</f>
        <v>11624.03125</v>
      </c>
      <c r="N407" s="486"/>
      <c r="O407" s="486"/>
    </row>
    <row r="408" spans="1:17" s="487" customFormat="1" ht="18" customHeight="1">
      <c r="A408" s="726"/>
      <c r="B408" s="873" t="s">
        <v>24</v>
      </c>
      <c r="C408" s="479"/>
      <c r="D408" s="480"/>
      <c r="E408" s="481"/>
      <c r="F408" s="482"/>
      <c r="G408" s="483"/>
      <c r="H408" s="484"/>
      <c r="I408" s="483"/>
      <c r="J408" s="749"/>
      <c r="K408" s="483"/>
      <c r="L408" s="485"/>
      <c r="M408" s="485"/>
      <c r="N408" s="486"/>
      <c r="O408" s="486"/>
    </row>
    <row r="409" spans="1:17" s="487" customFormat="1" ht="18" customHeight="1">
      <c r="A409" s="726"/>
      <c r="B409" s="336" t="s">
        <v>163</v>
      </c>
      <c r="C409" s="479"/>
      <c r="D409" s="480"/>
      <c r="E409" s="748"/>
      <c r="F409" s="482"/>
      <c r="G409" s="483"/>
      <c r="H409" s="484"/>
      <c r="I409" s="483"/>
      <c r="J409" s="749"/>
      <c r="K409" s="483"/>
      <c r="L409" s="485">
        <f>N28</f>
        <v>454.10416666666663</v>
      </c>
      <c r="M409" s="485"/>
      <c r="N409" s="486"/>
      <c r="O409" s="486"/>
    </row>
    <row r="410" spans="1:17" s="487" customFormat="1" ht="18" customHeight="1">
      <c r="A410" s="726"/>
      <c r="B410" s="336" t="s">
        <v>217</v>
      </c>
      <c r="C410" s="479"/>
      <c r="D410" s="480"/>
      <c r="E410" s="748"/>
      <c r="F410" s="482"/>
      <c r="G410" s="483"/>
      <c r="H410" s="484"/>
      <c r="I410" s="483"/>
      <c r="J410" s="749"/>
      <c r="K410" s="483"/>
      <c r="L410" s="485">
        <f>N36+N55</f>
        <v>443.92708333333326</v>
      </c>
      <c r="M410" s="485"/>
      <c r="N410" s="486"/>
      <c r="O410" s="486"/>
    </row>
    <row r="411" spans="1:17" s="487" customFormat="1" ht="18" customHeight="1">
      <c r="A411" s="726"/>
      <c r="B411" s="336" t="s">
        <v>625</v>
      </c>
      <c r="C411" s="479"/>
      <c r="D411" s="480"/>
      <c r="E411" s="748"/>
      <c r="F411" s="482"/>
      <c r="G411" s="483"/>
      <c r="H411" s="484"/>
      <c r="I411" s="483"/>
      <c r="J411" s="749"/>
      <c r="K411" s="483"/>
      <c r="L411" s="485">
        <f>N82+N86</f>
        <v>2403.3981481481478</v>
      </c>
      <c r="M411" s="485"/>
      <c r="N411" s="486"/>
      <c r="O411" s="486"/>
    </row>
    <row r="412" spans="1:17" s="487" customFormat="1" ht="18" customHeight="1">
      <c r="A412" s="726"/>
      <c r="B412" s="336"/>
      <c r="C412" s="479"/>
      <c r="D412" s="480"/>
      <c r="E412" s="748"/>
      <c r="F412" s="482"/>
      <c r="G412" s="483"/>
      <c r="H412" s="484"/>
      <c r="I412" s="483"/>
      <c r="J412" s="749"/>
      <c r="K412" s="483"/>
      <c r="L412" s="485"/>
      <c r="M412" s="485"/>
      <c r="N412" s="486"/>
      <c r="O412" s="486"/>
    </row>
    <row r="413" spans="1:17" s="487" customFormat="1" ht="18" customHeight="1">
      <c r="A413" s="726"/>
      <c r="B413" s="829" t="s">
        <v>109</v>
      </c>
      <c r="C413" s="809"/>
      <c r="D413" s="810"/>
      <c r="E413" s="818"/>
      <c r="F413" s="811"/>
      <c r="G413" s="812"/>
      <c r="H413" s="813"/>
      <c r="I413" s="812"/>
      <c r="J413" s="814"/>
      <c r="K413" s="831"/>
      <c r="L413" s="726"/>
      <c r="M413" s="486"/>
      <c r="N413" s="816"/>
      <c r="O413" s="726"/>
    </row>
    <row r="414" spans="1:17" s="487" customFormat="1" ht="18" customHeight="1">
      <c r="A414" s="726"/>
      <c r="B414" s="830" t="s">
        <v>283</v>
      </c>
      <c r="C414" s="479">
        <f>$C$70</f>
        <v>1</v>
      </c>
      <c r="D414" s="480" t="s">
        <v>87</v>
      </c>
      <c r="E414" s="724">
        <f>$E$70</f>
        <v>1</v>
      </c>
      <c r="F414" s="482">
        <f>$F$70</f>
        <v>16</v>
      </c>
      <c r="G414" s="819">
        <f>$G$70</f>
        <v>4.5</v>
      </c>
      <c r="H414" s="484">
        <f>$H$70</f>
        <v>10</v>
      </c>
      <c r="I414" s="819">
        <f>$I$70</f>
        <v>9.5</v>
      </c>
      <c r="J414" s="749">
        <v>2</v>
      </c>
      <c r="K414" s="483">
        <f>0</f>
        <v>0</v>
      </c>
      <c r="L414" s="500"/>
      <c r="M414" s="485"/>
      <c r="N414" s="816"/>
      <c r="O414" s="726"/>
    </row>
    <row r="415" spans="1:17" s="487" customFormat="1" ht="18" customHeight="1">
      <c r="A415" s="478"/>
      <c r="B415" s="830" t="s">
        <v>284</v>
      </c>
      <c r="C415" s="479">
        <f>$C$71</f>
        <v>1</v>
      </c>
      <c r="D415" s="480" t="s">
        <v>87</v>
      </c>
      <c r="E415" s="724">
        <f>$E$71</f>
        <v>1</v>
      </c>
      <c r="F415" s="482">
        <f>$F$71</f>
        <v>14</v>
      </c>
      <c r="G415" s="819">
        <f>$G$71</f>
        <v>10.5</v>
      </c>
      <c r="H415" s="484">
        <f>$H$71</f>
        <v>10</v>
      </c>
      <c r="I415" s="819">
        <f>$I$71</f>
        <v>9.5</v>
      </c>
      <c r="J415" s="749">
        <v>2</v>
      </c>
      <c r="K415" s="483">
        <f>0</f>
        <v>0</v>
      </c>
      <c r="L415" s="500"/>
      <c r="M415" s="485"/>
      <c r="N415" s="486"/>
      <c r="O415" s="486"/>
    </row>
    <row r="416" spans="1:17" s="487" customFormat="1" ht="18" customHeight="1">
      <c r="A416" s="478"/>
      <c r="B416" s="830" t="s">
        <v>285</v>
      </c>
      <c r="C416" s="479">
        <f>$C$72</f>
        <v>1</v>
      </c>
      <c r="D416" s="480" t="s">
        <v>87</v>
      </c>
      <c r="E416" s="724">
        <f>$E$72</f>
        <v>1</v>
      </c>
      <c r="F416" s="482">
        <f>$F$72</f>
        <v>16</v>
      </c>
      <c r="G416" s="819">
        <f>$G$72</f>
        <v>4.5</v>
      </c>
      <c r="H416" s="484">
        <f>$H$72</f>
        <v>8</v>
      </c>
      <c r="I416" s="819">
        <f>$I$72</f>
        <v>3</v>
      </c>
      <c r="J416" s="749">
        <v>2</v>
      </c>
      <c r="K416" s="483">
        <f>0</f>
        <v>0</v>
      </c>
      <c r="L416" s="500"/>
      <c r="M416" s="485"/>
      <c r="N416" s="486"/>
      <c r="O416" s="486"/>
    </row>
    <row r="417" spans="1:15" s="487" customFormat="1" ht="18" customHeight="1">
      <c r="A417" s="478"/>
      <c r="B417" s="830" t="s">
        <v>286</v>
      </c>
      <c r="C417" s="479">
        <f>$C$73</f>
        <v>1</v>
      </c>
      <c r="D417" s="480" t="s">
        <v>87</v>
      </c>
      <c r="E417" s="724">
        <f>$E$73</f>
        <v>1</v>
      </c>
      <c r="F417" s="482">
        <f>$F$73</f>
        <v>14</v>
      </c>
      <c r="G417" s="819">
        <f>$G$73</f>
        <v>1.5</v>
      </c>
      <c r="H417" s="484">
        <f>$H$73</f>
        <v>8</v>
      </c>
      <c r="I417" s="819">
        <f>$I$73</f>
        <v>3</v>
      </c>
      <c r="J417" s="749">
        <v>2</v>
      </c>
      <c r="K417" s="483">
        <f>0</f>
        <v>0</v>
      </c>
      <c r="L417" s="500"/>
      <c r="M417" s="485"/>
      <c r="N417" s="486"/>
      <c r="O417" s="486"/>
    </row>
    <row r="418" spans="1:15" s="487" customFormat="1" ht="18" customHeight="1">
      <c r="A418" s="478"/>
      <c r="B418" s="830" t="s">
        <v>287</v>
      </c>
      <c r="C418" s="479">
        <f>$C$74</f>
        <v>1</v>
      </c>
      <c r="D418" s="480" t="s">
        <v>87</v>
      </c>
      <c r="E418" s="724">
        <f>$E$74</f>
        <v>1</v>
      </c>
      <c r="F418" s="482">
        <f>$F$74</f>
        <v>15</v>
      </c>
      <c r="G418" s="819">
        <f>$G$74</f>
        <v>7.5</v>
      </c>
      <c r="H418" s="484">
        <f>$H$74</f>
        <v>14</v>
      </c>
      <c r="I418" s="819">
        <f>$I$74</f>
        <v>5.5</v>
      </c>
      <c r="J418" s="749">
        <v>2</v>
      </c>
      <c r="K418" s="483">
        <f>0</f>
        <v>0</v>
      </c>
      <c r="L418" s="500"/>
      <c r="M418" s="485"/>
      <c r="N418" s="486"/>
      <c r="O418" s="486"/>
    </row>
    <row r="419" spans="1:15" s="487" customFormat="1" ht="18" customHeight="1">
      <c r="A419" s="478"/>
      <c r="B419" s="830" t="s">
        <v>288</v>
      </c>
      <c r="C419" s="479">
        <f>$C$75</f>
        <v>1</v>
      </c>
      <c r="D419" s="480" t="s">
        <v>87</v>
      </c>
      <c r="E419" s="724">
        <f>$E$75</f>
        <v>1</v>
      </c>
      <c r="F419" s="482">
        <f>$F$75</f>
        <v>14</v>
      </c>
      <c r="G419" s="819">
        <f>$G$75</f>
        <v>10.5</v>
      </c>
      <c r="H419" s="484">
        <f>$H$75</f>
        <v>14</v>
      </c>
      <c r="I419" s="819">
        <f>$I$75</f>
        <v>5.5</v>
      </c>
      <c r="J419" s="749">
        <v>2</v>
      </c>
      <c r="K419" s="483">
        <f>0</f>
        <v>0</v>
      </c>
      <c r="L419" s="987"/>
      <c r="M419" s="555"/>
      <c r="N419" s="486"/>
      <c r="O419" s="486"/>
    </row>
    <row r="420" spans="1:15" s="487" customFormat="1" ht="18" customHeight="1">
      <c r="A420" s="726"/>
      <c r="B420" s="830"/>
      <c r="C420" s="479"/>
      <c r="D420" s="480"/>
      <c r="E420" s="724"/>
      <c r="F420" s="482"/>
      <c r="G420" s="483"/>
      <c r="H420" s="484"/>
      <c r="I420" s="483"/>
      <c r="J420" s="749"/>
      <c r="K420" s="483"/>
      <c r="L420" s="499">
        <f>SUM(L409:L419)</f>
        <v>3301.4293981481478</v>
      </c>
      <c r="M420" s="499">
        <f>SUM(M407:M419)</f>
        <v>11624.03125</v>
      </c>
      <c r="N420" s="816"/>
      <c r="O420" s="726"/>
    </row>
    <row r="421" spans="1:15" s="487" customFormat="1" ht="18" customHeight="1">
      <c r="A421" s="726"/>
      <c r="B421" s="336"/>
      <c r="C421" s="479"/>
      <c r="D421" s="480"/>
      <c r="E421" s="481"/>
      <c r="F421" s="482"/>
      <c r="G421" s="483"/>
      <c r="H421" s="484"/>
      <c r="I421" s="483"/>
      <c r="J421" s="749"/>
      <c r="K421" s="819"/>
      <c r="L421" s="478"/>
      <c r="M421" s="485"/>
      <c r="N421" s="816"/>
      <c r="O421" s="726"/>
    </row>
    <row r="422" spans="1:15" s="487" customFormat="1" ht="18" customHeight="1">
      <c r="A422" s="478"/>
      <c r="B422" s="985"/>
      <c r="C422" s="479"/>
      <c r="D422" s="480"/>
      <c r="E422" s="724"/>
      <c r="F422" s="482"/>
      <c r="G422" s="483"/>
      <c r="H422" s="484"/>
      <c r="I422" s="483"/>
      <c r="J422" s="484"/>
      <c r="K422" s="483"/>
      <c r="L422" s="918"/>
      <c r="M422" s="485"/>
      <c r="N422" s="871">
        <f>M420-L420</f>
        <v>8322.6018518518522</v>
      </c>
      <c r="O422" s="872" t="s">
        <v>21</v>
      </c>
    </row>
    <row r="423" spans="1:15" s="487" customFormat="1" ht="18" customHeight="1">
      <c r="A423" s="548"/>
      <c r="B423" s="981"/>
      <c r="C423" s="557"/>
      <c r="D423" s="550"/>
      <c r="E423" s="551"/>
      <c r="F423" s="552"/>
      <c r="G423" s="729"/>
      <c r="H423" s="730"/>
      <c r="I423" s="729"/>
      <c r="J423" s="731"/>
      <c r="K423" s="732"/>
      <c r="L423" s="548"/>
      <c r="M423" s="555"/>
      <c r="N423" s="987"/>
      <c r="O423" s="987"/>
    </row>
    <row r="424" spans="1:15" s="487" customFormat="1" ht="18" customHeight="1">
      <c r="A424" s="733">
        <v>10</v>
      </c>
      <c r="B424" s="734" t="s">
        <v>775</v>
      </c>
      <c r="C424" s="735"/>
      <c r="D424" s="736"/>
      <c r="E424" s="737"/>
      <c r="F424" s="738"/>
      <c r="G424" s="739"/>
      <c r="H424" s="740"/>
      <c r="I424" s="739"/>
      <c r="J424" s="741"/>
      <c r="K424" s="742"/>
      <c r="L424" s="500"/>
      <c r="M424" s="499"/>
      <c r="N424" s="879">
        <f>SUM(N425:N785)</f>
        <v>12491.302499999998</v>
      </c>
      <c r="O424" s="546" t="s">
        <v>19</v>
      </c>
    </row>
    <row r="425" spans="1:15" s="487" customFormat="1" ht="18" customHeight="1">
      <c r="A425" s="478"/>
      <c r="B425" s="723" t="s">
        <v>427</v>
      </c>
      <c r="C425" s="479"/>
      <c r="D425" s="480"/>
      <c r="E425" s="481"/>
      <c r="F425" s="482"/>
      <c r="G425" s="745"/>
      <c r="H425" s="746"/>
      <c r="I425" s="745"/>
      <c r="J425" s="747"/>
      <c r="K425" s="725"/>
      <c r="L425" s="485"/>
      <c r="M425" s="485"/>
      <c r="N425" s="486"/>
      <c r="O425" s="486"/>
    </row>
    <row r="426" spans="1:15" s="487" customFormat="1" ht="18" customHeight="1">
      <c r="A426" s="478"/>
      <c r="B426" s="336" t="s">
        <v>267</v>
      </c>
      <c r="C426" s="479">
        <v>2</v>
      </c>
      <c r="D426" s="480" t="s">
        <v>87</v>
      </c>
      <c r="E426" s="481">
        <f>E81</f>
        <v>1</v>
      </c>
      <c r="F426" s="482">
        <f>F81</f>
        <v>35</v>
      </c>
      <c r="G426" s="483">
        <f>G81</f>
        <v>6</v>
      </c>
      <c r="H426" s="484"/>
      <c r="I426" s="483"/>
      <c r="J426" s="749">
        <f>J81</f>
        <v>1</v>
      </c>
      <c r="K426" s="483">
        <f>K81</f>
        <v>8</v>
      </c>
      <c r="L426" s="485"/>
      <c r="M426" s="485">
        <f t="shared" ref="M426:M427" si="149">IF(C426=0,1,C426)*IF(E426=0,1,E426)*IF((F426+G426/12)=0,1,(F426+G426/12))*IF((H426+I426/12)=0,1,(H426+I426/12))*IF((J426+K426/12)=0,1,(J426+K426/12))</f>
        <v>118.33333333333333</v>
      </c>
      <c r="N426" s="486"/>
      <c r="O426" s="486"/>
    </row>
    <row r="427" spans="1:15" s="487" customFormat="1" ht="18" customHeight="1">
      <c r="A427" s="478"/>
      <c r="B427" s="336"/>
      <c r="C427" s="479">
        <v>2</v>
      </c>
      <c r="D427" s="480" t="s">
        <v>87</v>
      </c>
      <c r="E427" s="481">
        <v>1</v>
      </c>
      <c r="F427" s="482">
        <f>H81</f>
        <v>38</v>
      </c>
      <c r="G427" s="483">
        <f>I81</f>
        <v>6</v>
      </c>
      <c r="H427" s="484"/>
      <c r="I427" s="483"/>
      <c r="J427" s="749">
        <f>J426</f>
        <v>1</v>
      </c>
      <c r="K427" s="483">
        <f>K426</f>
        <v>8</v>
      </c>
      <c r="L427" s="485"/>
      <c r="M427" s="485">
        <f t="shared" si="149"/>
        <v>128.33333333333331</v>
      </c>
      <c r="N427" s="486"/>
      <c r="O427" s="486"/>
    </row>
    <row r="428" spans="1:15" s="487" customFormat="1" ht="18" customHeight="1">
      <c r="A428" s="478"/>
      <c r="B428" s="336"/>
      <c r="C428" s="479"/>
      <c r="D428" s="480"/>
      <c r="E428" s="838">
        <f>SUM(E426:E427)</f>
        <v>2</v>
      </c>
      <c r="F428" s="482"/>
      <c r="G428" s="745"/>
      <c r="H428" s="746"/>
      <c r="I428" s="745"/>
      <c r="J428" s="747"/>
      <c r="K428" s="725"/>
      <c r="L428" s="485"/>
      <c r="M428" s="880"/>
      <c r="N428" s="858">
        <f>SUM(M426:M427)</f>
        <v>246.66666666666663</v>
      </c>
      <c r="O428" s="885" t="s">
        <v>19</v>
      </c>
    </row>
    <row r="429" spans="1:15" s="487" customFormat="1" ht="18" customHeight="1">
      <c r="A429" s="478"/>
      <c r="B429" s="723" t="s">
        <v>294</v>
      </c>
      <c r="C429" s="479"/>
      <c r="D429" s="480"/>
      <c r="E429" s="481"/>
      <c r="F429" s="482"/>
      <c r="G429" s="745"/>
      <c r="H429" s="746"/>
      <c r="I429" s="745"/>
      <c r="J429" s="747"/>
      <c r="K429" s="725"/>
      <c r="L429" s="478"/>
      <c r="M429" s="881"/>
      <c r="N429" s="486"/>
      <c r="O429" s="882"/>
    </row>
    <row r="430" spans="1:15" s="487" customFormat="1" ht="18" customHeight="1">
      <c r="A430" s="478"/>
      <c r="B430" s="336" t="s">
        <v>289</v>
      </c>
      <c r="C430" s="479">
        <f>C84*4</f>
        <v>4</v>
      </c>
      <c r="D430" s="480" t="s">
        <v>87</v>
      </c>
      <c r="E430" s="481">
        <f>E84</f>
        <v>8</v>
      </c>
      <c r="F430" s="482">
        <f>F93</f>
        <v>1</v>
      </c>
      <c r="G430" s="483">
        <f>G93</f>
        <v>0</v>
      </c>
      <c r="H430" s="484"/>
      <c r="I430" s="483"/>
      <c r="J430" s="749">
        <f>J84</f>
        <v>9</v>
      </c>
      <c r="K430" s="483">
        <f>K84</f>
        <v>4</v>
      </c>
      <c r="L430" s="485"/>
      <c r="M430" s="485">
        <f t="shared" ref="M430:M431" si="150">IF(C430=0,1,C430)*IF(E430=0,1,E430)*IF((F430+G430/12)=0,1,(F430+G430/12))*IF((H430+I430/12)=0,1,(H430+I430/12))*IF((J430+K430/12)=0,1,(J430+K430/12))</f>
        <v>298.66666666666669</v>
      </c>
      <c r="N430" s="486"/>
      <c r="O430" s="486"/>
    </row>
    <row r="431" spans="1:15" s="487" customFormat="1" ht="18" customHeight="1">
      <c r="A431" s="478"/>
      <c r="B431" s="336" t="s">
        <v>290</v>
      </c>
      <c r="C431" s="479">
        <f>C85*4</f>
        <v>4</v>
      </c>
      <c r="D431" s="480" t="s">
        <v>87</v>
      </c>
      <c r="E431" s="481">
        <f>E85</f>
        <v>4</v>
      </c>
      <c r="F431" s="482">
        <f>F94</f>
        <v>1</v>
      </c>
      <c r="G431" s="483">
        <f>G94</f>
        <v>2</v>
      </c>
      <c r="H431" s="484"/>
      <c r="I431" s="483"/>
      <c r="J431" s="749">
        <f>J85</f>
        <v>9</v>
      </c>
      <c r="K431" s="483">
        <f>K85</f>
        <v>4</v>
      </c>
      <c r="L431" s="485"/>
      <c r="M431" s="485">
        <f t="shared" si="150"/>
        <v>174.22222222222226</v>
      </c>
      <c r="N431" s="486"/>
      <c r="O431" s="486"/>
    </row>
    <row r="432" spans="1:15" s="487" customFormat="1" ht="18" customHeight="1">
      <c r="A432" s="478"/>
      <c r="B432" s="834"/>
      <c r="C432" s="479"/>
      <c r="D432" s="883"/>
      <c r="E432" s="838">
        <f>SUM(E430:E431)</f>
        <v>12</v>
      </c>
      <c r="F432" s="482"/>
      <c r="G432" s="483"/>
      <c r="H432" s="484"/>
      <c r="I432" s="483"/>
      <c r="J432" s="749"/>
      <c r="K432" s="483"/>
      <c r="L432" s="478"/>
      <c r="M432" s="485"/>
      <c r="N432" s="858">
        <f>SUM(M430:M431)</f>
        <v>472.88888888888891</v>
      </c>
      <c r="O432" s="885" t="s">
        <v>19</v>
      </c>
    </row>
    <row r="433" spans="1:15" s="487" customFormat="1" ht="18" customHeight="1">
      <c r="A433" s="478"/>
      <c r="B433" s="723" t="s">
        <v>477</v>
      </c>
      <c r="C433" s="479"/>
      <c r="D433" s="883"/>
      <c r="E433" s="481"/>
      <c r="F433" s="482"/>
      <c r="G433" s="483"/>
      <c r="H433" s="484"/>
      <c r="I433" s="483"/>
      <c r="J433" s="749"/>
      <c r="K433" s="483"/>
      <c r="L433" s="478"/>
      <c r="M433" s="485"/>
      <c r="N433" s="506"/>
      <c r="O433" s="788"/>
    </row>
    <row r="434" spans="1:15" s="487" customFormat="1" ht="18" customHeight="1">
      <c r="A434" s="478"/>
      <c r="B434" s="336" t="s">
        <v>475</v>
      </c>
      <c r="C434" s="479">
        <f>C88*2</f>
        <v>2</v>
      </c>
      <c r="D434" s="883" t="s">
        <v>87</v>
      </c>
      <c r="E434" s="481">
        <f t="shared" ref="E434:G435" si="151">E88</f>
        <v>2</v>
      </c>
      <c r="F434" s="482">
        <f t="shared" si="151"/>
        <v>15</v>
      </c>
      <c r="G434" s="483">
        <f t="shared" si="151"/>
        <v>11</v>
      </c>
      <c r="H434" s="484"/>
      <c r="I434" s="483"/>
      <c r="J434" s="749">
        <f>J88</f>
        <v>9</v>
      </c>
      <c r="K434" s="483">
        <f>K88</f>
        <v>4</v>
      </c>
      <c r="L434" s="478"/>
      <c r="M434" s="485">
        <f t="shared" ref="M434:M435" si="152">IF(C434=0,1,C434)*IF(E434=0,1,E434)*IF((F434+G434/12)=0,1,(F434+G434/12))*IF((H434+I434/12)=0,1,(H434+I434/12))*IF((J434+K434/12)=0,1,(J434+K434/12))</f>
        <v>594.22222222222229</v>
      </c>
      <c r="N434" s="506"/>
      <c r="O434" s="788"/>
    </row>
    <row r="435" spans="1:15" s="487" customFormat="1" ht="18" customHeight="1">
      <c r="A435" s="478"/>
      <c r="B435" s="336" t="s">
        <v>476</v>
      </c>
      <c r="C435" s="479">
        <f>C89*2</f>
        <v>2</v>
      </c>
      <c r="D435" s="883" t="s">
        <v>87</v>
      </c>
      <c r="E435" s="481">
        <f t="shared" si="151"/>
        <v>2</v>
      </c>
      <c r="F435" s="482">
        <f t="shared" si="151"/>
        <v>7</v>
      </c>
      <c r="G435" s="483">
        <f t="shared" si="151"/>
        <v>10</v>
      </c>
      <c r="H435" s="484"/>
      <c r="I435" s="483"/>
      <c r="J435" s="749">
        <f>J89</f>
        <v>9</v>
      </c>
      <c r="K435" s="483">
        <f>K89</f>
        <v>4</v>
      </c>
      <c r="L435" s="478"/>
      <c r="M435" s="485">
        <f t="shared" si="152"/>
        <v>292.44444444444446</v>
      </c>
      <c r="N435" s="506"/>
      <c r="O435" s="788"/>
    </row>
    <row r="436" spans="1:15" s="487" customFormat="1" ht="18" customHeight="1">
      <c r="A436" s="478"/>
      <c r="B436" s="723"/>
      <c r="C436" s="479"/>
      <c r="D436" s="883"/>
      <c r="E436" s="481"/>
      <c r="F436" s="482"/>
      <c r="G436" s="483"/>
      <c r="H436" s="484"/>
      <c r="I436" s="483"/>
      <c r="J436" s="749"/>
      <c r="K436" s="483"/>
      <c r="L436" s="478"/>
      <c r="M436" s="485"/>
      <c r="N436" s="858">
        <f>SUM(M434:M435)</f>
        <v>886.66666666666674</v>
      </c>
      <c r="O436" s="885" t="s">
        <v>19</v>
      </c>
    </row>
    <row r="437" spans="1:15" s="487" customFormat="1" ht="18" customHeight="1">
      <c r="A437" s="478"/>
      <c r="B437" s="723" t="s">
        <v>629</v>
      </c>
      <c r="C437" s="479"/>
      <c r="D437" s="480"/>
      <c r="E437" s="481"/>
      <c r="F437" s="482"/>
      <c r="G437" s="745"/>
      <c r="H437" s="746"/>
      <c r="I437" s="745"/>
      <c r="J437" s="749"/>
      <c r="K437" s="483"/>
      <c r="L437" s="478"/>
      <c r="M437" s="485"/>
      <c r="N437" s="486"/>
      <c r="O437" s="486"/>
    </row>
    <row r="438" spans="1:15" s="487" customFormat="1" ht="18" customHeight="1">
      <c r="A438" s="478"/>
      <c r="B438" s="336" t="s">
        <v>289</v>
      </c>
      <c r="C438" s="479">
        <f>C93*4</f>
        <v>4</v>
      </c>
      <c r="D438" s="883" t="s">
        <v>87</v>
      </c>
      <c r="E438" s="481">
        <f t="shared" ref="E438:G439" si="153">E93</f>
        <v>8</v>
      </c>
      <c r="F438" s="482">
        <f t="shared" si="153"/>
        <v>1</v>
      </c>
      <c r="G438" s="483">
        <f t="shared" si="153"/>
        <v>0</v>
      </c>
      <c r="H438" s="484"/>
      <c r="I438" s="483"/>
      <c r="J438" s="749">
        <f>J93</f>
        <v>13</v>
      </c>
      <c r="K438" s="483">
        <f>K93</f>
        <v>0</v>
      </c>
      <c r="L438" s="478"/>
      <c r="M438" s="485">
        <f t="shared" ref="M438:M439" si="154">IF(C438=0,1,C438)*IF(E438=0,1,E438)*IF((F438+G438/12)=0,1,(F438+G438/12))*IF((H438+I438/12)=0,1,(H438+I438/12))*IF((J438+K438/12)=0,1,(J438+K438/12))</f>
        <v>416</v>
      </c>
      <c r="N438" s="486"/>
      <c r="O438" s="486"/>
    </row>
    <row r="439" spans="1:15" s="487" customFormat="1" ht="18" customHeight="1">
      <c r="A439" s="478"/>
      <c r="B439" s="336" t="s">
        <v>290</v>
      </c>
      <c r="C439" s="479">
        <f>C94*4</f>
        <v>4</v>
      </c>
      <c r="D439" s="883" t="s">
        <v>87</v>
      </c>
      <c r="E439" s="481">
        <f t="shared" si="153"/>
        <v>4</v>
      </c>
      <c r="F439" s="482">
        <f t="shared" si="153"/>
        <v>1</v>
      </c>
      <c r="G439" s="483">
        <f t="shared" si="153"/>
        <v>2</v>
      </c>
      <c r="H439" s="484"/>
      <c r="I439" s="483"/>
      <c r="J439" s="749">
        <f>J94</f>
        <v>13</v>
      </c>
      <c r="K439" s="483">
        <f>K94</f>
        <v>0</v>
      </c>
      <c r="L439" s="478"/>
      <c r="M439" s="485">
        <f t="shared" si="154"/>
        <v>242.66666666666669</v>
      </c>
      <c r="N439" s="486"/>
      <c r="O439" s="486"/>
    </row>
    <row r="440" spans="1:15" s="487" customFormat="1" ht="18" customHeight="1">
      <c r="A440" s="478"/>
      <c r="B440" s="834"/>
      <c r="C440" s="479"/>
      <c r="D440" s="480"/>
      <c r="E440" s="481"/>
      <c r="F440" s="482"/>
      <c r="G440" s="745"/>
      <c r="H440" s="746"/>
      <c r="I440" s="745"/>
      <c r="J440" s="747"/>
      <c r="K440" s="483"/>
      <c r="L440" s="485"/>
      <c r="M440" s="485"/>
      <c r="N440" s="858">
        <f>SUM(M438:M439)</f>
        <v>658.66666666666674</v>
      </c>
      <c r="O440" s="885" t="s">
        <v>19</v>
      </c>
    </row>
    <row r="441" spans="1:15" s="487" customFormat="1" ht="18" customHeight="1">
      <c r="A441" s="478"/>
      <c r="B441" s="723" t="s">
        <v>630</v>
      </c>
      <c r="C441" s="479"/>
      <c r="D441" s="480"/>
      <c r="E441" s="481"/>
      <c r="F441" s="482"/>
      <c r="G441" s="745"/>
      <c r="H441" s="746"/>
      <c r="I441" s="745"/>
      <c r="J441" s="747"/>
      <c r="K441" s="483"/>
      <c r="L441" s="485"/>
      <c r="M441" s="485"/>
      <c r="N441" s="506"/>
      <c r="O441" s="788"/>
    </row>
    <row r="442" spans="1:15" s="487" customFormat="1" ht="18" customHeight="1">
      <c r="A442" s="478"/>
      <c r="B442" s="336" t="s">
        <v>291</v>
      </c>
      <c r="C442" s="479">
        <f>C98*4</f>
        <v>4</v>
      </c>
      <c r="D442" s="883" t="s">
        <v>87</v>
      </c>
      <c r="E442" s="481">
        <f t="shared" ref="E442:G443" si="155">E98</f>
        <v>11</v>
      </c>
      <c r="F442" s="482">
        <f t="shared" si="155"/>
        <v>1</v>
      </c>
      <c r="G442" s="483">
        <f t="shared" si="155"/>
        <v>0</v>
      </c>
      <c r="H442" s="484"/>
      <c r="I442" s="483"/>
      <c r="J442" s="749">
        <f>J98</f>
        <v>12</v>
      </c>
      <c r="K442" s="483">
        <f>K98</f>
        <v>0</v>
      </c>
      <c r="L442" s="478"/>
      <c r="M442" s="485">
        <f t="shared" ref="M442:M443" si="156">IF(C442=0,1,C442)*IF(E442=0,1,E442)*IF((F442+G442/12)=0,1,(F442+G442/12))*IF((H442+I442/12)=0,1,(H442+I442/12))*IF((J442+K442/12)=0,1,(J442+K442/12))</f>
        <v>528</v>
      </c>
      <c r="N442" s="486"/>
      <c r="O442" s="486"/>
    </row>
    <row r="443" spans="1:15" s="487" customFormat="1" ht="18" customHeight="1">
      <c r="A443" s="478"/>
      <c r="B443" s="336" t="s">
        <v>292</v>
      </c>
      <c r="C443" s="479">
        <f>C99*4</f>
        <v>4</v>
      </c>
      <c r="D443" s="883" t="s">
        <v>87</v>
      </c>
      <c r="E443" s="481">
        <f t="shared" si="155"/>
        <v>1</v>
      </c>
      <c r="F443" s="482">
        <f t="shared" si="155"/>
        <v>1</v>
      </c>
      <c r="G443" s="483">
        <f t="shared" si="155"/>
        <v>2</v>
      </c>
      <c r="H443" s="484"/>
      <c r="I443" s="483"/>
      <c r="J443" s="749">
        <f>J99</f>
        <v>12</v>
      </c>
      <c r="K443" s="483">
        <f>K99</f>
        <v>0</v>
      </c>
      <c r="L443" s="478"/>
      <c r="M443" s="485">
        <f t="shared" si="156"/>
        <v>56</v>
      </c>
      <c r="N443" s="486"/>
      <c r="O443" s="486"/>
    </row>
    <row r="444" spans="1:15" s="487" customFormat="1" ht="18" customHeight="1">
      <c r="A444" s="478"/>
      <c r="B444" s="834"/>
      <c r="C444" s="479"/>
      <c r="D444" s="480"/>
      <c r="E444" s="481"/>
      <c r="F444" s="482"/>
      <c r="G444" s="745"/>
      <c r="H444" s="746"/>
      <c r="I444" s="745"/>
      <c r="J444" s="747"/>
      <c r="K444" s="483"/>
      <c r="L444" s="485"/>
      <c r="M444" s="485"/>
      <c r="N444" s="858">
        <f>SUM(M442:M443)</f>
        <v>584</v>
      </c>
      <c r="O444" s="885" t="s">
        <v>19</v>
      </c>
    </row>
    <row r="445" spans="1:15" s="487" customFormat="1" ht="18" customHeight="1">
      <c r="A445" s="478"/>
      <c r="B445" s="723" t="s">
        <v>631</v>
      </c>
      <c r="C445" s="479"/>
      <c r="D445" s="480"/>
      <c r="E445" s="481"/>
      <c r="F445" s="482"/>
      <c r="G445" s="745"/>
      <c r="H445" s="746"/>
      <c r="I445" s="745"/>
      <c r="J445" s="747"/>
      <c r="K445" s="483"/>
      <c r="L445" s="485"/>
      <c r="M445" s="485"/>
      <c r="N445" s="506"/>
      <c r="O445" s="788"/>
    </row>
    <row r="446" spans="1:15" s="487" customFormat="1" ht="18" customHeight="1">
      <c r="A446" s="478"/>
      <c r="B446" s="336" t="s">
        <v>293</v>
      </c>
      <c r="C446" s="479">
        <f>C103*4</f>
        <v>4</v>
      </c>
      <c r="D446" s="883" t="s">
        <v>87</v>
      </c>
      <c r="E446" s="481">
        <f>E103</f>
        <v>12</v>
      </c>
      <c r="F446" s="482">
        <f>F103</f>
        <v>1</v>
      </c>
      <c r="G446" s="483">
        <f>G103</f>
        <v>0</v>
      </c>
      <c r="H446" s="484"/>
      <c r="I446" s="483"/>
      <c r="J446" s="749">
        <f>J103</f>
        <v>11</v>
      </c>
      <c r="K446" s="483">
        <f>K103</f>
        <v>0</v>
      </c>
      <c r="L446" s="478"/>
      <c r="M446" s="485">
        <f t="shared" ref="M446" si="157">IF(C446=0,1,C446)*IF(E446=0,1,E446)*IF((F446+G446/12)=0,1,(F446+G446/12))*IF((H446+I446/12)=0,1,(H446+I446/12))*IF((J446+K446/12)=0,1,(J446+K446/12))</f>
        <v>528</v>
      </c>
      <c r="N446" s="486"/>
      <c r="O446" s="486"/>
    </row>
    <row r="447" spans="1:15" s="487" customFormat="1" ht="18" customHeight="1">
      <c r="A447" s="478"/>
      <c r="B447" s="834"/>
      <c r="C447" s="479"/>
      <c r="D447" s="480"/>
      <c r="E447" s="481"/>
      <c r="F447" s="482"/>
      <c r="G447" s="745"/>
      <c r="H447" s="746"/>
      <c r="I447" s="745"/>
      <c r="J447" s="747"/>
      <c r="K447" s="483"/>
      <c r="L447" s="485"/>
      <c r="M447" s="485"/>
      <c r="N447" s="858">
        <f>SUM(M445:M446)</f>
        <v>528</v>
      </c>
      <c r="O447" s="885" t="s">
        <v>19</v>
      </c>
    </row>
    <row r="448" spans="1:15" s="487" customFormat="1" ht="18" customHeight="1">
      <c r="A448" s="478"/>
      <c r="B448" s="723" t="s">
        <v>295</v>
      </c>
      <c r="C448" s="479"/>
      <c r="D448" s="480"/>
      <c r="E448" s="481"/>
      <c r="F448" s="482"/>
      <c r="G448" s="745"/>
      <c r="H448" s="746"/>
      <c r="I448" s="745"/>
      <c r="J448" s="747"/>
      <c r="K448" s="483"/>
      <c r="L448" s="485"/>
      <c r="M448" s="485"/>
      <c r="N448" s="506"/>
      <c r="O448" s="788"/>
    </row>
    <row r="449" spans="1:15" s="487" customFormat="1" ht="18" customHeight="1">
      <c r="A449" s="478"/>
      <c r="B449" s="726" t="s">
        <v>296</v>
      </c>
      <c r="C449" s="479"/>
      <c r="D449" s="480"/>
      <c r="E449" s="481"/>
      <c r="F449" s="482"/>
      <c r="G449" s="745"/>
      <c r="H449" s="746"/>
      <c r="I449" s="745"/>
      <c r="J449" s="747"/>
      <c r="K449" s="483"/>
      <c r="L449" s="485"/>
      <c r="M449" s="485"/>
      <c r="N449" s="506"/>
      <c r="O449" s="788"/>
    </row>
    <row r="450" spans="1:15" s="487" customFormat="1" ht="18" customHeight="1">
      <c r="A450" s="478"/>
      <c r="B450" s="336" t="s">
        <v>277</v>
      </c>
      <c r="C450" s="479">
        <f>C108*4</f>
        <v>4</v>
      </c>
      <c r="D450" s="883" t="s">
        <v>87</v>
      </c>
      <c r="E450" s="481">
        <f>E108</f>
        <v>2</v>
      </c>
      <c r="F450" s="482">
        <f>F108</f>
        <v>7</v>
      </c>
      <c r="G450" s="483">
        <f>G108</f>
        <v>10</v>
      </c>
      <c r="H450" s="484"/>
      <c r="I450" s="483"/>
      <c r="J450" s="749">
        <f>J108</f>
        <v>0</v>
      </c>
      <c r="K450" s="483">
        <f>K108</f>
        <v>10</v>
      </c>
      <c r="L450" s="478"/>
      <c r="M450" s="485">
        <f t="shared" ref="M450:M452" si="158">IF(C450=0,1,C450)*IF(E450=0,1,E450)*IF((F450+G450/12)=0,1,(F450+G450/12))*IF((H450+I450/12)=0,1,(H450+I450/12))*IF((J450+K450/12)=0,1,(J450+K450/12))</f>
        <v>52.222222222222221</v>
      </c>
      <c r="N450" s="506"/>
      <c r="O450" s="788"/>
    </row>
    <row r="451" spans="1:15" s="487" customFormat="1" ht="18" customHeight="1">
      <c r="A451" s="478"/>
      <c r="B451" s="726" t="s">
        <v>632</v>
      </c>
      <c r="C451" s="479"/>
      <c r="D451" s="480"/>
      <c r="E451" s="481"/>
      <c r="F451" s="482"/>
      <c r="G451" s="745"/>
      <c r="H451" s="746"/>
      <c r="I451" s="745"/>
      <c r="J451" s="747"/>
      <c r="K451" s="483"/>
      <c r="L451" s="485"/>
      <c r="M451" s="485"/>
      <c r="N451" s="506"/>
      <c r="O451" s="788"/>
    </row>
    <row r="452" spans="1:15" s="487" customFormat="1" ht="18" customHeight="1">
      <c r="A452" s="478"/>
      <c r="B452" s="336" t="s">
        <v>270</v>
      </c>
      <c r="C452" s="479">
        <f>C110*4</f>
        <v>4</v>
      </c>
      <c r="D452" s="883" t="s">
        <v>87</v>
      </c>
      <c r="E452" s="481">
        <f>E110</f>
        <v>2</v>
      </c>
      <c r="F452" s="482">
        <f>F110</f>
        <v>15</v>
      </c>
      <c r="G452" s="483">
        <f>G110</f>
        <v>9</v>
      </c>
      <c r="H452" s="484"/>
      <c r="I452" s="483"/>
      <c r="J452" s="749">
        <f>J110</f>
        <v>0</v>
      </c>
      <c r="K452" s="483">
        <f>K110</f>
        <v>14</v>
      </c>
      <c r="L452" s="478"/>
      <c r="M452" s="485">
        <f t="shared" si="158"/>
        <v>147</v>
      </c>
      <c r="N452" s="486"/>
      <c r="O452" s="486"/>
    </row>
    <row r="453" spans="1:15" s="487" customFormat="1" ht="18" customHeight="1">
      <c r="A453" s="478"/>
      <c r="B453" s="834"/>
      <c r="C453" s="479"/>
      <c r="D453" s="480"/>
      <c r="E453" s="481"/>
      <c r="F453" s="482"/>
      <c r="G453" s="745"/>
      <c r="H453" s="746"/>
      <c r="I453" s="745"/>
      <c r="J453" s="747"/>
      <c r="K453" s="483"/>
      <c r="L453" s="485"/>
      <c r="M453" s="485"/>
      <c r="N453" s="858">
        <f>SUM(M450:M452)</f>
        <v>199.22222222222223</v>
      </c>
      <c r="O453" s="885" t="s">
        <v>19</v>
      </c>
    </row>
    <row r="454" spans="1:15" s="487" customFormat="1" ht="18" customHeight="1">
      <c r="A454" s="478"/>
      <c r="B454" s="723" t="s">
        <v>297</v>
      </c>
      <c r="C454" s="479"/>
      <c r="D454" s="480"/>
      <c r="E454" s="724"/>
      <c r="F454" s="482"/>
      <c r="G454" s="483"/>
      <c r="H454" s="484"/>
      <c r="I454" s="483"/>
      <c r="J454" s="484"/>
      <c r="K454" s="483"/>
      <c r="L454" s="485"/>
      <c r="M454" s="485"/>
      <c r="N454" s="486"/>
      <c r="O454" s="486"/>
    </row>
    <row r="455" spans="1:15" s="487" customFormat="1" ht="18" customHeight="1">
      <c r="A455" s="478"/>
      <c r="B455" s="726" t="s">
        <v>298</v>
      </c>
      <c r="C455" s="479"/>
      <c r="D455" s="480"/>
      <c r="E455" s="724"/>
      <c r="F455" s="482"/>
      <c r="G455" s="483"/>
      <c r="H455" s="484"/>
      <c r="I455" s="483"/>
      <c r="J455" s="484"/>
      <c r="K455" s="483"/>
      <c r="L455" s="485"/>
      <c r="M455" s="485"/>
      <c r="N455" s="486"/>
      <c r="O455" s="486"/>
    </row>
    <row r="456" spans="1:15" s="487" customFormat="1" ht="18" customHeight="1">
      <c r="A456" s="478"/>
      <c r="B456" s="336" t="s">
        <v>276</v>
      </c>
      <c r="C456" s="479">
        <f>C114*2</f>
        <v>2</v>
      </c>
      <c r="D456" s="480" t="s">
        <v>87</v>
      </c>
      <c r="E456" s="724">
        <f t="shared" ref="E456:G458" si="159">E114</f>
        <v>1</v>
      </c>
      <c r="F456" s="482">
        <f t="shared" si="159"/>
        <v>10</v>
      </c>
      <c r="G456" s="483">
        <f t="shared" si="159"/>
        <v>6</v>
      </c>
      <c r="H456" s="484"/>
      <c r="I456" s="483"/>
      <c r="J456" s="484">
        <f t="shared" ref="J456:K458" si="160">J114</f>
        <v>0</v>
      </c>
      <c r="K456" s="483">
        <f t="shared" si="160"/>
        <v>10</v>
      </c>
      <c r="L456" s="485"/>
      <c r="M456" s="485">
        <f t="shared" ref="M456:M458" si="161">IF(C456=0,1,C456)*IF(E456=0,1,E456)*IF((F456+G456/12)=0,1,(F456+G456/12))*IF((H456+I456/12)=0,1,(H456+I456/12))*IF((J456+K456/12)=0,1,(J456+K456/12))</f>
        <v>17.5</v>
      </c>
      <c r="N456" s="486"/>
      <c r="O456" s="486"/>
    </row>
    <row r="457" spans="1:15" s="487" customFormat="1" ht="18" customHeight="1">
      <c r="A457" s="478"/>
      <c r="B457" s="336" t="s">
        <v>299</v>
      </c>
      <c r="C457" s="479">
        <f>C115*2</f>
        <v>2</v>
      </c>
      <c r="D457" s="480" t="s">
        <v>87</v>
      </c>
      <c r="E457" s="724">
        <f t="shared" si="159"/>
        <v>1</v>
      </c>
      <c r="F457" s="482">
        <f t="shared" si="159"/>
        <v>7</v>
      </c>
      <c r="G457" s="483">
        <f t="shared" si="159"/>
        <v>11</v>
      </c>
      <c r="H457" s="484"/>
      <c r="I457" s="483"/>
      <c r="J457" s="484">
        <f t="shared" si="160"/>
        <v>0</v>
      </c>
      <c r="K457" s="483">
        <f t="shared" si="160"/>
        <v>10</v>
      </c>
      <c r="L457" s="485"/>
      <c r="M457" s="485">
        <f t="shared" si="161"/>
        <v>13.194444444444445</v>
      </c>
      <c r="N457" s="486"/>
      <c r="O457" s="486"/>
    </row>
    <row r="458" spans="1:15" s="487" customFormat="1" ht="18" customHeight="1">
      <c r="A458" s="478"/>
      <c r="B458" s="336" t="s">
        <v>300</v>
      </c>
      <c r="C458" s="479">
        <f>C116*2</f>
        <v>4</v>
      </c>
      <c r="D458" s="480" t="s">
        <v>87</v>
      </c>
      <c r="E458" s="724">
        <f t="shared" si="159"/>
        <v>1</v>
      </c>
      <c r="F458" s="482">
        <f t="shared" si="159"/>
        <v>8</v>
      </c>
      <c r="G458" s="483">
        <f t="shared" si="159"/>
        <v>6</v>
      </c>
      <c r="H458" s="484"/>
      <c r="I458" s="483"/>
      <c r="J458" s="484">
        <f t="shared" si="160"/>
        <v>0</v>
      </c>
      <c r="K458" s="483">
        <f t="shared" si="160"/>
        <v>10</v>
      </c>
      <c r="L458" s="485"/>
      <c r="M458" s="485">
        <f t="shared" si="161"/>
        <v>28.333333333333336</v>
      </c>
      <c r="N458" s="486"/>
      <c r="O458" s="486"/>
    </row>
    <row r="459" spans="1:15" s="487" customFormat="1" ht="18" customHeight="1">
      <c r="A459" s="478"/>
      <c r="B459" s="726" t="s">
        <v>301</v>
      </c>
      <c r="C459" s="479"/>
      <c r="D459" s="480"/>
      <c r="E459" s="724"/>
      <c r="F459" s="482"/>
      <c r="G459" s="483"/>
      <c r="H459" s="484"/>
      <c r="I459" s="483"/>
      <c r="J459" s="484"/>
      <c r="K459" s="483"/>
      <c r="L459" s="485"/>
      <c r="M459" s="485"/>
      <c r="N459" s="486"/>
      <c r="O459" s="486"/>
    </row>
    <row r="460" spans="1:15" s="487" customFormat="1" ht="18" customHeight="1">
      <c r="A460" s="478"/>
      <c r="B460" s="336" t="s">
        <v>302</v>
      </c>
      <c r="C460" s="479">
        <f t="shared" ref="C460:C469" si="162">C119*2</f>
        <v>2</v>
      </c>
      <c r="D460" s="480" t="s">
        <v>87</v>
      </c>
      <c r="E460" s="724">
        <f t="shared" ref="E460:G469" si="163">E119</f>
        <v>1</v>
      </c>
      <c r="F460" s="482">
        <f t="shared" si="163"/>
        <v>15</v>
      </c>
      <c r="G460" s="483">
        <f t="shared" si="163"/>
        <v>9</v>
      </c>
      <c r="H460" s="484"/>
      <c r="I460" s="483"/>
      <c r="J460" s="484">
        <f t="shared" ref="J460:K469" si="164">J119</f>
        <v>1</v>
      </c>
      <c r="K460" s="483">
        <f t="shared" si="164"/>
        <v>2</v>
      </c>
      <c r="L460" s="485"/>
      <c r="M460" s="485">
        <f t="shared" ref="M460:M475" si="165">IF(C460=0,1,C460)*IF(E460=0,1,E460)*IF((F460+G460/12)=0,1,(F460+G460/12))*IF((H460+I460/12)=0,1,(H460+I460/12))*IF((J460+K460/12)=0,1,(J460+K460/12))</f>
        <v>36.75</v>
      </c>
      <c r="N460" s="486"/>
      <c r="O460" s="486"/>
    </row>
    <row r="461" spans="1:15" s="487" customFormat="1" ht="18" customHeight="1">
      <c r="A461" s="478"/>
      <c r="B461" s="336" t="s">
        <v>303</v>
      </c>
      <c r="C461" s="479">
        <f t="shared" si="162"/>
        <v>2</v>
      </c>
      <c r="D461" s="480" t="s">
        <v>87</v>
      </c>
      <c r="E461" s="724">
        <f t="shared" si="163"/>
        <v>1</v>
      </c>
      <c r="F461" s="482">
        <f t="shared" si="163"/>
        <v>14</v>
      </c>
      <c r="G461" s="483">
        <f t="shared" si="163"/>
        <v>5</v>
      </c>
      <c r="H461" s="484"/>
      <c r="I461" s="483"/>
      <c r="J461" s="484">
        <f t="shared" si="164"/>
        <v>1</v>
      </c>
      <c r="K461" s="483">
        <f t="shared" si="164"/>
        <v>2</v>
      </c>
      <c r="L461" s="485"/>
      <c r="M461" s="485">
        <f t="shared" si="165"/>
        <v>33.638888888888893</v>
      </c>
      <c r="N461" s="486"/>
      <c r="O461" s="486"/>
    </row>
    <row r="462" spans="1:15" s="487" customFormat="1" ht="18" customHeight="1">
      <c r="A462" s="478"/>
      <c r="B462" s="336" t="s">
        <v>304</v>
      </c>
      <c r="C462" s="479">
        <f t="shared" si="162"/>
        <v>2</v>
      </c>
      <c r="D462" s="480" t="s">
        <v>87</v>
      </c>
      <c r="E462" s="724">
        <f t="shared" si="163"/>
        <v>1</v>
      </c>
      <c r="F462" s="482">
        <f t="shared" si="163"/>
        <v>16</v>
      </c>
      <c r="G462" s="483">
        <f t="shared" si="163"/>
        <v>0</v>
      </c>
      <c r="H462" s="484"/>
      <c r="I462" s="483"/>
      <c r="J462" s="484">
        <f t="shared" si="164"/>
        <v>1</v>
      </c>
      <c r="K462" s="483">
        <f t="shared" si="164"/>
        <v>2</v>
      </c>
      <c r="L462" s="485"/>
      <c r="M462" s="485">
        <f t="shared" si="165"/>
        <v>37.333333333333336</v>
      </c>
      <c r="N462" s="486"/>
      <c r="O462" s="486"/>
    </row>
    <row r="463" spans="1:15" s="487" customFormat="1" ht="18" customHeight="1">
      <c r="A463" s="478"/>
      <c r="B463" s="336" t="s">
        <v>305</v>
      </c>
      <c r="C463" s="479">
        <f t="shared" si="162"/>
        <v>2</v>
      </c>
      <c r="D463" s="480" t="s">
        <v>87</v>
      </c>
      <c r="E463" s="724">
        <f t="shared" si="163"/>
        <v>1</v>
      </c>
      <c r="F463" s="482">
        <f t="shared" si="163"/>
        <v>14</v>
      </c>
      <c r="G463" s="483">
        <f t="shared" si="163"/>
        <v>6</v>
      </c>
      <c r="H463" s="484"/>
      <c r="I463" s="483"/>
      <c r="J463" s="484">
        <f t="shared" si="164"/>
        <v>1</v>
      </c>
      <c r="K463" s="483">
        <f t="shared" si="164"/>
        <v>2</v>
      </c>
      <c r="L463" s="485"/>
      <c r="M463" s="485">
        <f t="shared" si="165"/>
        <v>33.833333333333336</v>
      </c>
      <c r="N463" s="486"/>
      <c r="O463" s="486"/>
    </row>
    <row r="464" spans="1:15" s="487" customFormat="1" ht="18" customHeight="1">
      <c r="A464" s="478"/>
      <c r="B464" s="336" t="s">
        <v>273</v>
      </c>
      <c r="C464" s="479">
        <f t="shared" si="162"/>
        <v>2</v>
      </c>
      <c r="D464" s="480" t="s">
        <v>87</v>
      </c>
      <c r="E464" s="724">
        <f t="shared" si="163"/>
        <v>2</v>
      </c>
      <c r="F464" s="482">
        <f t="shared" si="163"/>
        <v>14</v>
      </c>
      <c r="G464" s="483">
        <f t="shared" si="163"/>
        <v>0</v>
      </c>
      <c r="H464" s="484"/>
      <c r="I464" s="483"/>
      <c r="J464" s="484">
        <f t="shared" si="164"/>
        <v>1</v>
      </c>
      <c r="K464" s="483">
        <f t="shared" si="164"/>
        <v>2</v>
      </c>
      <c r="L464" s="485"/>
      <c r="M464" s="485">
        <f t="shared" si="165"/>
        <v>65.333333333333343</v>
      </c>
      <c r="N464" s="486"/>
      <c r="O464" s="486"/>
    </row>
    <row r="465" spans="1:15" s="487" customFormat="1" ht="18" customHeight="1">
      <c r="A465" s="478"/>
      <c r="B465" s="336" t="s">
        <v>274</v>
      </c>
      <c r="C465" s="479">
        <f t="shared" si="162"/>
        <v>2</v>
      </c>
      <c r="D465" s="480" t="s">
        <v>87</v>
      </c>
      <c r="E465" s="724">
        <f t="shared" si="163"/>
        <v>1</v>
      </c>
      <c r="F465" s="482">
        <f t="shared" si="163"/>
        <v>14</v>
      </c>
      <c r="G465" s="483">
        <f t="shared" si="163"/>
        <v>1</v>
      </c>
      <c r="H465" s="484"/>
      <c r="I465" s="483"/>
      <c r="J465" s="484">
        <f t="shared" si="164"/>
        <v>1</v>
      </c>
      <c r="K465" s="483">
        <f t="shared" si="164"/>
        <v>2</v>
      </c>
      <c r="L465" s="485"/>
      <c r="M465" s="485">
        <f t="shared" si="165"/>
        <v>32.861111111111114</v>
      </c>
      <c r="N465" s="486"/>
      <c r="O465" s="486"/>
    </row>
    <row r="466" spans="1:15" s="487" customFormat="1" ht="18" customHeight="1">
      <c r="A466" s="478"/>
      <c r="B466" s="336" t="s">
        <v>277</v>
      </c>
      <c r="C466" s="479">
        <f t="shared" si="162"/>
        <v>2</v>
      </c>
      <c r="D466" s="480" t="s">
        <v>87</v>
      </c>
      <c r="E466" s="724">
        <f t="shared" si="163"/>
        <v>2</v>
      </c>
      <c r="F466" s="482">
        <f t="shared" si="163"/>
        <v>7</v>
      </c>
      <c r="G466" s="483">
        <f t="shared" si="163"/>
        <v>10</v>
      </c>
      <c r="H466" s="484"/>
      <c r="I466" s="483"/>
      <c r="J466" s="484">
        <f t="shared" si="164"/>
        <v>1</v>
      </c>
      <c r="K466" s="483">
        <f t="shared" si="164"/>
        <v>2</v>
      </c>
      <c r="L466" s="485"/>
      <c r="M466" s="485">
        <f t="shared" si="165"/>
        <v>36.555555555555557</v>
      </c>
      <c r="N466" s="486"/>
      <c r="O466" s="486"/>
    </row>
    <row r="467" spans="1:15" s="487" customFormat="1" ht="18" customHeight="1">
      <c r="A467" s="478"/>
      <c r="B467" s="336" t="s">
        <v>278</v>
      </c>
      <c r="C467" s="479">
        <f t="shared" si="162"/>
        <v>2</v>
      </c>
      <c r="D467" s="480" t="s">
        <v>87</v>
      </c>
      <c r="E467" s="724">
        <f t="shared" si="163"/>
        <v>1</v>
      </c>
      <c r="F467" s="482">
        <f t="shared" si="163"/>
        <v>8</v>
      </c>
      <c r="G467" s="483">
        <f t="shared" si="163"/>
        <v>0</v>
      </c>
      <c r="H467" s="484"/>
      <c r="I467" s="483"/>
      <c r="J467" s="484">
        <f t="shared" si="164"/>
        <v>1</v>
      </c>
      <c r="K467" s="483">
        <f t="shared" si="164"/>
        <v>2</v>
      </c>
      <c r="L467" s="485"/>
      <c r="M467" s="485">
        <f t="shared" si="165"/>
        <v>18.666666666666668</v>
      </c>
      <c r="N467" s="486"/>
      <c r="O467" s="486"/>
    </row>
    <row r="468" spans="1:15" s="487" customFormat="1" ht="18" customHeight="1">
      <c r="A468" s="478"/>
      <c r="B468" s="336" t="s">
        <v>280</v>
      </c>
      <c r="C468" s="479">
        <f t="shared" si="162"/>
        <v>2</v>
      </c>
      <c r="D468" s="480" t="s">
        <v>87</v>
      </c>
      <c r="E468" s="724">
        <f t="shared" si="163"/>
        <v>2</v>
      </c>
      <c r="F468" s="482">
        <f t="shared" si="163"/>
        <v>10</v>
      </c>
      <c r="G468" s="483">
        <f t="shared" si="163"/>
        <v>4</v>
      </c>
      <c r="H468" s="484"/>
      <c r="I468" s="483"/>
      <c r="J468" s="484">
        <f t="shared" si="164"/>
        <v>1</v>
      </c>
      <c r="K468" s="483">
        <f t="shared" si="164"/>
        <v>2</v>
      </c>
      <c r="L468" s="485"/>
      <c r="M468" s="485">
        <f t="shared" si="165"/>
        <v>48.222222222222229</v>
      </c>
      <c r="N468" s="486"/>
      <c r="O468" s="486"/>
    </row>
    <row r="469" spans="1:15" s="487" customFormat="1" ht="18" customHeight="1">
      <c r="A469" s="478"/>
      <c r="B469" s="336" t="s">
        <v>281</v>
      </c>
      <c r="C469" s="479">
        <f t="shared" si="162"/>
        <v>2</v>
      </c>
      <c r="D469" s="480" t="s">
        <v>87</v>
      </c>
      <c r="E469" s="724">
        <f t="shared" si="163"/>
        <v>1</v>
      </c>
      <c r="F469" s="482">
        <f t="shared" si="163"/>
        <v>10</v>
      </c>
      <c r="G469" s="483">
        <f t="shared" si="163"/>
        <v>5</v>
      </c>
      <c r="H469" s="484"/>
      <c r="I469" s="483"/>
      <c r="J469" s="484">
        <f t="shared" si="164"/>
        <v>1</v>
      </c>
      <c r="K469" s="483">
        <f t="shared" si="164"/>
        <v>2</v>
      </c>
      <c r="L469" s="485"/>
      <c r="M469" s="485">
        <f t="shared" si="165"/>
        <v>24.305555555555557</v>
      </c>
      <c r="N469" s="486"/>
      <c r="O469" s="486"/>
    </row>
    <row r="470" spans="1:15" s="487" customFormat="1" ht="18" customHeight="1">
      <c r="A470" s="478"/>
      <c r="B470" s="726" t="s">
        <v>306</v>
      </c>
      <c r="C470" s="479"/>
      <c r="D470" s="480"/>
      <c r="E470" s="724"/>
      <c r="F470" s="482"/>
      <c r="G470" s="483"/>
      <c r="H470" s="484"/>
      <c r="I470" s="483"/>
      <c r="J470" s="484"/>
      <c r="K470" s="483"/>
      <c r="L470" s="485"/>
      <c r="M470" s="485"/>
      <c r="N470" s="486"/>
      <c r="O470" s="486"/>
    </row>
    <row r="471" spans="1:15" s="487" customFormat="1" ht="18" customHeight="1">
      <c r="A471" s="478"/>
      <c r="B471" s="336" t="s">
        <v>264</v>
      </c>
      <c r="C471" s="479">
        <f>C131*2</f>
        <v>2</v>
      </c>
      <c r="D471" s="480" t="s">
        <v>87</v>
      </c>
      <c r="E471" s="724">
        <f t="shared" ref="E471:G475" si="166">E131</f>
        <v>1</v>
      </c>
      <c r="F471" s="482">
        <f t="shared" si="166"/>
        <v>16</v>
      </c>
      <c r="G471" s="483">
        <f t="shared" si="166"/>
        <v>0</v>
      </c>
      <c r="H471" s="484"/>
      <c r="I471" s="483"/>
      <c r="J471" s="484">
        <f t="shared" ref="J471:K475" si="167">J131</f>
        <v>1</v>
      </c>
      <c r="K471" s="483">
        <f t="shared" si="167"/>
        <v>6</v>
      </c>
      <c r="L471" s="485"/>
      <c r="M471" s="485">
        <f t="shared" si="165"/>
        <v>48</v>
      </c>
      <c r="N471" s="486"/>
      <c r="O471" s="486"/>
    </row>
    <row r="472" spans="1:15" s="487" customFormat="1" ht="18" customHeight="1">
      <c r="A472" s="478"/>
      <c r="B472" s="336" t="s">
        <v>265</v>
      </c>
      <c r="C472" s="479">
        <f>C132*2</f>
        <v>2</v>
      </c>
      <c r="D472" s="480" t="s">
        <v>87</v>
      </c>
      <c r="E472" s="724">
        <f t="shared" si="166"/>
        <v>1</v>
      </c>
      <c r="F472" s="482">
        <f t="shared" si="166"/>
        <v>14</v>
      </c>
      <c r="G472" s="483">
        <f t="shared" si="166"/>
        <v>6</v>
      </c>
      <c r="H472" s="484"/>
      <c r="I472" s="483"/>
      <c r="J472" s="484">
        <f t="shared" si="167"/>
        <v>1</v>
      </c>
      <c r="K472" s="483">
        <f t="shared" si="167"/>
        <v>6</v>
      </c>
      <c r="L472" s="485"/>
      <c r="M472" s="485">
        <f t="shared" si="165"/>
        <v>43.5</v>
      </c>
      <c r="N472" s="486"/>
      <c r="O472" s="486"/>
    </row>
    <row r="473" spans="1:15" s="487" customFormat="1" ht="18" customHeight="1">
      <c r="A473" s="478"/>
      <c r="B473" s="336" t="s">
        <v>323</v>
      </c>
      <c r="C473" s="479">
        <f>C133*2</f>
        <v>2</v>
      </c>
      <c r="D473" s="480" t="s">
        <v>87</v>
      </c>
      <c r="E473" s="724">
        <f t="shared" si="166"/>
        <v>1</v>
      </c>
      <c r="F473" s="482">
        <f t="shared" si="166"/>
        <v>15</v>
      </c>
      <c r="G473" s="483">
        <f t="shared" si="166"/>
        <v>9</v>
      </c>
      <c r="H473" s="484"/>
      <c r="I473" s="483"/>
      <c r="J473" s="484">
        <f t="shared" si="167"/>
        <v>1</v>
      </c>
      <c r="K473" s="483">
        <f t="shared" si="167"/>
        <v>6</v>
      </c>
      <c r="L473" s="485"/>
      <c r="M473" s="485">
        <f t="shared" si="165"/>
        <v>47.25</v>
      </c>
      <c r="N473" s="486"/>
      <c r="O473" s="486"/>
    </row>
    <row r="474" spans="1:15" s="487" customFormat="1" ht="18" customHeight="1">
      <c r="A474" s="478"/>
      <c r="B474" s="336" t="s">
        <v>324</v>
      </c>
      <c r="C474" s="479">
        <f>C134*2</f>
        <v>2</v>
      </c>
      <c r="D474" s="480" t="s">
        <v>87</v>
      </c>
      <c r="E474" s="724">
        <f t="shared" si="166"/>
        <v>1</v>
      </c>
      <c r="F474" s="482">
        <f t="shared" si="166"/>
        <v>14</v>
      </c>
      <c r="G474" s="483">
        <f t="shared" si="166"/>
        <v>5</v>
      </c>
      <c r="H474" s="484"/>
      <c r="I474" s="483"/>
      <c r="J474" s="484">
        <f t="shared" si="167"/>
        <v>1</v>
      </c>
      <c r="K474" s="483">
        <f t="shared" si="167"/>
        <v>6</v>
      </c>
      <c r="L474" s="485"/>
      <c r="M474" s="485">
        <f t="shared" si="165"/>
        <v>43.25</v>
      </c>
      <c r="N474" s="486"/>
      <c r="O474" s="486"/>
    </row>
    <row r="475" spans="1:15" s="487" customFormat="1" ht="18" customHeight="1">
      <c r="A475" s="478"/>
      <c r="B475" s="336" t="s">
        <v>275</v>
      </c>
      <c r="C475" s="479">
        <f>C135*2</f>
        <v>2</v>
      </c>
      <c r="D475" s="480" t="s">
        <v>87</v>
      </c>
      <c r="E475" s="724">
        <f t="shared" si="166"/>
        <v>1</v>
      </c>
      <c r="F475" s="482">
        <f t="shared" si="166"/>
        <v>14</v>
      </c>
      <c r="G475" s="483">
        <f t="shared" si="166"/>
        <v>6</v>
      </c>
      <c r="H475" s="484"/>
      <c r="I475" s="483"/>
      <c r="J475" s="484">
        <f t="shared" si="167"/>
        <v>1</v>
      </c>
      <c r="K475" s="483">
        <f t="shared" si="167"/>
        <v>6</v>
      </c>
      <c r="L475" s="485"/>
      <c r="M475" s="485">
        <f t="shared" si="165"/>
        <v>43.5</v>
      </c>
      <c r="N475" s="486"/>
      <c r="O475" s="486"/>
    </row>
    <row r="476" spans="1:15" s="487" customFormat="1" ht="18" customHeight="1">
      <c r="A476" s="478"/>
      <c r="B476" s="336"/>
      <c r="C476" s="479"/>
      <c r="D476" s="480"/>
      <c r="E476" s="724"/>
      <c r="F476" s="482"/>
      <c r="G476" s="819"/>
      <c r="H476" s="484"/>
      <c r="I476" s="483"/>
      <c r="J476" s="484"/>
      <c r="K476" s="483"/>
      <c r="L476" s="485"/>
      <c r="M476" s="485"/>
      <c r="N476" s="858">
        <f>SUM(M456:M475)</f>
        <v>652.02777777777783</v>
      </c>
      <c r="O476" s="885" t="s">
        <v>19</v>
      </c>
    </row>
    <row r="477" spans="1:15" s="487" customFormat="1" ht="18" customHeight="1">
      <c r="A477" s="478"/>
      <c r="B477" s="723" t="s">
        <v>307</v>
      </c>
      <c r="C477" s="479"/>
      <c r="D477" s="480"/>
      <c r="E477" s="481"/>
      <c r="F477" s="482"/>
      <c r="G477" s="745"/>
      <c r="H477" s="746"/>
      <c r="I477" s="745"/>
      <c r="J477" s="484"/>
      <c r="K477" s="483"/>
      <c r="L477" s="485"/>
      <c r="M477" s="485"/>
      <c r="N477" s="486"/>
      <c r="O477" s="486"/>
    </row>
    <row r="478" spans="1:15" s="487" customFormat="1" ht="18" customHeight="1">
      <c r="A478" s="478"/>
      <c r="B478" s="726" t="s">
        <v>308</v>
      </c>
      <c r="C478" s="479"/>
      <c r="D478" s="480"/>
      <c r="E478" s="724"/>
      <c r="F478" s="482"/>
      <c r="G478" s="483"/>
      <c r="H478" s="484"/>
      <c r="I478" s="483"/>
      <c r="J478" s="484"/>
      <c r="K478" s="483"/>
      <c r="L478" s="485"/>
      <c r="M478" s="485"/>
      <c r="N478" s="486"/>
      <c r="O478" s="486"/>
    </row>
    <row r="479" spans="1:15" s="487" customFormat="1" ht="18" customHeight="1">
      <c r="A479" s="478"/>
      <c r="B479" s="336" t="s">
        <v>309</v>
      </c>
      <c r="C479" s="479">
        <f>C139*2</f>
        <v>2</v>
      </c>
      <c r="D479" s="480" t="s">
        <v>87</v>
      </c>
      <c r="E479" s="724">
        <f>E139</f>
        <v>1</v>
      </c>
      <c r="F479" s="482">
        <f>F139</f>
        <v>5</v>
      </c>
      <c r="G479" s="483">
        <f>G139</f>
        <v>4</v>
      </c>
      <c r="H479" s="484"/>
      <c r="I479" s="483"/>
      <c r="J479" s="484">
        <f>J139</f>
        <v>0</v>
      </c>
      <c r="K479" s="483">
        <v>10</v>
      </c>
      <c r="L479" s="485"/>
      <c r="M479" s="485">
        <f t="shared" ref="M479:M484" si="168">IF(C479=0,1,C479)*IF(E479=0,1,E479)*IF((F479+G479/12)=0,1,(F479+G479/12))*IF((H479+I479/12)=0,1,(H479+I479/12))*IF((J479+K479/12)=0,1,(J479+K479/12))</f>
        <v>8.8888888888888893</v>
      </c>
      <c r="N479" s="726"/>
      <c r="O479" s="726"/>
    </row>
    <row r="480" spans="1:15" s="487" customFormat="1" ht="18" customHeight="1">
      <c r="A480" s="478"/>
      <c r="B480" s="336"/>
      <c r="C480" s="479">
        <f>C139</f>
        <v>1</v>
      </c>
      <c r="D480" s="480" t="s">
        <v>87</v>
      </c>
      <c r="E480" s="724">
        <f>E139</f>
        <v>1</v>
      </c>
      <c r="F480" s="482">
        <f>F139</f>
        <v>5</v>
      </c>
      <c r="G480" s="483">
        <f>G139</f>
        <v>4</v>
      </c>
      <c r="H480" s="484">
        <f>H139</f>
        <v>0</v>
      </c>
      <c r="I480" s="483">
        <f>I139</f>
        <v>10</v>
      </c>
      <c r="J480" s="484"/>
      <c r="K480" s="483"/>
      <c r="L480" s="485"/>
      <c r="M480" s="485">
        <f t="shared" si="168"/>
        <v>4.4444444444444446</v>
      </c>
      <c r="N480" s="726"/>
      <c r="O480" s="726"/>
    </row>
    <row r="481" spans="1:15" s="487" customFormat="1" ht="18" customHeight="1">
      <c r="A481" s="478"/>
      <c r="B481" s="336" t="s">
        <v>310</v>
      </c>
      <c r="C481" s="479">
        <f>C140*2</f>
        <v>2</v>
      </c>
      <c r="D481" s="480" t="s">
        <v>87</v>
      </c>
      <c r="E481" s="724">
        <f>E140</f>
        <v>1</v>
      </c>
      <c r="F481" s="482">
        <f>F140</f>
        <v>5</v>
      </c>
      <c r="G481" s="483">
        <f>G140</f>
        <v>10</v>
      </c>
      <c r="H481" s="484"/>
      <c r="I481" s="483"/>
      <c r="J481" s="484">
        <f>J479</f>
        <v>0</v>
      </c>
      <c r="K481" s="483">
        <f>K479</f>
        <v>10</v>
      </c>
      <c r="L481" s="485"/>
      <c r="M481" s="485">
        <f t="shared" si="168"/>
        <v>9.7222222222222214</v>
      </c>
      <c r="N481" s="726"/>
      <c r="O481" s="726"/>
    </row>
    <row r="482" spans="1:15" s="487" customFormat="1" ht="18" customHeight="1">
      <c r="A482" s="478"/>
      <c r="B482" s="336"/>
      <c r="C482" s="479">
        <f>C140</f>
        <v>1</v>
      </c>
      <c r="D482" s="480" t="s">
        <v>87</v>
      </c>
      <c r="E482" s="724">
        <f>E140</f>
        <v>1</v>
      </c>
      <c r="F482" s="482">
        <f>F140</f>
        <v>5</v>
      </c>
      <c r="G482" s="483">
        <f>G140</f>
        <v>10</v>
      </c>
      <c r="H482" s="484">
        <f>H140</f>
        <v>0</v>
      </c>
      <c r="I482" s="483">
        <f>I140</f>
        <v>10</v>
      </c>
      <c r="J482" s="484"/>
      <c r="K482" s="483"/>
      <c r="L482" s="485"/>
      <c r="M482" s="485">
        <f t="shared" si="168"/>
        <v>4.8611111111111107</v>
      </c>
      <c r="N482" s="726"/>
      <c r="O482" s="726"/>
    </row>
    <row r="483" spans="1:15" s="487" customFormat="1" ht="18" customHeight="1">
      <c r="A483" s="478"/>
      <c r="B483" s="336" t="s">
        <v>311</v>
      </c>
      <c r="C483" s="479">
        <f>C141*2</f>
        <v>2</v>
      </c>
      <c r="D483" s="480" t="s">
        <v>87</v>
      </c>
      <c r="E483" s="724">
        <f>E141</f>
        <v>1</v>
      </c>
      <c r="F483" s="482">
        <f>F141</f>
        <v>8</v>
      </c>
      <c r="G483" s="483">
        <f>G141</f>
        <v>4</v>
      </c>
      <c r="H483" s="484"/>
      <c r="I483" s="483"/>
      <c r="J483" s="484">
        <f>J481</f>
        <v>0</v>
      </c>
      <c r="K483" s="483">
        <f>K481</f>
        <v>10</v>
      </c>
      <c r="L483" s="485"/>
      <c r="M483" s="485">
        <f t="shared" si="168"/>
        <v>13.888888888888891</v>
      </c>
      <c r="N483" s="486"/>
      <c r="O483" s="486"/>
    </row>
    <row r="484" spans="1:15" s="487" customFormat="1" ht="18" customHeight="1">
      <c r="A484" s="478"/>
      <c r="B484" s="336"/>
      <c r="C484" s="479">
        <f>C141</f>
        <v>1</v>
      </c>
      <c r="D484" s="480" t="s">
        <v>87</v>
      </c>
      <c r="E484" s="724">
        <f>E141</f>
        <v>1</v>
      </c>
      <c r="F484" s="482">
        <f>F483</f>
        <v>8</v>
      </c>
      <c r="G484" s="483">
        <f>G483</f>
        <v>4</v>
      </c>
      <c r="H484" s="484">
        <f>H141</f>
        <v>0</v>
      </c>
      <c r="I484" s="483">
        <f>I141</f>
        <v>10</v>
      </c>
      <c r="J484" s="484"/>
      <c r="K484" s="483"/>
      <c r="L484" s="485"/>
      <c r="M484" s="485">
        <f t="shared" si="168"/>
        <v>6.9444444444444455</v>
      </c>
      <c r="N484" s="486"/>
      <c r="O484" s="486"/>
    </row>
    <row r="485" spans="1:15" s="487" customFormat="1" ht="18" customHeight="1">
      <c r="A485" s="478"/>
      <c r="B485" s="726" t="s">
        <v>312</v>
      </c>
      <c r="C485" s="479"/>
      <c r="D485" s="480"/>
      <c r="E485" s="724"/>
      <c r="F485" s="482"/>
      <c r="G485" s="483"/>
      <c r="H485" s="484"/>
      <c r="I485" s="483"/>
      <c r="J485" s="484"/>
      <c r="K485" s="483"/>
      <c r="L485" s="485"/>
      <c r="M485" s="485"/>
      <c r="N485" s="486"/>
      <c r="O485" s="486"/>
    </row>
    <row r="486" spans="1:15" s="487" customFormat="1" ht="18" customHeight="1">
      <c r="A486" s="478"/>
      <c r="B486" s="336" t="s">
        <v>313</v>
      </c>
      <c r="C486" s="479">
        <f>C144*2</f>
        <v>2</v>
      </c>
      <c r="D486" s="480" t="s">
        <v>87</v>
      </c>
      <c r="E486" s="724">
        <f>E144</f>
        <v>1</v>
      </c>
      <c r="F486" s="482">
        <f>F144</f>
        <v>4</v>
      </c>
      <c r="G486" s="483">
        <f>G144</f>
        <v>10</v>
      </c>
      <c r="H486" s="484"/>
      <c r="I486" s="483"/>
      <c r="J486" s="484">
        <v>1</v>
      </c>
      <c r="K486" s="483">
        <v>0</v>
      </c>
      <c r="L486" s="485"/>
      <c r="M486" s="485">
        <f t="shared" ref="M486:M487" si="169">IF(C486=0,1,C486)*IF(E486=0,1,E486)*IF((F486+G486/12)=0,1,(F486+G486/12))*IF((H486+I486/12)=0,1,(H486+I486/12))*IF((J486+K486/12)=0,1,(J486+K486/12))</f>
        <v>9.6666666666666661</v>
      </c>
      <c r="N486" s="486"/>
      <c r="O486" s="486"/>
    </row>
    <row r="487" spans="1:15" s="487" customFormat="1" ht="18" customHeight="1">
      <c r="A487" s="478"/>
      <c r="B487" s="336"/>
      <c r="C487" s="479">
        <f>C144</f>
        <v>1</v>
      </c>
      <c r="D487" s="480" t="s">
        <v>87</v>
      </c>
      <c r="E487" s="724">
        <f>E144</f>
        <v>1</v>
      </c>
      <c r="F487" s="482">
        <f>F144</f>
        <v>4</v>
      </c>
      <c r="G487" s="483">
        <f>G144</f>
        <v>10</v>
      </c>
      <c r="H487" s="484">
        <f>H144</f>
        <v>0</v>
      </c>
      <c r="I487" s="483">
        <f>I144</f>
        <v>10</v>
      </c>
      <c r="J487" s="484"/>
      <c r="K487" s="483"/>
      <c r="L487" s="485"/>
      <c r="M487" s="485">
        <f t="shared" si="169"/>
        <v>4.0277777777777777</v>
      </c>
      <c r="N487" s="486"/>
      <c r="O487" s="486"/>
    </row>
    <row r="488" spans="1:15" s="487" customFormat="1" ht="18" customHeight="1">
      <c r="A488" s="478"/>
      <c r="B488" s="726" t="s">
        <v>314</v>
      </c>
      <c r="C488" s="479"/>
      <c r="D488" s="480"/>
      <c r="E488" s="724"/>
      <c r="F488" s="482"/>
      <c r="G488" s="483"/>
      <c r="H488" s="484"/>
      <c r="I488" s="483"/>
      <c r="J488" s="484"/>
      <c r="K488" s="483"/>
      <c r="L488" s="485"/>
      <c r="M488" s="485"/>
      <c r="N488" s="486"/>
      <c r="O488" s="486"/>
    </row>
    <row r="489" spans="1:15" s="487" customFormat="1" ht="18" customHeight="1">
      <c r="A489" s="478"/>
      <c r="B489" s="336" t="s">
        <v>315</v>
      </c>
      <c r="C489" s="479">
        <f>C147*2</f>
        <v>6</v>
      </c>
      <c r="D489" s="480" t="s">
        <v>87</v>
      </c>
      <c r="E489" s="724">
        <f>E147</f>
        <v>1</v>
      </c>
      <c r="F489" s="482">
        <f>F147</f>
        <v>14</v>
      </c>
      <c r="G489" s="483">
        <f>G147</f>
        <v>1</v>
      </c>
      <c r="H489" s="484"/>
      <c r="I489" s="483"/>
      <c r="J489" s="484">
        <v>1</v>
      </c>
      <c r="K489" s="483">
        <v>2</v>
      </c>
      <c r="L489" s="485"/>
      <c r="M489" s="485">
        <f t="shared" ref="M489:M490" si="170">IF(C489=0,1,C489)*IF(E489=0,1,E489)*IF((F489+G489/12)=0,1,(F489+G489/12))*IF((H489+I489/12)=0,1,(H489+I489/12))*IF((J489+K489/12)=0,1,(J489+K489/12))</f>
        <v>98.583333333333343</v>
      </c>
      <c r="N489" s="486"/>
      <c r="O489" s="486"/>
    </row>
    <row r="490" spans="1:15" s="487" customFormat="1" ht="18" customHeight="1">
      <c r="A490" s="478"/>
      <c r="B490" s="336"/>
      <c r="C490" s="479">
        <f>C147</f>
        <v>3</v>
      </c>
      <c r="D490" s="480" t="s">
        <v>87</v>
      </c>
      <c r="E490" s="724">
        <f>E147</f>
        <v>1</v>
      </c>
      <c r="F490" s="482">
        <f>F147</f>
        <v>14</v>
      </c>
      <c r="G490" s="483">
        <f>G147</f>
        <v>1</v>
      </c>
      <c r="H490" s="484">
        <f>H147</f>
        <v>0</v>
      </c>
      <c r="I490" s="483">
        <f>I147</f>
        <v>10</v>
      </c>
      <c r="J490" s="484"/>
      <c r="K490" s="483"/>
      <c r="L490" s="485"/>
      <c r="M490" s="485">
        <f t="shared" si="170"/>
        <v>35.208333333333336</v>
      </c>
      <c r="N490" s="486"/>
      <c r="O490" s="486"/>
    </row>
    <row r="491" spans="1:15" s="487" customFormat="1" ht="18" customHeight="1">
      <c r="A491" s="478"/>
      <c r="B491" s="726" t="s">
        <v>316</v>
      </c>
      <c r="C491" s="479"/>
      <c r="D491" s="480"/>
      <c r="E491" s="724"/>
      <c r="F491" s="482"/>
      <c r="G491" s="483"/>
      <c r="H491" s="484"/>
      <c r="I491" s="483"/>
      <c r="J491" s="484"/>
      <c r="K491" s="483"/>
      <c r="L491" s="485"/>
      <c r="M491" s="485"/>
      <c r="N491" s="486"/>
      <c r="O491" s="486"/>
    </row>
    <row r="492" spans="1:15" s="487" customFormat="1" ht="18" customHeight="1">
      <c r="A492" s="478"/>
      <c r="B492" s="336" t="s">
        <v>317</v>
      </c>
      <c r="C492" s="479">
        <f>C150*2</f>
        <v>4</v>
      </c>
      <c r="D492" s="480" t="s">
        <v>87</v>
      </c>
      <c r="E492" s="724">
        <f>E150</f>
        <v>1</v>
      </c>
      <c r="F492" s="482">
        <f>F150</f>
        <v>4</v>
      </c>
      <c r="G492" s="483">
        <f>G150</f>
        <v>0</v>
      </c>
      <c r="H492" s="484"/>
      <c r="I492" s="483"/>
      <c r="J492" s="484">
        <f>J489</f>
        <v>1</v>
      </c>
      <c r="K492" s="483">
        <f>K489</f>
        <v>2</v>
      </c>
      <c r="L492" s="485"/>
      <c r="M492" s="485">
        <f t="shared" ref="M492:M495" si="171">IF(C492=0,1,C492)*IF(E492=0,1,E492)*IF((F492+G492/12)=0,1,(F492+G492/12))*IF((H492+I492/12)=0,1,(H492+I492/12))*IF((J492+K492/12)=0,1,(J492+K492/12))</f>
        <v>18.666666666666668</v>
      </c>
      <c r="N492" s="486"/>
      <c r="O492" s="486"/>
    </row>
    <row r="493" spans="1:15" s="487" customFormat="1" ht="18" customHeight="1">
      <c r="A493" s="478"/>
      <c r="B493" s="336"/>
      <c r="C493" s="479">
        <f>C150</f>
        <v>2</v>
      </c>
      <c r="D493" s="480" t="s">
        <v>87</v>
      </c>
      <c r="E493" s="724">
        <f>E150</f>
        <v>1</v>
      </c>
      <c r="F493" s="482">
        <f>F150</f>
        <v>4</v>
      </c>
      <c r="G493" s="483">
        <f>G150</f>
        <v>0</v>
      </c>
      <c r="H493" s="484">
        <f>H150</f>
        <v>0</v>
      </c>
      <c r="I493" s="483">
        <f>I150</f>
        <v>10</v>
      </c>
      <c r="J493" s="484"/>
      <c r="K493" s="483"/>
      <c r="L493" s="485"/>
      <c r="M493" s="485">
        <f t="shared" si="171"/>
        <v>6.666666666666667</v>
      </c>
      <c r="N493" s="486"/>
      <c r="O493" s="486"/>
    </row>
    <row r="494" spans="1:15" s="487" customFormat="1" ht="18" customHeight="1">
      <c r="A494" s="478"/>
      <c r="B494" s="336" t="s">
        <v>325</v>
      </c>
      <c r="C494" s="479">
        <f>C151*2</f>
        <v>2</v>
      </c>
      <c r="D494" s="480" t="s">
        <v>87</v>
      </c>
      <c r="E494" s="724">
        <f>E151</f>
        <v>1</v>
      </c>
      <c r="F494" s="482">
        <f>F151</f>
        <v>30</v>
      </c>
      <c r="G494" s="483">
        <f>G151</f>
        <v>10</v>
      </c>
      <c r="H494" s="484"/>
      <c r="I494" s="483"/>
      <c r="J494" s="484">
        <f>J492</f>
        <v>1</v>
      </c>
      <c r="K494" s="483">
        <f>K492</f>
        <v>2</v>
      </c>
      <c r="L494" s="485"/>
      <c r="M494" s="485">
        <f t="shared" si="171"/>
        <v>71.944444444444443</v>
      </c>
      <c r="N494" s="486"/>
      <c r="O494" s="486"/>
    </row>
    <row r="495" spans="1:15" s="487" customFormat="1" ht="18" customHeight="1">
      <c r="A495" s="478"/>
      <c r="B495" s="336"/>
      <c r="C495" s="479">
        <f>C151</f>
        <v>1</v>
      </c>
      <c r="D495" s="480" t="s">
        <v>87</v>
      </c>
      <c r="E495" s="724">
        <f>E151</f>
        <v>1</v>
      </c>
      <c r="F495" s="482">
        <f>F151</f>
        <v>30</v>
      </c>
      <c r="G495" s="483">
        <f>G151</f>
        <v>10</v>
      </c>
      <c r="H495" s="484">
        <f>H151</f>
        <v>0</v>
      </c>
      <c r="I495" s="483">
        <f>I151</f>
        <v>10</v>
      </c>
      <c r="J495" s="484"/>
      <c r="K495" s="483"/>
      <c r="L495" s="485"/>
      <c r="M495" s="485">
        <f t="shared" si="171"/>
        <v>25.694444444444443</v>
      </c>
      <c r="N495" s="486"/>
      <c r="O495" s="486"/>
    </row>
    <row r="496" spans="1:15" s="487" customFormat="1" ht="18" customHeight="1">
      <c r="A496" s="478"/>
      <c r="B496" s="726" t="s">
        <v>318</v>
      </c>
      <c r="C496" s="479"/>
      <c r="D496" s="480"/>
      <c r="E496" s="724"/>
      <c r="F496" s="482"/>
      <c r="G496" s="483"/>
      <c r="H496" s="484"/>
      <c r="I496" s="483"/>
      <c r="J496" s="484"/>
      <c r="K496" s="483"/>
      <c r="L496" s="485"/>
      <c r="M496" s="485"/>
      <c r="N496" s="486"/>
      <c r="O496" s="486"/>
    </row>
    <row r="497" spans="1:15" s="487" customFormat="1" ht="18" customHeight="1">
      <c r="A497" s="478"/>
      <c r="B497" s="336" t="s">
        <v>302</v>
      </c>
      <c r="C497" s="479">
        <f>C154*2</f>
        <v>2</v>
      </c>
      <c r="D497" s="480" t="s">
        <v>87</v>
      </c>
      <c r="E497" s="724">
        <f>E154</f>
        <v>1</v>
      </c>
      <c r="F497" s="482">
        <f>F154</f>
        <v>15</v>
      </c>
      <c r="G497" s="483">
        <f>G154</f>
        <v>9</v>
      </c>
      <c r="H497" s="484"/>
      <c r="I497" s="483"/>
      <c r="J497" s="484">
        <v>1</v>
      </c>
      <c r="K497" s="483">
        <v>6</v>
      </c>
      <c r="L497" s="485"/>
      <c r="M497" s="485">
        <f t="shared" ref="M497:M504" si="172">IF(C497=0,1,C497)*IF(E497=0,1,E497)*IF((F497+G497/12)=0,1,(F497+G497/12))*IF((H497+I497/12)=0,1,(H497+I497/12))*IF((J497+K497/12)=0,1,(J497+K497/12))</f>
        <v>47.25</v>
      </c>
      <c r="N497" s="486"/>
      <c r="O497" s="486"/>
    </row>
    <row r="498" spans="1:15" s="487" customFormat="1" ht="18" customHeight="1">
      <c r="A498" s="478"/>
      <c r="B498" s="336"/>
      <c r="C498" s="479">
        <f>C154</f>
        <v>1</v>
      </c>
      <c r="D498" s="480" t="s">
        <v>87</v>
      </c>
      <c r="E498" s="724">
        <f>E154</f>
        <v>1</v>
      </c>
      <c r="F498" s="482">
        <f>F154</f>
        <v>15</v>
      </c>
      <c r="G498" s="483">
        <f>G154</f>
        <v>9</v>
      </c>
      <c r="H498" s="484">
        <f>H154</f>
        <v>0</v>
      </c>
      <c r="I498" s="483">
        <f>I154</f>
        <v>10</v>
      </c>
      <c r="J498" s="484"/>
      <c r="K498" s="483"/>
      <c r="L498" s="485"/>
      <c r="M498" s="485">
        <f t="shared" si="172"/>
        <v>13.125</v>
      </c>
      <c r="N498" s="486"/>
      <c r="O498" s="486"/>
    </row>
    <row r="499" spans="1:15" s="487" customFormat="1" ht="18" customHeight="1">
      <c r="A499" s="478"/>
      <c r="B499" s="336" t="s">
        <v>304</v>
      </c>
      <c r="C499" s="479">
        <f>C155*2</f>
        <v>2</v>
      </c>
      <c r="D499" s="480" t="s">
        <v>87</v>
      </c>
      <c r="E499" s="724">
        <f>E155</f>
        <v>1</v>
      </c>
      <c r="F499" s="482">
        <f>F155</f>
        <v>16</v>
      </c>
      <c r="G499" s="483">
        <f>G155</f>
        <v>0</v>
      </c>
      <c r="H499" s="484"/>
      <c r="I499" s="483"/>
      <c r="J499" s="484">
        <f>J497</f>
        <v>1</v>
      </c>
      <c r="K499" s="483">
        <f>K497</f>
        <v>6</v>
      </c>
      <c r="L499" s="485"/>
      <c r="M499" s="485">
        <f t="shared" si="172"/>
        <v>48</v>
      </c>
      <c r="N499" s="486"/>
      <c r="O499" s="486"/>
    </row>
    <row r="500" spans="1:15" s="487" customFormat="1" ht="18" customHeight="1">
      <c r="A500" s="478"/>
      <c r="B500" s="336"/>
      <c r="C500" s="479">
        <f>C155</f>
        <v>1</v>
      </c>
      <c r="D500" s="480" t="s">
        <v>87</v>
      </c>
      <c r="E500" s="724">
        <f>E155</f>
        <v>1</v>
      </c>
      <c r="F500" s="482">
        <f>F155</f>
        <v>16</v>
      </c>
      <c r="G500" s="483">
        <f>G155</f>
        <v>0</v>
      </c>
      <c r="H500" s="484">
        <f>H155</f>
        <v>0</v>
      </c>
      <c r="I500" s="483">
        <f>I155</f>
        <v>10</v>
      </c>
      <c r="J500" s="484"/>
      <c r="K500" s="483"/>
      <c r="L500" s="485"/>
      <c r="M500" s="485">
        <f t="shared" si="172"/>
        <v>13.333333333333334</v>
      </c>
      <c r="N500" s="486"/>
      <c r="O500" s="486"/>
    </row>
    <row r="501" spans="1:15" s="487" customFormat="1" ht="18" customHeight="1">
      <c r="A501" s="478"/>
      <c r="B501" s="336" t="s">
        <v>303</v>
      </c>
      <c r="C501" s="479">
        <f>C156*2</f>
        <v>2</v>
      </c>
      <c r="D501" s="480" t="s">
        <v>87</v>
      </c>
      <c r="E501" s="724">
        <f>E156</f>
        <v>1</v>
      </c>
      <c r="F501" s="482">
        <f>F156</f>
        <v>14</v>
      </c>
      <c r="G501" s="483">
        <f>G156</f>
        <v>5</v>
      </c>
      <c r="H501" s="484"/>
      <c r="I501" s="483"/>
      <c r="J501" s="484">
        <f>J499</f>
        <v>1</v>
      </c>
      <c r="K501" s="483">
        <f>K499</f>
        <v>6</v>
      </c>
      <c r="L501" s="485"/>
      <c r="M501" s="485">
        <f t="shared" si="172"/>
        <v>43.25</v>
      </c>
      <c r="N501" s="486"/>
      <c r="O501" s="486"/>
    </row>
    <row r="502" spans="1:15" s="487" customFormat="1" ht="18" customHeight="1">
      <c r="A502" s="478"/>
      <c r="B502" s="336"/>
      <c r="C502" s="479">
        <f>C156</f>
        <v>1</v>
      </c>
      <c r="D502" s="480" t="s">
        <v>87</v>
      </c>
      <c r="E502" s="724">
        <f>E156</f>
        <v>1</v>
      </c>
      <c r="F502" s="482">
        <f>F156</f>
        <v>14</v>
      </c>
      <c r="G502" s="483">
        <f>G156</f>
        <v>5</v>
      </c>
      <c r="H502" s="484">
        <f>H156</f>
        <v>0</v>
      </c>
      <c r="I502" s="483">
        <f>I156</f>
        <v>10</v>
      </c>
      <c r="J502" s="484"/>
      <c r="K502" s="483"/>
      <c r="L502" s="485"/>
      <c r="M502" s="485">
        <f t="shared" si="172"/>
        <v>12.013888888888889</v>
      </c>
      <c r="N502" s="486"/>
      <c r="O502" s="486"/>
    </row>
    <row r="503" spans="1:15" s="487" customFormat="1" ht="18" customHeight="1">
      <c r="A503" s="478"/>
      <c r="B503" s="336" t="s">
        <v>305</v>
      </c>
      <c r="C503" s="479">
        <f>C157*2</f>
        <v>2</v>
      </c>
      <c r="D503" s="480" t="s">
        <v>87</v>
      </c>
      <c r="E503" s="724">
        <f>E157</f>
        <v>1</v>
      </c>
      <c r="F503" s="482">
        <f>F157</f>
        <v>14</v>
      </c>
      <c r="G503" s="483">
        <f>G157</f>
        <v>6</v>
      </c>
      <c r="H503" s="484"/>
      <c r="I503" s="483"/>
      <c r="J503" s="484">
        <f>J501</f>
        <v>1</v>
      </c>
      <c r="K503" s="483">
        <f>K501</f>
        <v>6</v>
      </c>
      <c r="L503" s="485"/>
      <c r="M503" s="485">
        <f t="shared" si="172"/>
        <v>43.5</v>
      </c>
      <c r="N503" s="486"/>
      <c r="O503" s="486"/>
    </row>
    <row r="504" spans="1:15" s="487" customFormat="1" ht="18" customHeight="1">
      <c r="A504" s="478"/>
      <c r="B504" s="336"/>
      <c r="C504" s="479">
        <f>C157</f>
        <v>1</v>
      </c>
      <c r="D504" s="480" t="s">
        <v>87</v>
      </c>
      <c r="E504" s="724">
        <f>E157</f>
        <v>1</v>
      </c>
      <c r="F504" s="482">
        <f>F157</f>
        <v>14</v>
      </c>
      <c r="G504" s="483">
        <f>G157</f>
        <v>6</v>
      </c>
      <c r="H504" s="484">
        <f>H502</f>
        <v>0</v>
      </c>
      <c r="I504" s="483">
        <f>I502</f>
        <v>10</v>
      </c>
      <c r="J504" s="484"/>
      <c r="K504" s="483"/>
      <c r="L504" s="485"/>
      <c r="M504" s="485">
        <f t="shared" si="172"/>
        <v>12.083333333333334</v>
      </c>
      <c r="N504" s="486"/>
      <c r="O504" s="486"/>
    </row>
    <row r="505" spans="1:15" s="487" customFormat="1" ht="18" customHeight="1">
      <c r="A505" s="478"/>
      <c r="B505" s="726" t="s">
        <v>319</v>
      </c>
      <c r="C505" s="479"/>
      <c r="D505" s="480"/>
      <c r="E505" s="724"/>
      <c r="F505" s="482"/>
      <c r="G505" s="483"/>
      <c r="H505" s="484"/>
      <c r="I505" s="483"/>
      <c r="J505" s="484"/>
      <c r="K505" s="483"/>
      <c r="L505" s="485"/>
      <c r="M505" s="485"/>
      <c r="N505" s="486"/>
      <c r="O505" s="486"/>
    </row>
    <row r="506" spans="1:15" s="487" customFormat="1" ht="18" customHeight="1">
      <c r="A506" s="478"/>
      <c r="B506" s="336" t="s">
        <v>273</v>
      </c>
      <c r="C506" s="479">
        <f>C160*2</f>
        <v>2</v>
      </c>
      <c r="D506" s="480" t="s">
        <v>87</v>
      </c>
      <c r="E506" s="724">
        <f>E160</f>
        <v>2</v>
      </c>
      <c r="F506" s="482">
        <f>F160</f>
        <v>14</v>
      </c>
      <c r="G506" s="483">
        <f>G160</f>
        <v>0</v>
      </c>
      <c r="H506" s="484"/>
      <c r="I506" s="483"/>
      <c r="J506" s="484">
        <v>1</v>
      </c>
      <c r="K506" s="483">
        <v>2</v>
      </c>
      <c r="L506" s="485"/>
      <c r="M506" s="485">
        <f t="shared" ref="M506:M517" si="173">IF(C506=0,1,C506)*IF(E506=0,1,E506)*IF((F506+G506/12)=0,1,(F506+G506/12))*IF((H506+I506/12)=0,1,(H506+I506/12))*IF((J506+K506/12)=0,1,(J506+K506/12))</f>
        <v>65.333333333333343</v>
      </c>
      <c r="N506" s="486"/>
      <c r="O506" s="486"/>
    </row>
    <row r="507" spans="1:15" s="487" customFormat="1" ht="18" customHeight="1">
      <c r="A507" s="478"/>
      <c r="B507" s="336"/>
      <c r="C507" s="479">
        <f>C160</f>
        <v>1</v>
      </c>
      <c r="D507" s="480" t="s">
        <v>87</v>
      </c>
      <c r="E507" s="724">
        <f>E160</f>
        <v>2</v>
      </c>
      <c r="F507" s="482">
        <f>F160</f>
        <v>14</v>
      </c>
      <c r="G507" s="483">
        <f>G160</f>
        <v>0</v>
      </c>
      <c r="H507" s="484">
        <f>H160</f>
        <v>1</v>
      </c>
      <c r="I507" s="483">
        <f>I160</f>
        <v>0</v>
      </c>
      <c r="J507" s="484"/>
      <c r="K507" s="483"/>
      <c r="L507" s="485"/>
      <c r="M507" s="485">
        <f t="shared" si="173"/>
        <v>28</v>
      </c>
      <c r="N507" s="486"/>
      <c r="O507" s="486"/>
    </row>
    <row r="508" spans="1:15" s="487" customFormat="1" ht="18" customHeight="1">
      <c r="A508" s="478"/>
      <c r="B508" s="336" t="s">
        <v>274</v>
      </c>
      <c r="C508" s="479">
        <f>C161*2</f>
        <v>2</v>
      </c>
      <c r="D508" s="480" t="s">
        <v>87</v>
      </c>
      <c r="E508" s="724">
        <f>E161</f>
        <v>1</v>
      </c>
      <c r="F508" s="482">
        <f>F161</f>
        <v>14</v>
      </c>
      <c r="G508" s="483">
        <f>G161</f>
        <v>1</v>
      </c>
      <c r="H508" s="484"/>
      <c r="I508" s="483"/>
      <c r="J508" s="484">
        <f>J506</f>
        <v>1</v>
      </c>
      <c r="K508" s="483">
        <f>K506</f>
        <v>2</v>
      </c>
      <c r="L508" s="485"/>
      <c r="M508" s="485">
        <f t="shared" si="173"/>
        <v>32.861111111111114</v>
      </c>
      <c r="N508" s="486"/>
      <c r="O508" s="486"/>
    </row>
    <row r="509" spans="1:15" s="487" customFormat="1" ht="18" customHeight="1">
      <c r="A509" s="478"/>
      <c r="B509" s="336"/>
      <c r="C509" s="479">
        <f>C161</f>
        <v>1</v>
      </c>
      <c r="D509" s="480" t="s">
        <v>87</v>
      </c>
      <c r="E509" s="724">
        <f>E161</f>
        <v>1</v>
      </c>
      <c r="F509" s="482">
        <f>F161</f>
        <v>14</v>
      </c>
      <c r="G509" s="483">
        <f>G161</f>
        <v>1</v>
      </c>
      <c r="H509" s="484">
        <f>H161</f>
        <v>1</v>
      </c>
      <c r="I509" s="483">
        <f>I161</f>
        <v>0</v>
      </c>
      <c r="J509" s="484"/>
      <c r="K509" s="483"/>
      <c r="L509" s="485"/>
      <c r="M509" s="485">
        <f t="shared" si="173"/>
        <v>14.083333333333334</v>
      </c>
      <c r="N509" s="486"/>
      <c r="O509" s="486"/>
    </row>
    <row r="510" spans="1:15" s="487" customFormat="1" ht="18" customHeight="1">
      <c r="A510" s="478"/>
      <c r="B510" s="336" t="s">
        <v>277</v>
      </c>
      <c r="C510" s="479">
        <f>C162*2</f>
        <v>2</v>
      </c>
      <c r="D510" s="480" t="s">
        <v>87</v>
      </c>
      <c r="E510" s="724">
        <f>E162</f>
        <v>2</v>
      </c>
      <c r="F510" s="482">
        <f>F162</f>
        <v>7</v>
      </c>
      <c r="G510" s="483">
        <f>G162</f>
        <v>10</v>
      </c>
      <c r="H510" s="484"/>
      <c r="I510" s="483"/>
      <c r="J510" s="484">
        <f>J508</f>
        <v>1</v>
      </c>
      <c r="K510" s="483">
        <f>K508</f>
        <v>2</v>
      </c>
      <c r="L510" s="485"/>
      <c r="M510" s="485">
        <f t="shared" si="173"/>
        <v>36.555555555555557</v>
      </c>
      <c r="N510" s="486"/>
      <c r="O510" s="486"/>
    </row>
    <row r="511" spans="1:15" s="487" customFormat="1" ht="18" customHeight="1">
      <c r="A511" s="478"/>
      <c r="B511" s="336"/>
      <c r="C511" s="479">
        <f>C162</f>
        <v>1</v>
      </c>
      <c r="D511" s="480" t="s">
        <v>87</v>
      </c>
      <c r="E511" s="724">
        <f>E162</f>
        <v>2</v>
      </c>
      <c r="F511" s="482">
        <f>F162</f>
        <v>7</v>
      </c>
      <c r="G511" s="483">
        <f>G162</f>
        <v>10</v>
      </c>
      <c r="H511" s="484">
        <f>H162</f>
        <v>1</v>
      </c>
      <c r="I511" s="483">
        <f>I162</f>
        <v>0</v>
      </c>
      <c r="J511" s="484"/>
      <c r="K511" s="483"/>
      <c r="L511" s="485"/>
      <c r="M511" s="485">
        <f t="shared" si="173"/>
        <v>15.666666666666666</v>
      </c>
      <c r="N511" s="486"/>
      <c r="O511" s="486"/>
    </row>
    <row r="512" spans="1:15" s="487" customFormat="1" ht="18" customHeight="1">
      <c r="A512" s="478"/>
      <c r="B512" s="336" t="s">
        <v>278</v>
      </c>
      <c r="C512" s="479">
        <f>C163*2</f>
        <v>2</v>
      </c>
      <c r="D512" s="480" t="s">
        <v>87</v>
      </c>
      <c r="E512" s="724">
        <f>E163</f>
        <v>1</v>
      </c>
      <c r="F512" s="482">
        <f>F163</f>
        <v>8</v>
      </c>
      <c r="G512" s="483">
        <f>G163</f>
        <v>0</v>
      </c>
      <c r="H512" s="484"/>
      <c r="I512" s="483"/>
      <c r="J512" s="484">
        <f>J510</f>
        <v>1</v>
      </c>
      <c r="K512" s="483">
        <f>K510</f>
        <v>2</v>
      </c>
      <c r="L512" s="485"/>
      <c r="M512" s="485">
        <f t="shared" si="173"/>
        <v>18.666666666666668</v>
      </c>
      <c r="N512" s="486"/>
      <c r="O512" s="486"/>
    </row>
    <row r="513" spans="1:15" s="487" customFormat="1" ht="18" customHeight="1">
      <c r="A513" s="478"/>
      <c r="B513" s="336"/>
      <c r="C513" s="479">
        <f>C163</f>
        <v>1</v>
      </c>
      <c r="D513" s="480" t="s">
        <v>87</v>
      </c>
      <c r="E513" s="724">
        <f>E163</f>
        <v>1</v>
      </c>
      <c r="F513" s="482">
        <f>F163</f>
        <v>8</v>
      </c>
      <c r="G513" s="483">
        <f>G163</f>
        <v>0</v>
      </c>
      <c r="H513" s="484">
        <f>H163</f>
        <v>1</v>
      </c>
      <c r="I513" s="483">
        <f>I163</f>
        <v>0</v>
      </c>
      <c r="J513" s="484"/>
      <c r="K513" s="483"/>
      <c r="L513" s="485"/>
      <c r="M513" s="485">
        <f t="shared" si="173"/>
        <v>8</v>
      </c>
      <c r="N513" s="486"/>
      <c r="O513" s="486"/>
    </row>
    <row r="514" spans="1:15" s="487" customFormat="1" ht="18" customHeight="1">
      <c r="A514" s="478"/>
      <c r="B514" s="336" t="s">
        <v>280</v>
      </c>
      <c r="C514" s="479">
        <f>C164*2</f>
        <v>2</v>
      </c>
      <c r="D514" s="480" t="s">
        <v>87</v>
      </c>
      <c r="E514" s="724">
        <f>E164</f>
        <v>2</v>
      </c>
      <c r="F514" s="482">
        <f>F164</f>
        <v>10</v>
      </c>
      <c r="G514" s="483">
        <f>G164</f>
        <v>4</v>
      </c>
      <c r="H514" s="484"/>
      <c r="I514" s="483"/>
      <c r="J514" s="484">
        <f>J512</f>
        <v>1</v>
      </c>
      <c r="K514" s="483">
        <f>K512</f>
        <v>2</v>
      </c>
      <c r="L514" s="485"/>
      <c r="M514" s="485">
        <f t="shared" si="173"/>
        <v>48.222222222222229</v>
      </c>
      <c r="N514" s="486"/>
      <c r="O514" s="486"/>
    </row>
    <row r="515" spans="1:15" s="487" customFormat="1" ht="18" customHeight="1">
      <c r="A515" s="478"/>
      <c r="B515" s="336"/>
      <c r="C515" s="479">
        <f>C164</f>
        <v>1</v>
      </c>
      <c r="D515" s="480" t="s">
        <v>87</v>
      </c>
      <c r="E515" s="724">
        <f>E164</f>
        <v>2</v>
      </c>
      <c r="F515" s="482">
        <f>F164</f>
        <v>10</v>
      </c>
      <c r="G515" s="483">
        <f>G164</f>
        <v>4</v>
      </c>
      <c r="H515" s="484">
        <f>H164</f>
        <v>1</v>
      </c>
      <c r="I515" s="483">
        <f>I164</f>
        <v>0</v>
      </c>
      <c r="J515" s="484"/>
      <c r="K515" s="483"/>
      <c r="L515" s="485"/>
      <c r="M515" s="485">
        <f t="shared" si="173"/>
        <v>20.666666666666668</v>
      </c>
      <c r="N515" s="486"/>
      <c r="O515" s="486"/>
    </row>
    <row r="516" spans="1:15" s="487" customFormat="1" ht="18" customHeight="1">
      <c r="A516" s="478"/>
      <c r="B516" s="336" t="s">
        <v>281</v>
      </c>
      <c r="C516" s="479">
        <f>C165*2</f>
        <v>2</v>
      </c>
      <c r="D516" s="480" t="s">
        <v>87</v>
      </c>
      <c r="E516" s="724">
        <f>E165</f>
        <v>1</v>
      </c>
      <c r="F516" s="482">
        <f>F165</f>
        <v>10</v>
      </c>
      <c r="G516" s="483">
        <f>G165</f>
        <v>5</v>
      </c>
      <c r="H516" s="484"/>
      <c r="I516" s="483"/>
      <c r="J516" s="484">
        <f>J514</f>
        <v>1</v>
      </c>
      <c r="K516" s="483">
        <f>K514</f>
        <v>2</v>
      </c>
      <c r="L516" s="485"/>
      <c r="M516" s="485">
        <f t="shared" si="173"/>
        <v>24.305555555555557</v>
      </c>
      <c r="N516" s="486"/>
      <c r="O516" s="486"/>
    </row>
    <row r="517" spans="1:15" s="487" customFormat="1" ht="18" customHeight="1">
      <c r="A517" s="478"/>
      <c r="B517" s="336"/>
      <c r="C517" s="479">
        <f>C165</f>
        <v>1</v>
      </c>
      <c r="D517" s="480" t="s">
        <v>87</v>
      </c>
      <c r="E517" s="724">
        <f>E165</f>
        <v>1</v>
      </c>
      <c r="F517" s="482">
        <f>F165</f>
        <v>10</v>
      </c>
      <c r="G517" s="483">
        <f>G165</f>
        <v>5</v>
      </c>
      <c r="H517" s="484">
        <f>H165</f>
        <v>1</v>
      </c>
      <c r="I517" s="483">
        <f>I165</f>
        <v>0</v>
      </c>
      <c r="J517" s="484"/>
      <c r="K517" s="483"/>
      <c r="L517" s="485"/>
      <c r="M517" s="485">
        <f t="shared" si="173"/>
        <v>10.416666666666666</v>
      </c>
      <c r="N517" s="486"/>
      <c r="O517" s="486"/>
    </row>
    <row r="518" spans="1:15" s="487" customFormat="1" ht="18" customHeight="1">
      <c r="A518" s="478"/>
      <c r="B518" s="726" t="s">
        <v>320</v>
      </c>
      <c r="C518" s="479"/>
      <c r="D518" s="480"/>
      <c r="E518" s="724"/>
      <c r="F518" s="482"/>
      <c r="G518" s="483"/>
      <c r="H518" s="484"/>
      <c r="I518" s="483"/>
      <c r="J518" s="484"/>
      <c r="K518" s="483"/>
      <c r="L518" s="485"/>
      <c r="M518" s="485"/>
      <c r="N518" s="486"/>
      <c r="O518" s="486"/>
    </row>
    <row r="519" spans="1:15" s="487" customFormat="1" ht="18" customHeight="1">
      <c r="A519" s="478"/>
      <c r="B519" s="336" t="s">
        <v>321</v>
      </c>
      <c r="C519" s="479">
        <f>C168*2</f>
        <v>2</v>
      </c>
      <c r="D519" s="480" t="s">
        <v>87</v>
      </c>
      <c r="E519" s="724">
        <f>E168</f>
        <v>1</v>
      </c>
      <c r="F519" s="482">
        <f>F168</f>
        <v>4</v>
      </c>
      <c r="G519" s="483">
        <f>G168</f>
        <v>0</v>
      </c>
      <c r="H519" s="484"/>
      <c r="I519" s="483"/>
      <c r="J519" s="484">
        <v>1</v>
      </c>
      <c r="K519" s="483">
        <v>4</v>
      </c>
      <c r="L519" s="485"/>
      <c r="M519" s="485">
        <f t="shared" ref="M519:M520" si="174">IF(C519=0,1,C519)*IF(E519=0,1,E519)*IF((F519+G519/12)=0,1,(F519+G519/12))*IF((H519+I519/12)=0,1,(H519+I519/12))*IF((J519+K519/12)=0,1,(J519+K519/12))</f>
        <v>10.666666666666666</v>
      </c>
      <c r="N519" s="486"/>
      <c r="O519" s="486"/>
    </row>
    <row r="520" spans="1:15" s="487" customFormat="1" ht="18" customHeight="1">
      <c r="A520" s="478"/>
      <c r="B520" s="336"/>
      <c r="C520" s="479">
        <f>C168</f>
        <v>1</v>
      </c>
      <c r="D520" s="480" t="s">
        <v>87</v>
      </c>
      <c r="E520" s="724">
        <f>E168</f>
        <v>1</v>
      </c>
      <c r="F520" s="482">
        <f>F168</f>
        <v>4</v>
      </c>
      <c r="G520" s="483">
        <f>G168</f>
        <v>0</v>
      </c>
      <c r="H520" s="484">
        <f>H168</f>
        <v>1</v>
      </c>
      <c r="I520" s="483">
        <f>I168</f>
        <v>0</v>
      </c>
      <c r="J520" s="484"/>
      <c r="K520" s="483"/>
      <c r="L520" s="485"/>
      <c r="M520" s="485">
        <f t="shared" si="174"/>
        <v>4</v>
      </c>
      <c r="N520" s="486"/>
      <c r="O520" s="486"/>
    </row>
    <row r="521" spans="1:15" s="487" customFormat="1" ht="18" customHeight="1">
      <c r="A521" s="478"/>
      <c r="B521" s="726" t="s">
        <v>322</v>
      </c>
      <c r="C521" s="479"/>
      <c r="D521" s="480"/>
      <c r="E521" s="724"/>
      <c r="F521" s="482"/>
      <c r="G521" s="483"/>
      <c r="H521" s="484"/>
      <c r="I521" s="483"/>
      <c r="J521" s="484"/>
      <c r="K521" s="483"/>
      <c r="L521" s="485"/>
      <c r="M521" s="485"/>
      <c r="N521" s="486"/>
      <c r="O521" s="486"/>
    </row>
    <row r="522" spans="1:15" s="487" customFormat="1" ht="18" customHeight="1">
      <c r="A522" s="478"/>
      <c r="B522" s="336" t="s">
        <v>264</v>
      </c>
      <c r="C522" s="479">
        <f>C171*2</f>
        <v>2</v>
      </c>
      <c r="D522" s="480" t="s">
        <v>87</v>
      </c>
      <c r="E522" s="724">
        <f>E171</f>
        <v>1</v>
      </c>
      <c r="F522" s="482">
        <f>F171</f>
        <v>16</v>
      </c>
      <c r="G522" s="483">
        <f>G171</f>
        <v>0</v>
      </c>
      <c r="H522" s="484"/>
      <c r="I522" s="483"/>
      <c r="J522" s="484">
        <v>1</v>
      </c>
      <c r="K522" s="483">
        <v>6</v>
      </c>
      <c r="L522" s="485"/>
      <c r="M522" s="485">
        <f t="shared" ref="M522:M529" si="175">IF(C522=0,1,C522)*IF(E522=0,1,E522)*IF((F522+G522/12)=0,1,(F522+G522/12))*IF((H522+I522/12)=0,1,(H522+I522/12))*IF((J522+K522/12)=0,1,(J522+K522/12))</f>
        <v>48</v>
      </c>
      <c r="N522" s="486"/>
      <c r="O522" s="486"/>
    </row>
    <row r="523" spans="1:15" s="487" customFormat="1" ht="18" customHeight="1">
      <c r="A523" s="478"/>
      <c r="B523" s="336"/>
      <c r="C523" s="479">
        <f>C171</f>
        <v>1</v>
      </c>
      <c r="D523" s="480" t="s">
        <v>87</v>
      </c>
      <c r="E523" s="724">
        <f>E171</f>
        <v>1</v>
      </c>
      <c r="F523" s="482">
        <f>F171</f>
        <v>16</v>
      </c>
      <c r="G523" s="483">
        <f>G171</f>
        <v>0</v>
      </c>
      <c r="H523" s="484">
        <f>H171</f>
        <v>1</v>
      </c>
      <c r="I523" s="483">
        <f>I171</f>
        <v>0</v>
      </c>
      <c r="J523" s="484"/>
      <c r="K523" s="483"/>
      <c r="L523" s="485"/>
      <c r="M523" s="485">
        <f t="shared" si="175"/>
        <v>16</v>
      </c>
      <c r="N523" s="486"/>
      <c r="O523" s="486"/>
    </row>
    <row r="524" spans="1:15" s="487" customFormat="1" ht="18" customHeight="1">
      <c r="A524" s="478"/>
      <c r="B524" s="336" t="s">
        <v>323</v>
      </c>
      <c r="C524" s="479">
        <f>C172*2</f>
        <v>2</v>
      </c>
      <c r="D524" s="480" t="s">
        <v>87</v>
      </c>
      <c r="E524" s="724">
        <f>E172</f>
        <v>1</v>
      </c>
      <c r="F524" s="482">
        <f>F172</f>
        <v>15</v>
      </c>
      <c r="G524" s="483">
        <f>G172</f>
        <v>9</v>
      </c>
      <c r="H524" s="484"/>
      <c r="I524" s="483"/>
      <c r="J524" s="484">
        <f>J522</f>
        <v>1</v>
      </c>
      <c r="K524" s="483">
        <f>K522</f>
        <v>6</v>
      </c>
      <c r="L524" s="485"/>
      <c r="M524" s="485">
        <f t="shared" si="175"/>
        <v>47.25</v>
      </c>
      <c r="N524" s="486"/>
      <c r="O524" s="486"/>
    </row>
    <row r="525" spans="1:15" s="487" customFormat="1" ht="18" customHeight="1">
      <c r="A525" s="478"/>
      <c r="B525" s="336"/>
      <c r="C525" s="479">
        <f>C172</f>
        <v>1</v>
      </c>
      <c r="D525" s="480" t="s">
        <v>87</v>
      </c>
      <c r="E525" s="724">
        <f>E172</f>
        <v>1</v>
      </c>
      <c r="F525" s="482">
        <f>F172</f>
        <v>15</v>
      </c>
      <c r="G525" s="483">
        <f>G172</f>
        <v>9</v>
      </c>
      <c r="H525" s="484">
        <f>H172</f>
        <v>1</v>
      </c>
      <c r="I525" s="483">
        <f>I172</f>
        <v>0</v>
      </c>
      <c r="J525" s="484"/>
      <c r="K525" s="483"/>
      <c r="L525" s="485"/>
      <c r="M525" s="485">
        <f t="shared" si="175"/>
        <v>15.75</v>
      </c>
      <c r="N525" s="486"/>
      <c r="O525" s="486"/>
    </row>
    <row r="526" spans="1:15" s="487" customFormat="1" ht="18" customHeight="1">
      <c r="A526" s="478"/>
      <c r="B526" s="336" t="s">
        <v>265</v>
      </c>
      <c r="C526" s="479">
        <f>C173*2</f>
        <v>2</v>
      </c>
      <c r="D526" s="480" t="s">
        <v>87</v>
      </c>
      <c r="E526" s="724">
        <f>E173</f>
        <v>1</v>
      </c>
      <c r="F526" s="482">
        <f>F173</f>
        <v>14</v>
      </c>
      <c r="G526" s="483">
        <f>G173</f>
        <v>6</v>
      </c>
      <c r="H526" s="484"/>
      <c r="I526" s="483"/>
      <c r="J526" s="484">
        <f>J524</f>
        <v>1</v>
      </c>
      <c r="K526" s="483">
        <f>K524</f>
        <v>6</v>
      </c>
      <c r="L526" s="485"/>
      <c r="M526" s="485">
        <f t="shared" si="175"/>
        <v>43.5</v>
      </c>
      <c r="N526" s="486"/>
      <c r="O526" s="486"/>
    </row>
    <row r="527" spans="1:15" s="487" customFormat="1" ht="18" customHeight="1">
      <c r="A527" s="478"/>
      <c r="B527" s="336"/>
      <c r="C527" s="479">
        <f>C173</f>
        <v>1</v>
      </c>
      <c r="D527" s="480" t="s">
        <v>87</v>
      </c>
      <c r="E527" s="724">
        <f>E173</f>
        <v>1</v>
      </c>
      <c r="F527" s="482">
        <f>F173</f>
        <v>14</v>
      </c>
      <c r="G527" s="483">
        <f>G173</f>
        <v>6</v>
      </c>
      <c r="H527" s="484">
        <f>H173</f>
        <v>1</v>
      </c>
      <c r="I527" s="483">
        <f>I173</f>
        <v>0</v>
      </c>
      <c r="J527" s="484"/>
      <c r="K527" s="483"/>
      <c r="L527" s="485"/>
      <c r="M527" s="485">
        <f t="shared" si="175"/>
        <v>14.5</v>
      </c>
      <c r="N527" s="486"/>
      <c r="O527" s="486"/>
    </row>
    <row r="528" spans="1:15" s="487" customFormat="1" ht="18" customHeight="1">
      <c r="A528" s="478"/>
      <c r="B528" s="336" t="s">
        <v>324</v>
      </c>
      <c r="C528" s="479">
        <f>C174*2</f>
        <v>2</v>
      </c>
      <c r="D528" s="480" t="s">
        <v>87</v>
      </c>
      <c r="E528" s="724">
        <f>E174</f>
        <v>1</v>
      </c>
      <c r="F528" s="482">
        <f>F174</f>
        <v>14</v>
      </c>
      <c r="G528" s="483">
        <f>G174</f>
        <v>5</v>
      </c>
      <c r="H528" s="484"/>
      <c r="I528" s="483"/>
      <c r="J528" s="484">
        <f>J526</f>
        <v>1</v>
      </c>
      <c r="K528" s="483">
        <f>K526</f>
        <v>6</v>
      </c>
      <c r="L528" s="485"/>
      <c r="M528" s="485">
        <f t="shared" si="175"/>
        <v>43.25</v>
      </c>
      <c r="N528" s="486"/>
      <c r="O528" s="486"/>
    </row>
    <row r="529" spans="1:15" s="487" customFormat="1" ht="18" customHeight="1">
      <c r="A529" s="478"/>
      <c r="B529" s="336"/>
      <c r="C529" s="479">
        <f>C174</f>
        <v>1</v>
      </c>
      <c r="D529" s="480" t="s">
        <v>87</v>
      </c>
      <c r="E529" s="724">
        <f>E174</f>
        <v>1</v>
      </c>
      <c r="F529" s="482">
        <f>F174</f>
        <v>14</v>
      </c>
      <c r="G529" s="483">
        <f>G174</f>
        <v>5</v>
      </c>
      <c r="H529" s="484">
        <f>H174</f>
        <v>1</v>
      </c>
      <c r="I529" s="483">
        <f>I174</f>
        <v>0</v>
      </c>
      <c r="J529" s="484"/>
      <c r="K529" s="483"/>
      <c r="L529" s="485"/>
      <c r="M529" s="485">
        <f t="shared" si="175"/>
        <v>14.416666666666666</v>
      </c>
      <c r="N529" s="750"/>
      <c r="O529" s="750"/>
    </row>
    <row r="530" spans="1:15" s="487" customFormat="1" ht="18" customHeight="1">
      <c r="A530" s="478"/>
      <c r="B530" s="336"/>
      <c r="C530" s="479"/>
      <c r="D530" s="480"/>
      <c r="E530" s="724"/>
      <c r="F530" s="482"/>
      <c r="G530" s="483"/>
      <c r="H530" s="484"/>
      <c r="I530" s="483"/>
      <c r="J530" s="484"/>
      <c r="K530" s="483"/>
      <c r="L530" s="485"/>
      <c r="M530" s="485"/>
      <c r="N530" s="858">
        <f>SUM(M479:M529)</f>
        <v>1131.875</v>
      </c>
      <c r="O530" s="885" t="s">
        <v>19</v>
      </c>
    </row>
    <row r="531" spans="1:15" s="487" customFormat="1" ht="18" customHeight="1">
      <c r="A531" s="478"/>
      <c r="B531" s="723" t="s">
        <v>326</v>
      </c>
      <c r="C531" s="479"/>
      <c r="D531" s="480"/>
      <c r="E531" s="724"/>
      <c r="F531" s="482"/>
      <c r="G531" s="483"/>
      <c r="H531" s="484"/>
      <c r="I531" s="483"/>
      <c r="J531" s="749"/>
      <c r="K531" s="483"/>
      <c r="L531" s="485"/>
      <c r="M531" s="499"/>
      <c r="N531" s="486"/>
      <c r="O531" s="486"/>
    </row>
    <row r="532" spans="1:15" s="487" customFormat="1" ht="18" customHeight="1">
      <c r="A532" s="478"/>
      <c r="B532" s="726" t="s">
        <v>327</v>
      </c>
      <c r="C532" s="479"/>
      <c r="D532" s="480"/>
      <c r="E532" s="724"/>
      <c r="F532" s="482"/>
      <c r="G532" s="483"/>
      <c r="H532" s="484"/>
      <c r="I532" s="483"/>
      <c r="J532" s="749"/>
      <c r="K532" s="483"/>
      <c r="L532" s="485"/>
      <c r="M532" s="499"/>
      <c r="N532" s="486"/>
      <c r="O532" s="486"/>
    </row>
    <row r="533" spans="1:15" s="487" customFormat="1" ht="18" customHeight="1">
      <c r="A533" s="478"/>
      <c r="B533" s="336" t="s">
        <v>309</v>
      </c>
      <c r="C533" s="479">
        <v>3</v>
      </c>
      <c r="D533" s="480" t="s">
        <v>87</v>
      </c>
      <c r="E533" s="724">
        <f>E178</f>
        <v>1</v>
      </c>
      <c r="F533" s="482">
        <f>F178</f>
        <v>5</v>
      </c>
      <c r="G533" s="483">
        <f>G178</f>
        <v>4</v>
      </c>
      <c r="H533" s="484"/>
      <c r="I533" s="483"/>
      <c r="J533" s="749">
        <f>J178</f>
        <v>0</v>
      </c>
      <c r="K533" s="483">
        <v>10</v>
      </c>
      <c r="L533" s="485"/>
      <c r="M533" s="485">
        <f t="shared" ref="M533:M536" si="176">IF(C533=0,1,C533)*IF(E533=0,1,E533)*IF((F533+G533/12)=0,1,(F533+G533/12))*IF((H533+I533/12)=0,1,(H533+I533/12))*IF((J533+K533/12)=0,1,(J533+K533/12))</f>
        <v>13.333333333333334</v>
      </c>
      <c r="N533" s="486"/>
      <c r="O533" s="486"/>
    </row>
    <row r="534" spans="1:15" s="487" customFormat="1" ht="18" customHeight="1">
      <c r="A534" s="478"/>
      <c r="B534" s="336"/>
      <c r="C534" s="479">
        <f>C178</f>
        <v>1</v>
      </c>
      <c r="D534" s="480" t="s">
        <v>87</v>
      </c>
      <c r="E534" s="724">
        <f>E178</f>
        <v>1</v>
      </c>
      <c r="F534" s="482">
        <f>F178</f>
        <v>5</v>
      </c>
      <c r="G534" s="483">
        <f>G178</f>
        <v>4</v>
      </c>
      <c r="H534" s="484">
        <f>H178</f>
        <v>0</v>
      </c>
      <c r="I534" s="483">
        <f>I178</f>
        <v>10</v>
      </c>
      <c r="J534" s="749"/>
      <c r="K534" s="483"/>
      <c r="L534" s="485"/>
      <c r="M534" s="485">
        <f t="shared" si="176"/>
        <v>4.4444444444444446</v>
      </c>
      <c r="N534" s="486"/>
      <c r="O534" s="486"/>
    </row>
    <row r="535" spans="1:15" s="487" customFormat="1" ht="18" customHeight="1">
      <c r="A535" s="478"/>
      <c r="B535" s="336" t="s">
        <v>311</v>
      </c>
      <c r="C535" s="479">
        <v>3</v>
      </c>
      <c r="D535" s="480" t="s">
        <v>87</v>
      </c>
      <c r="E535" s="724">
        <f>E179</f>
        <v>1</v>
      </c>
      <c r="F535" s="482">
        <f>F179</f>
        <v>8</v>
      </c>
      <c r="G535" s="483">
        <f>G179</f>
        <v>0</v>
      </c>
      <c r="H535" s="484"/>
      <c r="I535" s="483"/>
      <c r="J535" s="749">
        <f>J533</f>
        <v>0</v>
      </c>
      <c r="K535" s="483">
        <f>K533</f>
        <v>10</v>
      </c>
      <c r="L535" s="485"/>
      <c r="M535" s="485">
        <f t="shared" si="176"/>
        <v>20</v>
      </c>
      <c r="N535" s="486"/>
      <c r="O535" s="486"/>
    </row>
    <row r="536" spans="1:15" s="487" customFormat="1" ht="18" customHeight="1">
      <c r="A536" s="478"/>
      <c r="B536" s="336"/>
      <c r="C536" s="479">
        <f>C179</f>
        <v>1</v>
      </c>
      <c r="D536" s="480" t="s">
        <v>87</v>
      </c>
      <c r="E536" s="724">
        <f>E179</f>
        <v>1</v>
      </c>
      <c r="F536" s="482">
        <f>F179</f>
        <v>8</v>
      </c>
      <c r="G536" s="483">
        <f>G179</f>
        <v>0</v>
      </c>
      <c r="H536" s="484">
        <f>H179</f>
        <v>0</v>
      </c>
      <c r="I536" s="483">
        <f>I179</f>
        <v>10</v>
      </c>
      <c r="J536" s="749"/>
      <c r="K536" s="483"/>
      <c r="L536" s="485"/>
      <c r="M536" s="485">
        <f t="shared" si="176"/>
        <v>6.666666666666667</v>
      </c>
      <c r="N536" s="486"/>
      <c r="O536" s="486"/>
    </row>
    <row r="537" spans="1:15" s="487" customFormat="1" ht="18" customHeight="1">
      <c r="A537" s="478"/>
      <c r="B537" s="726" t="s">
        <v>328</v>
      </c>
      <c r="C537" s="479"/>
      <c r="D537" s="480"/>
      <c r="E537" s="724"/>
      <c r="F537" s="482"/>
      <c r="G537" s="483"/>
      <c r="H537" s="484"/>
      <c r="I537" s="483"/>
      <c r="J537" s="749"/>
      <c r="K537" s="483"/>
      <c r="L537" s="485"/>
      <c r="M537" s="499"/>
      <c r="N537" s="486"/>
      <c r="O537" s="486"/>
    </row>
    <row r="538" spans="1:15" s="487" customFormat="1" ht="18" customHeight="1">
      <c r="A538" s="478"/>
      <c r="B538" s="336" t="s">
        <v>329</v>
      </c>
      <c r="C538" s="479">
        <f>C182*2</f>
        <v>2</v>
      </c>
      <c r="D538" s="480" t="s">
        <v>87</v>
      </c>
      <c r="E538" s="724">
        <f>E182</f>
        <v>1</v>
      </c>
      <c r="F538" s="482">
        <f>F182</f>
        <v>15</v>
      </c>
      <c r="G538" s="483">
        <f>G182</f>
        <v>0</v>
      </c>
      <c r="H538" s="484"/>
      <c r="I538" s="483"/>
      <c r="J538" s="749">
        <v>1</v>
      </c>
      <c r="K538" s="483">
        <v>2</v>
      </c>
      <c r="L538" s="485"/>
      <c r="M538" s="485">
        <f t="shared" ref="M538:M547" si="177">IF(C538=0,1,C538)*IF(E538=0,1,E538)*IF((F538+G538/12)=0,1,(F538+G538/12))*IF((H538+I538/12)=0,1,(H538+I538/12))*IF((J538+K538/12)=0,1,(J538+K538/12))</f>
        <v>35</v>
      </c>
      <c r="N538" s="486"/>
      <c r="O538" s="486"/>
    </row>
    <row r="539" spans="1:15" s="487" customFormat="1" ht="18" customHeight="1">
      <c r="A539" s="478"/>
      <c r="B539" s="336"/>
      <c r="C539" s="479">
        <f>C182</f>
        <v>1</v>
      </c>
      <c r="D539" s="480" t="s">
        <v>87</v>
      </c>
      <c r="E539" s="724">
        <f>E182</f>
        <v>1</v>
      </c>
      <c r="F539" s="482">
        <f>F182</f>
        <v>15</v>
      </c>
      <c r="G539" s="483">
        <f>G182</f>
        <v>0</v>
      </c>
      <c r="H539" s="484">
        <f>H182</f>
        <v>0</v>
      </c>
      <c r="I539" s="483">
        <f>I182</f>
        <v>10</v>
      </c>
      <c r="J539" s="749"/>
      <c r="K539" s="483"/>
      <c r="L539" s="485"/>
      <c r="M539" s="485">
        <f t="shared" si="177"/>
        <v>12.5</v>
      </c>
      <c r="N539" s="486"/>
      <c r="O539" s="486"/>
    </row>
    <row r="540" spans="1:15" s="487" customFormat="1" ht="18" customHeight="1">
      <c r="A540" s="478"/>
      <c r="B540" s="336" t="s">
        <v>330</v>
      </c>
      <c r="C540" s="479">
        <f>C183*2</f>
        <v>2</v>
      </c>
      <c r="D540" s="480" t="s">
        <v>87</v>
      </c>
      <c r="E540" s="724">
        <f>E183</f>
        <v>1</v>
      </c>
      <c r="F540" s="482">
        <f>F183</f>
        <v>27</v>
      </c>
      <c r="G540" s="483">
        <f>G183</f>
        <v>1</v>
      </c>
      <c r="H540" s="484"/>
      <c r="I540" s="483"/>
      <c r="J540" s="749">
        <f>J538</f>
        <v>1</v>
      </c>
      <c r="K540" s="483">
        <f>K538</f>
        <v>2</v>
      </c>
      <c r="L540" s="485"/>
      <c r="M540" s="485">
        <f t="shared" si="177"/>
        <v>63.194444444444443</v>
      </c>
      <c r="N540" s="486"/>
      <c r="O540" s="486"/>
    </row>
    <row r="541" spans="1:15" s="487" customFormat="1" ht="18" customHeight="1">
      <c r="A541" s="478"/>
      <c r="B541" s="336"/>
      <c r="C541" s="479">
        <f>C183</f>
        <v>1</v>
      </c>
      <c r="D541" s="480" t="s">
        <v>87</v>
      </c>
      <c r="E541" s="724">
        <f>E183</f>
        <v>1</v>
      </c>
      <c r="F541" s="482">
        <f>F183</f>
        <v>27</v>
      </c>
      <c r="G541" s="483">
        <f>G183</f>
        <v>1</v>
      </c>
      <c r="H541" s="484">
        <f>H183</f>
        <v>0</v>
      </c>
      <c r="I541" s="483">
        <f>I183</f>
        <v>10</v>
      </c>
      <c r="J541" s="749"/>
      <c r="K541" s="483"/>
      <c r="L541" s="485"/>
      <c r="M541" s="485">
        <f t="shared" si="177"/>
        <v>22.569444444444443</v>
      </c>
      <c r="N541" s="486"/>
      <c r="O541" s="486"/>
    </row>
    <row r="542" spans="1:15" s="487" customFormat="1" ht="18" customHeight="1">
      <c r="A542" s="478"/>
      <c r="B542" s="336" t="s">
        <v>339</v>
      </c>
      <c r="C542" s="479">
        <f>C184*2</f>
        <v>2</v>
      </c>
      <c r="D542" s="480" t="s">
        <v>87</v>
      </c>
      <c r="E542" s="724">
        <f>E184</f>
        <v>3</v>
      </c>
      <c r="F542" s="482">
        <f>F184</f>
        <v>4</v>
      </c>
      <c r="G542" s="483">
        <f>G184</f>
        <v>0</v>
      </c>
      <c r="H542" s="484"/>
      <c r="I542" s="483"/>
      <c r="J542" s="749">
        <f>J540</f>
        <v>1</v>
      </c>
      <c r="K542" s="483">
        <f>K540</f>
        <v>2</v>
      </c>
      <c r="L542" s="485"/>
      <c r="M542" s="485">
        <f t="shared" si="177"/>
        <v>28</v>
      </c>
      <c r="N542" s="486"/>
      <c r="O542" s="486"/>
    </row>
    <row r="543" spans="1:15" s="487" customFormat="1" ht="18" customHeight="1">
      <c r="A543" s="478"/>
      <c r="B543" s="336"/>
      <c r="C543" s="479">
        <f>C184</f>
        <v>1</v>
      </c>
      <c r="D543" s="480" t="s">
        <v>87</v>
      </c>
      <c r="E543" s="724">
        <f>E184</f>
        <v>3</v>
      </c>
      <c r="F543" s="482">
        <f>F184</f>
        <v>4</v>
      </c>
      <c r="G543" s="483">
        <f>G184</f>
        <v>0</v>
      </c>
      <c r="H543" s="484">
        <f>H184</f>
        <v>0</v>
      </c>
      <c r="I543" s="483">
        <f>I184</f>
        <v>10</v>
      </c>
      <c r="J543" s="749"/>
      <c r="K543" s="483"/>
      <c r="L543" s="485"/>
      <c r="M543" s="485">
        <f t="shared" si="177"/>
        <v>10</v>
      </c>
      <c r="N543" s="486"/>
      <c r="O543" s="486"/>
    </row>
    <row r="544" spans="1:15" s="487" customFormat="1" ht="18" customHeight="1">
      <c r="A544" s="478"/>
      <c r="B544" s="336" t="s">
        <v>340</v>
      </c>
      <c r="C544" s="479">
        <f>C185*2</f>
        <v>2</v>
      </c>
      <c r="D544" s="480" t="s">
        <v>87</v>
      </c>
      <c r="E544" s="724">
        <f>E185</f>
        <v>1</v>
      </c>
      <c r="F544" s="482">
        <f>F185</f>
        <v>14</v>
      </c>
      <c r="G544" s="483">
        <f>G185</f>
        <v>1</v>
      </c>
      <c r="H544" s="484"/>
      <c r="I544" s="483"/>
      <c r="J544" s="749">
        <f>J542</f>
        <v>1</v>
      </c>
      <c r="K544" s="483">
        <f>K542</f>
        <v>2</v>
      </c>
      <c r="L544" s="485"/>
      <c r="M544" s="485">
        <f t="shared" si="177"/>
        <v>32.861111111111114</v>
      </c>
      <c r="N544" s="486"/>
      <c r="O544" s="486"/>
    </row>
    <row r="545" spans="1:15" s="487" customFormat="1" ht="18" customHeight="1">
      <c r="A545" s="478"/>
      <c r="B545" s="336"/>
      <c r="C545" s="479">
        <f>C185</f>
        <v>1</v>
      </c>
      <c r="D545" s="480" t="s">
        <v>87</v>
      </c>
      <c r="E545" s="724">
        <f>E185</f>
        <v>1</v>
      </c>
      <c r="F545" s="482">
        <f>F185</f>
        <v>14</v>
      </c>
      <c r="G545" s="483">
        <f>G185</f>
        <v>1</v>
      </c>
      <c r="H545" s="484">
        <f>H185</f>
        <v>0</v>
      </c>
      <c r="I545" s="483">
        <f>I185</f>
        <v>10</v>
      </c>
      <c r="J545" s="749"/>
      <c r="K545" s="483"/>
      <c r="L545" s="485"/>
      <c r="M545" s="485">
        <f t="shared" si="177"/>
        <v>11.736111111111112</v>
      </c>
      <c r="N545" s="486"/>
      <c r="O545" s="486"/>
    </row>
    <row r="546" spans="1:15" s="487" customFormat="1" ht="18" customHeight="1">
      <c r="A546" s="478"/>
      <c r="B546" s="336" t="s">
        <v>341</v>
      </c>
      <c r="C546" s="479">
        <f>C186*2</f>
        <v>2</v>
      </c>
      <c r="D546" s="480" t="s">
        <v>87</v>
      </c>
      <c r="E546" s="724">
        <f>E186</f>
        <v>1</v>
      </c>
      <c r="F546" s="482">
        <f>F186</f>
        <v>10</v>
      </c>
      <c r="G546" s="483">
        <f>G186</f>
        <v>5</v>
      </c>
      <c r="H546" s="484"/>
      <c r="I546" s="483"/>
      <c r="J546" s="749">
        <f>J544</f>
        <v>1</v>
      </c>
      <c r="K546" s="483">
        <f>K544</f>
        <v>2</v>
      </c>
      <c r="L546" s="485"/>
      <c r="M546" s="485">
        <f t="shared" si="177"/>
        <v>24.305555555555557</v>
      </c>
      <c r="N546" s="486"/>
      <c r="O546" s="486"/>
    </row>
    <row r="547" spans="1:15" s="487" customFormat="1" ht="18" customHeight="1">
      <c r="A547" s="478"/>
      <c r="B547" s="726"/>
      <c r="C547" s="479">
        <f>C186</f>
        <v>1</v>
      </c>
      <c r="D547" s="480" t="s">
        <v>87</v>
      </c>
      <c r="E547" s="724">
        <f>E186</f>
        <v>1</v>
      </c>
      <c r="F547" s="482">
        <f>F186</f>
        <v>10</v>
      </c>
      <c r="G547" s="483">
        <f>G186</f>
        <v>5</v>
      </c>
      <c r="H547" s="484">
        <f>H186</f>
        <v>0</v>
      </c>
      <c r="I547" s="483">
        <f>I186</f>
        <v>10</v>
      </c>
      <c r="J547" s="749"/>
      <c r="K547" s="483"/>
      <c r="L547" s="485"/>
      <c r="M547" s="485">
        <f t="shared" si="177"/>
        <v>8.6805555555555554</v>
      </c>
      <c r="N547" s="486"/>
      <c r="O547" s="486"/>
    </row>
    <row r="548" spans="1:15" s="487" customFormat="1" ht="18" customHeight="1">
      <c r="A548" s="478"/>
      <c r="B548" s="726" t="s">
        <v>331</v>
      </c>
      <c r="C548" s="479"/>
      <c r="D548" s="480"/>
      <c r="E548" s="724"/>
      <c r="F548" s="482"/>
      <c r="G548" s="483"/>
      <c r="H548" s="484"/>
      <c r="I548" s="483"/>
      <c r="J548" s="749"/>
      <c r="K548" s="483"/>
      <c r="L548" s="485"/>
      <c r="M548" s="485"/>
      <c r="N548" s="486"/>
      <c r="O548" s="486"/>
    </row>
    <row r="549" spans="1:15" s="487" customFormat="1" ht="18" customHeight="1">
      <c r="A549" s="478"/>
      <c r="B549" s="336" t="s">
        <v>332</v>
      </c>
      <c r="C549" s="479">
        <f>C189</f>
        <v>1</v>
      </c>
      <c r="D549" s="480" t="s">
        <v>87</v>
      </c>
      <c r="E549" s="724">
        <f>E189</f>
        <v>1</v>
      </c>
      <c r="F549" s="482">
        <f>F189</f>
        <v>14</v>
      </c>
      <c r="G549" s="483">
        <f>G189</f>
        <v>0</v>
      </c>
      <c r="H549" s="484"/>
      <c r="I549" s="483"/>
      <c r="J549" s="749">
        <v>1</v>
      </c>
      <c r="K549" s="483">
        <v>2</v>
      </c>
      <c r="L549" s="485"/>
      <c r="M549" s="485">
        <f t="shared" ref="M549:M558" si="178">IF(C549=0,1,C549)*IF(E549=0,1,E549)*IF((F549+G549/12)=0,1,(F549+G549/12))*IF((H549+I549/12)=0,1,(H549+I549/12))*IF((J549+K549/12)=0,1,(J549+K549/12))</f>
        <v>16.333333333333336</v>
      </c>
      <c r="N549" s="486"/>
      <c r="O549" s="486"/>
    </row>
    <row r="550" spans="1:15" s="487" customFormat="1" ht="18" customHeight="1">
      <c r="A550" s="478"/>
      <c r="B550" s="336"/>
      <c r="C550" s="479">
        <f>C189</f>
        <v>1</v>
      </c>
      <c r="D550" s="480" t="s">
        <v>87</v>
      </c>
      <c r="E550" s="724">
        <f>E189</f>
        <v>1</v>
      </c>
      <c r="F550" s="482">
        <f>F189</f>
        <v>14</v>
      </c>
      <c r="G550" s="483">
        <f>G189</f>
        <v>0</v>
      </c>
      <c r="H550" s="484">
        <f>H189</f>
        <v>1</v>
      </c>
      <c r="I550" s="483">
        <f>I189</f>
        <v>0</v>
      </c>
      <c r="J550" s="484"/>
      <c r="K550" s="483"/>
      <c r="L550" s="485"/>
      <c r="M550" s="485">
        <f t="shared" si="178"/>
        <v>14</v>
      </c>
      <c r="N550" s="486"/>
      <c r="O550" s="486"/>
    </row>
    <row r="551" spans="1:15" s="888" customFormat="1" ht="18" customHeight="1">
      <c r="A551" s="886"/>
      <c r="B551" s="336" t="s">
        <v>333</v>
      </c>
      <c r="C551" s="479">
        <f>C190</f>
        <v>1</v>
      </c>
      <c r="D551" s="480" t="s">
        <v>87</v>
      </c>
      <c r="E551" s="724">
        <f>E190</f>
        <v>2</v>
      </c>
      <c r="F551" s="482">
        <f>F190</f>
        <v>14</v>
      </c>
      <c r="G551" s="483">
        <f>G190</f>
        <v>1</v>
      </c>
      <c r="H551" s="484"/>
      <c r="I551" s="483"/>
      <c r="J551" s="749">
        <f>J549</f>
        <v>1</v>
      </c>
      <c r="K551" s="483">
        <f>K549</f>
        <v>2</v>
      </c>
      <c r="L551" s="485"/>
      <c r="M551" s="485">
        <f t="shared" si="178"/>
        <v>32.861111111111114</v>
      </c>
      <c r="N551" s="887"/>
      <c r="O551" s="887"/>
    </row>
    <row r="552" spans="1:15" s="487" customFormat="1" ht="18" customHeight="1">
      <c r="A552" s="478"/>
      <c r="B552" s="726"/>
      <c r="C552" s="479">
        <f>C190</f>
        <v>1</v>
      </c>
      <c r="D552" s="480" t="s">
        <v>87</v>
      </c>
      <c r="E552" s="724">
        <f>E190</f>
        <v>2</v>
      </c>
      <c r="F552" s="482">
        <f>F190</f>
        <v>14</v>
      </c>
      <c r="G552" s="483">
        <f>G190</f>
        <v>1</v>
      </c>
      <c r="H552" s="484">
        <f>H190</f>
        <v>1</v>
      </c>
      <c r="I552" s="483">
        <f>I190</f>
        <v>0</v>
      </c>
      <c r="J552" s="484"/>
      <c r="K552" s="483"/>
      <c r="L552" s="485"/>
      <c r="M552" s="485">
        <f t="shared" si="178"/>
        <v>28.166666666666668</v>
      </c>
      <c r="N552" s="486"/>
      <c r="O552" s="486"/>
    </row>
    <row r="553" spans="1:15" s="487" customFormat="1" ht="18" customHeight="1">
      <c r="A553" s="478"/>
      <c r="B553" s="336" t="s">
        <v>334</v>
      </c>
      <c r="C553" s="479">
        <f>C191</f>
        <v>1</v>
      </c>
      <c r="D553" s="480" t="s">
        <v>87</v>
      </c>
      <c r="E553" s="724">
        <f>E191</f>
        <v>1</v>
      </c>
      <c r="F553" s="482">
        <f>F191</f>
        <v>7</v>
      </c>
      <c r="G553" s="483">
        <f>G191</f>
        <v>11</v>
      </c>
      <c r="H553" s="484"/>
      <c r="I553" s="483"/>
      <c r="J553" s="749">
        <f>J551</f>
        <v>1</v>
      </c>
      <c r="K553" s="483">
        <f>K551</f>
        <v>2</v>
      </c>
      <c r="L553" s="485"/>
      <c r="M553" s="485">
        <f t="shared" si="178"/>
        <v>9.2361111111111125</v>
      </c>
      <c r="N553" s="486"/>
      <c r="O553" s="486"/>
    </row>
    <row r="554" spans="1:15" s="487" customFormat="1" ht="18" customHeight="1">
      <c r="A554" s="726"/>
      <c r="B554" s="336"/>
      <c r="C554" s="479">
        <f>C191</f>
        <v>1</v>
      </c>
      <c r="D554" s="480" t="s">
        <v>87</v>
      </c>
      <c r="E554" s="724">
        <f>E191</f>
        <v>1</v>
      </c>
      <c r="F554" s="482">
        <f>F191</f>
        <v>7</v>
      </c>
      <c r="G554" s="483">
        <f>G191</f>
        <v>11</v>
      </c>
      <c r="H554" s="484">
        <f>H191</f>
        <v>1</v>
      </c>
      <c r="I554" s="483">
        <f>I191</f>
        <v>0</v>
      </c>
      <c r="J554" s="484"/>
      <c r="K554" s="483"/>
      <c r="L554" s="485"/>
      <c r="M554" s="485">
        <f t="shared" si="178"/>
        <v>7.916666666666667</v>
      </c>
      <c r="N554" s="816"/>
      <c r="O554" s="726"/>
    </row>
    <row r="555" spans="1:15" s="487" customFormat="1" ht="18" customHeight="1">
      <c r="A555" s="478"/>
      <c r="B555" s="336" t="s">
        <v>335</v>
      </c>
      <c r="C555" s="479">
        <f>C192</f>
        <v>1</v>
      </c>
      <c r="D555" s="480" t="s">
        <v>87</v>
      </c>
      <c r="E555" s="724">
        <f>E192</f>
        <v>2</v>
      </c>
      <c r="F555" s="482">
        <f>F192</f>
        <v>8</v>
      </c>
      <c r="G555" s="483">
        <f>G192</f>
        <v>0</v>
      </c>
      <c r="H555" s="484"/>
      <c r="I555" s="483"/>
      <c r="J555" s="749">
        <f>J553</f>
        <v>1</v>
      </c>
      <c r="K555" s="483">
        <f>K553</f>
        <v>2</v>
      </c>
      <c r="L555" s="485"/>
      <c r="M555" s="485">
        <f t="shared" si="178"/>
        <v>18.666666666666668</v>
      </c>
      <c r="N555" s="486"/>
      <c r="O555" s="486"/>
    </row>
    <row r="556" spans="1:15" s="487" customFormat="1" ht="18" customHeight="1">
      <c r="A556" s="726"/>
      <c r="B556" s="336"/>
      <c r="C556" s="479">
        <f>C192</f>
        <v>1</v>
      </c>
      <c r="D556" s="480" t="s">
        <v>87</v>
      </c>
      <c r="E556" s="724">
        <f>E192</f>
        <v>2</v>
      </c>
      <c r="F556" s="482">
        <f>F192</f>
        <v>8</v>
      </c>
      <c r="G556" s="483">
        <f>G192</f>
        <v>0</v>
      </c>
      <c r="H556" s="484">
        <f>H192</f>
        <v>1</v>
      </c>
      <c r="I556" s="483">
        <f>I192</f>
        <v>0</v>
      </c>
      <c r="J556" s="484"/>
      <c r="K556" s="483"/>
      <c r="L556" s="485"/>
      <c r="M556" s="485">
        <f t="shared" si="178"/>
        <v>16</v>
      </c>
      <c r="N556" s="816"/>
      <c r="O556" s="726"/>
    </row>
    <row r="557" spans="1:15" s="487" customFormat="1" ht="18" customHeight="1">
      <c r="A557" s="478"/>
      <c r="B557" s="336" t="s">
        <v>342</v>
      </c>
      <c r="C557" s="479">
        <f>C193</f>
        <v>1</v>
      </c>
      <c r="D557" s="480" t="s">
        <v>87</v>
      </c>
      <c r="E557" s="724">
        <f>E193</f>
        <v>3</v>
      </c>
      <c r="F557" s="482">
        <f>F193</f>
        <v>10</v>
      </c>
      <c r="G557" s="483">
        <f>G193</f>
        <v>5</v>
      </c>
      <c r="H557" s="484"/>
      <c r="I557" s="483"/>
      <c r="J557" s="749">
        <f>J555</f>
        <v>1</v>
      </c>
      <c r="K557" s="483">
        <f>K555</f>
        <v>2</v>
      </c>
      <c r="L557" s="485"/>
      <c r="M557" s="485">
        <f t="shared" si="178"/>
        <v>36.458333333333336</v>
      </c>
      <c r="N557" s="486"/>
      <c r="O557" s="486"/>
    </row>
    <row r="558" spans="1:15" s="487" customFormat="1" ht="18" customHeight="1">
      <c r="A558" s="726"/>
      <c r="B558" s="336"/>
      <c r="C558" s="479">
        <f>C193</f>
        <v>1</v>
      </c>
      <c r="D558" s="480" t="s">
        <v>87</v>
      </c>
      <c r="E558" s="724">
        <f>E193</f>
        <v>3</v>
      </c>
      <c r="F558" s="482">
        <f>F193</f>
        <v>10</v>
      </c>
      <c r="G558" s="483">
        <f>G193</f>
        <v>5</v>
      </c>
      <c r="H558" s="484">
        <f>H193</f>
        <v>1</v>
      </c>
      <c r="I558" s="483">
        <f>I193</f>
        <v>0</v>
      </c>
      <c r="J558" s="484"/>
      <c r="K558" s="483"/>
      <c r="L558" s="485"/>
      <c r="M558" s="485">
        <f t="shared" si="178"/>
        <v>31.25</v>
      </c>
      <c r="N558" s="816"/>
      <c r="O558" s="726"/>
    </row>
    <row r="559" spans="1:15" s="487" customFormat="1" ht="18" customHeight="1">
      <c r="A559" s="726"/>
      <c r="B559" s="726" t="s">
        <v>336</v>
      </c>
      <c r="C559" s="479"/>
      <c r="D559" s="480"/>
      <c r="E559" s="724"/>
      <c r="F559" s="482"/>
      <c r="G559" s="483"/>
      <c r="H559" s="484"/>
      <c r="I559" s="483"/>
      <c r="J559" s="484"/>
      <c r="K559" s="483"/>
      <c r="L559" s="485"/>
      <c r="M559" s="485"/>
      <c r="N559" s="816"/>
      <c r="O559" s="726"/>
    </row>
    <row r="560" spans="1:15" s="487" customFormat="1" ht="18" customHeight="1">
      <c r="A560" s="478"/>
      <c r="B560" s="336" t="s">
        <v>337</v>
      </c>
      <c r="C560" s="479">
        <f>C196*2</f>
        <v>2</v>
      </c>
      <c r="D560" s="480" t="s">
        <v>87</v>
      </c>
      <c r="E560" s="724">
        <f>E196</f>
        <v>3</v>
      </c>
      <c r="F560" s="482">
        <f>F196</f>
        <v>16</v>
      </c>
      <c r="G560" s="483">
        <f>G196</f>
        <v>0</v>
      </c>
      <c r="H560" s="484"/>
      <c r="I560" s="483"/>
      <c r="J560" s="484">
        <v>1</v>
      </c>
      <c r="K560" s="483">
        <v>4</v>
      </c>
      <c r="L560" s="485"/>
      <c r="M560" s="485">
        <f t="shared" ref="M560:M565" si="179">IF(C560=0,1,C560)*IF(E560=0,1,E560)*IF((F560+G560/12)=0,1,(F560+G560/12))*IF((H560+I560/12)=0,1,(H560+I560/12))*IF((J560+K560/12)=0,1,(J560+K560/12))</f>
        <v>128</v>
      </c>
      <c r="N560" s="486"/>
      <c r="O560" s="486"/>
    </row>
    <row r="561" spans="1:15" s="487" customFormat="1" ht="18" customHeight="1">
      <c r="A561" s="478"/>
      <c r="B561" s="336"/>
      <c r="C561" s="479">
        <f>C196</f>
        <v>1</v>
      </c>
      <c r="D561" s="480" t="s">
        <v>87</v>
      </c>
      <c r="E561" s="724">
        <f>E196</f>
        <v>3</v>
      </c>
      <c r="F561" s="482">
        <f>F196</f>
        <v>16</v>
      </c>
      <c r="G561" s="483">
        <f>G196</f>
        <v>0</v>
      </c>
      <c r="H561" s="484">
        <f>H196</f>
        <v>1</v>
      </c>
      <c r="I561" s="483">
        <f>I196</f>
        <v>0</v>
      </c>
      <c r="J561" s="484"/>
      <c r="K561" s="483"/>
      <c r="L561" s="485"/>
      <c r="M561" s="485">
        <f t="shared" si="179"/>
        <v>48</v>
      </c>
      <c r="N561" s="486"/>
      <c r="O561" s="486"/>
    </row>
    <row r="562" spans="1:15" s="487" customFormat="1" ht="18" customHeight="1">
      <c r="A562" s="478"/>
      <c r="B562" s="336" t="s">
        <v>323</v>
      </c>
      <c r="C562" s="479">
        <f>C197*2</f>
        <v>2</v>
      </c>
      <c r="D562" s="480" t="s">
        <v>87</v>
      </c>
      <c r="E562" s="724">
        <f>E197</f>
        <v>1</v>
      </c>
      <c r="F562" s="482">
        <f>F197</f>
        <v>15</v>
      </c>
      <c r="G562" s="483">
        <f>G197</f>
        <v>10</v>
      </c>
      <c r="H562" s="484"/>
      <c r="I562" s="483"/>
      <c r="J562" s="484">
        <f>J560</f>
        <v>1</v>
      </c>
      <c r="K562" s="483">
        <f>K560</f>
        <v>4</v>
      </c>
      <c r="L562" s="485"/>
      <c r="M562" s="485">
        <f t="shared" si="179"/>
        <v>42.222222222222221</v>
      </c>
      <c r="N562" s="486"/>
      <c r="O562" s="486"/>
    </row>
    <row r="563" spans="1:15" s="487" customFormat="1" ht="18" customHeight="1">
      <c r="A563" s="478"/>
      <c r="B563" s="336"/>
      <c r="C563" s="479">
        <f>C197</f>
        <v>1</v>
      </c>
      <c r="D563" s="480" t="s">
        <v>87</v>
      </c>
      <c r="E563" s="724">
        <f>E197</f>
        <v>1</v>
      </c>
      <c r="F563" s="482">
        <f>F197</f>
        <v>15</v>
      </c>
      <c r="G563" s="483">
        <f>G197</f>
        <v>10</v>
      </c>
      <c r="H563" s="484">
        <f>H197</f>
        <v>1</v>
      </c>
      <c r="I563" s="483">
        <f>I197</f>
        <v>0</v>
      </c>
      <c r="J563" s="484"/>
      <c r="K563" s="483"/>
      <c r="L563" s="485"/>
      <c r="M563" s="485">
        <f t="shared" si="179"/>
        <v>15.833333333333334</v>
      </c>
      <c r="N563" s="486"/>
      <c r="O563" s="486"/>
    </row>
    <row r="564" spans="1:15" s="487" customFormat="1" ht="18" customHeight="1">
      <c r="A564" s="478"/>
      <c r="B564" s="336" t="s">
        <v>338</v>
      </c>
      <c r="C564" s="479">
        <f>C198*2</f>
        <v>2</v>
      </c>
      <c r="D564" s="480" t="s">
        <v>87</v>
      </c>
      <c r="E564" s="724">
        <f>E198</f>
        <v>4</v>
      </c>
      <c r="F564" s="482">
        <f>F198</f>
        <v>14</v>
      </c>
      <c r="G564" s="483">
        <f>G198</f>
        <v>6</v>
      </c>
      <c r="H564" s="484"/>
      <c r="I564" s="483"/>
      <c r="J564" s="484">
        <f>J562</f>
        <v>1</v>
      </c>
      <c r="K564" s="483">
        <f>K562</f>
        <v>4</v>
      </c>
      <c r="L564" s="485"/>
      <c r="M564" s="485">
        <f t="shared" si="179"/>
        <v>154.66666666666666</v>
      </c>
      <c r="N564" s="486"/>
      <c r="O564" s="486"/>
    </row>
    <row r="565" spans="1:15" s="487" customFormat="1" ht="18" customHeight="1">
      <c r="A565" s="478"/>
      <c r="B565" s="336"/>
      <c r="C565" s="479">
        <f>C198</f>
        <v>1</v>
      </c>
      <c r="D565" s="480" t="s">
        <v>87</v>
      </c>
      <c r="E565" s="724">
        <f>E198</f>
        <v>4</v>
      </c>
      <c r="F565" s="482">
        <f>F198</f>
        <v>14</v>
      </c>
      <c r="G565" s="483">
        <f>G198</f>
        <v>6</v>
      </c>
      <c r="H565" s="484">
        <f>H198</f>
        <v>1</v>
      </c>
      <c r="I565" s="483">
        <f>I198</f>
        <v>0</v>
      </c>
      <c r="J565" s="484"/>
      <c r="K565" s="483"/>
      <c r="L565" s="485"/>
      <c r="M565" s="485">
        <f t="shared" si="179"/>
        <v>58</v>
      </c>
      <c r="N565" s="486"/>
      <c r="O565" s="486"/>
    </row>
    <row r="566" spans="1:15" s="487" customFormat="1" ht="18.75" customHeight="1">
      <c r="A566" s="478"/>
      <c r="B566" s="336"/>
      <c r="C566" s="479"/>
      <c r="D566" s="480"/>
      <c r="E566" s="481"/>
      <c r="F566" s="482"/>
      <c r="G566" s="483"/>
      <c r="H566" s="484"/>
      <c r="I566" s="483"/>
      <c r="J566" s="749"/>
      <c r="K566" s="483"/>
      <c r="L566" s="478"/>
      <c r="M566" s="499"/>
      <c r="N566" s="858">
        <f>SUM(M532:M565)</f>
        <v>950.90277777777771</v>
      </c>
      <c r="O566" s="885" t="s">
        <v>19</v>
      </c>
    </row>
    <row r="567" spans="1:15" s="487" customFormat="1" ht="18.75" customHeight="1">
      <c r="A567" s="478"/>
      <c r="B567" s="723" t="s">
        <v>343</v>
      </c>
      <c r="C567" s="479"/>
      <c r="D567" s="480"/>
      <c r="E567" s="481"/>
      <c r="F567" s="482"/>
      <c r="G567" s="483"/>
      <c r="H567" s="484"/>
      <c r="I567" s="483"/>
      <c r="J567" s="749"/>
      <c r="K567" s="483"/>
      <c r="L567" s="478"/>
      <c r="M567" s="499"/>
      <c r="N567" s="486"/>
      <c r="O567" s="486"/>
    </row>
    <row r="568" spans="1:15" s="487" customFormat="1" ht="18.75" customHeight="1">
      <c r="A568" s="478"/>
      <c r="B568" s="726" t="s">
        <v>344</v>
      </c>
      <c r="C568" s="479"/>
      <c r="D568" s="480"/>
      <c r="E568" s="481"/>
      <c r="F568" s="482"/>
      <c r="G568" s="483"/>
      <c r="H568" s="484"/>
      <c r="I568" s="483"/>
      <c r="J568" s="749"/>
      <c r="K568" s="483"/>
      <c r="L568" s="478"/>
      <c r="M568" s="485"/>
      <c r="N568" s="486"/>
      <c r="O568" s="486"/>
    </row>
    <row r="569" spans="1:15" s="487" customFormat="1" ht="18.75" customHeight="1">
      <c r="A569" s="478"/>
      <c r="B569" s="336" t="s">
        <v>309</v>
      </c>
      <c r="C569" s="479">
        <f>C203*2</f>
        <v>2</v>
      </c>
      <c r="D569" s="480" t="s">
        <v>87</v>
      </c>
      <c r="E569" s="481">
        <f>E203</f>
        <v>1</v>
      </c>
      <c r="F569" s="482">
        <f>F203</f>
        <v>5</v>
      </c>
      <c r="G569" s="483">
        <f>G203</f>
        <v>4</v>
      </c>
      <c r="H569" s="484"/>
      <c r="I569" s="483"/>
      <c r="J569" s="749">
        <f>J203</f>
        <v>0</v>
      </c>
      <c r="K569" s="483">
        <v>10</v>
      </c>
      <c r="L569" s="478"/>
      <c r="M569" s="485">
        <f>IF(C569=0,1,C569)*IF(E569=0,1,E569)*IF((F569+G569/12)=0,1,(F569+G569/12))*IF((H569+I569/12)=0,1,(H569+I569/12))*IF((J569+K569/12)=0,1,(J569+K569/12))</f>
        <v>8.8888888888888893</v>
      </c>
      <c r="N569" s="486"/>
      <c r="O569" s="486"/>
    </row>
    <row r="570" spans="1:15" s="487" customFormat="1" ht="18.75" customHeight="1">
      <c r="A570" s="478"/>
      <c r="B570" s="336"/>
      <c r="C570" s="479">
        <f>C203</f>
        <v>1</v>
      </c>
      <c r="D570" s="480" t="s">
        <v>87</v>
      </c>
      <c r="E570" s="481">
        <f>E203</f>
        <v>1</v>
      </c>
      <c r="F570" s="482">
        <f>F203</f>
        <v>5</v>
      </c>
      <c r="G570" s="483">
        <f>G203</f>
        <v>4</v>
      </c>
      <c r="H570" s="484">
        <f>H203</f>
        <v>0</v>
      </c>
      <c r="I570" s="483">
        <f>I203</f>
        <v>10</v>
      </c>
      <c r="J570" s="749"/>
      <c r="K570" s="483"/>
      <c r="L570" s="478"/>
      <c r="M570" s="485">
        <f t="shared" ref="M570" si="180">IF(C570=0,1,C570)*IF(E570=0,1,E570)*IF((F570+G570/12)=0,1,(F570+G570/12))*IF((H570+I570/12)=0,1,(H570+I570/12))*IF((J570+K570/12)=0,1,(J570+K570/12))</f>
        <v>4.4444444444444446</v>
      </c>
      <c r="N570" s="486"/>
      <c r="O570" s="486"/>
    </row>
    <row r="571" spans="1:15" s="487" customFormat="1" ht="18.75" customHeight="1">
      <c r="A571" s="478"/>
      <c r="B571" s="726" t="s">
        <v>345</v>
      </c>
      <c r="C571" s="479"/>
      <c r="D571" s="480"/>
      <c r="E571" s="481"/>
      <c r="F571" s="482"/>
      <c r="G571" s="483"/>
      <c r="H571" s="484"/>
      <c r="I571" s="483"/>
      <c r="J571" s="749"/>
      <c r="K571" s="483"/>
      <c r="L571" s="478"/>
      <c r="M571" s="499"/>
      <c r="N571" s="486"/>
      <c r="O571" s="486"/>
    </row>
    <row r="572" spans="1:15" s="487" customFormat="1" ht="18.75" customHeight="1">
      <c r="A572" s="478"/>
      <c r="B572" s="336" t="s">
        <v>302</v>
      </c>
      <c r="C572" s="479">
        <f>C206*2</f>
        <v>2</v>
      </c>
      <c r="D572" s="480" t="s">
        <v>87</v>
      </c>
      <c r="E572" s="481">
        <f>E206</f>
        <v>1</v>
      </c>
      <c r="F572" s="482">
        <f>F206</f>
        <v>16</v>
      </c>
      <c r="G572" s="483">
        <f>G206</f>
        <v>0</v>
      </c>
      <c r="H572" s="484"/>
      <c r="I572" s="483"/>
      <c r="J572" s="749">
        <v>1</v>
      </c>
      <c r="K572" s="483">
        <v>2</v>
      </c>
      <c r="L572" s="478"/>
      <c r="M572" s="485">
        <f t="shared" ref="M572:M581" si="181">IF(C572=0,1,C572)*IF(E572=0,1,E572)*IF((F572+G572/12)=0,1,(F572+G572/12))*IF((H572+I572/12)=0,1,(H572+I572/12))*IF((J572+K572/12)=0,1,(J572+K572/12))</f>
        <v>37.333333333333336</v>
      </c>
      <c r="N572" s="486"/>
      <c r="O572" s="486"/>
    </row>
    <row r="573" spans="1:15" s="487" customFormat="1" ht="18.75" customHeight="1">
      <c r="A573" s="478"/>
      <c r="B573" s="336"/>
      <c r="C573" s="479">
        <f>C206</f>
        <v>1</v>
      </c>
      <c r="D573" s="480" t="s">
        <v>87</v>
      </c>
      <c r="E573" s="481">
        <f>E206</f>
        <v>1</v>
      </c>
      <c r="F573" s="482">
        <f>F206</f>
        <v>16</v>
      </c>
      <c r="G573" s="483">
        <f>G206</f>
        <v>0</v>
      </c>
      <c r="H573" s="484">
        <f>H206</f>
        <v>0</v>
      </c>
      <c r="I573" s="483">
        <f>I206</f>
        <v>10</v>
      </c>
      <c r="J573" s="749"/>
      <c r="K573" s="483"/>
      <c r="L573" s="478"/>
      <c r="M573" s="485">
        <f t="shared" si="181"/>
        <v>13.333333333333334</v>
      </c>
      <c r="N573" s="486"/>
      <c r="O573" s="486"/>
    </row>
    <row r="574" spans="1:15" s="487" customFormat="1" ht="18.75" customHeight="1">
      <c r="A574" s="478"/>
      <c r="B574" s="336" t="s">
        <v>633</v>
      </c>
      <c r="C574" s="479">
        <f>C207*2</f>
        <v>2</v>
      </c>
      <c r="D574" s="480" t="s">
        <v>87</v>
      </c>
      <c r="E574" s="481">
        <f>E207</f>
        <v>1</v>
      </c>
      <c r="F574" s="482">
        <f>F207</f>
        <v>27</v>
      </c>
      <c r="G574" s="483">
        <f>G207</f>
        <v>1</v>
      </c>
      <c r="H574" s="484"/>
      <c r="I574" s="483"/>
      <c r="J574" s="749">
        <f>J572</f>
        <v>1</v>
      </c>
      <c r="K574" s="483">
        <f>K572</f>
        <v>2</v>
      </c>
      <c r="L574" s="478"/>
      <c r="M574" s="485">
        <f t="shared" si="181"/>
        <v>63.194444444444443</v>
      </c>
      <c r="N574" s="486"/>
      <c r="O574" s="486"/>
    </row>
    <row r="575" spans="1:15" s="487" customFormat="1" ht="18.75" customHeight="1">
      <c r="A575" s="478"/>
      <c r="B575" s="336"/>
      <c r="C575" s="479">
        <f>C207</f>
        <v>1</v>
      </c>
      <c r="D575" s="480" t="s">
        <v>87</v>
      </c>
      <c r="E575" s="481">
        <f>E207</f>
        <v>1</v>
      </c>
      <c r="F575" s="482">
        <f>F207</f>
        <v>27</v>
      </c>
      <c r="G575" s="483">
        <f>G207</f>
        <v>1</v>
      </c>
      <c r="H575" s="484">
        <f>H207</f>
        <v>0</v>
      </c>
      <c r="I575" s="483">
        <f>I207</f>
        <v>10</v>
      </c>
      <c r="J575" s="749"/>
      <c r="K575" s="483"/>
      <c r="L575" s="478"/>
      <c r="M575" s="485">
        <f t="shared" si="181"/>
        <v>22.569444444444443</v>
      </c>
      <c r="N575" s="486"/>
      <c r="O575" s="486"/>
    </row>
    <row r="576" spans="1:15" s="487" customFormat="1" ht="18.75" customHeight="1">
      <c r="A576" s="478"/>
      <c r="B576" s="336" t="s">
        <v>346</v>
      </c>
      <c r="C576" s="479">
        <f>C208*2</f>
        <v>2</v>
      </c>
      <c r="D576" s="480" t="s">
        <v>87</v>
      </c>
      <c r="E576" s="481">
        <f>E208</f>
        <v>2</v>
      </c>
      <c r="F576" s="482">
        <f>F208</f>
        <v>14</v>
      </c>
      <c r="G576" s="483">
        <f>G208</f>
        <v>6</v>
      </c>
      <c r="H576" s="484"/>
      <c r="I576" s="483"/>
      <c r="J576" s="749">
        <f>J574</f>
        <v>1</v>
      </c>
      <c r="K576" s="483">
        <f>K574</f>
        <v>2</v>
      </c>
      <c r="L576" s="478"/>
      <c r="M576" s="485">
        <f t="shared" si="181"/>
        <v>67.666666666666671</v>
      </c>
      <c r="N576" s="486"/>
      <c r="O576" s="486"/>
    </row>
    <row r="577" spans="1:15" s="487" customFormat="1" ht="18.75" customHeight="1">
      <c r="A577" s="478"/>
      <c r="B577" s="336"/>
      <c r="C577" s="479">
        <f>C208</f>
        <v>1</v>
      </c>
      <c r="D577" s="480" t="s">
        <v>87</v>
      </c>
      <c r="E577" s="481">
        <f>E208</f>
        <v>2</v>
      </c>
      <c r="F577" s="482">
        <f>F208</f>
        <v>14</v>
      </c>
      <c r="G577" s="483">
        <f>G208</f>
        <v>6</v>
      </c>
      <c r="H577" s="484">
        <f>H208</f>
        <v>0</v>
      </c>
      <c r="I577" s="483">
        <f>I208</f>
        <v>10</v>
      </c>
      <c r="J577" s="749"/>
      <c r="K577" s="483"/>
      <c r="L577" s="478"/>
      <c r="M577" s="485">
        <f t="shared" si="181"/>
        <v>24.166666666666668</v>
      </c>
      <c r="N577" s="486"/>
      <c r="O577" s="486"/>
    </row>
    <row r="578" spans="1:15" s="487" customFormat="1" ht="18.75" customHeight="1">
      <c r="A578" s="478"/>
      <c r="B578" s="336" t="s">
        <v>311</v>
      </c>
      <c r="C578" s="479">
        <f>C209*2</f>
        <v>2</v>
      </c>
      <c r="D578" s="480" t="s">
        <v>87</v>
      </c>
      <c r="E578" s="481">
        <f>E209</f>
        <v>1</v>
      </c>
      <c r="F578" s="482">
        <f>F209</f>
        <v>8</v>
      </c>
      <c r="G578" s="483">
        <f>G209</f>
        <v>0</v>
      </c>
      <c r="H578" s="484"/>
      <c r="I578" s="483"/>
      <c r="J578" s="749">
        <f>J576</f>
        <v>1</v>
      </c>
      <c r="K578" s="483">
        <f>K576</f>
        <v>2</v>
      </c>
      <c r="L578" s="478"/>
      <c r="M578" s="485">
        <f t="shared" si="181"/>
        <v>18.666666666666668</v>
      </c>
      <c r="N578" s="486"/>
      <c r="O578" s="486"/>
    </row>
    <row r="579" spans="1:15" s="487" customFormat="1" ht="18.75" customHeight="1">
      <c r="A579" s="478"/>
      <c r="B579" s="726"/>
      <c r="C579" s="479">
        <f>C209</f>
        <v>1</v>
      </c>
      <c r="D579" s="480" t="s">
        <v>87</v>
      </c>
      <c r="E579" s="481">
        <f>E209</f>
        <v>1</v>
      </c>
      <c r="F579" s="482">
        <f>F209</f>
        <v>8</v>
      </c>
      <c r="G579" s="483">
        <f>G209</f>
        <v>0</v>
      </c>
      <c r="H579" s="484">
        <f>H209</f>
        <v>0</v>
      </c>
      <c r="I579" s="483">
        <f>I209</f>
        <v>10</v>
      </c>
      <c r="J579" s="749"/>
      <c r="K579" s="483"/>
      <c r="L579" s="478"/>
      <c r="M579" s="485">
        <f t="shared" si="181"/>
        <v>6.666666666666667</v>
      </c>
      <c r="N579" s="486"/>
      <c r="O579" s="486"/>
    </row>
    <row r="580" spans="1:15" s="487" customFormat="1" ht="18.75" customHeight="1">
      <c r="A580" s="478"/>
      <c r="B580" s="336" t="s">
        <v>351</v>
      </c>
      <c r="C580" s="479">
        <f>C210*2</f>
        <v>2</v>
      </c>
      <c r="D580" s="480" t="s">
        <v>87</v>
      </c>
      <c r="E580" s="481">
        <f>E210</f>
        <v>3</v>
      </c>
      <c r="F580" s="482">
        <f>F210</f>
        <v>3</v>
      </c>
      <c r="G580" s="483">
        <f>G210</f>
        <v>1</v>
      </c>
      <c r="H580" s="484"/>
      <c r="I580" s="483"/>
      <c r="J580" s="749">
        <f>J578</f>
        <v>1</v>
      </c>
      <c r="K580" s="483">
        <f>K578</f>
        <v>2</v>
      </c>
      <c r="L580" s="478"/>
      <c r="M580" s="485">
        <f t="shared" si="181"/>
        <v>21.583333333333336</v>
      </c>
      <c r="N580" s="486"/>
      <c r="O580" s="486"/>
    </row>
    <row r="581" spans="1:15" s="487" customFormat="1" ht="18.75" customHeight="1">
      <c r="A581" s="478"/>
      <c r="B581" s="336"/>
      <c r="C581" s="479">
        <f>C210</f>
        <v>1</v>
      </c>
      <c r="D581" s="480" t="s">
        <v>87</v>
      </c>
      <c r="E581" s="481">
        <f>E210</f>
        <v>3</v>
      </c>
      <c r="F581" s="482">
        <f>F210</f>
        <v>3</v>
      </c>
      <c r="G581" s="483">
        <f>G210</f>
        <v>1</v>
      </c>
      <c r="H581" s="484">
        <f>H210</f>
        <v>0</v>
      </c>
      <c r="I581" s="483">
        <f>I210</f>
        <v>10</v>
      </c>
      <c r="J581" s="749"/>
      <c r="K581" s="483"/>
      <c r="L581" s="478"/>
      <c r="M581" s="485">
        <f t="shared" si="181"/>
        <v>7.7083333333333339</v>
      </c>
      <c r="N581" s="486"/>
      <c r="O581" s="486"/>
    </row>
    <row r="582" spans="1:15" s="487" customFormat="1" ht="18.75" customHeight="1">
      <c r="A582" s="478"/>
      <c r="B582" s="726" t="s">
        <v>347</v>
      </c>
      <c r="C582" s="479"/>
      <c r="D582" s="480"/>
      <c r="E582" s="481"/>
      <c r="F582" s="482"/>
      <c r="G582" s="483"/>
      <c r="H582" s="484"/>
      <c r="I582" s="483"/>
      <c r="J582" s="749"/>
      <c r="K582" s="483"/>
      <c r="L582" s="478"/>
      <c r="M582" s="485"/>
      <c r="N582" s="486"/>
      <c r="O582" s="486"/>
    </row>
    <row r="583" spans="1:15" s="487" customFormat="1" ht="18.75" customHeight="1">
      <c r="A583" s="478"/>
      <c r="B583" s="336" t="s">
        <v>348</v>
      </c>
      <c r="C583" s="479">
        <f>C213</f>
        <v>1</v>
      </c>
      <c r="D583" s="480" t="s">
        <v>87</v>
      </c>
      <c r="E583" s="481">
        <f>E213</f>
        <v>3</v>
      </c>
      <c r="F583" s="482">
        <f>F213</f>
        <v>14</v>
      </c>
      <c r="G583" s="483">
        <f>G213</f>
        <v>1</v>
      </c>
      <c r="H583" s="484"/>
      <c r="I583" s="483"/>
      <c r="J583" s="749">
        <v>1</v>
      </c>
      <c r="K583" s="483">
        <v>2</v>
      </c>
      <c r="L583" s="478"/>
      <c r="M583" s="485">
        <f t="shared" ref="M583:M586" si="182">IF(C583=0,1,C583)*IF(E583=0,1,E583)*IF((F583+G583/12)=0,1,(F583+G583/12))*IF((H583+I583/12)=0,1,(H583+I583/12))*IF((J583+K583/12)=0,1,(J583+K583/12))</f>
        <v>49.291666666666671</v>
      </c>
      <c r="N583" s="486"/>
      <c r="O583" s="486"/>
    </row>
    <row r="584" spans="1:15" s="487" customFormat="1" ht="18.75" customHeight="1">
      <c r="A584" s="478"/>
      <c r="B584" s="889"/>
      <c r="C584" s="479">
        <f>C213</f>
        <v>1</v>
      </c>
      <c r="D584" s="480" t="s">
        <v>87</v>
      </c>
      <c r="E584" s="481">
        <f>E213</f>
        <v>3</v>
      </c>
      <c r="F584" s="482">
        <f>F213</f>
        <v>14</v>
      </c>
      <c r="G584" s="483">
        <f>G213</f>
        <v>1</v>
      </c>
      <c r="H584" s="484">
        <f>H213</f>
        <v>1</v>
      </c>
      <c r="I584" s="483">
        <f>I213</f>
        <v>0</v>
      </c>
      <c r="J584" s="749"/>
      <c r="K584" s="483"/>
      <c r="L584" s="478"/>
      <c r="M584" s="485">
        <f t="shared" si="182"/>
        <v>42.25</v>
      </c>
      <c r="N584" s="486"/>
      <c r="O584" s="486"/>
    </row>
    <row r="585" spans="1:15" s="487" customFormat="1" ht="18.75" customHeight="1">
      <c r="A585" s="478"/>
      <c r="B585" s="336" t="s">
        <v>300</v>
      </c>
      <c r="C585" s="479">
        <f>C214</f>
        <v>1</v>
      </c>
      <c r="D585" s="480" t="s">
        <v>87</v>
      </c>
      <c r="E585" s="481">
        <f>E214</f>
        <v>2</v>
      </c>
      <c r="F585" s="482">
        <f>F214</f>
        <v>8</v>
      </c>
      <c r="G585" s="483">
        <f>G214</f>
        <v>0</v>
      </c>
      <c r="H585" s="484"/>
      <c r="I585" s="483"/>
      <c r="J585" s="749">
        <f>J583</f>
        <v>1</v>
      </c>
      <c r="K585" s="483">
        <f>K583</f>
        <v>2</v>
      </c>
      <c r="L585" s="478"/>
      <c r="M585" s="485">
        <f t="shared" si="182"/>
        <v>18.666666666666668</v>
      </c>
      <c r="N585" s="486"/>
      <c r="O585" s="486"/>
    </row>
    <row r="586" spans="1:15" s="487" customFormat="1" ht="18.75" customHeight="1">
      <c r="A586" s="478"/>
      <c r="B586" s="889"/>
      <c r="C586" s="479">
        <f>C214</f>
        <v>1</v>
      </c>
      <c r="D586" s="480" t="s">
        <v>87</v>
      </c>
      <c r="E586" s="481">
        <f>E214</f>
        <v>2</v>
      </c>
      <c r="F586" s="482">
        <f>F214</f>
        <v>8</v>
      </c>
      <c r="G586" s="483">
        <f>G214</f>
        <v>0</v>
      </c>
      <c r="H586" s="484">
        <f>H214</f>
        <v>1</v>
      </c>
      <c r="I586" s="483">
        <f>I214</f>
        <v>0</v>
      </c>
      <c r="J586" s="749"/>
      <c r="K586" s="483"/>
      <c r="L586" s="478"/>
      <c r="M586" s="485">
        <f t="shared" si="182"/>
        <v>16</v>
      </c>
      <c r="N586" s="486"/>
      <c r="O586" s="486"/>
    </row>
    <row r="587" spans="1:15" s="487" customFormat="1" ht="18" customHeight="1">
      <c r="A587" s="478"/>
      <c r="B587" s="726" t="s">
        <v>349</v>
      </c>
      <c r="C587" s="479"/>
      <c r="D587" s="480"/>
      <c r="E587" s="724"/>
      <c r="F587" s="482"/>
      <c r="G587" s="483"/>
      <c r="H587" s="484"/>
      <c r="I587" s="483"/>
      <c r="J587" s="749"/>
      <c r="K587" s="483"/>
      <c r="L587" s="500"/>
      <c r="M587" s="485"/>
      <c r="N587" s="546"/>
      <c r="O587" s="546"/>
    </row>
    <row r="588" spans="1:15" s="487" customFormat="1" ht="18" customHeight="1">
      <c r="A588" s="478"/>
      <c r="B588" s="336" t="s">
        <v>264</v>
      </c>
      <c r="C588" s="479">
        <f>C217*2</f>
        <v>2</v>
      </c>
      <c r="D588" s="480" t="s">
        <v>87</v>
      </c>
      <c r="E588" s="481">
        <f>E217</f>
        <v>1</v>
      </c>
      <c r="F588" s="482">
        <f>F217</f>
        <v>16</v>
      </c>
      <c r="G588" s="483">
        <f>G217</f>
        <v>0</v>
      </c>
      <c r="H588" s="484"/>
      <c r="I588" s="483"/>
      <c r="J588" s="749">
        <v>1</v>
      </c>
      <c r="K588" s="483">
        <v>4</v>
      </c>
      <c r="L588" s="478"/>
      <c r="M588" s="485">
        <f t="shared" ref="M588:M591" si="183">IF(C588=0,1,C588)*IF(E588=0,1,E588)*IF((F588+G588/12)=0,1,(F588+G588/12))*IF((H588+I588/12)=0,1,(H588+I588/12))*IF((J588+K588/12)=0,1,(J588+K588/12))</f>
        <v>42.666666666666664</v>
      </c>
      <c r="N588" s="486"/>
      <c r="O588" s="486"/>
    </row>
    <row r="589" spans="1:15" s="487" customFormat="1" ht="18" customHeight="1">
      <c r="A589" s="478"/>
      <c r="B589" s="889"/>
      <c r="C589" s="479">
        <f>C217</f>
        <v>1</v>
      </c>
      <c r="D589" s="480" t="s">
        <v>87</v>
      </c>
      <c r="E589" s="481">
        <f>E217</f>
        <v>1</v>
      </c>
      <c r="F589" s="482">
        <f>F217</f>
        <v>16</v>
      </c>
      <c r="G589" s="483">
        <f>G217</f>
        <v>0</v>
      </c>
      <c r="H589" s="484">
        <f>H217</f>
        <v>1</v>
      </c>
      <c r="I589" s="483">
        <f>I217</f>
        <v>0</v>
      </c>
      <c r="J589" s="749"/>
      <c r="K589" s="483"/>
      <c r="L589" s="478"/>
      <c r="M589" s="485">
        <f t="shared" si="183"/>
        <v>16</v>
      </c>
      <c r="N589" s="486"/>
      <c r="O589" s="486"/>
    </row>
    <row r="590" spans="1:15" s="487" customFormat="1" ht="18" customHeight="1">
      <c r="A590" s="478"/>
      <c r="B590" s="336" t="s">
        <v>265</v>
      </c>
      <c r="C590" s="479">
        <f>C218*2</f>
        <v>2</v>
      </c>
      <c r="D590" s="480" t="s">
        <v>87</v>
      </c>
      <c r="E590" s="481">
        <f>E218</f>
        <v>1</v>
      </c>
      <c r="F590" s="482">
        <f>F218</f>
        <v>14</v>
      </c>
      <c r="G590" s="483">
        <f>G218</f>
        <v>6</v>
      </c>
      <c r="H590" s="484"/>
      <c r="I590" s="483"/>
      <c r="J590" s="749">
        <f>J588</f>
        <v>1</v>
      </c>
      <c r="K590" s="483">
        <f>K588</f>
        <v>4</v>
      </c>
      <c r="L590" s="478"/>
      <c r="M590" s="485">
        <f t="shared" si="183"/>
        <v>38.666666666666664</v>
      </c>
      <c r="N590" s="486"/>
      <c r="O590" s="486"/>
    </row>
    <row r="591" spans="1:15" s="487" customFormat="1" ht="18" customHeight="1">
      <c r="A591" s="478"/>
      <c r="B591" s="889"/>
      <c r="C591" s="479">
        <f>C218</f>
        <v>1</v>
      </c>
      <c r="D591" s="480" t="s">
        <v>87</v>
      </c>
      <c r="E591" s="481">
        <f>E218</f>
        <v>1</v>
      </c>
      <c r="F591" s="482">
        <f>F218</f>
        <v>14</v>
      </c>
      <c r="G591" s="483">
        <f>G218</f>
        <v>6</v>
      </c>
      <c r="H591" s="484">
        <f>H218</f>
        <v>1</v>
      </c>
      <c r="I591" s="483">
        <f>I218</f>
        <v>0</v>
      </c>
      <c r="J591" s="749"/>
      <c r="K591" s="483"/>
      <c r="L591" s="478"/>
      <c r="M591" s="485">
        <f t="shared" si="183"/>
        <v>14.5</v>
      </c>
      <c r="N591" s="486"/>
      <c r="O591" s="486"/>
    </row>
    <row r="592" spans="1:15" s="487" customFormat="1" ht="18" customHeight="1">
      <c r="A592" s="478"/>
      <c r="B592" s="726" t="s">
        <v>350</v>
      </c>
      <c r="C592" s="479"/>
      <c r="D592" s="480"/>
      <c r="E592" s="481"/>
      <c r="F592" s="482"/>
      <c r="G592" s="483"/>
      <c r="H592" s="484"/>
      <c r="I592" s="483"/>
      <c r="J592" s="749"/>
      <c r="K592" s="483"/>
      <c r="L592" s="478"/>
      <c r="M592" s="485"/>
      <c r="N592" s="486"/>
      <c r="O592" s="486"/>
    </row>
    <row r="593" spans="1:16" s="487" customFormat="1" ht="18" customHeight="1">
      <c r="A593" s="478"/>
      <c r="B593" s="336" t="s">
        <v>264</v>
      </c>
      <c r="C593" s="479">
        <f>C221*2</f>
        <v>2</v>
      </c>
      <c r="D593" s="480" t="s">
        <v>87</v>
      </c>
      <c r="E593" s="481">
        <f>E221</f>
        <v>1</v>
      </c>
      <c r="F593" s="482">
        <f>F221</f>
        <v>16</v>
      </c>
      <c r="G593" s="483">
        <f>G221</f>
        <v>0</v>
      </c>
      <c r="H593" s="484"/>
      <c r="I593" s="483"/>
      <c r="J593" s="749">
        <f>J221</f>
        <v>1</v>
      </c>
      <c r="K593" s="483">
        <v>6</v>
      </c>
      <c r="L593" s="478"/>
      <c r="M593" s="485">
        <f t="shared" ref="M593:M600" si="184">IF(C593=0,1,C593)*IF(E593=0,1,E593)*IF((F593+G593/12)=0,1,(F593+G593/12))*IF((H593+I593/12)=0,1,(H593+I593/12))*IF((J593+K593/12)=0,1,(J593+K593/12))</f>
        <v>48</v>
      </c>
      <c r="N593" s="486" t="s">
        <v>165</v>
      </c>
      <c r="O593" s="486"/>
    </row>
    <row r="594" spans="1:16" s="487" customFormat="1" ht="18" customHeight="1">
      <c r="A594" s="478"/>
      <c r="B594" s="889"/>
      <c r="C594" s="479">
        <f>C221</f>
        <v>1</v>
      </c>
      <c r="D594" s="480" t="s">
        <v>87</v>
      </c>
      <c r="E594" s="481">
        <f>E221</f>
        <v>1</v>
      </c>
      <c r="F594" s="482">
        <f>F221</f>
        <v>16</v>
      </c>
      <c r="G594" s="483">
        <f>G221</f>
        <v>0</v>
      </c>
      <c r="H594" s="484">
        <f>H221</f>
        <v>1</v>
      </c>
      <c r="I594" s="483">
        <f>I221</f>
        <v>0</v>
      </c>
      <c r="J594" s="749"/>
      <c r="K594" s="483"/>
      <c r="L594" s="478"/>
      <c r="M594" s="485">
        <f t="shared" si="184"/>
        <v>16</v>
      </c>
      <c r="N594" s="486"/>
      <c r="O594" s="486"/>
    </row>
    <row r="595" spans="1:16" s="487" customFormat="1" ht="18" customHeight="1">
      <c r="A595" s="478"/>
      <c r="B595" s="336" t="s">
        <v>265</v>
      </c>
      <c r="C595" s="479">
        <f>C222*2</f>
        <v>2</v>
      </c>
      <c r="D595" s="480" t="s">
        <v>87</v>
      </c>
      <c r="E595" s="481">
        <f>E222</f>
        <v>1</v>
      </c>
      <c r="F595" s="482">
        <f>F222</f>
        <v>14</v>
      </c>
      <c r="G595" s="483">
        <f>G222</f>
        <v>6</v>
      </c>
      <c r="H595" s="484"/>
      <c r="I595" s="483"/>
      <c r="J595" s="749">
        <f>J593</f>
        <v>1</v>
      </c>
      <c r="K595" s="483">
        <f>K593</f>
        <v>6</v>
      </c>
      <c r="L595" s="478"/>
      <c r="M595" s="485">
        <f t="shared" si="184"/>
        <v>43.5</v>
      </c>
      <c r="N595" s="486"/>
      <c r="O595" s="486"/>
    </row>
    <row r="596" spans="1:16" s="487" customFormat="1" ht="18" customHeight="1">
      <c r="A596" s="478"/>
      <c r="B596" s="889"/>
      <c r="C596" s="479">
        <f>C222</f>
        <v>1</v>
      </c>
      <c r="D596" s="480" t="s">
        <v>87</v>
      </c>
      <c r="E596" s="481">
        <f>E222</f>
        <v>1</v>
      </c>
      <c r="F596" s="482">
        <f>F222</f>
        <v>14</v>
      </c>
      <c r="G596" s="483">
        <f>G222</f>
        <v>6</v>
      </c>
      <c r="H596" s="484">
        <f>H222</f>
        <v>1</v>
      </c>
      <c r="I596" s="483">
        <f>I222</f>
        <v>0</v>
      </c>
      <c r="J596" s="749"/>
      <c r="K596" s="483"/>
      <c r="L596" s="478"/>
      <c r="M596" s="485">
        <f t="shared" si="184"/>
        <v>14.5</v>
      </c>
      <c r="N596" s="486"/>
      <c r="O596" s="486"/>
    </row>
    <row r="597" spans="1:16" s="487" customFormat="1" ht="18" customHeight="1">
      <c r="A597" s="478"/>
      <c r="B597" s="336" t="s">
        <v>519</v>
      </c>
      <c r="C597" s="479">
        <f>C223*2</f>
        <v>2</v>
      </c>
      <c r="D597" s="480" t="s">
        <v>87</v>
      </c>
      <c r="E597" s="481">
        <f>E223</f>
        <v>1</v>
      </c>
      <c r="F597" s="482">
        <f>F223</f>
        <v>14</v>
      </c>
      <c r="G597" s="483">
        <f>G223</f>
        <v>1</v>
      </c>
      <c r="H597" s="484"/>
      <c r="I597" s="483"/>
      <c r="J597" s="749">
        <f>J595</f>
        <v>1</v>
      </c>
      <c r="K597" s="483">
        <f>K595</f>
        <v>6</v>
      </c>
      <c r="L597" s="478"/>
      <c r="M597" s="485">
        <f t="shared" si="184"/>
        <v>42.25</v>
      </c>
      <c r="N597" s="486"/>
      <c r="O597" s="486"/>
    </row>
    <row r="598" spans="1:16" s="487" customFormat="1" ht="18" customHeight="1">
      <c r="A598" s="478"/>
      <c r="B598" s="889"/>
      <c r="C598" s="479">
        <f>C224</f>
        <v>1</v>
      </c>
      <c r="D598" s="480" t="s">
        <v>87</v>
      </c>
      <c r="E598" s="481">
        <f>E224</f>
        <v>1</v>
      </c>
      <c r="F598" s="482">
        <f>F597</f>
        <v>14</v>
      </c>
      <c r="G598" s="483">
        <f>G597</f>
        <v>1</v>
      </c>
      <c r="H598" s="484">
        <f>H224</f>
        <v>1</v>
      </c>
      <c r="I598" s="483">
        <f>I224</f>
        <v>0</v>
      </c>
      <c r="J598" s="749"/>
      <c r="K598" s="483"/>
      <c r="L598" s="478"/>
      <c r="M598" s="485">
        <f t="shared" si="184"/>
        <v>14.083333333333334</v>
      </c>
      <c r="N598" s="486"/>
      <c r="O598" s="486"/>
    </row>
    <row r="599" spans="1:16" s="487" customFormat="1" ht="18" customHeight="1">
      <c r="A599" s="478"/>
      <c r="B599" s="336" t="s">
        <v>352</v>
      </c>
      <c r="C599" s="479">
        <f>C224*2</f>
        <v>2</v>
      </c>
      <c r="D599" s="480" t="s">
        <v>87</v>
      </c>
      <c r="E599" s="481">
        <f>E224</f>
        <v>1</v>
      </c>
      <c r="F599" s="482">
        <f>F224</f>
        <v>8</v>
      </c>
      <c r="G599" s="483">
        <f>G224</f>
        <v>0</v>
      </c>
      <c r="H599" s="484"/>
      <c r="I599" s="483"/>
      <c r="J599" s="749">
        <f>J595</f>
        <v>1</v>
      </c>
      <c r="K599" s="483">
        <f>K595</f>
        <v>6</v>
      </c>
      <c r="L599" s="478"/>
      <c r="M599" s="485">
        <f t="shared" si="184"/>
        <v>24</v>
      </c>
      <c r="N599" s="486"/>
      <c r="O599" s="486"/>
    </row>
    <row r="600" spans="1:16" s="487" customFormat="1" ht="18" customHeight="1">
      <c r="A600" s="478"/>
      <c r="B600" s="889"/>
      <c r="C600" s="479">
        <f>C224</f>
        <v>1</v>
      </c>
      <c r="D600" s="480" t="s">
        <v>87</v>
      </c>
      <c r="E600" s="481">
        <f>E224</f>
        <v>1</v>
      </c>
      <c r="F600" s="482">
        <f>F224</f>
        <v>8</v>
      </c>
      <c r="G600" s="483">
        <f>G224</f>
        <v>0</v>
      </c>
      <c r="H600" s="484">
        <f>H224</f>
        <v>1</v>
      </c>
      <c r="I600" s="483">
        <f>I224</f>
        <v>0</v>
      </c>
      <c r="J600" s="749"/>
      <c r="K600" s="483"/>
      <c r="L600" s="478"/>
      <c r="M600" s="485">
        <f t="shared" si="184"/>
        <v>8</v>
      </c>
      <c r="N600" s="890"/>
      <c r="O600" s="890"/>
    </row>
    <row r="601" spans="1:16" s="487" customFormat="1" ht="18" customHeight="1">
      <c r="A601" s="726"/>
      <c r="B601" s="723" t="s">
        <v>663</v>
      </c>
      <c r="C601" s="479"/>
      <c r="D601" s="480"/>
      <c r="E601" s="481"/>
      <c r="F601" s="482"/>
      <c r="G601" s="483"/>
      <c r="H601" s="484"/>
      <c r="I601" s="483"/>
      <c r="J601" s="749"/>
      <c r="K601" s="483"/>
      <c r="L601" s="726"/>
      <c r="M601" s="485"/>
      <c r="N601" s="858">
        <f>SUM(M567:M601)</f>
        <v>744.59722222222229</v>
      </c>
      <c r="O601" s="868" t="s">
        <v>19</v>
      </c>
    </row>
    <row r="602" spans="1:16" s="487" customFormat="1" ht="18" customHeight="1">
      <c r="A602" s="726"/>
      <c r="B602" s="726" t="s">
        <v>664</v>
      </c>
      <c r="C602" s="479"/>
      <c r="D602" s="480"/>
      <c r="E602" s="481"/>
      <c r="F602" s="482"/>
      <c r="G602" s="483"/>
      <c r="H602" s="484"/>
      <c r="I602" s="483"/>
      <c r="J602" s="749"/>
      <c r="K602" s="483"/>
      <c r="L602" s="726"/>
      <c r="M602" s="485"/>
      <c r="N602" s="733"/>
      <c r="O602" s="733"/>
    </row>
    <row r="603" spans="1:16" s="487" customFormat="1" ht="18" customHeight="1">
      <c r="A603" s="726"/>
      <c r="B603" s="336" t="s">
        <v>636</v>
      </c>
      <c r="C603" s="479">
        <f>C232</f>
        <v>1</v>
      </c>
      <c r="D603" s="480" t="s">
        <v>87</v>
      </c>
      <c r="E603" s="481">
        <f>E232</f>
        <v>1</v>
      </c>
      <c r="F603" s="482">
        <f>F232</f>
        <v>4</v>
      </c>
      <c r="G603" s="483">
        <f>G232</f>
        <v>8</v>
      </c>
      <c r="H603" s="482">
        <f>H232</f>
        <v>9</v>
      </c>
      <c r="I603" s="483">
        <f>I232</f>
        <v>0</v>
      </c>
      <c r="J603" s="749"/>
      <c r="K603" s="483"/>
      <c r="L603" s="726"/>
      <c r="M603" s="485">
        <f>IF(C603=0,1,C603)*IF(E603=0,1,E603)*IF((F603+G603/12)=0,1,(F603+G603/12))*IF((H603+I603/12)=0,1,(H603+I603/12))*IF((J603+K603/12)=0,1,(J603+K603/12))</f>
        <v>42</v>
      </c>
      <c r="N603" s="726"/>
      <c r="O603" s="726"/>
    </row>
    <row r="604" spans="1:16" s="487" customFormat="1" ht="18" customHeight="1">
      <c r="A604" s="726"/>
      <c r="B604" s="336"/>
      <c r="C604" s="479">
        <f>C603</f>
        <v>1</v>
      </c>
      <c r="D604" s="480" t="s">
        <v>87</v>
      </c>
      <c r="E604" s="481">
        <f>E603</f>
        <v>1</v>
      </c>
      <c r="F604" s="482">
        <v>27</v>
      </c>
      <c r="G604" s="483">
        <v>4</v>
      </c>
      <c r="H604" s="484"/>
      <c r="I604" s="483"/>
      <c r="J604" s="749">
        <v>0</v>
      </c>
      <c r="K604" s="483">
        <v>4</v>
      </c>
      <c r="L604" s="726"/>
      <c r="M604" s="485">
        <f>IF(C604=0,1,C604)*IF(E604=0,1,E604)*IF((F604+G604/12)=0,1,(F604+G604/12))*IF((H604+I604/12)=0,1,(H604+I604/12))*IF((J604+K604/12)=0,1,(J604+K604/12))</f>
        <v>9.1111111111111107</v>
      </c>
      <c r="N604" s="500"/>
      <c r="O604" s="500"/>
      <c r="P604" s="487">
        <f>(F603+G603/12)*2+(H603+I603/12)*2</f>
        <v>27.333333333333336</v>
      </c>
    </row>
    <row r="605" spans="1:16" s="487" customFormat="1" ht="18" customHeight="1">
      <c r="A605" s="726"/>
      <c r="B605" s="723" t="s">
        <v>665</v>
      </c>
      <c r="C605" s="479"/>
      <c r="D605" s="480"/>
      <c r="E605" s="481"/>
      <c r="F605" s="482"/>
      <c r="G605" s="483"/>
      <c r="H605" s="484"/>
      <c r="I605" s="483"/>
      <c r="J605" s="749"/>
      <c r="K605" s="483"/>
      <c r="L605" s="726"/>
      <c r="M605" s="485"/>
      <c r="N605" s="858">
        <f>SUM(M602:M605)</f>
        <v>51.111111111111114</v>
      </c>
      <c r="O605" s="885" t="s">
        <v>19</v>
      </c>
    </row>
    <row r="606" spans="1:16" s="487" customFormat="1" ht="18" customHeight="1">
      <c r="A606" s="726"/>
      <c r="B606" s="726" t="s">
        <v>356</v>
      </c>
      <c r="C606" s="479"/>
      <c r="D606" s="480"/>
      <c r="E606" s="481"/>
      <c r="F606" s="482"/>
      <c r="G606" s="483"/>
      <c r="H606" s="484"/>
      <c r="I606" s="483"/>
      <c r="J606" s="749"/>
      <c r="K606" s="483"/>
      <c r="L606" s="726"/>
      <c r="M606" s="485"/>
      <c r="N606" s="733"/>
      <c r="O606" s="733"/>
    </row>
    <row r="607" spans="1:16" s="487" customFormat="1" ht="18" customHeight="1">
      <c r="A607" s="726"/>
      <c r="B607" s="336" t="s">
        <v>357</v>
      </c>
      <c r="C607" s="479">
        <f t="shared" ref="C607:C612" si="185">C236</f>
        <v>1</v>
      </c>
      <c r="D607" s="480" t="s">
        <v>87</v>
      </c>
      <c r="E607" s="481">
        <f t="shared" ref="E607:I612" si="186">E236</f>
        <v>2</v>
      </c>
      <c r="F607" s="482">
        <f t="shared" si="186"/>
        <v>5</v>
      </c>
      <c r="G607" s="483">
        <f t="shared" si="186"/>
        <v>4</v>
      </c>
      <c r="H607" s="484">
        <f t="shared" si="186"/>
        <v>13</v>
      </c>
      <c r="I607" s="483">
        <f t="shared" si="186"/>
        <v>3</v>
      </c>
      <c r="J607" s="749"/>
      <c r="K607" s="483"/>
      <c r="L607" s="726"/>
      <c r="M607" s="485">
        <f t="shared" ref="M607:M612" si="187">IF(C607=0,1,C607)*IF(E607=0,1,E607)*IF((F607+G607/12)=0,1,(F607+G607/12))*IF((H607+I607/12)=0,1,(H607+I607/12))*IF((J607+K607/12)=0,1,(J607+K607/12))</f>
        <v>141.33333333333331</v>
      </c>
      <c r="N607" s="726"/>
      <c r="O607" s="726"/>
    </row>
    <row r="608" spans="1:16" s="487" customFormat="1" ht="18" customHeight="1">
      <c r="A608" s="726"/>
      <c r="B608" s="336" t="s">
        <v>358</v>
      </c>
      <c r="C608" s="479">
        <f t="shared" si="185"/>
        <v>1</v>
      </c>
      <c r="D608" s="480" t="s">
        <v>87</v>
      </c>
      <c r="E608" s="481">
        <f t="shared" si="186"/>
        <v>1</v>
      </c>
      <c r="F608" s="482">
        <f t="shared" si="186"/>
        <v>4</v>
      </c>
      <c r="G608" s="483">
        <f t="shared" si="186"/>
        <v>10</v>
      </c>
      <c r="H608" s="484">
        <f t="shared" si="186"/>
        <v>13</v>
      </c>
      <c r="I608" s="483">
        <f t="shared" si="186"/>
        <v>3</v>
      </c>
      <c r="J608" s="749"/>
      <c r="K608" s="483"/>
      <c r="L608" s="726"/>
      <c r="M608" s="485">
        <f t="shared" si="187"/>
        <v>64.041666666666657</v>
      </c>
      <c r="N608" s="726"/>
      <c r="O608" s="726"/>
    </row>
    <row r="609" spans="1:16" s="487" customFormat="1" ht="18" customHeight="1">
      <c r="A609" s="726"/>
      <c r="B609" s="336" t="s">
        <v>359</v>
      </c>
      <c r="C609" s="479">
        <f t="shared" si="185"/>
        <v>1</v>
      </c>
      <c r="D609" s="480" t="s">
        <v>87</v>
      </c>
      <c r="E609" s="481">
        <f t="shared" si="186"/>
        <v>1</v>
      </c>
      <c r="F609" s="482">
        <f t="shared" si="186"/>
        <v>8</v>
      </c>
      <c r="G609" s="483">
        <f t="shared" si="186"/>
        <v>5</v>
      </c>
      <c r="H609" s="484">
        <f t="shared" si="186"/>
        <v>14</v>
      </c>
      <c r="I609" s="483">
        <f t="shared" si="186"/>
        <v>1</v>
      </c>
      <c r="J609" s="749"/>
      <c r="K609" s="483"/>
      <c r="L609" s="726"/>
      <c r="M609" s="485">
        <f t="shared" si="187"/>
        <v>118.53472222222221</v>
      </c>
      <c r="N609" s="726"/>
      <c r="O609" s="726"/>
    </row>
    <row r="610" spans="1:16" s="487" customFormat="1" ht="18" customHeight="1">
      <c r="A610" s="726"/>
      <c r="B610" s="336" t="s">
        <v>360</v>
      </c>
      <c r="C610" s="479">
        <f t="shared" si="185"/>
        <v>1</v>
      </c>
      <c r="D610" s="480" t="s">
        <v>87</v>
      </c>
      <c r="E610" s="481">
        <f t="shared" si="186"/>
        <v>1</v>
      </c>
      <c r="F610" s="482">
        <f t="shared" si="186"/>
        <v>14</v>
      </c>
      <c r="G610" s="483">
        <f t="shared" si="186"/>
        <v>6</v>
      </c>
      <c r="H610" s="484">
        <f t="shared" si="186"/>
        <v>9</v>
      </c>
      <c r="I610" s="483">
        <f t="shared" si="186"/>
        <v>0</v>
      </c>
      <c r="J610" s="749"/>
      <c r="K610" s="483"/>
      <c r="L610" s="726"/>
      <c r="M610" s="485">
        <f t="shared" si="187"/>
        <v>130.5</v>
      </c>
      <c r="N610" s="726"/>
      <c r="O610" s="726"/>
    </row>
    <row r="611" spans="1:16" s="487" customFormat="1" ht="18" customHeight="1">
      <c r="A611" s="726"/>
      <c r="B611" s="336" t="s">
        <v>361</v>
      </c>
      <c r="C611" s="479">
        <f t="shared" si="185"/>
        <v>1</v>
      </c>
      <c r="D611" s="480" t="s">
        <v>87</v>
      </c>
      <c r="E611" s="481">
        <f t="shared" si="186"/>
        <v>1</v>
      </c>
      <c r="F611" s="482">
        <f t="shared" si="186"/>
        <v>16</v>
      </c>
      <c r="G611" s="483">
        <f t="shared" si="186"/>
        <v>0</v>
      </c>
      <c r="H611" s="484">
        <f t="shared" si="186"/>
        <v>10</v>
      </c>
      <c r="I611" s="483">
        <f t="shared" si="186"/>
        <v>8</v>
      </c>
      <c r="J611" s="749"/>
      <c r="K611" s="483"/>
      <c r="L611" s="726"/>
      <c r="M611" s="485">
        <f t="shared" si="187"/>
        <v>170.66666666666666</v>
      </c>
      <c r="N611" s="726"/>
      <c r="O611" s="726"/>
    </row>
    <row r="612" spans="1:16" s="487" customFormat="1" ht="18" customHeight="1">
      <c r="A612" s="726"/>
      <c r="B612" s="336" t="s">
        <v>362</v>
      </c>
      <c r="C612" s="479">
        <f t="shared" si="185"/>
        <v>1</v>
      </c>
      <c r="D612" s="480" t="s">
        <v>87</v>
      </c>
      <c r="E612" s="481">
        <f t="shared" si="186"/>
        <v>1</v>
      </c>
      <c r="F612" s="482">
        <f t="shared" si="186"/>
        <v>14</v>
      </c>
      <c r="G612" s="483">
        <f t="shared" si="186"/>
        <v>6</v>
      </c>
      <c r="H612" s="484">
        <f t="shared" si="186"/>
        <v>10</v>
      </c>
      <c r="I612" s="483">
        <f t="shared" si="186"/>
        <v>8</v>
      </c>
      <c r="J612" s="749"/>
      <c r="K612" s="483"/>
      <c r="L612" s="726"/>
      <c r="M612" s="485">
        <f t="shared" si="187"/>
        <v>154.66666666666666</v>
      </c>
      <c r="N612" s="726"/>
      <c r="O612" s="726"/>
    </row>
    <row r="613" spans="1:16" s="487" customFormat="1" ht="18" customHeight="1">
      <c r="A613" s="726"/>
      <c r="B613" s="336" t="s">
        <v>666</v>
      </c>
      <c r="C613" s="479">
        <v>1</v>
      </c>
      <c r="D613" s="480" t="s">
        <v>87</v>
      </c>
      <c r="E613" s="481">
        <v>1</v>
      </c>
      <c r="F613" s="482">
        <v>141</v>
      </c>
      <c r="G613" s="483">
        <f>G242</f>
        <v>0</v>
      </c>
      <c r="H613" s="484"/>
      <c r="I613" s="483"/>
      <c r="J613" s="749">
        <v>0</v>
      </c>
      <c r="K613" s="483">
        <v>4</v>
      </c>
      <c r="L613" s="726"/>
      <c r="M613" s="485">
        <f t="shared" ref="M613" si="188">IF(C613=0,1,C613)*IF(E613=0,1,E613)*IF((F613+G613/12)=0,1,(F613+G613/12))*IF((H613+I613/12)=0,1,(H613+I613/12))*IF((J613+K613/12)=0,1,(J613+K613/12))</f>
        <v>47</v>
      </c>
      <c r="N613" s="726"/>
      <c r="O613" s="726"/>
      <c r="P613" s="487">
        <f>34*2+36.5*2</f>
        <v>141</v>
      </c>
    </row>
    <row r="614" spans="1:16" s="487" customFormat="1" ht="18" customHeight="1">
      <c r="A614" s="726"/>
      <c r="B614" s="336"/>
      <c r="C614" s="479"/>
      <c r="D614" s="480"/>
      <c r="E614" s="481"/>
      <c r="F614" s="482"/>
      <c r="G614" s="483"/>
      <c r="H614" s="484"/>
      <c r="I614" s="483"/>
      <c r="J614" s="749"/>
      <c r="K614" s="483"/>
      <c r="L614" s="726"/>
      <c r="M614" s="485"/>
      <c r="N614" s="726"/>
      <c r="O614" s="726"/>
    </row>
    <row r="615" spans="1:16" s="487" customFormat="1" ht="18" customHeight="1">
      <c r="A615" s="726"/>
      <c r="B615" s="726" t="s">
        <v>363</v>
      </c>
      <c r="C615" s="479"/>
      <c r="D615" s="480"/>
      <c r="E615" s="481"/>
      <c r="F615" s="482"/>
      <c r="G615" s="483"/>
      <c r="H615" s="484"/>
      <c r="I615" s="483"/>
      <c r="J615" s="749"/>
      <c r="K615" s="483"/>
      <c r="L615" s="726"/>
      <c r="M615" s="485"/>
      <c r="N615" s="726"/>
      <c r="O615" s="726"/>
    </row>
    <row r="616" spans="1:16" s="487" customFormat="1" ht="18" customHeight="1">
      <c r="A616" s="726"/>
      <c r="B616" s="336" t="s">
        <v>364</v>
      </c>
      <c r="C616" s="479">
        <f>C244</f>
        <v>1</v>
      </c>
      <c r="D616" s="480" t="s">
        <v>87</v>
      </c>
      <c r="E616" s="481">
        <f t="shared" ref="E616:I619" si="189">E244</f>
        <v>1</v>
      </c>
      <c r="F616" s="482">
        <f t="shared" si="189"/>
        <v>4</v>
      </c>
      <c r="G616" s="483">
        <f t="shared" si="189"/>
        <v>2</v>
      </c>
      <c r="H616" s="484">
        <f t="shared" si="189"/>
        <v>14</v>
      </c>
      <c r="I616" s="483">
        <f t="shared" si="189"/>
        <v>1</v>
      </c>
      <c r="J616" s="749"/>
      <c r="K616" s="483"/>
      <c r="L616" s="726"/>
      <c r="M616" s="485">
        <f t="shared" ref="M616:M620" si="190">IF(C616=0,1,C616)*IF(E616=0,1,E616)*IF((F616+G616/12)=0,1,(F616+G616/12))*IF((H616+I616/12)=0,1,(H616+I616/12))*IF((J616+K616/12)=0,1,(J616+K616/12))</f>
        <v>58.680555555555564</v>
      </c>
      <c r="N616" s="726"/>
      <c r="O616" s="726"/>
    </row>
    <row r="617" spans="1:16" s="487" customFormat="1" ht="18" customHeight="1">
      <c r="A617" s="726"/>
      <c r="B617" s="336" t="s">
        <v>637</v>
      </c>
      <c r="C617" s="479">
        <f>C245</f>
        <v>1</v>
      </c>
      <c r="D617" s="480" t="s">
        <v>87</v>
      </c>
      <c r="E617" s="481">
        <f t="shared" si="189"/>
        <v>1</v>
      </c>
      <c r="F617" s="482">
        <f t="shared" si="189"/>
        <v>4</v>
      </c>
      <c r="G617" s="483">
        <f t="shared" si="189"/>
        <v>8</v>
      </c>
      <c r="H617" s="484">
        <f t="shared" si="189"/>
        <v>9</v>
      </c>
      <c r="I617" s="483">
        <f t="shared" si="189"/>
        <v>0</v>
      </c>
      <c r="J617" s="749"/>
      <c r="K617" s="483"/>
      <c r="L617" s="726"/>
      <c r="M617" s="485">
        <f t="shared" si="190"/>
        <v>42</v>
      </c>
      <c r="N617" s="726"/>
      <c r="O617" s="726"/>
    </row>
    <row r="618" spans="1:16" s="487" customFormat="1" ht="18" customHeight="1">
      <c r="A618" s="726"/>
      <c r="B618" s="336" t="s">
        <v>366</v>
      </c>
      <c r="C618" s="479">
        <f>C246</f>
        <v>1</v>
      </c>
      <c r="D618" s="480" t="s">
        <v>87</v>
      </c>
      <c r="E618" s="481">
        <f t="shared" si="189"/>
        <v>1</v>
      </c>
      <c r="F618" s="482">
        <f t="shared" si="189"/>
        <v>16</v>
      </c>
      <c r="G618" s="483">
        <f t="shared" si="189"/>
        <v>2</v>
      </c>
      <c r="H618" s="484">
        <f t="shared" si="189"/>
        <v>3</v>
      </c>
      <c r="I618" s="483">
        <f t="shared" si="189"/>
        <v>2</v>
      </c>
      <c r="J618" s="749"/>
      <c r="K618" s="483"/>
      <c r="L618" s="726"/>
      <c r="M618" s="485">
        <f t="shared" si="190"/>
        <v>51.194444444444443</v>
      </c>
      <c r="N618" s="726"/>
      <c r="O618" s="726"/>
    </row>
    <row r="619" spans="1:16" s="487" customFormat="1" ht="18" customHeight="1">
      <c r="A619" s="478"/>
      <c r="B619" s="336" t="s">
        <v>367</v>
      </c>
      <c r="C619" s="479">
        <f>C247</f>
        <v>1</v>
      </c>
      <c r="D619" s="480" t="s">
        <v>87</v>
      </c>
      <c r="E619" s="481">
        <f t="shared" si="189"/>
        <v>1</v>
      </c>
      <c r="F619" s="482">
        <f t="shared" si="189"/>
        <v>14</v>
      </c>
      <c r="G619" s="483">
        <f t="shared" si="189"/>
        <v>8</v>
      </c>
      <c r="H619" s="484">
        <f t="shared" si="189"/>
        <v>3</v>
      </c>
      <c r="I619" s="483">
        <f t="shared" si="189"/>
        <v>2</v>
      </c>
      <c r="J619" s="749"/>
      <c r="K619" s="483"/>
      <c r="L619" s="726"/>
      <c r="M619" s="485">
        <f t="shared" si="190"/>
        <v>46.444444444444443</v>
      </c>
      <c r="N619" s="726"/>
      <c r="O619" s="726"/>
    </row>
    <row r="620" spans="1:16" s="487" customFormat="1" ht="18" customHeight="1">
      <c r="A620" s="726"/>
      <c r="B620" s="336" t="s">
        <v>666</v>
      </c>
      <c r="C620" s="479">
        <v>1</v>
      </c>
      <c r="D620" s="480" t="s">
        <v>87</v>
      </c>
      <c r="E620" s="481">
        <v>1</v>
      </c>
      <c r="F620" s="482">
        <v>76</v>
      </c>
      <c r="G620" s="483">
        <v>0</v>
      </c>
      <c r="H620" s="484"/>
      <c r="I620" s="483"/>
      <c r="J620" s="749">
        <v>0</v>
      </c>
      <c r="K620" s="483">
        <v>6</v>
      </c>
      <c r="L620" s="726"/>
      <c r="M620" s="485">
        <f t="shared" si="190"/>
        <v>38</v>
      </c>
      <c r="N620" s="726"/>
      <c r="O620" s="726"/>
      <c r="P620" s="487">
        <f>34*2+4*2</f>
        <v>76</v>
      </c>
    </row>
    <row r="621" spans="1:16" s="487" customFormat="1" ht="18" customHeight="1">
      <c r="A621" s="726"/>
      <c r="B621" s="336"/>
      <c r="C621" s="479"/>
      <c r="D621" s="480"/>
      <c r="E621" s="481"/>
      <c r="F621" s="482"/>
      <c r="G621" s="483"/>
      <c r="H621" s="484"/>
      <c r="I621" s="483"/>
      <c r="J621" s="749"/>
      <c r="K621" s="483"/>
      <c r="L621" s="726"/>
      <c r="M621" s="485"/>
      <c r="N621" s="867"/>
      <c r="O621" s="867"/>
    </row>
    <row r="622" spans="1:16" s="487" customFormat="1" ht="18" customHeight="1">
      <c r="A622" s="478"/>
      <c r="B622" s="336"/>
      <c r="C622" s="479"/>
      <c r="D622" s="480"/>
      <c r="E622" s="481"/>
      <c r="F622" s="482"/>
      <c r="G622" s="483"/>
      <c r="H622" s="484"/>
      <c r="I622" s="483"/>
      <c r="J622" s="749"/>
      <c r="K622" s="483"/>
      <c r="L622" s="726"/>
      <c r="M622" s="485"/>
      <c r="N622" s="858">
        <f>SUM(M606:M621)</f>
        <v>1063.0624999999998</v>
      </c>
      <c r="O622" s="868" t="s">
        <v>19</v>
      </c>
    </row>
    <row r="623" spans="1:16" s="487" customFormat="1" ht="18" customHeight="1">
      <c r="A623" s="478"/>
      <c r="B623" s="806" t="s">
        <v>668</v>
      </c>
      <c r="C623" s="479"/>
      <c r="D623" s="480"/>
      <c r="E623" s="481"/>
      <c r="F623" s="482"/>
      <c r="G623" s="483"/>
      <c r="H623" s="484"/>
      <c r="I623" s="483"/>
      <c r="J623" s="749"/>
      <c r="K623" s="483"/>
      <c r="L623" s="726"/>
      <c r="M623" s="485"/>
      <c r="N623" s="726"/>
      <c r="O623" s="726"/>
    </row>
    <row r="624" spans="1:16" s="487" customFormat="1" ht="18" customHeight="1">
      <c r="A624" s="478"/>
      <c r="B624" s="726" t="s">
        <v>356</v>
      </c>
      <c r="C624" s="479"/>
      <c r="D624" s="480"/>
      <c r="E624" s="481"/>
      <c r="F624" s="482"/>
      <c r="G624" s="483"/>
      <c r="H624" s="484"/>
      <c r="I624" s="483"/>
      <c r="J624" s="749"/>
      <c r="K624" s="483"/>
      <c r="L624" s="726"/>
      <c r="M624" s="485"/>
      <c r="N624" s="726"/>
      <c r="O624" s="726"/>
    </row>
    <row r="625" spans="1:16" s="487" customFormat="1" ht="18" customHeight="1">
      <c r="A625" s="478"/>
      <c r="B625" s="336" t="s">
        <v>357</v>
      </c>
      <c r="C625" s="479">
        <f t="shared" ref="C625:C630" si="191">C251</f>
        <v>1</v>
      </c>
      <c r="D625" s="480" t="s">
        <v>87</v>
      </c>
      <c r="E625" s="481">
        <f t="shared" ref="E625:I630" si="192">E251</f>
        <v>1</v>
      </c>
      <c r="F625" s="482">
        <f t="shared" si="192"/>
        <v>5</v>
      </c>
      <c r="G625" s="483">
        <f t="shared" si="192"/>
        <v>4</v>
      </c>
      <c r="H625" s="484">
        <f t="shared" si="192"/>
        <v>13</v>
      </c>
      <c r="I625" s="483">
        <f t="shared" si="192"/>
        <v>3</v>
      </c>
      <c r="J625" s="749"/>
      <c r="K625" s="483"/>
      <c r="L625" s="726"/>
      <c r="M625" s="485">
        <f t="shared" ref="M625:M631" si="193">IF(C625=0,1,C625)*IF(E625=0,1,E625)*IF((F625+G625/12)=0,1,(F625+G625/12))*IF((H625+I625/12)=0,1,(H625+I625/12))*IF((J625+K625/12)=0,1,(J625+K625/12))</f>
        <v>70.666666666666657</v>
      </c>
      <c r="N625" s="726"/>
      <c r="O625" s="726"/>
    </row>
    <row r="626" spans="1:16" s="487" customFormat="1" ht="18" customHeight="1">
      <c r="A626" s="478"/>
      <c r="B626" s="336" t="s">
        <v>368</v>
      </c>
      <c r="C626" s="479">
        <f t="shared" si="191"/>
        <v>1</v>
      </c>
      <c r="D626" s="480" t="s">
        <v>87</v>
      </c>
      <c r="E626" s="481">
        <f t="shared" si="192"/>
        <v>1</v>
      </c>
      <c r="F626" s="482">
        <f t="shared" si="192"/>
        <v>9</v>
      </c>
      <c r="G626" s="483">
        <f t="shared" si="192"/>
        <v>10</v>
      </c>
      <c r="H626" s="484">
        <f t="shared" si="192"/>
        <v>14</v>
      </c>
      <c r="I626" s="483">
        <f t="shared" si="192"/>
        <v>1</v>
      </c>
      <c r="J626" s="749"/>
      <c r="K626" s="483"/>
      <c r="L626" s="726"/>
      <c r="M626" s="485">
        <f t="shared" si="193"/>
        <v>138.48611111111111</v>
      </c>
      <c r="N626" s="726"/>
      <c r="O626" s="726"/>
    </row>
    <row r="627" spans="1:16" s="487" customFormat="1" ht="18" customHeight="1">
      <c r="A627" s="478"/>
      <c r="B627" s="336" t="s">
        <v>369</v>
      </c>
      <c r="C627" s="479">
        <f t="shared" si="191"/>
        <v>1</v>
      </c>
      <c r="D627" s="480" t="s">
        <v>87</v>
      </c>
      <c r="E627" s="481">
        <f t="shared" si="192"/>
        <v>1</v>
      </c>
      <c r="F627" s="482">
        <f t="shared" si="192"/>
        <v>14</v>
      </c>
      <c r="G627" s="483">
        <f t="shared" si="192"/>
        <v>6</v>
      </c>
      <c r="H627" s="484">
        <f t="shared" si="192"/>
        <v>8</v>
      </c>
      <c r="I627" s="483">
        <f t="shared" si="192"/>
        <v>11</v>
      </c>
      <c r="J627" s="749"/>
      <c r="K627" s="483"/>
      <c r="L627" s="726"/>
      <c r="M627" s="485">
        <f t="shared" si="193"/>
        <v>129.29166666666666</v>
      </c>
      <c r="N627" s="726"/>
      <c r="O627" s="726"/>
    </row>
    <row r="628" spans="1:16" s="487" customFormat="1" ht="18" customHeight="1">
      <c r="A628" s="478"/>
      <c r="B628" s="336" t="s">
        <v>360</v>
      </c>
      <c r="C628" s="479">
        <f t="shared" si="191"/>
        <v>1</v>
      </c>
      <c r="D628" s="480" t="s">
        <v>87</v>
      </c>
      <c r="E628" s="481">
        <f t="shared" si="192"/>
        <v>1</v>
      </c>
      <c r="F628" s="482">
        <f t="shared" si="192"/>
        <v>14</v>
      </c>
      <c r="G628" s="483">
        <f t="shared" si="192"/>
        <v>6</v>
      </c>
      <c r="H628" s="484">
        <f t="shared" si="192"/>
        <v>9</v>
      </c>
      <c r="I628" s="483">
        <f t="shared" si="192"/>
        <v>0</v>
      </c>
      <c r="J628" s="749"/>
      <c r="K628" s="483"/>
      <c r="L628" s="726"/>
      <c r="M628" s="485">
        <f t="shared" si="193"/>
        <v>130.5</v>
      </c>
      <c r="N628" s="726"/>
      <c r="O628" s="726"/>
    </row>
    <row r="629" spans="1:16" s="487" customFormat="1" ht="18" customHeight="1">
      <c r="A629" s="478"/>
      <c r="B629" s="336" t="s">
        <v>370</v>
      </c>
      <c r="C629" s="479">
        <f t="shared" si="191"/>
        <v>1</v>
      </c>
      <c r="D629" s="480" t="s">
        <v>87</v>
      </c>
      <c r="E629" s="481">
        <f t="shared" si="192"/>
        <v>1</v>
      </c>
      <c r="F629" s="482">
        <f t="shared" si="192"/>
        <v>12</v>
      </c>
      <c r="G629" s="483">
        <f t="shared" si="192"/>
        <v>2</v>
      </c>
      <c r="H629" s="484">
        <f t="shared" si="192"/>
        <v>10</v>
      </c>
      <c r="I629" s="483">
        <f t="shared" si="192"/>
        <v>5</v>
      </c>
      <c r="J629" s="749"/>
      <c r="K629" s="483"/>
      <c r="L629" s="726"/>
      <c r="M629" s="485">
        <f t="shared" si="193"/>
        <v>126.7361111111111</v>
      </c>
      <c r="N629" s="726"/>
      <c r="O629" s="726"/>
    </row>
    <row r="630" spans="1:16" s="487" customFormat="1" ht="18" customHeight="1">
      <c r="A630" s="478"/>
      <c r="B630" s="336" t="s">
        <v>362</v>
      </c>
      <c r="C630" s="479">
        <f t="shared" si="191"/>
        <v>1</v>
      </c>
      <c r="D630" s="480" t="s">
        <v>87</v>
      </c>
      <c r="E630" s="481">
        <f t="shared" si="192"/>
        <v>1</v>
      </c>
      <c r="F630" s="482">
        <f t="shared" si="192"/>
        <v>14</v>
      </c>
      <c r="G630" s="483">
        <f t="shared" si="192"/>
        <v>6</v>
      </c>
      <c r="H630" s="484">
        <f t="shared" si="192"/>
        <v>10</v>
      </c>
      <c r="I630" s="483">
        <f t="shared" si="192"/>
        <v>5</v>
      </c>
      <c r="J630" s="749"/>
      <c r="K630" s="483"/>
      <c r="L630" s="726"/>
      <c r="M630" s="485">
        <f t="shared" si="193"/>
        <v>151.04166666666666</v>
      </c>
      <c r="N630" s="726"/>
      <c r="O630" s="726"/>
    </row>
    <row r="631" spans="1:16" s="487" customFormat="1" ht="18" customHeight="1">
      <c r="A631" s="726"/>
      <c r="B631" s="336" t="s">
        <v>666</v>
      </c>
      <c r="C631" s="479">
        <v>1</v>
      </c>
      <c r="D631" s="480" t="s">
        <v>87</v>
      </c>
      <c r="E631" s="481">
        <v>1</v>
      </c>
      <c r="F631" s="482">
        <v>141</v>
      </c>
      <c r="G631" s="483">
        <v>0</v>
      </c>
      <c r="H631" s="484"/>
      <c r="I631" s="483"/>
      <c r="J631" s="749">
        <v>0</v>
      </c>
      <c r="K631" s="483">
        <v>4</v>
      </c>
      <c r="L631" s="726"/>
      <c r="M631" s="485">
        <f t="shared" si="193"/>
        <v>47</v>
      </c>
      <c r="N631" s="726"/>
      <c r="O631" s="726"/>
      <c r="P631" s="487">
        <f>34*2+36.5*2</f>
        <v>141</v>
      </c>
    </row>
    <row r="632" spans="1:16" s="487" customFormat="1" ht="18" customHeight="1">
      <c r="A632" s="478"/>
      <c r="B632" s="726" t="s">
        <v>363</v>
      </c>
      <c r="C632" s="479"/>
      <c r="D632" s="480"/>
      <c r="E632" s="481"/>
      <c r="F632" s="482"/>
      <c r="G632" s="483"/>
      <c r="H632" s="484"/>
      <c r="I632" s="483"/>
      <c r="J632" s="749"/>
      <c r="K632" s="483"/>
      <c r="L632" s="726"/>
      <c r="M632" s="485"/>
      <c r="N632" s="726"/>
      <c r="O632" s="726"/>
    </row>
    <row r="633" spans="1:16" s="487" customFormat="1" ht="18" customHeight="1">
      <c r="A633" s="478"/>
      <c r="B633" s="336" t="s">
        <v>371</v>
      </c>
      <c r="C633" s="479">
        <f>C259</f>
        <v>1</v>
      </c>
      <c r="D633" s="480" t="s">
        <v>87</v>
      </c>
      <c r="E633" s="481">
        <f t="shared" ref="E633:I636" si="194">E259</f>
        <v>1</v>
      </c>
      <c r="F633" s="482">
        <f t="shared" si="194"/>
        <v>14</v>
      </c>
      <c r="G633" s="483">
        <f t="shared" si="194"/>
        <v>6</v>
      </c>
      <c r="H633" s="484">
        <f t="shared" si="194"/>
        <v>4</v>
      </c>
      <c r="I633" s="483">
        <f t="shared" si="194"/>
        <v>4</v>
      </c>
      <c r="J633" s="749"/>
      <c r="K633" s="483"/>
      <c r="L633" s="726"/>
      <c r="M633" s="485">
        <f t="shared" ref="M633:M637" si="195">IF(C633=0,1,C633)*IF(E633=0,1,E633)*IF((F633+G633/12)=0,1,(F633+G633/12))*IF((H633+I633/12)=0,1,(H633+I633/12))*IF((J633+K633/12)=0,1,(J633+K633/12))</f>
        <v>62.833333333333329</v>
      </c>
      <c r="N633" s="726"/>
      <c r="O633" s="726"/>
    </row>
    <row r="634" spans="1:16" s="487" customFormat="1" ht="18" customHeight="1">
      <c r="A634" s="478"/>
      <c r="B634" s="336" t="s">
        <v>637</v>
      </c>
      <c r="C634" s="479">
        <f>C260</f>
        <v>1</v>
      </c>
      <c r="D634" s="480" t="s">
        <v>87</v>
      </c>
      <c r="E634" s="481">
        <f t="shared" si="194"/>
        <v>1</v>
      </c>
      <c r="F634" s="482">
        <f t="shared" si="194"/>
        <v>4</v>
      </c>
      <c r="G634" s="483">
        <f t="shared" si="194"/>
        <v>7</v>
      </c>
      <c r="H634" s="484">
        <f t="shared" si="194"/>
        <v>9</v>
      </c>
      <c r="I634" s="483">
        <f t="shared" si="194"/>
        <v>0</v>
      </c>
      <c r="J634" s="749"/>
      <c r="K634" s="483"/>
      <c r="L634" s="726"/>
      <c r="M634" s="485">
        <f t="shared" si="195"/>
        <v>41.25</v>
      </c>
      <c r="N634" s="726"/>
      <c r="O634" s="726"/>
    </row>
    <row r="635" spans="1:16" s="487" customFormat="1" ht="18" customHeight="1">
      <c r="A635" s="478"/>
      <c r="B635" s="336" t="s">
        <v>372</v>
      </c>
      <c r="C635" s="479">
        <f>C261</f>
        <v>1</v>
      </c>
      <c r="D635" s="480" t="s">
        <v>87</v>
      </c>
      <c r="E635" s="481">
        <f t="shared" si="194"/>
        <v>1</v>
      </c>
      <c r="F635" s="482">
        <f t="shared" si="194"/>
        <v>12</v>
      </c>
      <c r="G635" s="483">
        <f t="shared" si="194"/>
        <v>3</v>
      </c>
      <c r="H635" s="484">
        <f t="shared" si="194"/>
        <v>3</v>
      </c>
      <c r="I635" s="483">
        <f t="shared" si="194"/>
        <v>2</v>
      </c>
      <c r="J635" s="749"/>
      <c r="K635" s="483"/>
      <c r="L635" s="726"/>
      <c r="M635" s="485">
        <f t="shared" si="195"/>
        <v>38.791666666666664</v>
      </c>
      <c r="N635" s="726"/>
      <c r="O635" s="726"/>
    </row>
    <row r="636" spans="1:16" s="487" customFormat="1" ht="18" customHeight="1">
      <c r="A636" s="478"/>
      <c r="B636" s="336" t="s">
        <v>367</v>
      </c>
      <c r="C636" s="479">
        <f>C262</f>
        <v>1</v>
      </c>
      <c r="D636" s="480" t="s">
        <v>87</v>
      </c>
      <c r="E636" s="481">
        <f t="shared" si="194"/>
        <v>1</v>
      </c>
      <c r="F636" s="482">
        <f t="shared" si="194"/>
        <v>14</v>
      </c>
      <c r="G636" s="483">
        <f t="shared" si="194"/>
        <v>9</v>
      </c>
      <c r="H636" s="484">
        <f t="shared" si="194"/>
        <v>3</v>
      </c>
      <c r="I636" s="483">
        <f t="shared" si="194"/>
        <v>2</v>
      </c>
      <c r="J636" s="749"/>
      <c r="K636" s="483"/>
      <c r="L636" s="726"/>
      <c r="M636" s="485">
        <f t="shared" si="195"/>
        <v>46.708333333333329</v>
      </c>
      <c r="N636" s="726"/>
      <c r="O636" s="726"/>
    </row>
    <row r="637" spans="1:16" s="487" customFormat="1" ht="18" customHeight="1">
      <c r="A637" s="726"/>
      <c r="B637" s="336" t="s">
        <v>666</v>
      </c>
      <c r="C637" s="479">
        <v>1</v>
      </c>
      <c r="D637" s="480" t="s">
        <v>87</v>
      </c>
      <c r="E637" s="481">
        <v>1</v>
      </c>
      <c r="F637" s="482">
        <v>67</v>
      </c>
      <c r="G637" s="483">
        <v>0</v>
      </c>
      <c r="H637" s="484"/>
      <c r="I637" s="483"/>
      <c r="J637" s="749">
        <v>0</v>
      </c>
      <c r="K637" s="483">
        <v>6</v>
      </c>
      <c r="L637" s="726"/>
      <c r="M637" s="485">
        <f t="shared" si="195"/>
        <v>33.5</v>
      </c>
      <c r="N637" s="726"/>
      <c r="O637" s="726"/>
      <c r="P637" s="487">
        <f>29.5*2+4*2</f>
        <v>67</v>
      </c>
    </row>
    <row r="638" spans="1:16" s="487" customFormat="1" ht="18" customHeight="1">
      <c r="A638" s="478"/>
      <c r="B638" s="726" t="s">
        <v>373</v>
      </c>
      <c r="C638" s="479"/>
      <c r="D638" s="480"/>
      <c r="E638" s="481"/>
      <c r="F638" s="482"/>
      <c r="G638" s="483"/>
      <c r="H638" s="484"/>
      <c r="I638" s="483"/>
      <c r="J638" s="749"/>
      <c r="K638" s="483"/>
      <c r="L638" s="726"/>
      <c r="M638" s="485"/>
      <c r="N638" s="726"/>
      <c r="O638" s="726"/>
    </row>
    <row r="639" spans="1:16" s="487" customFormat="1" ht="18" customHeight="1">
      <c r="A639" s="478"/>
      <c r="B639" s="336" t="s">
        <v>374</v>
      </c>
      <c r="C639" s="479">
        <f>C265</f>
        <v>1</v>
      </c>
      <c r="D639" s="480" t="s">
        <v>87</v>
      </c>
      <c r="E639" s="481">
        <f>E265</f>
        <v>1</v>
      </c>
      <c r="F639" s="482">
        <f>F265</f>
        <v>3</v>
      </c>
      <c r="G639" s="483">
        <f>G265</f>
        <v>0</v>
      </c>
      <c r="H639" s="482">
        <f>H265</f>
        <v>10</v>
      </c>
      <c r="I639" s="483">
        <f>I265</f>
        <v>5</v>
      </c>
      <c r="J639" s="749"/>
      <c r="K639" s="483"/>
      <c r="L639" s="726"/>
      <c r="M639" s="485">
        <f t="shared" ref="M639" si="196">IF(C639=0,1,C639)*IF(E639=0,1,E639)*IF((F639+G639/12)=0,1,(F639+G639/12))*IF((H639+I639/12)=0,1,(H639+I639/12))*IF((J639+K639/12)=0,1,(J639+K639/12))</f>
        <v>31.25</v>
      </c>
      <c r="N639" s="726"/>
      <c r="O639" s="726"/>
    </row>
    <row r="640" spans="1:16" s="487" customFormat="1" ht="18" customHeight="1">
      <c r="A640" s="478"/>
      <c r="B640" s="336"/>
      <c r="C640" s="479"/>
      <c r="D640" s="480"/>
      <c r="E640" s="481"/>
      <c r="F640" s="482"/>
      <c r="G640" s="483"/>
      <c r="H640" s="484"/>
      <c r="I640" s="483"/>
      <c r="J640" s="749"/>
      <c r="K640" s="483"/>
      <c r="L640" s="726"/>
      <c r="M640" s="485"/>
      <c r="N640" s="858">
        <f>SUM(M623:M639)</f>
        <v>1048.0555555555557</v>
      </c>
      <c r="O640" s="885" t="s">
        <v>19</v>
      </c>
    </row>
    <row r="641" spans="1:16" s="487" customFormat="1" ht="18" customHeight="1">
      <c r="A641" s="478"/>
      <c r="B641" s="723" t="s">
        <v>669</v>
      </c>
      <c r="C641" s="479"/>
      <c r="D641" s="480"/>
      <c r="E641" s="481"/>
      <c r="F641" s="482"/>
      <c r="G641" s="483"/>
      <c r="H641" s="484"/>
      <c r="I641" s="483"/>
      <c r="J641" s="749"/>
      <c r="K641" s="483"/>
      <c r="L641" s="726"/>
      <c r="M641" s="485"/>
      <c r="N641" s="486"/>
      <c r="O641" s="486"/>
    </row>
    <row r="642" spans="1:16" s="487" customFormat="1" ht="18" customHeight="1">
      <c r="A642" s="478"/>
      <c r="B642" s="726" t="s">
        <v>375</v>
      </c>
      <c r="C642" s="479"/>
      <c r="D642" s="480"/>
      <c r="E642" s="481"/>
      <c r="F642" s="482"/>
      <c r="G642" s="483"/>
      <c r="H642" s="484"/>
      <c r="I642" s="483"/>
      <c r="J642" s="749"/>
      <c r="K642" s="483"/>
      <c r="L642" s="726"/>
      <c r="M642" s="485"/>
      <c r="N642" s="486"/>
      <c r="O642" s="486"/>
    </row>
    <row r="643" spans="1:16" s="487" customFormat="1" ht="18" customHeight="1">
      <c r="A643" s="478"/>
      <c r="B643" s="336" t="s">
        <v>376</v>
      </c>
      <c r="C643" s="479">
        <f>C270</f>
        <v>1</v>
      </c>
      <c r="D643" s="480" t="s">
        <v>87</v>
      </c>
      <c r="E643" s="481">
        <f t="shared" ref="E643:I647" si="197">E270</f>
        <v>1</v>
      </c>
      <c r="F643" s="482">
        <f t="shared" si="197"/>
        <v>5</v>
      </c>
      <c r="G643" s="483">
        <f t="shared" si="197"/>
        <v>4</v>
      </c>
      <c r="H643" s="484">
        <f t="shared" si="197"/>
        <v>13</v>
      </c>
      <c r="I643" s="483">
        <f t="shared" si="197"/>
        <v>3</v>
      </c>
      <c r="J643" s="749"/>
      <c r="K643" s="483"/>
      <c r="L643" s="726"/>
      <c r="M643" s="485">
        <f t="shared" ref="M643:M648" si="198">IF(C643=0,1,C643)*IF(E643=0,1,E643)*IF((F643+G643/12)=0,1,(F643+G643/12))*IF((H643+I643/12)=0,1,(H643+I643/12))*IF((J643+K643/12)=0,1,(J643+K643/12))</f>
        <v>70.666666666666657</v>
      </c>
      <c r="N643" s="486"/>
      <c r="O643" s="486"/>
    </row>
    <row r="644" spans="1:16" s="487" customFormat="1" ht="18" customHeight="1">
      <c r="A644" s="478"/>
      <c r="B644" s="336" t="s">
        <v>377</v>
      </c>
      <c r="C644" s="479">
        <f>C271</f>
        <v>1</v>
      </c>
      <c r="D644" s="480" t="s">
        <v>87</v>
      </c>
      <c r="E644" s="481">
        <f t="shared" si="197"/>
        <v>1</v>
      </c>
      <c r="F644" s="482">
        <f t="shared" si="197"/>
        <v>9</v>
      </c>
      <c r="G644" s="483">
        <f t="shared" si="197"/>
        <v>9</v>
      </c>
      <c r="H644" s="484">
        <f t="shared" si="197"/>
        <v>13</v>
      </c>
      <c r="I644" s="483">
        <f t="shared" si="197"/>
        <v>3</v>
      </c>
      <c r="J644" s="749"/>
      <c r="K644" s="483"/>
      <c r="L644" s="726"/>
      <c r="M644" s="485">
        <f t="shared" si="198"/>
        <v>129.1875</v>
      </c>
      <c r="N644" s="486"/>
      <c r="O644" s="486"/>
    </row>
    <row r="645" spans="1:16" s="487" customFormat="1" ht="18" customHeight="1">
      <c r="A645" s="478"/>
      <c r="B645" s="336" t="s">
        <v>378</v>
      </c>
      <c r="C645" s="479">
        <f>C272</f>
        <v>1</v>
      </c>
      <c r="D645" s="480" t="s">
        <v>87</v>
      </c>
      <c r="E645" s="481">
        <f t="shared" si="197"/>
        <v>1</v>
      </c>
      <c r="F645" s="482">
        <f t="shared" si="197"/>
        <v>14</v>
      </c>
      <c r="G645" s="483">
        <f t="shared" si="197"/>
        <v>6</v>
      </c>
      <c r="H645" s="484">
        <f t="shared" si="197"/>
        <v>8</v>
      </c>
      <c r="I645" s="483">
        <f t="shared" si="197"/>
        <v>11</v>
      </c>
      <c r="J645" s="749"/>
      <c r="K645" s="483"/>
      <c r="L645" s="726"/>
      <c r="M645" s="485">
        <f t="shared" si="198"/>
        <v>129.29166666666666</v>
      </c>
      <c r="N645" s="486"/>
      <c r="O645" s="486"/>
    </row>
    <row r="646" spans="1:16" s="487" customFormat="1" ht="18" customHeight="1">
      <c r="A646" s="478"/>
      <c r="B646" s="336" t="s">
        <v>379</v>
      </c>
      <c r="C646" s="479">
        <f>C273</f>
        <v>1</v>
      </c>
      <c r="D646" s="480" t="s">
        <v>87</v>
      </c>
      <c r="E646" s="481">
        <f t="shared" si="197"/>
        <v>1</v>
      </c>
      <c r="F646" s="482">
        <f t="shared" si="197"/>
        <v>12</v>
      </c>
      <c r="G646" s="483">
        <f t="shared" si="197"/>
        <v>2</v>
      </c>
      <c r="H646" s="484">
        <f t="shared" si="197"/>
        <v>9</v>
      </c>
      <c r="I646" s="483">
        <f t="shared" si="197"/>
        <v>0</v>
      </c>
      <c r="J646" s="749"/>
      <c r="K646" s="483"/>
      <c r="L646" s="726"/>
      <c r="M646" s="485">
        <f t="shared" si="198"/>
        <v>109.5</v>
      </c>
      <c r="N646" s="486"/>
      <c r="O646" s="486"/>
    </row>
    <row r="647" spans="1:16" s="487" customFormat="1" ht="18" customHeight="1">
      <c r="A647" s="478"/>
      <c r="B647" s="336" t="s">
        <v>380</v>
      </c>
      <c r="C647" s="479">
        <f>C274</f>
        <v>1</v>
      </c>
      <c r="D647" s="480" t="s">
        <v>87</v>
      </c>
      <c r="E647" s="481">
        <f t="shared" si="197"/>
        <v>1</v>
      </c>
      <c r="F647" s="482">
        <f t="shared" si="197"/>
        <v>14</v>
      </c>
      <c r="G647" s="483">
        <f t="shared" si="197"/>
        <v>6</v>
      </c>
      <c r="H647" s="484">
        <f t="shared" si="197"/>
        <v>9</v>
      </c>
      <c r="I647" s="483">
        <f t="shared" si="197"/>
        <v>0</v>
      </c>
      <c r="J647" s="749"/>
      <c r="K647" s="483"/>
      <c r="L647" s="726"/>
      <c r="M647" s="485">
        <f t="shared" si="198"/>
        <v>130.5</v>
      </c>
      <c r="N647" s="486"/>
      <c r="O647" s="486"/>
    </row>
    <row r="648" spans="1:16" s="487" customFormat="1" ht="18" customHeight="1">
      <c r="A648" s="726"/>
      <c r="B648" s="336" t="s">
        <v>666</v>
      </c>
      <c r="C648" s="479">
        <v>1</v>
      </c>
      <c r="D648" s="480" t="s">
        <v>87</v>
      </c>
      <c r="E648" s="481">
        <v>1</v>
      </c>
      <c r="F648" s="482">
        <v>117</v>
      </c>
      <c r="G648" s="483">
        <v>2</v>
      </c>
      <c r="H648" s="484"/>
      <c r="I648" s="483"/>
      <c r="J648" s="749">
        <v>0</v>
      </c>
      <c r="K648" s="483">
        <v>4</v>
      </c>
      <c r="L648" s="726"/>
      <c r="M648" s="485">
        <f t="shared" si="198"/>
        <v>39.055555555555557</v>
      </c>
      <c r="N648" s="726"/>
      <c r="O648" s="726"/>
      <c r="P648" s="487">
        <f>34*2+24.58*2</f>
        <v>117.16</v>
      </c>
    </row>
    <row r="649" spans="1:16" s="487" customFormat="1" ht="18" customHeight="1">
      <c r="A649" s="478"/>
      <c r="B649" s="726" t="s">
        <v>382</v>
      </c>
      <c r="C649" s="479"/>
      <c r="D649" s="480"/>
      <c r="E649" s="481"/>
      <c r="F649" s="482"/>
      <c r="G649" s="483"/>
      <c r="H649" s="484"/>
      <c r="I649" s="483"/>
      <c r="J649" s="749"/>
      <c r="K649" s="483"/>
      <c r="L649" s="726"/>
      <c r="M649" s="485"/>
      <c r="N649" s="486"/>
      <c r="O649" s="486"/>
    </row>
    <row r="650" spans="1:16" s="487" customFormat="1" ht="18" customHeight="1">
      <c r="A650" s="478"/>
      <c r="B650" s="336" t="s">
        <v>381</v>
      </c>
      <c r="C650" s="479">
        <f>C277</f>
        <v>1</v>
      </c>
      <c r="D650" s="480" t="s">
        <v>87</v>
      </c>
      <c r="E650" s="481">
        <f t="shared" ref="E650:I653" si="199">E277</f>
        <v>1</v>
      </c>
      <c r="F650" s="482">
        <f t="shared" si="199"/>
        <v>14</v>
      </c>
      <c r="G650" s="483">
        <f t="shared" si="199"/>
        <v>6</v>
      </c>
      <c r="H650" s="484">
        <f t="shared" si="199"/>
        <v>4</v>
      </c>
      <c r="I650" s="483">
        <f t="shared" si="199"/>
        <v>4</v>
      </c>
      <c r="J650" s="749"/>
      <c r="K650" s="483"/>
      <c r="L650" s="726"/>
      <c r="M650" s="485">
        <f t="shared" ref="M650:M654" si="200">IF(C650=0,1,C650)*IF(E650=0,1,E650)*IF((F650+G650/12)=0,1,(F650+G650/12))*IF((H650+I650/12)=0,1,(H650+I650/12))*IF((J650+K650/12)=0,1,(J650+K650/12))</f>
        <v>62.833333333333329</v>
      </c>
      <c r="N650" s="486"/>
      <c r="O650" s="486"/>
    </row>
    <row r="651" spans="1:16" s="487" customFormat="1" ht="18" customHeight="1">
      <c r="A651" s="478"/>
      <c r="B651" s="336" t="s">
        <v>383</v>
      </c>
      <c r="C651" s="479">
        <f>C278</f>
        <v>1</v>
      </c>
      <c r="D651" s="480" t="s">
        <v>87</v>
      </c>
      <c r="E651" s="481">
        <f t="shared" si="199"/>
        <v>1</v>
      </c>
      <c r="F651" s="482">
        <f t="shared" si="199"/>
        <v>3</v>
      </c>
      <c r="G651" s="483">
        <f t="shared" si="199"/>
        <v>0</v>
      </c>
      <c r="H651" s="484">
        <f t="shared" si="199"/>
        <v>9</v>
      </c>
      <c r="I651" s="483">
        <f t="shared" si="199"/>
        <v>0</v>
      </c>
      <c r="J651" s="749"/>
      <c r="K651" s="483"/>
      <c r="L651" s="726"/>
      <c r="M651" s="485">
        <f t="shared" si="200"/>
        <v>27</v>
      </c>
      <c r="N651" s="486"/>
      <c r="O651" s="486"/>
    </row>
    <row r="652" spans="1:16" s="487" customFormat="1" ht="18" customHeight="1">
      <c r="A652" s="478"/>
      <c r="B652" s="336" t="s">
        <v>384</v>
      </c>
      <c r="C652" s="479">
        <f>C279</f>
        <v>1</v>
      </c>
      <c r="D652" s="480" t="s">
        <v>87</v>
      </c>
      <c r="E652" s="481">
        <f t="shared" si="199"/>
        <v>1</v>
      </c>
      <c r="F652" s="482">
        <f t="shared" si="199"/>
        <v>12</v>
      </c>
      <c r="G652" s="483">
        <f t="shared" si="199"/>
        <v>3</v>
      </c>
      <c r="H652" s="484">
        <f t="shared" si="199"/>
        <v>3</v>
      </c>
      <c r="I652" s="483">
        <f t="shared" si="199"/>
        <v>2</v>
      </c>
      <c r="J652" s="749"/>
      <c r="K652" s="483"/>
      <c r="L652" s="726"/>
      <c r="M652" s="485">
        <f t="shared" si="200"/>
        <v>38.791666666666664</v>
      </c>
      <c r="N652" s="486"/>
      <c r="O652" s="486"/>
    </row>
    <row r="653" spans="1:16" s="487" customFormat="1" ht="18" customHeight="1">
      <c r="A653" s="478"/>
      <c r="B653" s="336" t="s">
        <v>385</v>
      </c>
      <c r="C653" s="479">
        <f>C280</f>
        <v>1</v>
      </c>
      <c r="D653" s="480" t="s">
        <v>87</v>
      </c>
      <c r="E653" s="481">
        <f t="shared" si="199"/>
        <v>1</v>
      </c>
      <c r="F653" s="482">
        <f t="shared" si="199"/>
        <v>14</v>
      </c>
      <c r="G653" s="483">
        <f t="shared" si="199"/>
        <v>9</v>
      </c>
      <c r="H653" s="484">
        <f t="shared" si="199"/>
        <v>3</v>
      </c>
      <c r="I653" s="483">
        <f t="shared" si="199"/>
        <v>2</v>
      </c>
      <c r="J653" s="749"/>
      <c r="K653" s="483"/>
      <c r="L653" s="726"/>
      <c r="M653" s="485">
        <f t="shared" si="200"/>
        <v>46.708333333333329</v>
      </c>
      <c r="N653" s="486"/>
      <c r="O653" s="486"/>
    </row>
    <row r="654" spans="1:16" s="487" customFormat="1" ht="18" customHeight="1">
      <c r="A654" s="726"/>
      <c r="B654" s="336" t="s">
        <v>666</v>
      </c>
      <c r="C654" s="479">
        <v>1</v>
      </c>
      <c r="D654" s="480" t="s">
        <v>87</v>
      </c>
      <c r="E654" s="481">
        <v>1</v>
      </c>
      <c r="F654" s="482">
        <v>66</v>
      </c>
      <c r="G654" s="483">
        <v>2</v>
      </c>
      <c r="H654" s="484"/>
      <c r="I654" s="483"/>
      <c r="J654" s="749">
        <v>0</v>
      </c>
      <c r="K654" s="483">
        <v>4</v>
      </c>
      <c r="L654" s="726"/>
      <c r="M654" s="485">
        <f t="shared" si="200"/>
        <v>22.055555555555557</v>
      </c>
      <c r="N654" s="726"/>
      <c r="O654" s="726"/>
      <c r="P654" s="487">
        <f>29.5*2+3.58*2</f>
        <v>66.16</v>
      </c>
    </row>
    <row r="655" spans="1:16" s="487" customFormat="1" ht="18" customHeight="1">
      <c r="A655" s="478"/>
      <c r="B655" s="336"/>
      <c r="C655" s="479"/>
      <c r="D655" s="480"/>
      <c r="E655" s="481"/>
      <c r="F655" s="482"/>
      <c r="G655" s="483"/>
      <c r="H655" s="484"/>
      <c r="I655" s="483"/>
      <c r="J655" s="749"/>
      <c r="K655" s="483"/>
      <c r="L655" s="726"/>
      <c r="M655" s="485"/>
      <c r="N655" s="858">
        <f>SUM(M642:M654)</f>
        <v>805.59027777777771</v>
      </c>
      <c r="O655" s="885" t="s">
        <v>19</v>
      </c>
    </row>
    <row r="656" spans="1:16" s="487" customFormat="1" ht="18" customHeight="1">
      <c r="A656" s="478"/>
      <c r="B656" s="723" t="s">
        <v>670</v>
      </c>
      <c r="C656" s="479"/>
      <c r="D656" s="480"/>
      <c r="E656" s="481"/>
      <c r="F656" s="482"/>
      <c r="G656" s="483"/>
      <c r="H656" s="484"/>
      <c r="I656" s="483"/>
      <c r="J656" s="749"/>
      <c r="K656" s="483"/>
      <c r="L656" s="726"/>
      <c r="M656" s="485"/>
      <c r="N656" s="726"/>
      <c r="O656" s="726"/>
    </row>
    <row r="657" spans="1:15" ht="18" hidden="1" customHeight="1">
      <c r="A657" s="474"/>
      <c r="B657" s="643" t="s">
        <v>218</v>
      </c>
      <c r="C657" s="488"/>
      <c r="D657" s="489"/>
      <c r="E657" s="495"/>
      <c r="F657" s="491"/>
      <c r="G657" s="496"/>
      <c r="H657" s="497"/>
      <c r="I657" s="496"/>
      <c r="J657" s="609"/>
      <c r="K657" s="496"/>
      <c r="L657" s="591"/>
      <c r="M657" s="475"/>
      <c r="N657" s="591"/>
      <c r="O657" s="591"/>
    </row>
    <row r="658" spans="1:15" ht="18" hidden="1" customHeight="1">
      <c r="A658" s="474"/>
      <c r="B658" s="494" t="s">
        <v>166</v>
      </c>
      <c r="C658" s="488">
        <f>C285</f>
        <v>1</v>
      </c>
      <c r="D658" s="489" t="s">
        <v>87</v>
      </c>
      <c r="E658" s="495">
        <f>E285</f>
        <v>1</v>
      </c>
      <c r="F658" s="491">
        <f>F285</f>
        <v>74</v>
      </c>
      <c r="G658" s="496">
        <f>G285</f>
        <v>0</v>
      </c>
      <c r="H658" s="497"/>
      <c r="I658" s="496"/>
      <c r="J658" s="609">
        <f>J285</f>
        <v>1</v>
      </c>
      <c r="K658" s="496">
        <f>K285</f>
        <v>0</v>
      </c>
      <c r="L658" s="591"/>
      <c r="M658" s="475"/>
      <c r="N658" s="591"/>
      <c r="O658" s="591"/>
    </row>
    <row r="659" spans="1:15" ht="18" hidden="1" customHeight="1">
      <c r="A659" s="474"/>
      <c r="B659" s="494" t="s">
        <v>220</v>
      </c>
      <c r="C659" s="488">
        <f>C285*2</f>
        <v>2</v>
      </c>
      <c r="D659" s="489" t="s">
        <v>87</v>
      </c>
      <c r="E659" s="495">
        <f>E285</f>
        <v>1</v>
      </c>
      <c r="F659" s="491">
        <f>H285</f>
        <v>2</v>
      </c>
      <c r="G659" s="496">
        <f>I285</f>
        <v>0</v>
      </c>
      <c r="H659" s="497"/>
      <c r="I659" s="496"/>
      <c r="J659" s="609">
        <f>J285</f>
        <v>1</v>
      </c>
      <c r="K659" s="496">
        <f>K285</f>
        <v>0</v>
      </c>
      <c r="L659" s="591"/>
      <c r="M659" s="475"/>
      <c r="N659" s="591"/>
      <c r="O659" s="591"/>
    </row>
    <row r="660" spans="1:15" ht="18" hidden="1" customHeight="1">
      <c r="A660" s="474"/>
      <c r="B660" s="494" t="s">
        <v>167</v>
      </c>
      <c r="C660" s="488">
        <f>C286</f>
        <v>1</v>
      </c>
      <c r="D660" s="489" t="s">
        <v>87</v>
      </c>
      <c r="E660" s="495">
        <f>E286</f>
        <v>1</v>
      </c>
      <c r="F660" s="491">
        <f>F286</f>
        <v>74</v>
      </c>
      <c r="G660" s="496">
        <f>G286</f>
        <v>0</v>
      </c>
      <c r="H660" s="497"/>
      <c r="I660" s="496"/>
      <c r="J660" s="609">
        <f>J286</f>
        <v>1</v>
      </c>
      <c r="K660" s="496">
        <f>K286</f>
        <v>0</v>
      </c>
      <c r="L660" s="591"/>
      <c r="M660" s="475"/>
      <c r="N660" s="591"/>
      <c r="O660" s="591"/>
    </row>
    <row r="661" spans="1:15" ht="18" hidden="1" customHeight="1">
      <c r="A661" s="474"/>
      <c r="B661" s="494" t="s">
        <v>219</v>
      </c>
      <c r="C661" s="488">
        <f>C286*2</f>
        <v>2</v>
      </c>
      <c r="D661" s="489" t="s">
        <v>87</v>
      </c>
      <c r="E661" s="495">
        <f>E286</f>
        <v>1</v>
      </c>
      <c r="F661" s="491">
        <f>H286</f>
        <v>1</v>
      </c>
      <c r="G661" s="496">
        <f>I286</f>
        <v>0</v>
      </c>
      <c r="H661" s="497"/>
      <c r="I661" s="496"/>
      <c r="J661" s="609">
        <f>J286</f>
        <v>1</v>
      </c>
      <c r="K661" s="496">
        <f>K286</f>
        <v>0</v>
      </c>
      <c r="L661" s="591"/>
      <c r="M661" s="475"/>
      <c r="N661" s="591"/>
      <c r="O661" s="591"/>
    </row>
    <row r="662" spans="1:15" s="487" customFormat="1" ht="18" customHeight="1">
      <c r="A662" s="478"/>
      <c r="B662" s="869" t="s">
        <v>386</v>
      </c>
      <c r="C662" s="479"/>
      <c r="D662" s="480"/>
      <c r="E662" s="481"/>
      <c r="F662" s="482"/>
      <c r="G662" s="483"/>
      <c r="H662" s="484"/>
      <c r="I662" s="483"/>
      <c r="J662" s="749"/>
      <c r="K662" s="483"/>
      <c r="L662" s="726"/>
      <c r="M662" s="485"/>
      <c r="N662" s="726"/>
      <c r="O662" s="726"/>
    </row>
    <row r="663" spans="1:15" s="487" customFormat="1" ht="18" customHeight="1">
      <c r="A663" s="478"/>
      <c r="B663" s="336" t="s">
        <v>52</v>
      </c>
      <c r="C663" s="479">
        <f>C289</f>
        <v>1</v>
      </c>
      <c r="D663" s="480" t="s">
        <v>87</v>
      </c>
      <c r="E663" s="481">
        <f>E289</f>
        <v>2</v>
      </c>
      <c r="F663" s="482">
        <f>F289</f>
        <v>10</v>
      </c>
      <c r="G663" s="483">
        <f>G289</f>
        <v>9</v>
      </c>
      <c r="H663" s="484">
        <f>H289</f>
        <v>4</v>
      </c>
      <c r="I663" s="483">
        <f>I289</f>
        <v>5</v>
      </c>
      <c r="J663" s="749"/>
      <c r="K663" s="483"/>
      <c r="L663" s="726"/>
      <c r="M663" s="485">
        <f t="shared" ref="M663:M670" si="201">IF(C663=0,1,C663)*IF(E663=0,1,E663)*IF((F663+G663/12)=0,1,(F663+G663/12))*IF((H663+I663/12)=0,1,(H663+I663/12))*IF((J663+K663/12)=0,1,(J663+K663/12))</f>
        <v>94.958333333333343</v>
      </c>
      <c r="N663" s="726"/>
      <c r="O663" s="726"/>
    </row>
    <row r="664" spans="1:15" s="487" customFormat="1" ht="18" customHeight="1">
      <c r="A664" s="478"/>
      <c r="B664" s="336" t="s">
        <v>168</v>
      </c>
      <c r="C664" s="479">
        <f>C289*2</f>
        <v>2</v>
      </c>
      <c r="D664" s="480" t="s">
        <v>87</v>
      </c>
      <c r="E664" s="481">
        <f>E289</f>
        <v>2</v>
      </c>
      <c r="F664" s="482">
        <f>F289</f>
        <v>10</v>
      </c>
      <c r="G664" s="483">
        <f>G289</f>
        <v>9</v>
      </c>
      <c r="H664" s="484"/>
      <c r="I664" s="483"/>
      <c r="J664" s="749">
        <f>J289</f>
        <v>0</v>
      </c>
      <c r="K664" s="483">
        <f>K289</f>
        <v>6</v>
      </c>
      <c r="L664" s="726"/>
      <c r="M664" s="485">
        <f t="shared" si="201"/>
        <v>21.5</v>
      </c>
      <c r="N664" s="726"/>
      <c r="O664" s="726"/>
    </row>
    <row r="665" spans="1:15" s="487" customFormat="1" ht="18" customHeight="1">
      <c r="A665" s="478"/>
      <c r="B665" s="336" t="s">
        <v>43</v>
      </c>
      <c r="C665" s="479">
        <f>C290</f>
        <v>2</v>
      </c>
      <c r="D665" s="480" t="s">
        <v>87</v>
      </c>
      <c r="E665" s="481">
        <f>E290*2</f>
        <v>22</v>
      </c>
      <c r="F665" s="482">
        <f>F290</f>
        <v>4</v>
      </c>
      <c r="G665" s="483">
        <f>G290</f>
        <v>5</v>
      </c>
      <c r="H665" s="484"/>
      <c r="I665" s="483"/>
      <c r="J665" s="749">
        <f>J290</f>
        <v>0</v>
      </c>
      <c r="K665" s="483">
        <f>K290</f>
        <v>7.1</v>
      </c>
      <c r="L665" s="726"/>
      <c r="M665" s="485">
        <f t="shared" si="201"/>
        <v>114.98055555555557</v>
      </c>
      <c r="N665" s="726"/>
      <c r="O665" s="726"/>
    </row>
    <row r="666" spans="1:15" s="487" customFormat="1" ht="18" customHeight="1">
      <c r="A666" s="478"/>
      <c r="B666" s="336" t="s">
        <v>221</v>
      </c>
      <c r="C666" s="479">
        <f>C290</f>
        <v>2</v>
      </c>
      <c r="D666" s="480" t="s">
        <v>87</v>
      </c>
      <c r="E666" s="481">
        <f>2</f>
        <v>2</v>
      </c>
      <c r="F666" s="482">
        <f>F664</f>
        <v>10</v>
      </c>
      <c r="G666" s="483">
        <f>G664</f>
        <v>9</v>
      </c>
      <c r="H666" s="484"/>
      <c r="I666" s="483"/>
      <c r="J666" s="749">
        <f>0</f>
        <v>0</v>
      </c>
      <c r="K666" s="819">
        <v>5.5</v>
      </c>
      <c r="L666" s="726"/>
      <c r="M666" s="485">
        <f t="shared" si="201"/>
        <v>19.708333333333332</v>
      </c>
      <c r="N666" s="726"/>
      <c r="O666" s="726"/>
    </row>
    <row r="667" spans="1:15" s="487" customFormat="1" ht="18" customHeight="1">
      <c r="A667" s="478"/>
      <c r="B667" s="336" t="s">
        <v>667</v>
      </c>
      <c r="C667" s="479">
        <f>C291</f>
        <v>1</v>
      </c>
      <c r="D667" s="480" t="s">
        <v>87</v>
      </c>
      <c r="E667" s="481">
        <f>E291</f>
        <v>1</v>
      </c>
      <c r="F667" s="482">
        <f>F291</f>
        <v>7</v>
      </c>
      <c r="G667" s="483">
        <f>G291</f>
        <v>10</v>
      </c>
      <c r="H667" s="484">
        <f>H291</f>
        <v>1</v>
      </c>
      <c r="I667" s="483">
        <f>I291</f>
        <v>2</v>
      </c>
      <c r="J667" s="749"/>
      <c r="K667" s="483"/>
      <c r="L667" s="726"/>
      <c r="M667" s="485">
        <f t="shared" si="201"/>
        <v>9.1388888888888893</v>
      </c>
      <c r="N667" s="726"/>
      <c r="O667" s="726"/>
    </row>
    <row r="668" spans="1:15" s="487" customFormat="1" ht="18" customHeight="1">
      <c r="A668" s="478"/>
      <c r="B668" s="336" t="s">
        <v>222</v>
      </c>
      <c r="C668" s="479">
        <f>C667*2</f>
        <v>2</v>
      </c>
      <c r="D668" s="480" t="s">
        <v>87</v>
      </c>
      <c r="E668" s="481">
        <f>E667</f>
        <v>1</v>
      </c>
      <c r="F668" s="482">
        <f>F667</f>
        <v>7</v>
      </c>
      <c r="G668" s="483">
        <f>G667</f>
        <v>10</v>
      </c>
      <c r="H668" s="484"/>
      <c r="I668" s="483"/>
      <c r="J668" s="749">
        <f>J291</f>
        <v>1</v>
      </c>
      <c r="K668" s="483">
        <f>K291</f>
        <v>4</v>
      </c>
      <c r="L668" s="726"/>
      <c r="M668" s="485">
        <f t="shared" si="201"/>
        <v>20.888888888888886</v>
      </c>
      <c r="N668" s="726"/>
      <c r="O668" s="726"/>
    </row>
    <row r="669" spans="1:15" s="487" customFormat="1" ht="18" customHeight="1">
      <c r="A669" s="478"/>
      <c r="B669" s="336" t="s">
        <v>53</v>
      </c>
      <c r="C669" s="479">
        <f>C292</f>
        <v>1</v>
      </c>
      <c r="D669" s="480" t="s">
        <v>87</v>
      </c>
      <c r="E669" s="481">
        <f>E292</f>
        <v>1</v>
      </c>
      <c r="F669" s="482">
        <f>F292</f>
        <v>9</v>
      </c>
      <c r="G669" s="483">
        <f>G292</f>
        <v>0</v>
      </c>
      <c r="H669" s="484">
        <f>H292</f>
        <v>2</v>
      </c>
      <c r="I669" s="483">
        <f>I292</f>
        <v>10</v>
      </c>
      <c r="J669" s="749"/>
      <c r="K669" s="483"/>
      <c r="L669" s="726"/>
      <c r="M669" s="485">
        <f t="shared" si="201"/>
        <v>25.5</v>
      </c>
      <c r="N669" s="726"/>
      <c r="O669" s="726"/>
    </row>
    <row r="670" spans="1:15" s="487" customFormat="1" ht="18" customHeight="1">
      <c r="A670" s="478"/>
      <c r="B670" s="336" t="s">
        <v>223</v>
      </c>
      <c r="C670" s="479">
        <f>C669</f>
        <v>1</v>
      </c>
      <c r="D670" s="480" t="s">
        <v>87</v>
      </c>
      <c r="E670" s="481">
        <f>E669*2</f>
        <v>2</v>
      </c>
      <c r="F670" s="482">
        <f>F669</f>
        <v>9</v>
      </c>
      <c r="G670" s="483">
        <f>G669</f>
        <v>0</v>
      </c>
      <c r="H670" s="484"/>
      <c r="I670" s="483"/>
      <c r="J670" s="749">
        <f>J292</f>
        <v>0</v>
      </c>
      <c r="K670" s="483">
        <f>K292</f>
        <v>6</v>
      </c>
      <c r="L670" s="726"/>
      <c r="M670" s="485">
        <f t="shared" si="201"/>
        <v>9</v>
      </c>
      <c r="N670" s="726"/>
      <c r="O670" s="726"/>
    </row>
    <row r="671" spans="1:15" s="487" customFormat="1" ht="18" customHeight="1">
      <c r="A671" s="478"/>
      <c r="B671" s="336"/>
      <c r="C671" s="479"/>
      <c r="D671" s="480"/>
      <c r="E671" s="481"/>
      <c r="F671" s="482"/>
      <c r="G671" s="483"/>
      <c r="H671" s="484"/>
      <c r="I671" s="483"/>
      <c r="J671" s="749"/>
      <c r="K671" s="483"/>
      <c r="L671" s="726"/>
      <c r="M671" s="485"/>
      <c r="N671" s="858">
        <f>SUM(M658:M670)</f>
        <v>315.67500000000007</v>
      </c>
      <c r="O671" s="885" t="s">
        <v>19</v>
      </c>
    </row>
    <row r="672" spans="1:15" s="487" customFormat="1" ht="18" customHeight="1">
      <c r="A672" s="478"/>
      <c r="B672" s="869" t="s">
        <v>387</v>
      </c>
      <c r="C672" s="479"/>
      <c r="D672" s="480"/>
      <c r="E672" s="481"/>
      <c r="F672" s="482"/>
      <c r="G672" s="483"/>
      <c r="H672" s="484"/>
      <c r="I672" s="483"/>
      <c r="J672" s="749"/>
      <c r="K672" s="483"/>
      <c r="L672" s="726"/>
      <c r="M672" s="485"/>
      <c r="N672" s="726"/>
      <c r="O672" s="726"/>
    </row>
    <row r="673" spans="1:15" s="487" customFormat="1" ht="18" customHeight="1">
      <c r="A673" s="478"/>
      <c r="B673" s="336" t="s">
        <v>52</v>
      </c>
      <c r="C673" s="479">
        <f>C295</f>
        <v>1</v>
      </c>
      <c r="D673" s="480" t="s">
        <v>87</v>
      </c>
      <c r="E673" s="481">
        <f>E295</f>
        <v>2</v>
      </c>
      <c r="F673" s="482">
        <f>F295</f>
        <v>10</v>
      </c>
      <c r="G673" s="483">
        <f>G295</f>
        <v>6</v>
      </c>
      <c r="H673" s="484">
        <f>H295</f>
        <v>4</v>
      </c>
      <c r="I673" s="483">
        <f>I295</f>
        <v>5</v>
      </c>
      <c r="J673" s="749"/>
      <c r="K673" s="483"/>
      <c r="L673" s="726"/>
      <c r="M673" s="485">
        <f t="shared" ref="M673:M680" si="202">IF(C673=0,1,C673)*IF(E673=0,1,E673)*IF((F673+G673/12)=0,1,(F673+G673/12))*IF((H673+I673/12)=0,1,(H673+I673/12))*IF((J673+K673/12)=0,1,(J673+K673/12))</f>
        <v>92.75</v>
      </c>
      <c r="N673" s="726"/>
      <c r="O673" s="726"/>
    </row>
    <row r="674" spans="1:15" s="487" customFormat="1" ht="18" customHeight="1">
      <c r="A674" s="478"/>
      <c r="B674" s="336" t="s">
        <v>168</v>
      </c>
      <c r="C674" s="479">
        <f>C295*2</f>
        <v>2</v>
      </c>
      <c r="D674" s="480" t="s">
        <v>87</v>
      </c>
      <c r="E674" s="481">
        <f>E295</f>
        <v>2</v>
      </c>
      <c r="F674" s="482">
        <f>F295</f>
        <v>10</v>
      </c>
      <c r="G674" s="483">
        <f>G295</f>
        <v>6</v>
      </c>
      <c r="H674" s="484"/>
      <c r="I674" s="483"/>
      <c r="J674" s="749">
        <f>J295</f>
        <v>0</v>
      </c>
      <c r="K674" s="483">
        <f>K295</f>
        <v>6</v>
      </c>
      <c r="L674" s="726"/>
      <c r="M674" s="485">
        <f t="shared" si="202"/>
        <v>21</v>
      </c>
      <c r="N674" s="726"/>
      <c r="O674" s="726"/>
    </row>
    <row r="675" spans="1:15" s="487" customFormat="1" ht="18" customHeight="1">
      <c r="A675" s="478"/>
      <c r="B675" s="336" t="s">
        <v>43</v>
      </c>
      <c r="C675" s="479">
        <f>C296</f>
        <v>2</v>
      </c>
      <c r="D675" s="480" t="s">
        <v>87</v>
      </c>
      <c r="E675" s="481">
        <f>E296*2</f>
        <v>22</v>
      </c>
      <c r="F675" s="482">
        <f>F296</f>
        <v>4</v>
      </c>
      <c r="G675" s="483">
        <f>G296</f>
        <v>5</v>
      </c>
      <c r="H675" s="484"/>
      <c r="I675" s="483"/>
      <c r="J675" s="749">
        <f>J296</f>
        <v>0</v>
      </c>
      <c r="K675" s="819">
        <f>K296</f>
        <v>6.5</v>
      </c>
      <c r="L675" s="726"/>
      <c r="M675" s="485">
        <f t="shared" si="202"/>
        <v>105.26388888888889</v>
      </c>
      <c r="N675" s="726"/>
      <c r="O675" s="726"/>
    </row>
    <row r="676" spans="1:15" s="487" customFormat="1" ht="18" customHeight="1">
      <c r="A676" s="478"/>
      <c r="B676" s="336" t="s">
        <v>221</v>
      </c>
      <c r="C676" s="479">
        <f>C296</f>
        <v>2</v>
      </c>
      <c r="D676" s="480" t="s">
        <v>87</v>
      </c>
      <c r="E676" s="481">
        <f>2</f>
        <v>2</v>
      </c>
      <c r="F676" s="482">
        <f>F674</f>
        <v>10</v>
      </c>
      <c r="G676" s="483">
        <f>G674</f>
        <v>6</v>
      </c>
      <c r="H676" s="484"/>
      <c r="I676" s="483"/>
      <c r="J676" s="749">
        <f>0</f>
        <v>0</v>
      </c>
      <c r="K676" s="819">
        <v>5.2</v>
      </c>
      <c r="L676" s="726"/>
      <c r="M676" s="485">
        <f t="shared" si="202"/>
        <v>18.2</v>
      </c>
      <c r="N676" s="726"/>
      <c r="O676" s="726"/>
    </row>
    <row r="677" spans="1:15" s="487" customFormat="1" ht="18" customHeight="1">
      <c r="A677" s="478"/>
      <c r="B677" s="336" t="s">
        <v>667</v>
      </c>
      <c r="C677" s="479">
        <f>C297</f>
        <v>1</v>
      </c>
      <c r="D677" s="480" t="s">
        <v>87</v>
      </c>
      <c r="E677" s="481">
        <f>E297</f>
        <v>1</v>
      </c>
      <c r="F677" s="482">
        <f>F297</f>
        <v>7</v>
      </c>
      <c r="G677" s="483">
        <f>G297</f>
        <v>10</v>
      </c>
      <c r="H677" s="484">
        <v>1</v>
      </c>
      <c r="I677" s="483">
        <v>2</v>
      </c>
      <c r="J677" s="749"/>
      <c r="K677" s="483"/>
      <c r="L677" s="726"/>
      <c r="M677" s="485">
        <f t="shared" si="202"/>
        <v>9.1388888888888893</v>
      </c>
      <c r="N677" s="726"/>
      <c r="O677" s="726"/>
    </row>
    <row r="678" spans="1:15" s="487" customFormat="1" ht="18" customHeight="1">
      <c r="A678" s="478"/>
      <c r="B678" s="336" t="s">
        <v>222</v>
      </c>
      <c r="C678" s="479">
        <f>C677*2</f>
        <v>2</v>
      </c>
      <c r="D678" s="480" t="s">
        <v>87</v>
      </c>
      <c r="E678" s="481">
        <f>E677</f>
        <v>1</v>
      </c>
      <c r="F678" s="482">
        <f>F677</f>
        <v>7</v>
      </c>
      <c r="G678" s="483">
        <f>G677</f>
        <v>10</v>
      </c>
      <c r="H678" s="484"/>
      <c r="I678" s="483"/>
      <c r="J678" s="749">
        <f>J297</f>
        <v>1</v>
      </c>
      <c r="K678" s="483">
        <f>K297</f>
        <v>4</v>
      </c>
      <c r="L678" s="726"/>
      <c r="M678" s="485">
        <f t="shared" si="202"/>
        <v>20.888888888888886</v>
      </c>
      <c r="N678" s="726"/>
      <c r="O678" s="726"/>
    </row>
    <row r="679" spans="1:15" s="487" customFormat="1" ht="18" customHeight="1">
      <c r="A679" s="478"/>
      <c r="B679" s="336" t="s">
        <v>53</v>
      </c>
      <c r="C679" s="479">
        <f>C298</f>
        <v>1</v>
      </c>
      <c r="D679" s="480" t="s">
        <v>87</v>
      </c>
      <c r="E679" s="481">
        <f>E298</f>
        <v>1</v>
      </c>
      <c r="F679" s="482">
        <f>F298</f>
        <v>9</v>
      </c>
      <c r="G679" s="483">
        <f>G298</f>
        <v>0</v>
      </c>
      <c r="H679" s="484">
        <f>H298</f>
        <v>2</v>
      </c>
      <c r="I679" s="483">
        <f>I298</f>
        <v>10</v>
      </c>
      <c r="J679" s="749"/>
      <c r="K679" s="483"/>
      <c r="L679" s="726"/>
      <c r="M679" s="485">
        <f t="shared" si="202"/>
        <v>25.5</v>
      </c>
      <c r="N679" s="726"/>
      <c r="O679" s="726"/>
    </row>
    <row r="680" spans="1:15" s="487" customFormat="1" ht="18" customHeight="1">
      <c r="A680" s="478"/>
      <c r="B680" s="336" t="s">
        <v>223</v>
      </c>
      <c r="C680" s="479">
        <f>C679</f>
        <v>1</v>
      </c>
      <c r="D680" s="480" t="s">
        <v>87</v>
      </c>
      <c r="E680" s="481">
        <f>E679*2</f>
        <v>2</v>
      </c>
      <c r="F680" s="482">
        <f>F679</f>
        <v>9</v>
      </c>
      <c r="G680" s="483">
        <f>G679</f>
        <v>0</v>
      </c>
      <c r="H680" s="484"/>
      <c r="I680" s="483"/>
      <c r="J680" s="749">
        <f>J298</f>
        <v>0</v>
      </c>
      <c r="K680" s="483">
        <f>K298</f>
        <v>6</v>
      </c>
      <c r="L680" s="726"/>
      <c r="M680" s="485">
        <f t="shared" si="202"/>
        <v>9</v>
      </c>
      <c r="N680" s="726"/>
      <c r="O680" s="726"/>
    </row>
    <row r="681" spans="1:15" s="862" customFormat="1" ht="18" customHeight="1">
      <c r="A681" s="726"/>
      <c r="B681" s="892"/>
      <c r="C681" s="809"/>
      <c r="D681" s="810"/>
      <c r="E681" s="818"/>
      <c r="F681" s="811"/>
      <c r="G681" s="860"/>
      <c r="H681" s="893"/>
      <c r="I681" s="860"/>
      <c r="J681" s="861"/>
      <c r="K681" s="860"/>
      <c r="L681" s="726"/>
      <c r="M681" s="486"/>
      <c r="N681" s="858">
        <f>SUM(M673:M680)</f>
        <v>301.74166666666667</v>
      </c>
      <c r="O681" s="885" t="s">
        <v>19</v>
      </c>
    </row>
    <row r="682" spans="1:15" s="487" customFormat="1" ht="18" customHeight="1">
      <c r="A682" s="478"/>
      <c r="B682" s="723" t="s">
        <v>671</v>
      </c>
      <c r="C682" s="479"/>
      <c r="D682" s="480"/>
      <c r="E682" s="481"/>
      <c r="F682" s="482"/>
      <c r="G682" s="483"/>
      <c r="H682" s="484"/>
      <c r="I682" s="483"/>
      <c r="J682" s="749"/>
      <c r="K682" s="483"/>
      <c r="L682" s="726"/>
      <c r="M682" s="485"/>
      <c r="N682" s="726"/>
      <c r="O682" s="726"/>
    </row>
    <row r="683" spans="1:15" s="487" customFormat="1" ht="18" customHeight="1">
      <c r="A683" s="478"/>
      <c r="B683" s="869" t="s">
        <v>109</v>
      </c>
      <c r="C683" s="479"/>
      <c r="D683" s="480"/>
      <c r="E683" s="481"/>
      <c r="F683" s="482"/>
      <c r="G683" s="483"/>
      <c r="H683" s="484"/>
      <c r="I683" s="483"/>
      <c r="J683" s="749"/>
      <c r="K683" s="483"/>
      <c r="L683" s="726"/>
      <c r="M683" s="485"/>
      <c r="N683" s="726"/>
      <c r="O683" s="726"/>
    </row>
    <row r="684" spans="1:15" s="487" customFormat="1" ht="18" customHeight="1">
      <c r="A684" s="478"/>
      <c r="B684" s="726" t="s">
        <v>169</v>
      </c>
      <c r="C684" s="479"/>
      <c r="D684" s="480"/>
      <c r="E684" s="481"/>
      <c r="F684" s="482"/>
      <c r="G684" s="483"/>
      <c r="H684" s="484"/>
      <c r="I684" s="483"/>
      <c r="J684" s="749"/>
      <c r="K684" s="483"/>
      <c r="L684" s="726"/>
      <c r="M684" s="485"/>
      <c r="N684" s="726"/>
      <c r="O684" s="726"/>
    </row>
    <row r="685" spans="1:15" s="487" customFormat="1" ht="18" customHeight="1">
      <c r="A685" s="478"/>
      <c r="B685" s="873" t="s">
        <v>388</v>
      </c>
      <c r="C685" s="479"/>
      <c r="D685" s="480"/>
      <c r="E685" s="724"/>
      <c r="F685" s="482"/>
      <c r="G685" s="483"/>
      <c r="H685" s="484"/>
      <c r="I685" s="483"/>
      <c r="J685" s="749"/>
      <c r="K685" s="483"/>
      <c r="L685" s="500"/>
      <c r="M685" s="485"/>
      <c r="N685" s="486"/>
      <c r="O685" s="486"/>
    </row>
    <row r="686" spans="1:15" s="487" customFormat="1" ht="18" customHeight="1">
      <c r="A686" s="478"/>
      <c r="B686" s="336" t="s">
        <v>389</v>
      </c>
      <c r="C686" s="479">
        <f>C304*2</f>
        <v>4</v>
      </c>
      <c r="D686" s="480" t="s">
        <v>87</v>
      </c>
      <c r="E686" s="724">
        <f>E304</f>
        <v>1</v>
      </c>
      <c r="F686" s="482">
        <f>F304</f>
        <v>16</v>
      </c>
      <c r="G686" s="483">
        <f>G304</f>
        <v>6</v>
      </c>
      <c r="H686" s="484"/>
      <c r="I686" s="819"/>
      <c r="J686" s="482">
        <f>J304</f>
        <v>0</v>
      </c>
      <c r="K686" s="819">
        <f>K304</f>
        <v>4.5</v>
      </c>
      <c r="L686" s="500"/>
      <c r="M686" s="485">
        <f t="shared" ref="M686:M694" si="203">IF(C686=0,1,C686)*IF(E686=0,1,E686)*IF((F686+G686/12)=0,1,(F686+G686/12))*IF((H686+I686/12)=0,1,(H686+I686/12))*IF((J686+K686/12)=0,1,(J686+K686/12))</f>
        <v>24.75</v>
      </c>
      <c r="N686" s="486"/>
      <c r="O686" s="486"/>
    </row>
    <row r="687" spans="1:15" s="487" customFormat="1" ht="18" customHeight="1">
      <c r="A687" s="478"/>
      <c r="B687" s="336" t="s">
        <v>390</v>
      </c>
      <c r="C687" s="479">
        <f t="shared" ref="C687:C694" si="204">C305*2</f>
        <v>4</v>
      </c>
      <c r="D687" s="480" t="s">
        <v>87</v>
      </c>
      <c r="E687" s="724">
        <f t="shared" ref="E687:E694" si="205">E305</f>
        <v>1</v>
      </c>
      <c r="F687" s="482">
        <f t="shared" ref="F687:G687" si="206">F305</f>
        <v>16</v>
      </c>
      <c r="G687" s="483">
        <f t="shared" si="206"/>
        <v>6</v>
      </c>
      <c r="H687" s="484"/>
      <c r="I687" s="819"/>
      <c r="J687" s="482">
        <f t="shared" ref="J687:K687" si="207">J305</f>
        <v>0</v>
      </c>
      <c r="K687" s="819">
        <f t="shared" si="207"/>
        <v>4.5</v>
      </c>
      <c r="L687" s="500"/>
      <c r="M687" s="485">
        <f t="shared" si="203"/>
        <v>24.75</v>
      </c>
      <c r="N687" s="486"/>
      <c r="O687" s="486"/>
    </row>
    <row r="688" spans="1:15" s="487" customFormat="1" ht="18" customHeight="1">
      <c r="A688" s="478"/>
      <c r="B688" s="336" t="s">
        <v>391</v>
      </c>
      <c r="C688" s="479">
        <f t="shared" si="204"/>
        <v>4</v>
      </c>
      <c r="D688" s="480" t="s">
        <v>87</v>
      </c>
      <c r="E688" s="724">
        <f t="shared" si="205"/>
        <v>2</v>
      </c>
      <c r="F688" s="482">
        <f t="shared" ref="F688:G688" si="208">F306</f>
        <v>15</v>
      </c>
      <c r="G688" s="483">
        <f t="shared" si="208"/>
        <v>0</v>
      </c>
      <c r="H688" s="484"/>
      <c r="I688" s="819"/>
      <c r="J688" s="482">
        <f t="shared" ref="J688:K688" si="209">J306</f>
        <v>0</v>
      </c>
      <c r="K688" s="819">
        <f t="shared" si="209"/>
        <v>4.5</v>
      </c>
      <c r="L688" s="500"/>
      <c r="M688" s="485">
        <f t="shared" si="203"/>
        <v>45</v>
      </c>
      <c r="N688" s="486"/>
      <c r="O688" s="486"/>
    </row>
    <row r="689" spans="1:16" s="487" customFormat="1" ht="18" customHeight="1">
      <c r="A689" s="478"/>
      <c r="B689" s="336" t="s">
        <v>392</v>
      </c>
      <c r="C689" s="479">
        <f t="shared" si="204"/>
        <v>4</v>
      </c>
      <c r="D689" s="480" t="s">
        <v>87</v>
      </c>
      <c r="E689" s="724">
        <f t="shared" si="205"/>
        <v>1</v>
      </c>
      <c r="F689" s="482">
        <f t="shared" ref="F689:G689" si="210">F307</f>
        <v>14</v>
      </c>
      <c r="G689" s="483">
        <f t="shared" si="210"/>
        <v>0</v>
      </c>
      <c r="H689" s="484"/>
      <c r="I689" s="819"/>
      <c r="J689" s="482">
        <f t="shared" ref="J689:K689" si="211">J307</f>
        <v>0</v>
      </c>
      <c r="K689" s="819">
        <f t="shared" si="211"/>
        <v>4.5</v>
      </c>
      <c r="L689" s="500"/>
      <c r="M689" s="485">
        <f t="shared" si="203"/>
        <v>21</v>
      </c>
      <c r="N689" s="486"/>
      <c r="O689" s="486"/>
      <c r="P689" s="487">
        <f>15.58-1-0.5*1.17</f>
        <v>13.995000000000001</v>
      </c>
    </row>
    <row r="690" spans="1:16" s="487" customFormat="1" ht="18" customHeight="1">
      <c r="A690" s="478"/>
      <c r="B690" s="336" t="s">
        <v>393</v>
      </c>
      <c r="C690" s="479">
        <f t="shared" si="204"/>
        <v>4</v>
      </c>
      <c r="D690" s="480" t="s">
        <v>87</v>
      </c>
      <c r="E690" s="724">
        <f t="shared" si="205"/>
        <v>1</v>
      </c>
      <c r="F690" s="482">
        <f t="shared" ref="F690:G690" si="212">F308</f>
        <v>14</v>
      </c>
      <c r="G690" s="483">
        <f t="shared" si="212"/>
        <v>7</v>
      </c>
      <c r="H690" s="484"/>
      <c r="I690" s="819"/>
      <c r="J690" s="482">
        <f t="shared" ref="J690:K690" si="213">J308</f>
        <v>0</v>
      </c>
      <c r="K690" s="819">
        <f t="shared" si="213"/>
        <v>4.5</v>
      </c>
      <c r="L690" s="500"/>
      <c r="M690" s="485">
        <f t="shared" si="203"/>
        <v>21.875</v>
      </c>
      <c r="N690" s="486"/>
      <c r="O690" s="486"/>
    </row>
    <row r="691" spans="1:16" s="487" customFormat="1" ht="18" customHeight="1">
      <c r="A691" s="478"/>
      <c r="B691" s="336" t="s">
        <v>394</v>
      </c>
      <c r="C691" s="479">
        <f t="shared" si="204"/>
        <v>4</v>
      </c>
      <c r="D691" s="480" t="s">
        <v>87</v>
      </c>
      <c r="E691" s="724">
        <f t="shared" si="205"/>
        <v>1</v>
      </c>
      <c r="F691" s="482">
        <f t="shared" ref="F691:G691" si="214">F309</f>
        <v>7</v>
      </c>
      <c r="G691" s="483">
        <f t="shared" si="214"/>
        <v>10</v>
      </c>
      <c r="H691" s="484"/>
      <c r="I691" s="819"/>
      <c r="J691" s="482">
        <f t="shared" ref="J691:K691" si="215">J309</f>
        <v>0</v>
      </c>
      <c r="K691" s="819">
        <f t="shared" si="215"/>
        <v>4.5</v>
      </c>
      <c r="L691" s="500"/>
      <c r="M691" s="485">
        <f t="shared" si="203"/>
        <v>11.75</v>
      </c>
      <c r="N691" s="486"/>
      <c r="O691" s="486"/>
    </row>
    <row r="692" spans="1:16" s="487" customFormat="1" ht="18" customHeight="1">
      <c r="A692" s="478"/>
      <c r="B692" s="336" t="s">
        <v>395</v>
      </c>
      <c r="C692" s="479">
        <f t="shared" si="204"/>
        <v>4</v>
      </c>
      <c r="D692" s="480" t="s">
        <v>87</v>
      </c>
      <c r="E692" s="724">
        <f t="shared" si="205"/>
        <v>1</v>
      </c>
      <c r="F692" s="482">
        <f t="shared" ref="F692:G692" si="216">F310</f>
        <v>8</v>
      </c>
      <c r="G692" s="483">
        <f t="shared" si="216"/>
        <v>0</v>
      </c>
      <c r="H692" s="484"/>
      <c r="I692" s="819"/>
      <c r="J692" s="482">
        <f t="shared" ref="J692:K692" si="217">J310</f>
        <v>0</v>
      </c>
      <c r="K692" s="819">
        <f t="shared" si="217"/>
        <v>4.5</v>
      </c>
      <c r="L692" s="500"/>
      <c r="M692" s="485">
        <f t="shared" si="203"/>
        <v>12</v>
      </c>
      <c r="N692" s="486"/>
      <c r="O692" s="486"/>
    </row>
    <row r="693" spans="1:16" s="487" customFormat="1" ht="18" customHeight="1">
      <c r="A693" s="478"/>
      <c r="B693" s="336" t="s">
        <v>396</v>
      </c>
      <c r="C693" s="479">
        <f t="shared" si="204"/>
        <v>4</v>
      </c>
      <c r="D693" s="480" t="s">
        <v>87</v>
      </c>
      <c r="E693" s="724">
        <f t="shared" si="205"/>
        <v>1</v>
      </c>
      <c r="F693" s="482">
        <f t="shared" ref="F693:G693" si="218">F311</f>
        <v>10</v>
      </c>
      <c r="G693" s="483">
        <f t="shared" si="218"/>
        <v>4</v>
      </c>
      <c r="H693" s="484"/>
      <c r="I693" s="819"/>
      <c r="J693" s="482">
        <f t="shared" ref="J693:K693" si="219">J311</f>
        <v>0</v>
      </c>
      <c r="K693" s="819">
        <f t="shared" si="219"/>
        <v>4.5</v>
      </c>
      <c r="L693" s="500"/>
      <c r="M693" s="485">
        <f t="shared" si="203"/>
        <v>15.5</v>
      </c>
      <c r="N693" s="486"/>
      <c r="O693" s="486"/>
      <c r="P693" s="487">
        <f>11.92-1-0.5*1.17</f>
        <v>10.335000000000001</v>
      </c>
    </row>
    <row r="694" spans="1:16" s="487" customFormat="1" ht="18" customHeight="1">
      <c r="A694" s="478"/>
      <c r="B694" s="336" t="s">
        <v>397</v>
      </c>
      <c r="C694" s="479">
        <f t="shared" si="204"/>
        <v>4</v>
      </c>
      <c r="D694" s="480" t="s">
        <v>87</v>
      </c>
      <c r="E694" s="724">
        <f t="shared" si="205"/>
        <v>1</v>
      </c>
      <c r="F694" s="482">
        <f t="shared" ref="F694:G694" si="220">F312</f>
        <v>10</v>
      </c>
      <c r="G694" s="483">
        <f t="shared" si="220"/>
        <v>11</v>
      </c>
      <c r="H694" s="484"/>
      <c r="I694" s="819"/>
      <c r="J694" s="482">
        <f t="shared" ref="J694:K694" si="221">J312</f>
        <v>0</v>
      </c>
      <c r="K694" s="819">
        <f t="shared" si="221"/>
        <v>4.5</v>
      </c>
      <c r="L694" s="500"/>
      <c r="M694" s="485">
        <f t="shared" si="203"/>
        <v>16.375</v>
      </c>
      <c r="N694" s="486"/>
      <c r="O694" s="486"/>
    </row>
    <row r="695" spans="1:16" s="487" customFormat="1" ht="18" customHeight="1">
      <c r="A695" s="478"/>
      <c r="B695" s="336"/>
      <c r="C695" s="479"/>
      <c r="D695" s="480"/>
      <c r="E695" s="724"/>
      <c r="F695" s="482"/>
      <c r="G695" s="483"/>
      <c r="H695" s="484"/>
      <c r="I695" s="819"/>
      <c r="J695" s="749"/>
      <c r="K695" s="819"/>
      <c r="L695" s="500"/>
      <c r="M695" s="485"/>
      <c r="N695" s="486"/>
      <c r="O695" s="486"/>
    </row>
    <row r="696" spans="1:16" s="487" customFormat="1" ht="18" customHeight="1">
      <c r="A696" s="478"/>
      <c r="B696" s="873" t="s">
        <v>406</v>
      </c>
      <c r="C696" s="479"/>
      <c r="D696" s="480"/>
      <c r="E696" s="481"/>
      <c r="F696" s="482"/>
      <c r="G696" s="483"/>
      <c r="H696" s="484"/>
      <c r="I696" s="483"/>
      <c r="J696" s="749"/>
      <c r="K696" s="483"/>
      <c r="L696" s="726"/>
      <c r="M696" s="485"/>
      <c r="N696" s="726"/>
      <c r="O696" s="726"/>
    </row>
    <row r="697" spans="1:16" s="487" customFormat="1" ht="18" customHeight="1">
      <c r="A697" s="478"/>
      <c r="B697" s="336" t="s">
        <v>398</v>
      </c>
      <c r="C697" s="479">
        <f t="shared" ref="C697:C704" si="222">C315*2</f>
        <v>4</v>
      </c>
      <c r="D697" s="480" t="s">
        <v>87</v>
      </c>
      <c r="E697" s="481">
        <f t="shared" ref="E697:G704" si="223">E315</f>
        <v>2</v>
      </c>
      <c r="F697" s="482">
        <f t="shared" si="223"/>
        <v>10</v>
      </c>
      <c r="G697" s="483">
        <f t="shared" si="223"/>
        <v>10</v>
      </c>
      <c r="H697" s="484"/>
      <c r="I697" s="483"/>
      <c r="J697" s="749">
        <f t="shared" ref="J697:K704" si="224">J315</f>
        <v>0</v>
      </c>
      <c r="K697" s="819">
        <f t="shared" si="224"/>
        <v>4.5</v>
      </c>
      <c r="L697" s="726"/>
      <c r="M697" s="485">
        <f t="shared" ref="M697:M704" si="225">IF(C697=0,1,C697)*IF(E697=0,1,E697)*IF((F697+G697/12)=0,1,(F697+G697/12))*IF((H697+I697/12)=0,1,(H697+I697/12))*IF((J697+K697/12)=0,1,(J697+K697/12))</f>
        <v>32.5</v>
      </c>
      <c r="N697" s="726"/>
      <c r="O697" s="726"/>
    </row>
    <row r="698" spans="1:16" s="487" customFormat="1" ht="18" customHeight="1">
      <c r="A698" s="478"/>
      <c r="B698" s="336" t="s">
        <v>399</v>
      </c>
      <c r="C698" s="479">
        <f t="shared" si="222"/>
        <v>4</v>
      </c>
      <c r="D698" s="480" t="s">
        <v>87</v>
      </c>
      <c r="E698" s="481">
        <f t="shared" si="223"/>
        <v>1</v>
      </c>
      <c r="F698" s="482">
        <f t="shared" si="223"/>
        <v>15</v>
      </c>
      <c r="G698" s="483">
        <f t="shared" si="223"/>
        <v>7</v>
      </c>
      <c r="H698" s="484"/>
      <c r="I698" s="483"/>
      <c r="J698" s="749">
        <f t="shared" si="224"/>
        <v>0</v>
      </c>
      <c r="K698" s="819">
        <f t="shared" si="224"/>
        <v>4.5</v>
      </c>
      <c r="L698" s="726"/>
      <c r="M698" s="485">
        <f t="shared" si="225"/>
        <v>23.375</v>
      </c>
      <c r="N698" s="726"/>
      <c r="O698" s="726"/>
    </row>
    <row r="699" spans="1:16" s="487" customFormat="1" ht="18" customHeight="1">
      <c r="A699" s="478"/>
      <c r="B699" s="336" t="s">
        <v>645</v>
      </c>
      <c r="C699" s="479">
        <f t="shared" si="222"/>
        <v>4</v>
      </c>
      <c r="D699" s="480" t="s">
        <v>87</v>
      </c>
      <c r="E699" s="481">
        <f t="shared" si="223"/>
        <v>1</v>
      </c>
      <c r="F699" s="482">
        <f t="shared" si="223"/>
        <v>11</v>
      </c>
      <c r="G699" s="483">
        <f t="shared" si="223"/>
        <v>0</v>
      </c>
      <c r="H699" s="484"/>
      <c r="I699" s="483"/>
      <c r="J699" s="749">
        <f t="shared" si="224"/>
        <v>0</v>
      </c>
      <c r="K699" s="819">
        <f t="shared" si="224"/>
        <v>4.5</v>
      </c>
      <c r="L699" s="726"/>
      <c r="M699" s="485">
        <f t="shared" si="225"/>
        <v>16.5</v>
      </c>
      <c r="N699" s="726"/>
      <c r="O699" s="726"/>
    </row>
    <row r="700" spans="1:16" s="487" customFormat="1" ht="18" customHeight="1">
      <c r="A700" s="478"/>
      <c r="B700" s="336" t="s">
        <v>400</v>
      </c>
      <c r="C700" s="479">
        <f t="shared" si="222"/>
        <v>4</v>
      </c>
      <c r="D700" s="480" t="s">
        <v>87</v>
      </c>
      <c r="E700" s="481">
        <f t="shared" si="223"/>
        <v>1</v>
      </c>
      <c r="F700" s="482">
        <f t="shared" si="223"/>
        <v>14</v>
      </c>
      <c r="G700" s="483">
        <f t="shared" si="223"/>
        <v>6</v>
      </c>
      <c r="H700" s="484"/>
      <c r="I700" s="483"/>
      <c r="J700" s="749">
        <f t="shared" si="224"/>
        <v>0</v>
      </c>
      <c r="K700" s="819">
        <f t="shared" si="224"/>
        <v>4.5</v>
      </c>
      <c r="L700" s="726"/>
      <c r="M700" s="485">
        <f t="shared" si="225"/>
        <v>21.75</v>
      </c>
      <c r="N700" s="726"/>
      <c r="O700" s="726"/>
    </row>
    <row r="701" spans="1:16" s="487" customFormat="1" ht="18" customHeight="1">
      <c r="A701" s="478"/>
      <c r="B701" s="336" t="s">
        <v>401</v>
      </c>
      <c r="C701" s="479">
        <f t="shared" si="222"/>
        <v>4</v>
      </c>
      <c r="D701" s="480" t="s">
        <v>87</v>
      </c>
      <c r="E701" s="481">
        <f t="shared" si="223"/>
        <v>1</v>
      </c>
      <c r="F701" s="482">
        <f t="shared" si="223"/>
        <v>7</v>
      </c>
      <c r="G701" s="483">
        <f t="shared" si="223"/>
        <v>6</v>
      </c>
      <c r="H701" s="484"/>
      <c r="I701" s="483"/>
      <c r="J701" s="749">
        <f t="shared" si="224"/>
        <v>0</v>
      </c>
      <c r="K701" s="819">
        <f t="shared" si="224"/>
        <v>4.5</v>
      </c>
      <c r="L701" s="726"/>
      <c r="M701" s="485">
        <f t="shared" si="225"/>
        <v>11.25</v>
      </c>
      <c r="N701" s="726"/>
      <c r="O701" s="726"/>
    </row>
    <row r="702" spans="1:16" s="487" customFormat="1" ht="18" customHeight="1">
      <c r="A702" s="478"/>
      <c r="B702" s="336" t="s">
        <v>402</v>
      </c>
      <c r="C702" s="479">
        <f t="shared" si="222"/>
        <v>4</v>
      </c>
      <c r="D702" s="480" t="s">
        <v>87</v>
      </c>
      <c r="E702" s="481">
        <f t="shared" si="223"/>
        <v>1</v>
      </c>
      <c r="F702" s="482">
        <f t="shared" si="223"/>
        <v>10</v>
      </c>
      <c r="G702" s="483">
        <f t="shared" si="223"/>
        <v>5</v>
      </c>
      <c r="H702" s="484"/>
      <c r="I702" s="483"/>
      <c r="J702" s="749">
        <f t="shared" si="224"/>
        <v>0</v>
      </c>
      <c r="K702" s="819">
        <f t="shared" si="224"/>
        <v>4.5</v>
      </c>
      <c r="L702" s="726"/>
      <c r="M702" s="485">
        <f t="shared" si="225"/>
        <v>15.625</v>
      </c>
      <c r="N702" s="726"/>
      <c r="O702" s="726"/>
    </row>
    <row r="703" spans="1:16" s="487" customFormat="1" ht="18" customHeight="1">
      <c r="A703" s="478"/>
      <c r="B703" s="336" t="s">
        <v>403</v>
      </c>
      <c r="C703" s="479">
        <f t="shared" si="222"/>
        <v>4</v>
      </c>
      <c r="D703" s="480" t="s">
        <v>87</v>
      </c>
      <c r="E703" s="481">
        <f t="shared" si="223"/>
        <v>1</v>
      </c>
      <c r="F703" s="482">
        <f t="shared" si="223"/>
        <v>7</v>
      </c>
      <c r="G703" s="483">
        <f t="shared" si="223"/>
        <v>11</v>
      </c>
      <c r="H703" s="484"/>
      <c r="I703" s="483"/>
      <c r="J703" s="749">
        <f t="shared" si="224"/>
        <v>0</v>
      </c>
      <c r="K703" s="819">
        <f t="shared" si="224"/>
        <v>4.5</v>
      </c>
      <c r="L703" s="726"/>
      <c r="M703" s="485">
        <f t="shared" si="225"/>
        <v>11.875</v>
      </c>
      <c r="N703" s="726"/>
      <c r="O703" s="726"/>
    </row>
    <row r="704" spans="1:16" s="487" customFormat="1" ht="18" customHeight="1">
      <c r="A704" s="478"/>
      <c r="B704" s="336" t="s">
        <v>404</v>
      </c>
      <c r="C704" s="479">
        <f t="shared" si="222"/>
        <v>4</v>
      </c>
      <c r="D704" s="480" t="s">
        <v>87</v>
      </c>
      <c r="E704" s="481">
        <f t="shared" si="223"/>
        <v>1</v>
      </c>
      <c r="F704" s="482">
        <f t="shared" si="223"/>
        <v>5</v>
      </c>
      <c r="G704" s="483">
        <f t="shared" si="223"/>
        <v>7</v>
      </c>
      <c r="H704" s="484"/>
      <c r="I704" s="483"/>
      <c r="J704" s="749">
        <f t="shared" si="224"/>
        <v>0</v>
      </c>
      <c r="K704" s="819">
        <f t="shared" si="224"/>
        <v>4.5</v>
      </c>
      <c r="L704" s="726"/>
      <c r="M704" s="485">
        <f t="shared" si="225"/>
        <v>8.375</v>
      </c>
      <c r="N704" s="726"/>
      <c r="O704" s="726"/>
    </row>
    <row r="705" spans="1:16" s="487" customFormat="1" ht="18" customHeight="1">
      <c r="A705" s="478"/>
      <c r="B705" s="726" t="s">
        <v>170</v>
      </c>
      <c r="C705" s="479"/>
      <c r="D705" s="480"/>
      <c r="E705" s="481"/>
      <c r="F705" s="482"/>
      <c r="G705" s="483"/>
      <c r="H705" s="484"/>
      <c r="I705" s="483"/>
      <c r="J705" s="749"/>
      <c r="K705" s="483"/>
      <c r="L705" s="478"/>
      <c r="M705" s="485"/>
      <c r="N705" s="726"/>
      <c r="O705" s="726"/>
    </row>
    <row r="706" spans="1:16" s="487" customFormat="1" ht="18" customHeight="1">
      <c r="A706" s="478"/>
      <c r="B706" s="336" t="s">
        <v>405</v>
      </c>
      <c r="C706" s="479">
        <f>C324</f>
        <v>6</v>
      </c>
      <c r="D706" s="480" t="s">
        <v>87</v>
      </c>
      <c r="E706" s="481">
        <f>E324*2</f>
        <v>2</v>
      </c>
      <c r="F706" s="482">
        <f>F324</f>
        <v>13</v>
      </c>
      <c r="G706" s="483">
        <f>G324</f>
        <v>0</v>
      </c>
      <c r="H706" s="484"/>
      <c r="I706" s="483"/>
      <c r="J706" s="749">
        <f>J324</f>
        <v>0</v>
      </c>
      <c r="K706" s="819">
        <f>K324</f>
        <v>4.5</v>
      </c>
      <c r="L706" s="478"/>
      <c r="M706" s="485">
        <f t="shared" ref="M706" si="226">IF(C706=0,1,C706)*IF(E706=0,1,E706)*IF((F706+G706/12)=0,1,(F706+G706/12))*IF((H706+I706/12)=0,1,(H706+I706/12))*IF((J706+K706/12)=0,1,(J706+K706/12))</f>
        <v>58.5</v>
      </c>
      <c r="N706" s="726"/>
      <c r="O706" s="726"/>
    </row>
    <row r="707" spans="1:16" s="487" customFormat="1" ht="18" customHeight="1">
      <c r="A707" s="478"/>
      <c r="B707" s="336"/>
      <c r="C707" s="479"/>
      <c r="D707" s="480"/>
      <c r="E707" s="481"/>
      <c r="F707" s="482"/>
      <c r="G707" s="483"/>
      <c r="H707" s="484"/>
      <c r="I707" s="483"/>
      <c r="J707" s="749"/>
      <c r="K707" s="819"/>
      <c r="L707" s="478"/>
      <c r="M707" s="485"/>
      <c r="N707" s="858">
        <f>SUM(M685:M706)</f>
        <v>392.75</v>
      </c>
      <c r="O707" s="885" t="s">
        <v>19</v>
      </c>
    </row>
    <row r="708" spans="1:16" s="487" customFormat="1" ht="18" customHeight="1">
      <c r="A708" s="478"/>
      <c r="B708" s="869" t="s">
        <v>171</v>
      </c>
      <c r="C708" s="479"/>
      <c r="D708" s="480"/>
      <c r="E708" s="481"/>
      <c r="F708" s="482"/>
      <c r="G708" s="483"/>
      <c r="H708" s="484"/>
      <c r="I708" s="483"/>
      <c r="J708" s="749"/>
      <c r="K708" s="819"/>
      <c r="L708" s="478"/>
      <c r="M708" s="485"/>
      <c r="N708" s="726"/>
      <c r="O708" s="726"/>
    </row>
    <row r="709" spans="1:16" s="487" customFormat="1" ht="18" customHeight="1">
      <c r="A709" s="478"/>
      <c r="B709" s="726" t="s">
        <v>169</v>
      </c>
      <c r="C709" s="479"/>
      <c r="D709" s="480"/>
      <c r="E709" s="481"/>
      <c r="F709" s="482"/>
      <c r="G709" s="483"/>
      <c r="H709" s="484"/>
      <c r="I709" s="483"/>
      <c r="J709" s="749"/>
      <c r="K709" s="819"/>
      <c r="L709" s="478"/>
      <c r="M709" s="485"/>
      <c r="N709" s="726"/>
      <c r="O709" s="726"/>
    </row>
    <row r="710" spans="1:16" s="487" customFormat="1" ht="18" customHeight="1">
      <c r="A710" s="478"/>
      <c r="B710" s="873" t="s">
        <v>388</v>
      </c>
      <c r="C710" s="479"/>
      <c r="D710" s="480"/>
      <c r="E710" s="724"/>
      <c r="F710" s="482"/>
      <c r="G710" s="483"/>
      <c r="H710" s="484"/>
      <c r="I710" s="483"/>
      <c r="J710" s="749"/>
      <c r="K710" s="483"/>
      <c r="L710" s="500"/>
      <c r="M710" s="485"/>
      <c r="N710" s="486"/>
      <c r="O710" s="486"/>
    </row>
    <row r="711" spans="1:16" s="487" customFormat="1" ht="18" customHeight="1">
      <c r="A711" s="478"/>
      <c r="B711" s="336" t="s">
        <v>389</v>
      </c>
      <c r="C711" s="479">
        <f>C329</f>
        <v>2</v>
      </c>
      <c r="D711" s="480" t="s">
        <v>87</v>
      </c>
      <c r="E711" s="724">
        <f>E329</f>
        <v>1</v>
      </c>
      <c r="F711" s="482">
        <f>F329</f>
        <v>16</v>
      </c>
      <c r="G711" s="483">
        <f>G329</f>
        <v>6</v>
      </c>
      <c r="H711" s="484"/>
      <c r="I711" s="819"/>
      <c r="J711" s="482">
        <f>J329</f>
        <v>0</v>
      </c>
      <c r="K711" s="819">
        <f>K329</f>
        <v>4.5</v>
      </c>
      <c r="L711" s="500"/>
      <c r="M711" s="485">
        <f t="shared" ref="M711:M720" si="227">IF(C711=0,1,C711)*IF(E711=0,1,E711)*IF((F711+G711/12)=0,1,(F711+G711/12))*IF((H711+I711/12)=0,1,(H711+I711/12))*IF((J711+K711/12)=0,1,(J711+K711/12))</f>
        <v>12.375</v>
      </c>
      <c r="N711" s="486"/>
      <c r="O711" s="486"/>
    </row>
    <row r="712" spans="1:16" s="487" customFormat="1" ht="18" customHeight="1">
      <c r="A712" s="478"/>
      <c r="B712" s="336" t="s">
        <v>390</v>
      </c>
      <c r="C712" s="479">
        <v>2</v>
      </c>
      <c r="D712" s="480" t="s">
        <v>87</v>
      </c>
      <c r="E712" s="724">
        <v>1</v>
      </c>
      <c r="F712" s="482">
        <f t="shared" ref="F712:G712" si="228">F330</f>
        <v>16</v>
      </c>
      <c r="G712" s="483">
        <f t="shared" si="228"/>
        <v>6</v>
      </c>
      <c r="H712" s="484"/>
      <c r="I712" s="819"/>
      <c r="J712" s="482">
        <f t="shared" ref="J712:K712" si="229">J330</f>
        <v>0</v>
      </c>
      <c r="K712" s="819">
        <f t="shared" si="229"/>
        <v>4.5</v>
      </c>
      <c r="L712" s="500"/>
      <c r="M712" s="485">
        <f t="shared" si="227"/>
        <v>12.375</v>
      </c>
      <c r="N712" s="486"/>
      <c r="O712" s="486"/>
    </row>
    <row r="713" spans="1:16" s="487" customFormat="1" ht="18" customHeight="1">
      <c r="A713" s="478"/>
      <c r="B713" s="336" t="s">
        <v>391</v>
      </c>
      <c r="C713" s="479">
        <v>2</v>
      </c>
      <c r="D713" s="480" t="s">
        <v>87</v>
      </c>
      <c r="E713" s="724">
        <v>2</v>
      </c>
      <c r="F713" s="482">
        <f t="shared" ref="F713:G713" si="230">F331</f>
        <v>15</v>
      </c>
      <c r="G713" s="483">
        <f t="shared" si="230"/>
        <v>0</v>
      </c>
      <c r="H713" s="484"/>
      <c r="I713" s="819"/>
      <c r="J713" s="482">
        <f t="shared" ref="J713:K713" si="231">J331</f>
        <v>0</v>
      </c>
      <c r="K713" s="819">
        <f t="shared" si="231"/>
        <v>4.5</v>
      </c>
      <c r="L713" s="500"/>
      <c r="M713" s="485">
        <f t="shared" si="227"/>
        <v>22.5</v>
      </c>
      <c r="N713" s="486"/>
      <c r="O713" s="486"/>
    </row>
    <row r="714" spans="1:16" s="487" customFormat="1" ht="18" customHeight="1">
      <c r="A714" s="478"/>
      <c r="B714" s="336" t="s">
        <v>392</v>
      </c>
      <c r="C714" s="479">
        <v>2</v>
      </c>
      <c r="D714" s="480" t="s">
        <v>87</v>
      </c>
      <c r="E714" s="724">
        <v>1</v>
      </c>
      <c r="F714" s="482">
        <f t="shared" ref="F714:G714" si="232">F332</f>
        <v>14</v>
      </c>
      <c r="G714" s="483">
        <f t="shared" si="232"/>
        <v>0</v>
      </c>
      <c r="H714" s="484"/>
      <c r="I714" s="819"/>
      <c r="J714" s="482">
        <f t="shared" ref="J714:K714" si="233">J332</f>
        <v>0</v>
      </c>
      <c r="K714" s="819">
        <f t="shared" si="233"/>
        <v>4.5</v>
      </c>
      <c r="L714" s="500"/>
      <c r="M714" s="485">
        <f t="shared" si="227"/>
        <v>10.5</v>
      </c>
      <c r="N714" s="486"/>
      <c r="O714" s="486"/>
      <c r="P714" s="487">
        <f>15.58-1-0.5*1.17</f>
        <v>13.995000000000001</v>
      </c>
    </row>
    <row r="715" spans="1:16" s="487" customFormat="1" ht="18" customHeight="1">
      <c r="A715" s="478"/>
      <c r="B715" s="336" t="s">
        <v>393</v>
      </c>
      <c r="C715" s="479">
        <v>2</v>
      </c>
      <c r="D715" s="480" t="s">
        <v>87</v>
      </c>
      <c r="E715" s="724">
        <v>1</v>
      </c>
      <c r="F715" s="482">
        <f t="shared" ref="F715:G715" si="234">F333</f>
        <v>14</v>
      </c>
      <c r="G715" s="483">
        <f t="shared" si="234"/>
        <v>7</v>
      </c>
      <c r="H715" s="484"/>
      <c r="I715" s="819"/>
      <c r="J715" s="482">
        <f t="shared" ref="J715:K715" si="235">J333</f>
        <v>0</v>
      </c>
      <c r="K715" s="819">
        <f t="shared" si="235"/>
        <v>4.5</v>
      </c>
      <c r="L715" s="500"/>
      <c r="M715" s="485">
        <f t="shared" si="227"/>
        <v>10.9375</v>
      </c>
      <c r="N715" s="486"/>
      <c r="O715" s="486"/>
    </row>
    <row r="716" spans="1:16" s="487" customFormat="1" ht="18" customHeight="1">
      <c r="A716" s="478"/>
      <c r="B716" s="336" t="s">
        <v>394</v>
      </c>
      <c r="C716" s="479">
        <v>2</v>
      </c>
      <c r="D716" s="480" t="s">
        <v>87</v>
      </c>
      <c r="E716" s="724">
        <v>1</v>
      </c>
      <c r="F716" s="482">
        <f t="shared" ref="F716:G716" si="236">F334</f>
        <v>7</v>
      </c>
      <c r="G716" s="483">
        <f t="shared" si="236"/>
        <v>10</v>
      </c>
      <c r="H716" s="484"/>
      <c r="I716" s="819"/>
      <c r="J716" s="482">
        <f t="shared" ref="J716:K716" si="237">J334</f>
        <v>0</v>
      </c>
      <c r="K716" s="819">
        <f t="shared" si="237"/>
        <v>4.5</v>
      </c>
      <c r="L716" s="500"/>
      <c r="M716" s="485">
        <f t="shared" si="227"/>
        <v>5.875</v>
      </c>
      <c r="N716" s="486"/>
      <c r="O716" s="486"/>
    </row>
    <row r="717" spans="1:16" s="487" customFormat="1" ht="18" customHeight="1">
      <c r="A717" s="478"/>
      <c r="B717" s="336" t="s">
        <v>395</v>
      </c>
      <c r="C717" s="479">
        <v>2</v>
      </c>
      <c r="D717" s="480" t="s">
        <v>87</v>
      </c>
      <c r="E717" s="724">
        <v>1</v>
      </c>
      <c r="F717" s="482">
        <f t="shared" ref="F717:G717" si="238">F335</f>
        <v>8</v>
      </c>
      <c r="G717" s="483">
        <f t="shared" si="238"/>
        <v>0</v>
      </c>
      <c r="H717" s="484"/>
      <c r="I717" s="819"/>
      <c r="J717" s="482">
        <f t="shared" ref="J717:K717" si="239">J335</f>
        <v>0</v>
      </c>
      <c r="K717" s="819">
        <f t="shared" si="239"/>
        <v>4.5</v>
      </c>
      <c r="L717" s="500"/>
      <c r="M717" s="485">
        <f t="shared" si="227"/>
        <v>6</v>
      </c>
      <c r="N717" s="486"/>
      <c r="O717" s="486"/>
    </row>
    <row r="718" spans="1:16" s="487" customFormat="1" ht="18" customHeight="1">
      <c r="A718" s="478"/>
      <c r="B718" s="336" t="s">
        <v>396</v>
      </c>
      <c r="C718" s="479">
        <v>2</v>
      </c>
      <c r="D718" s="480" t="s">
        <v>87</v>
      </c>
      <c r="E718" s="724">
        <v>1</v>
      </c>
      <c r="F718" s="482">
        <f t="shared" ref="F718:G718" si="240">F336</f>
        <v>10</v>
      </c>
      <c r="G718" s="483">
        <f t="shared" si="240"/>
        <v>4</v>
      </c>
      <c r="H718" s="484"/>
      <c r="I718" s="819"/>
      <c r="J718" s="482">
        <f t="shared" ref="J718:K718" si="241">J336</f>
        <v>0</v>
      </c>
      <c r="K718" s="819">
        <f t="shared" si="241"/>
        <v>4.5</v>
      </c>
      <c r="L718" s="500"/>
      <c r="M718" s="485">
        <f t="shared" si="227"/>
        <v>7.75</v>
      </c>
      <c r="N718" s="486"/>
      <c r="O718" s="486"/>
      <c r="P718" s="487">
        <f>11.92-1-0.5*1.17</f>
        <v>10.335000000000001</v>
      </c>
    </row>
    <row r="719" spans="1:16" s="487" customFormat="1" ht="18" customHeight="1">
      <c r="A719" s="478"/>
      <c r="B719" s="336" t="s">
        <v>397</v>
      </c>
      <c r="C719" s="479">
        <v>2</v>
      </c>
      <c r="D719" s="480" t="s">
        <v>87</v>
      </c>
      <c r="E719" s="724">
        <v>1</v>
      </c>
      <c r="F719" s="482">
        <f t="shared" ref="F719:G719" si="242">F337</f>
        <v>10</v>
      </c>
      <c r="G719" s="483">
        <f t="shared" si="242"/>
        <v>11</v>
      </c>
      <c r="H719" s="484"/>
      <c r="I719" s="819"/>
      <c r="J719" s="482">
        <f t="shared" ref="J719:K719" si="243">J337</f>
        <v>0</v>
      </c>
      <c r="K719" s="819">
        <f t="shared" si="243"/>
        <v>4.5</v>
      </c>
      <c r="L719" s="500"/>
      <c r="M719" s="485">
        <f t="shared" si="227"/>
        <v>8.1875</v>
      </c>
      <c r="N719" s="486"/>
      <c r="O719" s="486"/>
    </row>
    <row r="720" spans="1:16" s="487" customFormat="1" ht="18" customHeight="1">
      <c r="A720" s="478"/>
      <c r="B720" s="336" t="s">
        <v>646</v>
      </c>
      <c r="C720" s="479">
        <v>2</v>
      </c>
      <c r="D720" s="480" t="s">
        <v>87</v>
      </c>
      <c r="E720" s="724">
        <v>2</v>
      </c>
      <c r="F720" s="482">
        <f t="shared" ref="F720:G720" si="244">F338</f>
        <v>4</v>
      </c>
      <c r="G720" s="483">
        <f t="shared" si="244"/>
        <v>0</v>
      </c>
      <c r="H720" s="484"/>
      <c r="I720" s="819"/>
      <c r="J720" s="482">
        <f t="shared" ref="J720:K720" si="245">J338</f>
        <v>0</v>
      </c>
      <c r="K720" s="819">
        <f t="shared" si="245"/>
        <v>4.5</v>
      </c>
      <c r="L720" s="500"/>
      <c r="M720" s="485">
        <f t="shared" si="227"/>
        <v>6</v>
      </c>
      <c r="N720" s="486"/>
      <c r="O720" s="486"/>
    </row>
    <row r="721" spans="1:15" s="487" customFormat="1" ht="18" customHeight="1">
      <c r="A721" s="478"/>
      <c r="B721" s="873" t="s">
        <v>406</v>
      </c>
      <c r="C721" s="479"/>
      <c r="D721" s="480"/>
      <c r="E721" s="481"/>
      <c r="F721" s="482"/>
      <c r="G721" s="483"/>
      <c r="H721" s="484"/>
      <c r="I721" s="483"/>
      <c r="J721" s="749"/>
      <c r="K721" s="819"/>
      <c r="L721" s="478"/>
      <c r="M721" s="485"/>
      <c r="N721" s="726"/>
      <c r="O721" s="726"/>
    </row>
    <row r="722" spans="1:15" s="487" customFormat="1" ht="18" customHeight="1">
      <c r="A722" s="478"/>
      <c r="B722" s="336" t="s">
        <v>398</v>
      </c>
      <c r="C722" s="479">
        <f t="shared" ref="C722:C728" si="246">C341*2</f>
        <v>4</v>
      </c>
      <c r="D722" s="480" t="s">
        <v>87</v>
      </c>
      <c r="E722" s="481">
        <f t="shared" ref="E722:G728" si="247">E341</f>
        <v>2</v>
      </c>
      <c r="F722" s="482">
        <f t="shared" si="247"/>
        <v>10</v>
      </c>
      <c r="G722" s="483">
        <f t="shared" si="247"/>
        <v>10</v>
      </c>
      <c r="H722" s="484"/>
      <c r="I722" s="483"/>
      <c r="J722" s="749">
        <f t="shared" ref="J722:K728" si="248">J341</f>
        <v>0</v>
      </c>
      <c r="K722" s="819">
        <f t="shared" si="248"/>
        <v>4.5</v>
      </c>
      <c r="L722" s="478"/>
      <c r="M722" s="485">
        <f t="shared" ref="M722:M728" si="249">IF(C722=0,1,C722)*IF(E722=0,1,E722)*IF((F722+G722/12)=0,1,(F722+G722/12))*IF((H722+I722/12)=0,1,(H722+I722/12))*IF((J722+K722/12)=0,1,(J722+K722/12))</f>
        <v>32.5</v>
      </c>
      <c r="N722" s="726"/>
      <c r="O722" s="726"/>
    </row>
    <row r="723" spans="1:15" s="487" customFormat="1" ht="18" customHeight="1">
      <c r="A723" s="478"/>
      <c r="B723" s="336" t="s">
        <v>407</v>
      </c>
      <c r="C723" s="479">
        <f t="shared" si="246"/>
        <v>4</v>
      </c>
      <c r="D723" s="480" t="s">
        <v>87</v>
      </c>
      <c r="E723" s="481">
        <f t="shared" si="247"/>
        <v>1</v>
      </c>
      <c r="F723" s="482">
        <f t="shared" si="247"/>
        <v>8</v>
      </c>
      <c r="G723" s="483">
        <f t="shared" si="247"/>
        <v>0</v>
      </c>
      <c r="H723" s="484"/>
      <c r="I723" s="483"/>
      <c r="J723" s="749">
        <f t="shared" si="248"/>
        <v>0</v>
      </c>
      <c r="K723" s="819">
        <f t="shared" si="248"/>
        <v>4.5</v>
      </c>
      <c r="L723" s="478"/>
      <c r="M723" s="485">
        <f t="shared" si="249"/>
        <v>12</v>
      </c>
      <c r="N723" s="726"/>
      <c r="O723" s="726"/>
    </row>
    <row r="724" spans="1:15" s="487" customFormat="1" ht="18" customHeight="1">
      <c r="A724" s="478"/>
      <c r="B724" s="336" t="s">
        <v>660</v>
      </c>
      <c r="C724" s="479">
        <f t="shared" si="246"/>
        <v>4</v>
      </c>
      <c r="D724" s="480" t="s">
        <v>87</v>
      </c>
      <c r="E724" s="481">
        <f t="shared" si="247"/>
        <v>1</v>
      </c>
      <c r="F724" s="482">
        <f t="shared" si="247"/>
        <v>6</v>
      </c>
      <c r="G724" s="483">
        <f t="shared" si="247"/>
        <v>0</v>
      </c>
      <c r="H724" s="484"/>
      <c r="I724" s="483"/>
      <c r="J724" s="749">
        <f t="shared" si="248"/>
        <v>0</v>
      </c>
      <c r="K724" s="819">
        <f t="shared" si="248"/>
        <v>4.5</v>
      </c>
      <c r="L724" s="478"/>
      <c r="M724" s="485">
        <f t="shared" si="249"/>
        <v>9</v>
      </c>
      <c r="N724" s="726"/>
      <c r="O724" s="726"/>
    </row>
    <row r="725" spans="1:15" s="487" customFormat="1" ht="18" customHeight="1">
      <c r="A725" s="478"/>
      <c r="B725" s="336" t="s">
        <v>649</v>
      </c>
      <c r="C725" s="479">
        <f t="shared" si="246"/>
        <v>4</v>
      </c>
      <c r="D725" s="480" t="s">
        <v>87</v>
      </c>
      <c r="E725" s="481">
        <f t="shared" si="247"/>
        <v>1</v>
      </c>
      <c r="F725" s="482">
        <f t="shared" si="247"/>
        <v>9</v>
      </c>
      <c r="G725" s="483">
        <f t="shared" si="247"/>
        <v>6</v>
      </c>
      <c r="H725" s="484"/>
      <c r="I725" s="483"/>
      <c r="J725" s="749">
        <f t="shared" si="248"/>
        <v>0</v>
      </c>
      <c r="K725" s="819">
        <f t="shared" si="248"/>
        <v>4.5</v>
      </c>
      <c r="L725" s="478"/>
      <c r="M725" s="485">
        <f t="shared" ref="M725" si="250">IF(C725=0,1,C725)*IF(E725=0,1,E725)*IF((F725+G725/12)=0,1,(F725+G725/12))*IF((H725+I725/12)=0,1,(H725+I725/12))*IF((J725+K725/12)=0,1,(J725+K725/12))</f>
        <v>14.25</v>
      </c>
      <c r="N725" s="726"/>
      <c r="O725" s="726"/>
    </row>
    <row r="726" spans="1:15" s="487" customFormat="1" ht="18" customHeight="1">
      <c r="A726" s="478"/>
      <c r="B726" s="336" t="s">
        <v>647</v>
      </c>
      <c r="C726" s="479">
        <f t="shared" si="246"/>
        <v>4</v>
      </c>
      <c r="D726" s="480" t="s">
        <v>87</v>
      </c>
      <c r="E726" s="481">
        <f t="shared" si="247"/>
        <v>1</v>
      </c>
      <c r="F726" s="482">
        <f t="shared" si="247"/>
        <v>8</v>
      </c>
      <c r="G726" s="483">
        <f t="shared" si="247"/>
        <v>0</v>
      </c>
      <c r="H726" s="484"/>
      <c r="I726" s="483"/>
      <c r="J726" s="749">
        <f t="shared" si="248"/>
        <v>0</v>
      </c>
      <c r="K726" s="819">
        <f t="shared" si="248"/>
        <v>4.5</v>
      </c>
      <c r="L726" s="478"/>
      <c r="M726" s="485">
        <f t="shared" si="249"/>
        <v>12</v>
      </c>
      <c r="N726" s="726"/>
      <c r="O726" s="726"/>
    </row>
    <row r="727" spans="1:15" s="487" customFormat="1" ht="18" customHeight="1">
      <c r="A727" s="478"/>
      <c r="B727" s="336" t="s">
        <v>661</v>
      </c>
      <c r="C727" s="479">
        <f t="shared" si="246"/>
        <v>4</v>
      </c>
      <c r="D727" s="480" t="s">
        <v>87</v>
      </c>
      <c r="E727" s="481">
        <f t="shared" si="247"/>
        <v>1</v>
      </c>
      <c r="F727" s="482">
        <f t="shared" si="247"/>
        <v>6</v>
      </c>
      <c r="G727" s="483">
        <f t="shared" si="247"/>
        <v>0</v>
      </c>
      <c r="H727" s="484"/>
      <c r="I727" s="483"/>
      <c r="J727" s="749">
        <f t="shared" si="248"/>
        <v>0</v>
      </c>
      <c r="K727" s="819">
        <f t="shared" si="248"/>
        <v>4.5</v>
      </c>
      <c r="L727" s="478"/>
      <c r="M727" s="485">
        <f t="shared" ref="M727" si="251">IF(C727=0,1,C727)*IF(E727=0,1,E727)*IF((F727+G727/12)=0,1,(F727+G727/12))*IF((H727+I727/12)=0,1,(H727+I727/12))*IF((J727+K727/12)=0,1,(J727+K727/12))</f>
        <v>9</v>
      </c>
      <c r="N727" s="726"/>
      <c r="O727" s="726"/>
    </row>
    <row r="728" spans="1:15" s="487" customFormat="1" ht="18" customHeight="1">
      <c r="A728" s="478"/>
      <c r="B728" s="336" t="s">
        <v>648</v>
      </c>
      <c r="C728" s="479">
        <f t="shared" si="246"/>
        <v>4</v>
      </c>
      <c r="D728" s="480" t="s">
        <v>87</v>
      </c>
      <c r="E728" s="481">
        <f t="shared" si="247"/>
        <v>2</v>
      </c>
      <c r="F728" s="482">
        <f t="shared" si="247"/>
        <v>14</v>
      </c>
      <c r="G728" s="483">
        <f t="shared" si="247"/>
        <v>5</v>
      </c>
      <c r="H728" s="484"/>
      <c r="I728" s="483"/>
      <c r="J728" s="749">
        <f t="shared" si="248"/>
        <v>0</v>
      </c>
      <c r="K728" s="819">
        <f t="shared" si="248"/>
        <v>4.5</v>
      </c>
      <c r="L728" s="478"/>
      <c r="M728" s="485">
        <f t="shared" si="249"/>
        <v>43.25</v>
      </c>
      <c r="N728" s="726"/>
      <c r="O728" s="726"/>
    </row>
    <row r="729" spans="1:15" s="487" customFormat="1" ht="18" customHeight="1">
      <c r="A729" s="478"/>
      <c r="B729" s="336" t="s">
        <v>650</v>
      </c>
      <c r="C729" s="479">
        <f t="shared" ref="C729:C730" si="252">C348*2</f>
        <v>4</v>
      </c>
      <c r="D729" s="480" t="s">
        <v>87</v>
      </c>
      <c r="E729" s="481">
        <f t="shared" ref="E729:G729" si="253">E348</f>
        <v>1</v>
      </c>
      <c r="F729" s="482">
        <f t="shared" si="253"/>
        <v>14</v>
      </c>
      <c r="G729" s="483">
        <f t="shared" si="253"/>
        <v>0</v>
      </c>
      <c r="H729" s="484"/>
      <c r="I729" s="483"/>
      <c r="J729" s="749">
        <f t="shared" ref="J729:K729" si="254">J348</f>
        <v>0</v>
      </c>
      <c r="K729" s="819">
        <f t="shared" si="254"/>
        <v>4.5</v>
      </c>
      <c r="L729" s="478"/>
      <c r="M729" s="485">
        <f t="shared" ref="M729:M730" si="255">IF(C729=0,1,C729)*IF(E729=0,1,E729)*IF((F729+G729/12)=0,1,(F729+G729/12))*IF((H729+I729/12)=0,1,(H729+I729/12))*IF((J729+K729/12)=0,1,(J729+K729/12))</f>
        <v>21</v>
      </c>
      <c r="N729" s="726"/>
      <c r="O729" s="726"/>
    </row>
    <row r="730" spans="1:15" s="487" customFormat="1" ht="18" customHeight="1">
      <c r="A730" s="478"/>
      <c r="B730" s="336" t="s">
        <v>651</v>
      </c>
      <c r="C730" s="479">
        <f t="shared" si="252"/>
        <v>4</v>
      </c>
      <c r="D730" s="480" t="s">
        <v>87</v>
      </c>
      <c r="E730" s="481">
        <f t="shared" ref="E730:G730" si="256">E349</f>
        <v>1</v>
      </c>
      <c r="F730" s="482">
        <f t="shared" si="256"/>
        <v>7</v>
      </c>
      <c r="G730" s="483">
        <f t="shared" si="256"/>
        <v>10</v>
      </c>
      <c r="H730" s="484"/>
      <c r="I730" s="483"/>
      <c r="J730" s="749">
        <f t="shared" ref="J730:K730" si="257">J349</f>
        <v>0</v>
      </c>
      <c r="K730" s="819">
        <f t="shared" si="257"/>
        <v>4.5</v>
      </c>
      <c r="L730" s="478"/>
      <c r="M730" s="485">
        <f t="shared" si="255"/>
        <v>11.75</v>
      </c>
      <c r="N730" s="726"/>
      <c r="O730" s="726"/>
    </row>
    <row r="731" spans="1:15" s="487" customFormat="1" ht="18" customHeight="1">
      <c r="A731" s="478"/>
      <c r="B731" s="726" t="s">
        <v>170</v>
      </c>
      <c r="C731" s="479"/>
      <c r="D731" s="480"/>
      <c r="E731" s="481"/>
      <c r="F731" s="482"/>
      <c r="G731" s="483"/>
      <c r="H731" s="484"/>
      <c r="I731" s="483"/>
      <c r="J731" s="749"/>
      <c r="K731" s="819"/>
      <c r="L731" s="478"/>
      <c r="M731" s="485"/>
      <c r="N731" s="726"/>
      <c r="O731" s="726"/>
    </row>
    <row r="732" spans="1:15" s="487" customFormat="1" ht="18" customHeight="1">
      <c r="A732" s="478"/>
      <c r="B732" s="336" t="s">
        <v>408</v>
      </c>
      <c r="C732" s="479">
        <f>C351*2</f>
        <v>16</v>
      </c>
      <c r="D732" s="480" t="s">
        <v>87</v>
      </c>
      <c r="E732" s="481">
        <f>E351</f>
        <v>1</v>
      </c>
      <c r="F732" s="482">
        <f>F351</f>
        <v>12</v>
      </c>
      <c r="G732" s="483">
        <f>G351</f>
        <v>0</v>
      </c>
      <c r="H732" s="484"/>
      <c r="I732" s="483"/>
      <c r="J732" s="749">
        <f>J351</f>
        <v>0</v>
      </c>
      <c r="K732" s="819">
        <f>K351</f>
        <v>4.5</v>
      </c>
      <c r="L732" s="478"/>
      <c r="M732" s="485">
        <f t="shared" ref="M732" si="258">IF(C732=0,1,C732)*IF(E732=0,1,E732)*IF((F732+G732/12)=0,1,(F732+G732/12))*IF((H732+I732/12)=0,1,(H732+I732/12))*IF((J732+K732/12)=0,1,(J732+K732/12))</f>
        <v>72</v>
      </c>
      <c r="N732" s="726"/>
      <c r="O732" s="726"/>
    </row>
    <row r="733" spans="1:15" s="862" customFormat="1" ht="18" customHeight="1">
      <c r="A733" s="726"/>
      <c r="B733" s="894" t="s">
        <v>409</v>
      </c>
      <c r="C733" s="809"/>
      <c r="D733" s="810"/>
      <c r="E733" s="818"/>
      <c r="F733" s="811"/>
      <c r="G733" s="860"/>
      <c r="H733" s="893"/>
      <c r="I733" s="860"/>
      <c r="J733" s="861"/>
      <c r="K733" s="865"/>
      <c r="L733" s="726"/>
      <c r="M733" s="486"/>
      <c r="N733" s="858">
        <f>SUM(M708:M732)</f>
        <v>339.25</v>
      </c>
      <c r="O733" s="885" t="s">
        <v>19</v>
      </c>
    </row>
    <row r="734" spans="1:15" s="487" customFormat="1" ht="18" customHeight="1">
      <c r="A734" s="478"/>
      <c r="B734" s="726" t="s">
        <v>169</v>
      </c>
      <c r="C734" s="479"/>
      <c r="D734" s="480"/>
      <c r="E734" s="481"/>
      <c r="F734" s="482"/>
      <c r="G734" s="483"/>
      <c r="H734" s="484"/>
      <c r="I734" s="483"/>
      <c r="J734" s="749"/>
      <c r="K734" s="819"/>
      <c r="L734" s="478"/>
      <c r="M734" s="485"/>
      <c r="N734" s="726"/>
      <c r="O734" s="726"/>
    </row>
    <row r="735" spans="1:15" s="487" customFormat="1" ht="18" customHeight="1">
      <c r="A735" s="478"/>
      <c r="B735" s="873" t="s">
        <v>388</v>
      </c>
      <c r="C735" s="479"/>
      <c r="D735" s="480"/>
      <c r="E735" s="481"/>
      <c r="F735" s="482"/>
      <c r="G735" s="483"/>
      <c r="H735" s="484"/>
      <c r="I735" s="483"/>
      <c r="J735" s="749"/>
      <c r="K735" s="819"/>
      <c r="L735" s="478"/>
      <c r="M735" s="485"/>
      <c r="N735" s="726"/>
      <c r="O735" s="726"/>
    </row>
    <row r="736" spans="1:15" s="487" customFormat="1" ht="18" customHeight="1">
      <c r="A736" s="478"/>
      <c r="B736" s="336" t="s">
        <v>652</v>
      </c>
      <c r="C736" s="479">
        <f>C356*2</f>
        <v>4</v>
      </c>
      <c r="D736" s="480" t="s">
        <v>87</v>
      </c>
      <c r="E736" s="481">
        <f t="shared" ref="E736:G738" si="259">E356</f>
        <v>2</v>
      </c>
      <c r="F736" s="482">
        <f t="shared" si="259"/>
        <v>16</v>
      </c>
      <c r="G736" s="483">
        <f t="shared" si="259"/>
        <v>6</v>
      </c>
      <c r="H736" s="484"/>
      <c r="I736" s="483"/>
      <c r="J736" s="749">
        <f t="shared" ref="J736:K738" si="260">J356</f>
        <v>0</v>
      </c>
      <c r="K736" s="819">
        <f t="shared" si="260"/>
        <v>4.5</v>
      </c>
      <c r="L736" s="478"/>
      <c r="M736" s="485">
        <f t="shared" ref="M736:M742" si="261">IF(C736=0,1,C736)*IF(E736=0,1,E736)*IF((F736+G736/12)=0,1,(F736+G736/12))*IF((H736+I736/12)=0,1,(H736+I736/12))*IF((J736+K736/12)=0,1,(J736+K736/12))</f>
        <v>49.5</v>
      </c>
      <c r="N736" s="726"/>
      <c r="O736" s="726"/>
    </row>
    <row r="737" spans="1:15" s="487" customFormat="1" ht="18" customHeight="1">
      <c r="A737" s="478"/>
      <c r="B737" s="336" t="s">
        <v>653</v>
      </c>
      <c r="C737" s="479">
        <f>C357*2</f>
        <v>4</v>
      </c>
      <c r="D737" s="480" t="s">
        <v>87</v>
      </c>
      <c r="E737" s="481">
        <f t="shared" si="259"/>
        <v>2</v>
      </c>
      <c r="F737" s="482">
        <f t="shared" si="259"/>
        <v>14</v>
      </c>
      <c r="G737" s="483">
        <f t="shared" si="259"/>
        <v>6</v>
      </c>
      <c r="H737" s="484"/>
      <c r="I737" s="483"/>
      <c r="J737" s="749">
        <f t="shared" si="260"/>
        <v>0</v>
      </c>
      <c r="K737" s="819">
        <f t="shared" si="260"/>
        <v>4.5</v>
      </c>
      <c r="L737" s="478"/>
      <c r="M737" s="485">
        <f t="shared" si="261"/>
        <v>43.5</v>
      </c>
      <c r="N737" s="726"/>
      <c r="O737" s="726"/>
    </row>
    <row r="738" spans="1:15" s="487" customFormat="1" ht="18" customHeight="1">
      <c r="A738" s="478"/>
      <c r="B738" s="336" t="s">
        <v>654</v>
      </c>
      <c r="C738" s="479">
        <f>C358*2</f>
        <v>4</v>
      </c>
      <c r="D738" s="480" t="s">
        <v>87</v>
      </c>
      <c r="E738" s="481">
        <f t="shared" si="259"/>
        <v>1</v>
      </c>
      <c r="F738" s="482">
        <f t="shared" si="259"/>
        <v>14</v>
      </c>
      <c r="G738" s="483">
        <f t="shared" si="259"/>
        <v>1</v>
      </c>
      <c r="H738" s="484"/>
      <c r="I738" s="483"/>
      <c r="J738" s="749">
        <f t="shared" si="260"/>
        <v>0</v>
      </c>
      <c r="K738" s="819">
        <f t="shared" si="260"/>
        <v>4.5</v>
      </c>
      <c r="L738" s="478"/>
      <c r="M738" s="485">
        <f t="shared" si="261"/>
        <v>21.125</v>
      </c>
      <c r="N738" s="726"/>
      <c r="O738" s="726"/>
    </row>
    <row r="739" spans="1:15" s="487" customFormat="1" ht="18" customHeight="1">
      <c r="A739" s="478"/>
      <c r="B739" s="336" t="s">
        <v>655</v>
      </c>
      <c r="C739" s="479">
        <f t="shared" ref="C739:C741" si="262">C359*2</f>
        <v>4</v>
      </c>
      <c r="D739" s="480" t="s">
        <v>87</v>
      </c>
      <c r="E739" s="481">
        <f t="shared" ref="E739:G739" si="263">E359</f>
        <v>2</v>
      </c>
      <c r="F739" s="482">
        <f t="shared" si="263"/>
        <v>8</v>
      </c>
      <c r="G739" s="483">
        <f t="shared" si="263"/>
        <v>0</v>
      </c>
      <c r="H739" s="484"/>
      <c r="I739" s="483"/>
      <c r="J739" s="749">
        <f t="shared" ref="J739:K739" si="264">J359</f>
        <v>0</v>
      </c>
      <c r="K739" s="819">
        <f t="shared" si="264"/>
        <v>4.5</v>
      </c>
      <c r="L739" s="478"/>
      <c r="M739" s="485">
        <f t="shared" ref="M739:M741" si="265">IF(C739=0,1,C739)*IF(E739=0,1,E739)*IF((F739+G739/12)=0,1,(F739+G739/12))*IF((H739+I739/12)=0,1,(H739+I739/12))*IF((J739+K739/12)=0,1,(J739+K739/12))</f>
        <v>24</v>
      </c>
      <c r="N739" s="726"/>
      <c r="O739" s="726"/>
    </row>
    <row r="740" spans="1:15" s="487" customFormat="1" ht="18" customHeight="1">
      <c r="A740" s="478"/>
      <c r="B740" s="336" t="s">
        <v>672</v>
      </c>
      <c r="C740" s="479">
        <f t="shared" si="262"/>
        <v>4</v>
      </c>
      <c r="D740" s="480" t="s">
        <v>87</v>
      </c>
      <c r="E740" s="481">
        <f t="shared" ref="E740:G740" si="266">E360</f>
        <v>1</v>
      </c>
      <c r="F740" s="482">
        <f t="shared" si="266"/>
        <v>9</v>
      </c>
      <c r="G740" s="483">
        <f t="shared" si="266"/>
        <v>5</v>
      </c>
      <c r="H740" s="484"/>
      <c r="I740" s="483"/>
      <c r="J740" s="749">
        <f t="shared" ref="J740:K740" si="267">J360</f>
        <v>0</v>
      </c>
      <c r="K740" s="819">
        <f t="shared" si="267"/>
        <v>4.5</v>
      </c>
      <c r="L740" s="478"/>
      <c r="M740" s="485">
        <f t="shared" si="265"/>
        <v>14.125</v>
      </c>
      <c r="N740" s="726"/>
      <c r="O740" s="726"/>
    </row>
    <row r="741" spans="1:15" s="487" customFormat="1" ht="18" customHeight="1">
      <c r="A741" s="478"/>
      <c r="B741" s="336" t="s">
        <v>673</v>
      </c>
      <c r="C741" s="479">
        <f t="shared" si="262"/>
        <v>4</v>
      </c>
      <c r="D741" s="480" t="s">
        <v>87</v>
      </c>
      <c r="E741" s="481">
        <f t="shared" ref="E741:G741" si="268">E361</f>
        <v>1</v>
      </c>
      <c r="F741" s="482">
        <f t="shared" si="268"/>
        <v>4</v>
      </c>
      <c r="G741" s="483">
        <f t="shared" si="268"/>
        <v>5</v>
      </c>
      <c r="H741" s="484"/>
      <c r="I741" s="483"/>
      <c r="J741" s="749">
        <f t="shared" ref="J741:K741" si="269">J361</f>
        <v>0</v>
      </c>
      <c r="K741" s="819">
        <f t="shared" si="269"/>
        <v>4.5</v>
      </c>
      <c r="L741" s="478"/>
      <c r="M741" s="485">
        <f t="shared" si="265"/>
        <v>6.625</v>
      </c>
      <c r="N741" s="726"/>
      <c r="O741" s="726"/>
    </row>
    <row r="742" spans="1:15" s="487" customFormat="1" ht="18" customHeight="1">
      <c r="A742" s="478"/>
      <c r="B742" s="336" t="s">
        <v>658</v>
      </c>
      <c r="C742" s="479">
        <f>C362*2</f>
        <v>4</v>
      </c>
      <c r="D742" s="480" t="s">
        <v>87</v>
      </c>
      <c r="E742" s="481">
        <f>E362</f>
        <v>1</v>
      </c>
      <c r="F742" s="482">
        <f>F362</f>
        <v>62</v>
      </c>
      <c r="G742" s="483">
        <f>G362</f>
        <v>10</v>
      </c>
      <c r="H742" s="484"/>
      <c r="I742" s="483"/>
      <c r="J742" s="749">
        <f>J362</f>
        <v>0</v>
      </c>
      <c r="K742" s="819">
        <f>K362</f>
        <v>4.5</v>
      </c>
      <c r="L742" s="478"/>
      <c r="M742" s="485">
        <f t="shared" si="261"/>
        <v>94.25</v>
      </c>
      <c r="N742" s="726"/>
      <c r="O742" s="726"/>
    </row>
    <row r="743" spans="1:15" s="487" customFormat="1" ht="18" customHeight="1">
      <c r="A743" s="478"/>
      <c r="B743" s="726"/>
      <c r="C743" s="479"/>
      <c r="D743" s="480"/>
      <c r="E743" s="481"/>
      <c r="F743" s="482"/>
      <c r="G743" s="483"/>
      <c r="H743" s="484"/>
      <c r="I743" s="483"/>
      <c r="J743" s="749"/>
      <c r="K743" s="819"/>
      <c r="L743" s="478"/>
      <c r="M743" s="485"/>
      <c r="N743" s="726"/>
      <c r="O743" s="726"/>
    </row>
    <row r="744" spans="1:15" s="487" customFormat="1" ht="18" customHeight="1">
      <c r="A744" s="478"/>
      <c r="B744" s="873" t="s">
        <v>406</v>
      </c>
      <c r="C744" s="479"/>
      <c r="D744" s="480"/>
      <c r="E744" s="481"/>
      <c r="F744" s="482"/>
      <c r="G744" s="483"/>
      <c r="H744" s="484"/>
      <c r="I744" s="483"/>
      <c r="J744" s="749"/>
      <c r="K744" s="819"/>
      <c r="L744" s="478"/>
      <c r="M744" s="485"/>
      <c r="N744" s="726"/>
      <c r="O744" s="726"/>
    </row>
    <row r="745" spans="1:15" s="487" customFormat="1" ht="18" customHeight="1">
      <c r="A745" s="478"/>
      <c r="B745" s="336" t="s">
        <v>410</v>
      </c>
      <c r="C745" s="479">
        <f>C365*2</f>
        <v>4</v>
      </c>
      <c r="D745" s="480" t="s">
        <v>87</v>
      </c>
      <c r="E745" s="481">
        <f t="shared" ref="E745:G748" si="270">E365</f>
        <v>1</v>
      </c>
      <c r="F745" s="482">
        <f t="shared" si="270"/>
        <v>16</v>
      </c>
      <c r="G745" s="483">
        <f t="shared" si="270"/>
        <v>0</v>
      </c>
      <c r="H745" s="484"/>
      <c r="I745" s="483"/>
      <c r="J745" s="749">
        <f t="shared" ref="J745:K748" si="271">J365</f>
        <v>0</v>
      </c>
      <c r="K745" s="819">
        <f t="shared" si="271"/>
        <v>4.5</v>
      </c>
      <c r="L745" s="478"/>
      <c r="M745" s="485">
        <f t="shared" ref="M745:M748" si="272">IF(C745=0,1,C745)*IF(E745=0,1,E745)*IF((F745+G745/12)=0,1,(F745+G745/12))*IF((H745+I745/12)=0,1,(H745+I745/12))*IF((J745+K745/12)=0,1,(J745+K745/12))</f>
        <v>24</v>
      </c>
      <c r="N745" s="726"/>
      <c r="O745" s="726"/>
    </row>
    <row r="746" spans="1:15" s="487" customFormat="1" ht="18" customHeight="1">
      <c r="A746" s="478"/>
      <c r="B746" s="336" t="s">
        <v>411</v>
      </c>
      <c r="C746" s="479">
        <f>C366*2</f>
        <v>4</v>
      </c>
      <c r="D746" s="480" t="s">
        <v>87</v>
      </c>
      <c r="E746" s="481">
        <f t="shared" si="270"/>
        <v>1</v>
      </c>
      <c r="F746" s="482">
        <f t="shared" si="270"/>
        <v>8</v>
      </c>
      <c r="G746" s="483">
        <f t="shared" si="270"/>
        <v>0</v>
      </c>
      <c r="H746" s="484"/>
      <c r="I746" s="483"/>
      <c r="J746" s="749">
        <f t="shared" si="271"/>
        <v>0</v>
      </c>
      <c r="K746" s="819">
        <f t="shared" si="271"/>
        <v>4.5</v>
      </c>
      <c r="L746" s="478"/>
      <c r="M746" s="485">
        <f t="shared" si="272"/>
        <v>12</v>
      </c>
      <c r="N746" s="726"/>
      <c r="O746" s="726"/>
    </row>
    <row r="747" spans="1:15" s="487" customFormat="1" ht="18" customHeight="1">
      <c r="A747" s="478"/>
      <c r="B747" s="336" t="s">
        <v>659</v>
      </c>
      <c r="C747" s="479">
        <f>C367*2</f>
        <v>4</v>
      </c>
      <c r="D747" s="480" t="s">
        <v>87</v>
      </c>
      <c r="E747" s="481">
        <f t="shared" si="270"/>
        <v>1</v>
      </c>
      <c r="F747" s="482">
        <f t="shared" si="270"/>
        <v>6</v>
      </c>
      <c r="G747" s="483">
        <f t="shared" si="270"/>
        <v>0</v>
      </c>
      <c r="H747" s="484"/>
      <c r="I747" s="483"/>
      <c r="J747" s="749">
        <f t="shared" si="271"/>
        <v>0</v>
      </c>
      <c r="K747" s="819">
        <f t="shared" si="271"/>
        <v>4.5</v>
      </c>
      <c r="L747" s="478"/>
      <c r="M747" s="485">
        <f t="shared" ref="M747" si="273">IF(C747=0,1,C747)*IF(E747=0,1,E747)*IF((F747+G747/12)=0,1,(F747+G747/12))*IF((H747+I747/12)=0,1,(H747+I747/12))*IF((J747+K747/12)=0,1,(J747+K747/12))</f>
        <v>9</v>
      </c>
      <c r="N747" s="726"/>
      <c r="O747" s="726"/>
    </row>
    <row r="748" spans="1:15" s="487" customFormat="1" ht="18" customHeight="1">
      <c r="A748" s="478"/>
      <c r="B748" s="336" t="s">
        <v>412</v>
      </c>
      <c r="C748" s="479">
        <f>C368*2</f>
        <v>2</v>
      </c>
      <c r="D748" s="480" t="s">
        <v>87</v>
      </c>
      <c r="E748" s="481">
        <f t="shared" si="270"/>
        <v>1</v>
      </c>
      <c r="F748" s="482">
        <f t="shared" si="270"/>
        <v>9</v>
      </c>
      <c r="G748" s="483">
        <f t="shared" si="270"/>
        <v>5</v>
      </c>
      <c r="H748" s="484"/>
      <c r="I748" s="483"/>
      <c r="J748" s="749">
        <f t="shared" si="271"/>
        <v>0</v>
      </c>
      <c r="K748" s="819">
        <f t="shared" si="271"/>
        <v>4.5</v>
      </c>
      <c r="L748" s="478"/>
      <c r="M748" s="485">
        <f t="shared" si="272"/>
        <v>7.0625</v>
      </c>
      <c r="N748" s="726"/>
      <c r="O748" s="726"/>
    </row>
    <row r="749" spans="1:15" s="487" customFormat="1" ht="18" customHeight="1">
      <c r="A749" s="478"/>
      <c r="B749" s="726" t="s">
        <v>170</v>
      </c>
      <c r="C749" s="479"/>
      <c r="D749" s="480"/>
      <c r="E749" s="481"/>
      <c r="F749" s="482"/>
      <c r="G749" s="483"/>
      <c r="H749" s="484"/>
      <c r="I749" s="483"/>
      <c r="J749" s="749"/>
      <c r="K749" s="819"/>
      <c r="L749" s="478"/>
      <c r="M749" s="485"/>
      <c r="N749" s="726"/>
      <c r="O749" s="726"/>
    </row>
    <row r="750" spans="1:15" s="487" customFormat="1" ht="18" customHeight="1">
      <c r="A750" s="478"/>
      <c r="B750" s="336" t="s">
        <v>413</v>
      </c>
      <c r="C750" s="479">
        <f>C370*2</f>
        <v>10</v>
      </c>
      <c r="D750" s="480" t="s">
        <v>87</v>
      </c>
      <c r="E750" s="481">
        <f>E370</f>
        <v>1</v>
      </c>
      <c r="F750" s="482">
        <f>F370</f>
        <v>11</v>
      </c>
      <c r="G750" s="483">
        <f>G370</f>
        <v>0</v>
      </c>
      <c r="H750" s="484"/>
      <c r="I750" s="483"/>
      <c r="J750" s="749">
        <f>J370</f>
        <v>0</v>
      </c>
      <c r="K750" s="819">
        <f>K370</f>
        <v>4.5</v>
      </c>
      <c r="L750" s="478"/>
      <c r="M750" s="485">
        <f t="shared" ref="M750" si="274">IF(C750=0,1,C750)*IF(E750=0,1,E750)*IF((F750+G750/12)=0,1,(F750+G750/12))*IF((H750+I750/12)=0,1,(H750+I750/12))*IF((J750+K750/12)=0,1,(J750+K750/12))</f>
        <v>41.25</v>
      </c>
      <c r="N750" s="726"/>
      <c r="O750" s="726"/>
    </row>
    <row r="751" spans="1:15" s="862" customFormat="1" ht="18" customHeight="1">
      <c r="A751" s="726"/>
      <c r="B751" s="892"/>
      <c r="C751" s="809"/>
      <c r="D751" s="810"/>
      <c r="E751" s="818"/>
      <c r="F751" s="811"/>
      <c r="G751" s="860"/>
      <c r="H751" s="893"/>
      <c r="I751" s="860"/>
      <c r="J751" s="861"/>
      <c r="K751" s="865"/>
      <c r="L751" s="726"/>
      <c r="M751" s="486"/>
      <c r="N751" s="858">
        <f>SUM(M736:M750)</f>
        <v>346.4375</v>
      </c>
      <c r="O751" s="885" t="s">
        <v>19</v>
      </c>
    </row>
    <row r="752" spans="1:15" s="487" customFormat="1" ht="18" customHeight="1">
      <c r="A752" s="478"/>
      <c r="B752" s="869" t="s">
        <v>662</v>
      </c>
      <c r="C752" s="479"/>
      <c r="D752" s="480"/>
      <c r="E752" s="481"/>
      <c r="F752" s="482"/>
      <c r="G752" s="483"/>
      <c r="H752" s="484"/>
      <c r="I752" s="483"/>
      <c r="J752" s="749"/>
      <c r="K752" s="819"/>
      <c r="L752" s="478"/>
      <c r="M752" s="485"/>
      <c r="N752" s="726"/>
      <c r="O752" s="726"/>
    </row>
    <row r="753" spans="1:15" s="487" customFormat="1" ht="18" customHeight="1">
      <c r="A753" s="478"/>
      <c r="B753" s="869" t="s">
        <v>109</v>
      </c>
      <c r="C753" s="479"/>
      <c r="D753" s="480"/>
      <c r="E753" s="481"/>
      <c r="F753" s="482"/>
      <c r="G753" s="483"/>
      <c r="H753" s="484"/>
      <c r="I753" s="483"/>
      <c r="J753" s="749"/>
      <c r="K753" s="819"/>
      <c r="L753" s="478"/>
      <c r="M753" s="485"/>
      <c r="N753" s="726"/>
      <c r="O753" s="726"/>
    </row>
    <row r="754" spans="1:15" s="487" customFormat="1" ht="18" customHeight="1">
      <c r="A754" s="478"/>
      <c r="B754" s="336" t="s">
        <v>414</v>
      </c>
      <c r="C754" s="479">
        <f t="shared" ref="C754:C763" si="275">C374*2</f>
        <v>2</v>
      </c>
      <c r="D754" s="480" t="s">
        <v>87</v>
      </c>
      <c r="E754" s="481">
        <f t="shared" ref="E754:G763" si="276">E374</f>
        <v>1</v>
      </c>
      <c r="F754" s="482">
        <f t="shared" si="276"/>
        <v>23.32</v>
      </c>
      <c r="G754" s="483">
        <f t="shared" si="276"/>
        <v>4</v>
      </c>
      <c r="H754" s="484"/>
      <c r="I754" s="483"/>
      <c r="J754" s="749">
        <f t="shared" ref="J754:K763" si="277">J374</f>
        <v>0</v>
      </c>
      <c r="K754" s="819">
        <f t="shared" si="277"/>
        <v>4.5</v>
      </c>
      <c r="L754" s="478"/>
      <c r="M754" s="485">
        <f t="shared" ref="M754:M763" si="278">IF(C754=0,1,C754)*IF(E754=0,1,E754)*IF((F754+G754/12)=0,1,(F754+G754/12))*IF((H754+I754/12)=0,1,(H754+I754/12))*IF((J754+K754/12)=0,1,(J754+K754/12))</f>
        <v>17.739999999999998</v>
      </c>
      <c r="N754" s="726"/>
      <c r="O754" s="726"/>
    </row>
    <row r="755" spans="1:15" s="487" customFormat="1" ht="18" customHeight="1">
      <c r="A755" s="478"/>
      <c r="B755" s="336" t="s">
        <v>415</v>
      </c>
      <c r="C755" s="479">
        <f t="shared" si="275"/>
        <v>4</v>
      </c>
      <c r="D755" s="480" t="s">
        <v>87</v>
      </c>
      <c r="E755" s="481">
        <f t="shared" si="276"/>
        <v>1</v>
      </c>
      <c r="F755" s="482">
        <f t="shared" si="276"/>
        <v>21</v>
      </c>
      <c r="G755" s="483">
        <f t="shared" si="276"/>
        <v>6</v>
      </c>
      <c r="H755" s="484"/>
      <c r="I755" s="483"/>
      <c r="J755" s="749">
        <f t="shared" si="277"/>
        <v>0</v>
      </c>
      <c r="K755" s="819">
        <f t="shared" si="277"/>
        <v>4.5</v>
      </c>
      <c r="L755" s="478"/>
      <c r="M755" s="485">
        <f t="shared" si="278"/>
        <v>32.25</v>
      </c>
      <c r="N755" s="726"/>
      <c r="O755" s="726"/>
    </row>
    <row r="756" spans="1:15" s="487" customFormat="1" ht="18" customHeight="1">
      <c r="A756" s="478"/>
      <c r="B756" s="336" t="s">
        <v>416</v>
      </c>
      <c r="C756" s="479">
        <f t="shared" si="275"/>
        <v>4</v>
      </c>
      <c r="D756" s="480" t="s">
        <v>87</v>
      </c>
      <c r="E756" s="481">
        <f t="shared" si="276"/>
        <v>1</v>
      </c>
      <c r="F756" s="482">
        <f t="shared" si="276"/>
        <v>21</v>
      </c>
      <c r="G756" s="483">
        <f t="shared" si="276"/>
        <v>6</v>
      </c>
      <c r="H756" s="484"/>
      <c r="I756" s="483"/>
      <c r="J756" s="749">
        <f t="shared" si="277"/>
        <v>0</v>
      </c>
      <c r="K756" s="819">
        <f t="shared" si="277"/>
        <v>4.5</v>
      </c>
      <c r="L756" s="478"/>
      <c r="M756" s="485">
        <f t="shared" si="278"/>
        <v>32.25</v>
      </c>
      <c r="N756" s="726"/>
      <c r="O756" s="726"/>
    </row>
    <row r="757" spans="1:15" s="487" customFormat="1" ht="18" customHeight="1">
      <c r="A757" s="478"/>
      <c r="B757" s="336" t="s">
        <v>417</v>
      </c>
      <c r="C757" s="479">
        <f t="shared" si="275"/>
        <v>2</v>
      </c>
      <c r="D757" s="480" t="s">
        <v>87</v>
      </c>
      <c r="E757" s="481">
        <f t="shared" si="276"/>
        <v>1</v>
      </c>
      <c r="F757" s="482">
        <f t="shared" si="276"/>
        <v>21</v>
      </c>
      <c r="G757" s="483">
        <f t="shared" si="276"/>
        <v>6</v>
      </c>
      <c r="H757" s="484"/>
      <c r="I757" s="483"/>
      <c r="J757" s="749">
        <f t="shared" si="277"/>
        <v>0</v>
      </c>
      <c r="K757" s="819">
        <f t="shared" si="277"/>
        <v>4.5</v>
      </c>
      <c r="L757" s="478"/>
      <c r="M757" s="485">
        <f t="shared" si="278"/>
        <v>16.125</v>
      </c>
      <c r="N757" s="726"/>
      <c r="O757" s="726"/>
    </row>
    <row r="758" spans="1:15" s="487" customFormat="1" ht="18" customHeight="1">
      <c r="A758" s="478"/>
      <c r="B758" s="336" t="s">
        <v>418</v>
      </c>
      <c r="C758" s="479">
        <f t="shared" si="275"/>
        <v>2</v>
      </c>
      <c r="D758" s="480" t="s">
        <v>87</v>
      </c>
      <c r="E758" s="481">
        <f t="shared" si="276"/>
        <v>1</v>
      </c>
      <c r="F758" s="482">
        <f t="shared" si="276"/>
        <v>17</v>
      </c>
      <c r="G758" s="483">
        <f t="shared" si="276"/>
        <v>0</v>
      </c>
      <c r="H758" s="484"/>
      <c r="I758" s="483"/>
      <c r="J758" s="749">
        <f t="shared" si="277"/>
        <v>0</v>
      </c>
      <c r="K758" s="819">
        <f t="shared" si="277"/>
        <v>4.5</v>
      </c>
      <c r="L758" s="478"/>
      <c r="M758" s="485">
        <f t="shared" si="278"/>
        <v>12.75</v>
      </c>
      <c r="N758" s="486"/>
      <c r="O758" s="486"/>
    </row>
    <row r="759" spans="1:15" s="487" customFormat="1" ht="18" customHeight="1">
      <c r="A759" s="478"/>
      <c r="B759" s="336" t="s">
        <v>419</v>
      </c>
      <c r="C759" s="479">
        <f t="shared" si="275"/>
        <v>10</v>
      </c>
      <c r="D759" s="480" t="s">
        <v>87</v>
      </c>
      <c r="E759" s="481">
        <f t="shared" si="276"/>
        <v>1</v>
      </c>
      <c r="F759" s="482">
        <f t="shared" si="276"/>
        <v>25</v>
      </c>
      <c r="G759" s="483">
        <f t="shared" si="276"/>
        <v>0</v>
      </c>
      <c r="H759" s="484"/>
      <c r="I759" s="483"/>
      <c r="J759" s="749">
        <f t="shared" si="277"/>
        <v>0</v>
      </c>
      <c r="K759" s="819">
        <f t="shared" si="277"/>
        <v>4.5</v>
      </c>
      <c r="L759" s="478"/>
      <c r="M759" s="485">
        <f t="shared" si="278"/>
        <v>93.75</v>
      </c>
      <c r="N759" s="486"/>
      <c r="O759" s="486"/>
    </row>
    <row r="760" spans="1:15" s="487" customFormat="1" ht="18" customHeight="1">
      <c r="A760" s="478"/>
      <c r="B760" s="336" t="s">
        <v>420</v>
      </c>
      <c r="C760" s="479">
        <f t="shared" si="275"/>
        <v>4</v>
      </c>
      <c r="D760" s="480" t="s">
        <v>87</v>
      </c>
      <c r="E760" s="481">
        <f t="shared" si="276"/>
        <v>1</v>
      </c>
      <c r="F760" s="482">
        <f t="shared" si="276"/>
        <v>26</v>
      </c>
      <c r="G760" s="483">
        <f t="shared" si="276"/>
        <v>8</v>
      </c>
      <c r="H760" s="484"/>
      <c r="I760" s="483"/>
      <c r="J760" s="749">
        <f t="shared" si="277"/>
        <v>0</v>
      </c>
      <c r="K760" s="819">
        <f t="shared" si="277"/>
        <v>4.5</v>
      </c>
      <c r="L760" s="478"/>
      <c r="M760" s="485">
        <f t="shared" si="278"/>
        <v>40</v>
      </c>
      <c r="N760" s="486"/>
      <c r="O760" s="486"/>
    </row>
    <row r="761" spans="1:15" s="487" customFormat="1" ht="18" customHeight="1">
      <c r="A761" s="478"/>
      <c r="B761" s="336" t="s">
        <v>421</v>
      </c>
      <c r="C761" s="479">
        <f t="shared" si="275"/>
        <v>4</v>
      </c>
      <c r="D761" s="480" t="s">
        <v>87</v>
      </c>
      <c r="E761" s="481">
        <f t="shared" si="276"/>
        <v>1</v>
      </c>
      <c r="F761" s="482">
        <f t="shared" si="276"/>
        <v>10</v>
      </c>
      <c r="G761" s="483">
        <f t="shared" si="276"/>
        <v>8</v>
      </c>
      <c r="H761" s="484"/>
      <c r="I761" s="483"/>
      <c r="J761" s="749">
        <f t="shared" si="277"/>
        <v>0</v>
      </c>
      <c r="K761" s="819">
        <f t="shared" si="277"/>
        <v>4.5</v>
      </c>
      <c r="L761" s="478"/>
      <c r="M761" s="485">
        <f t="shared" si="278"/>
        <v>16</v>
      </c>
      <c r="N761" s="486"/>
      <c r="O761" s="486"/>
    </row>
    <row r="762" spans="1:15" s="487" customFormat="1" ht="18" customHeight="1">
      <c r="A762" s="478"/>
      <c r="B762" s="336" t="s">
        <v>422</v>
      </c>
      <c r="C762" s="479">
        <f t="shared" si="275"/>
        <v>2</v>
      </c>
      <c r="D762" s="480" t="s">
        <v>87</v>
      </c>
      <c r="E762" s="481">
        <f t="shared" si="276"/>
        <v>1</v>
      </c>
      <c r="F762" s="482">
        <f t="shared" si="276"/>
        <v>12</v>
      </c>
      <c r="G762" s="483">
        <f t="shared" si="276"/>
        <v>8</v>
      </c>
      <c r="H762" s="484"/>
      <c r="I762" s="483"/>
      <c r="J762" s="749">
        <f t="shared" si="277"/>
        <v>0</v>
      </c>
      <c r="K762" s="819">
        <f t="shared" si="277"/>
        <v>4.5</v>
      </c>
      <c r="L762" s="478"/>
      <c r="M762" s="485">
        <f t="shared" si="278"/>
        <v>9.5</v>
      </c>
      <c r="N762" s="486"/>
      <c r="O762" s="486"/>
    </row>
    <row r="763" spans="1:15" s="487" customFormat="1" ht="18" customHeight="1">
      <c r="A763" s="478"/>
      <c r="B763" s="336" t="s">
        <v>423</v>
      </c>
      <c r="C763" s="479">
        <f t="shared" si="275"/>
        <v>2</v>
      </c>
      <c r="D763" s="480" t="s">
        <v>87</v>
      </c>
      <c r="E763" s="481">
        <f t="shared" si="276"/>
        <v>1</v>
      </c>
      <c r="F763" s="482">
        <f t="shared" si="276"/>
        <v>22</v>
      </c>
      <c r="G763" s="483">
        <f t="shared" si="276"/>
        <v>4</v>
      </c>
      <c r="H763" s="484"/>
      <c r="I763" s="483"/>
      <c r="J763" s="749">
        <f t="shared" si="277"/>
        <v>0</v>
      </c>
      <c r="K763" s="819">
        <f t="shared" si="277"/>
        <v>4.5</v>
      </c>
      <c r="L763" s="478"/>
      <c r="M763" s="485">
        <f t="shared" si="278"/>
        <v>16.75</v>
      </c>
      <c r="N763" s="486"/>
      <c r="O763" s="486"/>
    </row>
    <row r="764" spans="1:15" s="862" customFormat="1" ht="18" customHeight="1">
      <c r="A764" s="478"/>
      <c r="B764" s="869" t="s">
        <v>172</v>
      </c>
      <c r="C764" s="479"/>
      <c r="D764" s="480"/>
      <c r="E764" s="481"/>
      <c r="F764" s="482"/>
      <c r="G764" s="483"/>
      <c r="H764" s="484"/>
      <c r="I764" s="483"/>
      <c r="J764" s="749"/>
      <c r="K764" s="819"/>
      <c r="L764" s="478"/>
      <c r="M764" s="485"/>
      <c r="N764" s="726"/>
      <c r="O764" s="726"/>
    </row>
    <row r="765" spans="1:15" s="862" customFormat="1" ht="18" customHeight="1">
      <c r="A765" s="478"/>
      <c r="B765" s="336" t="s">
        <v>415</v>
      </c>
      <c r="C765" s="479">
        <f t="shared" ref="C765:C774" si="279">C385*2</f>
        <v>6</v>
      </c>
      <c r="D765" s="480" t="s">
        <v>87</v>
      </c>
      <c r="E765" s="481">
        <f t="shared" ref="E765:G774" si="280">E385</f>
        <v>1</v>
      </c>
      <c r="F765" s="482">
        <f t="shared" si="280"/>
        <v>23</v>
      </c>
      <c r="G765" s="483">
        <f t="shared" si="280"/>
        <v>4</v>
      </c>
      <c r="H765" s="484"/>
      <c r="I765" s="483"/>
      <c r="J765" s="749">
        <f t="shared" ref="J765:K774" si="281">J385</f>
        <v>0</v>
      </c>
      <c r="K765" s="819">
        <f t="shared" si="281"/>
        <v>4.5</v>
      </c>
      <c r="L765" s="478"/>
      <c r="M765" s="485">
        <f t="shared" ref="M765:M774" si="282">IF(C765=0,1,C765)*IF(E765=0,1,E765)*IF((F765+G765/12)=0,1,(F765+G765/12))*IF((H765+I765/12)=0,1,(H765+I765/12))*IF((J765+K765/12)=0,1,(J765+K765/12))</f>
        <v>52.5</v>
      </c>
      <c r="N765" s="726"/>
      <c r="O765" s="726"/>
    </row>
    <row r="766" spans="1:15" s="487" customFormat="1" ht="18" customHeight="1">
      <c r="A766" s="478"/>
      <c r="B766" s="336" t="s">
        <v>416</v>
      </c>
      <c r="C766" s="479">
        <f t="shared" si="279"/>
        <v>4</v>
      </c>
      <c r="D766" s="480" t="s">
        <v>87</v>
      </c>
      <c r="E766" s="481">
        <f t="shared" si="280"/>
        <v>1</v>
      </c>
      <c r="F766" s="482">
        <f t="shared" si="280"/>
        <v>23</v>
      </c>
      <c r="G766" s="483">
        <f t="shared" si="280"/>
        <v>4</v>
      </c>
      <c r="H766" s="484"/>
      <c r="I766" s="483"/>
      <c r="J766" s="749">
        <f t="shared" si="281"/>
        <v>0</v>
      </c>
      <c r="K766" s="819">
        <f t="shared" si="281"/>
        <v>4.5</v>
      </c>
      <c r="L766" s="478"/>
      <c r="M766" s="485">
        <f t="shared" si="282"/>
        <v>35</v>
      </c>
      <c r="N766" s="726"/>
      <c r="O766" s="726"/>
    </row>
    <row r="767" spans="1:15" s="487" customFormat="1" ht="18" customHeight="1">
      <c r="A767" s="478"/>
      <c r="B767" s="336" t="s">
        <v>424</v>
      </c>
      <c r="C767" s="479">
        <f t="shared" si="279"/>
        <v>2</v>
      </c>
      <c r="D767" s="480" t="s">
        <v>87</v>
      </c>
      <c r="E767" s="481">
        <f t="shared" si="280"/>
        <v>1</v>
      </c>
      <c r="F767" s="482">
        <f t="shared" si="280"/>
        <v>34</v>
      </c>
      <c r="G767" s="483">
        <f t="shared" si="280"/>
        <v>8</v>
      </c>
      <c r="H767" s="484"/>
      <c r="I767" s="483"/>
      <c r="J767" s="749">
        <f t="shared" si="281"/>
        <v>0</v>
      </c>
      <c r="K767" s="819">
        <f t="shared" si="281"/>
        <v>4.5</v>
      </c>
      <c r="L767" s="478"/>
      <c r="M767" s="485">
        <f t="shared" si="282"/>
        <v>26</v>
      </c>
      <c r="N767" s="726"/>
      <c r="O767" s="726"/>
    </row>
    <row r="768" spans="1:15" s="487" customFormat="1" ht="18" customHeight="1">
      <c r="A768" s="478"/>
      <c r="B768" s="336" t="s">
        <v>418</v>
      </c>
      <c r="C768" s="479">
        <f t="shared" si="279"/>
        <v>2</v>
      </c>
      <c r="D768" s="480" t="s">
        <v>87</v>
      </c>
      <c r="E768" s="481">
        <f t="shared" si="280"/>
        <v>1</v>
      </c>
      <c r="F768" s="482">
        <f t="shared" si="280"/>
        <v>17</v>
      </c>
      <c r="G768" s="483">
        <f t="shared" si="280"/>
        <v>0</v>
      </c>
      <c r="H768" s="484"/>
      <c r="I768" s="483"/>
      <c r="J768" s="749">
        <f t="shared" si="281"/>
        <v>0</v>
      </c>
      <c r="K768" s="819">
        <f t="shared" si="281"/>
        <v>4.5</v>
      </c>
      <c r="L768" s="478"/>
      <c r="M768" s="485">
        <f t="shared" si="282"/>
        <v>12.75</v>
      </c>
      <c r="N768" s="726"/>
      <c r="O768" s="726"/>
    </row>
    <row r="769" spans="1:15" s="487" customFormat="1" ht="18" customHeight="1">
      <c r="A769" s="478"/>
      <c r="B769" s="336" t="s">
        <v>426</v>
      </c>
      <c r="C769" s="479">
        <f t="shared" si="279"/>
        <v>2</v>
      </c>
      <c r="D769" s="480" t="s">
        <v>87</v>
      </c>
      <c r="E769" s="481">
        <f t="shared" si="280"/>
        <v>1</v>
      </c>
      <c r="F769" s="482">
        <f t="shared" si="280"/>
        <v>21</v>
      </c>
      <c r="G769" s="483">
        <f t="shared" si="280"/>
        <v>0</v>
      </c>
      <c r="H769" s="484"/>
      <c r="I769" s="483"/>
      <c r="J769" s="749">
        <f t="shared" si="281"/>
        <v>0</v>
      </c>
      <c r="K769" s="819">
        <f t="shared" si="281"/>
        <v>4.5</v>
      </c>
      <c r="L769" s="478"/>
      <c r="M769" s="485">
        <f t="shared" si="282"/>
        <v>15.75</v>
      </c>
      <c r="N769" s="726"/>
      <c r="O769" s="726"/>
    </row>
    <row r="770" spans="1:15" s="487" customFormat="1" ht="18" customHeight="1">
      <c r="A770" s="478"/>
      <c r="B770" s="336" t="s">
        <v>419</v>
      </c>
      <c r="C770" s="479">
        <f t="shared" si="279"/>
        <v>8</v>
      </c>
      <c r="D770" s="480" t="s">
        <v>87</v>
      </c>
      <c r="E770" s="481">
        <f t="shared" si="280"/>
        <v>1</v>
      </c>
      <c r="F770" s="482">
        <f t="shared" si="280"/>
        <v>25</v>
      </c>
      <c r="G770" s="483">
        <f t="shared" si="280"/>
        <v>0</v>
      </c>
      <c r="H770" s="484"/>
      <c r="I770" s="483"/>
      <c r="J770" s="749">
        <f t="shared" si="281"/>
        <v>0</v>
      </c>
      <c r="K770" s="819">
        <f t="shared" si="281"/>
        <v>4.5</v>
      </c>
      <c r="L770" s="478"/>
      <c r="M770" s="485">
        <f t="shared" si="282"/>
        <v>75</v>
      </c>
      <c r="N770" s="726"/>
      <c r="O770" s="726"/>
    </row>
    <row r="771" spans="1:15" s="487" customFormat="1" ht="18" customHeight="1">
      <c r="A771" s="478"/>
      <c r="B771" s="336" t="s">
        <v>420</v>
      </c>
      <c r="C771" s="479">
        <f t="shared" si="279"/>
        <v>2</v>
      </c>
      <c r="D771" s="480" t="s">
        <v>87</v>
      </c>
      <c r="E771" s="481">
        <f t="shared" si="280"/>
        <v>1</v>
      </c>
      <c r="F771" s="482">
        <f t="shared" si="280"/>
        <v>26</v>
      </c>
      <c r="G771" s="483">
        <f t="shared" si="280"/>
        <v>8</v>
      </c>
      <c r="H771" s="484"/>
      <c r="I771" s="483"/>
      <c r="J771" s="749">
        <f t="shared" si="281"/>
        <v>0</v>
      </c>
      <c r="K771" s="819">
        <f t="shared" si="281"/>
        <v>4.5</v>
      </c>
      <c r="L771" s="478"/>
      <c r="M771" s="485">
        <f t="shared" si="282"/>
        <v>20</v>
      </c>
      <c r="N771" s="726"/>
      <c r="O771" s="726"/>
    </row>
    <row r="772" spans="1:15" s="487" customFormat="1" ht="18" customHeight="1">
      <c r="A772" s="478"/>
      <c r="B772" s="336" t="s">
        <v>422</v>
      </c>
      <c r="C772" s="479">
        <f t="shared" si="279"/>
        <v>4</v>
      </c>
      <c r="D772" s="480" t="s">
        <v>87</v>
      </c>
      <c r="E772" s="481">
        <f t="shared" si="280"/>
        <v>1</v>
      </c>
      <c r="F772" s="482">
        <f t="shared" si="280"/>
        <v>12</v>
      </c>
      <c r="G772" s="483">
        <f t="shared" si="280"/>
        <v>8</v>
      </c>
      <c r="H772" s="484"/>
      <c r="I772" s="483"/>
      <c r="J772" s="749">
        <f t="shared" si="281"/>
        <v>0</v>
      </c>
      <c r="K772" s="819">
        <f t="shared" si="281"/>
        <v>4.5</v>
      </c>
      <c r="L772" s="478"/>
      <c r="M772" s="485">
        <f t="shared" si="282"/>
        <v>19</v>
      </c>
      <c r="N772" s="726"/>
      <c r="O772" s="726"/>
    </row>
    <row r="773" spans="1:15" s="487" customFormat="1" ht="18" customHeight="1">
      <c r="A773" s="478"/>
      <c r="B773" s="336" t="s">
        <v>425</v>
      </c>
      <c r="C773" s="479">
        <f t="shared" si="279"/>
        <v>4</v>
      </c>
      <c r="D773" s="480" t="s">
        <v>87</v>
      </c>
      <c r="E773" s="481">
        <f t="shared" si="280"/>
        <v>1</v>
      </c>
      <c r="F773" s="482">
        <f t="shared" si="280"/>
        <v>20</v>
      </c>
      <c r="G773" s="483">
        <f t="shared" si="280"/>
        <v>8</v>
      </c>
      <c r="H773" s="484"/>
      <c r="I773" s="483"/>
      <c r="J773" s="749">
        <f t="shared" si="281"/>
        <v>0</v>
      </c>
      <c r="K773" s="819">
        <f t="shared" si="281"/>
        <v>4.5</v>
      </c>
      <c r="L773" s="478"/>
      <c r="M773" s="485">
        <f t="shared" si="282"/>
        <v>31</v>
      </c>
      <c r="N773" s="726"/>
      <c r="O773" s="726"/>
    </row>
    <row r="774" spans="1:15" s="487" customFormat="1" ht="18" customHeight="1">
      <c r="A774" s="478"/>
      <c r="B774" s="336" t="s">
        <v>423</v>
      </c>
      <c r="C774" s="479">
        <f t="shared" si="279"/>
        <v>4</v>
      </c>
      <c r="D774" s="480" t="s">
        <v>87</v>
      </c>
      <c r="E774" s="481">
        <f t="shared" si="280"/>
        <v>1</v>
      </c>
      <c r="F774" s="482">
        <f t="shared" si="280"/>
        <v>22</v>
      </c>
      <c r="G774" s="483">
        <f t="shared" si="280"/>
        <v>4</v>
      </c>
      <c r="H774" s="484"/>
      <c r="I774" s="483"/>
      <c r="J774" s="749">
        <f t="shared" si="281"/>
        <v>0</v>
      </c>
      <c r="K774" s="819">
        <f t="shared" si="281"/>
        <v>4.5</v>
      </c>
      <c r="L774" s="478"/>
      <c r="M774" s="485">
        <f t="shared" si="282"/>
        <v>33.5</v>
      </c>
      <c r="N774" s="726"/>
      <c r="O774" s="726"/>
    </row>
    <row r="775" spans="1:15" s="487" customFormat="1" ht="18" customHeight="1">
      <c r="A775" s="478"/>
      <c r="B775" s="869" t="s">
        <v>409</v>
      </c>
      <c r="C775" s="479"/>
      <c r="D775" s="480"/>
      <c r="E775" s="481"/>
      <c r="F775" s="482"/>
      <c r="G775" s="483"/>
      <c r="H775" s="484"/>
      <c r="I775" s="483"/>
      <c r="J775" s="749"/>
      <c r="K775" s="819"/>
      <c r="L775" s="478"/>
      <c r="M775" s="499"/>
      <c r="N775" s="726"/>
      <c r="O775" s="726"/>
    </row>
    <row r="776" spans="1:15" s="487" customFormat="1" ht="18" customHeight="1">
      <c r="A776" s="478"/>
      <c r="B776" s="336" t="s">
        <v>415</v>
      </c>
      <c r="C776" s="479">
        <f t="shared" ref="C776:C783" si="283">C396*2</f>
        <v>4</v>
      </c>
      <c r="D776" s="480" t="s">
        <v>87</v>
      </c>
      <c r="E776" s="481">
        <f t="shared" ref="E776:G783" si="284">E396</f>
        <v>1</v>
      </c>
      <c r="F776" s="482">
        <f t="shared" si="284"/>
        <v>23</v>
      </c>
      <c r="G776" s="483">
        <f t="shared" si="284"/>
        <v>4</v>
      </c>
      <c r="H776" s="484"/>
      <c r="I776" s="483"/>
      <c r="J776" s="749">
        <f t="shared" ref="J776:K783" si="285">J396</f>
        <v>0</v>
      </c>
      <c r="K776" s="819">
        <f t="shared" si="285"/>
        <v>4.5</v>
      </c>
      <c r="L776" s="478"/>
      <c r="M776" s="485">
        <f t="shared" ref="M776:M783" si="286">IF(C776=0,1,C776)*IF(E776=0,1,E776)*IF((F776+G776/12)=0,1,(F776+G776/12))*IF((H776+I776/12)=0,1,(H776+I776/12))*IF((J776+K776/12)=0,1,(J776+K776/12))</f>
        <v>35</v>
      </c>
      <c r="N776" s="726"/>
      <c r="O776" s="726"/>
    </row>
    <row r="777" spans="1:15" s="487" customFormat="1" ht="18" customHeight="1">
      <c r="A777" s="478"/>
      <c r="B777" s="336" t="s">
        <v>416</v>
      </c>
      <c r="C777" s="479">
        <f t="shared" si="283"/>
        <v>2</v>
      </c>
      <c r="D777" s="480" t="s">
        <v>87</v>
      </c>
      <c r="E777" s="481">
        <f t="shared" si="284"/>
        <v>1</v>
      </c>
      <c r="F777" s="482">
        <f t="shared" si="284"/>
        <v>23</v>
      </c>
      <c r="G777" s="483">
        <f t="shared" si="284"/>
        <v>4</v>
      </c>
      <c r="H777" s="484"/>
      <c r="I777" s="483"/>
      <c r="J777" s="749">
        <f t="shared" si="285"/>
        <v>0</v>
      </c>
      <c r="K777" s="819">
        <f t="shared" si="285"/>
        <v>4.5</v>
      </c>
      <c r="L777" s="478"/>
      <c r="M777" s="485">
        <f t="shared" si="286"/>
        <v>17.5</v>
      </c>
      <c r="N777" s="726"/>
      <c r="O777" s="726"/>
    </row>
    <row r="778" spans="1:15" s="487" customFormat="1" ht="18" customHeight="1">
      <c r="A778" s="478"/>
      <c r="B778" s="336" t="s">
        <v>417</v>
      </c>
      <c r="C778" s="479">
        <f t="shared" si="283"/>
        <v>2</v>
      </c>
      <c r="D778" s="480" t="s">
        <v>87</v>
      </c>
      <c r="E778" s="481">
        <f t="shared" si="284"/>
        <v>1</v>
      </c>
      <c r="F778" s="482">
        <f t="shared" si="284"/>
        <v>23</v>
      </c>
      <c r="G778" s="483">
        <f t="shared" si="284"/>
        <v>4</v>
      </c>
      <c r="H778" s="484"/>
      <c r="I778" s="483"/>
      <c r="J778" s="749">
        <f t="shared" si="285"/>
        <v>0</v>
      </c>
      <c r="K778" s="819">
        <f t="shared" si="285"/>
        <v>4.5</v>
      </c>
      <c r="L778" s="478"/>
      <c r="M778" s="485">
        <f t="shared" si="286"/>
        <v>17.5</v>
      </c>
      <c r="N778" s="726"/>
      <c r="O778" s="726"/>
    </row>
    <row r="779" spans="1:15" s="487" customFormat="1" ht="18" customHeight="1">
      <c r="A779" s="478"/>
      <c r="B779" s="336" t="s">
        <v>418</v>
      </c>
      <c r="C779" s="479">
        <f t="shared" si="283"/>
        <v>2</v>
      </c>
      <c r="D779" s="480" t="s">
        <v>87</v>
      </c>
      <c r="E779" s="481">
        <f t="shared" si="284"/>
        <v>1</v>
      </c>
      <c r="F779" s="482">
        <f t="shared" si="284"/>
        <v>17</v>
      </c>
      <c r="G779" s="483">
        <f t="shared" si="284"/>
        <v>0</v>
      </c>
      <c r="H779" s="484"/>
      <c r="I779" s="483"/>
      <c r="J779" s="749">
        <f t="shared" si="285"/>
        <v>0</v>
      </c>
      <c r="K779" s="819">
        <f t="shared" si="285"/>
        <v>4.5</v>
      </c>
      <c r="L779" s="478"/>
      <c r="M779" s="485">
        <f t="shared" si="286"/>
        <v>12.75</v>
      </c>
      <c r="N779" s="726"/>
      <c r="O779" s="726"/>
    </row>
    <row r="780" spans="1:15" s="487" customFormat="1" ht="18" customHeight="1">
      <c r="A780" s="478"/>
      <c r="B780" s="336" t="s">
        <v>419</v>
      </c>
      <c r="C780" s="479">
        <f t="shared" si="283"/>
        <v>2</v>
      </c>
      <c r="D780" s="480" t="s">
        <v>87</v>
      </c>
      <c r="E780" s="481">
        <f t="shared" si="284"/>
        <v>1</v>
      </c>
      <c r="F780" s="482">
        <f t="shared" si="284"/>
        <v>25</v>
      </c>
      <c r="G780" s="483">
        <f t="shared" si="284"/>
        <v>0</v>
      </c>
      <c r="H780" s="484"/>
      <c r="I780" s="483"/>
      <c r="J780" s="749">
        <f t="shared" si="285"/>
        <v>0</v>
      </c>
      <c r="K780" s="819">
        <f t="shared" si="285"/>
        <v>4.5</v>
      </c>
      <c r="L780" s="478"/>
      <c r="M780" s="485">
        <f t="shared" si="286"/>
        <v>18.75</v>
      </c>
      <c r="N780" s="726"/>
      <c r="O780" s="726"/>
    </row>
    <row r="781" spans="1:15" s="487" customFormat="1" ht="18" customHeight="1">
      <c r="A781" s="478"/>
      <c r="B781" s="336" t="s">
        <v>420</v>
      </c>
      <c r="C781" s="479">
        <f t="shared" si="283"/>
        <v>2</v>
      </c>
      <c r="D781" s="480" t="s">
        <v>87</v>
      </c>
      <c r="E781" s="481">
        <f t="shared" si="284"/>
        <v>1</v>
      </c>
      <c r="F781" s="482">
        <f t="shared" si="284"/>
        <v>26</v>
      </c>
      <c r="G781" s="483">
        <f t="shared" si="284"/>
        <v>8</v>
      </c>
      <c r="H781" s="484"/>
      <c r="I781" s="483"/>
      <c r="J781" s="749">
        <f t="shared" si="285"/>
        <v>0</v>
      </c>
      <c r="K781" s="819">
        <f t="shared" si="285"/>
        <v>4.5</v>
      </c>
      <c r="L781" s="478"/>
      <c r="M781" s="485">
        <f t="shared" si="286"/>
        <v>20</v>
      </c>
      <c r="N781" s="726"/>
      <c r="O781" s="726"/>
    </row>
    <row r="782" spans="1:15" s="487" customFormat="1" ht="18" customHeight="1">
      <c r="A782" s="478"/>
      <c r="B782" s="336" t="s">
        <v>422</v>
      </c>
      <c r="C782" s="479">
        <f t="shared" si="283"/>
        <v>2</v>
      </c>
      <c r="D782" s="480" t="s">
        <v>87</v>
      </c>
      <c r="E782" s="481">
        <f t="shared" si="284"/>
        <v>1</v>
      </c>
      <c r="F782" s="482">
        <f t="shared" si="284"/>
        <v>12</v>
      </c>
      <c r="G782" s="483">
        <f t="shared" si="284"/>
        <v>8</v>
      </c>
      <c r="H782" s="484"/>
      <c r="I782" s="483"/>
      <c r="J782" s="749">
        <f t="shared" si="285"/>
        <v>0</v>
      </c>
      <c r="K782" s="819">
        <f t="shared" si="285"/>
        <v>4.5</v>
      </c>
      <c r="L782" s="478"/>
      <c r="M782" s="485">
        <f t="shared" ref="M782" si="287">IF(C782=0,1,C782)*IF(E782=0,1,E782)*IF((F782+G782/12)=0,1,(F782+G782/12))*IF((H782+I782/12)=0,1,(H782+I782/12))*IF((J782+K782/12)=0,1,(J782+K782/12))</f>
        <v>9.5</v>
      </c>
      <c r="N782" s="726"/>
      <c r="O782" s="726"/>
    </row>
    <row r="783" spans="1:15" s="487" customFormat="1" ht="18" customHeight="1">
      <c r="A783" s="478"/>
      <c r="B783" s="336" t="s">
        <v>423</v>
      </c>
      <c r="C783" s="479">
        <f t="shared" si="283"/>
        <v>4</v>
      </c>
      <c r="D783" s="480" t="s">
        <v>87</v>
      </c>
      <c r="E783" s="481">
        <f t="shared" si="284"/>
        <v>1</v>
      </c>
      <c r="F783" s="482">
        <f t="shared" si="284"/>
        <v>22</v>
      </c>
      <c r="G783" s="483">
        <f t="shared" si="284"/>
        <v>4</v>
      </c>
      <c r="H783" s="484"/>
      <c r="I783" s="483"/>
      <c r="J783" s="749">
        <f t="shared" si="285"/>
        <v>0</v>
      </c>
      <c r="K783" s="819">
        <f t="shared" si="285"/>
        <v>4.5</v>
      </c>
      <c r="L783" s="478"/>
      <c r="M783" s="485">
        <f t="shared" si="286"/>
        <v>33.5</v>
      </c>
      <c r="N783" s="726"/>
      <c r="O783" s="726"/>
    </row>
    <row r="784" spans="1:15" s="487" customFormat="1" ht="18" customHeight="1">
      <c r="A784" s="478"/>
      <c r="B784" s="895"/>
      <c r="C784" s="479"/>
      <c r="D784" s="480"/>
      <c r="E784" s="896"/>
      <c r="F784" s="482"/>
      <c r="G784" s="483"/>
      <c r="H784" s="484"/>
      <c r="I784" s="483"/>
      <c r="J784" s="749"/>
      <c r="K784" s="725"/>
      <c r="L784" s="478"/>
      <c r="M784" s="499"/>
      <c r="N784" s="726"/>
      <c r="O784" s="726"/>
    </row>
    <row r="785" spans="1:24" s="862" customFormat="1" ht="18" customHeight="1">
      <c r="A785" s="726"/>
      <c r="B785" s="892"/>
      <c r="C785" s="809"/>
      <c r="D785" s="810"/>
      <c r="E785" s="897"/>
      <c r="F785" s="811"/>
      <c r="G785" s="860"/>
      <c r="H785" s="893"/>
      <c r="I785" s="860"/>
      <c r="J785" s="861"/>
      <c r="K785" s="815"/>
      <c r="L785" s="726"/>
      <c r="M785" s="486"/>
      <c r="N785" s="858">
        <f>SUM(M754:M784)</f>
        <v>772.11500000000001</v>
      </c>
      <c r="O785" s="885" t="s">
        <v>19</v>
      </c>
    </row>
    <row r="786" spans="1:24" ht="18" customHeight="1">
      <c r="A786" s="538"/>
      <c r="B786" s="592"/>
      <c r="C786" s="539"/>
      <c r="D786" s="540"/>
      <c r="E786" s="614"/>
      <c r="F786" s="541"/>
      <c r="G786" s="542"/>
      <c r="H786" s="543"/>
      <c r="I786" s="542"/>
      <c r="J786" s="594"/>
      <c r="K786" s="595"/>
      <c r="L786" s="538"/>
      <c r="M786" s="568"/>
      <c r="N786" s="586"/>
      <c r="O786" s="586"/>
    </row>
    <row r="787" spans="1:24" ht="18" customHeight="1">
      <c r="A787" s="596" t="s">
        <v>757</v>
      </c>
      <c r="B787" s="597" t="s">
        <v>564</v>
      </c>
      <c r="C787" s="598"/>
      <c r="D787" s="599"/>
      <c r="E787" s="490"/>
      <c r="F787" s="601"/>
      <c r="G787" s="602"/>
      <c r="H787" s="603"/>
      <c r="I787" s="602"/>
      <c r="J787" s="604"/>
      <c r="K787" s="605"/>
      <c r="L787" s="606"/>
      <c r="M787" s="610"/>
      <c r="N787" s="607">
        <f>N803</f>
        <v>9.1803088489281723</v>
      </c>
      <c r="O787" s="596" t="s">
        <v>30</v>
      </c>
      <c r="P787" s="1201" t="s">
        <v>678</v>
      </c>
      <c r="Q787" s="1201" t="s">
        <v>679</v>
      </c>
      <c r="R787" s="1201" t="s">
        <v>680</v>
      </c>
      <c r="S787" s="1201" t="s">
        <v>681</v>
      </c>
      <c r="T787" s="1197" t="s">
        <v>682</v>
      </c>
      <c r="U787" s="1197" t="s">
        <v>683</v>
      </c>
      <c r="V787" s="1199" t="s">
        <v>684</v>
      </c>
      <c r="W787" s="1197" t="s">
        <v>685</v>
      </c>
      <c r="X787" s="1197" t="s">
        <v>686</v>
      </c>
    </row>
    <row r="788" spans="1:24" ht="18" customHeight="1">
      <c r="A788" s="474"/>
      <c r="B788" s="588" t="s">
        <v>427</v>
      </c>
      <c r="C788" s="488"/>
      <c r="D788" s="489"/>
      <c r="E788" s="495"/>
      <c r="F788" s="491"/>
      <c r="G788" s="492"/>
      <c r="H788" s="493"/>
      <c r="I788" s="492"/>
      <c r="J788" s="1203" t="s">
        <v>546</v>
      </c>
      <c r="K788" s="1204"/>
      <c r="L788" s="650" t="s">
        <v>545</v>
      </c>
      <c r="M788" s="651" t="s">
        <v>544</v>
      </c>
      <c r="N788" s="651" t="s">
        <v>103</v>
      </c>
      <c r="O788" s="652"/>
      <c r="P788" s="1202"/>
      <c r="Q788" s="1202"/>
      <c r="R788" s="1202"/>
      <c r="S788" s="1202"/>
      <c r="T788" s="1198"/>
      <c r="U788" s="1198"/>
      <c r="V788" s="1200"/>
      <c r="W788" s="1198"/>
      <c r="X788" s="1198"/>
    </row>
    <row r="789" spans="1:24" s="487" customFormat="1" ht="18" customHeight="1">
      <c r="A789" s="478"/>
      <c r="B789" s="336" t="s">
        <v>267</v>
      </c>
      <c r="C789" s="479">
        <f>C81</f>
        <v>1</v>
      </c>
      <c r="D789" s="480" t="s">
        <v>87</v>
      </c>
      <c r="E789" s="481">
        <f>E81</f>
        <v>1</v>
      </c>
      <c r="F789" s="482">
        <f>F81</f>
        <v>35</v>
      </c>
      <c r="G789" s="483">
        <f>G81</f>
        <v>6</v>
      </c>
      <c r="H789" s="484">
        <v>38</v>
      </c>
      <c r="I789" s="483">
        <v>6</v>
      </c>
      <c r="J789" s="1163"/>
      <c r="K789" s="1164"/>
      <c r="L789" s="485"/>
      <c r="M789" s="485"/>
      <c r="N789" s="486"/>
      <c r="O789" s="486"/>
    </row>
    <row r="790" spans="1:24" s="487" customFormat="1" ht="18" customHeight="1">
      <c r="A790" s="478"/>
      <c r="B790" s="913" t="s">
        <v>429</v>
      </c>
      <c r="C790" s="479"/>
      <c r="D790" s="480"/>
      <c r="E790" s="481"/>
      <c r="F790" s="482"/>
      <c r="G790" s="483"/>
      <c r="H790" s="484"/>
      <c r="I790" s="483"/>
      <c r="J790" s="484"/>
      <c r="K790" s="483"/>
      <c r="L790" s="914"/>
      <c r="M790" s="485"/>
      <c r="N790" s="485"/>
      <c r="O790" s="486"/>
    </row>
    <row r="791" spans="1:24" s="487" customFormat="1" ht="18" customHeight="1">
      <c r="A791" s="478"/>
      <c r="B791" s="336" t="s">
        <v>430</v>
      </c>
      <c r="C791" s="479">
        <v>77</v>
      </c>
      <c r="D791" s="480" t="s">
        <v>87</v>
      </c>
      <c r="E791" s="481">
        <f>E789</f>
        <v>1</v>
      </c>
      <c r="F791" s="482">
        <v>38</v>
      </c>
      <c r="G791" s="483">
        <v>4</v>
      </c>
      <c r="H791" s="484"/>
      <c r="I791" s="483"/>
      <c r="J791" s="484"/>
      <c r="K791" s="483"/>
      <c r="L791" s="914"/>
      <c r="M791" s="485"/>
      <c r="N791" s="485">
        <f>C791*E791*(F791+G791/12)</f>
        <v>2951.666666666667</v>
      </c>
      <c r="O791" s="486"/>
      <c r="P791" s="915">
        <f>F789+G789/12</f>
        <v>35.5</v>
      </c>
      <c r="Q791" s="915">
        <v>1.67</v>
      </c>
      <c r="R791" s="915">
        <f>E789*C789</f>
        <v>1</v>
      </c>
      <c r="S791" s="916">
        <f>3/12</f>
        <v>0.25</v>
      </c>
      <c r="T791" s="75" t="s">
        <v>687</v>
      </c>
      <c r="U791" s="75">
        <f>16/(25*12)</f>
        <v>5.3333333333333337E-2</v>
      </c>
      <c r="V791" s="906">
        <f>6/12</f>
        <v>0.5</v>
      </c>
      <c r="W791" s="912">
        <f>P792/V791</f>
        <v>77</v>
      </c>
      <c r="X791" s="907">
        <f>P791+2*Q791-2*S791</f>
        <v>38.340000000000003</v>
      </c>
    </row>
    <row r="792" spans="1:24" s="487" customFormat="1" ht="18" customHeight="1">
      <c r="A792" s="478"/>
      <c r="B792" s="336" t="s">
        <v>431</v>
      </c>
      <c r="C792" s="479">
        <v>71</v>
      </c>
      <c r="D792" s="480" t="s">
        <v>87</v>
      </c>
      <c r="E792" s="481">
        <f>E789</f>
        <v>1</v>
      </c>
      <c r="F792" s="482">
        <v>43</v>
      </c>
      <c r="G792" s="483">
        <v>4</v>
      </c>
      <c r="H792" s="484"/>
      <c r="I792" s="483"/>
      <c r="J792" s="484"/>
      <c r="K792" s="483"/>
      <c r="L792" s="914"/>
      <c r="M792" s="485"/>
      <c r="N792" s="485">
        <f>C792*E792*(F792+G792/12)</f>
        <v>3076.666666666667</v>
      </c>
      <c r="O792" s="486"/>
      <c r="P792" s="915">
        <f>H789+I789/12</f>
        <v>38.5</v>
      </c>
      <c r="Q792" s="915"/>
      <c r="R792" s="917"/>
      <c r="S792" s="916">
        <f>3/12</f>
        <v>0.25</v>
      </c>
      <c r="T792" s="75" t="s">
        <v>688</v>
      </c>
      <c r="U792" s="75">
        <f>16/(25*12)</f>
        <v>5.3333333333333337E-2</v>
      </c>
      <c r="V792" s="906">
        <f>6/12</f>
        <v>0.5</v>
      </c>
      <c r="W792" s="912">
        <f>P791/V792</f>
        <v>71</v>
      </c>
      <c r="X792" s="907">
        <f>P792+2*Q791-2*S792+2</f>
        <v>43.34</v>
      </c>
    </row>
    <row r="793" spans="1:24" s="487" customFormat="1" ht="18" customHeight="1">
      <c r="A793" s="478"/>
      <c r="B793" s="913" t="s">
        <v>428</v>
      </c>
      <c r="C793" s="479"/>
      <c r="D793" s="480"/>
      <c r="E793" s="748"/>
      <c r="F793" s="482"/>
      <c r="G793" s="745"/>
      <c r="H793" s="746"/>
      <c r="I793" s="745"/>
      <c r="J793" s="484"/>
      <c r="K793" s="483"/>
      <c r="L793" s="914"/>
      <c r="M793" s="485"/>
      <c r="N793" s="485"/>
      <c r="O793" s="486"/>
    </row>
    <row r="794" spans="1:24" s="487" customFormat="1" ht="18" customHeight="1">
      <c r="A794" s="478"/>
      <c r="B794" s="336" t="s">
        <v>432</v>
      </c>
      <c r="C794" s="479">
        <v>116</v>
      </c>
      <c r="D794" s="480" t="s">
        <v>87</v>
      </c>
      <c r="E794" s="481">
        <f>E789</f>
        <v>1</v>
      </c>
      <c r="F794" s="482">
        <v>38</v>
      </c>
      <c r="G794" s="483">
        <v>4</v>
      </c>
      <c r="H794" s="746"/>
      <c r="I794" s="745"/>
      <c r="J794" s="484"/>
      <c r="K794" s="483"/>
      <c r="L794" s="914"/>
      <c r="M794" s="485"/>
      <c r="N794" s="485">
        <f>C794*E794*(F794+G794/12)</f>
        <v>4446.666666666667</v>
      </c>
      <c r="O794" s="486"/>
      <c r="P794" s="915">
        <f>F789+G789/12</f>
        <v>35.5</v>
      </c>
      <c r="Q794" s="915">
        <v>1.67</v>
      </c>
      <c r="R794" s="915">
        <f>E789*C789</f>
        <v>1</v>
      </c>
      <c r="S794" s="916">
        <f>3/12</f>
        <v>0.25</v>
      </c>
      <c r="T794" s="75" t="s">
        <v>687</v>
      </c>
      <c r="U794" s="75">
        <f>16/(25*12)</f>
        <v>5.3333333333333337E-2</v>
      </c>
      <c r="V794" s="906">
        <f>4/12</f>
        <v>0.33333333333333331</v>
      </c>
      <c r="W794" s="912">
        <f>P795/V794</f>
        <v>115.5</v>
      </c>
      <c r="X794" s="907">
        <f>P794+2*Q794-2*S794-1*U794</f>
        <v>38.286666666666669</v>
      </c>
    </row>
    <row r="795" spans="1:24" s="487" customFormat="1" ht="18" customHeight="1">
      <c r="A795" s="478"/>
      <c r="B795" s="336" t="s">
        <v>674</v>
      </c>
      <c r="C795" s="479">
        <v>107</v>
      </c>
      <c r="D795" s="480" t="s">
        <v>87</v>
      </c>
      <c r="E795" s="481">
        <f>E789</f>
        <v>1</v>
      </c>
      <c r="F795" s="482">
        <v>43</v>
      </c>
      <c r="G795" s="483">
        <v>4</v>
      </c>
      <c r="H795" s="746"/>
      <c r="I795" s="745"/>
      <c r="J795" s="484"/>
      <c r="K795" s="483"/>
      <c r="L795" s="914"/>
      <c r="M795" s="485"/>
      <c r="N795" s="485">
        <f>C795*E795*(F795+G795/12)</f>
        <v>4636.666666666667</v>
      </c>
      <c r="O795" s="486"/>
      <c r="P795" s="915">
        <f>H789+I789/12</f>
        <v>38.5</v>
      </c>
      <c r="Q795" s="915"/>
      <c r="R795" s="917"/>
      <c r="S795" s="916">
        <f>3/12</f>
        <v>0.25</v>
      </c>
      <c r="T795" s="75" t="s">
        <v>688</v>
      </c>
      <c r="U795" s="75">
        <f>16/(25*12)</f>
        <v>5.3333333333333337E-2</v>
      </c>
      <c r="V795" s="906">
        <f>4/12</f>
        <v>0.33333333333333331</v>
      </c>
      <c r="W795" s="912">
        <f>P794/V795</f>
        <v>106.5</v>
      </c>
      <c r="X795" s="907">
        <f>P795+2*Q794-2*S795-1*U795+2</f>
        <v>43.286666666666669</v>
      </c>
    </row>
    <row r="796" spans="1:24" s="487" customFormat="1" ht="18" customHeight="1">
      <c r="A796" s="478"/>
      <c r="B796" s="336"/>
      <c r="C796" s="479"/>
      <c r="D796" s="480"/>
      <c r="E796" s="748"/>
      <c r="F796" s="482"/>
      <c r="G796" s="745"/>
      <c r="H796" s="746"/>
      <c r="I796" s="745"/>
      <c r="J796" s="484"/>
      <c r="K796" s="483"/>
      <c r="L796" s="914"/>
      <c r="M796" s="485"/>
      <c r="N796" s="485"/>
      <c r="O796" s="486"/>
      <c r="P796" s="915"/>
      <c r="Q796" s="915"/>
      <c r="R796" s="917"/>
      <c r="S796" s="916"/>
      <c r="T796" s="75"/>
      <c r="U796" s="75"/>
      <c r="V796" s="906"/>
      <c r="W796" s="912"/>
      <c r="X796" s="907"/>
    </row>
    <row r="797" spans="1:24" s="487" customFormat="1" ht="18" customHeight="1">
      <c r="A797" s="478"/>
      <c r="B797" s="913" t="s">
        <v>433</v>
      </c>
      <c r="C797" s="479"/>
      <c r="D797" s="480"/>
      <c r="E797" s="748"/>
      <c r="F797" s="482"/>
      <c r="G797" s="745"/>
      <c r="H797" s="746"/>
      <c r="I797" s="745"/>
      <c r="J797" s="484"/>
      <c r="K797" s="483"/>
      <c r="L797" s="914"/>
      <c r="M797" s="485"/>
      <c r="N797" s="485"/>
      <c r="O797" s="486"/>
      <c r="P797" s="905"/>
      <c r="Q797" s="905"/>
      <c r="R797" s="905"/>
      <c r="S797" s="905"/>
      <c r="T797" s="75"/>
      <c r="U797" s="75"/>
      <c r="V797" s="906"/>
      <c r="W797" s="907"/>
      <c r="X797" s="907"/>
    </row>
    <row r="798" spans="1:24" s="487" customFormat="1" ht="18" customHeight="1">
      <c r="A798" s="478"/>
      <c r="B798" s="336" t="s">
        <v>689</v>
      </c>
      <c r="C798" s="479">
        <v>26</v>
      </c>
      <c r="D798" s="480" t="s">
        <v>87</v>
      </c>
      <c r="E798" s="481">
        <v>24</v>
      </c>
      <c r="F798" s="482">
        <v>6</v>
      </c>
      <c r="G798" s="483">
        <v>4</v>
      </c>
      <c r="H798" s="746"/>
      <c r="I798" s="745"/>
      <c r="J798" s="484"/>
      <c r="K798" s="483"/>
      <c r="L798" s="918"/>
      <c r="M798" s="485"/>
      <c r="N798" s="485">
        <f>C798*E798*(F798+G798/12)</f>
        <v>3952</v>
      </c>
      <c r="O798" s="486"/>
      <c r="P798" s="915">
        <f>F789+G789/12</f>
        <v>35.5</v>
      </c>
      <c r="Q798" s="915"/>
      <c r="R798" s="917"/>
      <c r="S798" s="916"/>
      <c r="T798" s="75"/>
      <c r="U798" s="75"/>
      <c r="V798" s="906">
        <v>1.5</v>
      </c>
      <c r="W798" s="912">
        <f>P799/V798</f>
        <v>25.666666666666668</v>
      </c>
      <c r="X798" s="907">
        <f>1+1*2+1.67*2</f>
        <v>6.34</v>
      </c>
    </row>
    <row r="799" spans="1:24" s="487" customFormat="1" ht="18" customHeight="1">
      <c r="A799" s="478"/>
      <c r="B799" s="913"/>
      <c r="C799" s="479"/>
      <c r="D799" s="480"/>
      <c r="E799" s="748"/>
      <c r="F799" s="482"/>
      <c r="G799" s="745"/>
      <c r="H799" s="746"/>
      <c r="I799" s="745"/>
      <c r="J799" s="484"/>
      <c r="K799" s="483"/>
      <c r="L799" s="914"/>
      <c r="M799" s="485"/>
      <c r="N799" s="485"/>
      <c r="O799" s="486"/>
      <c r="P799" s="915">
        <f>H789+I789/12</f>
        <v>38.5</v>
      </c>
      <c r="Q799" s="905"/>
      <c r="R799" s="905"/>
      <c r="S799" s="905"/>
      <c r="T799" s="75"/>
      <c r="U799" s="75"/>
      <c r="V799" s="906">
        <v>1.5</v>
      </c>
      <c r="W799" s="912">
        <f>P798/V799</f>
        <v>23.666666666666668</v>
      </c>
      <c r="X799" s="907"/>
    </row>
    <row r="800" spans="1:24" s="487" customFormat="1" ht="18" customHeight="1" thickBot="1">
      <c r="A800" s="478"/>
      <c r="B800" s="913"/>
      <c r="C800" s="479"/>
      <c r="D800" s="480"/>
      <c r="E800" s="748"/>
      <c r="F800" s="482"/>
      <c r="G800" s="745"/>
      <c r="H800" s="746"/>
      <c r="I800" s="745"/>
      <c r="J800" s="484"/>
      <c r="K800" s="483"/>
      <c r="L800" s="919"/>
      <c r="M800" s="920"/>
      <c r="N800" s="920"/>
      <c r="O800" s="486"/>
      <c r="P800" s="905"/>
      <c r="Q800" s="905"/>
      <c r="R800" s="905"/>
      <c r="S800" s="905"/>
      <c r="T800" s="75"/>
      <c r="U800" s="75"/>
      <c r="V800" s="906"/>
      <c r="W800" s="907">
        <f>W798*W799</f>
        <v>607.44444444444446</v>
      </c>
      <c r="X800" s="907"/>
    </row>
    <row r="801" spans="1:24" s="487" customFormat="1" ht="18" customHeight="1">
      <c r="A801" s="478"/>
      <c r="B801" s="930" t="s">
        <v>107</v>
      </c>
      <c r="C801" s="479">
        <v>6.5</v>
      </c>
      <c r="D801" s="480"/>
      <c r="E801" s="481"/>
      <c r="F801" s="1165">
        <v>10</v>
      </c>
      <c r="G801" s="1166"/>
      <c r="H801" s="1165">
        <v>16</v>
      </c>
      <c r="I801" s="1166"/>
      <c r="J801" s="1192"/>
      <c r="K801" s="1193"/>
      <c r="L801" s="972">
        <f>SUM(L791:L798)</f>
        <v>0</v>
      </c>
      <c r="M801" s="972"/>
      <c r="N801" s="972">
        <f>SUM(N791:N800)</f>
        <v>19063.666666666668</v>
      </c>
      <c r="O801" s="486"/>
      <c r="P801" s="905"/>
      <c r="Q801" s="905"/>
      <c r="R801" s="905"/>
      <c r="S801" s="905"/>
      <c r="T801" s="75"/>
      <c r="U801" s="75"/>
      <c r="V801" s="906"/>
      <c r="W801" s="907"/>
      <c r="X801" s="907"/>
    </row>
    <row r="802" spans="1:24" s="487" customFormat="1" ht="18" customHeight="1">
      <c r="A802" s="478"/>
      <c r="B802" s="930" t="s">
        <v>30</v>
      </c>
      <c r="C802" s="1167">
        <f>ROUNDUP(7.85*3.142*C801*C801/4000,2)</f>
        <v>0.27</v>
      </c>
      <c r="D802" s="1205"/>
      <c r="E802" s="1168"/>
      <c r="F802" s="1167">
        <f>ROUNDUP(7.85*3.142*F801*F801/4000,2)</f>
        <v>0.62</v>
      </c>
      <c r="G802" s="1168"/>
      <c r="H802" s="1167">
        <f>ROUNDUP(7.85*3.142*H801*H801/4000,2)</f>
        <v>1.58</v>
      </c>
      <c r="I802" s="1168"/>
      <c r="J802" s="1173">
        <f>J801/12/3.281/376</f>
        <v>0</v>
      </c>
      <c r="K802" s="1174"/>
      <c r="L802" s="947">
        <f>(L801/3.281)*F802/1000</f>
        <v>0</v>
      </c>
      <c r="M802" s="933">
        <f>M801/12/3.281/88</f>
        <v>0</v>
      </c>
      <c r="N802" s="933">
        <f>(N801/3.281)*H802/1000</f>
        <v>9.1803088489281723</v>
      </c>
      <c r="O802" s="486"/>
      <c r="P802" s="905"/>
      <c r="Q802" s="905"/>
      <c r="R802" s="905"/>
      <c r="S802" s="905"/>
      <c r="T802" s="75"/>
      <c r="U802" s="75"/>
      <c r="V802" s="906"/>
      <c r="W802" s="907"/>
      <c r="X802" s="907"/>
    </row>
    <row r="803" spans="1:24" s="487" customFormat="1" ht="18" customHeight="1">
      <c r="A803" s="478"/>
      <c r="B803" s="930" t="s">
        <v>108</v>
      </c>
      <c r="C803" s="479"/>
      <c r="D803" s="480"/>
      <c r="E803" s="481"/>
      <c r="F803" s="482"/>
      <c r="G803" s="483"/>
      <c r="H803" s="484"/>
      <c r="I803" s="483"/>
      <c r="J803" s="1163"/>
      <c r="K803" s="1164"/>
      <c r="L803" s="478"/>
      <c r="M803" s="485"/>
      <c r="N803" s="486">
        <f>SUM(J802:N802)</f>
        <v>9.1803088489281723</v>
      </c>
      <c r="O803" s="486" t="s">
        <v>30</v>
      </c>
      <c r="P803" s="915"/>
      <c r="Q803" s="915"/>
      <c r="R803" s="917"/>
      <c r="S803" s="916"/>
      <c r="T803" s="75"/>
      <c r="U803" s="75"/>
      <c r="V803" s="906"/>
      <c r="W803" s="912"/>
      <c r="X803" s="907"/>
    </row>
    <row r="804" spans="1:24" s="487" customFormat="1" ht="18" customHeight="1">
      <c r="A804" s="478"/>
      <c r="B804" s="953"/>
      <c r="C804" s="934"/>
      <c r="D804" s="935"/>
      <c r="E804" s="936"/>
      <c r="F804" s="482"/>
      <c r="G804" s="483"/>
      <c r="H804" s="484"/>
      <c r="I804" s="483"/>
      <c r="J804" s="1163"/>
      <c r="K804" s="1164"/>
      <c r="L804" s="478"/>
      <c r="M804" s="485"/>
      <c r="N804" s="485"/>
      <c r="O804" s="485"/>
      <c r="P804" s="905"/>
      <c r="Q804" s="905"/>
      <c r="R804" s="905"/>
      <c r="S804" s="905"/>
      <c r="T804" s="75"/>
      <c r="U804" s="75"/>
      <c r="V804" s="906"/>
      <c r="W804" s="907"/>
      <c r="X804" s="907"/>
    </row>
    <row r="805" spans="1:24" s="487" customFormat="1" ht="18" customHeight="1">
      <c r="A805" s="478"/>
      <c r="B805" s="500" t="s">
        <v>115</v>
      </c>
      <c r="C805" s="934"/>
      <c r="D805" s="935"/>
      <c r="E805" s="936" t="s">
        <v>165</v>
      </c>
      <c r="F805" s="482"/>
      <c r="G805" s="483"/>
      <c r="H805" s="484"/>
      <c r="I805" s="483"/>
      <c r="J805" s="1163"/>
      <c r="K805" s="1164"/>
      <c r="L805" s="478"/>
      <c r="M805" s="485"/>
      <c r="N805" s="485"/>
      <c r="O805" s="485"/>
      <c r="P805" s="915"/>
      <c r="Q805" s="915"/>
      <c r="R805" s="917"/>
      <c r="S805" s="916"/>
      <c r="T805" s="75"/>
      <c r="U805" s="75"/>
      <c r="V805" s="906"/>
      <c r="W805" s="912"/>
      <c r="X805" s="907"/>
    </row>
    <row r="806" spans="1:24" s="487" customFormat="1" ht="18" customHeight="1">
      <c r="A806" s="478"/>
      <c r="B806" s="336" t="s">
        <v>585</v>
      </c>
      <c r="C806" s="934"/>
      <c r="D806" s="935" t="s">
        <v>116</v>
      </c>
      <c r="E806" s="936"/>
      <c r="F806" s="482"/>
      <c r="G806" s="483"/>
      <c r="H806" s="484"/>
      <c r="I806" s="483"/>
      <c r="J806" s="1163"/>
      <c r="K806" s="1164"/>
      <c r="L806" s="478"/>
      <c r="M806" s="485"/>
      <c r="N806" s="485">
        <f>N802</f>
        <v>9.1803088489281723</v>
      </c>
      <c r="O806" s="485" t="s">
        <v>30</v>
      </c>
      <c r="P806" s="905"/>
      <c r="Q806" s="905"/>
      <c r="R806" s="905"/>
      <c r="S806" s="905"/>
      <c r="T806" s="75"/>
      <c r="U806" s="75"/>
      <c r="V806" s="906"/>
      <c r="W806" s="907"/>
      <c r="X806" s="907"/>
    </row>
    <row r="807" spans="1:24" s="487" customFormat="1" ht="18" customHeight="1">
      <c r="A807" s="833"/>
      <c r="B807" s="336" t="s">
        <v>616</v>
      </c>
      <c r="C807" s="934"/>
      <c r="D807" s="935" t="s">
        <v>116</v>
      </c>
      <c r="E807" s="572"/>
      <c r="F807" s="973"/>
      <c r="G807" s="974"/>
      <c r="H807" s="975"/>
      <c r="I807" s="974"/>
      <c r="J807" s="919"/>
      <c r="K807" s="976"/>
      <c r="L807" s="977"/>
      <c r="M807" s="920"/>
      <c r="N807" s="485">
        <f>L802</f>
        <v>0</v>
      </c>
      <c r="O807" s="485" t="s">
        <v>30</v>
      </c>
      <c r="P807" s="905"/>
      <c r="Q807" s="905"/>
      <c r="R807" s="905"/>
      <c r="S807" s="905"/>
      <c r="T807" s="75"/>
      <c r="U807" s="75"/>
      <c r="V807" s="906"/>
      <c r="W807" s="907"/>
      <c r="X807" s="907"/>
    </row>
    <row r="808" spans="1:24" s="487" customFormat="1" ht="18" customHeight="1">
      <c r="A808" s="548"/>
      <c r="B808" s="954"/>
      <c r="C808" s="557"/>
      <c r="D808" s="550"/>
      <c r="E808" s="798"/>
      <c r="F808" s="552"/>
      <c r="G808" s="729"/>
      <c r="H808" s="730"/>
      <c r="I808" s="729"/>
      <c r="J808" s="554"/>
      <c r="K808" s="553"/>
      <c r="L808" s="955"/>
      <c r="M808" s="555"/>
      <c r="N808" s="555"/>
      <c r="O808" s="556"/>
      <c r="P808" s="915"/>
      <c r="Q808" s="915"/>
      <c r="R808" s="917"/>
      <c r="S808" s="916"/>
      <c r="T808" s="75"/>
      <c r="U808" s="75"/>
      <c r="V808" s="906"/>
      <c r="W808" s="912"/>
      <c r="X808" s="907"/>
    </row>
    <row r="809" spans="1:24" s="487" customFormat="1" ht="18" customHeight="1">
      <c r="A809" s="733" t="s">
        <v>758</v>
      </c>
      <c r="B809" s="734" t="s">
        <v>578</v>
      </c>
      <c r="C809" s="735"/>
      <c r="D809" s="736"/>
      <c r="E809" s="748"/>
      <c r="F809" s="738"/>
      <c r="G809" s="739"/>
      <c r="H809" s="740"/>
      <c r="I809" s="739"/>
      <c r="J809" s="741"/>
      <c r="K809" s="742"/>
      <c r="L809" s="743"/>
      <c r="M809" s="499"/>
      <c r="N809" s="546">
        <f>N824</f>
        <v>1.3835555724880626</v>
      </c>
      <c r="O809" s="733" t="s">
        <v>30</v>
      </c>
      <c r="P809" s="905"/>
      <c r="Q809" s="905"/>
      <c r="R809" s="905"/>
      <c r="S809" s="905"/>
      <c r="T809" s="75"/>
      <c r="U809" s="75"/>
      <c r="V809" s="906"/>
      <c r="W809" s="907"/>
      <c r="X809" s="907"/>
    </row>
    <row r="810" spans="1:24" s="487" customFormat="1" ht="18" customHeight="1">
      <c r="A810" s="478"/>
      <c r="B810" s="723"/>
      <c r="C810" s="479"/>
      <c r="D810" s="480"/>
      <c r="E810" s="481"/>
      <c r="F810" s="482"/>
      <c r="G810" s="745"/>
      <c r="H810" s="746"/>
      <c r="I810" s="745"/>
      <c r="J810" s="1171" t="s">
        <v>546</v>
      </c>
      <c r="K810" s="1172"/>
      <c r="L810" s="921" t="s">
        <v>545</v>
      </c>
      <c r="M810" s="922" t="s">
        <v>544</v>
      </c>
      <c r="N810" s="922" t="s">
        <v>103</v>
      </c>
      <c r="O810" s="923"/>
      <c r="P810" s="915"/>
      <c r="Q810" s="915"/>
      <c r="R810" s="917"/>
      <c r="S810" s="916"/>
      <c r="T810" s="75"/>
      <c r="U810" s="75"/>
      <c r="V810" s="906"/>
      <c r="W810" s="912"/>
      <c r="X810" s="907"/>
    </row>
    <row r="811" spans="1:24" s="487" customFormat="1" ht="18" customHeight="1">
      <c r="A811" s="478"/>
      <c r="B811" s="723" t="s">
        <v>477</v>
      </c>
      <c r="C811" s="924"/>
      <c r="D811" s="480"/>
      <c r="E811" s="481"/>
      <c r="F811" s="482"/>
      <c r="G811" s="483"/>
      <c r="H811" s="484"/>
      <c r="I811" s="483"/>
      <c r="J811" s="484"/>
      <c r="K811" s="483"/>
      <c r="L811" s="914"/>
      <c r="M811" s="485"/>
      <c r="N811" s="485"/>
      <c r="O811" s="486"/>
      <c r="P811" s="908"/>
      <c r="Q811" s="908"/>
      <c r="R811" s="909"/>
      <c r="S811" s="908"/>
      <c r="T811" s="910"/>
      <c r="U811" s="910"/>
      <c r="V811" s="910"/>
      <c r="W811" s="910"/>
      <c r="X811" s="910"/>
    </row>
    <row r="812" spans="1:24" s="487" customFormat="1" ht="18" customHeight="1">
      <c r="A812" s="478"/>
      <c r="B812" s="834" t="s">
        <v>475</v>
      </c>
      <c r="C812" s="479">
        <f>C88</f>
        <v>1</v>
      </c>
      <c r="D812" s="883" t="s">
        <v>87</v>
      </c>
      <c r="E812" s="481">
        <f>E88</f>
        <v>2</v>
      </c>
      <c r="F812" s="482">
        <f>F88</f>
        <v>15</v>
      </c>
      <c r="G812" s="483">
        <f>G88</f>
        <v>11</v>
      </c>
      <c r="H812" s="482">
        <f>J88</f>
        <v>9</v>
      </c>
      <c r="I812" s="483">
        <f>K88</f>
        <v>4</v>
      </c>
      <c r="J812" s="484"/>
      <c r="K812" s="483"/>
      <c r="L812" s="914"/>
      <c r="M812" s="485"/>
      <c r="N812" s="485"/>
      <c r="O812" s="486"/>
      <c r="P812" s="911"/>
      <c r="Q812" s="911"/>
      <c r="R812" s="909"/>
      <c r="S812" s="911"/>
      <c r="T812" s="75"/>
      <c r="U812" s="75"/>
      <c r="V812" s="906"/>
      <c r="W812" s="912"/>
      <c r="X812" s="75"/>
    </row>
    <row r="813" spans="1:24" s="487" customFormat="1" ht="18" customHeight="1">
      <c r="A813" s="478"/>
      <c r="B813" s="336" t="s">
        <v>547</v>
      </c>
      <c r="C813" s="924">
        <f>2*49</f>
        <v>98</v>
      </c>
      <c r="D813" s="480" t="s">
        <v>87</v>
      </c>
      <c r="E813" s="481">
        <f>E812</f>
        <v>2</v>
      </c>
      <c r="F813" s="482">
        <v>11</v>
      </c>
      <c r="G813" s="483">
        <v>5</v>
      </c>
      <c r="H813" s="484"/>
      <c r="I813" s="483"/>
      <c r="J813" s="484"/>
      <c r="K813" s="483"/>
      <c r="L813" s="914"/>
      <c r="M813" s="485">
        <f>C813*E813*(F813+G813/12)</f>
        <v>2237.6666666666665</v>
      </c>
      <c r="O813" s="486"/>
      <c r="P813" s="915">
        <f>F812+G812/12</f>
        <v>15.916666666666666</v>
      </c>
      <c r="Q813" s="915">
        <f>10/12</f>
        <v>0.83333333333333337</v>
      </c>
      <c r="R813" s="915">
        <f>E812*C812</f>
        <v>2</v>
      </c>
      <c r="S813" s="916">
        <f>1.5/12</f>
        <v>0.125</v>
      </c>
      <c r="T813" s="75" t="s">
        <v>690</v>
      </c>
      <c r="U813" s="75">
        <f>12/(25*12)</f>
        <v>0.04</v>
      </c>
      <c r="V813" s="906">
        <f>4/12</f>
        <v>0.33333333333333331</v>
      </c>
      <c r="W813" s="912">
        <f>2*(P813/V813+1)</f>
        <v>97.5</v>
      </c>
      <c r="X813" s="907">
        <f>P814+2*Q813-2*S813</f>
        <v>11.416666666666666</v>
      </c>
    </row>
    <row r="814" spans="1:24" s="487" customFormat="1" ht="18" customHeight="1">
      <c r="A814" s="478"/>
      <c r="B814" s="336" t="s">
        <v>548</v>
      </c>
      <c r="C814" s="924">
        <v>42</v>
      </c>
      <c r="D814" s="480" t="s">
        <v>87</v>
      </c>
      <c r="E814" s="481">
        <f>E813</f>
        <v>2</v>
      </c>
      <c r="F814" s="482">
        <v>17</v>
      </c>
      <c r="G814" s="483">
        <v>4</v>
      </c>
      <c r="H814" s="484"/>
      <c r="I814" s="483"/>
      <c r="J814" s="484"/>
      <c r="K814" s="483"/>
      <c r="L814" s="914">
        <f>C814*E814*(F814+G814/12)</f>
        <v>1456</v>
      </c>
      <c r="M814" s="485"/>
      <c r="N814" s="485"/>
      <c r="O814" s="486"/>
      <c r="P814" s="915">
        <v>10</v>
      </c>
      <c r="Q814" s="915"/>
      <c r="R814" s="917"/>
      <c r="S814" s="916">
        <f t="shared" ref="S814:S820" si="288">1.5/12</f>
        <v>0.125</v>
      </c>
      <c r="T814" s="75" t="s">
        <v>691</v>
      </c>
      <c r="U814" s="75">
        <f>10/(25*12)</f>
        <v>3.3333333333333333E-2</v>
      </c>
      <c r="V814" s="906">
        <f>6/12</f>
        <v>0.5</v>
      </c>
      <c r="W814" s="912">
        <f>2*(P814/V814+1)</f>
        <v>42</v>
      </c>
      <c r="X814" s="907">
        <f>P813+2*Q813-2*S814</f>
        <v>17.333333333333332</v>
      </c>
    </row>
    <row r="815" spans="1:24" s="487" customFormat="1" ht="18" customHeight="1">
      <c r="A815" s="478"/>
      <c r="B815" s="336" t="s">
        <v>549</v>
      </c>
      <c r="C815" s="924">
        <f>W815</f>
        <v>10</v>
      </c>
      <c r="D815" s="480" t="s">
        <v>87</v>
      </c>
      <c r="E815" s="481">
        <f>W816</f>
        <v>15.916666666666666</v>
      </c>
      <c r="F815" s="482">
        <v>1</v>
      </c>
      <c r="G815" s="483">
        <v>1</v>
      </c>
      <c r="H815" s="484"/>
      <c r="I815" s="483"/>
      <c r="J815" s="484"/>
      <c r="K815" s="483"/>
      <c r="L815" s="914">
        <f>C815*E815*(F815+G815/12)</f>
        <v>172.43055555555554</v>
      </c>
      <c r="M815" s="485"/>
      <c r="N815" s="485"/>
      <c r="O815" s="486"/>
      <c r="Q815" s="915"/>
      <c r="R815" s="917"/>
      <c r="S815" s="916">
        <f t="shared" si="288"/>
        <v>0.125</v>
      </c>
      <c r="T815" s="75" t="s">
        <v>692</v>
      </c>
      <c r="U815" s="75">
        <f>10/(25*12)</f>
        <v>3.3333333333333333E-2</v>
      </c>
      <c r="V815" s="906">
        <f>12/12</f>
        <v>1</v>
      </c>
      <c r="W815" s="912">
        <f>P814/V815</f>
        <v>10</v>
      </c>
      <c r="X815" s="907">
        <f>Q813-2*S815+3/12*2</f>
        <v>1.0833333333333335</v>
      </c>
    </row>
    <row r="816" spans="1:24" s="487" customFormat="1" ht="18" customHeight="1">
      <c r="A816" s="478"/>
      <c r="B816" s="834" t="s">
        <v>476</v>
      </c>
      <c r="C816" s="479">
        <f>C89</f>
        <v>1</v>
      </c>
      <c r="D816" s="883" t="s">
        <v>87</v>
      </c>
      <c r="E816" s="481">
        <f>E89</f>
        <v>2</v>
      </c>
      <c r="F816" s="482">
        <f>F89</f>
        <v>7</v>
      </c>
      <c r="G816" s="483">
        <f>G89</f>
        <v>10</v>
      </c>
      <c r="H816" s="482">
        <f>J89</f>
        <v>9</v>
      </c>
      <c r="I816" s="483">
        <f>K89</f>
        <v>4</v>
      </c>
      <c r="J816" s="484"/>
      <c r="K816" s="483"/>
      <c r="L816" s="914"/>
      <c r="M816" s="485"/>
      <c r="N816" s="485"/>
      <c r="O816" s="486"/>
      <c r="S816" s="916">
        <f t="shared" si="288"/>
        <v>0.125</v>
      </c>
      <c r="T816" s="75" t="s">
        <v>692</v>
      </c>
      <c r="U816" s="75">
        <f>10/(25*12)</f>
        <v>3.3333333333333333E-2</v>
      </c>
      <c r="V816" s="906">
        <f>12/12</f>
        <v>1</v>
      </c>
      <c r="W816" s="912">
        <f>P813/V816</f>
        <v>15.916666666666666</v>
      </c>
      <c r="X816" s="907">
        <f>Q813-2*S816+3/12*2</f>
        <v>1.0833333333333335</v>
      </c>
    </row>
    <row r="817" spans="1:24" s="487" customFormat="1" ht="18" customHeight="1">
      <c r="A817" s="478"/>
      <c r="B817" s="336" t="s">
        <v>547</v>
      </c>
      <c r="C817" s="924">
        <v>50</v>
      </c>
      <c r="D817" s="480" t="s">
        <v>87</v>
      </c>
      <c r="E817" s="481">
        <f>E816</f>
        <v>2</v>
      </c>
      <c r="F817" s="482">
        <v>11</v>
      </c>
      <c r="G817" s="483">
        <v>5</v>
      </c>
      <c r="H817" s="484"/>
      <c r="I817" s="483"/>
      <c r="J817" s="484"/>
      <c r="K817" s="483"/>
      <c r="L817" s="914"/>
      <c r="M817" s="485">
        <f>C817*E817*(F817+G817/12)</f>
        <v>1141.6666666666665</v>
      </c>
      <c r="N817" s="485"/>
      <c r="O817" s="486"/>
      <c r="P817" s="915">
        <f>F816+G816/12</f>
        <v>7.833333333333333</v>
      </c>
      <c r="Q817" s="915">
        <f>10/12</f>
        <v>0.83333333333333337</v>
      </c>
      <c r="R817" s="915">
        <f>E816*C816</f>
        <v>2</v>
      </c>
      <c r="S817" s="916">
        <f>1.5/12</f>
        <v>0.125</v>
      </c>
      <c r="T817" s="75" t="s">
        <v>690</v>
      </c>
      <c r="U817" s="75">
        <f>12/(25*12)</f>
        <v>0.04</v>
      </c>
      <c r="V817" s="906">
        <f>4/12</f>
        <v>0.33333333333333331</v>
      </c>
      <c r="W817" s="912">
        <f>2*(P817/V817+1)</f>
        <v>49</v>
      </c>
      <c r="X817" s="907">
        <f>P818+2*Q817-2*S817</f>
        <v>11.416666666666666</v>
      </c>
    </row>
    <row r="818" spans="1:24" s="487" customFormat="1" ht="18" customHeight="1">
      <c r="A818" s="478"/>
      <c r="B818" s="336" t="s">
        <v>548</v>
      </c>
      <c r="C818" s="924">
        <v>42</v>
      </c>
      <c r="D818" s="480" t="s">
        <v>87</v>
      </c>
      <c r="E818" s="481">
        <f>E817</f>
        <v>2</v>
      </c>
      <c r="F818" s="482">
        <v>9</v>
      </c>
      <c r="G818" s="483">
        <v>3</v>
      </c>
      <c r="H818" s="484"/>
      <c r="I818" s="483"/>
      <c r="J818" s="484"/>
      <c r="K818" s="483"/>
      <c r="L818" s="914">
        <f>C818*E818*(F818+G818/12)</f>
        <v>777</v>
      </c>
      <c r="M818" s="485"/>
      <c r="N818" s="485"/>
      <c r="O818" s="486"/>
      <c r="P818" s="915">
        <v>10</v>
      </c>
      <c r="Q818" s="915"/>
      <c r="R818" s="917"/>
      <c r="S818" s="916">
        <f t="shared" si="288"/>
        <v>0.125</v>
      </c>
      <c r="T818" s="75" t="s">
        <v>691</v>
      </c>
      <c r="U818" s="75">
        <f>10/(25*12)</f>
        <v>3.3333333333333333E-2</v>
      </c>
      <c r="V818" s="906">
        <f>6/12</f>
        <v>0.5</v>
      </c>
      <c r="W818" s="912">
        <f>2*(P818/V818+1)</f>
        <v>42</v>
      </c>
      <c r="X818" s="907">
        <f>P817+2*Q817-2*S818</f>
        <v>9.25</v>
      </c>
    </row>
    <row r="819" spans="1:24" s="487" customFormat="1" ht="18" customHeight="1">
      <c r="A819" s="478"/>
      <c r="B819" s="336" t="s">
        <v>549</v>
      </c>
      <c r="C819" s="924">
        <f>W819</f>
        <v>10</v>
      </c>
      <c r="D819" s="480" t="s">
        <v>87</v>
      </c>
      <c r="E819" s="481">
        <f>W820</f>
        <v>7.833333333333333</v>
      </c>
      <c r="F819" s="482">
        <v>0</v>
      </c>
      <c r="G819" s="483">
        <v>10</v>
      </c>
      <c r="H819" s="484"/>
      <c r="I819" s="483"/>
      <c r="J819" s="484"/>
      <c r="K819" s="483"/>
      <c r="L819" s="914">
        <f>C819*E819*(F819+G819/12)</f>
        <v>65.277777777777771</v>
      </c>
      <c r="M819" s="485"/>
      <c r="N819" s="485"/>
      <c r="O819" s="486"/>
      <c r="Q819" s="915"/>
      <c r="R819" s="917"/>
      <c r="S819" s="916">
        <f t="shared" si="288"/>
        <v>0.125</v>
      </c>
      <c r="T819" s="75" t="s">
        <v>692</v>
      </c>
      <c r="U819" s="75">
        <f>10/(25*12)</f>
        <v>3.3333333333333333E-2</v>
      </c>
      <c r="V819" s="906">
        <f>12/12</f>
        <v>1</v>
      </c>
      <c r="W819" s="912">
        <f>P818/V819</f>
        <v>10</v>
      </c>
      <c r="X819" s="907">
        <f>Q817-2*S819+3/12*2</f>
        <v>1.0833333333333335</v>
      </c>
    </row>
    <row r="820" spans="1:24" s="487" customFormat="1" ht="18" customHeight="1">
      <c r="A820" s="478"/>
      <c r="B820" s="336"/>
      <c r="C820" s="924"/>
      <c r="D820" s="480"/>
      <c r="E820" s="481"/>
      <c r="F820" s="482"/>
      <c r="G820" s="483"/>
      <c r="H820" s="484"/>
      <c r="I820" s="483"/>
      <c r="J820" s="484"/>
      <c r="K820" s="483"/>
      <c r="L820" s="914"/>
      <c r="M820" s="485"/>
      <c r="N820" s="485"/>
      <c r="O820" s="486"/>
      <c r="S820" s="916">
        <f t="shared" si="288"/>
        <v>0.125</v>
      </c>
      <c r="T820" s="75" t="s">
        <v>692</v>
      </c>
      <c r="U820" s="75">
        <f>10/(25*12)</f>
        <v>3.3333333333333333E-2</v>
      </c>
      <c r="V820" s="906">
        <f>12/12</f>
        <v>1</v>
      </c>
      <c r="W820" s="912">
        <f>P817/V820</f>
        <v>7.833333333333333</v>
      </c>
      <c r="X820" s="907">
        <f>Q817-2*S820+3/12*2</f>
        <v>1.0833333333333335</v>
      </c>
    </row>
    <row r="821" spans="1:24" s="487" customFormat="1" ht="18" customHeight="1" thickBot="1">
      <c r="A821" s="478"/>
      <c r="B821" s="336"/>
      <c r="C821" s="479"/>
      <c r="D821" s="480"/>
      <c r="E821" s="481"/>
      <c r="F821" s="482"/>
      <c r="G821" s="483"/>
      <c r="H821" s="484"/>
      <c r="I821" s="483"/>
      <c r="J821" s="925"/>
      <c r="K821" s="926"/>
      <c r="L821" s="927"/>
      <c r="M821" s="928"/>
      <c r="N821" s="929"/>
      <c r="O821" s="486"/>
      <c r="P821" s="905"/>
      <c r="Q821" s="905"/>
      <c r="R821" s="905"/>
      <c r="S821" s="905"/>
      <c r="T821" s="75"/>
      <c r="U821" s="75"/>
      <c r="V821" s="75"/>
      <c r="W821" s="907"/>
      <c r="X821" s="906"/>
    </row>
    <row r="822" spans="1:24" s="487" customFormat="1" ht="18" customHeight="1">
      <c r="A822" s="478"/>
      <c r="B822" s="930" t="s">
        <v>107</v>
      </c>
      <c r="C822" s="479">
        <v>6.5</v>
      </c>
      <c r="D822" s="480"/>
      <c r="E822" s="481"/>
      <c r="F822" s="1165">
        <v>10</v>
      </c>
      <c r="G822" s="1166"/>
      <c r="H822" s="1165">
        <v>12</v>
      </c>
      <c r="I822" s="1166"/>
      <c r="J822" s="1169">
        <v>0</v>
      </c>
      <c r="K822" s="1170"/>
      <c r="L822" s="499">
        <f>SUM(L812:L820)</f>
        <v>2470.7083333333335</v>
      </c>
      <c r="M822" s="499">
        <f>SUM(M812:M820)</f>
        <v>3379.333333333333</v>
      </c>
      <c r="N822" s="931">
        <f>SUM(N812:N820)</f>
        <v>0</v>
      </c>
      <c r="O822" s="486"/>
      <c r="P822" s="905"/>
      <c r="Q822" s="905"/>
      <c r="R822" s="905"/>
      <c r="S822" s="905"/>
      <c r="T822" s="75"/>
      <c r="U822" s="75"/>
      <c r="V822" s="75"/>
      <c r="W822" s="75"/>
      <c r="X822" s="906"/>
    </row>
    <row r="823" spans="1:24" s="487" customFormat="1" ht="18" customHeight="1">
      <c r="A823" s="478"/>
      <c r="B823" s="930" t="s">
        <v>30</v>
      </c>
      <c r="C823" s="1167">
        <f>ROUNDUP(7.85*3.142*C822*C822/4000,2)</f>
        <v>0.27</v>
      </c>
      <c r="D823" s="1205"/>
      <c r="E823" s="1168"/>
      <c r="F823" s="1167">
        <f>ROUNDUP(7.85*3.142*F822*F822/4000,2)</f>
        <v>0.62</v>
      </c>
      <c r="G823" s="1168"/>
      <c r="H823" s="1167">
        <f>ROUNDUP(7.85*3.142*H822*H822/4000,2)</f>
        <v>0.89</v>
      </c>
      <c r="I823" s="1168"/>
      <c r="J823" s="1173">
        <f>J822/12/3.281/376</f>
        <v>0</v>
      </c>
      <c r="K823" s="1174"/>
      <c r="L823" s="932">
        <f>(L822/3.281)*F823/1000</f>
        <v>0.46688179416844455</v>
      </c>
      <c r="M823" s="932">
        <f>(M822/3.281)*H823/1000</f>
        <v>0.91667377831961794</v>
      </c>
      <c r="N823" s="933">
        <f>N822/12/3.281/53</f>
        <v>0</v>
      </c>
      <c r="O823" s="486"/>
      <c r="P823" s="905"/>
      <c r="Q823" s="905"/>
      <c r="R823" s="905"/>
      <c r="S823" s="905"/>
      <c r="T823" s="75"/>
      <c r="U823" s="75"/>
      <c r="V823" s="906"/>
      <c r="W823" s="912"/>
      <c r="X823" s="907"/>
    </row>
    <row r="824" spans="1:24" s="487" customFormat="1" ht="18" customHeight="1">
      <c r="A824" s="478"/>
      <c r="B824" s="930" t="s">
        <v>108</v>
      </c>
      <c r="C824" s="479"/>
      <c r="D824" s="480"/>
      <c r="E824" s="481"/>
      <c r="F824" s="482"/>
      <c r="G824" s="483"/>
      <c r="H824" s="484"/>
      <c r="I824" s="483"/>
      <c r="J824" s="1163"/>
      <c r="K824" s="1164"/>
      <c r="L824" s="478"/>
      <c r="M824" s="485"/>
      <c r="N824" s="486">
        <f>SUM(J823:N823)</f>
        <v>1.3835555724880626</v>
      </c>
      <c r="O824" s="486" t="s">
        <v>30</v>
      </c>
      <c r="P824" s="915"/>
      <c r="Q824" s="916"/>
      <c r="R824" s="917"/>
      <c r="S824" s="916"/>
      <c r="T824" s="75"/>
      <c r="U824" s="75"/>
      <c r="V824" s="906"/>
      <c r="W824" s="912"/>
      <c r="X824" s="907"/>
    </row>
    <row r="825" spans="1:24" ht="18" customHeight="1">
      <c r="A825" s="474"/>
      <c r="B825" s="657"/>
      <c r="C825" s="658"/>
      <c r="D825" s="659"/>
      <c r="E825" s="660"/>
      <c r="F825" s="491"/>
      <c r="G825" s="496"/>
      <c r="H825" s="497"/>
      <c r="I825" s="496"/>
      <c r="J825" s="1175"/>
      <c r="K825" s="1176"/>
      <c r="L825" s="474"/>
      <c r="M825" s="475"/>
      <c r="N825" s="475"/>
      <c r="O825" s="475"/>
      <c r="P825" s="915"/>
      <c r="Q825" s="916"/>
      <c r="R825" s="917"/>
      <c r="S825" s="916"/>
      <c r="T825" s="75"/>
      <c r="U825" s="75"/>
      <c r="V825" s="906"/>
      <c r="W825" s="912"/>
      <c r="X825" s="907"/>
    </row>
    <row r="826" spans="1:24" s="487" customFormat="1" ht="18" customHeight="1">
      <c r="A826" s="478"/>
      <c r="B826" s="500" t="s">
        <v>115</v>
      </c>
      <c r="C826" s="934"/>
      <c r="D826" s="935"/>
      <c r="E826" s="936" t="s">
        <v>165</v>
      </c>
      <c r="F826" s="482"/>
      <c r="G826" s="483"/>
      <c r="H826" s="484"/>
      <c r="I826" s="483"/>
      <c r="J826" s="1163"/>
      <c r="K826" s="1164"/>
      <c r="L826" s="478"/>
      <c r="M826" s="485"/>
      <c r="N826" s="485"/>
      <c r="O826" s="485"/>
      <c r="P826" s="915"/>
      <c r="Q826" s="916"/>
      <c r="R826" s="917"/>
      <c r="S826" s="916"/>
      <c r="T826" s="75"/>
      <c r="U826" s="75"/>
      <c r="V826" s="906"/>
      <c r="W826" s="912"/>
      <c r="X826" s="907"/>
    </row>
    <row r="827" spans="1:24" s="487" customFormat="1" ht="18" customHeight="1">
      <c r="A827" s="478"/>
      <c r="B827" s="336" t="s">
        <v>586</v>
      </c>
      <c r="C827" s="934"/>
      <c r="D827" s="935" t="s">
        <v>116</v>
      </c>
      <c r="E827" s="936"/>
      <c r="F827" s="482"/>
      <c r="G827" s="483"/>
      <c r="H827" s="484"/>
      <c r="I827" s="483"/>
      <c r="J827" s="1163"/>
      <c r="K827" s="1164"/>
      <c r="L827" s="478"/>
      <c r="M827" s="485"/>
      <c r="N827" s="485">
        <f>M823</f>
        <v>0.91667377831961794</v>
      </c>
      <c r="O827" s="485" t="s">
        <v>30</v>
      </c>
      <c r="P827" s="915"/>
      <c r="Q827" s="916"/>
      <c r="R827" s="917"/>
      <c r="S827" s="916"/>
      <c r="T827" s="75"/>
      <c r="U827" s="75"/>
      <c r="V827" s="906"/>
      <c r="W827" s="912"/>
      <c r="X827" s="907"/>
    </row>
    <row r="828" spans="1:24" s="487" customFormat="1" ht="18" customHeight="1">
      <c r="A828" s="478"/>
      <c r="B828" s="336" t="s">
        <v>587</v>
      </c>
      <c r="C828" s="934"/>
      <c r="D828" s="935" t="s">
        <v>116</v>
      </c>
      <c r="E828" s="936"/>
      <c r="F828" s="482"/>
      <c r="G828" s="483"/>
      <c r="H828" s="484"/>
      <c r="I828" s="483"/>
      <c r="J828" s="1163"/>
      <c r="K828" s="1164"/>
      <c r="L828" s="478"/>
      <c r="M828" s="485"/>
      <c r="N828" s="485">
        <f>L823</f>
        <v>0.46688179416844455</v>
      </c>
      <c r="O828" s="485" t="s">
        <v>30</v>
      </c>
      <c r="P828" s="915"/>
      <c r="Q828" s="916"/>
      <c r="R828" s="917"/>
      <c r="S828" s="916"/>
      <c r="T828" s="75"/>
      <c r="U828" s="75"/>
      <c r="V828" s="906"/>
      <c r="W828" s="912"/>
      <c r="X828" s="907"/>
    </row>
    <row r="829" spans="1:24" s="487" customFormat="1" ht="18" customHeight="1">
      <c r="A829" s="478"/>
      <c r="B829" s="937"/>
      <c r="C829" s="789"/>
      <c r="D829" s="790"/>
      <c r="E829" s="572"/>
      <c r="F829" s="501"/>
      <c r="G829" s="938"/>
      <c r="H829" s="939"/>
      <c r="I829" s="938"/>
      <c r="J829" s="791"/>
      <c r="K829" s="502"/>
      <c r="L829" s="940"/>
      <c r="M829" s="506"/>
      <c r="N829" s="506"/>
      <c r="O829" s="750"/>
      <c r="P829" s="915"/>
      <c r="Q829" s="916"/>
      <c r="R829" s="917"/>
      <c r="S829" s="916"/>
      <c r="T829" s="75"/>
      <c r="U829" s="75"/>
      <c r="V829" s="906"/>
      <c r="W829" s="912"/>
      <c r="X829" s="907"/>
    </row>
    <row r="830" spans="1:24" s="487" customFormat="1" ht="18" customHeight="1">
      <c r="A830" s="478"/>
      <c r="B830" s="941"/>
      <c r="C830" s="796"/>
      <c r="D830" s="797"/>
      <c r="E830" s="798"/>
      <c r="F830" s="799"/>
      <c r="G830" s="942"/>
      <c r="H830" s="943"/>
      <c r="I830" s="942"/>
      <c r="J830" s="802"/>
      <c r="K830" s="800"/>
      <c r="L830" s="944"/>
      <c r="M830" s="786"/>
      <c r="N830" s="786"/>
      <c r="O830" s="884"/>
      <c r="P830" s="915"/>
      <c r="Q830" s="916"/>
      <c r="R830" s="917"/>
      <c r="S830" s="916"/>
      <c r="T830" s="75"/>
      <c r="U830" s="75"/>
      <c r="V830" s="906"/>
      <c r="W830" s="912"/>
      <c r="X830" s="907"/>
    </row>
    <row r="831" spans="1:24" s="487" customFormat="1" ht="18" customHeight="1">
      <c r="A831" s="733" t="s">
        <v>759</v>
      </c>
      <c r="B831" s="734" t="s">
        <v>565</v>
      </c>
      <c r="C831" s="735"/>
      <c r="D831" s="736"/>
      <c r="E831" s="748"/>
      <c r="F831" s="738"/>
      <c r="G831" s="739"/>
      <c r="H831" s="740"/>
      <c r="I831" s="739"/>
      <c r="J831" s="741"/>
      <c r="K831" s="742"/>
      <c r="L831" s="743"/>
      <c r="M831" s="499"/>
      <c r="N831" s="546">
        <f>N917</f>
        <v>3.9821284161332926</v>
      </c>
      <c r="O831" s="733" t="s">
        <v>30</v>
      </c>
      <c r="P831" s="915"/>
      <c r="Q831" s="916"/>
      <c r="R831" s="917"/>
      <c r="S831" s="916"/>
      <c r="T831" s="75"/>
      <c r="U831" s="75"/>
      <c r="V831" s="906"/>
      <c r="W831" s="912"/>
      <c r="X831" s="907"/>
    </row>
    <row r="832" spans="1:24" s="487" customFormat="1" ht="18" customHeight="1">
      <c r="A832" s="478"/>
      <c r="B832" s="723"/>
      <c r="C832" s="479"/>
      <c r="D832" s="480"/>
      <c r="E832" s="481"/>
      <c r="F832" s="482"/>
      <c r="G832" s="745"/>
      <c r="H832" s="746"/>
      <c r="I832" s="745"/>
      <c r="J832" s="1171" t="s">
        <v>546</v>
      </c>
      <c r="K832" s="1172"/>
      <c r="L832" s="921" t="s">
        <v>545</v>
      </c>
      <c r="M832" s="922" t="s">
        <v>544</v>
      </c>
      <c r="N832" s="922" t="s">
        <v>103</v>
      </c>
      <c r="O832" s="923"/>
      <c r="P832" s="915"/>
      <c r="Q832" s="916"/>
      <c r="R832" s="917"/>
      <c r="S832" s="916"/>
      <c r="T832" s="75"/>
      <c r="U832" s="75"/>
      <c r="V832" s="906"/>
      <c r="W832" s="912"/>
      <c r="X832" s="907"/>
    </row>
    <row r="833" spans="1:24" s="487" customFormat="1" ht="18" customHeight="1">
      <c r="A833" s="478"/>
      <c r="B833" s="723" t="s">
        <v>566</v>
      </c>
      <c r="C833" s="479"/>
      <c r="D833" s="480"/>
      <c r="E833" s="481"/>
      <c r="F833" s="482"/>
      <c r="G833" s="745"/>
      <c r="H833" s="746"/>
      <c r="I833" s="745"/>
      <c r="J833" s="484"/>
      <c r="K833" s="483"/>
      <c r="L833" s="914"/>
      <c r="M833" s="478"/>
      <c r="N833" s="485"/>
      <c r="O833" s="882"/>
      <c r="P833" s="915"/>
      <c r="Q833" s="916"/>
      <c r="R833" s="917"/>
      <c r="S833" s="916"/>
      <c r="T833" s="75"/>
      <c r="U833" s="75"/>
      <c r="V833" s="906"/>
      <c r="W833" s="912"/>
      <c r="X833" s="907"/>
    </row>
    <row r="834" spans="1:24" s="487" customFormat="1" ht="18" customHeight="1">
      <c r="A834" s="478"/>
      <c r="B834" s="336" t="s">
        <v>88</v>
      </c>
      <c r="C834" s="479"/>
      <c r="D834" s="480"/>
      <c r="E834" s="481"/>
      <c r="F834" s="1165" t="s">
        <v>224</v>
      </c>
      <c r="G834" s="1166"/>
      <c r="H834" s="1163" t="s">
        <v>225</v>
      </c>
      <c r="I834" s="1164"/>
      <c r="J834" s="484"/>
      <c r="K834" s="483"/>
      <c r="L834" s="914"/>
      <c r="M834" s="478"/>
      <c r="N834" s="485"/>
      <c r="O834" s="486"/>
      <c r="P834" s="915"/>
      <c r="Q834" s="916"/>
      <c r="R834" s="917"/>
      <c r="S834" s="916"/>
      <c r="T834" s="75"/>
      <c r="U834" s="75"/>
      <c r="V834" s="906"/>
      <c r="W834" s="912"/>
      <c r="X834" s="907"/>
    </row>
    <row r="835" spans="1:24" s="487" customFormat="1" ht="18" customHeight="1">
      <c r="A835" s="478"/>
      <c r="B835" s="834" t="s">
        <v>289</v>
      </c>
      <c r="C835" s="479">
        <v>1</v>
      </c>
      <c r="D835" s="883" t="s">
        <v>87</v>
      </c>
      <c r="E835" s="481">
        <f>E84</f>
        <v>8</v>
      </c>
      <c r="F835" s="482">
        <f>F84</f>
        <v>1</v>
      </c>
      <c r="G835" s="483">
        <f>G84</f>
        <v>0</v>
      </c>
      <c r="H835" s="482">
        <f>J84</f>
        <v>9</v>
      </c>
      <c r="I835" s="483">
        <f>K84</f>
        <v>4</v>
      </c>
      <c r="J835" s="484"/>
      <c r="K835" s="483"/>
      <c r="L835" s="914"/>
      <c r="M835" s="478"/>
      <c r="N835" s="485"/>
      <c r="O835" s="882"/>
      <c r="P835" s="915"/>
      <c r="Q835" s="916"/>
      <c r="R835" s="917"/>
      <c r="S835" s="916"/>
      <c r="T835" s="75"/>
      <c r="U835" s="75"/>
      <c r="V835" s="906"/>
      <c r="W835" s="912"/>
      <c r="X835" s="907"/>
    </row>
    <row r="836" spans="1:24" s="487" customFormat="1" ht="18" customHeight="1">
      <c r="A836" s="478"/>
      <c r="B836" s="336" t="s">
        <v>434</v>
      </c>
      <c r="C836" s="951">
        <v>6</v>
      </c>
      <c r="D836" s="480" t="s">
        <v>87</v>
      </c>
      <c r="E836" s="481">
        <f>E835</f>
        <v>8</v>
      </c>
      <c r="F836" s="482">
        <v>17</v>
      </c>
      <c r="G836" s="483">
        <v>3</v>
      </c>
      <c r="H836" s="484"/>
      <c r="I836" s="483"/>
      <c r="J836" s="484"/>
      <c r="K836" s="483"/>
      <c r="L836" s="914"/>
      <c r="M836" s="485"/>
      <c r="N836" s="485">
        <f>C836*E836*(F836+G836/12)</f>
        <v>828</v>
      </c>
      <c r="O836" s="882"/>
      <c r="P836" s="915">
        <f>F835+G835/12</f>
        <v>1</v>
      </c>
      <c r="Q836" s="915">
        <f>H835+I835/12</f>
        <v>9.3333333333333339</v>
      </c>
      <c r="R836" s="915">
        <f>E835*C835</f>
        <v>8</v>
      </c>
      <c r="S836" s="916">
        <f>1.5/12</f>
        <v>0.125</v>
      </c>
      <c r="T836" s="75" t="s">
        <v>675</v>
      </c>
      <c r="U836" s="75">
        <v>16</v>
      </c>
      <c r="V836" s="906"/>
      <c r="W836" s="912">
        <f>C836</f>
        <v>6</v>
      </c>
      <c r="X836" s="907">
        <f>Q836-1*$S$795+1*(32*U836/1000)*3.281+(6.5)</f>
        <v>17.263205333333332</v>
      </c>
    </row>
    <row r="837" spans="1:24" s="487" customFormat="1" ht="18" customHeight="1">
      <c r="A837" s="478"/>
      <c r="B837" s="336" t="s">
        <v>436</v>
      </c>
      <c r="C837" s="924">
        <f>C836</f>
        <v>6</v>
      </c>
      <c r="D837" s="480" t="s">
        <v>87</v>
      </c>
      <c r="E837" s="481">
        <f>E838</f>
        <v>8</v>
      </c>
      <c r="F837" s="482">
        <v>2</v>
      </c>
      <c r="G837" s="483">
        <v>10</v>
      </c>
      <c r="H837" s="482"/>
      <c r="I837" s="483"/>
      <c r="J837" s="484"/>
      <c r="K837" s="483"/>
      <c r="L837" s="914"/>
      <c r="M837" s="478"/>
      <c r="N837" s="485">
        <f>C837*E837*(F837+G837/12)</f>
        <v>136</v>
      </c>
      <c r="O837" s="486"/>
      <c r="P837" s="915">
        <f>P836</f>
        <v>1</v>
      </c>
      <c r="Q837" s="915"/>
      <c r="R837" s="917"/>
      <c r="S837" s="916"/>
      <c r="T837" s="75"/>
      <c r="U837" s="75"/>
      <c r="V837" s="906"/>
      <c r="W837" s="912"/>
      <c r="X837" s="907"/>
    </row>
    <row r="838" spans="1:24" s="487" customFormat="1" ht="18" customHeight="1">
      <c r="A838" s="478"/>
      <c r="B838" s="336" t="s">
        <v>435</v>
      </c>
      <c r="C838" s="924">
        <v>20</v>
      </c>
      <c r="D838" s="480" t="s">
        <v>87</v>
      </c>
      <c r="E838" s="481">
        <f>E835</f>
        <v>8</v>
      </c>
      <c r="F838" s="482">
        <v>3</v>
      </c>
      <c r="G838" s="483">
        <v>5</v>
      </c>
      <c r="H838" s="484"/>
      <c r="I838" s="483"/>
      <c r="J838" s="484"/>
      <c r="K838" s="483"/>
      <c r="L838" s="914">
        <f>C838*E838*(F838+G838/12)</f>
        <v>546.66666666666663</v>
      </c>
      <c r="M838" s="485"/>
      <c r="N838" s="485"/>
      <c r="O838" s="882"/>
      <c r="P838" s="915"/>
      <c r="Q838" s="916"/>
      <c r="R838" s="917">
        <f>R836</f>
        <v>8</v>
      </c>
      <c r="S838" s="916"/>
      <c r="T838" s="75" t="s">
        <v>676</v>
      </c>
      <c r="U838" s="75">
        <v>10</v>
      </c>
      <c r="V838" s="906">
        <f>4/(12)</f>
        <v>0.33333333333333331</v>
      </c>
      <c r="W838" s="912">
        <f>(ROUND((Q836)/V838+1,0))</f>
        <v>29</v>
      </c>
      <c r="X838" s="907">
        <f>2*(P836+P837)-8*S836+2*8*(U838/1000)*3.281</f>
        <v>3.5249600000000001</v>
      </c>
    </row>
    <row r="839" spans="1:24" s="487" customFormat="1" ht="18" customHeight="1">
      <c r="A839" s="478"/>
      <c r="B839" s="336" t="s">
        <v>439</v>
      </c>
      <c r="C839" s="924">
        <v>5</v>
      </c>
      <c r="D839" s="480" t="s">
        <v>87</v>
      </c>
      <c r="E839" s="481">
        <f>E836</f>
        <v>8</v>
      </c>
      <c r="F839" s="482">
        <f>F838</f>
        <v>3</v>
      </c>
      <c r="G839" s="483">
        <f>G838</f>
        <v>5</v>
      </c>
      <c r="H839" s="484"/>
      <c r="I839" s="483"/>
      <c r="J839" s="484"/>
      <c r="K839" s="483"/>
      <c r="L839" s="914">
        <f>C839*E839*(F839+G839/12)</f>
        <v>136.66666666666666</v>
      </c>
      <c r="M839" s="485"/>
      <c r="N839" s="485"/>
      <c r="O839" s="882"/>
      <c r="P839" s="915"/>
      <c r="Q839" s="916"/>
      <c r="R839" s="917">
        <f>R838</f>
        <v>8</v>
      </c>
      <c r="S839" s="916"/>
      <c r="T839" s="75" t="s">
        <v>677</v>
      </c>
      <c r="U839" s="75">
        <v>6.5</v>
      </c>
      <c r="V839" s="906">
        <f>2</f>
        <v>2</v>
      </c>
      <c r="W839" s="952">
        <f>3*ROUND(Q836/V839,0)</f>
        <v>15</v>
      </c>
      <c r="X839" s="907">
        <f>3</f>
        <v>3</v>
      </c>
    </row>
    <row r="840" spans="1:24" s="487" customFormat="1" ht="18" customHeight="1">
      <c r="A840" s="478"/>
      <c r="B840" s="336" t="s">
        <v>693</v>
      </c>
      <c r="C840" s="924">
        <v>15</v>
      </c>
      <c r="D840" s="480" t="s">
        <v>87</v>
      </c>
      <c r="E840" s="481">
        <f>E837</f>
        <v>8</v>
      </c>
      <c r="F840" s="482">
        <v>3</v>
      </c>
      <c r="G840" s="483">
        <v>0</v>
      </c>
      <c r="H840" s="484"/>
      <c r="I840" s="483"/>
      <c r="J840" s="1163">
        <f>C840*E840*(F840+G840/12)</f>
        <v>360</v>
      </c>
      <c r="K840" s="1164"/>
      <c r="L840" s="914"/>
      <c r="M840" s="485"/>
      <c r="N840" s="485"/>
      <c r="O840" s="882"/>
      <c r="P840" s="915"/>
      <c r="Q840" s="916"/>
      <c r="R840" s="917"/>
      <c r="S840" s="916"/>
      <c r="T840" s="75"/>
      <c r="U840" s="75"/>
      <c r="V840" s="906"/>
      <c r="W840" s="952"/>
      <c r="X840" s="907"/>
    </row>
    <row r="841" spans="1:24" s="487" customFormat="1" ht="18" customHeight="1">
      <c r="A841" s="478"/>
      <c r="B841" s="834" t="s">
        <v>437</v>
      </c>
      <c r="C841" s="479">
        <v>1</v>
      </c>
      <c r="D841" s="883" t="s">
        <v>87</v>
      </c>
      <c r="E841" s="481">
        <v>3</v>
      </c>
      <c r="F841" s="482">
        <f>F85</f>
        <v>1</v>
      </c>
      <c r="G841" s="483">
        <f>G85</f>
        <v>2</v>
      </c>
      <c r="H841" s="482">
        <f>J85</f>
        <v>9</v>
      </c>
      <c r="I841" s="483">
        <f>K85</f>
        <v>4</v>
      </c>
      <c r="J841" s="484"/>
      <c r="K841" s="483"/>
      <c r="L841" s="914"/>
      <c r="M841" s="478"/>
      <c r="N841" s="485"/>
      <c r="O841" s="486"/>
      <c r="P841" s="905"/>
      <c r="Q841" s="905"/>
      <c r="R841" s="905"/>
      <c r="S841" s="905"/>
      <c r="T841" s="75"/>
      <c r="U841" s="75"/>
      <c r="V841" s="906"/>
      <c r="W841" s="912"/>
      <c r="X841" s="907"/>
    </row>
    <row r="842" spans="1:24" s="487" customFormat="1" ht="18" customHeight="1">
      <c r="A842" s="478"/>
      <c r="B842" s="336" t="s">
        <v>438</v>
      </c>
      <c r="C842" s="924">
        <v>8</v>
      </c>
      <c r="D842" s="480" t="s">
        <v>87</v>
      </c>
      <c r="E842" s="481">
        <f>E841</f>
        <v>3</v>
      </c>
      <c r="F842" s="482">
        <f>F836</f>
        <v>17</v>
      </c>
      <c r="G842" s="483">
        <f>G836</f>
        <v>3</v>
      </c>
      <c r="H842" s="484"/>
      <c r="I842" s="483"/>
      <c r="J842" s="484"/>
      <c r="K842" s="483"/>
      <c r="L842" s="914"/>
      <c r="M842" s="485"/>
      <c r="N842" s="485">
        <f>C842*E842*(F842+G842/12)</f>
        <v>414</v>
      </c>
      <c r="O842" s="486"/>
      <c r="P842" s="915">
        <f>F841+G841/12</f>
        <v>1.1666666666666667</v>
      </c>
      <c r="Q842" s="915">
        <f>H841+I841/12</f>
        <v>9.3333333333333339</v>
      </c>
      <c r="R842" s="915">
        <f>E841*C841</f>
        <v>3</v>
      </c>
      <c r="S842" s="916">
        <f>1.5/12</f>
        <v>0.125</v>
      </c>
      <c r="T842" s="75" t="s">
        <v>675</v>
      </c>
      <c r="U842" s="75">
        <v>16</v>
      </c>
      <c r="V842" s="906"/>
      <c r="W842" s="912">
        <f>C842</f>
        <v>8</v>
      </c>
      <c r="X842" s="907">
        <f>Q842-1*$S$795+1*(32*U842/1000)*3.281+(6.5)</f>
        <v>17.263205333333332</v>
      </c>
    </row>
    <row r="843" spans="1:24" s="487" customFormat="1" ht="18" customHeight="1">
      <c r="A843" s="478"/>
      <c r="B843" s="336" t="s">
        <v>436</v>
      </c>
      <c r="C843" s="924">
        <f>C842</f>
        <v>8</v>
      </c>
      <c r="D843" s="480"/>
      <c r="E843" s="481">
        <f>E842</f>
        <v>3</v>
      </c>
      <c r="F843" s="482">
        <f>F837</f>
        <v>2</v>
      </c>
      <c r="G843" s="483">
        <f>G837</f>
        <v>10</v>
      </c>
      <c r="H843" s="484"/>
      <c r="I843" s="483"/>
      <c r="J843" s="484"/>
      <c r="K843" s="483"/>
      <c r="L843" s="914"/>
      <c r="M843" s="485"/>
      <c r="N843" s="485">
        <f>C843*E843*(F843+G843/12)</f>
        <v>68</v>
      </c>
      <c r="O843" s="486"/>
      <c r="P843" s="915">
        <f>P842</f>
        <v>1.1666666666666667</v>
      </c>
      <c r="Q843" s="915"/>
      <c r="R843" s="917"/>
      <c r="S843" s="916"/>
      <c r="T843" s="75"/>
      <c r="U843" s="75"/>
      <c r="V843" s="906"/>
      <c r="W843" s="912"/>
      <c r="X843" s="907"/>
    </row>
    <row r="844" spans="1:24" s="487" customFormat="1" ht="18" customHeight="1">
      <c r="A844" s="478"/>
      <c r="B844" s="336" t="s">
        <v>435</v>
      </c>
      <c r="C844" s="924">
        <f>C838</f>
        <v>20</v>
      </c>
      <c r="D844" s="480" t="s">
        <v>87</v>
      </c>
      <c r="E844" s="481">
        <f>E842</f>
        <v>3</v>
      </c>
      <c r="F844" s="482">
        <v>4</v>
      </c>
      <c r="G844" s="483">
        <v>4</v>
      </c>
      <c r="H844" s="484"/>
      <c r="I844" s="483"/>
      <c r="J844" s="484"/>
      <c r="K844" s="483"/>
      <c r="L844" s="914">
        <f t="shared" ref="L844:L849" si="289">C844*E844*(F844+G844/12)</f>
        <v>260</v>
      </c>
      <c r="M844" s="485"/>
      <c r="N844" s="485"/>
      <c r="O844" s="486"/>
      <c r="P844" s="915"/>
      <c r="Q844" s="916"/>
      <c r="R844" s="917">
        <f>R842</f>
        <v>3</v>
      </c>
      <c r="S844" s="916"/>
      <c r="T844" s="75" t="s">
        <v>676</v>
      </c>
      <c r="U844" s="75">
        <v>10</v>
      </c>
      <c r="V844" s="906">
        <f>4/(12)</f>
        <v>0.33333333333333331</v>
      </c>
      <c r="W844" s="912">
        <f>(ROUND((Q842)/V844+1,0))</f>
        <v>29</v>
      </c>
      <c r="X844" s="907">
        <f>2*(P842+P843)-8*S842+2*8*(U844/1000)*3.281</f>
        <v>4.1916266666666671</v>
      </c>
    </row>
    <row r="845" spans="1:24" s="487" customFormat="1" ht="18" customHeight="1">
      <c r="A845" s="478"/>
      <c r="B845" s="336" t="s">
        <v>440</v>
      </c>
      <c r="C845" s="924">
        <f>C844</f>
        <v>20</v>
      </c>
      <c r="D845" s="480" t="s">
        <v>87</v>
      </c>
      <c r="E845" s="481">
        <f>E844</f>
        <v>3</v>
      </c>
      <c r="F845" s="482">
        <v>1</v>
      </c>
      <c r="G845" s="483">
        <v>6</v>
      </c>
      <c r="H845" s="484"/>
      <c r="I845" s="483"/>
      <c r="J845" s="484"/>
      <c r="K845" s="483"/>
      <c r="L845" s="914">
        <f t="shared" si="289"/>
        <v>90</v>
      </c>
      <c r="M845" s="485"/>
      <c r="N845" s="485"/>
      <c r="O845" s="486"/>
      <c r="P845" s="915"/>
      <c r="Q845" s="916"/>
      <c r="R845" s="917">
        <f>R844</f>
        <v>3</v>
      </c>
      <c r="S845" s="916"/>
      <c r="T845" s="75" t="s">
        <v>676</v>
      </c>
      <c r="U845" s="75">
        <v>10</v>
      </c>
      <c r="V845" s="906">
        <f>4/(12)</f>
        <v>0.33333333333333331</v>
      </c>
      <c r="W845" s="912">
        <f>(ROUND((Q842)/V845+1,0))</f>
        <v>29</v>
      </c>
      <c r="X845" s="907">
        <f>1*(P842)-2*S842+2*8*(U845/1000)*3.281</f>
        <v>1.4416266666666666</v>
      </c>
    </row>
    <row r="846" spans="1:24" s="487" customFormat="1" ht="18" customHeight="1">
      <c r="A846" s="478"/>
      <c r="B846" s="336" t="s">
        <v>440</v>
      </c>
      <c r="C846" s="924">
        <f>C845</f>
        <v>20</v>
      </c>
      <c r="D846" s="480" t="s">
        <v>87</v>
      </c>
      <c r="E846" s="481">
        <f>E845</f>
        <v>3</v>
      </c>
      <c r="F846" s="482">
        <v>1</v>
      </c>
      <c r="G846" s="483">
        <v>6</v>
      </c>
      <c r="H846" s="484"/>
      <c r="I846" s="483"/>
      <c r="J846" s="484"/>
      <c r="K846" s="483"/>
      <c r="L846" s="914">
        <f t="shared" si="289"/>
        <v>90</v>
      </c>
      <c r="M846" s="485"/>
      <c r="N846" s="485"/>
      <c r="O846" s="486"/>
      <c r="P846" s="915"/>
      <c r="Q846" s="916"/>
      <c r="R846" s="917"/>
      <c r="S846" s="916"/>
      <c r="T846" s="75"/>
      <c r="U846" s="75"/>
      <c r="V846" s="906"/>
      <c r="W846" s="912"/>
      <c r="X846" s="907"/>
    </row>
    <row r="847" spans="1:24" s="487" customFormat="1" ht="18" customHeight="1">
      <c r="A847" s="478"/>
      <c r="B847" s="336" t="s">
        <v>439</v>
      </c>
      <c r="C847" s="924">
        <f>C839</f>
        <v>5</v>
      </c>
      <c r="D847" s="480" t="s">
        <v>87</v>
      </c>
      <c r="E847" s="481">
        <f>E844</f>
        <v>3</v>
      </c>
      <c r="F847" s="482">
        <f>F844</f>
        <v>4</v>
      </c>
      <c r="G847" s="483">
        <f>G844</f>
        <v>4</v>
      </c>
      <c r="H847" s="484"/>
      <c r="I847" s="483"/>
      <c r="J847" s="484"/>
      <c r="K847" s="483"/>
      <c r="L847" s="914">
        <f t="shared" si="289"/>
        <v>65</v>
      </c>
      <c r="M847" s="485"/>
      <c r="N847" s="485"/>
      <c r="O847" s="486"/>
      <c r="P847" s="915"/>
      <c r="Q847" s="916"/>
      <c r="R847" s="917">
        <f>R845</f>
        <v>3</v>
      </c>
      <c r="S847" s="916"/>
      <c r="T847" s="75" t="s">
        <v>677</v>
      </c>
      <c r="U847" s="75">
        <v>6.5</v>
      </c>
      <c r="V847" s="906">
        <f>2</f>
        <v>2</v>
      </c>
      <c r="W847" s="952">
        <f>3*ROUND(Q842/V847,0)</f>
        <v>15</v>
      </c>
      <c r="X847" s="907">
        <f>3</f>
        <v>3</v>
      </c>
    </row>
    <row r="848" spans="1:24" s="487" customFormat="1" ht="18" customHeight="1">
      <c r="A848" s="478"/>
      <c r="B848" s="336" t="s">
        <v>441</v>
      </c>
      <c r="C848" s="924">
        <f>C847</f>
        <v>5</v>
      </c>
      <c r="D848" s="480" t="s">
        <v>87</v>
      </c>
      <c r="E848" s="481">
        <f>E847</f>
        <v>3</v>
      </c>
      <c r="F848" s="482">
        <f>F845</f>
        <v>1</v>
      </c>
      <c r="G848" s="483">
        <f>G845</f>
        <v>6</v>
      </c>
      <c r="H848" s="484"/>
      <c r="I848" s="483"/>
      <c r="J848" s="484"/>
      <c r="K848" s="483"/>
      <c r="L848" s="914">
        <f t="shared" si="289"/>
        <v>22.5</v>
      </c>
      <c r="M848" s="485"/>
      <c r="N848" s="485"/>
      <c r="O848" s="486"/>
      <c r="P848" s="905"/>
      <c r="Q848" s="905"/>
      <c r="R848" s="905"/>
      <c r="S848" s="905"/>
      <c r="T848" s="75"/>
      <c r="U848" s="75"/>
      <c r="V848" s="906"/>
      <c r="W848" s="912"/>
      <c r="X848" s="907"/>
    </row>
    <row r="849" spans="1:24" s="487" customFormat="1" ht="18" customHeight="1">
      <c r="A849" s="478"/>
      <c r="B849" s="336" t="s">
        <v>441</v>
      </c>
      <c r="C849" s="924">
        <f>C848</f>
        <v>5</v>
      </c>
      <c r="D849" s="480" t="s">
        <v>87</v>
      </c>
      <c r="E849" s="481">
        <f>E848</f>
        <v>3</v>
      </c>
      <c r="F849" s="482">
        <f>F846</f>
        <v>1</v>
      </c>
      <c r="G849" s="483">
        <f>G846</f>
        <v>6</v>
      </c>
      <c r="H849" s="484"/>
      <c r="I849" s="483"/>
      <c r="J849" s="484"/>
      <c r="K849" s="483"/>
      <c r="L849" s="914">
        <f t="shared" si="289"/>
        <v>22.5</v>
      </c>
      <c r="M849" s="485"/>
      <c r="N849" s="485"/>
      <c r="O849" s="486"/>
      <c r="P849" s="905"/>
      <c r="Q849" s="905"/>
      <c r="R849" s="905"/>
      <c r="S849" s="905"/>
      <c r="T849" s="75"/>
      <c r="U849" s="75"/>
      <c r="V849" s="906"/>
      <c r="W849" s="912"/>
      <c r="X849" s="907"/>
    </row>
    <row r="850" spans="1:24" s="487" customFormat="1" ht="18" customHeight="1">
      <c r="A850" s="478"/>
      <c r="B850" s="336" t="s">
        <v>693</v>
      </c>
      <c r="C850" s="924">
        <v>15</v>
      </c>
      <c r="D850" s="480" t="s">
        <v>87</v>
      </c>
      <c r="E850" s="481">
        <f>E847</f>
        <v>3</v>
      </c>
      <c r="F850" s="482">
        <v>3</v>
      </c>
      <c r="G850" s="483">
        <v>0</v>
      </c>
      <c r="H850" s="484"/>
      <c r="I850" s="483"/>
      <c r="J850" s="1163">
        <f>C850*E850*(F850+G850/12)</f>
        <v>135</v>
      </c>
      <c r="K850" s="1164"/>
      <c r="L850" s="914"/>
      <c r="M850" s="485"/>
      <c r="N850" s="485"/>
      <c r="O850" s="882"/>
      <c r="P850" s="915"/>
      <c r="Q850" s="916"/>
      <c r="R850" s="917"/>
      <c r="S850" s="916"/>
      <c r="T850" s="75"/>
      <c r="U850" s="75"/>
      <c r="V850" s="906"/>
      <c r="W850" s="952"/>
      <c r="X850" s="907"/>
    </row>
    <row r="851" spans="1:24" s="487" customFormat="1" ht="18" customHeight="1">
      <c r="A851" s="478"/>
      <c r="B851" s="834" t="s">
        <v>442</v>
      </c>
      <c r="C851" s="479">
        <f>1</f>
        <v>1</v>
      </c>
      <c r="D851" s="883" t="s">
        <v>87</v>
      </c>
      <c r="E851" s="481">
        <f>1</f>
        <v>1</v>
      </c>
      <c r="F851" s="482">
        <f>F841</f>
        <v>1</v>
      </c>
      <c r="G851" s="483">
        <f>G841</f>
        <v>2</v>
      </c>
      <c r="H851" s="482">
        <f>H841</f>
        <v>9</v>
      </c>
      <c r="I851" s="483">
        <f>I841</f>
        <v>4</v>
      </c>
      <c r="J851" s="484"/>
      <c r="K851" s="483"/>
      <c r="L851" s="914"/>
      <c r="M851" s="485"/>
      <c r="N851" s="485"/>
      <c r="O851" s="486"/>
      <c r="P851" s="915"/>
      <c r="Q851" s="916"/>
      <c r="R851" s="917"/>
      <c r="S851" s="916"/>
      <c r="T851" s="75"/>
      <c r="U851" s="75"/>
      <c r="V851" s="906"/>
      <c r="W851" s="912"/>
      <c r="X851" s="907"/>
    </row>
    <row r="852" spans="1:24" s="487" customFormat="1" ht="18" customHeight="1">
      <c r="A852" s="478"/>
      <c r="B852" s="336" t="s">
        <v>443</v>
      </c>
      <c r="C852" s="924">
        <v>12</v>
      </c>
      <c r="D852" s="480" t="s">
        <v>87</v>
      </c>
      <c r="E852" s="481">
        <f>E851</f>
        <v>1</v>
      </c>
      <c r="F852" s="482">
        <f>F842</f>
        <v>17</v>
      </c>
      <c r="G852" s="483">
        <f>G842</f>
        <v>3</v>
      </c>
      <c r="H852" s="484"/>
      <c r="I852" s="483"/>
      <c r="J852" s="484"/>
      <c r="K852" s="483"/>
      <c r="L852" s="914"/>
      <c r="M852" s="485"/>
      <c r="N852" s="485">
        <f>C852*E852*(F852+G852/12)</f>
        <v>207</v>
      </c>
      <c r="O852" s="486"/>
      <c r="P852" s="915">
        <f>F851+G851/12</f>
        <v>1.1666666666666667</v>
      </c>
      <c r="Q852" s="915">
        <f>H851+I851/12</f>
        <v>9.3333333333333339</v>
      </c>
      <c r="R852" s="915">
        <f>E851*C851</f>
        <v>1</v>
      </c>
      <c r="S852" s="916">
        <f>1.5/12</f>
        <v>0.125</v>
      </c>
      <c r="T852" s="75" t="s">
        <v>675</v>
      </c>
      <c r="U852" s="75">
        <v>16</v>
      </c>
      <c r="V852" s="906"/>
      <c r="W852" s="912">
        <f>C852</f>
        <v>12</v>
      </c>
      <c r="X852" s="907">
        <f>Q852-1*$S$795+1*(32*U852/1000)*3.281+(6.5)</f>
        <v>17.263205333333332</v>
      </c>
    </row>
    <row r="853" spans="1:24" s="487" customFormat="1" ht="18" customHeight="1">
      <c r="A853" s="478"/>
      <c r="B853" s="336" t="s">
        <v>436</v>
      </c>
      <c r="C853" s="924">
        <f>C852</f>
        <v>12</v>
      </c>
      <c r="D853" s="480"/>
      <c r="E853" s="481">
        <f>E852</f>
        <v>1</v>
      </c>
      <c r="F853" s="482">
        <f>F843</f>
        <v>2</v>
      </c>
      <c r="G853" s="483">
        <f>G843</f>
        <v>10</v>
      </c>
      <c r="H853" s="484"/>
      <c r="I853" s="483"/>
      <c r="J853" s="484"/>
      <c r="K853" s="483"/>
      <c r="L853" s="914"/>
      <c r="M853" s="485"/>
      <c r="N853" s="485">
        <f>C853*E853*(F853+G853/12)</f>
        <v>34</v>
      </c>
      <c r="O853" s="486"/>
      <c r="P853" s="915">
        <f>P852</f>
        <v>1.1666666666666667</v>
      </c>
      <c r="Q853" s="915"/>
      <c r="R853" s="917"/>
      <c r="S853" s="916"/>
      <c r="T853" s="75"/>
      <c r="U853" s="75"/>
      <c r="V853" s="906"/>
      <c r="W853" s="912"/>
      <c r="X853" s="907"/>
    </row>
    <row r="854" spans="1:24" s="487" customFormat="1" ht="18" customHeight="1">
      <c r="A854" s="478"/>
      <c r="B854" s="336" t="s">
        <v>435</v>
      </c>
      <c r="C854" s="924">
        <f>C844</f>
        <v>20</v>
      </c>
      <c r="D854" s="480" t="s">
        <v>87</v>
      </c>
      <c r="E854" s="481">
        <f>E852</f>
        <v>1</v>
      </c>
      <c r="F854" s="482">
        <f>F847</f>
        <v>4</v>
      </c>
      <c r="G854" s="483">
        <f>G847</f>
        <v>4</v>
      </c>
      <c r="H854" s="484"/>
      <c r="I854" s="483"/>
      <c r="J854" s="484"/>
      <c r="K854" s="483"/>
      <c r="L854" s="914">
        <f t="shared" ref="L854:L859" si="290">C854*E854*(F854+G854/12)</f>
        <v>86.666666666666657</v>
      </c>
      <c r="M854" s="485"/>
      <c r="N854" s="485"/>
      <c r="O854" s="486"/>
      <c r="P854" s="915"/>
      <c r="Q854" s="916"/>
      <c r="R854" s="917">
        <f>R852</f>
        <v>1</v>
      </c>
      <c r="S854" s="916"/>
      <c r="T854" s="75" t="s">
        <v>676</v>
      </c>
      <c r="U854" s="75">
        <v>10</v>
      </c>
      <c r="V854" s="906">
        <f>4/(12)</f>
        <v>0.33333333333333331</v>
      </c>
      <c r="W854" s="912">
        <f>(ROUND((Q852)/V854+1,0))</f>
        <v>29</v>
      </c>
      <c r="X854" s="907">
        <f>2*(P852+P853)-8*S852+2*8*(U854/1000)*3.281</f>
        <v>4.1916266666666671</v>
      </c>
    </row>
    <row r="855" spans="1:24" s="487" customFormat="1" ht="18" customHeight="1">
      <c r="A855" s="478"/>
      <c r="B855" s="336" t="s">
        <v>440</v>
      </c>
      <c r="C855" s="924">
        <f>C854</f>
        <v>20</v>
      </c>
      <c r="D855" s="480" t="s">
        <v>87</v>
      </c>
      <c r="E855" s="481">
        <f>E854</f>
        <v>1</v>
      </c>
      <c r="F855" s="482">
        <v>3</v>
      </c>
      <c r="G855" s="483">
        <v>0</v>
      </c>
      <c r="H855" s="484"/>
      <c r="I855" s="483"/>
      <c r="J855" s="484"/>
      <c r="K855" s="483"/>
      <c r="L855" s="914">
        <f t="shared" si="290"/>
        <v>60</v>
      </c>
      <c r="M855" s="485"/>
      <c r="N855" s="485"/>
      <c r="O855" s="486"/>
      <c r="P855" s="915"/>
      <c r="Q855" s="916"/>
      <c r="R855" s="917">
        <f>R854</f>
        <v>1</v>
      </c>
      <c r="S855" s="916"/>
      <c r="T855" s="75" t="s">
        <v>676</v>
      </c>
      <c r="U855" s="75">
        <v>10</v>
      </c>
      <c r="V855" s="906">
        <f>4/(12)</f>
        <v>0.33333333333333331</v>
      </c>
      <c r="W855" s="912">
        <f>(ROUND((Q852)/V855+1,0))</f>
        <v>29</v>
      </c>
      <c r="X855" s="907">
        <f>2*((P852-2*S852)/3)+2*(P853-2*S852)+2*8*(U855/1000)*3.281</f>
        <v>2.9694044444444447</v>
      </c>
    </row>
    <row r="856" spans="1:24" s="487" customFormat="1" ht="18" customHeight="1">
      <c r="A856" s="478"/>
      <c r="B856" s="336" t="s">
        <v>440</v>
      </c>
      <c r="C856" s="924">
        <f>C855</f>
        <v>20</v>
      </c>
      <c r="D856" s="480" t="s">
        <v>87</v>
      </c>
      <c r="E856" s="481">
        <f>E855</f>
        <v>1</v>
      </c>
      <c r="F856" s="482">
        <v>3</v>
      </c>
      <c r="G856" s="483">
        <v>0</v>
      </c>
      <c r="H856" s="484"/>
      <c r="I856" s="483"/>
      <c r="J856" s="484"/>
      <c r="K856" s="483"/>
      <c r="L856" s="914">
        <f t="shared" si="290"/>
        <v>60</v>
      </c>
      <c r="M856" s="485"/>
      <c r="N856" s="485"/>
      <c r="O856" s="486"/>
      <c r="P856" s="915"/>
      <c r="Q856" s="916"/>
      <c r="R856" s="917"/>
      <c r="S856" s="916"/>
      <c r="T856" s="75"/>
      <c r="U856" s="75"/>
      <c r="V856" s="906"/>
      <c r="W856" s="912"/>
      <c r="X856" s="907"/>
    </row>
    <row r="857" spans="1:24" s="487" customFormat="1" ht="18" customHeight="1">
      <c r="A857" s="478"/>
      <c r="B857" s="336" t="s">
        <v>439</v>
      </c>
      <c r="C857" s="924">
        <f>C848</f>
        <v>5</v>
      </c>
      <c r="D857" s="480" t="s">
        <v>87</v>
      </c>
      <c r="E857" s="481">
        <f>E854</f>
        <v>1</v>
      </c>
      <c r="F857" s="482">
        <f>F854</f>
        <v>4</v>
      </c>
      <c r="G857" s="483">
        <f>G854</f>
        <v>4</v>
      </c>
      <c r="H857" s="484"/>
      <c r="I857" s="483"/>
      <c r="J857" s="484"/>
      <c r="K857" s="483"/>
      <c r="L857" s="914">
        <f t="shared" si="290"/>
        <v>21.666666666666664</v>
      </c>
      <c r="M857" s="485"/>
      <c r="N857" s="485"/>
      <c r="O857" s="486"/>
      <c r="P857" s="915"/>
      <c r="Q857" s="916"/>
      <c r="R857" s="917">
        <f>R855</f>
        <v>1</v>
      </c>
      <c r="S857" s="916"/>
      <c r="T857" s="75" t="s">
        <v>677</v>
      </c>
      <c r="U857" s="75">
        <v>6.5</v>
      </c>
      <c r="V857" s="906">
        <f>2</f>
        <v>2</v>
      </c>
      <c r="W857" s="952">
        <f>3*ROUND(Q852/V857,0)</f>
        <v>15</v>
      </c>
      <c r="X857" s="907">
        <f>3</f>
        <v>3</v>
      </c>
    </row>
    <row r="858" spans="1:24" s="487" customFormat="1" ht="18" customHeight="1">
      <c r="A858" s="478"/>
      <c r="B858" s="336" t="s">
        <v>441</v>
      </c>
      <c r="C858" s="924">
        <f>C857</f>
        <v>5</v>
      </c>
      <c r="D858" s="480" t="s">
        <v>87</v>
      </c>
      <c r="E858" s="481">
        <f>E857</f>
        <v>1</v>
      </c>
      <c r="F858" s="482">
        <f>F855</f>
        <v>3</v>
      </c>
      <c r="G858" s="483">
        <f>G855</f>
        <v>0</v>
      </c>
      <c r="H858" s="484"/>
      <c r="I858" s="483"/>
      <c r="J858" s="484"/>
      <c r="K858" s="483"/>
      <c r="L858" s="914">
        <f t="shared" si="290"/>
        <v>15</v>
      </c>
      <c r="M858" s="485"/>
      <c r="N858" s="485"/>
      <c r="O858" s="486"/>
      <c r="P858" s="915"/>
      <c r="Q858" s="916"/>
      <c r="R858" s="917"/>
      <c r="S858" s="916"/>
      <c r="T858" s="75"/>
      <c r="U858" s="75"/>
      <c r="V858" s="906"/>
      <c r="W858" s="912"/>
      <c r="X858" s="907"/>
    </row>
    <row r="859" spans="1:24" s="487" customFormat="1" ht="18" customHeight="1">
      <c r="A859" s="478"/>
      <c r="B859" s="336" t="s">
        <v>441</v>
      </c>
      <c r="C859" s="924">
        <f>C858</f>
        <v>5</v>
      </c>
      <c r="D859" s="480" t="s">
        <v>87</v>
      </c>
      <c r="E859" s="481">
        <f>E858</f>
        <v>1</v>
      </c>
      <c r="F859" s="482">
        <f>F856</f>
        <v>3</v>
      </c>
      <c r="G859" s="483">
        <f>G856</f>
        <v>0</v>
      </c>
      <c r="H859" s="484"/>
      <c r="I859" s="483"/>
      <c r="J859" s="484"/>
      <c r="K859" s="483"/>
      <c r="L859" s="914">
        <f t="shared" si="290"/>
        <v>15</v>
      </c>
      <c r="M859" s="485"/>
      <c r="N859" s="485"/>
      <c r="O859" s="486"/>
      <c r="P859" s="915"/>
      <c r="Q859" s="916"/>
      <c r="R859" s="917"/>
      <c r="S859" s="916"/>
      <c r="T859" s="75"/>
      <c r="U859" s="75"/>
      <c r="V859" s="906"/>
      <c r="W859" s="912"/>
      <c r="X859" s="907"/>
    </row>
    <row r="860" spans="1:24" s="487" customFormat="1" ht="18" customHeight="1">
      <c r="A860" s="478"/>
      <c r="B860" s="336" t="s">
        <v>693</v>
      </c>
      <c r="C860" s="924">
        <f>W857</f>
        <v>15</v>
      </c>
      <c r="D860" s="480" t="s">
        <v>87</v>
      </c>
      <c r="E860" s="481">
        <f>E857</f>
        <v>1</v>
      </c>
      <c r="F860" s="482">
        <v>3</v>
      </c>
      <c r="G860" s="483">
        <v>0</v>
      </c>
      <c r="H860" s="484"/>
      <c r="I860" s="483"/>
      <c r="J860" s="1163">
        <f>C860*E860*(F860+G860/12)</f>
        <v>45</v>
      </c>
      <c r="K860" s="1164"/>
      <c r="L860" s="914"/>
      <c r="M860" s="485"/>
      <c r="N860" s="485"/>
      <c r="O860" s="882"/>
      <c r="P860" s="915"/>
      <c r="Q860" s="916"/>
      <c r="R860" s="917"/>
      <c r="S860" s="916"/>
      <c r="T860" s="75"/>
      <c r="U860" s="75"/>
      <c r="V860" s="906"/>
      <c r="W860" s="952"/>
      <c r="X860" s="907"/>
    </row>
    <row r="861" spans="1:24" ht="18" customHeight="1">
      <c r="A861" s="474"/>
      <c r="B861" s="494"/>
      <c r="C861" s="663"/>
      <c r="D861" s="489"/>
      <c r="E861" s="495"/>
      <c r="F861" s="491"/>
      <c r="G861" s="496"/>
      <c r="H861" s="497"/>
      <c r="I861" s="496"/>
      <c r="J861" s="497"/>
      <c r="K861" s="496"/>
      <c r="L861" s="653"/>
      <c r="M861" s="475"/>
      <c r="N861" s="475"/>
      <c r="O861" s="476"/>
      <c r="P861" s="901"/>
      <c r="Q861" s="903"/>
      <c r="R861" s="902"/>
      <c r="S861" s="903"/>
      <c r="T861" s="898"/>
      <c r="U861" s="898"/>
      <c r="V861" s="899"/>
      <c r="W861" s="904"/>
      <c r="X861" s="900"/>
    </row>
    <row r="862" spans="1:24" s="487" customFormat="1" ht="18" customHeight="1">
      <c r="A862" s="478"/>
      <c r="B862" s="723" t="s">
        <v>695</v>
      </c>
      <c r="C862" s="924"/>
      <c r="D862" s="480"/>
      <c r="E862" s="481"/>
      <c r="F862" s="482"/>
      <c r="G862" s="483"/>
      <c r="H862" s="484"/>
      <c r="I862" s="483"/>
      <c r="J862" s="484"/>
      <c r="K862" s="483"/>
      <c r="L862" s="914"/>
      <c r="M862" s="485"/>
      <c r="N862" s="485"/>
      <c r="O862" s="486"/>
      <c r="P862" s="915"/>
      <c r="Q862" s="916"/>
      <c r="R862" s="917"/>
      <c r="S862" s="916"/>
      <c r="T862" s="75"/>
      <c r="U862" s="75"/>
      <c r="V862" s="906"/>
      <c r="W862" s="912"/>
      <c r="X862" s="907"/>
    </row>
    <row r="863" spans="1:24" s="487" customFormat="1" ht="18" customHeight="1">
      <c r="A863" s="478"/>
      <c r="B863" s="336" t="s">
        <v>444</v>
      </c>
      <c r="C863" s="479"/>
      <c r="D863" s="480"/>
      <c r="E863" s="481"/>
      <c r="F863" s="1165" t="s">
        <v>224</v>
      </c>
      <c r="G863" s="1166"/>
      <c r="H863" s="1163" t="s">
        <v>225</v>
      </c>
      <c r="I863" s="1164"/>
      <c r="J863" s="484"/>
      <c r="K863" s="483"/>
      <c r="L863" s="914"/>
      <c r="M863" s="478"/>
      <c r="N863" s="485"/>
      <c r="O863" s="486"/>
      <c r="P863" s="915"/>
      <c r="Q863" s="916"/>
      <c r="R863" s="917"/>
      <c r="S863" s="916"/>
      <c r="T863" s="75"/>
      <c r="U863" s="75"/>
      <c r="V863" s="906"/>
      <c r="W863" s="912"/>
      <c r="X863" s="907"/>
    </row>
    <row r="864" spans="1:24" s="487" customFormat="1" ht="18" customHeight="1">
      <c r="A864" s="478"/>
      <c r="B864" s="834" t="s">
        <v>289</v>
      </c>
      <c r="C864" s="479">
        <v>1</v>
      </c>
      <c r="D864" s="883" t="s">
        <v>87</v>
      </c>
      <c r="E864" s="481">
        <f>E93</f>
        <v>8</v>
      </c>
      <c r="F864" s="482">
        <f>F93</f>
        <v>1</v>
      </c>
      <c r="G864" s="483">
        <f>G93</f>
        <v>0</v>
      </c>
      <c r="H864" s="482">
        <f>J93</f>
        <v>13</v>
      </c>
      <c r="I864" s="483">
        <f>K93</f>
        <v>0</v>
      </c>
      <c r="J864" s="484"/>
      <c r="K864" s="483"/>
      <c r="L864" s="914"/>
      <c r="M864" s="478"/>
      <c r="N864" s="485"/>
      <c r="O864" s="486"/>
      <c r="P864" s="915"/>
      <c r="Q864" s="916"/>
      <c r="R864" s="917"/>
      <c r="S864" s="916"/>
      <c r="T864" s="75"/>
      <c r="U864" s="75"/>
      <c r="V864" s="906"/>
      <c r="W864" s="952"/>
      <c r="X864" s="907"/>
    </row>
    <row r="865" spans="1:24" s="487" customFormat="1" ht="18" customHeight="1">
      <c r="A865" s="478"/>
      <c r="B865" s="336" t="s">
        <v>434</v>
      </c>
      <c r="C865" s="951">
        <v>6</v>
      </c>
      <c r="D865" s="480" t="s">
        <v>87</v>
      </c>
      <c r="E865" s="481">
        <f>E864</f>
        <v>8</v>
      </c>
      <c r="F865" s="482">
        <v>13</v>
      </c>
      <c r="G865" s="483">
        <v>0</v>
      </c>
      <c r="H865" s="484"/>
      <c r="I865" s="483"/>
      <c r="J865" s="484"/>
      <c r="K865" s="483"/>
      <c r="L865" s="914"/>
      <c r="M865" s="485"/>
      <c r="N865" s="485">
        <f>C865*E865*(F865+G865/12)</f>
        <v>624</v>
      </c>
      <c r="O865" s="486"/>
      <c r="P865" s="915">
        <f>F864+G864/12</f>
        <v>1</v>
      </c>
      <c r="Q865" s="915">
        <f>H864+I864/12</f>
        <v>13</v>
      </c>
      <c r="R865" s="915">
        <f>E864*C864</f>
        <v>8</v>
      </c>
      <c r="S865" s="916">
        <f>1.5/12</f>
        <v>0.125</v>
      </c>
      <c r="T865" s="75" t="s">
        <v>675</v>
      </c>
      <c r="U865" s="75">
        <v>16</v>
      </c>
      <c r="V865" s="906"/>
      <c r="W865" s="912">
        <f>C865</f>
        <v>6</v>
      </c>
      <c r="X865" s="907">
        <f>Q865</f>
        <v>13</v>
      </c>
    </row>
    <row r="866" spans="1:24" s="487" customFormat="1" ht="18" customHeight="1">
      <c r="A866" s="478"/>
      <c r="B866" s="336" t="s">
        <v>436</v>
      </c>
      <c r="C866" s="924">
        <f>C865</f>
        <v>6</v>
      </c>
      <c r="D866" s="480" t="s">
        <v>87</v>
      </c>
      <c r="E866" s="481">
        <f>E867</f>
        <v>8</v>
      </c>
      <c r="F866" s="482">
        <v>2</v>
      </c>
      <c r="G866" s="483">
        <v>10</v>
      </c>
      <c r="H866" s="482"/>
      <c r="I866" s="483"/>
      <c r="J866" s="484"/>
      <c r="K866" s="483"/>
      <c r="L866" s="914"/>
      <c r="M866" s="478"/>
      <c r="N866" s="485">
        <f>C866*E866*(F866+G866/12)</f>
        <v>136</v>
      </c>
      <c r="O866" s="486"/>
      <c r="P866" s="915">
        <f>P865</f>
        <v>1</v>
      </c>
      <c r="Q866" s="915"/>
      <c r="R866" s="917"/>
      <c r="S866" s="916"/>
      <c r="T866" s="75"/>
      <c r="U866" s="75"/>
      <c r="V866" s="906"/>
      <c r="W866" s="912"/>
      <c r="X866" s="907"/>
    </row>
    <row r="867" spans="1:24" s="487" customFormat="1" ht="18" customHeight="1">
      <c r="A867" s="478"/>
      <c r="B867" s="336" t="s">
        <v>435</v>
      </c>
      <c r="C867" s="924">
        <v>25</v>
      </c>
      <c r="D867" s="480" t="s">
        <v>87</v>
      </c>
      <c r="E867" s="481">
        <f>E864</f>
        <v>8</v>
      </c>
      <c r="F867" s="482">
        <f>F838</f>
        <v>3</v>
      </c>
      <c r="G867" s="483">
        <f>G838</f>
        <v>5</v>
      </c>
      <c r="H867" s="484"/>
      <c r="I867" s="483"/>
      <c r="J867" s="484"/>
      <c r="K867" s="483"/>
      <c r="L867" s="914">
        <f>C867*E867*(F867+G867/12)</f>
        <v>683.33333333333326</v>
      </c>
      <c r="M867" s="485"/>
      <c r="N867" s="485"/>
      <c r="O867" s="486"/>
      <c r="P867" s="915"/>
      <c r="Q867" s="916"/>
      <c r="R867" s="917">
        <f>R865</f>
        <v>8</v>
      </c>
      <c r="S867" s="916"/>
      <c r="T867" s="75" t="s">
        <v>676</v>
      </c>
      <c r="U867" s="75">
        <v>10</v>
      </c>
      <c r="V867" s="906">
        <f>4/(12)</f>
        <v>0.33333333333333331</v>
      </c>
      <c r="W867" s="912">
        <f>(ROUND((1.5+1.5+5)/V867+1,0))</f>
        <v>25</v>
      </c>
      <c r="X867" s="907">
        <f>2*(P865+P866)-8*S865+2*8*(U867/1000)*3.281</f>
        <v>3.5249600000000001</v>
      </c>
    </row>
    <row r="868" spans="1:24" s="487" customFormat="1" ht="18" customHeight="1">
      <c r="A868" s="478"/>
      <c r="B868" s="336" t="s">
        <v>439</v>
      </c>
      <c r="C868" s="924">
        <v>11</v>
      </c>
      <c r="D868" s="480" t="s">
        <v>87</v>
      </c>
      <c r="E868" s="481">
        <f>E865</f>
        <v>8</v>
      </c>
      <c r="F868" s="482">
        <f>F867</f>
        <v>3</v>
      </c>
      <c r="G868" s="483">
        <f>G867</f>
        <v>5</v>
      </c>
      <c r="H868" s="484"/>
      <c r="I868" s="483"/>
      <c r="J868" s="484"/>
      <c r="K868" s="483"/>
      <c r="L868" s="914">
        <f>C868*E868*(F868+G868/12)</f>
        <v>300.66666666666663</v>
      </c>
      <c r="M868" s="485"/>
      <c r="N868" s="485"/>
      <c r="O868" s="486"/>
      <c r="P868" s="915"/>
      <c r="Q868" s="916"/>
      <c r="R868" s="917">
        <f>R867</f>
        <v>8</v>
      </c>
      <c r="S868" s="916"/>
      <c r="T868" s="75" t="s">
        <v>676</v>
      </c>
      <c r="U868" s="75">
        <v>10</v>
      </c>
      <c r="V868" s="906">
        <f>6/(12)</f>
        <v>0.5</v>
      </c>
      <c r="W868" s="912">
        <f>(ROUND((Q865-1.5*2-5)/V868+1,0))</f>
        <v>11</v>
      </c>
      <c r="X868" s="907">
        <f>1*(P865)-2*S865+2*8*(U868/1000)*3.281</f>
        <v>1.2749600000000001</v>
      </c>
    </row>
    <row r="869" spans="1:24" s="487" customFormat="1" ht="18" customHeight="1">
      <c r="A869" s="478"/>
      <c r="B869" s="336" t="s">
        <v>693</v>
      </c>
      <c r="C869" s="924">
        <f>W869</f>
        <v>21</v>
      </c>
      <c r="D869" s="480" t="s">
        <v>87</v>
      </c>
      <c r="E869" s="481">
        <f>E866</f>
        <v>8</v>
      </c>
      <c r="F869" s="482">
        <v>3</v>
      </c>
      <c r="G869" s="483">
        <v>0</v>
      </c>
      <c r="H869" s="484"/>
      <c r="I869" s="483"/>
      <c r="J869" s="1163">
        <f>C869*E869*(F869+G869/12)</f>
        <v>504</v>
      </c>
      <c r="K869" s="1164"/>
      <c r="L869" s="914"/>
      <c r="M869" s="485"/>
      <c r="N869" s="485"/>
      <c r="O869" s="882"/>
      <c r="P869" s="915"/>
      <c r="Q869" s="916"/>
      <c r="R869" s="917">
        <f>R868</f>
        <v>8</v>
      </c>
      <c r="S869" s="916"/>
      <c r="T869" s="75" t="s">
        <v>677</v>
      </c>
      <c r="U869" s="75">
        <v>6.5</v>
      </c>
      <c r="V869" s="906">
        <f>2</f>
        <v>2</v>
      </c>
      <c r="W869" s="952">
        <f>3*ROUND(Q865/V869,0)</f>
        <v>21</v>
      </c>
      <c r="X869" s="907">
        <f>3</f>
        <v>3</v>
      </c>
    </row>
    <row r="870" spans="1:24" ht="18" customHeight="1">
      <c r="A870" s="474"/>
      <c r="B870" s="494"/>
      <c r="C870" s="663"/>
      <c r="D870" s="489"/>
      <c r="E870" s="495"/>
      <c r="F870" s="491"/>
      <c r="G870" s="496"/>
      <c r="H870" s="497"/>
      <c r="I870" s="496"/>
      <c r="J870" s="497"/>
      <c r="K870" s="496"/>
      <c r="L870" s="891"/>
      <c r="M870" s="475"/>
      <c r="N870" s="475"/>
      <c r="O870" s="476"/>
      <c r="P870" s="915"/>
      <c r="Q870" s="916"/>
      <c r="R870" s="917"/>
      <c r="S870" s="916"/>
      <c r="T870" s="75"/>
      <c r="U870" s="75"/>
      <c r="V870" s="906"/>
      <c r="W870" s="912"/>
      <c r="X870" s="907"/>
    </row>
    <row r="871" spans="1:24" s="487" customFormat="1" ht="18" customHeight="1">
      <c r="A871" s="478"/>
      <c r="B871" s="834" t="s">
        <v>290</v>
      </c>
      <c r="C871" s="479">
        <v>1</v>
      </c>
      <c r="D871" s="883" t="s">
        <v>87</v>
      </c>
      <c r="E871" s="481">
        <v>4</v>
      </c>
      <c r="F871" s="482">
        <v>1</v>
      </c>
      <c r="G871" s="483">
        <v>2</v>
      </c>
      <c r="H871" s="482">
        <f>J93</f>
        <v>13</v>
      </c>
      <c r="I871" s="483">
        <f>K93</f>
        <v>0</v>
      </c>
      <c r="J871" s="484"/>
      <c r="K871" s="483"/>
      <c r="L871" s="914"/>
      <c r="M871" s="478"/>
      <c r="N871" s="485"/>
      <c r="O871" s="486"/>
      <c r="P871" s="915"/>
      <c r="Q871" s="916"/>
      <c r="R871" s="917"/>
      <c r="S871" s="916"/>
      <c r="T871" s="75"/>
      <c r="U871" s="75"/>
      <c r="V871" s="906"/>
      <c r="W871" s="912"/>
      <c r="X871" s="907"/>
    </row>
    <row r="872" spans="1:24" s="487" customFormat="1" ht="18" customHeight="1">
      <c r="A872" s="478"/>
      <c r="B872" s="336" t="s">
        <v>438</v>
      </c>
      <c r="C872" s="924">
        <v>8</v>
      </c>
      <c r="D872" s="480" t="s">
        <v>87</v>
      </c>
      <c r="E872" s="481">
        <f>E871</f>
        <v>4</v>
      </c>
      <c r="F872" s="482">
        <f t="shared" ref="F872:G872" si="291">F865</f>
        <v>13</v>
      </c>
      <c r="G872" s="483">
        <f t="shared" si="291"/>
        <v>0</v>
      </c>
      <c r="H872" s="484"/>
      <c r="I872" s="483"/>
      <c r="J872" s="484"/>
      <c r="K872" s="483"/>
      <c r="L872" s="914"/>
      <c r="M872" s="485"/>
      <c r="N872" s="485">
        <f>C872*E872*(F872+G872/12)</f>
        <v>416</v>
      </c>
      <c r="O872" s="486"/>
      <c r="P872" s="915">
        <f>F871+G871/12</f>
        <v>1.1666666666666667</v>
      </c>
      <c r="Q872" s="915">
        <f>H871+I871/12</f>
        <v>13</v>
      </c>
      <c r="R872" s="915">
        <f>E871*C871</f>
        <v>4</v>
      </c>
      <c r="S872" s="916">
        <f>1.5/12</f>
        <v>0.125</v>
      </c>
      <c r="T872" s="75" t="s">
        <v>675</v>
      </c>
      <c r="U872" s="75">
        <v>16</v>
      </c>
      <c r="V872" s="906"/>
      <c r="W872" s="912">
        <f>C872</f>
        <v>8</v>
      </c>
      <c r="X872" s="907">
        <f>Q872</f>
        <v>13</v>
      </c>
    </row>
    <row r="873" spans="1:24" s="487" customFormat="1" ht="18" customHeight="1">
      <c r="A873" s="478"/>
      <c r="B873" s="336" t="s">
        <v>436</v>
      </c>
      <c r="C873" s="924">
        <f>C872</f>
        <v>8</v>
      </c>
      <c r="D873" s="480"/>
      <c r="E873" s="481">
        <f>E872</f>
        <v>4</v>
      </c>
      <c r="F873" s="482">
        <f t="shared" ref="F873:G873" si="292">F866</f>
        <v>2</v>
      </c>
      <c r="G873" s="483">
        <f t="shared" si="292"/>
        <v>10</v>
      </c>
      <c r="H873" s="484"/>
      <c r="I873" s="483"/>
      <c r="J873" s="484"/>
      <c r="K873" s="483"/>
      <c r="L873" s="914"/>
      <c r="M873" s="485"/>
      <c r="N873" s="485">
        <f>C873*E873*(F873+G873/12)</f>
        <v>90.666666666666671</v>
      </c>
      <c r="O873" s="486"/>
      <c r="P873" s="915">
        <f>P872</f>
        <v>1.1666666666666667</v>
      </c>
      <c r="Q873" s="915"/>
      <c r="R873" s="917"/>
      <c r="S873" s="916"/>
      <c r="T873" s="75"/>
      <c r="U873" s="75"/>
      <c r="V873" s="906"/>
      <c r="W873" s="912"/>
      <c r="X873" s="907"/>
    </row>
    <row r="874" spans="1:24" s="487" customFormat="1" ht="18" customHeight="1">
      <c r="A874" s="478"/>
      <c r="B874" s="336" t="s">
        <v>435</v>
      </c>
      <c r="C874" s="924">
        <f>C867</f>
        <v>25</v>
      </c>
      <c r="D874" s="480" t="s">
        <v>87</v>
      </c>
      <c r="E874" s="481">
        <f>E872</f>
        <v>4</v>
      </c>
      <c r="F874" s="482">
        <f>F854</f>
        <v>4</v>
      </c>
      <c r="G874" s="483">
        <f>G854</f>
        <v>4</v>
      </c>
      <c r="H874" s="484"/>
      <c r="I874" s="483"/>
      <c r="J874" s="484"/>
      <c r="K874" s="483"/>
      <c r="L874" s="914">
        <f t="shared" ref="L874:L879" si="293">C874*E874*(F874+G874/12)</f>
        <v>433.33333333333331</v>
      </c>
      <c r="M874" s="485"/>
      <c r="N874" s="485"/>
      <c r="O874" s="486"/>
      <c r="P874" s="915"/>
      <c r="Q874" s="916"/>
      <c r="R874" s="917">
        <f>R872</f>
        <v>4</v>
      </c>
      <c r="S874" s="916"/>
      <c r="T874" s="75" t="s">
        <v>676</v>
      </c>
      <c r="U874" s="75">
        <v>10</v>
      </c>
      <c r="V874" s="906">
        <f>4/(12)</f>
        <v>0.33333333333333331</v>
      </c>
      <c r="W874" s="912">
        <f>(ROUND((1.5+1.5+5)/V874+1,0))</f>
        <v>25</v>
      </c>
      <c r="X874" s="907">
        <f>2*(P872+P873)-8*S872+2*8*(U874/1000)*3.281</f>
        <v>4.1916266666666671</v>
      </c>
    </row>
    <row r="875" spans="1:24" s="487" customFormat="1" ht="18" customHeight="1">
      <c r="A875" s="478"/>
      <c r="B875" s="336" t="s">
        <v>440</v>
      </c>
      <c r="C875" s="924">
        <f>C874</f>
        <v>25</v>
      </c>
      <c r="D875" s="480" t="s">
        <v>87</v>
      </c>
      <c r="E875" s="481">
        <f>E874</f>
        <v>4</v>
      </c>
      <c r="F875" s="482">
        <v>1</v>
      </c>
      <c r="G875" s="483">
        <v>6</v>
      </c>
      <c r="H875" s="484"/>
      <c r="I875" s="483"/>
      <c r="J875" s="484"/>
      <c r="K875" s="483"/>
      <c r="L875" s="914">
        <f t="shared" si="293"/>
        <v>150</v>
      </c>
      <c r="M875" s="485"/>
      <c r="N875" s="485"/>
      <c r="O875" s="486"/>
      <c r="P875" s="915"/>
      <c r="Q875" s="916"/>
      <c r="R875" s="917">
        <f>R874</f>
        <v>4</v>
      </c>
      <c r="S875" s="916"/>
      <c r="T875" s="75" t="s">
        <v>676</v>
      </c>
      <c r="U875" s="75">
        <v>10</v>
      </c>
      <c r="V875" s="906">
        <f>6/(12)</f>
        <v>0.5</v>
      </c>
      <c r="W875" s="912">
        <f>(ROUND((Q872-1.5*2-5)/V875+1,0))</f>
        <v>11</v>
      </c>
      <c r="X875" s="907">
        <f>1*(P872)-2*S872+2*8*(U875/1000)*3.281</f>
        <v>1.4416266666666666</v>
      </c>
    </row>
    <row r="876" spans="1:24" s="487" customFormat="1" ht="18" customHeight="1">
      <c r="A876" s="478"/>
      <c r="B876" s="336" t="s">
        <v>440</v>
      </c>
      <c r="C876" s="924">
        <f>C875</f>
        <v>25</v>
      </c>
      <c r="D876" s="480" t="s">
        <v>87</v>
      </c>
      <c r="E876" s="481">
        <f>E875</f>
        <v>4</v>
      </c>
      <c r="F876" s="482">
        <v>1</v>
      </c>
      <c r="G876" s="483">
        <v>6</v>
      </c>
      <c r="H876" s="484"/>
      <c r="I876" s="483"/>
      <c r="J876" s="484"/>
      <c r="K876" s="483"/>
      <c r="L876" s="914">
        <f t="shared" si="293"/>
        <v>150</v>
      </c>
      <c r="M876" s="485"/>
      <c r="N876" s="485"/>
      <c r="O876" s="486"/>
      <c r="P876" s="915"/>
      <c r="Q876" s="916"/>
      <c r="R876" s="917"/>
      <c r="S876" s="916"/>
      <c r="T876" s="75"/>
      <c r="U876" s="75"/>
      <c r="V876" s="906"/>
      <c r="W876" s="912"/>
      <c r="X876" s="907"/>
    </row>
    <row r="877" spans="1:24" s="487" customFormat="1" ht="18" customHeight="1">
      <c r="A877" s="478"/>
      <c r="B877" s="336" t="s">
        <v>439</v>
      </c>
      <c r="C877" s="924">
        <f>C868</f>
        <v>11</v>
      </c>
      <c r="D877" s="480" t="s">
        <v>87</v>
      </c>
      <c r="E877" s="481">
        <f>E874</f>
        <v>4</v>
      </c>
      <c r="F877" s="482">
        <f>F874</f>
        <v>4</v>
      </c>
      <c r="G877" s="483">
        <f>G874</f>
        <v>4</v>
      </c>
      <c r="H877" s="484"/>
      <c r="I877" s="483"/>
      <c r="J877" s="484"/>
      <c r="K877" s="483"/>
      <c r="L877" s="914">
        <f t="shared" si="293"/>
        <v>190.66666666666666</v>
      </c>
      <c r="M877" s="485"/>
      <c r="N877" s="485"/>
      <c r="O877" s="486"/>
      <c r="P877" s="911"/>
      <c r="Q877" s="911"/>
      <c r="R877" s="909"/>
      <c r="S877" s="911"/>
      <c r="T877" s="75"/>
      <c r="U877" s="75"/>
      <c r="V877" s="906"/>
      <c r="W877" s="912"/>
      <c r="X877" s="75"/>
    </row>
    <row r="878" spans="1:24" s="487" customFormat="1" ht="18" customHeight="1">
      <c r="A878" s="478"/>
      <c r="B878" s="336" t="s">
        <v>441</v>
      </c>
      <c r="C878" s="924">
        <f>C877</f>
        <v>11</v>
      </c>
      <c r="D878" s="480" t="s">
        <v>87</v>
      </c>
      <c r="E878" s="481">
        <f>E877</f>
        <v>4</v>
      </c>
      <c r="F878" s="482">
        <f>F875</f>
        <v>1</v>
      </c>
      <c r="G878" s="483">
        <f>G875</f>
        <v>6</v>
      </c>
      <c r="H878" s="484"/>
      <c r="I878" s="483"/>
      <c r="J878" s="484"/>
      <c r="K878" s="483"/>
      <c r="L878" s="914">
        <f t="shared" si="293"/>
        <v>66</v>
      </c>
      <c r="M878" s="485"/>
      <c r="N878" s="485"/>
      <c r="O878" s="486"/>
      <c r="P878" s="908"/>
      <c r="Q878" s="908"/>
      <c r="R878" s="909"/>
      <c r="S878" s="908"/>
      <c r="T878" s="910"/>
      <c r="U878" s="910"/>
      <c r="V878" s="910"/>
      <c r="W878" s="910"/>
      <c r="X878" s="910"/>
    </row>
    <row r="879" spans="1:24" s="487" customFormat="1" ht="18" customHeight="1">
      <c r="A879" s="478"/>
      <c r="B879" s="336" t="s">
        <v>441</v>
      </c>
      <c r="C879" s="924">
        <f>C878</f>
        <v>11</v>
      </c>
      <c r="D879" s="480" t="s">
        <v>87</v>
      </c>
      <c r="E879" s="481">
        <f>E878</f>
        <v>4</v>
      </c>
      <c r="F879" s="482">
        <f>F876</f>
        <v>1</v>
      </c>
      <c r="G879" s="483">
        <f>G876</f>
        <v>6</v>
      </c>
      <c r="H879" s="484"/>
      <c r="I879" s="483"/>
      <c r="J879" s="484"/>
      <c r="K879" s="483"/>
      <c r="L879" s="914">
        <f t="shared" si="293"/>
        <v>66</v>
      </c>
      <c r="M879" s="485"/>
      <c r="N879" s="485"/>
      <c r="O879" s="486"/>
      <c r="P879" s="908"/>
      <c r="Q879" s="908"/>
      <c r="R879" s="909"/>
      <c r="S879" s="908"/>
      <c r="T879" s="910"/>
      <c r="U879" s="910"/>
      <c r="V879" s="910"/>
      <c r="W879" s="910"/>
      <c r="X879" s="910"/>
    </row>
    <row r="880" spans="1:24" s="487" customFormat="1" ht="18" customHeight="1">
      <c r="A880" s="478"/>
      <c r="B880" s="336" t="s">
        <v>693</v>
      </c>
      <c r="C880" s="924">
        <f>W880</f>
        <v>21</v>
      </c>
      <c r="D880" s="480" t="s">
        <v>87</v>
      </c>
      <c r="E880" s="481">
        <f>E875</f>
        <v>4</v>
      </c>
      <c r="F880" s="482">
        <v>3</v>
      </c>
      <c r="G880" s="483">
        <v>0</v>
      </c>
      <c r="H880" s="484"/>
      <c r="I880" s="483"/>
      <c r="J880" s="1163">
        <f>C880*E880*(F880+G880/12)</f>
        <v>252</v>
      </c>
      <c r="K880" s="1164"/>
      <c r="L880" s="914"/>
      <c r="M880" s="485"/>
      <c r="N880" s="485"/>
      <c r="O880" s="882"/>
      <c r="P880" s="915"/>
      <c r="Q880" s="916"/>
      <c r="R880" s="917">
        <f>R875</f>
        <v>4</v>
      </c>
      <c r="S880" s="916"/>
      <c r="T880" s="75" t="s">
        <v>677</v>
      </c>
      <c r="U880" s="75">
        <v>6.5</v>
      </c>
      <c r="V880" s="906">
        <f>2</f>
        <v>2</v>
      </c>
      <c r="W880" s="952">
        <f>3*ROUND(Q872/V880,0)</f>
        <v>21</v>
      </c>
      <c r="X880" s="907">
        <f>3</f>
        <v>3</v>
      </c>
    </row>
    <row r="881" spans="1:24" s="487" customFormat="1" ht="18" customHeight="1">
      <c r="A881" s="478"/>
      <c r="B881" s="723" t="s">
        <v>696</v>
      </c>
      <c r="C881" s="951"/>
      <c r="D881" s="480"/>
      <c r="E881" s="481"/>
      <c r="F881" s="482"/>
      <c r="G881" s="483"/>
      <c r="H881" s="484"/>
      <c r="I881" s="483"/>
      <c r="J881" s="484"/>
      <c r="K881" s="483"/>
      <c r="L881" s="914"/>
      <c r="M881" s="485"/>
      <c r="N881" s="485"/>
      <c r="O881" s="486"/>
      <c r="P881" s="911"/>
      <c r="Q881" s="911"/>
      <c r="R881" s="909"/>
      <c r="S881" s="911"/>
      <c r="T881" s="75"/>
      <c r="U881" s="75"/>
      <c r="V881" s="906"/>
      <c r="W881" s="912"/>
      <c r="X881" s="75"/>
    </row>
    <row r="882" spans="1:24" s="487" customFormat="1" ht="18" customHeight="1">
      <c r="A882" s="478"/>
      <c r="B882" s="336" t="s">
        <v>445</v>
      </c>
      <c r="C882" s="479"/>
      <c r="D882" s="480"/>
      <c r="E882" s="481"/>
      <c r="F882" s="1165" t="s">
        <v>224</v>
      </c>
      <c r="G882" s="1166"/>
      <c r="H882" s="1163" t="s">
        <v>225</v>
      </c>
      <c r="I882" s="1164"/>
      <c r="J882" s="484"/>
      <c r="K882" s="483"/>
      <c r="L882" s="914"/>
      <c r="M882" s="485"/>
      <c r="N882" s="485"/>
      <c r="O882" s="486"/>
      <c r="P882" s="911"/>
      <c r="Q882" s="911"/>
      <c r="R882" s="909"/>
      <c r="S882" s="911"/>
      <c r="T882" s="910"/>
      <c r="U882" s="910"/>
      <c r="V882" s="910"/>
      <c r="W882" s="910"/>
      <c r="X882" s="910"/>
    </row>
    <row r="883" spans="1:24" s="487" customFormat="1" ht="18" customHeight="1">
      <c r="A883" s="478"/>
      <c r="B883" s="834" t="s">
        <v>289</v>
      </c>
      <c r="C883" s="479">
        <v>1</v>
      </c>
      <c r="D883" s="883" t="s">
        <v>87</v>
      </c>
      <c r="E883" s="481">
        <f>E98</f>
        <v>11</v>
      </c>
      <c r="F883" s="482">
        <v>1</v>
      </c>
      <c r="G883" s="483">
        <v>0</v>
      </c>
      <c r="H883" s="482">
        <v>12</v>
      </c>
      <c r="I883" s="483">
        <v>0</v>
      </c>
      <c r="J883" s="484"/>
      <c r="K883" s="483"/>
      <c r="L883" s="914"/>
      <c r="M883" s="485"/>
      <c r="N883" s="485"/>
      <c r="O883" s="486"/>
      <c r="P883" s="905"/>
      <c r="Q883" s="905"/>
      <c r="R883" s="905"/>
      <c r="S883" s="905"/>
      <c r="T883" s="75"/>
      <c r="U883" s="75"/>
      <c r="V883" s="75"/>
      <c r="W883" s="75"/>
      <c r="X883" s="906"/>
    </row>
    <row r="884" spans="1:24" s="487" customFormat="1" ht="18" customHeight="1">
      <c r="A884" s="478"/>
      <c r="B884" s="336" t="s">
        <v>434</v>
      </c>
      <c r="C884" s="951">
        <v>6</v>
      </c>
      <c r="D884" s="480" t="s">
        <v>87</v>
      </c>
      <c r="E884" s="481">
        <f>E883</f>
        <v>11</v>
      </c>
      <c r="F884" s="482">
        <f>H883</f>
        <v>12</v>
      </c>
      <c r="G884" s="483">
        <v>0</v>
      </c>
      <c r="H884" s="484"/>
      <c r="I884" s="483"/>
      <c r="J884" s="484"/>
      <c r="K884" s="483"/>
      <c r="L884" s="914"/>
      <c r="M884" s="485"/>
      <c r="N884" s="485">
        <f>C884*E884*(F884+G884/12)</f>
        <v>792</v>
      </c>
      <c r="O884" s="486"/>
      <c r="P884" s="915">
        <f>F883+G883/12</f>
        <v>1</v>
      </c>
      <c r="Q884" s="915">
        <f>H883+I883/12</f>
        <v>12</v>
      </c>
      <c r="R884" s="915">
        <f>E883*C883</f>
        <v>11</v>
      </c>
      <c r="S884" s="916">
        <f>1.5/12</f>
        <v>0.125</v>
      </c>
      <c r="T884" s="75" t="s">
        <v>675</v>
      </c>
      <c r="U884" s="75">
        <v>16</v>
      </c>
      <c r="V884" s="906"/>
      <c r="W884" s="912">
        <f>C884</f>
        <v>6</v>
      </c>
      <c r="X884" s="907">
        <f>Q884</f>
        <v>12</v>
      </c>
    </row>
    <row r="885" spans="1:24" s="487" customFormat="1" ht="18" customHeight="1">
      <c r="A885" s="478"/>
      <c r="B885" s="336" t="s">
        <v>436</v>
      </c>
      <c r="C885" s="924">
        <f>C884</f>
        <v>6</v>
      </c>
      <c r="D885" s="480" t="s">
        <v>87</v>
      </c>
      <c r="E885" s="481">
        <f>E886</f>
        <v>11</v>
      </c>
      <c r="F885" s="482">
        <v>2</v>
      </c>
      <c r="G885" s="483">
        <v>10</v>
      </c>
      <c r="H885" s="482"/>
      <c r="I885" s="483"/>
      <c r="J885" s="484"/>
      <c r="K885" s="483"/>
      <c r="L885" s="914"/>
      <c r="M885" s="478"/>
      <c r="N885" s="485">
        <f>C885*E885*(F885+G885/12)</f>
        <v>187</v>
      </c>
      <c r="O885" s="486"/>
      <c r="P885" s="915">
        <f>P884</f>
        <v>1</v>
      </c>
      <c r="Q885" s="915"/>
      <c r="R885" s="917"/>
      <c r="S885" s="916"/>
      <c r="T885" s="75"/>
      <c r="U885" s="75"/>
      <c r="V885" s="906"/>
      <c r="W885" s="912"/>
      <c r="X885" s="907"/>
    </row>
    <row r="886" spans="1:24" s="487" customFormat="1" ht="18" customHeight="1">
      <c r="A886" s="478"/>
      <c r="B886" s="336" t="s">
        <v>435</v>
      </c>
      <c r="C886" s="924">
        <v>25</v>
      </c>
      <c r="D886" s="480" t="s">
        <v>87</v>
      </c>
      <c r="E886" s="481">
        <f>E883</f>
        <v>11</v>
      </c>
      <c r="F886" s="482">
        <f>F867</f>
        <v>3</v>
      </c>
      <c r="G886" s="483">
        <f>G867</f>
        <v>5</v>
      </c>
      <c r="H886" s="484"/>
      <c r="I886" s="483"/>
      <c r="J886" s="484"/>
      <c r="K886" s="483"/>
      <c r="L886" s="914">
        <f>C886*E886*(F886+G886/12)</f>
        <v>939.58333333333326</v>
      </c>
      <c r="M886" s="485"/>
      <c r="N886" s="485"/>
      <c r="O886" s="486"/>
      <c r="P886" s="915"/>
      <c r="Q886" s="916"/>
      <c r="R886" s="917">
        <f>R884</f>
        <v>11</v>
      </c>
      <c r="S886" s="916"/>
      <c r="T886" s="75" t="s">
        <v>676</v>
      </c>
      <c r="U886" s="75">
        <v>10</v>
      </c>
      <c r="V886" s="906">
        <f>4/(12)</f>
        <v>0.33333333333333331</v>
      </c>
      <c r="W886" s="912">
        <f>(ROUND((1.5+1.5+5)/V886+1,0))</f>
        <v>25</v>
      </c>
      <c r="X886" s="907">
        <f>2*(P884+P885)-8*S884+2*8*(U886/1000)*3.281</f>
        <v>3.5249600000000001</v>
      </c>
    </row>
    <row r="887" spans="1:24" s="487" customFormat="1" ht="18" customHeight="1">
      <c r="A887" s="478"/>
      <c r="B887" s="336" t="s">
        <v>439</v>
      </c>
      <c r="C887" s="924">
        <v>9</v>
      </c>
      <c r="D887" s="480" t="s">
        <v>87</v>
      </c>
      <c r="E887" s="481">
        <f>E884</f>
        <v>11</v>
      </c>
      <c r="F887" s="482">
        <f>F886</f>
        <v>3</v>
      </c>
      <c r="G887" s="483">
        <f>G886</f>
        <v>5</v>
      </c>
      <c r="H887" s="484"/>
      <c r="I887" s="483"/>
      <c r="J887" s="484"/>
      <c r="K887" s="483"/>
      <c r="L887" s="914">
        <f>C887*E887*(F887+G887/12)</f>
        <v>338.25</v>
      </c>
      <c r="M887" s="485"/>
      <c r="N887" s="485"/>
      <c r="O887" s="486"/>
      <c r="P887" s="915"/>
      <c r="Q887" s="916"/>
      <c r="R887" s="917">
        <f>R886</f>
        <v>11</v>
      </c>
      <c r="S887" s="916"/>
      <c r="T887" s="75" t="s">
        <v>676</v>
      </c>
      <c r="U887" s="75">
        <v>10</v>
      </c>
      <c r="V887" s="906">
        <f>6/(12)</f>
        <v>0.5</v>
      </c>
      <c r="W887" s="912">
        <f>(ROUND((Q884-1.5*2-5)/V887+1,0))</f>
        <v>9</v>
      </c>
      <c r="X887" s="907">
        <f>1*(P884)-2*S884+2*8*(U887/1000)*3.281</f>
        <v>1.2749600000000001</v>
      </c>
    </row>
    <row r="888" spans="1:24" s="487" customFormat="1" ht="18" customHeight="1">
      <c r="A888" s="478"/>
      <c r="B888" s="336" t="s">
        <v>693</v>
      </c>
      <c r="C888" s="924">
        <f>W888</f>
        <v>18</v>
      </c>
      <c r="D888" s="480" t="s">
        <v>87</v>
      </c>
      <c r="E888" s="481">
        <f>E883</f>
        <v>11</v>
      </c>
      <c r="F888" s="482">
        <v>3</v>
      </c>
      <c r="G888" s="483">
        <v>0</v>
      </c>
      <c r="H888" s="484"/>
      <c r="I888" s="483"/>
      <c r="J888" s="1163">
        <f>C888*E888*(F888+G888/12)</f>
        <v>594</v>
      </c>
      <c r="K888" s="1164"/>
      <c r="L888" s="914"/>
      <c r="M888" s="485"/>
      <c r="N888" s="485"/>
      <c r="O888" s="882"/>
      <c r="P888" s="915"/>
      <c r="Q888" s="916"/>
      <c r="R888" s="917">
        <f>R887</f>
        <v>11</v>
      </c>
      <c r="S888" s="916"/>
      <c r="T888" s="75" t="s">
        <v>677</v>
      </c>
      <c r="U888" s="75">
        <v>6.5</v>
      </c>
      <c r="V888" s="906">
        <f>2</f>
        <v>2</v>
      </c>
      <c r="W888" s="952">
        <f>3*ROUND(Q884/V888,0)</f>
        <v>18</v>
      </c>
      <c r="X888" s="907">
        <f>3</f>
        <v>3</v>
      </c>
    </row>
    <row r="889" spans="1:24" s="487" customFormat="1" ht="18" customHeight="1">
      <c r="A889" s="478"/>
      <c r="B889" s="834" t="s">
        <v>292</v>
      </c>
      <c r="C889" s="479">
        <f>C883</f>
        <v>1</v>
      </c>
      <c r="D889" s="883" t="s">
        <v>87</v>
      </c>
      <c r="E889" s="481">
        <f>E99</f>
        <v>1</v>
      </c>
      <c r="F889" s="482">
        <f>F99</f>
        <v>1</v>
      </c>
      <c r="G889" s="483">
        <f>G99</f>
        <v>2</v>
      </c>
      <c r="H889" s="482">
        <f>H883</f>
        <v>12</v>
      </c>
      <c r="I889" s="483">
        <f>I883</f>
        <v>0</v>
      </c>
      <c r="J889" s="484"/>
      <c r="K889" s="483"/>
      <c r="L889" s="914"/>
      <c r="M889" s="485"/>
      <c r="N889" s="485"/>
      <c r="O889" s="486"/>
      <c r="P889" s="915"/>
      <c r="Q889" s="916"/>
      <c r="R889" s="917"/>
      <c r="S889" s="916"/>
      <c r="T889" s="75"/>
      <c r="U889" s="75"/>
      <c r="V889" s="906"/>
      <c r="W889" s="912"/>
      <c r="X889" s="907"/>
    </row>
    <row r="890" spans="1:24" s="487" customFormat="1" ht="18" customHeight="1">
      <c r="A890" s="478"/>
      <c r="B890" s="336" t="s">
        <v>438</v>
      </c>
      <c r="C890" s="924">
        <v>8</v>
      </c>
      <c r="D890" s="480" t="s">
        <v>87</v>
      </c>
      <c r="E890" s="481">
        <f>E889</f>
        <v>1</v>
      </c>
      <c r="F890" s="482">
        <f t="shared" ref="F890:G890" si="294">F884</f>
        <v>12</v>
      </c>
      <c r="G890" s="483">
        <f t="shared" si="294"/>
        <v>0</v>
      </c>
      <c r="H890" s="484"/>
      <c r="I890" s="483"/>
      <c r="J890" s="484"/>
      <c r="K890" s="483"/>
      <c r="L890" s="914"/>
      <c r="M890" s="485"/>
      <c r="N890" s="485">
        <f>C890*E890*(F890+G890/12)</f>
        <v>96</v>
      </c>
      <c r="O890" s="486"/>
      <c r="P890" s="915">
        <f>F889+G889/12</f>
        <v>1.1666666666666667</v>
      </c>
      <c r="Q890" s="915">
        <f>H889+I889/12</f>
        <v>12</v>
      </c>
      <c r="R890" s="915">
        <f>E889*C889</f>
        <v>1</v>
      </c>
      <c r="S890" s="916">
        <f>1.5/12</f>
        <v>0.125</v>
      </c>
      <c r="T890" s="75" t="s">
        <v>675</v>
      </c>
      <c r="U890" s="75">
        <v>16</v>
      </c>
      <c r="V890" s="906"/>
      <c r="W890" s="912">
        <f>C890</f>
        <v>8</v>
      </c>
      <c r="X890" s="907">
        <f>Q890</f>
        <v>12</v>
      </c>
    </row>
    <row r="891" spans="1:24" s="487" customFormat="1" ht="18" customHeight="1">
      <c r="A891" s="478"/>
      <c r="B891" s="336" t="s">
        <v>436</v>
      </c>
      <c r="C891" s="924">
        <f>C890</f>
        <v>8</v>
      </c>
      <c r="D891" s="480"/>
      <c r="E891" s="481">
        <f>E890</f>
        <v>1</v>
      </c>
      <c r="F891" s="482">
        <f t="shared" ref="F891:G891" si="295">F885</f>
        <v>2</v>
      </c>
      <c r="G891" s="483">
        <f t="shared" si="295"/>
        <v>10</v>
      </c>
      <c r="H891" s="484"/>
      <c r="I891" s="483"/>
      <c r="J891" s="484"/>
      <c r="K891" s="483"/>
      <c r="L891" s="914"/>
      <c r="M891" s="485"/>
      <c r="N891" s="485">
        <f>C891*E891*(F891+G891/12)</f>
        <v>22.666666666666668</v>
      </c>
      <c r="O891" s="486"/>
      <c r="P891" s="915">
        <f>P890</f>
        <v>1.1666666666666667</v>
      </c>
      <c r="Q891" s="915"/>
      <c r="R891" s="917"/>
      <c r="S891" s="916"/>
      <c r="T891" s="75"/>
      <c r="U891" s="75"/>
      <c r="V891" s="906"/>
      <c r="W891" s="912"/>
      <c r="X891" s="907"/>
    </row>
    <row r="892" spans="1:24" s="487" customFormat="1" ht="18" customHeight="1">
      <c r="A892" s="478"/>
      <c r="B892" s="336" t="s">
        <v>435</v>
      </c>
      <c r="C892" s="924">
        <f>C886</f>
        <v>25</v>
      </c>
      <c r="D892" s="480" t="s">
        <v>87</v>
      </c>
      <c r="E892" s="481">
        <f>E890</f>
        <v>1</v>
      </c>
      <c r="F892" s="482">
        <f>F877</f>
        <v>4</v>
      </c>
      <c r="G892" s="483">
        <f>G877</f>
        <v>4</v>
      </c>
      <c r="H892" s="484"/>
      <c r="I892" s="483"/>
      <c r="J892" s="484"/>
      <c r="K892" s="483"/>
      <c r="L892" s="914">
        <f t="shared" ref="L892:L897" si="296">C892*E892*(F892+G892/12)</f>
        <v>108.33333333333333</v>
      </c>
      <c r="M892" s="485"/>
      <c r="N892" s="485"/>
      <c r="O892" s="486"/>
      <c r="P892" s="915"/>
      <c r="Q892" s="916"/>
      <c r="R892" s="917">
        <f>R890</f>
        <v>1</v>
      </c>
      <c r="S892" s="916"/>
      <c r="T892" s="75" t="s">
        <v>676</v>
      </c>
      <c r="U892" s="75">
        <v>10</v>
      </c>
      <c r="V892" s="906">
        <f>4/(12)</f>
        <v>0.33333333333333331</v>
      </c>
      <c r="W892" s="912">
        <f>(ROUND((1.5+1.5+5)/V892+1,0))</f>
        <v>25</v>
      </c>
      <c r="X892" s="907">
        <f>2*(P890+P891)-8*S890+2*8*(U892/1000)*3.281</f>
        <v>4.1916266666666671</v>
      </c>
    </row>
    <row r="893" spans="1:24" s="487" customFormat="1" ht="18" customHeight="1">
      <c r="A893" s="478"/>
      <c r="B893" s="336" t="s">
        <v>440</v>
      </c>
      <c r="C893" s="924">
        <f>C892</f>
        <v>25</v>
      </c>
      <c r="D893" s="480" t="s">
        <v>87</v>
      </c>
      <c r="E893" s="481">
        <f>E892</f>
        <v>1</v>
      </c>
      <c r="F893" s="482">
        <v>1</v>
      </c>
      <c r="G893" s="483">
        <v>6</v>
      </c>
      <c r="H893" s="484"/>
      <c r="I893" s="483"/>
      <c r="J893" s="484"/>
      <c r="K893" s="483"/>
      <c r="L893" s="914">
        <f t="shared" si="296"/>
        <v>37.5</v>
      </c>
      <c r="M893" s="485"/>
      <c r="N893" s="485"/>
      <c r="O893" s="486"/>
      <c r="P893" s="915"/>
      <c r="Q893" s="916"/>
      <c r="R893" s="917">
        <f>R892</f>
        <v>1</v>
      </c>
      <c r="S893" s="916"/>
      <c r="T893" s="75" t="s">
        <v>676</v>
      </c>
      <c r="U893" s="75">
        <v>10</v>
      </c>
      <c r="V893" s="906">
        <f>6/(12)</f>
        <v>0.5</v>
      </c>
      <c r="W893" s="912">
        <f>(ROUND((Q890-1.5*2-5)/V893+1,0))</f>
        <v>9</v>
      </c>
      <c r="X893" s="907">
        <f>1*(P890)-2*S890+2*8*(U893/1000)*3.281</f>
        <v>1.4416266666666666</v>
      </c>
    </row>
    <row r="894" spans="1:24" s="487" customFormat="1" ht="18" customHeight="1">
      <c r="A894" s="478"/>
      <c r="B894" s="336" t="s">
        <v>440</v>
      </c>
      <c r="C894" s="924">
        <f>C893</f>
        <v>25</v>
      </c>
      <c r="D894" s="480" t="s">
        <v>87</v>
      </c>
      <c r="E894" s="481">
        <f>E893</f>
        <v>1</v>
      </c>
      <c r="F894" s="482">
        <v>1</v>
      </c>
      <c r="G894" s="483">
        <v>6</v>
      </c>
      <c r="H894" s="484"/>
      <c r="I894" s="483"/>
      <c r="J894" s="484"/>
      <c r="K894" s="483"/>
      <c r="L894" s="914">
        <f t="shared" si="296"/>
        <v>37.5</v>
      </c>
      <c r="M894" s="485"/>
      <c r="N894" s="485"/>
      <c r="O894" s="486"/>
      <c r="P894" s="915"/>
      <c r="Q894" s="916"/>
      <c r="R894" s="917"/>
      <c r="S894" s="916"/>
      <c r="T894" s="75"/>
      <c r="U894" s="75"/>
      <c r="V894" s="906"/>
      <c r="W894" s="912"/>
      <c r="X894" s="907"/>
    </row>
    <row r="895" spans="1:24" s="487" customFormat="1" ht="18" customHeight="1">
      <c r="A895" s="478"/>
      <c r="B895" s="336" t="s">
        <v>439</v>
      </c>
      <c r="C895" s="924">
        <f>C887</f>
        <v>9</v>
      </c>
      <c r="D895" s="480" t="s">
        <v>87</v>
      </c>
      <c r="E895" s="481">
        <f>E892</f>
        <v>1</v>
      </c>
      <c r="F895" s="482">
        <f>F892</f>
        <v>4</v>
      </c>
      <c r="G895" s="483">
        <f>G892</f>
        <v>4</v>
      </c>
      <c r="H895" s="484"/>
      <c r="I895" s="483"/>
      <c r="J895" s="484"/>
      <c r="K895" s="483"/>
      <c r="L895" s="914">
        <f t="shared" si="296"/>
        <v>39</v>
      </c>
      <c r="M895" s="485"/>
      <c r="N895" s="485"/>
      <c r="O895" s="486"/>
      <c r="P895" s="915"/>
      <c r="Q895" s="916"/>
      <c r="R895" s="917"/>
      <c r="S895" s="916"/>
      <c r="T895" s="75"/>
      <c r="U895" s="75"/>
      <c r="V895" s="906"/>
      <c r="W895" s="912"/>
      <c r="X895" s="907"/>
    </row>
    <row r="896" spans="1:24" s="487" customFormat="1" ht="18" customHeight="1">
      <c r="A896" s="478"/>
      <c r="B896" s="336" t="s">
        <v>441</v>
      </c>
      <c r="C896" s="924">
        <f>C895</f>
        <v>9</v>
      </c>
      <c r="D896" s="480" t="s">
        <v>87</v>
      </c>
      <c r="E896" s="481">
        <f>E895</f>
        <v>1</v>
      </c>
      <c r="F896" s="482">
        <f>F893</f>
        <v>1</v>
      </c>
      <c r="G896" s="483">
        <f>G893</f>
        <v>6</v>
      </c>
      <c r="H896" s="484"/>
      <c r="I896" s="483"/>
      <c r="J896" s="484"/>
      <c r="K896" s="483"/>
      <c r="L896" s="914">
        <f t="shared" si="296"/>
        <v>13.5</v>
      </c>
      <c r="M896" s="485"/>
      <c r="N896" s="485"/>
      <c r="O896" s="486"/>
      <c r="P896" s="915"/>
      <c r="Q896" s="916"/>
      <c r="R896" s="917"/>
      <c r="S896" s="916"/>
      <c r="T896" s="75"/>
      <c r="U896" s="75"/>
      <c r="V896" s="906"/>
      <c r="W896" s="907"/>
      <c r="X896" s="907"/>
    </row>
    <row r="897" spans="1:24" s="487" customFormat="1" ht="18" customHeight="1">
      <c r="A897" s="478"/>
      <c r="B897" s="336" t="s">
        <v>441</v>
      </c>
      <c r="C897" s="924">
        <f>C896</f>
        <v>9</v>
      </c>
      <c r="D897" s="480" t="s">
        <v>87</v>
      </c>
      <c r="E897" s="481">
        <f>E896</f>
        <v>1</v>
      </c>
      <c r="F897" s="482">
        <f>F894</f>
        <v>1</v>
      </c>
      <c r="G897" s="483">
        <f>G894</f>
        <v>6</v>
      </c>
      <c r="H897" s="484"/>
      <c r="I897" s="483"/>
      <c r="J897" s="484"/>
      <c r="K897" s="483"/>
      <c r="L897" s="914">
        <f t="shared" si="296"/>
        <v>13.5</v>
      </c>
      <c r="M897" s="485"/>
      <c r="N897" s="485"/>
      <c r="O897" s="486"/>
      <c r="P897" s="915"/>
      <c r="Q897" s="916"/>
      <c r="R897" s="917"/>
      <c r="S897" s="916"/>
      <c r="T897" s="75"/>
      <c r="U897" s="75"/>
      <c r="V897" s="906"/>
      <c r="W897" s="907"/>
      <c r="X897" s="907"/>
    </row>
    <row r="898" spans="1:24" s="487" customFormat="1" ht="18" customHeight="1">
      <c r="A898" s="478"/>
      <c r="B898" s="336" t="s">
        <v>693</v>
      </c>
      <c r="C898" s="924">
        <f>W898</f>
        <v>18</v>
      </c>
      <c r="D898" s="480" t="s">
        <v>87</v>
      </c>
      <c r="E898" s="481">
        <f>E891</f>
        <v>1</v>
      </c>
      <c r="F898" s="482">
        <v>3</v>
      </c>
      <c r="G898" s="483">
        <v>0</v>
      </c>
      <c r="H898" s="484"/>
      <c r="I898" s="483"/>
      <c r="J898" s="1163">
        <f>C898*E898*(F898+G898/12)</f>
        <v>54</v>
      </c>
      <c r="K898" s="1164"/>
      <c r="L898" s="914"/>
      <c r="M898" s="485"/>
      <c r="N898" s="485"/>
      <c r="O898" s="882"/>
      <c r="P898" s="915"/>
      <c r="Q898" s="916"/>
      <c r="R898" s="917">
        <f>R893</f>
        <v>1</v>
      </c>
      <c r="S898" s="916"/>
      <c r="T898" s="75" t="s">
        <v>677</v>
      </c>
      <c r="U898" s="75">
        <v>6.5</v>
      </c>
      <c r="V898" s="906">
        <f>2</f>
        <v>2</v>
      </c>
      <c r="W898" s="952">
        <f>3*ROUND(Q890/V898,0)</f>
        <v>18</v>
      </c>
      <c r="X898" s="907">
        <f>3</f>
        <v>3</v>
      </c>
    </row>
    <row r="899" spans="1:24" s="487" customFormat="1" ht="18" customHeight="1">
      <c r="A899" s="478"/>
      <c r="B899" s="723" t="s">
        <v>697</v>
      </c>
      <c r="C899" s="924"/>
      <c r="D899" s="480"/>
      <c r="E899" s="481"/>
      <c r="F899" s="482"/>
      <c r="G899" s="483"/>
      <c r="H899" s="484"/>
      <c r="I899" s="483"/>
      <c r="J899" s="484"/>
      <c r="K899" s="483"/>
      <c r="L899" s="914"/>
      <c r="M899" s="485"/>
      <c r="N899" s="485"/>
      <c r="O899" s="486"/>
      <c r="P899" s="915"/>
      <c r="Q899" s="916"/>
      <c r="R899" s="917"/>
      <c r="S899" s="916"/>
      <c r="T899" s="75"/>
      <c r="U899" s="75"/>
      <c r="V899" s="906"/>
      <c r="W899" s="912"/>
      <c r="X899" s="907"/>
    </row>
    <row r="900" spans="1:24" s="487" customFormat="1" ht="18" customHeight="1">
      <c r="A900" s="478"/>
      <c r="B900" s="336" t="s">
        <v>446</v>
      </c>
      <c r="C900" s="479"/>
      <c r="D900" s="480"/>
      <c r="E900" s="481"/>
      <c r="F900" s="1165" t="s">
        <v>224</v>
      </c>
      <c r="G900" s="1166"/>
      <c r="H900" s="1163" t="s">
        <v>225</v>
      </c>
      <c r="I900" s="1164"/>
      <c r="J900" s="484"/>
      <c r="K900" s="483"/>
      <c r="L900" s="914"/>
      <c r="M900" s="485"/>
      <c r="N900" s="485"/>
      <c r="O900" s="486"/>
      <c r="P900" s="915"/>
      <c r="Q900" s="916"/>
      <c r="R900" s="917"/>
      <c r="S900" s="916"/>
      <c r="T900" s="75"/>
      <c r="U900" s="75"/>
      <c r="V900" s="906"/>
      <c r="W900" s="912"/>
      <c r="X900" s="907"/>
    </row>
    <row r="901" spans="1:24" s="487" customFormat="1" ht="18" customHeight="1">
      <c r="A901" s="478"/>
      <c r="B901" s="834" t="s">
        <v>447</v>
      </c>
      <c r="C901" s="479">
        <v>1</v>
      </c>
      <c r="D901" s="883" t="s">
        <v>87</v>
      </c>
      <c r="E901" s="481">
        <f>9</f>
        <v>9</v>
      </c>
      <c r="F901" s="482">
        <v>1</v>
      </c>
      <c r="G901" s="483">
        <v>0</v>
      </c>
      <c r="H901" s="482">
        <v>11</v>
      </c>
      <c r="I901" s="483">
        <v>0</v>
      </c>
      <c r="J901" s="484"/>
      <c r="K901" s="483"/>
      <c r="L901" s="914"/>
      <c r="M901" s="485"/>
      <c r="N901" s="485"/>
      <c r="O901" s="486"/>
      <c r="P901" s="908"/>
      <c r="Q901" s="908"/>
      <c r="R901" s="909"/>
      <c r="S901" s="908"/>
      <c r="T901" s="910"/>
      <c r="U901" s="910"/>
      <c r="V901" s="910"/>
      <c r="W901" s="910"/>
      <c r="X901" s="910"/>
    </row>
    <row r="902" spans="1:24" s="487" customFormat="1" ht="18" customHeight="1">
      <c r="A902" s="478"/>
      <c r="B902" s="336" t="s">
        <v>438</v>
      </c>
      <c r="C902" s="951">
        <v>8</v>
      </c>
      <c r="D902" s="480" t="s">
        <v>87</v>
      </c>
      <c r="E902" s="481">
        <f>E901</f>
        <v>9</v>
      </c>
      <c r="F902" s="482">
        <v>11</v>
      </c>
      <c r="G902" s="483">
        <v>4</v>
      </c>
      <c r="H902" s="484"/>
      <c r="I902" s="483"/>
      <c r="J902" s="484"/>
      <c r="K902" s="483"/>
      <c r="L902" s="914"/>
      <c r="M902" s="485"/>
      <c r="N902" s="485">
        <f>C902*E902*(F902+G902/12)</f>
        <v>816</v>
      </c>
      <c r="O902" s="486"/>
      <c r="P902" s="915">
        <f>F901+G901/12</f>
        <v>1</v>
      </c>
      <c r="Q902" s="915">
        <f>H901+I901/12</f>
        <v>11</v>
      </c>
      <c r="R902" s="915">
        <f>E901*C901</f>
        <v>9</v>
      </c>
      <c r="S902" s="916">
        <f>1.5/12</f>
        <v>0.125</v>
      </c>
      <c r="T902" s="75" t="s">
        <v>675</v>
      </c>
      <c r="U902" s="75">
        <v>16</v>
      </c>
      <c r="V902" s="906"/>
      <c r="W902" s="912">
        <f>C902</f>
        <v>8</v>
      </c>
      <c r="X902" s="907">
        <f>Q902</f>
        <v>11</v>
      </c>
    </row>
    <row r="903" spans="1:24" s="487" customFormat="1" ht="18" customHeight="1">
      <c r="A903" s="478"/>
      <c r="B903" s="336" t="s">
        <v>436</v>
      </c>
      <c r="C903" s="924">
        <f>C902</f>
        <v>8</v>
      </c>
      <c r="D903" s="480" t="s">
        <v>87</v>
      </c>
      <c r="E903" s="481">
        <f>E904</f>
        <v>9</v>
      </c>
      <c r="F903" s="482">
        <v>2</v>
      </c>
      <c r="G903" s="483">
        <v>10</v>
      </c>
      <c r="H903" s="482"/>
      <c r="I903" s="483"/>
      <c r="J903" s="484"/>
      <c r="K903" s="483"/>
      <c r="L903" s="914"/>
      <c r="M903" s="478"/>
      <c r="N903" s="485">
        <f>C903*E903*(F903+G903/12)</f>
        <v>204</v>
      </c>
      <c r="O903" s="486"/>
      <c r="P903" s="915">
        <f>P902</f>
        <v>1</v>
      </c>
      <c r="Q903" s="915"/>
      <c r="R903" s="917"/>
      <c r="S903" s="916"/>
      <c r="T903" s="75"/>
      <c r="U903" s="75"/>
      <c r="V903" s="906"/>
      <c r="W903" s="912"/>
      <c r="X903" s="907"/>
    </row>
    <row r="904" spans="1:24" s="487" customFormat="1" ht="18" customHeight="1">
      <c r="A904" s="478"/>
      <c r="B904" s="336" t="s">
        <v>435</v>
      </c>
      <c r="C904" s="924">
        <v>25</v>
      </c>
      <c r="D904" s="480" t="s">
        <v>87</v>
      </c>
      <c r="E904" s="481">
        <f>E901</f>
        <v>9</v>
      </c>
      <c r="F904" s="482">
        <f>F886</f>
        <v>3</v>
      </c>
      <c r="G904" s="483">
        <f>G886</f>
        <v>5</v>
      </c>
      <c r="H904" s="484"/>
      <c r="I904" s="483"/>
      <c r="J904" s="484"/>
      <c r="K904" s="483"/>
      <c r="L904" s="914">
        <f>C904*E904*(F904+G904/12)</f>
        <v>768.75</v>
      </c>
      <c r="M904" s="485"/>
      <c r="N904" s="485"/>
      <c r="O904" s="486"/>
      <c r="P904" s="915"/>
      <c r="Q904" s="916"/>
      <c r="R904" s="917">
        <f>R902</f>
        <v>9</v>
      </c>
      <c r="S904" s="916"/>
      <c r="T904" s="75" t="s">
        <v>676</v>
      </c>
      <c r="U904" s="75">
        <v>10</v>
      </c>
      <c r="V904" s="906">
        <f>4/(12)</f>
        <v>0.33333333333333331</v>
      </c>
      <c r="W904" s="912">
        <f>(ROUND((1.5+1.5+5)/V904+1,0))</f>
        <v>25</v>
      </c>
      <c r="X904" s="907">
        <f>2*(P902+P903)-8*S902+2*8*(U904/1000)*3.281</f>
        <v>3.5249600000000001</v>
      </c>
    </row>
    <row r="905" spans="1:24" s="487" customFormat="1" ht="18" customHeight="1">
      <c r="A905" s="478"/>
      <c r="B905" s="336" t="s">
        <v>439</v>
      </c>
      <c r="C905" s="924">
        <v>7</v>
      </c>
      <c r="D905" s="480" t="s">
        <v>87</v>
      </c>
      <c r="E905" s="481">
        <f>E902</f>
        <v>9</v>
      </c>
      <c r="F905" s="482">
        <f>F904</f>
        <v>3</v>
      </c>
      <c r="G905" s="483">
        <f>G904</f>
        <v>5</v>
      </c>
      <c r="H905" s="484"/>
      <c r="I905" s="483"/>
      <c r="J905" s="484"/>
      <c r="K905" s="483"/>
      <c r="L905" s="914">
        <f>C905*E905*(F905+G905/12)</f>
        <v>215.25</v>
      </c>
      <c r="M905" s="485"/>
      <c r="N905" s="485"/>
      <c r="O905" s="486"/>
      <c r="P905" s="915"/>
      <c r="Q905" s="916"/>
      <c r="R905" s="917">
        <f>R904</f>
        <v>9</v>
      </c>
      <c r="S905" s="916"/>
      <c r="T905" s="75" t="s">
        <v>676</v>
      </c>
      <c r="U905" s="75">
        <v>10</v>
      </c>
      <c r="V905" s="906">
        <f>6/(12)</f>
        <v>0.5</v>
      </c>
      <c r="W905" s="912">
        <f>(ROUND((Q902-1.5*2-5)/V905+1,0))</f>
        <v>7</v>
      </c>
      <c r="X905" s="907">
        <f>1*(P902)-2*S902+2*8*(U905/1000)*3.281</f>
        <v>1.2749600000000001</v>
      </c>
    </row>
    <row r="906" spans="1:24" s="487" customFormat="1" ht="18" customHeight="1">
      <c r="A906" s="478"/>
      <c r="B906" s="336" t="s">
        <v>693</v>
      </c>
      <c r="C906" s="924">
        <f>W906</f>
        <v>18</v>
      </c>
      <c r="D906" s="480" t="s">
        <v>87</v>
      </c>
      <c r="E906" s="481">
        <f>E901</f>
        <v>9</v>
      </c>
      <c r="F906" s="482">
        <v>3</v>
      </c>
      <c r="G906" s="483">
        <v>0</v>
      </c>
      <c r="H906" s="484"/>
      <c r="I906" s="483"/>
      <c r="J906" s="1163">
        <f>C906*E906*(F906+G906/12)</f>
        <v>486</v>
      </c>
      <c r="K906" s="1164"/>
      <c r="L906" s="914"/>
      <c r="M906" s="485"/>
      <c r="N906" s="485"/>
      <c r="O906" s="882"/>
      <c r="P906" s="915"/>
      <c r="Q906" s="916"/>
      <c r="R906" s="917">
        <f>R905</f>
        <v>9</v>
      </c>
      <c r="S906" s="916"/>
      <c r="T906" s="75" t="s">
        <v>677</v>
      </c>
      <c r="U906" s="75">
        <v>6.5</v>
      </c>
      <c r="V906" s="906">
        <f>2</f>
        <v>2</v>
      </c>
      <c r="W906" s="952">
        <f>3*ROUND(Q902/V906,0)</f>
        <v>18</v>
      </c>
      <c r="X906" s="907">
        <f>3</f>
        <v>3</v>
      </c>
    </row>
    <row r="907" spans="1:24" s="487" customFormat="1" ht="18" customHeight="1">
      <c r="A907" s="478"/>
      <c r="B907" s="834" t="s">
        <v>448</v>
      </c>
      <c r="C907" s="479">
        <v>1</v>
      </c>
      <c r="D907" s="883" t="s">
        <v>87</v>
      </c>
      <c r="E907" s="481">
        <v>3</v>
      </c>
      <c r="F907" s="482">
        <v>1</v>
      </c>
      <c r="G907" s="483">
        <v>0</v>
      </c>
      <c r="H907" s="482">
        <f>H901</f>
        <v>11</v>
      </c>
      <c r="I907" s="483">
        <f>I901</f>
        <v>0</v>
      </c>
      <c r="J907" s="484"/>
      <c r="K907" s="483"/>
      <c r="L907" s="914"/>
      <c r="M907" s="485"/>
      <c r="N907" s="485"/>
      <c r="O907" s="486"/>
      <c r="P907" s="911"/>
      <c r="Q907" s="911"/>
      <c r="R907" s="909"/>
      <c r="S907" s="911"/>
      <c r="T907" s="75"/>
      <c r="U907" s="75"/>
      <c r="V907" s="906"/>
      <c r="W907" s="912"/>
      <c r="X907" s="75"/>
    </row>
    <row r="908" spans="1:24" s="487" customFormat="1" ht="18" customHeight="1">
      <c r="A908" s="478"/>
      <c r="B908" s="336" t="s">
        <v>434</v>
      </c>
      <c r="C908" s="924">
        <v>6</v>
      </c>
      <c r="D908" s="480" t="s">
        <v>87</v>
      </c>
      <c r="E908" s="481">
        <f>E907</f>
        <v>3</v>
      </c>
      <c r="F908" s="482">
        <f t="shared" ref="F908:G908" si="297">F902</f>
        <v>11</v>
      </c>
      <c r="G908" s="483">
        <f t="shared" si="297"/>
        <v>4</v>
      </c>
      <c r="H908" s="484"/>
      <c r="I908" s="483"/>
      <c r="J908" s="484"/>
      <c r="K908" s="483"/>
      <c r="L908" s="914"/>
      <c r="M908" s="485"/>
      <c r="N908" s="485">
        <f>C908*E908*(F908+G908/12)</f>
        <v>204</v>
      </c>
      <c r="O908" s="486"/>
      <c r="P908" s="915">
        <f>F907+G907/12</f>
        <v>1</v>
      </c>
      <c r="Q908" s="915">
        <f>H907+I907/12</f>
        <v>11</v>
      </c>
      <c r="R908" s="915">
        <f>E907*C907</f>
        <v>3</v>
      </c>
      <c r="S908" s="916">
        <f>1.5/12</f>
        <v>0.125</v>
      </c>
      <c r="T908" s="75" t="s">
        <v>675</v>
      </c>
      <c r="U908" s="75">
        <v>16</v>
      </c>
      <c r="V908" s="906"/>
      <c r="W908" s="912">
        <f>C908</f>
        <v>6</v>
      </c>
      <c r="X908" s="907">
        <f>Q908</f>
        <v>11</v>
      </c>
    </row>
    <row r="909" spans="1:24" s="487" customFormat="1" ht="18" customHeight="1">
      <c r="A909" s="478"/>
      <c r="B909" s="336" t="s">
        <v>436</v>
      </c>
      <c r="C909" s="924">
        <f>C908</f>
        <v>6</v>
      </c>
      <c r="D909" s="480"/>
      <c r="E909" s="481">
        <f>E908</f>
        <v>3</v>
      </c>
      <c r="F909" s="482">
        <f t="shared" ref="F909:G909" si="298">F903</f>
        <v>2</v>
      </c>
      <c r="G909" s="483">
        <f t="shared" si="298"/>
        <v>10</v>
      </c>
      <c r="H909" s="484"/>
      <c r="I909" s="483"/>
      <c r="J909" s="484"/>
      <c r="K909" s="483"/>
      <c r="L909" s="914"/>
      <c r="M909" s="485"/>
      <c r="N909" s="485">
        <f>C909*E909*(F909+G909/12)</f>
        <v>51</v>
      </c>
      <c r="O909" s="486"/>
      <c r="P909" s="915">
        <f>P908</f>
        <v>1</v>
      </c>
      <c r="Q909" s="915"/>
      <c r="R909" s="917"/>
      <c r="S909" s="916"/>
      <c r="T909" s="75"/>
      <c r="U909" s="75"/>
      <c r="V909" s="906"/>
      <c r="W909" s="912"/>
      <c r="X909" s="907"/>
    </row>
    <row r="910" spans="1:24" s="487" customFormat="1" ht="18" customHeight="1">
      <c r="A910" s="478"/>
      <c r="B910" s="336" t="s">
        <v>435</v>
      </c>
      <c r="C910" s="924">
        <f>C904</f>
        <v>25</v>
      </c>
      <c r="D910" s="480" t="s">
        <v>87</v>
      </c>
      <c r="E910" s="481">
        <f>E908</f>
        <v>3</v>
      </c>
      <c r="F910" s="482">
        <f>F904</f>
        <v>3</v>
      </c>
      <c r="G910" s="483">
        <f>G904</f>
        <v>5</v>
      </c>
      <c r="H910" s="484"/>
      <c r="I910" s="483"/>
      <c r="J910" s="484"/>
      <c r="K910" s="483"/>
      <c r="L910" s="914">
        <f>C910*E910*(F910+G910/12)</f>
        <v>256.25</v>
      </c>
      <c r="M910" s="485"/>
      <c r="N910" s="485"/>
      <c r="O910" s="486"/>
      <c r="P910" s="915"/>
      <c r="Q910" s="916"/>
      <c r="R910" s="917">
        <f>R908</f>
        <v>3</v>
      </c>
      <c r="S910" s="916"/>
      <c r="T910" s="75" t="s">
        <v>676</v>
      </c>
      <c r="U910" s="75">
        <v>10</v>
      </c>
      <c r="V910" s="906">
        <f>4/(12)</f>
        <v>0.33333333333333331</v>
      </c>
      <c r="W910" s="912">
        <f>(ROUND((1.5+1.5+5)/V910+1,0))</f>
        <v>25</v>
      </c>
      <c r="X910" s="907">
        <f>2*(P908+P909)-8*S908+2*8*(U910/1000)*3.281</f>
        <v>3.5249600000000001</v>
      </c>
    </row>
    <row r="911" spans="1:24" s="487" customFormat="1" ht="18" customHeight="1">
      <c r="A911" s="478"/>
      <c r="B911" s="336" t="s">
        <v>439</v>
      </c>
      <c r="C911" s="924">
        <f>C905</f>
        <v>7</v>
      </c>
      <c r="D911" s="480" t="s">
        <v>87</v>
      </c>
      <c r="E911" s="481">
        <f>E910</f>
        <v>3</v>
      </c>
      <c r="F911" s="482">
        <f>F910</f>
        <v>3</v>
      </c>
      <c r="G911" s="483">
        <f>G910</f>
        <v>5</v>
      </c>
      <c r="H911" s="484"/>
      <c r="I911" s="483"/>
      <c r="J911" s="484"/>
      <c r="K911" s="483"/>
      <c r="L911" s="914">
        <f>C911*E911*(F911+G911/12)</f>
        <v>71.75</v>
      </c>
      <c r="M911" s="485"/>
      <c r="N911" s="485"/>
      <c r="O911" s="486"/>
      <c r="P911" s="915"/>
      <c r="Q911" s="916"/>
      <c r="R911" s="917">
        <f>R910</f>
        <v>3</v>
      </c>
      <c r="S911" s="916"/>
      <c r="T911" s="75" t="s">
        <v>676</v>
      </c>
      <c r="U911" s="75">
        <v>10</v>
      </c>
      <c r="V911" s="906">
        <f>6/(12)</f>
        <v>0.5</v>
      </c>
      <c r="W911" s="912">
        <f>(ROUND((Q908-1.5*2-5)/V911+1,0))</f>
        <v>7</v>
      </c>
      <c r="X911" s="907">
        <f>1*(P908)-2*S908+2*8*(U911/1000)*3.281</f>
        <v>1.2749600000000001</v>
      </c>
    </row>
    <row r="912" spans="1:24" s="487" customFormat="1" ht="18" customHeight="1">
      <c r="A912" s="478"/>
      <c r="B912" s="336" t="s">
        <v>693</v>
      </c>
      <c r="C912" s="924">
        <f>W912</f>
        <v>18</v>
      </c>
      <c r="D912" s="480" t="s">
        <v>87</v>
      </c>
      <c r="E912" s="481">
        <f>E907</f>
        <v>3</v>
      </c>
      <c r="F912" s="482">
        <v>3</v>
      </c>
      <c r="G912" s="483">
        <v>0</v>
      </c>
      <c r="H912" s="484"/>
      <c r="I912" s="483"/>
      <c r="J912" s="1163">
        <f>C912*E912*(F912+G912/12)</f>
        <v>162</v>
      </c>
      <c r="K912" s="1164"/>
      <c r="L912" s="914"/>
      <c r="M912" s="485"/>
      <c r="N912" s="485"/>
      <c r="O912" s="882"/>
      <c r="P912" s="915"/>
      <c r="Q912" s="916"/>
      <c r="R912" s="917">
        <f>R911</f>
        <v>3</v>
      </c>
      <c r="S912" s="916"/>
      <c r="T912" s="75" t="s">
        <v>677</v>
      </c>
      <c r="U912" s="75">
        <v>6.5</v>
      </c>
      <c r="V912" s="906">
        <f>2</f>
        <v>2</v>
      </c>
      <c r="W912" s="952">
        <f>3*ROUND(Q908/V912,0)</f>
        <v>18</v>
      </c>
      <c r="X912" s="907">
        <f>3</f>
        <v>3</v>
      </c>
    </row>
    <row r="913" spans="1:24" ht="18" customHeight="1">
      <c r="A913" s="474"/>
      <c r="B913" s="494"/>
      <c r="C913" s="663"/>
      <c r="D913" s="489"/>
      <c r="E913" s="495"/>
      <c r="F913" s="491"/>
      <c r="G913" s="496"/>
      <c r="H913" s="497"/>
      <c r="I913" s="496"/>
      <c r="J913" s="497"/>
      <c r="K913" s="496"/>
      <c r="L913" s="653"/>
      <c r="M913" s="475"/>
      <c r="N913" s="475"/>
      <c r="O913" s="476"/>
      <c r="P913" s="901"/>
      <c r="Q913" s="903"/>
      <c r="R913" s="902"/>
      <c r="S913" s="903"/>
      <c r="T913" s="898"/>
      <c r="U913" s="898"/>
      <c r="V913" s="899"/>
      <c r="W913" s="904"/>
      <c r="X913" s="900"/>
    </row>
    <row r="914" spans="1:24" ht="18" customHeight="1" thickBot="1">
      <c r="A914" s="474"/>
      <c r="B914" s="494"/>
      <c r="C914" s="663"/>
      <c r="D914" s="489"/>
      <c r="E914" s="495"/>
      <c r="F914" s="491"/>
      <c r="G914" s="496"/>
      <c r="H914" s="497"/>
      <c r="I914" s="496"/>
      <c r="J914" s="654"/>
      <c r="K914" s="655"/>
      <c r="L914" s="656"/>
      <c r="M914" s="498"/>
      <c r="N914" s="547"/>
      <c r="O914" s="476"/>
      <c r="P914" s="901"/>
      <c r="Q914" s="903"/>
      <c r="R914" s="902"/>
      <c r="S914" s="903"/>
      <c r="T914" s="898"/>
      <c r="U914" s="898"/>
      <c r="V914" s="899"/>
      <c r="W914" s="904"/>
      <c r="X914" s="900"/>
    </row>
    <row r="915" spans="1:24" s="487" customFormat="1" ht="18" customHeight="1">
      <c r="A915" s="478"/>
      <c r="B915" s="930" t="s">
        <v>107</v>
      </c>
      <c r="C915" s="1206">
        <v>6.5</v>
      </c>
      <c r="D915" s="1207"/>
      <c r="E915" s="1208"/>
      <c r="F915" s="1165">
        <v>10</v>
      </c>
      <c r="G915" s="1166"/>
      <c r="H915" s="1165">
        <v>16</v>
      </c>
      <c r="I915" s="1166"/>
      <c r="J915" s="1169">
        <f>SUM(J836:J913)</f>
        <v>2592</v>
      </c>
      <c r="K915" s="1170"/>
      <c r="L915" s="499">
        <f>SUM(L836:L913)</f>
        <v>6370.833333333333</v>
      </c>
      <c r="M915" s="931">
        <f>SUM(M836:M913)</f>
        <v>0</v>
      </c>
      <c r="N915" s="499">
        <f>SUM(N836:N913)</f>
        <v>5326.333333333333</v>
      </c>
      <c r="O915" s="486"/>
      <c r="P915" s="915"/>
      <c r="Q915" s="916"/>
      <c r="R915" s="917"/>
      <c r="S915" s="916"/>
      <c r="T915" s="75"/>
      <c r="U915" s="75"/>
      <c r="V915" s="906"/>
      <c r="W915" s="912"/>
      <c r="X915" s="907"/>
    </row>
    <row r="916" spans="1:24" s="487" customFormat="1" ht="18" customHeight="1">
      <c r="A916" s="478"/>
      <c r="B916" s="930" t="s">
        <v>30</v>
      </c>
      <c r="C916" s="1167">
        <f>ROUNDUP(7.85*3.142*C915*C915/4000,2)</f>
        <v>0.27</v>
      </c>
      <c r="D916" s="1205"/>
      <c r="E916" s="1168"/>
      <c r="F916" s="1167">
        <f>ROUNDUP(7.85*3.142*F915*F915/4000,2)</f>
        <v>0.62</v>
      </c>
      <c r="G916" s="1168"/>
      <c r="H916" s="1167">
        <f>ROUNDUP(7.85*3.142*H915*H915/4000,2)</f>
        <v>1.58</v>
      </c>
      <c r="I916" s="1168"/>
      <c r="J916" s="1163">
        <f>(J915/3.281)*C916/1000</f>
        <v>0.21330082291984151</v>
      </c>
      <c r="K916" s="1164">
        <f t="shared" ref="K916" si="299">(K915/3.281)*E916/1000</f>
        <v>0</v>
      </c>
      <c r="L916" s="932">
        <f>(L915/3.281)*F916/1000</f>
        <v>1.2038758508584781</v>
      </c>
      <c r="M916" s="933">
        <f>M915/12/3.281/88</f>
        <v>0</v>
      </c>
      <c r="N916" s="485">
        <f>(N915/3.281)*H916/1000</f>
        <v>2.5649517423549728</v>
      </c>
      <c r="O916" s="486"/>
      <c r="P916" s="908"/>
      <c r="Q916" s="908"/>
      <c r="R916" s="909"/>
      <c r="S916" s="908"/>
      <c r="T916" s="910"/>
      <c r="U916" s="910"/>
      <c r="V916" s="910"/>
      <c r="W916" s="910"/>
      <c r="X916" s="910"/>
    </row>
    <row r="917" spans="1:24" s="487" customFormat="1" ht="18" customHeight="1">
      <c r="A917" s="478"/>
      <c r="B917" s="930" t="s">
        <v>108</v>
      </c>
      <c r="C917" s="479"/>
      <c r="D917" s="480"/>
      <c r="E917" s="481"/>
      <c r="F917" s="482"/>
      <c r="G917" s="483"/>
      <c r="H917" s="484"/>
      <c r="I917" s="483"/>
      <c r="J917" s="1163"/>
      <c r="K917" s="1164"/>
      <c r="L917" s="478"/>
      <c r="M917" s="485"/>
      <c r="N917" s="486">
        <f>SUM(J916:N916)</f>
        <v>3.9821284161332926</v>
      </c>
      <c r="O917" s="486" t="s">
        <v>30</v>
      </c>
      <c r="P917" s="911"/>
      <c r="Q917" s="911"/>
      <c r="R917" s="909"/>
      <c r="S917" s="911"/>
      <c r="T917" s="75"/>
      <c r="U917" s="75"/>
      <c r="V917" s="906"/>
      <c r="W917" s="912"/>
      <c r="X917" s="75"/>
    </row>
    <row r="918" spans="1:24" s="487" customFormat="1" ht="18" customHeight="1">
      <c r="A918" s="833"/>
      <c r="B918" s="953"/>
      <c r="C918" s="934"/>
      <c r="D918" s="935"/>
      <c r="E918" s="936"/>
      <c r="F918" s="482"/>
      <c r="G918" s="483"/>
      <c r="H918" s="484"/>
      <c r="I918" s="483"/>
      <c r="J918" s="1163"/>
      <c r="K918" s="1164"/>
      <c r="L918" s="478"/>
      <c r="M918" s="485"/>
      <c r="N918" s="485"/>
      <c r="O918" s="485"/>
      <c r="P918" s="908"/>
      <c r="Q918" s="908"/>
      <c r="R918" s="909"/>
      <c r="S918" s="908"/>
      <c r="T918" s="910"/>
      <c r="U918" s="910"/>
      <c r="V918" s="910"/>
      <c r="W918" s="910"/>
      <c r="X918" s="910"/>
    </row>
    <row r="919" spans="1:24" s="487" customFormat="1" ht="18" customHeight="1">
      <c r="A919" s="833"/>
      <c r="B919" s="500" t="s">
        <v>115</v>
      </c>
      <c r="C919" s="934"/>
      <c r="D919" s="935"/>
      <c r="E919" s="936"/>
      <c r="F919" s="482"/>
      <c r="G919" s="483"/>
      <c r="H919" s="484"/>
      <c r="I919" s="483"/>
      <c r="J919" s="1163"/>
      <c r="K919" s="1164"/>
      <c r="L919" s="478"/>
      <c r="M919" s="485"/>
      <c r="N919" s="485"/>
      <c r="O919" s="485"/>
      <c r="P919" s="911"/>
      <c r="Q919" s="911"/>
      <c r="R919" s="909"/>
      <c r="S919" s="911"/>
      <c r="T919" s="75"/>
      <c r="U919" s="75"/>
      <c r="V919" s="906"/>
      <c r="W919" s="912"/>
      <c r="X919" s="75"/>
    </row>
    <row r="920" spans="1:24" s="487" customFormat="1" ht="18" customHeight="1">
      <c r="A920" s="833"/>
      <c r="B920" s="336" t="s">
        <v>588</v>
      </c>
      <c r="C920" s="934"/>
      <c r="D920" s="935" t="s">
        <v>116</v>
      </c>
      <c r="E920" s="936"/>
      <c r="F920" s="482"/>
      <c r="G920" s="483"/>
      <c r="H920" s="484"/>
      <c r="I920" s="483"/>
      <c r="J920" s="1163"/>
      <c r="K920" s="1164"/>
      <c r="L920" s="478"/>
      <c r="M920" s="485"/>
      <c r="N920" s="485">
        <f>N916</f>
        <v>2.5649517423549728</v>
      </c>
      <c r="O920" s="485" t="s">
        <v>30</v>
      </c>
      <c r="P920" s="908"/>
      <c r="Q920" s="908"/>
      <c r="R920" s="909"/>
      <c r="S920" s="908"/>
      <c r="T920" s="910"/>
      <c r="U920" s="910"/>
      <c r="V920" s="910"/>
      <c r="W920" s="910"/>
      <c r="X920" s="910"/>
    </row>
    <row r="921" spans="1:24" s="487" customFormat="1" ht="18" customHeight="1">
      <c r="A921" s="833"/>
      <c r="B921" s="336" t="s">
        <v>589</v>
      </c>
      <c r="C921" s="934"/>
      <c r="D921" s="935" t="s">
        <v>116</v>
      </c>
      <c r="E921" s="936"/>
      <c r="F921" s="482"/>
      <c r="G921" s="483"/>
      <c r="H921" s="484"/>
      <c r="I921" s="483"/>
      <c r="J921" s="1163"/>
      <c r="K921" s="1164"/>
      <c r="L921" s="478"/>
      <c r="M921" s="485"/>
      <c r="N921" s="485">
        <f>L916</f>
        <v>1.2038758508584781</v>
      </c>
      <c r="O921" s="485" t="s">
        <v>30</v>
      </c>
      <c r="P921" s="911"/>
      <c r="Q921" s="911"/>
      <c r="R921" s="909"/>
      <c r="S921" s="911"/>
      <c r="T921" s="75"/>
      <c r="U921" s="75"/>
      <c r="V921" s="906"/>
      <c r="W921" s="912"/>
      <c r="X921" s="75"/>
    </row>
    <row r="922" spans="1:24" s="487" customFormat="1" ht="18" customHeight="1">
      <c r="A922" s="833"/>
      <c r="B922" s="336" t="s">
        <v>694</v>
      </c>
      <c r="C922" s="934"/>
      <c r="D922" s="935" t="s">
        <v>116</v>
      </c>
      <c r="E922" s="936"/>
      <c r="F922" s="482"/>
      <c r="G922" s="483"/>
      <c r="H922" s="484"/>
      <c r="I922" s="483"/>
      <c r="J922" s="1163"/>
      <c r="K922" s="1164"/>
      <c r="L922" s="478"/>
      <c r="M922" s="485"/>
      <c r="N922" s="485">
        <f>J916</f>
        <v>0.21330082291984151</v>
      </c>
      <c r="O922" s="485" t="s">
        <v>30</v>
      </c>
      <c r="P922" s="911"/>
      <c r="Q922" s="911"/>
      <c r="R922" s="909"/>
      <c r="S922" s="911"/>
      <c r="T922" s="75"/>
      <c r="U922" s="75"/>
      <c r="V922" s="906"/>
      <c r="W922" s="912"/>
      <c r="X922" s="75"/>
    </row>
    <row r="923" spans="1:24" s="487" customFormat="1" ht="18" customHeight="1">
      <c r="A923" s="548"/>
      <c r="B923" s="954"/>
      <c r="C923" s="557"/>
      <c r="D923" s="550"/>
      <c r="E923" s="798"/>
      <c r="F923" s="552"/>
      <c r="G923" s="729"/>
      <c r="H923" s="730"/>
      <c r="I923" s="729"/>
      <c r="J923" s="554"/>
      <c r="K923" s="553"/>
      <c r="L923" s="955"/>
      <c r="M923" s="555"/>
      <c r="N923" s="555"/>
      <c r="O923" s="556"/>
      <c r="P923" s="911"/>
      <c r="Q923" s="911"/>
      <c r="R923" s="909"/>
      <c r="S923" s="911"/>
      <c r="T923" s="910"/>
      <c r="U923" s="910"/>
      <c r="V923" s="910"/>
      <c r="W923" s="910"/>
      <c r="X923" s="910"/>
    </row>
    <row r="924" spans="1:24" s="487" customFormat="1" ht="18" customHeight="1">
      <c r="A924" s="733" t="s">
        <v>760</v>
      </c>
      <c r="B924" s="734" t="s">
        <v>567</v>
      </c>
      <c r="C924" s="735"/>
      <c r="D924" s="736"/>
      <c r="E924" s="748"/>
      <c r="F924" s="738"/>
      <c r="G924" s="739"/>
      <c r="H924" s="740"/>
      <c r="I924" s="739"/>
      <c r="J924" s="741"/>
      <c r="K924" s="742"/>
      <c r="L924" s="743"/>
      <c r="M924" s="499"/>
      <c r="N924" s="546">
        <f>N1164</f>
        <v>7.544172508381596</v>
      </c>
      <c r="O924" s="733" t="s">
        <v>30</v>
      </c>
      <c r="P924" s="905"/>
      <c r="Q924" s="905"/>
      <c r="R924" s="905"/>
      <c r="S924" s="905"/>
      <c r="T924" s="75"/>
      <c r="U924" s="75"/>
      <c r="V924" s="906"/>
      <c r="W924" s="912"/>
      <c r="X924" s="907"/>
    </row>
    <row r="925" spans="1:24" s="487" customFormat="1" ht="18" customHeight="1">
      <c r="A925" s="478"/>
      <c r="B925" s="723"/>
      <c r="C925" s="479"/>
      <c r="D925" s="480"/>
      <c r="E925" s="481"/>
      <c r="F925" s="482"/>
      <c r="G925" s="745"/>
      <c r="H925" s="746"/>
      <c r="I925" s="745"/>
      <c r="J925" s="1171" t="s">
        <v>546</v>
      </c>
      <c r="K925" s="1172"/>
      <c r="L925" s="921" t="s">
        <v>545</v>
      </c>
      <c r="M925" s="922" t="s">
        <v>544</v>
      </c>
      <c r="N925" s="922" t="s">
        <v>103</v>
      </c>
      <c r="O925" s="923"/>
      <c r="P925" s="905"/>
      <c r="Q925" s="905"/>
      <c r="R925" s="905"/>
      <c r="S925" s="905"/>
      <c r="T925" s="75"/>
      <c r="U925" s="75"/>
      <c r="V925" s="906"/>
      <c r="W925" s="912"/>
      <c r="X925" s="907"/>
    </row>
    <row r="926" spans="1:24" s="487" customFormat="1" ht="18" customHeight="1">
      <c r="A926" s="478"/>
      <c r="B926" s="336"/>
      <c r="C926" s="924"/>
      <c r="D926" s="480"/>
      <c r="E926" s="481"/>
      <c r="F926" s="482"/>
      <c r="G926" s="483"/>
      <c r="H926" s="484"/>
      <c r="I926" s="483"/>
      <c r="J926" s="484"/>
      <c r="K926" s="483"/>
      <c r="L926" s="914"/>
      <c r="M926" s="485"/>
      <c r="N926" s="485"/>
      <c r="O926" s="486"/>
      <c r="P926" s="911"/>
      <c r="Q926" s="911"/>
      <c r="R926" s="911"/>
      <c r="S926" s="911"/>
      <c r="T926" s="75"/>
      <c r="U926" s="75"/>
      <c r="V926" s="906"/>
      <c r="W926" s="912"/>
      <c r="X926" s="907"/>
    </row>
    <row r="927" spans="1:24" s="487" customFormat="1" ht="18" customHeight="1">
      <c r="A927" s="478"/>
      <c r="B927" s="723" t="s">
        <v>568</v>
      </c>
      <c r="C927" s="924"/>
      <c r="D927" s="480"/>
      <c r="E927" s="481"/>
      <c r="F927" s="482"/>
      <c r="G927" s="483"/>
      <c r="H927" s="484"/>
      <c r="I927" s="483"/>
      <c r="J927" s="484"/>
      <c r="K927" s="483"/>
      <c r="L927" s="914"/>
      <c r="M927" s="485"/>
      <c r="N927" s="485"/>
      <c r="O927" s="486"/>
      <c r="P927" s="915"/>
      <c r="Q927" s="916"/>
      <c r="R927" s="917"/>
      <c r="S927" s="916"/>
      <c r="T927" s="75"/>
      <c r="U927" s="75"/>
      <c r="V927" s="906"/>
      <c r="W927" s="912"/>
      <c r="X927" s="907"/>
    </row>
    <row r="928" spans="1:24" s="487" customFormat="1" ht="18" customHeight="1">
      <c r="A928" s="478"/>
      <c r="B928" s="726" t="s">
        <v>296</v>
      </c>
      <c r="C928" s="924"/>
      <c r="D928" s="480"/>
      <c r="E928" s="481"/>
      <c r="F928" s="482"/>
      <c r="G928" s="483"/>
      <c r="H928" s="484"/>
      <c r="I928" s="483"/>
      <c r="J928" s="484"/>
      <c r="K928" s="483"/>
      <c r="L928" s="914"/>
      <c r="M928" s="485"/>
      <c r="N928" s="485"/>
      <c r="O928" s="486"/>
      <c r="P928" s="915"/>
      <c r="Q928" s="916"/>
      <c r="R928" s="917"/>
      <c r="S928" s="916"/>
      <c r="T928" s="75"/>
      <c r="U928" s="75"/>
      <c r="V928" s="906"/>
      <c r="W928" s="912"/>
      <c r="X928" s="907"/>
    </row>
    <row r="929" spans="1:24" s="487" customFormat="1" ht="18" customHeight="1">
      <c r="A929" s="478"/>
      <c r="B929" s="956" t="s">
        <v>277</v>
      </c>
      <c r="C929" s="957">
        <f>C108</f>
        <v>1</v>
      </c>
      <c r="D929" s="958" t="s">
        <v>87</v>
      </c>
      <c r="E929" s="959">
        <f>E108</f>
        <v>2</v>
      </c>
      <c r="F929" s="960">
        <v>9</v>
      </c>
      <c r="G929" s="961">
        <v>0</v>
      </c>
      <c r="H929" s="962">
        <f>H110</f>
        <v>0</v>
      </c>
      <c r="I929" s="961">
        <f>I110</f>
        <v>10</v>
      </c>
      <c r="J929" s="484"/>
      <c r="K929" s="483"/>
      <c r="L929" s="914"/>
      <c r="M929" s="485"/>
      <c r="N929" s="485"/>
      <c r="O929" s="486"/>
      <c r="P929" s="915"/>
      <c r="Q929" s="916"/>
      <c r="R929" s="917"/>
      <c r="S929" s="916"/>
      <c r="T929" s="75"/>
      <c r="U929" s="75"/>
      <c r="V929" s="906"/>
      <c r="W929" s="912"/>
      <c r="X929" s="907"/>
    </row>
    <row r="930" spans="1:24" s="487" customFormat="1" ht="18" customHeight="1">
      <c r="A930" s="478"/>
      <c r="B930" s="336" t="s">
        <v>257</v>
      </c>
      <c r="C930" s="924">
        <f>C929*3</f>
        <v>3</v>
      </c>
      <c r="D930" s="480" t="s">
        <v>87</v>
      </c>
      <c r="E930" s="481">
        <f>C929*E929</f>
        <v>2</v>
      </c>
      <c r="F930" s="482">
        <v>10</v>
      </c>
      <c r="G930" s="483">
        <v>8</v>
      </c>
      <c r="H930" s="484"/>
      <c r="I930" s="483"/>
      <c r="J930" s="484"/>
      <c r="K930" s="483"/>
      <c r="L930" s="914"/>
      <c r="M930" s="485"/>
      <c r="N930" s="485">
        <f>C930*E930*(F930+G930/12)</f>
        <v>64</v>
      </c>
      <c r="O930" s="486"/>
      <c r="P930" s="915">
        <f>H929+I929/12</f>
        <v>0.83333333333333337</v>
      </c>
      <c r="Q930" s="917">
        <f>F929+G929/12</f>
        <v>9</v>
      </c>
      <c r="R930" s="917">
        <f>E929*C929</f>
        <v>2</v>
      </c>
      <c r="S930" s="916">
        <f>1.5/12</f>
        <v>0.125</v>
      </c>
      <c r="T930" s="75" t="s">
        <v>428</v>
      </c>
      <c r="U930" s="75">
        <v>16</v>
      </c>
      <c r="V930" s="906"/>
      <c r="W930" s="912">
        <f>C930</f>
        <v>3</v>
      </c>
      <c r="X930" s="907">
        <f>Q930-2*S930+2*P931</f>
        <v>10.416666666666666</v>
      </c>
    </row>
    <row r="931" spans="1:24" s="487" customFormat="1" ht="18" customHeight="1">
      <c r="A931" s="478"/>
      <c r="B931" s="336" t="s">
        <v>258</v>
      </c>
      <c r="C931" s="924">
        <v>3</v>
      </c>
      <c r="D931" s="480" t="s">
        <v>87</v>
      </c>
      <c r="E931" s="481">
        <f>E930</f>
        <v>2</v>
      </c>
      <c r="F931" s="482">
        <v>10</v>
      </c>
      <c r="G931" s="483">
        <v>4</v>
      </c>
      <c r="H931" s="484"/>
      <c r="I931" s="483"/>
      <c r="J931" s="484"/>
      <c r="K931" s="483"/>
      <c r="L931" s="914"/>
      <c r="M931" s="485"/>
      <c r="N931" s="485">
        <f>C931*E931*(F931+G931/12)</f>
        <v>62</v>
      </c>
      <c r="O931" s="486"/>
      <c r="P931" s="915">
        <f>H929+I929/12</f>
        <v>0.83333333333333337</v>
      </c>
      <c r="Q931" s="916"/>
      <c r="R931" s="917">
        <f>R930</f>
        <v>2</v>
      </c>
      <c r="S931" s="916">
        <f>1.5/12</f>
        <v>0.125</v>
      </c>
      <c r="T931" s="75" t="s">
        <v>429</v>
      </c>
      <c r="U931" s="75">
        <v>16</v>
      </c>
      <c r="V931" s="906"/>
      <c r="W931" s="912">
        <f>C931</f>
        <v>3</v>
      </c>
      <c r="X931" s="907">
        <f>Q930-2*S931-2*(U931/1000)*3.281+2*((P931))</f>
        <v>10.311674666666667</v>
      </c>
    </row>
    <row r="932" spans="1:24" s="487" customFormat="1" ht="18" customHeight="1">
      <c r="A932" s="478"/>
      <c r="B932" s="336" t="s">
        <v>449</v>
      </c>
      <c r="C932" s="924">
        <f>W932</f>
        <v>11</v>
      </c>
      <c r="D932" s="480" t="s">
        <v>87</v>
      </c>
      <c r="E932" s="481">
        <f>E931</f>
        <v>2</v>
      </c>
      <c r="F932" s="482">
        <v>2</v>
      </c>
      <c r="G932" s="483">
        <v>10</v>
      </c>
      <c r="H932" s="484"/>
      <c r="I932" s="483"/>
      <c r="J932" s="484"/>
      <c r="K932" s="483"/>
      <c r="L932" s="914">
        <f>C932*E932*(F932+G932/12)</f>
        <v>62.333333333333336</v>
      </c>
      <c r="M932" s="485"/>
      <c r="N932" s="485"/>
      <c r="O932" s="486"/>
      <c r="P932" s="915"/>
      <c r="Q932" s="916"/>
      <c r="R932" s="917">
        <f t="shared" ref="R932:R933" si="300">R931</f>
        <v>2</v>
      </c>
      <c r="S932" s="916"/>
      <c r="T932" s="75" t="s">
        <v>676</v>
      </c>
      <c r="U932" s="75">
        <v>10</v>
      </c>
      <c r="V932" s="906">
        <f>4/(12)</f>
        <v>0.33333333333333331</v>
      </c>
      <c r="W932" s="912">
        <f>2*(ROUND(2*P931/V932,0))+1</f>
        <v>11</v>
      </c>
      <c r="X932" s="907">
        <f>2*(P930+P931)-8*S930+2*8*U932/1000</f>
        <v>2.4933333333333336</v>
      </c>
    </row>
    <row r="933" spans="1:24" s="487" customFormat="1" ht="18" customHeight="1">
      <c r="A933" s="478"/>
      <c r="B933" s="336" t="s">
        <v>495</v>
      </c>
      <c r="C933" s="924">
        <f>W933</f>
        <v>12</v>
      </c>
      <c r="D933" s="480" t="s">
        <v>87</v>
      </c>
      <c r="E933" s="481">
        <f>E932</f>
        <v>2</v>
      </c>
      <c r="F933" s="482">
        <f>F932</f>
        <v>2</v>
      </c>
      <c r="G933" s="483">
        <f>G932</f>
        <v>10</v>
      </c>
      <c r="H933" s="484"/>
      <c r="I933" s="483"/>
      <c r="J933" s="484"/>
      <c r="K933" s="483"/>
      <c r="L933" s="914">
        <f>C933*E933*(F933+G933/12)</f>
        <v>68</v>
      </c>
      <c r="M933" s="485"/>
      <c r="N933" s="485"/>
      <c r="O933" s="486"/>
      <c r="P933" s="963"/>
      <c r="Q933" s="916"/>
      <c r="R933" s="917">
        <f t="shared" si="300"/>
        <v>2</v>
      </c>
      <c r="S933" s="916"/>
      <c r="T933" s="75" t="s">
        <v>676</v>
      </c>
      <c r="U933" s="75">
        <v>10</v>
      </c>
      <c r="V933" s="906">
        <f>6/(12)</f>
        <v>0.5</v>
      </c>
      <c r="W933" s="912">
        <f>(ROUND((Q930-4*P931)/V933,0))+1</f>
        <v>12</v>
      </c>
      <c r="X933" s="907">
        <f>2*(P930+P931)-8*S930+2*8*U933/1000</f>
        <v>2.4933333333333336</v>
      </c>
    </row>
    <row r="934" spans="1:24" s="487" customFormat="1" ht="18" customHeight="1">
      <c r="A934" s="478"/>
      <c r="B934" s="956" t="s">
        <v>270</v>
      </c>
      <c r="C934" s="957">
        <f>C110</f>
        <v>1</v>
      </c>
      <c r="D934" s="958" t="s">
        <v>87</v>
      </c>
      <c r="E934" s="959">
        <f>E110</f>
        <v>2</v>
      </c>
      <c r="F934" s="960">
        <v>17</v>
      </c>
      <c r="G934" s="961">
        <v>6</v>
      </c>
      <c r="H934" s="962">
        <f>H929</f>
        <v>0</v>
      </c>
      <c r="I934" s="961">
        <f>I929</f>
        <v>10</v>
      </c>
      <c r="J934" s="484"/>
      <c r="K934" s="483"/>
      <c r="L934" s="914"/>
      <c r="M934" s="485"/>
      <c r="N934" s="485"/>
      <c r="O934" s="486"/>
      <c r="P934" s="915"/>
      <c r="Q934" s="916"/>
      <c r="R934" s="911"/>
      <c r="S934" s="911"/>
      <c r="T934" s="75"/>
      <c r="U934" s="75"/>
      <c r="V934" s="906"/>
      <c r="W934" s="912"/>
      <c r="X934" s="907"/>
    </row>
    <row r="935" spans="1:24" s="487" customFormat="1" ht="18" customHeight="1">
      <c r="A935" s="478"/>
      <c r="B935" s="336" t="s">
        <v>257</v>
      </c>
      <c r="C935" s="924">
        <f>C934*3</f>
        <v>3</v>
      </c>
      <c r="D935" s="480" t="s">
        <v>87</v>
      </c>
      <c r="E935" s="481">
        <f>C934*E934</f>
        <v>2</v>
      </c>
      <c r="F935" s="482">
        <v>19</v>
      </c>
      <c r="G935" s="483">
        <v>0</v>
      </c>
      <c r="H935" s="484"/>
      <c r="I935" s="483"/>
      <c r="J935" s="484"/>
      <c r="K935" s="483"/>
      <c r="L935" s="914"/>
      <c r="M935" s="485"/>
      <c r="N935" s="485">
        <f>C935*E935*(F935+G935/12)</f>
        <v>114</v>
      </c>
      <c r="O935" s="486"/>
      <c r="P935" s="915">
        <f>H934+I934/12</f>
        <v>0.83333333333333337</v>
      </c>
      <c r="Q935" s="964">
        <f>F934+G934/12</f>
        <v>17.5</v>
      </c>
      <c r="R935" s="917">
        <f>E934*C934</f>
        <v>2</v>
      </c>
      <c r="S935" s="916">
        <f>1.5/12</f>
        <v>0.125</v>
      </c>
      <c r="T935" s="75" t="s">
        <v>428</v>
      </c>
      <c r="U935" s="75">
        <v>16</v>
      </c>
      <c r="V935" s="906"/>
      <c r="W935" s="912">
        <f>C935</f>
        <v>3</v>
      </c>
      <c r="X935" s="907">
        <f>Q935-2*S935+2*P936</f>
        <v>18.916666666666668</v>
      </c>
    </row>
    <row r="936" spans="1:24" s="487" customFormat="1" ht="18" customHeight="1">
      <c r="A936" s="478"/>
      <c r="B936" s="336" t="s">
        <v>258</v>
      </c>
      <c r="C936" s="924">
        <v>3</v>
      </c>
      <c r="D936" s="480" t="s">
        <v>87</v>
      </c>
      <c r="E936" s="481">
        <f>E935</f>
        <v>2</v>
      </c>
      <c r="F936" s="482">
        <v>18</v>
      </c>
      <c r="G936" s="483">
        <v>10</v>
      </c>
      <c r="H936" s="484"/>
      <c r="I936" s="483"/>
      <c r="J936" s="484"/>
      <c r="K936" s="483"/>
      <c r="L936" s="914"/>
      <c r="M936" s="485"/>
      <c r="N936" s="485">
        <f>C936*E936*(F936+G936/12)</f>
        <v>113</v>
      </c>
      <c r="O936" s="486"/>
      <c r="P936" s="915">
        <f>H934+I934/12</f>
        <v>0.83333333333333337</v>
      </c>
      <c r="Q936" s="916"/>
      <c r="R936" s="917">
        <f>R935</f>
        <v>2</v>
      </c>
      <c r="S936" s="916">
        <f>1.5/12</f>
        <v>0.125</v>
      </c>
      <c r="T936" s="75" t="s">
        <v>429</v>
      </c>
      <c r="U936" s="75">
        <v>16</v>
      </c>
      <c r="V936" s="906"/>
      <c r="W936" s="912">
        <f>C936</f>
        <v>3</v>
      </c>
      <c r="X936" s="907">
        <f>Q935-2*S936-2*(U936/1000)*3.281+2*((P936))</f>
        <v>18.811674666666669</v>
      </c>
    </row>
    <row r="937" spans="1:24" s="487" customFormat="1" ht="18" customHeight="1">
      <c r="A937" s="478"/>
      <c r="B937" s="336" t="s">
        <v>449</v>
      </c>
      <c r="C937" s="924">
        <f>W937</f>
        <v>11</v>
      </c>
      <c r="D937" s="480" t="s">
        <v>87</v>
      </c>
      <c r="E937" s="481">
        <f>E936</f>
        <v>2</v>
      </c>
      <c r="F937" s="482">
        <f>F932</f>
        <v>2</v>
      </c>
      <c r="G937" s="483">
        <f>G932</f>
        <v>10</v>
      </c>
      <c r="H937" s="484"/>
      <c r="I937" s="483"/>
      <c r="J937" s="484"/>
      <c r="K937" s="483"/>
      <c r="L937" s="914">
        <f>C937*E937*(F937+G937/12)</f>
        <v>62.333333333333336</v>
      </c>
      <c r="M937" s="485"/>
      <c r="N937" s="485"/>
      <c r="O937" s="486"/>
      <c r="P937" s="915"/>
      <c r="Q937" s="916"/>
      <c r="R937" s="917">
        <f t="shared" ref="R937:R938" si="301">R936</f>
        <v>2</v>
      </c>
      <c r="S937" s="916"/>
      <c r="T937" s="75" t="s">
        <v>676</v>
      </c>
      <c r="U937" s="75">
        <v>10</v>
      </c>
      <c r="V937" s="906">
        <f>4/(12)</f>
        <v>0.33333333333333331</v>
      </c>
      <c r="W937" s="912">
        <f>2*(ROUND(2*P936/V937,0))+1</f>
        <v>11</v>
      </c>
      <c r="X937" s="907">
        <f>2*(P935+P936)-8*S935+2*8*U937/1000</f>
        <v>2.4933333333333336</v>
      </c>
    </row>
    <row r="938" spans="1:24" s="487" customFormat="1" ht="18" customHeight="1">
      <c r="A938" s="478"/>
      <c r="B938" s="336" t="s">
        <v>495</v>
      </c>
      <c r="C938" s="924">
        <f>W938</f>
        <v>29</v>
      </c>
      <c r="D938" s="480" t="s">
        <v>87</v>
      </c>
      <c r="E938" s="481">
        <f>E937</f>
        <v>2</v>
      </c>
      <c r="F938" s="482">
        <f>F937</f>
        <v>2</v>
      </c>
      <c r="G938" s="483">
        <f>G937</f>
        <v>10</v>
      </c>
      <c r="H938" s="484"/>
      <c r="I938" s="483"/>
      <c r="J938" s="484"/>
      <c r="K938" s="483"/>
      <c r="L938" s="914">
        <f>C938*E938*(F938+G938/12)</f>
        <v>164.33333333333334</v>
      </c>
      <c r="M938" s="485"/>
      <c r="N938" s="485"/>
      <c r="O938" s="486"/>
      <c r="P938" s="915"/>
      <c r="Q938" s="916"/>
      <c r="R938" s="917">
        <f t="shared" si="301"/>
        <v>2</v>
      </c>
      <c r="S938" s="916"/>
      <c r="T938" s="75" t="s">
        <v>676</v>
      </c>
      <c r="U938" s="75">
        <v>10</v>
      </c>
      <c r="V938" s="906">
        <f>6/(12)</f>
        <v>0.5</v>
      </c>
      <c r="W938" s="912">
        <f>(ROUND((Q935-4*P936)/V938,0))+1</f>
        <v>29</v>
      </c>
      <c r="X938" s="907">
        <f>2*(P935+P936)-8*S935+2*8*U938/1000</f>
        <v>2.4933333333333336</v>
      </c>
    </row>
    <row r="939" spans="1:24" s="487" customFormat="1" ht="18" customHeight="1">
      <c r="A939" s="478"/>
      <c r="B939" s="723" t="s">
        <v>569</v>
      </c>
      <c r="C939" s="924"/>
      <c r="D939" s="480"/>
      <c r="E939" s="481"/>
      <c r="F939" s="482"/>
      <c r="G939" s="483"/>
      <c r="H939" s="484"/>
      <c r="I939" s="483"/>
      <c r="J939" s="484"/>
      <c r="K939" s="483"/>
      <c r="L939" s="914"/>
      <c r="M939" s="485"/>
      <c r="N939" s="485"/>
      <c r="O939" s="486"/>
    </row>
    <row r="940" spans="1:24" s="487" customFormat="1" ht="18" customHeight="1">
      <c r="A940" s="478"/>
      <c r="B940" s="726" t="s">
        <v>298</v>
      </c>
      <c r="C940" s="924"/>
      <c r="D940" s="480"/>
      <c r="E940" s="481"/>
      <c r="F940" s="482"/>
      <c r="G940" s="483"/>
      <c r="H940" s="484"/>
      <c r="I940" s="483"/>
      <c r="J940" s="484"/>
      <c r="K940" s="483"/>
      <c r="L940" s="914"/>
      <c r="M940" s="485"/>
      <c r="N940" s="485"/>
      <c r="O940" s="486"/>
    </row>
    <row r="941" spans="1:24" s="487" customFormat="1" ht="18" customHeight="1">
      <c r="A941" s="478"/>
      <c r="B941" s="956" t="s">
        <v>276</v>
      </c>
      <c r="C941" s="957">
        <f>C114</f>
        <v>1</v>
      </c>
      <c r="D941" s="958" t="s">
        <v>87</v>
      </c>
      <c r="E941" s="959">
        <f>E114</f>
        <v>1</v>
      </c>
      <c r="F941" s="960">
        <v>11</v>
      </c>
      <c r="G941" s="961">
        <v>0</v>
      </c>
      <c r="H941" s="962">
        <f>H114</f>
        <v>0</v>
      </c>
      <c r="I941" s="961">
        <f>I114</f>
        <v>10</v>
      </c>
      <c r="J941" s="484"/>
      <c r="K941" s="483"/>
      <c r="L941" s="914"/>
      <c r="M941" s="485"/>
      <c r="N941" s="485"/>
      <c r="O941" s="486"/>
    </row>
    <row r="942" spans="1:24" s="487" customFormat="1" ht="18" customHeight="1">
      <c r="A942" s="478"/>
      <c r="B942" s="336" t="s">
        <v>259</v>
      </c>
      <c r="C942" s="924">
        <v>2</v>
      </c>
      <c r="D942" s="480" t="s">
        <v>87</v>
      </c>
      <c r="E942" s="481">
        <f>C941*E941</f>
        <v>1</v>
      </c>
      <c r="F942" s="482">
        <v>12</v>
      </c>
      <c r="G942" s="483">
        <v>5</v>
      </c>
      <c r="H942" s="484"/>
      <c r="I942" s="483"/>
      <c r="J942" s="484"/>
      <c r="K942" s="483"/>
      <c r="L942" s="914"/>
      <c r="M942" s="485"/>
      <c r="N942" s="485">
        <f>C942*E942*(F942+G942/12)</f>
        <v>24.833333333333332</v>
      </c>
      <c r="O942" s="486"/>
      <c r="P942" s="915">
        <f>H941+I941/12</f>
        <v>0.83333333333333337</v>
      </c>
      <c r="Q942" s="964">
        <f>F941+G941/12</f>
        <v>11</v>
      </c>
      <c r="R942" s="917">
        <f>E941*C941</f>
        <v>1</v>
      </c>
      <c r="S942" s="916">
        <f>1.5/12</f>
        <v>0.125</v>
      </c>
      <c r="T942" s="75" t="s">
        <v>428</v>
      </c>
      <c r="U942" s="75">
        <v>16</v>
      </c>
      <c r="V942" s="906"/>
      <c r="W942" s="912">
        <f>C942</f>
        <v>2</v>
      </c>
      <c r="X942" s="907">
        <f>Q942-2*S942+2*P943</f>
        <v>12.416666666666666</v>
      </c>
    </row>
    <row r="943" spans="1:24" s="487" customFormat="1" ht="18" customHeight="1">
      <c r="A943" s="478"/>
      <c r="B943" s="336" t="s">
        <v>260</v>
      </c>
      <c r="C943" s="924">
        <v>2</v>
      </c>
      <c r="D943" s="480" t="s">
        <v>87</v>
      </c>
      <c r="E943" s="481">
        <f>E942</f>
        <v>1</v>
      </c>
      <c r="F943" s="482">
        <v>12</v>
      </c>
      <c r="G943" s="483">
        <v>4</v>
      </c>
      <c r="H943" s="484"/>
      <c r="I943" s="483"/>
      <c r="J943" s="484"/>
      <c r="K943" s="483"/>
      <c r="L943" s="914"/>
      <c r="M943" s="485"/>
      <c r="N943" s="485">
        <f>C943*E943*(F943+G943/12)</f>
        <v>24.666666666666668</v>
      </c>
      <c r="O943" s="486"/>
      <c r="P943" s="915">
        <f>H941+I941/12</f>
        <v>0.83333333333333337</v>
      </c>
      <c r="Q943" s="916"/>
      <c r="R943" s="917">
        <f>R942</f>
        <v>1</v>
      </c>
      <c r="S943" s="916">
        <f>1.5/12</f>
        <v>0.125</v>
      </c>
      <c r="T943" s="75" t="s">
        <v>429</v>
      </c>
      <c r="U943" s="75">
        <v>16</v>
      </c>
      <c r="V943" s="906"/>
      <c r="W943" s="912">
        <f>C943</f>
        <v>2</v>
      </c>
      <c r="X943" s="907">
        <f>Q942-2*S943-2*(U943/1000)*3.281+2*((P943))</f>
        <v>12.311674666666667</v>
      </c>
    </row>
    <row r="944" spans="1:24" s="487" customFormat="1" ht="18" customHeight="1">
      <c r="A944" s="478"/>
      <c r="B944" s="336" t="s">
        <v>449</v>
      </c>
      <c r="C944" s="924">
        <f>W944</f>
        <v>11</v>
      </c>
      <c r="D944" s="480" t="s">
        <v>87</v>
      </c>
      <c r="E944" s="481">
        <f>E943</f>
        <v>1</v>
      </c>
      <c r="F944" s="482">
        <f>F937</f>
        <v>2</v>
      </c>
      <c r="G944" s="483">
        <f>G937</f>
        <v>10</v>
      </c>
      <c r="H944" s="484"/>
      <c r="I944" s="483"/>
      <c r="J944" s="484"/>
      <c r="K944" s="483"/>
      <c r="L944" s="914">
        <f>C944*E944*(F944+G944/12)</f>
        <v>31.166666666666668</v>
      </c>
      <c r="M944" s="485"/>
      <c r="N944" s="485"/>
      <c r="O944" s="486"/>
      <c r="P944" s="915"/>
      <c r="Q944" s="916"/>
      <c r="R944" s="917">
        <f t="shared" ref="R944:R945" si="302">R943</f>
        <v>1</v>
      </c>
      <c r="S944" s="916"/>
      <c r="T944" s="75" t="s">
        <v>676</v>
      </c>
      <c r="U944" s="75">
        <v>10</v>
      </c>
      <c r="V944" s="906">
        <f>4/(12)</f>
        <v>0.33333333333333331</v>
      </c>
      <c r="W944" s="912">
        <f>2*(ROUND(2*P943/V944,0))+1</f>
        <v>11</v>
      </c>
      <c r="X944" s="907">
        <f>2*(P942+P943)-8*S942+2*8*U944/1000</f>
        <v>2.4933333333333336</v>
      </c>
    </row>
    <row r="945" spans="1:24" s="487" customFormat="1" ht="18" customHeight="1">
      <c r="A945" s="478"/>
      <c r="B945" s="336" t="s">
        <v>495</v>
      </c>
      <c r="C945" s="924">
        <f>W945</f>
        <v>16</v>
      </c>
      <c r="D945" s="480" t="s">
        <v>87</v>
      </c>
      <c r="E945" s="481">
        <f>E944</f>
        <v>1</v>
      </c>
      <c r="F945" s="482">
        <f>F944</f>
        <v>2</v>
      </c>
      <c r="G945" s="483">
        <f>G944</f>
        <v>10</v>
      </c>
      <c r="H945" s="484"/>
      <c r="I945" s="483"/>
      <c r="J945" s="484"/>
      <c r="K945" s="483"/>
      <c r="L945" s="914">
        <f>C945*E945*(F945+G945/12)</f>
        <v>45.333333333333336</v>
      </c>
      <c r="M945" s="485"/>
      <c r="N945" s="485"/>
      <c r="O945" s="486"/>
      <c r="P945" s="915"/>
      <c r="Q945" s="916"/>
      <c r="R945" s="917">
        <f t="shared" si="302"/>
        <v>1</v>
      </c>
      <c r="S945" s="916"/>
      <c r="T945" s="75" t="s">
        <v>676</v>
      </c>
      <c r="U945" s="75">
        <v>10</v>
      </c>
      <c r="V945" s="906">
        <f>6/(12)</f>
        <v>0.5</v>
      </c>
      <c r="W945" s="912">
        <f>(ROUND((Q942-4*P943)/V945,0))+1</f>
        <v>16</v>
      </c>
      <c r="X945" s="907">
        <f>2*(P942+P943)-8*S942+2*8*U945/1000</f>
        <v>2.4933333333333336</v>
      </c>
    </row>
    <row r="946" spans="1:24" s="487" customFormat="1" ht="18" customHeight="1">
      <c r="A946" s="478"/>
      <c r="B946" s="956" t="s">
        <v>299</v>
      </c>
      <c r="C946" s="957">
        <f>C115</f>
        <v>1</v>
      </c>
      <c r="D946" s="958" t="s">
        <v>87</v>
      </c>
      <c r="E946" s="959">
        <f>E115</f>
        <v>1</v>
      </c>
      <c r="F946" s="960">
        <f>F115</f>
        <v>7</v>
      </c>
      <c r="G946" s="961">
        <f>G115</f>
        <v>11</v>
      </c>
      <c r="H946" s="962">
        <f>H115</f>
        <v>0</v>
      </c>
      <c r="I946" s="961">
        <f>I115</f>
        <v>10</v>
      </c>
      <c r="J946" s="484"/>
      <c r="K946" s="483"/>
      <c r="L946" s="914"/>
      <c r="M946" s="485"/>
      <c r="N946" s="485"/>
      <c r="O946" s="486"/>
    </row>
    <row r="947" spans="1:24" s="487" customFormat="1" ht="18" customHeight="1">
      <c r="A947" s="478"/>
      <c r="B947" s="336" t="s">
        <v>259</v>
      </c>
      <c r="C947" s="924">
        <v>2</v>
      </c>
      <c r="D947" s="480" t="s">
        <v>87</v>
      </c>
      <c r="E947" s="481">
        <f>C946*E946</f>
        <v>1</v>
      </c>
      <c r="F947" s="482">
        <v>9</v>
      </c>
      <c r="G947" s="483">
        <v>4</v>
      </c>
      <c r="H947" s="484"/>
      <c r="I947" s="483"/>
      <c r="J947" s="484"/>
      <c r="K947" s="483"/>
      <c r="L947" s="914"/>
      <c r="M947" s="485"/>
      <c r="N947" s="485">
        <f>C947*E947*(F947+G947/12)</f>
        <v>18.666666666666668</v>
      </c>
      <c r="O947" s="486"/>
      <c r="P947" s="915">
        <f>H946+I946/12</f>
        <v>0.83333333333333337</v>
      </c>
      <c r="Q947" s="964">
        <f>F946+G946/12</f>
        <v>7.916666666666667</v>
      </c>
      <c r="R947" s="917">
        <f>E946*C946</f>
        <v>1</v>
      </c>
      <c r="S947" s="916">
        <f>1.5/12</f>
        <v>0.125</v>
      </c>
      <c r="T947" s="75" t="s">
        <v>428</v>
      </c>
      <c r="U947" s="75">
        <v>16</v>
      </c>
      <c r="V947" s="906"/>
      <c r="W947" s="912">
        <f>C947</f>
        <v>2</v>
      </c>
      <c r="X947" s="907">
        <f>Q947-2*S947+2*P948</f>
        <v>9.3333333333333339</v>
      </c>
    </row>
    <row r="948" spans="1:24" s="487" customFormat="1" ht="18" customHeight="1">
      <c r="A948" s="478"/>
      <c r="B948" s="336" t="s">
        <v>260</v>
      </c>
      <c r="C948" s="924">
        <v>2</v>
      </c>
      <c r="D948" s="480" t="s">
        <v>87</v>
      </c>
      <c r="E948" s="481">
        <f>E947</f>
        <v>1</v>
      </c>
      <c r="F948" s="482">
        <v>9</v>
      </c>
      <c r="G948" s="483">
        <v>3</v>
      </c>
      <c r="H948" s="484"/>
      <c r="I948" s="483"/>
      <c r="J948" s="484"/>
      <c r="K948" s="483"/>
      <c r="L948" s="914"/>
      <c r="M948" s="485"/>
      <c r="N948" s="485">
        <f>C948*E948*(F948+G948/12)</f>
        <v>18.5</v>
      </c>
      <c r="O948" s="486"/>
      <c r="P948" s="915">
        <f>H946+I946/12</f>
        <v>0.83333333333333337</v>
      </c>
      <c r="Q948" s="916"/>
      <c r="R948" s="917">
        <f>R947</f>
        <v>1</v>
      </c>
      <c r="S948" s="916">
        <f>1.5/12</f>
        <v>0.125</v>
      </c>
      <c r="T948" s="75" t="s">
        <v>429</v>
      </c>
      <c r="U948" s="75">
        <v>16</v>
      </c>
      <c r="V948" s="906"/>
      <c r="W948" s="912">
        <f>C948</f>
        <v>2</v>
      </c>
      <c r="X948" s="907">
        <f>Q947-2*S948-2*(U948/1000)*3.281+2*((P948))</f>
        <v>9.2283413333333328</v>
      </c>
    </row>
    <row r="949" spans="1:24" s="487" customFormat="1" ht="18" customHeight="1">
      <c r="A949" s="478"/>
      <c r="B949" s="336" t="s">
        <v>449</v>
      </c>
      <c r="C949" s="924">
        <f>W949</f>
        <v>11</v>
      </c>
      <c r="D949" s="480" t="s">
        <v>87</v>
      </c>
      <c r="E949" s="481">
        <f>E948</f>
        <v>1</v>
      </c>
      <c r="F949" s="482">
        <f>F944</f>
        <v>2</v>
      </c>
      <c r="G949" s="483">
        <f>G944</f>
        <v>10</v>
      </c>
      <c r="H949" s="484"/>
      <c r="I949" s="483"/>
      <c r="J949" s="484"/>
      <c r="K949" s="483"/>
      <c r="L949" s="914">
        <f>C949*E949*(F949+G949/12)</f>
        <v>31.166666666666668</v>
      </c>
      <c r="M949" s="485"/>
      <c r="N949" s="485"/>
      <c r="O949" s="486"/>
      <c r="P949" s="915"/>
      <c r="Q949" s="916"/>
      <c r="R949" s="917">
        <f t="shared" ref="R949:R950" si="303">R948</f>
        <v>1</v>
      </c>
      <c r="S949" s="916"/>
      <c r="T949" s="75" t="s">
        <v>676</v>
      </c>
      <c r="U949" s="75">
        <v>10</v>
      </c>
      <c r="V949" s="906">
        <f>4/(12)</f>
        <v>0.33333333333333331</v>
      </c>
      <c r="W949" s="912">
        <f>2*(ROUND(2*P948/V949,0))+1</f>
        <v>11</v>
      </c>
      <c r="X949" s="907">
        <f>2*(P947+P948)-8*S947+2*8*U949/1000</f>
        <v>2.4933333333333336</v>
      </c>
    </row>
    <row r="950" spans="1:24" s="487" customFormat="1" ht="18" customHeight="1">
      <c r="A950" s="478"/>
      <c r="B950" s="336" t="s">
        <v>495</v>
      </c>
      <c r="C950" s="924">
        <f>W950</f>
        <v>10</v>
      </c>
      <c r="D950" s="480" t="s">
        <v>87</v>
      </c>
      <c r="E950" s="481">
        <f>E949</f>
        <v>1</v>
      </c>
      <c r="F950" s="482">
        <f>F949</f>
        <v>2</v>
      </c>
      <c r="G950" s="483">
        <f>G949</f>
        <v>10</v>
      </c>
      <c r="H950" s="484"/>
      <c r="I950" s="483"/>
      <c r="J950" s="484"/>
      <c r="K950" s="483"/>
      <c r="L950" s="914">
        <f>C950*E950*(F950+G950/12)</f>
        <v>28.333333333333336</v>
      </c>
      <c r="M950" s="485"/>
      <c r="N950" s="485"/>
      <c r="O950" s="486"/>
      <c r="P950" s="915"/>
      <c r="Q950" s="916"/>
      <c r="R950" s="917">
        <f t="shared" si="303"/>
        <v>1</v>
      </c>
      <c r="S950" s="916"/>
      <c r="T950" s="75" t="s">
        <v>676</v>
      </c>
      <c r="U950" s="75">
        <v>10</v>
      </c>
      <c r="V950" s="906">
        <f>6/(12)</f>
        <v>0.5</v>
      </c>
      <c r="W950" s="912">
        <f>(ROUND((Q947-4*P948)/V950,0))+1</f>
        <v>10</v>
      </c>
      <c r="X950" s="907">
        <f>2*(P947+P948)-8*S947+2*8*U950/1000</f>
        <v>2.4933333333333336</v>
      </c>
    </row>
    <row r="951" spans="1:24" s="487" customFormat="1" ht="18" customHeight="1">
      <c r="A951" s="478"/>
      <c r="B951" s="956" t="s">
        <v>300</v>
      </c>
      <c r="C951" s="957">
        <f>C116</f>
        <v>2</v>
      </c>
      <c r="D951" s="958" t="s">
        <v>87</v>
      </c>
      <c r="E951" s="959">
        <f>E116</f>
        <v>1</v>
      </c>
      <c r="F951" s="960">
        <v>9</v>
      </c>
      <c r="G951" s="961">
        <v>0</v>
      </c>
      <c r="H951" s="962">
        <f>H116</f>
        <v>0</v>
      </c>
      <c r="I951" s="961">
        <f>I116</f>
        <v>10</v>
      </c>
      <c r="J951" s="484"/>
      <c r="K951" s="483"/>
      <c r="L951" s="914"/>
      <c r="M951" s="485"/>
      <c r="N951" s="485"/>
      <c r="O951" s="486"/>
    </row>
    <row r="952" spans="1:24" s="487" customFormat="1" ht="18" customHeight="1">
      <c r="A952" s="478"/>
      <c r="B952" s="336" t="s">
        <v>259</v>
      </c>
      <c r="C952" s="924">
        <v>2</v>
      </c>
      <c r="D952" s="480" t="s">
        <v>87</v>
      </c>
      <c r="E952" s="481">
        <f>C951*E951</f>
        <v>2</v>
      </c>
      <c r="F952" s="482">
        <v>10</v>
      </c>
      <c r="G952" s="483">
        <v>5</v>
      </c>
      <c r="H952" s="484"/>
      <c r="I952" s="483"/>
      <c r="J952" s="484"/>
      <c r="K952" s="483"/>
      <c r="L952" s="914"/>
      <c r="M952" s="485"/>
      <c r="N952" s="485">
        <f>C952*E952*(F952+G952/12)</f>
        <v>41.666666666666664</v>
      </c>
      <c r="O952" s="486"/>
      <c r="P952" s="915">
        <f>H951+I951/12</f>
        <v>0.83333333333333337</v>
      </c>
      <c r="Q952" s="964">
        <f>F951+G951/12</f>
        <v>9</v>
      </c>
      <c r="R952" s="917">
        <f>E951*C951</f>
        <v>2</v>
      </c>
      <c r="S952" s="916">
        <f>1.5/12</f>
        <v>0.125</v>
      </c>
      <c r="T952" s="75" t="s">
        <v>428</v>
      </c>
      <c r="U952" s="75">
        <v>16</v>
      </c>
      <c r="V952" s="906"/>
      <c r="W952" s="912">
        <f>C952</f>
        <v>2</v>
      </c>
      <c r="X952" s="907">
        <f>Q952-2*S952+2*P953</f>
        <v>10.416666666666666</v>
      </c>
    </row>
    <row r="953" spans="1:24" s="487" customFormat="1" ht="18" customHeight="1">
      <c r="A953" s="478"/>
      <c r="B953" s="336" t="s">
        <v>260</v>
      </c>
      <c r="C953" s="924">
        <v>2</v>
      </c>
      <c r="D953" s="480" t="s">
        <v>87</v>
      </c>
      <c r="E953" s="481">
        <f>E952</f>
        <v>2</v>
      </c>
      <c r="F953" s="482">
        <v>10</v>
      </c>
      <c r="G953" s="483">
        <v>4</v>
      </c>
      <c r="H953" s="484"/>
      <c r="I953" s="483"/>
      <c r="J953" s="484"/>
      <c r="K953" s="483"/>
      <c r="L953" s="914"/>
      <c r="M953" s="485"/>
      <c r="N953" s="485">
        <f>C953*E953*(F953+G953/12)</f>
        <v>41.333333333333336</v>
      </c>
      <c r="O953" s="486"/>
      <c r="P953" s="915">
        <f>H951+I951/12</f>
        <v>0.83333333333333337</v>
      </c>
      <c r="Q953" s="916"/>
      <c r="R953" s="917">
        <f>R952</f>
        <v>2</v>
      </c>
      <c r="S953" s="916">
        <f>1.5/12</f>
        <v>0.125</v>
      </c>
      <c r="T953" s="75" t="s">
        <v>429</v>
      </c>
      <c r="U953" s="75">
        <v>16</v>
      </c>
      <c r="V953" s="906"/>
      <c r="W953" s="912">
        <f>C953</f>
        <v>2</v>
      </c>
      <c r="X953" s="907">
        <f>Q952-2*S953-2*(U953/1000)*3.281+2*((P953))</f>
        <v>10.311674666666667</v>
      </c>
    </row>
    <row r="954" spans="1:24" s="487" customFormat="1" ht="18" customHeight="1">
      <c r="A954" s="478"/>
      <c r="B954" s="336" t="s">
        <v>449</v>
      </c>
      <c r="C954" s="924">
        <f>W954</f>
        <v>11</v>
      </c>
      <c r="D954" s="480" t="s">
        <v>87</v>
      </c>
      <c r="E954" s="481">
        <f>E953</f>
        <v>2</v>
      </c>
      <c r="F954" s="482">
        <f>F949</f>
        <v>2</v>
      </c>
      <c r="G954" s="483">
        <f>G949</f>
        <v>10</v>
      </c>
      <c r="H954" s="484"/>
      <c r="I954" s="483"/>
      <c r="J954" s="484"/>
      <c r="K954" s="483"/>
      <c r="L954" s="914">
        <f>C954*E954*(F954+G954/12)</f>
        <v>62.333333333333336</v>
      </c>
      <c r="M954" s="485"/>
      <c r="N954" s="485"/>
      <c r="O954" s="486"/>
      <c r="P954" s="915"/>
      <c r="Q954" s="916"/>
      <c r="R954" s="917">
        <f t="shared" ref="R954:R955" si="304">R953</f>
        <v>2</v>
      </c>
      <c r="S954" s="916"/>
      <c r="T954" s="75" t="s">
        <v>676</v>
      </c>
      <c r="U954" s="75">
        <v>10</v>
      </c>
      <c r="V954" s="906">
        <f>4/(12)</f>
        <v>0.33333333333333331</v>
      </c>
      <c r="W954" s="912">
        <f>2*(ROUND(2*P953/V954,0))+1</f>
        <v>11</v>
      </c>
      <c r="X954" s="907">
        <f>2*(P952+P953)-8*S952+2*8*U954/1000</f>
        <v>2.4933333333333336</v>
      </c>
    </row>
    <row r="955" spans="1:24" s="487" customFormat="1" ht="18" customHeight="1">
      <c r="A955" s="478"/>
      <c r="B955" s="336" t="s">
        <v>495</v>
      </c>
      <c r="C955" s="924">
        <f>W955</f>
        <v>12</v>
      </c>
      <c r="D955" s="480" t="s">
        <v>87</v>
      </c>
      <c r="E955" s="481">
        <f>E954</f>
        <v>2</v>
      </c>
      <c r="F955" s="482">
        <f>F954</f>
        <v>2</v>
      </c>
      <c r="G955" s="483">
        <f>G954</f>
        <v>10</v>
      </c>
      <c r="H955" s="484"/>
      <c r="I955" s="483"/>
      <c r="J955" s="484"/>
      <c r="K955" s="483"/>
      <c r="L955" s="914">
        <f>C955*E955*(F955+G955/12)</f>
        <v>68</v>
      </c>
      <c r="M955" s="485"/>
      <c r="N955" s="485"/>
      <c r="O955" s="486"/>
      <c r="P955" s="915"/>
      <c r="Q955" s="916"/>
      <c r="R955" s="917">
        <f t="shared" si="304"/>
        <v>2</v>
      </c>
      <c r="S955" s="916"/>
      <c r="T955" s="75" t="s">
        <v>676</v>
      </c>
      <c r="U955" s="75">
        <v>10</v>
      </c>
      <c r="V955" s="906">
        <f>6/(12)</f>
        <v>0.5</v>
      </c>
      <c r="W955" s="912">
        <f>(ROUND((Q952-4*P953)/V955,0))+1</f>
        <v>12</v>
      </c>
      <c r="X955" s="907">
        <f>2*(P952+P953)-8*S952+2*8*U955/1000</f>
        <v>2.4933333333333336</v>
      </c>
    </row>
    <row r="956" spans="1:24" s="487" customFormat="1" ht="18" customHeight="1">
      <c r="A956" s="478"/>
      <c r="B956" s="726" t="s">
        <v>301</v>
      </c>
      <c r="C956" s="924"/>
      <c r="D956" s="480"/>
      <c r="E956" s="481"/>
      <c r="F956" s="482"/>
      <c r="G956" s="483"/>
      <c r="H956" s="484"/>
      <c r="I956" s="483"/>
      <c r="J956" s="484"/>
      <c r="K956" s="483"/>
      <c r="L956" s="914"/>
      <c r="M956" s="485"/>
      <c r="N956" s="485"/>
      <c r="O956" s="486"/>
    </row>
    <row r="957" spans="1:24" s="487" customFormat="1" ht="18" customHeight="1">
      <c r="A957" s="478"/>
      <c r="B957" s="956" t="s">
        <v>496</v>
      </c>
      <c r="C957" s="957">
        <f>C122</f>
        <v>1</v>
      </c>
      <c r="D957" s="958" t="s">
        <v>87</v>
      </c>
      <c r="E957" s="959">
        <v>3</v>
      </c>
      <c r="F957" s="960">
        <v>36</v>
      </c>
      <c r="G957" s="961">
        <v>6</v>
      </c>
      <c r="H957" s="962">
        <f>H122</f>
        <v>0</v>
      </c>
      <c r="I957" s="961">
        <f>I122</f>
        <v>10</v>
      </c>
      <c r="J957" s="484"/>
      <c r="K957" s="483"/>
      <c r="L957" s="914"/>
      <c r="M957" s="485"/>
      <c r="N957" s="485"/>
      <c r="O957" s="486"/>
    </row>
    <row r="958" spans="1:24" s="487" customFormat="1" ht="18" customHeight="1">
      <c r="A958" s="478"/>
      <c r="B958" s="336" t="s">
        <v>257</v>
      </c>
      <c r="C958" s="924">
        <v>3</v>
      </c>
      <c r="D958" s="480" t="s">
        <v>87</v>
      </c>
      <c r="E958" s="481">
        <f>C957*E957</f>
        <v>3</v>
      </c>
      <c r="F958" s="482">
        <v>38</v>
      </c>
      <c r="G958" s="483">
        <v>7</v>
      </c>
      <c r="H958" s="484"/>
      <c r="I958" s="483"/>
      <c r="J958" s="484"/>
      <c r="K958" s="483"/>
      <c r="L958" s="914"/>
      <c r="M958" s="485"/>
      <c r="N958" s="485">
        <f>C958*E958*(F958+G958/12)</f>
        <v>347.25</v>
      </c>
      <c r="O958" s="486"/>
      <c r="P958" s="915">
        <f>H957+I957/12</f>
        <v>0.83333333333333337</v>
      </c>
      <c r="Q958" s="964">
        <f>F957+G957/12</f>
        <v>36.5</v>
      </c>
      <c r="R958" s="917">
        <f>E957*C957</f>
        <v>3</v>
      </c>
      <c r="S958" s="916">
        <f>1.5/12</f>
        <v>0.125</v>
      </c>
      <c r="T958" s="75" t="s">
        <v>428</v>
      </c>
      <c r="U958" s="75">
        <v>16</v>
      </c>
      <c r="V958" s="906"/>
      <c r="W958" s="912">
        <f>C958</f>
        <v>3</v>
      </c>
      <c r="X958" s="907">
        <f>Q958-2*S958+2*P959</f>
        <v>38.583333333333336</v>
      </c>
    </row>
    <row r="959" spans="1:24" s="487" customFormat="1" ht="18" customHeight="1">
      <c r="A959" s="478"/>
      <c r="B959" s="336" t="s">
        <v>258</v>
      </c>
      <c r="C959" s="924">
        <v>3</v>
      </c>
      <c r="D959" s="480" t="s">
        <v>87</v>
      </c>
      <c r="E959" s="481">
        <f>E958</f>
        <v>3</v>
      </c>
      <c r="F959" s="482">
        <v>38</v>
      </c>
      <c r="G959" s="483">
        <v>6</v>
      </c>
      <c r="H959" s="484"/>
      <c r="I959" s="483"/>
      <c r="J959" s="484"/>
      <c r="K959" s="483"/>
      <c r="L959" s="914"/>
      <c r="M959" s="485"/>
      <c r="N959" s="485">
        <f>C959*E959*(F959+G959/12)</f>
        <v>346.5</v>
      </c>
      <c r="O959" s="486"/>
      <c r="P959" s="915">
        <f>14/12</f>
        <v>1.1666666666666667</v>
      </c>
      <c r="Q959" s="916"/>
      <c r="R959" s="917">
        <f>R958</f>
        <v>3</v>
      </c>
      <c r="S959" s="916">
        <f>1.5/12</f>
        <v>0.125</v>
      </c>
      <c r="T959" s="75" t="s">
        <v>429</v>
      </c>
      <c r="U959" s="75">
        <v>16</v>
      </c>
      <c r="V959" s="906"/>
      <c r="W959" s="912">
        <f>C959</f>
        <v>3</v>
      </c>
      <c r="X959" s="907">
        <f>Q958-2*S959-2*(U959/1000)*3.281+2*((P959))</f>
        <v>38.478341333333333</v>
      </c>
    </row>
    <row r="960" spans="1:24" s="487" customFormat="1" ht="18" customHeight="1">
      <c r="A960" s="478"/>
      <c r="B960" s="336" t="s">
        <v>449</v>
      </c>
      <c r="C960" s="924">
        <f>W960</f>
        <v>15</v>
      </c>
      <c r="D960" s="480" t="s">
        <v>87</v>
      </c>
      <c r="E960" s="481">
        <f>E959</f>
        <v>3</v>
      </c>
      <c r="F960" s="482">
        <v>3</v>
      </c>
      <c r="G960" s="483">
        <v>6</v>
      </c>
      <c r="H960" s="484"/>
      <c r="I960" s="483"/>
      <c r="J960" s="484"/>
      <c r="K960" s="483"/>
      <c r="L960" s="914">
        <f>C960*E960*(F960+G960/12)</f>
        <v>157.5</v>
      </c>
      <c r="M960" s="485"/>
      <c r="N960" s="485"/>
      <c r="O960" s="486"/>
      <c r="P960" s="915"/>
      <c r="Q960" s="916"/>
      <c r="R960" s="917">
        <f t="shared" ref="R960:R961" si="305">R959</f>
        <v>3</v>
      </c>
      <c r="S960" s="916"/>
      <c r="T960" s="75" t="s">
        <v>676</v>
      </c>
      <c r="U960" s="75">
        <v>10</v>
      </c>
      <c r="V960" s="906">
        <f>4/(12)</f>
        <v>0.33333333333333331</v>
      </c>
      <c r="W960" s="912">
        <f>2*(ROUND(2*P959/V960,0))+1</f>
        <v>15</v>
      </c>
      <c r="X960" s="907">
        <f>2*(P958+P959)-8*S958+2*8*U960/1000</f>
        <v>3.16</v>
      </c>
    </row>
    <row r="961" spans="1:24" s="487" customFormat="1" ht="18" customHeight="1">
      <c r="A961" s="478"/>
      <c r="B961" s="336" t="s">
        <v>495</v>
      </c>
      <c r="C961" s="924">
        <f>W961</f>
        <v>65</v>
      </c>
      <c r="D961" s="480" t="s">
        <v>87</v>
      </c>
      <c r="E961" s="481">
        <f>E960</f>
        <v>3</v>
      </c>
      <c r="F961" s="482">
        <f>F960</f>
        <v>3</v>
      </c>
      <c r="G961" s="483">
        <f>G960</f>
        <v>6</v>
      </c>
      <c r="H961" s="484"/>
      <c r="I961" s="483"/>
      <c r="J961" s="484"/>
      <c r="K961" s="483"/>
      <c r="L961" s="914">
        <f>C961*E961*(F961+G961/12)</f>
        <v>682.5</v>
      </c>
      <c r="M961" s="485"/>
      <c r="N961" s="485"/>
      <c r="O961" s="486"/>
      <c r="P961" s="915"/>
      <c r="Q961" s="916"/>
      <c r="R961" s="917">
        <f t="shared" si="305"/>
        <v>3</v>
      </c>
      <c r="S961" s="916"/>
      <c r="T961" s="75" t="s">
        <v>676</v>
      </c>
      <c r="U961" s="75">
        <v>10</v>
      </c>
      <c r="V961" s="906">
        <f>6/(12)</f>
        <v>0.5</v>
      </c>
      <c r="W961" s="912">
        <f>(ROUND((Q958-4*P959)/V961,0))+1</f>
        <v>65</v>
      </c>
      <c r="X961" s="907">
        <f>2*(P958+P959)-8*S958+2*8*U961/1000</f>
        <v>3.16</v>
      </c>
    </row>
    <row r="962" spans="1:24" s="487" customFormat="1" ht="18" customHeight="1">
      <c r="A962" s="478"/>
      <c r="B962" s="956" t="s">
        <v>497</v>
      </c>
      <c r="C962" s="957">
        <f>C127</f>
        <v>1</v>
      </c>
      <c r="D962" s="958" t="s">
        <v>87</v>
      </c>
      <c r="E962" s="959">
        <v>2</v>
      </c>
      <c r="F962" s="960">
        <v>33</v>
      </c>
      <c r="G962" s="961">
        <v>6</v>
      </c>
      <c r="H962" s="962">
        <f>H127</f>
        <v>0</v>
      </c>
      <c r="I962" s="961">
        <f>I127</f>
        <v>10</v>
      </c>
      <c r="J962" s="484"/>
      <c r="K962" s="483"/>
      <c r="L962" s="914"/>
      <c r="M962" s="485"/>
      <c r="N962" s="485"/>
      <c r="O962" s="486"/>
    </row>
    <row r="963" spans="1:24" s="487" customFormat="1" ht="18" customHeight="1">
      <c r="A963" s="478"/>
      <c r="B963" s="336" t="s">
        <v>257</v>
      </c>
      <c r="C963" s="924">
        <v>3</v>
      </c>
      <c r="D963" s="480" t="s">
        <v>87</v>
      </c>
      <c r="E963" s="481">
        <f>C962*E962</f>
        <v>2</v>
      </c>
      <c r="F963" s="482">
        <v>35</v>
      </c>
      <c r="G963" s="483">
        <v>7</v>
      </c>
      <c r="H963" s="484"/>
      <c r="I963" s="483"/>
      <c r="J963" s="484"/>
      <c r="K963" s="483"/>
      <c r="L963" s="914"/>
      <c r="M963" s="485"/>
      <c r="N963" s="485">
        <f>C963*E963*(F963+G963/12)</f>
        <v>213.5</v>
      </c>
      <c r="O963" s="486"/>
      <c r="P963" s="915">
        <f>H962+I962/12</f>
        <v>0.83333333333333337</v>
      </c>
      <c r="Q963" s="964">
        <f>F962+G962/12</f>
        <v>33.5</v>
      </c>
      <c r="R963" s="917">
        <f>E962*C962</f>
        <v>2</v>
      </c>
      <c r="S963" s="916">
        <f>1.5/12</f>
        <v>0.125</v>
      </c>
      <c r="T963" s="75" t="s">
        <v>428</v>
      </c>
      <c r="U963" s="75">
        <v>16</v>
      </c>
      <c r="V963" s="906"/>
      <c r="W963" s="912">
        <f>C963</f>
        <v>3</v>
      </c>
      <c r="X963" s="907">
        <f>Q963-2*S963+2*P964</f>
        <v>35.583333333333336</v>
      </c>
    </row>
    <row r="964" spans="1:24" s="487" customFormat="1" ht="18" customHeight="1">
      <c r="A964" s="478"/>
      <c r="B964" s="336" t="s">
        <v>258</v>
      </c>
      <c r="C964" s="924">
        <v>3</v>
      </c>
      <c r="D964" s="480" t="s">
        <v>87</v>
      </c>
      <c r="E964" s="481">
        <f>E963</f>
        <v>2</v>
      </c>
      <c r="F964" s="482">
        <v>35</v>
      </c>
      <c r="G964" s="483">
        <v>6</v>
      </c>
      <c r="H964" s="484"/>
      <c r="I964" s="483"/>
      <c r="J964" s="484"/>
      <c r="K964" s="483"/>
      <c r="L964" s="914"/>
      <c r="M964" s="485"/>
      <c r="N964" s="485">
        <f>C964*E964*(F964+G964/12)</f>
        <v>213</v>
      </c>
      <c r="O964" s="486"/>
      <c r="P964" s="915">
        <f>14/12</f>
        <v>1.1666666666666667</v>
      </c>
      <c r="Q964" s="916"/>
      <c r="R964" s="917">
        <f>R963</f>
        <v>2</v>
      </c>
      <c r="S964" s="916">
        <f>1.5/12</f>
        <v>0.125</v>
      </c>
      <c r="T964" s="75" t="s">
        <v>429</v>
      </c>
      <c r="U964" s="75">
        <v>16</v>
      </c>
      <c r="V964" s="906"/>
      <c r="W964" s="912">
        <f>C964</f>
        <v>3</v>
      </c>
      <c r="X964" s="907">
        <f>Q963-2*S964-2*(U964/1000)*3.281+2*((P964))</f>
        <v>35.478341333333333</v>
      </c>
    </row>
    <row r="965" spans="1:24" s="487" customFormat="1" ht="18" customHeight="1">
      <c r="A965" s="478"/>
      <c r="B965" s="336" t="s">
        <v>449</v>
      </c>
      <c r="C965" s="924">
        <f>W965</f>
        <v>15</v>
      </c>
      <c r="D965" s="480" t="s">
        <v>87</v>
      </c>
      <c r="E965" s="481">
        <f>E964</f>
        <v>2</v>
      </c>
      <c r="F965" s="482">
        <f>F960</f>
        <v>3</v>
      </c>
      <c r="G965" s="483">
        <f>G960</f>
        <v>6</v>
      </c>
      <c r="H965" s="484"/>
      <c r="I965" s="483"/>
      <c r="J965" s="484"/>
      <c r="K965" s="483"/>
      <c r="L965" s="914">
        <f>C965*E965*(F965+G965/12)</f>
        <v>105</v>
      </c>
      <c r="M965" s="485"/>
      <c r="N965" s="485"/>
      <c r="O965" s="486"/>
      <c r="P965" s="915"/>
      <c r="Q965" s="916"/>
      <c r="R965" s="917">
        <f t="shared" ref="R965:R966" si="306">R964</f>
        <v>2</v>
      </c>
      <c r="S965" s="916"/>
      <c r="T965" s="75" t="s">
        <v>676</v>
      </c>
      <c r="U965" s="75">
        <v>10</v>
      </c>
      <c r="V965" s="906">
        <f>4/(12)</f>
        <v>0.33333333333333331</v>
      </c>
      <c r="W965" s="912">
        <f>2*(ROUND(2*P964/V965,0))+1</f>
        <v>15</v>
      </c>
      <c r="X965" s="907">
        <f>2*(P963+P964)-8*S963+2*8*U965/1000</f>
        <v>3.16</v>
      </c>
    </row>
    <row r="966" spans="1:24" s="487" customFormat="1" ht="18" customHeight="1">
      <c r="A966" s="478"/>
      <c r="B966" s="336" t="s">
        <v>495</v>
      </c>
      <c r="C966" s="924">
        <f>W966</f>
        <v>59</v>
      </c>
      <c r="D966" s="480" t="s">
        <v>87</v>
      </c>
      <c r="E966" s="481">
        <f>E965</f>
        <v>2</v>
      </c>
      <c r="F966" s="482">
        <f>F965</f>
        <v>3</v>
      </c>
      <c r="G966" s="483">
        <f>G965</f>
        <v>6</v>
      </c>
      <c r="H966" s="484"/>
      <c r="I966" s="483"/>
      <c r="J966" s="484"/>
      <c r="K966" s="483"/>
      <c r="L966" s="914">
        <f>C966*E966*(F966+G966/12)</f>
        <v>413</v>
      </c>
      <c r="M966" s="485"/>
      <c r="N966" s="485"/>
      <c r="O966" s="486"/>
      <c r="P966" s="915"/>
      <c r="Q966" s="916"/>
      <c r="R966" s="917">
        <f t="shared" si="306"/>
        <v>2</v>
      </c>
      <c r="S966" s="916"/>
      <c r="T966" s="75" t="s">
        <v>676</v>
      </c>
      <c r="U966" s="75">
        <v>10</v>
      </c>
      <c r="V966" s="906">
        <f>6/(12)</f>
        <v>0.5</v>
      </c>
      <c r="W966" s="912">
        <f>(ROUND((Q963-4*P964)/V966,0))+1</f>
        <v>59</v>
      </c>
      <c r="X966" s="907">
        <f>2*(P963+P964)-8*S963+2*8*U966/1000</f>
        <v>3.16</v>
      </c>
    </row>
    <row r="967" spans="1:24" s="487" customFormat="1" ht="18" customHeight="1">
      <c r="A967" s="478"/>
      <c r="B967" s="726" t="s">
        <v>306</v>
      </c>
      <c r="C967" s="924"/>
      <c r="D967" s="480"/>
      <c r="E967" s="481"/>
      <c r="F967" s="482"/>
      <c r="G967" s="483"/>
      <c r="H967" s="484"/>
      <c r="I967" s="483"/>
      <c r="J967" s="484"/>
      <c r="K967" s="483"/>
      <c r="L967" s="914"/>
      <c r="M967" s="485"/>
      <c r="N967" s="485"/>
      <c r="O967" s="486"/>
    </row>
    <row r="968" spans="1:24" s="487" customFormat="1" ht="18" customHeight="1">
      <c r="A968" s="478"/>
      <c r="B968" s="956" t="s">
        <v>498</v>
      </c>
      <c r="C968" s="957">
        <f>C133</f>
        <v>1</v>
      </c>
      <c r="D968" s="958" t="s">
        <v>87</v>
      </c>
      <c r="E968" s="959">
        <v>2</v>
      </c>
      <c r="F968" s="960">
        <v>33</v>
      </c>
      <c r="G968" s="961">
        <v>6</v>
      </c>
      <c r="H968" s="962">
        <f>H133</f>
        <v>0</v>
      </c>
      <c r="I968" s="961">
        <f>I133</f>
        <v>10</v>
      </c>
      <c r="J968" s="484"/>
      <c r="K968" s="483"/>
      <c r="L968" s="914"/>
      <c r="M968" s="485"/>
      <c r="N968" s="485"/>
      <c r="O968" s="486"/>
    </row>
    <row r="969" spans="1:24" s="487" customFormat="1" ht="18" customHeight="1">
      <c r="A969" s="478"/>
      <c r="B969" s="336" t="s">
        <v>499</v>
      </c>
      <c r="C969" s="924">
        <v>4</v>
      </c>
      <c r="D969" s="480" t="s">
        <v>87</v>
      </c>
      <c r="E969" s="481">
        <f>C968*E968</f>
        <v>2</v>
      </c>
      <c r="F969" s="482">
        <v>36</v>
      </c>
      <c r="G969" s="483">
        <v>3</v>
      </c>
      <c r="H969" s="484"/>
      <c r="I969" s="483"/>
      <c r="J969" s="484"/>
      <c r="K969" s="483"/>
      <c r="L969" s="914"/>
      <c r="M969" s="485"/>
      <c r="N969" s="485">
        <f>C969*E969*(F969+G969/12)</f>
        <v>290</v>
      </c>
      <c r="O969" s="486"/>
      <c r="P969" s="915">
        <f>H968+I968/12</f>
        <v>0.83333333333333337</v>
      </c>
      <c r="Q969" s="964">
        <f>F968+G968/12</f>
        <v>33.5</v>
      </c>
      <c r="R969" s="917">
        <f>E968*C968</f>
        <v>2</v>
      </c>
      <c r="S969" s="916">
        <f>1.5/12</f>
        <v>0.125</v>
      </c>
      <c r="T969" s="75" t="s">
        <v>428</v>
      </c>
      <c r="U969" s="75">
        <v>16</v>
      </c>
      <c r="V969" s="906"/>
      <c r="W969" s="912">
        <f>C969</f>
        <v>4</v>
      </c>
      <c r="X969" s="907">
        <f>Q969-2*S969+2*P970</f>
        <v>36.25</v>
      </c>
    </row>
    <row r="970" spans="1:24" s="487" customFormat="1" ht="18" customHeight="1">
      <c r="A970" s="478"/>
      <c r="B970" s="336" t="s">
        <v>258</v>
      </c>
      <c r="C970" s="924">
        <v>3</v>
      </c>
      <c r="D970" s="480" t="s">
        <v>87</v>
      </c>
      <c r="E970" s="481">
        <f>E969</f>
        <v>2</v>
      </c>
      <c r="F970" s="482">
        <v>36</v>
      </c>
      <c r="G970" s="483">
        <v>2</v>
      </c>
      <c r="H970" s="484"/>
      <c r="I970" s="483"/>
      <c r="J970" s="484"/>
      <c r="K970" s="483"/>
      <c r="L970" s="914"/>
      <c r="M970" s="485"/>
      <c r="N970" s="485">
        <f>C970*E970*(F970+G970/12)</f>
        <v>217</v>
      </c>
      <c r="O970" s="486"/>
      <c r="P970" s="915">
        <v>1.5</v>
      </c>
      <c r="Q970" s="916"/>
      <c r="R970" s="917">
        <f>R969</f>
        <v>2</v>
      </c>
      <c r="S970" s="916">
        <f>1.5/12</f>
        <v>0.125</v>
      </c>
      <c r="T970" s="75" t="s">
        <v>429</v>
      </c>
      <c r="U970" s="75">
        <v>16</v>
      </c>
      <c r="V970" s="906"/>
      <c r="W970" s="912">
        <f>C970</f>
        <v>3</v>
      </c>
      <c r="X970" s="907">
        <f>Q969-2*S970-2*(U970/1000)*3.281+2*((P970))</f>
        <v>36.145007999999997</v>
      </c>
    </row>
    <row r="971" spans="1:24" s="487" customFormat="1" ht="18" customHeight="1">
      <c r="A971" s="478"/>
      <c r="B971" s="336" t="s">
        <v>449</v>
      </c>
      <c r="C971" s="924">
        <f>W971</f>
        <v>19</v>
      </c>
      <c r="D971" s="480" t="s">
        <v>87</v>
      </c>
      <c r="E971" s="481">
        <f>E970</f>
        <v>2</v>
      </c>
      <c r="F971" s="482">
        <v>4</v>
      </c>
      <c r="G971" s="483">
        <v>2</v>
      </c>
      <c r="H971" s="484"/>
      <c r="I971" s="483"/>
      <c r="J971" s="484"/>
      <c r="K971" s="483"/>
      <c r="L971" s="914">
        <f>C971*E971*(F971+G971/12)</f>
        <v>158.33333333333334</v>
      </c>
      <c r="M971" s="485"/>
      <c r="N971" s="485"/>
      <c r="O971" s="486"/>
      <c r="P971" s="915"/>
      <c r="Q971" s="916"/>
      <c r="R971" s="917">
        <f t="shared" ref="R971:R972" si="307">R970</f>
        <v>2</v>
      </c>
      <c r="S971" s="916"/>
      <c r="T971" s="75" t="s">
        <v>676</v>
      </c>
      <c r="U971" s="75">
        <v>10</v>
      </c>
      <c r="V971" s="906">
        <f>4/(12)</f>
        <v>0.33333333333333331</v>
      </c>
      <c r="W971" s="912">
        <f>2*(ROUND(2*P970/V971,0))+1</f>
        <v>19</v>
      </c>
      <c r="X971" s="907">
        <f>2*(P969+P970)-8*S969+2*8*U971/1000</f>
        <v>3.8266666666666671</v>
      </c>
    </row>
    <row r="972" spans="1:24" s="487" customFormat="1" ht="18" customHeight="1">
      <c r="A972" s="478"/>
      <c r="B972" s="336" t="s">
        <v>495</v>
      </c>
      <c r="C972" s="924">
        <f>W972</f>
        <v>56</v>
      </c>
      <c r="D972" s="480" t="s">
        <v>87</v>
      </c>
      <c r="E972" s="481">
        <f>E971</f>
        <v>2</v>
      </c>
      <c r="F972" s="482">
        <f>F971</f>
        <v>4</v>
      </c>
      <c r="G972" s="483">
        <f>G971</f>
        <v>2</v>
      </c>
      <c r="H972" s="484"/>
      <c r="I972" s="483"/>
      <c r="J972" s="484"/>
      <c r="K972" s="483"/>
      <c r="L972" s="914">
        <f>C972*E972*(F972+G972/12)</f>
        <v>466.66666666666669</v>
      </c>
      <c r="M972" s="485"/>
      <c r="N972" s="485"/>
      <c r="O972" s="486"/>
      <c r="P972" s="915"/>
      <c r="Q972" s="916"/>
      <c r="R972" s="917">
        <f t="shared" si="307"/>
        <v>2</v>
      </c>
      <c r="S972" s="916"/>
      <c r="T972" s="75" t="s">
        <v>676</v>
      </c>
      <c r="U972" s="75">
        <v>10</v>
      </c>
      <c r="V972" s="906">
        <f>6/(12)</f>
        <v>0.5</v>
      </c>
      <c r="W972" s="912">
        <f>(ROUND((Q969-4*P970)/V972,0))+1</f>
        <v>56</v>
      </c>
      <c r="X972" s="907">
        <f>2*(P969+P970)-8*S969+2*8*U972/1000</f>
        <v>3.8266666666666671</v>
      </c>
    </row>
    <row r="973" spans="1:24" s="487" customFormat="1" ht="18" customHeight="1">
      <c r="A973" s="478"/>
      <c r="B973" s="956" t="s">
        <v>275</v>
      </c>
      <c r="C973" s="957">
        <f>C135</f>
        <v>1</v>
      </c>
      <c r="D973" s="958" t="s">
        <v>87</v>
      </c>
      <c r="E973" s="959">
        <f>E135</f>
        <v>1</v>
      </c>
      <c r="F973" s="960">
        <f>F135</f>
        <v>14</v>
      </c>
      <c r="G973" s="961">
        <f>G135</f>
        <v>6</v>
      </c>
      <c r="H973" s="962">
        <f>H968</f>
        <v>0</v>
      </c>
      <c r="I973" s="961">
        <f>I968</f>
        <v>10</v>
      </c>
      <c r="J973" s="484"/>
      <c r="K973" s="483"/>
      <c r="L973" s="914"/>
      <c r="M973" s="485"/>
      <c r="N973" s="485"/>
      <c r="O973" s="486"/>
    </row>
    <row r="974" spans="1:24" s="487" customFormat="1" ht="18" customHeight="1">
      <c r="A974" s="478"/>
      <c r="B974" s="336" t="s">
        <v>499</v>
      </c>
      <c r="C974" s="924">
        <v>4</v>
      </c>
      <c r="D974" s="480" t="s">
        <v>87</v>
      </c>
      <c r="E974" s="481">
        <f>C973*E973</f>
        <v>1</v>
      </c>
      <c r="F974" s="482">
        <v>17</v>
      </c>
      <c r="G974" s="483">
        <v>3</v>
      </c>
      <c r="H974" s="484"/>
      <c r="I974" s="483"/>
      <c r="J974" s="484"/>
      <c r="K974" s="483"/>
      <c r="L974" s="914"/>
      <c r="M974" s="485"/>
      <c r="N974" s="485">
        <f>C974*E974*(F974+G974/12)</f>
        <v>69</v>
      </c>
      <c r="O974" s="486"/>
      <c r="P974" s="915">
        <f>H973+I973/12</f>
        <v>0.83333333333333337</v>
      </c>
      <c r="Q974" s="964">
        <f>F973+G973/12</f>
        <v>14.5</v>
      </c>
      <c r="R974" s="917">
        <f>E973*C973</f>
        <v>1</v>
      </c>
      <c r="S974" s="916">
        <f>1.5/12</f>
        <v>0.125</v>
      </c>
      <c r="T974" s="75" t="s">
        <v>428</v>
      </c>
      <c r="U974" s="75">
        <v>16</v>
      </c>
      <c r="V974" s="906"/>
      <c r="W974" s="912">
        <f>C974</f>
        <v>4</v>
      </c>
      <c r="X974" s="907">
        <f>Q974-2*S974+2*P975</f>
        <v>17.25</v>
      </c>
    </row>
    <row r="975" spans="1:24" s="487" customFormat="1" ht="18" customHeight="1">
      <c r="A975" s="478"/>
      <c r="B975" s="336" t="s">
        <v>258</v>
      </c>
      <c r="C975" s="924">
        <v>3</v>
      </c>
      <c r="D975" s="480" t="s">
        <v>87</v>
      </c>
      <c r="E975" s="481">
        <f>E974</f>
        <v>1</v>
      </c>
      <c r="F975" s="482">
        <v>17</v>
      </c>
      <c r="G975" s="483">
        <v>2</v>
      </c>
      <c r="H975" s="484"/>
      <c r="I975" s="483"/>
      <c r="J975" s="484"/>
      <c r="K975" s="483"/>
      <c r="L975" s="914"/>
      <c r="M975" s="485"/>
      <c r="N975" s="485">
        <f>C975*E975*(F975+G975/12)</f>
        <v>51.5</v>
      </c>
      <c r="O975" s="486"/>
      <c r="P975" s="915">
        <v>1.5</v>
      </c>
      <c r="Q975" s="916"/>
      <c r="R975" s="917">
        <f>R974</f>
        <v>1</v>
      </c>
      <c r="S975" s="916">
        <f>1.5/12</f>
        <v>0.125</v>
      </c>
      <c r="T975" s="75" t="s">
        <v>429</v>
      </c>
      <c r="U975" s="75">
        <v>16</v>
      </c>
      <c r="V975" s="906"/>
      <c r="W975" s="912">
        <f>C975</f>
        <v>3</v>
      </c>
      <c r="X975" s="907">
        <f>Q974-2*S975-2*(U975/1000)*3.281+2*((P975))</f>
        <v>17.145008000000001</v>
      </c>
    </row>
    <row r="976" spans="1:24" s="487" customFormat="1" ht="18" customHeight="1">
      <c r="A976" s="478"/>
      <c r="B976" s="336" t="s">
        <v>449</v>
      </c>
      <c r="C976" s="924">
        <f>W976</f>
        <v>19</v>
      </c>
      <c r="D976" s="480" t="s">
        <v>87</v>
      </c>
      <c r="E976" s="481">
        <f>E975</f>
        <v>1</v>
      </c>
      <c r="F976" s="482">
        <f>F971</f>
        <v>4</v>
      </c>
      <c r="G976" s="483">
        <f>G971</f>
        <v>2</v>
      </c>
      <c r="H976" s="484"/>
      <c r="I976" s="483"/>
      <c r="J976" s="484"/>
      <c r="K976" s="483"/>
      <c r="L976" s="914">
        <f>C976*E976*(F976+G976/12)</f>
        <v>79.166666666666671</v>
      </c>
      <c r="M976" s="485"/>
      <c r="N976" s="485"/>
      <c r="O976" s="486"/>
      <c r="P976" s="915"/>
      <c r="Q976" s="916"/>
      <c r="R976" s="917">
        <f t="shared" ref="R976:R977" si="308">R975</f>
        <v>1</v>
      </c>
      <c r="S976" s="916"/>
      <c r="T976" s="75" t="s">
        <v>676</v>
      </c>
      <c r="U976" s="75">
        <v>10</v>
      </c>
      <c r="V976" s="906">
        <f>4/(12)</f>
        <v>0.33333333333333331</v>
      </c>
      <c r="W976" s="912">
        <f>2*(ROUND(2*P975/V976,0))+1</f>
        <v>19</v>
      </c>
      <c r="X976" s="907">
        <f>2*(P974+P975)-8*S974+2*8*U976/1000</f>
        <v>3.8266666666666671</v>
      </c>
    </row>
    <row r="977" spans="1:24" s="487" customFormat="1" ht="18" customHeight="1">
      <c r="A977" s="478"/>
      <c r="B977" s="336" t="s">
        <v>495</v>
      </c>
      <c r="C977" s="924">
        <f>W977</f>
        <v>18</v>
      </c>
      <c r="D977" s="480" t="s">
        <v>87</v>
      </c>
      <c r="E977" s="481">
        <f>E976</f>
        <v>1</v>
      </c>
      <c r="F977" s="482">
        <f>F976</f>
        <v>4</v>
      </c>
      <c r="G977" s="483">
        <f>G976</f>
        <v>2</v>
      </c>
      <c r="H977" s="484"/>
      <c r="I977" s="483"/>
      <c r="J977" s="484"/>
      <c r="K977" s="483"/>
      <c r="L977" s="914">
        <f>C977*E977*(F977+G977/12)</f>
        <v>75</v>
      </c>
      <c r="M977" s="485"/>
      <c r="N977" s="485"/>
      <c r="O977" s="486"/>
      <c r="P977" s="915"/>
      <c r="Q977" s="916"/>
      <c r="R977" s="917">
        <f t="shared" si="308"/>
        <v>1</v>
      </c>
      <c r="S977" s="916"/>
      <c r="T977" s="75" t="s">
        <v>676</v>
      </c>
      <c r="U977" s="75">
        <v>10</v>
      </c>
      <c r="V977" s="906">
        <f>6/(12)</f>
        <v>0.5</v>
      </c>
      <c r="W977" s="912">
        <f>(ROUND((Q974-4*P975)/V977,0))+1</f>
        <v>18</v>
      </c>
      <c r="X977" s="907">
        <f>2*(P974+P975)-8*S974+2*8*U977/1000</f>
        <v>3.8266666666666671</v>
      </c>
    </row>
    <row r="978" spans="1:24" s="487" customFormat="1" ht="18" customHeight="1">
      <c r="A978" s="478"/>
      <c r="B978" s="336"/>
      <c r="C978" s="924"/>
      <c r="D978" s="480"/>
      <c r="E978" s="481"/>
      <c r="F978" s="482"/>
      <c r="G978" s="483"/>
      <c r="H978" s="484"/>
      <c r="I978" s="483"/>
      <c r="J978" s="484"/>
      <c r="K978" s="483"/>
      <c r="L978" s="914"/>
      <c r="M978" s="485"/>
      <c r="N978" s="485"/>
      <c r="O978" s="486"/>
    </row>
    <row r="979" spans="1:24" s="487" customFormat="1" ht="18" customHeight="1">
      <c r="A979" s="478"/>
      <c r="B979" s="723" t="s">
        <v>570</v>
      </c>
      <c r="C979" s="924"/>
      <c r="D979" s="480"/>
      <c r="E979" s="481"/>
      <c r="F979" s="482"/>
      <c r="G979" s="483"/>
      <c r="H979" s="484"/>
      <c r="I979" s="483"/>
      <c r="J979" s="484"/>
      <c r="K979" s="483"/>
      <c r="L979" s="914"/>
      <c r="M979" s="485"/>
      <c r="N979" s="485"/>
      <c r="O979" s="486"/>
    </row>
    <row r="980" spans="1:24" s="487" customFormat="1" ht="18" customHeight="1">
      <c r="A980" s="478"/>
      <c r="B980" s="726" t="s">
        <v>308</v>
      </c>
      <c r="C980" s="924"/>
      <c r="D980" s="480"/>
      <c r="E980" s="481"/>
      <c r="F980" s="482"/>
      <c r="G980" s="483"/>
      <c r="H980" s="484"/>
      <c r="I980" s="483"/>
      <c r="J980" s="484"/>
      <c r="K980" s="483"/>
      <c r="L980" s="914"/>
      <c r="M980" s="485"/>
      <c r="N980" s="485"/>
      <c r="O980" s="486"/>
    </row>
    <row r="981" spans="1:24" s="487" customFormat="1" ht="18" customHeight="1">
      <c r="A981" s="478"/>
      <c r="B981" s="956" t="s">
        <v>701</v>
      </c>
      <c r="C981" s="957">
        <v>1</v>
      </c>
      <c r="D981" s="958" t="s">
        <v>87</v>
      </c>
      <c r="E981" s="959">
        <v>2</v>
      </c>
      <c r="F981" s="960">
        <v>6</v>
      </c>
      <c r="G981" s="961">
        <v>4</v>
      </c>
      <c r="H981" s="962">
        <v>0</v>
      </c>
      <c r="I981" s="961">
        <v>10</v>
      </c>
      <c r="J981" s="484"/>
      <c r="K981" s="483"/>
      <c r="L981" s="914"/>
      <c r="M981" s="485"/>
      <c r="N981" s="485"/>
      <c r="O981" s="486"/>
    </row>
    <row r="982" spans="1:24" s="487" customFormat="1" ht="18" customHeight="1">
      <c r="A982" s="478"/>
      <c r="B982" s="336" t="s">
        <v>259</v>
      </c>
      <c r="C982" s="924">
        <v>2</v>
      </c>
      <c r="D982" s="480" t="s">
        <v>87</v>
      </c>
      <c r="E982" s="481">
        <f>C981*2</f>
        <v>2</v>
      </c>
      <c r="F982" s="482">
        <v>7</v>
      </c>
      <c r="G982" s="483">
        <v>9</v>
      </c>
      <c r="H982" s="484"/>
      <c r="I982" s="483"/>
      <c r="J982" s="484"/>
      <c r="K982" s="483"/>
      <c r="L982" s="914"/>
      <c r="M982" s="485"/>
      <c r="N982" s="485">
        <f>C982*E982*(F982+G982/12)</f>
        <v>31</v>
      </c>
      <c r="O982" s="486"/>
      <c r="P982" s="915">
        <f>H981+I981/12</f>
        <v>0.83333333333333337</v>
      </c>
      <c r="Q982" s="964">
        <f>F981+G981/12</f>
        <v>6.333333333333333</v>
      </c>
      <c r="R982" s="917">
        <f>E981*C981</f>
        <v>2</v>
      </c>
      <c r="S982" s="916">
        <f>1.5/12</f>
        <v>0.125</v>
      </c>
      <c r="T982" s="75" t="s">
        <v>428</v>
      </c>
      <c r="U982" s="75">
        <v>16</v>
      </c>
      <c r="V982" s="906"/>
      <c r="W982" s="912">
        <f>C982</f>
        <v>2</v>
      </c>
      <c r="X982" s="907">
        <f>Q982-2*S982+2*P983</f>
        <v>7.7433333333333332</v>
      </c>
    </row>
    <row r="983" spans="1:24" s="487" customFormat="1" ht="18" customHeight="1">
      <c r="A983" s="478"/>
      <c r="B983" s="336" t="s">
        <v>260</v>
      </c>
      <c r="C983" s="924">
        <v>2</v>
      </c>
      <c r="D983" s="480" t="s">
        <v>87</v>
      </c>
      <c r="E983" s="481">
        <f>E982</f>
        <v>2</v>
      </c>
      <c r="F983" s="482">
        <v>7</v>
      </c>
      <c r="G983" s="483">
        <v>8</v>
      </c>
      <c r="H983" s="484"/>
      <c r="I983" s="483"/>
      <c r="J983" s="484"/>
      <c r="K983" s="483"/>
      <c r="L983" s="914"/>
      <c r="M983" s="485"/>
      <c r="N983" s="485">
        <f>C983*E983*(F983+G983/12)</f>
        <v>30.666666666666668</v>
      </c>
      <c r="O983" s="486"/>
      <c r="P983" s="915">
        <v>0.83</v>
      </c>
      <c r="Q983" s="916"/>
      <c r="R983" s="917">
        <f>R982</f>
        <v>2</v>
      </c>
      <c r="S983" s="916">
        <f>1.5/12</f>
        <v>0.125</v>
      </c>
      <c r="T983" s="75" t="s">
        <v>429</v>
      </c>
      <c r="U983" s="75">
        <v>16</v>
      </c>
      <c r="V983" s="906"/>
      <c r="W983" s="912">
        <f>C983</f>
        <v>2</v>
      </c>
      <c r="X983" s="907">
        <f>Q982-2*S983-2*(U983/1000)*3.281+2*((P983))</f>
        <v>7.638341333333333</v>
      </c>
    </row>
    <row r="984" spans="1:24" s="487" customFormat="1" ht="18" customHeight="1">
      <c r="A984" s="478"/>
      <c r="B984" s="336" t="s">
        <v>449</v>
      </c>
      <c r="C984" s="924">
        <f>W984</f>
        <v>11</v>
      </c>
      <c r="D984" s="480" t="s">
        <v>87</v>
      </c>
      <c r="E984" s="481">
        <f>E983</f>
        <v>2</v>
      </c>
      <c r="F984" s="482">
        <v>2</v>
      </c>
      <c r="G984" s="483">
        <v>10</v>
      </c>
      <c r="H984" s="484"/>
      <c r="I984" s="483"/>
      <c r="J984" s="484"/>
      <c r="K984" s="483"/>
      <c r="L984" s="914">
        <f>C984*E984*(F984+G984/12)</f>
        <v>62.333333333333336</v>
      </c>
      <c r="M984" s="485"/>
      <c r="N984" s="485"/>
      <c r="O984" s="486"/>
      <c r="P984" s="915"/>
      <c r="Q984" s="916"/>
      <c r="R984" s="917">
        <f t="shared" ref="R984:R985" si="309">R983</f>
        <v>2</v>
      </c>
      <c r="S984" s="916"/>
      <c r="T984" s="75" t="s">
        <v>676</v>
      </c>
      <c r="U984" s="75">
        <v>10</v>
      </c>
      <c r="V984" s="906">
        <f>4/(12)</f>
        <v>0.33333333333333331</v>
      </c>
      <c r="W984" s="912">
        <f>2*(ROUND(2*P983/V984,0))+1</f>
        <v>11</v>
      </c>
      <c r="X984" s="907">
        <f>2*(P982+P983)-8*S982+2*8*U984/1000</f>
        <v>2.4866666666666668</v>
      </c>
    </row>
    <row r="985" spans="1:24" s="487" customFormat="1" ht="18" customHeight="1">
      <c r="A985" s="478"/>
      <c r="B985" s="336" t="s">
        <v>495</v>
      </c>
      <c r="C985" s="924">
        <f>W985</f>
        <v>7</v>
      </c>
      <c r="D985" s="480" t="s">
        <v>87</v>
      </c>
      <c r="E985" s="481">
        <f>E984</f>
        <v>2</v>
      </c>
      <c r="F985" s="482">
        <v>2</v>
      </c>
      <c r="G985" s="483">
        <v>10</v>
      </c>
      <c r="H985" s="484"/>
      <c r="I985" s="483"/>
      <c r="J985" s="484"/>
      <c r="K985" s="483"/>
      <c r="L985" s="914">
        <f>C985*E985*(F985+G985/12)</f>
        <v>39.666666666666671</v>
      </c>
      <c r="M985" s="485"/>
      <c r="N985" s="485"/>
      <c r="O985" s="486"/>
      <c r="P985" s="915"/>
      <c r="Q985" s="916"/>
      <c r="R985" s="917">
        <f t="shared" si="309"/>
        <v>2</v>
      </c>
      <c r="S985" s="916"/>
      <c r="T985" s="75" t="s">
        <v>676</v>
      </c>
      <c r="U985" s="75">
        <v>10</v>
      </c>
      <c r="V985" s="906">
        <f>6/(12)</f>
        <v>0.5</v>
      </c>
      <c r="W985" s="912">
        <f>(ROUND((Q982-4*P983)/V985,0))+1</f>
        <v>7</v>
      </c>
      <c r="X985" s="907">
        <f>2*(P982+P983)-8*S982+2*8*U985/1000</f>
        <v>2.4866666666666668</v>
      </c>
    </row>
    <row r="986" spans="1:24" s="487" customFormat="1" ht="18" customHeight="1">
      <c r="A986" s="478"/>
      <c r="B986" s="956" t="s">
        <v>311</v>
      </c>
      <c r="C986" s="957">
        <f>C141</f>
        <v>1</v>
      </c>
      <c r="D986" s="958" t="s">
        <v>87</v>
      </c>
      <c r="E986" s="959">
        <f>E141</f>
        <v>1</v>
      </c>
      <c r="F986" s="960">
        <v>9</v>
      </c>
      <c r="G986" s="961">
        <v>0</v>
      </c>
      <c r="H986" s="962">
        <f>H141</f>
        <v>0</v>
      </c>
      <c r="I986" s="961">
        <f>I141</f>
        <v>10</v>
      </c>
      <c r="J986" s="484"/>
      <c r="K986" s="483"/>
      <c r="L986" s="914"/>
      <c r="M986" s="485"/>
      <c r="N986" s="485"/>
      <c r="O986" s="486"/>
    </row>
    <row r="987" spans="1:24" s="487" customFormat="1" ht="18" customHeight="1">
      <c r="A987" s="478"/>
      <c r="B987" s="336" t="s">
        <v>259</v>
      </c>
      <c r="C987" s="924">
        <v>2</v>
      </c>
      <c r="D987" s="480" t="s">
        <v>87</v>
      </c>
      <c r="E987" s="481">
        <f>C986*E986</f>
        <v>1</v>
      </c>
      <c r="F987" s="482">
        <v>10</v>
      </c>
      <c r="G987" s="483">
        <v>5</v>
      </c>
      <c r="H987" s="484"/>
      <c r="I987" s="483"/>
      <c r="J987" s="484"/>
      <c r="K987" s="483"/>
      <c r="L987" s="914"/>
      <c r="M987" s="485"/>
      <c r="N987" s="485">
        <f>C987*E987*(F987+G987/12)</f>
        <v>20.833333333333332</v>
      </c>
      <c r="O987" s="486"/>
      <c r="P987" s="915">
        <f>H986+I986/12</f>
        <v>0.83333333333333337</v>
      </c>
      <c r="Q987" s="964">
        <f>F986+G986/12</f>
        <v>9</v>
      </c>
      <c r="R987" s="917">
        <f>E986*C986</f>
        <v>1</v>
      </c>
      <c r="S987" s="916">
        <f>1.5/12</f>
        <v>0.125</v>
      </c>
      <c r="T987" s="75" t="s">
        <v>428</v>
      </c>
      <c r="U987" s="75">
        <v>16</v>
      </c>
      <c r="V987" s="906"/>
      <c r="W987" s="912">
        <f>C987</f>
        <v>2</v>
      </c>
      <c r="X987" s="907">
        <f>Q987-2*S987+2*P988</f>
        <v>10.41</v>
      </c>
    </row>
    <row r="988" spans="1:24" s="487" customFormat="1" ht="18" customHeight="1">
      <c r="A988" s="478"/>
      <c r="B988" s="336" t="s">
        <v>260</v>
      </c>
      <c r="C988" s="924">
        <v>2</v>
      </c>
      <c r="D988" s="480" t="s">
        <v>87</v>
      </c>
      <c r="E988" s="481">
        <f>E987</f>
        <v>1</v>
      </c>
      <c r="F988" s="482">
        <v>10</v>
      </c>
      <c r="G988" s="483">
        <v>4</v>
      </c>
      <c r="H988" s="484"/>
      <c r="I988" s="483"/>
      <c r="J988" s="484"/>
      <c r="K988" s="483"/>
      <c r="L988" s="914"/>
      <c r="M988" s="485"/>
      <c r="N988" s="485">
        <f>C988*E988*(F988+G988/12)</f>
        <v>20.666666666666668</v>
      </c>
      <c r="O988" s="486"/>
      <c r="P988" s="915">
        <v>0.83</v>
      </c>
      <c r="Q988" s="916"/>
      <c r="R988" s="917">
        <f>R987</f>
        <v>1</v>
      </c>
      <c r="S988" s="916">
        <f>1.5/12</f>
        <v>0.125</v>
      </c>
      <c r="T988" s="75" t="s">
        <v>429</v>
      </c>
      <c r="U988" s="75">
        <v>16</v>
      </c>
      <c r="V988" s="906"/>
      <c r="W988" s="912">
        <f>C988</f>
        <v>2</v>
      </c>
      <c r="X988" s="907">
        <f>Q987-2*S988-2*(U988/1000)*3.281+2*((P988))</f>
        <v>10.305008000000001</v>
      </c>
    </row>
    <row r="989" spans="1:24" s="487" customFormat="1" ht="18" customHeight="1">
      <c r="A989" s="478"/>
      <c r="B989" s="336" t="s">
        <v>449</v>
      </c>
      <c r="C989" s="924">
        <f>W989</f>
        <v>11</v>
      </c>
      <c r="D989" s="480" t="s">
        <v>87</v>
      </c>
      <c r="E989" s="481">
        <f>E988</f>
        <v>1</v>
      </c>
      <c r="F989" s="482">
        <v>2</v>
      </c>
      <c r="G989" s="483">
        <v>10</v>
      </c>
      <c r="H989" s="484"/>
      <c r="I989" s="483"/>
      <c r="J989" s="484"/>
      <c r="K989" s="483"/>
      <c r="L989" s="914">
        <f>C989*E989*(F989+G989/12)</f>
        <v>31.166666666666668</v>
      </c>
      <c r="M989" s="485"/>
      <c r="N989" s="485"/>
      <c r="O989" s="486"/>
      <c r="P989" s="915"/>
      <c r="Q989" s="916"/>
      <c r="R989" s="917">
        <f t="shared" ref="R989:R990" si="310">R988</f>
        <v>1</v>
      </c>
      <c r="S989" s="916"/>
      <c r="T989" s="75" t="s">
        <v>676</v>
      </c>
      <c r="U989" s="75">
        <v>10</v>
      </c>
      <c r="V989" s="906">
        <f>4/(12)</f>
        <v>0.33333333333333331</v>
      </c>
      <c r="W989" s="912">
        <f>2*(ROUND(2*P988/V989,0))+1</f>
        <v>11</v>
      </c>
      <c r="X989" s="907">
        <f>2*(P987+P988)-8*S987+2*8*U989/1000</f>
        <v>2.4866666666666668</v>
      </c>
    </row>
    <row r="990" spans="1:24" s="487" customFormat="1" ht="18" customHeight="1">
      <c r="A990" s="478"/>
      <c r="B990" s="336" t="s">
        <v>495</v>
      </c>
      <c r="C990" s="924">
        <f>W990</f>
        <v>12</v>
      </c>
      <c r="D990" s="480" t="s">
        <v>87</v>
      </c>
      <c r="E990" s="481">
        <f>E989</f>
        <v>1</v>
      </c>
      <c r="F990" s="482">
        <f>F989</f>
        <v>2</v>
      </c>
      <c r="G990" s="483">
        <f>G989</f>
        <v>10</v>
      </c>
      <c r="H990" s="484"/>
      <c r="I990" s="483"/>
      <c r="J990" s="484"/>
      <c r="K990" s="483"/>
      <c r="L990" s="914">
        <f>C990*E990*(F990+G990/12)</f>
        <v>34</v>
      </c>
      <c r="M990" s="485"/>
      <c r="N990" s="485"/>
      <c r="O990" s="486"/>
      <c r="P990" s="915"/>
      <c r="Q990" s="916"/>
      <c r="R990" s="917">
        <f t="shared" si="310"/>
        <v>1</v>
      </c>
      <c r="S990" s="916"/>
      <c r="T990" s="75" t="s">
        <v>676</v>
      </c>
      <c r="U990" s="75">
        <v>10</v>
      </c>
      <c r="V990" s="906">
        <f>6/(12)</f>
        <v>0.5</v>
      </c>
      <c r="W990" s="912">
        <f>(ROUND((Q987-4*P988)/V990,0))+1</f>
        <v>12</v>
      </c>
      <c r="X990" s="907">
        <f>2*(P987+P988)-8*S987+2*8*U990/1000</f>
        <v>2.4866666666666668</v>
      </c>
    </row>
    <row r="991" spans="1:24" s="487" customFormat="1" ht="18" customHeight="1">
      <c r="A991" s="478"/>
      <c r="B991" s="726" t="s">
        <v>312</v>
      </c>
      <c r="C991" s="924"/>
      <c r="D991" s="480"/>
      <c r="E991" s="481"/>
      <c r="F991" s="482"/>
      <c r="G991" s="483"/>
      <c r="H991" s="484"/>
      <c r="I991" s="483"/>
      <c r="J991" s="484"/>
      <c r="K991" s="483"/>
      <c r="L991" s="914"/>
      <c r="M991" s="485"/>
      <c r="N991" s="485"/>
      <c r="O991" s="486"/>
    </row>
    <row r="992" spans="1:24" s="487" customFormat="1" ht="18" customHeight="1">
      <c r="A992" s="478"/>
      <c r="B992" s="956" t="s">
        <v>313</v>
      </c>
      <c r="C992" s="957">
        <v>1</v>
      </c>
      <c r="D992" s="958" t="s">
        <v>87</v>
      </c>
      <c r="E992" s="959">
        <v>1</v>
      </c>
      <c r="F992" s="960">
        <v>5</v>
      </c>
      <c r="G992" s="961">
        <v>4</v>
      </c>
      <c r="H992" s="962">
        <v>0</v>
      </c>
      <c r="I992" s="961">
        <v>10</v>
      </c>
      <c r="J992" s="484"/>
      <c r="K992" s="483"/>
      <c r="L992" s="914"/>
      <c r="M992" s="485"/>
      <c r="N992" s="485"/>
      <c r="O992" s="486"/>
    </row>
    <row r="993" spans="1:24" s="487" customFormat="1" ht="18" customHeight="1">
      <c r="A993" s="478"/>
      <c r="B993" s="336" t="s">
        <v>257</v>
      </c>
      <c r="C993" s="924">
        <v>3</v>
      </c>
      <c r="D993" s="480" t="s">
        <v>87</v>
      </c>
      <c r="E993" s="481">
        <f>C992*E992</f>
        <v>1</v>
      </c>
      <c r="F993" s="482">
        <v>7</v>
      </c>
      <c r="G993" s="483">
        <v>1</v>
      </c>
      <c r="H993" s="484"/>
      <c r="I993" s="483"/>
      <c r="J993" s="484"/>
      <c r="K993" s="483"/>
      <c r="L993" s="914"/>
      <c r="M993" s="485"/>
      <c r="N993" s="485">
        <f>C993*E993*(F993+G993/12)</f>
        <v>21.25</v>
      </c>
      <c r="O993" s="486"/>
      <c r="P993" s="915">
        <f>H992+I992/12</f>
        <v>0.83333333333333337</v>
      </c>
      <c r="Q993" s="964">
        <f>F992+G992/12</f>
        <v>5.333333333333333</v>
      </c>
      <c r="R993" s="917">
        <f>E992*C992</f>
        <v>1</v>
      </c>
      <c r="S993" s="916">
        <f>1.5/12</f>
        <v>0.125</v>
      </c>
      <c r="T993" s="75" t="s">
        <v>428</v>
      </c>
      <c r="U993" s="75">
        <v>16</v>
      </c>
      <c r="V993" s="906"/>
      <c r="W993" s="912">
        <f>C993</f>
        <v>3</v>
      </c>
      <c r="X993" s="907">
        <f>Q993-2*S993+2*P994</f>
        <v>7.083333333333333</v>
      </c>
    </row>
    <row r="994" spans="1:24" s="487" customFormat="1" ht="18" customHeight="1">
      <c r="A994" s="478"/>
      <c r="B994" s="336" t="s">
        <v>258</v>
      </c>
      <c r="C994" s="924">
        <v>3</v>
      </c>
      <c r="D994" s="480" t="s">
        <v>87</v>
      </c>
      <c r="E994" s="481">
        <f>E993</f>
        <v>1</v>
      </c>
      <c r="F994" s="482">
        <v>7</v>
      </c>
      <c r="G994" s="483">
        <v>0</v>
      </c>
      <c r="H994" s="484"/>
      <c r="I994" s="483"/>
      <c r="J994" s="484"/>
      <c r="K994" s="483"/>
      <c r="L994" s="914"/>
      <c r="M994" s="485"/>
      <c r="N994" s="485">
        <f>C994*E994*(F994+G994/12)</f>
        <v>21</v>
      </c>
      <c r="O994" s="486"/>
      <c r="P994" s="915">
        <v>1</v>
      </c>
      <c r="Q994" s="916"/>
      <c r="R994" s="917">
        <f>R993</f>
        <v>1</v>
      </c>
      <c r="S994" s="916">
        <f>1.5/12</f>
        <v>0.125</v>
      </c>
      <c r="T994" s="75" t="s">
        <v>429</v>
      </c>
      <c r="U994" s="75">
        <v>16</v>
      </c>
      <c r="V994" s="906"/>
      <c r="W994" s="912">
        <f>C994</f>
        <v>3</v>
      </c>
      <c r="X994" s="907">
        <f>Q993-2*S994-2*(U994/1000)*3.281+2*((P994))</f>
        <v>6.9783413333333328</v>
      </c>
    </row>
    <row r="995" spans="1:24" s="487" customFormat="1" ht="18" customHeight="1">
      <c r="A995" s="478"/>
      <c r="B995" s="336" t="s">
        <v>449</v>
      </c>
      <c r="C995" s="924">
        <f>W995+W996</f>
        <v>17</v>
      </c>
      <c r="D995" s="480" t="s">
        <v>87</v>
      </c>
      <c r="E995" s="481">
        <f>E994</f>
        <v>1</v>
      </c>
      <c r="F995" s="482">
        <v>3</v>
      </c>
      <c r="G995" s="483">
        <v>2</v>
      </c>
      <c r="H995" s="484"/>
      <c r="I995" s="483"/>
      <c r="J995" s="484"/>
      <c r="K995" s="483"/>
      <c r="L995" s="914">
        <f>C995*E995*(F995+G995/12)</f>
        <v>53.833333333333329</v>
      </c>
      <c r="M995" s="485"/>
      <c r="N995" s="485"/>
      <c r="O995" s="486"/>
      <c r="P995" s="915"/>
      <c r="Q995" s="916"/>
      <c r="R995" s="917">
        <f t="shared" ref="R995:R996" si="311">R994</f>
        <v>1</v>
      </c>
      <c r="S995" s="916"/>
      <c r="T995" s="75" t="s">
        <v>676</v>
      </c>
      <c r="U995" s="75">
        <v>10</v>
      </c>
      <c r="V995" s="906">
        <f>4/(12)</f>
        <v>0.33333333333333331</v>
      </c>
      <c r="W995" s="912">
        <f>2*(ROUND(2*P994/V995,0))+1</f>
        <v>13</v>
      </c>
      <c r="X995" s="907">
        <f>2*(P993+P994)-8*S993+2*8*U995/1000</f>
        <v>2.8266666666666671</v>
      </c>
    </row>
    <row r="996" spans="1:24" s="487" customFormat="1" ht="18" customHeight="1">
      <c r="A996" s="478"/>
      <c r="B996" s="726" t="s">
        <v>314</v>
      </c>
      <c r="C996" s="924"/>
      <c r="D996" s="480"/>
      <c r="E996" s="481"/>
      <c r="F996" s="482"/>
      <c r="G996" s="483"/>
      <c r="H996" s="484"/>
      <c r="I996" s="483"/>
      <c r="J996" s="484"/>
      <c r="K996" s="483"/>
      <c r="L996" s="914"/>
      <c r="M996" s="485"/>
      <c r="N996" s="485"/>
      <c r="O996" s="486"/>
      <c r="P996" s="915"/>
      <c r="Q996" s="916"/>
      <c r="R996" s="917">
        <f t="shared" si="311"/>
        <v>1</v>
      </c>
      <c r="S996" s="916"/>
      <c r="T996" s="75" t="s">
        <v>676</v>
      </c>
      <c r="U996" s="75">
        <v>10</v>
      </c>
      <c r="V996" s="906">
        <f>6/(12)</f>
        <v>0.5</v>
      </c>
      <c r="W996" s="912">
        <f>(ROUND((Q993-4*P994)/V996,0))+1</f>
        <v>4</v>
      </c>
      <c r="X996" s="907">
        <f>2*(P993+P994)-8*S993+2*8*U996/1000</f>
        <v>2.8266666666666671</v>
      </c>
    </row>
    <row r="997" spans="1:24" s="487" customFormat="1" ht="18" customHeight="1">
      <c r="A997" s="478"/>
      <c r="B997" s="956" t="s">
        <v>315</v>
      </c>
      <c r="C997" s="957">
        <f>C147</f>
        <v>3</v>
      </c>
      <c r="D997" s="958" t="s">
        <v>87</v>
      </c>
      <c r="E997" s="959">
        <f>E147</f>
        <v>1</v>
      </c>
      <c r="F997" s="960">
        <v>15</v>
      </c>
      <c r="G997" s="961">
        <v>7</v>
      </c>
      <c r="H997" s="962">
        <f>H147</f>
        <v>0</v>
      </c>
      <c r="I997" s="961">
        <f>I147</f>
        <v>10</v>
      </c>
      <c r="J997" s="484"/>
      <c r="K997" s="483"/>
      <c r="L997" s="914"/>
      <c r="M997" s="485"/>
      <c r="N997" s="485"/>
      <c r="O997" s="486"/>
    </row>
    <row r="998" spans="1:24" s="487" customFormat="1" ht="18" customHeight="1">
      <c r="A998" s="478"/>
      <c r="B998" s="336" t="s">
        <v>257</v>
      </c>
      <c r="C998" s="924">
        <v>3</v>
      </c>
      <c r="D998" s="480" t="s">
        <v>87</v>
      </c>
      <c r="E998" s="481">
        <f>C997*E997</f>
        <v>3</v>
      </c>
      <c r="F998" s="482">
        <v>17</v>
      </c>
      <c r="G998" s="483">
        <v>8</v>
      </c>
      <c r="H998" s="484"/>
      <c r="I998" s="483"/>
      <c r="J998" s="484"/>
      <c r="K998" s="483"/>
      <c r="L998" s="914"/>
      <c r="M998" s="485"/>
      <c r="N998" s="485">
        <f>C998*E998*(F998+G998/12)</f>
        <v>159</v>
      </c>
      <c r="O998" s="486"/>
      <c r="P998" s="915">
        <f>H997+I997/12</f>
        <v>0.83333333333333337</v>
      </c>
      <c r="Q998" s="964">
        <f>F997+G997/12</f>
        <v>15.583333333333334</v>
      </c>
      <c r="R998" s="917">
        <f>E997*C997</f>
        <v>3</v>
      </c>
      <c r="S998" s="916">
        <f>1.5/12</f>
        <v>0.125</v>
      </c>
      <c r="T998" s="75" t="s">
        <v>428</v>
      </c>
      <c r="U998" s="75">
        <v>16</v>
      </c>
      <c r="V998" s="906"/>
      <c r="W998" s="912">
        <f>C998</f>
        <v>3</v>
      </c>
      <c r="X998" s="907">
        <f>Q998-2*S998+2*P999</f>
        <v>17.673333333333332</v>
      </c>
    </row>
    <row r="999" spans="1:24" s="487" customFormat="1" ht="18" customHeight="1">
      <c r="A999" s="478"/>
      <c r="B999" s="336" t="s">
        <v>258</v>
      </c>
      <c r="C999" s="924">
        <v>3</v>
      </c>
      <c r="D999" s="480" t="s">
        <v>87</v>
      </c>
      <c r="E999" s="481">
        <f>E998</f>
        <v>3</v>
      </c>
      <c r="F999" s="482">
        <v>17</v>
      </c>
      <c r="G999" s="483">
        <v>7</v>
      </c>
      <c r="H999" s="484"/>
      <c r="I999" s="483"/>
      <c r="J999" s="484"/>
      <c r="K999" s="483"/>
      <c r="L999" s="914"/>
      <c r="M999" s="485"/>
      <c r="N999" s="485">
        <f>C999*E999*(F999+G999/12)</f>
        <v>158.25</v>
      </c>
      <c r="O999" s="486"/>
      <c r="P999" s="915">
        <v>1.17</v>
      </c>
      <c r="Q999" s="916"/>
      <c r="R999" s="917">
        <f>R998</f>
        <v>3</v>
      </c>
      <c r="S999" s="916">
        <f>1.5/12</f>
        <v>0.125</v>
      </c>
      <c r="T999" s="75" t="s">
        <v>429</v>
      </c>
      <c r="U999" s="75">
        <v>16</v>
      </c>
      <c r="V999" s="906"/>
      <c r="W999" s="912">
        <f>C999</f>
        <v>3</v>
      </c>
      <c r="X999" s="907">
        <f>Q998-2*S999-2*(U999/1000)*3.281+2*((P999))</f>
        <v>17.568341333333336</v>
      </c>
    </row>
    <row r="1000" spans="1:24" s="487" customFormat="1" ht="18" customHeight="1">
      <c r="A1000" s="478"/>
      <c r="B1000" s="336" t="s">
        <v>449</v>
      </c>
      <c r="C1000" s="924">
        <f>W1000</f>
        <v>15</v>
      </c>
      <c r="D1000" s="480" t="s">
        <v>87</v>
      </c>
      <c r="E1000" s="481">
        <f>E999</f>
        <v>3</v>
      </c>
      <c r="F1000" s="482">
        <v>3</v>
      </c>
      <c r="G1000" s="483">
        <v>6</v>
      </c>
      <c r="H1000" s="484"/>
      <c r="I1000" s="483"/>
      <c r="J1000" s="484"/>
      <c r="K1000" s="483"/>
      <c r="L1000" s="914">
        <f>C1000*E1000*(F1000+G1000/12)</f>
        <v>157.5</v>
      </c>
      <c r="M1000" s="485"/>
      <c r="N1000" s="485"/>
      <c r="O1000" s="486"/>
      <c r="P1000" s="915"/>
      <c r="Q1000" s="916"/>
      <c r="R1000" s="917">
        <f t="shared" ref="R1000:R1001" si="312">R999</f>
        <v>3</v>
      </c>
      <c r="S1000" s="916"/>
      <c r="T1000" s="75" t="s">
        <v>676</v>
      </c>
      <c r="U1000" s="75">
        <v>10</v>
      </c>
      <c r="V1000" s="906">
        <f>4/(12)</f>
        <v>0.33333333333333331</v>
      </c>
      <c r="W1000" s="912">
        <f>2*(ROUND(2*P999/V1000,0))+1</f>
        <v>15</v>
      </c>
      <c r="X1000" s="907">
        <f>2*(P998+P999)-8*S998+2*8*U1000/1000</f>
        <v>3.166666666666667</v>
      </c>
    </row>
    <row r="1001" spans="1:24" s="487" customFormat="1" ht="18" customHeight="1">
      <c r="A1001" s="478"/>
      <c r="B1001" s="336" t="s">
        <v>495</v>
      </c>
      <c r="C1001" s="924">
        <f>W1001</f>
        <v>23</v>
      </c>
      <c r="D1001" s="480" t="s">
        <v>87</v>
      </c>
      <c r="E1001" s="481">
        <f>E1000</f>
        <v>3</v>
      </c>
      <c r="F1001" s="482">
        <f>F1000</f>
        <v>3</v>
      </c>
      <c r="G1001" s="483">
        <f>G1000</f>
        <v>6</v>
      </c>
      <c r="H1001" s="484"/>
      <c r="I1001" s="483"/>
      <c r="J1001" s="484"/>
      <c r="K1001" s="483"/>
      <c r="L1001" s="914">
        <f>C1001*E1001*(F1001+G1001/12)</f>
        <v>241.5</v>
      </c>
      <c r="M1001" s="485"/>
      <c r="N1001" s="485"/>
      <c r="O1001" s="486"/>
      <c r="P1001" s="915"/>
      <c r="Q1001" s="916"/>
      <c r="R1001" s="917">
        <f t="shared" si="312"/>
        <v>3</v>
      </c>
      <c r="S1001" s="916"/>
      <c r="T1001" s="75" t="s">
        <v>676</v>
      </c>
      <c r="U1001" s="75">
        <v>10</v>
      </c>
      <c r="V1001" s="906">
        <f>6/(12)</f>
        <v>0.5</v>
      </c>
      <c r="W1001" s="912">
        <f>(ROUND((Q998-4*P999)/V1001,0))+1</f>
        <v>23</v>
      </c>
      <c r="X1001" s="907">
        <f>2*(P998+P999)-8*S998+2*8*U1001/1000</f>
        <v>3.166666666666667</v>
      </c>
    </row>
    <row r="1002" spans="1:24" s="487" customFormat="1" ht="18" customHeight="1">
      <c r="A1002" s="478"/>
      <c r="B1002" s="726" t="s">
        <v>472</v>
      </c>
      <c r="C1002" s="924"/>
      <c r="D1002" s="480"/>
      <c r="E1002" s="481"/>
      <c r="F1002" s="482"/>
      <c r="G1002" s="483"/>
      <c r="H1002" s="484"/>
      <c r="I1002" s="483"/>
      <c r="J1002" s="484"/>
      <c r="K1002" s="483"/>
      <c r="L1002" s="914"/>
      <c r="M1002" s="485"/>
      <c r="N1002" s="485"/>
      <c r="O1002" s="486"/>
    </row>
    <row r="1003" spans="1:24" s="487" customFormat="1" ht="18" customHeight="1">
      <c r="A1003" s="478"/>
      <c r="B1003" s="956" t="s">
        <v>317</v>
      </c>
      <c r="C1003" s="957">
        <f>C150</f>
        <v>2</v>
      </c>
      <c r="D1003" s="958" t="s">
        <v>87</v>
      </c>
      <c r="E1003" s="959">
        <f>E150</f>
        <v>1</v>
      </c>
      <c r="F1003" s="960">
        <f>F150</f>
        <v>4</v>
      </c>
      <c r="G1003" s="961">
        <f>G150</f>
        <v>0</v>
      </c>
      <c r="H1003" s="962">
        <f>H150</f>
        <v>0</v>
      </c>
      <c r="I1003" s="961">
        <f>I150</f>
        <v>10</v>
      </c>
      <c r="J1003" s="484"/>
      <c r="K1003" s="483"/>
      <c r="L1003" s="914"/>
      <c r="M1003" s="485"/>
      <c r="N1003" s="485"/>
      <c r="O1003" s="486"/>
    </row>
    <row r="1004" spans="1:24" s="487" customFormat="1" ht="18" customHeight="1">
      <c r="A1004" s="478"/>
      <c r="B1004" s="336" t="s">
        <v>499</v>
      </c>
      <c r="C1004" s="924">
        <v>4</v>
      </c>
      <c r="D1004" s="480" t="s">
        <v>87</v>
      </c>
      <c r="E1004" s="481">
        <f>C1003*E1003</f>
        <v>2</v>
      </c>
      <c r="F1004" s="482">
        <v>6</v>
      </c>
      <c r="G1004" s="483">
        <v>5</v>
      </c>
      <c r="H1004" s="484"/>
      <c r="I1004" s="483"/>
      <c r="J1004" s="484"/>
      <c r="K1004" s="483"/>
      <c r="L1004" s="914"/>
      <c r="M1004" s="485"/>
      <c r="N1004" s="485">
        <f>C1004*E1004*(F1004+G1004/12)</f>
        <v>51.333333333333336</v>
      </c>
      <c r="O1004" s="486"/>
      <c r="P1004" s="915">
        <f>H1003+I1003/12</f>
        <v>0.83333333333333337</v>
      </c>
      <c r="Q1004" s="964">
        <f>F1003+G1003/12</f>
        <v>4</v>
      </c>
      <c r="R1004" s="917">
        <f>E1003*C1003</f>
        <v>2</v>
      </c>
      <c r="S1004" s="916">
        <f>1.5/12</f>
        <v>0.125</v>
      </c>
      <c r="T1004" s="75" t="s">
        <v>428</v>
      </c>
      <c r="U1004" s="75">
        <v>16</v>
      </c>
      <c r="V1004" s="906"/>
      <c r="W1004" s="912">
        <f>C1004</f>
        <v>4</v>
      </c>
      <c r="X1004" s="907">
        <f>Q1004-2*S1004+2*P1005</f>
        <v>6.41</v>
      </c>
    </row>
    <row r="1005" spans="1:24" s="487" customFormat="1" ht="18" customHeight="1">
      <c r="A1005" s="478"/>
      <c r="B1005" s="336" t="s">
        <v>258</v>
      </c>
      <c r="C1005" s="924">
        <v>3</v>
      </c>
      <c r="D1005" s="480" t="s">
        <v>87</v>
      </c>
      <c r="E1005" s="481">
        <f>E1004</f>
        <v>2</v>
      </c>
      <c r="F1005" s="482">
        <v>5</v>
      </c>
      <c r="G1005" s="483">
        <v>4</v>
      </c>
      <c r="H1005" s="484"/>
      <c r="I1005" s="483"/>
      <c r="J1005" s="484"/>
      <c r="K1005" s="483"/>
      <c r="L1005" s="914"/>
      <c r="M1005" s="485"/>
      <c r="N1005" s="485">
        <f>C1005*E1005*(F1005+G1005/12)</f>
        <v>32</v>
      </c>
      <c r="O1005" s="486"/>
      <c r="P1005" s="915">
        <v>1.33</v>
      </c>
      <c r="Q1005" s="916"/>
      <c r="R1005" s="917">
        <f>R1004</f>
        <v>2</v>
      </c>
      <c r="S1005" s="916">
        <f>1.5/12</f>
        <v>0.125</v>
      </c>
      <c r="T1005" s="75" t="s">
        <v>429</v>
      </c>
      <c r="U1005" s="75">
        <v>16</v>
      </c>
      <c r="V1005" s="906"/>
      <c r="W1005" s="912">
        <f>C1005</f>
        <v>3</v>
      </c>
      <c r="X1005" s="907">
        <f>Q1004-2*S1005-2*(U1005/1000)*3.281+2*((P1005))</f>
        <v>6.3050079999999999</v>
      </c>
    </row>
    <row r="1006" spans="1:24" s="487" customFormat="1" ht="18" customHeight="1">
      <c r="A1006" s="478"/>
      <c r="B1006" s="336" t="s">
        <v>449</v>
      </c>
      <c r="C1006" s="924">
        <f>W1006</f>
        <v>13</v>
      </c>
      <c r="D1006" s="480" t="s">
        <v>87</v>
      </c>
      <c r="E1006" s="481">
        <f>E1005</f>
        <v>2</v>
      </c>
      <c r="F1006" s="482">
        <v>2</v>
      </c>
      <c r="G1006" s="483">
        <v>10</v>
      </c>
      <c r="H1006" s="484"/>
      <c r="I1006" s="483"/>
      <c r="J1006" s="484"/>
      <c r="K1006" s="483"/>
      <c r="L1006" s="914">
        <f>C1006*E1006*(F1006+G1006/12)</f>
        <v>73.666666666666671</v>
      </c>
      <c r="M1006" s="485"/>
      <c r="N1006" s="485"/>
      <c r="O1006" s="486"/>
      <c r="P1006" s="915"/>
      <c r="Q1006" s="916"/>
      <c r="R1006" s="917">
        <f t="shared" ref="R1006" si="313">R1005</f>
        <v>2</v>
      </c>
      <c r="S1006" s="916"/>
      <c r="T1006" s="75" t="s">
        <v>676</v>
      </c>
      <c r="U1006" s="75">
        <v>10</v>
      </c>
      <c r="V1006" s="906">
        <f>4/(12)</f>
        <v>0.33333333333333331</v>
      </c>
      <c r="W1006" s="912">
        <f>(ROUND(Q1004/V1006,0))+1</f>
        <v>13</v>
      </c>
      <c r="X1006" s="907">
        <f>2*(P1004+P1005)-8*S1004+2*8*U1006/1000</f>
        <v>3.4866666666666672</v>
      </c>
    </row>
    <row r="1007" spans="1:24" s="487" customFormat="1" ht="18" customHeight="1">
      <c r="A1007" s="478"/>
      <c r="B1007" s="956" t="s">
        <v>325</v>
      </c>
      <c r="C1007" s="957">
        <f>C151</f>
        <v>1</v>
      </c>
      <c r="D1007" s="958" t="s">
        <v>87</v>
      </c>
      <c r="E1007" s="959">
        <f>E151</f>
        <v>1</v>
      </c>
      <c r="F1007" s="960">
        <v>33</v>
      </c>
      <c r="G1007" s="961">
        <v>6</v>
      </c>
      <c r="H1007" s="962">
        <f>H1003</f>
        <v>0</v>
      </c>
      <c r="I1007" s="961">
        <f>I1003</f>
        <v>10</v>
      </c>
      <c r="J1007" s="484"/>
      <c r="K1007" s="483"/>
      <c r="L1007" s="914"/>
      <c r="M1007" s="485"/>
      <c r="N1007" s="485"/>
      <c r="O1007" s="486"/>
      <c r="P1007" s="915"/>
      <c r="Q1007" s="916"/>
      <c r="R1007" s="917"/>
      <c r="S1007" s="916"/>
      <c r="T1007" s="75"/>
      <c r="U1007" s="75"/>
      <c r="V1007" s="906"/>
      <c r="W1007" s="912"/>
      <c r="X1007" s="907"/>
    </row>
    <row r="1008" spans="1:24" s="487" customFormat="1" ht="18" customHeight="1">
      <c r="A1008" s="478"/>
      <c r="B1008" s="336" t="s">
        <v>499</v>
      </c>
      <c r="C1008" s="924">
        <v>4</v>
      </c>
      <c r="D1008" s="480" t="s">
        <v>87</v>
      </c>
      <c r="E1008" s="481">
        <f>C1007*E1007</f>
        <v>1</v>
      </c>
      <c r="F1008" s="482">
        <v>35</v>
      </c>
      <c r="G1008" s="483">
        <v>11</v>
      </c>
      <c r="H1008" s="484"/>
      <c r="I1008" s="483"/>
      <c r="J1008" s="484"/>
      <c r="K1008" s="483"/>
      <c r="L1008" s="914"/>
      <c r="M1008" s="485"/>
      <c r="N1008" s="485">
        <f>C1008*E1008*(F1008+G1008/12)</f>
        <v>143.66666666666666</v>
      </c>
      <c r="O1008" s="486"/>
      <c r="P1008" s="915">
        <f>H1007+I1007/12</f>
        <v>0.83333333333333337</v>
      </c>
      <c r="Q1008" s="964">
        <f>F1007+G1007/12</f>
        <v>33.5</v>
      </c>
      <c r="R1008" s="917">
        <f>E1007*C1007</f>
        <v>1</v>
      </c>
      <c r="S1008" s="916">
        <f>1.5/12</f>
        <v>0.125</v>
      </c>
      <c r="T1008" s="75" t="s">
        <v>428</v>
      </c>
      <c r="U1008" s="75">
        <v>16</v>
      </c>
      <c r="V1008" s="906"/>
      <c r="W1008" s="912">
        <f>C1008</f>
        <v>4</v>
      </c>
      <c r="X1008" s="907">
        <f>Q1008-2*S1008+2*P1009</f>
        <v>35.909999999999997</v>
      </c>
    </row>
    <row r="1009" spans="1:24" s="487" customFormat="1" ht="18" customHeight="1">
      <c r="A1009" s="478"/>
      <c r="B1009" s="336" t="s">
        <v>258</v>
      </c>
      <c r="C1009" s="924">
        <v>3</v>
      </c>
      <c r="D1009" s="480" t="s">
        <v>87</v>
      </c>
      <c r="E1009" s="481">
        <f>E1008</f>
        <v>1</v>
      </c>
      <c r="F1009" s="482">
        <v>35</v>
      </c>
      <c r="G1009" s="483">
        <v>10</v>
      </c>
      <c r="H1009" s="484"/>
      <c r="I1009" s="483"/>
      <c r="J1009" s="484"/>
      <c r="K1009" s="483"/>
      <c r="L1009" s="914"/>
      <c r="M1009" s="485"/>
      <c r="N1009" s="485">
        <f>C1009*E1009*(F1009+G1009/12)</f>
        <v>107.5</v>
      </c>
      <c r="O1009" s="486"/>
      <c r="P1009" s="915">
        <v>1.33</v>
      </c>
      <c r="Q1009" s="916"/>
      <c r="R1009" s="917">
        <f>R1008</f>
        <v>1</v>
      </c>
      <c r="S1009" s="916">
        <f>1.5/12</f>
        <v>0.125</v>
      </c>
      <c r="T1009" s="75" t="s">
        <v>429</v>
      </c>
      <c r="U1009" s="75">
        <v>16</v>
      </c>
      <c r="V1009" s="906"/>
      <c r="W1009" s="912">
        <f>C1009</f>
        <v>3</v>
      </c>
      <c r="X1009" s="907">
        <f>Q1008-2*S1009-2*(U1009/1000)*3.281+2*((P1009))</f>
        <v>35.805008000000001</v>
      </c>
    </row>
    <row r="1010" spans="1:24" s="487" customFormat="1" ht="18" customHeight="1">
      <c r="A1010" s="478"/>
      <c r="B1010" s="336" t="s">
        <v>449</v>
      </c>
      <c r="C1010" s="924">
        <f>W1010</f>
        <v>17</v>
      </c>
      <c r="D1010" s="480" t="s">
        <v>87</v>
      </c>
      <c r="E1010" s="481">
        <f>E1009</f>
        <v>1</v>
      </c>
      <c r="F1010" s="482">
        <v>3</v>
      </c>
      <c r="G1010" s="483">
        <v>10</v>
      </c>
      <c r="H1010" s="484"/>
      <c r="I1010" s="483"/>
      <c r="J1010" s="484"/>
      <c r="K1010" s="483"/>
      <c r="L1010" s="914">
        <f>C1010*E1010*(F1010+G1010/12)</f>
        <v>65.166666666666671</v>
      </c>
      <c r="M1010" s="485"/>
      <c r="N1010" s="485"/>
      <c r="O1010" s="486"/>
      <c r="P1010" s="915"/>
      <c r="Q1010" s="916"/>
      <c r="R1010" s="917">
        <f t="shared" ref="R1010:R1011" si="314">R1009</f>
        <v>1</v>
      </c>
      <c r="S1010" s="916"/>
      <c r="T1010" s="75" t="s">
        <v>676</v>
      </c>
      <c r="U1010" s="75">
        <v>10</v>
      </c>
      <c r="V1010" s="906">
        <f>4/(12)</f>
        <v>0.33333333333333331</v>
      </c>
      <c r="W1010" s="912">
        <f>2*(ROUND(2*P1009/V1010,0))+1</f>
        <v>17</v>
      </c>
      <c r="X1010" s="907">
        <f>2*(P1008+P1009)-8*S1008+2*8*U1010/1000</f>
        <v>3.4866666666666672</v>
      </c>
    </row>
    <row r="1011" spans="1:24" s="487" customFormat="1" ht="18" customHeight="1">
      <c r="A1011" s="478"/>
      <c r="B1011" s="336" t="s">
        <v>495</v>
      </c>
      <c r="C1011" s="924">
        <f>W1011</f>
        <v>57</v>
      </c>
      <c r="D1011" s="480" t="s">
        <v>87</v>
      </c>
      <c r="E1011" s="481">
        <f>E1010</f>
        <v>1</v>
      </c>
      <c r="F1011" s="482">
        <f>F1010</f>
        <v>3</v>
      </c>
      <c r="G1011" s="483">
        <f>G1010</f>
        <v>10</v>
      </c>
      <c r="H1011" s="484"/>
      <c r="I1011" s="483"/>
      <c r="J1011" s="484"/>
      <c r="K1011" s="483"/>
      <c r="L1011" s="914">
        <f>C1011*E1011*(F1011+G1011/12)</f>
        <v>218.5</v>
      </c>
      <c r="M1011" s="485"/>
      <c r="N1011" s="485"/>
      <c r="O1011" s="486"/>
      <c r="P1011" s="915"/>
      <c r="Q1011" s="916"/>
      <c r="R1011" s="917">
        <f t="shared" si="314"/>
        <v>1</v>
      </c>
      <c r="S1011" s="916"/>
      <c r="T1011" s="75" t="s">
        <v>676</v>
      </c>
      <c r="U1011" s="75">
        <v>10</v>
      </c>
      <c r="V1011" s="906">
        <f>6/(12)</f>
        <v>0.5</v>
      </c>
      <c r="W1011" s="912">
        <f>(ROUND((Q1008-4*P1009)/V1011,0))+1</f>
        <v>57</v>
      </c>
      <c r="X1011" s="907">
        <f>2*(P1008+P1009)-8*S1008+2*8*U1011/1000</f>
        <v>3.4866666666666672</v>
      </c>
    </row>
    <row r="1012" spans="1:24" s="487" customFormat="1" ht="18" customHeight="1">
      <c r="A1012" s="478"/>
      <c r="B1012" s="726" t="s">
        <v>318</v>
      </c>
      <c r="C1012" s="924"/>
      <c r="D1012" s="480"/>
      <c r="E1012" s="481"/>
      <c r="F1012" s="482"/>
      <c r="G1012" s="483"/>
      <c r="H1012" s="484"/>
      <c r="I1012" s="483"/>
      <c r="J1012" s="484"/>
      <c r="K1012" s="483"/>
      <c r="L1012" s="948"/>
      <c r="M1012" s="485"/>
      <c r="N1012" s="485"/>
      <c r="O1012" s="486"/>
    </row>
    <row r="1013" spans="1:24" s="487" customFormat="1" ht="18" customHeight="1">
      <c r="A1013" s="478"/>
      <c r="B1013" s="956" t="s">
        <v>501</v>
      </c>
      <c r="C1013" s="957">
        <f>C160</f>
        <v>1</v>
      </c>
      <c r="D1013" s="958" t="s">
        <v>87</v>
      </c>
      <c r="E1013" s="959">
        <f>E160</f>
        <v>2</v>
      </c>
      <c r="F1013" s="960">
        <v>33</v>
      </c>
      <c r="G1013" s="961">
        <v>6</v>
      </c>
      <c r="H1013" s="962">
        <v>0</v>
      </c>
      <c r="I1013" s="961">
        <v>10</v>
      </c>
      <c r="J1013" s="484"/>
      <c r="K1013" s="483"/>
      <c r="L1013" s="948"/>
      <c r="M1013" s="485"/>
      <c r="N1013" s="485"/>
      <c r="O1013" s="486"/>
    </row>
    <row r="1014" spans="1:24" s="487" customFormat="1" ht="18" customHeight="1">
      <c r="A1014" s="478"/>
      <c r="B1014" s="336" t="s">
        <v>499</v>
      </c>
      <c r="C1014" s="924">
        <v>4</v>
      </c>
      <c r="D1014" s="480" t="s">
        <v>87</v>
      </c>
      <c r="E1014" s="481">
        <f>C1013*E1013</f>
        <v>2</v>
      </c>
      <c r="F1014" s="482">
        <v>36</v>
      </c>
      <c r="G1014" s="483">
        <v>3</v>
      </c>
      <c r="H1014" s="484"/>
      <c r="I1014" s="483"/>
      <c r="J1014" s="484"/>
      <c r="K1014" s="483"/>
      <c r="L1014" s="948"/>
      <c r="M1014" s="485"/>
      <c r="N1014" s="485">
        <f>C1014*E1014*(F1014+G1014/12)</f>
        <v>290</v>
      </c>
      <c r="O1014" s="486"/>
      <c r="P1014" s="915">
        <f>H1013+I1013/12</f>
        <v>0.83333333333333337</v>
      </c>
      <c r="Q1014" s="964">
        <f>F1013+G1013/12</f>
        <v>33.5</v>
      </c>
      <c r="R1014" s="917">
        <f>E1013*C1013</f>
        <v>2</v>
      </c>
      <c r="S1014" s="916">
        <f>1.5/12</f>
        <v>0.125</v>
      </c>
      <c r="T1014" s="75" t="s">
        <v>428</v>
      </c>
      <c r="U1014" s="75">
        <v>16</v>
      </c>
      <c r="V1014" s="906"/>
      <c r="W1014" s="912">
        <f>C1014</f>
        <v>4</v>
      </c>
      <c r="X1014" s="907">
        <f>Q1014-2*S1014+2*P1015</f>
        <v>36.25</v>
      </c>
    </row>
    <row r="1015" spans="1:24" s="487" customFormat="1" ht="18" customHeight="1">
      <c r="A1015" s="478"/>
      <c r="B1015" s="336" t="s">
        <v>258</v>
      </c>
      <c r="C1015" s="924">
        <v>3</v>
      </c>
      <c r="D1015" s="480" t="s">
        <v>87</v>
      </c>
      <c r="E1015" s="481">
        <f>E1014</f>
        <v>2</v>
      </c>
      <c r="F1015" s="482">
        <v>36</v>
      </c>
      <c r="G1015" s="483">
        <v>2</v>
      </c>
      <c r="H1015" s="484"/>
      <c r="I1015" s="483"/>
      <c r="J1015" s="484"/>
      <c r="K1015" s="483"/>
      <c r="L1015" s="948"/>
      <c r="M1015" s="485"/>
      <c r="N1015" s="485">
        <f>C1015*E1015*(F1015+G1015/12)</f>
        <v>217</v>
      </c>
      <c r="O1015" s="486"/>
      <c r="P1015" s="915">
        <v>1.5</v>
      </c>
      <c r="Q1015" s="916"/>
      <c r="R1015" s="917">
        <f>R1014</f>
        <v>2</v>
      </c>
      <c r="S1015" s="916">
        <f>1.5/12</f>
        <v>0.125</v>
      </c>
      <c r="T1015" s="75" t="s">
        <v>429</v>
      </c>
      <c r="U1015" s="75">
        <v>16</v>
      </c>
      <c r="V1015" s="906"/>
      <c r="W1015" s="912">
        <f>C1015</f>
        <v>3</v>
      </c>
      <c r="X1015" s="907">
        <f>Q1014-2*S1015-2*(U1015/1000)*3.281+2*((P1015))</f>
        <v>36.145007999999997</v>
      </c>
    </row>
    <row r="1016" spans="1:24" s="487" customFormat="1" ht="18" customHeight="1">
      <c r="A1016" s="478"/>
      <c r="B1016" s="336" t="s">
        <v>502</v>
      </c>
      <c r="C1016" s="924">
        <v>2</v>
      </c>
      <c r="D1016" s="480" t="s">
        <v>87</v>
      </c>
      <c r="E1016" s="481">
        <f>E1015</f>
        <v>2</v>
      </c>
      <c r="F1016" s="482">
        <v>34</v>
      </c>
      <c r="G1016" s="483">
        <v>1</v>
      </c>
      <c r="H1016" s="484"/>
      <c r="I1016" s="483"/>
      <c r="J1016" s="484"/>
      <c r="K1016" s="483"/>
      <c r="L1016" s="948">
        <f>C1016*E1016*(F1016+G1016/12)</f>
        <v>136.33333333333334</v>
      </c>
      <c r="M1016" s="485"/>
      <c r="N1016" s="485"/>
      <c r="O1016" s="486"/>
      <c r="P1016" s="915"/>
      <c r="Q1016" s="916"/>
      <c r="R1016" s="917">
        <f>R1015</f>
        <v>2</v>
      </c>
      <c r="S1016" s="916">
        <f>1.5/12</f>
        <v>0.125</v>
      </c>
      <c r="T1016" s="75" t="s">
        <v>698</v>
      </c>
      <c r="U1016" s="75">
        <v>16</v>
      </c>
      <c r="V1016" s="906"/>
      <c r="W1016" s="912">
        <f>C1016</f>
        <v>2</v>
      </c>
      <c r="X1016" s="907">
        <f>Q1014-2*S1016+2*8*(U1016/1000)*3.281</f>
        <v>34.089936000000002</v>
      </c>
    </row>
    <row r="1017" spans="1:24" s="487" customFormat="1" ht="18" customHeight="1">
      <c r="A1017" s="478"/>
      <c r="B1017" s="336" t="s">
        <v>449</v>
      </c>
      <c r="C1017" s="924">
        <f>W1017</f>
        <v>19</v>
      </c>
      <c r="D1017" s="480" t="s">
        <v>87</v>
      </c>
      <c r="E1017" s="481">
        <f>E1016</f>
        <v>2</v>
      </c>
      <c r="F1017" s="482">
        <v>4</v>
      </c>
      <c r="G1017" s="483">
        <v>2</v>
      </c>
      <c r="H1017" s="484"/>
      <c r="I1017" s="483"/>
      <c r="J1017" s="484"/>
      <c r="K1017" s="483"/>
      <c r="L1017" s="948">
        <f>C1017*E1017*(F1017+G1017/12)</f>
        <v>158.33333333333334</v>
      </c>
      <c r="M1017" s="485"/>
      <c r="N1017" s="485"/>
      <c r="O1017" s="486"/>
      <c r="P1017" s="915"/>
      <c r="Q1017" s="916"/>
      <c r="R1017" s="917">
        <f>R1016</f>
        <v>2</v>
      </c>
      <c r="S1017" s="916"/>
      <c r="T1017" s="75" t="s">
        <v>676</v>
      </c>
      <c r="U1017" s="75">
        <v>10</v>
      </c>
      <c r="V1017" s="906">
        <f>4/(12)</f>
        <v>0.33333333333333331</v>
      </c>
      <c r="W1017" s="912">
        <f>2*(ROUND(2*P1015/V1017,0))+1</f>
        <v>19</v>
      </c>
      <c r="X1017" s="907">
        <f>2*(P1014+P1015)-8*S1014+2*8*U1017/1000</f>
        <v>3.8266666666666671</v>
      </c>
    </row>
    <row r="1018" spans="1:24" s="487" customFormat="1" ht="18" customHeight="1">
      <c r="A1018" s="478"/>
      <c r="B1018" s="336" t="s">
        <v>495</v>
      </c>
      <c r="C1018" s="924">
        <f>W1018</f>
        <v>56</v>
      </c>
      <c r="D1018" s="480" t="s">
        <v>87</v>
      </c>
      <c r="E1018" s="481">
        <f>E1017</f>
        <v>2</v>
      </c>
      <c r="F1018" s="482">
        <v>4</v>
      </c>
      <c r="G1018" s="483">
        <v>2</v>
      </c>
      <c r="H1018" s="484"/>
      <c r="I1018" s="483"/>
      <c r="J1018" s="484"/>
      <c r="K1018" s="483"/>
      <c r="L1018" s="948">
        <f>C1018*E1018*(F1018+G1018/12)</f>
        <v>466.66666666666669</v>
      </c>
      <c r="M1018" s="485"/>
      <c r="N1018" s="485"/>
      <c r="O1018" s="486"/>
      <c r="P1018" s="915"/>
      <c r="Q1018" s="916"/>
      <c r="R1018" s="917">
        <f>R1017</f>
        <v>2</v>
      </c>
      <c r="S1018" s="916"/>
      <c r="T1018" s="75" t="s">
        <v>676</v>
      </c>
      <c r="U1018" s="75">
        <v>10</v>
      </c>
      <c r="V1018" s="906">
        <f>6/(12)</f>
        <v>0.5</v>
      </c>
      <c r="W1018" s="912">
        <f>(ROUND((Q1014-4*P1015)/V1018,0))+1</f>
        <v>56</v>
      </c>
      <c r="X1018" s="907">
        <f>2*(P1014+P1015)-8*S1014+2*8*U1018/1000</f>
        <v>3.8266666666666671</v>
      </c>
    </row>
    <row r="1019" spans="1:24" s="487" customFormat="1" ht="18" customHeight="1">
      <c r="A1019" s="478"/>
      <c r="B1019" s="726" t="s">
        <v>319</v>
      </c>
      <c r="C1019" s="924"/>
      <c r="D1019" s="480"/>
      <c r="E1019" s="481"/>
      <c r="F1019" s="482"/>
      <c r="G1019" s="483"/>
      <c r="H1019" s="484"/>
      <c r="I1019" s="483"/>
      <c r="J1019" s="484"/>
      <c r="K1019" s="483"/>
      <c r="L1019" s="948"/>
      <c r="M1019" s="485"/>
      <c r="N1019" s="485"/>
      <c r="O1019" s="486"/>
    </row>
    <row r="1020" spans="1:24" s="487" customFormat="1" ht="18" customHeight="1">
      <c r="A1020" s="478"/>
      <c r="B1020" s="956" t="s">
        <v>503</v>
      </c>
      <c r="C1020" s="957">
        <v>1</v>
      </c>
      <c r="D1020" s="958" t="s">
        <v>87</v>
      </c>
      <c r="E1020" s="959">
        <v>3</v>
      </c>
      <c r="F1020" s="960">
        <v>36</v>
      </c>
      <c r="G1020" s="961">
        <v>6</v>
      </c>
      <c r="H1020" s="962">
        <v>1</v>
      </c>
      <c r="I1020" s="961">
        <v>0</v>
      </c>
      <c r="J1020" s="484"/>
      <c r="K1020" s="483"/>
      <c r="L1020" s="948"/>
      <c r="M1020" s="485"/>
      <c r="N1020" s="485"/>
      <c r="O1020" s="486"/>
    </row>
    <row r="1021" spans="1:24" s="487" customFormat="1" ht="18" customHeight="1">
      <c r="A1021" s="478"/>
      <c r="B1021" s="336" t="s">
        <v>257</v>
      </c>
      <c r="C1021" s="924">
        <v>3</v>
      </c>
      <c r="D1021" s="480" t="s">
        <v>87</v>
      </c>
      <c r="E1021" s="481">
        <f>C1020*E1020</f>
        <v>3</v>
      </c>
      <c r="F1021" s="482">
        <v>38</v>
      </c>
      <c r="G1021" s="483">
        <v>7</v>
      </c>
      <c r="H1021" s="484"/>
      <c r="I1021" s="483"/>
      <c r="J1021" s="484"/>
      <c r="K1021" s="483"/>
      <c r="L1021" s="948"/>
      <c r="M1021" s="485"/>
      <c r="N1021" s="485">
        <f>C1021*E1021*(F1021+G1021/12)</f>
        <v>347.25</v>
      </c>
      <c r="O1021" s="486"/>
      <c r="P1021" s="915">
        <f>H1020+I1020/12</f>
        <v>1</v>
      </c>
      <c r="Q1021" s="964">
        <f>F1020+G1020/12</f>
        <v>36.5</v>
      </c>
      <c r="R1021" s="917">
        <f>E1020*C1020</f>
        <v>3</v>
      </c>
      <c r="S1021" s="916">
        <f>1.5/12</f>
        <v>0.125</v>
      </c>
      <c r="T1021" s="75" t="s">
        <v>428</v>
      </c>
      <c r="U1021" s="75">
        <v>16</v>
      </c>
      <c r="V1021" s="906"/>
      <c r="W1021" s="912">
        <f>C1021</f>
        <v>3</v>
      </c>
      <c r="X1021" s="907">
        <f>Q1021-2*S1021+2*P1022</f>
        <v>38.590000000000003</v>
      </c>
    </row>
    <row r="1022" spans="1:24" s="487" customFormat="1" ht="18" customHeight="1">
      <c r="A1022" s="478"/>
      <c r="B1022" s="336" t="s">
        <v>504</v>
      </c>
      <c r="C1022" s="924">
        <v>2</v>
      </c>
      <c r="D1022" s="480" t="s">
        <v>87</v>
      </c>
      <c r="E1022" s="481">
        <f>E1021</f>
        <v>3</v>
      </c>
      <c r="F1022" s="482">
        <v>39</v>
      </c>
      <c r="G1022" s="483">
        <v>10</v>
      </c>
      <c r="H1022" s="484"/>
      <c r="I1022" s="483"/>
      <c r="J1022" s="484"/>
      <c r="K1022" s="483"/>
      <c r="L1022" s="948"/>
      <c r="M1022" s="485"/>
      <c r="N1022" s="485">
        <f>C1022*E1022*(F1022+G1022/12)</f>
        <v>239</v>
      </c>
      <c r="O1022" s="486"/>
      <c r="P1022" s="915">
        <v>1.17</v>
      </c>
      <c r="Q1022" s="966"/>
      <c r="R1022" s="917">
        <f>R1021</f>
        <v>3</v>
      </c>
      <c r="S1022" s="916">
        <f>1.5/12</f>
        <v>0.125</v>
      </c>
      <c r="T1022" s="75" t="s">
        <v>699</v>
      </c>
      <c r="U1022" s="75">
        <v>16</v>
      </c>
      <c r="V1022" s="966"/>
      <c r="W1022" s="912">
        <f>C1022</f>
        <v>2</v>
      </c>
      <c r="X1022" s="967">
        <f>(15.58/3+P1021+P1022+3.281*8*U1022/1000)*2+(9/3+P1021+P1022+3.281*8*U1022/1000)*2+(11.92/3+P1021+P1022+3.281*8*U1022/1000)*2</f>
        <v>39.873141333333329</v>
      </c>
    </row>
    <row r="1023" spans="1:24" s="487" customFormat="1" ht="18" customHeight="1">
      <c r="A1023" s="478"/>
      <c r="B1023" s="336" t="s">
        <v>258</v>
      </c>
      <c r="C1023" s="924">
        <v>3</v>
      </c>
      <c r="D1023" s="480" t="s">
        <v>87</v>
      </c>
      <c r="E1023" s="481">
        <f>E1022</f>
        <v>3</v>
      </c>
      <c r="F1023" s="482">
        <v>38</v>
      </c>
      <c r="G1023" s="483">
        <v>6</v>
      </c>
      <c r="H1023" s="484"/>
      <c r="I1023" s="483"/>
      <c r="J1023" s="484"/>
      <c r="K1023" s="483"/>
      <c r="L1023" s="948"/>
      <c r="M1023" s="485"/>
      <c r="N1023" s="485">
        <f>C1023*E1023*(F1023+G1023/12)</f>
        <v>346.5</v>
      </c>
      <c r="O1023" s="486"/>
      <c r="Q1023" s="916"/>
      <c r="R1023" s="917">
        <f>R1022</f>
        <v>3</v>
      </c>
      <c r="S1023" s="916">
        <f>1.5/12</f>
        <v>0.125</v>
      </c>
      <c r="T1023" s="75" t="s">
        <v>429</v>
      </c>
      <c r="U1023" s="75">
        <v>16</v>
      </c>
      <c r="V1023" s="906"/>
      <c r="W1023" s="912">
        <f>C1023</f>
        <v>3</v>
      </c>
      <c r="X1023" s="907">
        <f>Q1021-2*S1023-2*(U1023/1000)*3.281+2*((P1022))</f>
        <v>38.485007999999993</v>
      </c>
    </row>
    <row r="1024" spans="1:24" s="487" customFormat="1" ht="18" customHeight="1">
      <c r="A1024" s="478"/>
      <c r="B1024" s="336" t="s">
        <v>505</v>
      </c>
      <c r="C1024" s="924">
        <v>2</v>
      </c>
      <c r="D1024" s="480" t="s">
        <v>87</v>
      </c>
      <c r="E1024" s="481">
        <f>E1023</f>
        <v>3</v>
      </c>
      <c r="F1024" s="482">
        <v>20</v>
      </c>
      <c r="G1024" s="483">
        <v>0</v>
      </c>
      <c r="H1024" s="484"/>
      <c r="I1024" s="483"/>
      <c r="J1024" s="484"/>
      <c r="K1024" s="483"/>
      <c r="L1024" s="948"/>
      <c r="M1024" s="485"/>
      <c r="N1024" s="485">
        <f>C1024*E1024*(F1024+G1024/12)</f>
        <v>120</v>
      </c>
      <c r="O1024" s="486"/>
      <c r="P1024" s="915"/>
      <c r="Q1024" s="916"/>
      <c r="R1024" s="917">
        <f>R1023</f>
        <v>3</v>
      </c>
      <c r="S1024" s="916">
        <f>1.5/12</f>
        <v>0.125</v>
      </c>
      <c r="T1024" s="75" t="s">
        <v>700</v>
      </c>
      <c r="U1024" s="75">
        <v>16</v>
      </c>
      <c r="V1024" s="906"/>
      <c r="W1024" s="912">
        <f>C1024</f>
        <v>2</v>
      </c>
      <c r="X1024" s="967">
        <f>(15.58/3+P1021+P1022+3.281*8*U1024/1000)+(9/3+P1021+P1022+3.281*8*U1024/1000)+(11.92/3+P1021+P1022+3.281*8*U1024/1000)</f>
        <v>19.936570666666665</v>
      </c>
    </row>
    <row r="1025" spans="1:24" s="487" customFormat="1" ht="18" customHeight="1">
      <c r="A1025" s="478"/>
      <c r="B1025" s="336" t="s">
        <v>449</v>
      </c>
      <c r="C1025" s="924">
        <f>W1025</f>
        <v>15</v>
      </c>
      <c r="D1025" s="480" t="s">
        <v>87</v>
      </c>
      <c r="E1025" s="481">
        <f>E1024</f>
        <v>3</v>
      </c>
      <c r="F1025" s="482">
        <v>3</v>
      </c>
      <c r="G1025" s="483">
        <v>10</v>
      </c>
      <c r="H1025" s="484"/>
      <c r="I1025" s="483"/>
      <c r="J1025" s="484"/>
      <c r="K1025" s="483"/>
      <c r="L1025" s="948">
        <f>C1025*E1025*(F1025+G1025/12)</f>
        <v>172.5</v>
      </c>
      <c r="M1025" s="485"/>
      <c r="N1025" s="485"/>
      <c r="O1025" s="486"/>
      <c r="P1025" s="915"/>
      <c r="Q1025" s="916"/>
      <c r="R1025" s="917">
        <f>R1024</f>
        <v>3</v>
      </c>
      <c r="S1025" s="916"/>
      <c r="T1025" s="75" t="s">
        <v>676</v>
      </c>
      <c r="U1025" s="75">
        <v>10</v>
      </c>
      <c r="V1025" s="906">
        <f>4/(12)</f>
        <v>0.33333333333333331</v>
      </c>
      <c r="W1025" s="912">
        <f>2*(ROUND(2*P1022/V1025,0))+1</f>
        <v>15</v>
      </c>
      <c r="X1025" s="907">
        <f>2*(P1021+P1022)-8*S1021+2*8*U1025/1000</f>
        <v>3.5</v>
      </c>
    </row>
    <row r="1026" spans="1:24" s="487" customFormat="1" ht="18" customHeight="1">
      <c r="A1026" s="478"/>
      <c r="B1026" s="336" t="s">
        <v>495</v>
      </c>
      <c r="C1026" s="924">
        <f>W1026</f>
        <v>65</v>
      </c>
      <c r="D1026" s="480" t="s">
        <v>87</v>
      </c>
      <c r="E1026" s="481">
        <f>E1025</f>
        <v>3</v>
      </c>
      <c r="F1026" s="482">
        <f>F1025</f>
        <v>3</v>
      </c>
      <c r="G1026" s="483">
        <f>G1025</f>
        <v>10</v>
      </c>
      <c r="H1026" s="484"/>
      <c r="I1026" s="483"/>
      <c r="J1026" s="484"/>
      <c r="K1026" s="483"/>
      <c r="L1026" s="948">
        <f>C1026*E1026*(F1026+G1026/12)</f>
        <v>747.5</v>
      </c>
      <c r="M1026" s="485"/>
      <c r="N1026" s="485"/>
      <c r="O1026" s="486"/>
      <c r="P1026" s="915"/>
      <c r="Q1026" s="916"/>
      <c r="R1026" s="917">
        <f>R1025</f>
        <v>3</v>
      </c>
      <c r="S1026" s="916"/>
      <c r="T1026" s="75" t="s">
        <v>676</v>
      </c>
      <c r="U1026" s="75">
        <v>10</v>
      </c>
      <c r="V1026" s="906">
        <f>6/(12)</f>
        <v>0.5</v>
      </c>
      <c r="W1026" s="912">
        <f>(ROUND((Q1021-4*P1022)/V1026,0))+1</f>
        <v>65</v>
      </c>
      <c r="X1026" s="907">
        <f>2*(P1021+P1022)-8*S1021+2*8*U1026/1000</f>
        <v>3.5</v>
      </c>
    </row>
    <row r="1027" spans="1:24" s="487" customFormat="1" ht="18" customHeight="1">
      <c r="A1027" s="478"/>
      <c r="B1027" s="726" t="s">
        <v>320</v>
      </c>
      <c r="C1027" s="924"/>
      <c r="D1027" s="480"/>
      <c r="E1027" s="481"/>
      <c r="F1027" s="482"/>
      <c r="G1027" s="483"/>
      <c r="H1027" s="484"/>
      <c r="I1027" s="483"/>
      <c r="J1027" s="484"/>
      <c r="K1027" s="483"/>
      <c r="L1027" s="948"/>
      <c r="M1027" s="485"/>
      <c r="N1027" s="485"/>
      <c r="O1027" s="486"/>
    </row>
    <row r="1028" spans="1:24" s="487" customFormat="1" ht="18" customHeight="1">
      <c r="A1028" s="478"/>
      <c r="B1028" s="956" t="s">
        <v>321</v>
      </c>
      <c r="C1028" s="957">
        <f>C168</f>
        <v>1</v>
      </c>
      <c r="D1028" s="958" t="s">
        <v>87</v>
      </c>
      <c r="E1028" s="959">
        <f>E168</f>
        <v>1</v>
      </c>
      <c r="F1028" s="960">
        <f>F168</f>
        <v>4</v>
      </c>
      <c r="G1028" s="961">
        <f>G168</f>
        <v>0</v>
      </c>
      <c r="H1028" s="962">
        <f>H168</f>
        <v>1</v>
      </c>
      <c r="I1028" s="961">
        <f>I168</f>
        <v>0</v>
      </c>
      <c r="J1028" s="484"/>
      <c r="K1028" s="483"/>
      <c r="L1028" s="948"/>
      <c r="M1028" s="485"/>
      <c r="N1028" s="485"/>
      <c r="O1028" s="486"/>
    </row>
    <row r="1029" spans="1:24" s="487" customFormat="1" ht="18" customHeight="1">
      <c r="A1029" s="478"/>
      <c r="B1029" s="336" t="s">
        <v>499</v>
      </c>
      <c r="C1029" s="924">
        <v>4</v>
      </c>
      <c r="D1029" s="480" t="s">
        <v>87</v>
      </c>
      <c r="E1029" s="481">
        <f>C1028*E1028</f>
        <v>1</v>
      </c>
      <c r="F1029" s="482">
        <v>5</v>
      </c>
      <c r="G1029" s="483">
        <v>3</v>
      </c>
      <c r="H1029" s="962"/>
      <c r="I1029" s="961"/>
      <c r="J1029" s="484"/>
      <c r="K1029" s="483"/>
      <c r="L1029" s="948"/>
      <c r="M1029" s="485"/>
      <c r="N1029" s="485">
        <f>C1029*E1029*(F1029+G1029/12)</f>
        <v>21</v>
      </c>
      <c r="O1029" s="486"/>
      <c r="P1029" s="915">
        <f>H1028+I1028/12</f>
        <v>1</v>
      </c>
      <c r="Q1029" s="964">
        <f>F1028+G1028/12</f>
        <v>4</v>
      </c>
      <c r="R1029" s="917">
        <f>E1028*C1028</f>
        <v>1</v>
      </c>
      <c r="S1029" s="916">
        <f>1.5/12</f>
        <v>0.125</v>
      </c>
      <c r="T1029" s="75" t="s">
        <v>428</v>
      </c>
      <c r="U1029" s="75">
        <v>16</v>
      </c>
      <c r="V1029" s="906"/>
      <c r="W1029" s="912">
        <f>C1029</f>
        <v>4</v>
      </c>
      <c r="X1029" s="907">
        <f>Q1029-1*S1029+1*P1030</f>
        <v>5.2050000000000001</v>
      </c>
    </row>
    <row r="1030" spans="1:24" s="487" customFormat="1" ht="18" customHeight="1">
      <c r="A1030" s="478"/>
      <c r="B1030" s="336" t="s">
        <v>258</v>
      </c>
      <c r="C1030" s="924">
        <v>3</v>
      </c>
      <c r="D1030" s="480" t="s">
        <v>87</v>
      </c>
      <c r="E1030" s="481">
        <f>E1029</f>
        <v>1</v>
      </c>
      <c r="F1030" s="482">
        <v>5</v>
      </c>
      <c r="G1030" s="483">
        <v>2</v>
      </c>
      <c r="H1030" s="962"/>
      <c r="I1030" s="961"/>
      <c r="J1030" s="484"/>
      <c r="K1030" s="483"/>
      <c r="L1030" s="948"/>
      <c r="M1030" s="485"/>
      <c r="N1030" s="485">
        <f>C1030*E1030*(F1030+G1030/12)</f>
        <v>15.5</v>
      </c>
      <c r="O1030" s="486"/>
      <c r="P1030" s="915">
        <v>1.33</v>
      </c>
      <c r="Q1030" s="916"/>
      <c r="R1030" s="917">
        <f>R1029</f>
        <v>1</v>
      </c>
      <c r="S1030" s="916">
        <f>1.5/12</f>
        <v>0.125</v>
      </c>
      <c r="T1030" s="75" t="s">
        <v>429</v>
      </c>
      <c r="U1030" s="75">
        <v>16</v>
      </c>
      <c r="V1030" s="906"/>
      <c r="W1030" s="912">
        <f>C1030</f>
        <v>3</v>
      </c>
      <c r="X1030" s="907">
        <f>Q1029-1*S1030-1*(U1030/1000)*3.281+1*((P1030))</f>
        <v>5.1525040000000004</v>
      </c>
    </row>
    <row r="1031" spans="1:24" s="487" customFormat="1" ht="18" customHeight="1">
      <c r="A1031" s="478"/>
      <c r="B1031" s="336" t="s">
        <v>449</v>
      </c>
      <c r="C1031" s="924">
        <f>W1031</f>
        <v>13</v>
      </c>
      <c r="D1031" s="480" t="s">
        <v>87</v>
      </c>
      <c r="E1031" s="481">
        <f>E1030</f>
        <v>1</v>
      </c>
      <c r="F1031" s="482">
        <v>4</v>
      </c>
      <c r="G1031" s="483">
        <v>2</v>
      </c>
      <c r="H1031" s="962"/>
      <c r="I1031" s="961"/>
      <c r="J1031" s="484"/>
      <c r="K1031" s="483"/>
      <c r="L1031" s="948">
        <f>C1031*E1031*(F1031+G1031/12)</f>
        <v>54.166666666666671</v>
      </c>
      <c r="M1031" s="485"/>
      <c r="N1031" s="485"/>
      <c r="O1031" s="486"/>
      <c r="P1031" s="915"/>
      <c r="Q1031" s="916"/>
      <c r="R1031" s="917">
        <f t="shared" ref="R1031" si="315">R1030</f>
        <v>1</v>
      </c>
      <c r="S1031" s="916"/>
      <c r="T1031" s="75" t="s">
        <v>676</v>
      </c>
      <c r="U1031" s="75">
        <v>10</v>
      </c>
      <c r="V1031" s="906">
        <f>4/(12)</f>
        <v>0.33333333333333331</v>
      </c>
      <c r="W1031" s="912">
        <f>(ROUND(Q1029/V1031,0))+1</f>
        <v>13</v>
      </c>
      <c r="X1031" s="907">
        <f>2*(P1029+P1030)-8*S1029+2*8*U1031/1000</f>
        <v>3.8200000000000003</v>
      </c>
    </row>
    <row r="1032" spans="1:24" s="487" customFormat="1" ht="18" customHeight="1">
      <c r="A1032" s="478"/>
      <c r="B1032" s="726" t="s">
        <v>322</v>
      </c>
      <c r="C1032" s="957"/>
      <c r="D1032" s="958"/>
      <c r="E1032" s="959"/>
      <c r="F1032" s="960"/>
      <c r="G1032" s="961"/>
      <c r="H1032" s="962"/>
      <c r="I1032" s="961"/>
      <c r="J1032" s="484"/>
      <c r="K1032" s="483"/>
      <c r="L1032" s="948"/>
      <c r="M1032" s="485"/>
      <c r="N1032" s="485"/>
      <c r="O1032" s="486"/>
      <c r="P1032" s="915"/>
      <c r="Q1032" s="916"/>
      <c r="R1032" s="917"/>
      <c r="S1032" s="916"/>
      <c r="T1032" s="75"/>
      <c r="U1032" s="75"/>
      <c r="V1032" s="906"/>
      <c r="W1032" s="912"/>
      <c r="X1032" s="907"/>
    </row>
    <row r="1033" spans="1:24" s="487" customFormat="1" ht="18" customHeight="1">
      <c r="A1033" s="478"/>
      <c r="B1033" s="956" t="s">
        <v>506</v>
      </c>
      <c r="C1033" s="957">
        <v>1</v>
      </c>
      <c r="D1033" s="958" t="s">
        <v>87</v>
      </c>
      <c r="E1033" s="959">
        <v>2</v>
      </c>
      <c r="F1033" s="960">
        <v>33</v>
      </c>
      <c r="G1033" s="961">
        <v>6</v>
      </c>
      <c r="H1033" s="962">
        <v>1</v>
      </c>
      <c r="I1033" s="961">
        <v>0</v>
      </c>
      <c r="J1033" s="484"/>
      <c r="K1033" s="483"/>
      <c r="L1033" s="948"/>
      <c r="M1033" s="485"/>
      <c r="N1033" s="485"/>
      <c r="O1033" s="486"/>
    </row>
    <row r="1034" spans="1:24" s="487" customFormat="1" ht="18" customHeight="1">
      <c r="A1034" s="478"/>
      <c r="B1034" s="336" t="s">
        <v>499</v>
      </c>
      <c r="C1034" s="924">
        <v>4</v>
      </c>
      <c r="D1034" s="480" t="s">
        <v>87</v>
      </c>
      <c r="E1034" s="481">
        <f>C1033*E1033</f>
        <v>2</v>
      </c>
      <c r="F1034" s="482">
        <v>36</v>
      </c>
      <c r="G1034" s="483">
        <v>3</v>
      </c>
      <c r="H1034" s="484"/>
      <c r="I1034" s="483"/>
      <c r="J1034" s="484"/>
      <c r="K1034" s="483"/>
      <c r="L1034" s="948"/>
      <c r="M1034" s="485"/>
      <c r="N1034" s="485">
        <f>C1034*E1034*(F1034+G1034/12)</f>
        <v>290</v>
      </c>
      <c r="O1034" s="486"/>
      <c r="P1034" s="915">
        <f>H1033+I1033/12</f>
        <v>1</v>
      </c>
      <c r="Q1034" s="964">
        <f>F1033+G1033/12</f>
        <v>33.5</v>
      </c>
      <c r="R1034" s="917">
        <f>E1033*C1033</f>
        <v>2</v>
      </c>
      <c r="S1034" s="916">
        <f>1.5/12</f>
        <v>0.125</v>
      </c>
      <c r="T1034" s="75" t="s">
        <v>428</v>
      </c>
      <c r="U1034" s="75">
        <v>16</v>
      </c>
      <c r="V1034" s="906"/>
      <c r="W1034" s="912">
        <f>C1034</f>
        <v>4</v>
      </c>
      <c r="X1034" s="907">
        <f>Q1034-2*S1034+2*P1035</f>
        <v>36.25</v>
      </c>
    </row>
    <row r="1035" spans="1:24" s="487" customFormat="1" ht="18" customHeight="1">
      <c r="A1035" s="478"/>
      <c r="B1035" s="336" t="s">
        <v>504</v>
      </c>
      <c r="C1035" s="924">
        <v>2</v>
      </c>
      <c r="D1035" s="480" t="s">
        <v>87</v>
      </c>
      <c r="E1035" s="481">
        <f>E1034</f>
        <v>2</v>
      </c>
      <c r="F1035" s="482">
        <v>34</v>
      </c>
      <c r="G1035" s="483">
        <v>0</v>
      </c>
      <c r="H1035" s="484"/>
      <c r="I1035" s="483"/>
      <c r="J1035" s="484"/>
      <c r="K1035" s="483"/>
      <c r="L1035" s="948"/>
      <c r="M1035" s="485"/>
      <c r="N1035" s="485">
        <f>C1035*E1035*(F1035+G1035/12)</f>
        <v>136</v>
      </c>
      <c r="O1035" s="486"/>
      <c r="P1035" s="915">
        <v>1.5</v>
      </c>
      <c r="Q1035" s="966"/>
      <c r="R1035" s="917">
        <f>R1034</f>
        <v>2</v>
      </c>
      <c r="S1035" s="916">
        <f>1.5/12</f>
        <v>0.125</v>
      </c>
      <c r="T1035" s="75" t="s">
        <v>699</v>
      </c>
      <c r="U1035" s="75">
        <v>16</v>
      </c>
      <c r="V1035" s="966"/>
      <c r="W1035" s="912">
        <f>C1035</f>
        <v>2</v>
      </c>
      <c r="X1035" s="967">
        <f>(17.5/3+P1034+P1035+3.281*8*U1035/1000)*2+(16/3+P1034+P1035+3.281*8*U1035/1000)*2</f>
        <v>34.013205333333332</v>
      </c>
    </row>
    <row r="1036" spans="1:24" s="487" customFormat="1" ht="18" customHeight="1">
      <c r="A1036" s="478"/>
      <c r="B1036" s="336" t="s">
        <v>511</v>
      </c>
      <c r="C1036" s="924">
        <v>5</v>
      </c>
      <c r="D1036" s="480" t="s">
        <v>87</v>
      </c>
      <c r="E1036" s="481">
        <f>E1035</f>
        <v>2</v>
      </c>
      <c r="F1036" s="482">
        <v>36</v>
      </c>
      <c r="G1036" s="483">
        <v>2</v>
      </c>
      <c r="H1036" s="484"/>
      <c r="I1036" s="483"/>
      <c r="J1036" s="484"/>
      <c r="K1036" s="483"/>
      <c r="L1036" s="948"/>
      <c r="M1036" s="485"/>
      <c r="N1036" s="485">
        <f>C1036*E1036*(F1036+G1036/12)</f>
        <v>361.66666666666663</v>
      </c>
      <c r="O1036" s="486"/>
      <c r="Q1036" s="916"/>
      <c r="R1036" s="917">
        <f>R1035</f>
        <v>2</v>
      </c>
      <c r="S1036" s="916">
        <f>1.5/12</f>
        <v>0.125</v>
      </c>
      <c r="T1036" s="75" t="s">
        <v>429</v>
      </c>
      <c r="U1036" s="75">
        <v>16</v>
      </c>
      <c r="V1036" s="906"/>
      <c r="W1036" s="912">
        <f>C1036</f>
        <v>5</v>
      </c>
      <c r="X1036" s="907">
        <f>Q1034-2*S1036-2*(U1036/1000)*3.281+2*((P1035))</f>
        <v>36.145007999999997</v>
      </c>
    </row>
    <row r="1037" spans="1:24" s="487" customFormat="1" ht="18" customHeight="1">
      <c r="A1037" s="478"/>
      <c r="B1037" s="336" t="s">
        <v>507</v>
      </c>
      <c r="C1037" s="924">
        <v>2</v>
      </c>
      <c r="D1037" s="480" t="s">
        <v>87</v>
      </c>
      <c r="E1037" s="481">
        <f>E1036</f>
        <v>2</v>
      </c>
      <c r="F1037" s="482">
        <v>34</v>
      </c>
      <c r="G1037" s="483">
        <v>1</v>
      </c>
      <c r="H1037" s="484"/>
      <c r="I1037" s="483"/>
      <c r="J1037" s="484"/>
      <c r="K1037" s="483"/>
      <c r="L1037" s="948"/>
      <c r="M1037" s="485">
        <f>C1037*E1037*(F1037+G1037/12)</f>
        <v>136.33333333333334</v>
      </c>
      <c r="O1037" s="486"/>
      <c r="P1037" s="915"/>
      <c r="Q1037" s="916"/>
      <c r="R1037" s="917">
        <f>R1036</f>
        <v>2</v>
      </c>
      <c r="S1037" s="916">
        <f>1.5/12</f>
        <v>0.125</v>
      </c>
      <c r="T1037" s="75" t="s">
        <v>698</v>
      </c>
      <c r="U1037" s="75">
        <v>16</v>
      </c>
      <c r="V1037" s="906"/>
      <c r="W1037" s="912">
        <f>E1037</f>
        <v>2</v>
      </c>
      <c r="X1037" s="907">
        <f>Q1034-2*S1037+2*8*(U1037/1000)*3.281</f>
        <v>34.089936000000002</v>
      </c>
    </row>
    <row r="1038" spans="1:24" s="487" customFormat="1" ht="18" customHeight="1">
      <c r="A1038" s="478"/>
      <c r="B1038" s="336" t="s">
        <v>449</v>
      </c>
      <c r="C1038" s="924">
        <f>W1038</f>
        <v>19</v>
      </c>
      <c r="D1038" s="480" t="s">
        <v>87</v>
      </c>
      <c r="E1038" s="481">
        <f>E1037</f>
        <v>2</v>
      </c>
      <c r="F1038" s="482">
        <v>4</v>
      </c>
      <c r="G1038" s="483">
        <v>6</v>
      </c>
      <c r="H1038" s="484"/>
      <c r="I1038" s="483"/>
      <c r="J1038" s="484"/>
      <c r="K1038" s="483"/>
      <c r="L1038" s="948">
        <f>C1038*E1038*(F1038+G1038/12)</f>
        <v>171</v>
      </c>
      <c r="M1038" s="485"/>
      <c r="N1038" s="485"/>
      <c r="O1038" s="486"/>
      <c r="P1038" s="915"/>
      <c r="Q1038" s="916"/>
      <c r="R1038" s="917">
        <f>R1037</f>
        <v>2</v>
      </c>
      <c r="S1038" s="916"/>
      <c r="T1038" s="75" t="s">
        <v>676</v>
      </c>
      <c r="U1038" s="75">
        <v>10</v>
      </c>
      <c r="V1038" s="906">
        <f>4/(12)</f>
        <v>0.33333333333333331</v>
      </c>
      <c r="W1038" s="912">
        <f>2*(ROUND(2*P1035/V1038,0))+1</f>
        <v>19</v>
      </c>
      <c r="X1038" s="907">
        <f>2*(P1034+P1035)-8*S1034+2*8*U1038/1000</f>
        <v>4.16</v>
      </c>
    </row>
    <row r="1039" spans="1:24" s="487" customFormat="1" ht="18" customHeight="1">
      <c r="A1039" s="478"/>
      <c r="B1039" s="336" t="s">
        <v>495</v>
      </c>
      <c r="C1039" s="924">
        <f>W1039</f>
        <v>56</v>
      </c>
      <c r="D1039" s="480" t="s">
        <v>87</v>
      </c>
      <c r="E1039" s="481">
        <f>E1038</f>
        <v>2</v>
      </c>
      <c r="F1039" s="482">
        <f>F1038</f>
        <v>4</v>
      </c>
      <c r="G1039" s="483">
        <f>G1038</f>
        <v>6</v>
      </c>
      <c r="H1039" s="484"/>
      <c r="I1039" s="483"/>
      <c r="J1039" s="484"/>
      <c r="K1039" s="483"/>
      <c r="L1039" s="948">
        <f>C1039*E1039*(F1039+G1039/12)</f>
        <v>504</v>
      </c>
      <c r="M1039" s="485"/>
      <c r="N1039" s="485"/>
      <c r="O1039" s="486"/>
      <c r="P1039" s="915"/>
      <c r="Q1039" s="916"/>
      <c r="R1039" s="917">
        <f>R1038</f>
        <v>2</v>
      </c>
      <c r="S1039" s="916"/>
      <c r="T1039" s="75" t="s">
        <v>676</v>
      </c>
      <c r="U1039" s="75">
        <v>10</v>
      </c>
      <c r="V1039" s="906">
        <f>6/(12)</f>
        <v>0.5</v>
      </c>
      <c r="W1039" s="912">
        <f>(ROUND((Q1034-4*P1035)/V1039,0))+1</f>
        <v>56</v>
      </c>
      <c r="X1039" s="907">
        <f>2*(P1034+P1035)-8*S1034+2*8*U1039/1000</f>
        <v>4.16</v>
      </c>
    </row>
    <row r="1040" spans="1:24" s="487" customFormat="1" ht="18" customHeight="1">
      <c r="A1040" s="478"/>
      <c r="B1040" s="336"/>
      <c r="C1040" s="924"/>
      <c r="D1040" s="480"/>
      <c r="E1040" s="481"/>
      <c r="F1040" s="482"/>
      <c r="G1040" s="483"/>
      <c r="H1040" s="484"/>
      <c r="I1040" s="483"/>
      <c r="J1040" s="484"/>
      <c r="K1040" s="483"/>
      <c r="L1040" s="948"/>
      <c r="M1040" s="485"/>
      <c r="N1040" s="485"/>
      <c r="O1040" s="486"/>
    </row>
    <row r="1041" spans="1:24" s="487" customFormat="1" ht="18" customHeight="1">
      <c r="A1041" s="478"/>
      <c r="B1041" s="723" t="s">
        <v>571</v>
      </c>
      <c r="C1041" s="924"/>
      <c r="D1041" s="480"/>
      <c r="E1041" s="481"/>
      <c r="F1041" s="482"/>
      <c r="G1041" s="483"/>
      <c r="H1041" s="484"/>
      <c r="I1041" s="483"/>
      <c r="J1041" s="484"/>
      <c r="K1041" s="483"/>
      <c r="L1041" s="948"/>
      <c r="M1041" s="485"/>
      <c r="N1041" s="485"/>
      <c r="O1041" s="486"/>
    </row>
    <row r="1042" spans="1:24" s="487" customFormat="1" ht="18" customHeight="1">
      <c r="A1042" s="478"/>
      <c r="B1042" s="726" t="s">
        <v>327</v>
      </c>
      <c r="C1042" s="924"/>
      <c r="D1042" s="480"/>
      <c r="E1042" s="481"/>
      <c r="F1042" s="482"/>
      <c r="G1042" s="483"/>
      <c r="H1042" s="484"/>
      <c r="I1042" s="483"/>
      <c r="J1042" s="484"/>
      <c r="K1042" s="483"/>
      <c r="L1042" s="948"/>
      <c r="M1042" s="485"/>
      <c r="N1042" s="485"/>
      <c r="O1042" s="486"/>
    </row>
    <row r="1043" spans="1:24" s="487" customFormat="1" ht="18" customHeight="1">
      <c r="A1043" s="478"/>
      <c r="B1043" s="956" t="s">
        <v>309</v>
      </c>
      <c r="C1043" s="957">
        <f>C178</f>
        <v>1</v>
      </c>
      <c r="D1043" s="958" t="s">
        <v>87</v>
      </c>
      <c r="E1043" s="959">
        <f>E178</f>
        <v>1</v>
      </c>
      <c r="F1043" s="960">
        <v>6</v>
      </c>
      <c r="G1043" s="961">
        <f>G178</f>
        <v>4</v>
      </c>
      <c r="H1043" s="962">
        <f>H178</f>
        <v>0</v>
      </c>
      <c r="I1043" s="961">
        <f>I178</f>
        <v>10</v>
      </c>
      <c r="J1043" s="484"/>
      <c r="K1043" s="483"/>
      <c r="L1043" s="948"/>
      <c r="M1043" s="485"/>
      <c r="N1043" s="485"/>
      <c r="O1043" s="486"/>
    </row>
    <row r="1044" spans="1:24" s="487" customFormat="1" ht="18" customHeight="1">
      <c r="A1044" s="478"/>
      <c r="B1044" s="336" t="s">
        <v>259</v>
      </c>
      <c r="C1044" s="924">
        <v>2</v>
      </c>
      <c r="D1044" s="480" t="s">
        <v>87</v>
      </c>
      <c r="E1044" s="481">
        <f>C1043*E1043</f>
        <v>1</v>
      </c>
      <c r="F1044" s="482">
        <v>7</v>
      </c>
      <c r="G1044" s="483">
        <v>9</v>
      </c>
      <c r="H1044" s="484"/>
      <c r="I1044" s="483"/>
      <c r="J1044" s="484"/>
      <c r="K1044" s="483"/>
      <c r="L1044" s="948"/>
      <c r="M1044" s="485"/>
      <c r="N1044" s="485">
        <f>C1044*E1044*(F1044+G1044/12)</f>
        <v>15.5</v>
      </c>
      <c r="O1044" s="486"/>
      <c r="P1044" s="915">
        <f>H1043+I1043/12</f>
        <v>0.83333333333333337</v>
      </c>
      <c r="Q1044" s="964">
        <f>F1043+G1043/12</f>
        <v>6.333333333333333</v>
      </c>
      <c r="R1044" s="917">
        <f>E1043*C1043</f>
        <v>1</v>
      </c>
      <c r="S1044" s="916">
        <f>1.5/12</f>
        <v>0.125</v>
      </c>
      <c r="T1044" s="75" t="s">
        <v>428</v>
      </c>
      <c r="U1044" s="75">
        <v>16</v>
      </c>
      <c r="V1044" s="906"/>
      <c r="W1044" s="912">
        <f>C1044</f>
        <v>2</v>
      </c>
      <c r="X1044" s="907">
        <f>Q1044-2*S1044+2*P1045</f>
        <v>7.7433333333333332</v>
      </c>
    </row>
    <row r="1045" spans="1:24" s="487" customFormat="1" ht="18" customHeight="1">
      <c r="A1045" s="478"/>
      <c r="B1045" s="336" t="s">
        <v>260</v>
      </c>
      <c r="C1045" s="924">
        <v>2</v>
      </c>
      <c r="D1045" s="480" t="s">
        <v>87</v>
      </c>
      <c r="E1045" s="481">
        <f>E1044</f>
        <v>1</v>
      </c>
      <c r="F1045" s="482">
        <v>7</v>
      </c>
      <c r="G1045" s="483">
        <v>8</v>
      </c>
      <c r="H1045" s="484"/>
      <c r="I1045" s="483"/>
      <c r="J1045" s="484"/>
      <c r="K1045" s="483"/>
      <c r="L1045" s="948"/>
      <c r="M1045" s="485"/>
      <c r="N1045" s="485">
        <f>C1045*E1045*(F1045+G1045/12)</f>
        <v>15.333333333333334</v>
      </c>
      <c r="O1045" s="486"/>
      <c r="P1045" s="915">
        <v>0.83</v>
      </c>
      <c r="Q1045" s="916"/>
      <c r="R1045" s="917">
        <f>R1044</f>
        <v>1</v>
      </c>
      <c r="S1045" s="916">
        <f>1.5/12</f>
        <v>0.125</v>
      </c>
      <c r="T1045" s="75" t="s">
        <v>429</v>
      </c>
      <c r="U1045" s="75">
        <v>16</v>
      </c>
      <c r="V1045" s="906"/>
      <c r="W1045" s="912">
        <f>C1045</f>
        <v>2</v>
      </c>
      <c r="X1045" s="907">
        <f>Q1044-2*S1045-2*(U1045/1000)*3.281+2*((P1045))</f>
        <v>7.638341333333333</v>
      </c>
    </row>
    <row r="1046" spans="1:24" s="487" customFormat="1" ht="18" customHeight="1">
      <c r="A1046" s="478"/>
      <c r="B1046" s="336" t="s">
        <v>449</v>
      </c>
      <c r="C1046" s="924">
        <f>W1046</f>
        <v>11</v>
      </c>
      <c r="D1046" s="480" t="s">
        <v>87</v>
      </c>
      <c r="E1046" s="481">
        <f>E1045</f>
        <v>1</v>
      </c>
      <c r="F1046" s="482">
        <v>2</v>
      </c>
      <c r="G1046" s="483">
        <v>10</v>
      </c>
      <c r="H1046" s="484"/>
      <c r="I1046" s="483"/>
      <c r="J1046" s="484"/>
      <c r="K1046" s="483"/>
      <c r="L1046" s="948">
        <f>C1046*E1046*(F1046+G1046/12)</f>
        <v>31.166666666666668</v>
      </c>
      <c r="M1046" s="485"/>
      <c r="N1046" s="485"/>
      <c r="O1046" s="486"/>
      <c r="P1046" s="915"/>
      <c r="Q1046" s="916"/>
      <c r="R1046" s="917">
        <f t="shared" ref="R1046:R1047" si="316">R1045</f>
        <v>1</v>
      </c>
      <c r="S1046" s="916"/>
      <c r="T1046" s="75" t="s">
        <v>676</v>
      </c>
      <c r="U1046" s="75">
        <v>10</v>
      </c>
      <c r="V1046" s="906">
        <f>4/(12)</f>
        <v>0.33333333333333331</v>
      </c>
      <c r="W1046" s="912">
        <f>2*(ROUND(2*P1045/V1046,0))+1</f>
        <v>11</v>
      </c>
      <c r="X1046" s="907">
        <f>2*(P1044+P1045)-8*S1044+2*8*U1046/1000</f>
        <v>2.4866666666666668</v>
      </c>
    </row>
    <row r="1047" spans="1:24" s="487" customFormat="1" ht="18" customHeight="1">
      <c r="A1047" s="478"/>
      <c r="B1047" s="336" t="s">
        <v>495</v>
      </c>
      <c r="C1047" s="924">
        <f>W1047</f>
        <v>7</v>
      </c>
      <c r="D1047" s="480" t="s">
        <v>87</v>
      </c>
      <c r="E1047" s="481">
        <f>E1046</f>
        <v>1</v>
      </c>
      <c r="F1047" s="482">
        <f>F1046</f>
        <v>2</v>
      </c>
      <c r="G1047" s="483">
        <f>G1046</f>
        <v>10</v>
      </c>
      <c r="H1047" s="484"/>
      <c r="I1047" s="483"/>
      <c r="J1047" s="484"/>
      <c r="K1047" s="483"/>
      <c r="L1047" s="948">
        <f>C1047*E1047*(F1047+G1047/12)</f>
        <v>19.833333333333336</v>
      </c>
      <c r="M1047" s="485"/>
      <c r="N1047" s="485"/>
      <c r="O1047" s="486"/>
      <c r="P1047" s="915"/>
      <c r="Q1047" s="916"/>
      <c r="R1047" s="917">
        <f t="shared" si="316"/>
        <v>1</v>
      </c>
      <c r="S1047" s="916"/>
      <c r="T1047" s="75" t="s">
        <v>676</v>
      </c>
      <c r="U1047" s="75">
        <v>10</v>
      </c>
      <c r="V1047" s="906">
        <f>6/(12)</f>
        <v>0.5</v>
      </c>
      <c r="W1047" s="912">
        <f>(ROUND((Q1044-4*P1045)/V1047,0))+1</f>
        <v>7</v>
      </c>
      <c r="X1047" s="907">
        <f>2*(P1044+P1045)-8*S1044+2*8*U1047/1000</f>
        <v>2.4866666666666668</v>
      </c>
    </row>
    <row r="1048" spans="1:24" s="487" customFormat="1" ht="18" customHeight="1">
      <c r="A1048" s="478"/>
      <c r="B1048" s="956" t="s">
        <v>702</v>
      </c>
      <c r="C1048" s="957">
        <f>C183</f>
        <v>1</v>
      </c>
      <c r="D1048" s="958" t="s">
        <v>87</v>
      </c>
      <c r="E1048" s="959">
        <f>E183</f>
        <v>1</v>
      </c>
      <c r="F1048" s="960">
        <v>9</v>
      </c>
      <c r="G1048" s="961">
        <v>0</v>
      </c>
      <c r="H1048" s="962">
        <f>H183</f>
        <v>0</v>
      </c>
      <c r="I1048" s="961">
        <f>I183</f>
        <v>10</v>
      </c>
      <c r="J1048" s="484"/>
      <c r="K1048" s="483"/>
      <c r="L1048" s="948"/>
      <c r="M1048" s="485"/>
      <c r="N1048" s="485"/>
      <c r="O1048" s="486"/>
    </row>
    <row r="1049" spans="1:24" s="487" customFormat="1" ht="18" customHeight="1">
      <c r="A1049" s="478"/>
      <c r="B1049" s="336" t="s">
        <v>259</v>
      </c>
      <c r="C1049" s="924">
        <v>2</v>
      </c>
      <c r="D1049" s="480" t="s">
        <v>87</v>
      </c>
      <c r="E1049" s="481">
        <f>C1048*E1048</f>
        <v>1</v>
      </c>
      <c r="F1049" s="482">
        <v>10</v>
      </c>
      <c r="G1049" s="483">
        <v>5</v>
      </c>
      <c r="H1049" s="484"/>
      <c r="I1049" s="483"/>
      <c r="J1049" s="484"/>
      <c r="K1049" s="483"/>
      <c r="L1049" s="948"/>
      <c r="M1049" s="485"/>
      <c r="N1049" s="485">
        <f>C1049*E1049*(F1049+G1049/12)</f>
        <v>20.833333333333332</v>
      </c>
      <c r="O1049" s="486"/>
      <c r="P1049" s="915">
        <f>H1048+I1048/12</f>
        <v>0.83333333333333337</v>
      </c>
      <c r="Q1049" s="964">
        <f>F1048+G1048/12</f>
        <v>9</v>
      </c>
      <c r="R1049" s="917">
        <f>E1048*C1048</f>
        <v>1</v>
      </c>
      <c r="S1049" s="916">
        <f>1.5/12</f>
        <v>0.125</v>
      </c>
      <c r="T1049" s="75" t="s">
        <v>428</v>
      </c>
      <c r="U1049" s="75">
        <v>16</v>
      </c>
      <c r="V1049" s="906"/>
      <c r="W1049" s="912">
        <f>C1049</f>
        <v>2</v>
      </c>
      <c r="X1049" s="907">
        <f>Q1049-2*S1049+2*P1050</f>
        <v>10.41</v>
      </c>
    </row>
    <row r="1050" spans="1:24" s="487" customFormat="1" ht="18" customHeight="1">
      <c r="A1050" s="478"/>
      <c r="B1050" s="336" t="s">
        <v>260</v>
      </c>
      <c r="C1050" s="924">
        <v>2</v>
      </c>
      <c r="D1050" s="480" t="s">
        <v>87</v>
      </c>
      <c r="E1050" s="481">
        <f>E1049</f>
        <v>1</v>
      </c>
      <c r="F1050" s="482">
        <v>10</v>
      </c>
      <c r="G1050" s="483">
        <v>4</v>
      </c>
      <c r="H1050" s="484"/>
      <c r="I1050" s="483"/>
      <c r="J1050" s="484"/>
      <c r="K1050" s="483"/>
      <c r="L1050" s="948"/>
      <c r="M1050" s="485"/>
      <c r="N1050" s="485">
        <f>C1050*E1050*(F1050+G1050/12)</f>
        <v>20.666666666666668</v>
      </c>
      <c r="O1050" s="486"/>
      <c r="P1050" s="915">
        <v>0.83</v>
      </c>
      <c r="Q1050" s="916"/>
      <c r="R1050" s="917">
        <f>R1049</f>
        <v>1</v>
      </c>
      <c r="S1050" s="916">
        <f>1.5/12</f>
        <v>0.125</v>
      </c>
      <c r="T1050" s="75" t="s">
        <v>429</v>
      </c>
      <c r="U1050" s="75">
        <v>16</v>
      </c>
      <c r="V1050" s="906"/>
      <c r="W1050" s="912">
        <f>C1050</f>
        <v>2</v>
      </c>
      <c r="X1050" s="907">
        <f>Q1049-2*S1050-2*(U1050/1000)*3.281+2*((P1050))</f>
        <v>10.305008000000001</v>
      </c>
    </row>
    <row r="1051" spans="1:24" s="487" customFormat="1" ht="18" customHeight="1">
      <c r="A1051" s="478"/>
      <c r="B1051" s="336" t="s">
        <v>449</v>
      </c>
      <c r="C1051" s="924">
        <f>W1051</f>
        <v>11</v>
      </c>
      <c r="D1051" s="480" t="s">
        <v>87</v>
      </c>
      <c r="E1051" s="481">
        <f>E1050</f>
        <v>1</v>
      </c>
      <c r="F1051" s="482">
        <v>2</v>
      </c>
      <c r="G1051" s="483">
        <v>10</v>
      </c>
      <c r="H1051" s="484"/>
      <c r="I1051" s="483"/>
      <c r="J1051" s="484"/>
      <c r="K1051" s="483"/>
      <c r="L1051" s="948">
        <f>C1051*E1051*(F1051+G1051/12)</f>
        <v>31.166666666666668</v>
      </c>
      <c r="M1051" s="485"/>
      <c r="N1051" s="485"/>
      <c r="O1051" s="486"/>
      <c r="P1051" s="915"/>
      <c r="Q1051" s="916"/>
      <c r="R1051" s="917">
        <f t="shared" ref="R1051:R1052" si="317">R1050</f>
        <v>1</v>
      </c>
      <c r="S1051" s="916"/>
      <c r="T1051" s="75" t="s">
        <v>676</v>
      </c>
      <c r="U1051" s="75">
        <v>10</v>
      </c>
      <c r="V1051" s="906">
        <f>4/(12)</f>
        <v>0.33333333333333331</v>
      </c>
      <c r="W1051" s="912">
        <f>2*(ROUND(2*P1050/V1051,0))+1</f>
        <v>11</v>
      </c>
      <c r="X1051" s="907">
        <f>2*(P1049+P1050)-8*S1049+2*8*U1051/1000</f>
        <v>2.4866666666666668</v>
      </c>
    </row>
    <row r="1052" spans="1:24" s="487" customFormat="1" ht="18" customHeight="1">
      <c r="A1052" s="478"/>
      <c r="B1052" s="336" t="s">
        <v>495</v>
      </c>
      <c r="C1052" s="924">
        <f>W1052</f>
        <v>12</v>
      </c>
      <c r="D1052" s="480" t="s">
        <v>87</v>
      </c>
      <c r="E1052" s="481">
        <f>E1051</f>
        <v>1</v>
      </c>
      <c r="F1052" s="482">
        <f>F1051</f>
        <v>2</v>
      </c>
      <c r="G1052" s="483">
        <f>G1051</f>
        <v>10</v>
      </c>
      <c r="H1052" s="484"/>
      <c r="I1052" s="483"/>
      <c r="J1052" s="484"/>
      <c r="K1052" s="483"/>
      <c r="L1052" s="948">
        <f>C1052*E1052*(F1052+G1052/12)</f>
        <v>34</v>
      </c>
      <c r="M1052" s="485"/>
      <c r="N1052" s="485"/>
      <c r="O1052" s="486"/>
      <c r="P1052" s="915"/>
      <c r="Q1052" s="916"/>
      <c r="R1052" s="917">
        <f t="shared" si="317"/>
        <v>1</v>
      </c>
      <c r="S1052" s="916"/>
      <c r="T1052" s="75" t="s">
        <v>676</v>
      </c>
      <c r="U1052" s="75">
        <v>10</v>
      </c>
      <c r="V1052" s="906">
        <f>6/(12)</f>
        <v>0.5</v>
      </c>
      <c r="W1052" s="912">
        <f>(ROUND((Q1049-4*P1050)/V1052,0))+1</f>
        <v>12</v>
      </c>
      <c r="X1052" s="907">
        <f>2*(P1049+P1050)-8*S1049+2*8*U1052/1000</f>
        <v>2.4866666666666668</v>
      </c>
    </row>
    <row r="1053" spans="1:24" s="487" customFormat="1" ht="18" customHeight="1">
      <c r="A1053" s="478"/>
      <c r="B1053" s="726" t="s">
        <v>328</v>
      </c>
      <c r="C1053" s="924"/>
      <c r="D1053" s="480"/>
      <c r="E1053" s="481"/>
      <c r="F1053" s="482"/>
      <c r="G1053" s="483"/>
      <c r="H1053" s="484"/>
      <c r="I1053" s="483"/>
      <c r="J1053" s="484"/>
      <c r="K1053" s="483"/>
      <c r="L1053" s="948"/>
      <c r="M1053" s="485"/>
      <c r="N1053" s="485"/>
      <c r="O1053" s="486"/>
    </row>
    <row r="1054" spans="1:24" s="487" customFormat="1" ht="18" customHeight="1">
      <c r="A1054" s="478"/>
      <c r="B1054" s="956" t="s">
        <v>329</v>
      </c>
      <c r="C1054" s="957">
        <f>C182</f>
        <v>1</v>
      </c>
      <c r="D1054" s="958" t="s">
        <v>87</v>
      </c>
      <c r="E1054" s="959">
        <f>E182</f>
        <v>1</v>
      </c>
      <c r="F1054" s="960">
        <v>16</v>
      </c>
      <c r="G1054" s="961">
        <f>G182</f>
        <v>0</v>
      </c>
      <c r="H1054" s="962">
        <f>H182</f>
        <v>0</v>
      </c>
      <c r="I1054" s="961">
        <f>I182</f>
        <v>10</v>
      </c>
      <c r="J1054" s="484"/>
      <c r="K1054" s="483"/>
      <c r="L1054" s="948"/>
      <c r="M1054" s="485"/>
      <c r="N1054" s="485"/>
      <c r="O1054" s="486"/>
    </row>
    <row r="1055" spans="1:24" s="487" customFormat="1" ht="18" customHeight="1">
      <c r="A1055" s="478"/>
      <c r="B1055" s="336" t="s">
        <v>499</v>
      </c>
      <c r="C1055" s="924">
        <v>4</v>
      </c>
      <c r="D1055" s="480" t="s">
        <v>87</v>
      </c>
      <c r="E1055" s="481">
        <f>C1054*E1054</f>
        <v>1</v>
      </c>
      <c r="F1055" s="482">
        <v>18</v>
      </c>
      <c r="G1055" s="483">
        <v>1</v>
      </c>
      <c r="H1055" s="484"/>
      <c r="I1055" s="483"/>
      <c r="J1055" s="484"/>
      <c r="K1055" s="483"/>
      <c r="L1055" s="948"/>
      <c r="M1055" s="485"/>
      <c r="N1055" s="485">
        <f>C1055*E1055*(F1055+G1055/12)</f>
        <v>72.333333333333329</v>
      </c>
      <c r="O1055" s="486"/>
      <c r="P1055" s="915">
        <f>H1054+I1054/12</f>
        <v>0.83333333333333337</v>
      </c>
      <c r="Q1055" s="964">
        <f>F1054+G1054/12</f>
        <v>16</v>
      </c>
      <c r="R1055" s="917">
        <f>E1054*C1054</f>
        <v>1</v>
      </c>
      <c r="S1055" s="916">
        <f>1.5/12</f>
        <v>0.125</v>
      </c>
      <c r="T1055" s="75" t="s">
        <v>428</v>
      </c>
      <c r="U1055" s="75">
        <v>16</v>
      </c>
      <c r="V1055" s="906"/>
      <c r="W1055" s="912">
        <f>C1055</f>
        <v>4</v>
      </c>
      <c r="X1055" s="907">
        <f>Q1055-2*S1055+2*P1056</f>
        <v>18.09</v>
      </c>
    </row>
    <row r="1056" spans="1:24" s="487" customFormat="1" ht="18" customHeight="1">
      <c r="A1056" s="478"/>
      <c r="B1056" s="336" t="s">
        <v>500</v>
      </c>
      <c r="C1056" s="924">
        <v>4</v>
      </c>
      <c r="D1056" s="480" t="s">
        <v>87</v>
      </c>
      <c r="E1056" s="481">
        <f>E1055</f>
        <v>1</v>
      </c>
      <c r="F1056" s="482">
        <v>18</v>
      </c>
      <c r="G1056" s="483">
        <v>0</v>
      </c>
      <c r="H1056" s="484"/>
      <c r="I1056" s="483"/>
      <c r="J1056" s="484"/>
      <c r="K1056" s="483"/>
      <c r="L1056" s="948"/>
      <c r="M1056" s="485"/>
      <c r="N1056" s="485">
        <f>C1056*E1056*(F1056+G1056/12)</f>
        <v>72</v>
      </c>
      <c r="O1056" s="486"/>
      <c r="P1056" s="915">
        <v>1.17</v>
      </c>
      <c r="Q1056" s="916"/>
      <c r="R1056" s="917">
        <f>R1055</f>
        <v>1</v>
      </c>
      <c r="S1056" s="916">
        <f>1.5/12</f>
        <v>0.125</v>
      </c>
      <c r="T1056" s="75" t="s">
        <v>429</v>
      </c>
      <c r="U1056" s="75">
        <v>16</v>
      </c>
      <c r="V1056" s="906"/>
      <c r="W1056" s="912">
        <f>C1056</f>
        <v>4</v>
      </c>
      <c r="X1056" s="907">
        <f>Q1055-2*S1056-2*(U1056/1000)*3.281+2*((P1056))</f>
        <v>17.985008000000001</v>
      </c>
    </row>
    <row r="1057" spans="1:24" s="487" customFormat="1" ht="18" customHeight="1">
      <c r="A1057" s="478"/>
      <c r="B1057" s="336" t="s">
        <v>449</v>
      </c>
      <c r="C1057" s="924">
        <f>W1057</f>
        <v>15</v>
      </c>
      <c r="D1057" s="480" t="s">
        <v>87</v>
      </c>
      <c r="E1057" s="481">
        <f>E1056</f>
        <v>1</v>
      </c>
      <c r="F1057" s="482">
        <v>3</v>
      </c>
      <c r="G1057" s="483">
        <v>6</v>
      </c>
      <c r="H1057" s="484"/>
      <c r="I1057" s="483"/>
      <c r="J1057" s="484"/>
      <c r="K1057" s="483"/>
      <c r="L1057" s="948">
        <f>C1057*E1057*(F1057+G1057/12)</f>
        <v>52.5</v>
      </c>
      <c r="M1057" s="485"/>
      <c r="N1057" s="485"/>
      <c r="O1057" s="486"/>
      <c r="P1057" s="915"/>
      <c r="Q1057" s="916"/>
      <c r="R1057" s="917">
        <f t="shared" ref="R1057:R1058" si="318">R1056</f>
        <v>1</v>
      </c>
      <c r="S1057" s="916"/>
      <c r="T1057" s="75" t="s">
        <v>676</v>
      </c>
      <c r="U1057" s="75">
        <v>10</v>
      </c>
      <c r="V1057" s="906">
        <f>4/(12)</f>
        <v>0.33333333333333331</v>
      </c>
      <c r="W1057" s="912">
        <f>2*(ROUND(2*P1056/V1057,0))+1</f>
        <v>15</v>
      </c>
      <c r="X1057" s="907">
        <f>2*(P1055+P1056)-8*S1055+2*8*U1057/1000</f>
        <v>3.166666666666667</v>
      </c>
    </row>
    <row r="1058" spans="1:24" s="487" customFormat="1" ht="18" customHeight="1">
      <c r="A1058" s="478"/>
      <c r="B1058" s="336" t="s">
        <v>495</v>
      </c>
      <c r="C1058" s="924">
        <f>W1058</f>
        <v>24</v>
      </c>
      <c r="D1058" s="480" t="s">
        <v>87</v>
      </c>
      <c r="E1058" s="481">
        <f>E1057</f>
        <v>1</v>
      </c>
      <c r="F1058" s="482">
        <f>F1057</f>
        <v>3</v>
      </c>
      <c r="G1058" s="483">
        <f>G1057</f>
        <v>6</v>
      </c>
      <c r="H1058" s="484"/>
      <c r="I1058" s="483"/>
      <c r="J1058" s="484"/>
      <c r="K1058" s="483"/>
      <c r="L1058" s="948">
        <f>C1058*E1058*(F1058+G1058/12)</f>
        <v>84</v>
      </c>
      <c r="M1058" s="485"/>
      <c r="N1058" s="485"/>
      <c r="O1058" s="486"/>
      <c r="P1058" s="915"/>
      <c r="Q1058" s="916"/>
      <c r="R1058" s="917">
        <f t="shared" si="318"/>
        <v>1</v>
      </c>
      <c r="S1058" s="916"/>
      <c r="T1058" s="75" t="s">
        <v>676</v>
      </c>
      <c r="U1058" s="75">
        <v>10</v>
      </c>
      <c r="V1058" s="906">
        <f>6/(12)</f>
        <v>0.5</v>
      </c>
      <c r="W1058" s="912">
        <f>(ROUND((Q1055-4*P1056)/V1058,0))+1</f>
        <v>24</v>
      </c>
      <c r="X1058" s="907">
        <f>2*(P1055+P1056)-8*S1055+2*8*U1058/1000</f>
        <v>3.166666666666667</v>
      </c>
    </row>
    <row r="1059" spans="1:24" s="487" customFormat="1" ht="18" customHeight="1">
      <c r="A1059" s="478"/>
      <c r="B1059" s="956" t="s">
        <v>330</v>
      </c>
      <c r="C1059" s="957">
        <f>C183</f>
        <v>1</v>
      </c>
      <c r="D1059" s="958" t="s">
        <v>87</v>
      </c>
      <c r="E1059" s="959">
        <f>E183</f>
        <v>1</v>
      </c>
      <c r="F1059" s="960">
        <v>29</v>
      </c>
      <c r="G1059" s="961">
        <v>6</v>
      </c>
      <c r="H1059" s="962">
        <f>H183</f>
        <v>0</v>
      </c>
      <c r="I1059" s="961">
        <f>I183</f>
        <v>10</v>
      </c>
      <c r="J1059" s="484"/>
      <c r="K1059" s="483"/>
      <c r="L1059" s="948"/>
      <c r="M1059" s="485"/>
      <c r="N1059" s="485"/>
      <c r="O1059" s="486"/>
    </row>
    <row r="1060" spans="1:24" s="487" customFormat="1" ht="18" customHeight="1">
      <c r="A1060" s="478"/>
      <c r="B1060" s="336" t="s">
        <v>499</v>
      </c>
      <c r="C1060" s="924">
        <v>4</v>
      </c>
      <c r="D1060" s="480" t="s">
        <v>87</v>
      </c>
      <c r="E1060" s="481">
        <f>C1059*E1059</f>
        <v>1</v>
      </c>
      <c r="F1060" s="482">
        <v>31</v>
      </c>
      <c r="G1060" s="483">
        <v>7</v>
      </c>
      <c r="H1060" s="484"/>
      <c r="I1060" s="483"/>
      <c r="J1060" s="484"/>
      <c r="K1060" s="483"/>
      <c r="L1060" s="948"/>
      <c r="M1060" s="485"/>
      <c r="N1060" s="485">
        <f>C1060*E1060*(F1060+G1060/12)</f>
        <v>126.33333333333333</v>
      </c>
      <c r="O1060" s="486"/>
      <c r="P1060" s="915">
        <f>H1059+I1059/12</f>
        <v>0.83333333333333337</v>
      </c>
      <c r="Q1060" s="964">
        <f>F1059+G1059/12</f>
        <v>29.5</v>
      </c>
      <c r="R1060" s="917">
        <f>E1059*C1059</f>
        <v>1</v>
      </c>
      <c r="S1060" s="916">
        <f>1.5/12</f>
        <v>0.125</v>
      </c>
      <c r="T1060" s="75" t="s">
        <v>428</v>
      </c>
      <c r="U1060" s="75">
        <v>16</v>
      </c>
      <c r="V1060" s="906"/>
      <c r="W1060" s="912">
        <f>C1060</f>
        <v>4</v>
      </c>
      <c r="X1060" s="907">
        <f>Q1060-2*S1060+2*P1061</f>
        <v>31.59</v>
      </c>
    </row>
    <row r="1061" spans="1:24" s="487" customFormat="1" ht="18" customHeight="1">
      <c r="A1061" s="478"/>
      <c r="B1061" s="336" t="s">
        <v>500</v>
      </c>
      <c r="C1061" s="924">
        <v>4</v>
      </c>
      <c r="D1061" s="480" t="s">
        <v>87</v>
      </c>
      <c r="E1061" s="481">
        <f>E1060</f>
        <v>1</v>
      </c>
      <c r="F1061" s="482">
        <v>31</v>
      </c>
      <c r="G1061" s="483">
        <v>6</v>
      </c>
      <c r="H1061" s="484"/>
      <c r="I1061" s="483"/>
      <c r="J1061" s="484"/>
      <c r="K1061" s="483"/>
      <c r="L1061" s="948"/>
      <c r="M1061" s="485"/>
      <c r="N1061" s="485">
        <f>C1061*E1061*(F1061+G1061/12)</f>
        <v>126</v>
      </c>
      <c r="O1061" s="486"/>
      <c r="P1061" s="915">
        <v>1.17</v>
      </c>
      <c r="Q1061" s="916"/>
      <c r="R1061" s="917">
        <f>R1060</f>
        <v>1</v>
      </c>
      <c r="S1061" s="916">
        <f>1.5/12</f>
        <v>0.125</v>
      </c>
      <c r="T1061" s="75" t="s">
        <v>429</v>
      </c>
      <c r="U1061" s="75">
        <v>16</v>
      </c>
      <c r="V1061" s="906"/>
      <c r="W1061" s="912">
        <f>C1061</f>
        <v>4</v>
      </c>
      <c r="X1061" s="907">
        <f>Q1060-2*S1061-2*(U1061/1000)*3.281+2*((P1061))</f>
        <v>31.485008000000001</v>
      </c>
    </row>
    <row r="1062" spans="1:24" s="487" customFormat="1" ht="18" customHeight="1">
      <c r="A1062" s="478"/>
      <c r="B1062" s="336" t="s">
        <v>449</v>
      </c>
      <c r="C1062" s="924">
        <f>W1062</f>
        <v>15</v>
      </c>
      <c r="D1062" s="480" t="s">
        <v>87</v>
      </c>
      <c r="E1062" s="481">
        <f>E1061</f>
        <v>1</v>
      </c>
      <c r="F1062" s="482">
        <v>3</v>
      </c>
      <c r="G1062" s="483">
        <v>6</v>
      </c>
      <c r="H1062" s="484"/>
      <c r="I1062" s="483"/>
      <c r="J1062" s="484"/>
      <c r="K1062" s="483"/>
      <c r="L1062" s="948">
        <f>C1062*E1062*(F1062+G1062/12)</f>
        <v>52.5</v>
      </c>
      <c r="M1062" s="485"/>
      <c r="N1062" s="485"/>
      <c r="O1062" s="486"/>
      <c r="P1062" s="915"/>
      <c r="Q1062" s="916"/>
      <c r="R1062" s="917">
        <f t="shared" ref="R1062:R1063" si="319">R1061</f>
        <v>1</v>
      </c>
      <c r="S1062" s="916"/>
      <c r="T1062" s="75" t="s">
        <v>676</v>
      </c>
      <c r="U1062" s="75">
        <v>10</v>
      </c>
      <c r="V1062" s="906">
        <f>4/(12)</f>
        <v>0.33333333333333331</v>
      </c>
      <c r="W1062" s="912">
        <f>2*(ROUND(2*P1061/V1062,0))+1</f>
        <v>15</v>
      </c>
      <c r="X1062" s="907">
        <f>2*(P1060+P1061)-8*S1060+2*8*U1062/1000</f>
        <v>3.166666666666667</v>
      </c>
    </row>
    <row r="1063" spans="1:24" s="487" customFormat="1" ht="18" customHeight="1">
      <c r="A1063" s="478"/>
      <c r="B1063" s="336" t="s">
        <v>495</v>
      </c>
      <c r="C1063" s="924">
        <f>W1063</f>
        <v>51</v>
      </c>
      <c r="D1063" s="480" t="s">
        <v>87</v>
      </c>
      <c r="E1063" s="481">
        <f>E1062</f>
        <v>1</v>
      </c>
      <c r="F1063" s="482">
        <f>F1062</f>
        <v>3</v>
      </c>
      <c r="G1063" s="483">
        <f>G1062</f>
        <v>6</v>
      </c>
      <c r="H1063" s="484"/>
      <c r="I1063" s="483"/>
      <c r="J1063" s="484"/>
      <c r="K1063" s="483"/>
      <c r="L1063" s="948">
        <f>C1063*E1063*(F1063+G1063/12)</f>
        <v>178.5</v>
      </c>
      <c r="M1063" s="485"/>
      <c r="N1063" s="485"/>
      <c r="O1063" s="486"/>
      <c r="P1063" s="915"/>
      <c r="Q1063" s="916"/>
      <c r="R1063" s="917">
        <f t="shared" si="319"/>
        <v>1</v>
      </c>
      <c r="S1063" s="916"/>
      <c r="T1063" s="75" t="s">
        <v>676</v>
      </c>
      <c r="U1063" s="75">
        <v>10</v>
      </c>
      <c r="V1063" s="906">
        <f>6/(12)</f>
        <v>0.5</v>
      </c>
      <c r="W1063" s="912">
        <f>(ROUND((Q1060-4*P1061)/V1063,0))+1</f>
        <v>51</v>
      </c>
      <c r="X1063" s="907">
        <f>2*(P1060+P1061)-8*S1060+2*8*U1063/1000</f>
        <v>3.166666666666667</v>
      </c>
    </row>
    <row r="1064" spans="1:24" s="487" customFormat="1" ht="18" customHeight="1">
      <c r="A1064" s="478"/>
      <c r="B1064" s="956" t="s">
        <v>339</v>
      </c>
      <c r="C1064" s="957">
        <v>3</v>
      </c>
      <c r="D1064" s="958" t="s">
        <v>87</v>
      </c>
      <c r="E1064" s="959">
        <f>E1059</f>
        <v>1</v>
      </c>
      <c r="F1064" s="960">
        <f>F184</f>
        <v>4</v>
      </c>
      <c r="G1064" s="961">
        <f>G184</f>
        <v>0</v>
      </c>
      <c r="H1064" s="962">
        <f>H184</f>
        <v>0</v>
      </c>
      <c r="I1064" s="961">
        <f>I184</f>
        <v>10</v>
      </c>
      <c r="J1064" s="484"/>
      <c r="K1064" s="483"/>
      <c r="L1064" s="948"/>
      <c r="M1064" s="485"/>
      <c r="N1064" s="485"/>
      <c r="O1064" s="486"/>
    </row>
    <row r="1065" spans="1:24" s="487" customFormat="1" ht="18" customHeight="1">
      <c r="A1065" s="478"/>
      <c r="B1065" s="336" t="s">
        <v>499</v>
      </c>
      <c r="C1065" s="924">
        <v>4</v>
      </c>
      <c r="D1065" s="480" t="s">
        <v>87</v>
      </c>
      <c r="E1065" s="481">
        <f>C1064*E1064</f>
        <v>3</v>
      </c>
      <c r="F1065" s="482">
        <v>6</v>
      </c>
      <c r="G1065" s="483">
        <v>1</v>
      </c>
      <c r="H1065" s="484"/>
      <c r="I1065" s="483"/>
      <c r="J1065" s="484"/>
      <c r="K1065" s="483"/>
      <c r="L1065" s="948"/>
      <c r="M1065" s="485"/>
      <c r="N1065" s="485">
        <f>C1065*E1065*(F1065+G1065/12)</f>
        <v>73</v>
      </c>
      <c r="O1065" s="486"/>
      <c r="P1065" s="915">
        <f>H1064+I1064/12</f>
        <v>0.83333333333333337</v>
      </c>
      <c r="Q1065" s="964">
        <f>F1064+G1064/12</f>
        <v>4</v>
      </c>
      <c r="R1065" s="917">
        <f>E1064*C1064</f>
        <v>3</v>
      </c>
      <c r="S1065" s="916">
        <f>1.5/12</f>
        <v>0.125</v>
      </c>
      <c r="T1065" s="75" t="s">
        <v>428</v>
      </c>
      <c r="U1065" s="75">
        <v>16</v>
      </c>
      <c r="V1065" s="906"/>
      <c r="W1065" s="912">
        <f>C1065</f>
        <v>4</v>
      </c>
      <c r="X1065" s="907">
        <f>Q1065-2*S1065+2*P1066</f>
        <v>6.09</v>
      </c>
    </row>
    <row r="1066" spans="1:24" s="487" customFormat="1" ht="18" customHeight="1">
      <c r="A1066" s="478"/>
      <c r="B1066" s="336" t="s">
        <v>500</v>
      </c>
      <c r="C1066" s="924">
        <v>4</v>
      </c>
      <c r="D1066" s="480" t="s">
        <v>87</v>
      </c>
      <c r="E1066" s="481">
        <f>E1065</f>
        <v>3</v>
      </c>
      <c r="F1066" s="482">
        <v>6</v>
      </c>
      <c r="G1066" s="483">
        <v>0</v>
      </c>
      <c r="H1066" s="484"/>
      <c r="I1066" s="483"/>
      <c r="J1066" s="484"/>
      <c r="K1066" s="483"/>
      <c r="L1066" s="948"/>
      <c r="M1066" s="485"/>
      <c r="N1066" s="485">
        <f>C1066*E1066*(F1066+G1066/12)</f>
        <v>72</v>
      </c>
      <c r="O1066" s="486"/>
      <c r="P1066" s="915">
        <v>1.17</v>
      </c>
      <c r="Q1066" s="916"/>
      <c r="R1066" s="917">
        <f>R1065</f>
        <v>3</v>
      </c>
      <c r="S1066" s="916">
        <f>1.5/12</f>
        <v>0.125</v>
      </c>
      <c r="T1066" s="75" t="s">
        <v>429</v>
      </c>
      <c r="U1066" s="75">
        <v>16</v>
      </c>
      <c r="V1066" s="906"/>
      <c r="W1066" s="912">
        <f>C1066</f>
        <v>4</v>
      </c>
      <c r="X1066" s="907">
        <f>Q1065-2*S1066-2*(U1066/1000)*3.281+2*((P1066))</f>
        <v>5.9850079999999997</v>
      </c>
    </row>
    <row r="1067" spans="1:24" s="487" customFormat="1" ht="18" customHeight="1">
      <c r="A1067" s="478"/>
      <c r="B1067" s="336" t="s">
        <v>449</v>
      </c>
      <c r="C1067" s="924">
        <f>W1067</f>
        <v>15</v>
      </c>
      <c r="D1067" s="480" t="s">
        <v>87</v>
      </c>
      <c r="E1067" s="481">
        <f>E1066</f>
        <v>3</v>
      </c>
      <c r="F1067" s="482">
        <v>3</v>
      </c>
      <c r="G1067" s="483">
        <v>6</v>
      </c>
      <c r="H1067" s="484"/>
      <c r="I1067" s="483"/>
      <c r="J1067" s="484"/>
      <c r="K1067" s="483"/>
      <c r="L1067" s="948">
        <f>C1067*E1067*(F1067+G1067/12)</f>
        <v>157.5</v>
      </c>
      <c r="M1067" s="485"/>
      <c r="N1067" s="485"/>
      <c r="O1067" s="486"/>
      <c r="P1067" s="915"/>
      <c r="Q1067" s="916"/>
      <c r="R1067" s="917">
        <f t="shared" ref="R1067" si="320">R1066</f>
        <v>3</v>
      </c>
      <c r="S1067" s="916"/>
      <c r="T1067" s="75" t="s">
        <v>676</v>
      </c>
      <c r="U1067" s="75">
        <v>10</v>
      </c>
      <c r="V1067" s="906">
        <f>4/(12)</f>
        <v>0.33333333333333331</v>
      </c>
      <c r="W1067" s="912">
        <f>2*(ROUND(2*P1066/V1067,0))+1</f>
        <v>15</v>
      </c>
      <c r="X1067" s="907">
        <f>2*(P1065+P1066)-8*S1065+2*8*U1067/1000</f>
        <v>3.166666666666667</v>
      </c>
    </row>
    <row r="1068" spans="1:24" s="487" customFormat="1" ht="18" customHeight="1">
      <c r="A1068" s="478"/>
      <c r="B1068" s="956" t="s">
        <v>340</v>
      </c>
      <c r="C1068" s="957">
        <f>C185</f>
        <v>1</v>
      </c>
      <c r="D1068" s="958" t="s">
        <v>87</v>
      </c>
      <c r="E1068" s="959">
        <f>E185</f>
        <v>1</v>
      </c>
      <c r="F1068" s="960">
        <v>15</v>
      </c>
      <c r="G1068" s="961">
        <v>7</v>
      </c>
      <c r="H1068" s="962">
        <f>H185</f>
        <v>0</v>
      </c>
      <c r="I1068" s="961">
        <f>I185</f>
        <v>10</v>
      </c>
      <c r="J1068" s="484"/>
      <c r="K1068" s="483"/>
      <c r="L1068" s="948"/>
      <c r="M1068" s="485"/>
      <c r="N1068" s="485"/>
      <c r="O1068" s="486"/>
    </row>
    <row r="1069" spans="1:24" s="487" customFormat="1" ht="18" customHeight="1">
      <c r="A1069" s="478"/>
      <c r="B1069" s="336" t="s">
        <v>499</v>
      </c>
      <c r="C1069" s="924">
        <v>4</v>
      </c>
      <c r="D1069" s="480" t="s">
        <v>87</v>
      </c>
      <c r="E1069" s="481">
        <f>C1068*E1068</f>
        <v>1</v>
      </c>
      <c r="F1069" s="482">
        <v>17</v>
      </c>
      <c r="G1069" s="483">
        <v>8</v>
      </c>
      <c r="H1069" s="484"/>
      <c r="I1069" s="483"/>
      <c r="J1069" s="484"/>
      <c r="K1069" s="483"/>
      <c r="L1069" s="948"/>
      <c r="M1069" s="485"/>
      <c r="N1069" s="485">
        <f>C1069*E1069*(F1069+G1069/12)</f>
        <v>70.666666666666671</v>
      </c>
      <c r="O1069" s="486"/>
      <c r="P1069" s="915">
        <f>H1068+I1068/12</f>
        <v>0.83333333333333337</v>
      </c>
      <c r="Q1069" s="964">
        <f>F1068+G1068/12</f>
        <v>15.583333333333334</v>
      </c>
      <c r="R1069" s="917">
        <f>E1068*C1068</f>
        <v>1</v>
      </c>
      <c r="S1069" s="916">
        <f>1.5/12</f>
        <v>0.125</v>
      </c>
      <c r="T1069" s="75" t="s">
        <v>428</v>
      </c>
      <c r="U1069" s="75">
        <v>16</v>
      </c>
      <c r="V1069" s="906"/>
      <c r="W1069" s="912">
        <f>C1069</f>
        <v>4</v>
      </c>
      <c r="X1069" s="907">
        <f>Q1069-2*S1069+2*P1070</f>
        <v>17.673333333333332</v>
      </c>
    </row>
    <row r="1070" spans="1:24" s="487" customFormat="1" ht="18" customHeight="1">
      <c r="A1070" s="478"/>
      <c r="B1070" s="336" t="s">
        <v>500</v>
      </c>
      <c r="C1070" s="924">
        <v>4</v>
      </c>
      <c r="D1070" s="480" t="s">
        <v>87</v>
      </c>
      <c r="E1070" s="481">
        <f>E1069</f>
        <v>1</v>
      </c>
      <c r="F1070" s="482">
        <v>17</v>
      </c>
      <c r="G1070" s="483">
        <v>7</v>
      </c>
      <c r="H1070" s="484"/>
      <c r="I1070" s="483"/>
      <c r="J1070" s="484"/>
      <c r="K1070" s="483"/>
      <c r="L1070" s="948"/>
      <c r="M1070" s="485"/>
      <c r="N1070" s="485">
        <f>C1070*E1070*(F1070+G1070/12)</f>
        <v>70.333333333333329</v>
      </c>
      <c r="O1070" s="486"/>
      <c r="P1070" s="915">
        <v>1.17</v>
      </c>
      <c r="Q1070" s="916"/>
      <c r="R1070" s="917">
        <f>R1069</f>
        <v>1</v>
      </c>
      <c r="S1070" s="916">
        <f>1.5/12</f>
        <v>0.125</v>
      </c>
      <c r="T1070" s="75" t="s">
        <v>429</v>
      </c>
      <c r="U1070" s="75">
        <v>16</v>
      </c>
      <c r="V1070" s="906"/>
      <c r="W1070" s="912">
        <f>C1070</f>
        <v>4</v>
      </c>
      <c r="X1070" s="907">
        <f>Q1069-2*S1070-2*(U1070/1000)*3.281+2*((P1070))</f>
        <v>17.568341333333336</v>
      </c>
    </row>
    <row r="1071" spans="1:24" s="487" customFormat="1" ht="18" customHeight="1">
      <c r="A1071" s="478"/>
      <c r="B1071" s="336" t="s">
        <v>449</v>
      </c>
      <c r="C1071" s="924">
        <f>W1071</f>
        <v>15</v>
      </c>
      <c r="D1071" s="480" t="s">
        <v>87</v>
      </c>
      <c r="E1071" s="481">
        <f>E1070</f>
        <v>1</v>
      </c>
      <c r="F1071" s="482">
        <v>3</v>
      </c>
      <c r="G1071" s="483">
        <v>6</v>
      </c>
      <c r="H1071" s="484"/>
      <c r="I1071" s="483"/>
      <c r="J1071" s="484"/>
      <c r="K1071" s="483"/>
      <c r="L1071" s="948">
        <f>C1071*E1071*(F1071+G1071/12)</f>
        <v>52.5</v>
      </c>
      <c r="M1071" s="485"/>
      <c r="N1071" s="485"/>
      <c r="O1071" s="486"/>
      <c r="P1071" s="915"/>
      <c r="Q1071" s="916"/>
      <c r="R1071" s="917">
        <f t="shared" ref="R1071:R1072" si="321">R1070</f>
        <v>1</v>
      </c>
      <c r="S1071" s="916"/>
      <c r="T1071" s="75" t="s">
        <v>676</v>
      </c>
      <c r="U1071" s="75">
        <v>10</v>
      </c>
      <c r="V1071" s="906">
        <f>4/(12)</f>
        <v>0.33333333333333331</v>
      </c>
      <c r="W1071" s="912">
        <f>2*(ROUND(2*P1070/V1071,0))+1</f>
        <v>15</v>
      </c>
      <c r="X1071" s="907">
        <f>2*(P1069+P1070)-8*S1069+2*8*U1071/1000</f>
        <v>3.166666666666667</v>
      </c>
    </row>
    <row r="1072" spans="1:24" s="487" customFormat="1" ht="18" customHeight="1">
      <c r="A1072" s="478"/>
      <c r="B1072" s="336" t="s">
        <v>495</v>
      </c>
      <c r="C1072" s="924">
        <f>W1072</f>
        <v>23</v>
      </c>
      <c r="D1072" s="480" t="s">
        <v>87</v>
      </c>
      <c r="E1072" s="481">
        <f>E1071</f>
        <v>1</v>
      </c>
      <c r="F1072" s="482">
        <f>F1071</f>
        <v>3</v>
      </c>
      <c r="G1072" s="483">
        <f>G1071</f>
        <v>6</v>
      </c>
      <c r="H1072" s="484"/>
      <c r="I1072" s="483"/>
      <c r="J1072" s="484"/>
      <c r="K1072" s="483"/>
      <c r="L1072" s="948">
        <f>C1072*E1072*(F1072+G1072/12)</f>
        <v>80.5</v>
      </c>
      <c r="M1072" s="485"/>
      <c r="N1072" s="485"/>
      <c r="O1072" s="486"/>
      <c r="P1072" s="915"/>
      <c r="Q1072" s="916"/>
      <c r="R1072" s="917">
        <f t="shared" si="321"/>
        <v>1</v>
      </c>
      <c r="S1072" s="916"/>
      <c r="T1072" s="75" t="s">
        <v>676</v>
      </c>
      <c r="U1072" s="75">
        <v>10</v>
      </c>
      <c r="V1072" s="906">
        <f>6/(12)</f>
        <v>0.5</v>
      </c>
      <c r="W1072" s="912">
        <f>(ROUND((Q1069-4*P1070)/V1072,0))+1</f>
        <v>23</v>
      </c>
      <c r="X1072" s="907">
        <f>2*(P1069+P1070)-8*S1069+2*8*U1072/1000</f>
        <v>3.166666666666667</v>
      </c>
    </row>
    <row r="1073" spans="1:24" s="487" customFormat="1" ht="18" customHeight="1">
      <c r="A1073" s="478"/>
      <c r="B1073" s="956" t="s">
        <v>341</v>
      </c>
      <c r="C1073" s="957">
        <f>C186</f>
        <v>1</v>
      </c>
      <c r="D1073" s="958" t="s">
        <v>87</v>
      </c>
      <c r="E1073" s="959">
        <f>E186</f>
        <v>1</v>
      </c>
      <c r="F1073" s="960">
        <v>11</v>
      </c>
      <c r="G1073" s="961">
        <v>11</v>
      </c>
      <c r="H1073" s="962">
        <f>H186</f>
        <v>0</v>
      </c>
      <c r="I1073" s="961">
        <f>I186</f>
        <v>10</v>
      </c>
      <c r="J1073" s="484"/>
      <c r="K1073" s="483"/>
      <c r="L1073" s="948"/>
      <c r="M1073" s="485"/>
      <c r="N1073" s="485"/>
      <c r="O1073" s="486"/>
    </row>
    <row r="1074" spans="1:24" s="487" customFormat="1" ht="18" customHeight="1">
      <c r="A1074" s="478"/>
      <c r="B1074" s="336" t="s">
        <v>499</v>
      </c>
      <c r="C1074" s="924">
        <v>4</v>
      </c>
      <c r="D1074" s="480" t="s">
        <v>87</v>
      </c>
      <c r="E1074" s="481">
        <f>C1073*E1073</f>
        <v>1</v>
      </c>
      <c r="F1074" s="482">
        <v>14</v>
      </c>
      <c r="G1074" s="483">
        <v>0</v>
      </c>
      <c r="H1074" s="484"/>
      <c r="I1074" s="483"/>
      <c r="J1074" s="484"/>
      <c r="K1074" s="483"/>
      <c r="L1074" s="948"/>
      <c r="M1074" s="485"/>
      <c r="N1074" s="485">
        <f>C1074*E1074*(F1074+G1074/12)</f>
        <v>56</v>
      </c>
      <c r="O1074" s="486"/>
      <c r="P1074" s="915">
        <f>H1073+I1073/12</f>
        <v>0.83333333333333337</v>
      </c>
      <c r="Q1074" s="964">
        <f>F1073+G1073/12</f>
        <v>11.916666666666666</v>
      </c>
      <c r="R1074" s="917">
        <f>E1073*C1073</f>
        <v>1</v>
      </c>
      <c r="S1074" s="916">
        <f>1.5/12</f>
        <v>0.125</v>
      </c>
      <c r="T1074" s="75" t="s">
        <v>428</v>
      </c>
      <c r="U1074" s="75">
        <v>16</v>
      </c>
      <c r="V1074" s="906"/>
      <c r="W1074" s="912">
        <f>C1074</f>
        <v>4</v>
      </c>
      <c r="X1074" s="907">
        <f>Q1074-2*S1074+2*P1075</f>
        <v>14.006666666666666</v>
      </c>
    </row>
    <row r="1075" spans="1:24" s="487" customFormat="1" ht="18" customHeight="1">
      <c r="A1075" s="478"/>
      <c r="B1075" s="336" t="s">
        <v>500</v>
      </c>
      <c r="C1075" s="924">
        <v>4</v>
      </c>
      <c r="D1075" s="480" t="s">
        <v>87</v>
      </c>
      <c r="E1075" s="481">
        <f>E1074</f>
        <v>1</v>
      </c>
      <c r="F1075" s="482">
        <v>13</v>
      </c>
      <c r="G1075" s="483">
        <v>11</v>
      </c>
      <c r="H1075" s="484"/>
      <c r="I1075" s="483"/>
      <c r="J1075" s="484"/>
      <c r="K1075" s="483"/>
      <c r="L1075" s="948"/>
      <c r="M1075" s="485"/>
      <c r="N1075" s="485">
        <f>C1075*E1075*(F1075+G1075/12)</f>
        <v>55.666666666666664</v>
      </c>
      <c r="O1075" s="486"/>
      <c r="P1075" s="915">
        <v>1.17</v>
      </c>
      <c r="Q1075" s="916"/>
      <c r="R1075" s="917">
        <f>R1074</f>
        <v>1</v>
      </c>
      <c r="S1075" s="916">
        <f>1.5/12</f>
        <v>0.125</v>
      </c>
      <c r="T1075" s="75" t="s">
        <v>429</v>
      </c>
      <c r="U1075" s="75">
        <v>16</v>
      </c>
      <c r="V1075" s="906"/>
      <c r="W1075" s="912">
        <f>C1075</f>
        <v>4</v>
      </c>
      <c r="X1075" s="907">
        <f>Q1074-2*S1075-2*(U1075/1000)*3.281+2*((P1075))</f>
        <v>13.901674666666667</v>
      </c>
    </row>
    <row r="1076" spans="1:24" s="487" customFormat="1" ht="18" customHeight="1">
      <c r="A1076" s="478"/>
      <c r="B1076" s="336" t="s">
        <v>449</v>
      </c>
      <c r="C1076" s="924">
        <f>W1076</f>
        <v>15</v>
      </c>
      <c r="D1076" s="480" t="s">
        <v>87</v>
      </c>
      <c r="E1076" s="481">
        <f>E1075</f>
        <v>1</v>
      </c>
      <c r="F1076" s="482">
        <v>3</v>
      </c>
      <c r="G1076" s="483">
        <v>6</v>
      </c>
      <c r="H1076" s="484"/>
      <c r="I1076" s="483"/>
      <c r="J1076" s="484"/>
      <c r="K1076" s="483"/>
      <c r="L1076" s="948">
        <f>C1076*E1076*(F1076+G1076/12)</f>
        <v>52.5</v>
      </c>
      <c r="M1076" s="485"/>
      <c r="N1076" s="485"/>
      <c r="O1076" s="486"/>
      <c r="P1076" s="915"/>
      <c r="Q1076" s="916"/>
      <c r="R1076" s="917">
        <f t="shared" ref="R1076:R1077" si="322">R1075</f>
        <v>1</v>
      </c>
      <c r="S1076" s="916"/>
      <c r="T1076" s="75" t="s">
        <v>676</v>
      </c>
      <c r="U1076" s="75">
        <v>10</v>
      </c>
      <c r="V1076" s="906">
        <f>4/(12)</f>
        <v>0.33333333333333331</v>
      </c>
      <c r="W1076" s="912">
        <f>2*(ROUND(2*P1075/V1076,0))+1</f>
        <v>15</v>
      </c>
      <c r="X1076" s="907">
        <f>2*(P1074+P1075)-8*S1074+2*8*U1076/1000</f>
        <v>3.166666666666667</v>
      </c>
    </row>
    <row r="1077" spans="1:24" s="487" customFormat="1" ht="18" customHeight="1">
      <c r="A1077" s="478"/>
      <c r="B1077" s="336" t="s">
        <v>495</v>
      </c>
      <c r="C1077" s="924">
        <f>W1077</f>
        <v>15</v>
      </c>
      <c r="D1077" s="480" t="s">
        <v>87</v>
      </c>
      <c r="E1077" s="481">
        <f>E1076</f>
        <v>1</v>
      </c>
      <c r="F1077" s="482">
        <f>F1076</f>
        <v>3</v>
      </c>
      <c r="G1077" s="483">
        <f>G1076</f>
        <v>6</v>
      </c>
      <c r="H1077" s="484"/>
      <c r="I1077" s="483"/>
      <c r="J1077" s="484"/>
      <c r="K1077" s="483"/>
      <c r="L1077" s="948">
        <f>C1077*E1077*(F1077+G1077/12)</f>
        <v>52.5</v>
      </c>
      <c r="M1077" s="485"/>
      <c r="N1077" s="485"/>
      <c r="O1077" s="486"/>
      <c r="P1077" s="915"/>
      <c r="Q1077" s="916"/>
      <c r="R1077" s="917">
        <f t="shared" si="322"/>
        <v>1</v>
      </c>
      <c r="S1077" s="916"/>
      <c r="T1077" s="75" t="s">
        <v>676</v>
      </c>
      <c r="U1077" s="75">
        <v>10</v>
      </c>
      <c r="V1077" s="906">
        <f>6/(12)</f>
        <v>0.5</v>
      </c>
      <c r="W1077" s="912">
        <f>(ROUND((Q1074-4*P1075)/V1077,0))+1</f>
        <v>15</v>
      </c>
      <c r="X1077" s="907">
        <f>2*(P1074+P1075)-8*S1074+2*8*U1077/1000</f>
        <v>3.166666666666667</v>
      </c>
    </row>
    <row r="1078" spans="1:24" s="487" customFormat="1" ht="18" customHeight="1">
      <c r="A1078" s="478"/>
      <c r="B1078" s="726" t="s">
        <v>331</v>
      </c>
      <c r="C1078" s="924"/>
      <c r="D1078" s="480"/>
      <c r="E1078" s="481"/>
      <c r="F1078" s="482"/>
      <c r="G1078" s="483"/>
      <c r="H1078" s="484"/>
      <c r="I1078" s="483"/>
      <c r="J1078" s="484"/>
      <c r="K1078" s="483"/>
      <c r="L1078" s="948"/>
      <c r="M1078" s="485"/>
      <c r="N1078" s="485"/>
      <c r="O1078" s="486"/>
    </row>
    <row r="1079" spans="1:24" s="487" customFormat="1" ht="18" customHeight="1">
      <c r="A1079" s="478"/>
      <c r="B1079" s="956" t="s">
        <v>508</v>
      </c>
      <c r="C1079" s="957">
        <f>C192</f>
        <v>1</v>
      </c>
      <c r="D1079" s="958" t="s">
        <v>87</v>
      </c>
      <c r="E1079" s="959">
        <v>3</v>
      </c>
      <c r="F1079" s="960">
        <v>36</v>
      </c>
      <c r="G1079" s="961">
        <v>6</v>
      </c>
      <c r="H1079" s="962">
        <f>H192</f>
        <v>1</v>
      </c>
      <c r="I1079" s="961">
        <f>I192</f>
        <v>0</v>
      </c>
      <c r="J1079" s="484"/>
      <c r="K1079" s="483"/>
      <c r="L1079" s="948"/>
      <c r="M1079" s="485"/>
      <c r="N1079" s="485"/>
      <c r="O1079" s="486"/>
    </row>
    <row r="1080" spans="1:24" s="487" customFormat="1" ht="18" customHeight="1">
      <c r="A1080" s="478"/>
      <c r="B1080" s="336" t="s">
        <v>257</v>
      </c>
      <c r="C1080" s="924">
        <v>3</v>
      </c>
      <c r="D1080" s="480" t="s">
        <v>87</v>
      </c>
      <c r="E1080" s="481">
        <f>C1079*E1079</f>
        <v>3</v>
      </c>
      <c r="F1080" s="482">
        <v>38</v>
      </c>
      <c r="G1080" s="483">
        <v>7</v>
      </c>
      <c r="H1080" s="484"/>
      <c r="I1080" s="483"/>
      <c r="J1080" s="484"/>
      <c r="K1080" s="483"/>
      <c r="L1080" s="948"/>
      <c r="M1080" s="485"/>
      <c r="N1080" s="485">
        <f>C1080*E1080*(F1080+G1080/12)</f>
        <v>347.25</v>
      </c>
      <c r="O1080" s="486"/>
      <c r="P1080" s="915">
        <f>H1079+I1079/12</f>
        <v>1</v>
      </c>
      <c r="Q1080" s="964">
        <f>F1079+G1079/12</f>
        <v>36.5</v>
      </c>
      <c r="R1080" s="917">
        <f>E1079*C1079</f>
        <v>3</v>
      </c>
      <c r="S1080" s="916">
        <f>1.5/12</f>
        <v>0.125</v>
      </c>
      <c r="T1080" s="75" t="s">
        <v>428</v>
      </c>
      <c r="U1080" s="75">
        <v>16</v>
      </c>
      <c r="V1080" s="906"/>
      <c r="W1080" s="912">
        <f>C1080</f>
        <v>3</v>
      </c>
      <c r="X1080" s="907">
        <f>Q1080-2*S1080+2*P1081</f>
        <v>38.590000000000003</v>
      </c>
    </row>
    <row r="1081" spans="1:24" s="487" customFormat="1" ht="18" customHeight="1">
      <c r="A1081" s="478"/>
      <c r="B1081" s="336" t="s">
        <v>504</v>
      </c>
      <c r="C1081" s="924">
        <v>2</v>
      </c>
      <c r="D1081" s="480" t="s">
        <v>87</v>
      </c>
      <c r="E1081" s="481">
        <f>E1080</f>
        <v>3</v>
      </c>
      <c r="F1081" s="482">
        <v>39</v>
      </c>
      <c r="G1081" s="483">
        <v>10</v>
      </c>
      <c r="H1081" s="484"/>
      <c r="I1081" s="483"/>
      <c r="J1081" s="484"/>
      <c r="K1081" s="483"/>
      <c r="L1081" s="948"/>
      <c r="M1081" s="485"/>
      <c r="N1081" s="485">
        <f>C1081*E1081*(F1081+G1081/12)</f>
        <v>239</v>
      </c>
      <c r="O1081" s="486"/>
      <c r="P1081" s="915">
        <v>1.17</v>
      </c>
      <c r="Q1081" s="966"/>
      <c r="R1081" s="917">
        <f>R1080</f>
        <v>3</v>
      </c>
      <c r="S1081" s="916">
        <f>1.5/12</f>
        <v>0.125</v>
      </c>
      <c r="T1081" s="75" t="s">
        <v>699</v>
      </c>
      <c r="U1081" s="75">
        <v>16</v>
      </c>
      <c r="V1081" s="966"/>
      <c r="W1081" s="912">
        <f>C1081</f>
        <v>2</v>
      </c>
      <c r="X1081" s="967">
        <f>(15.58/3+P1080+P1081+3.281*8*U1081/1000)*2+(9/3+P1080+P1081+3.281*8*U1081/1000)*2+(11.92/3+P1080+P1081+3.281*8*U1081/1000)*2</f>
        <v>39.873141333333329</v>
      </c>
    </row>
    <row r="1082" spans="1:24" s="487" customFormat="1" ht="18" customHeight="1">
      <c r="A1082" s="478"/>
      <c r="B1082" s="336" t="s">
        <v>258</v>
      </c>
      <c r="C1082" s="924">
        <v>3</v>
      </c>
      <c r="D1082" s="480" t="s">
        <v>87</v>
      </c>
      <c r="E1082" s="481">
        <f>E1081</f>
        <v>3</v>
      </c>
      <c r="F1082" s="482">
        <v>38</v>
      </c>
      <c r="G1082" s="483">
        <v>6</v>
      </c>
      <c r="H1082" s="484"/>
      <c r="I1082" s="483"/>
      <c r="J1082" s="484"/>
      <c r="K1082" s="483"/>
      <c r="L1082" s="948"/>
      <c r="M1082" s="485"/>
      <c r="N1082" s="485">
        <f>C1082*E1082*(F1082+G1082/12)</f>
        <v>346.5</v>
      </c>
      <c r="O1082" s="486"/>
      <c r="Q1082" s="916"/>
      <c r="R1082" s="917">
        <f>R1081</f>
        <v>3</v>
      </c>
      <c r="S1082" s="916">
        <f>1.5/12</f>
        <v>0.125</v>
      </c>
      <c r="T1082" s="75" t="s">
        <v>429</v>
      </c>
      <c r="U1082" s="75">
        <v>16</v>
      </c>
      <c r="V1082" s="906"/>
      <c r="W1082" s="912">
        <f>C1082</f>
        <v>3</v>
      </c>
      <c r="X1082" s="907">
        <f>Q1080-2*S1082-2*(U1082/1000)*3.281+2*((P1081))</f>
        <v>38.485007999999993</v>
      </c>
    </row>
    <row r="1083" spans="1:24" s="487" customFormat="1" ht="18" customHeight="1">
      <c r="A1083" s="478"/>
      <c r="B1083" s="336" t="s">
        <v>507</v>
      </c>
      <c r="C1083" s="924">
        <v>2</v>
      </c>
      <c r="D1083" s="480" t="s">
        <v>87</v>
      </c>
      <c r="E1083" s="481">
        <f>E1082</f>
        <v>3</v>
      </c>
      <c r="F1083" s="482">
        <v>19</v>
      </c>
      <c r="G1083" s="483">
        <v>11</v>
      </c>
      <c r="H1083" s="484"/>
      <c r="I1083" s="483"/>
      <c r="J1083" s="484"/>
      <c r="K1083" s="483"/>
      <c r="L1083" s="948"/>
      <c r="M1083" s="485">
        <f>C1083*E1083*(F1083+G1083/12)</f>
        <v>119.5</v>
      </c>
      <c r="O1083" s="486"/>
      <c r="P1083" s="915"/>
      <c r="Q1083" s="916"/>
      <c r="R1083" s="917">
        <f>R1082</f>
        <v>3</v>
      </c>
      <c r="S1083" s="916">
        <f>1.5/12</f>
        <v>0.125</v>
      </c>
      <c r="T1083" s="75" t="s">
        <v>700</v>
      </c>
      <c r="U1083" s="75">
        <v>16</v>
      </c>
      <c r="V1083" s="906"/>
      <c r="W1083" s="912">
        <f>C1083</f>
        <v>2</v>
      </c>
      <c r="X1083" s="967">
        <f>(15.58/3+P1080+P1081+3.281*8*U1083/1000)+(9/3+P1080+P1081+3.281*8*U1083/1000)+(11.92/3+P1080+P1081+3.281*8*U1083/1000)</f>
        <v>19.936570666666665</v>
      </c>
    </row>
    <row r="1084" spans="1:24" s="487" customFormat="1" ht="18" customHeight="1">
      <c r="A1084" s="478"/>
      <c r="B1084" s="336" t="s">
        <v>449</v>
      </c>
      <c r="C1084" s="924">
        <f>W1084</f>
        <v>15</v>
      </c>
      <c r="D1084" s="480" t="s">
        <v>87</v>
      </c>
      <c r="E1084" s="481">
        <f>E1083</f>
        <v>3</v>
      </c>
      <c r="F1084" s="482">
        <v>3</v>
      </c>
      <c r="G1084" s="483">
        <v>10</v>
      </c>
      <c r="H1084" s="484"/>
      <c r="I1084" s="483"/>
      <c r="J1084" s="484"/>
      <c r="K1084" s="483"/>
      <c r="L1084" s="948">
        <f>C1084*E1084*(F1084+G1084/12)</f>
        <v>172.5</v>
      </c>
      <c r="M1084" s="485"/>
      <c r="N1084" s="485"/>
      <c r="O1084" s="486"/>
      <c r="P1084" s="915"/>
      <c r="Q1084" s="916"/>
      <c r="R1084" s="917">
        <f>R1083</f>
        <v>3</v>
      </c>
      <c r="S1084" s="916"/>
      <c r="T1084" s="75" t="s">
        <v>676</v>
      </c>
      <c r="U1084" s="75">
        <v>10</v>
      </c>
      <c r="V1084" s="906">
        <f>4/(12)</f>
        <v>0.33333333333333331</v>
      </c>
      <c r="W1084" s="912">
        <f>2*(ROUND(2*P1081/V1084,0))+1</f>
        <v>15</v>
      </c>
      <c r="X1084" s="907">
        <f>2*(P1080+P1081)-8*S1080+2*8*U1084/1000</f>
        <v>3.5</v>
      </c>
    </row>
    <row r="1085" spans="1:24" s="487" customFormat="1" ht="18" customHeight="1">
      <c r="A1085" s="478"/>
      <c r="B1085" s="336" t="s">
        <v>495</v>
      </c>
      <c r="C1085" s="924">
        <f>W1085</f>
        <v>65</v>
      </c>
      <c r="D1085" s="480" t="s">
        <v>87</v>
      </c>
      <c r="E1085" s="481">
        <f>E1084</f>
        <v>3</v>
      </c>
      <c r="F1085" s="482">
        <f>F1084</f>
        <v>3</v>
      </c>
      <c r="G1085" s="483">
        <f>G1084</f>
        <v>10</v>
      </c>
      <c r="H1085" s="484"/>
      <c r="I1085" s="483"/>
      <c r="J1085" s="484"/>
      <c r="K1085" s="483"/>
      <c r="L1085" s="948">
        <f>C1085*E1085*(F1085+G1085/12)</f>
        <v>747.5</v>
      </c>
      <c r="M1085" s="485"/>
      <c r="N1085" s="485"/>
      <c r="O1085" s="486"/>
      <c r="P1085" s="915"/>
      <c r="Q1085" s="916"/>
      <c r="R1085" s="917">
        <f>R1084</f>
        <v>3</v>
      </c>
      <c r="S1085" s="916"/>
      <c r="T1085" s="75" t="s">
        <v>676</v>
      </c>
      <c r="U1085" s="75">
        <v>10</v>
      </c>
      <c r="V1085" s="906">
        <f>6/(12)</f>
        <v>0.5</v>
      </c>
      <c r="W1085" s="912">
        <f>(ROUND((Q1080-4*P1081)/V1085,0))+1</f>
        <v>65</v>
      </c>
      <c r="X1085" s="907">
        <f>2*(P1080+P1081)-8*S1080+2*8*U1085/1000</f>
        <v>3.5</v>
      </c>
    </row>
    <row r="1086" spans="1:24" s="487" customFormat="1" ht="18" customHeight="1">
      <c r="A1086" s="478"/>
      <c r="B1086" s="726" t="s">
        <v>336</v>
      </c>
      <c r="C1086" s="924"/>
      <c r="D1086" s="480"/>
      <c r="E1086" s="481"/>
      <c r="F1086" s="482"/>
      <c r="G1086" s="483"/>
      <c r="H1086" s="484"/>
      <c r="I1086" s="483"/>
      <c r="J1086" s="484"/>
      <c r="K1086" s="483"/>
      <c r="L1086" s="948"/>
      <c r="M1086" s="485"/>
      <c r="N1086" s="485"/>
      <c r="O1086" s="486"/>
    </row>
    <row r="1087" spans="1:24" s="487" customFormat="1" ht="18" customHeight="1">
      <c r="A1087" s="478"/>
      <c r="B1087" s="956" t="s">
        <v>509</v>
      </c>
      <c r="C1087" s="957">
        <v>1</v>
      </c>
      <c r="D1087" s="958" t="s">
        <v>87</v>
      </c>
      <c r="E1087" s="959">
        <v>4</v>
      </c>
      <c r="F1087" s="960">
        <v>33</v>
      </c>
      <c r="G1087" s="961">
        <v>6</v>
      </c>
      <c r="H1087" s="962">
        <v>1</v>
      </c>
      <c r="I1087" s="961">
        <v>0</v>
      </c>
      <c r="J1087" s="484"/>
      <c r="K1087" s="483"/>
      <c r="L1087" s="948"/>
      <c r="M1087" s="485"/>
      <c r="N1087" s="485"/>
      <c r="O1087" s="486"/>
    </row>
    <row r="1088" spans="1:24" s="487" customFormat="1" ht="18" customHeight="1">
      <c r="A1088" s="478"/>
      <c r="B1088" s="336" t="s">
        <v>510</v>
      </c>
      <c r="C1088" s="924">
        <f>3+2</f>
        <v>5</v>
      </c>
      <c r="D1088" s="480" t="s">
        <v>87</v>
      </c>
      <c r="E1088" s="481">
        <f>C1087*E1087</f>
        <v>4</v>
      </c>
      <c r="F1088" s="482">
        <v>35</v>
      </c>
      <c r="G1088" s="483">
        <v>7</v>
      </c>
      <c r="H1088" s="484"/>
      <c r="I1088" s="483"/>
      <c r="J1088" s="484"/>
      <c r="K1088" s="483"/>
      <c r="L1088" s="948"/>
      <c r="M1088" s="485"/>
      <c r="N1088" s="485">
        <f>C1088*E1088*(F1088+G1088/12)</f>
        <v>711.66666666666674</v>
      </c>
      <c r="O1088" s="486"/>
      <c r="P1088" s="915">
        <f>H1087+I1087/12</f>
        <v>1</v>
      </c>
      <c r="Q1088" s="964">
        <f>F1087+G1087/12</f>
        <v>33.5</v>
      </c>
      <c r="R1088" s="917">
        <f>E1087*C1087</f>
        <v>4</v>
      </c>
      <c r="S1088" s="916">
        <f>1.5/12</f>
        <v>0.125</v>
      </c>
      <c r="T1088" s="75" t="s">
        <v>428</v>
      </c>
      <c r="U1088" s="75">
        <v>16</v>
      </c>
      <c r="V1088" s="906"/>
      <c r="W1088" s="912">
        <f>C1088</f>
        <v>5</v>
      </c>
      <c r="X1088" s="907">
        <f>Q1088-2*S1088+2*P1089</f>
        <v>35.909999999999997</v>
      </c>
    </row>
    <row r="1089" spans="1:24" s="487" customFormat="1" ht="18" customHeight="1">
      <c r="A1089" s="478"/>
      <c r="B1089" s="336" t="s">
        <v>436</v>
      </c>
      <c r="C1089" s="924">
        <v>2</v>
      </c>
      <c r="D1089" s="480" t="s">
        <v>87</v>
      </c>
      <c r="E1089" s="481">
        <f>E1088</f>
        <v>4</v>
      </c>
      <c r="F1089" s="482">
        <v>1</v>
      </c>
      <c r="G1089" s="483">
        <v>8</v>
      </c>
      <c r="H1089" s="484"/>
      <c r="I1089" s="483"/>
      <c r="J1089" s="484"/>
      <c r="K1089" s="483"/>
      <c r="L1089" s="948"/>
      <c r="M1089" s="485"/>
      <c r="N1089" s="485">
        <f>C1089*E1089*(F1089+G1089/12)</f>
        <v>13.333333333333332</v>
      </c>
      <c r="O1089" s="486"/>
      <c r="P1089" s="915">
        <v>1.33</v>
      </c>
      <c r="Q1089" s="966"/>
      <c r="R1089" s="917">
        <f>R1088</f>
        <v>4</v>
      </c>
      <c r="S1089" s="916">
        <f>1.5/12</f>
        <v>0.125</v>
      </c>
      <c r="T1089" s="75"/>
      <c r="U1089" s="75"/>
      <c r="V1089" s="966"/>
      <c r="W1089" s="912"/>
      <c r="X1089" s="967"/>
    </row>
    <row r="1090" spans="1:24" s="487" customFormat="1" ht="18" customHeight="1">
      <c r="A1090" s="478"/>
      <c r="B1090" s="336" t="s">
        <v>511</v>
      </c>
      <c r="C1090" s="924">
        <f>3+2</f>
        <v>5</v>
      </c>
      <c r="D1090" s="480" t="s">
        <v>87</v>
      </c>
      <c r="E1090" s="481">
        <f>E1089</f>
        <v>4</v>
      </c>
      <c r="F1090" s="482">
        <v>35</v>
      </c>
      <c r="G1090" s="483">
        <v>6</v>
      </c>
      <c r="H1090" s="484"/>
      <c r="I1090" s="483"/>
      <c r="J1090" s="484"/>
      <c r="K1090" s="483"/>
      <c r="L1090" s="948"/>
      <c r="M1090" s="485"/>
      <c r="N1090" s="485">
        <f>C1090*E1090*(F1090+G1090/12)</f>
        <v>710</v>
      </c>
      <c r="O1090" s="486"/>
      <c r="Q1090" s="916"/>
      <c r="R1090" s="917">
        <f>R1089</f>
        <v>4</v>
      </c>
      <c r="S1090" s="916">
        <f>1.5/12</f>
        <v>0.125</v>
      </c>
      <c r="T1090" s="75" t="s">
        <v>429</v>
      </c>
      <c r="U1090" s="75">
        <v>16</v>
      </c>
      <c r="V1090" s="906"/>
      <c r="W1090" s="912">
        <f>C1090</f>
        <v>5</v>
      </c>
      <c r="X1090" s="907">
        <f>Q1088-2*S1090-2*(U1090/1000)*3.281+2*((P1089))</f>
        <v>35.805008000000001</v>
      </c>
    </row>
    <row r="1091" spans="1:24" s="487" customFormat="1" ht="18" customHeight="1">
      <c r="A1091" s="478"/>
      <c r="B1091" s="336" t="s">
        <v>436</v>
      </c>
      <c r="C1091" s="924">
        <v>2</v>
      </c>
      <c r="D1091" s="480" t="s">
        <v>87</v>
      </c>
      <c r="E1091" s="481">
        <f>E1090</f>
        <v>4</v>
      </c>
      <c r="F1091" s="482">
        <v>1</v>
      </c>
      <c r="G1091" s="483">
        <v>8</v>
      </c>
      <c r="H1091" s="484"/>
      <c r="I1091" s="483"/>
      <c r="J1091" s="484"/>
      <c r="K1091" s="483"/>
      <c r="L1091" s="948"/>
      <c r="M1091" s="485"/>
      <c r="N1091" s="485">
        <f>C1091*E1091*(F1091+G1091/12)</f>
        <v>13.333333333333332</v>
      </c>
      <c r="O1091" s="486"/>
      <c r="P1091" s="915"/>
      <c r="Q1091" s="916"/>
      <c r="R1091" s="917">
        <f>R1090</f>
        <v>4</v>
      </c>
      <c r="S1091" s="916">
        <f>1.5/12</f>
        <v>0.125</v>
      </c>
      <c r="T1091" s="75"/>
      <c r="U1091" s="75"/>
      <c r="V1091" s="906"/>
      <c r="W1091" s="912"/>
      <c r="X1091" s="967"/>
    </row>
    <row r="1092" spans="1:24" s="487" customFormat="1" ht="18" customHeight="1">
      <c r="A1092" s="478"/>
      <c r="B1092" s="336" t="s">
        <v>449</v>
      </c>
      <c r="C1092" s="924">
        <f>W1092</f>
        <v>17</v>
      </c>
      <c r="D1092" s="480" t="s">
        <v>87</v>
      </c>
      <c r="E1092" s="481">
        <f>E1091</f>
        <v>4</v>
      </c>
      <c r="F1092" s="482">
        <v>4</v>
      </c>
      <c r="G1092" s="483">
        <v>2</v>
      </c>
      <c r="H1092" s="484"/>
      <c r="I1092" s="483"/>
      <c r="J1092" s="484"/>
      <c r="K1092" s="483"/>
      <c r="L1092" s="948">
        <f>C1092*E1092*(F1092+G1092/12)</f>
        <v>283.33333333333337</v>
      </c>
      <c r="M1092" s="485"/>
      <c r="N1092" s="485"/>
      <c r="O1092" s="486"/>
      <c r="P1092" s="915"/>
      <c r="Q1092" s="916"/>
      <c r="R1092" s="917">
        <f>R1091</f>
        <v>4</v>
      </c>
      <c r="S1092" s="916"/>
      <c r="T1092" s="75" t="s">
        <v>676</v>
      </c>
      <c r="U1092" s="75">
        <v>10</v>
      </c>
      <c r="V1092" s="906">
        <f>4/(12)</f>
        <v>0.33333333333333331</v>
      </c>
      <c r="W1092" s="912">
        <f>2*(ROUND(2*P1089/V1092,0))+1</f>
        <v>17</v>
      </c>
      <c r="X1092" s="907">
        <f>2*(P1088+P1089)-8*S1088+2*8*U1092/1000</f>
        <v>3.8200000000000003</v>
      </c>
    </row>
    <row r="1093" spans="1:24" s="487" customFormat="1" ht="18" customHeight="1">
      <c r="A1093" s="478"/>
      <c r="B1093" s="336" t="s">
        <v>495</v>
      </c>
      <c r="C1093" s="924">
        <f>W1093</f>
        <v>57</v>
      </c>
      <c r="D1093" s="480" t="s">
        <v>87</v>
      </c>
      <c r="E1093" s="481">
        <f>E1092</f>
        <v>4</v>
      </c>
      <c r="F1093" s="482">
        <f>F1092</f>
        <v>4</v>
      </c>
      <c r="G1093" s="483">
        <f>G1092</f>
        <v>2</v>
      </c>
      <c r="H1093" s="484"/>
      <c r="I1093" s="483"/>
      <c r="J1093" s="484"/>
      <c r="K1093" s="483"/>
      <c r="L1093" s="948">
        <f>C1093*E1093*(F1093+G1093/12)</f>
        <v>950.00000000000011</v>
      </c>
      <c r="M1093" s="485"/>
      <c r="N1093" s="485"/>
      <c r="O1093" s="486"/>
      <c r="P1093" s="915"/>
      <c r="Q1093" s="916"/>
      <c r="R1093" s="917">
        <f>R1092</f>
        <v>4</v>
      </c>
      <c r="S1093" s="916"/>
      <c r="T1093" s="75" t="s">
        <v>676</v>
      </c>
      <c r="U1093" s="75">
        <v>10</v>
      </c>
      <c r="V1093" s="906">
        <f>6/(12)</f>
        <v>0.5</v>
      </c>
      <c r="W1093" s="912">
        <f>(ROUND((Q1088-4*P1089)/V1093,0))+1</f>
        <v>57</v>
      </c>
      <c r="X1093" s="907">
        <f>2*(P1088+P1089)-8*S1088+2*8*U1093/1000</f>
        <v>3.8200000000000003</v>
      </c>
    </row>
    <row r="1094" spans="1:24" s="487" customFormat="1" ht="18" customHeight="1">
      <c r="A1094" s="478"/>
      <c r="B1094" s="336"/>
      <c r="C1094" s="924"/>
      <c r="D1094" s="480"/>
      <c r="E1094" s="481"/>
      <c r="F1094" s="482"/>
      <c r="G1094" s="483"/>
      <c r="H1094" s="484"/>
      <c r="I1094" s="483"/>
      <c r="J1094" s="484"/>
      <c r="K1094" s="483"/>
      <c r="L1094" s="948"/>
      <c r="M1094" s="485"/>
      <c r="N1094" s="485"/>
      <c r="O1094" s="486"/>
    </row>
    <row r="1095" spans="1:24" s="487" customFormat="1" ht="18" customHeight="1">
      <c r="A1095" s="478"/>
      <c r="B1095" s="723" t="s">
        <v>572</v>
      </c>
      <c r="C1095" s="924"/>
      <c r="D1095" s="480"/>
      <c r="E1095" s="481"/>
      <c r="F1095" s="482"/>
      <c r="G1095" s="483"/>
      <c r="H1095" s="484"/>
      <c r="I1095" s="483"/>
      <c r="J1095" s="484"/>
      <c r="K1095" s="483"/>
      <c r="L1095" s="948"/>
      <c r="M1095" s="485"/>
      <c r="N1095" s="485"/>
      <c r="O1095" s="486"/>
    </row>
    <row r="1096" spans="1:24" s="487" customFormat="1" ht="18" customHeight="1">
      <c r="A1096" s="478"/>
      <c r="B1096" s="726" t="s">
        <v>344</v>
      </c>
      <c r="C1096" s="924"/>
      <c r="D1096" s="480"/>
      <c r="E1096" s="481"/>
      <c r="F1096" s="482"/>
      <c r="G1096" s="483"/>
      <c r="H1096" s="484"/>
      <c r="I1096" s="483"/>
      <c r="J1096" s="484"/>
      <c r="K1096" s="483"/>
      <c r="L1096" s="948"/>
      <c r="M1096" s="485"/>
      <c r="N1096" s="485"/>
      <c r="O1096" s="486"/>
    </row>
    <row r="1097" spans="1:24" s="487" customFormat="1" ht="18" customHeight="1">
      <c r="A1097" s="478"/>
      <c r="B1097" s="956" t="s">
        <v>309</v>
      </c>
      <c r="C1097" s="957">
        <f>C203</f>
        <v>1</v>
      </c>
      <c r="D1097" s="958" t="s">
        <v>87</v>
      </c>
      <c r="E1097" s="959">
        <f>E203</f>
        <v>1</v>
      </c>
      <c r="F1097" s="960">
        <v>6</v>
      </c>
      <c r="G1097" s="961">
        <f>G203</f>
        <v>4</v>
      </c>
      <c r="H1097" s="962">
        <f>H203</f>
        <v>0</v>
      </c>
      <c r="I1097" s="961">
        <f>I203</f>
        <v>10</v>
      </c>
      <c r="J1097" s="484"/>
      <c r="K1097" s="483"/>
      <c r="L1097" s="948"/>
      <c r="M1097" s="485"/>
      <c r="N1097" s="485"/>
      <c r="O1097" s="486"/>
    </row>
    <row r="1098" spans="1:24" s="487" customFormat="1" ht="18" customHeight="1">
      <c r="A1098" s="478"/>
      <c r="B1098" s="336" t="s">
        <v>259</v>
      </c>
      <c r="C1098" s="924">
        <v>2</v>
      </c>
      <c r="D1098" s="480" t="s">
        <v>87</v>
      </c>
      <c r="E1098" s="481">
        <f>C1097*E1097</f>
        <v>1</v>
      </c>
      <c r="F1098" s="482">
        <v>7</v>
      </c>
      <c r="G1098" s="483">
        <v>9</v>
      </c>
      <c r="H1098" s="484"/>
      <c r="I1098" s="483"/>
      <c r="J1098" s="484"/>
      <c r="K1098" s="483"/>
      <c r="L1098" s="948"/>
      <c r="M1098" s="485"/>
      <c r="N1098" s="485">
        <f>C1098*E1098*(F1098+G1098/12)</f>
        <v>15.5</v>
      </c>
      <c r="O1098" s="486"/>
      <c r="P1098" s="915">
        <f>H1097+I1097/12</f>
        <v>0.83333333333333337</v>
      </c>
      <c r="Q1098" s="964">
        <f>F1097+G1097/12</f>
        <v>6.333333333333333</v>
      </c>
      <c r="R1098" s="917">
        <f>E1097*C1097</f>
        <v>1</v>
      </c>
      <c r="S1098" s="916">
        <f>1.5/12</f>
        <v>0.125</v>
      </c>
      <c r="T1098" s="75" t="s">
        <v>428</v>
      </c>
      <c r="U1098" s="75">
        <v>16</v>
      </c>
      <c r="V1098" s="906"/>
      <c r="W1098" s="912">
        <f>C1098</f>
        <v>2</v>
      </c>
      <c r="X1098" s="907">
        <f>Q1098-2*S1098+2*P1099</f>
        <v>7.7433333333333332</v>
      </c>
    </row>
    <row r="1099" spans="1:24" s="487" customFormat="1" ht="18" customHeight="1">
      <c r="A1099" s="478"/>
      <c r="B1099" s="336" t="s">
        <v>260</v>
      </c>
      <c r="C1099" s="924">
        <v>2</v>
      </c>
      <c r="D1099" s="480" t="s">
        <v>87</v>
      </c>
      <c r="E1099" s="481">
        <f>E1098</f>
        <v>1</v>
      </c>
      <c r="F1099" s="482">
        <v>7</v>
      </c>
      <c r="G1099" s="483">
        <v>8</v>
      </c>
      <c r="H1099" s="484"/>
      <c r="I1099" s="483"/>
      <c r="J1099" s="484"/>
      <c r="K1099" s="483"/>
      <c r="L1099" s="948"/>
      <c r="M1099" s="485"/>
      <c r="N1099" s="485">
        <f>C1099*E1099*(F1099+G1099/12)</f>
        <v>15.333333333333334</v>
      </c>
      <c r="O1099" s="486"/>
      <c r="P1099" s="915">
        <v>0.83</v>
      </c>
      <c r="Q1099" s="916"/>
      <c r="R1099" s="917">
        <f>R1098</f>
        <v>1</v>
      </c>
      <c r="S1099" s="916">
        <f>1.5/12</f>
        <v>0.125</v>
      </c>
      <c r="T1099" s="75" t="s">
        <v>429</v>
      </c>
      <c r="U1099" s="75">
        <v>16</v>
      </c>
      <c r="V1099" s="906"/>
      <c r="W1099" s="912">
        <f>C1099</f>
        <v>2</v>
      </c>
      <c r="X1099" s="907">
        <f>Q1098-2*S1099-2*(U1099/1000)*3.281+2*((P1099))</f>
        <v>7.638341333333333</v>
      </c>
    </row>
    <row r="1100" spans="1:24" s="487" customFormat="1" ht="18" customHeight="1">
      <c r="A1100" s="478"/>
      <c r="B1100" s="336" t="s">
        <v>449</v>
      </c>
      <c r="C1100" s="924">
        <f>W1100</f>
        <v>11</v>
      </c>
      <c r="D1100" s="480" t="s">
        <v>87</v>
      </c>
      <c r="E1100" s="481">
        <f>E1099</f>
        <v>1</v>
      </c>
      <c r="F1100" s="482">
        <v>3</v>
      </c>
      <c r="G1100" s="483">
        <v>6</v>
      </c>
      <c r="H1100" s="484"/>
      <c r="I1100" s="483"/>
      <c r="J1100" s="484"/>
      <c r="K1100" s="483"/>
      <c r="L1100" s="948">
        <f>C1100*E1100*(F1100+G1100/12)</f>
        <v>38.5</v>
      </c>
      <c r="M1100" s="485"/>
      <c r="N1100" s="485"/>
      <c r="O1100" s="486"/>
      <c r="P1100" s="915"/>
      <c r="Q1100" s="916"/>
      <c r="R1100" s="917">
        <f t="shared" ref="R1100:R1101" si="323">R1099</f>
        <v>1</v>
      </c>
      <c r="S1100" s="916"/>
      <c r="T1100" s="75" t="s">
        <v>676</v>
      </c>
      <c r="U1100" s="75">
        <v>10</v>
      </c>
      <c r="V1100" s="906">
        <f>4/(12)</f>
        <v>0.33333333333333331</v>
      </c>
      <c r="W1100" s="912">
        <f>2*(ROUND(2*P1099/V1100,0))+1</f>
        <v>11</v>
      </c>
      <c r="X1100" s="907">
        <f>2*(P1098+P1099)-8*S1098+2*8*U1100/1000</f>
        <v>2.4866666666666668</v>
      </c>
    </row>
    <row r="1101" spans="1:24" s="487" customFormat="1" ht="18" customHeight="1">
      <c r="A1101" s="478"/>
      <c r="B1101" s="336" t="s">
        <v>495</v>
      </c>
      <c r="C1101" s="924">
        <f>W1101</f>
        <v>7</v>
      </c>
      <c r="D1101" s="480" t="s">
        <v>87</v>
      </c>
      <c r="E1101" s="481">
        <f>E1100</f>
        <v>1</v>
      </c>
      <c r="F1101" s="482">
        <f>F1100</f>
        <v>3</v>
      </c>
      <c r="G1101" s="483">
        <f>G1100</f>
        <v>6</v>
      </c>
      <c r="H1101" s="484"/>
      <c r="I1101" s="483"/>
      <c r="J1101" s="484"/>
      <c r="K1101" s="483"/>
      <c r="L1101" s="948">
        <f>C1101*E1101*(F1101+G1101/12)</f>
        <v>24.5</v>
      </c>
      <c r="M1101" s="485"/>
      <c r="N1101" s="485"/>
      <c r="O1101" s="486"/>
      <c r="P1101" s="915"/>
      <c r="Q1101" s="916"/>
      <c r="R1101" s="917">
        <f t="shared" si="323"/>
        <v>1</v>
      </c>
      <c r="S1101" s="916"/>
      <c r="T1101" s="75" t="s">
        <v>676</v>
      </c>
      <c r="U1101" s="75">
        <v>10</v>
      </c>
      <c r="V1101" s="906">
        <f>6/(12)</f>
        <v>0.5</v>
      </c>
      <c r="W1101" s="912">
        <f>(ROUND((Q1098-4*P1099)/V1101,0))+1</f>
        <v>7</v>
      </c>
      <c r="X1101" s="907">
        <f>2*(P1098+P1099)-8*S1098+2*8*U1101/1000</f>
        <v>2.4866666666666668</v>
      </c>
    </row>
    <row r="1102" spans="1:24" s="487" customFormat="1" ht="18" customHeight="1">
      <c r="A1102" s="478"/>
      <c r="B1102" s="726" t="s">
        <v>345</v>
      </c>
      <c r="C1102" s="924"/>
      <c r="D1102" s="480"/>
      <c r="E1102" s="481"/>
      <c r="F1102" s="482"/>
      <c r="G1102" s="483"/>
      <c r="H1102" s="484"/>
      <c r="I1102" s="483"/>
      <c r="J1102" s="484"/>
      <c r="K1102" s="483"/>
      <c r="L1102" s="948"/>
      <c r="M1102" s="485"/>
      <c r="N1102" s="485"/>
      <c r="O1102" s="486"/>
    </row>
    <row r="1103" spans="1:24" s="487" customFormat="1" ht="18" customHeight="1">
      <c r="A1103" s="478"/>
      <c r="B1103" s="956" t="s">
        <v>512</v>
      </c>
      <c r="C1103" s="957">
        <v>1</v>
      </c>
      <c r="D1103" s="958" t="s">
        <v>87</v>
      </c>
      <c r="E1103" s="959">
        <v>1</v>
      </c>
      <c r="F1103" s="960">
        <v>33</v>
      </c>
      <c r="G1103" s="961">
        <v>6</v>
      </c>
      <c r="H1103" s="962">
        <v>0</v>
      </c>
      <c r="I1103" s="961">
        <v>10</v>
      </c>
      <c r="J1103" s="484"/>
      <c r="K1103" s="483"/>
      <c r="L1103" s="948"/>
      <c r="M1103" s="485"/>
      <c r="N1103" s="485"/>
      <c r="O1103" s="486"/>
    </row>
    <row r="1104" spans="1:24" s="487" customFormat="1" ht="18" customHeight="1">
      <c r="A1104" s="478"/>
      <c r="B1104" s="336" t="s">
        <v>257</v>
      </c>
      <c r="C1104" s="924">
        <v>3</v>
      </c>
      <c r="D1104" s="480" t="s">
        <v>87</v>
      </c>
      <c r="E1104" s="481">
        <f>C1103*E1103</f>
        <v>1</v>
      </c>
      <c r="F1104" s="482">
        <v>35</v>
      </c>
      <c r="G1104" s="483">
        <v>7</v>
      </c>
      <c r="H1104" s="484"/>
      <c r="I1104" s="483"/>
      <c r="J1104" s="484"/>
      <c r="K1104" s="483"/>
      <c r="L1104" s="948"/>
      <c r="M1104" s="485"/>
      <c r="N1104" s="485">
        <f>C1104*E1104*(F1104+G1104/12)</f>
        <v>106.75</v>
      </c>
      <c r="O1104" s="486"/>
      <c r="P1104" s="915">
        <f>H1103+I1103/12</f>
        <v>0.83333333333333337</v>
      </c>
      <c r="Q1104" s="964">
        <f>F1103+G1103/12</f>
        <v>33.5</v>
      </c>
      <c r="R1104" s="917">
        <f>E1103*C1103</f>
        <v>1</v>
      </c>
      <c r="S1104" s="916">
        <f>1.5/12</f>
        <v>0.125</v>
      </c>
      <c r="T1104" s="75" t="s">
        <v>428</v>
      </c>
      <c r="U1104" s="75">
        <v>16</v>
      </c>
      <c r="V1104" s="906"/>
      <c r="W1104" s="912">
        <f>C1104</f>
        <v>3</v>
      </c>
      <c r="X1104" s="907">
        <f>Q1104-2*S1104+2*P1105</f>
        <v>35.590000000000003</v>
      </c>
    </row>
    <row r="1105" spans="1:24" s="487" customFormat="1" ht="18" customHeight="1">
      <c r="A1105" s="478"/>
      <c r="B1105" s="336" t="s">
        <v>258</v>
      </c>
      <c r="C1105" s="924">
        <v>3</v>
      </c>
      <c r="D1105" s="480" t="s">
        <v>87</v>
      </c>
      <c r="E1105" s="481">
        <f>E1104</f>
        <v>1</v>
      </c>
      <c r="F1105" s="482">
        <v>35</v>
      </c>
      <c r="G1105" s="483">
        <v>6</v>
      </c>
      <c r="H1105" s="484"/>
      <c r="I1105" s="483"/>
      <c r="J1105" s="484"/>
      <c r="K1105" s="483"/>
      <c r="L1105" s="948"/>
      <c r="M1105" s="485"/>
      <c r="N1105" s="485">
        <f>C1105*E1105*(F1105+G1105/12)</f>
        <v>106.5</v>
      </c>
      <c r="O1105" s="486"/>
      <c r="P1105" s="915">
        <v>1.17</v>
      </c>
      <c r="Q1105" s="916"/>
      <c r="R1105" s="917">
        <f>R1104</f>
        <v>1</v>
      </c>
      <c r="S1105" s="916">
        <f>1.5/12</f>
        <v>0.125</v>
      </c>
      <c r="T1105" s="75" t="s">
        <v>429</v>
      </c>
      <c r="U1105" s="75">
        <v>16</v>
      </c>
      <c r="V1105" s="906"/>
      <c r="W1105" s="912">
        <f>C1105</f>
        <v>3</v>
      </c>
      <c r="X1105" s="907">
        <f>Q1104-2*S1105-2*(U1105/1000)*3.281+2*((P1105))</f>
        <v>35.485007999999993</v>
      </c>
    </row>
    <row r="1106" spans="1:24" s="487" customFormat="1" ht="18" customHeight="1">
      <c r="A1106" s="478"/>
      <c r="B1106" s="336" t="s">
        <v>449</v>
      </c>
      <c r="C1106" s="924">
        <f>W1106</f>
        <v>15</v>
      </c>
      <c r="D1106" s="480" t="s">
        <v>87</v>
      </c>
      <c r="E1106" s="481">
        <f>E1105</f>
        <v>1</v>
      </c>
      <c r="F1106" s="482">
        <v>3</v>
      </c>
      <c r="G1106" s="483">
        <v>6</v>
      </c>
      <c r="H1106" s="484"/>
      <c r="I1106" s="483"/>
      <c r="J1106" s="484"/>
      <c r="K1106" s="483"/>
      <c r="L1106" s="948">
        <f>C1106*E1106*(F1106+G1106/12)</f>
        <v>52.5</v>
      </c>
      <c r="M1106" s="485"/>
      <c r="N1106" s="485"/>
      <c r="O1106" s="486"/>
      <c r="P1106" s="915"/>
      <c r="Q1106" s="916"/>
      <c r="R1106" s="917">
        <f t="shared" ref="R1106:R1107" si="324">R1105</f>
        <v>1</v>
      </c>
      <c r="S1106" s="916"/>
      <c r="T1106" s="75" t="s">
        <v>676</v>
      </c>
      <c r="U1106" s="75">
        <v>10</v>
      </c>
      <c r="V1106" s="906">
        <f>4/(12)</f>
        <v>0.33333333333333331</v>
      </c>
      <c r="W1106" s="912">
        <f>2*(ROUND(2*P1105/V1106,0))+1</f>
        <v>15</v>
      </c>
      <c r="X1106" s="907">
        <f>2*(P1104+P1105)-8*S1104+2*8*U1106/1000</f>
        <v>3.166666666666667</v>
      </c>
    </row>
    <row r="1107" spans="1:24" s="487" customFormat="1" ht="18" customHeight="1">
      <c r="A1107" s="478"/>
      <c r="B1107" s="336" t="s">
        <v>495</v>
      </c>
      <c r="C1107" s="924">
        <f>W1107</f>
        <v>59</v>
      </c>
      <c r="D1107" s="480" t="s">
        <v>87</v>
      </c>
      <c r="E1107" s="481">
        <f>E1106</f>
        <v>1</v>
      </c>
      <c r="F1107" s="482">
        <f>F1106</f>
        <v>3</v>
      </c>
      <c r="G1107" s="483">
        <f>G1106</f>
        <v>6</v>
      </c>
      <c r="H1107" s="484"/>
      <c r="I1107" s="483"/>
      <c r="J1107" s="484"/>
      <c r="K1107" s="483"/>
      <c r="L1107" s="948">
        <f>C1107*E1107*(F1107+G1107/12)</f>
        <v>206.5</v>
      </c>
      <c r="M1107" s="485"/>
      <c r="N1107" s="485"/>
      <c r="O1107" s="486"/>
      <c r="P1107" s="915"/>
      <c r="Q1107" s="916"/>
      <c r="R1107" s="917">
        <f t="shared" si="324"/>
        <v>1</v>
      </c>
      <c r="S1107" s="916"/>
      <c r="T1107" s="75" t="s">
        <v>676</v>
      </c>
      <c r="U1107" s="75">
        <v>10</v>
      </c>
      <c r="V1107" s="906">
        <f>6/(12)</f>
        <v>0.5</v>
      </c>
      <c r="W1107" s="912">
        <f>(ROUND((Q1104-4*P1105)/V1107,0))+1</f>
        <v>59</v>
      </c>
      <c r="X1107" s="907">
        <f>2*(P1104+P1105)-8*S1104+2*8*U1107/1000</f>
        <v>3.166666666666667</v>
      </c>
    </row>
    <row r="1108" spans="1:24" s="487" customFormat="1" ht="18" customHeight="1">
      <c r="A1108" s="478"/>
      <c r="B1108" s="956" t="s">
        <v>513</v>
      </c>
      <c r="C1108" s="957">
        <v>1</v>
      </c>
      <c r="D1108" s="958" t="s">
        <v>87</v>
      </c>
      <c r="E1108" s="959">
        <v>1</v>
      </c>
      <c r="F1108" s="960">
        <v>29</v>
      </c>
      <c r="G1108" s="961">
        <v>6</v>
      </c>
      <c r="H1108" s="962">
        <v>0</v>
      </c>
      <c r="I1108" s="961">
        <v>10</v>
      </c>
      <c r="J1108" s="484"/>
      <c r="K1108" s="483"/>
      <c r="L1108" s="948"/>
      <c r="M1108" s="485"/>
      <c r="N1108" s="485"/>
      <c r="O1108" s="486"/>
    </row>
    <row r="1109" spans="1:24" s="487" customFormat="1" ht="18" customHeight="1">
      <c r="A1109" s="478"/>
      <c r="B1109" s="336" t="s">
        <v>257</v>
      </c>
      <c r="C1109" s="924">
        <v>3</v>
      </c>
      <c r="D1109" s="480" t="s">
        <v>87</v>
      </c>
      <c r="E1109" s="481">
        <f>C1108*E1108</f>
        <v>1</v>
      </c>
      <c r="F1109" s="482">
        <v>31</v>
      </c>
      <c r="G1109" s="483">
        <v>7</v>
      </c>
      <c r="H1109" s="484"/>
      <c r="I1109" s="483"/>
      <c r="J1109" s="484"/>
      <c r="K1109" s="483"/>
      <c r="L1109" s="948"/>
      <c r="M1109" s="485"/>
      <c r="N1109" s="485">
        <f>C1109*E1109*(F1109+G1109/12)</f>
        <v>94.75</v>
      </c>
      <c r="O1109" s="486"/>
      <c r="P1109" s="915">
        <f>H1108+I1108/12</f>
        <v>0.83333333333333337</v>
      </c>
      <c r="Q1109" s="964">
        <f>F1108+G1108/12</f>
        <v>29.5</v>
      </c>
      <c r="R1109" s="917">
        <f>E1108*C1108</f>
        <v>1</v>
      </c>
      <c r="S1109" s="916">
        <f>1.5/12</f>
        <v>0.125</v>
      </c>
      <c r="T1109" s="75" t="s">
        <v>428</v>
      </c>
      <c r="U1109" s="75">
        <v>16</v>
      </c>
      <c r="V1109" s="906"/>
      <c r="W1109" s="912">
        <f>C1109</f>
        <v>3</v>
      </c>
      <c r="X1109" s="907">
        <f>Q1109-2*S1109+2*P1110</f>
        <v>31.59</v>
      </c>
    </row>
    <row r="1110" spans="1:24" s="487" customFormat="1" ht="18" customHeight="1">
      <c r="A1110" s="478"/>
      <c r="B1110" s="336" t="s">
        <v>258</v>
      </c>
      <c r="C1110" s="924">
        <v>3</v>
      </c>
      <c r="D1110" s="480" t="s">
        <v>87</v>
      </c>
      <c r="E1110" s="481">
        <f>E1109</f>
        <v>1</v>
      </c>
      <c r="F1110" s="482">
        <v>31</v>
      </c>
      <c r="G1110" s="483">
        <v>6</v>
      </c>
      <c r="H1110" s="484"/>
      <c r="I1110" s="483"/>
      <c r="J1110" s="484"/>
      <c r="K1110" s="483"/>
      <c r="L1110" s="948"/>
      <c r="M1110" s="485"/>
      <c r="N1110" s="485">
        <f>C1110*E1110*(F1110+G1110/12)</f>
        <v>94.5</v>
      </c>
      <c r="O1110" s="486"/>
      <c r="P1110" s="915">
        <v>1.17</v>
      </c>
      <c r="Q1110" s="916"/>
      <c r="R1110" s="917">
        <f>R1109</f>
        <v>1</v>
      </c>
      <c r="S1110" s="916">
        <f>1.5/12</f>
        <v>0.125</v>
      </c>
      <c r="T1110" s="75" t="s">
        <v>429</v>
      </c>
      <c r="U1110" s="75">
        <v>16</v>
      </c>
      <c r="V1110" s="906"/>
      <c r="W1110" s="912">
        <f>C1110</f>
        <v>3</v>
      </c>
      <c r="X1110" s="907">
        <f>Q1109-2*S1110-2*(U1110/1000)*3.281+2*((P1110))</f>
        <v>31.485008000000001</v>
      </c>
    </row>
    <row r="1111" spans="1:24" s="487" customFormat="1" ht="18" customHeight="1">
      <c r="A1111" s="478"/>
      <c r="B1111" s="336" t="s">
        <v>449</v>
      </c>
      <c r="C1111" s="924">
        <f>W1111</f>
        <v>15</v>
      </c>
      <c r="D1111" s="480" t="s">
        <v>87</v>
      </c>
      <c r="E1111" s="481">
        <f>E1110</f>
        <v>1</v>
      </c>
      <c r="F1111" s="482">
        <v>3</v>
      </c>
      <c r="G1111" s="483">
        <v>6</v>
      </c>
      <c r="H1111" s="484"/>
      <c r="I1111" s="483"/>
      <c r="J1111" s="484"/>
      <c r="K1111" s="483"/>
      <c r="L1111" s="948">
        <f>C1111*E1111*(F1111+G1111/12)</f>
        <v>52.5</v>
      </c>
      <c r="M1111" s="485"/>
      <c r="N1111" s="485"/>
      <c r="O1111" s="486"/>
      <c r="P1111" s="915"/>
      <c r="Q1111" s="916"/>
      <c r="R1111" s="917">
        <f t="shared" ref="R1111:R1112" si="325">R1110</f>
        <v>1</v>
      </c>
      <c r="S1111" s="916"/>
      <c r="T1111" s="75" t="s">
        <v>676</v>
      </c>
      <c r="U1111" s="75">
        <v>10</v>
      </c>
      <c r="V1111" s="906">
        <f>4/(12)</f>
        <v>0.33333333333333331</v>
      </c>
      <c r="W1111" s="912">
        <f>2*(ROUND(2*P1110/V1111,0))+1</f>
        <v>15</v>
      </c>
      <c r="X1111" s="907">
        <f>2*(P1109+P1110)-8*S1109+2*8*U1111/1000</f>
        <v>3.166666666666667</v>
      </c>
    </row>
    <row r="1112" spans="1:24" s="487" customFormat="1" ht="18" customHeight="1">
      <c r="A1112" s="478"/>
      <c r="B1112" s="336" t="s">
        <v>495</v>
      </c>
      <c r="C1112" s="924">
        <f>W1112</f>
        <v>51</v>
      </c>
      <c r="D1112" s="480" t="s">
        <v>87</v>
      </c>
      <c r="E1112" s="481">
        <f>E1111</f>
        <v>1</v>
      </c>
      <c r="F1112" s="482">
        <f>F1111</f>
        <v>3</v>
      </c>
      <c r="G1112" s="483">
        <f>G1111</f>
        <v>6</v>
      </c>
      <c r="H1112" s="484"/>
      <c r="I1112" s="483"/>
      <c r="J1112" s="484"/>
      <c r="K1112" s="483"/>
      <c r="L1112" s="948">
        <f>C1112*E1112*(F1112+G1112/12)</f>
        <v>178.5</v>
      </c>
      <c r="M1112" s="485"/>
      <c r="N1112" s="485"/>
      <c r="O1112" s="486"/>
      <c r="P1112" s="915"/>
      <c r="Q1112" s="916"/>
      <c r="R1112" s="917">
        <f t="shared" si="325"/>
        <v>1</v>
      </c>
      <c r="S1112" s="916"/>
      <c r="T1112" s="75" t="s">
        <v>676</v>
      </c>
      <c r="U1112" s="75">
        <v>10</v>
      </c>
      <c r="V1112" s="906">
        <f>6/(12)</f>
        <v>0.5</v>
      </c>
      <c r="W1112" s="912">
        <f>(ROUND((Q1109-4*P1110)/V1112,0))+1</f>
        <v>51</v>
      </c>
      <c r="X1112" s="907">
        <f>2*(P1109+P1110)-8*S1109+2*8*U1112/1000</f>
        <v>3.166666666666667</v>
      </c>
    </row>
    <row r="1113" spans="1:24" s="487" customFormat="1" ht="18" customHeight="1">
      <c r="A1113" s="478"/>
      <c r="B1113" s="956" t="s">
        <v>514</v>
      </c>
      <c r="C1113" s="957">
        <v>1</v>
      </c>
      <c r="D1113" s="958" t="s">
        <v>87</v>
      </c>
      <c r="E1113" s="959">
        <v>1</v>
      </c>
      <c r="F1113" s="960">
        <v>16</v>
      </c>
      <c r="G1113" s="961">
        <v>0</v>
      </c>
      <c r="H1113" s="962">
        <v>0</v>
      </c>
      <c r="I1113" s="961">
        <v>10</v>
      </c>
      <c r="J1113" s="484"/>
      <c r="K1113" s="483"/>
      <c r="L1113" s="948"/>
      <c r="M1113" s="485"/>
      <c r="N1113" s="485"/>
      <c r="O1113" s="486"/>
    </row>
    <row r="1114" spans="1:24" s="487" customFormat="1" ht="18" customHeight="1">
      <c r="A1114" s="478"/>
      <c r="B1114" s="336" t="s">
        <v>257</v>
      </c>
      <c r="C1114" s="924">
        <v>3</v>
      </c>
      <c r="D1114" s="480" t="s">
        <v>87</v>
      </c>
      <c r="E1114" s="481">
        <f>C1113*E1113</f>
        <v>1</v>
      </c>
      <c r="F1114" s="482">
        <v>18</v>
      </c>
      <c r="G1114" s="483">
        <v>1</v>
      </c>
      <c r="H1114" s="484"/>
      <c r="I1114" s="483"/>
      <c r="J1114" s="484"/>
      <c r="K1114" s="483"/>
      <c r="L1114" s="948"/>
      <c r="M1114" s="485"/>
      <c r="N1114" s="485">
        <f>C1114*E1114*(F1114+G1114/12)</f>
        <v>54.25</v>
      </c>
      <c r="O1114" s="486"/>
      <c r="P1114" s="915">
        <f>H1113+I1113/12</f>
        <v>0.83333333333333337</v>
      </c>
      <c r="Q1114" s="964">
        <f>F1113+G1113/12</f>
        <v>16</v>
      </c>
      <c r="R1114" s="917">
        <f>E1113*C1113</f>
        <v>1</v>
      </c>
      <c r="S1114" s="916">
        <f>1.5/12</f>
        <v>0.125</v>
      </c>
      <c r="T1114" s="75" t="s">
        <v>428</v>
      </c>
      <c r="U1114" s="75">
        <v>16</v>
      </c>
      <c r="V1114" s="906"/>
      <c r="W1114" s="912">
        <f>C1114</f>
        <v>3</v>
      </c>
      <c r="X1114" s="907">
        <f>Q1114-2*S1114+2*P1115</f>
        <v>18.09</v>
      </c>
    </row>
    <row r="1115" spans="1:24" s="487" customFormat="1" ht="18" customHeight="1">
      <c r="A1115" s="478"/>
      <c r="B1115" s="336" t="s">
        <v>258</v>
      </c>
      <c r="C1115" s="924">
        <v>3</v>
      </c>
      <c r="D1115" s="480" t="s">
        <v>87</v>
      </c>
      <c r="E1115" s="481">
        <f>E1114</f>
        <v>1</v>
      </c>
      <c r="F1115" s="482">
        <v>18</v>
      </c>
      <c r="G1115" s="483">
        <v>0</v>
      </c>
      <c r="H1115" s="484"/>
      <c r="I1115" s="483"/>
      <c r="J1115" s="484"/>
      <c r="K1115" s="483"/>
      <c r="L1115" s="948"/>
      <c r="M1115" s="485"/>
      <c r="N1115" s="485">
        <f>C1115*E1115*(F1115+G1115/12)</f>
        <v>54</v>
      </c>
      <c r="O1115" s="486"/>
      <c r="P1115" s="915">
        <v>1.17</v>
      </c>
      <c r="Q1115" s="916"/>
      <c r="R1115" s="917">
        <f>R1114</f>
        <v>1</v>
      </c>
      <c r="S1115" s="916">
        <f>1.5/12</f>
        <v>0.125</v>
      </c>
      <c r="T1115" s="75" t="s">
        <v>429</v>
      </c>
      <c r="U1115" s="75">
        <v>16</v>
      </c>
      <c r="V1115" s="906"/>
      <c r="W1115" s="912">
        <f>C1115</f>
        <v>3</v>
      </c>
      <c r="X1115" s="907">
        <f>Q1114-2*S1115-2*(U1115/1000)*3.281+2*((P1115))</f>
        <v>17.985008000000001</v>
      </c>
    </row>
    <row r="1116" spans="1:24" s="487" customFormat="1" ht="18" customHeight="1">
      <c r="A1116" s="478"/>
      <c r="B1116" s="336" t="s">
        <v>449</v>
      </c>
      <c r="C1116" s="924">
        <f>W1116</f>
        <v>15</v>
      </c>
      <c r="D1116" s="480" t="s">
        <v>87</v>
      </c>
      <c r="E1116" s="481">
        <f>E1115</f>
        <v>1</v>
      </c>
      <c r="F1116" s="482">
        <v>3</v>
      </c>
      <c r="G1116" s="483">
        <v>6</v>
      </c>
      <c r="H1116" s="484"/>
      <c r="I1116" s="483"/>
      <c r="J1116" s="484"/>
      <c r="K1116" s="483"/>
      <c r="L1116" s="948">
        <f>C1116*E1116*(F1116+G1116/12)</f>
        <v>52.5</v>
      </c>
      <c r="M1116" s="485"/>
      <c r="N1116" s="485"/>
      <c r="O1116" s="486"/>
      <c r="P1116" s="915"/>
      <c r="Q1116" s="916"/>
      <c r="R1116" s="917">
        <f t="shared" ref="R1116:R1117" si="326">R1115</f>
        <v>1</v>
      </c>
      <c r="S1116" s="916"/>
      <c r="T1116" s="75" t="s">
        <v>676</v>
      </c>
      <c r="U1116" s="75">
        <v>10</v>
      </c>
      <c r="V1116" s="906">
        <f>4/(12)</f>
        <v>0.33333333333333331</v>
      </c>
      <c r="W1116" s="912">
        <f>2*(ROUND(2*P1115/V1116,0))+1</f>
        <v>15</v>
      </c>
      <c r="X1116" s="907">
        <f>2*(P1114+P1115)-8*S1114+2*8*U1116/1000</f>
        <v>3.166666666666667</v>
      </c>
    </row>
    <row r="1117" spans="1:24" s="487" customFormat="1" ht="18" customHeight="1">
      <c r="A1117" s="478"/>
      <c r="B1117" s="336" t="s">
        <v>495</v>
      </c>
      <c r="C1117" s="924">
        <f>W1117</f>
        <v>24</v>
      </c>
      <c r="D1117" s="480" t="s">
        <v>87</v>
      </c>
      <c r="E1117" s="481">
        <f>E1116</f>
        <v>1</v>
      </c>
      <c r="F1117" s="482">
        <f>F1116</f>
        <v>3</v>
      </c>
      <c r="G1117" s="483">
        <f>G1116</f>
        <v>6</v>
      </c>
      <c r="H1117" s="484"/>
      <c r="I1117" s="483"/>
      <c r="J1117" s="484"/>
      <c r="K1117" s="483"/>
      <c r="L1117" s="948">
        <f>C1117*E1117*(F1117+G1117/12)</f>
        <v>84</v>
      </c>
      <c r="M1117" s="485"/>
      <c r="N1117" s="485"/>
      <c r="O1117" s="486"/>
      <c r="P1117" s="915"/>
      <c r="Q1117" s="916"/>
      <c r="R1117" s="917">
        <f t="shared" si="326"/>
        <v>1</v>
      </c>
      <c r="S1117" s="916"/>
      <c r="T1117" s="75" t="s">
        <v>676</v>
      </c>
      <c r="U1117" s="75">
        <v>10</v>
      </c>
      <c r="V1117" s="906">
        <f>6/(12)</f>
        <v>0.5</v>
      </c>
      <c r="W1117" s="912">
        <f>(ROUND((Q1114-4*P1115)/V1117,0))+1</f>
        <v>24</v>
      </c>
      <c r="X1117" s="907">
        <f>2*(P1114+P1115)-8*S1114+2*8*U1117/1000</f>
        <v>3.166666666666667</v>
      </c>
    </row>
    <row r="1118" spans="1:24" s="487" customFormat="1" ht="18" customHeight="1">
      <c r="A1118" s="478"/>
      <c r="B1118" s="956" t="s">
        <v>703</v>
      </c>
      <c r="C1118" s="957">
        <v>1</v>
      </c>
      <c r="D1118" s="958" t="s">
        <v>87</v>
      </c>
      <c r="E1118" s="959">
        <v>1</v>
      </c>
      <c r="F1118" s="960">
        <v>9</v>
      </c>
      <c r="G1118" s="961">
        <v>0</v>
      </c>
      <c r="H1118" s="962">
        <v>0</v>
      </c>
      <c r="I1118" s="961">
        <v>10</v>
      </c>
      <c r="J1118" s="484"/>
      <c r="K1118" s="483"/>
      <c r="L1118" s="948"/>
      <c r="M1118" s="485"/>
      <c r="N1118" s="485"/>
      <c r="O1118" s="486"/>
    </row>
    <row r="1119" spans="1:24" s="487" customFormat="1" ht="18" customHeight="1">
      <c r="A1119" s="478"/>
      <c r="B1119" s="336" t="s">
        <v>257</v>
      </c>
      <c r="C1119" s="924">
        <v>3</v>
      </c>
      <c r="D1119" s="480" t="s">
        <v>87</v>
      </c>
      <c r="E1119" s="481">
        <f>C1118*E1118</f>
        <v>1</v>
      </c>
      <c r="F1119" s="482">
        <v>11</v>
      </c>
      <c r="G1119" s="483">
        <v>1</v>
      </c>
      <c r="H1119" s="484"/>
      <c r="I1119" s="483"/>
      <c r="J1119" s="484"/>
      <c r="K1119" s="483"/>
      <c r="L1119" s="948"/>
      <c r="M1119" s="485"/>
      <c r="N1119" s="485">
        <f>C1119*E1119*(F1119+G1119/12)</f>
        <v>33.25</v>
      </c>
      <c r="O1119" s="486"/>
      <c r="P1119" s="915">
        <f>H1118+I1118/12</f>
        <v>0.83333333333333337</v>
      </c>
      <c r="Q1119" s="964">
        <f>F1118+G1118/12</f>
        <v>9</v>
      </c>
      <c r="R1119" s="917">
        <f>E1118*C1118</f>
        <v>1</v>
      </c>
      <c r="S1119" s="916">
        <f>1.5/12</f>
        <v>0.125</v>
      </c>
      <c r="T1119" s="75" t="s">
        <v>428</v>
      </c>
      <c r="U1119" s="75">
        <v>16</v>
      </c>
      <c r="V1119" s="906"/>
      <c r="W1119" s="912">
        <f>C1119</f>
        <v>3</v>
      </c>
      <c r="X1119" s="907">
        <f>Q1119-2*S1119+2*P1120</f>
        <v>11.09</v>
      </c>
    </row>
    <row r="1120" spans="1:24" s="487" customFormat="1" ht="18" customHeight="1">
      <c r="A1120" s="478"/>
      <c r="B1120" s="336" t="s">
        <v>258</v>
      </c>
      <c r="C1120" s="924">
        <v>3</v>
      </c>
      <c r="D1120" s="480" t="s">
        <v>87</v>
      </c>
      <c r="E1120" s="481">
        <f>E1119</f>
        <v>1</v>
      </c>
      <c r="F1120" s="482">
        <v>11</v>
      </c>
      <c r="G1120" s="483">
        <v>0</v>
      </c>
      <c r="H1120" s="484"/>
      <c r="I1120" s="483"/>
      <c r="J1120" s="484"/>
      <c r="K1120" s="483"/>
      <c r="L1120" s="948"/>
      <c r="M1120" s="485"/>
      <c r="N1120" s="485">
        <f>C1120*E1120*(F1120+G1120/12)</f>
        <v>33</v>
      </c>
      <c r="O1120" s="486"/>
      <c r="P1120" s="915">
        <v>1.17</v>
      </c>
      <c r="Q1120" s="916"/>
      <c r="R1120" s="917">
        <f>R1119</f>
        <v>1</v>
      </c>
      <c r="S1120" s="916">
        <f>1.5/12</f>
        <v>0.125</v>
      </c>
      <c r="T1120" s="75" t="s">
        <v>429</v>
      </c>
      <c r="U1120" s="75">
        <v>16</v>
      </c>
      <c r="V1120" s="906"/>
      <c r="W1120" s="912">
        <f>C1120</f>
        <v>3</v>
      </c>
      <c r="X1120" s="907">
        <f>Q1119-2*S1120-2*(U1120/1000)*3.281+2*((P1120))</f>
        <v>10.985008000000001</v>
      </c>
    </row>
    <row r="1121" spans="1:24" s="487" customFormat="1" ht="18" customHeight="1">
      <c r="A1121" s="478"/>
      <c r="B1121" s="336" t="s">
        <v>449</v>
      </c>
      <c r="C1121" s="924">
        <f>W1121</f>
        <v>15</v>
      </c>
      <c r="D1121" s="480" t="s">
        <v>87</v>
      </c>
      <c r="E1121" s="481">
        <f>E1120</f>
        <v>1</v>
      </c>
      <c r="F1121" s="482">
        <v>3</v>
      </c>
      <c r="G1121" s="483">
        <v>6</v>
      </c>
      <c r="H1121" s="484"/>
      <c r="I1121" s="483"/>
      <c r="J1121" s="484"/>
      <c r="K1121" s="483"/>
      <c r="L1121" s="948">
        <f>C1121*E1121*(F1121+G1121/12)</f>
        <v>52.5</v>
      </c>
      <c r="M1121" s="485"/>
      <c r="N1121" s="485"/>
      <c r="O1121" s="486"/>
      <c r="P1121" s="915"/>
      <c r="Q1121" s="916"/>
      <c r="R1121" s="917">
        <f t="shared" ref="R1121:R1122" si="327">R1120</f>
        <v>1</v>
      </c>
      <c r="S1121" s="916"/>
      <c r="T1121" s="75" t="s">
        <v>676</v>
      </c>
      <c r="U1121" s="75">
        <v>10</v>
      </c>
      <c r="V1121" s="906">
        <f>4/(12)</f>
        <v>0.33333333333333331</v>
      </c>
      <c r="W1121" s="912">
        <f>2*(ROUND(2*P1120/V1121,0))+1</f>
        <v>15</v>
      </c>
      <c r="X1121" s="907">
        <f>2*(P1119+P1120)-8*S1119+2*8*U1121/1000</f>
        <v>3.166666666666667</v>
      </c>
    </row>
    <row r="1122" spans="1:24" s="487" customFormat="1" ht="18" customHeight="1">
      <c r="A1122" s="478"/>
      <c r="B1122" s="336" t="s">
        <v>495</v>
      </c>
      <c r="C1122" s="924">
        <f>W1122</f>
        <v>10</v>
      </c>
      <c r="D1122" s="480" t="s">
        <v>87</v>
      </c>
      <c r="E1122" s="481">
        <f>E1121</f>
        <v>1</v>
      </c>
      <c r="F1122" s="482">
        <f>F1121</f>
        <v>3</v>
      </c>
      <c r="G1122" s="483">
        <f>G1121</f>
        <v>6</v>
      </c>
      <c r="H1122" s="484"/>
      <c r="I1122" s="483"/>
      <c r="J1122" s="484"/>
      <c r="K1122" s="483"/>
      <c r="L1122" s="948">
        <f>C1122*E1122*(F1122+G1122/12)</f>
        <v>35</v>
      </c>
      <c r="M1122" s="485"/>
      <c r="N1122" s="485"/>
      <c r="O1122" s="486"/>
      <c r="P1122" s="915"/>
      <c r="Q1122" s="916"/>
      <c r="R1122" s="917">
        <f t="shared" si="327"/>
        <v>1</v>
      </c>
      <c r="S1122" s="916"/>
      <c r="T1122" s="75" t="s">
        <v>676</v>
      </c>
      <c r="U1122" s="75">
        <v>10</v>
      </c>
      <c r="V1122" s="906">
        <f>6/(12)</f>
        <v>0.5</v>
      </c>
      <c r="W1122" s="912">
        <f>(ROUND((Q1119-4*P1120)/V1122,0))+1</f>
        <v>10</v>
      </c>
      <c r="X1122" s="907">
        <f>2*(P1119+P1120)-8*S1119+2*8*U1122/1000</f>
        <v>3.166666666666667</v>
      </c>
    </row>
    <row r="1123" spans="1:24" s="487" customFormat="1" ht="18" customHeight="1">
      <c r="A1123" s="478"/>
      <c r="B1123" s="956" t="s">
        <v>351</v>
      </c>
      <c r="C1123" s="957">
        <v>1</v>
      </c>
      <c r="D1123" s="958" t="s">
        <v>87</v>
      </c>
      <c r="E1123" s="959">
        <f>E210</f>
        <v>3</v>
      </c>
      <c r="F1123" s="960">
        <f>F210</f>
        <v>3</v>
      </c>
      <c r="G1123" s="961">
        <v>7</v>
      </c>
      <c r="H1123" s="962">
        <v>0</v>
      </c>
      <c r="I1123" s="961">
        <v>10</v>
      </c>
      <c r="J1123" s="484"/>
      <c r="K1123" s="483"/>
      <c r="L1123" s="948"/>
      <c r="M1123" s="485"/>
      <c r="N1123" s="485"/>
      <c r="O1123" s="486"/>
    </row>
    <row r="1124" spans="1:24" s="487" customFormat="1" ht="18" customHeight="1">
      <c r="A1124" s="478"/>
      <c r="B1124" s="336" t="s">
        <v>257</v>
      </c>
      <c r="C1124" s="924">
        <v>3</v>
      </c>
      <c r="D1124" s="480" t="s">
        <v>87</v>
      </c>
      <c r="E1124" s="481">
        <f>C1123*E1123</f>
        <v>3</v>
      </c>
      <c r="F1124" s="482">
        <v>5</v>
      </c>
      <c r="G1124" s="483">
        <v>8</v>
      </c>
      <c r="H1124" s="484"/>
      <c r="I1124" s="483"/>
      <c r="J1124" s="484"/>
      <c r="K1124" s="483"/>
      <c r="L1124" s="948"/>
      <c r="M1124" s="485"/>
      <c r="N1124" s="485">
        <f>C1124*E1124*(F1124+G1124/12)</f>
        <v>51</v>
      </c>
      <c r="O1124" s="486"/>
      <c r="P1124" s="915">
        <f>H1123+I1123/12</f>
        <v>0.83333333333333337</v>
      </c>
      <c r="Q1124" s="964">
        <f>F1123+G1123/12</f>
        <v>3.5833333333333335</v>
      </c>
      <c r="R1124" s="917">
        <f>E1123*C1123</f>
        <v>3</v>
      </c>
      <c r="S1124" s="916">
        <f>1.5/12</f>
        <v>0.125</v>
      </c>
      <c r="T1124" s="75" t="s">
        <v>428</v>
      </c>
      <c r="U1124" s="75">
        <v>16</v>
      </c>
      <c r="V1124" s="906"/>
      <c r="W1124" s="912">
        <f>C1124</f>
        <v>3</v>
      </c>
      <c r="X1124" s="907">
        <f>Q1124-2*S1124+2*P1125</f>
        <v>5.6733333333333338</v>
      </c>
    </row>
    <row r="1125" spans="1:24" s="487" customFormat="1" ht="18" customHeight="1">
      <c r="A1125" s="478"/>
      <c r="B1125" s="336" t="s">
        <v>258</v>
      </c>
      <c r="C1125" s="924">
        <v>3</v>
      </c>
      <c r="D1125" s="480" t="s">
        <v>87</v>
      </c>
      <c r="E1125" s="481">
        <f>E1124</f>
        <v>3</v>
      </c>
      <c r="F1125" s="482">
        <v>5</v>
      </c>
      <c r="G1125" s="483">
        <v>7</v>
      </c>
      <c r="H1125" s="484"/>
      <c r="I1125" s="483"/>
      <c r="J1125" s="484"/>
      <c r="K1125" s="483"/>
      <c r="L1125" s="948"/>
      <c r="M1125" s="485"/>
      <c r="N1125" s="485">
        <f>C1125*E1125*(F1125+G1125/12)</f>
        <v>50.25</v>
      </c>
      <c r="O1125" s="486"/>
      <c r="P1125" s="915">
        <v>1.17</v>
      </c>
      <c r="Q1125" s="916"/>
      <c r="R1125" s="917">
        <f>R1124</f>
        <v>3</v>
      </c>
      <c r="S1125" s="916">
        <f>1.5/12</f>
        <v>0.125</v>
      </c>
      <c r="T1125" s="75" t="s">
        <v>429</v>
      </c>
      <c r="U1125" s="75">
        <v>16</v>
      </c>
      <c r="V1125" s="906"/>
      <c r="W1125" s="912">
        <f>C1125</f>
        <v>3</v>
      </c>
      <c r="X1125" s="907">
        <f>Q1124-2*S1125-2*(U1125/1000)*3.281+2*((P1125))</f>
        <v>5.5683413333333327</v>
      </c>
    </row>
    <row r="1126" spans="1:24" s="487" customFormat="1" ht="18" customHeight="1">
      <c r="A1126" s="478"/>
      <c r="B1126" s="336" t="s">
        <v>449</v>
      </c>
      <c r="C1126" s="924">
        <f>W1126</f>
        <v>12</v>
      </c>
      <c r="D1126" s="480" t="s">
        <v>87</v>
      </c>
      <c r="E1126" s="481">
        <f>E1125</f>
        <v>3</v>
      </c>
      <c r="F1126" s="482">
        <v>3</v>
      </c>
      <c r="G1126" s="483">
        <v>6</v>
      </c>
      <c r="H1126" s="484"/>
      <c r="I1126" s="483"/>
      <c r="J1126" s="484"/>
      <c r="K1126" s="483"/>
      <c r="L1126" s="948">
        <f>C1126*E1126*(F1126+G1126/12)</f>
        <v>126</v>
      </c>
      <c r="M1126" s="485"/>
      <c r="N1126" s="485"/>
      <c r="O1126" s="486"/>
      <c r="P1126" s="915"/>
      <c r="Q1126" s="916"/>
      <c r="R1126" s="917">
        <f t="shared" ref="R1126" si="328">R1125</f>
        <v>3</v>
      </c>
      <c r="S1126" s="916"/>
      <c r="T1126" s="75" t="s">
        <v>676</v>
      </c>
      <c r="U1126" s="75">
        <v>10</v>
      </c>
      <c r="V1126" s="906">
        <f>4/(12)</f>
        <v>0.33333333333333331</v>
      </c>
      <c r="W1126" s="912">
        <f>(ROUND(Q1124/V1126,0))+1</f>
        <v>12</v>
      </c>
      <c r="X1126" s="907">
        <f>2*(P1124+P1125)-8*S1124+2*8*U1126/1000</f>
        <v>3.166666666666667</v>
      </c>
    </row>
    <row r="1127" spans="1:24" s="487" customFormat="1" ht="18" customHeight="1">
      <c r="A1127" s="478"/>
      <c r="B1127" s="726" t="s">
        <v>347</v>
      </c>
      <c r="C1127" s="924"/>
      <c r="D1127" s="480"/>
      <c r="E1127" s="481"/>
      <c r="F1127" s="482"/>
      <c r="G1127" s="483"/>
      <c r="H1127" s="484"/>
      <c r="I1127" s="483"/>
      <c r="J1127" s="484"/>
      <c r="K1127" s="483"/>
      <c r="L1127" s="948"/>
      <c r="M1127" s="485"/>
      <c r="N1127" s="485"/>
      <c r="O1127" s="486"/>
    </row>
    <row r="1128" spans="1:24" s="487" customFormat="1" ht="18" customHeight="1">
      <c r="A1128" s="478"/>
      <c r="B1128" s="956" t="s">
        <v>515</v>
      </c>
      <c r="C1128" s="957">
        <v>1</v>
      </c>
      <c r="D1128" s="958" t="s">
        <v>87</v>
      </c>
      <c r="E1128" s="959">
        <v>2</v>
      </c>
      <c r="F1128" s="960">
        <v>25</v>
      </c>
      <c r="G1128" s="961">
        <v>0</v>
      </c>
      <c r="H1128" s="962">
        <v>1</v>
      </c>
      <c r="I1128" s="961">
        <v>0</v>
      </c>
      <c r="J1128" s="484"/>
      <c r="K1128" s="483"/>
      <c r="L1128" s="948"/>
      <c r="M1128" s="485"/>
      <c r="N1128" s="485"/>
      <c r="O1128" s="486"/>
    </row>
    <row r="1129" spans="1:24" s="487" customFormat="1" ht="18" customHeight="1">
      <c r="A1129" s="478"/>
      <c r="B1129" s="336" t="s">
        <v>499</v>
      </c>
      <c r="C1129" s="924">
        <v>4</v>
      </c>
      <c r="D1129" s="480" t="s">
        <v>87</v>
      </c>
      <c r="E1129" s="481">
        <f>C1128*E1128</f>
        <v>2</v>
      </c>
      <c r="F1129" s="482">
        <v>27</v>
      </c>
      <c r="G1129" s="483">
        <v>1</v>
      </c>
      <c r="H1129" s="484"/>
      <c r="I1129" s="483"/>
      <c r="J1129" s="484"/>
      <c r="K1129" s="483"/>
      <c r="L1129" s="948"/>
      <c r="M1129" s="485"/>
      <c r="N1129" s="485">
        <f>C1129*E1129*(F1129+G1129/12)</f>
        <v>216.66666666666666</v>
      </c>
      <c r="O1129" s="486"/>
      <c r="P1129" s="915">
        <f>H1128+I1128/12</f>
        <v>1</v>
      </c>
      <c r="Q1129" s="964">
        <f>F1128+G1128/12</f>
        <v>25</v>
      </c>
      <c r="R1129" s="917">
        <f>E1128*C1128</f>
        <v>2</v>
      </c>
      <c r="S1129" s="916">
        <f>1.5/12</f>
        <v>0.125</v>
      </c>
      <c r="T1129" s="75" t="s">
        <v>428</v>
      </c>
      <c r="U1129" s="75">
        <v>16</v>
      </c>
      <c r="V1129" s="906"/>
      <c r="W1129" s="912">
        <f>C1129</f>
        <v>4</v>
      </c>
      <c r="X1129" s="907">
        <f>Q1129-2*S1129+2*P1130</f>
        <v>27.09</v>
      </c>
    </row>
    <row r="1130" spans="1:24" s="487" customFormat="1" ht="18" customHeight="1">
      <c r="A1130" s="478"/>
      <c r="B1130" s="336" t="s">
        <v>500</v>
      </c>
      <c r="C1130" s="924">
        <v>4</v>
      </c>
      <c r="D1130" s="480" t="s">
        <v>87</v>
      </c>
      <c r="E1130" s="481">
        <f>E1129</f>
        <v>2</v>
      </c>
      <c r="F1130" s="482">
        <v>27</v>
      </c>
      <c r="G1130" s="483">
        <v>0</v>
      </c>
      <c r="H1130" s="484"/>
      <c r="I1130" s="483"/>
      <c r="J1130" s="484"/>
      <c r="K1130" s="483"/>
      <c r="L1130" s="948"/>
      <c r="M1130" s="485"/>
      <c r="N1130" s="485">
        <f>C1130*E1130*(F1130+G1130/12)</f>
        <v>216</v>
      </c>
      <c r="O1130" s="486"/>
      <c r="P1130" s="915">
        <v>1.17</v>
      </c>
      <c r="Q1130" s="916"/>
      <c r="R1130" s="917">
        <f>R1129</f>
        <v>2</v>
      </c>
      <c r="S1130" s="916">
        <f>1.5/12</f>
        <v>0.125</v>
      </c>
      <c r="T1130" s="75" t="s">
        <v>429</v>
      </c>
      <c r="U1130" s="75">
        <v>16</v>
      </c>
      <c r="V1130" s="906"/>
      <c r="W1130" s="912">
        <f>C1130</f>
        <v>4</v>
      </c>
      <c r="X1130" s="907">
        <f>Q1129-2*S1130-2*(U1130/1000)*3.281+2*((P1130))</f>
        <v>26.985008000000001</v>
      </c>
    </row>
    <row r="1131" spans="1:24" s="487" customFormat="1" ht="18" customHeight="1">
      <c r="A1131" s="478"/>
      <c r="B1131" s="336" t="s">
        <v>449</v>
      </c>
      <c r="C1131" s="924">
        <f>W1131</f>
        <v>15</v>
      </c>
      <c r="D1131" s="480" t="s">
        <v>87</v>
      </c>
      <c r="E1131" s="481">
        <f>E1130</f>
        <v>2</v>
      </c>
      <c r="F1131" s="482">
        <v>3</v>
      </c>
      <c r="G1131" s="483">
        <v>10</v>
      </c>
      <c r="H1131" s="484"/>
      <c r="I1131" s="483"/>
      <c r="J1131" s="484"/>
      <c r="K1131" s="483"/>
      <c r="L1131" s="948">
        <f>C1131*E1131*(F1131+G1131/12)</f>
        <v>115</v>
      </c>
      <c r="M1131" s="485"/>
      <c r="N1131" s="485"/>
      <c r="O1131" s="486"/>
      <c r="P1131" s="915"/>
      <c r="Q1131" s="916"/>
      <c r="R1131" s="917">
        <f t="shared" ref="R1131:R1132" si="329">R1130</f>
        <v>2</v>
      </c>
      <c r="S1131" s="916"/>
      <c r="T1131" s="75" t="s">
        <v>676</v>
      </c>
      <c r="U1131" s="75">
        <v>10</v>
      </c>
      <c r="V1131" s="906">
        <f>4/(12)</f>
        <v>0.33333333333333331</v>
      </c>
      <c r="W1131" s="912">
        <f>2*(ROUND(2*P1130/V1131,0))+1</f>
        <v>15</v>
      </c>
      <c r="X1131" s="907">
        <f>2*(P1129+P1130)-8*S1129+2*8*U1131/1000</f>
        <v>3.5</v>
      </c>
    </row>
    <row r="1132" spans="1:24" s="487" customFormat="1" ht="18" customHeight="1">
      <c r="A1132" s="478"/>
      <c r="B1132" s="336" t="s">
        <v>495</v>
      </c>
      <c r="C1132" s="924">
        <f>W1132</f>
        <v>42</v>
      </c>
      <c r="D1132" s="480" t="s">
        <v>87</v>
      </c>
      <c r="E1132" s="481">
        <f>E1131</f>
        <v>2</v>
      </c>
      <c r="F1132" s="482">
        <f>F1131</f>
        <v>3</v>
      </c>
      <c r="G1132" s="483">
        <f>G1131</f>
        <v>10</v>
      </c>
      <c r="H1132" s="484"/>
      <c r="I1132" s="483"/>
      <c r="J1132" s="484"/>
      <c r="K1132" s="483"/>
      <c r="L1132" s="948">
        <f>C1132*E1132*(F1132+G1132/12)</f>
        <v>322</v>
      </c>
      <c r="M1132" s="485"/>
      <c r="N1132" s="485"/>
      <c r="O1132" s="486"/>
      <c r="P1132" s="915"/>
      <c r="Q1132" s="916"/>
      <c r="R1132" s="917">
        <f t="shared" si="329"/>
        <v>2</v>
      </c>
      <c r="S1132" s="916"/>
      <c r="T1132" s="75" t="s">
        <v>676</v>
      </c>
      <c r="U1132" s="75">
        <v>10</v>
      </c>
      <c r="V1132" s="906">
        <f>6/(12)</f>
        <v>0.5</v>
      </c>
      <c r="W1132" s="912">
        <f>(ROUND((Q1129-4*P1130)/V1132,0))+1</f>
        <v>42</v>
      </c>
      <c r="X1132" s="907">
        <f>2*(P1129+P1130)-8*S1129+2*8*U1132/1000</f>
        <v>3.5</v>
      </c>
    </row>
    <row r="1133" spans="1:24" s="487" customFormat="1" ht="18" customHeight="1">
      <c r="A1133" s="478"/>
      <c r="B1133" s="956" t="s">
        <v>516</v>
      </c>
      <c r="C1133" s="957">
        <v>1</v>
      </c>
      <c r="D1133" s="958" t="s">
        <v>87</v>
      </c>
      <c r="E1133" s="959">
        <v>1</v>
      </c>
      <c r="F1133" s="960">
        <v>15</v>
      </c>
      <c r="G1133" s="961">
        <v>7</v>
      </c>
      <c r="H1133" s="962">
        <f>H213</f>
        <v>1</v>
      </c>
      <c r="I1133" s="961">
        <f>I213</f>
        <v>0</v>
      </c>
      <c r="J1133" s="484"/>
      <c r="K1133" s="483"/>
      <c r="L1133" s="948"/>
      <c r="M1133" s="485"/>
      <c r="N1133" s="485"/>
      <c r="O1133" s="486"/>
    </row>
    <row r="1134" spans="1:24" s="487" customFormat="1" ht="18" customHeight="1">
      <c r="A1134" s="478"/>
      <c r="B1134" s="336" t="s">
        <v>499</v>
      </c>
      <c r="C1134" s="924">
        <v>4</v>
      </c>
      <c r="D1134" s="480" t="s">
        <v>87</v>
      </c>
      <c r="E1134" s="481">
        <f>C1133*E1133</f>
        <v>1</v>
      </c>
      <c r="F1134" s="482">
        <v>17</v>
      </c>
      <c r="G1134" s="483">
        <v>8</v>
      </c>
      <c r="H1134" s="484"/>
      <c r="I1134" s="483"/>
      <c r="J1134" s="484"/>
      <c r="K1134" s="483"/>
      <c r="L1134" s="948"/>
      <c r="M1134" s="485"/>
      <c r="N1134" s="485">
        <f>C1134*E1134*(F1134+G1134/12)</f>
        <v>70.666666666666671</v>
      </c>
      <c r="O1134" s="486"/>
      <c r="P1134" s="915">
        <f>H1133+I1133/12</f>
        <v>1</v>
      </c>
      <c r="Q1134" s="964">
        <f>F1133+G1133/12</f>
        <v>15.583333333333334</v>
      </c>
      <c r="R1134" s="917">
        <f>E1133*C1133</f>
        <v>1</v>
      </c>
      <c r="S1134" s="916">
        <f>1.5/12</f>
        <v>0.125</v>
      </c>
      <c r="T1134" s="75" t="s">
        <v>428</v>
      </c>
      <c r="U1134" s="75">
        <v>16</v>
      </c>
      <c r="V1134" s="906"/>
      <c r="W1134" s="912">
        <f>C1134</f>
        <v>4</v>
      </c>
      <c r="X1134" s="907">
        <f>Q1134-2*S1134+2*P1135</f>
        <v>17.673333333333332</v>
      </c>
    </row>
    <row r="1135" spans="1:24" s="487" customFormat="1" ht="18" customHeight="1">
      <c r="A1135" s="478"/>
      <c r="B1135" s="336" t="s">
        <v>500</v>
      </c>
      <c r="C1135" s="924">
        <v>4</v>
      </c>
      <c r="D1135" s="480" t="s">
        <v>87</v>
      </c>
      <c r="E1135" s="481">
        <f>E1134</f>
        <v>1</v>
      </c>
      <c r="F1135" s="482">
        <v>17</v>
      </c>
      <c r="G1135" s="483">
        <v>7</v>
      </c>
      <c r="H1135" s="484"/>
      <c r="I1135" s="483"/>
      <c r="J1135" s="484"/>
      <c r="K1135" s="483"/>
      <c r="L1135" s="948"/>
      <c r="M1135" s="485"/>
      <c r="N1135" s="485">
        <f>C1135*E1135*(F1135+G1135/12)</f>
        <v>70.333333333333329</v>
      </c>
      <c r="O1135" s="486"/>
      <c r="P1135" s="915">
        <v>1.17</v>
      </c>
      <c r="Q1135" s="916"/>
      <c r="R1135" s="917">
        <f>R1134</f>
        <v>1</v>
      </c>
      <c r="S1135" s="916">
        <f>1.5/12</f>
        <v>0.125</v>
      </c>
      <c r="T1135" s="75" t="s">
        <v>429</v>
      </c>
      <c r="U1135" s="75">
        <v>16</v>
      </c>
      <c r="V1135" s="906"/>
      <c r="W1135" s="912">
        <f>C1135</f>
        <v>4</v>
      </c>
      <c r="X1135" s="907">
        <f>Q1134-2*S1135-2*(U1135/1000)*3.281+2*((P1135))</f>
        <v>17.568341333333336</v>
      </c>
    </row>
    <row r="1136" spans="1:24" s="487" customFormat="1" ht="18" customHeight="1">
      <c r="A1136" s="478"/>
      <c r="B1136" s="336" t="s">
        <v>449</v>
      </c>
      <c r="C1136" s="924">
        <f>W1136</f>
        <v>15</v>
      </c>
      <c r="D1136" s="480" t="s">
        <v>87</v>
      </c>
      <c r="E1136" s="481">
        <f>E1135</f>
        <v>1</v>
      </c>
      <c r="F1136" s="482">
        <v>3</v>
      </c>
      <c r="G1136" s="483">
        <v>10</v>
      </c>
      <c r="H1136" s="484"/>
      <c r="I1136" s="483"/>
      <c r="J1136" s="484"/>
      <c r="K1136" s="483"/>
      <c r="L1136" s="948">
        <f>C1136*E1136*(F1136+G1136/12)</f>
        <v>57.5</v>
      </c>
      <c r="M1136" s="485"/>
      <c r="N1136" s="485"/>
      <c r="O1136" s="486"/>
      <c r="P1136" s="915"/>
      <c r="Q1136" s="916"/>
      <c r="R1136" s="917">
        <f t="shared" ref="R1136:R1137" si="330">R1135</f>
        <v>1</v>
      </c>
      <c r="S1136" s="916"/>
      <c r="T1136" s="75" t="s">
        <v>676</v>
      </c>
      <c r="U1136" s="75">
        <v>10</v>
      </c>
      <c r="V1136" s="906">
        <f>4/(12)</f>
        <v>0.33333333333333331</v>
      </c>
      <c r="W1136" s="912">
        <f>2*(ROUND(2*P1135/V1136,0))+1</f>
        <v>15</v>
      </c>
      <c r="X1136" s="907">
        <f>2*(P1134+P1135)-8*S1134+2*8*U1136/1000</f>
        <v>3.5</v>
      </c>
    </row>
    <row r="1137" spans="1:24" s="487" customFormat="1" ht="18" customHeight="1">
      <c r="A1137" s="478"/>
      <c r="B1137" s="336" t="s">
        <v>495</v>
      </c>
      <c r="C1137" s="924">
        <f>W1137</f>
        <v>23</v>
      </c>
      <c r="D1137" s="480" t="s">
        <v>87</v>
      </c>
      <c r="E1137" s="481">
        <f>E1136</f>
        <v>1</v>
      </c>
      <c r="F1137" s="482">
        <f>F1136</f>
        <v>3</v>
      </c>
      <c r="G1137" s="483">
        <f>G1136</f>
        <v>10</v>
      </c>
      <c r="H1137" s="484"/>
      <c r="I1137" s="483"/>
      <c r="J1137" s="484"/>
      <c r="K1137" s="483"/>
      <c r="L1137" s="948">
        <f>C1137*E1137*(F1137+G1137/12)</f>
        <v>88.166666666666671</v>
      </c>
      <c r="M1137" s="485"/>
      <c r="N1137" s="485"/>
      <c r="O1137" s="486"/>
      <c r="P1137" s="915"/>
      <c r="Q1137" s="916"/>
      <c r="R1137" s="917">
        <f t="shared" si="330"/>
        <v>1</v>
      </c>
      <c r="S1137" s="916"/>
      <c r="T1137" s="75" t="s">
        <v>676</v>
      </c>
      <c r="U1137" s="75">
        <v>10</v>
      </c>
      <c r="V1137" s="906">
        <f>6/(12)</f>
        <v>0.5</v>
      </c>
      <c r="W1137" s="912">
        <f>(ROUND((Q1134-4*P1135)/V1137,0))+1</f>
        <v>23</v>
      </c>
      <c r="X1137" s="907">
        <f>2*(P1134+P1135)-8*S1134+2*8*U1137/1000</f>
        <v>3.5</v>
      </c>
    </row>
    <row r="1138" spans="1:24" s="487" customFormat="1" ht="18" customHeight="1">
      <c r="A1138" s="478"/>
      <c r="B1138" s="726" t="s">
        <v>349</v>
      </c>
      <c r="C1138" s="924"/>
      <c r="D1138" s="480"/>
      <c r="E1138" s="481"/>
      <c r="F1138" s="482"/>
      <c r="G1138" s="483"/>
      <c r="H1138" s="484"/>
      <c r="I1138" s="483"/>
      <c r="J1138" s="484"/>
      <c r="K1138" s="483"/>
      <c r="L1138" s="948"/>
      <c r="M1138" s="485"/>
      <c r="N1138" s="485"/>
      <c r="O1138" s="486"/>
    </row>
    <row r="1139" spans="1:24" s="487" customFormat="1" ht="18" customHeight="1">
      <c r="A1139" s="478"/>
      <c r="B1139" s="956" t="s">
        <v>517</v>
      </c>
      <c r="C1139" s="957">
        <v>1</v>
      </c>
      <c r="D1139" s="958" t="s">
        <v>87</v>
      </c>
      <c r="E1139" s="959">
        <v>1</v>
      </c>
      <c r="F1139" s="960">
        <v>33</v>
      </c>
      <c r="G1139" s="961">
        <v>6</v>
      </c>
      <c r="H1139" s="962">
        <v>1</v>
      </c>
      <c r="I1139" s="961">
        <v>0</v>
      </c>
      <c r="J1139" s="484"/>
      <c r="K1139" s="483"/>
      <c r="L1139" s="948"/>
      <c r="M1139" s="485"/>
      <c r="N1139" s="485"/>
      <c r="O1139" s="486"/>
    </row>
    <row r="1140" spans="1:24" s="487" customFormat="1" ht="18" customHeight="1">
      <c r="A1140" s="478"/>
      <c r="B1140" s="336" t="s">
        <v>510</v>
      </c>
      <c r="C1140" s="924">
        <f>3+2</f>
        <v>5</v>
      </c>
      <c r="D1140" s="480" t="s">
        <v>87</v>
      </c>
      <c r="E1140" s="481">
        <f>C1139*E1139</f>
        <v>1</v>
      </c>
      <c r="F1140" s="482">
        <v>35</v>
      </c>
      <c r="G1140" s="483">
        <v>11</v>
      </c>
      <c r="H1140" s="484"/>
      <c r="I1140" s="483"/>
      <c r="J1140" s="484"/>
      <c r="K1140" s="483"/>
      <c r="L1140" s="948"/>
      <c r="M1140" s="485"/>
      <c r="N1140" s="485">
        <f>C1140*E1140*(F1140+G1140/12)</f>
        <v>179.58333333333331</v>
      </c>
      <c r="O1140" s="486"/>
      <c r="P1140" s="915">
        <f>H1139+I1139/12</f>
        <v>1</v>
      </c>
      <c r="Q1140" s="964">
        <f>F1139+G1139/12</f>
        <v>33.5</v>
      </c>
      <c r="R1140" s="917">
        <f>E1139*C1139</f>
        <v>1</v>
      </c>
      <c r="S1140" s="916">
        <f>1.5/12</f>
        <v>0.125</v>
      </c>
      <c r="T1140" s="75" t="s">
        <v>428</v>
      </c>
      <c r="U1140" s="75">
        <v>16</v>
      </c>
      <c r="V1140" s="906"/>
      <c r="W1140" s="912">
        <f>C1140</f>
        <v>5</v>
      </c>
      <c r="X1140" s="907">
        <f>Q1140-2*S1140+2*P1141</f>
        <v>35.909999999999997</v>
      </c>
    </row>
    <row r="1141" spans="1:24" s="487" customFormat="1" ht="18" customHeight="1">
      <c r="A1141" s="478"/>
      <c r="B1141" s="336" t="s">
        <v>436</v>
      </c>
      <c r="C1141" s="924">
        <v>2</v>
      </c>
      <c r="D1141" s="480" t="s">
        <v>87</v>
      </c>
      <c r="E1141" s="481">
        <f>E1140</f>
        <v>1</v>
      </c>
      <c r="F1141" s="482">
        <v>1</v>
      </c>
      <c r="G1141" s="483">
        <v>8</v>
      </c>
      <c r="H1141" s="484"/>
      <c r="I1141" s="483"/>
      <c r="J1141" s="484"/>
      <c r="K1141" s="483"/>
      <c r="L1141" s="948"/>
      <c r="M1141" s="485"/>
      <c r="N1141" s="485">
        <f>C1141*E1141*(F1141+G1141/12)</f>
        <v>3.333333333333333</v>
      </c>
      <c r="O1141" s="486"/>
      <c r="P1141" s="915">
        <v>1.33</v>
      </c>
      <c r="Q1141" s="966"/>
      <c r="R1141" s="917">
        <f>R1140</f>
        <v>1</v>
      </c>
      <c r="S1141" s="916">
        <f>1.5/12</f>
        <v>0.125</v>
      </c>
      <c r="T1141" s="75"/>
      <c r="U1141" s="75"/>
      <c r="V1141" s="966"/>
      <c r="W1141" s="912"/>
      <c r="X1141" s="967"/>
    </row>
    <row r="1142" spans="1:24" s="487" customFormat="1" ht="18" customHeight="1">
      <c r="A1142" s="478"/>
      <c r="B1142" s="336" t="s">
        <v>511</v>
      </c>
      <c r="C1142" s="924">
        <f>3+2</f>
        <v>5</v>
      </c>
      <c r="D1142" s="480" t="s">
        <v>87</v>
      </c>
      <c r="E1142" s="481">
        <f>E1140</f>
        <v>1</v>
      </c>
      <c r="F1142" s="482">
        <v>35</v>
      </c>
      <c r="G1142" s="483">
        <v>10</v>
      </c>
      <c r="H1142" s="484"/>
      <c r="I1142" s="483"/>
      <c r="J1142" s="484"/>
      <c r="K1142" s="483"/>
      <c r="L1142" s="948"/>
      <c r="M1142" s="485"/>
      <c r="N1142" s="485">
        <f>C1142*E1142*(F1142+G1142/12)</f>
        <v>179.16666666666669</v>
      </c>
      <c r="O1142" s="486"/>
      <c r="Q1142" s="916"/>
      <c r="R1142" s="917">
        <f>R1141</f>
        <v>1</v>
      </c>
      <c r="S1142" s="916">
        <f>1.5/12</f>
        <v>0.125</v>
      </c>
      <c r="T1142" s="75" t="s">
        <v>429</v>
      </c>
      <c r="U1142" s="75">
        <v>16</v>
      </c>
      <c r="V1142" s="906"/>
      <c r="W1142" s="912">
        <f>C1142</f>
        <v>5</v>
      </c>
      <c r="X1142" s="907">
        <f>Q1140-2*S1142-2*(U1142/1000)*3.281+2*((P1141))</f>
        <v>35.805008000000001</v>
      </c>
    </row>
    <row r="1143" spans="1:24" s="487" customFormat="1" ht="18" customHeight="1">
      <c r="A1143" s="478"/>
      <c r="B1143" s="336" t="s">
        <v>436</v>
      </c>
      <c r="C1143" s="924">
        <v>2</v>
      </c>
      <c r="D1143" s="480" t="s">
        <v>87</v>
      </c>
      <c r="E1143" s="481">
        <f>E1142</f>
        <v>1</v>
      </c>
      <c r="F1143" s="482">
        <v>1</v>
      </c>
      <c r="G1143" s="483">
        <v>8</v>
      </c>
      <c r="H1143" s="484"/>
      <c r="I1143" s="483"/>
      <c r="J1143" s="484"/>
      <c r="K1143" s="483"/>
      <c r="L1143" s="948"/>
      <c r="M1143" s="485"/>
      <c r="N1143" s="485">
        <f>C1143*E1143*(F1143+G1143/12)</f>
        <v>3.333333333333333</v>
      </c>
      <c r="O1143" s="486"/>
      <c r="P1143" s="915"/>
      <c r="Q1143" s="916"/>
      <c r="R1143" s="917">
        <f>R1142</f>
        <v>1</v>
      </c>
      <c r="S1143" s="916">
        <f>1.5/12</f>
        <v>0.125</v>
      </c>
      <c r="T1143" s="75"/>
      <c r="U1143" s="75"/>
      <c r="V1143" s="906"/>
      <c r="W1143" s="912"/>
      <c r="X1143" s="967"/>
    </row>
    <row r="1144" spans="1:24" s="487" customFormat="1" ht="18" customHeight="1">
      <c r="A1144" s="478"/>
      <c r="B1144" s="336" t="s">
        <v>449</v>
      </c>
      <c r="C1144" s="924">
        <f>W1144</f>
        <v>17</v>
      </c>
      <c r="D1144" s="480" t="s">
        <v>87</v>
      </c>
      <c r="E1144" s="481">
        <f>E1142</f>
        <v>1</v>
      </c>
      <c r="F1144" s="482">
        <v>4</v>
      </c>
      <c r="G1144" s="483">
        <v>2</v>
      </c>
      <c r="H1144" s="484"/>
      <c r="I1144" s="483"/>
      <c r="J1144" s="484"/>
      <c r="K1144" s="483"/>
      <c r="L1144" s="948">
        <f>C1144*E1144*(F1144+G1144/12)</f>
        <v>70.833333333333343</v>
      </c>
      <c r="M1144" s="485"/>
      <c r="N1144" s="485"/>
      <c r="O1144" s="486"/>
      <c r="P1144" s="915"/>
      <c r="Q1144" s="916"/>
      <c r="R1144" s="917">
        <f>R1143</f>
        <v>1</v>
      </c>
      <c r="S1144" s="916"/>
      <c r="T1144" s="75" t="s">
        <v>676</v>
      </c>
      <c r="U1144" s="75">
        <v>10</v>
      </c>
      <c r="V1144" s="906">
        <f>4/(12)</f>
        <v>0.33333333333333331</v>
      </c>
      <c r="W1144" s="912">
        <f>2*(ROUND(2*P1141/V1144,0))+1</f>
        <v>17</v>
      </c>
      <c r="X1144" s="907">
        <f>2*(P1140+P1141)-8*S1140+2*8*U1144/1000</f>
        <v>3.8200000000000003</v>
      </c>
    </row>
    <row r="1145" spans="1:24" s="487" customFormat="1" ht="18" customHeight="1">
      <c r="A1145" s="478"/>
      <c r="B1145" s="336" t="s">
        <v>495</v>
      </c>
      <c r="C1145" s="924">
        <f>W1145</f>
        <v>57</v>
      </c>
      <c r="D1145" s="480" t="s">
        <v>87</v>
      </c>
      <c r="E1145" s="481">
        <f>E1144</f>
        <v>1</v>
      </c>
      <c r="F1145" s="482">
        <f>F1144</f>
        <v>4</v>
      </c>
      <c r="G1145" s="483">
        <f>G1144</f>
        <v>2</v>
      </c>
      <c r="H1145" s="484"/>
      <c r="I1145" s="483"/>
      <c r="J1145" s="484"/>
      <c r="K1145" s="483"/>
      <c r="L1145" s="948">
        <f>C1145*E1145*(F1145+G1145/12)</f>
        <v>237.50000000000003</v>
      </c>
      <c r="M1145" s="485"/>
      <c r="N1145" s="485"/>
      <c r="O1145" s="486"/>
      <c r="P1145" s="915"/>
      <c r="Q1145" s="916"/>
      <c r="R1145" s="917">
        <f>R1144</f>
        <v>1</v>
      </c>
      <c r="S1145" s="916"/>
      <c r="T1145" s="75" t="s">
        <v>676</v>
      </c>
      <c r="U1145" s="75">
        <v>10</v>
      </c>
      <c r="V1145" s="906">
        <f>6/(12)</f>
        <v>0.5</v>
      </c>
      <c r="W1145" s="912">
        <f>(ROUND((Q1140-4*P1141)/V1145,0))+1</f>
        <v>57</v>
      </c>
      <c r="X1145" s="907">
        <f>2*(P1140+P1141)-8*S1140+2*8*U1145/1000</f>
        <v>3.8200000000000003</v>
      </c>
    </row>
    <row r="1146" spans="1:24" s="487" customFormat="1" ht="18" customHeight="1">
      <c r="A1146" s="478"/>
      <c r="B1146" s="726" t="s">
        <v>350</v>
      </c>
      <c r="C1146" s="924"/>
      <c r="D1146" s="480"/>
      <c r="E1146" s="481"/>
      <c r="F1146" s="482"/>
      <c r="G1146" s="483"/>
      <c r="H1146" s="484"/>
      <c r="I1146" s="483"/>
      <c r="J1146" s="484"/>
      <c r="K1146" s="483"/>
      <c r="L1146" s="948"/>
      <c r="M1146" s="485"/>
      <c r="N1146" s="485"/>
      <c r="O1146" s="486"/>
    </row>
    <row r="1147" spans="1:24" s="487" customFormat="1" ht="18" customHeight="1">
      <c r="A1147" s="478"/>
      <c r="B1147" s="956" t="s">
        <v>518</v>
      </c>
      <c r="C1147" s="957">
        <v>1</v>
      </c>
      <c r="D1147" s="958" t="s">
        <v>87</v>
      </c>
      <c r="E1147" s="959">
        <v>1</v>
      </c>
      <c r="F1147" s="960">
        <v>25</v>
      </c>
      <c r="G1147" s="961">
        <v>0</v>
      </c>
      <c r="H1147" s="962">
        <v>1</v>
      </c>
      <c r="I1147" s="961">
        <v>0</v>
      </c>
      <c r="J1147" s="484"/>
      <c r="K1147" s="483"/>
      <c r="L1147" s="948"/>
      <c r="M1147" s="485"/>
      <c r="N1147" s="485"/>
      <c r="O1147" s="486"/>
    </row>
    <row r="1148" spans="1:24" s="487" customFormat="1" ht="18" customHeight="1">
      <c r="A1148" s="478"/>
      <c r="B1148" s="336" t="s">
        <v>510</v>
      </c>
      <c r="C1148" s="924">
        <f>3+2</f>
        <v>5</v>
      </c>
      <c r="D1148" s="480" t="s">
        <v>87</v>
      </c>
      <c r="E1148" s="481">
        <f>C1147*E1147</f>
        <v>1</v>
      </c>
      <c r="F1148" s="482">
        <v>27</v>
      </c>
      <c r="G1148" s="483">
        <v>5</v>
      </c>
      <c r="H1148" s="484"/>
      <c r="I1148" s="483"/>
      <c r="J1148" s="484"/>
      <c r="K1148" s="483"/>
      <c r="L1148" s="948"/>
      <c r="M1148" s="485"/>
      <c r="N1148" s="485">
        <f>C1148*E1148*(F1148+G1148/12)</f>
        <v>137.08333333333334</v>
      </c>
      <c r="O1148" s="486"/>
      <c r="P1148" s="915">
        <f>H1147+I1147/12</f>
        <v>1</v>
      </c>
      <c r="Q1148" s="964">
        <f>F1147+G1147/12</f>
        <v>25</v>
      </c>
      <c r="R1148" s="917">
        <f>E1147*C1147</f>
        <v>1</v>
      </c>
      <c r="S1148" s="916">
        <f>1.5/12</f>
        <v>0.125</v>
      </c>
      <c r="T1148" s="75" t="s">
        <v>428</v>
      </c>
      <c r="U1148" s="75">
        <v>16</v>
      </c>
      <c r="V1148" s="906"/>
      <c r="W1148" s="912">
        <f>C1148</f>
        <v>5</v>
      </c>
      <c r="X1148" s="907">
        <f>Q1148-2*S1148+2*P1149</f>
        <v>27.41</v>
      </c>
    </row>
    <row r="1149" spans="1:24" s="487" customFormat="1" ht="18" customHeight="1">
      <c r="A1149" s="478"/>
      <c r="B1149" s="336" t="s">
        <v>436</v>
      </c>
      <c r="C1149" s="924">
        <v>2</v>
      </c>
      <c r="D1149" s="480" t="s">
        <v>87</v>
      </c>
      <c r="E1149" s="481">
        <f>E1148</f>
        <v>1</v>
      </c>
      <c r="F1149" s="482">
        <v>1</v>
      </c>
      <c r="G1149" s="483">
        <v>8</v>
      </c>
      <c r="H1149" s="484"/>
      <c r="I1149" s="483"/>
      <c r="J1149" s="484"/>
      <c r="K1149" s="483"/>
      <c r="L1149" s="948"/>
      <c r="M1149" s="485"/>
      <c r="N1149" s="485">
        <f>C1149*E1149*(F1149+G1149/12)</f>
        <v>3.333333333333333</v>
      </c>
      <c r="O1149" s="486"/>
      <c r="P1149" s="915">
        <v>1.33</v>
      </c>
      <c r="Q1149" s="966"/>
      <c r="R1149" s="917">
        <f>R1148</f>
        <v>1</v>
      </c>
      <c r="S1149" s="916">
        <f>1.5/12</f>
        <v>0.125</v>
      </c>
      <c r="T1149" s="75"/>
      <c r="U1149" s="75"/>
      <c r="V1149" s="966"/>
      <c r="W1149" s="912"/>
      <c r="X1149" s="967"/>
    </row>
    <row r="1150" spans="1:24" s="487" customFormat="1" ht="18" customHeight="1">
      <c r="A1150" s="478"/>
      <c r="B1150" s="336" t="s">
        <v>500</v>
      </c>
      <c r="C1150" s="924">
        <v>4</v>
      </c>
      <c r="D1150" s="480" t="s">
        <v>87</v>
      </c>
      <c r="E1150" s="481">
        <f>E1148</f>
        <v>1</v>
      </c>
      <c r="F1150" s="482">
        <v>27</v>
      </c>
      <c r="G1150" s="483">
        <v>4</v>
      </c>
      <c r="H1150" s="484"/>
      <c r="I1150" s="483"/>
      <c r="J1150" s="484"/>
      <c r="K1150" s="483"/>
      <c r="L1150" s="948"/>
      <c r="M1150" s="485"/>
      <c r="N1150" s="485">
        <f>C1150*E1150*(F1150+G1150/12)</f>
        <v>109.33333333333333</v>
      </c>
      <c r="O1150" s="486"/>
      <c r="Q1150" s="916"/>
      <c r="R1150" s="917">
        <f>R1149</f>
        <v>1</v>
      </c>
      <c r="S1150" s="916">
        <f>1.5/12</f>
        <v>0.125</v>
      </c>
      <c r="T1150" s="75" t="s">
        <v>429</v>
      </c>
      <c r="U1150" s="75">
        <v>16</v>
      </c>
      <c r="V1150" s="906"/>
      <c r="W1150" s="912">
        <f>C1150</f>
        <v>4</v>
      </c>
      <c r="X1150" s="907">
        <f>Q1148-2*S1150-2*(U1150/1000)*3.281+2*((P1149))</f>
        <v>27.305008000000001</v>
      </c>
    </row>
    <row r="1151" spans="1:24" s="487" customFormat="1" ht="18" customHeight="1">
      <c r="A1151" s="478"/>
      <c r="B1151" s="336" t="s">
        <v>521</v>
      </c>
      <c r="C1151" s="924">
        <v>2</v>
      </c>
      <c r="D1151" s="480" t="s">
        <v>87</v>
      </c>
      <c r="E1151" s="481">
        <f>E1150</f>
        <v>1</v>
      </c>
      <c r="F1151" s="482">
        <v>13</v>
      </c>
      <c r="G1151" s="483">
        <v>8</v>
      </c>
      <c r="H1151" s="484"/>
      <c r="I1151" s="483"/>
      <c r="J1151" s="484"/>
      <c r="K1151" s="483"/>
      <c r="L1151" s="948"/>
      <c r="M1151" s="485"/>
      <c r="N1151" s="485">
        <f>C1151*E1151*(F1151+G1151/12)</f>
        <v>27.333333333333332</v>
      </c>
      <c r="O1151" s="486"/>
      <c r="P1151" s="915"/>
      <c r="Q1151" s="916"/>
      <c r="R1151" s="917">
        <f>R1150</f>
        <v>1</v>
      </c>
      <c r="S1151" s="916">
        <f>1.5/12</f>
        <v>0.125</v>
      </c>
      <c r="T1151" s="75" t="s">
        <v>700</v>
      </c>
      <c r="U1151" s="75">
        <v>16</v>
      </c>
      <c r="V1151" s="906"/>
      <c r="W1151" s="912">
        <f>C1151</f>
        <v>2</v>
      </c>
      <c r="X1151" s="967">
        <f>(15.58/3+P1148+P1149+3.281*8*U1151/1000)+(9/3+P1148+P1149+3.281*8*U1151/1000)</f>
        <v>13.693269333333333</v>
      </c>
    </row>
    <row r="1152" spans="1:24" s="487" customFormat="1" ht="18" customHeight="1">
      <c r="A1152" s="478"/>
      <c r="B1152" s="336" t="s">
        <v>449</v>
      </c>
      <c r="C1152" s="924">
        <f>W1152</f>
        <v>17</v>
      </c>
      <c r="D1152" s="480" t="s">
        <v>87</v>
      </c>
      <c r="E1152" s="481">
        <f>E1150</f>
        <v>1</v>
      </c>
      <c r="F1152" s="482">
        <v>4</v>
      </c>
      <c r="G1152" s="483">
        <v>6</v>
      </c>
      <c r="H1152" s="484"/>
      <c r="I1152" s="483"/>
      <c r="J1152" s="484"/>
      <c r="K1152" s="483"/>
      <c r="L1152" s="948">
        <f>C1152*E1152*(F1152+G1152/12)</f>
        <v>76.5</v>
      </c>
      <c r="M1152" s="485"/>
      <c r="N1152" s="485"/>
      <c r="O1152" s="486"/>
      <c r="P1152" s="915"/>
      <c r="Q1152" s="916"/>
      <c r="R1152" s="917">
        <f>R1151</f>
        <v>1</v>
      </c>
      <c r="S1152" s="916"/>
      <c r="T1152" s="75" t="s">
        <v>676</v>
      </c>
      <c r="U1152" s="75">
        <v>10</v>
      </c>
      <c r="V1152" s="906">
        <f>4/(12)</f>
        <v>0.33333333333333331</v>
      </c>
      <c r="W1152" s="912">
        <f>2*(ROUND(2*P1149/V1152,0))+1</f>
        <v>17</v>
      </c>
      <c r="X1152" s="907">
        <f>2*(P1148+P1149)-8*S1148+2*8*U1152/1000</f>
        <v>3.8200000000000003</v>
      </c>
    </row>
    <row r="1153" spans="1:24" s="487" customFormat="1" ht="18" customHeight="1">
      <c r="A1153" s="478"/>
      <c r="B1153" s="336" t="s">
        <v>495</v>
      </c>
      <c r="C1153" s="924">
        <f>W1153</f>
        <v>40</v>
      </c>
      <c r="D1153" s="480" t="s">
        <v>87</v>
      </c>
      <c r="E1153" s="481">
        <f>E1152</f>
        <v>1</v>
      </c>
      <c r="F1153" s="482">
        <f>F1152</f>
        <v>4</v>
      </c>
      <c r="G1153" s="483">
        <f>G1152</f>
        <v>6</v>
      </c>
      <c r="H1153" s="484"/>
      <c r="I1153" s="483"/>
      <c r="J1153" s="484"/>
      <c r="K1153" s="483"/>
      <c r="L1153" s="948">
        <f>C1153*E1153*(F1153+G1153/12)</f>
        <v>180</v>
      </c>
      <c r="M1153" s="485"/>
      <c r="N1153" s="485"/>
      <c r="O1153" s="486"/>
      <c r="P1153" s="915"/>
      <c r="Q1153" s="916"/>
      <c r="R1153" s="917">
        <f>R1152</f>
        <v>1</v>
      </c>
      <c r="S1153" s="916"/>
      <c r="T1153" s="75" t="s">
        <v>676</v>
      </c>
      <c r="U1153" s="75">
        <v>10</v>
      </c>
      <c r="V1153" s="906">
        <f>6/(12)</f>
        <v>0.5</v>
      </c>
      <c r="W1153" s="912">
        <f>(ROUND((Q1148-4*P1149)/V1153,0))+1</f>
        <v>40</v>
      </c>
      <c r="X1153" s="907">
        <f>2*(P1148+P1149)-8*S1148+2*8*U1153/1000</f>
        <v>3.8200000000000003</v>
      </c>
    </row>
    <row r="1154" spans="1:24" s="487" customFormat="1" ht="18" customHeight="1">
      <c r="A1154" s="478"/>
      <c r="B1154" s="956" t="s">
        <v>520</v>
      </c>
      <c r="C1154" s="957">
        <v>1</v>
      </c>
      <c r="D1154" s="958" t="s">
        <v>87</v>
      </c>
      <c r="E1154" s="959">
        <v>1</v>
      </c>
      <c r="F1154" s="960">
        <v>33</v>
      </c>
      <c r="G1154" s="961">
        <v>6</v>
      </c>
      <c r="H1154" s="962">
        <v>1</v>
      </c>
      <c r="I1154" s="961">
        <v>0</v>
      </c>
      <c r="J1154" s="484"/>
      <c r="K1154" s="483"/>
      <c r="L1154" s="948"/>
      <c r="M1154" s="485"/>
      <c r="N1154" s="485"/>
      <c r="O1154" s="486"/>
    </row>
    <row r="1155" spans="1:24" s="487" customFormat="1" ht="18" customHeight="1">
      <c r="A1155" s="478"/>
      <c r="B1155" s="336" t="s">
        <v>510</v>
      </c>
      <c r="C1155" s="924">
        <f>3+2</f>
        <v>5</v>
      </c>
      <c r="D1155" s="480" t="s">
        <v>87</v>
      </c>
      <c r="E1155" s="481">
        <f>C1154*E1154</f>
        <v>1</v>
      </c>
      <c r="F1155" s="482">
        <v>35</v>
      </c>
      <c r="G1155" s="483">
        <v>11</v>
      </c>
      <c r="H1155" s="484"/>
      <c r="I1155" s="483"/>
      <c r="J1155" s="484"/>
      <c r="K1155" s="483"/>
      <c r="L1155" s="948"/>
      <c r="M1155" s="485"/>
      <c r="N1155" s="485">
        <f>C1155*E1155*(F1155+G1155/12)</f>
        <v>179.58333333333331</v>
      </c>
      <c r="O1155" s="486"/>
      <c r="P1155" s="915">
        <f>H1154+I1154/12</f>
        <v>1</v>
      </c>
      <c r="Q1155" s="964">
        <f>F1154+G1154/12</f>
        <v>33.5</v>
      </c>
      <c r="R1155" s="917">
        <f>E1154*C1154</f>
        <v>1</v>
      </c>
      <c r="S1155" s="916">
        <f>1.5/12</f>
        <v>0.125</v>
      </c>
      <c r="T1155" s="75" t="s">
        <v>428</v>
      </c>
      <c r="U1155" s="75">
        <v>16</v>
      </c>
      <c r="V1155" s="906"/>
      <c r="W1155" s="912">
        <f>C1155</f>
        <v>5</v>
      </c>
      <c r="X1155" s="907">
        <f>Q1155-2*S1155+2*P1156</f>
        <v>35.909999999999997</v>
      </c>
    </row>
    <row r="1156" spans="1:24" s="487" customFormat="1" ht="18" customHeight="1">
      <c r="A1156" s="478"/>
      <c r="B1156" s="336" t="s">
        <v>436</v>
      </c>
      <c r="C1156" s="924">
        <v>2</v>
      </c>
      <c r="D1156" s="480" t="s">
        <v>87</v>
      </c>
      <c r="E1156" s="481">
        <f>E1155</f>
        <v>1</v>
      </c>
      <c r="F1156" s="482">
        <v>1</v>
      </c>
      <c r="G1156" s="483">
        <v>8</v>
      </c>
      <c r="H1156" s="484"/>
      <c r="I1156" s="483"/>
      <c r="J1156" s="484"/>
      <c r="K1156" s="483"/>
      <c r="L1156" s="948"/>
      <c r="M1156" s="485"/>
      <c r="N1156" s="485">
        <f>C1156*E1156*(F1156+G1156/12)</f>
        <v>3.333333333333333</v>
      </c>
      <c r="O1156" s="486"/>
      <c r="P1156" s="915">
        <v>1.33</v>
      </c>
      <c r="Q1156" s="966"/>
      <c r="R1156" s="917">
        <f>R1155</f>
        <v>1</v>
      </c>
      <c r="S1156" s="916">
        <f>1.5/12</f>
        <v>0.125</v>
      </c>
      <c r="T1156" s="75"/>
      <c r="U1156" s="75"/>
      <c r="V1156" s="966"/>
      <c r="W1156" s="912"/>
      <c r="X1156" s="967"/>
    </row>
    <row r="1157" spans="1:24" s="487" customFormat="1" ht="18" customHeight="1">
      <c r="A1157" s="478"/>
      <c r="B1157" s="336" t="s">
        <v>500</v>
      </c>
      <c r="C1157" s="924">
        <v>4</v>
      </c>
      <c r="D1157" s="480" t="s">
        <v>87</v>
      </c>
      <c r="E1157" s="481">
        <f>E1155</f>
        <v>1</v>
      </c>
      <c r="F1157" s="482">
        <v>35</v>
      </c>
      <c r="G1157" s="483">
        <v>10</v>
      </c>
      <c r="H1157" s="484"/>
      <c r="I1157" s="483"/>
      <c r="J1157" s="484"/>
      <c r="K1157" s="483"/>
      <c r="L1157" s="948"/>
      <c r="M1157" s="485"/>
      <c r="N1157" s="485">
        <f>C1157*E1157*(F1157+G1157/12)</f>
        <v>143.33333333333334</v>
      </c>
      <c r="O1157" s="486"/>
      <c r="Q1157" s="916"/>
      <c r="R1157" s="917">
        <f>R1156</f>
        <v>1</v>
      </c>
      <c r="S1157" s="916">
        <f>1.5/12</f>
        <v>0.125</v>
      </c>
      <c r="T1157" s="75" t="s">
        <v>429</v>
      </c>
      <c r="U1157" s="75">
        <v>16</v>
      </c>
      <c r="V1157" s="906"/>
      <c r="W1157" s="912">
        <f>C1157</f>
        <v>4</v>
      </c>
      <c r="X1157" s="907">
        <f>Q1155-2*S1157-2*(U1157/1000)*3.281+2*((P1156))</f>
        <v>35.805008000000001</v>
      </c>
    </row>
    <row r="1158" spans="1:24" s="487" customFormat="1" ht="18" customHeight="1">
      <c r="A1158" s="478"/>
      <c r="B1158" s="336" t="s">
        <v>521</v>
      </c>
      <c r="C1158" s="924">
        <v>2</v>
      </c>
      <c r="D1158" s="480" t="s">
        <v>87</v>
      </c>
      <c r="E1158" s="481">
        <f>E1157</f>
        <v>1</v>
      </c>
      <c r="F1158" s="482">
        <v>16</v>
      </c>
      <c r="G1158" s="483">
        <v>8</v>
      </c>
      <c r="H1158" s="484"/>
      <c r="I1158" s="483"/>
      <c r="J1158" s="484"/>
      <c r="K1158" s="483"/>
      <c r="L1158" s="948"/>
      <c r="M1158" s="485"/>
      <c r="N1158" s="485">
        <f>C1158*E1158*(F1158+G1158/12)</f>
        <v>33.333333333333336</v>
      </c>
      <c r="O1158" s="486"/>
      <c r="P1158" s="915"/>
      <c r="Q1158" s="916"/>
      <c r="R1158" s="917">
        <f>R1157</f>
        <v>1</v>
      </c>
      <c r="S1158" s="916">
        <f>1.5/12</f>
        <v>0.125</v>
      </c>
      <c r="T1158" s="75" t="s">
        <v>700</v>
      </c>
      <c r="U1158" s="75">
        <v>16</v>
      </c>
      <c r="V1158" s="906"/>
      <c r="W1158" s="912">
        <f>C1158</f>
        <v>2</v>
      </c>
      <c r="X1158" s="967">
        <f>(17.5/3+P1155+P1156+3.281*8*U1158/1000)+(16/3+P1155+P1156+3.281*8*U1158/1000)</f>
        <v>16.66660266666667</v>
      </c>
    </row>
    <row r="1159" spans="1:24" s="487" customFormat="1" ht="18" customHeight="1">
      <c r="A1159" s="478"/>
      <c r="B1159" s="336" t="s">
        <v>449</v>
      </c>
      <c r="C1159" s="924">
        <f>W1159</f>
        <v>17</v>
      </c>
      <c r="D1159" s="480" t="s">
        <v>87</v>
      </c>
      <c r="E1159" s="481">
        <f>E1157</f>
        <v>1</v>
      </c>
      <c r="F1159" s="482">
        <v>4</v>
      </c>
      <c r="G1159" s="483">
        <v>6</v>
      </c>
      <c r="H1159" s="484"/>
      <c r="I1159" s="483"/>
      <c r="J1159" s="484"/>
      <c r="K1159" s="483"/>
      <c r="L1159" s="948">
        <f>C1159*E1159*(F1159+G1159/12)</f>
        <v>76.5</v>
      </c>
      <c r="M1159" s="485"/>
      <c r="N1159" s="485"/>
      <c r="O1159" s="486"/>
      <c r="P1159" s="915"/>
      <c r="Q1159" s="916"/>
      <c r="R1159" s="917">
        <f>R1158</f>
        <v>1</v>
      </c>
      <c r="S1159" s="916"/>
      <c r="T1159" s="75" t="s">
        <v>676</v>
      </c>
      <c r="U1159" s="75">
        <v>10</v>
      </c>
      <c r="V1159" s="906">
        <f>4/(12)</f>
        <v>0.33333333333333331</v>
      </c>
      <c r="W1159" s="912">
        <f>2*(ROUND(2*P1156/V1159,0))+1</f>
        <v>17</v>
      </c>
      <c r="X1159" s="907">
        <f>2*(P1155+P1156)-8*S1155+2*8*U1159/1000</f>
        <v>3.8200000000000003</v>
      </c>
    </row>
    <row r="1160" spans="1:24" s="487" customFormat="1" ht="18" customHeight="1">
      <c r="A1160" s="478"/>
      <c r="B1160" s="336" t="s">
        <v>495</v>
      </c>
      <c r="C1160" s="924">
        <f>W1160</f>
        <v>57</v>
      </c>
      <c r="D1160" s="480" t="s">
        <v>87</v>
      </c>
      <c r="E1160" s="481">
        <f>E1159</f>
        <v>1</v>
      </c>
      <c r="F1160" s="482">
        <f>F1159</f>
        <v>4</v>
      </c>
      <c r="G1160" s="483">
        <f>G1159</f>
        <v>6</v>
      </c>
      <c r="H1160" s="484"/>
      <c r="I1160" s="483"/>
      <c r="J1160" s="484"/>
      <c r="K1160" s="483"/>
      <c r="L1160" s="948">
        <f>C1160*E1160*(F1160+G1160/12)</f>
        <v>256.5</v>
      </c>
      <c r="M1160" s="485"/>
      <c r="N1160" s="485"/>
      <c r="O1160" s="486"/>
      <c r="P1160" s="915"/>
      <c r="Q1160" s="916"/>
      <c r="R1160" s="917">
        <f>R1159</f>
        <v>1</v>
      </c>
      <c r="S1160" s="916"/>
      <c r="T1160" s="75" t="s">
        <v>676</v>
      </c>
      <c r="U1160" s="75">
        <v>10</v>
      </c>
      <c r="V1160" s="906">
        <f>6/(12)</f>
        <v>0.5</v>
      </c>
      <c r="W1160" s="912">
        <f>(ROUND((Q1155-4*P1156)/V1160,0))+1</f>
        <v>57</v>
      </c>
      <c r="X1160" s="907">
        <f>2*(P1155+P1156)-8*S1155+2*8*U1160/1000</f>
        <v>3.8200000000000003</v>
      </c>
    </row>
    <row r="1161" spans="1:24" s="487" customFormat="1" ht="18" customHeight="1" thickBot="1">
      <c r="A1161" s="478"/>
      <c r="B1161" s="968"/>
      <c r="C1161" s="924"/>
      <c r="D1161" s="480"/>
      <c r="E1161" s="481"/>
      <c r="F1161" s="482"/>
      <c r="G1161" s="483"/>
      <c r="H1161" s="484"/>
      <c r="I1161" s="483"/>
      <c r="J1161" s="484"/>
      <c r="K1161" s="483"/>
      <c r="L1161" s="927"/>
      <c r="M1161" s="929"/>
      <c r="N1161" s="929"/>
      <c r="O1161" s="667"/>
    </row>
    <row r="1162" spans="1:24" s="487" customFormat="1" ht="18" customHeight="1">
      <c r="A1162" s="478"/>
      <c r="B1162" s="930" t="s">
        <v>107</v>
      </c>
      <c r="C1162" s="1206">
        <v>10</v>
      </c>
      <c r="D1162" s="1207"/>
      <c r="E1162" s="1208"/>
      <c r="F1162" s="1165">
        <v>12</v>
      </c>
      <c r="G1162" s="1166"/>
      <c r="H1162" s="1165">
        <v>16</v>
      </c>
      <c r="I1162" s="1166"/>
      <c r="J1162" s="1169">
        <f t="shared" ref="J1162" si="331">SUM(J1084:J1160)</f>
        <v>0</v>
      </c>
      <c r="K1162" s="1170"/>
      <c r="L1162" s="499">
        <f>SUM(L927:L1160)</f>
        <v>11564.333333333334</v>
      </c>
      <c r="M1162" s="499">
        <f t="shared" ref="M1162:N1162" si="332">SUM(M927:M1160)</f>
        <v>255.83333333333334</v>
      </c>
      <c r="N1162" s="499">
        <f t="shared" si="332"/>
        <v>10984.083333333341</v>
      </c>
      <c r="O1162" s="546"/>
    </row>
    <row r="1163" spans="1:24" s="487" customFormat="1" ht="18" customHeight="1">
      <c r="A1163" s="478"/>
      <c r="B1163" s="930" t="s">
        <v>30</v>
      </c>
      <c r="C1163" s="1167">
        <f>ROUNDUP(7.85*3.142*C1162*C1162/4000,2)</f>
        <v>0.62</v>
      </c>
      <c r="D1163" s="1205"/>
      <c r="E1163" s="1168"/>
      <c r="F1163" s="1167">
        <f>ROUNDUP(7.85*3.142*F1162*F1162/4000,2)</f>
        <v>0.89</v>
      </c>
      <c r="G1163" s="1168"/>
      <c r="H1163" s="1167">
        <f>ROUNDUP(7.85*3.142*H1162*H1162/4000,2)</f>
        <v>1.58</v>
      </c>
      <c r="I1163" s="1168"/>
      <c r="J1163" s="1163"/>
      <c r="K1163" s="1164"/>
      <c r="L1163" s="948">
        <f>(L1162/3.281)*C1163/1000</f>
        <v>2.1852748145890484</v>
      </c>
      <c r="M1163" s="948">
        <f>(M1162/3.281)*F1163/1000</f>
        <v>6.939703342476887E-2</v>
      </c>
      <c r="N1163" s="948">
        <f>(N1162/3.281)*H1163/1000</f>
        <v>5.2895006603677786</v>
      </c>
      <c r="O1163" s="486"/>
    </row>
    <row r="1164" spans="1:24" s="487" customFormat="1" ht="18" customHeight="1">
      <c r="A1164" s="478"/>
      <c r="B1164" s="930" t="s">
        <v>108</v>
      </c>
      <c r="C1164" s="479"/>
      <c r="D1164" s="480"/>
      <c r="E1164" s="481"/>
      <c r="F1164" s="482"/>
      <c r="G1164" s="483"/>
      <c r="H1164" s="484"/>
      <c r="I1164" s="483"/>
      <c r="J1164" s="1163"/>
      <c r="K1164" s="1164"/>
      <c r="L1164" s="478"/>
      <c r="M1164" s="485"/>
      <c r="N1164" s="486">
        <f>SUM(J1163:N1163)</f>
        <v>7.544172508381596</v>
      </c>
      <c r="O1164" s="486" t="s">
        <v>30</v>
      </c>
    </row>
    <row r="1165" spans="1:24" s="487" customFormat="1" ht="18" customHeight="1">
      <c r="A1165" s="833"/>
      <c r="B1165" s="953"/>
      <c r="C1165" s="934"/>
      <c r="D1165" s="935"/>
      <c r="E1165" s="936"/>
      <c r="F1165" s="482"/>
      <c r="G1165" s="483"/>
      <c r="H1165" s="484"/>
      <c r="I1165" s="483"/>
      <c r="J1165" s="1163"/>
      <c r="K1165" s="1164"/>
      <c r="L1165" s="478"/>
      <c r="M1165" s="485"/>
      <c r="N1165" s="485"/>
      <c r="O1165" s="485"/>
    </row>
    <row r="1166" spans="1:24" s="487" customFormat="1" ht="18" customHeight="1">
      <c r="A1166" s="833"/>
      <c r="B1166" s="500" t="s">
        <v>115</v>
      </c>
      <c r="C1166" s="934"/>
      <c r="D1166" s="935"/>
      <c r="E1166" s="936"/>
      <c r="F1166" s="482"/>
      <c r="G1166" s="483"/>
      <c r="H1166" s="484"/>
      <c r="I1166" s="483"/>
      <c r="J1166" s="1163"/>
      <c r="K1166" s="1164"/>
      <c r="L1166" s="478"/>
      <c r="M1166" s="485"/>
      <c r="N1166" s="485"/>
      <c r="O1166" s="485"/>
    </row>
    <row r="1167" spans="1:24" s="487" customFormat="1" ht="18" customHeight="1">
      <c r="A1167" s="833"/>
      <c r="B1167" s="336" t="s">
        <v>592</v>
      </c>
      <c r="C1167" s="934"/>
      <c r="D1167" s="935" t="s">
        <v>116</v>
      </c>
      <c r="E1167" s="936"/>
      <c r="F1167" s="482"/>
      <c r="G1167" s="483"/>
      <c r="H1167" s="484"/>
      <c r="I1167" s="483"/>
      <c r="J1167" s="1163"/>
      <c r="K1167" s="1164"/>
      <c r="L1167" s="478"/>
      <c r="M1167" s="485"/>
      <c r="N1167" s="485">
        <f>N1163</f>
        <v>5.2895006603677786</v>
      </c>
      <c r="O1167" s="485" t="s">
        <v>30</v>
      </c>
    </row>
    <row r="1168" spans="1:24" s="487" customFormat="1" ht="18" customHeight="1">
      <c r="A1168" s="833"/>
      <c r="B1168" s="336" t="s">
        <v>593</v>
      </c>
      <c r="C1168" s="934"/>
      <c r="D1168" s="935" t="s">
        <v>116</v>
      </c>
      <c r="E1168" s="936"/>
      <c r="F1168" s="482"/>
      <c r="G1168" s="483"/>
      <c r="H1168" s="484"/>
      <c r="I1168" s="483"/>
      <c r="J1168" s="1163"/>
      <c r="K1168" s="1164"/>
      <c r="L1168" s="478"/>
      <c r="M1168" s="485"/>
      <c r="N1168" s="485">
        <f>M1163</f>
        <v>6.939703342476887E-2</v>
      </c>
      <c r="O1168" s="485" t="s">
        <v>30</v>
      </c>
    </row>
    <row r="1169" spans="1:24" s="487" customFormat="1" ht="18" customHeight="1">
      <c r="A1169" s="833"/>
      <c r="B1169" s="336" t="s">
        <v>594</v>
      </c>
      <c r="C1169" s="934"/>
      <c r="D1169" s="935" t="s">
        <v>116</v>
      </c>
      <c r="E1169" s="936"/>
      <c r="F1169" s="482"/>
      <c r="G1169" s="483"/>
      <c r="H1169" s="484"/>
      <c r="I1169" s="483"/>
      <c r="J1169" s="1163"/>
      <c r="K1169" s="1164"/>
      <c r="L1169" s="478"/>
      <c r="M1169" s="485"/>
      <c r="N1169" s="485">
        <f>L1163</f>
        <v>2.1852748145890484</v>
      </c>
      <c r="O1169" s="485" t="s">
        <v>30</v>
      </c>
    </row>
    <row r="1170" spans="1:24" s="487" customFormat="1" ht="18" customHeight="1">
      <c r="A1170" s="548"/>
      <c r="B1170" s="549"/>
      <c r="C1170" s="978"/>
      <c r="D1170" s="550"/>
      <c r="E1170" s="551"/>
      <c r="F1170" s="552"/>
      <c r="G1170" s="553"/>
      <c r="H1170" s="554"/>
      <c r="I1170" s="553"/>
      <c r="J1170" s="554"/>
      <c r="K1170" s="553"/>
      <c r="L1170" s="955"/>
      <c r="M1170" s="555"/>
      <c r="N1170" s="555"/>
      <c r="O1170" s="556"/>
    </row>
    <row r="1171" spans="1:24" s="487" customFormat="1" ht="18" customHeight="1">
      <c r="A1171" s="733" t="s">
        <v>761</v>
      </c>
      <c r="B1171" s="734" t="s">
        <v>573</v>
      </c>
      <c r="C1171" s="735"/>
      <c r="D1171" s="736"/>
      <c r="E1171" s="748"/>
      <c r="F1171" s="738"/>
      <c r="G1171" s="739"/>
      <c r="H1171" s="740"/>
      <c r="I1171" s="739"/>
      <c r="J1171" s="741"/>
      <c r="K1171" s="742"/>
      <c r="L1171" s="743"/>
      <c r="M1171" s="499"/>
      <c r="N1171" s="546">
        <f>N1373</f>
        <v>8.8262704460022388</v>
      </c>
      <c r="O1171" s="733" t="s">
        <v>30</v>
      </c>
    </row>
    <row r="1172" spans="1:24" s="487" customFormat="1" ht="18" customHeight="1">
      <c r="A1172" s="478"/>
      <c r="B1172" s="723"/>
      <c r="C1172" s="479"/>
      <c r="D1172" s="480"/>
      <c r="E1172" s="481"/>
      <c r="F1172" s="482"/>
      <c r="G1172" s="745"/>
      <c r="H1172" s="746"/>
      <c r="I1172" s="745"/>
      <c r="J1172" s="1171" t="s">
        <v>546</v>
      </c>
      <c r="K1172" s="1172"/>
      <c r="L1172" s="946" t="s">
        <v>545</v>
      </c>
      <c r="M1172" s="922" t="s">
        <v>544</v>
      </c>
      <c r="N1172" s="922" t="s">
        <v>103</v>
      </c>
      <c r="O1172" s="923"/>
    </row>
    <row r="1173" spans="1:24" s="487" customFormat="1" ht="18" customHeight="1">
      <c r="A1173" s="478"/>
      <c r="B1173" s="806" t="s">
        <v>574</v>
      </c>
      <c r="C1173" s="924"/>
      <c r="D1173" s="480"/>
      <c r="E1173" s="481"/>
      <c r="F1173" s="482"/>
      <c r="G1173" s="483"/>
      <c r="H1173" s="484"/>
      <c r="I1173" s="483"/>
      <c r="J1173" s="484"/>
      <c r="K1173" s="483"/>
      <c r="L1173" s="948"/>
      <c r="M1173" s="485"/>
      <c r="N1173" s="485"/>
      <c r="O1173" s="486"/>
    </row>
    <row r="1174" spans="1:24" s="487" customFormat="1" ht="18" customHeight="1">
      <c r="A1174" s="478"/>
      <c r="B1174" s="726" t="s">
        <v>354</v>
      </c>
      <c r="C1174" s="924"/>
      <c r="D1174" s="480"/>
      <c r="E1174" s="481"/>
      <c r="F1174" s="482"/>
      <c r="G1174" s="483"/>
      <c r="H1174" s="484"/>
      <c r="I1174" s="483"/>
      <c r="J1174" s="484"/>
      <c r="K1174" s="483"/>
      <c r="L1174" s="948"/>
      <c r="M1174" s="485"/>
      <c r="N1174" s="485"/>
      <c r="O1174" s="486"/>
    </row>
    <row r="1175" spans="1:24" s="487" customFormat="1" ht="18" customHeight="1">
      <c r="A1175" s="478"/>
      <c r="B1175" s="956" t="s">
        <v>355</v>
      </c>
      <c r="C1175" s="957">
        <f>C228</f>
        <v>1</v>
      </c>
      <c r="D1175" s="958" t="s">
        <v>87</v>
      </c>
      <c r="E1175" s="959">
        <f>E228</f>
        <v>1</v>
      </c>
      <c r="F1175" s="960">
        <v>17</v>
      </c>
      <c r="G1175" s="961">
        <v>6</v>
      </c>
      <c r="H1175" s="962">
        <f>H228</f>
        <v>9</v>
      </c>
      <c r="I1175" s="961">
        <f>I228</f>
        <v>0</v>
      </c>
      <c r="J1175" s="484"/>
      <c r="K1175" s="483"/>
      <c r="L1175" s="948"/>
      <c r="M1175" s="485"/>
      <c r="N1175" s="485"/>
      <c r="O1175" s="486"/>
    </row>
    <row r="1176" spans="1:24" s="487" customFormat="1" ht="18" customHeight="1">
      <c r="A1176" s="478"/>
      <c r="B1176" s="336" t="s">
        <v>522</v>
      </c>
      <c r="C1176" s="969">
        <f>W1176</f>
        <v>19</v>
      </c>
      <c r="D1176" s="480" t="s">
        <v>87</v>
      </c>
      <c r="E1176" s="481">
        <f>C1175*E1175</f>
        <v>1</v>
      </c>
      <c r="F1176" s="482">
        <v>18</v>
      </c>
      <c r="G1176" s="483">
        <v>6</v>
      </c>
      <c r="H1176" s="484"/>
      <c r="I1176" s="483"/>
      <c r="J1176" s="484"/>
      <c r="K1176" s="483"/>
      <c r="L1176" s="948"/>
      <c r="M1176" s="485">
        <f>C1176*E1176*(F1176+G1176/12)</f>
        <v>351.5</v>
      </c>
      <c r="N1176" s="485"/>
      <c r="O1176" s="486"/>
      <c r="P1176" s="915">
        <f>F1175+G1175/12</f>
        <v>17.5</v>
      </c>
      <c r="Q1176" s="964">
        <f>6/12</f>
        <v>0.5</v>
      </c>
      <c r="R1176" s="917">
        <f>E1175*C1175</f>
        <v>1</v>
      </c>
      <c r="S1176" s="916">
        <f>1.5/12</f>
        <v>0.125</v>
      </c>
      <c r="T1176" s="75" t="s">
        <v>428</v>
      </c>
      <c r="U1176" s="75">
        <v>12</v>
      </c>
      <c r="V1176" s="906">
        <f>6/12</f>
        <v>0.5</v>
      </c>
      <c r="W1176" s="912">
        <f>ROUND(P1177/V1176,0)+1</f>
        <v>19</v>
      </c>
      <c r="X1176" s="907">
        <f>P1176+2*Q1176</f>
        <v>18.5</v>
      </c>
    </row>
    <row r="1177" spans="1:24" s="487" customFormat="1" ht="18" customHeight="1">
      <c r="A1177" s="478"/>
      <c r="B1177" s="336" t="s">
        <v>523</v>
      </c>
      <c r="C1177" s="969">
        <f>W1177</f>
        <v>36</v>
      </c>
      <c r="D1177" s="480" t="s">
        <v>87</v>
      </c>
      <c r="E1177" s="481">
        <f>E1176</f>
        <v>1</v>
      </c>
      <c r="F1177" s="482">
        <v>10</v>
      </c>
      <c r="G1177" s="483">
        <v>0</v>
      </c>
      <c r="H1177" s="484"/>
      <c r="I1177" s="483"/>
      <c r="J1177" s="484"/>
      <c r="K1177" s="483"/>
      <c r="L1177" s="948"/>
      <c r="M1177" s="485">
        <f>C1177*E1177*(F1177+G1177/12)</f>
        <v>360</v>
      </c>
      <c r="N1177" s="485"/>
      <c r="O1177" s="486"/>
      <c r="P1177" s="915">
        <f>H1175+I1175/12</f>
        <v>9</v>
      </c>
      <c r="Q1177" s="916"/>
      <c r="R1177" s="917">
        <f>R1176</f>
        <v>1</v>
      </c>
      <c r="S1177" s="916">
        <f>1.5/12</f>
        <v>0.125</v>
      </c>
      <c r="T1177" s="75" t="s">
        <v>704</v>
      </c>
      <c r="U1177" s="75">
        <v>12</v>
      </c>
      <c r="V1177" s="906">
        <f t="shared" ref="V1177:V1179" si="333">6/12</f>
        <v>0.5</v>
      </c>
      <c r="W1177" s="912">
        <f>ROUND(P1176/V1177,0)+1</f>
        <v>36</v>
      </c>
      <c r="X1177" s="907">
        <f>P1177+2*Q1176</f>
        <v>10</v>
      </c>
    </row>
    <row r="1178" spans="1:24" s="487" customFormat="1" ht="18" customHeight="1">
      <c r="A1178" s="478"/>
      <c r="B1178" s="336" t="s">
        <v>524</v>
      </c>
      <c r="C1178" s="969">
        <f>W1178</f>
        <v>19</v>
      </c>
      <c r="D1178" s="480" t="s">
        <v>87</v>
      </c>
      <c r="E1178" s="481">
        <f t="shared" ref="E1178:E1179" si="334">E1177</f>
        <v>1</v>
      </c>
      <c r="F1178" s="482">
        <v>18</v>
      </c>
      <c r="G1178" s="483">
        <v>6</v>
      </c>
      <c r="H1178" s="484"/>
      <c r="I1178" s="483"/>
      <c r="J1178" s="484"/>
      <c r="K1178" s="483"/>
      <c r="L1178" s="948"/>
      <c r="M1178" s="485">
        <f>C1178*E1178*(F1178+G1178/12)</f>
        <v>351.5</v>
      </c>
      <c r="N1178" s="485"/>
      <c r="O1178" s="486"/>
      <c r="P1178" s="915"/>
      <c r="Q1178" s="964"/>
      <c r="R1178" s="917">
        <f t="shared" ref="R1178:R1179" si="335">R1177</f>
        <v>1</v>
      </c>
      <c r="S1178" s="916">
        <f>1.5/12</f>
        <v>0.125</v>
      </c>
      <c r="T1178" s="75" t="s">
        <v>429</v>
      </c>
      <c r="U1178" s="75">
        <v>12</v>
      </c>
      <c r="V1178" s="906">
        <f t="shared" si="333"/>
        <v>0.5</v>
      </c>
      <c r="W1178" s="912">
        <f>ROUND(P1177/V1178,0)+1</f>
        <v>19</v>
      </c>
      <c r="X1178" s="907">
        <f>P1176+2*Q1176</f>
        <v>18.5</v>
      </c>
    </row>
    <row r="1179" spans="1:24" s="487" customFormat="1" ht="18" customHeight="1">
      <c r="A1179" s="478"/>
      <c r="B1179" s="336" t="s">
        <v>525</v>
      </c>
      <c r="C1179" s="969">
        <f>W1179</f>
        <v>36</v>
      </c>
      <c r="D1179" s="480" t="s">
        <v>87</v>
      </c>
      <c r="E1179" s="481">
        <f t="shared" si="334"/>
        <v>1</v>
      </c>
      <c r="F1179" s="482">
        <v>10</v>
      </c>
      <c r="G1179" s="483">
        <v>0</v>
      </c>
      <c r="H1179" s="484"/>
      <c r="I1179" s="483"/>
      <c r="J1179" s="484"/>
      <c r="K1179" s="483"/>
      <c r="L1179" s="948"/>
      <c r="M1179" s="485">
        <f>C1179*E1179*(F1179+G1179/12)</f>
        <v>360</v>
      </c>
      <c r="N1179" s="485"/>
      <c r="O1179" s="486"/>
      <c r="P1179" s="915"/>
      <c r="Q1179" s="916"/>
      <c r="R1179" s="917">
        <f t="shared" si="335"/>
        <v>1</v>
      </c>
      <c r="S1179" s="916">
        <f>1.5/12</f>
        <v>0.125</v>
      </c>
      <c r="T1179" s="75" t="s">
        <v>705</v>
      </c>
      <c r="U1179" s="75">
        <v>12</v>
      </c>
      <c r="V1179" s="906">
        <f t="shared" si="333"/>
        <v>0.5</v>
      </c>
      <c r="W1179" s="912">
        <f>ROUND(P1176/V1179,0)+1</f>
        <v>36</v>
      </c>
      <c r="X1179" s="907">
        <f>P1177+2*Q1176</f>
        <v>10</v>
      </c>
    </row>
    <row r="1180" spans="1:24" s="487" customFormat="1" ht="18" customHeight="1">
      <c r="A1180" s="478"/>
      <c r="B1180" s="726" t="s">
        <v>373</v>
      </c>
      <c r="C1180" s="957"/>
      <c r="D1180" s="958"/>
      <c r="E1180" s="959"/>
      <c r="F1180" s="960"/>
      <c r="G1180" s="961"/>
      <c r="H1180" s="962"/>
      <c r="I1180" s="961"/>
      <c r="J1180" s="484"/>
      <c r="K1180" s="483"/>
      <c r="L1180" s="948"/>
      <c r="M1180" s="485"/>
      <c r="N1180" s="485"/>
      <c r="O1180" s="486"/>
    </row>
    <row r="1181" spans="1:24" s="487" customFormat="1" ht="18" customHeight="1">
      <c r="A1181" s="478"/>
      <c r="B1181" s="956" t="s">
        <v>711</v>
      </c>
      <c r="C1181" s="957">
        <v>1</v>
      </c>
      <c r="D1181" s="958" t="s">
        <v>87</v>
      </c>
      <c r="E1181" s="959">
        <v>1</v>
      </c>
      <c r="F1181" s="960">
        <v>6</v>
      </c>
      <c r="G1181" s="961">
        <v>2</v>
      </c>
      <c r="H1181" s="962">
        <v>9</v>
      </c>
      <c r="I1181" s="961">
        <v>0</v>
      </c>
      <c r="J1181" s="484"/>
      <c r="K1181" s="483"/>
      <c r="L1181" s="948"/>
      <c r="M1181" s="485"/>
      <c r="N1181" s="485"/>
      <c r="O1181" s="486"/>
      <c r="P1181" s="487">
        <f>17.5-11.33</f>
        <v>6.17</v>
      </c>
    </row>
    <row r="1182" spans="1:24" s="487" customFormat="1" ht="18" customHeight="1">
      <c r="A1182" s="478"/>
      <c r="B1182" s="336" t="s">
        <v>533</v>
      </c>
      <c r="C1182" s="969">
        <f>W1182</f>
        <v>15</v>
      </c>
      <c r="D1182" s="480" t="s">
        <v>87</v>
      </c>
      <c r="E1182" s="481">
        <f>C1181*E1181</f>
        <v>1</v>
      </c>
      <c r="F1182" s="482">
        <v>6</v>
      </c>
      <c r="G1182" s="483">
        <v>10</v>
      </c>
      <c r="H1182" s="484"/>
      <c r="I1182" s="483"/>
      <c r="J1182" s="484"/>
      <c r="K1182" s="483"/>
      <c r="L1182" s="948">
        <f>C1182*E1182*(F1182+G1182/12)</f>
        <v>102.5</v>
      </c>
      <c r="M1182" s="485"/>
      <c r="N1182" s="485"/>
      <c r="O1182" s="486"/>
      <c r="P1182" s="915">
        <f>F1181+G1181/12</f>
        <v>6.166666666666667</v>
      </c>
      <c r="Q1182" s="964">
        <f>4/12</f>
        <v>0.33333333333333331</v>
      </c>
      <c r="R1182" s="917">
        <f>E1181*C1181</f>
        <v>1</v>
      </c>
      <c r="S1182" s="916">
        <f>1.5/12</f>
        <v>0.125</v>
      </c>
      <c r="T1182" s="75" t="s">
        <v>428</v>
      </c>
      <c r="U1182" s="75">
        <v>10</v>
      </c>
      <c r="V1182" s="906">
        <f>8/12</f>
        <v>0.66666666666666663</v>
      </c>
      <c r="W1182" s="912">
        <f>ROUND(P1183/V1182,0)+1</f>
        <v>15</v>
      </c>
      <c r="X1182" s="907">
        <f>P1182+2*Q1182</f>
        <v>6.8333333333333339</v>
      </c>
    </row>
    <row r="1183" spans="1:24" s="487" customFormat="1" ht="18" customHeight="1">
      <c r="A1183" s="478"/>
      <c r="B1183" s="336" t="s">
        <v>709</v>
      </c>
      <c r="C1183" s="969">
        <f>W1183</f>
        <v>10</v>
      </c>
      <c r="D1183" s="480" t="s">
        <v>87</v>
      </c>
      <c r="E1183" s="481">
        <f>E1182</f>
        <v>1</v>
      </c>
      <c r="F1183" s="482">
        <v>9</v>
      </c>
      <c r="G1183" s="483">
        <v>8</v>
      </c>
      <c r="H1183" s="484"/>
      <c r="I1183" s="483"/>
      <c r="J1183" s="484"/>
      <c r="K1183" s="483"/>
      <c r="L1183" s="948">
        <f>C1183*E1183*(F1183+G1183/12)</f>
        <v>96.666666666666657</v>
      </c>
      <c r="M1183" s="485"/>
      <c r="N1183" s="485"/>
      <c r="O1183" s="486"/>
      <c r="P1183" s="915">
        <f>H1181+I1181/12</f>
        <v>9</v>
      </c>
      <c r="Q1183" s="916"/>
      <c r="R1183" s="917">
        <f>R1182</f>
        <v>1</v>
      </c>
      <c r="S1183" s="916">
        <f>1.5/12</f>
        <v>0.125</v>
      </c>
      <c r="T1183" s="75" t="s">
        <v>704</v>
      </c>
      <c r="U1183" s="75">
        <v>10</v>
      </c>
      <c r="V1183" s="906">
        <f>8/12</f>
        <v>0.66666666666666663</v>
      </c>
      <c r="W1183" s="912">
        <f>ROUND(P1182/V1183,0)+1</f>
        <v>10</v>
      </c>
      <c r="X1183" s="907">
        <f>P1183+2*Q1182</f>
        <v>9.6666666666666661</v>
      </c>
    </row>
    <row r="1184" spans="1:24" s="487" customFormat="1" ht="18" customHeight="1">
      <c r="A1184" s="478"/>
      <c r="B1184" s="336" t="s">
        <v>534</v>
      </c>
      <c r="C1184" s="969">
        <f>W1184</f>
        <v>15</v>
      </c>
      <c r="D1184" s="480" t="s">
        <v>87</v>
      </c>
      <c r="E1184" s="481">
        <f t="shared" ref="E1184:E1185" si="336">E1183</f>
        <v>1</v>
      </c>
      <c r="F1184" s="482">
        <f>F1182</f>
        <v>6</v>
      </c>
      <c r="G1184" s="483">
        <f>G1182</f>
        <v>10</v>
      </c>
      <c r="H1184" s="484"/>
      <c r="I1184" s="483"/>
      <c r="J1184" s="484"/>
      <c r="K1184" s="483"/>
      <c r="L1184" s="948">
        <f t="shared" ref="L1184:L1185" si="337">C1184*E1184*(F1184+G1184/12)</f>
        <v>102.5</v>
      </c>
      <c r="M1184" s="485"/>
      <c r="N1184" s="485"/>
      <c r="O1184" s="486"/>
      <c r="P1184" s="915"/>
      <c r="Q1184" s="964"/>
      <c r="R1184" s="917">
        <f t="shared" ref="R1184:R1185" si="338">R1183</f>
        <v>1</v>
      </c>
      <c r="S1184" s="916">
        <f>1.5/12</f>
        <v>0.125</v>
      </c>
      <c r="T1184" s="75" t="s">
        <v>429</v>
      </c>
      <c r="U1184" s="75">
        <v>10</v>
      </c>
      <c r="V1184" s="906">
        <f>8/12</f>
        <v>0.66666666666666663</v>
      </c>
      <c r="W1184" s="912">
        <f>ROUND(P1183/V1184,0)+1</f>
        <v>15</v>
      </c>
      <c r="X1184" s="907">
        <f>P1182+2*Q1182</f>
        <v>6.8333333333333339</v>
      </c>
    </row>
    <row r="1185" spans="1:24" s="487" customFormat="1" ht="18" customHeight="1">
      <c r="A1185" s="478"/>
      <c r="B1185" s="336" t="s">
        <v>710</v>
      </c>
      <c r="C1185" s="969">
        <f>W1185</f>
        <v>10</v>
      </c>
      <c r="D1185" s="480" t="s">
        <v>87</v>
      </c>
      <c r="E1185" s="481">
        <f t="shared" si="336"/>
        <v>1</v>
      </c>
      <c r="F1185" s="482">
        <f>F1183</f>
        <v>9</v>
      </c>
      <c r="G1185" s="483">
        <f>G1183</f>
        <v>8</v>
      </c>
      <c r="H1185" s="484"/>
      <c r="I1185" s="483"/>
      <c r="J1185" s="484"/>
      <c r="K1185" s="483"/>
      <c r="L1185" s="948">
        <f t="shared" si="337"/>
        <v>96.666666666666657</v>
      </c>
      <c r="M1185" s="485"/>
      <c r="N1185" s="485"/>
      <c r="O1185" s="486"/>
      <c r="P1185" s="915"/>
      <c r="Q1185" s="916"/>
      <c r="R1185" s="917">
        <f t="shared" si="338"/>
        <v>1</v>
      </c>
      <c r="S1185" s="916">
        <f>1.5/12</f>
        <v>0.125</v>
      </c>
      <c r="T1185" s="75" t="s">
        <v>705</v>
      </c>
      <c r="U1185" s="75">
        <v>10</v>
      </c>
      <c r="V1185" s="906">
        <f>8/12</f>
        <v>0.66666666666666663</v>
      </c>
      <c r="W1185" s="912">
        <f>ROUND(P1182/V1185,0)+1</f>
        <v>10</v>
      </c>
      <c r="X1185" s="907">
        <f>P1183+2*Q1182</f>
        <v>9.6666666666666661</v>
      </c>
    </row>
    <row r="1186" spans="1:24" s="487" customFormat="1" ht="18" customHeight="1">
      <c r="A1186" s="478"/>
      <c r="B1186" s="806" t="s">
        <v>575</v>
      </c>
      <c r="C1186" s="924"/>
      <c r="D1186" s="480"/>
      <c r="E1186" s="481"/>
      <c r="F1186" s="482"/>
      <c r="G1186" s="483"/>
      <c r="H1186" s="484"/>
      <c r="I1186" s="483"/>
      <c r="J1186" s="484"/>
      <c r="K1186" s="483"/>
      <c r="L1186" s="948"/>
      <c r="M1186" s="485"/>
      <c r="N1186" s="485"/>
      <c r="O1186" s="486"/>
    </row>
    <row r="1187" spans="1:24" s="487" customFormat="1" ht="18" customHeight="1">
      <c r="A1187" s="478"/>
      <c r="B1187" s="726" t="s">
        <v>356</v>
      </c>
      <c r="C1187" s="924"/>
      <c r="D1187" s="480"/>
      <c r="E1187" s="481"/>
      <c r="F1187" s="482"/>
      <c r="G1187" s="483"/>
      <c r="H1187" s="484"/>
      <c r="I1187" s="483"/>
      <c r="J1187" s="484"/>
      <c r="K1187" s="483"/>
      <c r="L1187" s="948"/>
      <c r="M1187" s="485"/>
      <c r="N1187" s="485"/>
      <c r="O1187" s="486"/>
    </row>
    <row r="1188" spans="1:24" s="487" customFormat="1" ht="18" customHeight="1">
      <c r="A1188" s="478"/>
      <c r="B1188" s="956" t="s">
        <v>357</v>
      </c>
      <c r="C1188" s="957">
        <f>C236</f>
        <v>1</v>
      </c>
      <c r="D1188" s="958" t="s">
        <v>87</v>
      </c>
      <c r="E1188" s="959">
        <f>E236</f>
        <v>2</v>
      </c>
      <c r="F1188" s="960">
        <v>6</v>
      </c>
      <c r="G1188" s="961">
        <f>G236</f>
        <v>4</v>
      </c>
      <c r="H1188" s="962">
        <v>15</v>
      </c>
      <c r="I1188" s="961">
        <v>7</v>
      </c>
      <c r="J1188" s="484"/>
      <c r="K1188" s="483"/>
      <c r="L1188" s="948"/>
      <c r="M1188" s="485"/>
      <c r="N1188" s="485"/>
      <c r="O1188" s="486"/>
    </row>
    <row r="1189" spans="1:24" s="487" customFormat="1" ht="18" customHeight="1">
      <c r="A1189" s="478"/>
      <c r="B1189" s="336" t="s">
        <v>528</v>
      </c>
      <c r="C1189" s="969">
        <f>W1189</f>
        <v>48</v>
      </c>
      <c r="D1189" s="480" t="s">
        <v>87</v>
      </c>
      <c r="E1189" s="481">
        <f>C1188*E1188</f>
        <v>2</v>
      </c>
      <c r="F1189" s="482">
        <v>7</v>
      </c>
      <c r="G1189" s="483">
        <v>0</v>
      </c>
      <c r="H1189" s="484"/>
      <c r="I1189" s="483"/>
      <c r="J1189" s="484"/>
      <c r="K1189" s="483"/>
      <c r="L1189" s="948">
        <f>C1189*E1189*(F1189+G1189/12)</f>
        <v>672</v>
      </c>
      <c r="M1189" s="485"/>
      <c r="N1189" s="485"/>
      <c r="O1189" s="486"/>
      <c r="P1189" s="915">
        <f>F1188+G1188/12</f>
        <v>6.333333333333333</v>
      </c>
      <c r="Q1189" s="964">
        <f>4/12</f>
        <v>0.33333333333333331</v>
      </c>
      <c r="R1189" s="917">
        <f>E1188*C1188</f>
        <v>2</v>
      </c>
      <c r="S1189" s="916">
        <f>1.5/12</f>
        <v>0.125</v>
      </c>
      <c r="T1189" s="75" t="s">
        <v>428</v>
      </c>
      <c r="U1189" s="75">
        <v>10</v>
      </c>
      <c r="V1189" s="906">
        <f>4/12</f>
        <v>0.33333333333333331</v>
      </c>
      <c r="W1189" s="912">
        <f>ROUND(P1190/V1189,0)+1</f>
        <v>48</v>
      </c>
      <c r="X1189" s="907">
        <f>P1189+2*Q1189</f>
        <v>7</v>
      </c>
    </row>
    <row r="1190" spans="1:24" s="487" customFormat="1" ht="18" customHeight="1">
      <c r="A1190" s="478"/>
      <c r="B1190" s="336" t="s">
        <v>529</v>
      </c>
      <c r="C1190" s="969">
        <f>W1190</f>
        <v>20</v>
      </c>
      <c r="D1190" s="480" t="s">
        <v>87</v>
      </c>
      <c r="E1190" s="481">
        <f>C1188*E1188</f>
        <v>2</v>
      </c>
      <c r="F1190" s="482">
        <v>16</v>
      </c>
      <c r="G1190" s="483">
        <v>3</v>
      </c>
      <c r="H1190" s="484"/>
      <c r="I1190" s="483"/>
      <c r="J1190" s="484"/>
      <c r="K1190" s="483"/>
      <c r="L1190" s="948">
        <f>C1190*E1190*(F1190+G1190/12)</f>
        <v>650</v>
      </c>
      <c r="M1190" s="485"/>
      <c r="N1190" s="485"/>
      <c r="O1190" s="486"/>
      <c r="P1190" s="915">
        <f>H1188+I1188/12</f>
        <v>15.583333333333334</v>
      </c>
      <c r="Q1190" s="916"/>
      <c r="R1190" s="917">
        <f>R1189</f>
        <v>2</v>
      </c>
      <c r="S1190" s="916">
        <f>1.5/12</f>
        <v>0.125</v>
      </c>
      <c r="T1190" s="75" t="s">
        <v>704</v>
      </c>
      <c r="U1190" s="75">
        <v>10</v>
      </c>
      <c r="V1190" s="906">
        <f>4/12</f>
        <v>0.33333333333333331</v>
      </c>
      <c r="W1190" s="912">
        <f>ROUND(P1189/V1190,0)+1</f>
        <v>20</v>
      </c>
      <c r="X1190" s="907">
        <f>P1190+2*Q1189</f>
        <v>16.25</v>
      </c>
    </row>
    <row r="1191" spans="1:24" s="487" customFormat="1" ht="18" customHeight="1">
      <c r="A1191" s="478"/>
      <c r="B1191" s="336" t="s">
        <v>526</v>
      </c>
      <c r="C1191" s="969">
        <f>W1191</f>
        <v>32</v>
      </c>
      <c r="D1191" s="480" t="s">
        <v>87</v>
      </c>
      <c r="E1191" s="481">
        <f>E1189</f>
        <v>2</v>
      </c>
      <c r="F1191" s="482">
        <f>F1189</f>
        <v>7</v>
      </c>
      <c r="G1191" s="483">
        <f>G1189</f>
        <v>0</v>
      </c>
      <c r="H1191" s="484"/>
      <c r="I1191" s="483"/>
      <c r="J1191" s="484"/>
      <c r="K1191" s="483"/>
      <c r="L1191" s="948">
        <f>C1191*E1191*(F1191+G1191/12)</f>
        <v>448</v>
      </c>
      <c r="M1191" s="485"/>
      <c r="N1191" s="485"/>
      <c r="O1191" s="486"/>
      <c r="P1191" s="915"/>
      <c r="Q1191" s="964"/>
      <c r="R1191" s="917">
        <f t="shared" ref="R1191:R1192" si="339">R1190</f>
        <v>2</v>
      </c>
      <c r="S1191" s="916">
        <f>1.5/12</f>
        <v>0.125</v>
      </c>
      <c r="T1191" s="75" t="s">
        <v>429</v>
      </c>
      <c r="U1191" s="75">
        <v>10</v>
      </c>
      <c r="V1191" s="906">
        <f>6/12</f>
        <v>0.5</v>
      </c>
      <c r="W1191" s="912">
        <f>ROUND(P1190/V1191,0)+1</f>
        <v>32</v>
      </c>
      <c r="X1191" s="907">
        <f>P1189+2*Q1189</f>
        <v>7</v>
      </c>
    </row>
    <row r="1192" spans="1:24" s="487" customFormat="1" ht="18" customHeight="1">
      <c r="A1192" s="478"/>
      <c r="B1192" s="336" t="s">
        <v>527</v>
      </c>
      <c r="C1192" s="969">
        <f>W1192</f>
        <v>14</v>
      </c>
      <c r="D1192" s="480" t="s">
        <v>87</v>
      </c>
      <c r="E1192" s="481">
        <f>E1191</f>
        <v>2</v>
      </c>
      <c r="F1192" s="482">
        <f>F1190</f>
        <v>16</v>
      </c>
      <c r="G1192" s="483">
        <f>G1190</f>
        <v>3</v>
      </c>
      <c r="H1192" s="484"/>
      <c r="I1192" s="483"/>
      <c r="J1192" s="484"/>
      <c r="K1192" s="483"/>
      <c r="L1192" s="948">
        <f>C1192*E1192*(F1192+G1192/12)</f>
        <v>455</v>
      </c>
      <c r="M1192" s="485"/>
      <c r="N1192" s="485"/>
      <c r="O1192" s="486"/>
      <c r="P1192" s="915"/>
      <c r="Q1192" s="916"/>
      <c r="R1192" s="917">
        <f t="shared" si="339"/>
        <v>2</v>
      </c>
      <c r="S1192" s="916">
        <f>1.5/12</f>
        <v>0.125</v>
      </c>
      <c r="T1192" s="75" t="s">
        <v>705</v>
      </c>
      <c r="U1192" s="75">
        <v>10</v>
      </c>
      <c r="V1192" s="906">
        <f t="shared" ref="V1192" si="340">6/12</f>
        <v>0.5</v>
      </c>
      <c r="W1192" s="912">
        <f>ROUND(P1189/V1192,0)+1</f>
        <v>14</v>
      </c>
      <c r="X1192" s="907">
        <f>P1190+2*Q1189</f>
        <v>16.25</v>
      </c>
    </row>
    <row r="1193" spans="1:24" s="487" customFormat="1" ht="18" customHeight="1">
      <c r="A1193" s="478"/>
      <c r="B1193" s="956" t="s">
        <v>358</v>
      </c>
      <c r="C1193" s="957">
        <f>C237</f>
        <v>1</v>
      </c>
      <c r="D1193" s="958" t="s">
        <v>87</v>
      </c>
      <c r="E1193" s="959">
        <f>E237</f>
        <v>1</v>
      </c>
      <c r="F1193" s="960">
        <v>5</v>
      </c>
      <c r="G1193" s="961">
        <v>4</v>
      </c>
      <c r="H1193" s="962">
        <v>15</v>
      </c>
      <c r="I1193" s="961">
        <v>7</v>
      </c>
      <c r="J1193" s="484"/>
      <c r="K1193" s="483"/>
      <c r="L1193" s="948"/>
      <c r="M1193" s="485"/>
      <c r="N1193" s="485"/>
      <c r="O1193" s="486"/>
    </row>
    <row r="1194" spans="1:24" s="487" customFormat="1" ht="18" customHeight="1">
      <c r="A1194" s="478"/>
      <c r="B1194" s="336" t="s">
        <v>528</v>
      </c>
      <c r="C1194" s="969">
        <f>W1194</f>
        <v>48</v>
      </c>
      <c r="D1194" s="480" t="s">
        <v>87</v>
      </c>
      <c r="E1194" s="481">
        <f>C1193*E1193</f>
        <v>1</v>
      </c>
      <c r="F1194" s="482">
        <v>6</v>
      </c>
      <c r="G1194" s="483">
        <v>0</v>
      </c>
      <c r="H1194" s="484"/>
      <c r="I1194" s="483"/>
      <c r="J1194" s="484"/>
      <c r="K1194" s="483"/>
      <c r="L1194" s="948">
        <f>C1194*E1194*(F1194+G1194/12)</f>
        <v>288</v>
      </c>
      <c r="M1194" s="485"/>
      <c r="N1194" s="485"/>
      <c r="O1194" s="486"/>
      <c r="P1194" s="915">
        <f>F1193+G1193/12</f>
        <v>5.333333333333333</v>
      </c>
      <c r="Q1194" s="964">
        <f>4/12</f>
        <v>0.33333333333333331</v>
      </c>
      <c r="R1194" s="917">
        <f>E1193*C1193</f>
        <v>1</v>
      </c>
      <c r="S1194" s="916">
        <f>1.5/12</f>
        <v>0.125</v>
      </c>
      <c r="T1194" s="75" t="s">
        <v>428</v>
      </c>
      <c r="U1194" s="75">
        <v>10</v>
      </c>
      <c r="V1194" s="906">
        <f>4/12</f>
        <v>0.33333333333333331</v>
      </c>
      <c r="W1194" s="912">
        <f>ROUND(P1195/V1194,0)+1</f>
        <v>48</v>
      </c>
      <c r="X1194" s="907">
        <f>P1194+2*Q1194</f>
        <v>6</v>
      </c>
    </row>
    <row r="1195" spans="1:24" s="487" customFormat="1" ht="18" customHeight="1">
      <c r="A1195" s="478"/>
      <c r="B1195" s="336" t="s">
        <v>529</v>
      </c>
      <c r="C1195" s="969">
        <f>W1195</f>
        <v>17</v>
      </c>
      <c r="D1195" s="480" t="s">
        <v>87</v>
      </c>
      <c r="E1195" s="481">
        <f>C1193*E1193</f>
        <v>1</v>
      </c>
      <c r="F1195" s="482">
        <v>16</v>
      </c>
      <c r="G1195" s="483">
        <v>3</v>
      </c>
      <c r="H1195" s="484"/>
      <c r="I1195" s="483"/>
      <c r="J1195" s="484"/>
      <c r="K1195" s="483"/>
      <c r="L1195" s="948">
        <f>C1195*E1195*(F1195+G1195/12)</f>
        <v>276.25</v>
      </c>
      <c r="M1195" s="485"/>
      <c r="N1195" s="485"/>
      <c r="O1195" s="486"/>
      <c r="P1195" s="915">
        <f>H1193+I1193/12</f>
        <v>15.583333333333334</v>
      </c>
      <c r="Q1195" s="916"/>
      <c r="R1195" s="917">
        <f>R1194</f>
        <v>1</v>
      </c>
      <c r="S1195" s="916">
        <f>1.5/12</f>
        <v>0.125</v>
      </c>
      <c r="T1195" s="75" t="s">
        <v>704</v>
      </c>
      <c r="U1195" s="75">
        <v>10</v>
      </c>
      <c r="V1195" s="906">
        <f>4/12</f>
        <v>0.33333333333333331</v>
      </c>
      <c r="W1195" s="912">
        <f>ROUND(P1194/V1195,0)+1</f>
        <v>17</v>
      </c>
      <c r="X1195" s="907">
        <f>P1195+2*Q1194</f>
        <v>16.25</v>
      </c>
    </row>
    <row r="1196" spans="1:24" s="487" customFormat="1" ht="18" customHeight="1">
      <c r="A1196" s="478"/>
      <c r="B1196" s="336" t="s">
        <v>526</v>
      </c>
      <c r="C1196" s="969">
        <f>W1196</f>
        <v>32</v>
      </c>
      <c r="D1196" s="480" t="s">
        <v>87</v>
      </c>
      <c r="E1196" s="481">
        <f>E1194</f>
        <v>1</v>
      </c>
      <c r="F1196" s="482">
        <f>F1194</f>
        <v>6</v>
      </c>
      <c r="G1196" s="483">
        <f>G1194</f>
        <v>0</v>
      </c>
      <c r="H1196" s="484"/>
      <c r="I1196" s="483"/>
      <c r="J1196" s="484"/>
      <c r="K1196" s="483"/>
      <c r="L1196" s="948">
        <f>C1196*E1196*(F1196+G1196/12)</f>
        <v>192</v>
      </c>
      <c r="M1196" s="485"/>
      <c r="N1196" s="485"/>
      <c r="O1196" s="486"/>
      <c r="P1196" s="915"/>
      <c r="Q1196" s="964"/>
      <c r="R1196" s="917">
        <f t="shared" ref="R1196:R1197" si="341">R1195</f>
        <v>1</v>
      </c>
      <c r="S1196" s="916">
        <f>1.5/12</f>
        <v>0.125</v>
      </c>
      <c r="T1196" s="75" t="s">
        <v>429</v>
      </c>
      <c r="U1196" s="75">
        <v>10</v>
      </c>
      <c r="V1196" s="906">
        <f>6/12</f>
        <v>0.5</v>
      </c>
      <c r="W1196" s="912">
        <f>ROUND(P1195/V1196,0)+1</f>
        <v>32</v>
      </c>
      <c r="X1196" s="907">
        <f>P1194+2*Q1194</f>
        <v>6</v>
      </c>
    </row>
    <row r="1197" spans="1:24" s="487" customFormat="1" ht="18" customHeight="1">
      <c r="A1197" s="478"/>
      <c r="B1197" s="336" t="s">
        <v>527</v>
      </c>
      <c r="C1197" s="969">
        <f>W1197</f>
        <v>12</v>
      </c>
      <c r="D1197" s="480" t="s">
        <v>87</v>
      </c>
      <c r="E1197" s="481">
        <f>E1196</f>
        <v>1</v>
      </c>
      <c r="F1197" s="482">
        <v>16</v>
      </c>
      <c r="G1197" s="483">
        <v>3</v>
      </c>
      <c r="H1197" s="484"/>
      <c r="I1197" s="483"/>
      <c r="J1197" s="484"/>
      <c r="K1197" s="483"/>
      <c r="L1197" s="948">
        <f>C1197*E1197*(F1197+G1197/12)</f>
        <v>195</v>
      </c>
      <c r="M1197" s="485"/>
      <c r="N1197" s="485"/>
      <c r="O1197" s="486"/>
      <c r="P1197" s="915"/>
      <c r="Q1197" s="916"/>
      <c r="R1197" s="917">
        <f t="shared" si="341"/>
        <v>1</v>
      </c>
      <c r="S1197" s="916">
        <f>1.5/12</f>
        <v>0.125</v>
      </c>
      <c r="T1197" s="75" t="s">
        <v>705</v>
      </c>
      <c r="U1197" s="75">
        <v>10</v>
      </c>
      <c r="V1197" s="906">
        <f t="shared" ref="V1197" si="342">6/12</f>
        <v>0.5</v>
      </c>
      <c r="W1197" s="912">
        <f>ROUND(P1194/V1197,0)+1</f>
        <v>12</v>
      </c>
      <c r="X1197" s="907">
        <f>P1195+2*Q1194</f>
        <v>16.25</v>
      </c>
    </row>
    <row r="1198" spans="1:24" s="487" customFormat="1" ht="18" customHeight="1">
      <c r="A1198" s="478"/>
      <c r="B1198" s="956" t="s">
        <v>359</v>
      </c>
      <c r="C1198" s="957">
        <f>C238</f>
        <v>1</v>
      </c>
      <c r="D1198" s="958" t="s">
        <v>87</v>
      </c>
      <c r="E1198" s="959">
        <f>E238</f>
        <v>1</v>
      </c>
      <c r="F1198" s="960">
        <v>9</v>
      </c>
      <c r="G1198" s="961">
        <f>G238</f>
        <v>5</v>
      </c>
      <c r="H1198" s="962">
        <v>15</v>
      </c>
      <c r="I1198" s="961">
        <v>7</v>
      </c>
      <c r="J1198" s="484"/>
      <c r="K1198" s="483"/>
      <c r="L1198" s="948"/>
      <c r="M1198" s="485"/>
      <c r="N1198" s="485"/>
      <c r="O1198" s="486"/>
    </row>
    <row r="1199" spans="1:24" s="487" customFormat="1" ht="18" customHeight="1">
      <c r="A1199" s="478"/>
      <c r="B1199" s="336" t="s">
        <v>528</v>
      </c>
      <c r="C1199" s="969">
        <f>W1199</f>
        <v>48</v>
      </c>
      <c r="D1199" s="480" t="s">
        <v>87</v>
      </c>
      <c r="E1199" s="481">
        <f>C1198*E1198</f>
        <v>1</v>
      </c>
      <c r="F1199" s="482">
        <v>10</v>
      </c>
      <c r="G1199" s="483">
        <v>1</v>
      </c>
      <c r="H1199" s="484"/>
      <c r="I1199" s="483"/>
      <c r="J1199" s="484"/>
      <c r="K1199" s="483"/>
      <c r="L1199" s="948">
        <f>C1199*E1199*(F1199+G1199/12)</f>
        <v>484</v>
      </c>
      <c r="M1199" s="485"/>
      <c r="N1199" s="485"/>
      <c r="O1199" s="486"/>
      <c r="P1199" s="915">
        <f>F1198+G1198/12</f>
        <v>9.4166666666666661</v>
      </c>
      <c r="Q1199" s="964">
        <f>4/12</f>
        <v>0.33333333333333331</v>
      </c>
      <c r="R1199" s="917">
        <f>E1198*C1198</f>
        <v>1</v>
      </c>
      <c r="S1199" s="916">
        <f>1.5/12</f>
        <v>0.125</v>
      </c>
      <c r="T1199" s="75" t="s">
        <v>428</v>
      </c>
      <c r="U1199" s="75">
        <v>10</v>
      </c>
      <c r="V1199" s="906">
        <f>4/12</f>
        <v>0.33333333333333331</v>
      </c>
      <c r="W1199" s="912">
        <f>ROUND(P1200/V1199,0)+1</f>
        <v>48</v>
      </c>
      <c r="X1199" s="907">
        <f>P1199+2*Q1199</f>
        <v>10.083333333333332</v>
      </c>
    </row>
    <row r="1200" spans="1:24" s="487" customFormat="1" ht="18" customHeight="1">
      <c r="A1200" s="478"/>
      <c r="B1200" s="336" t="s">
        <v>529</v>
      </c>
      <c r="C1200" s="969">
        <f>W1200</f>
        <v>29</v>
      </c>
      <c r="D1200" s="480" t="s">
        <v>87</v>
      </c>
      <c r="E1200" s="481">
        <f>C1198*E1198</f>
        <v>1</v>
      </c>
      <c r="F1200" s="482">
        <v>16</v>
      </c>
      <c r="G1200" s="483">
        <v>3</v>
      </c>
      <c r="H1200" s="484"/>
      <c r="I1200" s="483"/>
      <c r="J1200" s="484"/>
      <c r="K1200" s="483"/>
      <c r="L1200" s="948">
        <f>C1200*E1200*(F1200+G1200/12)</f>
        <v>471.25</v>
      </c>
      <c r="M1200" s="485"/>
      <c r="N1200" s="485"/>
      <c r="O1200" s="486"/>
      <c r="P1200" s="915">
        <f>H1198+I1198/12</f>
        <v>15.583333333333334</v>
      </c>
      <c r="Q1200" s="916"/>
      <c r="R1200" s="917">
        <f>R1199</f>
        <v>1</v>
      </c>
      <c r="S1200" s="916">
        <f>1.5/12</f>
        <v>0.125</v>
      </c>
      <c r="T1200" s="75" t="s">
        <v>704</v>
      </c>
      <c r="U1200" s="75">
        <v>10</v>
      </c>
      <c r="V1200" s="906">
        <f>4/12</f>
        <v>0.33333333333333331</v>
      </c>
      <c r="W1200" s="912">
        <f>ROUND(P1199/V1200,0)+1</f>
        <v>29</v>
      </c>
      <c r="X1200" s="907">
        <f>P1200+2*Q1199</f>
        <v>16.25</v>
      </c>
    </row>
    <row r="1201" spans="1:24" s="487" customFormat="1" ht="18" customHeight="1">
      <c r="A1201" s="478"/>
      <c r="B1201" s="336" t="s">
        <v>526</v>
      </c>
      <c r="C1201" s="969">
        <f>W1201</f>
        <v>32</v>
      </c>
      <c r="D1201" s="480" t="s">
        <v>87</v>
      </c>
      <c r="E1201" s="481">
        <f>E1199</f>
        <v>1</v>
      </c>
      <c r="F1201" s="482">
        <f>F1199</f>
        <v>10</v>
      </c>
      <c r="G1201" s="483">
        <f>G1199</f>
        <v>1</v>
      </c>
      <c r="H1201" s="484"/>
      <c r="I1201" s="483"/>
      <c r="J1201" s="484"/>
      <c r="K1201" s="483"/>
      <c r="L1201" s="948">
        <f>C1201*E1201*(F1201+G1201/12)</f>
        <v>322.66666666666669</v>
      </c>
      <c r="M1201" s="485"/>
      <c r="N1201" s="485"/>
      <c r="O1201" s="486"/>
      <c r="P1201" s="915"/>
      <c r="Q1201" s="964"/>
      <c r="R1201" s="917">
        <f t="shared" ref="R1201:R1202" si="343">R1200</f>
        <v>1</v>
      </c>
      <c r="S1201" s="916">
        <f>1.5/12</f>
        <v>0.125</v>
      </c>
      <c r="T1201" s="75" t="s">
        <v>429</v>
      </c>
      <c r="U1201" s="75">
        <v>10</v>
      </c>
      <c r="V1201" s="906">
        <f>6/12</f>
        <v>0.5</v>
      </c>
      <c r="W1201" s="912">
        <f>ROUND(P1200/V1201,0)+1</f>
        <v>32</v>
      </c>
      <c r="X1201" s="907">
        <f>P1199+2*Q1199</f>
        <v>10.083333333333332</v>
      </c>
    </row>
    <row r="1202" spans="1:24" s="487" customFormat="1" ht="18" customHeight="1">
      <c r="A1202" s="478"/>
      <c r="B1202" s="336" t="s">
        <v>527</v>
      </c>
      <c r="C1202" s="969">
        <f>W1202</f>
        <v>20</v>
      </c>
      <c r="D1202" s="480" t="s">
        <v>87</v>
      </c>
      <c r="E1202" s="481">
        <f>E1201</f>
        <v>1</v>
      </c>
      <c r="F1202" s="482">
        <v>16</v>
      </c>
      <c r="G1202" s="483">
        <f>G1200</f>
        <v>3</v>
      </c>
      <c r="H1202" s="484"/>
      <c r="I1202" s="483"/>
      <c r="J1202" s="484"/>
      <c r="K1202" s="483"/>
      <c r="L1202" s="948">
        <f>C1202*E1202*(F1202+G1202/12)</f>
        <v>325</v>
      </c>
      <c r="M1202" s="485"/>
      <c r="N1202" s="485"/>
      <c r="O1202" s="486"/>
      <c r="P1202" s="915"/>
      <c r="Q1202" s="916"/>
      <c r="R1202" s="917">
        <f t="shared" si="343"/>
        <v>1</v>
      </c>
      <c r="S1202" s="916">
        <f>1.5/12</f>
        <v>0.125</v>
      </c>
      <c r="T1202" s="75" t="s">
        <v>705</v>
      </c>
      <c r="U1202" s="75">
        <v>10</v>
      </c>
      <c r="V1202" s="906">
        <f t="shared" ref="V1202" si="344">6/12</f>
        <v>0.5</v>
      </c>
      <c r="W1202" s="912">
        <f>ROUND(P1199/V1202,0)+1</f>
        <v>20</v>
      </c>
      <c r="X1202" s="907">
        <f>P1200+2*Q1199</f>
        <v>16.25</v>
      </c>
    </row>
    <row r="1203" spans="1:24" s="487" customFormat="1" ht="18" customHeight="1">
      <c r="A1203" s="478"/>
      <c r="B1203" s="956" t="s">
        <v>360</v>
      </c>
      <c r="C1203" s="957">
        <f>C239</f>
        <v>1</v>
      </c>
      <c r="D1203" s="958" t="s">
        <v>87</v>
      </c>
      <c r="E1203" s="959">
        <f>E239</f>
        <v>1</v>
      </c>
      <c r="F1203" s="960">
        <v>16</v>
      </c>
      <c r="G1203" s="961">
        <v>0</v>
      </c>
      <c r="H1203" s="962">
        <f>H239</f>
        <v>9</v>
      </c>
      <c r="I1203" s="961">
        <f>I239</f>
        <v>0</v>
      </c>
      <c r="J1203" s="484"/>
      <c r="K1203" s="483"/>
      <c r="L1203" s="948"/>
      <c r="M1203" s="485"/>
      <c r="N1203" s="485"/>
      <c r="O1203" s="486"/>
    </row>
    <row r="1204" spans="1:24" s="487" customFormat="1" ht="18" customHeight="1">
      <c r="A1204" s="478"/>
      <c r="B1204" s="336" t="s">
        <v>528</v>
      </c>
      <c r="C1204" s="969">
        <f>W1204</f>
        <v>28</v>
      </c>
      <c r="D1204" s="480" t="s">
        <v>87</v>
      </c>
      <c r="E1204" s="481">
        <f>C1203*E1203</f>
        <v>1</v>
      </c>
      <c r="F1204" s="482">
        <v>16</v>
      </c>
      <c r="G1204" s="483">
        <v>8</v>
      </c>
      <c r="H1204" s="484"/>
      <c r="I1204" s="483"/>
      <c r="J1204" s="484"/>
      <c r="K1204" s="483"/>
      <c r="L1204" s="948">
        <f>C1204*E1204*(F1204+G1204/12)</f>
        <v>466.66666666666669</v>
      </c>
      <c r="M1204" s="485"/>
      <c r="N1204" s="485"/>
      <c r="O1204" s="486"/>
      <c r="P1204" s="915">
        <f>F1203+G1203/12</f>
        <v>16</v>
      </c>
      <c r="Q1204" s="964">
        <f>4/12</f>
        <v>0.33333333333333331</v>
      </c>
      <c r="R1204" s="917">
        <f>E1203*C1203</f>
        <v>1</v>
      </c>
      <c r="S1204" s="916">
        <f>1.5/12</f>
        <v>0.125</v>
      </c>
      <c r="T1204" s="75" t="s">
        <v>428</v>
      </c>
      <c r="U1204" s="75">
        <v>10</v>
      </c>
      <c r="V1204" s="906">
        <f>4/12</f>
        <v>0.33333333333333331</v>
      </c>
      <c r="W1204" s="912">
        <f>ROUND(P1205/V1204,0)+1</f>
        <v>28</v>
      </c>
      <c r="X1204" s="907">
        <f>P1204+2*Q1204</f>
        <v>16.666666666666668</v>
      </c>
    </row>
    <row r="1205" spans="1:24" s="487" customFormat="1" ht="18" customHeight="1">
      <c r="A1205" s="478"/>
      <c r="B1205" s="336" t="s">
        <v>529</v>
      </c>
      <c r="C1205" s="969">
        <f>W1205</f>
        <v>49</v>
      </c>
      <c r="D1205" s="480" t="s">
        <v>87</v>
      </c>
      <c r="E1205" s="481">
        <f>C1203*E1203</f>
        <v>1</v>
      </c>
      <c r="F1205" s="482">
        <v>9</v>
      </c>
      <c r="G1205" s="483">
        <v>8</v>
      </c>
      <c r="H1205" s="484"/>
      <c r="I1205" s="483"/>
      <c r="J1205" s="484"/>
      <c r="K1205" s="483"/>
      <c r="L1205" s="948">
        <f>C1205*E1205*(F1205+G1205/12)</f>
        <v>473.66666666666663</v>
      </c>
      <c r="M1205" s="485"/>
      <c r="N1205" s="485"/>
      <c r="O1205" s="486"/>
      <c r="P1205" s="915">
        <f>H1203+I1203/12</f>
        <v>9</v>
      </c>
      <c r="Q1205" s="916"/>
      <c r="R1205" s="917">
        <f>R1204</f>
        <v>1</v>
      </c>
      <c r="S1205" s="916">
        <f>1.5/12</f>
        <v>0.125</v>
      </c>
      <c r="T1205" s="75" t="s">
        <v>704</v>
      </c>
      <c r="U1205" s="75">
        <v>10</v>
      </c>
      <c r="V1205" s="906">
        <f>4/12</f>
        <v>0.33333333333333331</v>
      </c>
      <c r="W1205" s="912">
        <f>ROUND(P1204/V1205,0)+1</f>
        <v>49</v>
      </c>
      <c r="X1205" s="907">
        <f>P1205+2*Q1204</f>
        <v>9.6666666666666661</v>
      </c>
    </row>
    <row r="1206" spans="1:24" s="487" customFormat="1" ht="18" customHeight="1">
      <c r="A1206" s="478"/>
      <c r="B1206" s="336" t="s">
        <v>526</v>
      </c>
      <c r="C1206" s="969">
        <f>W1206</f>
        <v>19</v>
      </c>
      <c r="D1206" s="480" t="s">
        <v>87</v>
      </c>
      <c r="E1206" s="481">
        <f>E1204</f>
        <v>1</v>
      </c>
      <c r="F1206" s="482">
        <f>F1204</f>
        <v>16</v>
      </c>
      <c r="G1206" s="483">
        <f>G1204</f>
        <v>8</v>
      </c>
      <c r="H1206" s="484"/>
      <c r="I1206" s="483"/>
      <c r="J1206" s="484"/>
      <c r="K1206" s="483"/>
      <c r="L1206" s="948">
        <f>C1206*E1206*(F1206+G1206/12)</f>
        <v>316.66666666666669</v>
      </c>
      <c r="M1206" s="485"/>
      <c r="N1206" s="485"/>
      <c r="O1206" s="486"/>
      <c r="P1206" s="915"/>
      <c r="Q1206" s="964"/>
      <c r="R1206" s="917">
        <f t="shared" ref="R1206:R1207" si="345">R1205</f>
        <v>1</v>
      </c>
      <c r="S1206" s="916">
        <f>1.5/12</f>
        <v>0.125</v>
      </c>
      <c r="T1206" s="75" t="s">
        <v>429</v>
      </c>
      <c r="U1206" s="75">
        <v>10</v>
      </c>
      <c r="V1206" s="906">
        <f>6/12</f>
        <v>0.5</v>
      </c>
      <c r="W1206" s="912">
        <f>ROUND(P1205/V1206,0)+1</f>
        <v>19</v>
      </c>
      <c r="X1206" s="907">
        <f>P1204+2*Q1204</f>
        <v>16.666666666666668</v>
      </c>
    </row>
    <row r="1207" spans="1:24" s="487" customFormat="1" ht="18" customHeight="1">
      <c r="A1207" s="478"/>
      <c r="B1207" s="336" t="s">
        <v>527</v>
      </c>
      <c r="C1207" s="969">
        <f>W1207</f>
        <v>33</v>
      </c>
      <c r="D1207" s="480" t="s">
        <v>87</v>
      </c>
      <c r="E1207" s="481">
        <f>E1206</f>
        <v>1</v>
      </c>
      <c r="F1207" s="482">
        <f>F1205</f>
        <v>9</v>
      </c>
      <c r="G1207" s="483">
        <f>G1205</f>
        <v>8</v>
      </c>
      <c r="H1207" s="484"/>
      <c r="I1207" s="483"/>
      <c r="J1207" s="484"/>
      <c r="K1207" s="483"/>
      <c r="L1207" s="948">
        <f>C1207*E1207*(F1207+G1207/12)</f>
        <v>319</v>
      </c>
      <c r="M1207" s="485"/>
      <c r="N1207" s="485"/>
      <c r="O1207" s="486"/>
      <c r="P1207" s="915"/>
      <c r="Q1207" s="916"/>
      <c r="R1207" s="917">
        <f t="shared" si="345"/>
        <v>1</v>
      </c>
      <c r="S1207" s="916">
        <f>1.5/12</f>
        <v>0.125</v>
      </c>
      <c r="T1207" s="75" t="s">
        <v>705</v>
      </c>
      <c r="U1207" s="75">
        <v>10</v>
      </c>
      <c r="V1207" s="906">
        <f t="shared" ref="V1207" si="346">6/12</f>
        <v>0.5</v>
      </c>
      <c r="W1207" s="912">
        <f>ROUND(P1204/V1207,0)+1</f>
        <v>33</v>
      </c>
      <c r="X1207" s="907">
        <f>P1205+2*Q1204</f>
        <v>9.6666666666666661</v>
      </c>
    </row>
    <row r="1208" spans="1:24" s="487" customFormat="1" ht="18" customHeight="1">
      <c r="A1208" s="478"/>
      <c r="B1208" s="956" t="s">
        <v>361</v>
      </c>
      <c r="C1208" s="957">
        <f>C240</f>
        <v>1</v>
      </c>
      <c r="D1208" s="958" t="s">
        <v>87</v>
      </c>
      <c r="E1208" s="959">
        <f>E240</f>
        <v>1</v>
      </c>
      <c r="F1208" s="960">
        <v>17</v>
      </c>
      <c r="G1208" s="961">
        <v>6</v>
      </c>
      <c r="H1208" s="962">
        <v>11</v>
      </c>
      <c r="I1208" s="961">
        <v>11</v>
      </c>
      <c r="J1208" s="484"/>
      <c r="K1208" s="483"/>
      <c r="L1208" s="948"/>
      <c r="M1208" s="485"/>
      <c r="N1208" s="485"/>
      <c r="O1208" s="486"/>
    </row>
    <row r="1209" spans="1:24" s="487" customFormat="1" ht="18" customHeight="1">
      <c r="A1209" s="478"/>
      <c r="B1209" s="336" t="s">
        <v>528</v>
      </c>
      <c r="C1209" s="969">
        <f>W1209</f>
        <v>37</v>
      </c>
      <c r="D1209" s="480" t="s">
        <v>87</v>
      </c>
      <c r="E1209" s="481">
        <f>C1208*E1208</f>
        <v>1</v>
      </c>
      <c r="F1209" s="482">
        <v>18</v>
      </c>
      <c r="G1209" s="483">
        <v>2</v>
      </c>
      <c r="H1209" s="484"/>
      <c r="I1209" s="483"/>
      <c r="J1209" s="484"/>
      <c r="K1209" s="483"/>
      <c r="L1209" s="948">
        <f>C1209*E1209*(F1209+G1209/12)</f>
        <v>672.16666666666674</v>
      </c>
      <c r="M1209" s="485"/>
      <c r="N1209" s="485"/>
      <c r="O1209" s="486"/>
      <c r="P1209" s="915">
        <f>F1208+G1208/12</f>
        <v>17.5</v>
      </c>
      <c r="Q1209" s="964">
        <f>4/12</f>
        <v>0.33333333333333331</v>
      </c>
      <c r="R1209" s="917">
        <f>E1208*C1208</f>
        <v>1</v>
      </c>
      <c r="S1209" s="916">
        <f>1.5/12</f>
        <v>0.125</v>
      </c>
      <c r="T1209" s="75" t="s">
        <v>428</v>
      </c>
      <c r="U1209" s="75">
        <v>10</v>
      </c>
      <c r="V1209" s="906">
        <f>4/12</f>
        <v>0.33333333333333331</v>
      </c>
      <c r="W1209" s="912">
        <f>ROUND(P1210/V1209,0)+1</f>
        <v>37</v>
      </c>
      <c r="X1209" s="907">
        <f>P1209+2*Q1209</f>
        <v>18.166666666666668</v>
      </c>
    </row>
    <row r="1210" spans="1:24" s="487" customFormat="1" ht="18" customHeight="1">
      <c r="A1210" s="478"/>
      <c r="B1210" s="336" t="s">
        <v>529</v>
      </c>
      <c r="C1210" s="969">
        <f>W1210</f>
        <v>54</v>
      </c>
      <c r="D1210" s="480" t="s">
        <v>87</v>
      </c>
      <c r="E1210" s="481">
        <f>C1208*E1208</f>
        <v>1</v>
      </c>
      <c r="F1210" s="482">
        <v>12</v>
      </c>
      <c r="G1210" s="483">
        <v>7</v>
      </c>
      <c r="H1210" s="484"/>
      <c r="I1210" s="483"/>
      <c r="J1210" s="484"/>
      <c r="K1210" s="483"/>
      <c r="L1210" s="948">
        <f>C1210*E1210*(F1210+G1210/12)</f>
        <v>679.5</v>
      </c>
      <c r="M1210" s="485"/>
      <c r="N1210" s="485"/>
      <c r="O1210" s="486"/>
      <c r="P1210" s="915">
        <f>H1208+I1208/12</f>
        <v>11.916666666666666</v>
      </c>
      <c r="Q1210" s="916"/>
      <c r="R1210" s="917">
        <f>R1209</f>
        <v>1</v>
      </c>
      <c r="S1210" s="916">
        <f>1.5/12</f>
        <v>0.125</v>
      </c>
      <c r="T1210" s="75" t="s">
        <v>704</v>
      </c>
      <c r="U1210" s="75">
        <v>10</v>
      </c>
      <c r="V1210" s="906">
        <f>4/12</f>
        <v>0.33333333333333331</v>
      </c>
      <c r="W1210" s="912">
        <f>ROUND(P1209/V1210,0)+1</f>
        <v>54</v>
      </c>
      <c r="X1210" s="907">
        <f>P1210+2*Q1209</f>
        <v>12.583333333333332</v>
      </c>
    </row>
    <row r="1211" spans="1:24" s="487" customFormat="1" ht="18" customHeight="1">
      <c r="A1211" s="478"/>
      <c r="B1211" s="336" t="s">
        <v>526</v>
      </c>
      <c r="C1211" s="969">
        <f>W1211</f>
        <v>25</v>
      </c>
      <c r="D1211" s="480" t="s">
        <v>87</v>
      </c>
      <c r="E1211" s="481">
        <f>E1209</f>
        <v>1</v>
      </c>
      <c r="F1211" s="482">
        <f>F1209</f>
        <v>18</v>
      </c>
      <c r="G1211" s="483">
        <f>G1209</f>
        <v>2</v>
      </c>
      <c r="H1211" s="484"/>
      <c r="I1211" s="483"/>
      <c r="J1211" s="484"/>
      <c r="K1211" s="483"/>
      <c r="L1211" s="948">
        <f>C1211*E1211*(F1211+G1211/12)</f>
        <v>454.16666666666669</v>
      </c>
      <c r="M1211" s="485"/>
      <c r="N1211" s="485"/>
      <c r="O1211" s="486"/>
      <c r="P1211" s="915"/>
      <c r="Q1211" s="964"/>
      <c r="R1211" s="917">
        <f t="shared" ref="R1211:R1212" si="347">R1210</f>
        <v>1</v>
      </c>
      <c r="S1211" s="916">
        <f>1.5/12</f>
        <v>0.125</v>
      </c>
      <c r="T1211" s="75" t="s">
        <v>429</v>
      </c>
      <c r="U1211" s="75">
        <v>10</v>
      </c>
      <c r="V1211" s="906">
        <f>6/12</f>
        <v>0.5</v>
      </c>
      <c r="W1211" s="912">
        <f>ROUND(P1210/V1211,0)+1</f>
        <v>25</v>
      </c>
      <c r="X1211" s="907">
        <f>P1209+2*Q1209</f>
        <v>18.166666666666668</v>
      </c>
    </row>
    <row r="1212" spans="1:24" s="487" customFormat="1" ht="18" customHeight="1">
      <c r="A1212" s="478"/>
      <c r="B1212" s="336" t="s">
        <v>527</v>
      </c>
      <c r="C1212" s="969">
        <f>W1212</f>
        <v>36</v>
      </c>
      <c r="D1212" s="480" t="s">
        <v>87</v>
      </c>
      <c r="E1212" s="481">
        <f>E1211</f>
        <v>1</v>
      </c>
      <c r="F1212" s="482">
        <f>F1210</f>
        <v>12</v>
      </c>
      <c r="G1212" s="483">
        <f>G1210</f>
        <v>7</v>
      </c>
      <c r="H1212" s="484"/>
      <c r="I1212" s="483"/>
      <c r="J1212" s="484"/>
      <c r="K1212" s="483"/>
      <c r="L1212" s="948">
        <f>C1212*E1212*(F1212+G1212/12)</f>
        <v>453</v>
      </c>
      <c r="M1212" s="485"/>
      <c r="N1212" s="485"/>
      <c r="O1212" s="486"/>
      <c r="P1212" s="915"/>
      <c r="Q1212" s="916"/>
      <c r="R1212" s="917">
        <f t="shared" si="347"/>
        <v>1</v>
      </c>
      <c r="S1212" s="916">
        <f>1.5/12</f>
        <v>0.125</v>
      </c>
      <c r="T1212" s="75" t="s">
        <v>705</v>
      </c>
      <c r="U1212" s="75">
        <v>10</v>
      </c>
      <c r="V1212" s="906">
        <f t="shared" ref="V1212" si="348">6/12</f>
        <v>0.5</v>
      </c>
      <c r="W1212" s="912">
        <f>ROUND(P1209/V1212,0)+1</f>
        <v>36</v>
      </c>
      <c r="X1212" s="907">
        <f>P1210+2*Q1209</f>
        <v>12.583333333333332</v>
      </c>
    </row>
    <row r="1213" spans="1:24" s="487" customFormat="1" ht="18" customHeight="1">
      <c r="A1213" s="478"/>
      <c r="B1213" s="956" t="s">
        <v>362</v>
      </c>
      <c r="C1213" s="957">
        <f>C241</f>
        <v>1</v>
      </c>
      <c r="D1213" s="958" t="s">
        <v>87</v>
      </c>
      <c r="E1213" s="959">
        <f>E241</f>
        <v>1</v>
      </c>
      <c r="F1213" s="960">
        <v>16</v>
      </c>
      <c r="G1213" s="961">
        <v>0</v>
      </c>
      <c r="H1213" s="962">
        <v>11</v>
      </c>
      <c r="I1213" s="961">
        <v>11</v>
      </c>
      <c r="J1213" s="484"/>
      <c r="K1213" s="483"/>
      <c r="L1213" s="948"/>
      <c r="M1213" s="485"/>
      <c r="N1213" s="485"/>
      <c r="O1213" s="486"/>
    </row>
    <row r="1214" spans="1:24" s="487" customFormat="1" ht="18" customHeight="1">
      <c r="A1214" s="478"/>
      <c r="B1214" s="336" t="s">
        <v>528</v>
      </c>
      <c r="C1214" s="969">
        <f>W1214</f>
        <v>37</v>
      </c>
      <c r="D1214" s="480" t="s">
        <v>87</v>
      </c>
      <c r="E1214" s="481">
        <f>C1213*E1213</f>
        <v>1</v>
      </c>
      <c r="F1214" s="482">
        <v>16</v>
      </c>
      <c r="G1214" s="483">
        <v>8</v>
      </c>
      <c r="H1214" s="484"/>
      <c r="I1214" s="483"/>
      <c r="J1214" s="484"/>
      <c r="K1214" s="483"/>
      <c r="L1214" s="948">
        <f>C1214*E1214*(F1214+G1214/12)</f>
        <v>616.66666666666674</v>
      </c>
      <c r="M1214" s="485"/>
      <c r="N1214" s="485"/>
      <c r="O1214" s="486"/>
      <c r="P1214" s="915">
        <f>F1213+G1213/12</f>
        <v>16</v>
      </c>
      <c r="Q1214" s="964">
        <f>4/12</f>
        <v>0.33333333333333331</v>
      </c>
      <c r="R1214" s="917">
        <f>E1213*C1213</f>
        <v>1</v>
      </c>
      <c r="S1214" s="916">
        <f>1.5/12</f>
        <v>0.125</v>
      </c>
      <c r="T1214" s="75" t="s">
        <v>428</v>
      </c>
      <c r="U1214" s="75">
        <v>10</v>
      </c>
      <c r="V1214" s="906">
        <f>4/12</f>
        <v>0.33333333333333331</v>
      </c>
      <c r="W1214" s="912">
        <f>ROUND(P1215/V1214,0)+1</f>
        <v>37</v>
      </c>
      <c r="X1214" s="907">
        <f>P1214+2*Q1214</f>
        <v>16.666666666666668</v>
      </c>
    </row>
    <row r="1215" spans="1:24" s="487" customFormat="1" ht="18" customHeight="1">
      <c r="A1215" s="478"/>
      <c r="B1215" s="336" t="s">
        <v>529</v>
      </c>
      <c r="C1215" s="969">
        <f>W1215</f>
        <v>49</v>
      </c>
      <c r="D1215" s="480" t="s">
        <v>87</v>
      </c>
      <c r="E1215" s="481">
        <f>C1213*E1213</f>
        <v>1</v>
      </c>
      <c r="F1215" s="482">
        <v>12</v>
      </c>
      <c r="G1215" s="483">
        <v>7</v>
      </c>
      <c r="H1215" s="484"/>
      <c r="I1215" s="483"/>
      <c r="J1215" s="484"/>
      <c r="K1215" s="483"/>
      <c r="L1215" s="948">
        <f>C1215*E1215*(F1215+G1215/12)</f>
        <v>616.58333333333337</v>
      </c>
      <c r="M1215" s="485"/>
      <c r="N1215" s="485"/>
      <c r="O1215" s="486"/>
      <c r="P1215" s="915">
        <f>H1213+I1213/12</f>
        <v>11.916666666666666</v>
      </c>
      <c r="Q1215" s="916"/>
      <c r="R1215" s="917">
        <f>R1214</f>
        <v>1</v>
      </c>
      <c r="S1215" s="916">
        <f>1.5/12</f>
        <v>0.125</v>
      </c>
      <c r="T1215" s="75" t="s">
        <v>704</v>
      </c>
      <c r="U1215" s="75">
        <v>10</v>
      </c>
      <c r="V1215" s="906">
        <f>4/12</f>
        <v>0.33333333333333331</v>
      </c>
      <c r="W1215" s="912">
        <f>ROUND(P1214/V1215,0)+1</f>
        <v>49</v>
      </c>
      <c r="X1215" s="907">
        <f>P1215+2*Q1214</f>
        <v>12.583333333333332</v>
      </c>
    </row>
    <row r="1216" spans="1:24" s="487" customFormat="1" ht="18" customHeight="1">
      <c r="A1216" s="478"/>
      <c r="B1216" s="336" t="s">
        <v>526</v>
      </c>
      <c r="C1216" s="969">
        <f>W1216</f>
        <v>25</v>
      </c>
      <c r="D1216" s="480" t="s">
        <v>87</v>
      </c>
      <c r="E1216" s="481">
        <f>E1214</f>
        <v>1</v>
      </c>
      <c r="F1216" s="482">
        <f>F1214</f>
        <v>16</v>
      </c>
      <c r="G1216" s="483">
        <f>G1214</f>
        <v>8</v>
      </c>
      <c r="H1216" s="484"/>
      <c r="I1216" s="483"/>
      <c r="J1216" s="484"/>
      <c r="K1216" s="483"/>
      <c r="L1216" s="948">
        <f>C1216*E1216*(F1216+G1216/12)</f>
        <v>416.66666666666669</v>
      </c>
      <c r="M1216" s="485"/>
      <c r="N1216" s="485"/>
      <c r="O1216" s="486"/>
      <c r="P1216" s="915"/>
      <c r="Q1216" s="964"/>
      <c r="R1216" s="917">
        <f t="shared" ref="R1216:R1217" si="349">R1215</f>
        <v>1</v>
      </c>
      <c r="S1216" s="916">
        <f>1.5/12</f>
        <v>0.125</v>
      </c>
      <c r="T1216" s="75" t="s">
        <v>429</v>
      </c>
      <c r="U1216" s="75">
        <v>10</v>
      </c>
      <c r="V1216" s="906">
        <f>6/12</f>
        <v>0.5</v>
      </c>
      <c r="W1216" s="912">
        <f>ROUND(P1215/V1216,0)+1</f>
        <v>25</v>
      </c>
      <c r="X1216" s="907">
        <f>P1214+2*Q1214</f>
        <v>16.666666666666668</v>
      </c>
    </row>
    <row r="1217" spans="1:24" s="487" customFormat="1" ht="18" customHeight="1">
      <c r="A1217" s="478"/>
      <c r="B1217" s="336" t="s">
        <v>527</v>
      </c>
      <c r="C1217" s="969">
        <f>W1217</f>
        <v>33</v>
      </c>
      <c r="D1217" s="480" t="s">
        <v>87</v>
      </c>
      <c r="E1217" s="481">
        <f>E1216</f>
        <v>1</v>
      </c>
      <c r="F1217" s="482">
        <f>F1215</f>
        <v>12</v>
      </c>
      <c r="G1217" s="483">
        <f>G1215</f>
        <v>7</v>
      </c>
      <c r="H1217" s="484"/>
      <c r="I1217" s="483"/>
      <c r="J1217" s="484"/>
      <c r="K1217" s="483"/>
      <c r="L1217" s="948">
        <f>C1217*E1217*(F1217+G1217/12)</f>
        <v>415.25</v>
      </c>
      <c r="M1217" s="485"/>
      <c r="N1217" s="485"/>
      <c r="O1217" s="486"/>
      <c r="P1217" s="915"/>
      <c r="Q1217" s="916"/>
      <c r="R1217" s="917">
        <f t="shared" si="349"/>
        <v>1</v>
      </c>
      <c r="S1217" s="916">
        <f>1.5/12</f>
        <v>0.125</v>
      </c>
      <c r="T1217" s="75" t="s">
        <v>705</v>
      </c>
      <c r="U1217" s="75">
        <v>10</v>
      </c>
      <c r="V1217" s="906">
        <f t="shared" ref="V1217" si="350">6/12</f>
        <v>0.5</v>
      </c>
      <c r="W1217" s="912">
        <f>ROUND(P1214/V1217,0)+1</f>
        <v>33</v>
      </c>
      <c r="X1217" s="907">
        <f>P1215+2*Q1214</f>
        <v>12.583333333333332</v>
      </c>
    </row>
    <row r="1218" spans="1:24" s="487" customFormat="1" ht="18" customHeight="1">
      <c r="A1218" s="478"/>
      <c r="B1218" s="726" t="s">
        <v>363</v>
      </c>
      <c r="C1218" s="479"/>
      <c r="D1218" s="480"/>
      <c r="E1218" s="481"/>
      <c r="F1218" s="482"/>
      <c r="G1218" s="483"/>
      <c r="H1218" s="484"/>
      <c r="I1218" s="483"/>
      <c r="J1218" s="484"/>
      <c r="K1218" s="483"/>
      <c r="L1218" s="948"/>
      <c r="M1218" s="485"/>
      <c r="N1218" s="485"/>
      <c r="O1218" s="486"/>
    </row>
    <row r="1219" spans="1:24" s="487" customFormat="1" ht="18" customHeight="1">
      <c r="A1219" s="478"/>
      <c r="B1219" s="956" t="s">
        <v>364</v>
      </c>
      <c r="C1219" s="957">
        <f>C244</f>
        <v>1</v>
      </c>
      <c r="D1219" s="958" t="s">
        <v>87</v>
      </c>
      <c r="E1219" s="959">
        <f>E244</f>
        <v>1</v>
      </c>
      <c r="F1219" s="960">
        <v>5</v>
      </c>
      <c r="G1219" s="961">
        <v>10</v>
      </c>
      <c r="H1219" s="962">
        <v>15</v>
      </c>
      <c r="I1219" s="961">
        <v>7</v>
      </c>
      <c r="J1219" s="484"/>
      <c r="K1219" s="483"/>
      <c r="L1219" s="948"/>
      <c r="M1219" s="485"/>
      <c r="N1219" s="485"/>
      <c r="O1219" s="486"/>
    </row>
    <row r="1220" spans="1:24" s="487" customFormat="1" ht="18" customHeight="1">
      <c r="A1220" s="478"/>
      <c r="B1220" s="336" t="s">
        <v>530</v>
      </c>
      <c r="C1220" s="969">
        <f>W1220</f>
        <v>48</v>
      </c>
      <c r="D1220" s="480" t="s">
        <v>87</v>
      </c>
      <c r="E1220" s="481">
        <f>C1219*E1219</f>
        <v>1</v>
      </c>
      <c r="F1220" s="482">
        <v>6</v>
      </c>
      <c r="G1220" s="483">
        <v>6</v>
      </c>
      <c r="H1220" s="484"/>
      <c r="I1220" s="483"/>
      <c r="J1220" s="484"/>
      <c r="K1220" s="483"/>
      <c r="L1220" s="948">
        <f>C1220*E1220*(F1220+G1220/12)</f>
        <v>312</v>
      </c>
      <c r="M1220" s="485"/>
      <c r="N1220" s="485"/>
      <c r="O1220" s="486"/>
      <c r="P1220" s="915">
        <f>F1219+G1219/12</f>
        <v>5.833333333333333</v>
      </c>
      <c r="Q1220" s="964">
        <f>4/12</f>
        <v>0.33333333333333331</v>
      </c>
      <c r="R1220" s="917">
        <f>E1219*C1219</f>
        <v>1</v>
      </c>
      <c r="S1220" s="916">
        <f>1.5/12</f>
        <v>0.125</v>
      </c>
      <c r="T1220" s="75" t="s">
        <v>428</v>
      </c>
      <c r="U1220" s="75">
        <v>10</v>
      </c>
      <c r="V1220" s="906">
        <f>4/12</f>
        <v>0.33333333333333331</v>
      </c>
      <c r="W1220" s="912">
        <f>ROUND(P1221/V1220,0)+1</f>
        <v>48</v>
      </c>
      <c r="X1220" s="907">
        <f>P1220+2*Q1220</f>
        <v>6.5</v>
      </c>
    </row>
    <row r="1221" spans="1:24" s="487" customFormat="1" ht="18" customHeight="1">
      <c r="A1221" s="478"/>
      <c r="B1221" s="336" t="s">
        <v>706</v>
      </c>
      <c r="C1221" s="969">
        <f>W1221</f>
        <v>19</v>
      </c>
      <c r="D1221" s="480" t="s">
        <v>87</v>
      </c>
      <c r="E1221" s="481">
        <f>E1220</f>
        <v>1</v>
      </c>
      <c r="F1221" s="482">
        <v>16</v>
      </c>
      <c r="G1221" s="483">
        <v>3</v>
      </c>
      <c r="H1221" s="484"/>
      <c r="I1221" s="483"/>
      <c r="J1221" s="484"/>
      <c r="K1221" s="483"/>
      <c r="L1221" s="948">
        <f>C1221*E1221*(F1221+G1221/12)</f>
        <v>308.75</v>
      </c>
      <c r="M1221" s="485"/>
      <c r="N1221" s="485"/>
      <c r="O1221" s="486"/>
      <c r="P1221" s="915">
        <f>H1219+I1219/12</f>
        <v>15.583333333333334</v>
      </c>
      <c r="Q1221" s="916"/>
      <c r="R1221" s="917">
        <f>R1220</f>
        <v>1</v>
      </c>
      <c r="S1221" s="916">
        <f>1.5/12</f>
        <v>0.125</v>
      </c>
      <c r="T1221" s="75" t="s">
        <v>704</v>
      </c>
      <c r="U1221" s="75">
        <v>10</v>
      </c>
      <c r="V1221" s="906">
        <f>4/12</f>
        <v>0.33333333333333331</v>
      </c>
      <c r="W1221" s="912">
        <f>ROUND(P1220/V1221,0)+1</f>
        <v>19</v>
      </c>
      <c r="X1221" s="907">
        <f>P1221+2*Q1220</f>
        <v>16.25</v>
      </c>
    </row>
    <row r="1222" spans="1:24" s="487" customFormat="1" ht="18" customHeight="1">
      <c r="A1222" s="478"/>
      <c r="B1222" s="336" t="s">
        <v>532</v>
      </c>
      <c r="C1222" s="969">
        <f>W1222</f>
        <v>32</v>
      </c>
      <c r="D1222" s="480" t="s">
        <v>87</v>
      </c>
      <c r="E1222" s="481">
        <f t="shared" ref="E1222:E1223" si="351">E1221</f>
        <v>1</v>
      </c>
      <c r="F1222" s="482">
        <f>F1220</f>
        <v>6</v>
      </c>
      <c r="G1222" s="483">
        <f>G1220</f>
        <v>6</v>
      </c>
      <c r="H1222" s="484"/>
      <c r="I1222" s="483"/>
      <c r="J1222" s="484"/>
      <c r="K1222" s="483"/>
      <c r="L1222" s="948">
        <f t="shared" ref="L1222:L1223" si="352">C1222*E1222*(F1222+G1222/12)</f>
        <v>208</v>
      </c>
      <c r="M1222" s="485"/>
      <c r="N1222" s="485"/>
      <c r="O1222" s="486"/>
      <c r="P1222" s="915"/>
      <c r="Q1222" s="964"/>
      <c r="R1222" s="917">
        <f t="shared" ref="R1222:R1223" si="353">R1221</f>
        <v>1</v>
      </c>
      <c r="S1222" s="916">
        <f>1.5/12</f>
        <v>0.125</v>
      </c>
      <c r="T1222" s="75" t="s">
        <v>429</v>
      </c>
      <c r="U1222" s="75">
        <v>10</v>
      </c>
      <c r="V1222" s="906">
        <f>6/12</f>
        <v>0.5</v>
      </c>
      <c r="W1222" s="912">
        <f>ROUND(P1221/V1222,0)+1</f>
        <v>32</v>
      </c>
      <c r="X1222" s="907">
        <f>P1220+2*Q1220</f>
        <v>6.5</v>
      </c>
    </row>
    <row r="1223" spans="1:24" s="487" customFormat="1" ht="18" customHeight="1">
      <c r="A1223" s="478"/>
      <c r="B1223" s="336" t="s">
        <v>707</v>
      </c>
      <c r="C1223" s="969">
        <f>W1223</f>
        <v>13</v>
      </c>
      <c r="D1223" s="480" t="s">
        <v>87</v>
      </c>
      <c r="E1223" s="481">
        <f t="shared" si="351"/>
        <v>1</v>
      </c>
      <c r="F1223" s="482">
        <f>F1221</f>
        <v>16</v>
      </c>
      <c r="G1223" s="483">
        <f>G1221</f>
        <v>3</v>
      </c>
      <c r="H1223" s="484"/>
      <c r="I1223" s="483"/>
      <c r="J1223" s="484"/>
      <c r="K1223" s="483"/>
      <c r="L1223" s="948">
        <f t="shared" si="352"/>
        <v>211.25</v>
      </c>
      <c r="M1223" s="485"/>
      <c r="N1223" s="485"/>
      <c r="O1223" s="486"/>
      <c r="P1223" s="915"/>
      <c r="Q1223" s="916"/>
      <c r="R1223" s="917">
        <f t="shared" si="353"/>
        <v>1</v>
      </c>
      <c r="S1223" s="916">
        <f>1.5/12</f>
        <v>0.125</v>
      </c>
      <c r="T1223" s="75" t="s">
        <v>705</v>
      </c>
      <c r="U1223" s="75">
        <v>10</v>
      </c>
      <c r="V1223" s="906">
        <f t="shared" ref="V1223" si="354">6/12</f>
        <v>0.5</v>
      </c>
      <c r="W1223" s="912">
        <f>ROUND(P1220/V1223,0)+1</f>
        <v>13</v>
      </c>
      <c r="X1223" s="907">
        <f>P1221+2*Q1220</f>
        <v>16.25</v>
      </c>
    </row>
    <row r="1224" spans="1:24" s="487" customFormat="1" ht="18" customHeight="1">
      <c r="A1224" s="478"/>
      <c r="B1224" s="956" t="s">
        <v>365</v>
      </c>
      <c r="C1224" s="957">
        <f>C245</f>
        <v>1</v>
      </c>
      <c r="D1224" s="958" t="s">
        <v>87</v>
      </c>
      <c r="E1224" s="959">
        <f>E245</f>
        <v>1</v>
      </c>
      <c r="F1224" s="960">
        <f>F245</f>
        <v>4</v>
      </c>
      <c r="G1224" s="961">
        <v>6</v>
      </c>
      <c r="H1224" s="962">
        <f>H245</f>
        <v>9</v>
      </c>
      <c r="I1224" s="961">
        <f>I245</f>
        <v>0</v>
      </c>
      <c r="J1224" s="484"/>
      <c r="K1224" s="483"/>
      <c r="L1224" s="948"/>
      <c r="M1224" s="485"/>
      <c r="N1224" s="485"/>
      <c r="O1224" s="486"/>
    </row>
    <row r="1225" spans="1:24" s="487" customFormat="1" ht="18" customHeight="1">
      <c r="A1225" s="478"/>
      <c r="B1225" s="336" t="s">
        <v>530</v>
      </c>
      <c r="C1225" s="969">
        <f>W1225</f>
        <v>28</v>
      </c>
      <c r="D1225" s="480" t="s">
        <v>87</v>
      </c>
      <c r="E1225" s="481">
        <f>C1224*E1224</f>
        <v>1</v>
      </c>
      <c r="F1225" s="482">
        <v>5</v>
      </c>
      <c r="G1225" s="483">
        <v>2</v>
      </c>
      <c r="H1225" s="484"/>
      <c r="I1225" s="483"/>
      <c r="J1225" s="484"/>
      <c r="K1225" s="483"/>
      <c r="L1225" s="948">
        <f>C1225*E1225*(F1225+G1225/12)</f>
        <v>144.66666666666669</v>
      </c>
      <c r="M1225" s="485"/>
      <c r="N1225" s="485"/>
      <c r="O1225" s="486"/>
      <c r="P1225" s="915">
        <f>F1224+G1224/12</f>
        <v>4.5</v>
      </c>
      <c r="Q1225" s="964">
        <f>4/12</f>
        <v>0.33333333333333331</v>
      </c>
      <c r="R1225" s="917">
        <f>E1224*C1224</f>
        <v>1</v>
      </c>
      <c r="S1225" s="916">
        <f>1.5/12</f>
        <v>0.125</v>
      </c>
      <c r="T1225" s="75" t="s">
        <v>428</v>
      </c>
      <c r="U1225" s="75">
        <v>10</v>
      </c>
      <c r="V1225" s="906">
        <f>4/12</f>
        <v>0.33333333333333331</v>
      </c>
      <c r="W1225" s="912">
        <f>ROUND(P1226/V1225,0)+1</f>
        <v>28</v>
      </c>
      <c r="X1225" s="907">
        <f>P1225+2*Q1225</f>
        <v>5.166666666666667</v>
      </c>
    </row>
    <row r="1226" spans="1:24" s="487" customFormat="1" ht="18" customHeight="1">
      <c r="A1226" s="478"/>
      <c r="B1226" s="336" t="s">
        <v>706</v>
      </c>
      <c r="C1226" s="969">
        <f>W1226</f>
        <v>15</v>
      </c>
      <c r="D1226" s="480" t="s">
        <v>87</v>
      </c>
      <c r="E1226" s="481">
        <f>E1225</f>
        <v>1</v>
      </c>
      <c r="F1226" s="482">
        <v>9</v>
      </c>
      <c r="G1226" s="483">
        <v>8</v>
      </c>
      <c r="H1226" s="484"/>
      <c r="I1226" s="483"/>
      <c r="J1226" s="484"/>
      <c r="K1226" s="483"/>
      <c r="L1226" s="948">
        <f>C1226*E1226*(F1226+G1226/12)</f>
        <v>145</v>
      </c>
      <c r="M1226" s="485"/>
      <c r="N1226" s="485"/>
      <c r="O1226" s="486"/>
      <c r="P1226" s="915">
        <f>H1224+I1224/12</f>
        <v>9</v>
      </c>
      <c r="Q1226" s="916"/>
      <c r="R1226" s="917">
        <f>R1225</f>
        <v>1</v>
      </c>
      <c r="S1226" s="916">
        <f>1.5/12</f>
        <v>0.125</v>
      </c>
      <c r="T1226" s="75" t="s">
        <v>704</v>
      </c>
      <c r="U1226" s="75">
        <v>10</v>
      </c>
      <c r="V1226" s="906">
        <f>4/12</f>
        <v>0.33333333333333331</v>
      </c>
      <c r="W1226" s="912">
        <f>ROUND(P1225/V1226,0)+1</f>
        <v>15</v>
      </c>
      <c r="X1226" s="907">
        <f>P1226+2*Q1225</f>
        <v>9.6666666666666661</v>
      </c>
    </row>
    <row r="1227" spans="1:24" s="487" customFormat="1" ht="18" customHeight="1">
      <c r="A1227" s="478"/>
      <c r="B1227" s="336" t="s">
        <v>532</v>
      </c>
      <c r="C1227" s="969">
        <f>W1227</f>
        <v>19</v>
      </c>
      <c r="D1227" s="480" t="s">
        <v>87</v>
      </c>
      <c r="E1227" s="481">
        <f t="shared" ref="E1227:E1228" si="355">E1226</f>
        <v>1</v>
      </c>
      <c r="F1227" s="482">
        <f>F1225</f>
        <v>5</v>
      </c>
      <c r="G1227" s="483">
        <f>G1225</f>
        <v>2</v>
      </c>
      <c r="H1227" s="484"/>
      <c r="I1227" s="483"/>
      <c r="J1227" s="484"/>
      <c r="K1227" s="483"/>
      <c r="L1227" s="948">
        <f t="shared" ref="L1227:L1228" si="356">C1227*E1227*(F1227+G1227/12)</f>
        <v>98.166666666666671</v>
      </c>
      <c r="M1227" s="485"/>
      <c r="N1227" s="485"/>
      <c r="O1227" s="486"/>
      <c r="P1227" s="915"/>
      <c r="Q1227" s="964"/>
      <c r="R1227" s="917">
        <f t="shared" ref="R1227:R1228" si="357">R1226</f>
        <v>1</v>
      </c>
      <c r="S1227" s="916">
        <f>1.5/12</f>
        <v>0.125</v>
      </c>
      <c r="T1227" s="75" t="s">
        <v>429</v>
      </c>
      <c r="U1227" s="75">
        <v>10</v>
      </c>
      <c r="V1227" s="906">
        <f>6/12</f>
        <v>0.5</v>
      </c>
      <c r="W1227" s="912">
        <f>ROUND(P1226/V1227,0)+1</f>
        <v>19</v>
      </c>
      <c r="X1227" s="907">
        <f>P1225+2*Q1225</f>
        <v>5.166666666666667</v>
      </c>
    </row>
    <row r="1228" spans="1:24" s="487" customFormat="1" ht="18" customHeight="1">
      <c r="A1228" s="478"/>
      <c r="B1228" s="336" t="s">
        <v>707</v>
      </c>
      <c r="C1228" s="969">
        <f>W1228</f>
        <v>10</v>
      </c>
      <c r="D1228" s="480" t="s">
        <v>87</v>
      </c>
      <c r="E1228" s="481">
        <f t="shared" si="355"/>
        <v>1</v>
      </c>
      <c r="F1228" s="482">
        <f>F1226</f>
        <v>9</v>
      </c>
      <c r="G1228" s="483">
        <f>G1226</f>
        <v>8</v>
      </c>
      <c r="H1228" s="484"/>
      <c r="I1228" s="483"/>
      <c r="J1228" s="484"/>
      <c r="K1228" s="483"/>
      <c r="L1228" s="948">
        <f t="shared" si="356"/>
        <v>96.666666666666657</v>
      </c>
      <c r="M1228" s="485"/>
      <c r="N1228" s="485"/>
      <c r="O1228" s="486"/>
      <c r="P1228" s="915"/>
      <c r="Q1228" s="916"/>
      <c r="R1228" s="917">
        <f t="shared" si="357"/>
        <v>1</v>
      </c>
      <c r="S1228" s="916">
        <f>1.5/12</f>
        <v>0.125</v>
      </c>
      <c r="T1228" s="75" t="s">
        <v>705</v>
      </c>
      <c r="U1228" s="75">
        <v>10</v>
      </c>
      <c r="V1228" s="906">
        <f t="shared" ref="V1228" si="358">6/12</f>
        <v>0.5</v>
      </c>
      <c r="W1228" s="912">
        <f>ROUND(P1225/V1228,0)+1</f>
        <v>10</v>
      </c>
      <c r="X1228" s="907">
        <f>P1226+2*Q1225</f>
        <v>9.6666666666666661</v>
      </c>
    </row>
    <row r="1229" spans="1:24" s="487" customFormat="1" ht="18" customHeight="1">
      <c r="A1229" s="478"/>
      <c r="B1229" s="956" t="s">
        <v>366</v>
      </c>
      <c r="C1229" s="957">
        <f>C246</f>
        <v>1</v>
      </c>
      <c r="D1229" s="958" t="s">
        <v>87</v>
      </c>
      <c r="E1229" s="959">
        <f>E246</f>
        <v>1</v>
      </c>
      <c r="F1229" s="960">
        <v>17</v>
      </c>
      <c r="G1229" s="961">
        <v>6</v>
      </c>
      <c r="H1229" s="962">
        <v>4</v>
      </c>
      <c r="I1229" s="961">
        <v>0</v>
      </c>
      <c r="J1229" s="484"/>
      <c r="K1229" s="483"/>
      <c r="L1229" s="948"/>
      <c r="M1229" s="485"/>
      <c r="N1229" s="485"/>
      <c r="O1229" s="486"/>
    </row>
    <row r="1230" spans="1:24" s="487" customFormat="1" ht="18" customHeight="1">
      <c r="A1230" s="478"/>
      <c r="B1230" s="336" t="s">
        <v>530</v>
      </c>
      <c r="C1230" s="969">
        <f>W1230</f>
        <v>13</v>
      </c>
      <c r="D1230" s="480" t="s">
        <v>87</v>
      </c>
      <c r="E1230" s="481">
        <f>C1229*E1229</f>
        <v>1</v>
      </c>
      <c r="F1230" s="482">
        <v>18</v>
      </c>
      <c r="G1230" s="483">
        <v>2</v>
      </c>
      <c r="H1230" s="484"/>
      <c r="I1230" s="483"/>
      <c r="J1230" s="484"/>
      <c r="K1230" s="483"/>
      <c r="L1230" s="948">
        <f>C1230*E1230*(F1230+G1230/12)</f>
        <v>236.16666666666669</v>
      </c>
      <c r="M1230" s="485"/>
      <c r="N1230" s="485"/>
      <c r="O1230" s="486"/>
      <c r="P1230" s="915">
        <f>F1229+G1229/12</f>
        <v>17.5</v>
      </c>
      <c r="Q1230" s="964">
        <f>4/12</f>
        <v>0.33333333333333331</v>
      </c>
      <c r="R1230" s="917">
        <f>E1229*C1229</f>
        <v>1</v>
      </c>
      <c r="S1230" s="916">
        <f>1.5/12</f>
        <v>0.125</v>
      </c>
      <c r="T1230" s="75" t="s">
        <v>428</v>
      </c>
      <c r="U1230" s="75">
        <v>10</v>
      </c>
      <c r="V1230" s="906">
        <f>4/12</f>
        <v>0.33333333333333331</v>
      </c>
      <c r="W1230" s="912">
        <f>ROUND(P1231/V1230,0)+1</f>
        <v>13</v>
      </c>
      <c r="X1230" s="907">
        <f>P1230+2*Q1230</f>
        <v>18.166666666666668</v>
      </c>
    </row>
    <row r="1231" spans="1:24" s="487" customFormat="1" ht="18" customHeight="1">
      <c r="A1231" s="478"/>
      <c r="B1231" s="336" t="s">
        <v>706</v>
      </c>
      <c r="C1231" s="969">
        <f>W1231</f>
        <v>54</v>
      </c>
      <c r="D1231" s="480" t="s">
        <v>87</v>
      </c>
      <c r="E1231" s="481">
        <f>E1230</f>
        <v>1</v>
      </c>
      <c r="F1231" s="482">
        <v>4</v>
      </c>
      <c r="G1231" s="483">
        <v>8</v>
      </c>
      <c r="H1231" s="484"/>
      <c r="I1231" s="483"/>
      <c r="J1231" s="484"/>
      <c r="K1231" s="483"/>
      <c r="L1231" s="948">
        <f>C1231*E1231*(F1231+G1231/12)</f>
        <v>252.00000000000003</v>
      </c>
      <c r="M1231" s="485"/>
      <c r="N1231" s="485"/>
      <c r="O1231" s="486"/>
      <c r="P1231" s="915">
        <f>H1229+I1229/12</f>
        <v>4</v>
      </c>
      <c r="Q1231" s="916"/>
      <c r="R1231" s="917">
        <f>R1230</f>
        <v>1</v>
      </c>
      <c r="S1231" s="916">
        <f>1.5/12</f>
        <v>0.125</v>
      </c>
      <c r="T1231" s="75" t="s">
        <v>704</v>
      </c>
      <c r="U1231" s="75">
        <v>10</v>
      </c>
      <c r="V1231" s="906">
        <f>4/12</f>
        <v>0.33333333333333331</v>
      </c>
      <c r="W1231" s="912">
        <f>ROUND(P1230/V1231,0)+1</f>
        <v>54</v>
      </c>
      <c r="X1231" s="907">
        <f>P1231+2*Q1230</f>
        <v>4.666666666666667</v>
      </c>
    </row>
    <row r="1232" spans="1:24" s="487" customFormat="1" ht="18" customHeight="1">
      <c r="A1232" s="478"/>
      <c r="B1232" s="336" t="s">
        <v>532</v>
      </c>
      <c r="C1232" s="969">
        <f>W1232</f>
        <v>9</v>
      </c>
      <c r="D1232" s="480" t="s">
        <v>87</v>
      </c>
      <c r="E1232" s="481">
        <f t="shared" ref="E1232:E1233" si="359">E1231</f>
        <v>1</v>
      </c>
      <c r="F1232" s="482">
        <f>F1230</f>
        <v>18</v>
      </c>
      <c r="G1232" s="483">
        <f>G1230</f>
        <v>2</v>
      </c>
      <c r="H1232" s="484"/>
      <c r="I1232" s="483"/>
      <c r="J1232" s="484"/>
      <c r="K1232" s="483"/>
      <c r="L1232" s="948">
        <f t="shared" ref="L1232:L1233" si="360">C1232*E1232*(F1232+G1232/12)</f>
        <v>163.5</v>
      </c>
      <c r="M1232" s="485"/>
      <c r="N1232" s="485"/>
      <c r="O1232" s="486"/>
      <c r="P1232" s="915"/>
      <c r="Q1232" s="964"/>
      <c r="R1232" s="917">
        <f t="shared" ref="R1232:R1233" si="361">R1231</f>
        <v>1</v>
      </c>
      <c r="S1232" s="916">
        <f>1.5/12</f>
        <v>0.125</v>
      </c>
      <c r="T1232" s="75" t="s">
        <v>429</v>
      </c>
      <c r="U1232" s="75">
        <v>10</v>
      </c>
      <c r="V1232" s="906">
        <f>6/12</f>
        <v>0.5</v>
      </c>
      <c r="W1232" s="912">
        <f>ROUND(P1231/V1232,0)+1</f>
        <v>9</v>
      </c>
      <c r="X1232" s="907">
        <f>P1230+2*Q1230</f>
        <v>18.166666666666668</v>
      </c>
    </row>
    <row r="1233" spans="1:24" s="487" customFormat="1" ht="18" customHeight="1">
      <c r="A1233" s="478"/>
      <c r="B1233" s="336" t="s">
        <v>707</v>
      </c>
      <c r="C1233" s="969">
        <f>W1233</f>
        <v>36</v>
      </c>
      <c r="D1233" s="480" t="s">
        <v>87</v>
      </c>
      <c r="E1233" s="481">
        <f t="shared" si="359"/>
        <v>1</v>
      </c>
      <c r="F1233" s="482">
        <f>F1231</f>
        <v>4</v>
      </c>
      <c r="G1233" s="483">
        <f>G1231</f>
        <v>8</v>
      </c>
      <c r="H1233" s="484"/>
      <c r="I1233" s="483"/>
      <c r="J1233" s="484"/>
      <c r="K1233" s="483"/>
      <c r="L1233" s="948">
        <f t="shared" si="360"/>
        <v>168</v>
      </c>
      <c r="M1233" s="485"/>
      <c r="N1233" s="485"/>
      <c r="O1233" s="486"/>
      <c r="P1233" s="915"/>
      <c r="Q1233" s="916"/>
      <c r="R1233" s="917">
        <f t="shared" si="361"/>
        <v>1</v>
      </c>
      <c r="S1233" s="916">
        <f>1.5/12</f>
        <v>0.125</v>
      </c>
      <c r="T1233" s="75" t="s">
        <v>705</v>
      </c>
      <c r="U1233" s="75">
        <v>10</v>
      </c>
      <c r="V1233" s="906">
        <f t="shared" ref="V1233" si="362">6/12</f>
        <v>0.5</v>
      </c>
      <c r="W1233" s="912">
        <f>ROUND(P1230/V1233,0)+1</f>
        <v>36</v>
      </c>
      <c r="X1233" s="907">
        <f>P1231+2*Q1230</f>
        <v>4.666666666666667</v>
      </c>
    </row>
    <row r="1234" spans="1:24" s="487" customFormat="1" ht="18" customHeight="1">
      <c r="A1234" s="478"/>
      <c r="B1234" s="956" t="s">
        <v>367</v>
      </c>
      <c r="C1234" s="957">
        <f>C247</f>
        <v>1</v>
      </c>
      <c r="D1234" s="958" t="s">
        <v>87</v>
      </c>
      <c r="E1234" s="959">
        <f>E247</f>
        <v>1</v>
      </c>
      <c r="F1234" s="960">
        <v>16</v>
      </c>
      <c r="G1234" s="961">
        <v>0</v>
      </c>
      <c r="H1234" s="962">
        <v>4</v>
      </c>
      <c r="I1234" s="961">
        <v>0</v>
      </c>
      <c r="J1234" s="484"/>
      <c r="K1234" s="483"/>
      <c r="L1234" s="948"/>
      <c r="M1234" s="485"/>
      <c r="N1234" s="485"/>
      <c r="O1234" s="486"/>
    </row>
    <row r="1235" spans="1:24" s="487" customFormat="1" ht="18" customHeight="1">
      <c r="A1235" s="478"/>
      <c r="B1235" s="336" t="s">
        <v>530</v>
      </c>
      <c r="C1235" s="969">
        <f>W1235</f>
        <v>13</v>
      </c>
      <c r="D1235" s="480" t="s">
        <v>87</v>
      </c>
      <c r="E1235" s="481">
        <f>C1234*E1234</f>
        <v>1</v>
      </c>
      <c r="F1235" s="482">
        <v>16</v>
      </c>
      <c r="G1235" s="483">
        <v>8</v>
      </c>
      <c r="H1235" s="484"/>
      <c r="I1235" s="483"/>
      <c r="J1235" s="484"/>
      <c r="K1235" s="483"/>
      <c r="L1235" s="948">
        <f>C1235*E1235*(F1235+G1235/12)</f>
        <v>216.66666666666669</v>
      </c>
      <c r="M1235" s="485"/>
      <c r="N1235" s="485"/>
      <c r="O1235" s="486"/>
      <c r="P1235" s="915">
        <f>F1234+G1234/12</f>
        <v>16</v>
      </c>
      <c r="Q1235" s="964">
        <f>4/12</f>
        <v>0.33333333333333331</v>
      </c>
      <c r="R1235" s="917">
        <f>E1234*C1234</f>
        <v>1</v>
      </c>
      <c r="S1235" s="916">
        <f>1.5/12</f>
        <v>0.125</v>
      </c>
      <c r="T1235" s="75" t="s">
        <v>428</v>
      </c>
      <c r="U1235" s="75">
        <v>10</v>
      </c>
      <c r="V1235" s="906">
        <f>4/12</f>
        <v>0.33333333333333331</v>
      </c>
      <c r="W1235" s="912">
        <f>ROUND(P1236/V1235,0)+1</f>
        <v>13</v>
      </c>
      <c r="X1235" s="907">
        <f>P1235+2*Q1235</f>
        <v>16.666666666666668</v>
      </c>
    </row>
    <row r="1236" spans="1:24" s="487" customFormat="1" ht="18" customHeight="1">
      <c r="A1236" s="478"/>
      <c r="B1236" s="336" t="s">
        <v>706</v>
      </c>
      <c r="C1236" s="969">
        <f>W1236</f>
        <v>49</v>
      </c>
      <c r="D1236" s="480" t="s">
        <v>87</v>
      </c>
      <c r="E1236" s="481">
        <f>E1235</f>
        <v>1</v>
      </c>
      <c r="F1236" s="482">
        <v>4</v>
      </c>
      <c r="G1236" s="483">
        <v>8</v>
      </c>
      <c r="H1236" s="484"/>
      <c r="I1236" s="483"/>
      <c r="J1236" s="484"/>
      <c r="K1236" s="483"/>
      <c r="L1236" s="948">
        <f>C1236*E1236*(F1236+G1236/12)</f>
        <v>228.66666666666669</v>
      </c>
      <c r="M1236" s="485"/>
      <c r="N1236" s="485"/>
      <c r="O1236" s="486"/>
      <c r="P1236" s="915">
        <f>H1234+I1234/12</f>
        <v>4</v>
      </c>
      <c r="Q1236" s="916"/>
      <c r="R1236" s="917">
        <f>R1235</f>
        <v>1</v>
      </c>
      <c r="S1236" s="916">
        <f>1.5/12</f>
        <v>0.125</v>
      </c>
      <c r="T1236" s="75" t="s">
        <v>704</v>
      </c>
      <c r="U1236" s="75">
        <v>10</v>
      </c>
      <c r="V1236" s="906">
        <f>4/12</f>
        <v>0.33333333333333331</v>
      </c>
      <c r="W1236" s="912">
        <f>ROUND(P1235/V1236,0)+1</f>
        <v>49</v>
      </c>
      <c r="X1236" s="907">
        <f>P1236+2*Q1235</f>
        <v>4.666666666666667</v>
      </c>
    </row>
    <row r="1237" spans="1:24" s="487" customFormat="1" ht="18" customHeight="1">
      <c r="A1237" s="478"/>
      <c r="B1237" s="336" t="s">
        <v>532</v>
      </c>
      <c r="C1237" s="969">
        <f>W1237</f>
        <v>9</v>
      </c>
      <c r="D1237" s="480" t="s">
        <v>87</v>
      </c>
      <c r="E1237" s="481">
        <f t="shared" ref="E1237:E1238" si="363">E1236</f>
        <v>1</v>
      </c>
      <c r="F1237" s="482">
        <f>F1235</f>
        <v>16</v>
      </c>
      <c r="G1237" s="483">
        <f>G1235</f>
        <v>8</v>
      </c>
      <c r="H1237" s="484"/>
      <c r="I1237" s="483"/>
      <c r="J1237" s="484"/>
      <c r="K1237" s="483"/>
      <c r="L1237" s="948">
        <f t="shared" ref="L1237:L1238" si="364">C1237*E1237*(F1237+G1237/12)</f>
        <v>150</v>
      </c>
      <c r="M1237" s="485"/>
      <c r="N1237" s="485"/>
      <c r="O1237" s="486"/>
      <c r="P1237" s="915"/>
      <c r="Q1237" s="964"/>
      <c r="R1237" s="917">
        <f t="shared" ref="R1237:R1238" si="365">R1236</f>
        <v>1</v>
      </c>
      <c r="S1237" s="916">
        <f>1.5/12</f>
        <v>0.125</v>
      </c>
      <c r="T1237" s="75" t="s">
        <v>429</v>
      </c>
      <c r="U1237" s="75">
        <v>10</v>
      </c>
      <c r="V1237" s="906">
        <f>6/12</f>
        <v>0.5</v>
      </c>
      <c r="W1237" s="912">
        <f>ROUND(P1236/V1237,0)+1</f>
        <v>9</v>
      </c>
      <c r="X1237" s="907">
        <f>P1235+2*Q1235</f>
        <v>16.666666666666668</v>
      </c>
    </row>
    <row r="1238" spans="1:24" s="487" customFormat="1" ht="18" customHeight="1">
      <c r="A1238" s="478"/>
      <c r="B1238" s="336" t="s">
        <v>707</v>
      </c>
      <c r="C1238" s="969">
        <f>W1238</f>
        <v>33</v>
      </c>
      <c r="D1238" s="480" t="s">
        <v>87</v>
      </c>
      <c r="E1238" s="481">
        <f t="shared" si="363"/>
        <v>1</v>
      </c>
      <c r="F1238" s="482">
        <f>F1236</f>
        <v>4</v>
      </c>
      <c r="G1238" s="483">
        <f>G1236</f>
        <v>8</v>
      </c>
      <c r="H1238" s="484"/>
      <c r="I1238" s="483"/>
      <c r="J1238" s="484"/>
      <c r="K1238" s="483"/>
      <c r="L1238" s="948">
        <f t="shared" si="364"/>
        <v>154</v>
      </c>
      <c r="M1238" s="485"/>
      <c r="N1238" s="485"/>
      <c r="O1238" s="486"/>
      <c r="P1238" s="915"/>
      <c r="Q1238" s="916"/>
      <c r="R1238" s="917">
        <f t="shared" si="365"/>
        <v>1</v>
      </c>
      <c r="S1238" s="916">
        <f>1.5/12</f>
        <v>0.125</v>
      </c>
      <c r="T1238" s="75" t="s">
        <v>705</v>
      </c>
      <c r="U1238" s="75">
        <v>10</v>
      </c>
      <c r="V1238" s="906">
        <f t="shared" ref="V1238" si="366">6/12</f>
        <v>0.5</v>
      </c>
      <c r="W1238" s="912">
        <f>ROUND(P1235/V1238,0)+1</f>
        <v>33</v>
      </c>
      <c r="X1238" s="907">
        <f>P1236+2*Q1235</f>
        <v>4.666666666666667</v>
      </c>
    </row>
    <row r="1239" spans="1:24" s="487" customFormat="1" ht="18" customHeight="1">
      <c r="A1239" s="478"/>
      <c r="B1239" s="336"/>
      <c r="C1239" s="479"/>
      <c r="D1239" s="480"/>
      <c r="E1239" s="481"/>
      <c r="F1239" s="482"/>
      <c r="G1239" s="483"/>
      <c r="H1239" s="484"/>
      <c r="I1239" s="483"/>
      <c r="J1239" s="484"/>
      <c r="K1239" s="483"/>
      <c r="L1239" s="948"/>
      <c r="M1239" s="485"/>
      <c r="N1239" s="485"/>
      <c r="O1239" s="486"/>
    </row>
    <row r="1240" spans="1:24" s="487" customFormat="1" ht="18" customHeight="1">
      <c r="A1240" s="478"/>
      <c r="B1240" s="806" t="s">
        <v>708</v>
      </c>
      <c r="C1240" s="479"/>
      <c r="D1240" s="480"/>
      <c r="E1240" s="481"/>
      <c r="F1240" s="482"/>
      <c r="G1240" s="483"/>
      <c r="H1240" s="484"/>
      <c r="I1240" s="483"/>
      <c r="J1240" s="484"/>
      <c r="K1240" s="483"/>
      <c r="L1240" s="948"/>
      <c r="M1240" s="485"/>
      <c r="N1240" s="485"/>
      <c r="O1240" s="486"/>
    </row>
    <row r="1241" spans="1:24" s="487" customFormat="1" ht="18" customHeight="1">
      <c r="A1241" s="478"/>
      <c r="B1241" s="726" t="s">
        <v>356</v>
      </c>
      <c r="C1241" s="479"/>
      <c r="D1241" s="480"/>
      <c r="E1241" s="481"/>
      <c r="F1241" s="482"/>
      <c r="G1241" s="483"/>
      <c r="H1241" s="484"/>
      <c r="I1241" s="483"/>
      <c r="J1241" s="484"/>
      <c r="K1241" s="483"/>
      <c r="L1241" s="948"/>
      <c r="M1241" s="485"/>
      <c r="N1241" s="485"/>
      <c r="O1241" s="486"/>
    </row>
    <row r="1242" spans="1:24" s="487" customFormat="1" ht="18" customHeight="1">
      <c r="A1242" s="478"/>
      <c r="B1242" s="956" t="s">
        <v>357</v>
      </c>
      <c r="C1242" s="957">
        <f>C251</f>
        <v>1</v>
      </c>
      <c r="D1242" s="958" t="s">
        <v>87</v>
      </c>
      <c r="E1242" s="959">
        <f>E251</f>
        <v>1</v>
      </c>
      <c r="F1242" s="960">
        <v>6</v>
      </c>
      <c r="G1242" s="961">
        <f>G251</f>
        <v>4</v>
      </c>
      <c r="H1242" s="962">
        <v>15</v>
      </c>
      <c r="I1242" s="961">
        <v>7</v>
      </c>
      <c r="J1242" s="484"/>
      <c r="K1242" s="483"/>
      <c r="L1242" s="948"/>
      <c r="M1242" s="485"/>
      <c r="N1242" s="485"/>
      <c r="O1242" s="486"/>
    </row>
    <row r="1243" spans="1:24" s="487" customFormat="1" ht="18" customHeight="1">
      <c r="A1243" s="478"/>
      <c r="B1243" s="336" t="s">
        <v>528</v>
      </c>
      <c r="C1243" s="969">
        <f>W1243</f>
        <v>48</v>
      </c>
      <c r="D1243" s="480" t="s">
        <v>87</v>
      </c>
      <c r="E1243" s="481">
        <f>C1242*E1242</f>
        <v>1</v>
      </c>
      <c r="F1243" s="482">
        <v>7</v>
      </c>
      <c r="G1243" s="483">
        <v>0</v>
      </c>
      <c r="H1243" s="484"/>
      <c r="I1243" s="483"/>
      <c r="J1243" s="484"/>
      <c r="K1243" s="483"/>
      <c r="L1243" s="948">
        <f>C1243*E1243*(F1243+G1243/12)</f>
        <v>336</v>
      </c>
      <c r="M1243" s="485"/>
      <c r="N1243" s="485"/>
      <c r="O1243" s="486"/>
      <c r="P1243" s="915">
        <f>F1242+G1242/12</f>
        <v>6.333333333333333</v>
      </c>
      <c r="Q1243" s="964">
        <f>4/12</f>
        <v>0.33333333333333331</v>
      </c>
      <c r="R1243" s="917">
        <f>E1242*C1242</f>
        <v>1</v>
      </c>
      <c r="S1243" s="916">
        <f>1.5/12</f>
        <v>0.125</v>
      </c>
      <c r="T1243" s="75" t="s">
        <v>428</v>
      </c>
      <c r="U1243" s="75">
        <v>10</v>
      </c>
      <c r="V1243" s="906">
        <f>4/12</f>
        <v>0.33333333333333331</v>
      </c>
      <c r="W1243" s="912">
        <f>ROUND(P1244/V1243,0)+1</f>
        <v>48</v>
      </c>
      <c r="X1243" s="907">
        <f>P1243+2*Q1243</f>
        <v>7</v>
      </c>
    </row>
    <row r="1244" spans="1:24" s="487" customFormat="1" ht="18" customHeight="1">
      <c r="A1244" s="478"/>
      <c r="B1244" s="336" t="s">
        <v>529</v>
      </c>
      <c r="C1244" s="969">
        <f>W1244</f>
        <v>20</v>
      </c>
      <c r="D1244" s="480" t="s">
        <v>87</v>
      </c>
      <c r="E1244" s="481">
        <f>C1242*E1242</f>
        <v>1</v>
      </c>
      <c r="F1244" s="482">
        <v>16</v>
      </c>
      <c r="G1244" s="483">
        <v>3</v>
      </c>
      <c r="H1244" s="484"/>
      <c r="I1244" s="483"/>
      <c r="J1244" s="484"/>
      <c r="K1244" s="483"/>
      <c r="L1244" s="948">
        <f>C1244*E1244*(F1244+G1244/12)</f>
        <v>325</v>
      </c>
      <c r="M1244" s="485"/>
      <c r="N1244" s="485"/>
      <c r="O1244" s="486"/>
      <c r="P1244" s="915">
        <f>H1242+I1242/12</f>
        <v>15.583333333333334</v>
      </c>
      <c r="Q1244" s="916"/>
      <c r="R1244" s="917">
        <f>R1243</f>
        <v>1</v>
      </c>
      <c r="S1244" s="916">
        <f>1.5/12</f>
        <v>0.125</v>
      </c>
      <c r="T1244" s="75" t="s">
        <v>704</v>
      </c>
      <c r="U1244" s="75">
        <v>10</v>
      </c>
      <c r="V1244" s="906">
        <f>4/12</f>
        <v>0.33333333333333331</v>
      </c>
      <c r="W1244" s="912">
        <f>ROUND(P1243/V1244,0)+1</f>
        <v>20</v>
      </c>
      <c r="X1244" s="907">
        <f>P1244+2*Q1243</f>
        <v>16.25</v>
      </c>
    </row>
    <row r="1245" spans="1:24" s="487" customFormat="1" ht="18" customHeight="1">
      <c r="A1245" s="478"/>
      <c r="B1245" s="336" t="s">
        <v>526</v>
      </c>
      <c r="C1245" s="969">
        <f>W1245</f>
        <v>32</v>
      </c>
      <c r="D1245" s="480" t="s">
        <v>87</v>
      </c>
      <c r="E1245" s="481">
        <f>E1243</f>
        <v>1</v>
      </c>
      <c r="F1245" s="482">
        <f>F1243</f>
        <v>7</v>
      </c>
      <c r="G1245" s="483">
        <f>G1243</f>
        <v>0</v>
      </c>
      <c r="H1245" s="484"/>
      <c r="I1245" s="483"/>
      <c r="J1245" s="484"/>
      <c r="K1245" s="483"/>
      <c r="L1245" s="948">
        <f>C1245*E1245*(F1245+G1245/12)</f>
        <v>224</v>
      </c>
      <c r="M1245" s="485"/>
      <c r="N1245" s="485"/>
      <c r="O1245" s="486"/>
      <c r="P1245" s="915"/>
      <c r="Q1245" s="964"/>
      <c r="R1245" s="917">
        <f t="shared" ref="R1245:R1246" si="367">R1244</f>
        <v>1</v>
      </c>
      <c r="S1245" s="916">
        <f>1.5/12</f>
        <v>0.125</v>
      </c>
      <c r="T1245" s="75" t="s">
        <v>429</v>
      </c>
      <c r="U1245" s="75">
        <v>10</v>
      </c>
      <c r="V1245" s="906">
        <f>6/12</f>
        <v>0.5</v>
      </c>
      <c r="W1245" s="912">
        <f>ROUND(P1244/V1245,0)+1</f>
        <v>32</v>
      </c>
      <c r="X1245" s="907">
        <f>P1243+2*Q1243</f>
        <v>7</v>
      </c>
    </row>
    <row r="1246" spans="1:24" s="487" customFormat="1" ht="18" customHeight="1">
      <c r="A1246" s="478"/>
      <c r="B1246" s="336" t="s">
        <v>527</v>
      </c>
      <c r="C1246" s="969">
        <f>W1246</f>
        <v>14</v>
      </c>
      <c r="D1246" s="480" t="s">
        <v>87</v>
      </c>
      <c r="E1246" s="481">
        <f>E1245</f>
        <v>1</v>
      </c>
      <c r="F1246" s="482">
        <f>F1244</f>
        <v>16</v>
      </c>
      <c r="G1246" s="483">
        <f>G1244</f>
        <v>3</v>
      </c>
      <c r="H1246" s="484"/>
      <c r="I1246" s="483"/>
      <c r="J1246" s="484"/>
      <c r="K1246" s="483"/>
      <c r="L1246" s="948">
        <f>C1246*E1246*(F1246+G1246/12)</f>
        <v>227.5</v>
      </c>
      <c r="M1246" s="485"/>
      <c r="N1246" s="485"/>
      <c r="O1246" s="486"/>
      <c r="P1246" s="915"/>
      <c r="Q1246" s="916"/>
      <c r="R1246" s="917">
        <f t="shared" si="367"/>
        <v>1</v>
      </c>
      <c r="S1246" s="916">
        <f>1.5/12</f>
        <v>0.125</v>
      </c>
      <c r="T1246" s="75" t="s">
        <v>705</v>
      </c>
      <c r="U1246" s="75">
        <v>10</v>
      </c>
      <c r="V1246" s="906">
        <f t="shared" ref="V1246" si="368">6/12</f>
        <v>0.5</v>
      </c>
      <c r="W1246" s="912">
        <f>ROUND(P1243/V1246,0)+1</f>
        <v>14</v>
      </c>
      <c r="X1246" s="907">
        <f>P1244+2*Q1243</f>
        <v>16.25</v>
      </c>
    </row>
    <row r="1247" spans="1:24" s="487" customFormat="1" ht="18" customHeight="1">
      <c r="A1247" s="478"/>
      <c r="B1247" s="956" t="s">
        <v>368</v>
      </c>
      <c r="C1247" s="957">
        <f>C252</f>
        <v>1</v>
      </c>
      <c r="D1247" s="958" t="s">
        <v>87</v>
      </c>
      <c r="E1247" s="959">
        <f>E252</f>
        <v>1</v>
      </c>
      <c r="F1247" s="960">
        <v>11</v>
      </c>
      <c r="G1247" s="961">
        <v>2</v>
      </c>
      <c r="H1247" s="962">
        <v>15</v>
      </c>
      <c r="I1247" s="961">
        <v>7</v>
      </c>
      <c r="J1247" s="484"/>
      <c r="K1247" s="483"/>
      <c r="L1247" s="948"/>
      <c r="M1247" s="485"/>
      <c r="N1247" s="485"/>
      <c r="O1247" s="486"/>
    </row>
    <row r="1248" spans="1:24" s="487" customFormat="1" ht="18" customHeight="1">
      <c r="A1248" s="478"/>
      <c r="B1248" s="336" t="s">
        <v>528</v>
      </c>
      <c r="C1248" s="969">
        <f>W1248</f>
        <v>48</v>
      </c>
      <c r="D1248" s="480" t="s">
        <v>87</v>
      </c>
      <c r="E1248" s="481">
        <f>C1247*E1247</f>
        <v>1</v>
      </c>
      <c r="F1248" s="482">
        <v>11</v>
      </c>
      <c r="G1248" s="483">
        <v>10</v>
      </c>
      <c r="H1248" s="484"/>
      <c r="I1248" s="483"/>
      <c r="J1248" s="484"/>
      <c r="K1248" s="483"/>
      <c r="L1248" s="948">
        <f>C1248*E1248*(F1248+G1248/12)</f>
        <v>568</v>
      </c>
      <c r="M1248" s="485"/>
      <c r="N1248" s="485"/>
      <c r="O1248" s="486"/>
      <c r="P1248" s="915">
        <f>F1247+G1247/12</f>
        <v>11.166666666666666</v>
      </c>
      <c r="Q1248" s="964">
        <f>4/12</f>
        <v>0.33333333333333331</v>
      </c>
      <c r="R1248" s="917">
        <f>E1247*C1247</f>
        <v>1</v>
      </c>
      <c r="S1248" s="916">
        <f>1.5/12</f>
        <v>0.125</v>
      </c>
      <c r="T1248" s="75" t="s">
        <v>428</v>
      </c>
      <c r="U1248" s="75">
        <v>10</v>
      </c>
      <c r="V1248" s="906">
        <f>4/12</f>
        <v>0.33333333333333331</v>
      </c>
      <c r="W1248" s="912">
        <f>ROUND(P1249/V1248,0)+1</f>
        <v>48</v>
      </c>
      <c r="X1248" s="907">
        <f>P1248+2*Q1248</f>
        <v>11.833333333333332</v>
      </c>
    </row>
    <row r="1249" spans="1:24" s="487" customFormat="1" ht="18" customHeight="1">
      <c r="A1249" s="478"/>
      <c r="B1249" s="336" t="s">
        <v>529</v>
      </c>
      <c r="C1249" s="969">
        <f>W1249</f>
        <v>35</v>
      </c>
      <c r="D1249" s="480" t="s">
        <v>87</v>
      </c>
      <c r="E1249" s="481">
        <f>C1247*E1247</f>
        <v>1</v>
      </c>
      <c r="F1249" s="482">
        <v>16</v>
      </c>
      <c r="G1249" s="483">
        <v>3</v>
      </c>
      <c r="H1249" s="484"/>
      <c r="I1249" s="483"/>
      <c r="J1249" s="484"/>
      <c r="K1249" s="483"/>
      <c r="L1249" s="948">
        <f>C1249*E1249*(F1249+G1249/12)</f>
        <v>568.75</v>
      </c>
      <c r="M1249" s="485"/>
      <c r="N1249" s="485"/>
      <c r="O1249" s="486"/>
      <c r="P1249" s="915">
        <f>H1247+I1247/12</f>
        <v>15.583333333333334</v>
      </c>
      <c r="Q1249" s="916"/>
      <c r="R1249" s="917">
        <f>R1248</f>
        <v>1</v>
      </c>
      <c r="S1249" s="916">
        <f>1.5/12</f>
        <v>0.125</v>
      </c>
      <c r="T1249" s="75" t="s">
        <v>704</v>
      </c>
      <c r="U1249" s="75">
        <v>10</v>
      </c>
      <c r="V1249" s="906">
        <f>4/12</f>
        <v>0.33333333333333331</v>
      </c>
      <c r="W1249" s="912">
        <f>ROUND(P1248/V1249,0)+1</f>
        <v>35</v>
      </c>
      <c r="X1249" s="907">
        <f>P1249+2*Q1248</f>
        <v>16.25</v>
      </c>
    </row>
    <row r="1250" spans="1:24" s="487" customFormat="1" ht="18" customHeight="1">
      <c r="A1250" s="478"/>
      <c r="B1250" s="336" t="s">
        <v>526</v>
      </c>
      <c r="C1250" s="969">
        <f>W1250</f>
        <v>32</v>
      </c>
      <c r="D1250" s="480" t="s">
        <v>87</v>
      </c>
      <c r="E1250" s="481">
        <f>E1248</f>
        <v>1</v>
      </c>
      <c r="F1250" s="482">
        <f>F1248</f>
        <v>11</v>
      </c>
      <c r="G1250" s="483">
        <f>G1248</f>
        <v>10</v>
      </c>
      <c r="H1250" s="484"/>
      <c r="I1250" s="483"/>
      <c r="J1250" s="484"/>
      <c r="K1250" s="483"/>
      <c r="L1250" s="948">
        <f>C1250*E1250*(F1250+G1250/12)</f>
        <v>378.66666666666669</v>
      </c>
      <c r="M1250" s="485"/>
      <c r="N1250" s="485"/>
      <c r="O1250" s="486"/>
      <c r="P1250" s="915"/>
      <c r="Q1250" s="964"/>
      <c r="R1250" s="917">
        <f t="shared" ref="R1250:R1251" si="369">R1249</f>
        <v>1</v>
      </c>
      <c r="S1250" s="916">
        <f>1.5/12</f>
        <v>0.125</v>
      </c>
      <c r="T1250" s="75" t="s">
        <v>429</v>
      </c>
      <c r="U1250" s="75">
        <v>10</v>
      </c>
      <c r="V1250" s="906">
        <f>6/12</f>
        <v>0.5</v>
      </c>
      <c r="W1250" s="912">
        <f>ROUND(P1249/V1250,0)+1</f>
        <v>32</v>
      </c>
      <c r="X1250" s="907">
        <f>P1248+2*Q1248</f>
        <v>11.833333333333332</v>
      </c>
    </row>
    <row r="1251" spans="1:24" s="487" customFormat="1" ht="18" customHeight="1">
      <c r="A1251" s="478"/>
      <c r="B1251" s="336" t="s">
        <v>527</v>
      </c>
      <c r="C1251" s="969">
        <f>W1251</f>
        <v>23</v>
      </c>
      <c r="D1251" s="480" t="s">
        <v>87</v>
      </c>
      <c r="E1251" s="481">
        <f>E1250</f>
        <v>1</v>
      </c>
      <c r="F1251" s="482">
        <f>F1249</f>
        <v>16</v>
      </c>
      <c r="G1251" s="483">
        <f>G1249</f>
        <v>3</v>
      </c>
      <c r="H1251" s="484"/>
      <c r="I1251" s="483"/>
      <c r="J1251" s="484"/>
      <c r="K1251" s="483"/>
      <c r="L1251" s="948">
        <f>C1251*E1251*(F1251+G1251/12)</f>
        <v>373.75</v>
      </c>
      <c r="M1251" s="485"/>
      <c r="N1251" s="485"/>
      <c r="O1251" s="486"/>
      <c r="P1251" s="915"/>
      <c r="Q1251" s="916"/>
      <c r="R1251" s="917">
        <f t="shared" si="369"/>
        <v>1</v>
      </c>
      <c r="S1251" s="916">
        <f>1.5/12</f>
        <v>0.125</v>
      </c>
      <c r="T1251" s="75" t="s">
        <v>705</v>
      </c>
      <c r="U1251" s="75">
        <v>10</v>
      </c>
      <c r="V1251" s="906">
        <f t="shared" ref="V1251" si="370">6/12</f>
        <v>0.5</v>
      </c>
      <c r="W1251" s="912">
        <f>ROUND(P1248/V1251,0)+1</f>
        <v>23</v>
      </c>
      <c r="X1251" s="907">
        <f>P1249+2*Q1248</f>
        <v>16.25</v>
      </c>
    </row>
    <row r="1252" spans="1:24" s="487" customFormat="1" ht="18" customHeight="1">
      <c r="A1252" s="478"/>
      <c r="B1252" s="956" t="s">
        <v>369</v>
      </c>
      <c r="C1252" s="957">
        <f>C253</f>
        <v>1</v>
      </c>
      <c r="D1252" s="958" t="s">
        <v>87</v>
      </c>
      <c r="E1252" s="959">
        <f>E253</f>
        <v>1</v>
      </c>
      <c r="F1252" s="960">
        <v>16</v>
      </c>
      <c r="G1252" s="961">
        <v>0</v>
      </c>
      <c r="H1252" s="962">
        <v>9</v>
      </c>
      <c r="I1252" s="961">
        <f>I253</f>
        <v>11</v>
      </c>
      <c r="J1252" s="484"/>
      <c r="K1252" s="483"/>
      <c r="L1252" s="948"/>
      <c r="M1252" s="485"/>
      <c r="N1252" s="485"/>
      <c r="O1252" s="486"/>
    </row>
    <row r="1253" spans="1:24" s="487" customFormat="1" ht="18" customHeight="1">
      <c r="A1253" s="478"/>
      <c r="B1253" s="336" t="s">
        <v>528</v>
      </c>
      <c r="C1253" s="969">
        <f>W1253</f>
        <v>31</v>
      </c>
      <c r="D1253" s="480" t="s">
        <v>87</v>
      </c>
      <c r="E1253" s="481">
        <f>C1252*E1252</f>
        <v>1</v>
      </c>
      <c r="F1253" s="482">
        <v>16</v>
      </c>
      <c r="G1253" s="483">
        <v>8</v>
      </c>
      <c r="H1253" s="484"/>
      <c r="I1253" s="483"/>
      <c r="J1253" s="484"/>
      <c r="K1253" s="483"/>
      <c r="L1253" s="948">
        <f>C1253*E1253*(F1253+G1253/12)</f>
        <v>516.66666666666674</v>
      </c>
      <c r="M1253" s="485"/>
      <c r="N1253" s="485"/>
      <c r="O1253" s="486"/>
      <c r="P1253" s="915">
        <f>F1252+G1252/12</f>
        <v>16</v>
      </c>
      <c r="Q1253" s="964">
        <f>4/12</f>
        <v>0.33333333333333331</v>
      </c>
      <c r="R1253" s="917">
        <f>E1252*C1252</f>
        <v>1</v>
      </c>
      <c r="S1253" s="916">
        <f>1.5/12</f>
        <v>0.125</v>
      </c>
      <c r="T1253" s="75" t="s">
        <v>428</v>
      </c>
      <c r="U1253" s="75">
        <v>10</v>
      </c>
      <c r="V1253" s="906">
        <f>4/12</f>
        <v>0.33333333333333331</v>
      </c>
      <c r="W1253" s="912">
        <f>ROUND(P1254/V1253,0)+1</f>
        <v>31</v>
      </c>
      <c r="X1253" s="907">
        <f>P1253+2*Q1253</f>
        <v>16.666666666666668</v>
      </c>
    </row>
    <row r="1254" spans="1:24" s="487" customFormat="1" ht="18" customHeight="1">
      <c r="A1254" s="478"/>
      <c r="B1254" s="336" t="s">
        <v>529</v>
      </c>
      <c r="C1254" s="969">
        <f>W1254</f>
        <v>49</v>
      </c>
      <c r="D1254" s="480" t="s">
        <v>87</v>
      </c>
      <c r="E1254" s="481">
        <f>C1252*E1252</f>
        <v>1</v>
      </c>
      <c r="F1254" s="482">
        <v>10</v>
      </c>
      <c r="G1254" s="483">
        <v>7</v>
      </c>
      <c r="H1254" s="484"/>
      <c r="I1254" s="483"/>
      <c r="J1254" s="484"/>
      <c r="K1254" s="483"/>
      <c r="L1254" s="948">
        <f>C1254*E1254*(F1254+G1254/12)</f>
        <v>518.58333333333337</v>
      </c>
      <c r="M1254" s="485"/>
      <c r="N1254" s="485"/>
      <c r="O1254" s="486"/>
      <c r="P1254" s="915">
        <f>H1252+I1252/12</f>
        <v>9.9166666666666661</v>
      </c>
      <c r="Q1254" s="916"/>
      <c r="R1254" s="917">
        <f>R1253</f>
        <v>1</v>
      </c>
      <c r="S1254" s="916">
        <f>1.5/12</f>
        <v>0.125</v>
      </c>
      <c r="T1254" s="75" t="s">
        <v>704</v>
      </c>
      <c r="U1254" s="75">
        <v>10</v>
      </c>
      <c r="V1254" s="906">
        <f>4/12</f>
        <v>0.33333333333333331</v>
      </c>
      <c r="W1254" s="912">
        <f>ROUND(P1253/V1254,0)+1</f>
        <v>49</v>
      </c>
      <c r="X1254" s="907">
        <f>P1254+2*Q1253</f>
        <v>10.583333333333332</v>
      </c>
    </row>
    <row r="1255" spans="1:24" s="487" customFormat="1" ht="18" customHeight="1">
      <c r="A1255" s="478"/>
      <c r="B1255" s="336" t="s">
        <v>526</v>
      </c>
      <c r="C1255" s="969">
        <f>W1255</f>
        <v>21</v>
      </c>
      <c r="D1255" s="480" t="s">
        <v>87</v>
      </c>
      <c r="E1255" s="481">
        <f>E1253</f>
        <v>1</v>
      </c>
      <c r="F1255" s="482">
        <f>F1253</f>
        <v>16</v>
      </c>
      <c r="G1255" s="483">
        <f>G1253</f>
        <v>8</v>
      </c>
      <c r="H1255" s="484"/>
      <c r="I1255" s="483"/>
      <c r="J1255" s="484"/>
      <c r="K1255" s="483"/>
      <c r="L1255" s="948">
        <f>C1255*E1255*(F1255+G1255/12)</f>
        <v>350</v>
      </c>
      <c r="M1255" s="485"/>
      <c r="N1255" s="485"/>
      <c r="O1255" s="486"/>
      <c r="P1255" s="915"/>
      <c r="Q1255" s="964"/>
      <c r="R1255" s="917">
        <f t="shared" ref="R1255:R1256" si="371">R1254</f>
        <v>1</v>
      </c>
      <c r="S1255" s="916">
        <f>1.5/12</f>
        <v>0.125</v>
      </c>
      <c r="T1255" s="75" t="s">
        <v>429</v>
      </c>
      <c r="U1255" s="75">
        <v>10</v>
      </c>
      <c r="V1255" s="906">
        <f>6/12</f>
        <v>0.5</v>
      </c>
      <c r="W1255" s="912">
        <f>ROUND(P1254/V1255,0)+1</f>
        <v>21</v>
      </c>
      <c r="X1255" s="907">
        <f>P1253+2*Q1253</f>
        <v>16.666666666666668</v>
      </c>
    </row>
    <row r="1256" spans="1:24" s="487" customFormat="1" ht="18" customHeight="1">
      <c r="A1256" s="478"/>
      <c r="B1256" s="336" t="s">
        <v>527</v>
      </c>
      <c r="C1256" s="969">
        <f>W1256</f>
        <v>33</v>
      </c>
      <c r="D1256" s="480" t="s">
        <v>87</v>
      </c>
      <c r="E1256" s="481">
        <f>E1255</f>
        <v>1</v>
      </c>
      <c r="F1256" s="482">
        <f>F1254</f>
        <v>10</v>
      </c>
      <c r="G1256" s="483">
        <f>G1254</f>
        <v>7</v>
      </c>
      <c r="H1256" s="484"/>
      <c r="I1256" s="483"/>
      <c r="J1256" s="484"/>
      <c r="K1256" s="483"/>
      <c r="L1256" s="948">
        <f>C1256*E1256*(F1256+G1256/12)</f>
        <v>349.25</v>
      </c>
      <c r="M1256" s="485"/>
      <c r="N1256" s="485"/>
      <c r="O1256" s="486"/>
      <c r="P1256" s="915"/>
      <c r="Q1256" s="916"/>
      <c r="R1256" s="917">
        <f t="shared" si="371"/>
        <v>1</v>
      </c>
      <c r="S1256" s="916">
        <f>1.5/12</f>
        <v>0.125</v>
      </c>
      <c r="T1256" s="75" t="s">
        <v>705</v>
      </c>
      <c r="U1256" s="75">
        <v>10</v>
      </c>
      <c r="V1256" s="906">
        <f t="shared" ref="V1256" si="372">6/12</f>
        <v>0.5</v>
      </c>
      <c r="W1256" s="912">
        <f>ROUND(P1253/V1256,0)+1</f>
        <v>33</v>
      </c>
      <c r="X1256" s="907">
        <f>P1254+2*Q1253</f>
        <v>10.583333333333332</v>
      </c>
    </row>
    <row r="1257" spans="1:24" s="487" customFormat="1" ht="18" customHeight="1">
      <c r="A1257" s="478"/>
      <c r="B1257" s="956" t="s">
        <v>360</v>
      </c>
      <c r="C1257" s="957">
        <v>1</v>
      </c>
      <c r="D1257" s="958" t="s">
        <v>87</v>
      </c>
      <c r="E1257" s="959">
        <v>1</v>
      </c>
      <c r="F1257" s="960">
        <v>16</v>
      </c>
      <c r="G1257" s="961">
        <v>0</v>
      </c>
      <c r="H1257" s="962">
        <v>9</v>
      </c>
      <c r="I1257" s="961">
        <v>0</v>
      </c>
      <c r="J1257" s="484"/>
      <c r="K1257" s="483"/>
      <c r="L1257" s="948"/>
      <c r="M1257" s="485"/>
      <c r="N1257" s="485"/>
      <c r="O1257" s="486"/>
    </row>
    <row r="1258" spans="1:24" s="487" customFormat="1" ht="18" customHeight="1">
      <c r="A1258" s="478"/>
      <c r="B1258" s="336" t="s">
        <v>528</v>
      </c>
      <c r="C1258" s="969">
        <f>W1258</f>
        <v>28</v>
      </c>
      <c r="D1258" s="480" t="s">
        <v>87</v>
      </c>
      <c r="E1258" s="481">
        <f>C1257*E1257</f>
        <v>1</v>
      </c>
      <c r="F1258" s="482">
        <v>16</v>
      </c>
      <c r="G1258" s="483">
        <v>8</v>
      </c>
      <c r="H1258" s="484"/>
      <c r="I1258" s="483"/>
      <c r="J1258" s="484"/>
      <c r="K1258" s="483"/>
      <c r="L1258" s="948">
        <f>C1258*E1258*(F1258+G1258/12)</f>
        <v>466.66666666666669</v>
      </c>
      <c r="M1258" s="485"/>
      <c r="N1258" s="485"/>
      <c r="O1258" s="486"/>
      <c r="P1258" s="915">
        <f>F1257+G1257/12</f>
        <v>16</v>
      </c>
      <c r="Q1258" s="964">
        <f>4/12</f>
        <v>0.33333333333333331</v>
      </c>
      <c r="R1258" s="917">
        <f>E1257*C1257</f>
        <v>1</v>
      </c>
      <c r="S1258" s="916">
        <f>1.5/12</f>
        <v>0.125</v>
      </c>
      <c r="T1258" s="75" t="s">
        <v>428</v>
      </c>
      <c r="U1258" s="75">
        <v>10</v>
      </c>
      <c r="V1258" s="906">
        <f>4/12</f>
        <v>0.33333333333333331</v>
      </c>
      <c r="W1258" s="912">
        <f>ROUND(P1259/V1258,0)+1</f>
        <v>28</v>
      </c>
      <c r="X1258" s="907">
        <f>P1258+2*Q1258</f>
        <v>16.666666666666668</v>
      </c>
    </row>
    <row r="1259" spans="1:24" s="487" customFormat="1" ht="18" customHeight="1">
      <c r="A1259" s="478"/>
      <c r="B1259" s="336" t="s">
        <v>529</v>
      </c>
      <c r="C1259" s="969">
        <f>W1259</f>
        <v>49</v>
      </c>
      <c r="D1259" s="480" t="s">
        <v>87</v>
      </c>
      <c r="E1259" s="481">
        <f>C1257*E1257</f>
        <v>1</v>
      </c>
      <c r="F1259" s="482">
        <v>9</v>
      </c>
      <c r="G1259" s="483">
        <v>8</v>
      </c>
      <c r="H1259" s="484"/>
      <c r="I1259" s="483"/>
      <c r="J1259" s="484"/>
      <c r="K1259" s="483"/>
      <c r="L1259" s="948">
        <f>C1259*E1259*(F1259+G1259/12)</f>
        <v>473.66666666666663</v>
      </c>
      <c r="M1259" s="485"/>
      <c r="N1259" s="485"/>
      <c r="O1259" s="486"/>
      <c r="P1259" s="915">
        <f>H1257+I1257/12</f>
        <v>9</v>
      </c>
      <c r="Q1259" s="916"/>
      <c r="R1259" s="917">
        <f>R1258</f>
        <v>1</v>
      </c>
      <c r="S1259" s="916">
        <f>1.5/12</f>
        <v>0.125</v>
      </c>
      <c r="T1259" s="75" t="s">
        <v>704</v>
      </c>
      <c r="U1259" s="75">
        <v>10</v>
      </c>
      <c r="V1259" s="906">
        <f>4/12</f>
        <v>0.33333333333333331</v>
      </c>
      <c r="W1259" s="912">
        <f>ROUND(P1258/V1259,0)+1</f>
        <v>49</v>
      </c>
      <c r="X1259" s="907">
        <f>P1259+2*Q1258</f>
        <v>9.6666666666666661</v>
      </c>
    </row>
    <row r="1260" spans="1:24" s="487" customFormat="1" ht="18" customHeight="1">
      <c r="A1260" s="478"/>
      <c r="B1260" s="336" t="s">
        <v>526</v>
      </c>
      <c r="C1260" s="969">
        <f>W1260</f>
        <v>19</v>
      </c>
      <c r="D1260" s="480" t="s">
        <v>87</v>
      </c>
      <c r="E1260" s="481">
        <f>E1258</f>
        <v>1</v>
      </c>
      <c r="F1260" s="482">
        <f>F1258</f>
        <v>16</v>
      </c>
      <c r="G1260" s="483">
        <f>G1258</f>
        <v>8</v>
      </c>
      <c r="H1260" s="484"/>
      <c r="I1260" s="483"/>
      <c r="J1260" s="484"/>
      <c r="K1260" s="483"/>
      <c r="L1260" s="948">
        <f>C1260*E1260*(F1260+G1260/12)</f>
        <v>316.66666666666669</v>
      </c>
      <c r="M1260" s="485"/>
      <c r="N1260" s="485"/>
      <c r="O1260" s="486"/>
      <c r="P1260" s="915"/>
      <c r="Q1260" s="964"/>
      <c r="R1260" s="917">
        <f t="shared" ref="R1260:R1261" si="373">R1259</f>
        <v>1</v>
      </c>
      <c r="S1260" s="916">
        <f>1.5/12</f>
        <v>0.125</v>
      </c>
      <c r="T1260" s="75" t="s">
        <v>429</v>
      </c>
      <c r="U1260" s="75">
        <v>10</v>
      </c>
      <c r="V1260" s="906">
        <f>6/12</f>
        <v>0.5</v>
      </c>
      <c r="W1260" s="912">
        <f>ROUND(P1259/V1260,0)+1</f>
        <v>19</v>
      </c>
      <c r="X1260" s="907">
        <f>P1258+2*Q1258</f>
        <v>16.666666666666668</v>
      </c>
    </row>
    <row r="1261" spans="1:24" s="487" customFormat="1" ht="18" customHeight="1">
      <c r="A1261" s="478"/>
      <c r="B1261" s="336" t="s">
        <v>527</v>
      </c>
      <c r="C1261" s="969">
        <f>W1261</f>
        <v>33</v>
      </c>
      <c r="D1261" s="480" t="s">
        <v>87</v>
      </c>
      <c r="E1261" s="481">
        <f>E1260</f>
        <v>1</v>
      </c>
      <c r="F1261" s="482">
        <f>F1259</f>
        <v>9</v>
      </c>
      <c r="G1261" s="483">
        <f>G1259</f>
        <v>8</v>
      </c>
      <c r="H1261" s="484"/>
      <c r="I1261" s="483"/>
      <c r="J1261" s="484"/>
      <c r="K1261" s="483"/>
      <c r="L1261" s="948">
        <f>C1261*E1261*(F1261+G1261/12)</f>
        <v>319</v>
      </c>
      <c r="M1261" s="485"/>
      <c r="N1261" s="485"/>
      <c r="O1261" s="486"/>
      <c r="P1261" s="915"/>
      <c r="Q1261" s="916"/>
      <c r="R1261" s="917">
        <f t="shared" si="373"/>
        <v>1</v>
      </c>
      <c r="S1261" s="916">
        <f>1.5/12</f>
        <v>0.125</v>
      </c>
      <c r="T1261" s="75" t="s">
        <v>705</v>
      </c>
      <c r="U1261" s="75">
        <v>10</v>
      </c>
      <c r="V1261" s="906">
        <f t="shared" ref="V1261" si="374">6/12</f>
        <v>0.5</v>
      </c>
      <c r="W1261" s="912">
        <f>ROUND(P1258/V1261,0)+1</f>
        <v>33</v>
      </c>
      <c r="X1261" s="907">
        <f>P1259+2*Q1258</f>
        <v>9.6666666666666661</v>
      </c>
    </row>
    <row r="1262" spans="1:24" s="487" customFormat="1" ht="18" customHeight="1">
      <c r="A1262" s="478"/>
      <c r="B1262" s="956" t="s">
        <v>370</v>
      </c>
      <c r="C1262" s="957">
        <f>C255</f>
        <v>1</v>
      </c>
      <c r="D1262" s="958" t="s">
        <v>87</v>
      </c>
      <c r="E1262" s="959">
        <f>E255</f>
        <v>1</v>
      </c>
      <c r="F1262" s="960">
        <v>13</v>
      </c>
      <c r="G1262" s="961">
        <v>6</v>
      </c>
      <c r="H1262" s="962">
        <v>11</v>
      </c>
      <c r="I1262" s="961">
        <v>11</v>
      </c>
      <c r="J1262" s="484"/>
      <c r="K1262" s="483"/>
      <c r="L1262" s="948"/>
      <c r="M1262" s="485"/>
      <c r="N1262" s="485"/>
      <c r="O1262" s="486"/>
    </row>
    <row r="1263" spans="1:24" s="487" customFormat="1" ht="18" customHeight="1">
      <c r="A1263" s="478"/>
      <c r="B1263" s="336" t="s">
        <v>528</v>
      </c>
      <c r="C1263" s="969">
        <f>W1263</f>
        <v>37</v>
      </c>
      <c r="D1263" s="480" t="s">
        <v>87</v>
      </c>
      <c r="E1263" s="481">
        <f>C1262*E1262</f>
        <v>1</v>
      </c>
      <c r="F1263" s="482">
        <v>14</v>
      </c>
      <c r="G1263" s="483">
        <v>2</v>
      </c>
      <c r="H1263" s="484"/>
      <c r="I1263" s="483"/>
      <c r="J1263" s="484"/>
      <c r="K1263" s="483"/>
      <c r="L1263" s="948">
        <f>C1263*E1263*(F1263+G1263/12)</f>
        <v>524.16666666666663</v>
      </c>
      <c r="M1263" s="485"/>
      <c r="N1263" s="485"/>
      <c r="O1263" s="486"/>
      <c r="P1263" s="915">
        <f>F1262+G1262/12</f>
        <v>13.5</v>
      </c>
      <c r="Q1263" s="964">
        <f>4/12</f>
        <v>0.33333333333333331</v>
      </c>
      <c r="R1263" s="917">
        <f>E1262*C1262</f>
        <v>1</v>
      </c>
      <c r="S1263" s="916">
        <f>1.5/12</f>
        <v>0.125</v>
      </c>
      <c r="T1263" s="75" t="s">
        <v>428</v>
      </c>
      <c r="U1263" s="75">
        <v>10</v>
      </c>
      <c r="V1263" s="906">
        <f>4/12</f>
        <v>0.33333333333333331</v>
      </c>
      <c r="W1263" s="912">
        <f>ROUND(P1264/V1263,0)+1</f>
        <v>37</v>
      </c>
      <c r="X1263" s="907">
        <f>P1263+2*Q1263</f>
        <v>14.166666666666666</v>
      </c>
    </row>
    <row r="1264" spans="1:24" s="487" customFormat="1" ht="18" customHeight="1">
      <c r="A1264" s="478"/>
      <c r="B1264" s="336" t="s">
        <v>529</v>
      </c>
      <c r="C1264" s="969">
        <f>W1264</f>
        <v>42</v>
      </c>
      <c r="D1264" s="480" t="s">
        <v>87</v>
      </c>
      <c r="E1264" s="481">
        <f>C1262*E1262</f>
        <v>1</v>
      </c>
      <c r="F1264" s="482">
        <v>12</v>
      </c>
      <c r="G1264" s="483">
        <v>7</v>
      </c>
      <c r="H1264" s="484"/>
      <c r="I1264" s="483"/>
      <c r="J1264" s="484"/>
      <c r="K1264" s="483"/>
      <c r="L1264" s="948">
        <f>C1264*E1264*(F1264+G1264/12)</f>
        <v>528.5</v>
      </c>
      <c r="M1264" s="485"/>
      <c r="N1264" s="485"/>
      <c r="O1264" s="486"/>
      <c r="P1264" s="915">
        <f>H1262+I1262/12</f>
        <v>11.916666666666666</v>
      </c>
      <c r="Q1264" s="916"/>
      <c r="R1264" s="917">
        <f>R1263</f>
        <v>1</v>
      </c>
      <c r="S1264" s="916">
        <f>1.5/12</f>
        <v>0.125</v>
      </c>
      <c r="T1264" s="75" t="s">
        <v>704</v>
      </c>
      <c r="U1264" s="75">
        <v>10</v>
      </c>
      <c r="V1264" s="906">
        <f>4/12</f>
        <v>0.33333333333333331</v>
      </c>
      <c r="W1264" s="912">
        <f>ROUND(P1263/V1264,0)+1</f>
        <v>42</v>
      </c>
      <c r="X1264" s="907">
        <f>P1264+2*Q1263</f>
        <v>12.583333333333332</v>
      </c>
    </row>
    <row r="1265" spans="1:24" s="487" customFormat="1" ht="18" customHeight="1">
      <c r="A1265" s="478"/>
      <c r="B1265" s="336" t="s">
        <v>526</v>
      </c>
      <c r="C1265" s="969">
        <f>W1265</f>
        <v>25</v>
      </c>
      <c r="D1265" s="480" t="s">
        <v>87</v>
      </c>
      <c r="E1265" s="481">
        <f>E1263</f>
        <v>1</v>
      </c>
      <c r="F1265" s="482">
        <f>F1263</f>
        <v>14</v>
      </c>
      <c r="G1265" s="483">
        <f>G1263</f>
        <v>2</v>
      </c>
      <c r="H1265" s="484"/>
      <c r="I1265" s="483"/>
      <c r="J1265" s="484"/>
      <c r="K1265" s="483"/>
      <c r="L1265" s="948">
        <f>C1265*E1265*(F1265+G1265/12)</f>
        <v>354.16666666666663</v>
      </c>
      <c r="M1265" s="485"/>
      <c r="N1265" s="485"/>
      <c r="O1265" s="486"/>
      <c r="P1265" s="915"/>
      <c r="Q1265" s="964"/>
      <c r="R1265" s="917">
        <f t="shared" ref="R1265:R1266" si="375">R1264</f>
        <v>1</v>
      </c>
      <c r="S1265" s="916">
        <f>1.5/12</f>
        <v>0.125</v>
      </c>
      <c r="T1265" s="75" t="s">
        <v>429</v>
      </c>
      <c r="U1265" s="75">
        <v>10</v>
      </c>
      <c r="V1265" s="906">
        <f>6/12</f>
        <v>0.5</v>
      </c>
      <c r="W1265" s="912">
        <f>ROUND(P1264/V1265,0)+1</f>
        <v>25</v>
      </c>
      <c r="X1265" s="907">
        <f>P1263+2*Q1263</f>
        <v>14.166666666666666</v>
      </c>
    </row>
    <row r="1266" spans="1:24" s="487" customFormat="1" ht="18" customHeight="1">
      <c r="A1266" s="478"/>
      <c r="B1266" s="336" t="s">
        <v>527</v>
      </c>
      <c r="C1266" s="969">
        <f>W1266</f>
        <v>28</v>
      </c>
      <c r="D1266" s="480" t="s">
        <v>87</v>
      </c>
      <c r="E1266" s="481">
        <f>E1265</f>
        <v>1</v>
      </c>
      <c r="F1266" s="482">
        <f>F1264</f>
        <v>12</v>
      </c>
      <c r="G1266" s="483">
        <f>G1264</f>
        <v>7</v>
      </c>
      <c r="H1266" s="484"/>
      <c r="I1266" s="483"/>
      <c r="J1266" s="484"/>
      <c r="K1266" s="483"/>
      <c r="L1266" s="948">
        <f>C1266*E1266*(F1266+G1266/12)</f>
        <v>352.33333333333337</v>
      </c>
      <c r="M1266" s="485"/>
      <c r="N1266" s="485"/>
      <c r="O1266" s="486"/>
      <c r="P1266" s="915"/>
      <c r="Q1266" s="916"/>
      <c r="R1266" s="917">
        <f t="shared" si="375"/>
        <v>1</v>
      </c>
      <c r="S1266" s="916">
        <f>1.5/12</f>
        <v>0.125</v>
      </c>
      <c r="T1266" s="75" t="s">
        <v>705</v>
      </c>
      <c r="U1266" s="75">
        <v>10</v>
      </c>
      <c r="V1266" s="906">
        <f t="shared" ref="V1266" si="376">6/12</f>
        <v>0.5</v>
      </c>
      <c r="W1266" s="912">
        <f>ROUND(P1263/V1266,0)+1</f>
        <v>28</v>
      </c>
      <c r="X1266" s="907">
        <f>P1264+2*Q1263</f>
        <v>12.583333333333332</v>
      </c>
    </row>
    <row r="1267" spans="1:24" s="487" customFormat="1" ht="18" customHeight="1">
      <c r="A1267" s="478"/>
      <c r="B1267" s="956" t="s">
        <v>362</v>
      </c>
      <c r="C1267" s="957">
        <f>C256</f>
        <v>1</v>
      </c>
      <c r="D1267" s="958" t="s">
        <v>87</v>
      </c>
      <c r="E1267" s="959">
        <f>E256</f>
        <v>1</v>
      </c>
      <c r="F1267" s="960">
        <v>16</v>
      </c>
      <c r="G1267" s="961">
        <v>0</v>
      </c>
      <c r="H1267" s="962">
        <v>11</v>
      </c>
      <c r="I1267" s="961">
        <v>11</v>
      </c>
      <c r="J1267" s="484"/>
      <c r="K1267" s="483"/>
      <c r="L1267" s="948"/>
      <c r="M1267" s="485"/>
      <c r="N1267" s="485"/>
      <c r="O1267" s="486"/>
    </row>
    <row r="1268" spans="1:24" s="487" customFormat="1" ht="18" customHeight="1">
      <c r="A1268" s="478"/>
      <c r="B1268" s="336" t="s">
        <v>528</v>
      </c>
      <c r="C1268" s="969">
        <f>W1268</f>
        <v>37</v>
      </c>
      <c r="D1268" s="480" t="s">
        <v>87</v>
      </c>
      <c r="E1268" s="481">
        <f>C1267*E1267</f>
        <v>1</v>
      </c>
      <c r="F1268" s="482">
        <v>16</v>
      </c>
      <c r="G1268" s="483">
        <v>8</v>
      </c>
      <c r="H1268" s="484"/>
      <c r="I1268" s="483"/>
      <c r="J1268" s="484"/>
      <c r="K1268" s="483"/>
      <c r="L1268" s="948">
        <f>C1268*E1268*(F1268+G1268/12)</f>
        <v>616.66666666666674</v>
      </c>
      <c r="M1268" s="485"/>
      <c r="N1268" s="485"/>
      <c r="O1268" s="486"/>
      <c r="P1268" s="915">
        <f>F1267+G1267/12</f>
        <v>16</v>
      </c>
      <c r="Q1268" s="964">
        <f>4/12</f>
        <v>0.33333333333333331</v>
      </c>
      <c r="R1268" s="917">
        <f>E1267*C1267</f>
        <v>1</v>
      </c>
      <c r="S1268" s="916">
        <f>1.5/12</f>
        <v>0.125</v>
      </c>
      <c r="T1268" s="75" t="s">
        <v>428</v>
      </c>
      <c r="U1268" s="75">
        <v>10</v>
      </c>
      <c r="V1268" s="906">
        <f>4/12</f>
        <v>0.33333333333333331</v>
      </c>
      <c r="W1268" s="912">
        <f>ROUND(P1269/V1268,0)+1</f>
        <v>37</v>
      </c>
      <c r="X1268" s="907">
        <f>P1268+2*Q1268</f>
        <v>16.666666666666668</v>
      </c>
    </row>
    <row r="1269" spans="1:24" s="487" customFormat="1" ht="18" customHeight="1">
      <c r="A1269" s="478"/>
      <c r="B1269" s="336" t="s">
        <v>529</v>
      </c>
      <c r="C1269" s="969">
        <f>W1269</f>
        <v>49</v>
      </c>
      <c r="D1269" s="480" t="s">
        <v>87</v>
      </c>
      <c r="E1269" s="481">
        <f>C1267*E1267</f>
        <v>1</v>
      </c>
      <c r="F1269" s="482">
        <v>12</v>
      </c>
      <c r="G1269" s="483">
        <v>7</v>
      </c>
      <c r="H1269" s="484"/>
      <c r="I1269" s="483"/>
      <c r="J1269" s="484"/>
      <c r="K1269" s="483"/>
      <c r="L1269" s="948">
        <f>C1269*E1269*(F1269+G1269/12)</f>
        <v>616.58333333333337</v>
      </c>
      <c r="M1269" s="485"/>
      <c r="N1269" s="485"/>
      <c r="O1269" s="486"/>
      <c r="P1269" s="915">
        <f>H1267+I1267/12</f>
        <v>11.916666666666666</v>
      </c>
      <c r="Q1269" s="916"/>
      <c r="R1269" s="917">
        <f>R1268</f>
        <v>1</v>
      </c>
      <c r="S1269" s="916">
        <f>1.5/12</f>
        <v>0.125</v>
      </c>
      <c r="T1269" s="75" t="s">
        <v>704</v>
      </c>
      <c r="U1269" s="75">
        <v>10</v>
      </c>
      <c r="V1269" s="906">
        <f>4/12</f>
        <v>0.33333333333333331</v>
      </c>
      <c r="W1269" s="912">
        <f>ROUND(P1268/V1269,0)+1</f>
        <v>49</v>
      </c>
      <c r="X1269" s="907">
        <f>P1269+2*Q1268</f>
        <v>12.583333333333332</v>
      </c>
    </row>
    <row r="1270" spans="1:24" s="487" customFormat="1" ht="18" customHeight="1">
      <c r="A1270" s="478"/>
      <c r="B1270" s="336" t="s">
        <v>526</v>
      </c>
      <c r="C1270" s="969">
        <f>W1270</f>
        <v>25</v>
      </c>
      <c r="D1270" s="480" t="s">
        <v>87</v>
      </c>
      <c r="E1270" s="481">
        <f>E1268</f>
        <v>1</v>
      </c>
      <c r="F1270" s="482">
        <f>F1268</f>
        <v>16</v>
      </c>
      <c r="G1270" s="483">
        <f>G1268</f>
        <v>8</v>
      </c>
      <c r="H1270" s="484"/>
      <c r="I1270" s="483"/>
      <c r="J1270" s="484"/>
      <c r="K1270" s="483"/>
      <c r="L1270" s="948">
        <f>C1270*E1270*(F1270+G1270/12)</f>
        <v>416.66666666666669</v>
      </c>
      <c r="M1270" s="485"/>
      <c r="N1270" s="485"/>
      <c r="O1270" s="486"/>
      <c r="P1270" s="915"/>
      <c r="Q1270" s="964"/>
      <c r="R1270" s="917">
        <f t="shared" ref="R1270:R1271" si="377">R1269</f>
        <v>1</v>
      </c>
      <c r="S1270" s="916">
        <f>1.5/12</f>
        <v>0.125</v>
      </c>
      <c r="T1270" s="75" t="s">
        <v>429</v>
      </c>
      <c r="U1270" s="75">
        <v>10</v>
      </c>
      <c r="V1270" s="906">
        <f>6/12</f>
        <v>0.5</v>
      </c>
      <c r="W1270" s="912">
        <f>ROUND(P1269/V1270,0)+1</f>
        <v>25</v>
      </c>
      <c r="X1270" s="907">
        <f>P1268+2*Q1268</f>
        <v>16.666666666666668</v>
      </c>
    </row>
    <row r="1271" spans="1:24" s="487" customFormat="1" ht="18" customHeight="1">
      <c r="A1271" s="478"/>
      <c r="B1271" s="336" t="s">
        <v>527</v>
      </c>
      <c r="C1271" s="969">
        <f>W1271</f>
        <v>33</v>
      </c>
      <c r="D1271" s="480" t="s">
        <v>87</v>
      </c>
      <c r="E1271" s="481">
        <f>E1270</f>
        <v>1</v>
      </c>
      <c r="F1271" s="482">
        <f>F1269</f>
        <v>12</v>
      </c>
      <c r="G1271" s="483">
        <f>G1269</f>
        <v>7</v>
      </c>
      <c r="H1271" s="484"/>
      <c r="I1271" s="483"/>
      <c r="J1271" s="484"/>
      <c r="K1271" s="483"/>
      <c r="L1271" s="948">
        <f>C1271*E1271*(F1271+G1271/12)</f>
        <v>415.25</v>
      </c>
      <c r="M1271" s="485"/>
      <c r="N1271" s="485"/>
      <c r="O1271" s="486"/>
      <c r="P1271" s="915"/>
      <c r="Q1271" s="916"/>
      <c r="R1271" s="917">
        <f t="shared" si="377"/>
        <v>1</v>
      </c>
      <c r="S1271" s="916">
        <f>1.5/12</f>
        <v>0.125</v>
      </c>
      <c r="T1271" s="75" t="s">
        <v>705</v>
      </c>
      <c r="U1271" s="75">
        <v>10</v>
      </c>
      <c r="V1271" s="906">
        <f t="shared" ref="V1271" si="378">6/12</f>
        <v>0.5</v>
      </c>
      <c r="W1271" s="912">
        <f>ROUND(P1268/V1271,0)+1</f>
        <v>33</v>
      </c>
      <c r="X1271" s="907">
        <f>P1269+2*Q1268</f>
        <v>12.583333333333332</v>
      </c>
    </row>
    <row r="1272" spans="1:24" s="487" customFormat="1" ht="18" customHeight="1">
      <c r="A1272" s="478"/>
      <c r="B1272" s="726" t="s">
        <v>363</v>
      </c>
      <c r="C1272" s="957"/>
      <c r="D1272" s="958"/>
      <c r="E1272" s="959"/>
      <c r="F1272" s="960"/>
      <c r="G1272" s="961"/>
      <c r="H1272" s="962"/>
      <c r="I1272" s="961"/>
      <c r="J1272" s="484"/>
      <c r="K1272" s="483"/>
      <c r="L1272" s="948"/>
      <c r="M1272" s="485"/>
      <c r="N1272" s="485"/>
      <c r="O1272" s="486"/>
    </row>
    <row r="1273" spans="1:24" s="487" customFormat="1" ht="18" customHeight="1">
      <c r="A1273" s="478"/>
      <c r="B1273" s="956" t="s">
        <v>371</v>
      </c>
      <c r="C1273" s="957">
        <f>C259</f>
        <v>1</v>
      </c>
      <c r="D1273" s="958" t="s">
        <v>87</v>
      </c>
      <c r="E1273" s="959">
        <f>E259</f>
        <v>1</v>
      </c>
      <c r="F1273" s="960">
        <v>16</v>
      </c>
      <c r="G1273" s="961">
        <v>0</v>
      </c>
      <c r="H1273" s="962">
        <v>5</v>
      </c>
      <c r="I1273" s="961">
        <v>8</v>
      </c>
      <c r="J1273" s="484"/>
      <c r="K1273" s="483"/>
      <c r="L1273" s="948"/>
      <c r="M1273" s="485"/>
      <c r="N1273" s="485"/>
      <c r="O1273" s="486"/>
    </row>
    <row r="1274" spans="1:24" ht="18" customHeight="1">
      <c r="A1274" s="474"/>
      <c r="B1274" s="336" t="s">
        <v>530</v>
      </c>
      <c r="C1274" s="969">
        <f>W1274</f>
        <v>18</v>
      </c>
      <c r="D1274" s="480" t="s">
        <v>87</v>
      </c>
      <c r="E1274" s="481">
        <f>C1273*E1273</f>
        <v>1</v>
      </c>
      <c r="F1274" s="482">
        <v>16</v>
      </c>
      <c r="G1274" s="483">
        <v>8</v>
      </c>
      <c r="H1274" s="484"/>
      <c r="I1274" s="483"/>
      <c r="J1274" s="484"/>
      <c r="K1274" s="483"/>
      <c r="L1274" s="948">
        <f>C1274*E1274*(F1274+G1274/12)</f>
        <v>300</v>
      </c>
      <c r="M1274" s="485"/>
      <c r="N1274" s="485"/>
      <c r="O1274" s="486"/>
      <c r="P1274" s="915">
        <f>F1273+G1273/12</f>
        <v>16</v>
      </c>
      <c r="Q1274" s="964">
        <f>4/12</f>
        <v>0.33333333333333331</v>
      </c>
      <c r="R1274" s="917">
        <f>E1273*C1273</f>
        <v>1</v>
      </c>
      <c r="S1274" s="916">
        <f>1.5/12</f>
        <v>0.125</v>
      </c>
      <c r="T1274" s="75" t="s">
        <v>428</v>
      </c>
      <c r="U1274" s="75">
        <v>10</v>
      </c>
      <c r="V1274" s="906">
        <f>4/12</f>
        <v>0.33333333333333331</v>
      </c>
      <c r="W1274" s="912">
        <f>ROUND(P1275/V1274,0)+1</f>
        <v>18</v>
      </c>
      <c r="X1274" s="907">
        <f>P1274+2*Q1274</f>
        <v>16.666666666666668</v>
      </c>
    </row>
    <row r="1275" spans="1:24" ht="18" customHeight="1">
      <c r="A1275" s="474"/>
      <c r="B1275" s="336" t="s">
        <v>706</v>
      </c>
      <c r="C1275" s="969">
        <f>W1275</f>
        <v>49</v>
      </c>
      <c r="D1275" s="480" t="s">
        <v>87</v>
      </c>
      <c r="E1275" s="481">
        <f>E1274</f>
        <v>1</v>
      </c>
      <c r="F1275" s="482">
        <v>6</v>
      </c>
      <c r="G1275" s="483">
        <v>4</v>
      </c>
      <c r="H1275" s="484"/>
      <c r="I1275" s="483"/>
      <c r="J1275" s="484"/>
      <c r="K1275" s="483"/>
      <c r="L1275" s="948">
        <f>C1275*E1275*(F1275+G1275/12)</f>
        <v>310.33333333333331</v>
      </c>
      <c r="M1275" s="485"/>
      <c r="N1275" s="485"/>
      <c r="O1275" s="486"/>
      <c r="P1275" s="915">
        <f>H1273+I1273/12</f>
        <v>5.666666666666667</v>
      </c>
      <c r="Q1275" s="916"/>
      <c r="R1275" s="917">
        <f>R1274</f>
        <v>1</v>
      </c>
      <c r="S1275" s="916">
        <f>1.5/12</f>
        <v>0.125</v>
      </c>
      <c r="T1275" s="75" t="s">
        <v>704</v>
      </c>
      <c r="U1275" s="75">
        <v>10</v>
      </c>
      <c r="V1275" s="906">
        <f>4/12</f>
        <v>0.33333333333333331</v>
      </c>
      <c r="W1275" s="912">
        <f>ROUND(P1274/V1275,0)+1</f>
        <v>49</v>
      </c>
      <c r="X1275" s="907">
        <f>P1275+2*Q1274</f>
        <v>6.3333333333333339</v>
      </c>
    </row>
    <row r="1276" spans="1:24" ht="18" customHeight="1">
      <c r="A1276" s="474"/>
      <c r="B1276" s="336" t="s">
        <v>532</v>
      </c>
      <c r="C1276" s="969">
        <f>W1276</f>
        <v>12</v>
      </c>
      <c r="D1276" s="480" t="s">
        <v>87</v>
      </c>
      <c r="E1276" s="481">
        <f t="shared" ref="E1276:E1277" si="379">E1275</f>
        <v>1</v>
      </c>
      <c r="F1276" s="482">
        <f>F1274</f>
        <v>16</v>
      </c>
      <c r="G1276" s="483">
        <f>G1274</f>
        <v>8</v>
      </c>
      <c r="H1276" s="484"/>
      <c r="I1276" s="483"/>
      <c r="J1276" s="484"/>
      <c r="K1276" s="483"/>
      <c r="L1276" s="948">
        <f t="shared" ref="L1276:L1277" si="380">C1276*E1276*(F1276+G1276/12)</f>
        <v>200</v>
      </c>
      <c r="M1276" s="485"/>
      <c r="N1276" s="485"/>
      <c r="O1276" s="486"/>
      <c r="P1276" s="915"/>
      <c r="Q1276" s="964"/>
      <c r="R1276" s="917">
        <f t="shared" ref="R1276:R1277" si="381">R1275</f>
        <v>1</v>
      </c>
      <c r="S1276" s="916">
        <f>1.5/12</f>
        <v>0.125</v>
      </c>
      <c r="T1276" s="75" t="s">
        <v>429</v>
      </c>
      <c r="U1276" s="75">
        <v>10</v>
      </c>
      <c r="V1276" s="906">
        <f>6/12</f>
        <v>0.5</v>
      </c>
      <c r="W1276" s="912">
        <f>ROUND(P1275/V1276,0)+1</f>
        <v>12</v>
      </c>
      <c r="X1276" s="907">
        <f>P1274+2*Q1274</f>
        <v>16.666666666666668</v>
      </c>
    </row>
    <row r="1277" spans="1:24" ht="18" customHeight="1">
      <c r="A1277" s="474"/>
      <c r="B1277" s="336" t="s">
        <v>707</v>
      </c>
      <c r="C1277" s="969">
        <f>W1277</f>
        <v>33</v>
      </c>
      <c r="D1277" s="480" t="s">
        <v>87</v>
      </c>
      <c r="E1277" s="481">
        <f t="shared" si="379"/>
        <v>1</v>
      </c>
      <c r="F1277" s="482">
        <f>F1275</f>
        <v>6</v>
      </c>
      <c r="G1277" s="483">
        <f>G1275</f>
        <v>4</v>
      </c>
      <c r="H1277" s="484"/>
      <c r="I1277" s="483"/>
      <c r="J1277" s="484"/>
      <c r="K1277" s="483"/>
      <c r="L1277" s="948">
        <f t="shared" si="380"/>
        <v>209</v>
      </c>
      <c r="M1277" s="485"/>
      <c r="N1277" s="485"/>
      <c r="O1277" s="486"/>
      <c r="P1277" s="915"/>
      <c r="Q1277" s="916"/>
      <c r="R1277" s="917">
        <f t="shared" si="381"/>
        <v>1</v>
      </c>
      <c r="S1277" s="916">
        <f>1.5/12</f>
        <v>0.125</v>
      </c>
      <c r="T1277" s="75" t="s">
        <v>705</v>
      </c>
      <c r="U1277" s="75">
        <v>10</v>
      </c>
      <c r="V1277" s="906">
        <f t="shared" ref="V1277" si="382">6/12</f>
        <v>0.5</v>
      </c>
      <c r="W1277" s="912">
        <f>ROUND(P1274/V1277,0)+1</f>
        <v>33</v>
      </c>
      <c r="X1277" s="907">
        <f>P1275+2*Q1274</f>
        <v>6.3333333333333339</v>
      </c>
    </row>
    <row r="1278" spans="1:24" s="487" customFormat="1" ht="18" customHeight="1">
      <c r="A1278" s="478"/>
      <c r="B1278" s="956" t="s">
        <v>365</v>
      </c>
      <c r="C1278" s="957">
        <f>C260</f>
        <v>1</v>
      </c>
      <c r="D1278" s="958" t="s">
        <v>87</v>
      </c>
      <c r="E1278" s="959">
        <f>E260</f>
        <v>1</v>
      </c>
      <c r="F1278" s="960">
        <f>F260</f>
        <v>4</v>
      </c>
      <c r="G1278" s="961">
        <v>6</v>
      </c>
      <c r="H1278" s="962">
        <f>H260</f>
        <v>9</v>
      </c>
      <c r="I1278" s="961">
        <f>I260</f>
        <v>0</v>
      </c>
      <c r="J1278" s="484"/>
      <c r="K1278" s="483"/>
      <c r="L1278" s="948"/>
      <c r="M1278" s="485"/>
      <c r="N1278" s="485"/>
      <c r="O1278" s="486"/>
    </row>
    <row r="1279" spans="1:24" s="487" customFormat="1" ht="18" customHeight="1">
      <c r="A1279" s="478"/>
      <c r="B1279" s="336" t="s">
        <v>530</v>
      </c>
      <c r="C1279" s="969">
        <f>W1279</f>
        <v>28</v>
      </c>
      <c r="D1279" s="480" t="s">
        <v>87</v>
      </c>
      <c r="E1279" s="481">
        <f>C1278*E1278</f>
        <v>1</v>
      </c>
      <c r="F1279" s="482">
        <v>5</v>
      </c>
      <c r="G1279" s="483">
        <v>2</v>
      </c>
      <c r="H1279" s="484"/>
      <c r="I1279" s="483"/>
      <c r="J1279" s="484"/>
      <c r="K1279" s="483"/>
      <c r="L1279" s="948">
        <f>C1279*E1279*(F1279+G1279/12)</f>
        <v>144.66666666666669</v>
      </c>
      <c r="M1279" s="485"/>
      <c r="N1279" s="485"/>
      <c r="O1279" s="486"/>
      <c r="P1279" s="915">
        <f>F1278+G1278/12</f>
        <v>4.5</v>
      </c>
      <c r="Q1279" s="964">
        <f>4/12</f>
        <v>0.33333333333333331</v>
      </c>
      <c r="R1279" s="917">
        <f>E1278*C1278</f>
        <v>1</v>
      </c>
      <c r="S1279" s="916">
        <f>1.5/12</f>
        <v>0.125</v>
      </c>
      <c r="T1279" s="75" t="s">
        <v>428</v>
      </c>
      <c r="U1279" s="75">
        <v>10</v>
      </c>
      <c r="V1279" s="906">
        <f>4/12</f>
        <v>0.33333333333333331</v>
      </c>
      <c r="W1279" s="912">
        <f>ROUND(P1280/V1279,0)+1</f>
        <v>28</v>
      </c>
      <c r="X1279" s="907">
        <f>P1279+2*Q1279</f>
        <v>5.166666666666667</v>
      </c>
    </row>
    <row r="1280" spans="1:24" s="487" customFormat="1" ht="18" customHeight="1">
      <c r="A1280" s="478"/>
      <c r="B1280" s="336" t="s">
        <v>706</v>
      </c>
      <c r="C1280" s="969">
        <f>W1280</f>
        <v>15</v>
      </c>
      <c r="D1280" s="480" t="s">
        <v>87</v>
      </c>
      <c r="E1280" s="481">
        <f>E1279</f>
        <v>1</v>
      </c>
      <c r="F1280" s="482">
        <v>9</v>
      </c>
      <c r="G1280" s="483">
        <v>8</v>
      </c>
      <c r="H1280" s="484"/>
      <c r="I1280" s="483"/>
      <c r="J1280" s="484"/>
      <c r="K1280" s="483"/>
      <c r="L1280" s="948">
        <f>C1280*E1280*(F1280+G1280/12)</f>
        <v>145</v>
      </c>
      <c r="M1280" s="485"/>
      <c r="N1280" s="485"/>
      <c r="O1280" s="486"/>
      <c r="P1280" s="915">
        <f>H1278+I1278/12</f>
        <v>9</v>
      </c>
      <c r="Q1280" s="916"/>
      <c r="R1280" s="917">
        <f>R1279</f>
        <v>1</v>
      </c>
      <c r="S1280" s="916">
        <f>1.5/12</f>
        <v>0.125</v>
      </c>
      <c r="T1280" s="75" t="s">
        <v>704</v>
      </c>
      <c r="U1280" s="75">
        <v>10</v>
      </c>
      <c r="V1280" s="906">
        <f>4/12</f>
        <v>0.33333333333333331</v>
      </c>
      <c r="W1280" s="912">
        <f>ROUND(P1279/V1280,0)+1</f>
        <v>15</v>
      </c>
      <c r="X1280" s="907">
        <f>P1280+2*Q1279</f>
        <v>9.6666666666666661</v>
      </c>
    </row>
    <row r="1281" spans="1:24" s="487" customFormat="1" ht="18" customHeight="1">
      <c r="A1281" s="478"/>
      <c r="B1281" s="336" t="s">
        <v>532</v>
      </c>
      <c r="C1281" s="969">
        <f>W1281</f>
        <v>19</v>
      </c>
      <c r="D1281" s="480" t="s">
        <v>87</v>
      </c>
      <c r="E1281" s="481">
        <f t="shared" ref="E1281:E1282" si="383">E1280</f>
        <v>1</v>
      </c>
      <c r="F1281" s="482">
        <f>F1279</f>
        <v>5</v>
      </c>
      <c r="G1281" s="483">
        <f>G1279</f>
        <v>2</v>
      </c>
      <c r="H1281" s="484"/>
      <c r="I1281" s="483"/>
      <c r="J1281" s="484"/>
      <c r="K1281" s="483"/>
      <c r="L1281" s="948">
        <f t="shared" ref="L1281:L1282" si="384">C1281*E1281*(F1281+G1281/12)</f>
        <v>98.166666666666671</v>
      </c>
      <c r="M1281" s="485"/>
      <c r="N1281" s="485"/>
      <c r="O1281" s="486"/>
      <c r="P1281" s="915"/>
      <c r="Q1281" s="964"/>
      <c r="R1281" s="917">
        <f t="shared" ref="R1281:R1282" si="385">R1280</f>
        <v>1</v>
      </c>
      <c r="S1281" s="916">
        <f>1.5/12</f>
        <v>0.125</v>
      </c>
      <c r="T1281" s="75" t="s">
        <v>429</v>
      </c>
      <c r="U1281" s="75">
        <v>10</v>
      </c>
      <c r="V1281" s="906">
        <f>6/12</f>
        <v>0.5</v>
      </c>
      <c r="W1281" s="912">
        <f>ROUND(P1280/V1281,0)+1</f>
        <v>19</v>
      </c>
      <c r="X1281" s="907">
        <f>P1279+2*Q1279</f>
        <v>5.166666666666667</v>
      </c>
    </row>
    <row r="1282" spans="1:24" s="487" customFormat="1" ht="18" customHeight="1">
      <c r="A1282" s="478"/>
      <c r="B1282" s="336" t="s">
        <v>707</v>
      </c>
      <c r="C1282" s="969">
        <f>W1282</f>
        <v>10</v>
      </c>
      <c r="D1282" s="480" t="s">
        <v>87</v>
      </c>
      <c r="E1282" s="481">
        <f t="shared" si="383"/>
        <v>1</v>
      </c>
      <c r="F1282" s="482">
        <f>F1280</f>
        <v>9</v>
      </c>
      <c r="G1282" s="483">
        <f>G1280</f>
        <v>8</v>
      </c>
      <c r="H1282" s="484"/>
      <c r="I1282" s="483"/>
      <c r="J1282" s="484"/>
      <c r="K1282" s="483"/>
      <c r="L1282" s="948">
        <f t="shared" si="384"/>
        <v>96.666666666666657</v>
      </c>
      <c r="M1282" s="485"/>
      <c r="N1282" s="485"/>
      <c r="O1282" s="486"/>
      <c r="P1282" s="915"/>
      <c r="Q1282" s="916"/>
      <c r="R1282" s="917">
        <f t="shared" si="385"/>
        <v>1</v>
      </c>
      <c r="S1282" s="916">
        <f>1.5/12</f>
        <v>0.125</v>
      </c>
      <c r="T1282" s="75" t="s">
        <v>705</v>
      </c>
      <c r="U1282" s="75">
        <v>10</v>
      </c>
      <c r="V1282" s="906">
        <f t="shared" ref="V1282" si="386">6/12</f>
        <v>0.5</v>
      </c>
      <c r="W1282" s="912">
        <f>ROUND(P1279/V1282,0)+1</f>
        <v>10</v>
      </c>
      <c r="X1282" s="907">
        <f>P1280+2*Q1279</f>
        <v>9.6666666666666661</v>
      </c>
    </row>
    <row r="1283" spans="1:24" s="487" customFormat="1" ht="18" customHeight="1">
      <c r="A1283" s="478"/>
      <c r="B1283" s="956" t="s">
        <v>372</v>
      </c>
      <c r="C1283" s="957">
        <f>C261</f>
        <v>1</v>
      </c>
      <c r="D1283" s="958" t="s">
        <v>87</v>
      </c>
      <c r="E1283" s="959">
        <f>E261</f>
        <v>1</v>
      </c>
      <c r="F1283" s="960">
        <v>13</v>
      </c>
      <c r="G1283" s="961">
        <v>6</v>
      </c>
      <c r="H1283" s="962">
        <v>4</v>
      </c>
      <c r="I1283" s="961">
        <v>0</v>
      </c>
      <c r="J1283" s="484"/>
      <c r="K1283" s="483"/>
      <c r="L1283" s="948"/>
      <c r="M1283" s="485"/>
      <c r="N1283" s="485"/>
      <c r="O1283" s="486"/>
    </row>
    <row r="1284" spans="1:24" s="487" customFormat="1" ht="18" customHeight="1">
      <c r="A1284" s="478"/>
      <c r="B1284" s="336" t="s">
        <v>530</v>
      </c>
      <c r="C1284" s="969">
        <f>W1284</f>
        <v>13</v>
      </c>
      <c r="D1284" s="480" t="s">
        <v>87</v>
      </c>
      <c r="E1284" s="481">
        <f>C1283*E1283</f>
        <v>1</v>
      </c>
      <c r="F1284" s="482">
        <v>14</v>
      </c>
      <c r="G1284" s="483">
        <v>2</v>
      </c>
      <c r="H1284" s="484"/>
      <c r="I1284" s="483"/>
      <c r="J1284" s="484"/>
      <c r="K1284" s="483"/>
      <c r="L1284" s="948">
        <f>C1284*E1284*(F1284+G1284/12)</f>
        <v>184.16666666666666</v>
      </c>
      <c r="M1284" s="485"/>
      <c r="N1284" s="485"/>
      <c r="O1284" s="486"/>
      <c r="P1284" s="915">
        <f>F1283+G1283/12</f>
        <v>13.5</v>
      </c>
      <c r="Q1284" s="964">
        <f>4/12</f>
        <v>0.33333333333333331</v>
      </c>
      <c r="R1284" s="917">
        <f>E1283*C1283</f>
        <v>1</v>
      </c>
      <c r="S1284" s="916">
        <f>1.5/12</f>
        <v>0.125</v>
      </c>
      <c r="T1284" s="75" t="s">
        <v>428</v>
      </c>
      <c r="U1284" s="75">
        <v>10</v>
      </c>
      <c r="V1284" s="906">
        <f>4/12</f>
        <v>0.33333333333333331</v>
      </c>
      <c r="W1284" s="912">
        <f>ROUND(P1285/V1284,0)+1</f>
        <v>13</v>
      </c>
      <c r="X1284" s="907">
        <f>P1284+2*Q1284</f>
        <v>14.166666666666666</v>
      </c>
    </row>
    <row r="1285" spans="1:24" s="487" customFormat="1" ht="18" customHeight="1">
      <c r="A1285" s="478"/>
      <c r="B1285" s="336" t="s">
        <v>706</v>
      </c>
      <c r="C1285" s="969">
        <f>W1285</f>
        <v>42</v>
      </c>
      <c r="D1285" s="480" t="s">
        <v>87</v>
      </c>
      <c r="E1285" s="481">
        <f>E1284</f>
        <v>1</v>
      </c>
      <c r="F1285" s="482">
        <v>4</v>
      </c>
      <c r="G1285" s="483">
        <v>8</v>
      </c>
      <c r="H1285" s="484"/>
      <c r="I1285" s="483"/>
      <c r="J1285" s="484"/>
      <c r="K1285" s="483"/>
      <c r="L1285" s="948">
        <f>C1285*E1285*(F1285+G1285/12)</f>
        <v>196</v>
      </c>
      <c r="M1285" s="485"/>
      <c r="N1285" s="485"/>
      <c r="O1285" s="486"/>
      <c r="P1285" s="915">
        <f>H1283+I1283/12</f>
        <v>4</v>
      </c>
      <c r="Q1285" s="916"/>
      <c r="R1285" s="917">
        <f>R1284</f>
        <v>1</v>
      </c>
      <c r="S1285" s="916">
        <f>1.5/12</f>
        <v>0.125</v>
      </c>
      <c r="T1285" s="75" t="s">
        <v>704</v>
      </c>
      <c r="U1285" s="75">
        <v>10</v>
      </c>
      <c r="V1285" s="906">
        <f>4/12</f>
        <v>0.33333333333333331</v>
      </c>
      <c r="W1285" s="912">
        <f>ROUND(P1284/V1285,0)+1</f>
        <v>42</v>
      </c>
      <c r="X1285" s="907">
        <f>P1285+2*Q1284</f>
        <v>4.666666666666667</v>
      </c>
    </row>
    <row r="1286" spans="1:24" s="487" customFormat="1" ht="18" customHeight="1">
      <c r="A1286" s="478"/>
      <c r="B1286" s="336" t="s">
        <v>532</v>
      </c>
      <c r="C1286" s="969">
        <f>W1286</f>
        <v>9</v>
      </c>
      <c r="D1286" s="480" t="s">
        <v>87</v>
      </c>
      <c r="E1286" s="481">
        <f t="shared" ref="E1286:E1287" si="387">E1285</f>
        <v>1</v>
      </c>
      <c r="F1286" s="482">
        <f>F1284</f>
        <v>14</v>
      </c>
      <c r="G1286" s="483">
        <f>G1284</f>
        <v>2</v>
      </c>
      <c r="H1286" s="484"/>
      <c r="I1286" s="483"/>
      <c r="J1286" s="484"/>
      <c r="K1286" s="483"/>
      <c r="L1286" s="948">
        <f t="shared" ref="L1286:L1287" si="388">C1286*E1286*(F1286+G1286/12)</f>
        <v>127.5</v>
      </c>
      <c r="M1286" s="485"/>
      <c r="N1286" s="485"/>
      <c r="O1286" s="486"/>
      <c r="P1286" s="915"/>
      <c r="Q1286" s="964"/>
      <c r="R1286" s="917">
        <f t="shared" ref="R1286:R1287" si="389">R1285</f>
        <v>1</v>
      </c>
      <c r="S1286" s="916">
        <f>1.5/12</f>
        <v>0.125</v>
      </c>
      <c r="T1286" s="75" t="s">
        <v>429</v>
      </c>
      <c r="U1286" s="75">
        <v>10</v>
      </c>
      <c r="V1286" s="906">
        <f>6/12</f>
        <v>0.5</v>
      </c>
      <c r="W1286" s="912">
        <f>ROUND(P1285/V1286,0)+1</f>
        <v>9</v>
      </c>
      <c r="X1286" s="907">
        <f>P1284+2*Q1284</f>
        <v>14.166666666666666</v>
      </c>
    </row>
    <row r="1287" spans="1:24" s="487" customFormat="1" ht="18" customHeight="1">
      <c r="A1287" s="478"/>
      <c r="B1287" s="336" t="s">
        <v>707</v>
      </c>
      <c r="C1287" s="969">
        <f>W1287</f>
        <v>28</v>
      </c>
      <c r="D1287" s="480" t="s">
        <v>87</v>
      </c>
      <c r="E1287" s="481">
        <f t="shared" si="387"/>
        <v>1</v>
      </c>
      <c r="F1287" s="482">
        <f>F1285</f>
        <v>4</v>
      </c>
      <c r="G1287" s="483">
        <f>G1285</f>
        <v>8</v>
      </c>
      <c r="H1287" s="484"/>
      <c r="I1287" s="483"/>
      <c r="J1287" s="484"/>
      <c r="K1287" s="483"/>
      <c r="L1287" s="948">
        <f t="shared" si="388"/>
        <v>130.66666666666669</v>
      </c>
      <c r="M1287" s="485"/>
      <c r="N1287" s="485"/>
      <c r="O1287" s="486"/>
      <c r="P1287" s="915"/>
      <c r="Q1287" s="916"/>
      <c r="R1287" s="917">
        <f t="shared" si="389"/>
        <v>1</v>
      </c>
      <c r="S1287" s="916">
        <f>1.5/12</f>
        <v>0.125</v>
      </c>
      <c r="T1287" s="75" t="s">
        <v>705</v>
      </c>
      <c r="U1287" s="75">
        <v>10</v>
      </c>
      <c r="V1287" s="906">
        <f t="shared" ref="V1287" si="390">6/12</f>
        <v>0.5</v>
      </c>
      <c r="W1287" s="912">
        <f>ROUND(P1284/V1287,0)+1</f>
        <v>28</v>
      </c>
      <c r="X1287" s="907">
        <f>P1285+2*Q1284</f>
        <v>4.666666666666667</v>
      </c>
    </row>
    <row r="1288" spans="1:24" s="487" customFormat="1" ht="18" customHeight="1">
      <c r="A1288" s="478"/>
      <c r="B1288" s="956" t="s">
        <v>367</v>
      </c>
      <c r="C1288" s="957">
        <f>C262</f>
        <v>1</v>
      </c>
      <c r="D1288" s="958" t="s">
        <v>87</v>
      </c>
      <c r="E1288" s="959">
        <f>E262</f>
        <v>1</v>
      </c>
      <c r="F1288" s="960">
        <v>16</v>
      </c>
      <c r="G1288" s="961">
        <v>0</v>
      </c>
      <c r="H1288" s="962">
        <v>4</v>
      </c>
      <c r="I1288" s="961">
        <v>0</v>
      </c>
      <c r="J1288" s="484"/>
      <c r="K1288" s="483"/>
      <c r="L1288" s="948"/>
      <c r="M1288" s="485"/>
      <c r="N1288" s="485"/>
      <c r="O1288" s="486"/>
    </row>
    <row r="1289" spans="1:24" s="487" customFormat="1" ht="18" customHeight="1">
      <c r="A1289" s="478"/>
      <c r="B1289" s="336" t="s">
        <v>530</v>
      </c>
      <c r="C1289" s="969">
        <f>W1289</f>
        <v>13</v>
      </c>
      <c r="D1289" s="480" t="s">
        <v>87</v>
      </c>
      <c r="E1289" s="481">
        <f>C1288*E1288</f>
        <v>1</v>
      </c>
      <c r="F1289" s="482">
        <v>16</v>
      </c>
      <c r="G1289" s="483">
        <v>8</v>
      </c>
      <c r="H1289" s="484"/>
      <c r="I1289" s="483"/>
      <c r="J1289" s="484"/>
      <c r="K1289" s="483"/>
      <c r="L1289" s="948">
        <f>C1289*E1289*(F1289+G1289/12)</f>
        <v>216.66666666666669</v>
      </c>
      <c r="M1289" s="485"/>
      <c r="N1289" s="485"/>
      <c r="O1289" s="486"/>
      <c r="P1289" s="915">
        <f>F1288+G1288/12</f>
        <v>16</v>
      </c>
      <c r="Q1289" s="964">
        <f>4/12</f>
        <v>0.33333333333333331</v>
      </c>
      <c r="R1289" s="917">
        <f>E1288*C1288</f>
        <v>1</v>
      </c>
      <c r="S1289" s="916">
        <f>1.5/12</f>
        <v>0.125</v>
      </c>
      <c r="T1289" s="75" t="s">
        <v>428</v>
      </c>
      <c r="U1289" s="75">
        <v>10</v>
      </c>
      <c r="V1289" s="906">
        <f>4/12</f>
        <v>0.33333333333333331</v>
      </c>
      <c r="W1289" s="912">
        <f>ROUND(P1290/V1289,0)+1</f>
        <v>13</v>
      </c>
      <c r="X1289" s="907">
        <f>P1289+2*Q1289</f>
        <v>16.666666666666668</v>
      </c>
    </row>
    <row r="1290" spans="1:24" s="487" customFormat="1" ht="18" customHeight="1">
      <c r="A1290" s="478"/>
      <c r="B1290" s="336" t="s">
        <v>706</v>
      </c>
      <c r="C1290" s="969">
        <f>W1290</f>
        <v>49</v>
      </c>
      <c r="D1290" s="480" t="s">
        <v>87</v>
      </c>
      <c r="E1290" s="481">
        <f>E1289</f>
        <v>1</v>
      </c>
      <c r="F1290" s="482">
        <v>4</v>
      </c>
      <c r="G1290" s="483">
        <v>8</v>
      </c>
      <c r="H1290" s="484"/>
      <c r="I1290" s="483"/>
      <c r="J1290" s="484"/>
      <c r="K1290" s="483"/>
      <c r="L1290" s="948">
        <f>C1290*E1290*(F1290+G1290/12)</f>
        <v>228.66666666666669</v>
      </c>
      <c r="M1290" s="485"/>
      <c r="N1290" s="485"/>
      <c r="O1290" s="486"/>
      <c r="P1290" s="915">
        <f>H1288+I1288/12</f>
        <v>4</v>
      </c>
      <c r="Q1290" s="916"/>
      <c r="R1290" s="917">
        <f>R1289</f>
        <v>1</v>
      </c>
      <c r="S1290" s="916">
        <f>1.5/12</f>
        <v>0.125</v>
      </c>
      <c r="T1290" s="75" t="s">
        <v>704</v>
      </c>
      <c r="U1290" s="75">
        <v>10</v>
      </c>
      <c r="V1290" s="906">
        <f>4/12</f>
        <v>0.33333333333333331</v>
      </c>
      <c r="W1290" s="912">
        <f>ROUND(P1289/V1290,0)+1</f>
        <v>49</v>
      </c>
      <c r="X1290" s="907">
        <f>P1290+2*Q1289</f>
        <v>4.666666666666667</v>
      </c>
    </row>
    <row r="1291" spans="1:24" s="487" customFormat="1" ht="18" customHeight="1">
      <c r="A1291" s="478"/>
      <c r="B1291" s="336" t="s">
        <v>532</v>
      </c>
      <c r="C1291" s="969">
        <f>W1291</f>
        <v>9</v>
      </c>
      <c r="D1291" s="480" t="s">
        <v>87</v>
      </c>
      <c r="E1291" s="481">
        <f t="shared" ref="E1291:E1292" si="391">E1290</f>
        <v>1</v>
      </c>
      <c r="F1291" s="482">
        <f>F1289</f>
        <v>16</v>
      </c>
      <c r="G1291" s="483">
        <f>G1289</f>
        <v>8</v>
      </c>
      <c r="H1291" s="484"/>
      <c r="I1291" s="483"/>
      <c r="J1291" s="484"/>
      <c r="K1291" s="483"/>
      <c r="L1291" s="948">
        <f t="shared" ref="L1291:L1292" si="392">C1291*E1291*(F1291+G1291/12)</f>
        <v>150</v>
      </c>
      <c r="M1291" s="485"/>
      <c r="N1291" s="485"/>
      <c r="O1291" s="486"/>
      <c r="P1291" s="915"/>
      <c r="Q1291" s="964"/>
      <c r="R1291" s="917">
        <f t="shared" ref="R1291:R1292" si="393">R1290</f>
        <v>1</v>
      </c>
      <c r="S1291" s="916">
        <f>1.5/12</f>
        <v>0.125</v>
      </c>
      <c r="T1291" s="75" t="s">
        <v>429</v>
      </c>
      <c r="U1291" s="75">
        <v>10</v>
      </c>
      <c r="V1291" s="906">
        <f>6/12</f>
        <v>0.5</v>
      </c>
      <c r="W1291" s="912">
        <f>ROUND(P1290/V1291,0)+1</f>
        <v>9</v>
      </c>
      <c r="X1291" s="907">
        <f>P1289+2*Q1289</f>
        <v>16.666666666666668</v>
      </c>
    </row>
    <row r="1292" spans="1:24" s="487" customFormat="1" ht="18" customHeight="1">
      <c r="A1292" s="478"/>
      <c r="B1292" s="336" t="s">
        <v>707</v>
      </c>
      <c r="C1292" s="969">
        <f>W1292</f>
        <v>33</v>
      </c>
      <c r="D1292" s="480" t="s">
        <v>87</v>
      </c>
      <c r="E1292" s="481">
        <f t="shared" si="391"/>
        <v>1</v>
      </c>
      <c r="F1292" s="482">
        <f>F1290</f>
        <v>4</v>
      </c>
      <c r="G1292" s="483">
        <f>G1290</f>
        <v>8</v>
      </c>
      <c r="H1292" s="484"/>
      <c r="I1292" s="483"/>
      <c r="J1292" s="484"/>
      <c r="K1292" s="483"/>
      <c r="L1292" s="948">
        <f t="shared" si="392"/>
        <v>154</v>
      </c>
      <c r="M1292" s="485"/>
      <c r="N1292" s="485"/>
      <c r="O1292" s="486"/>
      <c r="P1292" s="915"/>
      <c r="Q1292" s="916"/>
      <c r="R1292" s="917">
        <f t="shared" si="393"/>
        <v>1</v>
      </c>
      <c r="S1292" s="916">
        <f>1.5/12</f>
        <v>0.125</v>
      </c>
      <c r="T1292" s="75" t="s">
        <v>705</v>
      </c>
      <c r="U1292" s="75">
        <v>10</v>
      </c>
      <c r="V1292" s="906">
        <f t="shared" ref="V1292" si="394">6/12</f>
        <v>0.5</v>
      </c>
      <c r="W1292" s="912">
        <f>ROUND(P1289/V1292,0)+1</f>
        <v>33</v>
      </c>
      <c r="X1292" s="907">
        <f>P1290+2*Q1289</f>
        <v>4.666666666666667</v>
      </c>
    </row>
    <row r="1293" spans="1:24" s="487" customFormat="1" ht="18" customHeight="1">
      <c r="A1293" s="478"/>
      <c r="B1293" s="726" t="s">
        <v>373</v>
      </c>
      <c r="C1293" s="957"/>
      <c r="D1293" s="958"/>
      <c r="E1293" s="959"/>
      <c r="F1293" s="960"/>
      <c r="G1293" s="961"/>
      <c r="H1293" s="962"/>
      <c r="I1293" s="961"/>
      <c r="J1293" s="484"/>
      <c r="K1293" s="483"/>
      <c r="L1293" s="948"/>
      <c r="M1293" s="485"/>
      <c r="N1293" s="485"/>
      <c r="O1293" s="486"/>
    </row>
    <row r="1294" spans="1:24" s="487" customFormat="1" ht="18" customHeight="1">
      <c r="A1294" s="478"/>
      <c r="B1294" s="956" t="s">
        <v>374</v>
      </c>
      <c r="C1294" s="957">
        <v>1</v>
      </c>
      <c r="D1294" s="958" t="s">
        <v>87</v>
      </c>
      <c r="E1294" s="959">
        <v>1</v>
      </c>
      <c r="F1294" s="960">
        <v>4</v>
      </c>
      <c r="G1294" s="961">
        <v>0</v>
      </c>
      <c r="H1294" s="962">
        <v>11</v>
      </c>
      <c r="I1294" s="961">
        <v>11</v>
      </c>
      <c r="J1294" s="484"/>
      <c r="K1294" s="483"/>
      <c r="L1294" s="948"/>
      <c r="M1294" s="485"/>
      <c r="N1294" s="485"/>
      <c r="O1294" s="486"/>
    </row>
    <row r="1295" spans="1:24" s="487" customFormat="1" ht="18" customHeight="1">
      <c r="A1295" s="478"/>
      <c r="B1295" s="336" t="s">
        <v>533</v>
      </c>
      <c r="C1295" s="969">
        <f>W1295</f>
        <v>19</v>
      </c>
      <c r="D1295" s="480" t="s">
        <v>87</v>
      </c>
      <c r="E1295" s="481">
        <f>C1294*E1294</f>
        <v>1</v>
      </c>
      <c r="F1295" s="482">
        <v>4</v>
      </c>
      <c r="G1295" s="483">
        <v>8</v>
      </c>
      <c r="H1295" s="484"/>
      <c r="I1295" s="483"/>
      <c r="J1295" s="484"/>
      <c r="K1295" s="483"/>
      <c r="L1295" s="948">
        <f>C1295*E1295*(F1295+G1295/12)</f>
        <v>88.666666666666671</v>
      </c>
      <c r="M1295" s="485"/>
      <c r="N1295" s="485"/>
      <c r="O1295" s="486"/>
      <c r="P1295" s="915">
        <f>F1294+G1294/12</f>
        <v>4</v>
      </c>
      <c r="Q1295" s="964">
        <f>4/12</f>
        <v>0.33333333333333331</v>
      </c>
      <c r="R1295" s="917">
        <f>E1294*C1294</f>
        <v>1</v>
      </c>
      <c r="S1295" s="916">
        <f>1.5/12</f>
        <v>0.125</v>
      </c>
      <c r="T1295" s="75" t="s">
        <v>428</v>
      </c>
      <c r="U1295" s="75">
        <v>10</v>
      </c>
      <c r="V1295" s="906">
        <f>8/12</f>
        <v>0.66666666666666663</v>
      </c>
      <c r="W1295" s="912">
        <f>ROUND(P1296/V1295,0)+1</f>
        <v>19</v>
      </c>
      <c r="X1295" s="907">
        <f>P1295+2*Q1295</f>
        <v>4.666666666666667</v>
      </c>
    </row>
    <row r="1296" spans="1:24" s="487" customFormat="1" ht="18" customHeight="1">
      <c r="A1296" s="478"/>
      <c r="B1296" s="336" t="s">
        <v>709</v>
      </c>
      <c r="C1296" s="969">
        <f>W1296</f>
        <v>7</v>
      </c>
      <c r="D1296" s="480" t="s">
        <v>87</v>
      </c>
      <c r="E1296" s="481">
        <f>E1295</f>
        <v>1</v>
      </c>
      <c r="F1296" s="482">
        <v>12</v>
      </c>
      <c r="G1296" s="483">
        <v>7</v>
      </c>
      <c r="H1296" s="484"/>
      <c r="I1296" s="483"/>
      <c r="J1296" s="484"/>
      <c r="K1296" s="483"/>
      <c r="L1296" s="948">
        <f>C1296*E1296*(F1296+G1296/12)</f>
        <v>88.083333333333343</v>
      </c>
      <c r="M1296" s="485"/>
      <c r="N1296" s="485"/>
      <c r="O1296" s="486"/>
      <c r="P1296" s="915">
        <f>H1294+I1294/12</f>
        <v>11.916666666666666</v>
      </c>
      <c r="Q1296" s="916"/>
      <c r="R1296" s="917">
        <f>R1295</f>
        <v>1</v>
      </c>
      <c r="S1296" s="916">
        <f>1.5/12</f>
        <v>0.125</v>
      </c>
      <c r="T1296" s="75" t="s">
        <v>704</v>
      </c>
      <c r="U1296" s="75">
        <v>10</v>
      </c>
      <c r="V1296" s="906">
        <f>8/12</f>
        <v>0.66666666666666663</v>
      </c>
      <c r="W1296" s="912">
        <f>ROUND(P1295/V1296,0)+1</f>
        <v>7</v>
      </c>
      <c r="X1296" s="907">
        <f>P1296+2*Q1295</f>
        <v>12.583333333333332</v>
      </c>
    </row>
    <row r="1297" spans="1:24" s="487" customFormat="1" ht="18" customHeight="1">
      <c r="A1297" s="478"/>
      <c r="B1297" s="336" t="s">
        <v>534</v>
      </c>
      <c r="C1297" s="969">
        <f>W1297</f>
        <v>19</v>
      </c>
      <c r="D1297" s="480" t="s">
        <v>87</v>
      </c>
      <c r="E1297" s="481">
        <f t="shared" ref="E1297:E1298" si="395">E1296</f>
        <v>1</v>
      </c>
      <c r="F1297" s="482">
        <f>F1295</f>
        <v>4</v>
      </c>
      <c r="G1297" s="483">
        <f>G1295</f>
        <v>8</v>
      </c>
      <c r="H1297" s="484"/>
      <c r="I1297" s="483"/>
      <c r="J1297" s="484"/>
      <c r="K1297" s="483"/>
      <c r="L1297" s="948">
        <f t="shared" ref="L1297:L1298" si="396">C1297*E1297*(F1297+G1297/12)</f>
        <v>88.666666666666671</v>
      </c>
      <c r="M1297" s="485"/>
      <c r="N1297" s="485"/>
      <c r="O1297" s="486"/>
      <c r="P1297" s="915"/>
      <c r="Q1297" s="964"/>
      <c r="R1297" s="917">
        <f t="shared" ref="R1297:R1298" si="397">R1296</f>
        <v>1</v>
      </c>
      <c r="S1297" s="916">
        <f>1.5/12</f>
        <v>0.125</v>
      </c>
      <c r="T1297" s="75" t="s">
        <v>429</v>
      </c>
      <c r="U1297" s="75">
        <v>10</v>
      </c>
      <c r="V1297" s="906">
        <f>8/12</f>
        <v>0.66666666666666663</v>
      </c>
      <c r="W1297" s="912">
        <f>ROUND(P1296/V1297,0)+1</f>
        <v>19</v>
      </c>
      <c r="X1297" s="907">
        <f>P1295+2*Q1295</f>
        <v>4.666666666666667</v>
      </c>
    </row>
    <row r="1298" spans="1:24" s="487" customFormat="1" ht="18" customHeight="1">
      <c r="A1298" s="478"/>
      <c r="B1298" s="336" t="s">
        <v>710</v>
      </c>
      <c r="C1298" s="969">
        <f>W1298</f>
        <v>7</v>
      </c>
      <c r="D1298" s="480" t="s">
        <v>87</v>
      </c>
      <c r="E1298" s="481">
        <f t="shared" si="395"/>
        <v>1</v>
      </c>
      <c r="F1298" s="482">
        <f>F1296</f>
        <v>12</v>
      </c>
      <c r="G1298" s="483">
        <f>G1296</f>
        <v>7</v>
      </c>
      <c r="H1298" s="484"/>
      <c r="I1298" s="483"/>
      <c r="J1298" s="484"/>
      <c r="K1298" s="483"/>
      <c r="L1298" s="948">
        <f t="shared" si="396"/>
        <v>88.083333333333343</v>
      </c>
      <c r="M1298" s="485"/>
      <c r="N1298" s="485"/>
      <c r="O1298" s="486"/>
      <c r="P1298" s="915"/>
      <c r="Q1298" s="916"/>
      <c r="R1298" s="917">
        <f t="shared" si="397"/>
        <v>1</v>
      </c>
      <c r="S1298" s="916">
        <f>1.5/12</f>
        <v>0.125</v>
      </c>
      <c r="T1298" s="75" t="s">
        <v>705</v>
      </c>
      <c r="U1298" s="75">
        <v>10</v>
      </c>
      <c r="V1298" s="906">
        <f>8/12</f>
        <v>0.66666666666666663</v>
      </c>
      <c r="W1298" s="912">
        <f>ROUND(P1295/V1298,0)+1</f>
        <v>7</v>
      </c>
      <c r="X1298" s="907">
        <f>P1296+2*Q1295</f>
        <v>12.583333333333332</v>
      </c>
    </row>
    <row r="1299" spans="1:24" ht="18" customHeight="1">
      <c r="A1299" s="474"/>
      <c r="B1299" s="665"/>
      <c r="C1299" s="666"/>
      <c r="D1299" s="489"/>
      <c r="E1299" s="495"/>
      <c r="F1299" s="491"/>
      <c r="G1299" s="496"/>
      <c r="H1299" s="497"/>
      <c r="I1299" s="496"/>
      <c r="J1299" s="497"/>
      <c r="K1299" s="496"/>
      <c r="L1299" s="945"/>
      <c r="M1299" s="475"/>
      <c r="N1299" s="475"/>
      <c r="O1299" s="476"/>
    </row>
    <row r="1300" spans="1:24" s="487" customFormat="1" ht="18" customHeight="1">
      <c r="A1300" s="478"/>
      <c r="B1300" s="723" t="s">
        <v>576</v>
      </c>
      <c r="C1300" s="957"/>
      <c r="D1300" s="958"/>
      <c r="E1300" s="959"/>
      <c r="F1300" s="960"/>
      <c r="G1300" s="961"/>
      <c r="H1300" s="962"/>
      <c r="I1300" s="961"/>
      <c r="J1300" s="484"/>
      <c r="K1300" s="483"/>
      <c r="L1300" s="948"/>
      <c r="M1300" s="485"/>
      <c r="N1300" s="485"/>
      <c r="O1300" s="486"/>
    </row>
    <row r="1301" spans="1:24" s="487" customFormat="1" ht="18" customHeight="1">
      <c r="A1301" s="478"/>
      <c r="B1301" s="726" t="s">
        <v>535</v>
      </c>
      <c r="C1301" s="957"/>
      <c r="D1301" s="958"/>
      <c r="E1301" s="959"/>
      <c r="F1301" s="960"/>
      <c r="G1301" s="961"/>
      <c r="H1301" s="962"/>
      <c r="I1301" s="961"/>
      <c r="J1301" s="484"/>
      <c r="K1301" s="483"/>
      <c r="L1301" s="948"/>
      <c r="M1301" s="485"/>
      <c r="N1301" s="485"/>
      <c r="O1301" s="486"/>
    </row>
    <row r="1302" spans="1:24" s="487" customFormat="1" ht="18" customHeight="1">
      <c r="A1302" s="478"/>
      <c r="B1302" s="956" t="s">
        <v>376</v>
      </c>
      <c r="C1302" s="957">
        <f>C270</f>
        <v>1</v>
      </c>
      <c r="D1302" s="958" t="s">
        <v>87</v>
      </c>
      <c r="E1302" s="959">
        <f>E270</f>
        <v>1</v>
      </c>
      <c r="F1302" s="960">
        <v>6</v>
      </c>
      <c r="G1302" s="961">
        <f>G270</f>
        <v>4</v>
      </c>
      <c r="H1302" s="962">
        <v>15</v>
      </c>
      <c r="I1302" s="961">
        <v>7</v>
      </c>
      <c r="J1302" s="484"/>
      <c r="K1302" s="483"/>
      <c r="L1302" s="948"/>
      <c r="M1302" s="485"/>
      <c r="N1302" s="485"/>
      <c r="O1302" s="486"/>
    </row>
    <row r="1303" spans="1:24" s="487" customFormat="1" ht="18" customHeight="1">
      <c r="A1303" s="478"/>
      <c r="B1303" s="336" t="s">
        <v>528</v>
      </c>
      <c r="C1303" s="969">
        <f>W1303</f>
        <v>48</v>
      </c>
      <c r="D1303" s="480" t="s">
        <v>87</v>
      </c>
      <c r="E1303" s="481">
        <f>C1302*E1302</f>
        <v>1</v>
      </c>
      <c r="F1303" s="482">
        <v>7</v>
      </c>
      <c r="G1303" s="483">
        <v>2</v>
      </c>
      <c r="H1303" s="484"/>
      <c r="I1303" s="483"/>
      <c r="J1303" s="484"/>
      <c r="K1303" s="483"/>
      <c r="L1303" s="948">
        <f>C1303*E1303*(F1303+G1303/12)</f>
        <v>344</v>
      </c>
      <c r="M1303" s="485"/>
      <c r="N1303" s="485"/>
      <c r="O1303" s="486"/>
      <c r="P1303" s="915">
        <f>F1302+G1302/12</f>
        <v>6.333333333333333</v>
      </c>
      <c r="Q1303" s="964">
        <f>5/12</f>
        <v>0.41666666666666669</v>
      </c>
      <c r="R1303" s="917">
        <f>E1302*C1302</f>
        <v>1</v>
      </c>
      <c r="S1303" s="916">
        <f>1.5/12</f>
        <v>0.125</v>
      </c>
      <c r="T1303" s="75" t="s">
        <v>428</v>
      </c>
      <c r="U1303" s="75">
        <v>10</v>
      </c>
      <c r="V1303" s="906">
        <f>4/12</f>
        <v>0.33333333333333331</v>
      </c>
      <c r="W1303" s="912">
        <f>ROUND(P1304/V1303,0)+1</f>
        <v>48</v>
      </c>
      <c r="X1303" s="907">
        <f>P1303+2*Q1303</f>
        <v>7.1666666666666661</v>
      </c>
    </row>
    <row r="1304" spans="1:24" s="487" customFormat="1" ht="18" customHeight="1">
      <c r="A1304" s="478"/>
      <c r="B1304" s="336" t="s">
        <v>529</v>
      </c>
      <c r="C1304" s="969">
        <f>W1304</f>
        <v>20</v>
      </c>
      <c r="D1304" s="480" t="s">
        <v>87</v>
      </c>
      <c r="E1304" s="481">
        <f>C1302*E1302</f>
        <v>1</v>
      </c>
      <c r="F1304" s="482">
        <v>16</v>
      </c>
      <c r="G1304" s="483">
        <v>5</v>
      </c>
      <c r="H1304" s="484"/>
      <c r="I1304" s="483"/>
      <c r="J1304" s="484"/>
      <c r="K1304" s="483"/>
      <c r="L1304" s="948">
        <f>C1304*E1304*(F1304+G1304/12)</f>
        <v>328.33333333333337</v>
      </c>
      <c r="M1304" s="485"/>
      <c r="N1304" s="485"/>
      <c r="O1304" s="486"/>
      <c r="P1304" s="915">
        <f>H1302+I1302/12</f>
        <v>15.583333333333334</v>
      </c>
      <c r="Q1304" s="916"/>
      <c r="R1304" s="917">
        <f>R1303</f>
        <v>1</v>
      </c>
      <c r="S1304" s="916">
        <f>1.5/12</f>
        <v>0.125</v>
      </c>
      <c r="T1304" s="75" t="s">
        <v>704</v>
      </c>
      <c r="U1304" s="75">
        <v>10</v>
      </c>
      <c r="V1304" s="906">
        <f t="shared" ref="V1304:V1306" si="398">4/12</f>
        <v>0.33333333333333331</v>
      </c>
      <c r="W1304" s="912">
        <f>ROUND(P1303/V1304,0)+1</f>
        <v>20</v>
      </c>
      <c r="X1304" s="907">
        <f>P1304+2*Q1303</f>
        <v>16.416666666666668</v>
      </c>
    </row>
    <row r="1305" spans="1:24" s="487" customFormat="1" ht="18" customHeight="1">
      <c r="A1305" s="478"/>
      <c r="B1305" s="336" t="s">
        <v>536</v>
      </c>
      <c r="C1305" s="969">
        <f>W1305</f>
        <v>48</v>
      </c>
      <c r="D1305" s="480" t="s">
        <v>87</v>
      </c>
      <c r="E1305" s="481">
        <f>E1303</f>
        <v>1</v>
      </c>
      <c r="F1305" s="482">
        <f>F1303</f>
        <v>7</v>
      </c>
      <c r="G1305" s="483">
        <f>G1303</f>
        <v>2</v>
      </c>
      <c r="H1305" s="484"/>
      <c r="I1305" s="483"/>
      <c r="J1305" s="484"/>
      <c r="K1305" s="483"/>
      <c r="L1305" s="948">
        <f>C1305*E1305*(F1305+G1305/12)</f>
        <v>344</v>
      </c>
      <c r="M1305" s="485"/>
      <c r="N1305" s="485"/>
      <c r="O1305" s="486"/>
      <c r="P1305" s="915"/>
      <c r="Q1305" s="964"/>
      <c r="R1305" s="917">
        <f t="shared" ref="R1305:R1306" si="399">R1304</f>
        <v>1</v>
      </c>
      <c r="S1305" s="916">
        <f>1.5/12</f>
        <v>0.125</v>
      </c>
      <c r="T1305" s="75" t="s">
        <v>429</v>
      </c>
      <c r="U1305" s="75">
        <v>10</v>
      </c>
      <c r="V1305" s="906">
        <f t="shared" si="398"/>
        <v>0.33333333333333331</v>
      </c>
      <c r="W1305" s="912">
        <f>ROUND(P1304/V1305,0)+1</f>
        <v>48</v>
      </c>
      <c r="X1305" s="907">
        <f>P1303+2*Q1303</f>
        <v>7.1666666666666661</v>
      </c>
    </row>
    <row r="1306" spans="1:24" s="487" customFormat="1" ht="18" customHeight="1">
      <c r="A1306" s="478"/>
      <c r="B1306" s="336" t="s">
        <v>537</v>
      </c>
      <c r="C1306" s="969">
        <f>W1306</f>
        <v>20</v>
      </c>
      <c r="D1306" s="480" t="s">
        <v>87</v>
      </c>
      <c r="E1306" s="481">
        <f>E1305</f>
        <v>1</v>
      </c>
      <c r="F1306" s="482">
        <f>F1304</f>
        <v>16</v>
      </c>
      <c r="G1306" s="483">
        <f>G1304</f>
        <v>5</v>
      </c>
      <c r="H1306" s="484"/>
      <c r="I1306" s="483"/>
      <c r="J1306" s="484"/>
      <c r="K1306" s="483"/>
      <c r="L1306" s="948">
        <f>C1306*E1306*(F1306+G1306/12)</f>
        <v>328.33333333333337</v>
      </c>
      <c r="M1306" s="485"/>
      <c r="N1306" s="485"/>
      <c r="O1306" s="486"/>
      <c r="P1306" s="915"/>
      <c r="Q1306" s="916"/>
      <c r="R1306" s="917">
        <f t="shared" si="399"/>
        <v>1</v>
      </c>
      <c r="S1306" s="916">
        <f>1.5/12</f>
        <v>0.125</v>
      </c>
      <c r="T1306" s="75" t="s">
        <v>705</v>
      </c>
      <c r="U1306" s="75">
        <v>10</v>
      </c>
      <c r="V1306" s="906">
        <f t="shared" si="398"/>
        <v>0.33333333333333331</v>
      </c>
      <c r="W1306" s="912">
        <f>ROUND(P1303/V1306,0)+1</f>
        <v>20</v>
      </c>
      <c r="X1306" s="907">
        <f>P1304+2*Q1303</f>
        <v>16.416666666666668</v>
      </c>
    </row>
    <row r="1307" spans="1:24" s="487" customFormat="1" ht="18" customHeight="1">
      <c r="A1307" s="478"/>
      <c r="B1307" s="956" t="s">
        <v>377</v>
      </c>
      <c r="C1307" s="957">
        <f>C271</f>
        <v>1</v>
      </c>
      <c r="D1307" s="958" t="s">
        <v>87</v>
      </c>
      <c r="E1307" s="959">
        <f>E271</f>
        <v>1</v>
      </c>
      <c r="F1307" s="960">
        <v>10</v>
      </c>
      <c r="G1307" s="961">
        <v>3</v>
      </c>
      <c r="H1307" s="962">
        <v>15</v>
      </c>
      <c r="I1307" s="961">
        <v>7</v>
      </c>
      <c r="J1307" s="484"/>
      <c r="K1307" s="483"/>
      <c r="L1307" s="948"/>
      <c r="M1307" s="485"/>
      <c r="N1307" s="485"/>
      <c r="O1307" s="486"/>
    </row>
    <row r="1308" spans="1:24" s="487" customFormat="1" ht="18" customHeight="1">
      <c r="A1308" s="478"/>
      <c r="B1308" s="336" t="s">
        <v>528</v>
      </c>
      <c r="C1308" s="969">
        <f>W1308</f>
        <v>48</v>
      </c>
      <c r="D1308" s="480" t="s">
        <v>87</v>
      </c>
      <c r="E1308" s="481">
        <f>C1307*E1307</f>
        <v>1</v>
      </c>
      <c r="F1308" s="482">
        <v>11</v>
      </c>
      <c r="G1308" s="483">
        <v>1</v>
      </c>
      <c r="H1308" s="484"/>
      <c r="I1308" s="483"/>
      <c r="J1308" s="484"/>
      <c r="K1308" s="483"/>
      <c r="L1308" s="948">
        <f>C1308*E1308*(F1308+G1308/12)</f>
        <v>532</v>
      </c>
      <c r="M1308" s="485"/>
      <c r="N1308" s="485"/>
      <c r="O1308" s="486"/>
      <c r="P1308" s="915">
        <f>F1307+G1307/12</f>
        <v>10.25</v>
      </c>
      <c r="Q1308" s="964">
        <f>5/12</f>
        <v>0.41666666666666669</v>
      </c>
      <c r="R1308" s="917">
        <f>E1307*C1307</f>
        <v>1</v>
      </c>
      <c r="S1308" s="916">
        <f>1.5/12</f>
        <v>0.125</v>
      </c>
      <c r="T1308" s="75" t="s">
        <v>428</v>
      </c>
      <c r="U1308" s="75">
        <v>10</v>
      </c>
      <c r="V1308" s="906">
        <f>4/12</f>
        <v>0.33333333333333331</v>
      </c>
      <c r="W1308" s="912">
        <f>ROUND(P1309/V1308,0)+1</f>
        <v>48</v>
      </c>
      <c r="X1308" s="907">
        <f>P1308+2*Q1308</f>
        <v>11.083333333333334</v>
      </c>
    </row>
    <row r="1309" spans="1:24" s="487" customFormat="1" ht="18" customHeight="1">
      <c r="A1309" s="478"/>
      <c r="B1309" s="336" t="s">
        <v>529</v>
      </c>
      <c r="C1309" s="969">
        <f>W1309</f>
        <v>32</v>
      </c>
      <c r="D1309" s="480" t="s">
        <v>87</v>
      </c>
      <c r="E1309" s="481">
        <f>C1307*E1307</f>
        <v>1</v>
      </c>
      <c r="F1309" s="482">
        <v>16</v>
      </c>
      <c r="G1309" s="483">
        <v>5</v>
      </c>
      <c r="H1309" s="484"/>
      <c r="I1309" s="483"/>
      <c r="J1309" s="484"/>
      <c r="K1309" s="483"/>
      <c r="L1309" s="948">
        <f>C1309*E1309*(F1309+G1309/12)</f>
        <v>525.33333333333337</v>
      </c>
      <c r="M1309" s="485"/>
      <c r="N1309" s="485"/>
      <c r="O1309" s="486"/>
      <c r="P1309" s="915">
        <f>H1307+I1307/12</f>
        <v>15.583333333333334</v>
      </c>
      <c r="Q1309" s="916"/>
      <c r="R1309" s="917">
        <f>R1308</f>
        <v>1</v>
      </c>
      <c r="S1309" s="916">
        <f>1.5/12</f>
        <v>0.125</v>
      </c>
      <c r="T1309" s="75" t="s">
        <v>704</v>
      </c>
      <c r="U1309" s="75">
        <v>10</v>
      </c>
      <c r="V1309" s="906">
        <f t="shared" ref="V1309:V1311" si="400">4/12</f>
        <v>0.33333333333333331</v>
      </c>
      <c r="W1309" s="912">
        <f>ROUND(P1308/V1309,0)+1</f>
        <v>32</v>
      </c>
      <c r="X1309" s="907">
        <f>P1309+2*Q1308</f>
        <v>16.416666666666668</v>
      </c>
    </row>
    <row r="1310" spans="1:24" s="487" customFormat="1" ht="18" customHeight="1">
      <c r="A1310" s="478"/>
      <c r="B1310" s="336" t="s">
        <v>536</v>
      </c>
      <c r="C1310" s="969">
        <f>W1310</f>
        <v>48</v>
      </c>
      <c r="D1310" s="480" t="s">
        <v>87</v>
      </c>
      <c r="E1310" s="481">
        <f>E1308</f>
        <v>1</v>
      </c>
      <c r="F1310" s="482">
        <f>F1308</f>
        <v>11</v>
      </c>
      <c r="G1310" s="483">
        <f>G1308</f>
        <v>1</v>
      </c>
      <c r="H1310" s="484"/>
      <c r="I1310" s="483"/>
      <c r="J1310" s="484"/>
      <c r="K1310" s="483"/>
      <c r="L1310" s="948">
        <f>C1310*E1310*(F1310+G1310/12)</f>
        <v>532</v>
      </c>
      <c r="M1310" s="485"/>
      <c r="N1310" s="485"/>
      <c r="O1310" s="486"/>
      <c r="P1310" s="915"/>
      <c r="Q1310" s="964"/>
      <c r="R1310" s="917">
        <f t="shared" ref="R1310:R1311" si="401">R1309</f>
        <v>1</v>
      </c>
      <c r="S1310" s="916">
        <f>1.5/12</f>
        <v>0.125</v>
      </c>
      <c r="T1310" s="75" t="s">
        <v>429</v>
      </c>
      <c r="U1310" s="75">
        <v>10</v>
      </c>
      <c r="V1310" s="906">
        <f t="shared" si="400"/>
        <v>0.33333333333333331</v>
      </c>
      <c r="W1310" s="912">
        <f>ROUND(P1309/V1310,0)+1</f>
        <v>48</v>
      </c>
      <c r="X1310" s="907">
        <f>P1308+2*Q1308</f>
        <v>11.083333333333334</v>
      </c>
    </row>
    <row r="1311" spans="1:24" s="487" customFormat="1" ht="18" customHeight="1">
      <c r="A1311" s="478"/>
      <c r="B1311" s="336" t="s">
        <v>537</v>
      </c>
      <c r="C1311" s="969">
        <f>W1311</f>
        <v>32</v>
      </c>
      <c r="D1311" s="480" t="s">
        <v>87</v>
      </c>
      <c r="E1311" s="481">
        <f>E1310</f>
        <v>1</v>
      </c>
      <c r="F1311" s="482">
        <f>F1309</f>
        <v>16</v>
      </c>
      <c r="G1311" s="483">
        <f>G1309</f>
        <v>5</v>
      </c>
      <c r="H1311" s="484"/>
      <c r="I1311" s="483"/>
      <c r="J1311" s="484"/>
      <c r="K1311" s="483"/>
      <c r="L1311" s="948">
        <f>C1311*E1311*(F1311+G1311/12)</f>
        <v>525.33333333333337</v>
      </c>
      <c r="M1311" s="485"/>
      <c r="N1311" s="485"/>
      <c r="O1311" s="486"/>
      <c r="P1311" s="915"/>
      <c r="Q1311" s="916"/>
      <c r="R1311" s="917">
        <f t="shared" si="401"/>
        <v>1</v>
      </c>
      <c r="S1311" s="916">
        <f>1.5/12</f>
        <v>0.125</v>
      </c>
      <c r="T1311" s="75" t="s">
        <v>705</v>
      </c>
      <c r="U1311" s="75">
        <v>10</v>
      </c>
      <c r="V1311" s="906">
        <f t="shared" si="400"/>
        <v>0.33333333333333331</v>
      </c>
      <c r="W1311" s="912">
        <f>ROUND(P1308/V1311,0)+1</f>
        <v>32</v>
      </c>
      <c r="X1311" s="907">
        <f>P1309+2*Q1308</f>
        <v>16.416666666666668</v>
      </c>
    </row>
    <row r="1312" spans="1:24" s="487" customFormat="1" ht="18" customHeight="1">
      <c r="A1312" s="478"/>
      <c r="B1312" s="956" t="s">
        <v>378</v>
      </c>
      <c r="C1312" s="957">
        <f>C272</f>
        <v>1</v>
      </c>
      <c r="D1312" s="958" t="s">
        <v>87</v>
      </c>
      <c r="E1312" s="959">
        <f>E272</f>
        <v>1</v>
      </c>
      <c r="F1312" s="960">
        <v>16</v>
      </c>
      <c r="G1312" s="961">
        <v>0</v>
      </c>
      <c r="H1312" s="962">
        <v>9</v>
      </c>
      <c r="I1312" s="961">
        <f>I272</f>
        <v>11</v>
      </c>
      <c r="J1312" s="484"/>
      <c r="K1312" s="483"/>
      <c r="L1312" s="948"/>
      <c r="M1312" s="485"/>
      <c r="N1312" s="485"/>
      <c r="O1312" s="486"/>
    </row>
    <row r="1313" spans="1:24" s="487" customFormat="1" ht="18" customHeight="1">
      <c r="A1313" s="478"/>
      <c r="B1313" s="336" t="s">
        <v>528</v>
      </c>
      <c r="C1313" s="969">
        <f>W1313</f>
        <v>31</v>
      </c>
      <c r="D1313" s="480" t="s">
        <v>87</v>
      </c>
      <c r="E1313" s="481">
        <f>C1312*E1312</f>
        <v>1</v>
      </c>
      <c r="F1313" s="482">
        <v>16</v>
      </c>
      <c r="G1313" s="483">
        <v>10</v>
      </c>
      <c r="H1313" s="484"/>
      <c r="I1313" s="483"/>
      <c r="J1313" s="484"/>
      <c r="K1313" s="483"/>
      <c r="L1313" s="948">
        <f>C1313*E1313*(F1313+G1313/12)</f>
        <v>521.83333333333326</v>
      </c>
      <c r="M1313" s="485"/>
      <c r="N1313" s="485"/>
      <c r="O1313" s="486"/>
      <c r="P1313" s="915">
        <f>F1312+G1312/12</f>
        <v>16</v>
      </c>
      <c r="Q1313" s="964">
        <f>5/12</f>
        <v>0.41666666666666669</v>
      </c>
      <c r="R1313" s="917">
        <f>E1312*C1312</f>
        <v>1</v>
      </c>
      <c r="S1313" s="916">
        <f>1.5/12</f>
        <v>0.125</v>
      </c>
      <c r="T1313" s="75" t="s">
        <v>428</v>
      </c>
      <c r="U1313" s="75">
        <v>10</v>
      </c>
      <c r="V1313" s="906">
        <f>4/12</f>
        <v>0.33333333333333331</v>
      </c>
      <c r="W1313" s="912">
        <f>ROUND(P1314/V1313,0)+1</f>
        <v>31</v>
      </c>
      <c r="X1313" s="907">
        <f>P1313+2*Q1313</f>
        <v>16.833333333333332</v>
      </c>
    </row>
    <row r="1314" spans="1:24" s="487" customFormat="1" ht="18" customHeight="1">
      <c r="A1314" s="478"/>
      <c r="B1314" s="336" t="s">
        <v>529</v>
      </c>
      <c r="C1314" s="969">
        <f>W1314</f>
        <v>49</v>
      </c>
      <c r="D1314" s="480" t="s">
        <v>87</v>
      </c>
      <c r="E1314" s="481">
        <f>C1312*E1312</f>
        <v>1</v>
      </c>
      <c r="F1314" s="482">
        <v>10</v>
      </c>
      <c r="G1314" s="483">
        <v>9</v>
      </c>
      <c r="H1314" s="484"/>
      <c r="I1314" s="483"/>
      <c r="J1314" s="484"/>
      <c r="K1314" s="483"/>
      <c r="L1314" s="948">
        <f>C1314*E1314*(F1314+G1314/12)</f>
        <v>526.75</v>
      </c>
      <c r="M1314" s="485"/>
      <c r="N1314" s="485"/>
      <c r="O1314" s="486"/>
      <c r="P1314" s="915">
        <f>H1312+I1312/12</f>
        <v>9.9166666666666661</v>
      </c>
      <c r="Q1314" s="916"/>
      <c r="R1314" s="917">
        <f>R1313</f>
        <v>1</v>
      </c>
      <c r="S1314" s="916">
        <f>1.5/12</f>
        <v>0.125</v>
      </c>
      <c r="T1314" s="75" t="s">
        <v>704</v>
      </c>
      <c r="U1314" s="75">
        <v>10</v>
      </c>
      <c r="V1314" s="906">
        <f t="shared" ref="V1314:V1316" si="402">4/12</f>
        <v>0.33333333333333331</v>
      </c>
      <c r="W1314" s="912">
        <f>ROUND(P1313/V1314,0)+1</f>
        <v>49</v>
      </c>
      <c r="X1314" s="907">
        <f>P1314+2*Q1313</f>
        <v>10.75</v>
      </c>
    </row>
    <row r="1315" spans="1:24" s="487" customFormat="1" ht="18" customHeight="1">
      <c r="A1315" s="478"/>
      <c r="B1315" s="336" t="s">
        <v>536</v>
      </c>
      <c r="C1315" s="969">
        <f>W1315</f>
        <v>31</v>
      </c>
      <c r="D1315" s="480" t="s">
        <v>87</v>
      </c>
      <c r="E1315" s="481">
        <f>E1313</f>
        <v>1</v>
      </c>
      <c r="F1315" s="482">
        <f>F1313</f>
        <v>16</v>
      </c>
      <c r="G1315" s="483">
        <f>G1313</f>
        <v>10</v>
      </c>
      <c r="H1315" s="484"/>
      <c r="I1315" s="483"/>
      <c r="J1315" s="484"/>
      <c r="K1315" s="483"/>
      <c r="L1315" s="948">
        <f>C1315*E1315*(F1315+G1315/12)</f>
        <v>521.83333333333326</v>
      </c>
      <c r="M1315" s="485"/>
      <c r="N1315" s="485"/>
      <c r="O1315" s="486"/>
      <c r="P1315" s="915"/>
      <c r="Q1315" s="964"/>
      <c r="R1315" s="917">
        <f t="shared" ref="R1315:R1316" si="403">R1314</f>
        <v>1</v>
      </c>
      <c r="S1315" s="916">
        <f>1.5/12</f>
        <v>0.125</v>
      </c>
      <c r="T1315" s="75" t="s">
        <v>429</v>
      </c>
      <c r="U1315" s="75">
        <v>10</v>
      </c>
      <c r="V1315" s="906">
        <f t="shared" si="402"/>
        <v>0.33333333333333331</v>
      </c>
      <c r="W1315" s="912">
        <f>ROUND(P1314/V1315,0)+1</f>
        <v>31</v>
      </c>
      <c r="X1315" s="907">
        <f>P1313+2*Q1313</f>
        <v>16.833333333333332</v>
      </c>
    </row>
    <row r="1316" spans="1:24" s="487" customFormat="1" ht="18" customHeight="1">
      <c r="A1316" s="478"/>
      <c r="B1316" s="336" t="s">
        <v>537</v>
      </c>
      <c r="C1316" s="969">
        <f>W1316</f>
        <v>49</v>
      </c>
      <c r="D1316" s="480" t="s">
        <v>87</v>
      </c>
      <c r="E1316" s="481">
        <f>E1315</f>
        <v>1</v>
      </c>
      <c r="F1316" s="482">
        <f>F1314</f>
        <v>10</v>
      </c>
      <c r="G1316" s="483">
        <f>G1314</f>
        <v>9</v>
      </c>
      <c r="H1316" s="484"/>
      <c r="I1316" s="483"/>
      <c r="J1316" s="484"/>
      <c r="K1316" s="483"/>
      <c r="L1316" s="948">
        <f>C1316*E1316*(F1316+G1316/12)</f>
        <v>526.75</v>
      </c>
      <c r="M1316" s="485"/>
      <c r="N1316" s="485"/>
      <c r="O1316" s="486"/>
      <c r="P1316" s="915"/>
      <c r="Q1316" s="916"/>
      <c r="R1316" s="917">
        <f t="shared" si="403"/>
        <v>1</v>
      </c>
      <c r="S1316" s="916">
        <f>1.5/12</f>
        <v>0.125</v>
      </c>
      <c r="T1316" s="75" t="s">
        <v>705</v>
      </c>
      <c r="U1316" s="75">
        <v>10</v>
      </c>
      <c r="V1316" s="906">
        <f t="shared" si="402"/>
        <v>0.33333333333333331</v>
      </c>
      <c r="W1316" s="912">
        <f>ROUND(P1313/V1316,0)+1</f>
        <v>49</v>
      </c>
      <c r="X1316" s="907">
        <f>P1314+2*Q1313</f>
        <v>10.75</v>
      </c>
    </row>
    <row r="1317" spans="1:24" s="487" customFormat="1" ht="18" customHeight="1">
      <c r="A1317" s="478"/>
      <c r="B1317" s="956" t="s">
        <v>379</v>
      </c>
      <c r="C1317" s="957">
        <f>C273</f>
        <v>1</v>
      </c>
      <c r="D1317" s="958" t="s">
        <v>87</v>
      </c>
      <c r="E1317" s="959">
        <f>E273</f>
        <v>1</v>
      </c>
      <c r="F1317" s="960">
        <v>13</v>
      </c>
      <c r="G1317" s="961">
        <v>6</v>
      </c>
      <c r="H1317" s="962">
        <f>H273</f>
        <v>9</v>
      </c>
      <c r="I1317" s="961">
        <f>I273</f>
        <v>0</v>
      </c>
      <c r="J1317" s="484"/>
      <c r="K1317" s="483"/>
      <c r="L1317" s="948"/>
      <c r="M1317" s="485"/>
      <c r="N1317" s="485"/>
      <c r="O1317" s="486"/>
    </row>
    <row r="1318" spans="1:24" s="487" customFormat="1" ht="18" customHeight="1">
      <c r="A1318" s="478"/>
      <c r="B1318" s="336" t="s">
        <v>528</v>
      </c>
      <c r="C1318" s="969">
        <f>W1318</f>
        <v>28</v>
      </c>
      <c r="D1318" s="480" t="s">
        <v>87</v>
      </c>
      <c r="E1318" s="481">
        <f>C1317*E1317</f>
        <v>1</v>
      </c>
      <c r="F1318" s="482">
        <v>14</v>
      </c>
      <c r="G1318" s="483">
        <v>4</v>
      </c>
      <c r="H1318" s="484"/>
      <c r="I1318" s="483"/>
      <c r="J1318" s="484"/>
      <c r="K1318" s="483"/>
      <c r="L1318" s="948">
        <f>C1318*E1318*(F1318+G1318/12)</f>
        <v>401.33333333333337</v>
      </c>
      <c r="M1318" s="485"/>
      <c r="N1318" s="485"/>
      <c r="O1318" s="486"/>
      <c r="P1318" s="915">
        <f>F1317+G1317/12</f>
        <v>13.5</v>
      </c>
      <c r="Q1318" s="964">
        <f>5/12</f>
        <v>0.41666666666666669</v>
      </c>
      <c r="R1318" s="917">
        <f>E1317*C1317</f>
        <v>1</v>
      </c>
      <c r="S1318" s="916">
        <f>1.5/12</f>
        <v>0.125</v>
      </c>
      <c r="T1318" s="75" t="s">
        <v>428</v>
      </c>
      <c r="U1318" s="75">
        <v>10</v>
      </c>
      <c r="V1318" s="906">
        <f>4/12</f>
        <v>0.33333333333333331</v>
      </c>
      <c r="W1318" s="912">
        <f>ROUND(P1319/V1318,0)+1</f>
        <v>28</v>
      </c>
      <c r="X1318" s="907">
        <f>P1318+2*Q1318</f>
        <v>14.333333333333334</v>
      </c>
    </row>
    <row r="1319" spans="1:24" s="487" customFormat="1" ht="18" customHeight="1">
      <c r="A1319" s="478"/>
      <c r="B1319" s="336" t="s">
        <v>529</v>
      </c>
      <c r="C1319" s="969">
        <f>W1319</f>
        <v>42</v>
      </c>
      <c r="D1319" s="480" t="s">
        <v>87</v>
      </c>
      <c r="E1319" s="481">
        <f>C1317*E1317</f>
        <v>1</v>
      </c>
      <c r="F1319" s="482">
        <v>9</v>
      </c>
      <c r="G1319" s="483">
        <v>10</v>
      </c>
      <c r="H1319" s="484"/>
      <c r="I1319" s="483"/>
      <c r="J1319" s="484"/>
      <c r="K1319" s="483"/>
      <c r="L1319" s="948">
        <f>C1319*E1319*(F1319+G1319/12)</f>
        <v>413</v>
      </c>
      <c r="M1319" s="485"/>
      <c r="N1319" s="485"/>
      <c r="O1319" s="486"/>
      <c r="P1319" s="915">
        <f>H1317+I1317/12</f>
        <v>9</v>
      </c>
      <c r="Q1319" s="916"/>
      <c r="R1319" s="917">
        <f>R1318</f>
        <v>1</v>
      </c>
      <c r="S1319" s="916">
        <f>1.5/12</f>
        <v>0.125</v>
      </c>
      <c r="T1319" s="75" t="s">
        <v>704</v>
      </c>
      <c r="U1319" s="75">
        <v>10</v>
      </c>
      <c r="V1319" s="906">
        <f t="shared" ref="V1319:V1321" si="404">4/12</f>
        <v>0.33333333333333331</v>
      </c>
      <c r="W1319" s="912">
        <f>ROUND(P1318/V1319,0)+1</f>
        <v>42</v>
      </c>
      <c r="X1319" s="907">
        <f>P1319+2*Q1318</f>
        <v>9.8333333333333339</v>
      </c>
    </row>
    <row r="1320" spans="1:24" s="487" customFormat="1" ht="18" customHeight="1">
      <c r="A1320" s="478"/>
      <c r="B1320" s="336" t="s">
        <v>536</v>
      </c>
      <c r="C1320" s="969">
        <f>W1320</f>
        <v>28</v>
      </c>
      <c r="D1320" s="480" t="s">
        <v>87</v>
      </c>
      <c r="E1320" s="481">
        <f>E1318</f>
        <v>1</v>
      </c>
      <c r="F1320" s="482">
        <f>F1318</f>
        <v>14</v>
      </c>
      <c r="G1320" s="483">
        <f>G1318</f>
        <v>4</v>
      </c>
      <c r="H1320" s="484"/>
      <c r="I1320" s="483"/>
      <c r="J1320" s="484"/>
      <c r="K1320" s="483"/>
      <c r="L1320" s="948">
        <f>C1320*E1320*(F1320+G1320/12)</f>
        <v>401.33333333333337</v>
      </c>
      <c r="M1320" s="485"/>
      <c r="N1320" s="485"/>
      <c r="O1320" s="486"/>
      <c r="P1320" s="915"/>
      <c r="Q1320" s="964"/>
      <c r="R1320" s="917">
        <f t="shared" ref="R1320:R1321" si="405">R1319</f>
        <v>1</v>
      </c>
      <c r="S1320" s="916">
        <f>1.5/12</f>
        <v>0.125</v>
      </c>
      <c r="T1320" s="75" t="s">
        <v>429</v>
      </c>
      <c r="U1320" s="75">
        <v>10</v>
      </c>
      <c r="V1320" s="906">
        <f t="shared" si="404"/>
        <v>0.33333333333333331</v>
      </c>
      <c r="W1320" s="912">
        <f>ROUND(P1319/V1320,0)+1</f>
        <v>28</v>
      </c>
      <c r="X1320" s="907">
        <f>P1318+2*Q1318</f>
        <v>14.333333333333334</v>
      </c>
    </row>
    <row r="1321" spans="1:24" s="487" customFormat="1" ht="18" customHeight="1">
      <c r="A1321" s="478"/>
      <c r="B1321" s="336" t="s">
        <v>537</v>
      </c>
      <c r="C1321" s="969">
        <f>W1321</f>
        <v>42</v>
      </c>
      <c r="D1321" s="480" t="s">
        <v>87</v>
      </c>
      <c r="E1321" s="481">
        <f>E1320</f>
        <v>1</v>
      </c>
      <c r="F1321" s="482">
        <f>F1319</f>
        <v>9</v>
      </c>
      <c r="G1321" s="483">
        <f>G1319</f>
        <v>10</v>
      </c>
      <c r="H1321" s="484"/>
      <c r="I1321" s="483"/>
      <c r="J1321" s="484"/>
      <c r="K1321" s="483"/>
      <c r="L1321" s="948">
        <f>C1321*E1321*(F1321+G1321/12)</f>
        <v>413</v>
      </c>
      <c r="M1321" s="485"/>
      <c r="N1321" s="485"/>
      <c r="O1321" s="486"/>
      <c r="P1321" s="915"/>
      <c r="Q1321" s="916"/>
      <c r="R1321" s="917">
        <f t="shared" si="405"/>
        <v>1</v>
      </c>
      <c r="S1321" s="916">
        <f>1.5/12</f>
        <v>0.125</v>
      </c>
      <c r="T1321" s="75" t="s">
        <v>705</v>
      </c>
      <c r="U1321" s="75">
        <v>10</v>
      </c>
      <c r="V1321" s="906">
        <f t="shared" si="404"/>
        <v>0.33333333333333331</v>
      </c>
      <c r="W1321" s="912">
        <f>ROUND(P1318/V1321,0)+1</f>
        <v>42</v>
      </c>
      <c r="X1321" s="907">
        <f>P1319+2*Q1318</f>
        <v>9.8333333333333339</v>
      </c>
    </row>
    <row r="1322" spans="1:24" s="487" customFormat="1" ht="18" customHeight="1">
      <c r="A1322" s="478"/>
      <c r="B1322" s="956" t="s">
        <v>380</v>
      </c>
      <c r="C1322" s="957">
        <f>C274</f>
        <v>1</v>
      </c>
      <c r="D1322" s="958" t="s">
        <v>87</v>
      </c>
      <c r="E1322" s="959">
        <f>E274</f>
        <v>1</v>
      </c>
      <c r="F1322" s="960">
        <v>16</v>
      </c>
      <c r="G1322" s="961">
        <v>0</v>
      </c>
      <c r="H1322" s="962">
        <f>H274</f>
        <v>9</v>
      </c>
      <c r="I1322" s="961">
        <f>I274</f>
        <v>0</v>
      </c>
      <c r="J1322" s="484"/>
      <c r="K1322" s="483"/>
      <c r="L1322" s="948"/>
      <c r="M1322" s="485"/>
      <c r="N1322" s="485"/>
      <c r="O1322" s="486"/>
    </row>
    <row r="1323" spans="1:24" s="487" customFormat="1" ht="18" customHeight="1">
      <c r="A1323" s="478"/>
      <c r="B1323" s="336" t="s">
        <v>528</v>
      </c>
      <c r="C1323" s="969">
        <f>W1323</f>
        <v>28</v>
      </c>
      <c r="D1323" s="480" t="s">
        <v>87</v>
      </c>
      <c r="E1323" s="481">
        <f>C1322*E1322</f>
        <v>1</v>
      </c>
      <c r="F1323" s="482">
        <v>16</v>
      </c>
      <c r="G1323" s="483">
        <v>10</v>
      </c>
      <c r="H1323" s="484"/>
      <c r="I1323" s="483"/>
      <c r="J1323" s="484"/>
      <c r="K1323" s="483"/>
      <c r="L1323" s="948">
        <f>C1323*E1323*(F1323+G1323/12)</f>
        <v>471.33333333333331</v>
      </c>
      <c r="M1323" s="485"/>
      <c r="N1323" s="485"/>
      <c r="O1323" s="486"/>
      <c r="P1323" s="915">
        <f>F1322+G1322/12</f>
        <v>16</v>
      </c>
      <c r="Q1323" s="964">
        <f>5/12</f>
        <v>0.41666666666666669</v>
      </c>
      <c r="R1323" s="917">
        <f>E1322*C1322</f>
        <v>1</v>
      </c>
      <c r="S1323" s="916">
        <f>1.5/12</f>
        <v>0.125</v>
      </c>
      <c r="T1323" s="75" t="s">
        <v>428</v>
      </c>
      <c r="U1323" s="75">
        <v>10</v>
      </c>
      <c r="V1323" s="906">
        <f>4/12</f>
        <v>0.33333333333333331</v>
      </c>
      <c r="W1323" s="912">
        <f>ROUND(P1324/V1323,0)+1</f>
        <v>28</v>
      </c>
      <c r="X1323" s="907">
        <f>P1323+2*Q1323</f>
        <v>16.833333333333332</v>
      </c>
    </row>
    <row r="1324" spans="1:24" s="487" customFormat="1" ht="18" customHeight="1">
      <c r="A1324" s="478"/>
      <c r="B1324" s="336" t="s">
        <v>529</v>
      </c>
      <c r="C1324" s="969">
        <f>W1324</f>
        <v>49</v>
      </c>
      <c r="D1324" s="480" t="s">
        <v>87</v>
      </c>
      <c r="E1324" s="481">
        <f>C1322*E1322</f>
        <v>1</v>
      </c>
      <c r="F1324" s="482">
        <v>9</v>
      </c>
      <c r="G1324" s="483">
        <v>10</v>
      </c>
      <c r="H1324" s="484"/>
      <c r="I1324" s="483"/>
      <c r="J1324" s="484"/>
      <c r="K1324" s="483"/>
      <c r="L1324" s="948">
        <f>C1324*E1324*(F1324+G1324/12)</f>
        <v>481.83333333333337</v>
      </c>
      <c r="M1324" s="485"/>
      <c r="N1324" s="485"/>
      <c r="O1324" s="486"/>
      <c r="P1324" s="915">
        <f>H1322+I1322/12</f>
        <v>9</v>
      </c>
      <c r="Q1324" s="916"/>
      <c r="R1324" s="917">
        <f>R1323</f>
        <v>1</v>
      </c>
      <c r="S1324" s="916">
        <f>1.5/12</f>
        <v>0.125</v>
      </c>
      <c r="T1324" s="75" t="s">
        <v>704</v>
      </c>
      <c r="U1324" s="75">
        <v>10</v>
      </c>
      <c r="V1324" s="906">
        <f t="shared" ref="V1324:V1326" si="406">4/12</f>
        <v>0.33333333333333331</v>
      </c>
      <c r="W1324" s="912">
        <f>ROUND(P1323/V1324,0)+1</f>
        <v>49</v>
      </c>
      <c r="X1324" s="907">
        <f>P1324+2*Q1323</f>
        <v>9.8333333333333339</v>
      </c>
    </row>
    <row r="1325" spans="1:24" s="487" customFormat="1" ht="18" customHeight="1">
      <c r="A1325" s="478"/>
      <c r="B1325" s="336" t="s">
        <v>536</v>
      </c>
      <c r="C1325" s="969">
        <f>W1325</f>
        <v>28</v>
      </c>
      <c r="D1325" s="480" t="s">
        <v>87</v>
      </c>
      <c r="E1325" s="481">
        <f>E1323</f>
        <v>1</v>
      </c>
      <c r="F1325" s="482">
        <f>F1323</f>
        <v>16</v>
      </c>
      <c r="G1325" s="483">
        <f>G1323</f>
        <v>10</v>
      </c>
      <c r="H1325" s="484"/>
      <c r="I1325" s="483"/>
      <c r="J1325" s="484"/>
      <c r="K1325" s="483"/>
      <c r="L1325" s="948">
        <f>C1325*E1325*(F1325+G1325/12)</f>
        <v>471.33333333333331</v>
      </c>
      <c r="M1325" s="485"/>
      <c r="N1325" s="485"/>
      <c r="O1325" s="486"/>
      <c r="P1325" s="915"/>
      <c r="Q1325" s="964"/>
      <c r="R1325" s="917">
        <f t="shared" ref="R1325:R1326" si="407">R1324</f>
        <v>1</v>
      </c>
      <c r="S1325" s="916">
        <f>1.5/12</f>
        <v>0.125</v>
      </c>
      <c r="T1325" s="75" t="s">
        <v>429</v>
      </c>
      <c r="U1325" s="75">
        <v>10</v>
      </c>
      <c r="V1325" s="906">
        <f t="shared" si="406"/>
        <v>0.33333333333333331</v>
      </c>
      <c r="W1325" s="912">
        <f>ROUND(P1324/V1325,0)+1</f>
        <v>28</v>
      </c>
      <c r="X1325" s="907">
        <f>P1323+2*Q1323</f>
        <v>16.833333333333332</v>
      </c>
    </row>
    <row r="1326" spans="1:24" s="487" customFormat="1" ht="18" customHeight="1">
      <c r="A1326" s="478"/>
      <c r="B1326" s="336" t="s">
        <v>537</v>
      </c>
      <c r="C1326" s="969">
        <f>W1326</f>
        <v>49</v>
      </c>
      <c r="D1326" s="480" t="s">
        <v>87</v>
      </c>
      <c r="E1326" s="481">
        <f>E1325</f>
        <v>1</v>
      </c>
      <c r="F1326" s="482">
        <f>F1324</f>
        <v>9</v>
      </c>
      <c r="G1326" s="483">
        <f>G1324</f>
        <v>10</v>
      </c>
      <c r="H1326" s="484"/>
      <c r="I1326" s="483"/>
      <c r="J1326" s="484"/>
      <c r="K1326" s="483"/>
      <c r="L1326" s="948">
        <f>C1326*E1326*(F1326+G1326/12)</f>
        <v>481.83333333333337</v>
      </c>
      <c r="M1326" s="485"/>
      <c r="N1326" s="485"/>
      <c r="O1326" s="486"/>
      <c r="P1326" s="915"/>
      <c r="Q1326" s="916"/>
      <c r="R1326" s="917">
        <f t="shared" si="407"/>
        <v>1</v>
      </c>
      <c r="S1326" s="916">
        <f>1.5/12</f>
        <v>0.125</v>
      </c>
      <c r="T1326" s="75" t="s">
        <v>705</v>
      </c>
      <c r="U1326" s="75">
        <v>10</v>
      </c>
      <c r="V1326" s="906">
        <f t="shared" si="406"/>
        <v>0.33333333333333331</v>
      </c>
      <c r="W1326" s="912">
        <f>ROUND(P1323/V1326,0)+1</f>
        <v>49</v>
      </c>
      <c r="X1326" s="907">
        <f>P1324+2*Q1323</f>
        <v>9.8333333333333339</v>
      </c>
    </row>
    <row r="1327" spans="1:24" s="487" customFormat="1" ht="18" customHeight="1">
      <c r="A1327" s="478"/>
      <c r="B1327" s="726" t="s">
        <v>382</v>
      </c>
      <c r="C1327" s="957"/>
      <c r="D1327" s="958"/>
      <c r="E1327" s="959"/>
      <c r="F1327" s="960"/>
      <c r="G1327" s="961"/>
      <c r="H1327" s="962"/>
      <c r="I1327" s="961"/>
      <c r="J1327" s="484"/>
      <c r="K1327" s="483"/>
      <c r="L1327" s="948"/>
      <c r="M1327" s="485"/>
      <c r="N1327" s="485"/>
      <c r="O1327" s="486"/>
    </row>
    <row r="1328" spans="1:24" s="487" customFormat="1" ht="18" customHeight="1">
      <c r="A1328" s="478"/>
      <c r="B1328" s="956" t="s">
        <v>381</v>
      </c>
      <c r="C1328" s="957">
        <f>C277</f>
        <v>1</v>
      </c>
      <c r="D1328" s="958" t="s">
        <v>87</v>
      </c>
      <c r="E1328" s="959">
        <f>E277</f>
        <v>1</v>
      </c>
      <c r="F1328" s="960">
        <v>16</v>
      </c>
      <c r="G1328" s="961">
        <v>0</v>
      </c>
      <c r="H1328" s="962">
        <v>5</v>
      </c>
      <c r="I1328" s="961">
        <v>8</v>
      </c>
      <c r="J1328" s="484"/>
      <c r="K1328" s="483"/>
      <c r="L1328" s="948"/>
      <c r="M1328" s="485"/>
      <c r="N1328" s="485"/>
      <c r="O1328" s="486"/>
    </row>
    <row r="1329" spans="1:24" s="487" customFormat="1" ht="18" customHeight="1">
      <c r="A1329" s="478"/>
      <c r="B1329" s="336" t="s">
        <v>530</v>
      </c>
      <c r="C1329" s="969">
        <f>W1329</f>
        <v>18</v>
      </c>
      <c r="D1329" s="480" t="s">
        <v>87</v>
      </c>
      <c r="E1329" s="481">
        <f>C1328*E1328</f>
        <v>1</v>
      </c>
      <c r="F1329" s="482">
        <v>16</v>
      </c>
      <c r="G1329" s="483">
        <v>10</v>
      </c>
      <c r="H1329" s="484"/>
      <c r="I1329" s="483"/>
      <c r="J1329" s="484"/>
      <c r="K1329" s="483"/>
      <c r="L1329" s="948">
        <f>C1329*E1329*(F1329+G1329/12)</f>
        <v>303</v>
      </c>
      <c r="M1329" s="485"/>
      <c r="N1329" s="485"/>
      <c r="O1329" s="486"/>
      <c r="P1329" s="915">
        <f>F1328+G1328/12</f>
        <v>16</v>
      </c>
      <c r="Q1329" s="964">
        <f>5/12</f>
        <v>0.41666666666666669</v>
      </c>
      <c r="R1329" s="917">
        <f>E1328*C1328</f>
        <v>1</v>
      </c>
      <c r="S1329" s="916">
        <f>1.5/12</f>
        <v>0.125</v>
      </c>
      <c r="T1329" s="75" t="s">
        <v>428</v>
      </c>
      <c r="U1329" s="75">
        <v>10</v>
      </c>
      <c r="V1329" s="906">
        <f>4/12</f>
        <v>0.33333333333333331</v>
      </c>
      <c r="W1329" s="912">
        <f>ROUND(P1330/V1329,0)+1</f>
        <v>18</v>
      </c>
      <c r="X1329" s="907">
        <f>P1329+2*Q1329</f>
        <v>16.833333333333332</v>
      </c>
    </row>
    <row r="1330" spans="1:24" s="487" customFormat="1" ht="18" customHeight="1">
      <c r="A1330" s="478"/>
      <c r="B1330" s="336" t="s">
        <v>706</v>
      </c>
      <c r="C1330" s="969">
        <f>W1330</f>
        <v>49</v>
      </c>
      <c r="D1330" s="480" t="s">
        <v>87</v>
      </c>
      <c r="E1330" s="481">
        <f>E1329</f>
        <v>1</v>
      </c>
      <c r="F1330" s="482">
        <v>6</v>
      </c>
      <c r="G1330" s="483">
        <v>6</v>
      </c>
      <c r="H1330" s="484"/>
      <c r="I1330" s="483"/>
      <c r="J1330" s="484"/>
      <c r="K1330" s="483"/>
      <c r="L1330" s="948">
        <f>C1330*E1330*(F1330+G1330/12)</f>
        <v>318.5</v>
      </c>
      <c r="M1330" s="485"/>
      <c r="N1330" s="485"/>
      <c r="O1330" s="486"/>
      <c r="P1330" s="915">
        <f>H1328+I1328/12</f>
        <v>5.666666666666667</v>
      </c>
      <c r="Q1330" s="916"/>
      <c r="R1330" s="917">
        <f>R1329</f>
        <v>1</v>
      </c>
      <c r="S1330" s="916">
        <f>1.5/12</f>
        <v>0.125</v>
      </c>
      <c r="T1330" s="75" t="s">
        <v>704</v>
      </c>
      <c r="U1330" s="75">
        <v>10</v>
      </c>
      <c r="V1330" s="906">
        <f t="shared" ref="V1330:V1332" si="408">4/12</f>
        <v>0.33333333333333331</v>
      </c>
      <c r="W1330" s="912">
        <f>ROUND(P1329/V1330,0)+1</f>
        <v>49</v>
      </c>
      <c r="X1330" s="907">
        <f>P1330+2*Q1329</f>
        <v>6.5</v>
      </c>
    </row>
    <row r="1331" spans="1:24" s="487" customFormat="1" ht="18" customHeight="1">
      <c r="A1331" s="478"/>
      <c r="B1331" s="336" t="s">
        <v>531</v>
      </c>
      <c r="C1331" s="969">
        <f>W1331</f>
        <v>18</v>
      </c>
      <c r="D1331" s="480" t="s">
        <v>87</v>
      </c>
      <c r="E1331" s="481">
        <f t="shared" ref="E1331:E1332" si="409">E1330</f>
        <v>1</v>
      </c>
      <c r="F1331" s="482">
        <f>F1329</f>
        <v>16</v>
      </c>
      <c r="G1331" s="483">
        <f>G1329</f>
        <v>10</v>
      </c>
      <c r="H1331" s="484"/>
      <c r="I1331" s="483"/>
      <c r="J1331" s="484"/>
      <c r="K1331" s="483"/>
      <c r="L1331" s="948">
        <f t="shared" ref="L1331:L1332" si="410">C1331*E1331*(F1331+G1331/12)</f>
        <v>303</v>
      </c>
      <c r="M1331" s="485"/>
      <c r="N1331" s="485"/>
      <c r="O1331" s="486"/>
      <c r="P1331" s="915"/>
      <c r="Q1331" s="964"/>
      <c r="R1331" s="917">
        <f t="shared" ref="R1331:R1332" si="411">R1330</f>
        <v>1</v>
      </c>
      <c r="S1331" s="916">
        <f>1.5/12</f>
        <v>0.125</v>
      </c>
      <c r="T1331" s="75" t="s">
        <v>429</v>
      </c>
      <c r="U1331" s="75">
        <v>10</v>
      </c>
      <c r="V1331" s="906">
        <f t="shared" si="408"/>
        <v>0.33333333333333331</v>
      </c>
      <c r="W1331" s="912">
        <f>ROUND(P1330/V1331,0)+1</f>
        <v>18</v>
      </c>
      <c r="X1331" s="907">
        <f>P1329+2*Q1329</f>
        <v>16.833333333333332</v>
      </c>
    </row>
    <row r="1332" spans="1:24" s="487" customFormat="1" ht="18" customHeight="1">
      <c r="A1332" s="478"/>
      <c r="B1332" s="336" t="s">
        <v>712</v>
      </c>
      <c r="C1332" s="969">
        <f>W1332</f>
        <v>49</v>
      </c>
      <c r="D1332" s="480" t="s">
        <v>87</v>
      </c>
      <c r="E1332" s="481">
        <f t="shared" si="409"/>
        <v>1</v>
      </c>
      <c r="F1332" s="482">
        <f>F1330</f>
        <v>6</v>
      </c>
      <c r="G1332" s="483">
        <f>G1330</f>
        <v>6</v>
      </c>
      <c r="H1332" s="484"/>
      <c r="I1332" s="483"/>
      <c r="J1332" s="484"/>
      <c r="K1332" s="483"/>
      <c r="L1332" s="948">
        <f t="shared" si="410"/>
        <v>318.5</v>
      </c>
      <c r="M1332" s="485"/>
      <c r="N1332" s="485"/>
      <c r="O1332" s="486"/>
      <c r="P1332" s="915"/>
      <c r="Q1332" s="916"/>
      <c r="R1332" s="917">
        <f t="shared" si="411"/>
        <v>1</v>
      </c>
      <c r="S1332" s="916">
        <f>1.5/12</f>
        <v>0.125</v>
      </c>
      <c r="T1332" s="75" t="s">
        <v>705</v>
      </c>
      <c r="U1332" s="75">
        <v>10</v>
      </c>
      <c r="V1332" s="906">
        <f t="shared" si="408"/>
        <v>0.33333333333333331</v>
      </c>
      <c r="W1332" s="912">
        <f>ROUND(P1329/V1332,0)+1</f>
        <v>49</v>
      </c>
      <c r="X1332" s="907">
        <f>P1330+2*Q1329</f>
        <v>6.5</v>
      </c>
    </row>
    <row r="1333" spans="1:24" s="487" customFormat="1" ht="18" customHeight="1">
      <c r="A1333" s="478"/>
      <c r="B1333" s="956" t="s">
        <v>383</v>
      </c>
      <c r="C1333" s="957">
        <f>C278</f>
        <v>1</v>
      </c>
      <c r="D1333" s="958" t="s">
        <v>87</v>
      </c>
      <c r="E1333" s="959">
        <f>E278</f>
        <v>1</v>
      </c>
      <c r="F1333" s="960">
        <v>4</v>
      </c>
      <c r="G1333" s="961">
        <f>G278</f>
        <v>0</v>
      </c>
      <c r="H1333" s="962">
        <f>H278</f>
        <v>9</v>
      </c>
      <c r="I1333" s="961">
        <f>I278</f>
        <v>0</v>
      </c>
      <c r="J1333" s="484"/>
      <c r="K1333" s="483"/>
      <c r="L1333" s="948"/>
      <c r="M1333" s="485"/>
      <c r="N1333" s="485"/>
      <c r="O1333" s="486"/>
    </row>
    <row r="1334" spans="1:24" s="487" customFormat="1" ht="18" customHeight="1">
      <c r="A1334" s="478"/>
      <c r="B1334" s="336" t="s">
        <v>530</v>
      </c>
      <c r="C1334" s="969">
        <f>W1334</f>
        <v>28</v>
      </c>
      <c r="D1334" s="480" t="s">
        <v>87</v>
      </c>
      <c r="E1334" s="481">
        <f>C1333*E1333</f>
        <v>1</v>
      </c>
      <c r="F1334" s="482">
        <v>4</v>
      </c>
      <c r="G1334" s="483">
        <v>10</v>
      </c>
      <c r="H1334" s="484"/>
      <c r="I1334" s="483"/>
      <c r="J1334" s="484"/>
      <c r="K1334" s="483"/>
      <c r="L1334" s="948">
        <f>C1334*E1334*(F1334+G1334/12)</f>
        <v>135.33333333333331</v>
      </c>
      <c r="M1334" s="485"/>
      <c r="N1334" s="485"/>
      <c r="O1334" s="486"/>
      <c r="P1334" s="915">
        <f>F1333+G1333/12</f>
        <v>4</v>
      </c>
      <c r="Q1334" s="964">
        <f>5/12</f>
        <v>0.41666666666666669</v>
      </c>
      <c r="R1334" s="917">
        <f>E1333*C1333</f>
        <v>1</v>
      </c>
      <c r="S1334" s="916">
        <f>1.5/12</f>
        <v>0.125</v>
      </c>
      <c r="T1334" s="75" t="s">
        <v>428</v>
      </c>
      <c r="U1334" s="75">
        <v>10</v>
      </c>
      <c r="V1334" s="906">
        <f>4/12</f>
        <v>0.33333333333333331</v>
      </c>
      <c r="W1334" s="912">
        <f>ROUND(P1335/V1334,0)+1</f>
        <v>28</v>
      </c>
      <c r="X1334" s="907">
        <f>P1334+2*Q1334</f>
        <v>4.833333333333333</v>
      </c>
    </row>
    <row r="1335" spans="1:24" s="487" customFormat="1" ht="18" customHeight="1">
      <c r="A1335" s="478"/>
      <c r="B1335" s="336" t="s">
        <v>706</v>
      </c>
      <c r="C1335" s="969">
        <f>W1335</f>
        <v>13</v>
      </c>
      <c r="D1335" s="480" t="s">
        <v>87</v>
      </c>
      <c r="E1335" s="481">
        <f>E1334</f>
        <v>1</v>
      </c>
      <c r="F1335" s="482">
        <v>9</v>
      </c>
      <c r="G1335" s="483">
        <f>G1334</f>
        <v>10</v>
      </c>
      <c r="H1335" s="484"/>
      <c r="I1335" s="483"/>
      <c r="J1335" s="484"/>
      <c r="K1335" s="483"/>
      <c r="L1335" s="948">
        <f>C1335*E1335*(F1335+G1335/12)</f>
        <v>127.83333333333334</v>
      </c>
      <c r="M1335" s="485"/>
      <c r="N1335" s="485"/>
      <c r="O1335" s="486"/>
      <c r="P1335" s="915">
        <f>H1333+I1333/12</f>
        <v>9</v>
      </c>
      <c r="Q1335" s="916"/>
      <c r="R1335" s="917">
        <f>R1334</f>
        <v>1</v>
      </c>
      <c r="S1335" s="916">
        <f>1.5/12</f>
        <v>0.125</v>
      </c>
      <c r="T1335" s="75" t="s">
        <v>704</v>
      </c>
      <c r="U1335" s="75">
        <v>10</v>
      </c>
      <c r="V1335" s="906">
        <f t="shared" ref="V1335:V1337" si="412">4/12</f>
        <v>0.33333333333333331</v>
      </c>
      <c r="W1335" s="912">
        <f>ROUND(P1334/V1335,0)+1</f>
        <v>13</v>
      </c>
      <c r="X1335" s="907">
        <f>P1335+2*Q1334</f>
        <v>9.8333333333333339</v>
      </c>
    </row>
    <row r="1336" spans="1:24" s="487" customFormat="1" ht="18" customHeight="1">
      <c r="A1336" s="478"/>
      <c r="B1336" s="336" t="s">
        <v>531</v>
      </c>
      <c r="C1336" s="969">
        <f>W1336</f>
        <v>28</v>
      </c>
      <c r="D1336" s="480" t="s">
        <v>87</v>
      </c>
      <c r="E1336" s="481">
        <f t="shared" ref="E1336:E1337" si="413">E1335</f>
        <v>1</v>
      </c>
      <c r="F1336" s="482">
        <f>F1334</f>
        <v>4</v>
      </c>
      <c r="G1336" s="483">
        <f>G1334</f>
        <v>10</v>
      </c>
      <c r="H1336" s="484"/>
      <c r="I1336" s="483"/>
      <c r="J1336" s="484"/>
      <c r="K1336" s="483"/>
      <c r="L1336" s="948">
        <f t="shared" ref="L1336:L1337" si="414">C1336*E1336*(F1336+G1336/12)</f>
        <v>135.33333333333331</v>
      </c>
      <c r="M1336" s="485"/>
      <c r="N1336" s="485"/>
      <c r="O1336" s="486"/>
      <c r="P1336" s="915"/>
      <c r="Q1336" s="964"/>
      <c r="R1336" s="917">
        <f t="shared" ref="R1336:R1337" si="415">R1335</f>
        <v>1</v>
      </c>
      <c r="S1336" s="916">
        <f>1.5/12</f>
        <v>0.125</v>
      </c>
      <c r="T1336" s="75" t="s">
        <v>429</v>
      </c>
      <c r="U1336" s="75">
        <v>10</v>
      </c>
      <c r="V1336" s="906">
        <f t="shared" si="412"/>
        <v>0.33333333333333331</v>
      </c>
      <c r="W1336" s="912">
        <f>ROUND(P1335/V1336,0)+1</f>
        <v>28</v>
      </c>
      <c r="X1336" s="907">
        <f>P1334+2*Q1334</f>
        <v>4.833333333333333</v>
      </c>
    </row>
    <row r="1337" spans="1:24" s="487" customFormat="1" ht="18" customHeight="1">
      <c r="A1337" s="478"/>
      <c r="B1337" s="336" t="s">
        <v>712</v>
      </c>
      <c r="C1337" s="969">
        <f>W1337</f>
        <v>13</v>
      </c>
      <c r="D1337" s="480" t="s">
        <v>87</v>
      </c>
      <c r="E1337" s="481">
        <f t="shared" si="413"/>
        <v>1</v>
      </c>
      <c r="F1337" s="482">
        <f>F1335</f>
        <v>9</v>
      </c>
      <c r="G1337" s="483">
        <f>G1335</f>
        <v>10</v>
      </c>
      <c r="H1337" s="484"/>
      <c r="I1337" s="483"/>
      <c r="J1337" s="484"/>
      <c r="K1337" s="483"/>
      <c r="L1337" s="948">
        <f t="shared" si="414"/>
        <v>127.83333333333334</v>
      </c>
      <c r="M1337" s="485"/>
      <c r="N1337" s="485"/>
      <c r="O1337" s="486"/>
      <c r="P1337" s="915"/>
      <c r="Q1337" s="916"/>
      <c r="R1337" s="917">
        <f t="shared" si="415"/>
        <v>1</v>
      </c>
      <c r="S1337" s="916">
        <f>1.5/12</f>
        <v>0.125</v>
      </c>
      <c r="T1337" s="75" t="s">
        <v>705</v>
      </c>
      <c r="U1337" s="75">
        <v>10</v>
      </c>
      <c r="V1337" s="906">
        <f t="shared" si="412"/>
        <v>0.33333333333333331</v>
      </c>
      <c r="W1337" s="912">
        <f>ROUND(P1334/V1337,0)+1</f>
        <v>13</v>
      </c>
      <c r="X1337" s="907">
        <f>P1335+2*Q1334</f>
        <v>9.8333333333333339</v>
      </c>
    </row>
    <row r="1338" spans="1:24" s="487" customFormat="1" ht="18" customHeight="1">
      <c r="A1338" s="478"/>
      <c r="B1338" s="956" t="s">
        <v>384</v>
      </c>
      <c r="C1338" s="957">
        <f>C279</f>
        <v>1</v>
      </c>
      <c r="D1338" s="958" t="s">
        <v>87</v>
      </c>
      <c r="E1338" s="959">
        <f>E279</f>
        <v>1</v>
      </c>
      <c r="F1338" s="960">
        <v>13</v>
      </c>
      <c r="G1338" s="961">
        <v>6</v>
      </c>
      <c r="H1338" s="962">
        <f>H279</f>
        <v>3</v>
      </c>
      <c r="I1338" s="961">
        <v>7</v>
      </c>
      <c r="J1338" s="484"/>
      <c r="K1338" s="483"/>
      <c r="L1338" s="948"/>
      <c r="M1338" s="485"/>
      <c r="N1338" s="485"/>
      <c r="O1338" s="486"/>
    </row>
    <row r="1339" spans="1:24" s="487" customFormat="1" ht="18" customHeight="1">
      <c r="A1339" s="478"/>
      <c r="B1339" s="336" t="s">
        <v>530</v>
      </c>
      <c r="C1339" s="969">
        <f>W1339</f>
        <v>12</v>
      </c>
      <c r="D1339" s="480" t="s">
        <v>87</v>
      </c>
      <c r="E1339" s="481">
        <f>C1338*E1338</f>
        <v>1</v>
      </c>
      <c r="F1339" s="482">
        <v>14</v>
      </c>
      <c r="G1339" s="483">
        <v>4</v>
      </c>
      <c r="H1339" s="484"/>
      <c r="I1339" s="483"/>
      <c r="J1339" s="484"/>
      <c r="K1339" s="483"/>
      <c r="L1339" s="948">
        <f>C1339*E1339*(F1339+G1339/12)</f>
        <v>172</v>
      </c>
      <c r="M1339" s="485"/>
      <c r="N1339" s="485"/>
      <c r="O1339" s="486"/>
      <c r="P1339" s="915">
        <f>F1338+G1338/12</f>
        <v>13.5</v>
      </c>
      <c r="Q1339" s="964">
        <f>5/12</f>
        <v>0.41666666666666669</v>
      </c>
      <c r="R1339" s="917">
        <f>E1338*C1338</f>
        <v>1</v>
      </c>
      <c r="S1339" s="916">
        <f>1.5/12</f>
        <v>0.125</v>
      </c>
      <c r="T1339" s="75" t="s">
        <v>428</v>
      </c>
      <c r="U1339" s="75">
        <v>10</v>
      </c>
      <c r="V1339" s="906">
        <f>4/12</f>
        <v>0.33333333333333331</v>
      </c>
      <c r="W1339" s="912">
        <f>ROUND(P1340/V1339,0)+1</f>
        <v>12</v>
      </c>
      <c r="X1339" s="907">
        <f>P1339+2*Q1339</f>
        <v>14.333333333333334</v>
      </c>
    </row>
    <row r="1340" spans="1:24" s="487" customFormat="1" ht="18" customHeight="1">
      <c r="A1340" s="478"/>
      <c r="B1340" s="336" t="s">
        <v>706</v>
      </c>
      <c r="C1340" s="969">
        <f>W1340</f>
        <v>42</v>
      </c>
      <c r="D1340" s="480" t="s">
        <v>87</v>
      </c>
      <c r="E1340" s="481">
        <f>E1339</f>
        <v>1</v>
      </c>
      <c r="F1340" s="482">
        <v>4</v>
      </c>
      <c r="G1340" s="483">
        <v>5</v>
      </c>
      <c r="H1340" s="484"/>
      <c r="I1340" s="483"/>
      <c r="J1340" s="484"/>
      <c r="K1340" s="483"/>
      <c r="L1340" s="948">
        <f>C1340*E1340*(F1340+G1340/12)</f>
        <v>185.5</v>
      </c>
      <c r="M1340" s="485"/>
      <c r="N1340" s="485"/>
      <c r="O1340" s="486"/>
      <c r="P1340" s="915">
        <f>H1338+I1338/12</f>
        <v>3.5833333333333335</v>
      </c>
      <c r="Q1340" s="916"/>
      <c r="R1340" s="917">
        <f>R1339</f>
        <v>1</v>
      </c>
      <c r="S1340" s="916">
        <f>1.5/12</f>
        <v>0.125</v>
      </c>
      <c r="T1340" s="75" t="s">
        <v>704</v>
      </c>
      <c r="U1340" s="75">
        <v>10</v>
      </c>
      <c r="V1340" s="906">
        <f t="shared" ref="V1340:V1342" si="416">4/12</f>
        <v>0.33333333333333331</v>
      </c>
      <c r="W1340" s="912">
        <f>ROUND(P1339/V1340,0)+1</f>
        <v>42</v>
      </c>
      <c r="X1340" s="907">
        <f>P1340+2*Q1339</f>
        <v>4.416666666666667</v>
      </c>
    </row>
    <row r="1341" spans="1:24" s="487" customFormat="1" ht="18" customHeight="1">
      <c r="A1341" s="478"/>
      <c r="B1341" s="336" t="s">
        <v>531</v>
      </c>
      <c r="C1341" s="969">
        <f>W1341</f>
        <v>12</v>
      </c>
      <c r="D1341" s="480" t="s">
        <v>87</v>
      </c>
      <c r="E1341" s="481">
        <f t="shared" ref="E1341:E1342" si="417">E1340</f>
        <v>1</v>
      </c>
      <c r="F1341" s="482">
        <f>F1339</f>
        <v>14</v>
      </c>
      <c r="G1341" s="483">
        <f>G1339</f>
        <v>4</v>
      </c>
      <c r="H1341" s="484"/>
      <c r="I1341" s="483"/>
      <c r="J1341" s="484"/>
      <c r="K1341" s="483"/>
      <c r="L1341" s="948">
        <f t="shared" ref="L1341:L1342" si="418">C1341*E1341*(F1341+G1341/12)</f>
        <v>172</v>
      </c>
      <c r="M1341" s="485"/>
      <c r="N1341" s="485"/>
      <c r="O1341" s="486"/>
      <c r="P1341" s="915"/>
      <c r="Q1341" s="964"/>
      <c r="R1341" s="917">
        <f t="shared" ref="R1341:R1342" si="419">R1340</f>
        <v>1</v>
      </c>
      <c r="S1341" s="916">
        <f>1.5/12</f>
        <v>0.125</v>
      </c>
      <c r="T1341" s="75" t="s">
        <v>429</v>
      </c>
      <c r="U1341" s="75">
        <v>10</v>
      </c>
      <c r="V1341" s="906">
        <f t="shared" si="416"/>
        <v>0.33333333333333331</v>
      </c>
      <c r="W1341" s="912">
        <f>ROUND(P1340/V1341,0)+1</f>
        <v>12</v>
      </c>
      <c r="X1341" s="907">
        <f>P1339+2*Q1339</f>
        <v>14.333333333333334</v>
      </c>
    </row>
    <row r="1342" spans="1:24" s="487" customFormat="1" ht="18" customHeight="1">
      <c r="A1342" s="478"/>
      <c r="B1342" s="336" t="s">
        <v>712</v>
      </c>
      <c r="C1342" s="969">
        <f>W1342</f>
        <v>42</v>
      </c>
      <c r="D1342" s="480" t="s">
        <v>87</v>
      </c>
      <c r="E1342" s="481">
        <f t="shared" si="417"/>
        <v>1</v>
      </c>
      <c r="F1342" s="482">
        <f>F1340</f>
        <v>4</v>
      </c>
      <c r="G1342" s="483">
        <f>G1340</f>
        <v>5</v>
      </c>
      <c r="H1342" s="484"/>
      <c r="I1342" s="483"/>
      <c r="J1342" s="484"/>
      <c r="K1342" s="483"/>
      <c r="L1342" s="948">
        <f t="shared" si="418"/>
        <v>185.5</v>
      </c>
      <c r="M1342" s="485"/>
      <c r="N1342" s="485"/>
      <c r="O1342" s="486"/>
      <c r="P1342" s="915"/>
      <c r="Q1342" s="916"/>
      <c r="R1342" s="917">
        <f t="shared" si="419"/>
        <v>1</v>
      </c>
      <c r="S1342" s="916">
        <f>1.5/12</f>
        <v>0.125</v>
      </c>
      <c r="T1342" s="75" t="s">
        <v>705</v>
      </c>
      <c r="U1342" s="75">
        <v>10</v>
      </c>
      <c r="V1342" s="906">
        <f t="shared" si="416"/>
        <v>0.33333333333333331</v>
      </c>
      <c r="W1342" s="912">
        <f>ROUND(P1339/V1342,0)+1</f>
        <v>42</v>
      </c>
      <c r="X1342" s="907">
        <f>P1340+2*Q1339</f>
        <v>4.416666666666667</v>
      </c>
    </row>
    <row r="1343" spans="1:24" s="487" customFormat="1" ht="18" customHeight="1">
      <c r="A1343" s="478"/>
      <c r="B1343" s="956" t="s">
        <v>385</v>
      </c>
      <c r="C1343" s="957">
        <f>C280</f>
        <v>1</v>
      </c>
      <c r="D1343" s="958" t="s">
        <v>87</v>
      </c>
      <c r="E1343" s="959">
        <f>E280</f>
        <v>1</v>
      </c>
      <c r="F1343" s="960">
        <v>16</v>
      </c>
      <c r="G1343" s="961">
        <v>0</v>
      </c>
      <c r="H1343" s="962">
        <f>H280</f>
        <v>3</v>
      </c>
      <c r="I1343" s="961">
        <v>7</v>
      </c>
      <c r="J1343" s="484"/>
      <c r="K1343" s="483"/>
      <c r="L1343" s="948"/>
      <c r="M1343" s="485"/>
      <c r="N1343" s="485"/>
      <c r="O1343" s="486"/>
    </row>
    <row r="1344" spans="1:24" s="487" customFormat="1" ht="18" customHeight="1">
      <c r="A1344" s="478"/>
      <c r="B1344" s="336" t="s">
        <v>530</v>
      </c>
      <c r="C1344" s="969">
        <f>W1344</f>
        <v>12</v>
      </c>
      <c r="D1344" s="480" t="s">
        <v>87</v>
      </c>
      <c r="E1344" s="481">
        <f>C1343*E1343</f>
        <v>1</v>
      </c>
      <c r="F1344" s="482">
        <v>16</v>
      </c>
      <c r="G1344" s="483">
        <v>10</v>
      </c>
      <c r="H1344" s="484"/>
      <c r="I1344" s="483"/>
      <c r="J1344" s="484"/>
      <c r="K1344" s="483"/>
      <c r="L1344" s="948">
        <f>C1344*E1344*(F1344+G1344/12)</f>
        <v>202</v>
      </c>
      <c r="M1344" s="485"/>
      <c r="N1344" s="485"/>
      <c r="O1344" s="486"/>
      <c r="P1344" s="915">
        <f>F1343+G1343/12</f>
        <v>16</v>
      </c>
      <c r="Q1344" s="964">
        <f>5/12</f>
        <v>0.41666666666666669</v>
      </c>
      <c r="R1344" s="917">
        <f>E1343*C1343</f>
        <v>1</v>
      </c>
      <c r="S1344" s="916">
        <f>1.5/12</f>
        <v>0.125</v>
      </c>
      <c r="T1344" s="75" t="s">
        <v>428</v>
      </c>
      <c r="U1344" s="75">
        <v>10</v>
      </c>
      <c r="V1344" s="906">
        <f>4/12</f>
        <v>0.33333333333333331</v>
      </c>
      <c r="W1344" s="912">
        <f>ROUND(P1345/V1344,0)+1</f>
        <v>12</v>
      </c>
      <c r="X1344" s="907">
        <f>P1344+2*Q1344</f>
        <v>16.833333333333332</v>
      </c>
    </row>
    <row r="1345" spans="1:24" s="487" customFormat="1" ht="18" customHeight="1">
      <c r="A1345" s="478"/>
      <c r="B1345" s="336" t="s">
        <v>706</v>
      </c>
      <c r="C1345" s="969">
        <f>W1345</f>
        <v>49</v>
      </c>
      <c r="D1345" s="480" t="s">
        <v>87</v>
      </c>
      <c r="E1345" s="481">
        <f>E1344</f>
        <v>1</v>
      </c>
      <c r="F1345" s="482">
        <v>4</v>
      </c>
      <c r="G1345" s="483">
        <v>5</v>
      </c>
      <c r="H1345" s="484"/>
      <c r="I1345" s="483"/>
      <c r="J1345" s="484"/>
      <c r="K1345" s="483"/>
      <c r="L1345" s="948">
        <f>C1345*E1345*(F1345+G1345/12)</f>
        <v>216.41666666666669</v>
      </c>
      <c r="M1345" s="485"/>
      <c r="N1345" s="485"/>
      <c r="O1345" s="486"/>
      <c r="P1345" s="915">
        <f>H1343+I1343/12</f>
        <v>3.5833333333333335</v>
      </c>
      <c r="Q1345" s="916"/>
      <c r="R1345" s="917">
        <f>R1344</f>
        <v>1</v>
      </c>
      <c r="S1345" s="916">
        <f>1.5/12</f>
        <v>0.125</v>
      </c>
      <c r="T1345" s="75" t="s">
        <v>704</v>
      </c>
      <c r="U1345" s="75">
        <v>10</v>
      </c>
      <c r="V1345" s="906">
        <f t="shared" ref="V1345:V1347" si="420">4/12</f>
        <v>0.33333333333333331</v>
      </c>
      <c r="W1345" s="912">
        <f>ROUND(P1344/V1345,0)+1</f>
        <v>49</v>
      </c>
      <c r="X1345" s="907">
        <f>P1345+2*Q1344</f>
        <v>4.416666666666667</v>
      </c>
    </row>
    <row r="1346" spans="1:24" s="487" customFormat="1" ht="18" customHeight="1">
      <c r="A1346" s="478"/>
      <c r="B1346" s="336" t="s">
        <v>531</v>
      </c>
      <c r="C1346" s="969">
        <f>W1346</f>
        <v>12</v>
      </c>
      <c r="D1346" s="480" t="s">
        <v>87</v>
      </c>
      <c r="E1346" s="481">
        <f t="shared" ref="E1346:E1347" si="421">E1345</f>
        <v>1</v>
      </c>
      <c r="F1346" s="482">
        <f>F1344</f>
        <v>16</v>
      </c>
      <c r="G1346" s="483">
        <f>G1344</f>
        <v>10</v>
      </c>
      <c r="H1346" s="484"/>
      <c r="I1346" s="483"/>
      <c r="J1346" s="484"/>
      <c r="K1346" s="483"/>
      <c r="L1346" s="948">
        <f t="shared" ref="L1346:L1347" si="422">C1346*E1346*(F1346+G1346/12)</f>
        <v>202</v>
      </c>
      <c r="M1346" s="485"/>
      <c r="N1346" s="485"/>
      <c r="O1346" s="486"/>
      <c r="P1346" s="915"/>
      <c r="Q1346" s="964"/>
      <c r="R1346" s="917">
        <f t="shared" ref="R1346:R1347" si="423">R1345</f>
        <v>1</v>
      </c>
      <c r="S1346" s="916">
        <f>1.5/12</f>
        <v>0.125</v>
      </c>
      <c r="T1346" s="75" t="s">
        <v>429</v>
      </c>
      <c r="U1346" s="75">
        <v>10</v>
      </c>
      <c r="V1346" s="906">
        <f t="shared" si="420"/>
        <v>0.33333333333333331</v>
      </c>
      <c r="W1346" s="912">
        <f>ROUND(P1345/V1346,0)+1</f>
        <v>12</v>
      </c>
      <c r="X1346" s="907">
        <f>P1344+2*Q1344</f>
        <v>16.833333333333332</v>
      </c>
    </row>
    <row r="1347" spans="1:24" s="487" customFormat="1" ht="18" customHeight="1">
      <c r="A1347" s="478"/>
      <c r="B1347" s="336" t="s">
        <v>712</v>
      </c>
      <c r="C1347" s="969">
        <f>W1347</f>
        <v>49</v>
      </c>
      <c r="D1347" s="480" t="s">
        <v>87</v>
      </c>
      <c r="E1347" s="481">
        <f t="shared" si="421"/>
        <v>1</v>
      </c>
      <c r="F1347" s="482">
        <f>F1345</f>
        <v>4</v>
      </c>
      <c r="G1347" s="483">
        <f>G1345</f>
        <v>5</v>
      </c>
      <c r="H1347" s="484"/>
      <c r="I1347" s="483"/>
      <c r="J1347" s="484"/>
      <c r="K1347" s="483"/>
      <c r="L1347" s="948">
        <f t="shared" si="422"/>
        <v>216.41666666666669</v>
      </c>
      <c r="M1347" s="485"/>
      <c r="N1347" s="485"/>
      <c r="O1347" s="486"/>
      <c r="P1347" s="915"/>
      <c r="Q1347" s="916"/>
      <c r="R1347" s="917">
        <f t="shared" si="423"/>
        <v>1</v>
      </c>
      <c r="S1347" s="916">
        <f>1.5/12</f>
        <v>0.125</v>
      </c>
      <c r="T1347" s="75" t="s">
        <v>705</v>
      </c>
      <c r="U1347" s="75">
        <v>10</v>
      </c>
      <c r="V1347" s="906">
        <f t="shared" si="420"/>
        <v>0.33333333333333331</v>
      </c>
      <c r="W1347" s="912">
        <f>ROUND(P1344/V1347,0)+1</f>
        <v>49</v>
      </c>
      <c r="X1347" s="907">
        <f>P1345+2*Q1344</f>
        <v>4.416666666666667</v>
      </c>
    </row>
    <row r="1348" spans="1:24" s="487" customFormat="1" ht="18" customHeight="1">
      <c r="A1348" s="478"/>
      <c r="B1348" s="336"/>
      <c r="C1348" s="479"/>
      <c r="D1348" s="480"/>
      <c r="E1348" s="481"/>
      <c r="F1348" s="482"/>
      <c r="G1348" s="483"/>
      <c r="H1348" s="484"/>
      <c r="I1348" s="483"/>
      <c r="J1348" s="484"/>
      <c r="K1348" s="483"/>
      <c r="L1348" s="948"/>
      <c r="M1348" s="485"/>
      <c r="N1348" s="485"/>
      <c r="O1348" s="486"/>
    </row>
    <row r="1349" spans="1:24" s="487" customFormat="1" ht="18" customHeight="1">
      <c r="A1349" s="478"/>
      <c r="B1349" s="723" t="s">
        <v>577</v>
      </c>
      <c r="C1349" s="479"/>
      <c r="D1349" s="480"/>
      <c r="E1349" s="481"/>
      <c r="F1349" s="482"/>
      <c r="G1349" s="483"/>
      <c r="H1349" s="484"/>
      <c r="I1349" s="483"/>
      <c r="J1349" s="484"/>
      <c r="K1349" s="483"/>
      <c r="L1349" s="948"/>
      <c r="M1349" s="485"/>
      <c r="N1349" s="485"/>
      <c r="O1349" s="486"/>
    </row>
    <row r="1350" spans="1:24" s="487" customFormat="1" ht="18" customHeight="1">
      <c r="A1350" s="478"/>
      <c r="B1350" s="869" t="s">
        <v>494</v>
      </c>
      <c r="C1350" s="479"/>
      <c r="D1350" s="480"/>
      <c r="E1350" s="481"/>
      <c r="F1350" s="482"/>
      <c r="G1350" s="483"/>
      <c r="H1350" s="484"/>
      <c r="I1350" s="483"/>
      <c r="J1350" s="484"/>
      <c r="K1350" s="483"/>
      <c r="L1350" s="948"/>
      <c r="M1350" s="485"/>
      <c r="N1350" s="485"/>
      <c r="O1350" s="486"/>
    </row>
    <row r="1351" spans="1:24" s="487" customFormat="1" ht="18" customHeight="1">
      <c r="A1351" s="478"/>
      <c r="B1351" s="869" t="s">
        <v>538</v>
      </c>
      <c r="C1351" s="479">
        <v>1</v>
      </c>
      <c r="D1351" s="480" t="s">
        <v>87</v>
      </c>
      <c r="E1351" s="481">
        <v>2</v>
      </c>
      <c r="F1351" s="482">
        <v>10</v>
      </c>
      <c r="G1351" s="483">
        <v>9</v>
      </c>
      <c r="H1351" s="484">
        <v>4</v>
      </c>
      <c r="I1351" s="483">
        <v>5</v>
      </c>
      <c r="J1351" s="484"/>
      <c r="K1351" s="483"/>
      <c r="L1351" s="948"/>
      <c r="M1351" s="485"/>
      <c r="N1351" s="485"/>
      <c r="O1351" s="486"/>
    </row>
    <row r="1352" spans="1:24" s="487" customFormat="1" ht="18" customHeight="1">
      <c r="A1352" s="478"/>
      <c r="B1352" s="336" t="s">
        <v>539</v>
      </c>
      <c r="C1352" s="969">
        <f>2*W1352</f>
        <v>20</v>
      </c>
      <c r="D1352" s="480" t="s">
        <v>87</v>
      </c>
      <c r="E1352" s="481">
        <v>2</v>
      </c>
      <c r="F1352" s="482">
        <v>15</v>
      </c>
      <c r="G1352" s="483">
        <v>8</v>
      </c>
      <c r="H1352" s="484"/>
      <c r="I1352" s="483"/>
      <c r="J1352" s="484"/>
      <c r="K1352" s="483"/>
      <c r="L1352" s="948"/>
      <c r="M1352" s="485">
        <f>C1352*E1352*(F1352+G1352/12)</f>
        <v>626.66666666666663</v>
      </c>
      <c r="N1352" s="485"/>
      <c r="O1352" s="486"/>
      <c r="P1352" s="915">
        <f>F1351+G1351/12</f>
        <v>10.75</v>
      </c>
      <c r="Q1352" s="964">
        <f>5/12</f>
        <v>0.41666666666666669</v>
      </c>
      <c r="R1352" s="917">
        <f>E1351*C1351</f>
        <v>2</v>
      </c>
      <c r="S1352" s="916">
        <f>1.5/12</f>
        <v>0.125</v>
      </c>
      <c r="T1352" s="75" t="s">
        <v>675</v>
      </c>
      <c r="U1352" s="75">
        <v>10</v>
      </c>
      <c r="V1352" s="906">
        <f>6/12</f>
        <v>0.5</v>
      </c>
      <c r="W1352" s="912">
        <f>ROUND(P1353/V1352,0)+1</f>
        <v>10</v>
      </c>
      <c r="X1352" s="907">
        <f>P1352+1*Q1352+2+1.17+1.33</f>
        <v>15.666666666666666</v>
      </c>
    </row>
    <row r="1353" spans="1:24" s="487" customFormat="1" ht="18" customHeight="1">
      <c r="A1353" s="478"/>
      <c r="B1353" s="336" t="s">
        <v>540</v>
      </c>
      <c r="C1353" s="969">
        <f>2*W1353</f>
        <v>46</v>
      </c>
      <c r="D1353" s="480" t="s">
        <v>87</v>
      </c>
      <c r="E1353" s="481">
        <f>E1352</f>
        <v>2</v>
      </c>
      <c r="F1353" s="482">
        <v>5</v>
      </c>
      <c r="G1353" s="483">
        <v>0</v>
      </c>
      <c r="H1353" s="484"/>
      <c r="I1353" s="483"/>
      <c r="J1353" s="484"/>
      <c r="K1353" s="483"/>
      <c r="L1353" s="485">
        <f>C1353*E1353*(F1353+G1353/12)</f>
        <v>460</v>
      </c>
      <c r="N1353" s="485"/>
      <c r="O1353" s="486"/>
      <c r="P1353" s="915">
        <f>H1351+I1351/12</f>
        <v>4.416666666666667</v>
      </c>
      <c r="Q1353" s="916"/>
      <c r="R1353" s="917">
        <f>R1352</f>
        <v>2</v>
      </c>
      <c r="S1353" s="916">
        <f>1.5/12</f>
        <v>0.125</v>
      </c>
      <c r="T1353" s="75" t="s">
        <v>713</v>
      </c>
      <c r="U1353" s="75">
        <v>10</v>
      </c>
      <c r="V1353" s="906">
        <f>6/12</f>
        <v>0.5</v>
      </c>
      <c r="W1353" s="912">
        <f>ROUND(P1352/V1353,0)+1</f>
        <v>23</v>
      </c>
      <c r="X1353" s="907">
        <f>P1353-2*S1353+2*Q1352</f>
        <v>5</v>
      </c>
    </row>
    <row r="1354" spans="1:24" s="487" customFormat="1" ht="18" customHeight="1">
      <c r="A1354" s="478"/>
      <c r="B1354" s="873" t="s">
        <v>542</v>
      </c>
      <c r="C1354" s="479">
        <v>1</v>
      </c>
      <c r="D1354" s="480" t="s">
        <v>87</v>
      </c>
      <c r="E1354" s="481">
        <v>2</v>
      </c>
      <c r="F1354" s="482">
        <v>9</v>
      </c>
      <c r="G1354" s="483">
        <v>0</v>
      </c>
      <c r="H1354" s="484">
        <v>1</v>
      </c>
      <c r="I1354" s="483">
        <v>2</v>
      </c>
      <c r="J1354" s="484"/>
      <c r="K1354" s="483"/>
      <c r="L1354" s="948"/>
      <c r="M1354" s="485"/>
      <c r="N1354" s="485"/>
      <c r="O1354" s="486"/>
    </row>
    <row r="1355" spans="1:24" s="487" customFormat="1" ht="18" customHeight="1">
      <c r="A1355" s="478"/>
      <c r="B1355" s="336" t="s">
        <v>541</v>
      </c>
      <c r="C1355" s="479">
        <v>10</v>
      </c>
      <c r="D1355" s="480" t="s">
        <v>87</v>
      </c>
      <c r="E1355" s="481">
        <v>1</v>
      </c>
      <c r="F1355" s="482">
        <v>11</v>
      </c>
      <c r="G1355" s="483">
        <v>5</v>
      </c>
      <c r="H1355" s="484"/>
      <c r="I1355" s="483"/>
      <c r="J1355" s="484"/>
      <c r="K1355" s="483"/>
      <c r="L1355" s="948"/>
      <c r="M1355" s="485"/>
      <c r="N1355" s="485">
        <f>C1355*E1355*(F1355+G1355/12)</f>
        <v>114.16666666666666</v>
      </c>
      <c r="O1355" s="486"/>
      <c r="P1355" s="915">
        <f>F1354+G1354/12</f>
        <v>9</v>
      </c>
      <c r="Q1355" s="964">
        <f>1.33</f>
        <v>1.33</v>
      </c>
      <c r="R1355" s="917">
        <f>E1354*C1354</f>
        <v>2</v>
      </c>
      <c r="S1355" s="916">
        <f>1.5/12</f>
        <v>0.125</v>
      </c>
      <c r="T1355" s="75" t="s">
        <v>675</v>
      </c>
      <c r="U1355" s="75">
        <v>16</v>
      </c>
      <c r="V1355" s="906"/>
      <c r="W1355" s="912">
        <f>C1355</f>
        <v>10</v>
      </c>
      <c r="X1355" s="907">
        <f>P1355-2*S1355+2*Q1355</f>
        <v>11.41</v>
      </c>
    </row>
    <row r="1356" spans="1:24" s="487" customFormat="1" ht="18" customHeight="1">
      <c r="A1356" s="478"/>
      <c r="B1356" s="336" t="s">
        <v>261</v>
      </c>
      <c r="C1356" s="479">
        <v>19</v>
      </c>
      <c r="D1356" s="480" t="s">
        <v>87</v>
      </c>
      <c r="E1356" s="481">
        <f>E1355</f>
        <v>1</v>
      </c>
      <c r="F1356" s="482">
        <v>4</v>
      </c>
      <c r="G1356" s="483">
        <v>8</v>
      </c>
      <c r="H1356" s="484"/>
      <c r="I1356" s="483"/>
      <c r="J1356" s="484"/>
      <c r="K1356" s="483"/>
      <c r="L1356" s="948">
        <f>C1356*E1356*(F1356+G1356/12)</f>
        <v>88.666666666666671</v>
      </c>
      <c r="M1356" s="485"/>
      <c r="N1356" s="485"/>
      <c r="O1356" s="486"/>
      <c r="P1356" s="915">
        <f>H1354+I1354/12</f>
        <v>1.1666666666666667</v>
      </c>
      <c r="Q1356" s="916"/>
      <c r="R1356" s="917">
        <f>R1355</f>
        <v>2</v>
      </c>
      <c r="S1356" s="916">
        <f>1.5/12</f>
        <v>0.125</v>
      </c>
      <c r="T1356" s="75" t="s">
        <v>713</v>
      </c>
      <c r="U1356" s="75">
        <v>10</v>
      </c>
      <c r="V1356" s="906">
        <f>6/12</f>
        <v>0.5</v>
      </c>
      <c r="W1356" s="912">
        <f>ROUND(P1355/V1356,0)+1</f>
        <v>19</v>
      </c>
      <c r="X1356" s="907">
        <f>(P1356+Q1355)*2-8*S1355+3.281*2*8*U1356/1000</f>
        <v>4.5182933333333342</v>
      </c>
    </row>
    <row r="1357" spans="1:24" s="487" customFormat="1" ht="18" customHeight="1">
      <c r="A1357" s="478"/>
      <c r="B1357" s="873" t="s">
        <v>53</v>
      </c>
      <c r="C1357" s="479">
        <v>1</v>
      </c>
      <c r="D1357" s="480" t="s">
        <v>87</v>
      </c>
      <c r="E1357" s="481">
        <v>1</v>
      </c>
      <c r="F1357" s="482">
        <v>9</v>
      </c>
      <c r="G1357" s="483">
        <v>0</v>
      </c>
      <c r="H1357" s="484">
        <v>4</v>
      </c>
      <c r="I1357" s="483">
        <v>0</v>
      </c>
      <c r="J1357" s="484"/>
      <c r="K1357" s="483"/>
      <c r="L1357" s="948"/>
      <c r="M1357" s="485"/>
      <c r="N1357" s="485"/>
      <c r="O1357" s="486"/>
    </row>
    <row r="1358" spans="1:24" s="487" customFormat="1" ht="18" customHeight="1">
      <c r="A1358" s="478"/>
      <c r="B1358" s="336" t="s">
        <v>539</v>
      </c>
      <c r="C1358" s="969">
        <f>2*W1358</f>
        <v>38</v>
      </c>
      <c r="D1358" s="480" t="s">
        <v>87</v>
      </c>
      <c r="E1358" s="481">
        <f>1</f>
        <v>1</v>
      </c>
      <c r="F1358" s="482">
        <v>8</v>
      </c>
      <c r="G1358" s="483">
        <v>11</v>
      </c>
      <c r="H1358" s="484"/>
      <c r="I1358" s="483"/>
      <c r="J1358" s="484"/>
      <c r="K1358" s="483"/>
      <c r="L1358" s="948"/>
      <c r="M1358" s="485">
        <f>C1358*E1358*(F1358+G1358/12)</f>
        <v>338.83333333333331</v>
      </c>
      <c r="N1358" s="485"/>
      <c r="O1358" s="486"/>
      <c r="P1358" s="915">
        <f>F1357+G1357/12</f>
        <v>9</v>
      </c>
      <c r="Q1358" s="964">
        <f>5/12</f>
        <v>0.41666666666666669</v>
      </c>
      <c r="R1358" s="917">
        <f>E1357*C1357</f>
        <v>1</v>
      </c>
      <c r="S1358" s="916">
        <f>1.5/12</f>
        <v>0.125</v>
      </c>
      <c r="T1358" s="75" t="s">
        <v>675</v>
      </c>
      <c r="U1358" s="75">
        <v>10</v>
      </c>
      <c r="V1358" s="906">
        <f>6/12</f>
        <v>0.5</v>
      </c>
      <c r="W1358" s="912">
        <f>ROUND(P1358/V1358,0)+1</f>
        <v>19</v>
      </c>
      <c r="X1358" s="907">
        <f>P1359+1*Q1358+2+1.17+1.33</f>
        <v>8.9166666666666679</v>
      </c>
    </row>
    <row r="1359" spans="1:24" s="487" customFormat="1" ht="18" customHeight="1">
      <c r="A1359" s="478"/>
      <c r="B1359" s="336" t="s">
        <v>540</v>
      </c>
      <c r="C1359" s="969">
        <f>2*W1359</f>
        <v>18</v>
      </c>
      <c r="D1359" s="480" t="s">
        <v>87</v>
      </c>
      <c r="E1359" s="481">
        <v>1</v>
      </c>
      <c r="F1359" s="482">
        <v>9</v>
      </c>
      <c r="G1359" s="483">
        <v>7</v>
      </c>
      <c r="H1359" s="484"/>
      <c r="I1359" s="483"/>
      <c r="J1359" s="484"/>
      <c r="K1359" s="483"/>
      <c r="L1359" s="948">
        <f>C1359*E1359*(F1359+G1359/12)</f>
        <v>172.5</v>
      </c>
      <c r="M1359" s="485"/>
      <c r="N1359" s="485"/>
      <c r="O1359" s="486"/>
      <c r="P1359" s="915">
        <f>H1357+I1357/12</f>
        <v>4</v>
      </c>
      <c r="Q1359" s="916"/>
      <c r="R1359" s="917">
        <f>R1358</f>
        <v>1</v>
      </c>
      <c r="S1359" s="916">
        <f>1.5/12</f>
        <v>0.125</v>
      </c>
      <c r="T1359" s="75" t="s">
        <v>713</v>
      </c>
      <c r="U1359" s="75">
        <v>10</v>
      </c>
      <c r="V1359" s="906">
        <f>6/12</f>
        <v>0.5</v>
      </c>
      <c r="W1359" s="912">
        <f>ROUND(P1359/V1359,0)+1</f>
        <v>9</v>
      </c>
      <c r="X1359" s="907">
        <f>P1358-2*S1359+2*Q1358</f>
        <v>9.5833333333333339</v>
      </c>
    </row>
    <row r="1360" spans="1:24" s="487" customFormat="1" ht="18" customHeight="1">
      <c r="A1360" s="478"/>
      <c r="B1360" s="869" t="s">
        <v>387</v>
      </c>
      <c r="C1360" s="479"/>
      <c r="D1360" s="480"/>
      <c r="E1360" s="481"/>
      <c r="F1360" s="482"/>
      <c r="G1360" s="483"/>
      <c r="H1360" s="484"/>
      <c r="I1360" s="483"/>
      <c r="J1360" s="484"/>
      <c r="K1360" s="483"/>
      <c r="L1360" s="948"/>
      <c r="M1360" s="485"/>
      <c r="N1360" s="485"/>
      <c r="O1360" s="486"/>
    </row>
    <row r="1361" spans="1:24" s="487" customFormat="1" ht="18" customHeight="1">
      <c r="A1361" s="478"/>
      <c r="B1361" s="869" t="s">
        <v>538</v>
      </c>
      <c r="C1361" s="479">
        <v>1</v>
      </c>
      <c r="D1361" s="480" t="s">
        <v>87</v>
      </c>
      <c r="E1361" s="481">
        <v>2</v>
      </c>
      <c r="F1361" s="482">
        <v>10</v>
      </c>
      <c r="G1361" s="483">
        <v>6</v>
      </c>
      <c r="H1361" s="484">
        <v>4</v>
      </c>
      <c r="I1361" s="483">
        <v>5</v>
      </c>
      <c r="J1361" s="484"/>
      <c r="K1361" s="483"/>
      <c r="L1361" s="948"/>
      <c r="M1361" s="485"/>
      <c r="N1361" s="485"/>
      <c r="O1361" s="486"/>
    </row>
    <row r="1362" spans="1:24" s="487" customFormat="1" ht="18" customHeight="1">
      <c r="A1362" s="478"/>
      <c r="B1362" s="336" t="s">
        <v>539</v>
      </c>
      <c r="C1362" s="969">
        <f>2*W1362</f>
        <v>20</v>
      </c>
      <c r="D1362" s="480" t="s">
        <v>87</v>
      </c>
      <c r="E1362" s="481">
        <v>2</v>
      </c>
      <c r="F1362" s="482">
        <v>15</v>
      </c>
      <c r="G1362" s="483">
        <v>5</v>
      </c>
      <c r="H1362" s="484"/>
      <c r="I1362" s="483"/>
      <c r="J1362" s="484"/>
      <c r="K1362" s="483"/>
      <c r="L1362" s="948"/>
      <c r="M1362" s="485">
        <f>C1362*E1362*(F1362+G1362/12)</f>
        <v>616.66666666666663</v>
      </c>
      <c r="N1362" s="485"/>
      <c r="O1362" s="486"/>
      <c r="P1362" s="915">
        <f>F1361+G1361/12</f>
        <v>10.5</v>
      </c>
      <c r="Q1362" s="964">
        <f>5/12</f>
        <v>0.41666666666666669</v>
      </c>
      <c r="R1362" s="917">
        <f>E1361*C1361</f>
        <v>2</v>
      </c>
      <c r="S1362" s="916">
        <f>1.5/12</f>
        <v>0.125</v>
      </c>
      <c r="T1362" s="75" t="s">
        <v>675</v>
      </c>
      <c r="U1362" s="75">
        <v>10</v>
      </c>
      <c r="V1362" s="906">
        <f>6/12</f>
        <v>0.5</v>
      </c>
      <c r="W1362" s="912">
        <f>ROUND(P1363/V1362,0)+1</f>
        <v>10</v>
      </c>
      <c r="X1362" s="907">
        <f>P1362+1*Q1362+2+1.17+1.33</f>
        <v>15.416666666666666</v>
      </c>
    </row>
    <row r="1363" spans="1:24" s="487" customFormat="1" ht="18" customHeight="1">
      <c r="A1363" s="478"/>
      <c r="B1363" s="336" t="s">
        <v>540</v>
      </c>
      <c r="C1363" s="969">
        <f>2*W1363</f>
        <v>44</v>
      </c>
      <c r="D1363" s="480" t="s">
        <v>87</v>
      </c>
      <c r="E1363" s="481">
        <f>E1362</f>
        <v>2</v>
      </c>
      <c r="F1363" s="482">
        <v>5</v>
      </c>
      <c r="G1363" s="483">
        <v>0</v>
      </c>
      <c r="H1363" s="484"/>
      <c r="I1363" s="483"/>
      <c r="J1363" s="484"/>
      <c r="K1363" s="483"/>
      <c r="L1363" s="485">
        <f>C1363*E1363*(F1363+G1363/12)</f>
        <v>440</v>
      </c>
      <c r="M1363" s="970"/>
      <c r="N1363" s="485"/>
      <c r="O1363" s="486"/>
      <c r="P1363" s="915">
        <f>H1361+I1361/12</f>
        <v>4.416666666666667</v>
      </c>
      <c r="Q1363" s="916"/>
      <c r="R1363" s="917">
        <f>R1362</f>
        <v>2</v>
      </c>
      <c r="S1363" s="916">
        <f>1.5/12</f>
        <v>0.125</v>
      </c>
      <c r="T1363" s="75" t="s">
        <v>713</v>
      </c>
      <c r="U1363" s="75">
        <v>10</v>
      </c>
      <c r="V1363" s="906">
        <f>6/12</f>
        <v>0.5</v>
      </c>
      <c r="W1363" s="912">
        <f>ROUND(P1362/V1363,0)+1</f>
        <v>22</v>
      </c>
      <c r="X1363" s="907">
        <f>P1363-2*S1363+2*Q1362</f>
        <v>5</v>
      </c>
    </row>
    <row r="1364" spans="1:24" s="487" customFormat="1" ht="18" customHeight="1">
      <c r="A1364" s="478"/>
      <c r="B1364" s="873" t="s">
        <v>542</v>
      </c>
      <c r="C1364" s="479">
        <v>1</v>
      </c>
      <c r="D1364" s="480" t="s">
        <v>87</v>
      </c>
      <c r="E1364" s="481">
        <v>2</v>
      </c>
      <c r="F1364" s="482">
        <v>9</v>
      </c>
      <c r="G1364" s="483">
        <v>0</v>
      </c>
      <c r="H1364" s="484">
        <v>1</v>
      </c>
      <c r="I1364" s="483">
        <v>2</v>
      </c>
      <c r="J1364" s="484"/>
      <c r="K1364" s="483"/>
      <c r="L1364" s="948"/>
      <c r="M1364" s="485"/>
      <c r="N1364" s="485"/>
      <c r="O1364" s="486"/>
    </row>
    <row r="1365" spans="1:24" s="487" customFormat="1" ht="18" customHeight="1">
      <c r="A1365" s="478"/>
      <c r="B1365" s="336" t="s">
        <v>541</v>
      </c>
      <c r="C1365" s="479">
        <v>10</v>
      </c>
      <c r="D1365" s="480" t="s">
        <v>87</v>
      </c>
      <c r="E1365" s="481">
        <v>1</v>
      </c>
      <c r="F1365" s="482">
        <v>9</v>
      </c>
      <c r="G1365" s="483">
        <v>0</v>
      </c>
      <c r="H1365" s="484"/>
      <c r="I1365" s="483"/>
      <c r="J1365" s="484"/>
      <c r="K1365" s="483"/>
      <c r="L1365" s="948"/>
      <c r="M1365" s="485"/>
      <c r="N1365" s="485">
        <f>C1365*E1365*(F1365+G1365/12)</f>
        <v>90</v>
      </c>
      <c r="O1365" s="486"/>
      <c r="P1365" s="915">
        <f>F1364+G1364/12</f>
        <v>9</v>
      </c>
      <c r="Q1365" s="964">
        <f>1.33</f>
        <v>1.33</v>
      </c>
      <c r="R1365" s="917">
        <f>E1364*C1364</f>
        <v>2</v>
      </c>
      <c r="S1365" s="916">
        <f>1.5/12</f>
        <v>0.125</v>
      </c>
      <c r="T1365" s="75" t="s">
        <v>675</v>
      </c>
      <c r="U1365" s="75">
        <v>16</v>
      </c>
      <c r="V1365" s="906"/>
      <c r="W1365" s="912">
        <f>C1365</f>
        <v>10</v>
      </c>
      <c r="X1365" s="907">
        <f>P1365-2*S1365+2*Q1365</f>
        <v>11.41</v>
      </c>
    </row>
    <row r="1366" spans="1:24" s="487" customFormat="1" ht="18" customHeight="1">
      <c r="A1366" s="478"/>
      <c r="B1366" s="336" t="s">
        <v>261</v>
      </c>
      <c r="C1366" s="969">
        <f>W1366</f>
        <v>19</v>
      </c>
      <c r="D1366" s="480" t="s">
        <v>87</v>
      </c>
      <c r="E1366" s="481">
        <f>E1365</f>
        <v>1</v>
      </c>
      <c r="F1366" s="482">
        <v>4</v>
      </c>
      <c r="G1366" s="483">
        <v>8</v>
      </c>
      <c r="H1366" s="484"/>
      <c r="I1366" s="483"/>
      <c r="J1366" s="484"/>
      <c r="K1366" s="483"/>
      <c r="L1366" s="948">
        <f>C1366*E1366*(F1366+G1366/12)</f>
        <v>88.666666666666671</v>
      </c>
      <c r="M1366" s="485"/>
      <c r="N1366" s="485"/>
      <c r="O1366" s="486"/>
      <c r="P1366" s="915">
        <f>H1364+I1364/12</f>
        <v>1.1666666666666667</v>
      </c>
      <c r="Q1366" s="916"/>
      <c r="R1366" s="917">
        <f>R1365</f>
        <v>2</v>
      </c>
      <c r="S1366" s="916">
        <f>1.5/12</f>
        <v>0.125</v>
      </c>
      <c r="T1366" s="75" t="s">
        <v>713</v>
      </c>
      <c r="U1366" s="75">
        <v>10</v>
      </c>
      <c r="V1366" s="906">
        <f>6/12</f>
        <v>0.5</v>
      </c>
      <c r="W1366" s="912">
        <f>ROUND(P1365/V1366,0)+1</f>
        <v>19</v>
      </c>
      <c r="X1366" s="907">
        <f>(P1366+Q1365)*2-8*S1365+3.281*2*8*U1366/1000</f>
        <v>4.5182933333333342</v>
      </c>
    </row>
    <row r="1367" spans="1:24" s="487" customFormat="1" ht="18" customHeight="1">
      <c r="A1367" s="478"/>
      <c r="B1367" s="873" t="s">
        <v>53</v>
      </c>
      <c r="C1367" s="479">
        <v>1</v>
      </c>
      <c r="D1367" s="480" t="s">
        <v>87</v>
      </c>
      <c r="E1367" s="481">
        <v>1</v>
      </c>
      <c r="F1367" s="482">
        <v>9</v>
      </c>
      <c r="G1367" s="483">
        <v>0</v>
      </c>
      <c r="H1367" s="484">
        <v>4</v>
      </c>
      <c r="I1367" s="483">
        <v>0</v>
      </c>
      <c r="J1367" s="484"/>
      <c r="K1367" s="483"/>
      <c r="L1367" s="948"/>
      <c r="M1367" s="485"/>
      <c r="N1367" s="485"/>
      <c r="O1367" s="486"/>
    </row>
    <row r="1368" spans="1:24" s="487" customFormat="1" ht="18" customHeight="1">
      <c r="A1368" s="478"/>
      <c r="B1368" s="336" t="s">
        <v>539</v>
      </c>
      <c r="C1368" s="969">
        <f>2*W1368</f>
        <v>38</v>
      </c>
      <c r="D1368" s="480" t="s">
        <v>87</v>
      </c>
      <c r="E1368" s="481">
        <f>1</f>
        <v>1</v>
      </c>
      <c r="F1368" s="482">
        <v>8</v>
      </c>
      <c r="G1368" s="483">
        <v>11</v>
      </c>
      <c r="H1368" s="484"/>
      <c r="I1368" s="483"/>
      <c r="J1368" s="484"/>
      <c r="K1368" s="483"/>
      <c r="L1368" s="948"/>
      <c r="M1368" s="485">
        <f>C1368*E1368*(F1368+G1368/12)</f>
        <v>338.83333333333331</v>
      </c>
      <c r="N1368" s="485"/>
      <c r="O1368" s="486"/>
      <c r="P1368" s="915">
        <f>F1367+G1367/12</f>
        <v>9</v>
      </c>
      <c r="Q1368" s="964">
        <f>5/12</f>
        <v>0.41666666666666669</v>
      </c>
      <c r="R1368" s="917">
        <f>E1367*C1367</f>
        <v>1</v>
      </c>
      <c r="S1368" s="916">
        <f>1.5/12</f>
        <v>0.125</v>
      </c>
      <c r="T1368" s="75" t="s">
        <v>675</v>
      </c>
      <c r="U1368" s="75">
        <v>10</v>
      </c>
      <c r="V1368" s="906">
        <f>6/12</f>
        <v>0.5</v>
      </c>
      <c r="W1368" s="912">
        <f>ROUND(P1368/V1368,0)+1</f>
        <v>19</v>
      </c>
      <c r="X1368" s="907">
        <f>P1369+1*Q1368+2+1.17+1.33</f>
        <v>8.9166666666666679</v>
      </c>
    </row>
    <row r="1369" spans="1:24" s="487" customFormat="1" ht="18" customHeight="1">
      <c r="A1369" s="478"/>
      <c r="B1369" s="336" t="s">
        <v>540</v>
      </c>
      <c r="C1369" s="969">
        <f>2*W1369</f>
        <v>18</v>
      </c>
      <c r="D1369" s="480" t="s">
        <v>87</v>
      </c>
      <c r="E1369" s="481">
        <v>1</v>
      </c>
      <c r="F1369" s="482">
        <v>9</v>
      </c>
      <c r="G1369" s="483">
        <v>7</v>
      </c>
      <c r="H1369" s="484"/>
      <c r="I1369" s="483"/>
      <c r="J1369" s="484"/>
      <c r="K1369" s="483"/>
      <c r="L1369" s="948">
        <f>C1369*E1369*(F1369+G1369/12)</f>
        <v>172.5</v>
      </c>
      <c r="M1369" s="485"/>
      <c r="N1369" s="485"/>
      <c r="O1369" s="486"/>
      <c r="P1369" s="915">
        <f>H1367+I1367/12</f>
        <v>4</v>
      </c>
      <c r="Q1369" s="916"/>
      <c r="R1369" s="917">
        <f>R1368</f>
        <v>1</v>
      </c>
      <c r="S1369" s="916">
        <f>1.5/12</f>
        <v>0.125</v>
      </c>
      <c r="T1369" s="75" t="s">
        <v>713</v>
      </c>
      <c r="U1369" s="75">
        <v>10</v>
      </c>
      <c r="V1369" s="906">
        <f>6/12</f>
        <v>0.5</v>
      </c>
      <c r="W1369" s="912">
        <f>ROUND(P1369/V1369,0)+1</f>
        <v>9</v>
      </c>
      <c r="X1369" s="907">
        <f>P1368-2*S1369+2*Q1368</f>
        <v>9.5833333333333339</v>
      </c>
    </row>
    <row r="1370" spans="1:24" s="487" customFormat="1" ht="18" customHeight="1" thickBot="1">
      <c r="A1370" s="478"/>
      <c r="B1370" s="336"/>
      <c r="C1370" s="479"/>
      <c r="D1370" s="480"/>
      <c r="E1370" s="481"/>
      <c r="F1370" s="482"/>
      <c r="G1370" s="483"/>
      <c r="H1370" s="484"/>
      <c r="I1370" s="483"/>
      <c r="J1370" s="484"/>
      <c r="K1370" s="483"/>
      <c r="L1370" s="927"/>
      <c r="M1370" s="929"/>
      <c r="N1370" s="929"/>
      <c r="O1370" s="971"/>
    </row>
    <row r="1371" spans="1:24" s="487" customFormat="1" ht="18" customHeight="1">
      <c r="A1371" s="478"/>
      <c r="B1371" s="930" t="s">
        <v>107</v>
      </c>
      <c r="C1371" s="1206">
        <v>10</v>
      </c>
      <c r="D1371" s="1207"/>
      <c r="E1371" s="1208"/>
      <c r="F1371" s="1165">
        <v>12</v>
      </c>
      <c r="G1371" s="1166"/>
      <c r="H1371" s="1165">
        <v>16</v>
      </c>
      <c r="I1371" s="1166"/>
      <c r="J1371" s="1169">
        <f t="shared" ref="J1371" si="424">SUM(J1284:J1369)</f>
        <v>0</v>
      </c>
      <c r="K1371" s="1170"/>
      <c r="L1371" s="499">
        <f>SUM(L1174:L1369)</f>
        <v>41387.500000000015</v>
      </c>
      <c r="M1371" s="499">
        <f>SUM(M1174:M1369)</f>
        <v>3344</v>
      </c>
      <c r="N1371" s="499">
        <f>SUM(N1174:N1369)</f>
        <v>204.16666666666666</v>
      </c>
      <c r="O1371" s="546"/>
    </row>
    <row r="1372" spans="1:24" s="487" customFormat="1" ht="18" customHeight="1">
      <c r="A1372" s="478"/>
      <c r="B1372" s="930" t="s">
        <v>30</v>
      </c>
      <c r="C1372" s="1167">
        <f>ROUNDUP(7.85*3.142*C1371*C1371/4000,2)</f>
        <v>0.62</v>
      </c>
      <c r="D1372" s="1205"/>
      <c r="E1372" s="1168"/>
      <c r="F1372" s="1167">
        <f>ROUNDUP(7.85*3.142*F1371*F1371/4000,2)</f>
        <v>0.89</v>
      </c>
      <c r="G1372" s="1168"/>
      <c r="H1372" s="1167">
        <f>ROUNDUP(7.85*3.142*H1371*H1371/4000,2)</f>
        <v>1.58</v>
      </c>
      <c r="I1372" s="1168"/>
      <c r="J1372" s="1163"/>
      <c r="K1372" s="1164"/>
      <c r="L1372" s="948">
        <f>(L1371/3.281)*C1372/1000</f>
        <v>7.8208625419079576</v>
      </c>
      <c r="M1372" s="485">
        <f>(M1371/3.281)*F1372/1000</f>
        <v>0.9070893020420604</v>
      </c>
      <c r="N1372" s="485">
        <f>(N1371/3.281)*H1372/1000</f>
        <v>9.8318602052219845E-2</v>
      </c>
      <c r="O1372" s="486"/>
    </row>
    <row r="1373" spans="1:24" s="487" customFormat="1" ht="18" customHeight="1">
      <c r="A1373" s="478"/>
      <c r="B1373" s="930" t="s">
        <v>108</v>
      </c>
      <c r="C1373" s="479"/>
      <c r="D1373" s="480"/>
      <c r="E1373" s="481"/>
      <c r="F1373" s="482"/>
      <c r="G1373" s="483"/>
      <c r="H1373" s="484"/>
      <c r="I1373" s="483"/>
      <c r="J1373" s="1163"/>
      <c r="K1373" s="1164"/>
      <c r="L1373" s="478"/>
      <c r="M1373" s="485"/>
      <c r="N1373" s="486">
        <f>SUM(J1372:N1372)</f>
        <v>8.8262704460022388</v>
      </c>
      <c r="O1373" s="486" t="s">
        <v>30</v>
      </c>
    </row>
    <row r="1374" spans="1:24" s="487" customFormat="1" ht="18" customHeight="1">
      <c r="A1374" s="833"/>
      <c r="B1374" s="953"/>
      <c r="C1374" s="934"/>
      <c r="D1374" s="935"/>
      <c r="E1374" s="936"/>
      <c r="F1374" s="482"/>
      <c r="G1374" s="483"/>
      <c r="H1374" s="484"/>
      <c r="I1374" s="483"/>
      <c r="J1374" s="1163"/>
      <c r="K1374" s="1164"/>
      <c r="L1374" s="478"/>
      <c r="M1374" s="485"/>
      <c r="N1374" s="485"/>
      <c r="O1374" s="485"/>
    </row>
    <row r="1375" spans="1:24" s="487" customFormat="1" ht="18" customHeight="1">
      <c r="A1375" s="833"/>
      <c r="B1375" s="500" t="s">
        <v>115</v>
      </c>
      <c r="C1375" s="934"/>
      <c r="D1375" s="935"/>
      <c r="E1375" s="936"/>
      <c r="F1375" s="482"/>
      <c r="G1375" s="483"/>
      <c r="H1375" s="484"/>
      <c r="I1375" s="483"/>
      <c r="J1375" s="1163"/>
      <c r="K1375" s="1164"/>
      <c r="L1375" s="478"/>
      <c r="M1375" s="485"/>
      <c r="N1375" s="485"/>
      <c r="O1375" s="485"/>
    </row>
    <row r="1376" spans="1:24" s="487" customFormat="1" ht="18" customHeight="1">
      <c r="A1376" s="833"/>
      <c r="B1376" s="336" t="s">
        <v>598</v>
      </c>
      <c r="C1376" s="934"/>
      <c r="D1376" s="935" t="s">
        <v>116</v>
      </c>
      <c r="E1376" s="936"/>
      <c r="F1376" s="482"/>
      <c r="G1376" s="483"/>
      <c r="H1376" s="484"/>
      <c r="I1376" s="483"/>
      <c r="J1376" s="1163"/>
      <c r="K1376" s="1164"/>
      <c r="L1376" s="478"/>
      <c r="M1376" s="485"/>
      <c r="N1376" s="485">
        <f>N1372</f>
        <v>9.8318602052219845E-2</v>
      </c>
      <c r="O1376" s="485" t="s">
        <v>30</v>
      </c>
    </row>
    <row r="1377" spans="1:16" s="487" customFormat="1" ht="18" customHeight="1">
      <c r="A1377" s="833"/>
      <c r="B1377" s="336" t="s">
        <v>599</v>
      </c>
      <c r="C1377" s="934"/>
      <c r="D1377" s="935" t="s">
        <v>116</v>
      </c>
      <c r="E1377" s="936"/>
      <c r="F1377" s="482"/>
      <c r="G1377" s="483"/>
      <c r="H1377" s="484"/>
      <c r="I1377" s="483"/>
      <c r="J1377" s="1163"/>
      <c r="K1377" s="1164"/>
      <c r="L1377" s="478"/>
      <c r="M1377" s="485"/>
      <c r="N1377" s="485">
        <f>M1372</f>
        <v>0.9070893020420604</v>
      </c>
      <c r="O1377" s="485" t="s">
        <v>30</v>
      </c>
    </row>
    <row r="1378" spans="1:16" s="487" customFormat="1" ht="18" customHeight="1">
      <c r="A1378" s="833"/>
      <c r="B1378" s="336" t="s">
        <v>600</v>
      </c>
      <c r="C1378" s="934"/>
      <c r="D1378" s="935" t="s">
        <v>116</v>
      </c>
      <c r="E1378" s="936"/>
      <c r="F1378" s="482"/>
      <c r="G1378" s="483"/>
      <c r="H1378" s="484"/>
      <c r="I1378" s="483"/>
      <c r="J1378" s="1163"/>
      <c r="K1378" s="1164"/>
      <c r="L1378" s="478"/>
      <c r="M1378" s="485"/>
      <c r="N1378" s="485">
        <f>L1372</f>
        <v>7.8208625419079576</v>
      </c>
      <c r="O1378" s="485" t="s">
        <v>30</v>
      </c>
    </row>
    <row r="1379" spans="1:16" s="487" customFormat="1" ht="18" customHeight="1">
      <c r="A1379" s="548"/>
      <c r="B1379" s="549"/>
      <c r="C1379" s="557"/>
      <c r="D1379" s="550"/>
      <c r="E1379" s="551"/>
      <c r="F1379" s="552"/>
      <c r="G1379" s="553"/>
      <c r="H1379" s="554"/>
      <c r="I1379" s="553"/>
      <c r="J1379" s="554"/>
      <c r="K1379" s="553"/>
      <c r="L1379" s="955"/>
      <c r="M1379" s="555"/>
      <c r="N1379" s="555"/>
      <c r="O1379" s="556"/>
    </row>
    <row r="1380" spans="1:16" s="487" customFormat="1" ht="18" customHeight="1">
      <c r="A1380" s="733" t="s">
        <v>762</v>
      </c>
      <c r="B1380" s="734" t="s">
        <v>579</v>
      </c>
      <c r="C1380" s="735"/>
      <c r="D1380" s="736"/>
      <c r="E1380" s="748"/>
      <c r="F1380" s="738"/>
      <c r="G1380" s="739"/>
      <c r="H1380" s="740"/>
      <c r="I1380" s="739"/>
      <c r="J1380" s="741"/>
      <c r="K1380" s="742"/>
      <c r="L1380" s="743"/>
      <c r="M1380" s="499"/>
      <c r="N1380" s="546">
        <f>N1390</f>
        <v>1.8414568729046021</v>
      </c>
      <c r="O1380" s="733" t="s">
        <v>30</v>
      </c>
    </row>
    <row r="1381" spans="1:16" s="487" customFormat="1" ht="18" customHeight="1">
      <c r="A1381" s="478"/>
      <c r="B1381" s="723"/>
      <c r="C1381" s="479"/>
      <c r="D1381" s="480"/>
      <c r="E1381" s="481"/>
      <c r="F1381" s="482"/>
      <c r="G1381" s="745"/>
      <c r="H1381" s="746"/>
      <c r="I1381" s="745"/>
      <c r="J1381" s="1171" t="s">
        <v>546</v>
      </c>
      <c r="K1381" s="1172"/>
      <c r="L1381" s="946" t="s">
        <v>545</v>
      </c>
      <c r="M1381" s="922" t="s">
        <v>544</v>
      </c>
      <c r="N1381" s="922" t="s">
        <v>103</v>
      </c>
      <c r="O1381" s="923"/>
    </row>
    <row r="1382" spans="1:16" s="487" customFormat="1" ht="18" customHeight="1">
      <c r="A1382" s="478"/>
      <c r="B1382" s="723" t="s">
        <v>580</v>
      </c>
      <c r="C1382" s="479"/>
      <c r="D1382" s="480"/>
      <c r="E1382" s="481"/>
      <c r="F1382" s="482"/>
      <c r="G1382" s="483"/>
      <c r="H1382" s="484"/>
      <c r="I1382" s="483"/>
      <c r="J1382" s="484"/>
      <c r="K1382" s="483"/>
      <c r="L1382" s="948"/>
      <c r="M1382" s="485"/>
      <c r="N1382" s="485"/>
      <c r="O1382" s="486"/>
    </row>
    <row r="1383" spans="1:16" s="487" customFormat="1" ht="18" customHeight="1">
      <c r="A1383" s="478"/>
      <c r="B1383" s="892" t="s">
        <v>714</v>
      </c>
      <c r="C1383" s="479"/>
      <c r="D1383" s="480"/>
      <c r="E1383" s="481"/>
      <c r="F1383" s="482"/>
      <c r="G1383" s="483"/>
      <c r="H1383" s="484"/>
      <c r="I1383" s="483"/>
      <c r="J1383" s="484"/>
      <c r="K1383" s="483"/>
      <c r="L1383" s="948"/>
      <c r="M1383" s="485"/>
      <c r="N1383" s="485"/>
      <c r="O1383" s="486"/>
    </row>
    <row r="1384" spans="1:16" s="487" customFormat="1" ht="18" customHeight="1">
      <c r="A1384" s="478"/>
      <c r="B1384" s="336" t="s">
        <v>543</v>
      </c>
      <c r="C1384" s="479">
        <v>2</v>
      </c>
      <c r="D1384" s="480" t="s">
        <v>87</v>
      </c>
      <c r="E1384" s="481">
        <f>1</f>
        <v>1</v>
      </c>
      <c r="F1384" s="482">
        <v>2604</v>
      </c>
      <c r="G1384" s="483">
        <f>0</f>
        <v>0</v>
      </c>
      <c r="H1384" s="484"/>
      <c r="I1384" s="483"/>
      <c r="J1384" s="484"/>
      <c r="K1384" s="483"/>
      <c r="L1384" s="948">
        <f>C1384*E1384*(F1384+G1384/12)</f>
        <v>5208</v>
      </c>
      <c r="N1384" s="485"/>
      <c r="O1384" s="486"/>
    </row>
    <row r="1385" spans="1:16" s="487" customFormat="1" ht="18" customHeight="1">
      <c r="A1385" s="478"/>
      <c r="B1385" s="336" t="s">
        <v>715</v>
      </c>
      <c r="C1385" s="479">
        <v>5209</v>
      </c>
      <c r="D1385" s="480" t="s">
        <v>87</v>
      </c>
      <c r="E1385" s="481">
        <v>1</v>
      </c>
      <c r="F1385" s="482">
        <f>2</f>
        <v>2</v>
      </c>
      <c r="G1385" s="483">
        <f>0</f>
        <v>0</v>
      </c>
      <c r="J1385" s="1163">
        <f>C1385*E1385*(F1385+G1385/12)</f>
        <v>10418</v>
      </c>
      <c r="K1385" s="1194"/>
      <c r="L1385" s="918"/>
      <c r="M1385" s="478"/>
      <c r="N1385" s="485"/>
      <c r="O1385" s="486"/>
      <c r="P1385" s="487">
        <f>F1384/0.5+1</f>
        <v>5209</v>
      </c>
    </row>
    <row r="1386" spans="1:16" s="487" customFormat="1" ht="18" customHeight="1">
      <c r="A1386" s="478"/>
      <c r="B1386" s="723"/>
      <c r="C1386" s="479"/>
      <c r="D1386" s="480"/>
      <c r="E1386" s="481"/>
      <c r="F1386" s="482"/>
      <c r="G1386" s="483"/>
      <c r="H1386" s="484"/>
      <c r="I1386" s="483"/>
      <c r="J1386" s="484"/>
      <c r="K1386" s="483"/>
      <c r="L1386" s="948"/>
      <c r="M1386" s="485"/>
      <c r="N1386" s="485"/>
      <c r="O1386" s="486"/>
      <c r="P1386" s="487">
        <f>0.38*4+0.25*2</f>
        <v>2.02</v>
      </c>
    </row>
    <row r="1387" spans="1:16" s="487" customFormat="1" ht="18" customHeight="1" thickBot="1">
      <c r="A1387" s="478"/>
      <c r="B1387" s="336"/>
      <c r="C1387" s="479"/>
      <c r="D1387" s="480"/>
      <c r="E1387" s="481"/>
      <c r="F1387" s="482"/>
      <c r="G1387" s="483"/>
      <c r="H1387" s="484"/>
      <c r="I1387" s="483"/>
      <c r="J1387" s="925"/>
      <c r="K1387" s="926"/>
      <c r="L1387" s="927"/>
      <c r="M1387" s="928"/>
      <c r="N1387" s="929"/>
      <c r="O1387" s="486"/>
    </row>
    <row r="1388" spans="1:16" s="487" customFormat="1" ht="18" customHeight="1">
      <c r="A1388" s="478"/>
      <c r="B1388" s="930" t="s">
        <v>107</v>
      </c>
      <c r="C1388" s="1206">
        <v>6.5</v>
      </c>
      <c r="D1388" s="1207"/>
      <c r="E1388" s="1208"/>
      <c r="F1388" s="1165">
        <v>10</v>
      </c>
      <c r="G1388" s="1166"/>
      <c r="H1388" s="484"/>
      <c r="I1388" s="483"/>
      <c r="J1388" s="1192">
        <f>SUM(J1384:K1387)</f>
        <v>10418</v>
      </c>
      <c r="K1388" s="1193"/>
      <c r="L1388" s="979">
        <f>SUM(L1384:L1387)</f>
        <v>5208</v>
      </c>
      <c r="M1388" s="980">
        <f t="shared" ref="M1388:N1388" si="425">SUM(M1384:M1387)</f>
        <v>0</v>
      </c>
      <c r="N1388" s="980">
        <f t="shared" si="425"/>
        <v>0</v>
      </c>
      <c r="O1388" s="486"/>
    </row>
    <row r="1389" spans="1:16" s="487" customFormat="1" ht="18" customHeight="1">
      <c r="A1389" s="478"/>
      <c r="B1389" s="930" t="s">
        <v>30</v>
      </c>
      <c r="C1389" s="1167">
        <f>ROUNDUP(7.85*3.142*C1388*C1388/4000,2)</f>
        <v>0.27</v>
      </c>
      <c r="D1389" s="1205"/>
      <c r="E1389" s="1168"/>
      <c r="F1389" s="1167">
        <f>ROUNDUP(7.85*3.142*F1388*F1388/4000,2)</f>
        <v>0.62</v>
      </c>
      <c r="G1389" s="1168"/>
      <c r="H1389" s="484"/>
      <c r="I1389" s="483"/>
      <c r="J1389" s="1163">
        <f>(J1388/3.281)*C1389/1000</f>
        <v>0.85731789088692467</v>
      </c>
      <c r="K1389" s="1164"/>
      <c r="L1389" s="948">
        <f>(L1388/3.281)*F1389/1000</f>
        <v>0.98413898201767747</v>
      </c>
      <c r="M1389" s="933">
        <f>M1388/12/3.281/88</f>
        <v>0</v>
      </c>
      <c r="N1389" s="933">
        <f>N1388/12/3.281/53</f>
        <v>0</v>
      </c>
      <c r="O1389" s="486"/>
    </row>
    <row r="1390" spans="1:16" s="487" customFormat="1" ht="18" customHeight="1">
      <c r="A1390" s="478"/>
      <c r="B1390" s="930" t="s">
        <v>108</v>
      </c>
      <c r="C1390" s="479"/>
      <c r="D1390" s="480"/>
      <c r="E1390" s="481"/>
      <c r="F1390" s="482"/>
      <c r="G1390" s="483"/>
      <c r="H1390" s="484"/>
      <c r="I1390" s="483"/>
      <c r="J1390" s="1163"/>
      <c r="K1390" s="1164"/>
      <c r="L1390" s="478"/>
      <c r="M1390" s="485"/>
      <c r="N1390" s="486">
        <f>SUM(J1389:N1389)</f>
        <v>1.8414568729046021</v>
      </c>
      <c r="O1390" s="486" t="s">
        <v>30</v>
      </c>
    </row>
    <row r="1391" spans="1:16" s="487" customFormat="1" ht="18" customHeight="1">
      <c r="A1391" s="833"/>
      <c r="B1391" s="953"/>
      <c r="C1391" s="934"/>
      <c r="D1391" s="935"/>
      <c r="E1391" s="936"/>
      <c r="F1391" s="482"/>
      <c r="G1391" s="483"/>
      <c r="H1391" s="484"/>
      <c r="I1391" s="483"/>
      <c r="J1391" s="1163"/>
      <c r="K1391" s="1164"/>
      <c r="L1391" s="478"/>
      <c r="M1391" s="485"/>
      <c r="N1391" s="485"/>
      <c r="O1391" s="485"/>
    </row>
    <row r="1392" spans="1:16" s="487" customFormat="1" ht="18" customHeight="1">
      <c r="A1392" s="833"/>
      <c r="B1392" s="500" t="s">
        <v>115</v>
      </c>
      <c r="C1392" s="934"/>
      <c r="D1392" s="935"/>
      <c r="E1392" s="936"/>
      <c r="F1392" s="482"/>
      <c r="G1392" s="483"/>
      <c r="H1392" s="484"/>
      <c r="I1392" s="483"/>
      <c r="J1392" s="1163"/>
      <c r="K1392" s="1164"/>
      <c r="L1392" s="478"/>
      <c r="M1392" s="485"/>
      <c r="N1392" s="485"/>
      <c r="O1392" s="485"/>
    </row>
    <row r="1393" spans="1:15" s="487" customFormat="1" ht="18" customHeight="1">
      <c r="A1393" s="833"/>
      <c r="B1393" s="336" t="s">
        <v>604</v>
      </c>
      <c r="C1393" s="934"/>
      <c r="D1393" s="935" t="s">
        <v>116</v>
      </c>
      <c r="E1393" s="936"/>
      <c r="F1393" s="482"/>
      <c r="G1393" s="483"/>
      <c r="H1393" s="484"/>
      <c r="I1393" s="483"/>
      <c r="J1393" s="1163"/>
      <c r="K1393" s="1164"/>
      <c r="L1393" s="478"/>
      <c r="M1393" s="485"/>
      <c r="N1393" s="485">
        <f>L1389</f>
        <v>0.98413898201767747</v>
      </c>
      <c r="O1393" s="485" t="s">
        <v>30</v>
      </c>
    </row>
    <row r="1394" spans="1:15" s="487" customFormat="1" ht="18" customHeight="1">
      <c r="A1394" s="833"/>
      <c r="B1394" s="336" t="s">
        <v>617</v>
      </c>
      <c r="C1394" s="934"/>
      <c r="D1394" s="935" t="s">
        <v>116</v>
      </c>
      <c r="E1394" s="936"/>
      <c r="F1394" s="501"/>
      <c r="G1394" s="502"/>
      <c r="H1394" s="503"/>
      <c r="I1394" s="502"/>
      <c r="J1394" s="919"/>
      <c r="K1394" s="976"/>
      <c r="L1394" s="788"/>
      <c r="M1394" s="506"/>
      <c r="N1394" s="506">
        <f>J1389</f>
        <v>0.85731789088692467</v>
      </c>
      <c r="O1394" s="506" t="s">
        <v>30</v>
      </c>
    </row>
    <row r="1395" spans="1:15" s="487" customFormat="1" ht="18" customHeight="1">
      <c r="A1395" s="548"/>
      <c r="B1395" s="981"/>
      <c r="C1395" s="557"/>
      <c r="D1395" s="550"/>
      <c r="E1395" s="551"/>
      <c r="F1395" s="799"/>
      <c r="G1395" s="942"/>
      <c r="H1395" s="943"/>
      <c r="I1395" s="942"/>
      <c r="J1395" s="1190"/>
      <c r="K1395" s="1191"/>
      <c r="L1395" s="794"/>
      <c r="M1395" s="786"/>
      <c r="N1395" s="949"/>
      <c r="O1395" s="949"/>
    </row>
    <row r="1396" spans="1:15" s="487" customFormat="1" ht="18" customHeight="1">
      <c r="A1396" s="733">
        <v>12</v>
      </c>
      <c r="B1396" s="734" t="s">
        <v>117</v>
      </c>
      <c r="C1396" s="735"/>
      <c r="D1396" s="736"/>
      <c r="E1396" s="737"/>
      <c r="F1396" s="738"/>
      <c r="G1396" s="739"/>
      <c r="H1396" s="740"/>
      <c r="I1396" s="739"/>
      <c r="J1396" s="741"/>
      <c r="K1396" s="982"/>
      <c r="L1396" s="743"/>
      <c r="M1396" s="499"/>
      <c r="N1396" s="879">
        <f>SUM(N1397:N1434)</f>
        <v>4865.5</v>
      </c>
      <c r="O1396" s="733" t="s">
        <v>19</v>
      </c>
    </row>
    <row r="1397" spans="1:15" s="487" customFormat="1" ht="18" customHeight="1">
      <c r="A1397" s="478"/>
      <c r="B1397" s="983" t="s">
        <v>22</v>
      </c>
      <c r="C1397" s="479"/>
      <c r="D1397" s="480"/>
      <c r="E1397" s="724"/>
      <c r="F1397" s="482"/>
      <c r="G1397" s="745"/>
      <c r="H1397" s="746"/>
      <c r="I1397" s="745"/>
      <c r="J1397" s="747"/>
      <c r="K1397" s="984"/>
      <c r="L1397" s="478"/>
      <c r="M1397" s="485"/>
      <c r="N1397" s="486"/>
      <c r="O1397" s="726"/>
    </row>
    <row r="1398" spans="1:15" s="487" customFormat="1" ht="18" customHeight="1">
      <c r="A1398" s="726"/>
      <c r="B1398" s="829" t="s">
        <v>109</v>
      </c>
      <c r="C1398" s="809"/>
      <c r="D1398" s="810"/>
      <c r="E1398" s="818"/>
      <c r="F1398" s="811"/>
      <c r="G1398" s="812"/>
      <c r="H1398" s="813"/>
      <c r="I1398" s="812"/>
      <c r="J1398" s="814"/>
      <c r="K1398" s="815"/>
      <c r="L1398" s="726"/>
      <c r="M1398" s="486"/>
      <c r="N1398" s="816"/>
      <c r="O1398" s="726"/>
    </row>
    <row r="1399" spans="1:15" s="487" customFormat="1" ht="18" customHeight="1">
      <c r="A1399" s="726"/>
      <c r="B1399" s="830" t="s">
        <v>283</v>
      </c>
      <c r="C1399" s="479">
        <f t="shared" ref="C1399:C1404" si="426">C58</f>
        <v>1</v>
      </c>
      <c r="D1399" s="480" t="s">
        <v>87</v>
      </c>
      <c r="E1399" s="724">
        <f t="shared" ref="E1399:E1404" si="427">E58</f>
        <v>1</v>
      </c>
      <c r="F1399" s="482">
        <v>17</v>
      </c>
      <c r="G1399" s="483">
        <v>6</v>
      </c>
      <c r="H1399" s="484">
        <v>11</v>
      </c>
      <c r="I1399" s="483">
        <v>11</v>
      </c>
      <c r="J1399" s="749"/>
      <c r="K1399" s="819"/>
      <c r="L1399" s="500"/>
      <c r="M1399" s="485">
        <f t="shared" ref="M1399:M1404" si="428">IF(C1399=0,1,C1399)*IF(E1399=0,1,E1399)*IF((F1399+G1399/12)=0,1,(F1399+G1399/12))*IF((H1399+I1399/12)=0,1,(H1399+I1399/12))*IF((J1399+K1399/12)=0,1,(J1399+K1399/12))</f>
        <v>208.54166666666666</v>
      </c>
      <c r="N1399" s="816"/>
      <c r="O1399" s="726"/>
    </row>
    <row r="1400" spans="1:15" s="487" customFormat="1" ht="18" customHeight="1">
      <c r="A1400" s="478"/>
      <c r="B1400" s="830" t="s">
        <v>284</v>
      </c>
      <c r="C1400" s="479">
        <f t="shared" si="426"/>
        <v>1</v>
      </c>
      <c r="D1400" s="480" t="s">
        <v>87</v>
      </c>
      <c r="E1400" s="724">
        <f t="shared" si="427"/>
        <v>1</v>
      </c>
      <c r="F1400" s="482">
        <v>16</v>
      </c>
      <c r="G1400" s="483">
        <v>0</v>
      </c>
      <c r="H1400" s="484">
        <v>11</v>
      </c>
      <c r="I1400" s="483">
        <v>11</v>
      </c>
      <c r="J1400" s="749"/>
      <c r="K1400" s="819"/>
      <c r="L1400" s="500"/>
      <c r="M1400" s="485">
        <f t="shared" si="428"/>
        <v>190.66666666666666</v>
      </c>
      <c r="N1400" s="486"/>
      <c r="O1400" s="486"/>
    </row>
    <row r="1401" spans="1:15" s="487" customFormat="1" ht="18" customHeight="1">
      <c r="A1401" s="478"/>
      <c r="B1401" s="830" t="s">
        <v>285</v>
      </c>
      <c r="C1401" s="479">
        <f t="shared" si="426"/>
        <v>1</v>
      </c>
      <c r="D1401" s="480" t="s">
        <v>87</v>
      </c>
      <c r="E1401" s="724">
        <f t="shared" si="427"/>
        <v>1</v>
      </c>
      <c r="F1401" s="482">
        <v>17</v>
      </c>
      <c r="G1401" s="483">
        <v>6</v>
      </c>
      <c r="H1401" s="484">
        <v>9</v>
      </c>
      <c r="I1401" s="483">
        <v>0</v>
      </c>
      <c r="J1401" s="749"/>
      <c r="K1401" s="819"/>
      <c r="L1401" s="500"/>
      <c r="M1401" s="485">
        <f t="shared" si="428"/>
        <v>157.5</v>
      </c>
      <c r="N1401" s="486"/>
      <c r="O1401" s="486"/>
    </row>
    <row r="1402" spans="1:15" s="487" customFormat="1" ht="18" customHeight="1">
      <c r="A1402" s="478"/>
      <c r="B1402" s="830" t="s">
        <v>286</v>
      </c>
      <c r="C1402" s="479">
        <f t="shared" si="426"/>
        <v>1</v>
      </c>
      <c r="D1402" s="480" t="s">
        <v>87</v>
      </c>
      <c r="E1402" s="724">
        <f t="shared" si="427"/>
        <v>1</v>
      </c>
      <c r="F1402" s="482">
        <v>16</v>
      </c>
      <c r="G1402" s="483">
        <v>0</v>
      </c>
      <c r="H1402" s="484">
        <v>9</v>
      </c>
      <c r="I1402" s="483">
        <v>0</v>
      </c>
      <c r="J1402" s="749"/>
      <c r="K1402" s="819"/>
      <c r="L1402" s="500"/>
      <c r="M1402" s="485">
        <f t="shared" si="428"/>
        <v>144</v>
      </c>
      <c r="N1402" s="486"/>
      <c r="O1402" s="486"/>
    </row>
    <row r="1403" spans="1:15" s="487" customFormat="1" ht="18" customHeight="1">
      <c r="A1403" s="478"/>
      <c r="B1403" s="830" t="s">
        <v>287</v>
      </c>
      <c r="C1403" s="479">
        <f t="shared" si="426"/>
        <v>1</v>
      </c>
      <c r="D1403" s="480" t="s">
        <v>87</v>
      </c>
      <c r="E1403" s="724">
        <f t="shared" si="427"/>
        <v>1</v>
      </c>
      <c r="F1403" s="482">
        <v>17</v>
      </c>
      <c r="G1403" s="483">
        <v>6</v>
      </c>
      <c r="H1403" s="484">
        <v>15</v>
      </c>
      <c r="I1403" s="483">
        <v>7</v>
      </c>
      <c r="J1403" s="749"/>
      <c r="K1403" s="819"/>
      <c r="L1403" s="500"/>
      <c r="M1403" s="485">
        <f t="shared" si="428"/>
        <v>272.70833333333337</v>
      </c>
      <c r="N1403" s="486"/>
      <c r="O1403" s="486"/>
    </row>
    <row r="1404" spans="1:15" s="487" customFormat="1" ht="18" customHeight="1">
      <c r="A1404" s="478"/>
      <c r="B1404" s="830" t="s">
        <v>288</v>
      </c>
      <c r="C1404" s="479">
        <f t="shared" si="426"/>
        <v>1</v>
      </c>
      <c r="D1404" s="480" t="s">
        <v>87</v>
      </c>
      <c r="E1404" s="724">
        <f t="shared" si="427"/>
        <v>1</v>
      </c>
      <c r="F1404" s="482">
        <v>16</v>
      </c>
      <c r="G1404" s="483">
        <v>0</v>
      </c>
      <c r="H1404" s="484">
        <v>15</v>
      </c>
      <c r="I1404" s="483">
        <v>7</v>
      </c>
      <c r="J1404" s="749"/>
      <c r="K1404" s="819"/>
      <c r="L1404" s="500"/>
      <c r="M1404" s="485">
        <f t="shared" si="428"/>
        <v>249.33333333333334</v>
      </c>
      <c r="N1404" s="486"/>
      <c r="O1404" s="486"/>
    </row>
    <row r="1405" spans="1:15" s="487" customFormat="1" ht="18" customHeight="1">
      <c r="A1405" s="478"/>
      <c r="B1405" s="985"/>
      <c r="C1405" s="479"/>
      <c r="D1405" s="480"/>
      <c r="E1405" s="481"/>
      <c r="F1405" s="479"/>
      <c r="G1405" s="483"/>
      <c r="H1405" s="746"/>
      <c r="I1405" s="745"/>
      <c r="J1405" s="747"/>
      <c r="K1405" s="984"/>
      <c r="L1405" s="478"/>
      <c r="M1405" s="858" t="s">
        <v>90</v>
      </c>
      <c r="N1405" s="858">
        <f>SUM(M1398:M1404)</f>
        <v>1222.75</v>
      </c>
      <c r="O1405" s="486" t="s">
        <v>19</v>
      </c>
    </row>
    <row r="1406" spans="1:15" s="487" customFormat="1" ht="18" customHeight="1">
      <c r="A1406" s="726"/>
      <c r="B1406" s="829" t="s">
        <v>748</v>
      </c>
      <c r="C1406" s="809"/>
      <c r="D1406" s="810"/>
      <c r="E1406" s="818"/>
      <c r="F1406" s="811"/>
      <c r="G1406" s="812"/>
      <c r="H1406" s="813"/>
      <c r="I1406" s="812"/>
      <c r="J1406" s="814"/>
      <c r="K1406" s="815"/>
      <c r="L1406" s="726"/>
      <c r="M1406" s="486"/>
      <c r="N1406" s="816"/>
      <c r="O1406" s="726"/>
    </row>
    <row r="1407" spans="1:15" s="487" customFormat="1" ht="18" customHeight="1">
      <c r="A1407" s="726"/>
      <c r="B1407" s="830" t="s">
        <v>283</v>
      </c>
      <c r="C1407" s="479">
        <v>1</v>
      </c>
      <c r="D1407" s="480" t="s">
        <v>87</v>
      </c>
      <c r="E1407" s="724">
        <v>1</v>
      </c>
      <c r="F1407" s="482">
        <v>17</v>
      </c>
      <c r="G1407" s="483">
        <v>6</v>
      </c>
      <c r="H1407" s="484">
        <v>11</v>
      </c>
      <c r="I1407" s="483">
        <v>11</v>
      </c>
      <c r="J1407" s="749"/>
      <c r="K1407" s="819"/>
      <c r="L1407" s="500"/>
      <c r="M1407" s="485">
        <f t="shared" ref="M1407:M1412" si="429">IF(C1407=0,1,C1407)*IF(E1407=0,1,E1407)*IF((F1407+G1407/12)=0,1,(F1407+G1407/12))*IF((H1407+I1407/12)=0,1,(H1407+I1407/12))*IF((J1407+K1407/12)=0,1,(J1407+K1407/12))</f>
        <v>208.54166666666666</v>
      </c>
      <c r="N1407" s="816"/>
      <c r="O1407" s="726"/>
    </row>
    <row r="1408" spans="1:15" s="487" customFormat="1" ht="18" customHeight="1">
      <c r="A1408" s="478"/>
      <c r="B1408" s="830" t="s">
        <v>284</v>
      </c>
      <c r="C1408" s="479">
        <f>C1407</f>
        <v>1</v>
      </c>
      <c r="D1408" s="480" t="s">
        <v>87</v>
      </c>
      <c r="E1408" s="724">
        <f>E1407</f>
        <v>1</v>
      </c>
      <c r="F1408" s="482">
        <v>16</v>
      </c>
      <c r="G1408" s="483">
        <v>0</v>
      </c>
      <c r="H1408" s="484">
        <v>11</v>
      </c>
      <c r="I1408" s="483">
        <v>11</v>
      </c>
      <c r="J1408" s="749"/>
      <c r="K1408" s="819"/>
      <c r="L1408" s="500"/>
      <c r="M1408" s="485">
        <f t="shared" si="429"/>
        <v>190.66666666666666</v>
      </c>
      <c r="N1408" s="486"/>
      <c r="O1408" s="486"/>
    </row>
    <row r="1409" spans="1:15" s="487" customFormat="1" ht="18" customHeight="1">
      <c r="A1409" s="478"/>
      <c r="B1409" s="830" t="s">
        <v>285</v>
      </c>
      <c r="C1409" s="479">
        <f t="shared" ref="C1409:C1414" si="430">C1408</f>
        <v>1</v>
      </c>
      <c r="D1409" s="480" t="s">
        <v>87</v>
      </c>
      <c r="E1409" s="724">
        <f t="shared" ref="E1409:E1414" si="431">E1408</f>
        <v>1</v>
      </c>
      <c r="F1409" s="482">
        <v>17</v>
      </c>
      <c r="G1409" s="483">
        <v>6</v>
      </c>
      <c r="H1409" s="484">
        <v>9</v>
      </c>
      <c r="I1409" s="483">
        <v>0</v>
      </c>
      <c r="J1409" s="749"/>
      <c r="K1409" s="819"/>
      <c r="L1409" s="500"/>
      <c r="M1409" s="485">
        <f t="shared" si="429"/>
        <v>157.5</v>
      </c>
      <c r="N1409" s="486"/>
      <c r="O1409" s="486"/>
    </row>
    <row r="1410" spans="1:15" s="487" customFormat="1" ht="18" customHeight="1">
      <c r="A1410" s="478"/>
      <c r="B1410" s="830" t="s">
        <v>286</v>
      </c>
      <c r="C1410" s="479">
        <f t="shared" si="430"/>
        <v>1</v>
      </c>
      <c r="D1410" s="480" t="s">
        <v>87</v>
      </c>
      <c r="E1410" s="724">
        <f t="shared" si="431"/>
        <v>1</v>
      </c>
      <c r="F1410" s="482">
        <v>16</v>
      </c>
      <c r="G1410" s="483">
        <v>0</v>
      </c>
      <c r="H1410" s="484">
        <v>9</v>
      </c>
      <c r="I1410" s="483">
        <v>0</v>
      </c>
      <c r="J1410" s="749"/>
      <c r="K1410" s="819"/>
      <c r="L1410" s="500"/>
      <c r="M1410" s="485">
        <f t="shared" si="429"/>
        <v>144</v>
      </c>
      <c r="N1410" s="486"/>
      <c r="O1410" s="486"/>
    </row>
    <row r="1411" spans="1:15" s="487" customFormat="1" ht="18" customHeight="1">
      <c r="A1411" s="478"/>
      <c r="B1411" s="830" t="s">
        <v>287</v>
      </c>
      <c r="C1411" s="479">
        <f t="shared" si="430"/>
        <v>1</v>
      </c>
      <c r="D1411" s="480" t="s">
        <v>87</v>
      </c>
      <c r="E1411" s="724">
        <f t="shared" si="431"/>
        <v>1</v>
      </c>
      <c r="F1411" s="482">
        <v>17</v>
      </c>
      <c r="G1411" s="483">
        <v>6</v>
      </c>
      <c r="H1411" s="484">
        <v>15</v>
      </c>
      <c r="I1411" s="483">
        <v>7</v>
      </c>
      <c r="J1411" s="749"/>
      <c r="K1411" s="819"/>
      <c r="L1411" s="500"/>
      <c r="M1411" s="485">
        <f t="shared" si="429"/>
        <v>272.70833333333337</v>
      </c>
      <c r="N1411" s="486"/>
      <c r="O1411" s="486"/>
    </row>
    <row r="1412" spans="1:15" s="487" customFormat="1" ht="18" customHeight="1">
      <c r="A1412" s="478"/>
      <c r="B1412" s="830" t="s">
        <v>288</v>
      </c>
      <c r="C1412" s="479">
        <f t="shared" si="430"/>
        <v>1</v>
      </c>
      <c r="D1412" s="480" t="s">
        <v>87</v>
      </c>
      <c r="E1412" s="724">
        <f t="shared" si="431"/>
        <v>1</v>
      </c>
      <c r="F1412" s="482">
        <v>16</v>
      </c>
      <c r="G1412" s="483">
        <v>0</v>
      </c>
      <c r="H1412" s="484">
        <v>15</v>
      </c>
      <c r="I1412" s="483">
        <v>7</v>
      </c>
      <c r="J1412" s="749"/>
      <c r="K1412" s="819"/>
      <c r="L1412" s="500"/>
      <c r="M1412" s="485">
        <f t="shared" si="429"/>
        <v>249.33333333333334</v>
      </c>
      <c r="N1412" s="486"/>
      <c r="O1412" s="486"/>
    </row>
    <row r="1413" spans="1:15" s="487" customFormat="1" ht="18" customHeight="1">
      <c r="A1413" s="478"/>
      <c r="B1413" s="830" t="s">
        <v>750</v>
      </c>
      <c r="C1413" s="479">
        <f t="shared" si="430"/>
        <v>1</v>
      </c>
      <c r="D1413" s="480" t="s">
        <v>87</v>
      </c>
      <c r="E1413" s="724">
        <f t="shared" si="431"/>
        <v>1</v>
      </c>
      <c r="F1413" s="482">
        <v>17</v>
      </c>
      <c r="G1413" s="483">
        <v>6</v>
      </c>
      <c r="H1413" s="484">
        <v>4</v>
      </c>
      <c r="I1413" s="483">
        <v>0</v>
      </c>
      <c r="J1413" s="749"/>
      <c r="K1413" s="819"/>
      <c r="L1413" s="500"/>
      <c r="M1413" s="485">
        <f t="shared" ref="M1413:M1414" si="432">IF(C1413=0,1,C1413)*IF(E1413=0,1,E1413)*IF((F1413+G1413/12)=0,1,(F1413+G1413/12))*IF((H1413+I1413/12)=0,1,(H1413+I1413/12))*IF((J1413+K1413/12)=0,1,(J1413+K1413/12))</f>
        <v>70</v>
      </c>
      <c r="N1413" s="486"/>
      <c r="O1413" s="486"/>
    </row>
    <row r="1414" spans="1:15" s="487" customFormat="1" ht="18" customHeight="1">
      <c r="A1414" s="478"/>
      <c r="B1414" s="830" t="s">
        <v>751</v>
      </c>
      <c r="C1414" s="479">
        <f t="shared" si="430"/>
        <v>1</v>
      </c>
      <c r="D1414" s="480" t="s">
        <v>87</v>
      </c>
      <c r="E1414" s="724">
        <f t="shared" si="431"/>
        <v>1</v>
      </c>
      <c r="F1414" s="482">
        <v>16</v>
      </c>
      <c r="G1414" s="483">
        <v>0</v>
      </c>
      <c r="H1414" s="484">
        <v>4</v>
      </c>
      <c r="I1414" s="483">
        <v>0</v>
      </c>
      <c r="J1414" s="749"/>
      <c r="K1414" s="819"/>
      <c r="L1414" s="500"/>
      <c r="M1414" s="485">
        <f t="shared" si="432"/>
        <v>64</v>
      </c>
      <c r="N1414" s="486"/>
      <c r="O1414" s="486"/>
    </row>
    <row r="1415" spans="1:15" s="487" customFormat="1" ht="18" customHeight="1">
      <c r="A1415" s="478"/>
      <c r="B1415" s="985"/>
      <c r="C1415" s="479"/>
      <c r="D1415" s="480"/>
      <c r="E1415" s="481"/>
      <c r="F1415" s="479"/>
      <c r="G1415" s="483"/>
      <c r="H1415" s="746"/>
      <c r="I1415" s="745"/>
      <c r="J1415" s="747"/>
      <c r="K1415" s="984"/>
      <c r="L1415" s="478"/>
      <c r="M1415" s="858" t="s">
        <v>90</v>
      </c>
      <c r="N1415" s="858">
        <f>SUM(M1406:M1414)</f>
        <v>1356.75</v>
      </c>
      <c r="O1415" s="486" t="s">
        <v>19</v>
      </c>
    </row>
    <row r="1416" spans="1:15" s="487" customFormat="1" ht="18" customHeight="1">
      <c r="A1416" s="726"/>
      <c r="B1416" s="829" t="s">
        <v>749</v>
      </c>
      <c r="C1416" s="809"/>
      <c r="D1416" s="810"/>
      <c r="E1416" s="818"/>
      <c r="F1416" s="811"/>
      <c r="G1416" s="812"/>
      <c r="H1416" s="813"/>
      <c r="I1416" s="812"/>
      <c r="J1416" s="814"/>
      <c r="K1416" s="815"/>
      <c r="L1416" s="726"/>
      <c r="M1416" s="486"/>
      <c r="N1416" s="816"/>
      <c r="O1416" s="726"/>
    </row>
    <row r="1417" spans="1:15" s="487" customFormat="1" ht="18" customHeight="1">
      <c r="A1417" s="726"/>
      <c r="B1417" s="830" t="s">
        <v>283</v>
      </c>
      <c r="C1417" s="479">
        <f>C74</f>
        <v>1</v>
      </c>
      <c r="D1417" s="480" t="s">
        <v>87</v>
      </c>
      <c r="E1417" s="724">
        <f>E74</f>
        <v>1</v>
      </c>
      <c r="F1417" s="482">
        <v>17</v>
      </c>
      <c r="G1417" s="483">
        <v>6</v>
      </c>
      <c r="H1417" s="484">
        <v>11</v>
      </c>
      <c r="I1417" s="483">
        <v>11</v>
      </c>
      <c r="J1417" s="749"/>
      <c r="K1417" s="819"/>
      <c r="L1417" s="500"/>
      <c r="M1417" s="485">
        <f t="shared" ref="M1417:M1424" si="433">IF(C1417=0,1,C1417)*IF(E1417=0,1,E1417)*IF((F1417+G1417/12)=0,1,(F1417+G1417/12))*IF((H1417+I1417/12)=0,1,(H1417+I1417/12))*IF((J1417+K1417/12)=0,1,(J1417+K1417/12))</f>
        <v>208.54166666666666</v>
      </c>
      <c r="N1417" s="816"/>
      <c r="O1417" s="726"/>
    </row>
    <row r="1418" spans="1:15" s="487" customFormat="1" ht="18" customHeight="1">
      <c r="A1418" s="478"/>
      <c r="B1418" s="830" t="s">
        <v>284</v>
      </c>
      <c r="C1418" s="479">
        <f>C1417</f>
        <v>1</v>
      </c>
      <c r="D1418" s="480" t="s">
        <v>87</v>
      </c>
      <c r="E1418" s="724">
        <f>E1417</f>
        <v>1</v>
      </c>
      <c r="F1418" s="482">
        <v>16</v>
      </c>
      <c r="G1418" s="483">
        <v>0</v>
      </c>
      <c r="H1418" s="484">
        <v>11</v>
      </c>
      <c r="I1418" s="483">
        <v>11</v>
      </c>
      <c r="J1418" s="749"/>
      <c r="K1418" s="819"/>
      <c r="L1418" s="500"/>
      <c r="M1418" s="485">
        <f t="shared" si="433"/>
        <v>190.66666666666666</v>
      </c>
      <c r="N1418" s="486"/>
      <c r="O1418" s="486"/>
    </row>
    <row r="1419" spans="1:15" s="487" customFormat="1" ht="18" customHeight="1">
      <c r="A1419" s="478"/>
      <c r="B1419" s="830" t="s">
        <v>285</v>
      </c>
      <c r="C1419" s="479">
        <f t="shared" ref="C1419:C1424" si="434">C1418</f>
        <v>1</v>
      </c>
      <c r="D1419" s="480" t="s">
        <v>87</v>
      </c>
      <c r="E1419" s="724">
        <f t="shared" ref="E1419:E1424" si="435">E1418</f>
        <v>1</v>
      </c>
      <c r="F1419" s="482">
        <v>17</v>
      </c>
      <c r="G1419" s="483">
        <v>6</v>
      </c>
      <c r="H1419" s="484">
        <v>9</v>
      </c>
      <c r="I1419" s="483">
        <v>0</v>
      </c>
      <c r="J1419" s="749"/>
      <c r="K1419" s="819"/>
      <c r="L1419" s="500"/>
      <c r="M1419" s="485">
        <f t="shared" si="433"/>
        <v>157.5</v>
      </c>
      <c r="N1419" s="486"/>
      <c r="O1419" s="486"/>
    </row>
    <row r="1420" spans="1:15" s="487" customFormat="1" ht="18" customHeight="1">
      <c r="A1420" s="478"/>
      <c r="B1420" s="830" t="s">
        <v>286</v>
      </c>
      <c r="C1420" s="479">
        <f t="shared" si="434"/>
        <v>1</v>
      </c>
      <c r="D1420" s="480" t="s">
        <v>87</v>
      </c>
      <c r="E1420" s="724">
        <f t="shared" si="435"/>
        <v>1</v>
      </c>
      <c r="F1420" s="482">
        <v>16</v>
      </c>
      <c r="G1420" s="483">
        <v>0</v>
      </c>
      <c r="H1420" s="484">
        <v>9</v>
      </c>
      <c r="I1420" s="483">
        <v>0</v>
      </c>
      <c r="J1420" s="749"/>
      <c r="K1420" s="819"/>
      <c r="L1420" s="500"/>
      <c r="M1420" s="485">
        <f t="shared" si="433"/>
        <v>144</v>
      </c>
      <c r="N1420" s="486"/>
      <c r="O1420" s="486"/>
    </row>
    <row r="1421" spans="1:15" s="487" customFormat="1" ht="18" customHeight="1">
      <c r="A1421" s="478"/>
      <c r="B1421" s="830" t="s">
        <v>287</v>
      </c>
      <c r="C1421" s="479">
        <f t="shared" si="434"/>
        <v>1</v>
      </c>
      <c r="D1421" s="480" t="s">
        <v>87</v>
      </c>
      <c r="E1421" s="724">
        <f t="shared" si="435"/>
        <v>1</v>
      </c>
      <c r="F1421" s="482">
        <v>17</v>
      </c>
      <c r="G1421" s="483">
        <v>6</v>
      </c>
      <c r="H1421" s="484">
        <v>15</v>
      </c>
      <c r="I1421" s="483">
        <v>7</v>
      </c>
      <c r="J1421" s="749"/>
      <c r="K1421" s="819"/>
      <c r="L1421" s="500"/>
      <c r="M1421" s="485">
        <f t="shared" si="433"/>
        <v>272.70833333333337</v>
      </c>
      <c r="N1421" s="486"/>
      <c r="O1421" s="486"/>
    </row>
    <row r="1422" spans="1:15" s="487" customFormat="1" ht="18" customHeight="1">
      <c r="A1422" s="478"/>
      <c r="B1422" s="830" t="s">
        <v>288</v>
      </c>
      <c r="C1422" s="479">
        <f t="shared" si="434"/>
        <v>1</v>
      </c>
      <c r="D1422" s="480" t="s">
        <v>87</v>
      </c>
      <c r="E1422" s="724">
        <f t="shared" si="435"/>
        <v>1</v>
      </c>
      <c r="F1422" s="482">
        <v>16</v>
      </c>
      <c r="G1422" s="483">
        <v>0</v>
      </c>
      <c r="H1422" s="484">
        <v>15</v>
      </c>
      <c r="I1422" s="483">
        <v>7</v>
      </c>
      <c r="J1422" s="749"/>
      <c r="K1422" s="819"/>
      <c r="L1422" s="500"/>
      <c r="M1422" s="485">
        <f t="shared" si="433"/>
        <v>249.33333333333334</v>
      </c>
      <c r="N1422" s="486"/>
      <c r="O1422" s="486"/>
    </row>
    <row r="1423" spans="1:15" s="487" customFormat="1" ht="18" customHeight="1">
      <c r="A1423" s="478"/>
      <c r="B1423" s="830" t="s">
        <v>750</v>
      </c>
      <c r="C1423" s="479">
        <f t="shared" si="434"/>
        <v>1</v>
      </c>
      <c r="D1423" s="480" t="s">
        <v>87</v>
      </c>
      <c r="E1423" s="724">
        <f t="shared" si="435"/>
        <v>1</v>
      </c>
      <c r="F1423" s="482">
        <v>17</v>
      </c>
      <c r="G1423" s="483">
        <v>6</v>
      </c>
      <c r="H1423" s="484">
        <v>4</v>
      </c>
      <c r="I1423" s="483">
        <v>0</v>
      </c>
      <c r="J1423" s="749"/>
      <c r="K1423" s="819"/>
      <c r="L1423" s="500"/>
      <c r="M1423" s="485">
        <f t="shared" si="433"/>
        <v>70</v>
      </c>
      <c r="N1423" s="486"/>
      <c r="O1423" s="486"/>
    </row>
    <row r="1424" spans="1:15" s="487" customFormat="1" ht="18" customHeight="1">
      <c r="A1424" s="478"/>
      <c r="B1424" s="830" t="s">
        <v>751</v>
      </c>
      <c r="C1424" s="479">
        <f t="shared" si="434"/>
        <v>1</v>
      </c>
      <c r="D1424" s="480" t="s">
        <v>87</v>
      </c>
      <c r="E1424" s="724">
        <f t="shared" si="435"/>
        <v>1</v>
      </c>
      <c r="F1424" s="482">
        <v>16</v>
      </c>
      <c r="G1424" s="483">
        <v>0</v>
      </c>
      <c r="H1424" s="484">
        <v>4</v>
      </c>
      <c r="I1424" s="483">
        <v>0</v>
      </c>
      <c r="J1424" s="749"/>
      <c r="K1424" s="819"/>
      <c r="L1424" s="500"/>
      <c r="M1424" s="485">
        <f t="shared" si="433"/>
        <v>64</v>
      </c>
      <c r="N1424" s="486"/>
      <c r="O1424" s="486"/>
    </row>
    <row r="1425" spans="1:16" s="487" customFormat="1" ht="18" customHeight="1">
      <c r="A1425" s="478"/>
      <c r="B1425" s="985"/>
      <c r="C1425" s="479"/>
      <c r="D1425" s="480"/>
      <c r="E1425" s="481"/>
      <c r="F1425" s="479"/>
      <c r="G1425" s="483"/>
      <c r="H1425" s="746"/>
      <c r="I1425" s="745"/>
      <c r="J1425" s="747"/>
      <c r="K1425" s="984"/>
      <c r="L1425" s="478"/>
      <c r="M1425" s="858" t="s">
        <v>90</v>
      </c>
      <c r="N1425" s="858">
        <f>SUM(M1416:M1424)</f>
        <v>1356.75</v>
      </c>
      <c r="O1425" s="486" t="s">
        <v>19</v>
      </c>
    </row>
    <row r="1426" spans="1:16" s="487" customFormat="1" ht="18" customHeight="1">
      <c r="A1426" s="726"/>
      <c r="B1426" s="829" t="s">
        <v>752</v>
      </c>
      <c r="C1426" s="809"/>
      <c r="D1426" s="810"/>
      <c r="E1426" s="818"/>
      <c r="F1426" s="811"/>
      <c r="G1426" s="812"/>
      <c r="H1426" s="813"/>
      <c r="I1426" s="812"/>
      <c r="J1426" s="814"/>
      <c r="K1426" s="815"/>
      <c r="L1426" s="726"/>
      <c r="M1426" s="486"/>
      <c r="N1426" s="816"/>
      <c r="O1426" s="726"/>
    </row>
    <row r="1427" spans="1:16" s="487" customFormat="1" ht="18" customHeight="1">
      <c r="A1427" s="478"/>
      <c r="B1427" s="830" t="s">
        <v>285</v>
      </c>
      <c r="C1427" s="479">
        <v>1</v>
      </c>
      <c r="D1427" s="480" t="s">
        <v>87</v>
      </c>
      <c r="E1427" s="724">
        <v>1</v>
      </c>
      <c r="F1427" s="482">
        <v>17</v>
      </c>
      <c r="G1427" s="483">
        <v>6</v>
      </c>
      <c r="H1427" s="484">
        <v>9</v>
      </c>
      <c r="I1427" s="483">
        <v>0</v>
      </c>
      <c r="J1427" s="749"/>
      <c r="K1427" s="819"/>
      <c r="L1427" s="500"/>
      <c r="M1427" s="485">
        <f t="shared" ref="M1427:M1432" si="436">IF(C1427=0,1,C1427)*IF(E1427=0,1,E1427)*IF((F1427+G1427/12)=0,1,(F1427+G1427/12))*IF((H1427+I1427/12)=0,1,(H1427+I1427/12))*IF((J1427+K1427/12)=0,1,(J1427+K1427/12))</f>
        <v>157.5</v>
      </c>
      <c r="N1427" s="486"/>
      <c r="O1427" s="486"/>
    </row>
    <row r="1428" spans="1:16" s="487" customFormat="1" ht="18" customHeight="1">
      <c r="A1428" s="478"/>
      <c r="B1428" s="830" t="s">
        <v>286</v>
      </c>
      <c r="C1428" s="479">
        <f t="shared" ref="C1428:C1432" si="437">C1427</f>
        <v>1</v>
      </c>
      <c r="D1428" s="480" t="s">
        <v>87</v>
      </c>
      <c r="E1428" s="724">
        <f t="shared" ref="E1428:E1432" si="438">E1427</f>
        <v>1</v>
      </c>
      <c r="F1428" s="482">
        <v>16</v>
      </c>
      <c r="G1428" s="483">
        <v>0</v>
      </c>
      <c r="H1428" s="484">
        <v>9</v>
      </c>
      <c r="I1428" s="483">
        <v>0</v>
      </c>
      <c r="J1428" s="749"/>
      <c r="K1428" s="819"/>
      <c r="L1428" s="500"/>
      <c r="M1428" s="485">
        <f t="shared" si="436"/>
        <v>144</v>
      </c>
      <c r="N1428" s="486"/>
      <c r="O1428" s="486"/>
    </row>
    <row r="1429" spans="1:16" s="487" customFormat="1" ht="18" customHeight="1">
      <c r="A1429" s="478"/>
      <c r="B1429" s="830" t="s">
        <v>287</v>
      </c>
      <c r="C1429" s="479">
        <f t="shared" si="437"/>
        <v>1</v>
      </c>
      <c r="D1429" s="480" t="s">
        <v>87</v>
      </c>
      <c r="E1429" s="724">
        <f t="shared" si="438"/>
        <v>1</v>
      </c>
      <c r="F1429" s="482">
        <v>17</v>
      </c>
      <c r="G1429" s="483">
        <v>6</v>
      </c>
      <c r="H1429" s="484">
        <v>15</v>
      </c>
      <c r="I1429" s="483">
        <v>7</v>
      </c>
      <c r="J1429" s="749"/>
      <c r="K1429" s="819"/>
      <c r="L1429" s="500"/>
      <c r="M1429" s="485">
        <f t="shared" si="436"/>
        <v>272.70833333333337</v>
      </c>
      <c r="N1429" s="486"/>
      <c r="O1429" s="486"/>
    </row>
    <row r="1430" spans="1:16" s="487" customFormat="1" ht="18" customHeight="1">
      <c r="A1430" s="478"/>
      <c r="B1430" s="830" t="s">
        <v>288</v>
      </c>
      <c r="C1430" s="479">
        <f t="shared" si="437"/>
        <v>1</v>
      </c>
      <c r="D1430" s="480" t="s">
        <v>87</v>
      </c>
      <c r="E1430" s="724">
        <f t="shared" si="438"/>
        <v>1</v>
      </c>
      <c r="F1430" s="482">
        <v>16</v>
      </c>
      <c r="G1430" s="483">
        <v>0</v>
      </c>
      <c r="H1430" s="484">
        <v>15</v>
      </c>
      <c r="I1430" s="483">
        <v>7</v>
      </c>
      <c r="J1430" s="749"/>
      <c r="K1430" s="819"/>
      <c r="L1430" s="500"/>
      <c r="M1430" s="485">
        <f t="shared" si="436"/>
        <v>249.33333333333334</v>
      </c>
      <c r="N1430" s="486"/>
      <c r="O1430" s="486"/>
    </row>
    <row r="1431" spans="1:16" s="487" customFormat="1" ht="18" customHeight="1">
      <c r="A1431" s="478"/>
      <c r="B1431" s="830" t="s">
        <v>753</v>
      </c>
      <c r="C1431" s="479">
        <f t="shared" si="437"/>
        <v>1</v>
      </c>
      <c r="D1431" s="480" t="s">
        <v>87</v>
      </c>
      <c r="E1431" s="724">
        <f t="shared" si="438"/>
        <v>1</v>
      </c>
      <c r="F1431" s="482">
        <v>13</v>
      </c>
      <c r="G1431" s="483">
        <v>6</v>
      </c>
      <c r="H1431" s="484">
        <v>3</v>
      </c>
      <c r="I1431" s="483">
        <v>7</v>
      </c>
      <c r="J1431" s="749"/>
      <c r="K1431" s="819"/>
      <c r="L1431" s="500"/>
      <c r="M1431" s="485">
        <f t="shared" si="436"/>
        <v>48.375</v>
      </c>
      <c r="N1431" s="486"/>
      <c r="O1431" s="486"/>
    </row>
    <row r="1432" spans="1:16" s="487" customFormat="1" ht="18" customHeight="1">
      <c r="A1432" s="478"/>
      <c r="B1432" s="830" t="s">
        <v>754</v>
      </c>
      <c r="C1432" s="479">
        <f t="shared" si="437"/>
        <v>1</v>
      </c>
      <c r="D1432" s="480" t="s">
        <v>87</v>
      </c>
      <c r="E1432" s="724">
        <f t="shared" si="438"/>
        <v>1</v>
      </c>
      <c r="F1432" s="482">
        <v>16</v>
      </c>
      <c r="G1432" s="483">
        <v>0</v>
      </c>
      <c r="H1432" s="484">
        <v>3</v>
      </c>
      <c r="I1432" s="483">
        <v>7</v>
      </c>
      <c r="J1432" s="749"/>
      <c r="K1432" s="819"/>
      <c r="L1432" s="500"/>
      <c r="M1432" s="485">
        <f t="shared" si="436"/>
        <v>57.333333333333336</v>
      </c>
      <c r="N1432" s="486"/>
      <c r="O1432" s="486"/>
    </row>
    <row r="1433" spans="1:16" s="487" customFormat="1" ht="18" customHeight="1">
      <c r="A1433" s="478"/>
      <c r="B1433" s="985"/>
      <c r="C1433" s="479"/>
      <c r="D1433" s="480"/>
      <c r="E1433" s="481"/>
      <c r="F1433" s="479"/>
      <c r="G1433" s="483"/>
      <c r="H1433" s="746"/>
      <c r="I1433" s="745"/>
      <c r="J1433" s="747"/>
      <c r="K1433" s="984"/>
      <c r="L1433" s="478"/>
      <c r="M1433" s="858" t="s">
        <v>90</v>
      </c>
      <c r="N1433" s="858">
        <f>SUM(M1426:M1432)</f>
        <v>929.25000000000011</v>
      </c>
      <c r="O1433" s="486" t="s">
        <v>19</v>
      </c>
    </row>
    <row r="1434" spans="1:16" s="487" customFormat="1" ht="18" customHeight="1">
      <c r="A1434" s="548"/>
      <c r="B1434" s="727"/>
      <c r="C1434" s="557"/>
      <c r="D1434" s="550"/>
      <c r="E1434" s="728"/>
      <c r="F1434" s="557"/>
      <c r="G1434" s="553"/>
      <c r="H1434" s="730"/>
      <c r="I1434" s="729"/>
      <c r="J1434" s="731"/>
      <c r="K1434" s="986"/>
      <c r="L1434" s="548"/>
      <c r="M1434" s="786"/>
      <c r="N1434" s="949"/>
      <c r="O1434" s="987"/>
    </row>
    <row r="1435" spans="1:16" s="487" customFormat="1" ht="18" customHeight="1">
      <c r="A1435" s="733">
        <v>13</v>
      </c>
      <c r="B1435" s="734" t="s">
        <v>226</v>
      </c>
      <c r="C1435" s="735"/>
      <c r="D1435" s="736"/>
      <c r="E1435" s="737"/>
      <c r="F1435" s="738"/>
      <c r="G1435" s="739"/>
      <c r="H1435" s="740"/>
      <c r="I1435" s="739"/>
      <c r="J1435" s="741"/>
      <c r="K1435" s="982"/>
      <c r="L1435" s="743"/>
      <c r="M1435" s="499"/>
      <c r="N1435" s="879">
        <f>SUM(N1436:N1478)</f>
        <v>752.53906249999989</v>
      </c>
      <c r="O1435" s="733" t="s">
        <v>21</v>
      </c>
    </row>
    <row r="1436" spans="1:16" s="487" customFormat="1" ht="18" customHeight="1">
      <c r="A1436" s="478"/>
      <c r="B1436" s="988" t="s">
        <v>450</v>
      </c>
      <c r="C1436" s="479"/>
      <c r="D1436" s="480"/>
      <c r="E1436" s="724"/>
      <c r="F1436" s="482"/>
      <c r="G1436" s="483"/>
      <c r="H1436" s="484"/>
      <c r="I1436" s="483"/>
      <c r="J1436" s="749"/>
      <c r="K1436" s="819"/>
      <c r="L1436" s="500"/>
      <c r="M1436" s="485"/>
      <c r="N1436" s="486"/>
      <c r="O1436" s="486"/>
    </row>
    <row r="1437" spans="1:16" s="487" customFormat="1" ht="18" customHeight="1">
      <c r="A1437" s="478"/>
      <c r="B1437" s="726" t="s">
        <v>213</v>
      </c>
      <c r="C1437" s="479"/>
      <c r="D1437" s="480"/>
      <c r="E1437" s="724"/>
      <c r="F1437" s="482"/>
      <c r="G1437" s="483"/>
      <c r="H1437" s="484"/>
      <c r="I1437" s="483"/>
      <c r="J1437" s="749"/>
      <c r="K1437" s="819"/>
      <c r="L1437" s="500"/>
      <c r="M1437" s="485"/>
      <c r="N1437" s="486"/>
      <c r="O1437" s="486"/>
    </row>
    <row r="1438" spans="1:16" s="487" customFormat="1" ht="18" customHeight="1">
      <c r="A1438" s="478"/>
      <c r="B1438" s="336" t="s">
        <v>268</v>
      </c>
      <c r="C1438" s="479">
        <f>C39</f>
        <v>1</v>
      </c>
      <c r="D1438" s="480" t="s">
        <v>87</v>
      </c>
      <c r="E1438" s="724">
        <f t="shared" ref="E1438:G1440" si="439">E39</f>
        <v>2</v>
      </c>
      <c r="F1438" s="482">
        <f t="shared" si="439"/>
        <v>16</v>
      </c>
      <c r="G1438" s="483">
        <f t="shared" si="439"/>
        <v>0</v>
      </c>
      <c r="H1438" s="484">
        <f>1</f>
        <v>1</v>
      </c>
      <c r="I1438" s="819">
        <v>1.5</v>
      </c>
      <c r="J1438" s="749">
        <v>0</v>
      </c>
      <c r="K1438" s="819">
        <v>3</v>
      </c>
      <c r="L1438" s="500"/>
      <c r="M1438" s="485">
        <f t="shared" ref="M1438:M1442" si="440">IF(C1438=0,1,C1438)*IF(E1438=0,1,E1438)*IF((F1438+G1438/12)=0,1,(F1438+G1438/12))*IF((H1438+I1438/12)=0,1,(H1438+I1438/12))*IF((J1438+K1438/12)=0,1,(J1438+K1438/12))</f>
        <v>9</v>
      </c>
      <c r="N1438" s="486"/>
      <c r="O1438" s="486"/>
      <c r="P1438" s="487">
        <f>17.5-1.5</f>
        <v>16</v>
      </c>
    </row>
    <row r="1439" spans="1:16" s="487" customFormat="1" ht="18" customHeight="1">
      <c r="A1439" s="478"/>
      <c r="B1439" s="336" t="s">
        <v>269</v>
      </c>
      <c r="C1439" s="479">
        <f>C40</f>
        <v>1</v>
      </c>
      <c r="D1439" s="480" t="s">
        <v>87</v>
      </c>
      <c r="E1439" s="724">
        <f t="shared" si="439"/>
        <v>2</v>
      </c>
      <c r="F1439" s="482">
        <f t="shared" si="439"/>
        <v>14</v>
      </c>
      <c r="G1439" s="483">
        <f t="shared" si="439"/>
        <v>6</v>
      </c>
      <c r="H1439" s="484">
        <f>1</f>
        <v>1</v>
      </c>
      <c r="I1439" s="819">
        <f>I1438</f>
        <v>1.5</v>
      </c>
      <c r="J1439" s="749">
        <f>J1438</f>
        <v>0</v>
      </c>
      <c r="K1439" s="819">
        <f>K1438</f>
        <v>3</v>
      </c>
      <c r="L1439" s="500"/>
      <c r="M1439" s="485">
        <f t="shared" si="440"/>
        <v>8.15625</v>
      </c>
      <c r="N1439" s="486"/>
      <c r="O1439" s="486"/>
      <c r="P1439" s="487">
        <f>16-1.5</f>
        <v>14.5</v>
      </c>
    </row>
    <row r="1440" spans="1:16" s="487" customFormat="1" ht="18" customHeight="1">
      <c r="A1440" s="478"/>
      <c r="B1440" s="336" t="s">
        <v>276</v>
      </c>
      <c r="C1440" s="479">
        <f>C41</f>
        <v>1</v>
      </c>
      <c r="D1440" s="480" t="s">
        <v>87</v>
      </c>
      <c r="E1440" s="724">
        <f t="shared" si="439"/>
        <v>1</v>
      </c>
      <c r="F1440" s="482">
        <f t="shared" si="439"/>
        <v>11</v>
      </c>
      <c r="G1440" s="483">
        <f t="shared" si="439"/>
        <v>0</v>
      </c>
      <c r="H1440" s="484">
        <f>1</f>
        <v>1</v>
      </c>
      <c r="I1440" s="819">
        <f t="shared" ref="I1440:I1442" si="441">I1439</f>
        <v>1.5</v>
      </c>
      <c r="J1440" s="749">
        <f t="shared" ref="J1440:J1442" si="442">J1439</f>
        <v>0</v>
      </c>
      <c r="K1440" s="819">
        <f t="shared" ref="K1440:K1442" si="443">K1439</f>
        <v>3</v>
      </c>
      <c r="L1440" s="500"/>
      <c r="M1440" s="485">
        <f t="shared" si="440"/>
        <v>3.09375</v>
      </c>
      <c r="N1440" s="486"/>
      <c r="O1440" s="486"/>
    </row>
    <row r="1441" spans="1:16" s="487" customFormat="1" ht="18" customHeight="1">
      <c r="A1441" s="478"/>
      <c r="B1441" s="336" t="s">
        <v>271</v>
      </c>
      <c r="C1441" s="479">
        <f>C43</f>
        <v>1</v>
      </c>
      <c r="D1441" s="480" t="s">
        <v>87</v>
      </c>
      <c r="E1441" s="724">
        <f t="shared" ref="E1441:G1442" si="444">E43</f>
        <v>2</v>
      </c>
      <c r="F1441" s="482">
        <f t="shared" si="444"/>
        <v>14</v>
      </c>
      <c r="G1441" s="483">
        <f t="shared" si="444"/>
        <v>5</v>
      </c>
      <c r="H1441" s="484">
        <f>1</f>
        <v>1</v>
      </c>
      <c r="I1441" s="819">
        <f t="shared" si="441"/>
        <v>1.5</v>
      </c>
      <c r="J1441" s="749">
        <f t="shared" si="442"/>
        <v>0</v>
      </c>
      <c r="K1441" s="819">
        <f t="shared" si="443"/>
        <v>3</v>
      </c>
      <c r="L1441" s="500"/>
      <c r="M1441" s="485">
        <f t="shared" si="440"/>
        <v>8.109375</v>
      </c>
      <c r="N1441" s="486"/>
      <c r="O1441" s="486"/>
      <c r="P1441" s="487">
        <f>16-1.5</f>
        <v>14.5</v>
      </c>
    </row>
    <row r="1442" spans="1:16" s="487" customFormat="1" ht="18" customHeight="1">
      <c r="A1442" s="478"/>
      <c r="B1442" s="336" t="s">
        <v>272</v>
      </c>
      <c r="C1442" s="479">
        <f>C44</f>
        <v>1</v>
      </c>
      <c r="D1442" s="480" t="s">
        <v>87</v>
      </c>
      <c r="E1442" s="724">
        <f t="shared" si="444"/>
        <v>1</v>
      </c>
      <c r="F1442" s="482">
        <f t="shared" si="444"/>
        <v>7</v>
      </c>
      <c r="G1442" s="483">
        <f t="shared" si="444"/>
        <v>11</v>
      </c>
      <c r="H1442" s="484">
        <f>1</f>
        <v>1</v>
      </c>
      <c r="I1442" s="819">
        <f t="shared" si="441"/>
        <v>1.5</v>
      </c>
      <c r="J1442" s="749">
        <f t="shared" si="442"/>
        <v>0</v>
      </c>
      <c r="K1442" s="819">
        <f t="shared" si="443"/>
        <v>3</v>
      </c>
      <c r="L1442" s="500"/>
      <c r="M1442" s="485">
        <f t="shared" si="440"/>
        <v>2.2265625</v>
      </c>
      <c r="N1442" s="486"/>
      <c r="O1442" s="486"/>
    </row>
    <row r="1443" spans="1:16" ht="18" customHeight="1">
      <c r="A1443" s="474"/>
      <c r="B1443" s="635"/>
      <c r="C1443" s="488"/>
      <c r="D1443" s="489"/>
      <c r="E1443" s="589"/>
      <c r="F1443" s="491"/>
      <c r="G1443" s="496"/>
      <c r="H1443" s="497"/>
      <c r="I1443" s="496"/>
      <c r="J1443" s="609"/>
      <c r="K1443" s="625"/>
      <c r="L1443" s="626"/>
      <c r="M1443" s="475"/>
      <c r="N1443" s="476"/>
      <c r="O1443" s="476"/>
    </row>
    <row r="1444" spans="1:16" s="487" customFormat="1" ht="18" customHeight="1">
      <c r="A1444" s="478"/>
      <c r="B1444" s="726" t="s">
        <v>214</v>
      </c>
      <c r="C1444" s="479"/>
      <c r="D1444" s="480"/>
      <c r="E1444" s="724"/>
      <c r="F1444" s="482"/>
      <c r="G1444" s="483"/>
      <c r="H1444" s="484"/>
      <c r="I1444" s="483"/>
      <c r="J1444" s="749"/>
      <c r="K1444" s="819"/>
      <c r="L1444" s="500"/>
      <c r="M1444" s="485"/>
      <c r="N1444" s="486"/>
      <c r="O1444" s="486"/>
    </row>
    <row r="1445" spans="1:16" s="487" customFormat="1" ht="18" customHeight="1">
      <c r="A1445" s="478"/>
      <c r="B1445" s="336" t="s">
        <v>273</v>
      </c>
      <c r="C1445" s="479">
        <f>C47</f>
        <v>1</v>
      </c>
      <c r="D1445" s="480" t="s">
        <v>87</v>
      </c>
      <c r="E1445" s="724">
        <f t="shared" ref="E1445:G1447" si="445">E47</f>
        <v>2</v>
      </c>
      <c r="F1445" s="482">
        <f t="shared" si="445"/>
        <v>14</v>
      </c>
      <c r="G1445" s="483">
        <f t="shared" si="445"/>
        <v>0</v>
      </c>
      <c r="H1445" s="484">
        <f>1</f>
        <v>1</v>
      </c>
      <c r="I1445" s="819">
        <f>I1442</f>
        <v>1.5</v>
      </c>
      <c r="J1445" s="749">
        <v>0</v>
      </c>
      <c r="K1445" s="819">
        <v>3</v>
      </c>
      <c r="L1445" s="500"/>
      <c r="M1445" s="485">
        <f t="shared" ref="M1445:M1451" si="446">IF(C1445=0,1,C1445)*IF(E1445=0,1,E1445)*IF((F1445+G1445/12)=0,1,(F1445+G1445/12))*IF((H1445+I1445/12)=0,1,(H1445+I1445/12))*IF((J1445+K1445/12)=0,1,(J1445+K1445/12))</f>
        <v>7.875</v>
      </c>
      <c r="N1445" s="486"/>
      <c r="O1445" s="486"/>
      <c r="P1445" s="487">
        <f>15.58-1*1-0.5*1.17</f>
        <v>13.995000000000001</v>
      </c>
    </row>
    <row r="1446" spans="1:16" s="487" customFormat="1" ht="18" customHeight="1">
      <c r="A1446" s="478"/>
      <c r="B1446" s="336" t="s">
        <v>274</v>
      </c>
      <c r="C1446" s="479">
        <f>C48</f>
        <v>1</v>
      </c>
      <c r="D1446" s="480" t="s">
        <v>87</v>
      </c>
      <c r="E1446" s="724">
        <f t="shared" si="445"/>
        <v>1</v>
      </c>
      <c r="F1446" s="482">
        <f t="shared" si="445"/>
        <v>14</v>
      </c>
      <c r="G1446" s="483">
        <f t="shared" si="445"/>
        <v>1</v>
      </c>
      <c r="H1446" s="484">
        <f>1</f>
        <v>1</v>
      </c>
      <c r="I1446" s="819">
        <f>I1445</f>
        <v>1.5</v>
      </c>
      <c r="J1446" s="749">
        <f>J1445</f>
        <v>0</v>
      </c>
      <c r="K1446" s="819">
        <f>K1445</f>
        <v>3</v>
      </c>
      <c r="L1446" s="500"/>
      <c r="M1446" s="485">
        <f t="shared" si="446"/>
        <v>3.9609375</v>
      </c>
      <c r="N1446" s="486"/>
      <c r="O1446" s="486"/>
      <c r="P1446" s="487">
        <f>15.58-1*1-0.5*1</f>
        <v>14.08</v>
      </c>
    </row>
    <row r="1447" spans="1:16" s="487" customFormat="1" ht="18" customHeight="1">
      <c r="A1447" s="478"/>
      <c r="B1447" s="336" t="s">
        <v>275</v>
      </c>
      <c r="C1447" s="479">
        <f>C49</f>
        <v>1</v>
      </c>
      <c r="D1447" s="480" t="s">
        <v>87</v>
      </c>
      <c r="E1447" s="724">
        <f t="shared" si="445"/>
        <v>1</v>
      </c>
      <c r="F1447" s="482">
        <f t="shared" si="445"/>
        <v>14</v>
      </c>
      <c r="G1447" s="483">
        <f t="shared" si="445"/>
        <v>6</v>
      </c>
      <c r="H1447" s="484">
        <f>1</f>
        <v>1</v>
      </c>
      <c r="I1447" s="819">
        <f t="shared" ref="I1447:I1451" si="447">I1446</f>
        <v>1.5</v>
      </c>
      <c r="J1447" s="749">
        <f t="shared" ref="J1447:J1451" si="448">J1446</f>
        <v>0</v>
      </c>
      <c r="K1447" s="819">
        <f t="shared" ref="K1447:K1451" si="449">K1446</f>
        <v>3</v>
      </c>
      <c r="L1447" s="500"/>
      <c r="M1447" s="485">
        <f t="shared" si="446"/>
        <v>4.078125</v>
      </c>
      <c r="N1447" s="486"/>
      <c r="O1447" s="486"/>
    </row>
    <row r="1448" spans="1:16" s="487" customFormat="1" ht="18" customHeight="1">
      <c r="A1448" s="478"/>
      <c r="B1448" s="336" t="s">
        <v>278</v>
      </c>
      <c r="C1448" s="479">
        <f>C51</f>
        <v>1</v>
      </c>
      <c r="D1448" s="480" t="s">
        <v>87</v>
      </c>
      <c r="E1448" s="724">
        <f t="shared" ref="E1448:G1451" si="450">E51</f>
        <v>1</v>
      </c>
      <c r="F1448" s="482">
        <f t="shared" si="450"/>
        <v>8</v>
      </c>
      <c r="G1448" s="483">
        <f t="shared" si="450"/>
        <v>0</v>
      </c>
      <c r="H1448" s="484">
        <f>1</f>
        <v>1</v>
      </c>
      <c r="I1448" s="819">
        <f t="shared" si="447"/>
        <v>1.5</v>
      </c>
      <c r="J1448" s="749">
        <f t="shared" si="448"/>
        <v>0</v>
      </c>
      <c r="K1448" s="819">
        <f t="shared" si="449"/>
        <v>3</v>
      </c>
      <c r="L1448" s="500"/>
      <c r="M1448" s="485">
        <f t="shared" si="446"/>
        <v>2.25</v>
      </c>
      <c r="N1448" s="486"/>
      <c r="O1448" s="486"/>
    </row>
    <row r="1449" spans="1:16" s="487" customFormat="1" ht="18" customHeight="1">
      <c r="A1449" s="478"/>
      <c r="B1449" s="336" t="s">
        <v>279</v>
      </c>
      <c r="C1449" s="479">
        <f>C52</f>
        <v>1</v>
      </c>
      <c r="D1449" s="480" t="s">
        <v>87</v>
      </c>
      <c r="E1449" s="724">
        <f t="shared" si="450"/>
        <v>1</v>
      </c>
      <c r="F1449" s="482">
        <f t="shared" si="450"/>
        <v>8</v>
      </c>
      <c r="G1449" s="483">
        <f t="shared" si="450"/>
        <v>8</v>
      </c>
      <c r="H1449" s="484">
        <f>1</f>
        <v>1</v>
      </c>
      <c r="I1449" s="819">
        <f t="shared" si="447"/>
        <v>1.5</v>
      </c>
      <c r="J1449" s="749">
        <f t="shared" si="448"/>
        <v>0</v>
      </c>
      <c r="K1449" s="819">
        <f t="shared" si="449"/>
        <v>3</v>
      </c>
      <c r="L1449" s="500"/>
      <c r="M1449" s="485">
        <f t="shared" si="446"/>
        <v>2.4375</v>
      </c>
      <c r="N1449" s="486"/>
      <c r="O1449" s="486"/>
    </row>
    <row r="1450" spans="1:16" s="487" customFormat="1" ht="18" customHeight="1">
      <c r="A1450" s="478"/>
      <c r="B1450" s="336" t="s">
        <v>280</v>
      </c>
      <c r="C1450" s="479">
        <f>C53</f>
        <v>1</v>
      </c>
      <c r="D1450" s="480" t="s">
        <v>87</v>
      </c>
      <c r="E1450" s="724">
        <f t="shared" si="450"/>
        <v>2</v>
      </c>
      <c r="F1450" s="482">
        <f t="shared" si="450"/>
        <v>10</v>
      </c>
      <c r="G1450" s="483">
        <f t="shared" si="450"/>
        <v>4</v>
      </c>
      <c r="H1450" s="484">
        <f>1</f>
        <v>1</v>
      </c>
      <c r="I1450" s="819">
        <f t="shared" si="447"/>
        <v>1.5</v>
      </c>
      <c r="J1450" s="749">
        <f t="shared" si="448"/>
        <v>0</v>
      </c>
      <c r="K1450" s="819">
        <f t="shared" si="449"/>
        <v>3</v>
      </c>
      <c r="L1450" s="500"/>
      <c r="M1450" s="485">
        <f t="shared" si="446"/>
        <v>5.8125</v>
      </c>
      <c r="N1450" s="486"/>
      <c r="O1450" s="486"/>
    </row>
    <row r="1451" spans="1:16" s="487" customFormat="1" ht="18" customHeight="1">
      <c r="A1451" s="478"/>
      <c r="B1451" s="336" t="s">
        <v>281</v>
      </c>
      <c r="C1451" s="479">
        <f>C54</f>
        <v>1</v>
      </c>
      <c r="D1451" s="480" t="s">
        <v>87</v>
      </c>
      <c r="E1451" s="724">
        <f t="shared" si="450"/>
        <v>1</v>
      </c>
      <c r="F1451" s="482">
        <f t="shared" si="450"/>
        <v>10</v>
      </c>
      <c r="G1451" s="483">
        <f t="shared" si="450"/>
        <v>5</v>
      </c>
      <c r="H1451" s="484">
        <f>1</f>
        <v>1</v>
      </c>
      <c r="I1451" s="819">
        <f t="shared" si="447"/>
        <v>1.5</v>
      </c>
      <c r="J1451" s="749">
        <f t="shared" si="448"/>
        <v>0</v>
      </c>
      <c r="K1451" s="819">
        <f t="shared" si="449"/>
        <v>3</v>
      </c>
      <c r="L1451" s="500"/>
      <c r="M1451" s="485">
        <f t="shared" si="446"/>
        <v>2.9296875</v>
      </c>
      <c r="N1451" s="486"/>
      <c r="O1451" s="486"/>
    </row>
    <row r="1452" spans="1:16" s="487" customFormat="1" ht="18" customHeight="1">
      <c r="A1452" s="478"/>
      <c r="B1452" s="830"/>
      <c r="C1452" s="479"/>
      <c r="D1452" s="480"/>
      <c r="E1452" s="724"/>
      <c r="F1452" s="482"/>
      <c r="G1452" s="483"/>
      <c r="H1452" s="484"/>
      <c r="I1452" s="483"/>
      <c r="J1452" s="749"/>
      <c r="K1452" s="819"/>
      <c r="L1452" s="500"/>
      <c r="M1452" s="485"/>
      <c r="N1452" s="871">
        <f>SUM(M1438:M1451)</f>
        <v>59.9296875</v>
      </c>
      <c r="O1452" s="872" t="s">
        <v>21</v>
      </c>
    </row>
    <row r="1453" spans="1:16" ht="18" customHeight="1">
      <c r="A1453" s="474"/>
      <c r="B1453" s="635"/>
      <c r="C1453" s="488"/>
      <c r="D1453" s="489"/>
      <c r="E1453" s="589"/>
      <c r="F1453" s="491"/>
      <c r="G1453" s="496"/>
      <c r="H1453" s="497"/>
      <c r="I1453" s="496"/>
      <c r="J1453" s="609"/>
      <c r="K1453" s="625"/>
      <c r="L1453" s="626"/>
      <c r="M1453" s="475"/>
      <c r="N1453" s="476"/>
      <c r="O1453" s="476"/>
    </row>
    <row r="1454" spans="1:16" s="487" customFormat="1" ht="18" customHeight="1">
      <c r="A1454" s="478"/>
      <c r="B1454" s="988" t="s">
        <v>227</v>
      </c>
      <c r="C1454" s="479"/>
      <c r="D1454" s="480"/>
      <c r="E1454" s="724"/>
      <c r="F1454" s="482"/>
      <c r="G1454" s="483"/>
      <c r="H1454" s="484"/>
      <c r="I1454" s="483"/>
      <c r="J1454" s="749"/>
      <c r="K1454" s="819"/>
      <c r="L1454" s="500"/>
      <c r="M1454" s="485"/>
      <c r="N1454" s="486"/>
      <c r="O1454" s="486"/>
    </row>
    <row r="1455" spans="1:16" s="487" customFormat="1" ht="18" customHeight="1">
      <c r="A1455" s="478"/>
      <c r="B1455" s="726" t="s">
        <v>213</v>
      </c>
      <c r="C1455" s="479"/>
      <c r="D1455" s="480"/>
      <c r="E1455" s="724"/>
      <c r="F1455" s="482"/>
      <c r="G1455" s="483"/>
      <c r="H1455" s="484"/>
      <c r="I1455" s="483"/>
      <c r="J1455" s="749"/>
      <c r="K1455" s="819"/>
      <c r="L1455" s="500"/>
      <c r="M1455" s="485"/>
      <c r="N1455" s="486"/>
      <c r="O1455" s="486"/>
    </row>
    <row r="1456" spans="1:16" s="487" customFormat="1" ht="18" customHeight="1">
      <c r="A1456" s="478"/>
      <c r="B1456" s="336" t="s">
        <v>264</v>
      </c>
      <c r="C1456" s="479">
        <f>C39</f>
        <v>1</v>
      </c>
      <c r="D1456" s="480" t="s">
        <v>87</v>
      </c>
      <c r="E1456" s="724">
        <v>1</v>
      </c>
      <c r="F1456" s="482">
        <f>F39</f>
        <v>16</v>
      </c>
      <c r="G1456" s="483">
        <f>G39</f>
        <v>0</v>
      </c>
      <c r="H1456" s="484">
        <f>0</f>
        <v>0</v>
      </c>
      <c r="I1456" s="483">
        <f>9</f>
        <v>9</v>
      </c>
      <c r="J1456" s="749">
        <v>3</v>
      </c>
      <c r="K1456" s="483">
        <v>9</v>
      </c>
      <c r="L1456" s="500"/>
      <c r="M1456" s="485">
        <f t="shared" ref="M1456:M1463" si="451">IF(C1456=0,1,C1456)*IF(E1456=0,1,E1456)*IF((F1456+G1456/12)=0,1,(F1456+G1456/12))*IF((H1456+I1456/12)=0,1,(H1456+I1456/12))*IF((J1456+K1456/12)=0,1,(J1456+K1456/12))</f>
        <v>45</v>
      </c>
      <c r="N1456" s="486"/>
      <c r="O1456" s="486"/>
      <c r="P1456" s="487">
        <f>3+3-0.5-0.25-1.5</f>
        <v>3.75</v>
      </c>
    </row>
    <row r="1457" spans="1:16" s="487" customFormat="1" ht="18" customHeight="1">
      <c r="A1457" s="478"/>
      <c r="B1457" s="336" t="s">
        <v>304</v>
      </c>
      <c r="C1457" s="479">
        <f>C1456</f>
        <v>1</v>
      </c>
      <c r="D1457" s="480" t="s">
        <v>87</v>
      </c>
      <c r="E1457" s="724">
        <f>E1456</f>
        <v>1</v>
      </c>
      <c r="F1457" s="482">
        <f>F39</f>
        <v>16</v>
      </c>
      <c r="G1457" s="483">
        <f>G39</f>
        <v>0</v>
      </c>
      <c r="H1457" s="484">
        <f>H1456</f>
        <v>0</v>
      </c>
      <c r="I1457" s="483">
        <f>I1456</f>
        <v>9</v>
      </c>
      <c r="J1457" s="749">
        <v>4</v>
      </c>
      <c r="K1457" s="483">
        <v>1</v>
      </c>
      <c r="L1457" s="500"/>
      <c r="M1457" s="485">
        <f t="shared" si="451"/>
        <v>49</v>
      </c>
      <c r="N1457" s="486"/>
      <c r="O1457" s="486"/>
      <c r="P1457" s="487">
        <f>3+3-0.5-0.25-1.17</f>
        <v>4.08</v>
      </c>
    </row>
    <row r="1458" spans="1:16" s="487" customFormat="1" ht="18" customHeight="1">
      <c r="A1458" s="478"/>
      <c r="B1458" s="336" t="s">
        <v>265</v>
      </c>
      <c r="C1458" s="479">
        <v>1</v>
      </c>
      <c r="D1458" s="480" t="s">
        <v>87</v>
      </c>
      <c r="E1458" s="724">
        <v>1</v>
      </c>
      <c r="F1458" s="482">
        <f>F40</f>
        <v>14</v>
      </c>
      <c r="G1458" s="483">
        <f>G40</f>
        <v>6</v>
      </c>
      <c r="H1458" s="484">
        <f t="shared" ref="H1458:H1459" si="452">H1457</f>
        <v>0</v>
      </c>
      <c r="I1458" s="483">
        <f t="shared" ref="I1458:I1459" si="453">I1457</f>
        <v>9</v>
      </c>
      <c r="J1458" s="749">
        <f>J1456</f>
        <v>3</v>
      </c>
      <c r="K1458" s="483">
        <f>K1456</f>
        <v>9</v>
      </c>
      <c r="L1458" s="500"/>
      <c r="M1458" s="485">
        <f t="shared" si="451"/>
        <v>40.78125</v>
      </c>
      <c r="N1458" s="486"/>
      <c r="O1458" s="486"/>
      <c r="P1458" s="487">
        <f>3+3-0.5-0.25-1.5</f>
        <v>3.75</v>
      </c>
    </row>
    <row r="1459" spans="1:16" s="487" customFormat="1" ht="18" customHeight="1">
      <c r="A1459" s="478"/>
      <c r="B1459" s="336" t="s">
        <v>305</v>
      </c>
      <c r="C1459" s="479">
        <f>C1458</f>
        <v>1</v>
      </c>
      <c r="D1459" s="480" t="s">
        <v>87</v>
      </c>
      <c r="E1459" s="724">
        <f>E1458</f>
        <v>1</v>
      </c>
      <c r="F1459" s="482">
        <f>F1458</f>
        <v>14</v>
      </c>
      <c r="G1459" s="483">
        <f>G1458</f>
        <v>6</v>
      </c>
      <c r="H1459" s="484">
        <f t="shared" si="452"/>
        <v>0</v>
      </c>
      <c r="I1459" s="483">
        <f t="shared" si="453"/>
        <v>9</v>
      </c>
      <c r="J1459" s="749">
        <v>4</v>
      </c>
      <c r="K1459" s="483">
        <v>1</v>
      </c>
      <c r="L1459" s="500"/>
      <c r="M1459" s="485">
        <f t="shared" si="451"/>
        <v>44.40625</v>
      </c>
      <c r="N1459" s="486"/>
      <c r="O1459" s="486"/>
      <c r="P1459" s="487">
        <f>3+3-0.5-0.25-1.17</f>
        <v>4.08</v>
      </c>
    </row>
    <row r="1460" spans="1:16" s="487" customFormat="1" ht="18" customHeight="1">
      <c r="A1460" s="478"/>
      <c r="B1460" s="336" t="s">
        <v>276</v>
      </c>
      <c r="C1460" s="479">
        <f>C41</f>
        <v>1</v>
      </c>
      <c r="D1460" s="480" t="s">
        <v>87</v>
      </c>
      <c r="E1460" s="724">
        <f>E41</f>
        <v>1</v>
      </c>
      <c r="F1460" s="482">
        <f>F41</f>
        <v>11</v>
      </c>
      <c r="G1460" s="483">
        <f>G41</f>
        <v>0</v>
      </c>
      <c r="H1460" s="484">
        <f>0</f>
        <v>0</v>
      </c>
      <c r="I1460" s="483">
        <f>9</f>
        <v>9</v>
      </c>
      <c r="J1460" s="749">
        <f>4</f>
        <v>4</v>
      </c>
      <c r="K1460" s="483">
        <v>5</v>
      </c>
      <c r="L1460" s="500"/>
      <c r="M1460" s="485">
        <f t="shared" si="451"/>
        <v>36.4375</v>
      </c>
      <c r="N1460" s="486"/>
      <c r="O1460" s="486"/>
      <c r="P1460" s="487">
        <f>3+3-0.5-0.25-0.83</f>
        <v>4.42</v>
      </c>
    </row>
    <row r="1461" spans="1:16" s="487" customFormat="1" ht="18" customHeight="1">
      <c r="A1461" s="478"/>
      <c r="B1461" s="336" t="s">
        <v>324</v>
      </c>
      <c r="C1461" s="479">
        <f>C43</f>
        <v>1</v>
      </c>
      <c r="D1461" s="480" t="s">
        <v>87</v>
      </c>
      <c r="E1461" s="724">
        <v>1</v>
      </c>
      <c r="F1461" s="482">
        <f>F43</f>
        <v>14</v>
      </c>
      <c r="G1461" s="483">
        <f>G43</f>
        <v>5</v>
      </c>
      <c r="H1461" s="484">
        <f>0</f>
        <v>0</v>
      </c>
      <c r="I1461" s="483">
        <f>9</f>
        <v>9</v>
      </c>
      <c r="J1461" s="749">
        <v>3</v>
      </c>
      <c r="K1461" s="483">
        <v>9</v>
      </c>
      <c r="L1461" s="500"/>
      <c r="M1461" s="485">
        <f t="shared" si="451"/>
        <v>40.546875</v>
      </c>
      <c r="N1461" s="486"/>
      <c r="O1461" s="486"/>
    </row>
    <row r="1462" spans="1:16" s="487" customFormat="1" ht="18" customHeight="1">
      <c r="A1462" s="478"/>
      <c r="B1462" s="336" t="s">
        <v>303</v>
      </c>
      <c r="C1462" s="479">
        <v>1</v>
      </c>
      <c r="D1462" s="480" t="s">
        <v>87</v>
      </c>
      <c r="E1462" s="724">
        <v>1</v>
      </c>
      <c r="F1462" s="482">
        <f>F1461</f>
        <v>14</v>
      </c>
      <c r="G1462" s="483">
        <f>G1461</f>
        <v>5</v>
      </c>
      <c r="H1462" s="484">
        <f>H1461</f>
        <v>0</v>
      </c>
      <c r="I1462" s="483">
        <f>I1461</f>
        <v>9</v>
      </c>
      <c r="J1462" s="749">
        <v>4</v>
      </c>
      <c r="K1462" s="483">
        <v>1</v>
      </c>
      <c r="L1462" s="500"/>
      <c r="M1462" s="485">
        <f t="shared" si="451"/>
        <v>44.151041666666664</v>
      </c>
      <c r="N1462" s="486"/>
      <c r="O1462" s="486"/>
    </row>
    <row r="1463" spans="1:16" s="487" customFormat="1" ht="18" customHeight="1">
      <c r="A1463" s="478"/>
      <c r="B1463" s="336" t="s">
        <v>299</v>
      </c>
      <c r="C1463" s="479">
        <f>C44</f>
        <v>1</v>
      </c>
      <c r="D1463" s="480" t="s">
        <v>87</v>
      </c>
      <c r="E1463" s="724">
        <f>E44</f>
        <v>1</v>
      </c>
      <c r="F1463" s="482">
        <f>F44</f>
        <v>7</v>
      </c>
      <c r="G1463" s="483">
        <f>G44</f>
        <v>11</v>
      </c>
      <c r="H1463" s="484">
        <f>0</f>
        <v>0</v>
      </c>
      <c r="I1463" s="483">
        <f>9</f>
        <v>9</v>
      </c>
      <c r="J1463" s="749">
        <f>4</f>
        <v>4</v>
      </c>
      <c r="K1463" s="483">
        <v>5</v>
      </c>
      <c r="L1463" s="500"/>
      <c r="M1463" s="485">
        <f t="shared" si="451"/>
        <v>26.223958333333336</v>
      </c>
      <c r="N1463" s="486"/>
      <c r="O1463" s="486"/>
    </row>
    <row r="1464" spans="1:16" ht="18" customHeight="1">
      <c r="A1464" s="474"/>
      <c r="B1464" s="494"/>
      <c r="C1464" s="488"/>
      <c r="D1464" s="489"/>
      <c r="E1464" s="589"/>
      <c r="F1464" s="491"/>
      <c r="G1464" s="496"/>
      <c r="H1464" s="497"/>
      <c r="I1464" s="496"/>
      <c r="J1464" s="609"/>
      <c r="K1464" s="496"/>
      <c r="L1464" s="626"/>
      <c r="M1464" s="475"/>
      <c r="N1464" s="476"/>
      <c r="O1464" s="476"/>
    </row>
    <row r="1465" spans="1:16" s="487" customFormat="1" ht="18" customHeight="1">
      <c r="A1465" s="478"/>
      <c r="B1465" s="726" t="s">
        <v>214</v>
      </c>
      <c r="C1465" s="479"/>
      <c r="D1465" s="480"/>
      <c r="E1465" s="724"/>
      <c r="F1465" s="482"/>
      <c r="G1465" s="483"/>
      <c r="H1465" s="484"/>
      <c r="I1465" s="483"/>
      <c r="J1465" s="749"/>
      <c r="K1465" s="819"/>
      <c r="L1465" s="500"/>
      <c r="M1465" s="485"/>
      <c r="N1465" s="486"/>
      <c r="O1465" s="486"/>
    </row>
    <row r="1466" spans="1:16" s="487" customFormat="1" ht="18" customHeight="1">
      <c r="A1466" s="478"/>
      <c r="B1466" s="336" t="s">
        <v>273</v>
      </c>
      <c r="C1466" s="479">
        <f>C47</f>
        <v>1</v>
      </c>
      <c r="D1466" s="480" t="s">
        <v>87</v>
      </c>
      <c r="E1466" s="724">
        <f t="shared" ref="E1466:G1468" si="454">E47</f>
        <v>2</v>
      </c>
      <c r="F1466" s="482">
        <f t="shared" si="454"/>
        <v>14</v>
      </c>
      <c r="G1466" s="483">
        <f t="shared" si="454"/>
        <v>0</v>
      </c>
      <c r="H1466" s="484">
        <f>0</f>
        <v>0</v>
      </c>
      <c r="I1466" s="483">
        <f>9</f>
        <v>9</v>
      </c>
      <c r="J1466" s="749">
        <f>4</f>
        <v>4</v>
      </c>
      <c r="K1466" s="483">
        <v>1</v>
      </c>
      <c r="L1466" s="500"/>
      <c r="M1466" s="485">
        <f t="shared" ref="M1466:M1472" si="455">IF(C1466=0,1,C1466)*IF(E1466=0,1,E1466)*IF((F1466+G1466/12)=0,1,(F1466+G1466/12))*IF((H1466+I1466/12)=0,1,(H1466+I1466/12))*IF((J1466+K1466/12)=0,1,(J1466+K1466/12))</f>
        <v>85.75</v>
      </c>
      <c r="N1466" s="486"/>
      <c r="O1466" s="486"/>
      <c r="P1466" s="487">
        <f>3+3-0.5-0.25-1.17</f>
        <v>4.08</v>
      </c>
    </row>
    <row r="1467" spans="1:16" s="487" customFormat="1" ht="18" customHeight="1">
      <c r="A1467" s="478"/>
      <c r="B1467" s="336" t="s">
        <v>274</v>
      </c>
      <c r="C1467" s="479">
        <f>C48</f>
        <v>1</v>
      </c>
      <c r="D1467" s="480" t="s">
        <v>87</v>
      </c>
      <c r="E1467" s="724">
        <f t="shared" si="454"/>
        <v>1</v>
      </c>
      <c r="F1467" s="482">
        <f t="shared" si="454"/>
        <v>14</v>
      </c>
      <c r="G1467" s="483">
        <f t="shared" si="454"/>
        <v>1</v>
      </c>
      <c r="H1467" s="484">
        <f>0</f>
        <v>0</v>
      </c>
      <c r="I1467" s="483">
        <f>9</f>
        <v>9</v>
      </c>
      <c r="J1467" s="749">
        <f>J1466</f>
        <v>4</v>
      </c>
      <c r="K1467" s="483">
        <f>K1466</f>
        <v>1</v>
      </c>
      <c r="L1467" s="500"/>
      <c r="M1467" s="485">
        <f t="shared" si="455"/>
        <v>43.130208333333329</v>
      </c>
      <c r="N1467" s="486"/>
      <c r="O1467" s="486"/>
      <c r="P1467" s="487">
        <f>3+3-0.5-0.25-1.17</f>
        <v>4.08</v>
      </c>
    </row>
    <row r="1468" spans="1:16" s="487" customFormat="1" ht="18" customHeight="1">
      <c r="A1468" s="478"/>
      <c r="B1468" s="336" t="s">
        <v>275</v>
      </c>
      <c r="C1468" s="479">
        <f>C49</f>
        <v>1</v>
      </c>
      <c r="D1468" s="480" t="s">
        <v>87</v>
      </c>
      <c r="E1468" s="724">
        <f t="shared" si="454"/>
        <v>1</v>
      </c>
      <c r="F1468" s="482">
        <f t="shared" si="454"/>
        <v>14</v>
      </c>
      <c r="G1468" s="483">
        <f t="shared" si="454"/>
        <v>6</v>
      </c>
      <c r="H1468" s="484">
        <f>0</f>
        <v>0</v>
      </c>
      <c r="I1468" s="483">
        <f>9</f>
        <v>9</v>
      </c>
      <c r="J1468" s="749">
        <v>3</v>
      </c>
      <c r="K1468" s="483">
        <v>9</v>
      </c>
      <c r="L1468" s="500"/>
      <c r="M1468" s="485">
        <f t="shared" si="455"/>
        <v>40.78125</v>
      </c>
      <c r="N1468" s="486"/>
      <c r="O1468" s="486"/>
      <c r="P1468" s="487">
        <f>3+3-0.5-0.25-1.5</f>
        <v>3.75</v>
      </c>
    </row>
    <row r="1469" spans="1:16" s="487" customFormat="1" ht="18" customHeight="1">
      <c r="A1469" s="478"/>
      <c r="B1469" s="336" t="s">
        <v>278</v>
      </c>
      <c r="C1469" s="479">
        <f>C51</f>
        <v>1</v>
      </c>
      <c r="D1469" s="480" t="s">
        <v>87</v>
      </c>
      <c r="E1469" s="724">
        <f t="shared" ref="E1469:G1472" si="456">E51</f>
        <v>1</v>
      </c>
      <c r="F1469" s="482">
        <f t="shared" si="456"/>
        <v>8</v>
      </c>
      <c r="G1469" s="483">
        <f t="shared" si="456"/>
        <v>0</v>
      </c>
      <c r="H1469" s="484">
        <f>0</f>
        <v>0</v>
      </c>
      <c r="I1469" s="483">
        <f>9</f>
        <v>9</v>
      </c>
      <c r="J1469" s="749">
        <f>J1467</f>
        <v>4</v>
      </c>
      <c r="K1469" s="483">
        <f>K1467</f>
        <v>1</v>
      </c>
      <c r="L1469" s="500"/>
      <c r="M1469" s="485">
        <f t="shared" si="455"/>
        <v>24.5</v>
      </c>
      <c r="N1469" s="486"/>
      <c r="O1469" s="486"/>
    </row>
    <row r="1470" spans="1:16" s="487" customFormat="1" ht="18" customHeight="1">
      <c r="A1470" s="478"/>
      <c r="B1470" s="336" t="s">
        <v>279</v>
      </c>
      <c r="C1470" s="479">
        <f>C52</f>
        <v>1</v>
      </c>
      <c r="D1470" s="480" t="s">
        <v>87</v>
      </c>
      <c r="E1470" s="724">
        <f t="shared" si="456"/>
        <v>1</v>
      </c>
      <c r="F1470" s="482">
        <f t="shared" si="456"/>
        <v>8</v>
      </c>
      <c r="G1470" s="483">
        <f t="shared" si="456"/>
        <v>8</v>
      </c>
      <c r="H1470" s="484">
        <f>0</f>
        <v>0</v>
      </c>
      <c r="I1470" s="483">
        <f>9</f>
        <v>9</v>
      </c>
      <c r="J1470" s="749">
        <f>J1463</f>
        <v>4</v>
      </c>
      <c r="K1470" s="483">
        <f>K1463</f>
        <v>5</v>
      </c>
      <c r="L1470" s="500"/>
      <c r="M1470" s="485">
        <f t="shared" si="455"/>
        <v>28.708333333333336</v>
      </c>
      <c r="N1470" s="486"/>
      <c r="O1470" s="486"/>
    </row>
    <row r="1471" spans="1:16" s="487" customFormat="1" ht="18" customHeight="1">
      <c r="A1471" s="478"/>
      <c r="B1471" s="336" t="s">
        <v>280</v>
      </c>
      <c r="C1471" s="479">
        <f>C53</f>
        <v>1</v>
      </c>
      <c r="D1471" s="480" t="s">
        <v>87</v>
      </c>
      <c r="E1471" s="724">
        <f t="shared" si="456"/>
        <v>2</v>
      </c>
      <c r="F1471" s="482">
        <f t="shared" si="456"/>
        <v>10</v>
      </c>
      <c r="G1471" s="483">
        <f t="shared" si="456"/>
        <v>4</v>
      </c>
      <c r="H1471" s="484">
        <f>0</f>
        <v>0</v>
      </c>
      <c r="I1471" s="483">
        <f>9</f>
        <v>9</v>
      </c>
      <c r="J1471" s="749">
        <f>J1469</f>
        <v>4</v>
      </c>
      <c r="K1471" s="483">
        <f>K1469</f>
        <v>1</v>
      </c>
      <c r="L1471" s="500"/>
      <c r="M1471" s="485">
        <f t="shared" si="455"/>
        <v>63.291666666666664</v>
      </c>
      <c r="N1471" s="486"/>
      <c r="O1471" s="486"/>
    </row>
    <row r="1472" spans="1:16" s="487" customFormat="1" ht="18" customHeight="1">
      <c r="A1472" s="478"/>
      <c r="B1472" s="336" t="s">
        <v>281</v>
      </c>
      <c r="C1472" s="479">
        <f>C54</f>
        <v>1</v>
      </c>
      <c r="D1472" s="480" t="s">
        <v>87</v>
      </c>
      <c r="E1472" s="724">
        <f t="shared" si="456"/>
        <v>1</v>
      </c>
      <c r="F1472" s="482">
        <f t="shared" si="456"/>
        <v>10</v>
      </c>
      <c r="G1472" s="483">
        <f t="shared" si="456"/>
        <v>5</v>
      </c>
      <c r="H1472" s="484">
        <f>0</f>
        <v>0</v>
      </c>
      <c r="I1472" s="483">
        <f>9</f>
        <v>9</v>
      </c>
      <c r="J1472" s="749">
        <f>J1471</f>
        <v>4</v>
      </c>
      <c r="K1472" s="483">
        <f>K1471</f>
        <v>1</v>
      </c>
      <c r="L1472" s="500"/>
      <c r="M1472" s="485">
        <f t="shared" si="455"/>
        <v>31.901041666666664</v>
      </c>
      <c r="N1472" s="486"/>
      <c r="O1472" s="486"/>
    </row>
    <row r="1473" spans="1:16" s="487" customFormat="1" ht="18" customHeight="1">
      <c r="A1473" s="478"/>
      <c r="B1473" s="830"/>
      <c r="C1473" s="479"/>
      <c r="D1473" s="480"/>
      <c r="E1473" s="724"/>
      <c r="F1473" s="482"/>
      <c r="G1473" s="483"/>
      <c r="H1473" s="484"/>
      <c r="I1473" s="483"/>
      <c r="J1473" s="749"/>
      <c r="K1473" s="483"/>
      <c r="L1473" s="500"/>
      <c r="M1473" s="485"/>
      <c r="N1473" s="871">
        <f>SUM(M1456:M1472)</f>
        <v>644.60937499999989</v>
      </c>
      <c r="O1473" s="872" t="s">
        <v>21</v>
      </c>
    </row>
    <row r="1474" spans="1:16" ht="18" customHeight="1">
      <c r="A1474" s="474"/>
      <c r="B1474" s="494"/>
      <c r="C1474" s="488"/>
      <c r="D1474" s="489"/>
      <c r="E1474" s="589"/>
      <c r="F1474" s="491"/>
      <c r="G1474" s="496"/>
      <c r="H1474" s="497"/>
      <c r="I1474" s="496"/>
      <c r="J1474" s="609"/>
      <c r="K1474" s="496"/>
      <c r="L1474" s="626"/>
      <c r="M1474" s="475"/>
      <c r="N1474" s="476"/>
      <c r="O1474" s="476"/>
    </row>
    <row r="1475" spans="1:16" s="487" customFormat="1" ht="18" customHeight="1">
      <c r="A1475" s="478"/>
      <c r="B1475" s="726" t="s">
        <v>214</v>
      </c>
      <c r="C1475" s="479"/>
      <c r="D1475" s="480"/>
      <c r="E1475" s="724"/>
      <c r="F1475" s="482"/>
      <c r="G1475" s="483"/>
      <c r="H1475" s="484"/>
      <c r="I1475" s="483"/>
      <c r="J1475" s="749"/>
      <c r="K1475" s="819"/>
      <c r="L1475" s="500"/>
      <c r="M1475" s="485"/>
      <c r="N1475" s="486"/>
      <c r="O1475" s="486"/>
    </row>
    <row r="1476" spans="1:16" s="487" customFormat="1" ht="18" customHeight="1">
      <c r="A1476" s="478"/>
      <c r="B1476" s="336" t="s">
        <v>802</v>
      </c>
      <c r="C1476" s="479">
        <v>1</v>
      </c>
      <c r="D1476" s="480" t="s">
        <v>87</v>
      </c>
      <c r="E1476" s="724">
        <v>1</v>
      </c>
      <c r="F1476" s="482">
        <v>4</v>
      </c>
      <c r="G1476" s="483">
        <f t="shared" ref="G1476" si="457">G57</f>
        <v>0</v>
      </c>
      <c r="H1476" s="484">
        <f>0</f>
        <v>0</v>
      </c>
      <c r="I1476" s="483">
        <f>9</f>
        <v>9</v>
      </c>
      <c r="J1476" s="749">
        <v>16</v>
      </c>
      <c r="K1476" s="483">
        <v>0</v>
      </c>
      <c r="L1476" s="500"/>
      <c r="M1476" s="485">
        <f t="shared" ref="M1476" si="458">IF(C1476=0,1,C1476)*IF(E1476=0,1,E1476)*IF((F1476+G1476/12)=0,1,(F1476+G1476/12))*IF((H1476+I1476/12)=0,1,(H1476+I1476/12))*IF((J1476+K1476/12)=0,1,(J1476+K1476/12))</f>
        <v>48</v>
      </c>
      <c r="N1476" s="486"/>
      <c r="O1476" s="486"/>
      <c r="P1476" s="487">
        <f>3+3-0.5-0.25-1.17</f>
        <v>4.08</v>
      </c>
    </row>
    <row r="1477" spans="1:16" s="487" customFormat="1" ht="18" customHeight="1">
      <c r="A1477" s="478"/>
      <c r="B1477" s="830"/>
      <c r="C1477" s="479"/>
      <c r="D1477" s="480"/>
      <c r="E1477" s="724"/>
      <c r="F1477" s="482"/>
      <c r="G1477" s="483"/>
      <c r="H1477" s="484"/>
      <c r="I1477" s="483"/>
      <c r="J1477" s="749"/>
      <c r="K1477" s="483"/>
      <c r="L1477" s="500"/>
      <c r="M1477" s="485"/>
      <c r="N1477" s="871">
        <f>SUM(M1475:M1476)</f>
        <v>48</v>
      </c>
      <c r="O1477" s="872" t="s">
        <v>21</v>
      </c>
    </row>
    <row r="1478" spans="1:16" s="487" customFormat="1" ht="18" customHeight="1">
      <c r="A1478" s="548"/>
      <c r="B1478" s="549"/>
      <c r="C1478" s="557"/>
      <c r="D1478" s="550"/>
      <c r="E1478" s="728"/>
      <c r="F1478" s="552"/>
      <c r="G1478" s="553"/>
      <c r="H1478" s="554"/>
      <c r="I1478" s="553"/>
      <c r="J1478" s="785"/>
      <c r="K1478" s="989"/>
      <c r="L1478" s="987"/>
      <c r="M1478" s="555"/>
      <c r="N1478" s="556"/>
      <c r="O1478" s="556"/>
    </row>
    <row r="1479" spans="1:16" s="487" customFormat="1" ht="18" customHeight="1">
      <c r="A1479" s="733">
        <v>14</v>
      </c>
      <c r="B1479" s="734" t="s">
        <v>262</v>
      </c>
      <c r="C1479" s="735"/>
      <c r="D1479" s="736"/>
      <c r="E1479" s="737"/>
      <c r="F1479" s="735"/>
      <c r="G1479" s="807"/>
      <c r="H1479" s="740"/>
      <c r="I1479" s="739"/>
      <c r="J1479" s="741"/>
      <c r="K1479" s="982"/>
      <c r="L1479" s="743"/>
      <c r="M1479" s="499"/>
      <c r="N1479" s="990">
        <f>SUM(N1481:N1569)</f>
        <v>6536.9305555555557</v>
      </c>
      <c r="O1479" s="546" t="s">
        <v>19</v>
      </c>
    </row>
    <row r="1480" spans="1:16" s="487" customFormat="1" ht="18" customHeight="1">
      <c r="A1480" s="478"/>
      <c r="B1480" s="829" t="s">
        <v>89</v>
      </c>
      <c r="C1480" s="479"/>
      <c r="D1480" s="480"/>
      <c r="E1480" s="481"/>
      <c r="F1480" s="482"/>
      <c r="G1480" s="483"/>
      <c r="H1480" s="484"/>
      <c r="I1480" s="483"/>
      <c r="J1480" s="484"/>
      <c r="K1480" s="483"/>
      <c r="L1480" s="478"/>
      <c r="M1480" s="485"/>
      <c r="N1480" s="726"/>
      <c r="O1480" s="726"/>
    </row>
    <row r="1481" spans="1:16" s="487" customFormat="1" ht="18" customHeight="1">
      <c r="A1481" s="478"/>
      <c r="B1481" s="336" t="s">
        <v>268</v>
      </c>
      <c r="C1481" s="479">
        <f>1</f>
        <v>1</v>
      </c>
      <c r="D1481" s="480" t="s">
        <v>87</v>
      </c>
      <c r="E1481" s="481">
        <f>2</f>
        <v>2</v>
      </c>
      <c r="F1481" s="482">
        <f>F39</f>
        <v>16</v>
      </c>
      <c r="G1481" s="483">
        <f>G39</f>
        <v>0</v>
      </c>
      <c r="H1481" s="484"/>
      <c r="I1481" s="483"/>
      <c r="J1481" s="484">
        <v>11</v>
      </c>
      <c r="K1481" s="483">
        <v>6</v>
      </c>
      <c r="L1481" s="478"/>
      <c r="M1481" s="485">
        <f t="shared" ref="M1481:M1491" si="459">IF(C1481=0,1,C1481)*IF(E1481=0,1,E1481)*IF((F1481+G1481/12)=0,1,(F1481+G1481/12))*IF((H1481+I1481/12)=0,1,(H1481+I1481/12))*IF((J1481+K1481/12)=0,1,(J1481+K1481/12))</f>
        <v>368</v>
      </c>
      <c r="N1481" s="726"/>
      <c r="O1481" s="726"/>
      <c r="P1481" s="487">
        <f>13-1.5</f>
        <v>11.5</v>
      </c>
    </row>
    <row r="1482" spans="1:16" s="487" customFormat="1" ht="18" customHeight="1">
      <c r="A1482" s="478"/>
      <c r="B1482" s="336" t="s">
        <v>269</v>
      </c>
      <c r="C1482" s="479">
        <f>C40</f>
        <v>1</v>
      </c>
      <c r="D1482" s="480" t="s">
        <v>87</v>
      </c>
      <c r="E1482" s="481">
        <f>E40</f>
        <v>2</v>
      </c>
      <c r="F1482" s="482">
        <f>F40</f>
        <v>14</v>
      </c>
      <c r="G1482" s="483">
        <f>G40</f>
        <v>6</v>
      </c>
      <c r="H1482" s="484"/>
      <c r="I1482" s="483"/>
      <c r="J1482" s="484">
        <f t="shared" ref="J1482:K1482" si="460">J1481</f>
        <v>11</v>
      </c>
      <c r="K1482" s="483">
        <f t="shared" si="460"/>
        <v>6</v>
      </c>
      <c r="L1482" s="478"/>
      <c r="M1482" s="485">
        <f t="shared" si="459"/>
        <v>333.5</v>
      </c>
      <c r="N1482" s="726"/>
      <c r="O1482" s="726"/>
      <c r="P1482" s="487">
        <f>13-1.5</f>
        <v>11.5</v>
      </c>
    </row>
    <row r="1483" spans="1:16" s="487" customFormat="1" ht="18" customHeight="1">
      <c r="A1483" s="478"/>
      <c r="B1483" s="336" t="s">
        <v>451</v>
      </c>
      <c r="C1483" s="479">
        <f>C42</f>
        <v>1</v>
      </c>
      <c r="D1483" s="480" t="s">
        <v>87</v>
      </c>
      <c r="E1483" s="481">
        <v>2</v>
      </c>
      <c r="F1483" s="482">
        <v>10</v>
      </c>
      <c r="G1483" s="483">
        <v>6</v>
      </c>
      <c r="H1483" s="484"/>
      <c r="I1483" s="483"/>
      <c r="J1483" s="484">
        <f>J1482</f>
        <v>11</v>
      </c>
      <c r="K1483" s="483">
        <f>K1482</f>
        <v>6</v>
      </c>
      <c r="L1483" s="478"/>
      <c r="M1483" s="485">
        <f t="shared" si="459"/>
        <v>241.5</v>
      </c>
      <c r="N1483" s="726"/>
      <c r="O1483" s="726"/>
    </row>
    <row r="1484" spans="1:16" s="487" customFormat="1" ht="18" customHeight="1">
      <c r="A1484" s="478"/>
      <c r="B1484" s="336" t="s">
        <v>324</v>
      </c>
      <c r="C1484" s="479">
        <v>1</v>
      </c>
      <c r="D1484" s="480" t="s">
        <v>87</v>
      </c>
      <c r="E1484" s="481">
        <v>1</v>
      </c>
      <c r="F1484" s="482">
        <f>F43</f>
        <v>14</v>
      </c>
      <c r="G1484" s="483">
        <f>G43</f>
        <v>5</v>
      </c>
      <c r="H1484" s="484"/>
      <c r="I1484" s="483"/>
      <c r="J1484" s="484">
        <f>J1483</f>
        <v>11</v>
      </c>
      <c r="K1484" s="483">
        <f>K1483</f>
        <v>6</v>
      </c>
      <c r="L1484" s="478"/>
      <c r="M1484" s="485">
        <f t="shared" si="459"/>
        <v>165.79166666666666</v>
      </c>
      <c r="N1484" s="726"/>
      <c r="O1484" s="726"/>
      <c r="P1484" s="487">
        <f>16-1-0.5*1.17</f>
        <v>14.414999999999999</v>
      </c>
    </row>
    <row r="1485" spans="1:16" s="487" customFormat="1" ht="18" customHeight="1">
      <c r="A1485" s="478"/>
      <c r="B1485" s="336" t="s">
        <v>332</v>
      </c>
      <c r="C1485" s="479">
        <v>1</v>
      </c>
      <c r="D1485" s="480" t="s">
        <v>87</v>
      </c>
      <c r="E1485" s="481">
        <f>1</f>
        <v>1</v>
      </c>
      <c r="F1485" s="482">
        <f>F47</f>
        <v>14</v>
      </c>
      <c r="G1485" s="483">
        <f>G47</f>
        <v>0</v>
      </c>
      <c r="H1485" s="484"/>
      <c r="I1485" s="483"/>
      <c r="J1485" s="484">
        <v>11</v>
      </c>
      <c r="K1485" s="483">
        <v>10</v>
      </c>
      <c r="L1485" s="478"/>
      <c r="M1485" s="485">
        <f t="shared" si="459"/>
        <v>165.66666666666669</v>
      </c>
      <c r="N1485" s="726"/>
      <c r="O1485" s="726"/>
      <c r="P1485" s="487">
        <f>13-1.17</f>
        <v>11.83</v>
      </c>
    </row>
    <row r="1486" spans="1:16" s="487" customFormat="1" ht="18" customHeight="1">
      <c r="A1486" s="478"/>
      <c r="B1486" s="336" t="s">
        <v>717</v>
      </c>
      <c r="C1486" s="479">
        <v>1</v>
      </c>
      <c r="D1486" s="480" t="s">
        <v>87</v>
      </c>
      <c r="E1486" s="481">
        <f>1</f>
        <v>1</v>
      </c>
      <c r="F1486" s="482">
        <f>F48</f>
        <v>14</v>
      </c>
      <c r="G1486" s="483">
        <v>6</v>
      </c>
      <c r="H1486" s="484"/>
      <c r="I1486" s="483"/>
      <c r="J1486" s="484">
        <v>11</v>
      </c>
      <c r="K1486" s="483">
        <v>10</v>
      </c>
      <c r="L1486" s="478"/>
      <c r="M1486" s="485">
        <f t="shared" ref="M1486" si="461">IF(C1486=0,1,C1486)*IF(E1486=0,1,E1486)*IF((F1486+G1486/12)=0,1,(F1486+G1486/12))*IF((H1486+I1486/12)=0,1,(H1486+I1486/12))*IF((J1486+K1486/12)=0,1,(J1486+K1486/12))</f>
        <v>171.58333333333334</v>
      </c>
      <c r="N1486" s="726"/>
      <c r="O1486" s="726"/>
      <c r="P1486" s="487">
        <f>13-1.17</f>
        <v>11.83</v>
      </c>
    </row>
    <row r="1487" spans="1:16" s="487" customFormat="1" ht="18" customHeight="1">
      <c r="A1487" s="478"/>
      <c r="B1487" s="336" t="s">
        <v>274</v>
      </c>
      <c r="C1487" s="479">
        <v>1</v>
      </c>
      <c r="D1487" s="480" t="s">
        <v>87</v>
      </c>
      <c r="E1487" s="481">
        <f>1</f>
        <v>1</v>
      </c>
      <c r="F1487" s="482">
        <f>F48</f>
        <v>14</v>
      </c>
      <c r="G1487" s="483">
        <f>G48</f>
        <v>1</v>
      </c>
      <c r="H1487" s="484"/>
      <c r="I1487" s="483"/>
      <c r="J1487" s="484">
        <f>J1485</f>
        <v>11</v>
      </c>
      <c r="K1487" s="483">
        <f>K1485</f>
        <v>10</v>
      </c>
      <c r="L1487" s="478"/>
      <c r="M1487" s="485">
        <f t="shared" si="459"/>
        <v>166.6527777777778</v>
      </c>
      <c r="N1487" s="726"/>
      <c r="O1487" s="726"/>
    </row>
    <row r="1488" spans="1:16" s="487" customFormat="1" ht="18" customHeight="1">
      <c r="A1488" s="478"/>
      <c r="B1488" s="336" t="s">
        <v>277</v>
      </c>
      <c r="C1488" s="479">
        <v>1</v>
      </c>
      <c r="D1488" s="480" t="s">
        <v>87</v>
      </c>
      <c r="E1488" s="481">
        <v>2</v>
      </c>
      <c r="F1488" s="482">
        <f>F50</f>
        <v>7</v>
      </c>
      <c r="G1488" s="483">
        <f>G50</f>
        <v>10</v>
      </c>
      <c r="H1488" s="484"/>
      <c r="I1488" s="483"/>
      <c r="J1488" s="484">
        <f>J1487</f>
        <v>11</v>
      </c>
      <c r="K1488" s="483">
        <f>K1487</f>
        <v>10</v>
      </c>
      <c r="L1488" s="478"/>
      <c r="M1488" s="485">
        <f t="shared" si="459"/>
        <v>185.38888888888889</v>
      </c>
      <c r="N1488" s="726"/>
      <c r="O1488" s="726"/>
      <c r="P1488" s="487">
        <f>9-1*1.17</f>
        <v>7.83</v>
      </c>
    </row>
    <row r="1489" spans="1:16" s="487" customFormat="1" ht="18" customHeight="1">
      <c r="A1489" s="478"/>
      <c r="B1489" s="336" t="s">
        <v>278</v>
      </c>
      <c r="C1489" s="479">
        <f>1</f>
        <v>1</v>
      </c>
      <c r="D1489" s="480" t="s">
        <v>87</v>
      </c>
      <c r="E1489" s="481">
        <v>1</v>
      </c>
      <c r="F1489" s="482">
        <f>F51</f>
        <v>8</v>
      </c>
      <c r="G1489" s="483">
        <f>G51</f>
        <v>0</v>
      </c>
      <c r="H1489" s="484"/>
      <c r="I1489" s="483"/>
      <c r="J1489" s="484">
        <f>J1485</f>
        <v>11</v>
      </c>
      <c r="K1489" s="483">
        <f>K1485</f>
        <v>10</v>
      </c>
      <c r="L1489" s="478"/>
      <c r="M1489" s="485">
        <f t="shared" si="459"/>
        <v>94.666666666666671</v>
      </c>
      <c r="N1489" s="726"/>
      <c r="O1489" s="726"/>
    </row>
    <row r="1490" spans="1:16" s="487" customFormat="1" ht="18" customHeight="1">
      <c r="A1490" s="478"/>
      <c r="B1490" s="336" t="s">
        <v>280</v>
      </c>
      <c r="C1490" s="479">
        <f>1</f>
        <v>1</v>
      </c>
      <c r="D1490" s="480" t="s">
        <v>87</v>
      </c>
      <c r="E1490" s="481">
        <v>2</v>
      </c>
      <c r="F1490" s="482">
        <f>F53</f>
        <v>10</v>
      </c>
      <c r="G1490" s="483">
        <f>G53</f>
        <v>4</v>
      </c>
      <c r="H1490" s="484"/>
      <c r="I1490" s="483"/>
      <c r="J1490" s="484">
        <f t="shared" ref="J1490:K1490" si="462">J1487</f>
        <v>11</v>
      </c>
      <c r="K1490" s="483">
        <f t="shared" si="462"/>
        <v>10</v>
      </c>
      <c r="L1490" s="478"/>
      <c r="M1490" s="485">
        <f t="shared" si="459"/>
        <v>244.55555555555557</v>
      </c>
      <c r="N1490" s="726"/>
      <c r="O1490" s="726"/>
      <c r="P1490" s="487">
        <f>11.92-1-0.5*1.17</f>
        <v>10.335000000000001</v>
      </c>
    </row>
    <row r="1491" spans="1:16" s="487" customFormat="1" ht="18" customHeight="1">
      <c r="A1491" s="478"/>
      <c r="B1491" s="336" t="s">
        <v>281</v>
      </c>
      <c r="C1491" s="479">
        <f>1</f>
        <v>1</v>
      </c>
      <c r="D1491" s="480" t="s">
        <v>87</v>
      </c>
      <c r="E1491" s="481">
        <v>3</v>
      </c>
      <c r="F1491" s="482">
        <f>F54</f>
        <v>10</v>
      </c>
      <c r="G1491" s="483">
        <f>G54</f>
        <v>5</v>
      </c>
      <c r="H1491" s="484"/>
      <c r="I1491" s="483"/>
      <c r="J1491" s="484">
        <f t="shared" ref="J1491:K1491" si="463">J1488</f>
        <v>11</v>
      </c>
      <c r="K1491" s="483">
        <f t="shared" si="463"/>
        <v>10</v>
      </c>
      <c r="L1491" s="478"/>
      <c r="M1491" s="485">
        <f t="shared" si="459"/>
        <v>369.79166666666669</v>
      </c>
      <c r="N1491" s="726"/>
      <c r="O1491" s="726"/>
      <c r="P1491" s="487">
        <f>11.92-1-0.5*1</f>
        <v>10.42</v>
      </c>
    </row>
    <row r="1492" spans="1:16" s="487" customFormat="1" ht="18" customHeight="1">
      <c r="A1492" s="478"/>
      <c r="B1492" s="913" t="s">
        <v>452</v>
      </c>
      <c r="C1492" s="479"/>
      <c r="D1492" s="480"/>
      <c r="E1492" s="481"/>
      <c r="F1492" s="482"/>
      <c r="G1492" s="483"/>
      <c r="H1492" s="484"/>
      <c r="I1492" s="483"/>
      <c r="J1492" s="484"/>
      <c r="K1492" s="483"/>
      <c r="L1492" s="478"/>
      <c r="M1492" s="485"/>
      <c r="N1492" s="726"/>
      <c r="O1492" s="726"/>
    </row>
    <row r="1493" spans="1:16" s="487" customFormat="1" ht="18" customHeight="1">
      <c r="A1493" s="478"/>
      <c r="B1493" s="336" t="s">
        <v>276</v>
      </c>
      <c r="C1493" s="479">
        <f>C41</f>
        <v>1</v>
      </c>
      <c r="D1493" s="480" t="s">
        <v>87</v>
      </c>
      <c r="E1493" s="481">
        <f>E41</f>
        <v>1</v>
      </c>
      <c r="F1493" s="482">
        <f>F41</f>
        <v>11</v>
      </c>
      <c r="G1493" s="483">
        <f>G41</f>
        <v>0</v>
      </c>
      <c r="H1493" s="484"/>
      <c r="I1493" s="483"/>
      <c r="J1493" s="484">
        <v>13</v>
      </c>
      <c r="K1493" s="483">
        <v>0</v>
      </c>
      <c r="L1493" s="478"/>
      <c r="M1493" s="485">
        <f t="shared" ref="M1493:M1494" si="464">IF(C1493=0,1,C1493)*IF(E1493=0,1,E1493)*IF((F1493+G1493/12)=0,1,(F1493+G1493/12))*IF((H1493+I1493/12)=0,1,(H1493+I1493/12))*IF((J1493+K1493/12)=0,1,(J1493+K1493/12))</f>
        <v>143</v>
      </c>
      <c r="N1493" s="726"/>
      <c r="O1493" s="726"/>
    </row>
    <row r="1494" spans="1:16" s="487" customFormat="1" ht="18" customHeight="1">
      <c r="A1494" s="478"/>
      <c r="B1494" s="336" t="s">
        <v>716</v>
      </c>
      <c r="C1494" s="479">
        <f>1</f>
        <v>1</v>
      </c>
      <c r="D1494" s="480" t="s">
        <v>87</v>
      </c>
      <c r="E1494" s="481">
        <v>1</v>
      </c>
      <c r="F1494" s="482">
        <v>13</v>
      </c>
      <c r="G1494" s="483">
        <v>11</v>
      </c>
      <c r="H1494" s="484"/>
      <c r="I1494" s="483"/>
      <c r="J1494" s="484">
        <v>13</v>
      </c>
      <c r="K1494" s="483">
        <f>K1489</f>
        <v>10</v>
      </c>
      <c r="L1494" s="478"/>
      <c r="M1494" s="485">
        <f t="shared" si="464"/>
        <v>192.51388888888889</v>
      </c>
      <c r="N1494" s="726"/>
      <c r="O1494" s="726"/>
    </row>
    <row r="1495" spans="1:16" s="487" customFormat="1" ht="18" customHeight="1">
      <c r="A1495" s="478"/>
      <c r="B1495" s="913" t="s">
        <v>461</v>
      </c>
      <c r="C1495" s="479"/>
      <c r="D1495" s="480"/>
      <c r="E1495" s="481"/>
      <c r="F1495" s="482"/>
      <c r="G1495" s="483"/>
      <c r="H1495" s="484"/>
      <c r="I1495" s="483"/>
      <c r="J1495" s="484"/>
      <c r="K1495" s="483"/>
      <c r="L1495" s="478"/>
      <c r="M1495" s="485"/>
      <c r="N1495" s="726"/>
      <c r="O1495" s="726"/>
    </row>
    <row r="1496" spans="1:16" s="487" customFormat="1" ht="18" customHeight="1">
      <c r="A1496" s="478"/>
      <c r="B1496" s="336" t="s">
        <v>462</v>
      </c>
      <c r="C1496" s="479">
        <v>2</v>
      </c>
      <c r="D1496" s="480" t="s">
        <v>87</v>
      </c>
      <c r="E1496" s="481">
        <v>1</v>
      </c>
      <c r="F1496" s="482">
        <v>27</v>
      </c>
      <c r="G1496" s="483">
        <v>6</v>
      </c>
      <c r="H1496" s="484"/>
      <c r="I1496" s="483"/>
      <c r="J1496" s="484">
        <v>3</v>
      </c>
      <c r="K1496" s="483">
        <v>0</v>
      </c>
      <c r="L1496" s="478"/>
      <c r="M1496" s="485">
        <f t="shared" ref="M1496:M1497" si="465">IF(C1496=0,1,C1496)*IF(E1496=0,1,E1496)*IF((F1496+G1496/12)=0,1,(F1496+G1496/12))*IF((H1496+I1496/12)=0,1,(H1496+I1496/12))*IF((J1496+K1496/12)=0,1,(J1496+K1496/12))</f>
        <v>165</v>
      </c>
      <c r="N1496" s="726"/>
      <c r="O1496" s="726"/>
      <c r="P1496" s="487">
        <f>33.5-6</f>
        <v>27.5</v>
      </c>
    </row>
    <row r="1497" spans="1:16" s="487" customFormat="1" ht="18" customHeight="1">
      <c r="A1497" s="478"/>
      <c r="B1497" s="336" t="s">
        <v>463</v>
      </c>
      <c r="C1497" s="479">
        <v>2</v>
      </c>
      <c r="D1497" s="480" t="s">
        <v>87</v>
      </c>
      <c r="E1497" s="481">
        <v>2</v>
      </c>
      <c r="F1497" s="482">
        <v>4</v>
      </c>
      <c r="G1497" s="483">
        <v>0</v>
      </c>
      <c r="H1497" s="484"/>
      <c r="I1497" s="483"/>
      <c r="J1497" s="484">
        <f>J1496</f>
        <v>3</v>
      </c>
      <c r="K1497" s="483">
        <f>K1496</f>
        <v>0</v>
      </c>
      <c r="L1497" s="478"/>
      <c r="M1497" s="485">
        <f t="shared" si="465"/>
        <v>48</v>
      </c>
      <c r="N1497" s="726"/>
      <c r="O1497" s="726"/>
    </row>
    <row r="1498" spans="1:16" s="487" customFormat="1" ht="18" customHeight="1">
      <c r="A1498" s="478"/>
      <c r="B1498" s="991" t="s">
        <v>174</v>
      </c>
      <c r="C1498" s="479"/>
      <c r="D1498" s="480"/>
      <c r="E1498" s="481"/>
      <c r="F1498" s="482"/>
      <c r="G1498" s="483"/>
      <c r="H1498" s="484"/>
      <c r="I1498" s="483"/>
      <c r="J1498" s="484"/>
      <c r="K1498" s="483"/>
      <c r="L1498" s="478"/>
      <c r="M1498" s="485"/>
      <c r="N1498" s="726"/>
      <c r="O1498" s="726"/>
    </row>
    <row r="1499" spans="1:16" s="487" customFormat="1" ht="18" customHeight="1">
      <c r="A1499" s="478"/>
      <c r="B1499" s="336" t="s">
        <v>414</v>
      </c>
      <c r="C1499" s="479">
        <f t="shared" ref="C1499:C1508" si="466">C374</f>
        <v>1</v>
      </c>
      <c r="D1499" s="480" t="s">
        <v>87</v>
      </c>
      <c r="E1499" s="481">
        <v>1</v>
      </c>
      <c r="F1499" s="482">
        <v>6</v>
      </c>
      <c r="G1499" s="483">
        <v>0</v>
      </c>
      <c r="H1499" s="484"/>
      <c r="I1499" s="483"/>
      <c r="J1499" s="484">
        <v>8</v>
      </c>
      <c r="K1499" s="483">
        <v>0</v>
      </c>
      <c r="L1499" s="485">
        <f>IF(C1499=0,1,C1499)*IF(E1499=0,1,E1499)*IF((F1499+G1499/12)=0,1,(F1499+G1499/12))*IF((H1499+I1499/12)=0,1,(H1499+I1499/12))*IF((J1499+K1499/12)=0,1,(J1499+K1499/12))</f>
        <v>48</v>
      </c>
      <c r="M1499" s="485"/>
      <c r="N1499" s="726"/>
      <c r="O1499" s="726"/>
    </row>
    <row r="1500" spans="1:16" s="487" customFormat="1" ht="18" customHeight="1">
      <c r="A1500" s="478"/>
      <c r="B1500" s="336" t="s">
        <v>415</v>
      </c>
      <c r="C1500" s="479">
        <f t="shared" si="466"/>
        <v>2</v>
      </c>
      <c r="D1500" s="480" t="s">
        <v>87</v>
      </c>
      <c r="E1500" s="481">
        <v>1</v>
      </c>
      <c r="F1500" s="482">
        <v>3</v>
      </c>
      <c r="G1500" s="483">
        <v>3</v>
      </c>
      <c r="H1500" s="484"/>
      <c r="I1500" s="483"/>
      <c r="J1500" s="484">
        <v>7</v>
      </c>
      <c r="K1500" s="483">
        <v>2</v>
      </c>
      <c r="L1500" s="485">
        <f t="shared" ref="L1500:L1508" si="467">IF(C1500=0,1,C1500)*IF(E1500=0,1,E1500)*IF((F1500+G1500/12)=0,1,(F1500+G1500/12))*IF((H1500+I1500/12)=0,1,(H1500+I1500/12))*IF((J1500+K1500/12)=0,1,(J1500+K1500/12))</f>
        <v>46.583333333333336</v>
      </c>
      <c r="M1500" s="485"/>
      <c r="N1500" s="726"/>
      <c r="O1500" s="726"/>
    </row>
    <row r="1501" spans="1:16" s="487" customFormat="1" ht="18" customHeight="1">
      <c r="A1501" s="478"/>
      <c r="B1501" s="336" t="s">
        <v>416</v>
      </c>
      <c r="C1501" s="479">
        <f t="shared" si="466"/>
        <v>2</v>
      </c>
      <c r="D1501" s="480" t="s">
        <v>87</v>
      </c>
      <c r="E1501" s="481">
        <v>1</v>
      </c>
      <c r="F1501" s="482">
        <v>3</v>
      </c>
      <c r="G1501" s="483">
        <v>3</v>
      </c>
      <c r="H1501" s="484"/>
      <c r="I1501" s="483"/>
      <c r="J1501" s="484">
        <v>7</v>
      </c>
      <c r="K1501" s="483">
        <v>2</v>
      </c>
      <c r="L1501" s="485">
        <f t="shared" si="467"/>
        <v>46.583333333333336</v>
      </c>
      <c r="M1501" s="485"/>
      <c r="N1501" s="726"/>
      <c r="O1501" s="726"/>
    </row>
    <row r="1502" spans="1:16" s="487" customFormat="1" ht="18" customHeight="1">
      <c r="A1502" s="478"/>
      <c r="B1502" s="336" t="s">
        <v>417</v>
      </c>
      <c r="C1502" s="479">
        <f t="shared" si="466"/>
        <v>1</v>
      </c>
      <c r="D1502" s="480" t="s">
        <v>87</v>
      </c>
      <c r="E1502" s="481">
        <v>1</v>
      </c>
      <c r="F1502" s="482">
        <v>3</v>
      </c>
      <c r="G1502" s="483">
        <v>3</v>
      </c>
      <c r="H1502" s="484"/>
      <c r="I1502" s="483"/>
      <c r="J1502" s="484">
        <v>7</v>
      </c>
      <c r="K1502" s="483">
        <v>2</v>
      </c>
      <c r="L1502" s="485">
        <f t="shared" si="467"/>
        <v>23.291666666666668</v>
      </c>
      <c r="M1502" s="485"/>
      <c r="N1502" s="726"/>
      <c r="O1502" s="726"/>
    </row>
    <row r="1503" spans="1:16" s="487" customFormat="1" ht="18" customHeight="1">
      <c r="A1503" s="478"/>
      <c r="B1503" s="336" t="s">
        <v>418</v>
      </c>
      <c r="C1503" s="479">
        <f t="shared" si="466"/>
        <v>1</v>
      </c>
      <c r="D1503" s="480" t="s">
        <v>87</v>
      </c>
      <c r="E1503" s="481">
        <v>1</v>
      </c>
      <c r="F1503" s="482">
        <v>2</v>
      </c>
      <c r="G1503" s="483">
        <v>2</v>
      </c>
      <c r="H1503" s="484"/>
      <c r="I1503" s="483"/>
      <c r="J1503" s="484">
        <v>5</v>
      </c>
      <c r="K1503" s="483">
        <v>0</v>
      </c>
      <c r="L1503" s="485">
        <f t="shared" si="467"/>
        <v>10.833333333333332</v>
      </c>
      <c r="M1503" s="485"/>
      <c r="N1503" s="726"/>
      <c r="O1503" s="726"/>
    </row>
    <row r="1504" spans="1:16" s="487" customFormat="1" ht="18" customHeight="1">
      <c r="A1504" s="478"/>
      <c r="B1504" s="336" t="s">
        <v>419</v>
      </c>
      <c r="C1504" s="479">
        <f t="shared" si="466"/>
        <v>5</v>
      </c>
      <c r="D1504" s="480" t="s">
        <v>87</v>
      </c>
      <c r="E1504" s="481">
        <v>1</v>
      </c>
      <c r="F1504" s="482">
        <v>6</v>
      </c>
      <c r="G1504" s="483">
        <v>2</v>
      </c>
      <c r="H1504" s="484"/>
      <c r="I1504" s="483"/>
      <c r="J1504" s="484">
        <v>5</v>
      </c>
      <c r="K1504" s="483">
        <v>0</v>
      </c>
      <c r="L1504" s="485">
        <f t="shared" si="467"/>
        <v>154.16666666666669</v>
      </c>
      <c r="M1504" s="485"/>
      <c r="N1504" s="726"/>
      <c r="O1504" s="726"/>
    </row>
    <row r="1505" spans="1:16" s="487" customFormat="1" ht="18" customHeight="1">
      <c r="A1505" s="478"/>
      <c r="B1505" s="336" t="s">
        <v>420</v>
      </c>
      <c r="C1505" s="479">
        <f t="shared" si="466"/>
        <v>2</v>
      </c>
      <c r="D1505" s="480" t="s">
        <v>87</v>
      </c>
      <c r="E1505" s="481">
        <v>1</v>
      </c>
      <c r="F1505" s="482">
        <v>6</v>
      </c>
      <c r="G1505" s="483">
        <v>0</v>
      </c>
      <c r="H1505" s="484"/>
      <c r="I1505" s="483"/>
      <c r="J1505" s="484">
        <v>6</v>
      </c>
      <c r="K1505" s="483">
        <v>0</v>
      </c>
      <c r="L1505" s="485">
        <f t="shared" si="467"/>
        <v>72</v>
      </c>
      <c r="M1505" s="920"/>
      <c r="N1505" s="726"/>
      <c r="O1505" s="726"/>
    </row>
    <row r="1506" spans="1:16" s="487" customFormat="1" ht="18" customHeight="1">
      <c r="A1506" s="478"/>
      <c r="B1506" s="336" t="s">
        <v>421</v>
      </c>
      <c r="C1506" s="479">
        <f t="shared" si="466"/>
        <v>2</v>
      </c>
      <c r="D1506" s="480" t="s">
        <v>87</v>
      </c>
      <c r="E1506" s="481">
        <v>1</v>
      </c>
      <c r="F1506" s="482">
        <v>2</v>
      </c>
      <c r="G1506" s="483">
        <v>0</v>
      </c>
      <c r="H1506" s="484"/>
      <c r="I1506" s="483"/>
      <c r="J1506" s="484">
        <v>2</v>
      </c>
      <c r="K1506" s="483">
        <v>0</v>
      </c>
      <c r="L1506" s="485">
        <f t="shared" si="467"/>
        <v>8</v>
      </c>
      <c r="M1506" s="920"/>
      <c r="N1506" s="726"/>
      <c r="O1506" s="726"/>
    </row>
    <row r="1507" spans="1:16" s="487" customFormat="1" ht="18" customHeight="1">
      <c r="A1507" s="478"/>
      <c r="B1507" s="336" t="s">
        <v>422</v>
      </c>
      <c r="C1507" s="479">
        <f t="shared" si="466"/>
        <v>1</v>
      </c>
      <c r="D1507" s="480" t="s">
        <v>87</v>
      </c>
      <c r="E1507" s="481">
        <v>1</v>
      </c>
      <c r="F1507" s="482">
        <v>3</v>
      </c>
      <c r="G1507" s="483">
        <v>0</v>
      </c>
      <c r="H1507" s="484"/>
      <c r="I1507" s="483"/>
      <c r="J1507" s="484">
        <v>2</v>
      </c>
      <c r="K1507" s="483">
        <v>0</v>
      </c>
      <c r="L1507" s="485">
        <f t="shared" si="467"/>
        <v>6</v>
      </c>
      <c r="M1507" s="920"/>
      <c r="N1507" s="726"/>
      <c r="O1507" s="726"/>
    </row>
    <row r="1508" spans="1:16" s="487" customFormat="1" ht="18" customHeight="1">
      <c r="A1508" s="478"/>
      <c r="B1508" s="336" t="s">
        <v>423</v>
      </c>
      <c r="C1508" s="479">
        <f t="shared" si="466"/>
        <v>1</v>
      </c>
      <c r="D1508" s="480" t="s">
        <v>87</v>
      </c>
      <c r="E1508" s="481">
        <v>1</v>
      </c>
      <c r="F1508" s="482">
        <v>7</v>
      </c>
      <c r="G1508" s="483">
        <v>0</v>
      </c>
      <c r="H1508" s="484"/>
      <c r="I1508" s="483"/>
      <c r="J1508" s="484">
        <v>2</v>
      </c>
      <c r="K1508" s="483">
        <v>10</v>
      </c>
      <c r="L1508" s="485">
        <f t="shared" si="467"/>
        <v>19.833333333333336</v>
      </c>
      <c r="M1508" s="555"/>
      <c r="N1508" s="726"/>
      <c r="O1508" s="726"/>
    </row>
    <row r="1509" spans="1:16" s="487" customFormat="1" ht="18" customHeight="1">
      <c r="A1509" s="478"/>
      <c r="B1509" s="991"/>
      <c r="C1509" s="479"/>
      <c r="D1509" s="480"/>
      <c r="E1509" s="481"/>
      <c r="F1509" s="482"/>
      <c r="G1509" s="483"/>
      <c r="H1509" s="484"/>
      <c r="I1509" s="483"/>
      <c r="J1509" s="484"/>
      <c r="K1509" s="483"/>
      <c r="L1509" s="499">
        <f>SUM(L1499:L1508)</f>
        <v>435.29166666666669</v>
      </c>
      <c r="M1509" s="499">
        <f>SUM(M1481:M1508)</f>
        <v>3055.6111111111109</v>
      </c>
      <c r="N1509" s="726"/>
      <c r="O1509" s="726"/>
    </row>
    <row r="1510" spans="1:16" s="487" customFormat="1" ht="18" customHeight="1">
      <c r="A1510" s="478"/>
      <c r="B1510" s="991"/>
      <c r="C1510" s="479"/>
      <c r="D1510" s="480"/>
      <c r="E1510" s="481"/>
      <c r="F1510" s="482"/>
      <c r="G1510" s="483"/>
      <c r="H1510" s="484"/>
      <c r="I1510" s="483"/>
      <c r="J1510" s="484"/>
      <c r="K1510" s="483"/>
      <c r="L1510" s="485"/>
      <c r="M1510" s="485"/>
      <c r="N1510" s="871">
        <f>M1509-L1509</f>
        <v>2620.3194444444443</v>
      </c>
      <c r="O1510" s="872" t="s">
        <v>19</v>
      </c>
    </row>
    <row r="1511" spans="1:16" s="487" customFormat="1" ht="18" customHeight="1">
      <c r="A1511" s="478"/>
      <c r="B1511" s="829" t="s">
        <v>110</v>
      </c>
      <c r="C1511" s="479"/>
      <c r="D1511" s="480"/>
      <c r="E1511" s="481"/>
      <c r="F1511" s="482"/>
      <c r="G1511" s="483"/>
      <c r="H1511" s="484"/>
      <c r="I1511" s="483"/>
      <c r="J1511" s="484"/>
      <c r="K1511" s="483"/>
      <c r="L1511" s="478"/>
      <c r="M1511" s="485"/>
      <c r="N1511" s="726"/>
      <c r="O1511" s="726"/>
    </row>
    <row r="1512" spans="1:16" s="487" customFormat="1" ht="18" customHeight="1">
      <c r="A1512" s="478"/>
      <c r="B1512" s="336" t="s">
        <v>268</v>
      </c>
      <c r="C1512" s="479">
        <v>1</v>
      </c>
      <c r="D1512" s="480" t="s">
        <v>87</v>
      </c>
      <c r="E1512" s="481">
        <f>E1481</f>
        <v>2</v>
      </c>
      <c r="F1512" s="482">
        <f>F155</f>
        <v>16</v>
      </c>
      <c r="G1512" s="483">
        <f>G155</f>
        <v>0</v>
      </c>
      <c r="H1512" s="484"/>
      <c r="I1512" s="483"/>
      <c r="J1512" s="484">
        <v>10</v>
      </c>
      <c r="K1512" s="483">
        <v>8</v>
      </c>
      <c r="L1512" s="478"/>
      <c r="M1512" s="485">
        <f t="shared" ref="M1512:M1523" si="468">IF(C1512=0,1,C1512)*IF(E1512=0,1,E1512)*IF((F1512+G1512/12)=0,1,(F1512+G1512/12))*IF((H1512+I1512/12)=0,1,(H1512+I1512/12))*IF((J1512+K1512/12)=0,1,(J1512+K1512/12))</f>
        <v>341.33333333333331</v>
      </c>
      <c r="N1512" s="726"/>
      <c r="O1512" s="726"/>
      <c r="P1512" s="487">
        <f>12-1.33</f>
        <v>10.67</v>
      </c>
    </row>
    <row r="1513" spans="1:16" s="487" customFormat="1" ht="18" customHeight="1">
      <c r="A1513" s="478"/>
      <c r="B1513" s="336" t="s">
        <v>269</v>
      </c>
      <c r="C1513" s="479">
        <v>1</v>
      </c>
      <c r="D1513" s="480" t="s">
        <v>87</v>
      </c>
      <c r="E1513" s="481">
        <v>1</v>
      </c>
      <c r="F1513" s="482">
        <f t="shared" ref="F1513:G1516" si="469">F1482</f>
        <v>14</v>
      </c>
      <c r="G1513" s="483">
        <f t="shared" si="469"/>
        <v>6</v>
      </c>
      <c r="H1513" s="484"/>
      <c r="I1513" s="483"/>
      <c r="J1513" s="484">
        <f t="shared" ref="J1513:K1515" si="470">J1512</f>
        <v>10</v>
      </c>
      <c r="K1513" s="483">
        <f t="shared" si="470"/>
        <v>8</v>
      </c>
      <c r="L1513" s="478"/>
      <c r="M1513" s="485">
        <f t="shared" si="468"/>
        <v>154.66666666666666</v>
      </c>
      <c r="N1513" s="726"/>
      <c r="O1513" s="726"/>
    </row>
    <row r="1514" spans="1:16" s="487" customFormat="1" ht="18" customHeight="1">
      <c r="A1514" s="478"/>
      <c r="B1514" s="336" t="s">
        <v>451</v>
      </c>
      <c r="C1514" s="479">
        <v>1</v>
      </c>
      <c r="D1514" s="480" t="s">
        <v>87</v>
      </c>
      <c r="E1514" s="481">
        <f>E1483</f>
        <v>2</v>
      </c>
      <c r="F1514" s="482">
        <f t="shared" si="469"/>
        <v>10</v>
      </c>
      <c r="G1514" s="483">
        <f t="shared" si="469"/>
        <v>6</v>
      </c>
      <c r="H1514" s="484"/>
      <c r="I1514" s="483"/>
      <c r="J1514" s="484">
        <f t="shared" si="470"/>
        <v>10</v>
      </c>
      <c r="K1514" s="483">
        <f t="shared" si="470"/>
        <v>8</v>
      </c>
      <c r="L1514" s="478"/>
      <c r="M1514" s="485">
        <f t="shared" si="468"/>
        <v>224</v>
      </c>
      <c r="N1514" s="726"/>
      <c r="O1514" s="726"/>
    </row>
    <row r="1515" spans="1:16" s="487" customFormat="1" ht="18" customHeight="1">
      <c r="A1515" s="478"/>
      <c r="B1515" s="336" t="s">
        <v>271</v>
      </c>
      <c r="C1515" s="479">
        <v>1</v>
      </c>
      <c r="D1515" s="480" t="s">
        <v>87</v>
      </c>
      <c r="E1515" s="481">
        <f>E1484</f>
        <v>1</v>
      </c>
      <c r="F1515" s="482">
        <f t="shared" si="469"/>
        <v>14</v>
      </c>
      <c r="G1515" s="483">
        <f t="shared" si="469"/>
        <v>5</v>
      </c>
      <c r="H1515" s="484"/>
      <c r="I1515" s="483"/>
      <c r="J1515" s="484">
        <f t="shared" si="470"/>
        <v>10</v>
      </c>
      <c r="K1515" s="483">
        <f t="shared" si="470"/>
        <v>8</v>
      </c>
      <c r="L1515" s="478"/>
      <c r="M1515" s="485">
        <f t="shared" si="468"/>
        <v>153.77777777777777</v>
      </c>
      <c r="N1515" s="726"/>
      <c r="O1515" s="726"/>
    </row>
    <row r="1516" spans="1:16" s="487" customFormat="1" ht="18" customHeight="1">
      <c r="A1516" s="478"/>
      <c r="B1516" s="336" t="s">
        <v>273</v>
      </c>
      <c r="C1516" s="479">
        <v>1</v>
      </c>
      <c r="D1516" s="480" t="s">
        <v>87</v>
      </c>
      <c r="E1516" s="481">
        <f>E1485</f>
        <v>1</v>
      </c>
      <c r="F1516" s="482">
        <f t="shared" si="469"/>
        <v>14</v>
      </c>
      <c r="G1516" s="483">
        <f t="shared" si="469"/>
        <v>0</v>
      </c>
      <c r="H1516" s="484"/>
      <c r="I1516" s="483"/>
      <c r="J1516" s="484">
        <v>10</v>
      </c>
      <c r="K1516" s="483">
        <v>10</v>
      </c>
      <c r="L1516" s="478"/>
      <c r="M1516" s="485">
        <f t="shared" si="468"/>
        <v>151.66666666666669</v>
      </c>
      <c r="N1516" s="726"/>
      <c r="O1516" s="726"/>
    </row>
    <row r="1517" spans="1:16" s="487" customFormat="1" ht="18" customHeight="1">
      <c r="A1517" s="478"/>
      <c r="B1517" s="336" t="s">
        <v>274</v>
      </c>
      <c r="C1517" s="479">
        <v>1</v>
      </c>
      <c r="D1517" s="480" t="s">
        <v>87</v>
      </c>
      <c r="E1517" s="481">
        <f t="shared" ref="E1517:E1519" si="471">E1487</f>
        <v>1</v>
      </c>
      <c r="F1517" s="482">
        <f t="shared" ref="F1517:G1517" si="472">F1487</f>
        <v>14</v>
      </c>
      <c r="G1517" s="483">
        <f t="shared" si="472"/>
        <v>1</v>
      </c>
      <c r="H1517" s="484"/>
      <c r="I1517" s="483"/>
      <c r="J1517" s="484">
        <f t="shared" ref="J1517:K1521" si="473">J1516</f>
        <v>10</v>
      </c>
      <c r="K1517" s="483">
        <f t="shared" si="473"/>
        <v>10</v>
      </c>
      <c r="L1517" s="478"/>
      <c r="M1517" s="485">
        <f t="shared" si="468"/>
        <v>152.56944444444446</v>
      </c>
      <c r="N1517" s="726"/>
      <c r="O1517" s="726"/>
    </row>
    <row r="1518" spans="1:16" s="487" customFormat="1" ht="18" customHeight="1">
      <c r="A1518" s="478"/>
      <c r="B1518" s="336" t="s">
        <v>277</v>
      </c>
      <c r="C1518" s="479">
        <v>1</v>
      </c>
      <c r="D1518" s="480" t="s">
        <v>87</v>
      </c>
      <c r="E1518" s="481">
        <f t="shared" si="471"/>
        <v>2</v>
      </c>
      <c r="F1518" s="482">
        <v>7</v>
      </c>
      <c r="G1518" s="483">
        <v>11</v>
      </c>
      <c r="H1518" s="484"/>
      <c r="I1518" s="483"/>
      <c r="J1518" s="484">
        <f t="shared" si="473"/>
        <v>10</v>
      </c>
      <c r="K1518" s="483">
        <f t="shared" si="473"/>
        <v>10</v>
      </c>
      <c r="L1518" s="478"/>
      <c r="M1518" s="485">
        <f t="shared" si="468"/>
        <v>171.5277777777778</v>
      </c>
      <c r="N1518" s="726"/>
      <c r="O1518" s="726"/>
    </row>
    <row r="1519" spans="1:16" s="487" customFormat="1" ht="18" customHeight="1">
      <c r="A1519" s="478"/>
      <c r="B1519" s="336" t="s">
        <v>278</v>
      </c>
      <c r="C1519" s="479">
        <v>1</v>
      </c>
      <c r="D1519" s="480" t="s">
        <v>87</v>
      </c>
      <c r="E1519" s="481">
        <f t="shared" si="471"/>
        <v>1</v>
      </c>
      <c r="F1519" s="482">
        <f t="shared" ref="F1519:G1521" si="474">F1489</f>
        <v>8</v>
      </c>
      <c r="G1519" s="483">
        <f t="shared" si="474"/>
        <v>0</v>
      </c>
      <c r="H1519" s="484"/>
      <c r="I1519" s="483"/>
      <c r="J1519" s="484">
        <f t="shared" si="473"/>
        <v>10</v>
      </c>
      <c r="K1519" s="483">
        <f t="shared" si="473"/>
        <v>10</v>
      </c>
      <c r="L1519" s="478"/>
      <c r="M1519" s="485">
        <f t="shared" si="468"/>
        <v>86.666666666666671</v>
      </c>
      <c r="N1519" s="726"/>
      <c r="O1519" s="726"/>
    </row>
    <row r="1520" spans="1:16" s="487" customFormat="1" ht="18" customHeight="1">
      <c r="A1520" s="478"/>
      <c r="B1520" s="336" t="s">
        <v>453</v>
      </c>
      <c r="C1520" s="479">
        <v>1</v>
      </c>
      <c r="D1520" s="480" t="s">
        <v>87</v>
      </c>
      <c r="E1520" s="481">
        <v>1</v>
      </c>
      <c r="F1520" s="482">
        <f t="shared" si="474"/>
        <v>10</v>
      </c>
      <c r="G1520" s="483">
        <f t="shared" si="474"/>
        <v>4</v>
      </c>
      <c r="H1520" s="484"/>
      <c r="I1520" s="483"/>
      <c r="J1520" s="484">
        <f t="shared" si="473"/>
        <v>10</v>
      </c>
      <c r="K1520" s="483">
        <f t="shared" si="473"/>
        <v>10</v>
      </c>
      <c r="L1520" s="478"/>
      <c r="M1520" s="485">
        <f t="shared" si="468"/>
        <v>111.94444444444446</v>
      </c>
      <c r="N1520" s="726"/>
      <c r="O1520" s="726"/>
    </row>
    <row r="1521" spans="1:16" s="487" customFormat="1" ht="18" customHeight="1">
      <c r="A1521" s="478"/>
      <c r="B1521" s="336" t="s">
        <v>281</v>
      </c>
      <c r="C1521" s="479">
        <v>1</v>
      </c>
      <c r="D1521" s="480" t="s">
        <v>87</v>
      </c>
      <c r="E1521" s="481">
        <f>E1491</f>
        <v>3</v>
      </c>
      <c r="F1521" s="482">
        <f t="shared" si="474"/>
        <v>10</v>
      </c>
      <c r="G1521" s="483">
        <f t="shared" si="474"/>
        <v>5</v>
      </c>
      <c r="H1521" s="484"/>
      <c r="I1521" s="483"/>
      <c r="J1521" s="484">
        <f t="shared" si="473"/>
        <v>10</v>
      </c>
      <c r="K1521" s="483">
        <f t="shared" si="473"/>
        <v>10</v>
      </c>
      <c r="L1521" s="478"/>
      <c r="M1521" s="485">
        <f t="shared" si="468"/>
        <v>338.54166666666669</v>
      </c>
      <c r="N1521" s="726"/>
      <c r="O1521" s="726"/>
    </row>
    <row r="1522" spans="1:16" s="487" customFormat="1" ht="18" customHeight="1">
      <c r="A1522" s="478"/>
      <c r="B1522" s="336" t="s">
        <v>454</v>
      </c>
      <c r="C1522" s="479">
        <v>1</v>
      </c>
      <c r="D1522" s="480" t="s">
        <v>87</v>
      </c>
      <c r="E1522" s="481">
        <v>1</v>
      </c>
      <c r="F1522" s="482">
        <v>16</v>
      </c>
      <c r="G1522" s="483">
        <f>G1492</f>
        <v>0</v>
      </c>
      <c r="H1522" s="484"/>
      <c r="I1522" s="483"/>
      <c r="J1522" s="484">
        <f t="shared" ref="J1522:J1523" si="475">J1521</f>
        <v>10</v>
      </c>
      <c r="K1522" s="483">
        <f t="shared" ref="K1522:K1523" si="476">K1521</f>
        <v>10</v>
      </c>
      <c r="L1522" s="478"/>
      <c r="M1522" s="485">
        <f t="shared" si="468"/>
        <v>173.33333333333334</v>
      </c>
      <c r="N1522" s="726"/>
      <c r="O1522" s="726"/>
      <c r="P1522" s="487">
        <f>12-1.17</f>
        <v>10.83</v>
      </c>
    </row>
    <row r="1523" spans="1:16" s="487" customFormat="1" ht="18" customHeight="1">
      <c r="A1523" s="478"/>
      <c r="B1523" s="336" t="s">
        <v>455</v>
      </c>
      <c r="C1523" s="479">
        <v>1</v>
      </c>
      <c r="D1523" s="480" t="s">
        <v>87</v>
      </c>
      <c r="E1523" s="481">
        <v>2</v>
      </c>
      <c r="F1523" s="482">
        <v>4</v>
      </c>
      <c r="G1523" s="483">
        <v>0</v>
      </c>
      <c r="H1523" s="484"/>
      <c r="I1523" s="483"/>
      <c r="J1523" s="484">
        <f t="shared" si="475"/>
        <v>10</v>
      </c>
      <c r="K1523" s="483">
        <f t="shared" si="476"/>
        <v>10</v>
      </c>
      <c r="L1523" s="478"/>
      <c r="M1523" s="485">
        <f t="shared" si="468"/>
        <v>86.666666666666671</v>
      </c>
      <c r="N1523" s="726"/>
      <c r="O1523" s="726"/>
    </row>
    <row r="1524" spans="1:16" s="487" customFormat="1" ht="18" customHeight="1">
      <c r="A1524" s="478"/>
      <c r="B1524" s="992" t="s">
        <v>452</v>
      </c>
      <c r="C1524" s="479"/>
      <c r="D1524" s="480"/>
      <c r="E1524" s="481"/>
      <c r="F1524" s="482"/>
      <c r="G1524" s="483"/>
      <c r="H1524" s="484"/>
      <c r="I1524" s="483"/>
      <c r="J1524" s="484"/>
      <c r="K1524" s="483"/>
      <c r="L1524" s="478"/>
      <c r="M1524" s="485"/>
      <c r="N1524" s="726"/>
      <c r="O1524" s="726"/>
    </row>
    <row r="1525" spans="1:16" s="487" customFormat="1" ht="18" customHeight="1">
      <c r="A1525" s="478"/>
      <c r="B1525" s="336" t="s">
        <v>718</v>
      </c>
      <c r="C1525" s="479">
        <v>1</v>
      </c>
      <c r="D1525" s="480" t="s">
        <v>87</v>
      </c>
      <c r="E1525" s="481">
        <v>2</v>
      </c>
      <c r="F1525" s="482">
        <f>14</f>
        <v>14</v>
      </c>
      <c r="G1525" s="483">
        <v>4</v>
      </c>
      <c r="H1525" s="484"/>
      <c r="I1525" s="483"/>
      <c r="J1525" s="484">
        <f>12</f>
        <v>12</v>
      </c>
      <c r="K1525" s="483">
        <v>0</v>
      </c>
      <c r="L1525" s="478"/>
      <c r="M1525" s="485">
        <f t="shared" ref="M1525:M1526" si="477">IF(C1525=0,1,C1525)*IF(E1525=0,1,E1525)*IF((F1525+G1525/12)=0,1,(F1525+G1525/12))*IF((H1525+I1525/12)=0,1,(H1525+I1525/12))*IF((J1525+K1525/12)=0,1,(J1525+K1525/12))</f>
        <v>344</v>
      </c>
      <c r="N1525" s="726"/>
      <c r="O1525" s="726"/>
    </row>
    <row r="1526" spans="1:16" s="487" customFormat="1" ht="18" customHeight="1">
      <c r="A1526" s="478"/>
      <c r="B1526" s="336" t="s">
        <v>456</v>
      </c>
      <c r="C1526" s="479">
        <v>1</v>
      </c>
      <c r="D1526" s="480" t="s">
        <v>87</v>
      </c>
      <c r="E1526" s="481">
        <v>1</v>
      </c>
      <c r="F1526" s="482">
        <v>10</v>
      </c>
      <c r="G1526" s="483">
        <v>6</v>
      </c>
      <c r="H1526" s="484"/>
      <c r="I1526" s="483"/>
      <c r="J1526" s="484">
        <f>J1525</f>
        <v>12</v>
      </c>
      <c r="K1526" s="483">
        <f>K1525</f>
        <v>0</v>
      </c>
      <c r="L1526" s="478"/>
      <c r="M1526" s="485">
        <f t="shared" si="477"/>
        <v>126</v>
      </c>
      <c r="N1526" s="726"/>
      <c r="O1526" s="726"/>
    </row>
    <row r="1527" spans="1:16" s="487" customFormat="1" ht="18" customHeight="1">
      <c r="A1527" s="478"/>
      <c r="B1527" s="991" t="s">
        <v>174</v>
      </c>
      <c r="C1527" s="479"/>
      <c r="D1527" s="480"/>
      <c r="E1527" s="481"/>
      <c r="F1527" s="482"/>
      <c r="G1527" s="483"/>
      <c r="H1527" s="484"/>
      <c r="I1527" s="483"/>
      <c r="J1527" s="484"/>
      <c r="K1527" s="483"/>
      <c r="L1527" s="478"/>
      <c r="M1527" s="485"/>
      <c r="N1527" s="726"/>
      <c r="O1527" s="726"/>
    </row>
    <row r="1528" spans="1:16" s="487" customFormat="1" ht="18" customHeight="1">
      <c r="A1528" s="478"/>
      <c r="B1528" s="336" t="s">
        <v>415</v>
      </c>
      <c r="C1528" s="479">
        <f t="shared" ref="C1528:C1537" si="478">C385</f>
        <v>3</v>
      </c>
      <c r="D1528" s="480" t="s">
        <v>87</v>
      </c>
      <c r="E1528" s="481">
        <v>1</v>
      </c>
      <c r="F1528" s="482">
        <v>3</v>
      </c>
      <c r="G1528" s="483">
        <v>3</v>
      </c>
      <c r="H1528" s="484"/>
      <c r="I1528" s="483"/>
      <c r="J1528" s="484">
        <v>7</v>
      </c>
      <c r="K1528" s="483">
        <v>2</v>
      </c>
      <c r="L1528" s="485">
        <f t="shared" ref="L1528:L1537" si="479">IF(C1528=0,1,C1528)*IF(E1528=0,1,E1528)*IF((F1528+G1528/12)=0,1,(F1528+G1528/12))*IF((H1528+I1528/12)=0,1,(H1528+I1528/12))*IF((J1528+K1528/12)=0,1,(J1528+K1528/12))</f>
        <v>69.875</v>
      </c>
      <c r="M1528" s="485"/>
      <c r="N1528" s="726"/>
      <c r="O1528" s="726"/>
    </row>
    <row r="1529" spans="1:16" s="487" customFormat="1" ht="18" customHeight="1">
      <c r="A1529" s="478"/>
      <c r="B1529" s="336" t="s">
        <v>416</v>
      </c>
      <c r="C1529" s="479">
        <f t="shared" si="478"/>
        <v>2</v>
      </c>
      <c r="D1529" s="480" t="s">
        <v>87</v>
      </c>
      <c r="E1529" s="481">
        <v>1</v>
      </c>
      <c r="F1529" s="482">
        <v>3</v>
      </c>
      <c r="G1529" s="483">
        <v>3</v>
      </c>
      <c r="H1529" s="484"/>
      <c r="I1529" s="483"/>
      <c r="J1529" s="484">
        <v>7</v>
      </c>
      <c r="K1529" s="483">
        <v>2</v>
      </c>
      <c r="L1529" s="485">
        <f t="shared" si="479"/>
        <v>46.583333333333336</v>
      </c>
      <c r="M1529" s="485"/>
      <c r="N1529" s="726"/>
      <c r="O1529" s="726"/>
    </row>
    <row r="1530" spans="1:16" s="487" customFormat="1" ht="18" customHeight="1">
      <c r="A1530" s="478"/>
      <c r="B1530" s="336" t="s">
        <v>424</v>
      </c>
      <c r="C1530" s="479">
        <f t="shared" si="478"/>
        <v>1</v>
      </c>
      <c r="D1530" s="480" t="s">
        <v>87</v>
      </c>
      <c r="E1530" s="481">
        <v>1</v>
      </c>
      <c r="F1530" s="482">
        <v>7</v>
      </c>
      <c r="G1530" s="483">
        <v>6</v>
      </c>
      <c r="H1530" s="484"/>
      <c r="I1530" s="483"/>
      <c r="J1530" s="484">
        <v>9</v>
      </c>
      <c r="K1530" s="483">
        <v>6</v>
      </c>
      <c r="L1530" s="485">
        <f t="shared" si="479"/>
        <v>71.25</v>
      </c>
      <c r="M1530" s="485"/>
      <c r="N1530" s="726"/>
      <c r="O1530" s="726"/>
    </row>
    <row r="1531" spans="1:16" s="487" customFormat="1" ht="18" customHeight="1">
      <c r="A1531" s="478"/>
      <c r="B1531" s="336" t="s">
        <v>418</v>
      </c>
      <c r="C1531" s="479">
        <f t="shared" si="478"/>
        <v>1</v>
      </c>
      <c r="D1531" s="480" t="s">
        <v>87</v>
      </c>
      <c r="E1531" s="481">
        <v>1</v>
      </c>
      <c r="F1531" s="482">
        <v>2</v>
      </c>
      <c r="G1531" s="483">
        <v>2</v>
      </c>
      <c r="H1531" s="484"/>
      <c r="I1531" s="483"/>
      <c r="J1531" s="484">
        <v>5</v>
      </c>
      <c r="K1531" s="483">
        <v>0</v>
      </c>
      <c r="L1531" s="485">
        <f t="shared" si="479"/>
        <v>10.833333333333332</v>
      </c>
      <c r="M1531" s="485"/>
      <c r="N1531" s="726"/>
      <c r="O1531" s="726"/>
    </row>
    <row r="1532" spans="1:16" s="487" customFormat="1" ht="18" customHeight="1">
      <c r="A1532" s="478"/>
      <c r="B1532" s="336" t="s">
        <v>426</v>
      </c>
      <c r="C1532" s="479">
        <f t="shared" si="478"/>
        <v>1</v>
      </c>
      <c r="D1532" s="480" t="s">
        <v>87</v>
      </c>
      <c r="E1532" s="481">
        <v>1</v>
      </c>
      <c r="F1532" s="482">
        <v>4</v>
      </c>
      <c r="G1532" s="483">
        <v>2</v>
      </c>
      <c r="H1532" s="484"/>
      <c r="I1532" s="483"/>
      <c r="J1532" s="484">
        <v>5</v>
      </c>
      <c r="K1532" s="483">
        <v>0</v>
      </c>
      <c r="L1532" s="485">
        <f t="shared" si="479"/>
        <v>20.833333333333336</v>
      </c>
      <c r="M1532" s="485"/>
      <c r="N1532" s="726"/>
      <c r="O1532" s="726"/>
    </row>
    <row r="1533" spans="1:16" s="487" customFormat="1" ht="18" customHeight="1">
      <c r="A1533" s="478"/>
      <c r="B1533" s="336" t="s">
        <v>419</v>
      </c>
      <c r="C1533" s="479">
        <f t="shared" si="478"/>
        <v>4</v>
      </c>
      <c r="D1533" s="480" t="s">
        <v>87</v>
      </c>
      <c r="E1533" s="481">
        <v>1</v>
      </c>
      <c r="F1533" s="482">
        <v>6</v>
      </c>
      <c r="G1533" s="483">
        <v>2</v>
      </c>
      <c r="H1533" s="484"/>
      <c r="I1533" s="483"/>
      <c r="J1533" s="484">
        <v>5</v>
      </c>
      <c r="K1533" s="483">
        <v>0</v>
      </c>
      <c r="L1533" s="485">
        <f t="shared" si="479"/>
        <v>123.33333333333334</v>
      </c>
      <c r="M1533" s="485"/>
      <c r="N1533" s="726"/>
      <c r="O1533" s="726"/>
    </row>
    <row r="1534" spans="1:16" s="487" customFormat="1" ht="18" customHeight="1">
      <c r="A1534" s="478"/>
      <c r="B1534" s="336" t="s">
        <v>420</v>
      </c>
      <c r="C1534" s="479">
        <f t="shared" si="478"/>
        <v>1</v>
      </c>
      <c r="D1534" s="480" t="s">
        <v>87</v>
      </c>
      <c r="E1534" s="481">
        <v>1</v>
      </c>
      <c r="F1534" s="482">
        <v>6</v>
      </c>
      <c r="G1534" s="483">
        <v>0</v>
      </c>
      <c r="H1534" s="484"/>
      <c r="I1534" s="483"/>
      <c r="J1534" s="484">
        <v>6</v>
      </c>
      <c r="K1534" s="483">
        <v>0</v>
      </c>
      <c r="L1534" s="485">
        <f t="shared" si="479"/>
        <v>36</v>
      </c>
      <c r="M1534" s="485"/>
      <c r="N1534" s="726"/>
      <c r="O1534" s="726"/>
    </row>
    <row r="1535" spans="1:16" s="487" customFormat="1" ht="18" customHeight="1">
      <c r="A1535" s="478"/>
      <c r="B1535" s="336" t="s">
        <v>422</v>
      </c>
      <c r="C1535" s="479">
        <f t="shared" si="478"/>
        <v>2</v>
      </c>
      <c r="D1535" s="480" t="s">
        <v>87</v>
      </c>
      <c r="E1535" s="481">
        <v>1</v>
      </c>
      <c r="F1535" s="482">
        <v>3</v>
      </c>
      <c r="G1535" s="483">
        <v>0</v>
      </c>
      <c r="H1535" s="484"/>
      <c r="I1535" s="483"/>
      <c r="J1535" s="484">
        <v>2</v>
      </c>
      <c r="K1535" s="483">
        <v>0</v>
      </c>
      <c r="L1535" s="485">
        <f t="shared" si="479"/>
        <v>12</v>
      </c>
      <c r="M1535" s="920"/>
      <c r="N1535" s="726"/>
      <c r="O1535" s="726"/>
    </row>
    <row r="1536" spans="1:16" s="487" customFormat="1" ht="18" customHeight="1">
      <c r="A1536" s="478"/>
      <c r="B1536" s="336" t="s">
        <v>425</v>
      </c>
      <c r="C1536" s="479">
        <f t="shared" si="478"/>
        <v>2</v>
      </c>
      <c r="D1536" s="480" t="s">
        <v>87</v>
      </c>
      <c r="E1536" s="481">
        <v>1</v>
      </c>
      <c r="F1536" s="482">
        <v>2</v>
      </c>
      <c r="G1536" s="483">
        <v>0</v>
      </c>
      <c r="H1536" s="484"/>
      <c r="I1536" s="483"/>
      <c r="J1536" s="484">
        <v>7</v>
      </c>
      <c r="K1536" s="483">
        <v>0</v>
      </c>
      <c r="L1536" s="485">
        <f t="shared" si="479"/>
        <v>28</v>
      </c>
      <c r="M1536" s="920"/>
      <c r="N1536" s="726"/>
      <c r="O1536" s="726"/>
    </row>
    <row r="1537" spans="1:16" s="487" customFormat="1" ht="18" customHeight="1">
      <c r="A1537" s="478"/>
      <c r="B1537" s="336" t="s">
        <v>423</v>
      </c>
      <c r="C1537" s="479">
        <f t="shared" si="478"/>
        <v>2</v>
      </c>
      <c r="D1537" s="480" t="s">
        <v>87</v>
      </c>
      <c r="E1537" s="481">
        <v>1</v>
      </c>
      <c r="F1537" s="482">
        <v>7</v>
      </c>
      <c r="G1537" s="483">
        <v>0</v>
      </c>
      <c r="H1537" s="484"/>
      <c r="I1537" s="483"/>
      <c r="J1537" s="484">
        <v>2</v>
      </c>
      <c r="K1537" s="483">
        <v>10</v>
      </c>
      <c r="L1537" s="485">
        <f t="shared" si="479"/>
        <v>39.666666666666671</v>
      </c>
      <c r="M1537" s="555"/>
      <c r="N1537" s="726"/>
      <c r="O1537" s="726"/>
    </row>
    <row r="1538" spans="1:16" s="487" customFormat="1" ht="18" customHeight="1">
      <c r="A1538" s="478"/>
      <c r="B1538" s="991"/>
      <c r="C1538" s="479"/>
      <c r="D1538" s="480"/>
      <c r="E1538" s="481"/>
      <c r="F1538" s="482"/>
      <c r="G1538" s="483"/>
      <c r="H1538" s="484"/>
      <c r="I1538" s="483"/>
      <c r="J1538" s="484"/>
      <c r="K1538" s="483"/>
      <c r="L1538" s="743">
        <f>SUM(L1527:L1537)</f>
        <v>458.37500000000006</v>
      </c>
      <c r="M1538" s="499">
        <f>SUM(M1512:M1537)</f>
        <v>2616.6944444444448</v>
      </c>
      <c r="N1538" s="726"/>
      <c r="O1538" s="726"/>
    </row>
    <row r="1539" spans="1:16" s="487" customFormat="1" ht="18" customHeight="1">
      <c r="A1539" s="478"/>
      <c r="B1539" s="991"/>
      <c r="C1539" s="479"/>
      <c r="D1539" s="480"/>
      <c r="E1539" s="481"/>
      <c r="F1539" s="482"/>
      <c r="G1539" s="483"/>
      <c r="H1539" s="484"/>
      <c r="I1539" s="483"/>
      <c r="J1539" s="484"/>
      <c r="K1539" s="483"/>
      <c r="L1539" s="478"/>
      <c r="M1539" s="485"/>
      <c r="N1539" s="871">
        <f>M1538-L1538</f>
        <v>2158.3194444444448</v>
      </c>
      <c r="O1539" s="872" t="s">
        <v>19</v>
      </c>
    </row>
    <row r="1540" spans="1:16" s="487" customFormat="1" ht="18" customHeight="1">
      <c r="A1540" s="478"/>
      <c r="B1540" s="829" t="s">
        <v>457</v>
      </c>
      <c r="C1540" s="479"/>
      <c r="D1540" s="480"/>
      <c r="E1540" s="481"/>
      <c r="F1540" s="482"/>
      <c r="G1540" s="483"/>
      <c r="H1540" s="484"/>
      <c r="I1540" s="483"/>
      <c r="J1540" s="484"/>
      <c r="K1540" s="483"/>
      <c r="L1540" s="478"/>
      <c r="M1540" s="485"/>
      <c r="N1540" s="726"/>
      <c r="O1540" s="726"/>
    </row>
    <row r="1541" spans="1:16" s="487" customFormat="1" ht="18" customHeight="1">
      <c r="A1541" s="478"/>
      <c r="B1541" s="336" t="s">
        <v>264</v>
      </c>
      <c r="C1541" s="479">
        <v>1</v>
      </c>
      <c r="D1541" s="480" t="s">
        <v>87</v>
      </c>
      <c r="E1541" s="481">
        <v>1</v>
      </c>
      <c r="F1541" s="482">
        <f>F206</f>
        <v>16</v>
      </c>
      <c r="G1541" s="483">
        <f>G206</f>
        <v>0</v>
      </c>
      <c r="H1541" s="484"/>
      <c r="I1541" s="483"/>
      <c r="J1541" s="484">
        <v>9</v>
      </c>
      <c r="K1541" s="483">
        <v>8</v>
      </c>
      <c r="L1541" s="478"/>
      <c r="M1541" s="485">
        <f t="shared" ref="M1541:M1550" si="480">IF(C1541=0,1,C1541)*IF(E1541=0,1,E1541)*IF((F1541+G1541/12)=0,1,(F1541+G1541/12))*IF((H1541+I1541/12)=0,1,(H1541+I1541/12))*IF((J1541+K1541/12)=0,1,(J1541+K1541/12))</f>
        <v>154.66666666666666</v>
      </c>
      <c r="N1541" s="726"/>
      <c r="O1541" s="726"/>
      <c r="P1541" s="487">
        <f>11-1.33</f>
        <v>9.67</v>
      </c>
    </row>
    <row r="1542" spans="1:16" s="487" customFormat="1" ht="18" customHeight="1">
      <c r="A1542" s="478"/>
      <c r="B1542" s="336" t="s">
        <v>323</v>
      </c>
      <c r="C1542" s="479">
        <v>1</v>
      </c>
      <c r="D1542" s="480" t="s">
        <v>87</v>
      </c>
      <c r="E1542" s="481">
        <v>1</v>
      </c>
      <c r="F1542" s="482">
        <f>F1541</f>
        <v>16</v>
      </c>
      <c r="G1542" s="483">
        <f>G1541</f>
        <v>0</v>
      </c>
      <c r="H1542" s="484"/>
      <c r="I1542" s="483"/>
      <c r="J1542" s="484">
        <v>9</v>
      </c>
      <c r="K1542" s="483">
        <v>6</v>
      </c>
      <c r="L1542" s="478"/>
      <c r="M1542" s="485">
        <f t="shared" si="480"/>
        <v>152</v>
      </c>
      <c r="N1542" s="726"/>
      <c r="O1542" s="726"/>
    </row>
    <row r="1543" spans="1:16" s="487" customFormat="1" ht="18" customHeight="1">
      <c r="A1543" s="478"/>
      <c r="B1543" s="336" t="s">
        <v>302</v>
      </c>
      <c r="C1543" s="479">
        <v>1</v>
      </c>
      <c r="D1543" s="480" t="s">
        <v>87</v>
      </c>
      <c r="E1543" s="481">
        <v>1</v>
      </c>
      <c r="F1543" s="482">
        <f>F1542</f>
        <v>16</v>
      </c>
      <c r="G1543" s="483">
        <f>G1542</f>
        <v>0</v>
      </c>
      <c r="H1543" s="484"/>
      <c r="I1543" s="483"/>
      <c r="J1543" s="484">
        <v>9</v>
      </c>
      <c r="K1543" s="483">
        <v>10</v>
      </c>
      <c r="L1543" s="478"/>
      <c r="M1543" s="485">
        <f t="shared" si="480"/>
        <v>157.33333333333334</v>
      </c>
      <c r="N1543" s="726"/>
      <c r="O1543" s="726"/>
    </row>
    <row r="1544" spans="1:16" s="487" customFormat="1" ht="18" customHeight="1">
      <c r="A1544" s="478"/>
      <c r="B1544" s="336" t="s">
        <v>265</v>
      </c>
      <c r="C1544" s="479">
        <v>1</v>
      </c>
      <c r="D1544" s="480" t="s">
        <v>87</v>
      </c>
      <c r="E1544" s="481">
        <v>1</v>
      </c>
      <c r="F1544" s="482">
        <f>F208</f>
        <v>14</v>
      </c>
      <c r="G1544" s="483">
        <f>G208</f>
        <v>6</v>
      </c>
      <c r="H1544" s="484"/>
      <c r="I1544" s="483"/>
      <c r="J1544" s="484">
        <f>J1541</f>
        <v>9</v>
      </c>
      <c r="K1544" s="483">
        <f>K1541</f>
        <v>8</v>
      </c>
      <c r="L1544" s="478"/>
      <c r="M1544" s="485">
        <f t="shared" si="480"/>
        <v>140.16666666666666</v>
      </c>
      <c r="N1544" s="726"/>
      <c r="O1544" s="726"/>
    </row>
    <row r="1545" spans="1:16" s="487" customFormat="1" ht="18" customHeight="1">
      <c r="A1545" s="478"/>
      <c r="B1545" s="336" t="s">
        <v>458</v>
      </c>
      <c r="C1545" s="479">
        <v>1</v>
      </c>
      <c r="D1545" s="480" t="s">
        <v>87</v>
      </c>
      <c r="E1545" s="481">
        <v>1</v>
      </c>
      <c r="F1545" s="482">
        <v>16</v>
      </c>
      <c r="G1545" s="483">
        <v>0</v>
      </c>
      <c r="H1545" s="484"/>
      <c r="I1545" s="483"/>
      <c r="J1545" s="484">
        <f>J1543</f>
        <v>9</v>
      </c>
      <c r="K1545" s="483">
        <f>K1543</f>
        <v>10</v>
      </c>
      <c r="L1545" s="478"/>
      <c r="M1545" s="485">
        <f t="shared" si="480"/>
        <v>157.33333333333334</v>
      </c>
      <c r="N1545" s="726"/>
      <c r="O1545" s="726"/>
    </row>
    <row r="1546" spans="1:16" s="487" customFormat="1" ht="18" customHeight="1">
      <c r="A1546" s="478"/>
      <c r="B1546" s="336" t="s">
        <v>332</v>
      </c>
      <c r="C1546" s="479">
        <v>1</v>
      </c>
      <c r="D1546" s="480" t="s">
        <v>87</v>
      </c>
      <c r="E1546" s="481">
        <v>1</v>
      </c>
      <c r="F1546" s="482">
        <v>14</v>
      </c>
      <c r="G1546" s="483">
        <v>1</v>
      </c>
      <c r="H1546" s="484"/>
      <c r="I1546" s="483"/>
      <c r="J1546" s="484">
        <f>J1545</f>
        <v>9</v>
      </c>
      <c r="K1546" s="483">
        <f>K1545</f>
        <v>10</v>
      </c>
      <c r="L1546" s="478"/>
      <c r="M1546" s="485">
        <f t="shared" si="480"/>
        <v>138.48611111111111</v>
      </c>
      <c r="N1546" s="726"/>
      <c r="O1546" s="726"/>
    </row>
    <row r="1547" spans="1:16" s="487" customFormat="1" ht="18" customHeight="1">
      <c r="A1547" s="478"/>
      <c r="B1547" s="336" t="s">
        <v>459</v>
      </c>
      <c r="C1547" s="479">
        <v>1</v>
      </c>
      <c r="D1547" s="480" t="s">
        <v>87</v>
      </c>
      <c r="E1547" s="481">
        <v>1</v>
      </c>
      <c r="F1547" s="482">
        <f>F1546</f>
        <v>14</v>
      </c>
      <c r="G1547" s="483">
        <f>G1546</f>
        <v>1</v>
      </c>
      <c r="H1547" s="484"/>
      <c r="I1547" s="483"/>
      <c r="J1547" s="484">
        <f>J1542</f>
        <v>9</v>
      </c>
      <c r="K1547" s="483">
        <f>K1542</f>
        <v>6</v>
      </c>
      <c r="L1547" s="478"/>
      <c r="M1547" s="485">
        <f t="shared" si="480"/>
        <v>133.79166666666669</v>
      </c>
      <c r="N1547" s="726"/>
      <c r="O1547" s="726"/>
    </row>
    <row r="1548" spans="1:16" s="487" customFormat="1" ht="18" customHeight="1">
      <c r="A1548" s="478"/>
      <c r="B1548" s="336" t="s">
        <v>274</v>
      </c>
      <c r="C1548" s="479">
        <v>1</v>
      </c>
      <c r="D1548" s="480" t="s">
        <v>87</v>
      </c>
      <c r="E1548" s="481">
        <v>1</v>
      </c>
      <c r="F1548" s="482">
        <v>9</v>
      </c>
      <c r="G1548" s="483">
        <v>5</v>
      </c>
      <c r="H1548" s="484"/>
      <c r="I1548" s="483"/>
      <c r="J1548" s="484">
        <f>J1543</f>
        <v>9</v>
      </c>
      <c r="K1548" s="483">
        <f>K1543</f>
        <v>10</v>
      </c>
      <c r="L1548" s="478"/>
      <c r="M1548" s="485">
        <f t="shared" ref="M1548" si="481">IF(C1548=0,1,C1548)*IF(E1548=0,1,E1548)*IF((F1548+G1548/12)=0,1,(F1548+G1548/12))*IF((H1548+I1548/12)=0,1,(H1548+I1548/12))*IF((J1548+K1548/12)=0,1,(J1548+K1548/12))</f>
        <v>92.597222222222229</v>
      </c>
      <c r="N1548" s="726"/>
      <c r="O1548" s="726"/>
    </row>
    <row r="1549" spans="1:16" s="487" customFormat="1" ht="18" customHeight="1">
      <c r="A1549" s="478"/>
      <c r="B1549" s="336" t="s">
        <v>334</v>
      </c>
      <c r="C1549" s="479">
        <v>1</v>
      </c>
      <c r="D1549" s="480" t="s">
        <v>87</v>
      </c>
      <c r="E1549" s="481">
        <v>1</v>
      </c>
      <c r="F1549" s="482">
        <v>8</v>
      </c>
      <c r="G1549" s="483">
        <v>0</v>
      </c>
      <c r="H1549" s="484"/>
      <c r="I1549" s="483"/>
      <c r="J1549" s="484">
        <f>J1546</f>
        <v>9</v>
      </c>
      <c r="K1549" s="483">
        <f>K1546</f>
        <v>10</v>
      </c>
      <c r="L1549" s="478"/>
      <c r="M1549" s="485">
        <f t="shared" si="480"/>
        <v>78.666666666666671</v>
      </c>
      <c r="N1549" s="726"/>
      <c r="O1549" s="726"/>
    </row>
    <row r="1550" spans="1:16" s="487" customFormat="1" ht="18" customHeight="1">
      <c r="A1550" s="478"/>
      <c r="B1550" s="336" t="s">
        <v>352</v>
      </c>
      <c r="C1550" s="479">
        <v>1</v>
      </c>
      <c r="D1550" s="480" t="s">
        <v>87</v>
      </c>
      <c r="E1550" s="481">
        <v>1</v>
      </c>
      <c r="F1550" s="482">
        <f>F1549</f>
        <v>8</v>
      </c>
      <c r="G1550" s="483">
        <f>G1549</f>
        <v>0</v>
      </c>
      <c r="H1550" s="484"/>
      <c r="I1550" s="483"/>
      <c r="J1550" s="484">
        <f>J1547</f>
        <v>9</v>
      </c>
      <c r="K1550" s="483">
        <f>K1547</f>
        <v>6</v>
      </c>
      <c r="L1550" s="478"/>
      <c r="M1550" s="485">
        <f t="shared" si="480"/>
        <v>76</v>
      </c>
      <c r="N1550" s="726"/>
      <c r="O1550" s="726"/>
    </row>
    <row r="1551" spans="1:16" s="487" customFormat="1" ht="18" customHeight="1">
      <c r="A1551" s="478"/>
      <c r="B1551" s="992" t="s">
        <v>452</v>
      </c>
      <c r="C1551" s="479"/>
      <c r="D1551" s="480"/>
      <c r="E1551" s="481"/>
      <c r="F1551" s="482"/>
      <c r="G1551" s="483"/>
      <c r="H1551" s="484"/>
      <c r="I1551" s="483"/>
      <c r="J1551" s="484"/>
      <c r="K1551" s="483"/>
      <c r="L1551" s="478"/>
      <c r="M1551" s="485"/>
      <c r="N1551" s="726"/>
      <c r="O1551" s="726"/>
    </row>
    <row r="1552" spans="1:16" s="487" customFormat="1" ht="18" customHeight="1">
      <c r="A1552" s="478"/>
      <c r="B1552" s="336" t="s">
        <v>718</v>
      </c>
      <c r="C1552" s="479">
        <v>1</v>
      </c>
      <c r="D1552" s="480" t="s">
        <v>87</v>
      </c>
      <c r="E1552" s="481">
        <v>1</v>
      </c>
      <c r="F1552" s="482">
        <f>14</f>
        <v>14</v>
      </c>
      <c r="G1552" s="483">
        <v>6</v>
      </c>
      <c r="H1552" s="484"/>
      <c r="I1552" s="483"/>
      <c r="J1552" s="484">
        <v>10</v>
      </c>
      <c r="K1552" s="483">
        <v>2</v>
      </c>
      <c r="L1552" s="478"/>
      <c r="M1552" s="485">
        <f t="shared" ref="M1552" si="482">IF(C1552=0,1,C1552)*IF(E1552=0,1,E1552)*IF((F1552+G1552/12)=0,1,(F1552+G1552/12))*IF((H1552+I1552/12)=0,1,(H1552+I1552/12))*IF((J1552+K1552/12)=0,1,(J1552+K1552/12))</f>
        <v>147.41666666666666</v>
      </c>
      <c r="N1552" s="726"/>
      <c r="O1552" s="726"/>
    </row>
    <row r="1553" spans="1:16" s="487" customFormat="1" ht="18" customHeight="1">
      <c r="A1553" s="478"/>
      <c r="B1553" s="991" t="s">
        <v>174</v>
      </c>
      <c r="C1553" s="479"/>
      <c r="D1553" s="480"/>
      <c r="E1553" s="481"/>
      <c r="F1553" s="482"/>
      <c r="G1553" s="483"/>
      <c r="H1553" s="484"/>
      <c r="I1553" s="483"/>
      <c r="J1553" s="484"/>
      <c r="K1553" s="483"/>
      <c r="L1553" s="920"/>
      <c r="M1553" s="920"/>
      <c r="N1553" s="726"/>
      <c r="O1553" s="726"/>
    </row>
    <row r="1554" spans="1:16" s="487" customFormat="1" ht="18" customHeight="1">
      <c r="A1554" s="478"/>
      <c r="B1554" s="336" t="s">
        <v>415</v>
      </c>
      <c r="C1554" s="479">
        <f t="shared" ref="C1554:C1561" si="483">C396</f>
        <v>2</v>
      </c>
      <c r="D1554" s="480" t="s">
        <v>87</v>
      </c>
      <c r="E1554" s="481">
        <f>1</f>
        <v>1</v>
      </c>
      <c r="F1554" s="482">
        <v>3</v>
      </c>
      <c r="G1554" s="483">
        <v>3</v>
      </c>
      <c r="H1554" s="484"/>
      <c r="I1554" s="483"/>
      <c r="J1554" s="484">
        <v>7</v>
      </c>
      <c r="K1554" s="483">
        <v>2</v>
      </c>
      <c r="L1554" s="485">
        <f t="shared" ref="L1554:L1561" si="484">IF(C1554=0,1,C1554)*IF(E1554=0,1,E1554)*IF((F1554+G1554/12)=0,1,(F1554+G1554/12))*IF((H1554+I1554/12)=0,1,(H1554+I1554/12))*IF((J1554+K1554/12)=0,1,(J1554+K1554/12))</f>
        <v>46.583333333333336</v>
      </c>
      <c r="M1554" s="920"/>
      <c r="N1554" s="726"/>
      <c r="O1554" s="726"/>
    </row>
    <row r="1555" spans="1:16" s="487" customFormat="1" ht="18" customHeight="1">
      <c r="A1555" s="478"/>
      <c r="B1555" s="336" t="s">
        <v>416</v>
      </c>
      <c r="C1555" s="479">
        <f t="shared" si="483"/>
        <v>1</v>
      </c>
      <c r="D1555" s="480" t="s">
        <v>87</v>
      </c>
      <c r="E1555" s="481">
        <f>1</f>
        <v>1</v>
      </c>
      <c r="F1555" s="482">
        <v>3</v>
      </c>
      <c r="G1555" s="483">
        <v>3</v>
      </c>
      <c r="H1555" s="484"/>
      <c r="I1555" s="483"/>
      <c r="J1555" s="484">
        <v>7</v>
      </c>
      <c r="K1555" s="483">
        <v>2</v>
      </c>
      <c r="L1555" s="485">
        <f t="shared" si="484"/>
        <v>23.291666666666668</v>
      </c>
      <c r="M1555" s="920"/>
      <c r="N1555" s="726"/>
      <c r="O1555" s="726"/>
    </row>
    <row r="1556" spans="1:16" s="487" customFormat="1" ht="18" customHeight="1">
      <c r="A1556" s="478"/>
      <c r="B1556" s="336" t="s">
        <v>417</v>
      </c>
      <c r="C1556" s="479">
        <f t="shared" si="483"/>
        <v>1</v>
      </c>
      <c r="D1556" s="480" t="s">
        <v>87</v>
      </c>
      <c r="E1556" s="481">
        <f>1</f>
        <v>1</v>
      </c>
      <c r="F1556" s="482">
        <v>3</v>
      </c>
      <c r="G1556" s="483">
        <v>3</v>
      </c>
      <c r="H1556" s="484"/>
      <c r="I1556" s="483"/>
      <c r="J1556" s="484">
        <v>7</v>
      </c>
      <c r="K1556" s="483">
        <v>2</v>
      </c>
      <c r="L1556" s="485">
        <f t="shared" si="484"/>
        <v>23.291666666666668</v>
      </c>
      <c r="M1556" s="920"/>
      <c r="N1556" s="726"/>
      <c r="O1556" s="726"/>
    </row>
    <row r="1557" spans="1:16" s="487" customFormat="1" ht="18" customHeight="1">
      <c r="A1557" s="478"/>
      <c r="B1557" s="336" t="s">
        <v>418</v>
      </c>
      <c r="C1557" s="479">
        <f t="shared" si="483"/>
        <v>1</v>
      </c>
      <c r="D1557" s="480" t="s">
        <v>87</v>
      </c>
      <c r="E1557" s="481">
        <f>1</f>
        <v>1</v>
      </c>
      <c r="F1557" s="482">
        <v>2</v>
      </c>
      <c r="G1557" s="483">
        <v>2</v>
      </c>
      <c r="H1557" s="484"/>
      <c r="I1557" s="483"/>
      <c r="J1557" s="484">
        <v>5</v>
      </c>
      <c r="K1557" s="483">
        <v>0</v>
      </c>
      <c r="L1557" s="485">
        <f t="shared" si="484"/>
        <v>10.833333333333332</v>
      </c>
      <c r="M1557" s="920"/>
      <c r="N1557" s="726"/>
      <c r="O1557" s="726"/>
    </row>
    <row r="1558" spans="1:16" s="487" customFormat="1" ht="18" customHeight="1">
      <c r="A1558" s="478"/>
      <c r="B1558" s="336" t="s">
        <v>419</v>
      </c>
      <c r="C1558" s="479">
        <f t="shared" si="483"/>
        <v>1</v>
      </c>
      <c r="D1558" s="480" t="s">
        <v>87</v>
      </c>
      <c r="E1558" s="481">
        <f>1</f>
        <v>1</v>
      </c>
      <c r="F1558" s="482">
        <v>6</v>
      </c>
      <c r="G1558" s="483">
        <v>2</v>
      </c>
      <c r="H1558" s="484"/>
      <c r="I1558" s="483"/>
      <c r="J1558" s="484">
        <v>5</v>
      </c>
      <c r="K1558" s="483">
        <v>0</v>
      </c>
      <c r="L1558" s="485">
        <f t="shared" si="484"/>
        <v>30.833333333333336</v>
      </c>
      <c r="M1558" s="920"/>
      <c r="N1558" s="726"/>
      <c r="O1558" s="726"/>
    </row>
    <row r="1559" spans="1:16" s="487" customFormat="1" ht="18" customHeight="1">
      <c r="A1559" s="478"/>
      <c r="B1559" s="336" t="s">
        <v>420</v>
      </c>
      <c r="C1559" s="479">
        <f t="shared" si="483"/>
        <v>1</v>
      </c>
      <c r="D1559" s="480" t="s">
        <v>87</v>
      </c>
      <c r="E1559" s="481">
        <f>1</f>
        <v>1</v>
      </c>
      <c r="F1559" s="482">
        <v>6</v>
      </c>
      <c r="G1559" s="483">
        <v>0</v>
      </c>
      <c r="H1559" s="484"/>
      <c r="I1559" s="483"/>
      <c r="J1559" s="484">
        <v>6</v>
      </c>
      <c r="K1559" s="483">
        <v>0</v>
      </c>
      <c r="L1559" s="485">
        <f t="shared" si="484"/>
        <v>36</v>
      </c>
      <c r="M1559" s="920"/>
      <c r="N1559" s="726"/>
      <c r="O1559" s="726"/>
    </row>
    <row r="1560" spans="1:16" s="487" customFormat="1" ht="18" customHeight="1">
      <c r="A1560" s="478"/>
      <c r="B1560" s="336" t="s">
        <v>422</v>
      </c>
      <c r="C1560" s="479">
        <f t="shared" si="483"/>
        <v>1</v>
      </c>
      <c r="D1560" s="480" t="s">
        <v>87</v>
      </c>
      <c r="E1560" s="481">
        <f>1</f>
        <v>1</v>
      </c>
      <c r="F1560" s="482">
        <v>3</v>
      </c>
      <c r="G1560" s="483">
        <v>0</v>
      </c>
      <c r="H1560" s="484"/>
      <c r="I1560" s="483"/>
      <c r="J1560" s="484">
        <v>2</v>
      </c>
      <c r="K1560" s="483">
        <v>0</v>
      </c>
      <c r="L1560" s="485">
        <f t="shared" ref="L1560" si="485">IF(C1560=0,1,C1560)*IF(E1560=0,1,E1560)*IF((F1560+G1560/12)=0,1,(F1560+G1560/12))*IF((H1560+I1560/12)=0,1,(H1560+I1560/12))*IF((J1560+K1560/12)=0,1,(J1560+K1560/12))</f>
        <v>6</v>
      </c>
      <c r="M1560" s="920"/>
      <c r="N1560" s="726"/>
      <c r="O1560" s="726"/>
    </row>
    <row r="1561" spans="1:16" s="487" customFormat="1" ht="18" customHeight="1">
      <c r="A1561" s="478"/>
      <c r="B1561" s="336" t="s">
        <v>423</v>
      </c>
      <c r="C1561" s="479">
        <f t="shared" si="483"/>
        <v>2</v>
      </c>
      <c r="D1561" s="480" t="s">
        <v>87</v>
      </c>
      <c r="E1561" s="481">
        <f>1</f>
        <v>1</v>
      </c>
      <c r="F1561" s="482">
        <v>7</v>
      </c>
      <c r="G1561" s="483">
        <v>0</v>
      </c>
      <c r="H1561" s="484"/>
      <c r="I1561" s="483"/>
      <c r="J1561" s="484">
        <v>2</v>
      </c>
      <c r="K1561" s="483">
        <v>10</v>
      </c>
      <c r="L1561" s="485">
        <f t="shared" si="484"/>
        <v>39.666666666666671</v>
      </c>
      <c r="M1561" s="555"/>
      <c r="N1561" s="726"/>
      <c r="O1561" s="726"/>
    </row>
    <row r="1562" spans="1:16" s="487" customFormat="1" ht="18" customHeight="1">
      <c r="A1562" s="478"/>
      <c r="B1562" s="336"/>
      <c r="C1562" s="479"/>
      <c r="D1562" s="480"/>
      <c r="E1562" s="481"/>
      <c r="F1562" s="482"/>
      <c r="G1562" s="483"/>
      <c r="H1562" s="484"/>
      <c r="I1562" s="483"/>
      <c r="J1562" s="484"/>
      <c r="K1562" s="483"/>
      <c r="L1562" s="499">
        <f>SUM(L1553:L1561)</f>
        <v>216.5</v>
      </c>
      <c r="M1562" s="499">
        <f>SUM(M1541:M1561)</f>
        <v>1428.4583333333335</v>
      </c>
      <c r="N1562" s="726"/>
      <c r="O1562" s="726"/>
    </row>
    <row r="1563" spans="1:16" s="487" customFormat="1" ht="18" customHeight="1">
      <c r="A1563" s="478"/>
      <c r="B1563" s="336"/>
      <c r="C1563" s="479"/>
      <c r="D1563" s="480"/>
      <c r="E1563" s="481"/>
      <c r="F1563" s="482"/>
      <c r="G1563" s="483"/>
      <c r="H1563" s="484"/>
      <c r="I1563" s="483"/>
      <c r="J1563" s="484"/>
      <c r="K1563" s="483"/>
      <c r="L1563" s="478"/>
      <c r="M1563" s="485"/>
      <c r="N1563" s="871">
        <f>M1562-L1562</f>
        <v>1211.9583333333335</v>
      </c>
      <c r="O1563" s="872" t="s">
        <v>19</v>
      </c>
    </row>
    <row r="1564" spans="1:16" s="487" customFormat="1" ht="18" customHeight="1">
      <c r="A1564" s="478"/>
      <c r="B1564" s="829" t="s">
        <v>460</v>
      </c>
      <c r="C1564" s="479"/>
      <c r="D1564" s="480"/>
      <c r="E1564" s="481"/>
      <c r="F1564" s="482"/>
      <c r="G1564" s="483"/>
      <c r="H1564" s="484"/>
      <c r="I1564" s="483"/>
      <c r="J1564" s="484"/>
      <c r="K1564" s="483"/>
      <c r="L1564" s="920"/>
      <c r="M1564" s="920"/>
      <c r="N1564" s="726"/>
      <c r="O1564" s="726"/>
    </row>
    <row r="1565" spans="1:16" s="487" customFormat="1" ht="18" customHeight="1">
      <c r="A1565" s="478"/>
      <c r="B1565" s="336"/>
      <c r="C1565" s="479">
        <v>1</v>
      </c>
      <c r="D1565" s="480" t="s">
        <v>87</v>
      </c>
      <c r="E1565" s="481">
        <v>1</v>
      </c>
      <c r="F1565" s="482">
        <v>78</v>
      </c>
      <c r="G1565" s="483">
        <v>1</v>
      </c>
      <c r="H1565" s="484"/>
      <c r="I1565" s="483"/>
      <c r="J1565" s="484">
        <v>4</v>
      </c>
      <c r="K1565" s="483">
        <v>0</v>
      </c>
      <c r="L1565" s="920"/>
      <c r="M1565" s="485">
        <f t="shared" ref="M1565" si="486">IF(C1565=0,1,C1565)*IF(E1565=0,1,E1565)*IF((F1565+G1565/12)=0,1,(F1565+G1565/12))*IF((H1565+I1565/12)=0,1,(H1565+I1565/12))*IF((J1565+K1565/12)=0,1,(J1565+K1565/12))</f>
        <v>312.33333333333331</v>
      </c>
      <c r="N1565" s="726"/>
      <c r="O1565" s="726"/>
      <c r="P1565" s="487">
        <f>29.42+16.92+4+16.75+10.92</f>
        <v>78.010000000000005</v>
      </c>
    </row>
    <row r="1566" spans="1:16" s="487" customFormat="1" ht="18" customHeight="1">
      <c r="A1566" s="478"/>
      <c r="B1566" s="336"/>
      <c r="C1566" s="479"/>
      <c r="D1566" s="480"/>
      <c r="E1566" s="481"/>
      <c r="F1566" s="482"/>
      <c r="G1566" s="483"/>
      <c r="H1566" s="484"/>
      <c r="I1566" s="483"/>
      <c r="J1566" s="484"/>
      <c r="K1566" s="483"/>
      <c r="L1566" s="920"/>
      <c r="M1566" s="920"/>
      <c r="N1566" s="871">
        <f>SUM(M1565:M1565)</f>
        <v>312.33333333333331</v>
      </c>
      <c r="O1566" s="872" t="s">
        <v>19</v>
      </c>
    </row>
    <row r="1567" spans="1:16" s="487" customFormat="1" ht="18" customHeight="1">
      <c r="A1567" s="478"/>
      <c r="B1567" s="829" t="s">
        <v>797</v>
      </c>
      <c r="C1567" s="479"/>
      <c r="D1567" s="480"/>
      <c r="E1567" s="481"/>
      <c r="F1567" s="482"/>
      <c r="G1567" s="483"/>
      <c r="H1567" s="484"/>
      <c r="I1567" s="483"/>
      <c r="J1567" s="484"/>
      <c r="K1567" s="483"/>
      <c r="L1567" s="920"/>
      <c r="M1567" s="920"/>
      <c r="N1567" s="726"/>
      <c r="O1567" s="726"/>
    </row>
    <row r="1568" spans="1:16" s="487" customFormat="1" ht="18" customHeight="1">
      <c r="A1568" s="478"/>
      <c r="B1568" s="336"/>
      <c r="C1568" s="479">
        <v>1</v>
      </c>
      <c r="D1568" s="480" t="s">
        <v>87</v>
      </c>
      <c r="E1568" s="481">
        <v>1</v>
      </c>
      <c r="F1568" s="482">
        <v>117</v>
      </c>
      <c r="G1568" s="483">
        <v>0</v>
      </c>
      <c r="H1568" s="484"/>
      <c r="I1568" s="483"/>
      <c r="J1568" s="484">
        <v>2</v>
      </c>
      <c r="K1568" s="483">
        <v>0</v>
      </c>
      <c r="L1568" s="920"/>
      <c r="M1568" s="485">
        <f t="shared" ref="M1568" si="487">IF(C1568=0,1,C1568)*IF(E1568=0,1,E1568)*IF((F1568+G1568/12)=0,1,(F1568+G1568/12))*IF((H1568+I1568/12)=0,1,(H1568+I1568/12))*IF((J1568+K1568/12)=0,1,(J1568+K1568/12))</f>
        <v>234</v>
      </c>
      <c r="N1568" s="726"/>
      <c r="O1568" s="726"/>
      <c r="P1568" s="487">
        <f>33.5*2+25*2</f>
        <v>117</v>
      </c>
    </row>
    <row r="1569" spans="1:17" s="487" customFormat="1" ht="18" customHeight="1">
      <c r="A1569" s="478"/>
      <c r="B1569" s="336"/>
      <c r="C1569" s="479"/>
      <c r="D1569" s="480"/>
      <c r="E1569" s="481"/>
      <c r="F1569" s="482"/>
      <c r="G1569" s="483"/>
      <c r="H1569" s="484"/>
      <c r="I1569" s="483"/>
      <c r="J1569" s="484"/>
      <c r="K1569" s="483"/>
      <c r="L1569" s="920"/>
      <c r="M1569" s="920"/>
      <c r="N1569" s="871">
        <f>SUM(M1568:M1568)</f>
        <v>234</v>
      </c>
      <c r="O1569" s="872" t="s">
        <v>19</v>
      </c>
    </row>
    <row r="1570" spans="1:17" s="487" customFormat="1" ht="18" customHeight="1">
      <c r="A1570" s="548"/>
      <c r="B1570" s="727"/>
      <c r="C1570" s="557"/>
      <c r="D1570" s="550"/>
      <c r="E1570" s="728"/>
      <c r="F1570" s="552"/>
      <c r="G1570" s="553"/>
      <c r="H1570" s="730"/>
      <c r="I1570" s="729"/>
      <c r="J1570" s="731"/>
      <c r="K1570" s="732"/>
      <c r="L1570" s="794"/>
      <c r="M1570" s="786"/>
      <c r="N1570" s="950"/>
      <c r="O1570" s="556"/>
    </row>
    <row r="1571" spans="1:17" s="487" customFormat="1" ht="18" customHeight="1">
      <c r="A1571" s="733">
        <v>15</v>
      </c>
      <c r="B1571" s="734" t="s">
        <v>175</v>
      </c>
      <c r="C1571" s="735"/>
      <c r="D1571" s="736"/>
      <c r="E1571" s="737"/>
      <c r="F1571" s="738"/>
      <c r="G1571" s="807"/>
      <c r="H1571" s="740"/>
      <c r="I1571" s="739"/>
      <c r="J1571" s="741"/>
      <c r="K1571" s="742"/>
      <c r="L1571" s="743"/>
      <c r="M1571" s="499"/>
      <c r="N1571" s="879">
        <f>SUM(N1573:N1654)</f>
        <v>17350.625000000015</v>
      </c>
      <c r="O1571" s="733" t="s">
        <v>19</v>
      </c>
      <c r="P1571" s="836">
        <f>N1571-M1584-M1607-M1620</f>
        <v>5369.4305555555693</v>
      </c>
    </row>
    <row r="1572" spans="1:17" s="487" customFormat="1" ht="18" customHeight="1">
      <c r="A1572" s="733"/>
      <c r="B1572" s="829" t="s">
        <v>478</v>
      </c>
      <c r="C1572" s="735"/>
      <c r="D1572" s="736"/>
      <c r="E1572" s="737"/>
      <c r="F1572" s="738"/>
      <c r="G1572" s="807"/>
      <c r="H1572" s="740"/>
      <c r="I1572" s="739"/>
      <c r="J1572" s="741"/>
      <c r="K1572" s="742"/>
      <c r="L1572" s="743"/>
      <c r="M1572" s="499"/>
      <c r="N1572" s="879"/>
      <c r="O1572" s="733"/>
      <c r="P1572" s="487" t="s">
        <v>102</v>
      </c>
      <c r="Q1572" s="487">
        <f>(P1571/100)*225/112</f>
        <v>107.8680245535717</v>
      </c>
    </row>
    <row r="1573" spans="1:17" s="487" customFormat="1" ht="18" customHeight="1">
      <c r="A1573" s="733"/>
      <c r="B1573" s="985" t="s">
        <v>479</v>
      </c>
      <c r="C1573" s="735"/>
      <c r="D1573" s="736"/>
      <c r="E1573" s="737"/>
      <c r="F1573" s="738"/>
      <c r="G1573" s="807"/>
      <c r="H1573" s="740"/>
      <c r="I1573" s="739"/>
      <c r="J1573" s="741"/>
      <c r="K1573" s="742"/>
      <c r="L1573" s="743"/>
      <c r="M1573" s="499"/>
      <c r="N1573" s="879"/>
      <c r="O1573" s="733"/>
    </row>
    <row r="1574" spans="1:17" s="487" customFormat="1" ht="18" customHeight="1">
      <c r="A1574" s="733"/>
      <c r="B1574" s="336" t="s">
        <v>289</v>
      </c>
      <c r="C1574" s="735">
        <f>C84*2</f>
        <v>2</v>
      </c>
      <c r="D1574" s="736" t="s">
        <v>87</v>
      </c>
      <c r="E1574" s="748">
        <f t="shared" ref="E1574:G1575" si="488">E84</f>
        <v>8</v>
      </c>
      <c r="F1574" s="738">
        <f t="shared" si="488"/>
        <v>1</v>
      </c>
      <c r="G1574" s="807">
        <f t="shared" si="488"/>
        <v>0</v>
      </c>
      <c r="H1574" s="740"/>
      <c r="I1574" s="739"/>
      <c r="J1574" s="749">
        <f>J84</f>
        <v>9</v>
      </c>
      <c r="K1574" s="483">
        <f>K84</f>
        <v>4</v>
      </c>
      <c r="L1574" s="743"/>
      <c r="M1574" s="485">
        <f t="shared" ref="M1574:M1575" si="489">IF(C1574=0,1,C1574)*IF(E1574=0,1,E1574)*IF((F1574+G1574/12)=0,1,(F1574+G1574/12))*IF((H1574+I1574/12)=0,1,(H1574+I1574/12))*IF((J1574+K1574/12)=0,1,(J1574+K1574/12))</f>
        <v>149.33333333333334</v>
      </c>
      <c r="N1574" s="879"/>
      <c r="O1574" s="733"/>
      <c r="P1574" s="487">
        <f>11-1.67</f>
        <v>9.33</v>
      </c>
    </row>
    <row r="1575" spans="1:17" s="487" customFormat="1" ht="18" customHeight="1">
      <c r="A1575" s="733"/>
      <c r="B1575" s="336" t="s">
        <v>290</v>
      </c>
      <c r="C1575" s="735">
        <f>C85*2</f>
        <v>2</v>
      </c>
      <c r="D1575" s="736" t="s">
        <v>87</v>
      </c>
      <c r="E1575" s="748">
        <f t="shared" si="488"/>
        <v>4</v>
      </c>
      <c r="F1575" s="738">
        <f t="shared" si="488"/>
        <v>1</v>
      </c>
      <c r="G1575" s="807">
        <f t="shared" si="488"/>
        <v>2</v>
      </c>
      <c r="H1575" s="740"/>
      <c r="I1575" s="739"/>
      <c r="J1575" s="749">
        <f>J85</f>
        <v>9</v>
      </c>
      <c r="K1575" s="483">
        <f>K85</f>
        <v>4</v>
      </c>
      <c r="L1575" s="743"/>
      <c r="M1575" s="485">
        <f t="shared" si="489"/>
        <v>87.111111111111128</v>
      </c>
      <c r="N1575" s="879"/>
      <c r="O1575" s="733"/>
    </row>
    <row r="1576" spans="1:17" s="487" customFormat="1" ht="18" customHeight="1">
      <c r="A1576" s="733"/>
      <c r="B1576" s="734"/>
      <c r="C1576" s="735"/>
      <c r="D1576" s="736"/>
      <c r="E1576" s="737"/>
      <c r="F1576" s="738"/>
      <c r="G1576" s="807"/>
      <c r="H1576" s="740"/>
      <c r="I1576" s="739"/>
      <c r="J1576" s="741"/>
      <c r="K1576" s="742"/>
      <c r="L1576" s="743"/>
      <c r="M1576" s="499"/>
      <c r="N1576" s="879"/>
      <c r="O1576" s="733"/>
    </row>
    <row r="1577" spans="1:17" s="487" customFormat="1" ht="18" customHeight="1">
      <c r="A1577" s="733"/>
      <c r="B1577" s="985" t="s">
        <v>480</v>
      </c>
      <c r="C1577" s="735"/>
      <c r="D1577" s="736"/>
      <c r="E1577" s="737"/>
      <c r="F1577" s="738"/>
      <c r="G1577" s="807"/>
      <c r="H1577" s="740"/>
      <c r="I1577" s="739"/>
      <c r="J1577" s="741"/>
      <c r="K1577" s="742"/>
      <c r="L1577" s="743"/>
      <c r="M1577" s="499"/>
      <c r="N1577" s="879"/>
      <c r="O1577" s="733"/>
    </row>
    <row r="1578" spans="1:17" s="487" customFormat="1" ht="18" customHeight="1">
      <c r="A1578" s="733"/>
      <c r="B1578" s="336" t="s">
        <v>475</v>
      </c>
      <c r="C1578" s="735">
        <f>C88*2</f>
        <v>2</v>
      </c>
      <c r="D1578" s="736" t="s">
        <v>87</v>
      </c>
      <c r="E1578" s="748">
        <f t="shared" ref="E1578:G1579" si="490">E88</f>
        <v>2</v>
      </c>
      <c r="F1578" s="738">
        <f t="shared" si="490"/>
        <v>15</v>
      </c>
      <c r="G1578" s="807">
        <f t="shared" si="490"/>
        <v>11</v>
      </c>
      <c r="H1578" s="740"/>
      <c r="I1578" s="739"/>
      <c r="J1578" s="749">
        <f>J88</f>
        <v>9</v>
      </c>
      <c r="K1578" s="483">
        <f>K88</f>
        <v>4</v>
      </c>
      <c r="L1578" s="743"/>
      <c r="M1578" s="485">
        <f t="shared" ref="M1578:M1579" si="491">IF(C1578=0,1,C1578)*IF(E1578=0,1,E1578)*IF((F1578+G1578/12)=0,1,(F1578+G1578/12))*IF((H1578+I1578/12)=0,1,(H1578+I1578/12))*IF((J1578+K1578/12)=0,1,(J1578+K1578/12))</f>
        <v>594.22222222222229</v>
      </c>
      <c r="N1578" s="879"/>
      <c r="O1578" s="733"/>
      <c r="P1578" s="487">
        <f>17.5-1.5*1.17</f>
        <v>15.745000000000001</v>
      </c>
    </row>
    <row r="1579" spans="1:17" s="487" customFormat="1" ht="18" customHeight="1">
      <c r="A1579" s="733"/>
      <c r="B1579" s="336" t="s">
        <v>476</v>
      </c>
      <c r="C1579" s="735">
        <f>C89*2</f>
        <v>2</v>
      </c>
      <c r="D1579" s="736" t="s">
        <v>87</v>
      </c>
      <c r="E1579" s="748">
        <f t="shared" si="490"/>
        <v>2</v>
      </c>
      <c r="F1579" s="738">
        <f t="shared" si="490"/>
        <v>7</v>
      </c>
      <c r="G1579" s="807">
        <f t="shared" si="490"/>
        <v>10</v>
      </c>
      <c r="H1579" s="740"/>
      <c r="I1579" s="739"/>
      <c r="J1579" s="749">
        <f>J89</f>
        <v>9</v>
      </c>
      <c r="K1579" s="483">
        <f>K89</f>
        <v>4</v>
      </c>
      <c r="L1579" s="743"/>
      <c r="M1579" s="485">
        <f t="shared" si="491"/>
        <v>292.44444444444446</v>
      </c>
      <c r="N1579" s="879"/>
      <c r="O1579" s="733"/>
      <c r="P1579" s="487">
        <f>9-1*1.17</f>
        <v>7.83</v>
      </c>
    </row>
    <row r="1580" spans="1:17" s="487" customFormat="1" ht="18" customHeight="1">
      <c r="A1580" s="733"/>
      <c r="B1580" s="734"/>
      <c r="C1580" s="735"/>
      <c r="D1580" s="736"/>
      <c r="E1580" s="737"/>
      <c r="F1580" s="738"/>
      <c r="G1580" s="807"/>
      <c r="H1580" s="740"/>
      <c r="I1580" s="739"/>
      <c r="J1580" s="741"/>
      <c r="K1580" s="742"/>
      <c r="L1580" s="743"/>
      <c r="M1580" s="499"/>
      <c r="N1580" s="879"/>
      <c r="O1580" s="733"/>
    </row>
    <row r="1581" spans="1:17" s="487" customFormat="1" ht="18" customHeight="1">
      <c r="A1581" s="478"/>
      <c r="B1581" s="829" t="s">
        <v>481</v>
      </c>
      <c r="C1581" s="479">
        <v>1</v>
      </c>
      <c r="D1581" s="480" t="s">
        <v>87</v>
      </c>
      <c r="E1581" s="724">
        <v>1</v>
      </c>
      <c r="F1581" s="482">
        <v>33</v>
      </c>
      <c r="G1581" s="483">
        <v>6</v>
      </c>
      <c r="H1581" s="746"/>
      <c r="I1581" s="745"/>
      <c r="J1581" s="482">
        <v>3</v>
      </c>
      <c r="K1581" s="483">
        <v>0</v>
      </c>
      <c r="L1581" s="478"/>
      <c r="M1581" s="485">
        <f t="shared" ref="M1581:M1582" si="492">IF(C1581=0,1,C1581)*IF(E1581=0,1,E1581)*IF((F1581+G1581/12)=0,1,(F1581+G1581/12))*IF((H1581+I1581/12)=0,1,(H1581+I1581/12))*IF((J1581+K1581/12)=0,1,(J1581+K1581/12))</f>
        <v>100.5</v>
      </c>
      <c r="N1581" s="486"/>
      <c r="O1581" s="726"/>
    </row>
    <row r="1582" spans="1:17" s="487" customFormat="1" ht="18" customHeight="1">
      <c r="A1582" s="478"/>
      <c r="B1582" s="985"/>
      <c r="C1582" s="479">
        <f>1</f>
        <v>1</v>
      </c>
      <c r="D1582" s="480" t="s">
        <v>87</v>
      </c>
      <c r="E1582" s="724">
        <v>2</v>
      </c>
      <c r="F1582" s="482">
        <v>36</v>
      </c>
      <c r="G1582" s="483">
        <v>6</v>
      </c>
      <c r="H1582" s="746"/>
      <c r="I1582" s="745"/>
      <c r="J1582" s="482">
        <f>J1581</f>
        <v>3</v>
      </c>
      <c r="K1582" s="483">
        <v>0</v>
      </c>
      <c r="L1582" s="478"/>
      <c r="M1582" s="485">
        <f t="shared" si="492"/>
        <v>219</v>
      </c>
      <c r="N1582" s="486"/>
      <c r="O1582" s="726"/>
    </row>
    <row r="1583" spans="1:17" s="487" customFormat="1" ht="18" customHeight="1">
      <c r="A1583" s="478"/>
      <c r="B1583" s="829" t="s">
        <v>482</v>
      </c>
      <c r="C1583" s="479"/>
      <c r="D1583" s="480"/>
      <c r="E1583" s="724"/>
      <c r="F1583" s="482"/>
      <c r="G1583" s="483"/>
      <c r="H1583" s="746"/>
      <c r="I1583" s="745"/>
      <c r="J1583" s="993"/>
      <c r="K1583" s="483"/>
      <c r="L1583" s="478"/>
      <c r="M1583" s="485"/>
      <c r="N1583" s="486"/>
      <c r="O1583" s="726"/>
    </row>
    <row r="1584" spans="1:17" s="487" customFormat="1" ht="18" customHeight="1">
      <c r="A1584" s="478"/>
      <c r="B1584" s="985" t="s">
        <v>177</v>
      </c>
      <c r="C1584" s="479"/>
      <c r="D1584" s="480"/>
      <c r="E1584" s="724"/>
      <c r="F1584" s="482"/>
      <c r="G1584" s="483"/>
      <c r="H1584" s="746"/>
      <c r="I1584" s="745"/>
      <c r="J1584" s="482"/>
      <c r="K1584" s="483"/>
      <c r="L1584" s="478"/>
      <c r="M1584" s="485">
        <f>N1510*2</f>
        <v>5240.6388888888887</v>
      </c>
      <c r="N1584" s="486"/>
      <c r="O1584" s="726"/>
    </row>
    <row r="1585" spans="1:15" s="487" customFormat="1" ht="18" customHeight="1">
      <c r="A1585" s="478"/>
      <c r="B1585" s="985" t="s">
        <v>464</v>
      </c>
      <c r="C1585" s="479">
        <f>2</f>
        <v>2</v>
      </c>
      <c r="D1585" s="480" t="s">
        <v>87</v>
      </c>
      <c r="E1585" s="481">
        <f>E93</f>
        <v>8</v>
      </c>
      <c r="F1585" s="482">
        <f>F93</f>
        <v>1</v>
      </c>
      <c r="G1585" s="483">
        <v>0</v>
      </c>
      <c r="H1585" s="746"/>
      <c r="I1585" s="745"/>
      <c r="J1585" s="482">
        <v>12</v>
      </c>
      <c r="K1585" s="483">
        <v>8</v>
      </c>
      <c r="L1585" s="478"/>
      <c r="M1585" s="485">
        <f t="shared" ref="M1585:M1586" si="493">IF(C1585=0,1,C1585)*IF(E1585=0,1,E1585)*IF((F1585+G1585/12)=0,1,(F1585+G1585/12))*IF((H1585+I1585/12)=0,1,(H1585+I1585/12))*IF((J1585+K1585/12)=0,1,(J1585+K1585/12))</f>
        <v>202.66666666666666</v>
      </c>
      <c r="N1585" s="486"/>
      <c r="O1585" s="726"/>
    </row>
    <row r="1586" spans="1:15" s="487" customFormat="1" ht="18" customHeight="1">
      <c r="A1586" s="478"/>
      <c r="B1586" s="985" t="s">
        <v>465</v>
      </c>
      <c r="C1586" s="479">
        <f>C1585</f>
        <v>2</v>
      </c>
      <c r="D1586" s="480" t="s">
        <v>87</v>
      </c>
      <c r="E1586" s="724">
        <v>4</v>
      </c>
      <c r="F1586" s="482">
        <f>F94</f>
        <v>1</v>
      </c>
      <c r="G1586" s="483">
        <f>G94</f>
        <v>2</v>
      </c>
      <c r="H1586" s="746"/>
      <c r="I1586" s="745"/>
      <c r="J1586" s="482">
        <f>J1585</f>
        <v>12</v>
      </c>
      <c r="K1586" s="483">
        <f>K1585</f>
        <v>8</v>
      </c>
      <c r="L1586" s="478"/>
      <c r="M1586" s="485">
        <f t="shared" si="493"/>
        <v>118.22222222222223</v>
      </c>
      <c r="N1586" s="486"/>
      <c r="O1586" s="726"/>
    </row>
    <row r="1587" spans="1:15" ht="18" customHeight="1">
      <c r="A1587" s="474"/>
      <c r="B1587" s="507"/>
      <c r="C1587" s="488"/>
      <c r="D1587" s="489"/>
      <c r="E1587" s="589"/>
      <c r="F1587" s="491"/>
      <c r="G1587" s="496"/>
      <c r="H1587" s="493"/>
      <c r="I1587" s="492"/>
      <c r="J1587" s="671"/>
      <c r="K1587" s="496"/>
      <c r="L1587" s="474"/>
      <c r="M1587" s="475"/>
      <c r="N1587" s="476"/>
      <c r="O1587" s="591"/>
    </row>
    <row r="1588" spans="1:15" s="487" customFormat="1" ht="18" customHeight="1">
      <c r="A1588" s="478"/>
      <c r="B1588" s="985" t="s">
        <v>229</v>
      </c>
      <c r="C1588" s="479"/>
      <c r="D1588" s="480"/>
      <c r="E1588" s="724"/>
      <c r="F1588" s="482"/>
      <c r="G1588" s="483"/>
      <c r="H1588" s="746"/>
      <c r="I1588" s="745"/>
      <c r="J1588" s="993"/>
      <c r="K1588" s="483"/>
      <c r="L1588" s="485"/>
      <c r="N1588" s="486"/>
      <c r="O1588" s="726"/>
    </row>
    <row r="1589" spans="1:15" s="487" customFormat="1" ht="18" customHeight="1">
      <c r="A1589" s="478"/>
      <c r="B1589" s="985" t="s">
        <v>466</v>
      </c>
      <c r="C1589" s="479">
        <f>2</f>
        <v>2</v>
      </c>
      <c r="D1589" s="480" t="s">
        <v>87</v>
      </c>
      <c r="E1589" s="724">
        <f>1</f>
        <v>1</v>
      </c>
      <c r="F1589" s="482">
        <v>19</v>
      </c>
      <c r="G1589" s="483">
        <v>3</v>
      </c>
      <c r="H1589" s="746"/>
      <c r="I1589" s="745"/>
      <c r="J1589" s="993">
        <f>J479</f>
        <v>0</v>
      </c>
      <c r="K1589" s="483">
        <v>6</v>
      </c>
      <c r="L1589" s="485"/>
      <c r="M1589" s="485">
        <f t="shared" ref="M1589:M1604" si="494">IF(C1589=0,1,C1589)*IF(E1589=0,1,E1589)*IF((F1589+G1589/12)=0,1,(F1589+G1589/12))*IF((H1589+I1589/12)=0,1,(H1589+I1589/12))*IF((J1589+K1589/12)=0,1,(J1589+K1589/12))</f>
        <v>19.25</v>
      </c>
      <c r="N1589" s="486"/>
      <c r="O1589" s="726"/>
    </row>
    <row r="1590" spans="1:15" s="487" customFormat="1" ht="18" customHeight="1">
      <c r="A1590" s="478"/>
      <c r="B1590" s="985"/>
      <c r="C1590" s="479">
        <f>1</f>
        <v>1</v>
      </c>
      <c r="D1590" s="480" t="s">
        <v>87</v>
      </c>
      <c r="E1590" s="724">
        <f>1</f>
        <v>1</v>
      </c>
      <c r="F1590" s="482">
        <f>F1589</f>
        <v>19</v>
      </c>
      <c r="G1590" s="483">
        <f>G1589</f>
        <v>3</v>
      </c>
      <c r="H1590" s="484">
        <f>H139</f>
        <v>0</v>
      </c>
      <c r="I1590" s="483">
        <f>I139</f>
        <v>10</v>
      </c>
      <c r="J1590" s="993"/>
      <c r="K1590" s="483"/>
      <c r="L1590" s="485"/>
      <c r="M1590" s="485">
        <f t="shared" si="494"/>
        <v>16.041666666666668</v>
      </c>
      <c r="N1590" s="486"/>
      <c r="O1590" s="726"/>
    </row>
    <row r="1591" spans="1:15" s="487" customFormat="1" ht="18" customHeight="1">
      <c r="A1591" s="478"/>
      <c r="B1591" s="985" t="s">
        <v>467</v>
      </c>
      <c r="C1591" s="479">
        <f t="shared" ref="C1591:C1604" si="495">C1589</f>
        <v>2</v>
      </c>
      <c r="D1591" s="480" t="s">
        <v>87</v>
      </c>
      <c r="E1591" s="724">
        <f t="shared" ref="E1591:E1604" si="496">E1589</f>
        <v>1</v>
      </c>
      <c r="F1591" s="482">
        <f>F144</f>
        <v>4</v>
      </c>
      <c r="G1591" s="483">
        <f>G144</f>
        <v>10</v>
      </c>
      <c r="H1591" s="746"/>
      <c r="I1591" s="745"/>
      <c r="J1591" s="993">
        <v>0</v>
      </c>
      <c r="K1591" s="483">
        <v>8</v>
      </c>
      <c r="L1591" s="485"/>
      <c r="M1591" s="485">
        <f t="shared" si="494"/>
        <v>6.4444444444444438</v>
      </c>
      <c r="N1591" s="486"/>
      <c r="O1591" s="726"/>
    </row>
    <row r="1592" spans="1:15" s="487" customFormat="1" ht="18" customHeight="1">
      <c r="A1592" s="478"/>
      <c r="B1592" s="991"/>
      <c r="C1592" s="479">
        <f t="shared" si="495"/>
        <v>1</v>
      </c>
      <c r="D1592" s="480" t="s">
        <v>87</v>
      </c>
      <c r="E1592" s="724">
        <f t="shared" si="496"/>
        <v>1</v>
      </c>
      <c r="F1592" s="482">
        <f>F1591</f>
        <v>4</v>
      </c>
      <c r="G1592" s="483">
        <f>G1591</f>
        <v>10</v>
      </c>
      <c r="H1592" s="484">
        <f>H144</f>
        <v>0</v>
      </c>
      <c r="I1592" s="483">
        <f>I144</f>
        <v>10</v>
      </c>
      <c r="J1592" s="993"/>
      <c r="K1592" s="483"/>
      <c r="L1592" s="485"/>
      <c r="M1592" s="485">
        <f t="shared" si="494"/>
        <v>4.0277777777777777</v>
      </c>
      <c r="N1592" s="486"/>
      <c r="O1592" s="726"/>
    </row>
    <row r="1593" spans="1:15" s="487" customFormat="1" ht="18" customHeight="1">
      <c r="A1593" s="478"/>
      <c r="B1593" s="985" t="s">
        <v>468</v>
      </c>
      <c r="C1593" s="479">
        <f t="shared" si="495"/>
        <v>2</v>
      </c>
      <c r="D1593" s="480" t="s">
        <v>87</v>
      </c>
      <c r="E1593" s="724">
        <f t="shared" si="496"/>
        <v>1</v>
      </c>
      <c r="F1593" s="482">
        <f>C147*E147*(F147+G147/12)</f>
        <v>42.25</v>
      </c>
      <c r="G1593" s="483">
        <f>G147</f>
        <v>1</v>
      </c>
      <c r="H1593" s="746"/>
      <c r="I1593" s="745"/>
      <c r="J1593" s="993">
        <v>0</v>
      </c>
      <c r="K1593" s="483">
        <v>10</v>
      </c>
      <c r="L1593" s="485"/>
      <c r="M1593" s="485">
        <f t="shared" si="494"/>
        <v>70.555555555555557</v>
      </c>
      <c r="N1593" s="486"/>
      <c r="O1593" s="726"/>
    </row>
    <row r="1594" spans="1:15" s="487" customFormat="1" ht="18" customHeight="1">
      <c r="A1594" s="478"/>
      <c r="B1594" s="991"/>
      <c r="C1594" s="479">
        <f t="shared" si="495"/>
        <v>1</v>
      </c>
      <c r="D1594" s="480" t="s">
        <v>87</v>
      </c>
      <c r="E1594" s="724">
        <f t="shared" si="496"/>
        <v>1</v>
      </c>
      <c r="F1594" s="482">
        <f>F1593</f>
        <v>42.25</v>
      </c>
      <c r="G1594" s="483">
        <f>G1593</f>
        <v>1</v>
      </c>
      <c r="H1594" s="484">
        <f>H147</f>
        <v>0</v>
      </c>
      <c r="I1594" s="483">
        <f>I1592</f>
        <v>10</v>
      </c>
      <c r="J1594" s="993"/>
      <c r="K1594" s="483"/>
      <c r="L1594" s="485"/>
      <c r="M1594" s="485">
        <f t="shared" si="494"/>
        <v>35.277777777777779</v>
      </c>
      <c r="N1594" s="486"/>
      <c r="O1594" s="726"/>
    </row>
    <row r="1595" spans="1:15" s="487" customFormat="1" ht="18" customHeight="1">
      <c r="A1595" s="478"/>
      <c r="B1595" s="985" t="s">
        <v>469</v>
      </c>
      <c r="C1595" s="479">
        <f t="shared" si="495"/>
        <v>2</v>
      </c>
      <c r="D1595" s="480" t="s">
        <v>87</v>
      </c>
      <c r="E1595" s="724">
        <f t="shared" si="496"/>
        <v>1</v>
      </c>
      <c r="F1595" s="482">
        <v>39</v>
      </c>
      <c r="G1595" s="483">
        <v>10</v>
      </c>
      <c r="H1595" s="484"/>
      <c r="I1595" s="483"/>
      <c r="J1595" s="993">
        <v>1</v>
      </c>
      <c r="K1595" s="483">
        <v>0</v>
      </c>
      <c r="L1595" s="485"/>
      <c r="M1595" s="485">
        <f t="shared" si="494"/>
        <v>79.666666666666671</v>
      </c>
      <c r="N1595" s="486"/>
      <c r="O1595" s="726"/>
    </row>
    <row r="1596" spans="1:15" s="487" customFormat="1" ht="18" customHeight="1">
      <c r="A1596" s="478"/>
      <c r="B1596" s="991"/>
      <c r="C1596" s="479">
        <f t="shared" si="495"/>
        <v>1</v>
      </c>
      <c r="D1596" s="480" t="s">
        <v>87</v>
      </c>
      <c r="E1596" s="724">
        <f t="shared" si="496"/>
        <v>1</v>
      </c>
      <c r="F1596" s="482">
        <f>F1595</f>
        <v>39</v>
      </c>
      <c r="G1596" s="483">
        <f>G1595</f>
        <v>10</v>
      </c>
      <c r="H1596" s="484">
        <f>H1594</f>
        <v>0</v>
      </c>
      <c r="I1596" s="483">
        <f>I1594</f>
        <v>10</v>
      </c>
      <c r="J1596" s="993"/>
      <c r="K1596" s="483"/>
      <c r="L1596" s="485"/>
      <c r="M1596" s="485">
        <f t="shared" si="494"/>
        <v>33.19444444444445</v>
      </c>
      <c r="N1596" s="486"/>
      <c r="O1596" s="726"/>
    </row>
    <row r="1597" spans="1:15" s="487" customFormat="1" ht="18" customHeight="1">
      <c r="A1597" s="478"/>
      <c r="B1597" s="985" t="s">
        <v>470</v>
      </c>
      <c r="C1597" s="479">
        <f t="shared" si="495"/>
        <v>2</v>
      </c>
      <c r="D1597" s="480" t="s">
        <v>87</v>
      </c>
      <c r="E1597" s="724">
        <f t="shared" si="496"/>
        <v>1</v>
      </c>
      <c r="F1597" s="482">
        <v>60</v>
      </c>
      <c r="G1597" s="483">
        <v>8</v>
      </c>
      <c r="H1597" s="484"/>
      <c r="I1597" s="483"/>
      <c r="J1597" s="993">
        <f>J154</f>
        <v>1</v>
      </c>
      <c r="K1597" s="483">
        <v>2</v>
      </c>
      <c r="L1597" s="485"/>
      <c r="M1597" s="485">
        <f t="shared" si="494"/>
        <v>141.55555555555557</v>
      </c>
      <c r="N1597" s="486"/>
      <c r="O1597" s="726"/>
    </row>
    <row r="1598" spans="1:15" s="487" customFormat="1" ht="18" customHeight="1">
      <c r="A1598" s="478"/>
      <c r="B1598" s="991"/>
      <c r="C1598" s="479">
        <f t="shared" si="495"/>
        <v>1</v>
      </c>
      <c r="D1598" s="480" t="s">
        <v>87</v>
      </c>
      <c r="E1598" s="724">
        <f t="shared" si="496"/>
        <v>1</v>
      </c>
      <c r="F1598" s="482">
        <f>F1597</f>
        <v>60</v>
      </c>
      <c r="G1598" s="483">
        <f>G1597</f>
        <v>8</v>
      </c>
      <c r="H1598" s="484">
        <f>H154</f>
        <v>0</v>
      </c>
      <c r="I1598" s="483">
        <f>I154</f>
        <v>10</v>
      </c>
      <c r="J1598" s="993"/>
      <c r="K1598" s="483"/>
      <c r="L1598" s="485"/>
      <c r="M1598" s="485">
        <f t="shared" si="494"/>
        <v>50.555555555555557</v>
      </c>
      <c r="N1598" s="486"/>
      <c r="O1598" s="726"/>
    </row>
    <row r="1599" spans="1:15" s="487" customFormat="1" ht="18" customHeight="1">
      <c r="A1599" s="478"/>
      <c r="B1599" s="985" t="s">
        <v>471</v>
      </c>
      <c r="C1599" s="479">
        <f t="shared" si="495"/>
        <v>2</v>
      </c>
      <c r="D1599" s="480" t="s">
        <v>87</v>
      </c>
      <c r="E1599" s="724">
        <f t="shared" si="496"/>
        <v>1</v>
      </c>
      <c r="F1599" s="482">
        <v>96</v>
      </c>
      <c r="G1599" s="483">
        <v>10</v>
      </c>
      <c r="H1599" s="484"/>
      <c r="I1599" s="483"/>
      <c r="J1599" s="993">
        <v>0</v>
      </c>
      <c r="K1599" s="483">
        <v>10</v>
      </c>
      <c r="L1599" s="485"/>
      <c r="M1599" s="485">
        <f t="shared" si="494"/>
        <v>161.38888888888889</v>
      </c>
      <c r="N1599" s="486"/>
      <c r="O1599" s="726"/>
    </row>
    <row r="1600" spans="1:15" s="487" customFormat="1" ht="18" customHeight="1">
      <c r="A1600" s="478"/>
      <c r="B1600" s="991"/>
      <c r="C1600" s="479">
        <f t="shared" si="495"/>
        <v>1</v>
      </c>
      <c r="D1600" s="480" t="s">
        <v>87</v>
      </c>
      <c r="E1600" s="724">
        <f t="shared" si="496"/>
        <v>1</v>
      </c>
      <c r="F1600" s="482">
        <f>F1599</f>
        <v>96</v>
      </c>
      <c r="G1600" s="483">
        <f>G1599</f>
        <v>10</v>
      </c>
      <c r="H1600" s="484">
        <f>H165</f>
        <v>1</v>
      </c>
      <c r="I1600" s="483">
        <f>I165</f>
        <v>0</v>
      </c>
      <c r="J1600" s="993"/>
      <c r="K1600" s="483"/>
      <c r="L1600" s="485"/>
      <c r="M1600" s="485">
        <f t="shared" si="494"/>
        <v>96.833333333333329</v>
      </c>
      <c r="N1600" s="486"/>
      <c r="O1600" s="726"/>
    </row>
    <row r="1601" spans="1:15" s="487" customFormat="1" ht="18" customHeight="1">
      <c r="A1601" s="478"/>
      <c r="B1601" s="985" t="s">
        <v>473</v>
      </c>
      <c r="C1601" s="479">
        <f t="shared" si="495"/>
        <v>2</v>
      </c>
      <c r="D1601" s="480" t="s">
        <v>87</v>
      </c>
      <c r="E1601" s="724">
        <f t="shared" si="496"/>
        <v>1</v>
      </c>
      <c r="F1601" s="482">
        <f>F168</f>
        <v>4</v>
      </c>
      <c r="G1601" s="483">
        <f>G168</f>
        <v>0</v>
      </c>
      <c r="H1601" s="484"/>
      <c r="I1601" s="483"/>
      <c r="J1601" s="993">
        <v>1</v>
      </c>
      <c r="K1601" s="483">
        <v>0</v>
      </c>
      <c r="L1601" s="485"/>
      <c r="M1601" s="485">
        <f t="shared" si="494"/>
        <v>8</v>
      </c>
      <c r="N1601" s="486"/>
      <c r="O1601" s="726"/>
    </row>
    <row r="1602" spans="1:15" s="487" customFormat="1" ht="18" customHeight="1">
      <c r="A1602" s="478"/>
      <c r="B1602" s="991"/>
      <c r="C1602" s="479">
        <f t="shared" si="495"/>
        <v>1</v>
      </c>
      <c r="D1602" s="480" t="s">
        <v>87</v>
      </c>
      <c r="E1602" s="724">
        <f t="shared" si="496"/>
        <v>1</v>
      </c>
      <c r="F1602" s="482">
        <f>F1601</f>
        <v>4</v>
      </c>
      <c r="G1602" s="483">
        <f>G1601</f>
        <v>0</v>
      </c>
      <c r="H1602" s="484">
        <f>H168</f>
        <v>1</v>
      </c>
      <c r="I1602" s="483">
        <f>I168</f>
        <v>0</v>
      </c>
      <c r="J1602" s="993"/>
      <c r="K1602" s="483"/>
      <c r="L1602" s="485"/>
      <c r="M1602" s="485">
        <f t="shared" si="494"/>
        <v>4</v>
      </c>
      <c r="N1602" s="486"/>
      <c r="O1602" s="726"/>
    </row>
    <row r="1603" spans="1:15" s="487" customFormat="1" ht="18" customHeight="1">
      <c r="A1603" s="478"/>
      <c r="B1603" s="985" t="s">
        <v>474</v>
      </c>
      <c r="C1603" s="479">
        <f t="shared" si="495"/>
        <v>2</v>
      </c>
      <c r="D1603" s="480" t="s">
        <v>87</v>
      </c>
      <c r="E1603" s="724">
        <f t="shared" si="496"/>
        <v>1</v>
      </c>
      <c r="F1603" s="482">
        <v>60</v>
      </c>
      <c r="G1603" s="483">
        <v>8</v>
      </c>
      <c r="H1603" s="484"/>
      <c r="I1603" s="483"/>
      <c r="J1603" s="993">
        <v>1</v>
      </c>
      <c r="K1603" s="483">
        <v>2</v>
      </c>
      <c r="L1603" s="485"/>
      <c r="M1603" s="485">
        <f t="shared" si="494"/>
        <v>141.55555555555557</v>
      </c>
      <c r="N1603" s="486"/>
      <c r="O1603" s="726"/>
    </row>
    <row r="1604" spans="1:15" s="487" customFormat="1" ht="18" customHeight="1">
      <c r="A1604" s="478"/>
      <c r="B1604" s="991"/>
      <c r="C1604" s="479">
        <f t="shared" si="495"/>
        <v>1</v>
      </c>
      <c r="D1604" s="480" t="s">
        <v>87</v>
      </c>
      <c r="E1604" s="724">
        <f t="shared" si="496"/>
        <v>1</v>
      </c>
      <c r="F1604" s="482">
        <f>F1603</f>
        <v>60</v>
      </c>
      <c r="G1604" s="483">
        <f>G1603</f>
        <v>8</v>
      </c>
      <c r="H1604" s="484">
        <f>H174</f>
        <v>1</v>
      </c>
      <c r="I1604" s="483">
        <f>I174</f>
        <v>0</v>
      </c>
      <c r="J1604" s="993"/>
      <c r="K1604" s="483"/>
      <c r="L1604" s="485"/>
      <c r="M1604" s="485">
        <f t="shared" si="494"/>
        <v>60.666666666666664</v>
      </c>
      <c r="N1604" s="486"/>
      <c r="O1604" s="726"/>
    </row>
    <row r="1605" spans="1:15" s="487" customFormat="1" ht="18" customHeight="1">
      <c r="A1605" s="478"/>
      <c r="B1605" s="991"/>
      <c r="C1605" s="479"/>
      <c r="D1605" s="480"/>
      <c r="E1605" s="724"/>
      <c r="F1605" s="482"/>
      <c r="G1605" s="483"/>
      <c r="H1605" s="484"/>
      <c r="I1605" s="483"/>
      <c r="J1605" s="993"/>
      <c r="K1605" s="483"/>
      <c r="L1605" s="485"/>
      <c r="M1605" s="485"/>
      <c r="N1605" s="486"/>
      <c r="O1605" s="726"/>
    </row>
    <row r="1606" spans="1:15" s="487" customFormat="1" ht="18" customHeight="1">
      <c r="A1606" s="478"/>
      <c r="B1606" s="829" t="s">
        <v>483</v>
      </c>
      <c r="C1606" s="479"/>
      <c r="D1606" s="480"/>
      <c r="E1606" s="724"/>
      <c r="F1606" s="482"/>
      <c r="G1606" s="483"/>
      <c r="H1606" s="746"/>
      <c r="I1606" s="745"/>
      <c r="J1606" s="993"/>
      <c r="K1606" s="483"/>
      <c r="L1606" s="478"/>
      <c r="M1606" s="485"/>
      <c r="N1606" s="486"/>
      <c r="O1606" s="726"/>
    </row>
    <row r="1607" spans="1:15" s="487" customFormat="1" ht="18" customHeight="1">
      <c r="A1607" s="478"/>
      <c r="B1607" s="985" t="s">
        <v>177</v>
      </c>
      <c r="C1607" s="479"/>
      <c r="D1607" s="480"/>
      <c r="E1607" s="724"/>
      <c r="F1607" s="482"/>
      <c r="G1607" s="483"/>
      <c r="H1607" s="746"/>
      <c r="I1607" s="745"/>
      <c r="J1607" s="482"/>
      <c r="K1607" s="483"/>
      <c r="L1607" s="478"/>
      <c r="M1607" s="485">
        <f>N1539*2</f>
        <v>4316.6388888888896</v>
      </c>
      <c r="N1607" s="486"/>
      <c r="O1607" s="726"/>
    </row>
    <row r="1608" spans="1:15" s="487" customFormat="1" ht="18" customHeight="1">
      <c r="A1608" s="478"/>
      <c r="B1608" s="336" t="s">
        <v>291</v>
      </c>
      <c r="C1608" s="479">
        <f>2</f>
        <v>2</v>
      </c>
      <c r="D1608" s="480" t="s">
        <v>87</v>
      </c>
      <c r="E1608" s="481">
        <f t="shared" ref="E1608:G1609" si="497">E98</f>
        <v>11</v>
      </c>
      <c r="F1608" s="482">
        <f t="shared" si="497"/>
        <v>1</v>
      </c>
      <c r="G1608" s="483">
        <f t="shared" si="497"/>
        <v>0</v>
      </c>
      <c r="H1608" s="746"/>
      <c r="I1608" s="745"/>
      <c r="J1608" s="482">
        <v>11</v>
      </c>
      <c r="K1608" s="483">
        <v>8</v>
      </c>
      <c r="L1608" s="478"/>
      <c r="M1608" s="485">
        <f t="shared" ref="M1608:M1609" si="498">IF(C1608=0,1,C1608)*IF(E1608=0,1,E1608)*IF((F1608+G1608/12)=0,1,(F1608+G1608/12))*IF((H1608+I1608/12)=0,1,(H1608+I1608/12))*IF((J1608+K1608/12)=0,1,(J1608+K1608/12))</f>
        <v>256.66666666666663</v>
      </c>
      <c r="N1608" s="486"/>
      <c r="O1608" s="726"/>
    </row>
    <row r="1609" spans="1:15" s="487" customFormat="1" ht="18" customHeight="1">
      <c r="A1609" s="478"/>
      <c r="B1609" s="336" t="s">
        <v>292</v>
      </c>
      <c r="C1609" s="479">
        <f>C1608</f>
        <v>2</v>
      </c>
      <c r="D1609" s="480" t="s">
        <v>87</v>
      </c>
      <c r="E1609" s="481">
        <f t="shared" si="497"/>
        <v>1</v>
      </c>
      <c r="F1609" s="482">
        <f t="shared" si="497"/>
        <v>1</v>
      </c>
      <c r="G1609" s="483">
        <f t="shared" si="497"/>
        <v>2</v>
      </c>
      <c r="H1609" s="746"/>
      <c r="I1609" s="745"/>
      <c r="J1609" s="482">
        <f>J1608</f>
        <v>11</v>
      </c>
      <c r="K1609" s="483">
        <f>K1608</f>
        <v>8</v>
      </c>
      <c r="L1609" s="478"/>
      <c r="M1609" s="485">
        <f t="shared" si="498"/>
        <v>27.222222222222221</v>
      </c>
      <c r="N1609" s="486"/>
      <c r="O1609" s="726"/>
    </row>
    <row r="1610" spans="1:15" s="487" customFormat="1" ht="18" customHeight="1">
      <c r="A1610" s="478"/>
      <c r="B1610" s="985" t="s">
        <v>229</v>
      </c>
      <c r="C1610" s="479"/>
      <c r="D1610" s="480"/>
      <c r="E1610" s="724"/>
      <c r="F1610" s="482"/>
      <c r="G1610" s="483"/>
      <c r="H1610" s="746"/>
      <c r="I1610" s="745"/>
      <c r="J1610" s="993"/>
      <c r="K1610" s="483"/>
      <c r="L1610" s="478"/>
      <c r="M1610" s="485"/>
      <c r="N1610" s="486"/>
      <c r="O1610" s="726"/>
    </row>
    <row r="1611" spans="1:15" s="487" customFormat="1" ht="18" customHeight="1">
      <c r="A1611" s="478"/>
      <c r="B1611" s="336" t="s">
        <v>484</v>
      </c>
      <c r="C1611" s="479">
        <f t="shared" ref="C1611:C1617" si="499">C1609</f>
        <v>2</v>
      </c>
      <c r="D1611" s="480" t="s">
        <v>87</v>
      </c>
      <c r="E1611" s="724">
        <f t="shared" ref="E1611:E1617" si="500">E1609</f>
        <v>1</v>
      </c>
      <c r="F1611" s="482">
        <v>13</v>
      </c>
      <c r="G1611" s="483">
        <v>4</v>
      </c>
      <c r="H1611" s="484"/>
      <c r="I1611" s="483"/>
      <c r="J1611" s="993">
        <v>0</v>
      </c>
      <c r="K1611" s="483">
        <v>6</v>
      </c>
      <c r="L1611" s="485"/>
      <c r="M1611" s="485">
        <f t="shared" ref="M1611:M1618" si="501">IF(C1611=0,1,C1611)*IF(E1611=0,1,E1611)*IF((F1611+G1611/12)=0,1,(F1611+G1611/12))*IF((H1611+I1611/12)=0,1,(H1611+I1611/12))*IF((J1611+K1611/12)=0,1,(J1611+K1611/12))</f>
        <v>13.333333333333334</v>
      </c>
      <c r="N1611" s="486"/>
      <c r="O1611" s="726"/>
    </row>
    <row r="1612" spans="1:15" s="487" customFormat="1" ht="18" customHeight="1">
      <c r="A1612" s="478"/>
      <c r="B1612" s="985"/>
      <c r="C1612" s="479">
        <f>1</f>
        <v>1</v>
      </c>
      <c r="D1612" s="480" t="s">
        <v>87</v>
      </c>
      <c r="E1612" s="724">
        <v>1</v>
      </c>
      <c r="F1612" s="482">
        <f>F1611</f>
        <v>13</v>
      </c>
      <c r="G1612" s="483">
        <f>G1611</f>
        <v>4</v>
      </c>
      <c r="H1612" s="484">
        <f>H179</f>
        <v>0</v>
      </c>
      <c r="I1612" s="483">
        <f>I179</f>
        <v>10</v>
      </c>
      <c r="J1612" s="993"/>
      <c r="K1612" s="483"/>
      <c r="L1612" s="485"/>
      <c r="M1612" s="485">
        <f t="shared" si="501"/>
        <v>11.111111111111112</v>
      </c>
      <c r="N1612" s="486"/>
      <c r="O1612" s="726"/>
    </row>
    <row r="1613" spans="1:15" s="487" customFormat="1" ht="18" customHeight="1">
      <c r="A1613" s="478"/>
      <c r="B1613" s="336" t="s">
        <v>485</v>
      </c>
      <c r="C1613" s="479">
        <f t="shared" si="499"/>
        <v>2</v>
      </c>
      <c r="D1613" s="480" t="s">
        <v>87</v>
      </c>
      <c r="E1613" s="724">
        <f t="shared" si="500"/>
        <v>1</v>
      </c>
      <c r="F1613" s="482">
        <v>78</v>
      </c>
      <c r="G1613" s="483">
        <v>6</v>
      </c>
      <c r="H1613" s="484"/>
      <c r="I1613" s="483"/>
      <c r="J1613" s="993">
        <v>0</v>
      </c>
      <c r="K1613" s="483">
        <v>10</v>
      </c>
      <c r="L1613" s="485"/>
      <c r="M1613" s="485">
        <f t="shared" si="501"/>
        <v>130.83333333333334</v>
      </c>
      <c r="N1613" s="486"/>
      <c r="O1613" s="726"/>
    </row>
    <row r="1614" spans="1:15" s="487" customFormat="1" ht="18" customHeight="1">
      <c r="A1614" s="478"/>
      <c r="B1614" s="985"/>
      <c r="C1614" s="479">
        <f>1</f>
        <v>1</v>
      </c>
      <c r="D1614" s="480" t="s">
        <v>87</v>
      </c>
      <c r="E1614" s="724">
        <v>1</v>
      </c>
      <c r="F1614" s="482">
        <f>F1613</f>
        <v>78</v>
      </c>
      <c r="G1614" s="483">
        <f>G1613</f>
        <v>6</v>
      </c>
      <c r="H1614" s="484">
        <f>H186</f>
        <v>0</v>
      </c>
      <c r="I1614" s="483">
        <f>I186</f>
        <v>10</v>
      </c>
      <c r="J1614" s="993"/>
      <c r="K1614" s="483"/>
      <c r="L1614" s="485"/>
      <c r="M1614" s="485">
        <f t="shared" si="501"/>
        <v>65.416666666666671</v>
      </c>
      <c r="N1614" s="486"/>
      <c r="O1614" s="726"/>
    </row>
    <row r="1615" spans="1:15" s="487" customFormat="1" ht="18" customHeight="1">
      <c r="A1615" s="478"/>
      <c r="B1615" s="336" t="s">
        <v>486</v>
      </c>
      <c r="C1615" s="479">
        <f t="shared" si="499"/>
        <v>2</v>
      </c>
      <c r="D1615" s="480" t="s">
        <v>87</v>
      </c>
      <c r="E1615" s="724">
        <f t="shared" si="500"/>
        <v>1</v>
      </c>
      <c r="F1615" s="482">
        <v>97</v>
      </c>
      <c r="G1615" s="483">
        <v>4</v>
      </c>
      <c r="H1615" s="484"/>
      <c r="I1615" s="483"/>
      <c r="J1615" s="993">
        <v>0</v>
      </c>
      <c r="K1615" s="483">
        <v>10</v>
      </c>
      <c r="L1615" s="485"/>
      <c r="M1615" s="485">
        <f t="shared" si="501"/>
        <v>162.22222222222223</v>
      </c>
      <c r="N1615" s="486"/>
      <c r="O1615" s="726"/>
    </row>
    <row r="1616" spans="1:15" s="487" customFormat="1" ht="18" customHeight="1">
      <c r="A1616" s="478"/>
      <c r="B1616" s="985"/>
      <c r="C1616" s="479">
        <f>1</f>
        <v>1</v>
      </c>
      <c r="D1616" s="480" t="s">
        <v>87</v>
      </c>
      <c r="E1616" s="724">
        <v>1</v>
      </c>
      <c r="F1616" s="482">
        <f>F1615</f>
        <v>97</v>
      </c>
      <c r="G1616" s="483">
        <f>G1615</f>
        <v>4</v>
      </c>
      <c r="H1616" s="484">
        <f>H193</f>
        <v>1</v>
      </c>
      <c r="I1616" s="483">
        <f>I193</f>
        <v>0</v>
      </c>
      <c r="J1616" s="993"/>
      <c r="K1616" s="483"/>
      <c r="L1616" s="485"/>
      <c r="M1616" s="485">
        <f t="shared" si="501"/>
        <v>97.333333333333329</v>
      </c>
      <c r="N1616" s="486"/>
      <c r="O1616" s="726"/>
    </row>
    <row r="1617" spans="1:15" s="487" customFormat="1" ht="18" customHeight="1">
      <c r="A1617" s="478"/>
      <c r="B1617" s="336" t="s">
        <v>487</v>
      </c>
      <c r="C1617" s="479">
        <f t="shared" si="499"/>
        <v>2</v>
      </c>
      <c r="D1617" s="480" t="s">
        <v>87</v>
      </c>
      <c r="E1617" s="724">
        <f t="shared" si="500"/>
        <v>1</v>
      </c>
      <c r="F1617" s="482">
        <v>128</v>
      </c>
      <c r="G1617" s="483">
        <v>10</v>
      </c>
      <c r="H1617" s="484"/>
      <c r="I1617" s="483"/>
      <c r="J1617" s="993">
        <v>1</v>
      </c>
      <c r="K1617" s="483">
        <v>0</v>
      </c>
      <c r="L1617" s="485"/>
      <c r="M1617" s="485">
        <f t="shared" si="501"/>
        <v>257.66666666666669</v>
      </c>
      <c r="N1617" s="486"/>
      <c r="O1617" s="726"/>
    </row>
    <row r="1618" spans="1:15" s="487" customFormat="1" ht="18" customHeight="1">
      <c r="A1618" s="478"/>
      <c r="B1618" s="985"/>
      <c r="C1618" s="479">
        <f>1</f>
        <v>1</v>
      </c>
      <c r="D1618" s="480" t="s">
        <v>87</v>
      </c>
      <c r="E1618" s="724">
        <v>1</v>
      </c>
      <c r="F1618" s="482">
        <f>F1617</f>
        <v>128</v>
      </c>
      <c r="G1618" s="483">
        <f>G1617</f>
        <v>10</v>
      </c>
      <c r="H1618" s="484">
        <f>H198</f>
        <v>1</v>
      </c>
      <c r="I1618" s="483">
        <f>I198</f>
        <v>0</v>
      </c>
      <c r="J1618" s="993"/>
      <c r="K1618" s="483"/>
      <c r="L1618" s="485"/>
      <c r="M1618" s="485">
        <f t="shared" si="501"/>
        <v>128.83333333333334</v>
      </c>
      <c r="N1618" s="486"/>
      <c r="O1618" s="726"/>
    </row>
    <row r="1619" spans="1:15" s="487" customFormat="1" ht="18" customHeight="1">
      <c r="A1619" s="478"/>
      <c r="B1619" s="829" t="s">
        <v>488</v>
      </c>
      <c r="C1619" s="479"/>
      <c r="D1619" s="480"/>
      <c r="E1619" s="724"/>
      <c r="F1619" s="482"/>
      <c r="G1619" s="483"/>
      <c r="H1619" s="746"/>
      <c r="I1619" s="745"/>
      <c r="J1619" s="993"/>
      <c r="K1619" s="483"/>
      <c r="L1619" s="478"/>
      <c r="M1619" s="485"/>
      <c r="N1619" s="486"/>
      <c r="O1619" s="726"/>
    </row>
    <row r="1620" spans="1:15" s="487" customFormat="1" ht="18" customHeight="1">
      <c r="A1620" s="478"/>
      <c r="B1620" s="985" t="s">
        <v>177</v>
      </c>
      <c r="C1620" s="479"/>
      <c r="D1620" s="480"/>
      <c r="E1620" s="724"/>
      <c r="F1620" s="482"/>
      <c r="G1620" s="483"/>
      <c r="H1620" s="746"/>
      <c r="I1620" s="745"/>
      <c r="J1620" s="482"/>
      <c r="K1620" s="483"/>
      <c r="L1620" s="478"/>
      <c r="M1620" s="485">
        <f>N1563*2</f>
        <v>2423.916666666667</v>
      </c>
      <c r="N1620" s="486"/>
      <c r="O1620" s="726"/>
    </row>
    <row r="1621" spans="1:15" s="487" customFormat="1" ht="18" customHeight="1">
      <c r="A1621" s="478"/>
      <c r="B1621" s="336" t="s">
        <v>489</v>
      </c>
      <c r="C1621" s="479">
        <v>2</v>
      </c>
      <c r="D1621" s="480" t="s">
        <v>87</v>
      </c>
      <c r="E1621" s="481">
        <f>E103</f>
        <v>12</v>
      </c>
      <c r="F1621" s="482">
        <f>F103</f>
        <v>1</v>
      </c>
      <c r="G1621" s="483">
        <f>G103</f>
        <v>0</v>
      </c>
      <c r="H1621" s="746"/>
      <c r="I1621" s="745"/>
      <c r="J1621" s="993">
        <v>10</v>
      </c>
      <c r="K1621" s="483">
        <v>6</v>
      </c>
      <c r="L1621" s="478"/>
      <c r="M1621" s="485">
        <f t="shared" ref="M1621" si="502">IF(C1621=0,1,C1621)*IF(E1621=0,1,E1621)*IF((F1621+G1621/12)=0,1,(F1621+G1621/12))*IF((H1621+I1621/12)=0,1,(H1621+I1621/12))*IF((J1621+K1621/12)=0,1,(J1621+K1621/12))</f>
        <v>252</v>
      </c>
      <c r="N1621" s="486"/>
      <c r="O1621" s="726"/>
    </row>
    <row r="1622" spans="1:15" s="487" customFormat="1" ht="18" customHeight="1">
      <c r="A1622" s="478"/>
      <c r="B1622" s="985" t="s">
        <v>229</v>
      </c>
      <c r="C1622" s="479"/>
      <c r="D1622" s="480"/>
      <c r="E1622" s="724"/>
      <c r="F1622" s="482"/>
      <c r="G1622" s="483"/>
      <c r="H1622" s="746"/>
      <c r="I1622" s="745"/>
      <c r="J1622" s="993"/>
      <c r="K1622" s="483"/>
      <c r="L1622" s="478"/>
      <c r="M1622" s="485"/>
      <c r="N1622" s="486"/>
      <c r="O1622" s="726"/>
    </row>
    <row r="1623" spans="1:15" s="487" customFormat="1" ht="18" customHeight="1">
      <c r="A1623" s="478"/>
      <c r="B1623" s="336" t="s">
        <v>230</v>
      </c>
      <c r="C1623" s="479">
        <f t="shared" ref="C1623:C1631" si="503">C1621</f>
        <v>2</v>
      </c>
      <c r="D1623" s="480" t="s">
        <v>87</v>
      </c>
      <c r="E1623" s="724">
        <f>E203</f>
        <v>1</v>
      </c>
      <c r="F1623" s="482">
        <f>F203</f>
        <v>5</v>
      </c>
      <c r="G1623" s="483">
        <f>G203</f>
        <v>4</v>
      </c>
      <c r="H1623" s="484"/>
      <c r="I1623" s="483"/>
      <c r="J1623" s="993">
        <v>0</v>
      </c>
      <c r="K1623" s="483">
        <v>5</v>
      </c>
      <c r="L1623" s="485"/>
      <c r="M1623" s="485">
        <f t="shared" ref="M1623:M1632" si="504">IF(C1623=0,1,C1623)*IF(E1623=0,1,E1623)*IF((F1623+G1623/12)=0,1,(F1623+G1623/12))*IF((H1623+I1623/12)=0,1,(H1623+I1623/12))*IF((J1623+K1623/12)=0,1,(J1623+K1623/12))</f>
        <v>4.4444444444444446</v>
      </c>
      <c r="N1623" s="486"/>
      <c r="O1623" s="726"/>
    </row>
    <row r="1624" spans="1:15" s="487" customFormat="1" ht="18" customHeight="1">
      <c r="A1624" s="478"/>
      <c r="B1624" s="985"/>
      <c r="C1624" s="479">
        <f>1</f>
        <v>1</v>
      </c>
      <c r="D1624" s="480" t="s">
        <v>87</v>
      </c>
      <c r="E1624" s="724">
        <v>1</v>
      </c>
      <c r="F1624" s="482">
        <f>F1623</f>
        <v>5</v>
      </c>
      <c r="G1624" s="483">
        <f>G1623</f>
        <v>4</v>
      </c>
      <c r="H1624" s="484">
        <f>H203</f>
        <v>0</v>
      </c>
      <c r="I1624" s="483">
        <f>I203</f>
        <v>10</v>
      </c>
      <c r="J1624" s="993"/>
      <c r="K1624" s="483"/>
      <c r="L1624" s="485"/>
      <c r="M1624" s="485">
        <f t="shared" si="504"/>
        <v>4.4444444444444446</v>
      </c>
      <c r="N1624" s="486"/>
      <c r="O1624" s="726"/>
    </row>
    <row r="1625" spans="1:15" s="487" customFormat="1" ht="18" customHeight="1">
      <c r="A1625" s="478"/>
      <c r="B1625" s="336" t="s">
        <v>231</v>
      </c>
      <c r="C1625" s="479">
        <f t="shared" si="503"/>
        <v>2</v>
      </c>
      <c r="D1625" s="480" t="s">
        <v>87</v>
      </c>
      <c r="E1625" s="724">
        <v>1</v>
      </c>
      <c r="F1625" s="482">
        <v>88</v>
      </c>
      <c r="G1625" s="483">
        <v>9</v>
      </c>
      <c r="H1625" s="484"/>
      <c r="I1625" s="483"/>
      <c r="J1625" s="993">
        <v>0</v>
      </c>
      <c r="K1625" s="483">
        <v>9</v>
      </c>
      <c r="L1625" s="485"/>
      <c r="M1625" s="485">
        <f t="shared" si="504"/>
        <v>133.125</v>
      </c>
      <c r="N1625" s="486"/>
      <c r="O1625" s="726"/>
    </row>
    <row r="1626" spans="1:15" s="487" customFormat="1" ht="18" customHeight="1">
      <c r="A1626" s="478"/>
      <c r="B1626" s="985"/>
      <c r="C1626" s="479">
        <f>1</f>
        <v>1</v>
      </c>
      <c r="D1626" s="480" t="s">
        <v>87</v>
      </c>
      <c r="E1626" s="724">
        <v>1</v>
      </c>
      <c r="F1626" s="482">
        <f>F1625</f>
        <v>88</v>
      </c>
      <c r="G1626" s="483">
        <f>G1625</f>
        <v>9</v>
      </c>
      <c r="H1626" s="484">
        <f>H210</f>
        <v>0</v>
      </c>
      <c r="I1626" s="483">
        <f>I210</f>
        <v>10</v>
      </c>
      <c r="J1626" s="993"/>
      <c r="K1626" s="483"/>
      <c r="L1626" s="485"/>
      <c r="M1626" s="485">
        <f t="shared" si="504"/>
        <v>73.958333333333343</v>
      </c>
      <c r="N1626" s="486"/>
      <c r="O1626" s="726"/>
    </row>
    <row r="1627" spans="1:15" s="487" customFormat="1" ht="18" customHeight="1">
      <c r="A1627" s="478"/>
      <c r="B1627" s="336" t="s">
        <v>490</v>
      </c>
      <c r="C1627" s="479">
        <f t="shared" si="503"/>
        <v>2</v>
      </c>
      <c r="D1627" s="480" t="s">
        <v>87</v>
      </c>
      <c r="E1627" s="724">
        <v>1</v>
      </c>
      <c r="F1627" s="482">
        <v>58</v>
      </c>
      <c r="G1627" s="483">
        <v>3</v>
      </c>
      <c r="H1627" s="484"/>
      <c r="I1627" s="483"/>
      <c r="J1627" s="993">
        <v>0</v>
      </c>
      <c r="K1627" s="483">
        <v>9</v>
      </c>
      <c r="L1627" s="485"/>
      <c r="M1627" s="485">
        <f t="shared" si="504"/>
        <v>87.375</v>
      </c>
      <c r="N1627" s="486"/>
      <c r="O1627" s="726"/>
    </row>
    <row r="1628" spans="1:15" s="487" customFormat="1" ht="18" customHeight="1">
      <c r="A1628" s="478"/>
      <c r="B1628" s="985"/>
      <c r="C1628" s="479">
        <f>1</f>
        <v>1</v>
      </c>
      <c r="D1628" s="480" t="s">
        <v>87</v>
      </c>
      <c r="E1628" s="724">
        <v>1</v>
      </c>
      <c r="F1628" s="482">
        <f>F1627</f>
        <v>58</v>
      </c>
      <c r="G1628" s="483">
        <f>G1627</f>
        <v>3</v>
      </c>
      <c r="H1628" s="484">
        <f>H214</f>
        <v>1</v>
      </c>
      <c r="I1628" s="483">
        <f>I214</f>
        <v>0</v>
      </c>
      <c r="J1628" s="993"/>
      <c r="K1628" s="483"/>
      <c r="L1628" s="485"/>
      <c r="M1628" s="485">
        <f t="shared" si="504"/>
        <v>58.25</v>
      </c>
      <c r="N1628" s="486"/>
      <c r="O1628" s="726"/>
    </row>
    <row r="1629" spans="1:15" s="487" customFormat="1" ht="18" customHeight="1">
      <c r="A1629" s="478"/>
      <c r="B1629" s="336" t="s">
        <v>491</v>
      </c>
      <c r="C1629" s="479">
        <f t="shared" si="503"/>
        <v>2</v>
      </c>
      <c r="D1629" s="480" t="s">
        <v>87</v>
      </c>
      <c r="E1629" s="724">
        <v>1</v>
      </c>
      <c r="F1629" s="482">
        <v>30</v>
      </c>
      <c r="G1629" s="483">
        <v>6</v>
      </c>
      <c r="H1629" s="484"/>
      <c r="I1629" s="483"/>
      <c r="J1629" s="993">
        <v>0</v>
      </c>
      <c r="K1629" s="483">
        <v>11</v>
      </c>
      <c r="L1629" s="485"/>
      <c r="M1629" s="485">
        <f t="shared" si="504"/>
        <v>55.916666666666664</v>
      </c>
      <c r="N1629" s="486"/>
      <c r="O1629" s="726"/>
    </row>
    <row r="1630" spans="1:15" s="487" customFormat="1" ht="18" customHeight="1">
      <c r="A1630" s="478"/>
      <c r="B1630" s="985"/>
      <c r="C1630" s="479">
        <f>1</f>
        <v>1</v>
      </c>
      <c r="D1630" s="480" t="s">
        <v>87</v>
      </c>
      <c r="E1630" s="724">
        <v>1</v>
      </c>
      <c r="F1630" s="482">
        <f>F1629</f>
        <v>30</v>
      </c>
      <c r="G1630" s="483">
        <f>G1629</f>
        <v>6</v>
      </c>
      <c r="H1630" s="484">
        <f>H218</f>
        <v>1</v>
      </c>
      <c r="I1630" s="483">
        <f>I218</f>
        <v>0</v>
      </c>
      <c r="J1630" s="993"/>
      <c r="K1630" s="483"/>
      <c r="L1630" s="485"/>
      <c r="M1630" s="485">
        <f t="shared" si="504"/>
        <v>30.5</v>
      </c>
      <c r="N1630" s="486"/>
      <c r="O1630" s="726"/>
    </row>
    <row r="1631" spans="1:15" s="487" customFormat="1" ht="18" customHeight="1">
      <c r="A1631" s="478"/>
      <c r="B1631" s="336" t="s">
        <v>492</v>
      </c>
      <c r="C1631" s="479">
        <f t="shared" si="503"/>
        <v>2</v>
      </c>
      <c r="D1631" s="480" t="s">
        <v>87</v>
      </c>
      <c r="E1631" s="724">
        <v>1</v>
      </c>
      <c r="F1631" s="482">
        <v>38</v>
      </c>
      <c r="G1631" s="483">
        <v>6</v>
      </c>
      <c r="H1631" s="484"/>
      <c r="I1631" s="483"/>
      <c r="J1631" s="993">
        <v>1</v>
      </c>
      <c r="K1631" s="483">
        <v>1</v>
      </c>
      <c r="L1631" s="485"/>
      <c r="M1631" s="485">
        <f t="shared" si="504"/>
        <v>83.416666666666657</v>
      </c>
      <c r="N1631" s="486"/>
      <c r="O1631" s="726"/>
    </row>
    <row r="1632" spans="1:15" s="487" customFormat="1" ht="18" customHeight="1">
      <c r="A1632" s="478"/>
      <c r="B1632" s="985"/>
      <c r="C1632" s="479">
        <f>1</f>
        <v>1</v>
      </c>
      <c r="D1632" s="480" t="s">
        <v>87</v>
      </c>
      <c r="E1632" s="724">
        <v>1</v>
      </c>
      <c r="F1632" s="482">
        <f>F1631</f>
        <v>38</v>
      </c>
      <c r="G1632" s="483">
        <f>G1631</f>
        <v>6</v>
      </c>
      <c r="H1632" s="484">
        <f>H224</f>
        <v>1</v>
      </c>
      <c r="I1632" s="483">
        <f>I224</f>
        <v>0</v>
      </c>
      <c r="J1632" s="993"/>
      <c r="K1632" s="483"/>
      <c r="L1632" s="485"/>
      <c r="M1632" s="485">
        <f t="shared" si="504"/>
        <v>38.5</v>
      </c>
      <c r="N1632" s="486"/>
      <c r="O1632" s="726"/>
    </row>
    <row r="1633" spans="1:15" s="487" customFormat="1" ht="18" customHeight="1">
      <c r="A1633" s="478"/>
      <c r="B1633" s="985"/>
      <c r="C1633" s="479"/>
      <c r="D1633" s="480"/>
      <c r="E1633" s="724"/>
      <c r="F1633" s="482"/>
      <c r="G1633" s="483"/>
      <c r="H1633" s="746"/>
      <c r="I1633" s="745"/>
      <c r="J1633" s="993"/>
      <c r="K1633" s="483"/>
      <c r="L1633" s="478"/>
      <c r="M1633" s="485"/>
      <c r="N1633" s="486"/>
      <c r="O1633" s="726"/>
    </row>
    <row r="1634" spans="1:15" s="487" customFormat="1" ht="18" customHeight="1">
      <c r="A1634" s="478"/>
      <c r="B1634" s="985" t="s">
        <v>493</v>
      </c>
      <c r="C1634" s="479"/>
      <c r="D1634" s="480"/>
      <c r="E1634" s="724"/>
      <c r="F1634" s="482"/>
      <c r="G1634" s="483"/>
      <c r="H1634" s="746"/>
      <c r="I1634" s="745"/>
      <c r="J1634" s="747"/>
      <c r="K1634" s="984"/>
      <c r="L1634" s="478"/>
      <c r="M1634" s="485"/>
      <c r="N1634" s="726"/>
      <c r="O1634" s="726"/>
    </row>
    <row r="1635" spans="1:15" s="487" customFormat="1" ht="18" customHeight="1">
      <c r="A1635" s="478"/>
      <c r="B1635" s="869" t="s">
        <v>386</v>
      </c>
      <c r="C1635" s="479"/>
      <c r="D1635" s="480"/>
      <c r="E1635" s="724"/>
      <c r="F1635" s="482"/>
      <c r="G1635" s="483"/>
      <c r="H1635" s="746"/>
      <c r="I1635" s="745"/>
      <c r="J1635" s="747"/>
      <c r="K1635" s="725"/>
      <c r="L1635" s="478"/>
      <c r="M1635" s="485"/>
      <c r="N1635" s="726"/>
      <c r="O1635" s="726"/>
    </row>
    <row r="1636" spans="1:15" s="487" customFormat="1" ht="18" hidden="1" customHeight="1">
      <c r="A1636" s="478"/>
      <c r="B1636" s="336" t="s">
        <v>166</v>
      </c>
      <c r="C1636" s="479">
        <f>C285</f>
        <v>1</v>
      </c>
      <c r="D1636" s="480" t="s">
        <v>87</v>
      </c>
      <c r="E1636" s="481">
        <f>E285</f>
        <v>1</v>
      </c>
      <c r="F1636" s="482">
        <f>F285</f>
        <v>74</v>
      </c>
      <c r="G1636" s="483">
        <f>G285</f>
        <v>0</v>
      </c>
      <c r="H1636" s="482"/>
      <c r="I1636" s="483"/>
      <c r="J1636" s="993">
        <f>J285</f>
        <v>1</v>
      </c>
      <c r="K1636" s="483">
        <f>K285</f>
        <v>0</v>
      </c>
      <c r="L1636" s="478"/>
      <c r="M1636" s="485"/>
      <c r="N1636" s="726"/>
      <c r="O1636" s="726"/>
    </row>
    <row r="1637" spans="1:15" s="487" customFormat="1" ht="18" hidden="1" customHeight="1">
      <c r="A1637" s="478"/>
      <c r="B1637" s="336" t="s">
        <v>232</v>
      </c>
      <c r="C1637" s="479">
        <f>C1636*2</f>
        <v>2</v>
      </c>
      <c r="D1637" s="480" t="s">
        <v>87</v>
      </c>
      <c r="E1637" s="481">
        <f>E1636</f>
        <v>1</v>
      </c>
      <c r="F1637" s="482">
        <f>H285</f>
        <v>2</v>
      </c>
      <c r="G1637" s="483">
        <f>I285</f>
        <v>0</v>
      </c>
      <c r="H1637" s="484"/>
      <c r="I1637" s="483"/>
      <c r="J1637" s="749">
        <f>J1636</f>
        <v>1</v>
      </c>
      <c r="K1637" s="483">
        <f>K1636</f>
        <v>0</v>
      </c>
      <c r="L1637" s="478"/>
      <c r="M1637" s="485"/>
      <c r="N1637" s="726"/>
      <c r="O1637" s="726"/>
    </row>
    <row r="1638" spans="1:15" s="487" customFormat="1" ht="18" hidden="1" customHeight="1">
      <c r="A1638" s="478"/>
      <c r="B1638" s="336" t="s">
        <v>167</v>
      </c>
      <c r="C1638" s="479">
        <f>C286</f>
        <v>1</v>
      </c>
      <c r="D1638" s="480" t="s">
        <v>87</v>
      </c>
      <c r="E1638" s="481">
        <f>E286</f>
        <v>1</v>
      </c>
      <c r="F1638" s="482">
        <f>F286</f>
        <v>74</v>
      </c>
      <c r="G1638" s="483">
        <f>G286</f>
        <v>0</v>
      </c>
      <c r="H1638" s="482"/>
      <c r="I1638" s="483"/>
      <c r="J1638" s="749">
        <f>J286</f>
        <v>1</v>
      </c>
      <c r="K1638" s="483">
        <f>K286</f>
        <v>0</v>
      </c>
      <c r="L1638" s="478"/>
      <c r="M1638" s="485"/>
      <c r="N1638" s="726"/>
      <c r="O1638" s="726"/>
    </row>
    <row r="1639" spans="1:15" s="487" customFormat="1" ht="18" hidden="1" customHeight="1">
      <c r="A1639" s="478"/>
      <c r="B1639" s="336" t="s">
        <v>176</v>
      </c>
      <c r="C1639" s="479">
        <f>C1638*2</f>
        <v>2</v>
      </c>
      <c r="D1639" s="480" t="s">
        <v>87</v>
      </c>
      <c r="E1639" s="481">
        <f>E1638</f>
        <v>1</v>
      </c>
      <c r="F1639" s="482">
        <f>H286</f>
        <v>1</v>
      </c>
      <c r="G1639" s="483">
        <f>I286</f>
        <v>0</v>
      </c>
      <c r="H1639" s="482"/>
      <c r="I1639" s="483"/>
      <c r="J1639" s="749">
        <f>J1638</f>
        <v>1</v>
      </c>
      <c r="K1639" s="483">
        <f>K1638</f>
        <v>0</v>
      </c>
      <c r="L1639" s="478"/>
      <c r="M1639" s="485"/>
      <c r="N1639" s="726"/>
      <c r="O1639" s="726"/>
    </row>
    <row r="1640" spans="1:15" s="487" customFormat="1" ht="18" hidden="1" customHeight="1">
      <c r="A1640" s="478"/>
      <c r="B1640" s="869" t="s">
        <v>494</v>
      </c>
      <c r="C1640" s="479"/>
      <c r="D1640" s="480"/>
      <c r="E1640" s="724"/>
      <c r="F1640" s="482"/>
      <c r="G1640" s="483"/>
      <c r="H1640" s="746"/>
      <c r="I1640" s="745"/>
      <c r="J1640" s="747"/>
      <c r="K1640" s="725"/>
      <c r="L1640" s="478"/>
      <c r="M1640" s="485"/>
      <c r="N1640" s="726"/>
      <c r="O1640" s="726"/>
    </row>
    <row r="1641" spans="1:15" s="487" customFormat="1" ht="18" customHeight="1">
      <c r="A1641" s="478"/>
      <c r="B1641" s="336" t="s">
        <v>52</v>
      </c>
      <c r="C1641" s="479">
        <f>C289</f>
        <v>1</v>
      </c>
      <c r="D1641" s="480" t="s">
        <v>87</v>
      </c>
      <c r="E1641" s="481">
        <f>E289</f>
        <v>2</v>
      </c>
      <c r="F1641" s="482">
        <f>F289</f>
        <v>10</v>
      </c>
      <c r="G1641" s="483">
        <f>G289</f>
        <v>9</v>
      </c>
      <c r="H1641" s="482">
        <f>H289</f>
        <v>4</v>
      </c>
      <c r="I1641" s="483">
        <f>I289</f>
        <v>5</v>
      </c>
      <c r="J1641" s="993"/>
      <c r="K1641" s="483"/>
      <c r="L1641" s="478"/>
      <c r="M1641" s="485">
        <f t="shared" ref="M1641:M1646" si="505">IF(C1641=0,1,C1641)*IF(E1641=0,1,E1641)*IF((F1641+G1641/12)=0,1,(F1641+G1641/12))*IF((H1641+I1641/12)=0,1,(H1641+I1641/12))*IF((J1641+K1641/12)=0,1,(J1641+K1641/12))</f>
        <v>94.958333333333343</v>
      </c>
      <c r="N1641" s="726"/>
      <c r="O1641" s="726"/>
    </row>
    <row r="1642" spans="1:15" s="487" customFormat="1" ht="18" customHeight="1">
      <c r="A1642" s="478"/>
      <c r="B1642" s="336" t="s">
        <v>168</v>
      </c>
      <c r="C1642" s="479">
        <f>2*1</f>
        <v>2</v>
      </c>
      <c r="D1642" s="480" t="s">
        <v>87</v>
      </c>
      <c r="E1642" s="481">
        <f>C1641*E1641</f>
        <v>2</v>
      </c>
      <c r="F1642" s="482">
        <f>F1641</f>
        <v>10</v>
      </c>
      <c r="G1642" s="483">
        <f>G1641</f>
        <v>9</v>
      </c>
      <c r="H1642" s="482"/>
      <c r="I1642" s="483"/>
      <c r="J1642" s="993">
        <f>J289</f>
        <v>0</v>
      </c>
      <c r="K1642" s="483">
        <f>K289</f>
        <v>6</v>
      </c>
      <c r="L1642" s="478"/>
      <c r="M1642" s="485">
        <f t="shared" si="505"/>
        <v>21.5</v>
      </c>
      <c r="N1642" s="726"/>
      <c r="O1642" s="726"/>
    </row>
    <row r="1643" spans="1:15" s="487" customFormat="1" ht="18" customHeight="1">
      <c r="A1643" s="478"/>
      <c r="B1643" s="336" t="s">
        <v>43</v>
      </c>
      <c r="C1643" s="479">
        <f>C290</f>
        <v>2</v>
      </c>
      <c r="D1643" s="480" t="s">
        <v>87</v>
      </c>
      <c r="E1643" s="481">
        <f>E290*2</f>
        <v>22</v>
      </c>
      <c r="F1643" s="482">
        <f>F290</f>
        <v>4</v>
      </c>
      <c r="G1643" s="483">
        <f>G290</f>
        <v>5</v>
      </c>
      <c r="H1643" s="482"/>
      <c r="I1643" s="483"/>
      <c r="J1643" s="993">
        <v>1</v>
      </c>
      <c r="K1643" s="483">
        <v>1.1000000000000001</v>
      </c>
      <c r="L1643" s="478"/>
      <c r="M1643" s="485">
        <f t="shared" si="505"/>
        <v>212.14722222222227</v>
      </c>
      <c r="N1643" s="726"/>
      <c r="O1643" s="726"/>
    </row>
    <row r="1644" spans="1:15" s="487" customFormat="1" ht="18" customHeight="1">
      <c r="A1644" s="478"/>
      <c r="B1644" s="336" t="s">
        <v>221</v>
      </c>
      <c r="C1644" s="479">
        <f>C290</f>
        <v>2</v>
      </c>
      <c r="D1644" s="480" t="s">
        <v>87</v>
      </c>
      <c r="E1644" s="481">
        <f>E290</f>
        <v>11</v>
      </c>
      <c r="F1644" s="482">
        <f>H290</f>
        <v>0</v>
      </c>
      <c r="G1644" s="483">
        <f>I290</f>
        <v>9</v>
      </c>
      <c r="H1644" s="482"/>
      <c r="I1644" s="483"/>
      <c r="J1644" s="993">
        <f>J290</f>
        <v>0</v>
      </c>
      <c r="K1644" s="819">
        <f>K290</f>
        <v>7.1</v>
      </c>
      <c r="L1644" s="833"/>
      <c r="M1644" s="485">
        <f t="shared" si="505"/>
        <v>9.7624999999999993</v>
      </c>
      <c r="N1644" s="726"/>
      <c r="O1644" s="726"/>
    </row>
    <row r="1645" spans="1:15" s="487" customFormat="1" ht="18" customHeight="1">
      <c r="A1645" s="478"/>
      <c r="B1645" s="336" t="s">
        <v>173</v>
      </c>
      <c r="C1645" s="479">
        <f>C291</f>
        <v>1</v>
      </c>
      <c r="D1645" s="480" t="s">
        <v>87</v>
      </c>
      <c r="E1645" s="481">
        <f>E291</f>
        <v>1</v>
      </c>
      <c r="F1645" s="482">
        <f t="shared" ref="F1645:I1646" si="506">F291</f>
        <v>7</v>
      </c>
      <c r="G1645" s="483">
        <f t="shared" si="506"/>
        <v>10</v>
      </c>
      <c r="H1645" s="482">
        <f t="shared" si="506"/>
        <v>1</v>
      </c>
      <c r="I1645" s="483">
        <f t="shared" si="506"/>
        <v>2</v>
      </c>
      <c r="J1645" s="993"/>
      <c r="K1645" s="483"/>
      <c r="L1645" s="478"/>
      <c r="M1645" s="485">
        <f t="shared" si="505"/>
        <v>9.1388888888888893</v>
      </c>
      <c r="N1645" s="726"/>
      <c r="O1645" s="726"/>
    </row>
    <row r="1646" spans="1:15" s="487" customFormat="1" ht="18" customHeight="1">
      <c r="A1646" s="478"/>
      <c r="B1646" s="336" t="s">
        <v>53</v>
      </c>
      <c r="C1646" s="479">
        <f>C292</f>
        <v>1</v>
      </c>
      <c r="D1646" s="480" t="s">
        <v>87</v>
      </c>
      <c r="E1646" s="481">
        <f>E292</f>
        <v>1</v>
      </c>
      <c r="F1646" s="482">
        <f t="shared" si="506"/>
        <v>9</v>
      </c>
      <c r="G1646" s="483">
        <f t="shared" si="506"/>
        <v>0</v>
      </c>
      <c r="H1646" s="482">
        <f t="shared" si="506"/>
        <v>2</v>
      </c>
      <c r="I1646" s="483">
        <f t="shared" si="506"/>
        <v>10</v>
      </c>
      <c r="J1646" s="993"/>
      <c r="K1646" s="483"/>
      <c r="L1646" s="478"/>
      <c r="M1646" s="485">
        <f t="shared" si="505"/>
        <v>25.5</v>
      </c>
      <c r="N1646" s="726"/>
      <c r="O1646" s="726"/>
    </row>
    <row r="1647" spans="1:15" s="487" customFormat="1" ht="18" customHeight="1">
      <c r="A1647" s="478"/>
      <c r="B1647" s="869" t="s">
        <v>387</v>
      </c>
      <c r="C1647" s="479"/>
      <c r="D1647" s="480"/>
      <c r="E1647" s="481"/>
      <c r="F1647" s="482"/>
      <c r="G1647" s="483"/>
      <c r="H1647" s="482"/>
      <c r="I1647" s="483"/>
      <c r="J1647" s="993"/>
      <c r="K1647" s="483"/>
      <c r="L1647" s="833"/>
      <c r="M1647" s="485"/>
      <c r="N1647" s="726"/>
      <c r="O1647" s="726"/>
    </row>
    <row r="1648" spans="1:15" s="487" customFormat="1" ht="18" customHeight="1">
      <c r="A1648" s="478"/>
      <c r="B1648" s="336" t="s">
        <v>52</v>
      </c>
      <c r="C1648" s="479">
        <f>C295</f>
        <v>1</v>
      </c>
      <c r="D1648" s="480" t="s">
        <v>87</v>
      </c>
      <c r="E1648" s="481">
        <f>E295</f>
        <v>2</v>
      </c>
      <c r="F1648" s="482">
        <f>F295</f>
        <v>10</v>
      </c>
      <c r="G1648" s="483">
        <f>G295</f>
        <v>6</v>
      </c>
      <c r="H1648" s="482">
        <f>H296</f>
        <v>0</v>
      </c>
      <c r="I1648" s="483">
        <f>I296</f>
        <v>9</v>
      </c>
      <c r="J1648" s="993"/>
      <c r="K1648" s="483"/>
      <c r="L1648" s="478"/>
      <c r="M1648" s="485">
        <f t="shared" ref="M1648:M1653" si="507">IF(C1648=0,1,C1648)*IF(E1648=0,1,E1648)*IF((F1648+G1648/12)=0,1,(F1648+G1648/12))*IF((H1648+I1648/12)=0,1,(H1648+I1648/12))*IF((J1648+K1648/12)=0,1,(J1648+K1648/12))</f>
        <v>15.75</v>
      </c>
      <c r="N1648" s="726"/>
      <c r="O1648" s="726"/>
    </row>
    <row r="1649" spans="1:24" s="487" customFormat="1" ht="18" customHeight="1">
      <c r="A1649" s="478"/>
      <c r="B1649" s="336" t="s">
        <v>168</v>
      </c>
      <c r="C1649" s="479">
        <f>2*1</f>
        <v>2</v>
      </c>
      <c r="D1649" s="480" t="s">
        <v>87</v>
      </c>
      <c r="E1649" s="481">
        <f>C1648*E1648</f>
        <v>2</v>
      </c>
      <c r="F1649" s="482">
        <f>F1648</f>
        <v>10</v>
      </c>
      <c r="G1649" s="483">
        <f>G1648</f>
        <v>6</v>
      </c>
      <c r="H1649" s="482"/>
      <c r="I1649" s="483"/>
      <c r="J1649" s="993">
        <f>J295</f>
        <v>0</v>
      </c>
      <c r="K1649" s="483">
        <f>K295</f>
        <v>6</v>
      </c>
      <c r="L1649" s="478"/>
      <c r="M1649" s="485">
        <f t="shared" si="507"/>
        <v>21</v>
      </c>
      <c r="N1649" s="726"/>
      <c r="O1649" s="726"/>
    </row>
    <row r="1650" spans="1:24" s="487" customFormat="1" ht="18" customHeight="1">
      <c r="A1650" s="478"/>
      <c r="B1650" s="336" t="s">
        <v>43</v>
      </c>
      <c r="C1650" s="479">
        <f>C296</f>
        <v>2</v>
      </c>
      <c r="D1650" s="480" t="s">
        <v>87</v>
      </c>
      <c r="E1650" s="481">
        <f>E296*2</f>
        <v>22</v>
      </c>
      <c r="F1650" s="482">
        <f>F296</f>
        <v>4</v>
      </c>
      <c r="G1650" s="483">
        <f>G296</f>
        <v>5</v>
      </c>
      <c r="H1650" s="482"/>
      <c r="I1650" s="483"/>
      <c r="J1650" s="993">
        <v>1</v>
      </c>
      <c r="K1650" s="819">
        <v>3.5</v>
      </c>
      <c r="L1650" s="478"/>
      <c r="M1650" s="485">
        <f t="shared" si="507"/>
        <v>251.01388888888891</v>
      </c>
      <c r="N1650" s="726"/>
      <c r="O1650" s="726"/>
    </row>
    <row r="1651" spans="1:24" s="487" customFormat="1" ht="18" customHeight="1">
      <c r="A1651" s="478"/>
      <c r="B1651" s="336" t="s">
        <v>221</v>
      </c>
      <c r="C1651" s="479">
        <f>C296</f>
        <v>2</v>
      </c>
      <c r="D1651" s="480" t="s">
        <v>87</v>
      </c>
      <c r="E1651" s="481">
        <f>E296</f>
        <v>11</v>
      </c>
      <c r="F1651" s="482">
        <f>H296</f>
        <v>0</v>
      </c>
      <c r="G1651" s="483">
        <f>I296</f>
        <v>9</v>
      </c>
      <c r="H1651" s="482"/>
      <c r="I1651" s="483"/>
      <c r="J1651" s="993">
        <f>J296</f>
        <v>0</v>
      </c>
      <c r="K1651" s="819">
        <f>K296</f>
        <v>6.5</v>
      </c>
      <c r="L1651" s="833"/>
      <c r="M1651" s="485">
        <f t="shared" si="507"/>
        <v>8.9375</v>
      </c>
      <c r="N1651" s="726"/>
      <c r="O1651" s="726"/>
    </row>
    <row r="1652" spans="1:24" s="487" customFormat="1" ht="18" customHeight="1">
      <c r="A1652" s="478"/>
      <c r="B1652" s="336" t="s">
        <v>173</v>
      </c>
      <c r="C1652" s="479">
        <f>C297</f>
        <v>1</v>
      </c>
      <c r="D1652" s="480" t="s">
        <v>87</v>
      </c>
      <c r="E1652" s="481">
        <f>E297</f>
        <v>1</v>
      </c>
      <c r="F1652" s="482">
        <f t="shared" ref="F1652:I1653" si="508">F297</f>
        <v>7</v>
      </c>
      <c r="G1652" s="483">
        <f t="shared" si="508"/>
        <v>10</v>
      </c>
      <c r="H1652" s="482">
        <f t="shared" si="508"/>
        <v>1</v>
      </c>
      <c r="I1652" s="483">
        <f t="shared" si="508"/>
        <v>2</v>
      </c>
      <c r="J1652" s="993"/>
      <c r="K1652" s="483"/>
      <c r="L1652" s="478"/>
      <c r="M1652" s="485">
        <f t="shared" si="507"/>
        <v>9.1388888888888893</v>
      </c>
      <c r="N1652" s="726"/>
      <c r="O1652" s="726"/>
    </row>
    <row r="1653" spans="1:24" s="487" customFormat="1" ht="18" customHeight="1">
      <c r="A1653" s="478"/>
      <c r="B1653" s="336" t="s">
        <v>53</v>
      </c>
      <c r="C1653" s="479">
        <f>C298</f>
        <v>1</v>
      </c>
      <c r="D1653" s="480" t="s">
        <v>87</v>
      </c>
      <c r="E1653" s="481">
        <f>E298</f>
        <v>1</v>
      </c>
      <c r="F1653" s="482">
        <f t="shared" si="508"/>
        <v>9</v>
      </c>
      <c r="G1653" s="483">
        <f t="shared" si="508"/>
        <v>0</v>
      </c>
      <c r="H1653" s="482">
        <f t="shared" si="508"/>
        <v>2</v>
      </c>
      <c r="I1653" s="483">
        <f t="shared" si="508"/>
        <v>10</v>
      </c>
      <c r="J1653" s="993"/>
      <c r="K1653" s="483"/>
      <c r="L1653" s="478"/>
      <c r="M1653" s="485">
        <f t="shared" si="507"/>
        <v>25.5</v>
      </c>
      <c r="N1653" s="726"/>
      <c r="O1653" s="726"/>
    </row>
    <row r="1654" spans="1:24" s="487" customFormat="1" ht="18" customHeight="1">
      <c r="A1654" s="478"/>
      <c r="B1654" s="336"/>
      <c r="C1654" s="479"/>
      <c r="D1654" s="480"/>
      <c r="E1654" s="481"/>
      <c r="F1654" s="482"/>
      <c r="G1654" s="483"/>
      <c r="H1654" s="482"/>
      <c r="I1654" s="745"/>
      <c r="J1654" s="747"/>
      <c r="K1654" s="984"/>
      <c r="L1654" s="833"/>
      <c r="M1654" s="485"/>
      <c r="N1654" s="871">
        <f>SUM(M1571:M1653)</f>
        <v>17350.625000000015</v>
      </c>
      <c r="O1654" s="965" t="s">
        <v>19</v>
      </c>
    </row>
    <row r="1655" spans="1:24" s="487" customFormat="1" ht="18" customHeight="1">
      <c r="A1655" s="548"/>
      <c r="B1655" s="727"/>
      <c r="C1655" s="557"/>
      <c r="D1655" s="550"/>
      <c r="E1655" s="728"/>
      <c r="F1655" s="552"/>
      <c r="G1655" s="553"/>
      <c r="H1655" s="730"/>
      <c r="I1655" s="729"/>
      <c r="J1655" s="731"/>
      <c r="K1655" s="986"/>
      <c r="L1655" s="548"/>
      <c r="M1655" s="786"/>
      <c r="N1655" s="987"/>
      <c r="O1655" s="987"/>
    </row>
    <row r="1656" spans="1:24" ht="18" hidden="1" customHeight="1">
      <c r="A1656" s="1022"/>
      <c r="B1656" s="1023" t="s">
        <v>248</v>
      </c>
      <c r="C1656" s="1024"/>
      <c r="D1656" s="1025"/>
      <c r="E1656" s="1026"/>
      <c r="F1656" s="1027"/>
      <c r="G1656" s="1028"/>
      <c r="H1656" s="1029"/>
      <c r="I1656" s="1028"/>
      <c r="J1656" s="1030"/>
      <c r="K1656" s="1031"/>
      <c r="L1656" s="1032"/>
      <c r="M1656" s="1033"/>
      <c r="N1656" s="1034"/>
      <c r="O1656" s="1034"/>
    </row>
    <row r="1657" spans="1:24" s="679" customFormat="1" ht="18" hidden="1" customHeight="1">
      <c r="A1657" s="474"/>
      <c r="B1657" s="494" t="s">
        <v>233</v>
      </c>
      <c r="C1657" s="488">
        <f>2</f>
        <v>2</v>
      </c>
      <c r="D1657" s="489" t="s">
        <v>87</v>
      </c>
      <c r="E1657" s="589">
        <f>2</f>
        <v>2</v>
      </c>
      <c r="F1657" s="491">
        <f>150</f>
        <v>150</v>
      </c>
      <c r="G1657" s="496">
        <f>0</f>
        <v>0</v>
      </c>
      <c r="H1657" s="497"/>
      <c r="I1657" s="496"/>
      <c r="J1657" s="609">
        <f>1</f>
        <v>1</v>
      </c>
      <c r="K1657" s="496">
        <f>0</f>
        <v>0</v>
      </c>
      <c r="L1657" s="626"/>
      <c r="M1657" s="475">
        <f t="shared" ref="M1657:M1663" si="509">C1657*E1657*(F1657+G1657/12)*(J1657+K1657/12)</f>
        <v>600</v>
      </c>
      <c r="N1657" s="476"/>
      <c r="O1657" s="476"/>
      <c r="P1657" s="477"/>
      <c r="Q1657" s="477"/>
      <c r="R1657" s="477"/>
      <c r="S1657" s="477"/>
      <c r="T1657" s="477"/>
      <c r="U1657" s="477"/>
      <c r="V1657" s="477"/>
      <c r="W1657" s="477"/>
      <c r="X1657" s="477"/>
    </row>
    <row r="1658" spans="1:24" ht="18" hidden="1" customHeight="1">
      <c r="A1658" s="474"/>
      <c r="B1658" s="494"/>
      <c r="C1658" s="488">
        <f>C1657</f>
        <v>2</v>
      </c>
      <c r="D1658" s="489" t="s">
        <v>87</v>
      </c>
      <c r="E1658" s="589">
        <f>E1657</f>
        <v>2</v>
      </c>
      <c r="F1658" s="491">
        <f>74</f>
        <v>74</v>
      </c>
      <c r="G1658" s="496">
        <f>0</f>
        <v>0</v>
      </c>
      <c r="H1658" s="497"/>
      <c r="I1658" s="496"/>
      <c r="J1658" s="609">
        <f>J1657</f>
        <v>1</v>
      </c>
      <c r="K1658" s="496">
        <f>K1657</f>
        <v>0</v>
      </c>
      <c r="L1658" s="626"/>
      <c r="M1658" s="475">
        <f t="shared" si="509"/>
        <v>296</v>
      </c>
      <c r="N1658" s="476"/>
      <c r="O1658" s="476"/>
    </row>
    <row r="1659" spans="1:24" ht="18" hidden="1" customHeight="1">
      <c r="A1659" s="474"/>
      <c r="B1659" s="494" t="s">
        <v>249</v>
      </c>
      <c r="C1659" s="488">
        <f>C1657</f>
        <v>2</v>
      </c>
      <c r="D1659" s="489" t="s">
        <v>87</v>
      </c>
      <c r="E1659" s="589">
        <f t="shared" ref="E1659:G1660" si="510">E1657</f>
        <v>2</v>
      </c>
      <c r="F1659" s="491">
        <f t="shared" si="510"/>
        <v>150</v>
      </c>
      <c r="G1659" s="496">
        <f t="shared" si="510"/>
        <v>0</v>
      </c>
      <c r="H1659" s="497"/>
      <c r="I1659" s="496"/>
      <c r="J1659" s="609">
        <f>J1657</f>
        <v>1</v>
      </c>
      <c r="K1659" s="496">
        <f>K1657</f>
        <v>0</v>
      </c>
      <c r="L1659" s="626"/>
      <c r="M1659" s="475">
        <f t="shared" si="509"/>
        <v>600</v>
      </c>
      <c r="N1659" s="476"/>
      <c r="O1659" s="476"/>
    </row>
    <row r="1660" spans="1:24" ht="18" hidden="1" customHeight="1">
      <c r="A1660" s="474"/>
      <c r="B1660" s="494"/>
      <c r="C1660" s="488">
        <f>C1658</f>
        <v>2</v>
      </c>
      <c r="D1660" s="489" t="s">
        <v>87</v>
      </c>
      <c r="E1660" s="589">
        <f t="shared" si="510"/>
        <v>2</v>
      </c>
      <c r="F1660" s="491">
        <f t="shared" si="510"/>
        <v>74</v>
      </c>
      <c r="G1660" s="496">
        <f t="shared" si="510"/>
        <v>0</v>
      </c>
      <c r="H1660" s="497"/>
      <c r="I1660" s="496"/>
      <c r="J1660" s="609">
        <f>J1658</f>
        <v>1</v>
      </c>
      <c r="K1660" s="496">
        <f>K1658</f>
        <v>0</v>
      </c>
      <c r="L1660" s="626"/>
      <c r="M1660" s="475">
        <f t="shared" si="509"/>
        <v>296</v>
      </c>
      <c r="N1660" s="476"/>
      <c r="O1660" s="476"/>
    </row>
    <row r="1661" spans="1:24" ht="18" hidden="1" customHeight="1">
      <c r="A1661" s="474"/>
      <c r="B1661" s="494" t="s">
        <v>250</v>
      </c>
      <c r="C1661" s="488">
        <f>1</f>
        <v>1</v>
      </c>
      <c r="D1661" s="489" t="s">
        <v>87</v>
      </c>
      <c r="E1661" s="589">
        <f>1</f>
        <v>1</v>
      </c>
      <c r="F1661" s="491">
        <f>61</f>
        <v>61</v>
      </c>
      <c r="G1661" s="496">
        <f>0</f>
        <v>0</v>
      </c>
      <c r="H1661" s="497"/>
      <c r="I1661" s="496"/>
      <c r="J1661" s="609">
        <f>J1660</f>
        <v>1</v>
      </c>
      <c r="K1661" s="496">
        <f>K1660</f>
        <v>0</v>
      </c>
      <c r="L1661" s="626"/>
      <c r="M1661" s="475">
        <f t="shared" si="509"/>
        <v>61</v>
      </c>
      <c r="N1661" s="476"/>
      <c r="O1661" s="476"/>
    </row>
    <row r="1662" spans="1:24" ht="18" hidden="1" customHeight="1">
      <c r="A1662" s="474"/>
      <c r="B1662" s="494" t="s">
        <v>228</v>
      </c>
      <c r="C1662" s="488">
        <f>26</f>
        <v>26</v>
      </c>
      <c r="D1662" s="489" t="s">
        <v>87</v>
      </c>
      <c r="E1662" s="589">
        <f>1</f>
        <v>1</v>
      </c>
      <c r="F1662" s="491">
        <f>4</f>
        <v>4</v>
      </c>
      <c r="G1662" s="496">
        <f>0</f>
        <v>0</v>
      </c>
      <c r="H1662" s="497"/>
      <c r="I1662" s="496"/>
      <c r="J1662" s="609">
        <f>J1661</f>
        <v>1</v>
      </c>
      <c r="K1662" s="496">
        <f>K1661</f>
        <v>0</v>
      </c>
      <c r="L1662" s="626"/>
      <c r="M1662" s="475">
        <f t="shared" si="509"/>
        <v>104</v>
      </c>
      <c r="N1662" s="476"/>
      <c r="O1662" s="476"/>
    </row>
    <row r="1663" spans="1:24" ht="18" hidden="1" customHeight="1">
      <c r="A1663" s="474"/>
      <c r="B1663" s="494"/>
      <c r="C1663" s="488">
        <f>C1662</f>
        <v>26</v>
      </c>
      <c r="D1663" s="489" t="s">
        <v>87</v>
      </c>
      <c r="E1663" s="589">
        <f>E1662</f>
        <v>1</v>
      </c>
      <c r="F1663" s="491">
        <f>F1662</f>
        <v>4</v>
      </c>
      <c r="G1663" s="496">
        <f>G1662</f>
        <v>0</v>
      </c>
      <c r="H1663" s="497"/>
      <c r="I1663" s="496"/>
      <c r="J1663" s="609">
        <v>3</v>
      </c>
      <c r="K1663" s="496">
        <f>0</f>
        <v>0</v>
      </c>
      <c r="L1663" s="626"/>
      <c r="M1663" s="475">
        <f t="shared" si="509"/>
        <v>312</v>
      </c>
      <c r="N1663" s="476"/>
      <c r="O1663" s="476"/>
    </row>
    <row r="1664" spans="1:24" ht="18" hidden="1" customHeight="1">
      <c r="A1664" s="474"/>
      <c r="B1664" s="494"/>
      <c r="C1664" s="488"/>
      <c r="D1664" s="489"/>
      <c r="E1664" s="589"/>
      <c r="F1664" s="491"/>
      <c r="G1664" s="496"/>
      <c r="H1664" s="497"/>
      <c r="I1664" s="496"/>
      <c r="J1664" s="609"/>
      <c r="K1664" s="625"/>
      <c r="L1664" s="626"/>
      <c r="M1664" s="475"/>
      <c r="N1664" s="611"/>
      <c r="O1664" s="672" t="s">
        <v>19</v>
      </c>
    </row>
    <row r="1665" spans="1:17" ht="18" hidden="1" customHeight="1">
      <c r="A1665" s="474"/>
      <c r="B1665" s="494"/>
      <c r="C1665" s="488"/>
      <c r="D1665" s="489"/>
      <c r="E1665" s="589"/>
      <c r="F1665" s="491"/>
      <c r="G1665" s="496"/>
      <c r="H1665" s="497"/>
      <c r="I1665" s="496"/>
      <c r="J1665" s="609"/>
      <c r="K1665" s="625"/>
      <c r="L1665" s="626"/>
      <c r="M1665" s="475"/>
      <c r="N1665" s="476"/>
      <c r="O1665" s="476"/>
    </row>
    <row r="1666" spans="1:17" ht="18" hidden="1" customHeight="1">
      <c r="A1666" s="538"/>
      <c r="B1666" s="592"/>
      <c r="C1666" s="539"/>
      <c r="D1666" s="540"/>
      <c r="E1666" s="593"/>
      <c r="F1666" s="541"/>
      <c r="G1666" s="615"/>
      <c r="H1666" s="543"/>
      <c r="I1666" s="542"/>
      <c r="J1666" s="594"/>
      <c r="K1666" s="595"/>
      <c r="L1666" s="538"/>
      <c r="M1666" s="568"/>
      <c r="N1666" s="569"/>
      <c r="O1666" s="569"/>
    </row>
    <row r="1667" spans="1:17" s="487" customFormat="1" ht="18" customHeight="1">
      <c r="A1667" s="733"/>
      <c r="B1667" s="734" t="s">
        <v>112</v>
      </c>
      <c r="C1667" s="735"/>
      <c r="D1667" s="736"/>
      <c r="E1667" s="737"/>
      <c r="F1667" s="738"/>
      <c r="G1667" s="807"/>
      <c r="H1667" s="740"/>
      <c r="I1667" s="739"/>
      <c r="J1667" s="741"/>
      <c r="K1667" s="742"/>
      <c r="L1667" s="743"/>
      <c r="M1667" s="499"/>
      <c r="N1667" s="499"/>
      <c r="O1667" s="733"/>
    </row>
    <row r="1668" spans="1:17" s="487" customFormat="1" ht="18" customHeight="1">
      <c r="A1668" s="726">
        <v>16</v>
      </c>
      <c r="B1668" s="983" t="s">
        <v>767</v>
      </c>
      <c r="C1668" s="479"/>
      <c r="D1668" s="480"/>
      <c r="E1668" s="724"/>
      <c r="F1668" s="482"/>
      <c r="G1668" s="483"/>
      <c r="H1668" s="746"/>
      <c r="I1668" s="745"/>
      <c r="J1668" s="747"/>
      <c r="K1668" s="725"/>
      <c r="L1668" s="478"/>
      <c r="M1668" s="485"/>
      <c r="N1668" s="486">
        <f>SUM(N1669:N1687)</f>
        <v>268.16666666666663</v>
      </c>
      <c r="O1668" s="726" t="s">
        <v>26</v>
      </c>
    </row>
    <row r="1669" spans="1:17" s="487" customFormat="1" ht="18" customHeight="1">
      <c r="A1669" s="478"/>
      <c r="B1669" s="892" t="s">
        <v>91</v>
      </c>
      <c r="C1669" s="479"/>
      <c r="D1669" s="480"/>
      <c r="E1669" s="724"/>
      <c r="F1669" s="482"/>
      <c r="G1669" s="483"/>
      <c r="H1669" s="746"/>
      <c r="I1669" s="745"/>
      <c r="J1669" s="747"/>
      <c r="K1669" s="725"/>
      <c r="L1669" s="478"/>
      <c r="M1669" s="485"/>
      <c r="N1669" s="726"/>
      <c r="O1669" s="994"/>
    </row>
    <row r="1670" spans="1:17" s="487" customFormat="1" ht="18" customHeight="1">
      <c r="A1670" s="478"/>
      <c r="B1670" s="892" t="s">
        <v>769</v>
      </c>
      <c r="C1670" s="479"/>
      <c r="D1670" s="480"/>
      <c r="E1670" s="724"/>
      <c r="F1670" s="482"/>
      <c r="G1670" s="483"/>
      <c r="H1670" s="746"/>
      <c r="I1670" s="745"/>
      <c r="J1670" s="747"/>
      <c r="K1670" s="725"/>
      <c r="L1670" s="478"/>
      <c r="M1670" s="485"/>
      <c r="N1670" s="726"/>
      <c r="O1670" s="994"/>
    </row>
    <row r="1671" spans="1:17" s="487" customFormat="1" ht="18" customHeight="1">
      <c r="A1671" s="478"/>
      <c r="B1671" s="336" t="s">
        <v>89</v>
      </c>
      <c r="C1671" s="479"/>
      <c r="D1671" s="480"/>
      <c r="E1671" s="724"/>
      <c r="F1671" s="482"/>
      <c r="G1671" s="483"/>
      <c r="H1671" s="746"/>
      <c r="I1671" s="745"/>
      <c r="J1671" s="747"/>
      <c r="K1671" s="725"/>
      <c r="L1671" s="478"/>
      <c r="M1671" s="485"/>
      <c r="N1671" s="726"/>
      <c r="O1671" s="726"/>
      <c r="Q1671" s="487">
        <v>10</v>
      </c>
    </row>
    <row r="1672" spans="1:17" s="487" customFormat="1" ht="18" customHeight="1">
      <c r="A1672" s="478"/>
      <c r="B1672" s="834" t="s">
        <v>414</v>
      </c>
      <c r="C1672" s="479">
        <f>C1499</f>
        <v>1</v>
      </c>
      <c r="D1672" s="480" t="s">
        <v>87</v>
      </c>
      <c r="E1672" s="481">
        <f>E1499</f>
        <v>1</v>
      </c>
      <c r="F1672" s="482">
        <f>F1499+2*(J1499+K1499/12)</f>
        <v>22</v>
      </c>
      <c r="G1672" s="483">
        <v>0</v>
      </c>
      <c r="H1672" s="746"/>
      <c r="I1672" s="745"/>
      <c r="J1672" s="484"/>
      <c r="K1672" s="483"/>
      <c r="L1672" s="485"/>
      <c r="M1672" s="485">
        <f t="shared" ref="M1672:M1677" si="511">IF(C1672=0,1,C1672)*IF(E1672=0,1,E1672)*IF((F1672+G1672/12)=0,1,(F1672+G1672/12))*IF((H1672+I1672/12)=0,1,(H1672+I1672/12))*IF((J1672+K1672/12)=0,1,(J1672+K1672/12))</f>
        <v>22</v>
      </c>
      <c r="N1672" s="486">
        <f>SUM(M1672)</f>
        <v>22</v>
      </c>
      <c r="O1672" s="726" t="s">
        <v>26</v>
      </c>
      <c r="P1672" s="487">
        <f>6+8*2</f>
        <v>22</v>
      </c>
      <c r="Q1672" s="487">
        <f>E1672*C1672*$Q$1671</f>
        <v>10</v>
      </c>
    </row>
    <row r="1673" spans="1:17" s="487" customFormat="1" ht="18" customHeight="1">
      <c r="A1673" s="478"/>
      <c r="B1673" s="892" t="s">
        <v>768</v>
      </c>
      <c r="C1673" s="479"/>
      <c r="D1673" s="480"/>
      <c r="E1673" s="481">
        <f>C1672*E1672</f>
        <v>1</v>
      </c>
      <c r="F1673" s="482"/>
      <c r="G1673" s="483"/>
      <c r="H1673" s="746"/>
      <c r="I1673" s="745"/>
      <c r="J1673" s="484"/>
      <c r="K1673" s="483"/>
      <c r="L1673" s="485"/>
      <c r="M1673" s="485"/>
      <c r="N1673" s="726"/>
      <c r="O1673" s="726"/>
    </row>
    <row r="1674" spans="1:17" s="487" customFormat="1" ht="18" customHeight="1">
      <c r="A1674" s="478"/>
      <c r="B1674" s="336" t="s">
        <v>89</v>
      </c>
      <c r="C1674" s="479"/>
      <c r="D1674" s="480"/>
      <c r="E1674" s="481"/>
      <c r="F1674" s="482"/>
      <c r="G1674" s="483"/>
      <c r="H1674" s="746"/>
      <c r="I1674" s="745"/>
      <c r="J1674" s="484"/>
      <c r="K1674" s="483"/>
      <c r="L1674" s="485"/>
      <c r="M1674" s="485"/>
      <c r="N1674" s="726"/>
      <c r="O1674" s="726"/>
    </row>
    <row r="1675" spans="1:17" s="487" customFormat="1" ht="18" customHeight="1">
      <c r="A1675" s="478"/>
      <c r="B1675" s="834" t="s">
        <v>415</v>
      </c>
      <c r="C1675" s="479">
        <f>C1500</f>
        <v>2</v>
      </c>
      <c r="D1675" s="480" t="s">
        <v>87</v>
      </c>
      <c r="E1675" s="481">
        <f>E1500</f>
        <v>1</v>
      </c>
      <c r="F1675" s="482">
        <f>F1500+2*(J1500)</f>
        <v>17</v>
      </c>
      <c r="G1675" s="483">
        <v>7</v>
      </c>
      <c r="H1675" s="746"/>
      <c r="I1675" s="745"/>
      <c r="J1675" s="484"/>
      <c r="K1675" s="483"/>
      <c r="L1675" s="485"/>
      <c r="M1675" s="485">
        <f t="shared" si="511"/>
        <v>35.166666666666664</v>
      </c>
      <c r="N1675" s="726"/>
      <c r="O1675" s="726"/>
      <c r="P1675" s="487">
        <f>3.25+7.17*2</f>
        <v>17.59</v>
      </c>
      <c r="Q1675" s="487">
        <f>E1675*C1675*$Q$1671</f>
        <v>20</v>
      </c>
    </row>
    <row r="1676" spans="1:17" s="487" customFormat="1" ht="18" customHeight="1">
      <c r="A1676" s="478"/>
      <c r="B1676" s="834" t="s">
        <v>416</v>
      </c>
      <c r="C1676" s="479">
        <f>C1501</f>
        <v>2</v>
      </c>
      <c r="D1676" s="480" t="s">
        <v>87</v>
      </c>
      <c r="E1676" s="481">
        <f>E1501</f>
        <v>1</v>
      </c>
      <c r="F1676" s="482">
        <f>F1675</f>
        <v>17</v>
      </c>
      <c r="G1676" s="483">
        <f>G1675</f>
        <v>7</v>
      </c>
      <c r="H1676" s="746"/>
      <c r="I1676" s="745"/>
      <c r="J1676" s="484"/>
      <c r="K1676" s="483"/>
      <c r="L1676" s="485"/>
      <c r="M1676" s="485">
        <f t="shared" si="511"/>
        <v>35.166666666666664</v>
      </c>
      <c r="N1676" s="726"/>
      <c r="O1676" s="726"/>
      <c r="Q1676" s="487">
        <f t="shared" ref="Q1676:Q1677" si="512">E1676*C1676*$Q$1671</f>
        <v>20</v>
      </c>
    </row>
    <row r="1677" spans="1:17" s="1007" customFormat="1" ht="18" customHeight="1">
      <c r="A1677" s="995"/>
      <c r="B1677" s="996" t="s">
        <v>417</v>
      </c>
      <c r="C1677" s="997">
        <f>C1502</f>
        <v>1</v>
      </c>
      <c r="D1677" s="998" t="s">
        <v>87</v>
      </c>
      <c r="E1677" s="999">
        <f>E1502</f>
        <v>1</v>
      </c>
      <c r="F1677" s="1000">
        <f>F1676</f>
        <v>17</v>
      </c>
      <c r="G1677" s="1001">
        <f>G1676</f>
        <v>7</v>
      </c>
      <c r="H1677" s="1002"/>
      <c r="I1677" s="1003"/>
      <c r="J1677" s="1004"/>
      <c r="K1677" s="1001"/>
      <c r="L1677" s="1005"/>
      <c r="M1677" s="1005">
        <f t="shared" si="511"/>
        <v>17.583333333333332</v>
      </c>
      <c r="N1677" s="1006"/>
      <c r="O1677" s="1006"/>
      <c r="Q1677" s="487">
        <f t="shared" si="512"/>
        <v>10</v>
      </c>
    </row>
    <row r="1678" spans="1:17" s="487" customFormat="1" ht="18" customHeight="1">
      <c r="A1678" s="478"/>
      <c r="B1678" s="1008"/>
      <c r="C1678" s="479"/>
      <c r="D1678" s="480"/>
      <c r="E1678" s="481">
        <f>C1675*E1675+C1676*E1676+C1677*E1677</f>
        <v>5</v>
      </c>
      <c r="F1678" s="482"/>
      <c r="G1678" s="483"/>
      <c r="H1678" s="746"/>
      <c r="I1678" s="745"/>
      <c r="J1678" s="484"/>
      <c r="K1678" s="483"/>
      <c r="L1678" s="485"/>
      <c r="M1678" s="485"/>
      <c r="N1678" s="486">
        <f>SUM(M1675:M1678)</f>
        <v>87.916666666666657</v>
      </c>
      <c r="O1678" s="726" t="s">
        <v>26</v>
      </c>
    </row>
    <row r="1679" spans="1:17" s="487" customFormat="1" ht="18" customHeight="1">
      <c r="A1679" s="478"/>
      <c r="B1679" s="336" t="s">
        <v>110</v>
      </c>
      <c r="C1679" s="479"/>
      <c r="D1679" s="480"/>
      <c r="E1679" s="724"/>
      <c r="F1679" s="482"/>
      <c r="G1679" s="483"/>
      <c r="H1679" s="746"/>
      <c r="I1679" s="745"/>
      <c r="J1679" s="484"/>
      <c r="K1679" s="483"/>
      <c r="L1679" s="485"/>
      <c r="M1679" s="485"/>
      <c r="N1679" s="726"/>
      <c r="O1679" s="726"/>
    </row>
    <row r="1680" spans="1:17" s="487" customFormat="1" ht="18" customHeight="1">
      <c r="A1680" s="478"/>
      <c r="B1680" s="834" t="s">
        <v>415</v>
      </c>
      <c r="C1680" s="479">
        <f>C1528</f>
        <v>3</v>
      </c>
      <c r="D1680" s="480" t="s">
        <v>87</v>
      </c>
      <c r="E1680" s="481">
        <f>E1528</f>
        <v>1</v>
      </c>
      <c r="F1680" s="482">
        <f>F1675</f>
        <v>17</v>
      </c>
      <c r="G1680" s="483">
        <f>G1675</f>
        <v>7</v>
      </c>
      <c r="H1680" s="746"/>
      <c r="I1680" s="745"/>
      <c r="J1680" s="484"/>
      <c r="K1680" s="483"/>
      <c r="L1680" s="485"/>
      <c r="M1680" s="485">
        <f t="shared" ref="M1680:M1681" si="513">IF(C1680=0,1,C1680)*IF(E1680=0,1,E1680)*IF((F1680+G1680/12)=0,1,(F1680+G1680/12))*IF((H1680+I1680/12)=0,1,(H1680+I1680/12))*IF((J1680+K1680/12)=0,1,(J1680+K1680/12))</f>
        <v>52.75</v>
      </c>
      <c r="N1680" s="726"/>
      <c r="O1680" s="726"/>
      <c r="Q1680" s="487">
        <f t="shared" ref="Q1680:Q1681" si="514">E1680*C1680*$Q$1671</f>
        <v>30</v>
      </c>
    </row>
    <row r="1681" spans="1:17" s="487" customFormat="1" ht="18" customHeight="1">
      <c r="A1681" s="478"/>
      <c r="B1681" s="834" t="s">
        <v>416</v>
      </c>
      <c r="C1681" s="479">
        <f>C1529</f>
        <v>2</v>
      </c>
      <c r="D1681" s="480" t="s">
        <v>87</v>
      </c>
      <c r="E1681" s="481">
        <f>E1529</f>
        <v>1</v>
      </c>
      <c r="F1681" s="482">
        <f>F1676</f>
        <v>17</v>
      </c>
      <c r="G1681" s="483">
        <f>G1676</f>
        <v>7</v>
      </c>
      <c r="H1681" s="746"/>
      <c r="I1681" s="745"/>
      <c r="J1681" s="484"/>
      <c r="K1681" s="483"/>
      <c r="L1681" s="485"/>
      <c r="M1681" s="485">
        <f t="shared" si="513"/>
        <v>35.166666666666664</v>
      </c>
      <c r="N1681" s="726"/>
      <c r="O1681" s="726"/>
      <c r="Q1681" s="487">
        <f t="shared" si="514"/>
        <v>20</v>
      </c>
    </row>
    <row r="1682" spans="1:17" s="487" customFormat="1" ht="18" customHeight="1">
      <c r="A1682" s="478"/>
      <c r="B1682" s="1008"/>
      <c r="C1682" s="479"/>
      <c r="D1682" s="480"/>
      <c r="E1682" s="481">
        <f>C1680*E1680+C1681*E1681</f>
        <v>5</v>
      </c>
      <c r="F1682" s="482"/>
      <c r="G1682" s="483"/>
      <c r="H1682" s="746"/>
      <c r="I1682" s="745"/>
      <c r="J1682" s="484"/>
      <c r="K1682" s="483"/>
      <c r="L1682" s="485"/>
      <c r="M1682" s="485"/>
      <c r="N1682" s="486">
        <f>SUM(M1679:M1682)</f>
        <v>87.916666666666657</v>
      </c>
      <c r="O1682" s="726" t="s">
        <v>26</v>
      </c>
    </row>
    <row r="1683" spans="1:17" s="487" customFormat="1" ht="18" customHeight="1">
      <c r="A1683" s="478"/>
      <c r="B1683" s="336" t="s">
        <v>457</v>
      </c>
      <c r="C1683" s="479"/>
      <c r="D1683" s="480"/>
      <c r="E1683" s="481"/>
      <c r="F1683" s="482"/>
      <c r="G1683" s="483"/>
      <c r="H1683" s="746"/>
      <c r="I1683" s="745"/>
      <c r="J1683" s="484"/>
      <c r="K1683" s="483"/>
      <c r="L1683" s="485"/>
      <c r="M1683" s="485"/>
      <c r="N1683" s="726"/>
      <c r="O1683" s="726"/>
    </row>
    <row r="1684" spans="1:17" s="487" customFormat="1" ht="18" customHeight="1">
      <c r="A1684" s="478"/>
      <c r="B1684" s="834" t="s">
        <v>415</v>
      </c>
      <c r="C1684" s="479">
        <f>C1554</f>
        <v>2</v>
      </c>
      <c r="D1684" s="480" t="s">
        <v>87</v>
      </c>
      <c r="E1684" s="481">
        <f>E1554</f>
        <v>1</v>
      </c>
      <c r="F1684" s="482">
        <f>F1680</f>
        <v>17</v>
      </c>
      <c r="G1684" s="483">
        <f>G1680</f>
        <v>7</v>
      </c>
      <c r="H1684" s="746"/>
      <c r="I1684" s="745"/>
      <c r="J1684" s="484"/>
      <c r="K1684" s="483"/>
      <c r="L1684" s="485"/>
      <c r="M1684" s="485">
        <f t="shared" ref="M1684:M1686" si="515">IF(C1684=0,1,C1684)*IF(E1684=0,1,E1684)*IF((F1684+G1684/12)=0,1,(F1684+G1684/12))*IF((H1684+I1684/12)=0,1,(H1684+I1684/12))*IF((J1684+K1684/12)=0,1,(J1684+K1684/12))</f>
        <v>35.166666666666664</v>
      </c>
      <c r="N1684" s="726"/>
      <c r="O1684" s="726"/>
      <c r="Q1684" s="487">
        <f t="shared" ref="Q1684:Q1686" si="516">E1684*C1684*$Q$1671</f>
        <v>20</v>
      </c>
    </row>
    <row r="1685" spans="1:17" s="487" customFormat="1" ht="18" customHeight="1">
      <c r="A1685" s="478"/>
      <c r="B1685" s="834" t="s">
        <v>416</v>
      </c>
      <c r="C1685" s="479">
        <f>C1555</f>
        <v>1</v>
      </c>
      <c r="D1685" s="480" t="s">
        <v>87</v>
      </c>
      <c r="E1685" s="481">
        <f>E1555</f>
        <v>1</v>
      </c>
      <c r="F1685" s="482">
        <f>F1684</f>
        <v>17</v>
      </c>
      <c r="G1685" s="483">
        <f>G1684</f>
        <v>7</v>
      </c>
      <c r="H1685" s="746"/>
      <c r="I1685" s="745"/>
      <c r="J1685" s="484"/>
      <c r="K1685" s="483"/>
      <c r="L1685" s="499"/>
      <c r="M1685" s="485">
        <f t="shared" si="515"/>
        <v>17.583333333333332</v>
      </c>
      <c r="N1685" s="726"/>
      <c r="O1685" s="726"/>
      <c r="Q1685" s="487">
        <f t="shared" si="516"/>
        <v>10</v>
      </c>
    </row>
    <row r="1686" spans="1:17" s="487" customFormat="1" ht="18" customHeight="1">
      <c r="A1686" s="478"/>
      <c r="B1686" s="834" t="s">
        <v>417</v>
      </c>
      <c r="C1686" s="479">
        <f>C1556</f>
        <v>1</v>
      </c>
      <c r="D1686" s="480" t="s">
        <v>87</v>
      </c>
      <c r="E1686" s="481">
        <f>E1556</f>
        <v>1</v>
      </c>
      <c r="F1686" s="482">
        <f>F1685</f>
        <v>17</v>
      </c>
      <c r="G1686" s="483">
        <f>G1685</f>
        <v>7</v>
      </c>
      <c r="H1686" s="746"/>
      <c r="I1686" s="745"/>
      <c r="J1686" s="484"/>
      <c r="K1686" s="483"/>
      <c r="L1686" s="499"/>
      <c r="M1686" s="485">
        <f t="shared" si="515"/>
        <v>17.583333333333332</v>
      </c>
      <c r="N1686" s="726"/>
      <c r="O1686" s="726"/>
      <c r="Q1686" s="487">
        <f t="shared" si="516"/>
        <v>10</v>
      </c>
    </row>
    <row r="1687" spans="1:17" s="487" customFormat="1" ht="18" customHeight="1">
      <c r="A1687" s="478"/>
      <c r="B1687" s="834"/>
      <c r="C1687" s="479"/>
      <c r="D1687" s="480"/>
      <c r="E1687" s="481">
        <f>C1684*E1684+C1685*E1685+C1686*E1686</f>
        <v>4</v>
      </c>
      <c r="F1687" s="482"/>
      <c r="G1687" s="483"/>
      <c r="H1687" s="746"/>
      <c r="I1687" s="745"/>
      <c r="J1687" s="484"/>
      <c r="K1687" s="483"/>
      <c r="L1687" s="499"/>
      <c r="M1687" s="485"/>
      <c r="N1687" s="486">
        <f>SUM(M1684:M1687)</f>
        <v>70.333333333333329</v>
      </c>
      <c r="O1687" s="726" t="s">
        <v>26</v>
      </c>
      <c r="Q1687" s="487">
        <f>SUM(Q1672:Q1686)</f>
        <v>150</v>
      </c>
    </row>
    <row r="1688" spans="1:17" s="487" customFormat="1" ht="18" customHeight="1">
      <c r="A1688" s="833"/>
      <c r="B1688" s="1039"/>
      <c r="C1688" s="934"/>
      <c r="D1688" s="935"/>
      <c r="E1688" s="936"/>
      <c r="F1688" s="973"/>
      <c r="G1688" s="974"/>
      <c r="H1688" s="1040"/>
      <c r="I1688" s="1041"/>
      <c r="J1688" s="1042"/>
      <c r="K1688" s="974"/>
      <c r="L1688" s="506"/>
      <c r="M1688" s="920"/>
      <c r="N1688" s="890"/>
      <c r="O1688" s="500"/>
    </row>
    <row r="1689" spans="1:17" s="487" customFormat="1" ht="18" customHeight="1">
      <c r="A1689" s="833"/>
      <c r="B1689" s="830" t="s">
        <v>800</v>
      </c>
      <c r="C1689" s="1043">
        <f>E1687+E1682+E1678+E1673</f>
        <v>15</v>
      </c>
      <c r="D1689" s="935" t="s">
        <v>87</v>
      </c>
      <c r="E1689" s="936">
        <v>10</v>
      </c>
      <c r="F1689" s="973"/>
      <c r="G1689" s="974"/>
      <c r="H1689" s="1040"/>
      <c r="I1689" s="1041"/>
      <c r="J1689" s="1042"/>
      <c r="K1689" s="974"/>
      <c r="L1689" s="506"/>
      <c r="M1689" s="485">
        <f t="shared" ref="M1689" si="517">IF(C1689=0,1,C1689)*IF(E1689=0,1,E1689)*IF((F1689+G1689/12)=0,1,(F1689+G1689/12))*IF((H1689+I1689/12)=0,1,(H1689+I1689/12))*IF((J1689+K1689/12)=0,1,(J1689+K1689/12))</f>
        <v>150</v>
      </c>
      <c r="N1689" s="890"/>
      <c r="O1689" s="500" t="s">
        <v>720</v>
      </c>
    </row>
    <row r="1690" spans="1:17" s="487" customFormat="1" ht="18" customHeight="1">
      <c r="A1690" s="548"/>
      <c r="B1690" s="1009"/>
      <c r="C1690" s="557"/>
      <c r="D1690" s="550"/>
      <c r="E1690" s="728"/>
      <c r="F1690" s="552"/>
      <c r="G1690" s="553"/>
      <c r="H1690" s="730"/>
      <c r="I1690" s="729"/>
      <c r="J1690" s="731"/>
      <c r="K1690" s="732"/>
      <c r="L1690" s="548"/>
      <c r="M1690" s="555"/>
      <c r="N1690" s="548"/>
      <c r="O1690" s="548"/>
    </row>
    <row r="1691" spans="1:17" s="487" customFormat="1" ht="18" customHeight="1">
      <c r="A1691" s="733">
        <v>17</v>
      </c>
      <c r="B1691" s="734" t="s">
        <v>122</v>
      </c>
      <c r="C1691" s="735"/>
      <c r="D1691" s="736"/>
      <c r="E1691" s="737"/>
      <c r="F1691" s="738"/>
      <c r="G1691" s="807"/>
      <c r="H1691" s="740"/>
      <c r="I1691" s="739"/>
      <c r="J1691" s="741"/>
      <c r="K1691" s="742"/>
      <c r="L1691" s="743"/>
      <c r="M1691" s="499"/>
      <c r="N1691" s="879">
        <f>SUM(N1693:N1698)</f>
        <v>7380</v>
      </c>
      <c r="O1691" s="733" t="s">
        <v>19</v>
      </c>
    </row>
    <row r="1692" spans="1:17" s="487" customFormat="1" ht="18" customHeight="1">
      <c r="A1692" s="733"/>
      <c r="B1692" s="985" t="s">
        <v>44</v>
      </c>
      <c r="C1692" s="735"/>
      <c r="D1692" s="736"/>
      <c r="E1692" s="737"/>
      <c r="F1692" s="738"/>
      <c r="G1692" s="807"/>
      <c r="H1692" s="740"/>
      <c r="I1692" s="739"/>
      <c r="J1692" s="741"/>
      <c r="K1692" s="742"/>
      <c r="L1692" s="743"/>
      <c r="M1692" s="499"/>
      <c r="N1692" s="546"/>
      <c r="O1692" s="733"/>
    </row>
    <row r="1693" spans="1:17" s="487" customFormat="1" ht="18" customHeight="1">
      <c r="A1693" s="733"/>
      <c r="B1693" s="723" t="s">
        <v>237</v>
      </c>
      <c r="C1693" s="735"/>
      <c r="D1693" s="736"/>
      <c r="E1693" s="737"/>
      <c r="F1693" s="738"/>
      <c r="G1693" s="807"/>
      <c r="H1693" s="740"/>
      <c r="I1693" s="739"/>
      <c r="J1693" s="741"/>
      <c r="K1693" s="742"/>
      <c r="L1693" s="743"/>
      <c r="M1693" s="499"/>
      <c r="N1693" s="546"/>
      <c r="O1693" s="733"/>
    </row>
    <row r="1694" spans="1:17" s="487" customFormat="1" ht="18" customHeight="1">
      <c r="A1694" s="478"/>
      <c r="B1694" s="985" t="s">
        <v>181</v>
      </c>
      <c r="C1694" s="735">
        <v>1</v>
      </c>
      <c r="D1694" s="736" t="s">
        <v>87</v>
      </c>
      <c r="E1694" s="737">
        <v>2</v>
      </c>
      <c r="F1694" s="738">
        <v>46</v>
      </c>
      <c r="G1694" s="807">
        <v>6</v>
      </c>
      <c r="H1694" s="482"/>
      <c r="I1694" s="483"/>
      <c r="J1694" s="482">
        <v>41</v>
      </c>
      <c r="K1694" s="483">
        <v>0</v>
      </c>
      <c r="L1694" s="485"/>
      <c r="M1694" s="485">
        <f t="shared" ref="M1694:M1695" si="518">IF(C1694=0,1,C1694)*IF(E1694=0,1,E1694)*IF((F1694+G1694/12)=0,1,(F1694+G1694/12))*IF((H1694+I1694/12)=0,1,(H1694+I1694/12))*IF((J1694+K1694/12)=0,1,(J1694+K1694/12))</f>
        <v>3813</v>
      </c>
      <c r="N1694" s="726"/>
      <c r="O1694" s="726"/>
      <c r="P1694" s="487">
        <f>36.5+5+5</f>
        <v>46.5</v>
      </c>
      <c r="Q1694" s="487">
        <f>13+3+12+11+2</f>
        <v>41</v>
      </c>
    </row>
    <row r="1695" spans="1:17" s="487" customFormat="1" ht="18" customHeight="1">
      <c r="A1695" s="1010"/>
      <c r="B1695" s="895"/>
      <c r="C1695" s="735">
        <v>1</v>
      </c>
      <c r="D1695" s="736" t="s">
        <v>87</v>
      </c>
      <c r="E1695" s="737">
        <v>2</v>
      </c>
      <c r="F1695" s="738">
        <v>43</v>
      </c>
      <c r="G1695" s="807">
        <v>6</v>
      </c>
      <c r="H1695" s="482"/>
      <c r="I1695" s="483"/>
      <c r="J1695" s="482">
        <f>J1694</f>
        <v>41</v>
      </c>
      <c r="K1695" s="483">
        <f>K1694</f>
        <v>0</v>
      </c>
      <c r="L1695" s="485"/>
      <c r="M1695" s="485">
        <f t="shared" si="518"/>
        <v>3567</v>
      </c>
      <c r="N1695" s="1010"/>
      <c r="O1695" s="1010"/>
      <c r="P1695" s="487">
        <f>33.5+5+5</f>
        <v>43.5</v>
      </c>
    </row>
    <row r="1696" spans="1:17" s="487" customFormat="1" ht="18" customHeight="1">
      <c r="A1696" s="1010"/>
      <c r="B1696" s="895"/>
      <c r="C1696" s="735"/>
      <c r="D1696" s="736"/>
      <c r="E1696" s="737"/>
      <c r="F1696" s="738"/>
      <c r="G1696" s="807"/>
      <c r="H1696" s="482"/>
      <c r="I1696" s="483"/>
      <c r="J1696" s="993"/>
      <c r="K1696" s="483"/>
      <c r="L1696" s="485"/>
      <c r="M1696" s="786"/>
      <c r="N1696" s="1011"/>
      <c r="O1696" s="1011"/>
    </row>
    <row r="1697" spans="1:16" s="487" customFormat="1" ht="18" customHeight="1">
      <c r="A1697" s="1010"/>
      <c r="B1697" s="895"/>
      <c r="C1697" s="479"/>
      <c r="D1697" s="1012"/>
      <c r="E1697" s="724"/>
      <c r="F1697" s="738"/>
      <c r="G1697" s="807"/>
      <c r="H1697" s="746"/>
      <c r="I1697" s="745"/>
      <c r="J1697" s="747"/>
      <c r="K1697" s="725"/>
      <c r="L1697" s="485"/>
      <c r="M1697" s="871" t="s">
        <v>90</v>
      </c>
      <c r="N1697" s="871">
        <f>SUM(M1694:M1695)</f>
        <v>7380</v>
      </c>
      <c r="O1697" s="965" t="s">
        <v>19</v>
      </c>
    </row>
    <row r="1698" spans="1:16" s="487" customFormat="1" ht="18" customHeight="1">
      <c r="A1698" s="1013"/>
      <c r="B1698" s="1014"/>
      <c r="C1698" s="557"/>
      <c r="D1698" s="1015"/>
      <c r="E1698" s="728"/>
      <c r="F1698" s="552"/>
      <c r="G1698" s="553"/>
      <c r="H1698" s="730"/>
      <c r="I1698" s="729"/>
      <c r="J1698" s="730"/>
      <c r="K1698" s="732"/>
      <c r="L1698" s="555"/>
      <c r="M1698" s="555"/>
      <c r="N1698" s="987"/>
      <c r="O1698" s="987"/>
    </row>
    <row r="1699" spans="1:16" ht="18" customHeight="1">
      <c r="A1699" s="733">
        <v>18</v>
      </c>
      <c r="B1699" s="734" t="s">
        <v>719</v>
      </c>
      <c r="C1699" s="735"/>
      <c r="D1699" s="736"/>
      <c r="E1699" s="737"/>
      <c r="F1699" s="738"/>
      <c r="G1699" s="807"/>
      <c r="H1699" s="740"/>
      <c r="I1699" s="739"/>
      <c r="J1699" s="741"/>
      <c r="K1699" s="742"/>
      <c r="L1699" s="743"/>
      <c r="M1699" s="499"/>
      <c r="N1699" s="1016">
        <f>N1738+N1792+N1807+N1856</f>
        <v>450</v>
      </c>
      <c r="O1699" s="733" t="s">
        <v>720</v>
      </c>
      <c r="P1699" s="879">
        <f>SUM(N1700:N1856)</f>
        <v>1165</v>
      </c>
    </row>
    <row r="1700" spans="1:16" s="487" customFormat="1" ht="18" customHeight="1">
      <c r="A1700" s="478"/>
      <c r="B1700" s="723" t="s">
        <v>307</v>
      </c>
      <c r="C1700" s="479"/>
      <c r="D1700" s="480"/>
      <c r="E1700" s="724"/>
      <c r="F1700" s="482"/>
      <c r="G1700" s="483"/>
      <c r="H1700" s="484"/>
      <c r="I1700" s="483"/>
      <c r="J1700" s="749"/>
      <c r="K1700" s="483"/>
      <c r="L1700" s="500"/>
      <c r="M1700" s="485"/>
      <c r="N1700" s="486"/>
      <c r="O1700" s="486"/>
    </row>
    <row r="1701" spans="1:16" s="487" customFormat="1" ht="18" customHeight="1">
      <c r="A1701" s="478"/>
      <c r="B1701" s="726" t="s">
        <v>308</v>
      </c>
      <c r="C1701" s="479"/>
      <c r="D1701" s="480"/>
      <c r="E1701" s="724"/>
      <c r="F1701" s="482"/>
      <c r="G1701" s="483"/>
      <c r="H1701" s="484"/>
      <c r="I1701" s="483"/>
      <c r="J1701" s="749"/>
      <c r="K1701" s="483"/>
      <c r="L1701" s="500"/>
      <c r="M1701" s="485"/>
      <c r="N1701" s="486"/>
      <c r="O1701" s="486"/>
    </row>
    <row r="1702" spans="1:16" s="487" customFormat="1" ht="18" customHeight="1">
      <c r="A1702" s="478"/>
      <c r="B1702" s="336" t="s">
        <v>309</v>
      </c>
      <c r="C1702" s="479">
        <v>1</v>
      </c>
      <c r="D1702" s="480" t="s">
        <v>87</v>
      </c>
      <c r="E1702" s="724">
        <v>1</v>
      </c>
      <c r="F1702" s="482">
        <v>5</v>
      </c>
      <c r="G1702" s="483">
        <v>4</v>
      </c>
      <c r="H1702" s="484">
        <f>0</f>
        <v>0</v>
      </c>
      <c r="I1702" s="483">
        <v>10</v>
      </c>
      <c r="J1702" s="749">
        <v>0</v>
      </c>
      <c r="K1702" s="483">
        <v>10</v>
      </c>
      <c r="L1702" s="500"/>
      <c r="M1702" s="485">
        <f>ROUNDUP((F1702+G1702/12)/3+1,0)*E1702*C1702</f>
        <v>3</v>
      </c>
      <c r="N1702" s="486"/>
      <c r="O1702" s="486"/>
      <c r="P1702" s="487">
        <f>6.33-1*1</f>
        <v>5.33</v>
      </c>
    </row>
    <row r="1703" spans="1:16" s="487" customFormat="1" ht="18" customHeight="1">
      <c r="A1703" s="478"/>
      <c r="B1703" s="336" t="s">
        <v>310</v>
      </c>
      <c r="C1703" s="479">
        <v>1</v>
      </c>
      <c r="D1703" s="480" t="s">
        <v>87</v>
      </c>
      <c r="E1703" s="724">
        <v>1</v>
      </c>
      <c r="F1703" s="482">
        <v>5</v>
      </c>
      <c r="G1703" s="483">
        <v>10</v>
      </c>
      <c r="H1703" s="484">
        <v>0</v>
      </c>
      <c r="I1703" s="483">
        <f t="shared" ref="I1703:K1703" si="519">I1702</f>
        <v>10</v>
      </c>
      <c r="J1703" s="749">
        <f t="shared" si="519"/>
        <v>0</v>
      </c>
      <c r="K1703" s="483">
        <f t="shared" si="519"/>
        <v>10</v>
      </c>
      <c r="L1703" s="500"/>
      <c r="M1703" s="485">
        <f t="shared" ref="M1703:M1704" si="520">ROUNDUP((F1703+G1703/12)/3+1,0)*E1703*C1703</f>
        <v>3</v>
      </c>
      <c r="N1703" s="486"/>
      <c r="O1703" s="486"/>
    </row>
    <row r="1704" spans="1:16" s="487" customFormat="1" ht="18" customHeight="1">
      <c r="A1704" s="478"/>
      <c r="B1704" s="336" t="s">
        <v>311</v>
      </c>
      <c r="C1704" s="479">
        <v>1</v>
      </c>
      <c r="D1704" s="480" t="s">
        <v>87</v>
      </c>
      <c r="E1704" s="724">
        <v>1</v>
      </c>
      <c r="F1704" s="482">
        <v>8</v>
      </c>
      <c r="G1704" s="483">
        <v>4</v>
      </c>
      <c r="H1704" s="484">
        <f>H1703</f>
        <v>0</v>
      </c>
      <c r="I1704" s="483">
        <f t="shared" ref="I1704:K1704" si="521">I1703</f>
        <v>10</v>
      </c>
      <c r="J1704" s="749">
        <f t="shared" si="521"/>
        <v>0</v>
      </c>
      <c r="K1704" s="483">
        <f t="shared" si="521"/>
        <v>10</v>
      </c>
      <c r="L1704" s="500"/>
      <c r="M1704" s="485">
        <f t="shared" si="520"/>
        <v>4</v>
      </c>
      <c r="N1704" s="486"/>
      <c r="O1704" s="486"/>
    </row>
    <row r="1705" spans="1:16" ht="18" customHeight="1">
      <c r="A1705" s="474"/>
      <c r="B1705" s="494"/>
      <c r="C1705" s="488"/>
      <c r="D1705" s="489"/>
      <c r="E1705" s="837">
        <f>C1703*E1703+C1702*E1702+C1704*E1704</f>
        <v>3</v>
      </c>
      <c r="F1705" s="491"/>
      <c r="G1705" s="496"/>
      <c r="H1705" s="497"/>
      <c r="I1705" s="496"/>
      <c r="J1705" s="609"/>
      <c r="K1705" s="496"/>
      <c r="L1705" s="591"/>
      <c r="M1705" s="475"/>
      <c r="N1705" s="476"/>
      <c r="O1705" s="476"/>
    </row>
    <row r="1706" spans="1:16" s="487" customFormat="1" ht="18" customHeight="1">
      <c r="A1706" s="478"/>
      <c r="B1706" s="726" t="s">
        <v>312</v>
      </c>
      <c r="C1706" s="479"/>
      <c r="D1706" s="480"/>
      <c r="E1706" s="724"/>
      <c r="F1706" s="482"/>
      <c r="G1706" s="483"/>
      <c r="H1706" s="484"/>
      <c r="I1706" s="483"/>
      <c r="J1706" s="749"/>
      <c r="K1706" s="483"/>
      <c r="L1706" s="500"/>
      <c r="M1706" s="485"/>
      <c r="N1706" s="486"/>
      <c r="O1706" s="486"/>
    </row>
    <row r="1707" spans="1:16" s="487" customFormat="1" ht="18" customHeight="1">
      <c r="A1707" s="478"/>
      <c r="B1707" s="336" t="s">
        <v>313</v>
      </c>
      <c r="C1707" s="479">
        <v>1</v>
      </c>
      <c r="D1707" s="480" t="s">
        <v>87</v>
      </c>
      <c r="E1707" s="724">
        <v>1</v>
      </c>
      <c r="F1707" s="482">
        <v>4</v>
      </c>
      <c r="G1707" s="483">
        <v>10</v>
      </c>
      <c r="H1707" s="484">
        <f>0</f>
        <v>0</v>
      </c>
      <c r="I1707" s="483">
        <v>10</v>
      </c>
      <c r="J1707" s="749">
        <f>1</f>
        <v>1</v>
      </c>
      <c r="K1707" s="483">
        <v>0</v>
      </c>
      <c r="L1707" s="500"/>
      <c r="M1707" s="485">
        <f t="shared" ref="M1707" si="522">ROUNDUP((F1707+G1707/12)/3+1,0)*E1707*C1707</f>
        <v>3</v>
      </c>
      <c r="N1707" s="486"/>
      <c r="O1707" s="486"/>
    </row>
    <row r="1708" spans="1:16" ht="18" customHeight="1">
      <c r="A1708" s="474"/>
      <c r="B1708" s="494"/>
      <c r="C1708" s="488"/>
      <c r="D1708" s="489"/>
      <c r="E1708" s="837">
        <f>C1707*E1707</f>
        <v>1</v>
      </c>
      <c r="F1708" s="491"/>
      <c r="G1708" s="496"/>
      <c r="H1708" s="497"/>
      <c r="I1708" s="496"/>
      <c r="J1708" s="609"/>
      <c r="K1708" s="496"/>
      <c r="L1708" s="626"/>
      <c r="M1708" s="475"/>
      <c r="N1708" s="476"/>
      <c r="O1708" s="476"/>
    </row>
    <row r="1709" spans="1:16" s="487" customFormat="1" ht="18" customHeight="1">
      <c r="A1709" s="478"/>
      <c r="B1709" s="726" t="s">
        <v>314</v>
      </c>
      <c r="C1709" s="479"/>
      <c r="D1709" s="480"/>
      <c r="E1709" s="724"/>
      <c r="F1709" s="482"/>
      <c r="G1709" s="483"/>
      <c r="H1709" s="484"/>
      <c r="I1709" s="483"/>
      <c r="J1709" s="749"/>
      <c r="K1709" s="483"/>
      <c r="L1709" s="500"/>
      <c r="M1709" s="485"/>
      <c r="N1709" s="486"/>
      <c r="O1709" s="486"/>
    </row>
    <row r="1710" spans="1:16" s="487" customFormat="1" ht="18" customHeight="1">
      <c r="A1710" s="478"/>
      <c r="B1710" s="336" t="s">
        <v>315</v>
      </c>
      <c r="C1710" s="479">
        <v>3</v>
      </c>
      <c r="D1710" s="480" t="s">
        <v>87</v>
      </c>
      <c r="E1710" s="724">
        <f>1</f>
        <v>1</v>
      </c>
      <c r="F1710" s="482">
        <v>14</v>
      </c>
      <c r="G1710" s="483">
        <v>1</v>
      </c>
      <c r="H1710" s="484">
        <f>0</f>
        <v>0</v>
      </c>
      <c r="I1710" s="483">
        <v>10</v>
      </c>
      <c r="J1710" s="749">
        <v>1</v>
      </c>
      <c r="K1710" s="483">
        <v>2</v>
      </c>
      <c r="L1710" s="500"/>
      <c r="M1710" s="485">
        <f t="shared" ref="M1710" si="523">ROUNDUP((F1710+G1710/12)/3+1,0)*E1710*C1710</f>
        <v>18</v>
      </c>
      <c r="N1710" s="486"/>
      <c r="O1710" s="486"/>
      <c r="P1710" s="487">
        <f>15.58-1.5*1</f>
        <v>14.08</v>
      </c>
    </row>
    <row r="1711" spans="1:16" ht="18" customHeight="1">
      <c r="A1711" s="474"/>
      <c r="B1711" s="494"/>
      <c r="C1711" s="488"/>
      <c r="D1711" s="489"/>
      <c r="E1711" s="837">
        <f>C1710*E1710</f>
        <v>3</v>
      </c>
      <c r="F1711" s="491"/>
      <c r="G1711" s="496"/>
      <c r="H1711" s="497"/>
      <c r="I1711" s="496"/>
      <c r="J1711" s="609"/>
      <c r="K1711" s="496"/>
      <c r="L1711" s="626"/>
      <c r="M1711" s="475"/>
      <c r="N1711" s="476"/>
      <c r="O1711" s="476"/>
    </row>
    <row r="1712" spans="1:16" s="487" customFormat="1" ht="18" customHeight="1">
      <c r="A1712" s="478"/>
      <c r="B1712" s="726" t="s">
        <v>472</v>
      </c>
      <c r="C1712" s="479"/>
      <c r="D1712" s="480"/>
      <c r="E1712" s="724"/>
      <c r="F1712" s="482"/>
      <c r="G1712" s="483"/>
      <c r="H1712" s="484"/>
      <c r="I1712" s="483"/>
      <c r="J1712" s="749"/>
      <c r="K1712" s="483"/>
      <c r="L1712" s="500"/>
      <c r="M1712" s="485"/>
      <c r="N1712" s="486"/>
      <c r="O1712" s="486"/>
    </row>
    <row r="1713" spans="1:16" s="487" customFormat="1" ht="18" customHeight="1">
      <c r="A1713" s="478"/>
      <c r="B1713" s="336" t="s">
        <v>317</v>
      </c>
      <c r="C1713" s="479">
        <f>2</f>
        <v>2</v>
      </c>
      <c r="D1713" s="480" t="s">
        <v>87</v>
      </c>
      <c r="E1713" s="724">
        <v>1</v>
      </c>
      <c r="F1713" s="482">
        <v>4</v>
      </c>
      <c r="G1713" s="483">
        <v>0</v>
      </c>
      <c r="H1713" s="484">
        <f>0</f>
        <v>0</v>
      </c>
      <c r="I1713" s="483">
        <v>10</v>
      </c>
      <c r="J1713" s="749">
        <v>1</v>
      </c>
      <c r="K1713" s="483">
        <v>4</v>
      </c>
      <c r="L1713" s="500"/>
      <c r="M1713" s="485">
        <f t="shared" ref="M1713:M1714" si="524">ROUNDUP((F1713+G1713/12)/3+1,0)*E1713*C1713</f>
        <v>6</v>
      </c>
      <c r="N1713" s="486"/>
      <c r="O1713" s="486"/>
    </row>
    <row r="1714" spans="1:16" s="487" customFormat="1" ht="18" customHeight="1">
      <c r="A1714" s="478"/>
      <c r="B1714" s="336" t="s">
        <v>325</v>
      </c>
      <c r="C1714" s="479">
        <v>1</v>
      </c>
      <c r="D1714" s="480" t="s">
        <v>87</v>
      </c>
      <c r="E1714" s="724">
        <v>1</v>
      </c>
      <c r="F1714" s="482">
        <v>30</v>
      </c>
      <c r="G1714" s="483">
        <v>10</v>
      </c>
      <c r="H1714" s="484">
        <f>H1713</f>
        <v>0</v>
      </c>
      <c r="I1714" s="483">
        <f>I1713</f>
        <v>10</v>
      </c>
      <c r="J1714" s="749">
        <f>J1713</f>
        <v>1</v>
      </c>
      <c r="K1714" s="483">
        <f>K1713</f>
        <v>4</v>
      </c>
      <c r="L1714" s="500"/>
      <c r="M1714" s="485">
        <f t="shared" si="524"/>
        <v>12</v>
      </c>
      <c r="N1714" s="486"/>
      <c r="O1714" s="486"/>
      <c r="P1714" s="487">
        <f>17.5+16-2*0.83-1*1</f>
        <v>30.84</v>
      </c>
    </row>
    <row r="1715" spans="1:16" ht="18" customHeight="1">
      <c r="A1715" s="474"/>
      <c r="B1715" s="494"/>
      <c r="C1715" s="488"/>
      <c r="D1715" s="489"/>
      <c r="E1715" s="837">
        <f>C1713*E1713+C1714*E1714</f>
        <v>3</v>
      </c>
      <c r="F1715" s="491"/>
      <c r="G1715" s="496"/>
      <c r="H1715" s="497"/>
      <c r="I1715" s="496"/>
      <c r="J1715" s="609"/>
      <c r="K1715" s="496"/>
      <c r="L1715" s="626"/>
      <c r="M1715" s="475"/>
      <c r="N1715" s="476"/>
      <c r="O1715" s="476"/>
    </row>
    <row r="1716" spans="1:16" s="487" customFormat="1" ht="18" customHeight="1">
      <c r="A1716" s="478"/>
      <c r="B1716" s="726" t="s">
        <v>318</v>
      </c>
      <c r="C1716" s="479"/>
      <c r="D1716" s="480"/>
      <c r="E1716" s="724"/>
      <c r="F1716" s="482"/>
      <c r="G1716" s="483"/>
      <c r="H1716" s="484"/>
      <c r="I1716" s="483"/>
      <c r="J1716" s="749"/>
      <c r="K1716" s="483"/>
      <c r="L1716" s="500"/>
      <c r="M1716" s="485"/>
      <c r="N1716" s="486"/>
      <c r="O1716" s="486"/>
    </row>
    <row r="1717" spans="1:16" s="487" customFormat="1" ht="18" customHeight="1">
      <c r="A1717" s="478"/>
      <c r="B1717" s="336" t="s">
        <v>302</v>
      </c>
      <c r="C1717" s="479">
        <v>1</v>
      </c>
      <c r="D1717" s="480" t="s">
        <v>87</v>
      </c>
      <c r="E1717" s="724">
        <v>1</v>
      </c>
      <c r="F1717" s="482">
        <v>17</v>
      </c>
      <c r="G1717" s="483">
        <v>6</v>
      </c>
      <c r="H1717" s="484">
        <v>0</v>
      </c>
      <c r="I1717" s="483">
        <v>10</v>
      </c>
      <c r="J1717" s="749">
        <v>1</v>
      </c>
      <c r="K1717" s="483">
        <v>6</v>
      </c>
      <c r="L1717" s="500"/>
      <c r="M1717" s="485">
        <f t="shared" ref="M1717:M1720" si="525">ROUNDUP((F1717+G1717/12)/3+1,0)*E1717*C1717</f>
        <v>7</v>
      </c>
      <c r="N1717" s="486"/>
      <c r="O1717" s="486"/>
      <c r="P1717" s="487">
        <f>17.5-1.5*1.17</f>
        <v>15.745000000000001</v>
      </c>
    </row>
    <row r="1718" spans="1:16" s="487" customFormat="1" ht="18" customHeight="1">
      <c r="A1718" s="478"/>
      <c r="B1718" s="336" t="s">
        <v>304</v>
      </c>
      <c r="C1718" s="479">
        <v>1</v>
      </c>
      <c r="D1718" s="480" t="s">
        <v>87</v>
      </c>
      <c r="E1718" s="724">
        <v>1</v>
      </c>
      <c r="F1718" s="482">
        <v>17</v>
      </c>
      <c r="G1718" s="483">
        <v>6</v>
      </c>
      <c r="H1718" s="484">
        <f t="shared" ref="H1718:K1718" si="526">H1717</f>
        <v>0</v>
      </c>
      <c r="I1718" s="483">
        <f t="shared" si="526"/>
        <v>10</v>
      </c>
      <c r="J1718" s="749">
        <f t="shared" si="526"/>
        <v>1</v>
      </c>
      <c r="K1718" s="483">
        <f t="shared" si="526"/>
        <v>6</v>
      </c>
      <c r="L1718" s="500"/>
      <c r="M1718" s="485">
        <f t="shared" si="525"/>
        <v>7</v>
      </c>
      <c r="N1718" s="486"/>
      <c r="O1718" s="486"/>
      <c r="P1718" s="487">
        <f>17.5-1.5*1</f>
        <v>16</v>
      </c>
    </row>
    <row r="1719" spans="1:16" s="487" customFormat="1" ht="18" customHeight="1">
      <c r="A1719" s="478"/>
      <c r="B1719" s="336" t="s">
        <v>303</v>
      </c>
      <c r="C1719" s="479">
        <v>1</v>
      </c>
      <c r="D1719" s="480" t="s">
        <v>87</v>
      </c>
      <c r="E1719" s="724">
        <v>1</v>
      </c>
      <c r="F1719" s="482">
        <v>16</v>
      </c>
      <c r="G1719" s="483">
        <f>G1902</f>
        <v>0</v>
      </c>
      <c r="H1719" s="484">
        <f t="shared" ref="H1719:K1719" si="527">H1718</f>
        <v>0</v>
      </c>
      <c r="I1719" s="483">
        <f t="shared" si="527"/>
        <v>10</v>
      </c>
      <c r="J1719" s="749">
        <f t="shared" si="527"/>
        <v>1</v>
      </c>
      <c r="K1719" s="483">
        <f t="shared" si="527"/>
        <v>6</v>
      </c>
      <c r="L1719" s="500"/>
      <c r="M1719" s="485">
        <f t="shared" si="525"/>
        <v>7</v>
      </c>
      <c r="N1719" s="486"/>
      <c r="O1719" s="486"/>
      <c r="P1719" s="487">
        <f>16-0.5*1.17-1*1</f>
        <v>14.414999999999999</v>
      </c>
    </row>
    <row r="1720" spans="1:16" s="487" customFormat="1" ht="18" customHeight="1">
      <c r="A1720" s="478"/>
      <c r="B1720" s="336" t="s">
        <v>305</v>
      </c>
      <c r="C1720" s="479">
        <v>1</v>
      </c>
      <c r="D1720" s="480" t="s">
        <v>87</v>
      </c>
      <c r="E1720" s="724">
        <v>1</v>
      </c>
      <c r="F1720" s="482">
        <v>16</v>
      </c>
      <c r="G1720" s="483">
        <f>G1899</f>
        <v>0</v>
      </c>
      <c r="H1720" s="484">
        <f t="shared" ref="H1720:K1720" si="528">H1719</f>
        <v>0</v>
      </c>
      <c r="I1720" s="483">
        <f t="shared" si="528"/>
        <v>10</v>
      </c>
      <c r="J1720" s="749">
        <f t="shared" si="528"/>
        <v>1</v>
      </c>
      <c r="K1720" s="483">
        <f t="shared" si="528"/>
        <v>6</v>
      </c>
      <c r="L1720" s="500"/>
      <c r="M1720" s="485">
        <f t="shared" si="525"/>
        <v>7</v>
      </c>
      <c r="N1720" s="486"/>
      <c r="O1720" s="486"/>
      <c r="P1720" s="487">
        <f>16-1.5*1</f>
        <v>14.5</v>
      </c>
    </row>
    <row r="1721" spans="1:16" ht="18" customHeight="1">
      <c r="A1721" s="474"/>
      <c r="B1721" s="494"/>
      <c r="C1721" s="488"/>
      <c r="D1721" s="489"/>
      <c r="E1721" s="837">
        <f>C1719*E1719+C1718*E1718+C1720*E1720+C1717*E1717</f>
        <v>4</v>
      </c>
      <c r="F1721" s="491"/>
      <c r="G1721" s="496"/>
      <c r="H1721" s="497"/>
      <c r="I1721" s="496"/>
      <c r="J1721" s="609"/>
      <c r="K1721" s="496"/>
      <c r="L1721" s="626"/>
      <c r="M1721" s="475"/>
      <c r="N1721" s="476"/>
      <c r="O1721" s="476"/>
    </row>
    <row r="1722" spans="1:16" s="487" customFormat="1" ht="18" customHeight="1">
      <c r="A1722" s="478"/>
      <c r="B1722" s="726" t="s">
        <v>319</v>
      </c>
      <c r="C1722" s="479"/>
      <c r="D1722" s="480"/>
      <c r="E1722" s="724"/>
      <c r="F1722" s="482"/>
      <c r="G1722" s="483"/>
      <c r="H1722" s="484"/>
      <c r="I1722" s="483"/>
      <c r="J1722" s="749"/>
      <c r="K1722" s="483"/>
      <c r="L1722" s="500"/>
      <c r="M1722" s="485"/>
      <c r="N1722" s="486"/>
      <c r="O1722" s="486"/>
    </row>
    <row r="1723" spans="1:16" s="487" customFormat="1" ht="18" customHeight="1">
      <c r="A1723" s="478"/>
      <c r="B1723" s="336" t="s">
        <v>273</v>
      </c>
      <c r="C1723" s="479">
        <v>1</v>
      </c>
      <c r="D1723" s="480" t="s">
        <v>87</v>
      </c>
      <c r="E1723" s="724">
        <v>2</v>
      </c>
      <c r="F1723" s="482">
        <v>15</v>
      </c>
      <c r="G1723" s="483">
        <v>7</v>
      </c>
      <c r="H1723" s="484">
        <v>1</v>
      </c>
      <c r="I1723" s="483">
        <v>0</v>
      </c>
      <c r="J1723" s="749">
        <v>1</v>
      </c>
      <c r="K1723" s="483">
        <v>2</v>
      </c>
      <c r="L1723" s="500"/>
      <c r="M1723" s="485">
        <f t="shared" ref="M1723:M1728" si="529">ROUNDUP((F1723+G1723/12)/3+1,0)*E1723*C1723</f>
        <v>14</v>
      </c>
      <c r="N1723" s="486"/>
      <c r="O1723" s="486"/>
      <c r="P1723" s="487">
        <f>15.58-1*1-0.5*1.17</f>
        <v>13.995000000000001</v>
      </c>
    </row>
    <row r="1724" spans="1:16" s="487" customFormat="1" ht="18" customHeight="1">
      <c r="A1724" s="478"/>
      <c r="B1724" s="336" t="s">
        <v>274</v>
      </c>
      <c r="C1724" s="479">
        <v>1</v>
      </c>
      <c r="D1724" s="480" t="s">
        <v>87</v>
      </c>
      <c r="E1724" s="724">
        <v>1</v>
      </c>
      <c r="F1724" s="482">
        <v>15</v>
      </c>
      <c r="G1724" s="483">
        <v>7</v>
      </c>
      <c r="H1724" s="484">
        <f>H1723</f>
        <v>1</v>
      </c>
      <c r="I1724" s="483">
        <f>I1723</f>
        <v>0</v>
      </c>
      <c r="J1724" s="749">
        <f>J1723</f>
        <v>1</v>
      </c>
      <c r="K1724" s="483">
        <f>K1723</f>
        <v>2</v>
      </c>
      <c r="L1724" s="500"/>
      <c r="M1724" s="485">
        <f t="shared" si="529"/>
        <v>7</v>
      </c>
      <c r="N1724" s="486"/>
      <c r="O1724" s="486"/>
      <c r="P1724" s="487">
        <f>15.58-1.5*1</f>
        <v>14.08</v>
      </c>
    </row>
    <row r="1725" spans="1:16" s="487" customFormat="1" ht="18" customHeight="1">
      <c r="A1725" s="478"/>
      <c r="B1725" s="336" t="s">
        <v>277</v>
      </c>
      <c r="C1725" s="479">
        <v>1</v>
      </c>
      <c r="D1725" s="480" t="s">
        <v>87</v>
      </c>
      <c r="E1725" s="724">
        <v>2</v>
      </c>
      <c r="F1725" s="482">
        <v>9</v>
      </c>
      <c r="G1725" s="483">
        <v>0</v>
      </c>
      <c r="H1725" s="484">
        <f t="shared" ref="H1725:K1728" si="530">H1724</f>
        <v>1</v>
      </c>
      <c r="I1725" s="483">
        <f t="shared" si="530"/>
        <v>0</v>
      </c>
      <c r="J1725" s="749">
        <f t="shared" si="530"/>
        <v>1</v>
      </c>
      <c r="K1725" s="483">
        <f t="shared" si="530"/>
        <v>2</v>
      </c>
      <c r="L1725" s="500"/>
      <c r="M1725" s="485">
        <f t="shared" si="529"/>
        <v>8</v>
      </c>
      <c r="N1725" s="486"/>
      <c r="O1725" s="486"/>
      <c r="P1725" s="487">
        <f>9-1*1.17</f>
        <v>7.83</v>
      </c>
    </row>
    <row r="1726" spans="1:16" s="487" customFormat="1" ht="18" customHeight="1">
      <c r="A1726" s="478"/>
      <c r="B1726" s="336" t="s">
        <v>278</v>
      </c>
      <c r="C1726" s="479">
        <v>1</v>
      </c>
      <c r="D1726" s="480" t="s">
        <v>87</v>
      </c>
      <c r="E1726" s="724">
        <v>1</v>
      </c>
      <c r="F1726" s="482">
        <v>9</v>
      </c>
      <c r="G1726" s="483">
        <v>0</v>
      </c>
      <c r="H1726" s="484">
        <f t="shared" si="530"/>
        <v>1</v>
      </c>
      <c r="I1726" s="483">
        <f t="shared" si="530"/>
        <v>0</v>
      </c>
      <c r="J1726" s="749">
        <f t="shared" si="530"/>
        <v>1</v>
      </c>
      <c r="K1726" s="483">
        <f t="shared" si="530"/>
        <v>2</v>
      </c>
      <c r="L1726" s="500"/>
      <c r="M1726" s="485">
        <f t="shared" si="529"/>
        <v>4</v>
      </c>
      <c r="N1726" s="486"/>
      <c r="O1726" s="486"/>
      <c r="P1726" s="487">
        <f>9-1*1</f>
        <v>8</v>
      </c>
    </row>
    <row r="1727" spans="1:16" s="487" customFormat="1" ht="18" customHeight="1">
      <c r="A1727" s="478"/>
      <c r="B1727" s="336" t="s">
        <v>280</v>
      </c>
      <c r="C1727" s="479">
        <v>1</v>
      </c>
      <c r="D1727" s="480" t="s">
        <v>87</v>
      </c>
      <c r="E1727" s="724">
        <v>2</v>
      </c>
      <c r="F1727" s="482">
        <v>11</v>
      </c>
      <c r="G1727" s="483">
        <v>11</v>
      </c>
      <c r="H1727" s="484">
        <f t="shared" si="530"/>
        <v>1</v>
      </c>
      <c r="I1727" s="483">
        <f t="shared" si="530"/>
        <v>0</v>
      </c>
      <c r="J1727" s="749">
        <f t="shared" si="530"/>
        <v>1</v>
      </c>
      <c r="K1727" s="483">
        <f t="shared" si="530"/>
        <v>2</v>
      </c>
      <c r="L1727" s="500"/>
      <c r="M1727" s="485">
        <f t="shared" si="529"/>
        <v>10</v>
      </c>
      <c r="N1727" s="486"/>
      <c r="O1727" s="486"/>
      <c r="P1727" s="487">
        <f>11.92-1*1-0.5*1.17</f>
        <v>10.335000000000001</v>
      </c>
    </row>
    <row r="1728" spans="1:16" s="487" customFormat="1" ht="18" customHeight="1">
      <c r="A1728" s="478"/>
      <c r="B1728" s="336" t="s">
        <v>281</v>
      </c>
      <c r="C1728" s="479">
        <v>1</v>
      </c>
      <c r="D1728" s="480" t="s">
        <v>87</v>
      </c>
      <c r="E1728" s="724">
        <v>1</v>
      </c>
      <c r="F1728" s="482">
        <v>11</v>
      </c>
      <c r="G1728" s="483">
        <v>11</v>
      </c>
      <c r="H1728" s="484">
        <f t="shared" si="530"/>
        <v>1</v>
      </c>
      <c r="I1728" s="483">
        <f t="shared" si="530"/>
        <v>0</v>
      </c>
      <c r="J1728" s="749">
        <f t="shared" si="530"/>
        <v>1</v>
      </c>
      <c r="K1728" s="483">
        <f t="shared" si="530"/>
        <v>2</v>
      </c>
      <c r="L1728" s="500"/>
      <c r="M1728" s="485">
        <f t="shared" si="529"/>
        <v>5</v>
      </c>
      <c r="N1728" s="486"/>
      <c r="O1728" s="486"/>
      <c r="P1728" s="487">
        <f>11.92-1.5*1</f>
        <v>10.42</v>
      </c>
    </row>
    <row r="1729" spans="1:16" ht="18" customHeight="1">
      <c r="A1729" s="474"/>
      <c r="B1729" s="494"/>
      <c r="C1729" s="488"/>
      <c r="D1729" s="489"/>
      <c r="E1729" s="837">
        <f>C1727*E1727+C1726*E1726+C1728*E1728+C1725*E1725+C1724*E1724+C1723*E1723</f>
        <v>9</v>
      </c>
      <c r="F1729" s="491"/>
      <c r="G1729" s="496"/>
      <c r="H1729" s="497"/>
      <c r="I1729" s="496"/>
      <c r="J1729" s="609"/>
      <c r="K1729" s="496"/>
      <c r="L1729" s="626"/>
      <c r="M1729" s="475"/>
      <c r="N1729" s="476"/>
      <c r="O1729" s="476"/>
    </row>
    <row r="1730" spans="1:16" s="487" customFormat="1" ht="18" customHeight="1">
      <c r="A1730" s="478"/>
      <c r="B1730" s="726" t="s">
        <v>320</v>
      </c>
      <c r="C1730" s="479"/>
      <c r="D1730" s="480"/>
      <c r="E1730" s="724"/>
      <c r="F1730" s="482"/>
      <c r="G1730" s="483"/>
      <c r="H1730" s="484"/>
      <c r="I1730" s="483"/>
      <c r="J1730" s="749"/>
      <c r="K1730" s="483"/>
      <c r="L1730" s="500"/>
      <c r="M1730" s="485"/>
      <c r="N1730" s="486"/>
      <c r="O1730" s="486"/>
    </row>
    <row r="1731" spans="1:16" s="487" customFormat="1" ht="18" customHeight="1">
      <c r="A1731" s="478"/>
      <c r="B1731" s="336" t="s">
        <v>321</v>
      </c>
      <c r="C1731" s="479">
        <v>1</v>
      </c>
      <c r="D1731" s="480" t="s">
        <v>87</v>
      </c>
      <c r="E1731" s="724">
        <v>1</v>
      </c>
      <c r="F1731" s="482">
        <v>4</v>
      </c>
      <c r="G1731" s="483">
        <v>0</v>
      </c>
      <c r="H1731" s="484">
        <v>1</v>
      </c>
      <c r="I1731" s="483">
        <v>0</v>
      </c>
      <c r="J1731" s="749">
        <v>1</v>
      </c>
      <c r="K1731" s="483">
        <v>4</v>
      </c>
      <c r="L1731" s="500"/>
      <c r="M1731" s="485">
        <f t="shared" ref="M1731" si="531">ROUNDUP((F1731+G1731/12)/3+1,0)*E1731*C1731</f>
        <v>3</v>
      </c>
      <c r="N1731" s="486"/>
      <c r="O1731" s="486"/>
    </row>
    <row r="1732" spans="1:16" ht="18" customHeight="1">
      <c r="A1732" s="474"/>
      <c r="B1732" s="494"/>
      <c r="C1732" s="488"/>
      <c r="D1732" s="489"/>
      <c r="E1732" s="837">
        <f>C1731*E1731</f>
        <v>1</v>
      </c>
      <c r="F1732" s="491"/>
      <c r="G1732" s="496"/>
      <c r="H1732" s="497"/>
      <c r="I1732" s="496"/>
      <c r="J1732" s="609"/>
      <c r="K1732" s="496"/>
      <c r="L1732" s="626"/>
      <c r="M1732" s="475"/>
      <c r="N1732" s="476"/>
      <c r="O1732" s="476"/>
    </row>
    <row r="1733" spans="1:16" s="487" customFormat="1" ht="18" customHeight="1">
      <c r="A1733" s="478"/>
      <c r="B1733" s="726" t="s">
        <v>322</v>
      </c>
      <c r="C1733" s="479"/>
      <c r="D1733" s="480"/>
      <c r="E1733" s="724"/>
      <c r="F1733" s="482"/>
      <c r="G1733" s="483"/>
      <c r="H1733" s="484"/>
      <c r="I1733" s="483"/>
      <c r="J1733" s="749"/>
      <c r="K1733" s="483"/>
      <c r="L1733" s="500"/>
      <c r="M1733" s="485"/>
      <c r="N1733" s="486"/>
      <c r="O1733" s="486"/>
    </row>
    <row r="1734" spans="1:16" s="487" customFormat="1" ht="18" customHeight="1">
      <c r="A1734" s="478"/>
      <c r="B1734" s="336" t="s">
        <v>264</v>
      </c>
      <c r="C1734" s="479">
        <f>1</f>
        <v>1</v>
      </c>
      <c r="D1734" s="480" t="s">
        <v>87</v>
      </c>
      <c r="E1734" s="724">
        <f>1</f>
        <v>1</v>
      </c>
      <c r="F1734" s="482">
        <v>17</v>
      </c>
      <c r="G1734" s="483">
        <v>6</v>
      </c>
      <c r="H1734" s="484">
        <v>1</v>
      </c>
      <c r="I1734" s="483">
        <v>0</v>
      </c>
      <c r="J1734" s="749">
        <v>1</v>
      </c>
      <c r="K1734" s="483">
        <v>6</v>
      </c>
      <c r="L1734" s="500"/>
      <c r="M1734" s="485">
        <f t="shared" ref="M1734:M1737" si="532">ROUNDUP((F1734+G1734/12)/3+1,0)*E1734*C1734</f>
        <v>7</v>
      </c>
      <c r="N1734" s="486"/>
      <c r="O1734" s="486"/>
      <c r="P1734" s="487">
        <f>17.5-1.5*1</f>
        <v>16</v>
      </c>
    </row>
    <row r="1735" spans="1:16" s="487" customFormat="1" ht="18" customHeight="1">
      <c r="A1735" s="478"/>
      <c r="B1735" s="336" t="s">
        <v>323</v>
      </c>
      <c r="C1735" s="479">
        <f>1</f>
        <v>1</v>
      </c>
      <c r="D1735" s="480" t="s">
        <v>87</v>
      </c>
      <c r="E1735" s="724">
        <f>1</f>
        <v>1</v>
      </c>
      <c r="F1735" s="482">
        <v>17</v>
      </c>
      <c r="G1735" s="483">
        <v>6</v>
      </c>
      <c r="H1735" s="484">
        <f>H1736</f>
        <v>1</v>
      </c>
      <c r="I1735" s="483">
        <f>I1736</f>
        <v>0</v>
      </c>
      <c r="J1735" s="749">
        <f>J1736</f>
        <v>1</v>
      </c>
      <c r="K1735" s="483">
        <f>K1736</f>
        <v>6</v>
      </c>
      <c r="L1735" s="500"/>
      <c r="M1735" s="485">
        <f t="shared" si="532"/>
        <v>7</v>
      </c>
      <c r="N1735" s="486"/>
      <c r="O1735" s="486"/>
      <c r="P1735" s="487">
        <f>17.5-1.5*1.17</f>
        <v>15.745000000000001</v>
      </c>
    </row>
    <row r="1736" spans="1:16" s="487" customFormat="1" ht="18" customHeight="1">
      <c r="A1736" s="478"/>
      <c r="B1736" s="336" t="s">
        <v>265</v>
      </c>
      <c r="C1736" s="479">
        <f>1</f>
        <v>1</v>
      </c>
      <c r="D1736" s="480" t="s">
        <v>87</v>
      </c>
      <c r="E1736" s="724">
        <f>1</f>
        <v>1</v>
      </c>
      <c r="F1736" s="482">
        <v>16</v>
      </c>
      <c r="G1736" s="483">
        <v>0</v>
      </c>
      <c r="H1736" s="484">
        <f t="shared" ref="H1736:K1736" si="533">H1734</f>
        <v>1</v>
      </c>
      <c r="I1736" s="483">
        <f t="shared" si="533"/>
        <v>0</v>
      </c>
      <c r="J1736" s="749">
        <f t="shared" si="533"/>
        <v>1</v>
      </c>
      <c r="K1736" s="483">
        <f t="shared" si="533"/>
        <v>6</v>
      </c>
      <c r="L1736" s="500"/>
      <c r="M1736" s="485">
        <f t="shared" si="532"/>
        <v>7</v>
      </c>
      <c r="N1736" s="486"/>
      <c r="O1736" s="486"/>
      <c r="P1736" s="487">
        <f>16-1.5*1</f>
        <v>14.5</v>
      </c>
    </row>
    <row r="1737" spans="1:16" s="487" customFormat="1" ht="18" customHeight="1">
      <c r="A1737" s="478"/>
      <c r="B1737" s="336" t="s">
        <v>324</v>
      </c>
      <c r="C1737" s="479">
        <f>1</f>
        <v>1</v>
      </c>
      <c r="D1737" s="480" t="s">
        <v>87</v>
      </c>
      <c r="E1737" s="724">
        <f>1</f>
        <v>1</v>
      </c>
      <c r="F1737" s="482">
        <v>16</v>
      </c>
      <c r="G1737" s="483">
        <v>0</v>
      </c>
      <c r="H1737" s="484">
        <f t="shared" ref="H1737:K1737" si="534">H1735</f>
        <v>1</v>
      </c>
      <c r="I1737" s="483">
        <f t="shared" si="534"/>
        <v>0</v>
      </c>
      <c r="J1737" s="749">
        <f t="shared" si="534"/>
        <v>1</v>
      </c>
      <c r="K1737" s="483">
        <f t="shared" si="534"/>
        <v>6</v>
      </c>
      <c r="L1737" s="500"/>
      <c r="M1737" s="485">
        <f t="shared" si="532"/>
        <v>7</v>
      </c>
      <c r="N1737" s="486"/>
      <c r="O1737" s="486"/>
      <c r="P1737" s="487">
        <f>16-1*1-0.5*1.17</f>
        <v>14.414999999999999</v>
      </c>
    </row>
    <row r="1738" spans="1:16" ht="18" customHeight="1">
      <c r="A1738" s="474"/>
      <c r="B1738" s="494"/>
      <c r="C1738" s="488"/>
      <c r="D1738" s="489"/>
      <c r="E1738" s="837">
        <f>C1736*E1736+C1735*E1735+C1737*E1737+C1734*E1734+C1733*E1733+C1732*E1732</f>
        <v>4</v>
      </c>
      <c r="F1738" s="491"/>
      <c r="G1738" s="496"/>
      <c r="H1738" s="497"/>
      <c r="I1738" s="496"/>
      <c r="K1738" s="859" t="str">
        <f>B1700</f>
        <v>(h) First  Floor  Beam</v>
      </c>
      <c r="L1738" s="500"/>
      <c r="M1738" s="486"/>
      <c r="N1738" s="858">
        <f>SUM(M1702:M1737)</f>
        <v>156</v>
      </c>
      <c r="O1738" s="965" t="s">
        <v>720</v>
      </c>
    </row>
    <row r="1739" spans="1:16" s="487" customFormat="1" ht="18" customHeight="1">
      <c r="A1739" s="478"/>
      <c r="B1739" s="723" t="s">
        <v>326</v>
      </c>
      <c r="C1739" s="479"/>
      <c r="D1739" s="480"/>
      <c r="E1739" s="724"/>
      <c r="F1739" s="482"/>
      <c r="G1739" s="483"/>
      <c r="H1739" s="484"/>
      <c r="I1739" s="483"/>
      <c r="J1739" s="749"/>
      <c r="K1739" s="483"/>
      <c r="L1739" s="500"/>
      <c r="M1739" s="485"/>
      <c r="N1739" s="486"/>
      <c r="O1739" s="486"/>
    </row>
    <row r="1740" spans="1:16" s="487" customFormat="1" ht="18" customHeight="1">
      <c r="A1740" s="478"/>
      <c r="B1740" s="726" t="s">
        <v>327</v>
      </c>
      <c r="C1740" s="479"/>
      <c r="D1740" s="480"/>
      <c r="E1740" s="724"/>
      <c r="F1740" s="482"/>
      <c r="G1740" s="483"/>
      <c r="H1740" s="484"/>
      <c r="I1740" s="483"/>
      <c r="J1740" s="749"/>
      <c r="K1740" s="483"/>
      <c r="L1740" s="500"/>
      <c r="M1740" s="485"/>
      <c r="N1740" s="486"/>
      <c r="O1740" s="486"/>
    </row>
    <row r="1741" spans="1:16" s="487" customFormat="1" ht="18" customHeight="1">
      <c r="A1741" s="478"/>
      <c r="B1741" s="336" t="s">
        <v>309</v>
      </c>
      <c r="C1741" s="479">
        <f>1</f>
        <v>1</v>
      </c>
      <c r="D1741" s="480" t="s">
        <v>87</v>
      </c>
      <c r="E1741" s="724">
        <v>1</v>
      </c>
      <c r="F1741" s="482">
        <f>5</f>
        <v>5</v>
      </c>
      <c r="G1741" s="483">
        <v>4</v>
      </c>
      <c r="H1741" s="484">
        <f>0</f>
        <v>0</v>
      </c>
      <c r="I1741" s="483">
        <v>10</v>
      </c>
      <c r="J1741" s="749">
        <v>0</v>
      </c>
      <c r="K1741" s="483">
        <v>10</v>
      </c>
      <c r="L1741" s="500"/>
      <c r="M1741" s="485">
        <f t="shared" ref="M1741:M1742" si="535">ROUNDUP((F1741+G1741/12)/3+1,0)*E1741*C1741</f>
        <v>3</v>
      </c>
      <c r="N1741" s="486"/>
      <c r="O1741" s="486"/>
      <c r="P1741" s="487">
        <f>6.33-1</f>
        <v>5.33</v>
      </c>
    </row>
    <row r="1742" spans="1:16" s="487" customFormat="1" ht="18" customHeight="1">
      <c r="A1742" s="478"/>
      <c r="B1742" s="336" t="s">
        <v>311</v>
      </c>
      <c r="C1742" s="479">
        <v>1</v>
      </c>
      <c r="D1742" s="480" t="s">
        <v>87</v>
      </c>
      <c r="E1742" s="724">
        <v>1</v>
      </c>
      <c r="F1742" s="482">
        <v>8</v>
      </c>
      <c r="G1742" s="483">
        <v>0</v>
      </c>
      <c r="H1742" s="484">
        <f t="shared" ref="H1742:K1742" si="536">H1741</f>
        <v>0</v>
      </c>
      <c r="I1742" s="483">
        <f t="shared" si="536"/>
        <v>10</v>
      </c>
      <c r="J1742" s="749">
        <f t="shared" si="536"/>
        <v>0</v>
      </c>
      <c r="K1742" s="483">
        <f t="shared" si="536"/>
        <v>10</v>
      </c>
      <c r="L1742" s="500"/>
      <c r="M1742" s="485">
        <f t="shared" si="535"/>
        <v>4</v>
      </c>
      <c r="N1742" s="486"/>
      <c r="O1742" s="486"/>
      <c r="P1742" s="487">
        <f>9-1*1</f>
        <v>8</v>
      </c>
    </row>
    <row r="1743" spans="1:16" ht="18" customHeight="1">
      <c r="A1743" s="474"/>
      <c r="B1743" s="494"/>
      <c r="C1743" s="488"/>
      <c r="D1743" s="489"/>
      <c r="E1743" s="837">
        <f>C1741*E1741+C1742*E1742</f>
        <v>2</v>
      </c>
      <c r="F1743" s="491"/>
      <c r="G1743" s="496"/>
      <c r="H1743" s="497"/>
      <c r="I1743" s="496"/>
      <c r="J1743" s="609"/>
      <c r="K1743" s="496"/>
      <c r="L1743" s="626"/>
      <c r="M1743" s="475"/>
      <c r="N1743" s="476"/>
      <c r="O1743" s="476"/>
    </row>
    <row r="1744" spans="1:16" s="487" customFormat="1" ht="18" customHeight="1">
      <c r="A1744" s="478"/>
      <c r="B1744" s="726" t="s">
        <v>328</v>
      </c>
      <c r="C1744" s="479"/>
      <c r="D1744" s="480"/>
      <c r="E1744" s="724"/>
      <c r="F1744" s="482"/>
      <c r="G1744" s="483"/>
      <c r="H1744" s="484"/>
      <c r="I1744" s="483"/>
      <c r="J1744" s="749"/>
      <c r="K1744" s="483"/>
      <c r="L1744" s="500"/>
      <c r="M1744" s="485"/>
      <c r="N1744" s="486"/>
      <c r="O1744" s="486"/>
    </row>
    <row r="1745" spans="1:16" s="487" customFormat="1" ht="18" customHeight="1">
      <c r="A1745" s="478"/>
      <c r="B1745" s="336" t="s">
        <v>329</v>
      </c>
      <c r="C1745" s="479">
        <v>1</v>
      </c>
      <c r="D1745" s="480" t="s">
        <v>87</v>
      </c>
      <c r="E1745" s="724">
        <v>1</v>
      </c>
      <c r="F1745" s="482">
        <v>15</v>
      </c>
      <c r="G1745" s="483">
        <v>0</v>
      </c>
      <c r="H1745" s="484">
        <f>0</f>
        <v>0</v>
      </c>
      <c r="I1745" s="483">
        <v>10</v>
      </c>
      <c r="J1745" s="749">
        <f>1</f>
        <v>1</v>
      </c>
      <c r="K1745" s="483">
        <v>2</v>
      </c>
      <c r="L1745" s="500"/>
      <c r="M1745" s="485">
        <f t="shared" ref="M1745:M1749" si="537">ROUNDUP((F1745+G1745/12)/3+1,0)*E1745*C1745</f>
        <v>6</v>
      </c>
      <c r="N1745" s="486"/>
      <c r="O1745" s="486"/>
      <c r="P1745" s="487">
        <f>16-1*1-0.5*1</f>
        <v>14.5</v>
      </c>
    </row>
    <row r="1746" spans="1:16" s="487" customFormat="1" ht="18" customHeight="1">
      <c r="A1746" s="478"/>
      <c r="B1746" s="336" t="s">
        <v>330</v>
      </c>
      <c r="C1746" s="479">
        <v>1</v>
      </c>
      <c r="D1746" s="480" t="s">
        <v>87</v>
      </c>
      <c r="E1746" s="724">
        <v>1</v>
      </c>
      <c r="F1746" s="482">
        <v>27</v>
      </c>
      <c r="G1746" s="483">
        <v>1</v>
      </c>
      <c r="H1746" s="484">
        <f t="shared" ref="H1746:K1746" si="538">H1745</f>
        <v>0</v>
      </c>
      <c r="I1746" s="483">
        <f t="shared" si="538"/>
        <v>10</v>
      </c>
      <c r="J1746" s="749">
        <f t="shared" si="538"/>
        <v>1</v>
      </c>
      <c r="K1746" s="483">
        <f t="shared" si="538"/>
        <v>2</v>
      </c>
      <c r="L1746" s="500"/>
      <c r="M1746" s="485">
        <f t="shared" si="537"/>
        <v>11</v>
      </c>
      <c r="N1746" s="486"/>
      <c r="O1746" s="486"/>
      <c r="P1746" s="487">
        <f>29.5-3*0.83</f>
        <v>27.01</v>
      </c>
    </row>
    <row r="1747" spans="1:16" s="487" customFormat="1" ht="18" customHeight="1">
      <c r="A1747" s="478"/>
      <c r="B1747" s="336" t="s">
        <v>339</v>
      </c>
      <c r="C1747" s="479">
        <v>1</v>
      </c>
      <c r="D1747" s="480" t="s">
        <v>87</v>
      </c>
      <c r="E1747" s="724">
        <v>3</v>
      </c>
      <c r="F1747" s="482">
        <v>4</v>
      </c>
      <c r="G1747" s="483">
        <v>0</v>
      </c>
      <c r="H1747" s="484">
        <f t="shared" ref="H1747:K1747" si="539">H1746</f>
        <v>0</v>
      </c>
      <c r="I1747" s="483">
        <f t="shared" si="539"/>
        <v>10</v>
      </c>
      <c r="J1747" s="749">
        <f t="shared" si="539"/>
        <v>1</v>
      </c>
      <c r="K1747" s="483">
        <f t="shared" si="539"/>
        <v>2</v>
      </c>
      <c r="L1747" s="500"/>
      <c r="M1747" s="485">
        <f t="shared" si="537"/>
        <v>9</v>
      </c>
      <c r="N1747" s="486"/>
      <c r="O1747" s="486"/>
    </row>
    <row r="1748" spans="1:16" s="487" customFormat="1" ht="18" customHeight="1">
      <c r="A1748" s="478"/>
      <c r="B1748" s="336" t="s">
        <v>340</v>
      </c>
      <c r="C1748" s="479">
        <v>1</v>
      </c>
      <c r="D1748" s="480" t="s">
        <v>87</v>
      </c>
      <c r="E1748" s="724">
        <v>1</v>
      </c>
      <c r="F1748" s="482">
        <v>14</v>
      </c>
      <c r="G1748" s="483">
        <v>1</v>
      </c>
      <c r="H1748" s="484">
        <f t="shared" ref="H1748:K1748" si="540">H1747</f>
        <v>0</v>
      </c>
      <c r="I1748" s="483">
        <f t="shared" si="540"/>
        <v>10</v>
      </c>
      <c r="J1748" s="749">
        <f t="shared" si="540"/>
        <v>1</v>
      </c>
      <c r="K1748" s="483">
        <f t="shared" si="540"/>
        <v>2</v>
      </c>
      <c r="L1748" s="500"/>
      <c r="M1748" s="485">
        <f t="shared" si="537"/>
        <v>6</v>
      </c>
      <c r="N1748" s="486"/>
      <c r="O1748" s="486"/>
      <c r="P1748" s="487">
        <f>15.58-1.5*1</f>
        <v>14.08</v>
      </c>
    </row>
    <row r="1749" spans="1:16" s="487" customFormat="1" ht="18" customHeight="1">
      <c r="A1749" s="478"/>
      <c r="B1749" s="336" t="s">
        <v>341</v>
      </c>
      <c r="C1749" s="479">
        <v>1</v>
      </c>
      <c r="D1749" s="480" t="s">
        <v>87</v>
      </c>
      <c r="E1749" s="724">
        <v>1</v>
      </c>
      <c r="F1749" s="482">
        <v>10</v>
      </c>
      <c r="G1749" s="483">
        <v>5</v>
      </c>
      <c r="H1749" s="484">
        <f t="shared" ref="H1749:K1749" si="541">H1748</f>
        <v>0</v>
      </c>
      <c r="I1749" s="483">
        <f t="shared" si="541"/>
        <v>10</v>
      </c>
      <c r="J1749" s="749">
        <f t="shared" si="541"/>
        <v>1</v>
      </c>
      <c r="K1749" s="483">
        <f t="shared" si="541"/>
        <v>2</v>
      </c>
      <c r="L1749" s="500"/>
      <c r="M1749" s="485">
        <f t="shared" si="537"/>
        <v>5</v>
      </c>
      <c r="N1749" s="486"/>
      <c r="O1749" s="486"/>
      <c r="P1749" s="487">
        <f>11.92-1.5*1</f>
        <v>10.42</v>
      </c>
    </row>
    <row r="1750" spans="1:16" ht="18" customHeight="1">
      <c r="A1750" s="474"/>
      <c r="B1750" s="494"/>
      <c r="C1750" s="488"/>
      <c r="D1750" s="489"/>
      <c r="E1750" s="837">
        <f>+C1745*E1745+C1746*E1746+C1747*E1747+C1748*E1748+C1749*E1749</f>
        <v>7</v>
      </c>
      <c r="F1750" s="491"/>
      <c r="G1750" s="496"/>
      <c r="H1750" s="497"/>
      <c r="I1750" s="496"/>
      <c r="J1750" s="609"/>
      <c r="K1750" s="496"/>
      <c r="L1750" s="626"/>
      <c r="M1750" s="475"/>
      <c r="N1750" s="476"/>
      <c r="O1750" s="476"/>
    </row>
    <row r="1751" spans="1:16" s="487" customFormat="1" ht="18" customHeight="1">
      <c r="A1751" s="478"/>
      <c r="B1751" s="726" t="s">
        <v>331</v>
      </c>
      <c r="C1751" s="479"/>
      <c r="D1751" s="480"/>
      <c r="E1751" s="724"/>
      <c r="F1751" s="482"/>
      <c r="G1751" s="483"/>
      <c r="H1751" s="484"/>
      <c r="I1751" s="483"/>
      <c r="J1751" s="749"/>
      <c r="K1751" s="483"/>
      <c r="L1751" s="500"/>
      <c r="M1751" s="485"/>
      <c r="N1751" s="486"/>
      <c r="O1751" s="486"/>
    </row>
    <row r="1752" spans="1:16" s="487" customFormat="1" ht="18" customHeight="1">
      <c r="A1752" s="478"/>
      <c r="B1752" s="336" t="s">
        <v>332</v>
      </c>
      <c r="C1752" s="479">
        <v>1</v>
      </c>
      <c r="D1752" s="480" t="s">
        <v>87</v>
      </c>
      <c r="E1752" s="724">
        <v>1</v>
      </c>
      <c r="F1752" s="482">
        <f>F1723</f>
        <v>15</v>
      </c>
      <c r="G1752" s="483">
        <f>G1723</f>
        <v>7</v>
      </c>
      <c r="H1752" s="484">
        <f>1</f>
        <v>1</v>
      </c>
      <c r="I1752" s="483">
        <v>0</v>
      </c>
      <c r="J1752" s="749">
        <v>1</v>
      </c>
      <c r="K1752" s="483">
        <v>2</v>
      </c>
      <c r="L1752" s="500"/>
      <c r="M1752" s="485">
        <f t="shared" ref="M1752:M1756" si="542">ROUNDUP((F1752+G1752/12)/3+1,0)*E1752*C1752</f>
        <v>7</v>
      </c>
      <c r="N1752" s="486"/>
      <c r="O1752" s="486"/>
      <c r="P1752" s="487">
        <f>15.58-1*1-0.5*1.17</f>
        <v>13.995000000000001</v>
      </c>
    </row>
    <row r="1753" spans="1:16" s="487" customFormat="1" ht="18" customHeight="1">
      <c r="A1753" s="478"/>
      <c r="B1753" s="336" t="s">
        <v>333</v>
      </c>
      <c r="C1753" s="479">
        <v>1</v>
      </c>
      <c r="D1753" s="480" t="s">
        <v>87</v>
      </c>
      <c r="E1753" s="724">
        <v>2</v>
      </c>
      <c r="F1753" s="482">
        <f>F1724</f>
        <v>15</v>
      </c>
      <c r="G1753" s="483">
        <f>G1724</f>
        <v>7</v>
      </c>
      <c r="H1753" s="484">
        <f t="shared" ref="H1753:K1753" si="543">H1752</f>
        <v>1</v>
      </c>
      <c r="I1753" s="483">
        <f t="shared" si="543"/>
        <v>0</v>
      </c>
      <c r="J1753" s="749">
        <f t="shared" si="543"/>
        <v>1</v>
      </c>
      <c r="K1753" s="483">
        <f t="shared" si="543"/>
        <v>2</v>
      </c>
      <c r="L1753" s="500"/>
      <c r="M1753" s="485">
        <f t="shared" si="542"/>
        <v>14</v>
      </c>
      <c r="N1753" s="486"/>
      <c r="O1753" s="486"/>
      <c r="P1753" s="487">
        <f>15.58-1.5*1</f>
        <v>14.08</v>
      </c>
    </row>
    <row r="1754" spans="1:16" s="487" customFormat="1" ht="18" customHeight="1">
      <c r="A1754" s="478"/>
      <c r="B1754" s="336" t="s">
        <v>334</v>
      </c>
      <c r="C1754" s="479">
        <v>1</v>
      </c>
      <c r="D1754" s="480" t="s">
        <v>87</v>
      </c>
      <c r="E1754" s="724">
        <v>1</v>
      </c>
      <c r="F1754" s="482">
        <f>7</f>
        <v>7</v>
      </c>
      <c r="G1754" s="483">
        <v>11</v>
      </c>
      <c r="H1754" s="484">
        <f t="shared" ref="H1754:K1754" si="544">H1753</f>
        <v>1</v>
      </c>
      <c r="I1754" s="483">
        <f t="shared" si="544"/>
        <v>0</v>
      </c>
      <c r="J1754" s="749">
        <f t="shared" si="544"/>
        <v>1</v>
      </c>
      <c r="K1754" s="483">
        <f t="shared" si="544"/>
        <v>2</v>
      </c>
      <c r="L1754" s="500"/>
      <c r="M1754" s="485">
        <f t="shared" si="542"/>
        <v>4</v>
      </c>
      <c r="N1754" s="486"/>
      <c r="O1754" s="486"/>
      <c r="P1754" s="487">
        <f>9-0.5*1.17-0.5*1</f>
        <v>7.9149999999999991</v>
      </c>
    </row>
    <row r="1755" spans="1:16" s="487" customFormat="1" ht="18" customHeight="1">
      <c r="A1755" s="478"/>
      <c r="B1755" s="336" t="s">
        <v>335</v>
      </c>
      <c r="C1755" s="479">
        <v>1</v>
      </c>
      <c r="D1755" s="480" t="s">
        <v>87</v>
      </c>
      <c r="E1755" s="724">
        <v>2</v>
      </c>
      <c r="F1755" s="482">
        <v>8</v>
      </c>
      <c r="G1755" s="483">
        <v>0</v>
      </c>
      <c r="H1755" s="484">
        <f t="shared" ref="H1755:K1755" si="545">H1754</f>
        <v>1</v>
      </c>
      <c r="I1755" s="483">
        <f t="shared" si="545"/>
        <v>0</v>
      </c>
      <c r="J1755" s="749">
        <f t="shared" si="545"/>
        <v>1</v>
      </c>
      <c r="K1755" s="483">
        <f t="shared" si="545"/>
        <v>2</v>
      </c>
      <c r="L1755" s="500"/>
      <c r="M1755" s="485">
        <f t="shared" si="542"/>
        <v>8</v>
      </c>
      <c r="N1755" s="486"/>
      <c r="O1755" s="486"/>
      <c r="P1755" s="487">
        <f>9-1*1</f>
        <v>8</v>
      </c>
    </row>
    <row r="1756" spans="1:16" s="487" customFormat="1" ht="18" customHeight="1">
      <c r="A1756" s="478"/>
      <c r="B1756" s="336" t="s">
        <v>342</v>
      </c>
      <c r="C1756" s="479">
        <v>1</v>
      </c>
      <c r="D1756" s="480" t="s">
        <v>87</v>
      </c>
      <c r="E1756" s="724">
        <v>3</v>
      </c>
      <c r="F1756" s="482">
        <v>10</v>
      </c>
      <c r="G1756" s="483">
        <v>5</v>
      </c>
      <c r="H1756" s="484">
        <f t="shared" ref="H1756:K1756" si="546">H1755</f>
        <v>1</v>
      </c>
      <c r="I1756" s="483">
        <f t="shared" si="546"/>
        <v>0</v>
      </c>
      <c r="J1756" s="749">
        <f t="shared" si="546"/>
        <v>1</v>
      </c>
      <c r="K1756" s="483">
        <f t="shared" si="546"/>
        <v>2</v>
      </c>
      <c r="L1756" s="500"/>
      <c r="M1756" s="485">
        <f t="shared" si="542"/>
        <v>15</v>
      </c>
      <c r="N1756" s="486"/>
      <c r="O1756" s="486"/>
      <c r="P1756" s="487">
        <f>11.92-1.5*1</f>
        <v>10.42</v>
      </c>
    </row>
    <row r="1757" spans="1:16" ht="18" customHeight="1">
      <c r="A1757" s="474"/>
      <c r="B1757" s="494"/>
      <c r="C1757" s="488"/>
      <c r="D1757" s="489"/>
      <c r="E1757" s="837">
        <f>C1755*E1755+C1754*E1754+C1756*E1756+C1753*E1753+C1752*E1752</f>
        <v>9</v>
      </c>
      <c r="F1757" s="491"/>
      <c r="G1757" s="496"/>
      <c r="H1757" s="497"/>
      <c r="I1757" s="496"/>
      <c r="J1757" s="609"/>
      <c r="K1757" s="496"/>
      <c r="L1757" s="626"/>
      <c r="M1757" s="475"/>
      <c r="N1757" s="476"/>
      <c r="O1757" s="476"/>
    </row>
    <row r="1758" spans="1:16" s="487" customFormat="1" ht="18" customHeight="1">
      <c r="A1758" s="478"/>
      <c r="B1758" s="726" t="s">
        <v>336</v>
      </c>
      <c r="C1758" s="479"/>
      <c r="D1758" s="480"/>
      <c r="E1758" s="724"/>
      <c r="F1758" s="482"/>
      <c r="G1758" s="483"/>
      <c r="H1758" s="484"/>
      <c r="I1758" s="483"/>
      <c r="J1758" s="749"/>
      <c r="K1758" s="483"/>
      <c r="L1758" s="500"/>
      <c r="M1758" s="485"/>
      <c r="N1758" s="486"/>
      <c r="O1758" s="486"/>
    </row>
    <row r="1759" spans="1:16" s="487" customFormat="1" ht="18" customHeight="1">
      <c r="A1759" s="478"/>
      <c r="B1759" s="336" t="s">
        <v>337</v>
      </c>
      <c r="C1759" s="479">
        <v>1</v>
      </c>
      <c r="D1759" s="480" t="s">
        <v>87</v>
      </c>
      <c r="E1759" s="724">
        <v>3</v>
      </c>
      <c r="F1759" s="482">
        <f>16</f>
        <v>16</v>
      </c>
      <c r="G1759" s="483">
        <v>0</v>
      </c>
      <c r="H1759" s="484">
        <f>1</f>
        <v>1</v>
      </c>
      <c r="I1759" s="483">
        <v>0</v>
      </c>
      <c r="J1759" s="749">
        <v>1</v>
      </c>
      <c r="K1759" s="483">
        <v>4</v>
      </c>
      <c r="L1759" s="500"/>
      <c r="M1759" s="485">
        <f t="shared" ref="M1759:M1761" si="547">ROUNDUP((F1759+G1759/12)/3+1,0)*E1759*C1759</f>
        <v>21</v>
      </c>
      <c r="N1759" s="486"/>
      <c r="O1759" s="486"/>
      <c r="P1759" s="487">
        <f>17.5-1.5*1</f>
        <v>16</v>
      </c>
    </row>
    <row r="1760" spans="1:16" s="487" customFormat="1" ht="18" customHeight="1">
      <c r="A1760" s="478"/>
      <c r="B1760" s="336" t="s">
        <v>323</v>
      </c>
      <c r="C1760" s="479">
        <f>1</f>
        <v>1</v>
      </c>
      <c r="D1760" s="480" t="s">
        <v>87</v>
      </c>
      <c r="E1760" s="724">
        <f>1</f>
        <v>1</v>
      </c>
      <c r="F1760" s="482">
        <v>15</v>
      </c>
      <c r="G1760" s="483">
        <v>10</v>
      </c>
      <c r="H1760" s="484">
        <f t="shared" ref="H1760:K1760" si="548">H1759</f>
        <v>1</v>
      </c>
      <c r="I1760" s="483">
        <f t="shared" si="548"/>
        <v>0</v>
      </c>
      <c r="J1760" s="749">
        <f t="shared" si="548"/>
        <v>1</v>
      </c>
      <c r="K1760" s="483">
        <f t="shared" si="548"/>
        <v>4</v>
      </c>
      <c r="L1760" s="500"/>
      <c r="M1760" s="485">
        <f t="shared" si="547"/>
        <v>7</v>
      </c>
      <c r="N1760" s="486"/>
      <c r="O1760" s="486"/>
      <c r="P1760" s="487">
        <f>17.5-0.5*1-1*1.17</f>
        <v>15.83</v>
      </c>
    </row>
    <row r="1761" spans="1:16" s="487" customFormat="1" ht="18" customHeight="1">
      <c r="A1761" s="478"/>
      <c r="B1761" s="336" t="s">
        <v>338</v>
      </c>
      <c r="C1761" s="479">
        <v>1</v>
      </c>
      <c r="D1761" s="480" t="s">
        <v>87</v>
      </c>
      <c r="E1761" s="724">
        <v>4</v>
      </c>
      <c r="F1761" s="482">
        <v>14</v>
      </c>
      <c r="G1761" s="483">
        <v>6</v>
      </c>
      <c r="H1761" s="484">
        <f t="shared" ref="H1761:K1761" si="549">H1760</f>
        <v>1</v>
      </c>
      <c r="I1761" s="483">
        <f t="shared" si="549"/>
        <v>0</v>
      </c>
      <c r="J1761" s="749">
        <f t="shared" si="549"/>
        <v>1</v>
      </c>
      <c r="K1761" s="483">
        <f t="shared" si="549"/>
        <v>4</v>
      </c>
      <c r="L1761" s="500"/>
      <c r="M1761" s="485">
        <f t="shared" si="547"/>
        <v>24</v>
      </c>
      <c r="N1761" s="486"/>
      <c r="O1761" s="486"/>
      <c r="P1761" s="487">
        <f>16-1.5*1</f>
        <v>14.5</v>
      </c>
    </row>
    <row r="1762" spans="1:16" ht="18" customHeight="1">
      <c r="A1762" s="474"/>
      <c r="B1762" s="494"/>
      <c r="C1762" s="488"/>
      <c r="D1762" s="489"/>
      <c r="E1762" s="837">
        <f>C1759*E1759+C1760*E1760+C1761*E1761</f>
        <v>8</v>
      </c>
      <c r="F1762" s="491"/>
      <c r="G1762" s="496"/>
      <c r="H1762" s="497"/>
      <c r="I1762" s="496"/>
      <c r="J1762" s="609"/>
      <c r="K1762" s="860" t="str">
        <f>B1739</f>
        <v>(i) Second  Floor  Beam</v>
      </c>
      <c r="L1762" s="500"/>
      <c r="M1762" s="486"/>
      <c r="N1762" s="858">
        <f>SUM(M1741:M1762)</f>
        <v>144</v>
      </c>
      <c r="O1762" s="965" t="s">
        <v>720</v>
      </c>
    </row>
    <row r="1763" spans="1:16" ht="18" customHeight="1">
      <c r="A1763" s="474"/>
      <c r="B1763" s="494"/>
      <c r="C1763" s="488"/>
      <c r="D1763" s="489"/>
      <c r="E1763" s="495"/>
      <c r="F1763" s="491"/>
      <c r="G1763" s="496"/>
      <c r="H1763" s="497"/>
      <c r="I1763" s="496"/>
      <c r="J1763" s="609"/>
      <c r="K1763" s="496"/>
      <c r="L1763" s="626"/>
      <c r="M1763" s="475"/>
      <c r="N1763" s="476"/>
      <c r="O1763" s="476"/>
    </row>
    <row r="1764" spans="1:16" s="487" customFormat="1" ht="18" customHeight="1">
      <c r="A1764" s="478"/>
      <c r="B1764" s="723" t="s">
        <v>343</v>
      </c>
      <c r="C1764" s="479"/>
      <c r="D1764" s="480"/>
      <c r="E1764" s="724"/>
      <c r="F1764" s="482"/>
      <c r="G1764" s="483"/>
      <c r="H1764" s="484"/>
      <c r="I1764" s="483"/>
      <c r="J1764" s="749"/>
      <c r="K1764" s="483"/>
      <c r="L1764" s="500"/>
      <c r="M1764" s="485"/>
      <c r="N1764" s="486"/>
      <c r="O1764" s="486"/>
    </row>
    <row r="1765" spans="1:16" s="487" customFormat="1" ht="18" customHeight="1">
      <c r="A1765" s="478"/>
      <c r="B1765" s="726" t="s">
        <v>344</v>
      </c>
      <c r="C1765" s="479"/>
      <c r="D1765" s="480"/>
      <c r="E1765" s="724"/>
      <c r="F1765" s="482"/>
      <c r="G1765" s="483"/>
      <c r="H1765" s="484"/>
      <c r="I1765" s="483"/>
      <c r="J1765" s="749"/>
      <c r="K1765" s="483"/>
      <c r="L1765" s="500"/>
      <c r="M1765" s="485"/>
      <c r="N1765" s="486"/>
      <c r="O1765" s="486"/>
    </row>
    <row r="1766" spans="1:16" s="487" customFormat="1" ht="18" customHeight="1">
      <c r="A1766" s="478"/>
      <c r="B1766" s="336" t="s">
        <v>309</v>
      </c>
      <c r="C1766" s="479">
        <v>1</v>
      </c>
      <c r="D1766" s="480" t="s">
        <v>87</v>
      </c>
      <c r="E1766" s="724">
        <v>1</v>
      </c>
      <c r="F1766" s="482">
        <v>5</v>
      </c>
      <c r="G1766" s="483">
        <v>4</v>
      </c>
      <c r="H1766" s="484">
        <f>0</f>
        <v>0</v>
      </c>
      <c r="I1766" s="483">
        <v>10</v>
      </c>
      <c r="J1766" s="749">
        <v>0</v>
      </c>
      <c r="K1766" s="483">
        <v>10</v>
      </c>
      <c r="L1766" s="500"/>
      <c r="M1766" s="485">
        <f t="shared" ref="M1766" si="550">ROUNDUP((F1766+G1766/12)/3+1,0)*E1766*C1766</f>
        <v>3</v>
      </c>
      <c r="N1766" s="486"/>
      <c r="O1766" s="486"/>
      <c r="P1766" s="487">
        <f>6.33-1*1</f>
        <v>5.33</v>
      </c>
    </row>
    <row r="1767" spans="1:16" ht="18" customHeight="1">
      <c r="A1767" s="474"/>
      <c r="B1767" s="494"/>
      <c r="C1767" s="488"/>
      <c r="D1767" s="489"/>
      <c r="E1767" s="837">
        <f>C1766*E1766</f>
        <v>1</v>
      </c>
      <c r="F1767" s="491"/>
      <c r="G1767" s="496"/>
      <c r="H1767" s="497"/>
      <c r="I1767" s="496"/>
      <c r="J1767" s="609"/>
      <c r="K1767" s="496"/>
      <c r="L1767" s="626"/>
      <c r="M1767" s="475"/>
      <c r="N1767" s="476"/>
      <c r="O1767" s="476"/>
    </row>
    <row r="1768" spans="1:16" s="487" customFormat="1" ht="18" customHeight="1">
      <c r="A1768" s="478"/>
      <c r="B1768" s="726" t="s">
        <v>345</v>
      </c>
      <c r="C1768" s="479"/>
      <c r="D1768" s="480"/>
      <c r="E1768" s="724"/>
      <c r="F1768" s="482"/>
      <c r="G1768" s="483"/>
      <c r="H1768" s="484"/>
      <c r="I1768" s="483"/>
      <c r="J1768" s="749"/>
      <c r="K1768" s="483"/>
      <c r="L1768" s="500"/>
      <c r="M1768" s="485"/>
      <c r="N1768" s="486"/>
      <c r="O1768" s="486"/>
    </row>
    <row r="1769" spans="1:16" ht="18" customHeight="1">
      <c r="A1769" s="474"/>
      <c r="B1769" s="336" t="s">
        <v>302</v>
      </c>
      <c r="C1769" s="479">
        <v>1</v>
      </c>
      <c r="D1769" s="480" t="s">
        <v>87</v>
      </c>
      <c r="E1769" s="724">
        <v>1</v>
      </c>
      <c r="F1769" s="482">
        <v>16</v>
      </c>
      <c r="G1769" s="483">
        <v>0</v>
      </c>
      <c r="H1769" s="484">
        <f>0</f>
        <v>0</v>
      </c>
      <c r="I1769" s="483">
        <v>10</v>
      </c>
      <c r="J1769" s="749">
        <f>1</f>
        <v>1</v>
      </c>
      <c r="K1769" s="483">
        <v>2</v>
      </c>
      <c r="L1769" s="500"/>
      <c r="M1769" s="485">
        <f t="shared" ref="M1769:M1773" si="551">ROUNDUP((F1769+G1769/12)/3+1,0)*E1769*C1769</f>
        <v>7</v>
      </c>
      <c r="N1769" s="476"/>
      <c r="O1769" s="476"/>
      <c r="P1769" s="487">
        <f>17.5-1.5*1</f>
        <v>16</v>
      </c>
    </row>
    <row r="1770" spans="1:16" ht="18" customHeight="1">
      <c r="A1770" s="474"/>
      <c r="B1770" s="336" t="s">
        <v>633</v>
      </c>
      <c r="C1770" s="479">
        <v>1</v>
      </c>
      <c r="D1770" s="480" t="s">
        <v>87</v>
      </c>
      <c r="E1770" s="724">
        <v>1</v>
      </c>
      <c r="F1770" s="482">
        <v>27</v>
      </c>
      <c r="G1770" s="483">
        <v>1</v>
      </c>
      <c r="H1770" s="484">
        <f t="shared" ref="H1770:K1770" si="552">H1769</f>
        <v>0</v>
      </c>
      <c r="I1770" s="483">
        <f t="shared" si="552"/>
        <v>10</v>
      </c>
      <c r="J1770" s="749">
        <f t="shared" si="552"/>
        <v>1</v>
      </c>
      <c r="K1770" s="483">
        <f t="shared" si="552"/>
        <v>2</v>
      </c>
      <c r="L1770" s="500"/>
      <c r="M1770" s="485">
        <f t="shared" si="551"/>
        <v>11</v>
      </c>
      <c r="N1770" s="607"/>
      <c r="O1770" s="607"/>
      <c r="P1770" s="487">
        <f>29.5-3*0.83</f>
        <v>27.01</v>
      </c>
    </row>
    <row r="1771" spans="1:16" ht="18" customHeight="1">
      <c r="A1771" s="474"/>
      <c r="B1771" s="336" t="s">
        <v>634</v>
      </c>
      <c r="C1771" s="479">
        <v>1</v>
      </c>
      <c r="D1771" s="480" t="s">
        <v>87</v>
      </c>
      <c r="E1771" s="724">
        <v>2</v>
      </c>
      <c r="F1771" s="482">
        <v>14</v>
      </c>
      <c r="G1771" s="483">
        <v>6</v>
      </c>
      <c r="H1771" s="484">
        <f t="shared" ref="H1771:K1773" si="553">H1770</f>
        <v>0</v>
      </c>
      <c r="I1771" s="483">
        <f t="shared" si="553"/>
        <v>10</v>
      </c>
      <c r="J1771" s="749">
        <f t="shared" si="553"/>
        <v>1</v>
      </c>
      <c r="K1771" s="483">
        <f t="shared" si="553"/>
        <v>2</v>
      </c>
      <c r="L1771" s="500"/>
      <c r="M1771" s="485">
        <f t="shared" si="551"/>
        <v>12</v>
      </c>
      <c r="N1771" s="607"/>
      <c r="O1771" s="607"/>
      <c r="P1771" s="487">
        <f>16-1.5*1</f>
        <v>14.5</v>
      </c>
    </row>
    <row r="1772" spans="1:16" ht="18" customHeight="1">
      <c r="A1772" s="474"/>
      <c r="B1772" s="336" t="s">
        <v>311</v>
      </c>
      <c r="C1772" s="479">
        <v>1</v>
      </c>
      <c r="D1772" s="480" t="s">
        <v>87</v>
      </c>
      <c r="E1772" s="724">
        <v>1</v>
      </c>
      <c r="F1772" s="482">
        <v>8</v>
      </c>
      <c r="G1772" s="483">
        <v>0</v>
      </c>
      <c r="H1772" s="484">
        <f t="shared" si="553"/>
        <v>0</v>
      </c>
      <c r="I1772" s="483">
        <f t="shared" si="553"/>
        <v>10</v>
      </c>
      <c r="J1772" s="749">
        <f t="shared" si="553"/>
        <v>1</v>
      </c>
      <c r="K1772" s="483">
        <f t="shared" si="553"/>
        <v>2</v>
      </c>
      <c r="L1772" s="500"/>
      <c r="M1772" s="485">
        <f t="shared" si="551"/>
        <v>4</v>
      </c>
      <c r="N1772" s="607"/>
      <c r="O1772" s="607"/>
      <c r="P1772" s="487">
        <f>9-1*1</f>
        <v>8</v>
      </c>
    </row>
    <row r="1773" spans="1:16" ht="18" customHeight="1">
      <c r="A1773" s="474"/>
      <c r="B1773" s="336" t="s">
        <v>351</v>
      </c>
      <c r="C1773" s="479">
        <v>1</v>
      </c>
      <c r="D1773" s="480" t="s">
        <v>87</v>
      </c>
      <c r="E1773" s="724">
        <v>3</v>
      </c>
      <c r="F1773" s="482">
        <v>3</v>
      </c>
      <c r="G1773" s="483">
        <v>1</v>
      </c>
      <c r="H1773" s="484">
        <f t="shared" si="553"/>
        <v>0</v>
      </c>
      <c r="I1773" s="483">
        <f t="shared" si="553"/>
        <v>10</v>
      </c>
      <c r="J1773" s="749">
        <f t="shared" si="553"/>
        <v>1</v>
      </c>
      <c r="K1773" s="483">
        <f t="shared" si="553"/>
        <v>2</v>
      </c>
      <c r="L1773" s="500"/>
      <c r="M1773" s="485">
        <f t="shared" si="551"/>
        <v>9</v>
      </c>
      <c r="N1773" s="607"/>
      <c r="O1773" s="607"/>
      <c r="P1773" s="487">
        <f>3.58-0.5*1</f>
        <v>3.08</v>
      </c>
    </row>
    <row r="1774" spans="1:16" ht="18" customHeight="1">
      <c r="A1774" s="474"/>
      <c r="B1774" s="494"/>
      <c r="C1774" s="488"/>
      <c r="D1774" s="489"/>
      <c r="E1774" s="837">
        <f>+C1769*E1769+C1770*E1770+C1771*E1771+C1772*E1772+C1773*E1773</f>
        <v>8</v>
      </c>
      <c r="F1774" s="491"/>
      <c r="G1774" s="496"/>
      <c r="H1774" s="497"/>
      <c r="I1774" s="496"/>
      <c r="J1774" s="609"/>
      <c r="K1774" s="496"/>
      <c r="L1774" s="626"/>
      <c r="M1774" s="475"/>
      <c r="N1774" s="607"/>
      <c r="O1774" s="607"/>
    </row>
    <row r="1775" spans="1:16" s="487" customFormat="1" ht="18" customHeight="1">
      <c r="A1775" s="478"/>
      <c r="B1775" s="726" t="s">
        <v>347</v>
      </c>
      <c r="C1775" s="479"/>
      <c r="D1775" s="480"/>
      <c r="E1775" s="724"/>
      <c r="F1775" s="482"/>
      <c r="G1775" s="483"/>
      <c r="H1775" s="484"/>
      <c r="I1775" s="483"/>
      <c r="J1775" s="749"/>
      <c r="K1775" s="483"/>
      <c r="L1775" s="500"/>
      <c r="M1775" s="485"/>
      <c r="N1775" s="546"/>
      <c r="O1775" s="546"/>
    </row>
    <row r="1776" spans="1:16" s="487" customFormat="1" ht="18" customHeight="1">
      <c r="A1776" s="478"/>
      <c r="B1776" s="336" t="s">
        <v>348</v>
      </c>
      <c r="C1776" s="479">
        <v>1</v>
      </c>
      <c r="D1776" s="480" t="s">
        <v>87</v>
      </c>
      <c r="E1776" s="724">
        <v>3</v>
      </c>
      <c r="F1776" s="482">
        <f>F1753</f>
        <v>15</v>
      </c>
      <c r="G1776" s="483">
        <f>G1753</f>
        <v>7</v>
      </c>
      <c r="H1776" s="484">
        <v>1</v>
      </c>
      <c r="I1776" s="483">
        <v>0</v>
      </c>
      <c r="J1776" s="749">
        <f>1</f>
        <v>1</v>
      </c>
      <c r="K1776" s="483">
        <v>2</v>
      </c>
      <c r="L1776" s="500"/>
      <c r="M1776" s="485">
        <f t="shared" ref="M1776:M1777" si="554">ROUNDUP((F1776+G1776/12)/3+1,0)*E1776*C1776</f>
        <v>21</v>
      </c>
      <c r="N1776" s="546"/>
      <c r="O1776" s="546"/>
      <c r="P1776" s="487">
        <f>15.58-1.5*1</f>
        <v>14.08</v>
      </c>
    </row>
    <row r="1777" spans="1:16" s="487" customFormat="1" ht="18" customHeight="1">
      <c r="A1777" s="478"/>
      <c r="B1777" s="336" t="s">
        <v>300</v>
      </c>
      <c r="C1777" s="479">
        <v>1</v>
      </c>
      <c r="D1777" s="480" t="s">
        <v>87</v>
      </c>
      <c r="E1777" s="724">
        <v>2</v>
      </c>
      <c r="F1777" s="482">
        <f>F1755</f>
        <v>8</v>
      </c>
      <c r="G1777" s="483">
        <f>G1755</f>
        <v>0</v>
      </c>
      <c r="H1777" s="484">
        <f t="shared" ref="H1777:K1777" si="555">H1776</f>
        <v>1</v>
      </c>
      <c r="I1777" s="483">
        <f t="shared" si="555"/>
        <v>0</v>
      </c>
      <c r="J1777" s="749">
        <f t="shared" si="555"/>
        <v>1</v>
      </c>
      <c r="K1777" s="483">
        <f t="shared" si="555"/>
        <v>2</v>
      </c>
      <c r="L1777" s="500"/>
      <c r="M1777" s="485">
        <f t="shared" si="554"/>
        <v>8</v>
      </c>
      <c r="N1777" s="546"/>
      <c r="O1777" s="546"/>
      <c r="P1777" s="487">
        <f>9-1*1</f>
        <v>8</v>
      </c>
    </row>
    <row r="1778" spans="1:16" ht="18" customHeight="1">
      <c r="A1778" s="474"/>
      <c r="B1778" s="494"/>
      <c r="C1778" s="488"/>
      <c r="D1778" s="489"/>
      <c r="E1778" s="837">
        <f>C1776*E1776+C1777*E1777</f>
        <v>5</v>
      </c>
      <c r="F1778" s="491"/>
      <c r="G1778" s="496"/>
      <c r="H1778" s="497"/>
      <c r="I1778" s="496"/>
      <c r="J1778" s="609"/>
      <c r="K1778" s="496"/>
      <c r="L1778" s="626"/>
      <c r="M1778" s="475"/>
      <c r="N1778" s="607"/>
      <c r="O1778" s="607"/>
    </row>
    <row r="1779" spans="1:16" s="487" customFormat="1" ht="18" customHeight="1">
      <c r="A1779" s="478"/>
      <c r="B1779" s="726" t="s">
        <v>349</v>
      </c>
      <c r="C1779" s="479"/>
      <c r="D1779" s="480"/>
      <c r="E1779" s="724"/>
      <c r="F1779" s="482"/>
      <c r="G1779" s="483"/>
      <c r="H1779" s="484"/>
      <c r="I1779" s="483"/>
      <c r="J1779" s="749"/>
      <c r="K1779" s="483"/>
      <c r="L1779" s="500"/>
      <c r="M1779" s="485"/>
      <c r="N1779" s="546"/>
      <c r="O1779" s="546"/>
    </row>
    <row r="1780" spans="1:16" s="487" customFormat="1" ht="18" customHeight="1">
      <c r="A1780" s="478"/>
      <c r="B1780" s="336" t="s">
        <v>264</v>
      </c>
      <c r="C1780" s="479">
        <v>1</v>
      </c>
      <c r="D1780" s="480" t="s">
        <v>87</v>
      </c>
      <c r="E1780" s="724">
        <v>1</v>
      </c>
      <c r="F1780" s="482">
        <f xml:space="preserve"> F1759</f>
        <v>16</v>
      </c>
      <c r="G1780" s="483">
        <f>G1759</f>
        <v>0</v>
      </c>
      <c r="H1780" s="484">
        <v>1</v>
      </c>
      <c r="I1780" s="483">
        <v>0</v>
      </c>
      <c r="J1780" s="749">
        <v>1</v>
      </c>
      <c r="K1780" s="483">
        <v>4</v>
      </c>
      <c r="L1780" s="500"/>
      <c r="M1780" s="485">
        <f t="shared" ref="M1780:M1781" si="556">ROUNDUP((F1780+G1780/12)/3+1,0)*E1780*C1780</f>
        <v>7</v>
      </c>
      <c r="N1780" s="546"/>
      <c r="O1780" s="546"/>
      <c r="P1780" s="487">
        <f>17.5-1.5*1</f>
        <v>16</v>
      </c>
    </row>
    <row r="1781" spans="1:16" s="487" customFormat="1" ht="18" customHeight="1">
      <c r="A1781" s="478"/>
      <c r="B1781" s="336" t="s">
        <v>265</v>
      </c>
      <c r="C1781" s="479">
        <v>1</v>
      </c>
      <c r="D1781" s="480" t="s">
        <v>87</v>
      </c>
      <c r="E1781" s="724">
        <v>1</v>
      </c>
      <c r="F1781" s="482">
        <f>F1761</f>
        <v>14</v>
      </c>
      <c r="G1781" s="483">
        <f>G1761</f>
        <v>6</v>
      </c>
      <c r="H1781" s="484">
        <f t="shared" ref="H1781:K1781" si="557">H1780</f>
        <v>1</v>
      </c>
      <c r="I1781" s="483">
        <f t="shared" si="557"/>
        <v>0</v>
      </c>
      <c r="J1781" s="749">
        <f t="shared" si="557"/>
        <v>1</v>
      </c>
      <c r="K1781" s="483">
        <f t="shared" si="557"/>
        <v>4</v>
      </c>
      <c r="L1781" s="500"/>
      <c r="M1781" s="485">
        <f t="shared" si="556"/>
        <v>6</v>
      </c>
      <c r="N1781" s="546"/>
      <c r="O1781" s="546"/>
      <c r="P1781" s="487">
        <f>16-1.5*1</f>
        <v>14.5</v>
      </c>
    </row>
    <row r="1782" spans="1:16" ht="18" customHeight="1">
      <c r="A1782" s="474"/>
      <c r="B1782" s="494"/>
      <c r="C1782" s="488"/>
      <c r="D1782" s="864"/>
      <c r="E1782" s="837">
        <f>C1780*E1780+C1781*E1781</f>
        <v>2</v>
      </c>
      <c r="F1782" s="491"/>
      <c r="G1782" s="496"/>
      <c r="H1782" s="497"/>
      <c r="I1782" s="496"/>
      <c r="J1782" s="609"/>
      <c r="K1782" s="496"/>
      <c r="L1782" s="626"/>
      <c r="M1782" s="475"/>
      <c r="N1782" s="607"/>
      <c r="O1782" s="607"/>
    </row>
    <row r="1783" spans="1:16" s="487" customFormat="1" ht="18" customHeight="1">
      <c r="A1783" s="478"/>
      <c r="B1783" s="726" t="s">
        <v>350</v>
      </c>
      <c r="C1783" s="479"/>
      <c r="D1783" s="480"/>
      <c r="E1783" s="724"/>
      <c r="F1783" s="482"/>
      <c r="G1783" s="483"/>
      <c r="H1783" s="484"/>
      <c r="I1783" s="483"/>
      <c r="J1783" s="749"/>
      <c r="K1783" s="483"/>
      <c r="L1783" s="500"/>
      <c r="M1783" s="485"/>
      <c r="N1783" s="546"/>
      <c r="O1783" s="546"/>
    </row>
    <row r="1784" spans="1:16" s="487" customFormat="1" ht="18" customHeight="1">
      <c r="A1784" s="478"/>
      <c r="B1784" s="336" t="s">
        <v>323</v>
      </c>
      <c r="C1784" s="479">
        <v>1</v>
      </c>
      <c r="D1784" s="480" t="s">
        <v>87</v>
      </c>
      <c r="E1784" s="724">
        <v>1</v>
      </c>
      <c r="F1784" s="482">
        <f>F1780</f>
        <v>16</v>
      </c>
      <c r="G1784" s="483">
        <f>G1780</f>
        <v>0</v>
      </c>
      <c r="H1784" s="484">
        <v>1</v>
      </c>
      <c r="I1784" s="483">
        <v>0</v>
      </c>
      <c r="J1784" s="749">
        <v>1</v>
      </c>
      <c r="K1784" s="483">
        <v>6</v>
      </c>
      <c r="L1784" s="500"/>
      <c r="M1784" s="485">
        <f t="shared" ref="M1784:M1787" si="558">ROUNDUP((F1784+G1784/12)/3+1,0)*E1784*C1784</f>
        <v>7</v>
      </c>
      <c r="N1784" s="546"/>
      <c r="O1784" s="546"/>
      <c r="P1784" s="487">
        <f>17.5-1.5*1</f>
        <v>16</v>
      </c>
    </row>
    <row r="1785" spans="1:16" s="487" customFormat="1" ht="18" customHeight="1">
      <c r="A1785" s="478"/>
      <c r="B1785" s="336" t="s">
        <v>324</v>
      </c>
      <c r="C1785" s="479">
        <v>1</v>
      </c>
      <c r="D1785" s="480" t="s">
        <v>87</v>
      </c>
      <c r="E1785" s="724">
        <v>1</v>
      </c>
      <c r="F1785" s="482">
        <f>F1781</f>
        <v>14</v>
      </c>
      <c r="G1785" s="483">
        <f>G1781</f>
        <v>6</v>
      </c>
      <c r="H1785" s="484">
        <v>1</v>
      </c>
      <c r="I1785" s="483">
        <f t="shared" ref="I1785" si="559">I1784</f>
        <v>0</v>
      </c>
      <c r="J1785" s="749">
        <v>1</v>
      </c>
      <c r="K1785" s="483">
        <v>6</v>
      </c>
      <c r="L1785" s="500"/>
      <c r="M1785" s="485">
        <f t="shared" si="558"/>
        <v>6</v>
      </c>
      <c r="N1785" s="546"/>
      <c r="O1785" s="546"/>
      <c r="P1785" s="487">
        <f>16-1.5*1</f>
        <v>14.5</v>
      </c>
    </row>
    <row r="1786" spans="1:16" s="487" customFormat="1" ht="18" customHeight="1">
      <c r="A1786" s="478"/>
      <c r="B1786" s="336" t="s">
        <v>459</v>
      </c>
      <c r="C1786" s="479">
        <v>1</v>
      </c>
      <c r="D1786" s="480" t="s">
        <v>87</v>
      </c>
      <c r="E1786" s="724">
        <v>1</v>
      </c>
      <c r="F1786" s="482">
        <v>14</v>
      </c>
      <c r="G1786" s="483">
        <v>1</v>
      </c>
      <c r="H1786" s="484">
        <v>1</v>
      </c>
      <c r="I1786" s="483">
        <f>I1785</f>
        <v>0</v>
      </c>
      <c r="J1786" s="749">
        <v>1</v>
      </c>
      <c r="K1786" s="483">
        <v>6</v>
      </c>
      <c r="L1786" s="500"/>
      <c r="M1786" s="485">
        <f t="shared" si="558"/>
        <v>6</v>
      </c>
      <c r="N1786" s="546"/>
      <c r="O1786" s="546"/>
      <c r="P1786" s="487">
        <f>15.58-1.5*1</f>
        <v>14.08</v>
      </c>
    </row>
    <row r="1787" spans="1:16" s="487" customFormat="1" ht="18" customHeight="1">
      <c r="A1787" s="478"/>
      <c r="B1787" s="336" t="s">
        <v>352</v>
      </c>
      <c r="C1787" s="479">
        <v>1</v>
      </c>
      <c r="D1787" s="480" t="s">
        <v>87</v>
      </c>
      <c r="E1787" s="724">
        <v>1</v>
      </c>
      <c r="F1787" s="482">
        <v>8</v>
      </c>
      <c r="G1787" s="483">
        <v>0</v>
      </c>
      <c r="H1787" s="484">
        <f>H1785</f>
        <v>1</v>
      </c>
      <c r="I1787" s="483">
        <f>I1785</f>
        <v>0</v>
      </c>
      <c r="J1787" s="749">
        <f>J1785</f>
        <v>1</v>
      </c>
      <c r="K1787" s="483">
        <f>K1785</f>
        <v>6</v>
      </c>
      <c r="L1787" s="500"/>
      <c r="M1787" s="485">
        <f t="shared" si="558"/>
        <v>4</v>
      </c>
      <c r="N1787" s="546"/>
      <c r="O1787" s="546"/>
      <c r="P1787" s="487">
        <f>9-1*1</f>
        <v>8</v>
      </c>
    </row>
    <row r="1788" spans="1:16" ht="18" customHeight="1">
      <c r="A1788" s="474"/>
      <c r="B1788" s="494"/>
      <c r="C1788" s="488"/>
      <c r="D1788" s="489"/>
      <c r="E1788" s="837">
        <f>C1784*E1784+C1785*E1785+C1787*E1787</f>
        <v>3</v>
      </c>
      <c r="F1788" s="491"/>
      <c r="G1788" s="496"/>
      <c r="H1788" s="497"/>
      <c r="I1788" s="496"/>
      <c r="J1788" s="609"/>
      <c r="L1788" s="860" t="str">
        <f>B1764</f>
        <v>(j) Roof  Beam</v>
      </c>
      <c r="M1788" s="486"/>
      <c r="N1788" s="722">
        <f>SUM(M1766:M1787)</f>
        <v>111</v>
      </c>
      <c r="O1788" s="709" t="s">
        <v>720</v>
      </c>
    </row>
    <row r="1789" spans="1:16" s="487" customFormat="1" ht="18" customHeight="1">
      <c r="A1789" s="743"/>
      <c r="B1789" s="806" t="s">
        <v>638</v>
      </c>
      <c r="C1789" s="735"/>
      <c r="D1789" s="736"/>
      <c r="E1789" s="737"/>
      <c r="F1789" s="738"/>
      <c r="G1789" s="807"/>
      <c r="H1789" s="808"/>
      <c r="I1789" s="807"/>
      <c r="J1789" s="866"/>
      <c r="K1789" s="807"/>
      <c r="L1789" s="867"/>
      <c r="M1789" s="499"/>
      <c r="N1789" s="546"/>
      <c r="O1789" s="546"/>
    </row>
    <row r="1790" spans="1:16" s="487" customFormat="1" ht="18" customHeight="1">
      <c r="A1790" s="478"/>
      <c r="B1790" s="726" t="s">
        <v>373</v>
      </c>
      <c r="C1790" s="479"/>
      <c r="D1790" s="480"/>
      <c r="E1790" s="724"/>
      <c r="F1790" s="482"/>
      <c r="G1790" s="483"/>
      <c r="H1790" s="484"/>
      <c r="I1790" s="483"/>
      <c r="J1790" s="749"/>
      <c r="K1790" s="819"/>
      <c r="L1790" s="500"/>
      <c r="M1790" s="485"/>
      <c r="N1790" s="486"/>
      <c r="O1790" s="486"/>
    </row>
    <row r="1791" spans="1:16" s="487" customFormat="1" ht="18" customHeight="1">
      <c r="A1791" s="478"/>
      <c r="B1791" s="336" t="s">
        <v>636</v>
      </c>
      <c r="C1791" s="479">
        <v>1</v>
      </c>
      <c r="D1791" s="480" t="s">
        <v>87</v>
      </c>
      <c r="E1791" s="724">
        <v>1</v>
      </c>
      <c r="F1791" s="482">
        <v>4</v>
      </c>
      <c r="G1791" s="483">
        <v>8</v>
      </c>
      <c r="H1791" s="484">
        <v>9</v>
      </c>
      <c r="I1791" s="483">
        <v>0</v>
      </c>
      <c r="J1791" s="749">
        <v>0</v>
      </c>
      <c r="K1791" s="819">
        <v>4</v>
      </c>
      <c r="L1791" s="500"/>
      <c r="M1791" s="485">
        <f>ROUNDUP((H1791+I1791/12)/3+1,0)*ROUNDUP((F1791+G1791/12)/3+1,0)*E1791*C1791</f>
        <v>12</v>
      </c>
      <c r="N1791" s="486"/>
      <c r="O1791" s="486"/>
      <c r="P1791" s="487">
        <f>5.5-1*0.83</f>
        <v>4.67</v>
      </c>
    </row>
    <row r="1792" spans="1:16" ht="18" customHeight="1">
      <c r="A1792" s="474"/>
      <c r="B1792" s="494"/>
      <c r="C1792" s="488"/>
      <c r="D1792" s="489"/>
      <c r="E1792" s="837">
        <f>C1791*E1791+E1795*C1795</f>
        <v>3</v>
      </c>
      <c r="F1792" s="491"/>
      <c r="G1792" s="496"/>
      <c r="H1792" s="497"/>
      <c r="I1792" s="496"/>
      <c r="J1792" s="609"/>
      <c r="K1792" s="865" t="str">
        <f>B1789</f>
        <v>(l)  Ground Floor  Slab</v>
      </c>
      <c r="L1792" s="500"/>
      <c r="M1792" s="486"/>
      <c r="N1792" s="858">
        <f>SUM(M1791:M1792)</f>
        <v>12</v>
      </c>
      <c r="O1792" s="965" t="s">
        <v>720</v>
      </c>
    </row>
    <row r="1793" spans="1:18" s="487" customFormat="1" ht="18" customHeight="1">
      <c r="A1793" s="743"/>
      <c r="B1793" s="806" t="s">
        <v>639</v>
      </c>
      <c r="C1793" s="735"/>
      <c r="D1793" s="736"/>
      <c r="E1793" s="737"/>
      <c r="F1793" s="738"/>
      <c r="G1793" s="807"/>
      <c r="H1793" s="808"/>
      <c r="I1793" s="807"/>
      <c r="J1793" s="866"/>
      <c r="K1793" s="807"/>
      <c r="L1793" s="867"/>
      <c r="M1793" s="499"/>
      <c r="N1793" s="546"/>
      <c r="O1793" s="546"/>
    </row>
    <row r="1794" spans="1:18" s="487" customFormat="1" ht="18" customHeight="1">
      <c r="A1794" s="478"/>
      <c r="B1794" s="726" t="s">
        <v>356</v>
      </c>
      <c r="C1794" s="479"/>
      <c r="D1794" s="480"/>
      <c r="E1794" s="724"/>
      <c r="F1794" s="482"/>
      <c r="G1794" s="483"/>
      <c r="H1794" s="484"/>
      <c r="I1794" s="483"/>
      <c r="J1794" s="749"/>
      <c r="K1794" s="483"/>
      <c r="L1794" s="500"/>
      <c r="M1794" s="485"/>
      <c r="N1794" s="486"/>
      <c r="O1794" s="486"/>
    </row>
    <row r="1795" spans="1:18" s="487" customFormat="1" ht="18" customHeight="1">
      <c r="A1795" s="478"/>
      <c r="B1795" s="336" t="s">
        <v>357</v>
      </c>
      <c r="C1795" s="479">
        <v>1</v>
      </c>
      <c r="D1795" s="480" t="s">
        <v>87</v>
      </c>
      <c r="E1795" s="724">
        <v>2</v>
      </c>
      <c r="F1795" s="482">
        <v>5</v>
      </c>
      <c r="G1795" s="483">
        <v>4</v>
      </c>
      <c r="H1795" s="484">
        <v>13</v>
      </c>
      <c r="I1795" s="483">
        <v>3</v>
      </c>
      <c r="J1795" s="749">
        <f>0</f>
        <v>0</v>
      </c>
      <c r="K1795" s="819">
        <v>4</v>
      </c>
      <c r="L1795" s="500"/>
      <c r="M1795" s="485">
        <f t="shared" ref="M1795:M1800" si="560">ROUNDUP((H1795+I1795/12)/3+1,0)*ROUNDUP((F1795+G1795/12)/3+1,0)*E1795*C1795</f>
        <v>36</v>
      </c>
      <c r="N1795" s="486"/>
      <c r="O1795" s="486"/>
      <c r="P1795" s="487">
        <f>6.33-1</f>
        <v>5.33</v>
      </c>
      <c r="Q1795" s="487">
        <f>15.58-1.5*1-0.83</f>
        <v>13.25</v>
      </c>
    </row>
    <row r="1796" spans="1:18" s="487" customFormat="1" ht="18" customHeight="1">
      <c r="A1796" s="478"/>
      <c r="B1796" s="336" t="s">
        <v>358</v>
      </c>
      <c r="C1796" s="479">
        <v>1</v>
      </c>
      <c r="D1796" s="480" t="s">
        <v>87</v>
      </c>
      <c r="E1796" s="724">
        <v>1</v>
      </c>
      <c r="F1796" s="482">
        <f>4</f>
        <v>4</v>
      </c>
      <c r="G1796" s="483">
        <v>10</v>
      </c>
      <c r="H1796" s="484">
        <f>H1795</f>
        <v>13</v>
      </c>
      <c r="I1796" s="483">
        <f>I1795</f>
        <v>3</v>
      </c>
      <c r="J1796" s="749">
        <f>J1795</f>
        <v>0</v>
      </c>
      <c r="K1796" s="819">
        <f>K1795</f>
        <v>4</v>
      </c>
      <c r="L1796" s="500"/>
      <c r="M1796" s="485">
        <f t="shared" si="560"/>
        <v>18</v>
      </c>
      <c r="N1796" s="486"/>
      <c r="O1796" s="486"/>
      <c r="P1796" s="487">
        <f>5.33-0.5*1</f>
        <v>4.83</v>
      </c>
      <c r="Q1796" s="487">
        <f>15.58-1.5*1-0.83</f>
        <v>13.25</v>
      </c>
    </row>
    <row r="1797" spans="1:18" s="487" customFormat="1" ht="18" customHeight="1">
      <c r="A1797" s="478"/>
      <c r="B1797" s="336" t="s">
        <v>359</v>
      </c>
      <c r="C1797" s="479">
        <v>1</v>
      </c>
      <c r="D1797" s="480" t="s">
        <v>87</v>
      </c>
      <c r="E1797" s="724">
        <v>1</v>
      </c>
      <c r="F1797" s="482">
        <v>8</v>
      </c>
      <c r="G1797" s="483">
        <v>5</v>
      </c>
      <c r="H1797" s="484">
        <v>14</v>
      </c>
      <c r="I1797" s="483">
        <v>1</v>
      </c>
      <c r="J1797" s="749">
        <f t="shared" ref="J1797:K1797" si="561">J1796</f>
        <v>0</v>
      </c>
      <c r="K1797" s="819">
        <f t="shared" si="561"/>
        <v>4</v>
      </c>
      <c r="L1797" s="500"/>
      <c r="M1797" s="485">
        <f t="shared" si="560"/>
        <v>24</v>
      </c>
      <c r="N1797" s="486"/>
      <c r="O1797" s="486"/>
      <c r="P1797" s="487">
        <f>9.42-1*1</f>
        <v>8.42</v>
      </c>
      <c r="Q1797" s="487">
        <f>15.58-1.5*1</f>
        <v>14.08</v>
      </c>
    </row>
    <row r="1798" spans="1:18" s="487" customFormat="1" ht="18" customHeight="1">
      <c r="A1798" s="478"/>
      <c r="B1798" s="336" t="s">
        <v>360</v>
      </c>
      <c r="C1798" s="479">
        <v>1</v>
      </c>
      <c r="D1798" s="480" t="s">
        <v>87</v>
      </c>
      <c r="E1798" s="724">
        <v>1</v>
      </c>
      <c r="F1798" s="482">
        <v>14</v>
      </c>
      <c r="G1798" s="483">
        <v>6</v>
      </c>
      <c r="H1798" s="484">
        <v>9</v>
      </c>
      <c r="I1798" s="483">
        <v>0</v>
      </c>
      <c r="J1798" s="749">
        <f t="shared" ref="J1798:K1798" si="562">J1797</f>
        <v>0</v>
      </c>
      <c r="K1798" s="819">
        <f t="shared" si="562"/>
        <v>4</v>
      </c>
      <c r="L1798" s="500"/>
      <c r="M1798" s="485">
        <f t="shared" si="560"/>
        <v>24</v>
      </c>
      <c r="N1798" s="486"/>
      <c r="O1798" s="486"/>
      <c r="P1798" s="487">
        <f>16-1.5*1</f>
        <v>14.5</v>
      </c>
    </row>
    <row r="1799" spans="1:18" s="487" customFormat="1" ht="18" customHeight="1">
      <c r="A1799" s="478"/>
      <c r="B1799" s="336" t="s">
        <v>361</v>
      </c>
      <c r="C1799" s="479">
        <v>1</v>
      </c>
      <c r="D1799" s="480" t="s">
        <v>87</v>
      </c>
      <c r="E1799" s="724">
        <v>1</v>
      </c>
      <c r="F1799" s="482">
        <v>16</v>
      </c>
      <c r="G1799" s="483">
        <v>0</v>
      </c>
      <c r="H1799" s="484">
        <v>10</v>
      </c>
      <c r="I1799" s="483">
        <v>8</v>
      </c>
      <c r="J1799" s="749">
        <f t="shared" ref="J1799:K1799" si="563">J1798</f>
        <v>0</v>
      </c>
      <c r="K1799" s="819">
        <f t="shared" si="563"/>
        <v>4</v>
      </c>
      <c r="L1799" s="500"/>
      <c r="M1799" s="485">
        <f t="shared" si="560"/>
        <v>35</v>
      </c>
      <c r="N1799" s="486"/>
      <c r="O1799" s="486"/>
      <c r="P1799" s="487">
        <f>17.5-1.5*1</f>
        <v>16</v>
      </c>
      <c r="Q1799" s="487">
        <f>11.92-1.5*0.83</f>
        <v>10.675000000000001</v>
      </c>
    </row>
    <row r="1800" spans="1:18" s="487" customFormat="1" ht="18" customHeight="1">
      <c r="A1800" s="478"/>
      <c r="B1800" s="336" t="s">
        <v>362</v>
      </c>
      <c r="C1800" s="479">
        <v>1</v>
      </c>
      <c r="D1800" s="480" t="s">
        <v>87</v>
      </c>
      <c r="E1800" s="724">
        <v>1</v>
      </c>
      <c r="F1800" s="482">
        <f>F1798</f>
        <v>14</v>
      </c>
      <c r="G1800" s="483">
        <f>G1798</f>
        <v>6</v>
      </c>
      <c r="H1800" s="484">
        <f>H1799</f>
        <v>10</v>
      </c>
      <c r="I1800" s="483">
        <f>I1799</f>
        <v>8</v>
      </c>
      <c r="J1800" s="749">
        <f t="shared" ref="J1800:K1800" si="564">J1799</f>
        <v>0</v>
      </c>
      <c r="K1800" s="819">
        <f t="shared" si="564"/>
        <v>4</v>
      </c>
      <c r="L1800" s="500"/>
      <c r="M1800" s="485">
        <f t="shared" si="560"/>
        <v>30</v>
      </c>
      <c r="N1800" s="486"/>
      <c r="O1800" s="486"/>
      <c r="P1800" s="487">
        <f>16-1.5*1</f>
        <v>14.5</v>
      </c>
      <c r="Q1800" s="487">
        <f>11.92-1.5*0.83</f>
        <v>10.675000000000001</v>
      </c>
    </row>
    <row r="1801" spans="1:18" ht="18" customHeight="1">
      <c r="A1801" s="474"/>
      <c r="B1801" s="494"/>
      <c r="C1801" s="488"/>
      <c r="D1801" s="489"/>
      <c r="E1801" s="837">
        <f>C1799*E1799+C1798*E1798+C1800*E1800+C1797*E1797+C1796*E1796+C1795*E1795</f>
        <v>7</v>
      </c>
      <c r="F1801" s="491"/>
      <c r="G1801" s="496"/>
      <c r="H1801" s="497"/>
      <c r="I1801" s="496"/>
      <c r="J1801" s="609"/>
      <c r="K1801" s="625"/>
      <c r="L1801" s="626"/>
      <c r="M1801" s="475"/>
      <c r="N1801" s="476"/>
      <c r="O1801" s="476"/>
    </row>
    <row r="1802" spans="1:18" s="487" customFormat="1" ht="18" customHeight="1">
      <c r="A1802" s="478"/>
      <c r="B1802" s="726" t="s">
        <v>363</v>
      </c>
      <c r="C1802" s="479"/>
      <c r="D1802" s="480"/>
      <c r="E1802" s="724"/>
      <c r="F1802" s="482"/>
      <c r="G1802" s="483"/>
      <c r="H1802" s="484"/>
      <c r="I1802" s="483"/>
      <c r="J1802" s="749"/>
      <c r="K1802" s="819"/>
      <c r="L1802" s="500"/>
      <c r="M1802" s="485"/>
      <c r="N1802" s="486"/>
      <c r="O1802" s="486"/>
    </row>
    <row r="1803" spans="1:18" s="487" customFormat="1" ht="18" customHeight="1">
      <c r="A1803" s="478"/>
      <c r="B1803" s="336" t="s">
        <v>364</v>
      </c>
      <c r="C1803" s="479">
        <v>1</v>
      </c>
      <c r="D1803" s="480" t="s">
        <v>87</v>
      </c>
      <c r="E1803" s="724">
        <v>1</v>
      </c>
      <c r="F1803" s="482">
        <v>4</v>
      </c>
      <c r="G1803" s="483">
        <v>2</v>
      </c>
      <c r="H1803" s="484">
        <f>H1797</f>
        <v>14</v>
      </c>
      <c r="I1803" s="483">
        <f>I1797</f>
        <v>1</v>
      </c>
      <c r="J1803" s="749">
        <f>J1797</f>
        <v>0</v>
      </c>
      <c r="K1803" s="819">
        <f>K1797</f>
        <v>4</v>
      </c>
      <c r="L1803" s="500"/>
      <c r="M1803" s="485">
        <f t="shared" ref="M1803:M1806" si="565">ROUNDUP((H1803+I1803/12)/3+1,0)*ROUNDUP((F1803+G1803/12)/3+1,0)*E1803*C1803</f>
        <v>18</v>
      </c>
      <c r="N1803" s="486"/>
      <c r="O1803" s="486"/>
      <c r="P1803" s="487">
        <f>5.83-2*0.83</f>
        <v>4.17</v>
      </c>
      <c r="Q1803" s="487">
        <f>15.58-1.5*1</f>
        <v>14.08</v>
      </c>
      <c r="R1803" s="487">
        <f>17.5-6.33-5.33</f>
        <v>5.84</v>
      </c>
    </row>
    <row r="1804" spans="1:18" s="487" customFormat="1" ht="18" customHeight="1">
      <c r="A1804" s="478"/>
      <c r="B1804" s="336" t="s">
        <v>637</v>
      </c>
      <c r="C1804" s="479">
        <v>1</v>
      </c>
      <c r="D1804" s="480" t="s">
        <v>87</v>
      </c>
      <c r="E1804" s="724">
        <v>1</v>
      </c>
      <c r="F1804" s="482">
        <f>F1803</f>
        <v>4</v>
      </c>
      <c r="G1804" s="483">
        <v>8</v>
      </c>
      <c r="H1804" s="484">
        <f>H1798</f>
        <v>9</v>
      </c>
      <c r="I1804" s="483">
        <f>I1798</f>
        <v>0</v>
      </c>
      <c r="J1804" s="749">
        <f t="shared" ref="J1804:K1804" si="566">J1803</f>
        <v>0</v>
      </c>
      <c r="K1804" s="819">
        <f t="shared" si="566"/>
        <v>4</v>
      </c>
      <c r="L1804" s="500"/>
      <c r="M1804" s="485">
        <f t="shared" si="565"/>
        <v>12</v>
      </c>
      <c r="N1804" s="486"/>
      <c r="O1804" s="486"/>
      <c r="P1804" s="487">
        <f>5.5-1*0.83</f>
        <v>4.67</v>
      </c>
    </row>
    <row r="1805" spans="1:18" s="487" customFormat="1" ht="18" customHeight="1">
      <c r="A1805" s="478"/>
      <c r="B1805" s="336" t="s">
        <v>366</v>
      </c>
      <c r="C1805" s="479">
        <v>1</v>
      </c>
      <c r="D1805" s="480" t="s">
        <v>87</v>
      </c>
      <c r="E1805" s="724">
        <v>1</v>
      </c>
      <c r="F1805" s="482">
        <v>16</v>
      </c>
      <c r="G1805" s="483">
        <v>2</v>
      </c>
      <c r="H1805" s="484">
        <v>3</v>
      </c>
      <c r="I1805" s="483">
        <v>2</v>
      </c>
      <c r="J1805" s="749">
        <f t="shared" ref="J1805:K1805" si="567">J1804</f>
        <v>0</v>
      </c>
      <c r="K1805" s="819">
        <f t="shared" si="567"/>
        <v>4</v>
      </c>
      <c r="L1805" s="500"/>
      <c r="M1805" s="485">
        <f t="shared" si="565"/>
        <v>21</v>
      </c>
      <c r="N1805" s="486"/>
      <c r="O1805" s="486"/>
      <c r="P1805" s="487">
        <f>17.5-1*0.83-0.5*1</f>
        <v>16.170000000000002</v>
      </c>
      <c r="Q1805" s="487">
        <f>4-1*0.83</f>
        <v>3.17</v>
      </c>
    </row>
    <row r="1806" spans="1:18" s="487" customFormat="1" ht="18" customHeight="1">
      <c r="A1806" s="478"/>
      <c r="B1806" s="336" t="s">
        <v>367</v>
      </c>
      <c r="C1806" s="479">
        <v>1</v>
      </c>
      <c r="D1806" s="480" t="s">
        <v>87</v>
      </c>
      <c r="E1806" s="724">
        <v>1</v>
      </c>
      <c r="F1806" s="482">
        <f>F1800</f>
        <v>14</v>
      </c>
      <c r="G1806" s="483">
        <v>8</v>
      </c>
      <c r="H1806" s="484">
        <f>H1805</f>
        <v>3</v>
      </c>
      <c r="I1806" s="483">
        <f>I1805</f>
        <v>2</v>
      </c>
      <c r="J1806" s="749">
        <f t="shared" ref="J1806:K1806" si="568">J1805</f>
        <v>0</v>
      </c>
      <c r="K1806" s="819">
        <f t="shared" si="568"/>
        <v>4</v>
      </c>
      <c r="L1806" s="500"/>
      <c r="M1806" s="485">
        <f t="shared" si="565"/>
        <v>18</v>
      </c>
      <c r="N1806" s="486"/>
      <c r="O1806" s="486"/>
      <c r="P1806" s="487">
        <f>16-1*0.83-0.5*1</f>
        <v>14.67</v>
      </c>
      <c r="Q1806" s="487">
        <f>4-1*0.83</f>
        <v>3.17</v>
      </c>
    </row>
    <row r="1807" spans="1:18" ht="18" customHeight="1">
      <c r="A1807" s="474"/>
      <c r="B1807" s="494"/>
      <c r="C1807" s="488"/>
      <c r="D1807" s="489"/>
      <c r="E1807" s="837">
        <f>C1803*E1803+C1804*E1804+C1805*E1805+C1806*E1806</f>
        <v>4</v>
      </c>
      <c r="F1807" s="491"/>
      <c r="G1807" s="496"/>
      <c r="H1807" s="497"/>
      <c r="I1807" s="496"/>
      <c r="J1807" s="609"/>
      <c r="K1807" s="865" t="str">
        <f>B1793</f>
        <v>(m)  1st Floor  Slab</v>
      </c>
      <c r="L1807" s="500"/>
      <c r="M1807" s="486"/>
      <c r="N1807" s="858">
        <f>SUM(M1795:M1806)</f>
        <v>236</v>
      </c>
      <c r="O1807" s="965" t="s">
        <v>720</v>
      </c>
    </row>
    <row r="1808" spans="1:18" s="487" customFormat="1" ht="18" customHeight="1">
      <c r="A1808" s="743"/>
      <c r="B1808" s="806" t="s">
        <v>640</v>
      </c>
      <c r="C1808" s="735"/>
      <c r="D1808" s="736"/>
      <c r="E1808" s="737"/>
      <c r="F1808" s="738"/>
      <c r="G1808" s="807"/>
      <c r="H1808" s="808"/>
      <c r="I1808" s="807"/>
      <c r="J1808" s="866"/>
      <c r="K1808" s="807"/>
      <c r="L1808" s="867"/>
      <c r="M1808" s="499"/>
      <c r="N1808" s="546"/>
      <c r="O1808" s="546"/>
    </row>
    <row r="1809" spans="1:18" s="487" customFormat="1" ht="18" customHeight="1">
      <c r="A1809" s="478"/>
      <c r="B1809" s="726" t="s">
        <v>356</v>
      </c>
      <c r="C1809" s="479"/>
      <c r="D1809" s="480"/>
      <c r="E1809" s="724"/>
      <c r="F1809" s="482"/>
      <c r="G1809" s="483"/>
      <c r="H1809" s="484"/>
      <c r="I1809" s="483"/>
      <c r="J1809" s="749"/>
      <c r="K1809" s="483"/>
      <c r="L1809" s="500"/>
      <c r="M1809" s="485"/>
      <c r="N1809" s="486"/>
      <c r="O1809" s="486"/>
    </row>
    <row r="1810" spans="1:18" s="487" customFormat="1" ht="18" customHeight="1">
      <c r="A1810" s="478"/>
      <c r="B1810" s="336" t="s">
        <v>357</v>
      </c>
      <c r="C1810" s="479">
        <v>1</v>
      </c>
      <c r="D1810" s="480" t="s">
        <v>87</v>
      </c>
      <c r="E1810" s="724">
        <v>1</v>
      </c>
      <c r="F1810" s="482">
        <v>5</v>
      </c>
      <c r="G1810" s="483">
        <v>4</v>
      </c>
      <c r="H1810" s="484">
        <v>13</v>
      </c>
      <c r="I1810" s="483">
        <v>3</v>
      </c>
      <c r="J1810" s="749">
        <f>0</f>
        <v>0</v>
      </c>
      <c r="K1810" s="819">
        <v>4</v>
      </c>
      <c r="L1810" s="500"/>
      <c r="M1810" s="485">
        <f t="shared" ref="M1810:M1815" si="569">ROUNDUP((H1810+I1810/12)/3+1,0)*ROUNDUP((F1810+G1810/12)/3+1,0)*E1810*C1810</f>
        <v>18</v>
      </c>
      <c r="N1810" s="486"/>
      <c r="O1810" s="486"/>
      <c r="P1810" s="487">
        <f>6.33-1</f>
        <v>5.33</v>
      </c>
      <c r="Q1810" s="487">
        <f>15.58-1.5*1-0.83</f>
        <v>13.25</v>
      </c>
    </row>
    <row r="1811" spans="1:18" s="487" customFormat="1" ht="18" customHeight="1">
      <c r="A1811" s="478"/>
      <c r="B1811" s="336" t="s">
        <v>368</v>
      </c>
      <c r="C1811" s="479">
        <v>1</v>
      </c>
      <c r="D1811" s="480" t="s">
        <v>87</v>
      </c>
      <c r="E1811" s="724">
        <v>1</v>
      </c>
      <c r="F1811" s="482">
        <v>9</v>
      </c>
      <c r="G1811" s="483">
        <v>10</v>
      </c>
      <c r="H1811" s="484">
        <v>14</v>
      </c>
      <c r="I1811" s="483">
        <v>1</v>
      </c>
      <c r="J1811" s="749">
        <f>J1810</f>
        <v>0</v>
      </c>
      <c r="K1811" s="819">
        <f>K1810</f>
        <v>4</v>
      </c>
      <c r="L1811" s="500"/>
      <c r="M1811" s="485">
        <f t="shared" si="569"/>
        <v>30</v>
      </c>
      <c r="N1811" s="486"/>
      <c r="O1811" s="486"/>
      <c r="P1811" s="487">
        <f>11.17-1*0.83-0.5*1</f>
        <v>9.84</v>
      </c>
      <c r="Q1811" s="487">
        <f>15.58-1.5*1</f>
        <v>14.08</v>
      </c>
    </row>
    <row r="1812" spans="1:18" s="487" customFormat="1" ht="18" customHeight="1">
      <c r="A1812" s="478"/>
      <c r="B1812" s="336" t="s">
        <v>369</v>
      </c>
      <c r="C1812" s="479">
        <v>1</v>
      </c>
      <c r="D1812" s="480" t="s">
        <v>87</v>
      </c>
      <c r="E1812" s="724">
        <v>1</v>
      </c>
      <c r="F1812" s="482">
        <v>14</v>
      </c>
      <c r="G1812" s="483">
        <v>6</v>
      </c>
      <c r="H1812" s="484">
        <v>8</v>
      </c>
      <c r="I1812" s="483">
        <v>11</v>
      </c>
      <c r="J1812" s="749">
        <f t="shared" ref="J1812:K1812" si="570">J1811</f>
        <v>0</v>
      </c>
      <c r="K1812" s="819">
        <f t="shared" si="570"/>
        <v>4</v>
      </c>
      <c r="L1812" s="500"/>
      <c r="M1812" s="485">
        <f t="shared" si="569"/>
        <v>24</v>
      </c>
      <c r="N1812" s="486"/>
      <c r="O1812" s="486"/>
      <c r="P1812" s="487">
        <f>16-1.5*1</f>
        <v>14.5</v>
      </c>
      <c r="Q1812" s="487">
        <f>9.92-1*1</f>
        <v>8.92</v>
      </c>
    </row>
    <row r="1813" spans="1:18" s="487" customFormat="1" ht="18" customHeight="1">
      <c r="A1813" s="478"/>
      <c r="B1813" s="336" t="s">
        <v>360</v>
      </c>
      <c r="C1813" s="479">
        <v>1</v>
      </c>
      <c r="D1813" s="480" t="s">
        <v>87</v>
      </c>
      <c r="E1813" s="724">
        <v>1</v>
      </c>
      <c r="F1813" s="482">
        <f>F1812</f>
        <v>14</v>
      </c>
      <c r="G1813" s="483">
        <f>G1812</f>
        <v>6</v>
      </c>
      <c r="H1813" s="484">
        <v>9</v>
      </c>
      <c r="I1813" s="483">
        <v>0</v>
      </c>
      <c r="J1813" s="749">
        <f t="shared" ref="J1813:K1813" si="571">J1812</f>
        <v>0</v>
      </c>
      <c r="K1813" s="819">
        <f t="shared" si="571"/>
        <v>4</v>
      </c>
      <c r="L1813" s="500"/>
      <c r="M1813" s="485">
        <f t="shared" si="569"/>
        <v>24</v>
      </c>
      <c r="N1813" s="486"/>
      <c r="O1813" s="486"/>
      <c r="P1813" s="487">
        <f>16-1.5*1</f>
        <v>14.5</v>
      </c>
    </row>
    <row r="1814" spans="1:18" s="487" customFormat="1" ht="18" customHeight="1">
      <c r="A1814" s="478"/>
      <c r="B1814" s="336" t="s">
        <v>370</v>
      </c>
      <c r="C1814" s="479">
        <v>1</v>
      </c>
      <c r="D1814" s="480" t="s">
        <v>87</v>
      </c>
      <c r="E1814" s="724">
        <v>1</v>
      </c>
      <c r="F1814" s="482">
        <v>12</v>
      </c>
      <c r="G1814" s="483">
        <v>2</v>
      </c>
      <c r="H1814" s="484">
        <v>10</v>
      </c>
      <c r="I1814" s="483">
        <v>5</v>
      </c>
      <c r="J1814" s="749">
        <f t="shared" ref="J1814:K1814" si="572">J1813</f>
        <v>0</v>
      </c>
      <c r="K1814" s="819">
        <f t="shared" si="572"/>
        <v>4</v>
      </c>
      <c r="L1814" s="500"/>
      <c r="M1814" s="485">
        <f t="shared" si="569"/>
        <v>30</v>
      </c>
      <c r="N1814" s="486"/>
      <c r="O1814" s="486"/>
      <c r="P1814" s="487">
        <f>13.5-1*0.83-0.5*1</f>
        <v>12.17</v>
      </c>
      <c r="Q1814" s="487">
        <f>11.92-1.5*1</f>
        <v>10.42</v>
      </c>
    </row>
    <row r="1815" spans="1:18" s="487" customFormat="1" ht="18" customHeight="1">
      <c r="A1815" s="478"/>
      <c r="B1815" s="336" t="s">
        <v>362</v>
      </c>
      <c r="C1815" s="479">
        <v>1</v>
      </c>
      <c r="D1815" s="480" t="s">
        <v>87</v>
      </c>
      <c r="E1815" s="724">
        <v>1</v>
      </c>
      <c r="F1815" s="482">
        <f>F1813</f>
        <v>14</v>
      </c>
      <c r="G1815" s="483">
        <f>G1813</f>
        <v>6</v>
      </c>
      <c r="H1815" s="484">
        <f>H1814</f>
        <v>10</v>
      </c>
      <c r="I1815" s="483">
        <f>I1814</f>
        <v>5</v>
      </c>
      <c r="J1815" s="749">
        <f t="shared" ref="J1815:K1815" si="573">J1814</f>
        <v>0</v>
      </c>
      <c r="K1815" s="819">
        <f t="shared" si="573"/>
        <v>4</v>
      </c>
      <c r="L1815" s="500"/>
      <c r="M1815" s="485">
        <f t="shared" si="569"/>
        <v>30</v>
      </c>
      <c r="N1815" s="486"/>
      <c r="O1815" s="486"/>
      <c r="P1815" s="487">
        <f>16-1.5*1</f>
        <v>14.5</v>
      </c>
      <c r="Q1815" s="487">
        <f>11.92-1.5*1</f>
        <v>10.42</v>
      </c>
    </row>
    <row r="1816" spans="1:18" ht="18" customHeight="1">
      <c r="A1816" s="474"/>
      <c r="B1816" s="494"/>
      <c r="C1816" s="488"/>
      <c r="D1816" s="489"/>
      <c r="E1816" s="837">
        <f>C1814*E1814+C1813*E1813+C1815*E1815+C1812*E1812+C1811*E1811+C1810*E1810</f>
        <v>6</v>
      </c>
      <c r="F1816" s="491"/>
      <c r="G1816" s="496"/>
      <c r="H1816" s="497"/>
      <c r="I1816" s="496"/>
      <c r="J1816" s="609"/>
      <c r="K1816" s="625"/>
      <c r="L1816" s="626"/>
      <c r="M1816" s="475"/>
      <c r="N1816" s="476"/>
      <c r="O1816" s="476"/>
    </row>
    <row r="1817" spans="1:18" s="487" customFormat="1" ht="18" customHeight="1">
      <c r="A1817" s="478"/>
      <c r="B1817" s="726" t="s">
        <v>363</v>
      </c>
      <c r="C1817" s="479"/>
      <c r="D1817" s="480"/>
      <c r="E1817" s="724"/>
      <c r="F1817" s="482"/>
      <c r="G1817" s="483"/>
      <c r="H1817" s="484"/>
      <c r="I1817" s="483"/>
      <c r="J1817" s="749"/>
      <c r="K1817" s="819"/>
      <c r="L1817" s="500"/>
      <c r="M1817" s="485"/>
      <c r="N1817" s="486"/>
      <c r="O1817" s="486"/>
    </row>
    <row r="1818" spans="1:18" s="487" customFormat="1" ht="18" customHeight="1">
      <c r="A1818" s="478"/>
      <c r="B1818" s="336" t="s">
        <v>371</v>
      </c>
      <c r="C1818" s="479">
        <v>1</v>
      </c>
      <c r="D1818" s="480" t="s">
        <v>87</v>
      </c>
      <c r="E1818" s="724">
        <v>1</v>
      </c>
      <c r="F1818" s="482">
        <f>F1815</f>
        <v>14</v>
      </c>
      <c r="G1818" s="483">
        <f>G1815</f>
        <v>6</v>
      </c>
      <c r="H1818" s="484">
        <v>4</v>
      </c>
      <c r="I1818" s="483">
        <v>4</v>
      </c>
      <c r="J1818" s="749">
        <f>J1812</f>
        <v>0</v>
      </c>
      <c r="K1818" s="819">
        <f>K1812</f>
        <v>4</v>
      </c>
      <c r="L1818" s="500"/>
      <c r="M1818" s="485">
        <f t="shared" ref="M1818:M1821" si="574">ROUNDUP((H1818+I1818/12)/3+1,0)*ROUNDUP((F1818+G1818/12)/3+1,0)*E1818*C1818</f>
        <v>18</v>
      </c>
      <c r="N1818" s="486"/>
      <c r="O1818" s="486"/>
      <c r="P1818" s="487">
        <f>16-1.5*1</f>
        <v>14.5</v>
      </c>
      <c r="Q1818" s="487">
        <f>5.67-1*0.83-0.5*1</f>
        <v>4.34</v>
      </c>
      <c r="R1818" s="487">
        <f>15.58-9.92</f>
        <v>5.66</v>
      </c>
    </row>
    <row r="1819" spans="1:18" s="487" customFormat="1" ht="18" customHeight="1">
      <c r="A1819" s="478"/>
      <c r="B1819" s="336" t="s">
        <v>637</v>
      </c>
      <c r="C1819" s="479">
        <v>1</v>
      </c>
      <c r="D1819" s="480" t="s">
        <v>87</v>
      </c>
      <c r="E1819" s="724">
        <v>1</v>
      </c>
      <c r="F1819" s="482">
        <v>4</v>
      </c>
      <c r="G1819" s="483">
        <v>7</v>
      </c>
      <c r="H1819" s="484">
        <f>H1813</f>
        <v>9</v>
      </c>
      <c r="I1819" s="483">
        <f>I1813</f>
        <v>0</v>
      </c>
      <c r="J1819" s="749">
        <f t="shared" ref="J1819:K1819" si="575">J1818</f>
        <v>0</v>
      </c>
      <c r="K1819" s="819">
        <f t="shared" si="575"/>
        <v>4</v>
      </c>
      <c r="L1819" s="500"/>
      <c r="M1819" s="485">
        <f t="shared" si="574"/>
        <v>12</v>
      </c>
      <c r="N1819" s="486"/>
      <c r="O1819" s="486"/>
      <c r="P1819" s="487">
        <f>5.5-0.5*0.83-0.5*1</f>
        <v>4.585</v>
      </c>
    </row>
    <row r="1820" spans="1:18" s="487" customFormat="1" ht="18" customHeight="1">
      <c r="A1820" s="478"/>
      <c r="B1820" s="336" t="s">
        <v>372</v>
      </c>
      <c r="C1820" s="479">
        <v>1</v>
      </c>
      <c r="D1820" s="480" t="s">
        <v>87</v>
      </c>
      <c r="E1820" s="724">
        <v>1</v>
      </c>
      <c r="F1820" s="482">
        <v>12</v>
      </c>
      <c r="G1820" s="483">
        <v>3</v>
      </c>
      <c r="H1820" s="484">
        <v>3</v>
      </c>
      <c r="I1820" s="483">
        <v>2</v>
      </c>
      <c r="J1820" s="749">
        <f t="shared" ref="J1820:K1820" si="576">J1819</f>
        <v>0</v>
      </c>
      <c r="K1820" s="819">
        <f t="shared" si="576"/>
        <v>4</v>
      </c>
      <c r="L1820" s="500"/>
      <c r="M1820" s="485">
        <f t="shared" si="574"/>
        <v>18</v>
      </c>
      <c r="N1820" s="486"/>
      <c r="O1820" s="486"/>
      <c r="P1820" s="487">
        <f>13.5-1.5*0.83</f>
        <v>12.255000000000001</v>
      </c>
      <c r="Q1820" s="487">
        <f>4-1*0.83</f>
        <v>3.17</v>
      </c>
    </row>
    <row r="1821" spans="1:18" s="487" customFormat="1" ht="18" customHeight="1">
      <c r="A1821" s="478"/>
      <c r="B1821" s="336" t="s">
        <v>367</v>
      </c>
      <c r="C1821" s="479">
        <v>1</v>
      </c>
      <c r="D1821" s="480" t="s">
        <v>87</v>
      </c>
      <c r="E1821" s="724">
        <v>1</v>
      </c>
      <c r="F1821" s="482">
        <f>F1815</f>
        <v>14</v>
      </c>
      <c r="G1821" s="483">
        <v>9</v>
      </c>
      <c r="H1821" s="484">
        <f>H1820</f>
        <v>3</v>
      </c>
      <c r="I1821" s="483">
        <f>I1820</f>
        <v>2</v>
      </c>
      <c r="J1821" s="749">
        <f t="shared" ref="J1821:K1821" si="577">J1820</f>
        <v>0</v>
      </c>
      <c r="K1821" s="819">
        <f t="shared" si="577"/>
        <v>4</v>
      </c>
      <c r="L1821" s="500"/>
      <c r="M1821" s="485">
        <f t="shared" si="574"/>
        <v>18</v>
      </c>
      <c r="N1821" s="486"/>
      <c r="O1821" s="486"/>
      <c r="P1821" s="487">
        <f>16-1.5*0.83</f>
        <v>14.755000000000001</v>
      </c>
      <c r="Q1821" s="487">
        <f>4-1*0.83</f>
        <v>3.17</v>
      </c>
    </row>
    <row r="1822" spans="1:18" ht="18" customHeight="1">
      <c r="A1822" s="474"/>
      <c r="B1822" s="494"/>
      <c r="C1822" s="488"/>
      <c r="D1822" s="489"/>
      <c r="E1822" s="837">
        <f>C1818*E1818+C1819*E1819+C1820*E1820+C1821*E1821</f>
        <v>4</v>
      </c>
      <c r="F1822" s="491"/>
      <c r="G1822" s="496"/>
      <c r="H1822" s="497"/>
      <c r="I1822" s="496"/>
      <c r="J1822" s="609"/>
      <c r="K1822" s="625"/>
      <c r="L1822" s="626"/>
      <c r="M1822" s="475"/>
      <c r="N1822" s="476"/>
      <c r="O1822" s="476"/>
    </row>
    <row r="1823" spans="1:18" s="487" customFormat="1" ht="18" customHeight="1">
      <c r="A1823" s="478"/>
      <c r="B1823" s="726" t="s">
        <v>373</v>
      </c>
      <c r="C1823" s="479"/>
      <c r="D1823" s="480"/>
      <c r="E1823" s="724"/>
      <c r="F1823" s="482"/>
      <c r="G1823" s="483"/>
      <c r="H1823" s="484"/>
      <c r="I1823" s="483"/>
      <c r="J1823" s="749"/>
      <c r="K1823" s="819"/>
      <c r="L1823" s="500"/>
      <c r="M1823" s="485"/>
      <c r="N1823" s="486"/>
      <c r="O1823" s="486"/>
    </row>
    <row r="1824" spans="1:18" s="487" customFormat="1" ht="18" customHeight="1">
      <c r="A1824" s="478"/>
      <c r="B1824" s="336" t="s">
        <v>374</v>
      </c>
      <c r="C1824" s="479">
        <v>1</v>
      </c>
      <c r="D1824" s="480" t="s">
        <v>87</v>
      </c>
      <c r="E1824" s="724">
        <v>1</v>
      </c>
      <c r="F1824" s="482">
        <v>3</v>
      </c>
      <c r="G1824" s="483">
        <v>0</v>
      </c>
      <c r="H1824" s="484">
        <v>10</v>
      </c>
      <c r="I1824" s="483">
        <v>5</v>
      </c>
      <c r="J1824" s="749">
        <v>0</v>
      </c>
      <c r="K1824" s="819">
        <v>4</v>
      </c>
      <c r="L1824" s="500"/>
      <c r="M1824" s="485">
        <f t="shared" ref="M1824" si="578">ROUNDUP((H1824+I1824/12)/3+1,0)*ROUNDUP((F1824+G1824/12)/3+1,0)*E1824*C1824</f>
        <v>10</v>
      </c>
      <c r="N1824" s="486"/>
      <c r="O1824" s="486"/>
      <c r="P1824" s="487">
        <f>11.92-1.5*1</f>
        <v>10.42</v>
      </c>
    </row>
    <row r="1825" spans="1:18" ht="18" customHeight="1">
      <c r="A1825" s="474"/>
      <c r="B1825" s="494"/>
      <c r="C1825" s="488"/>
      <c r="D1825" s="489"/>
      <c r="E1825" s="837">
        <f>E1824*C1824</f>
        <v>1</v>
      </c>
      <c r="F1825" s="491"/>
      <c r="G1825" s="496"/>
      <c r="H1825" s="497"/>
      <c r="I1825" s="496"/>
      <c r="J1825" s="609"/>
      <c r="K1825" s="865" t="str">
        <f>B1808</f>
        <v>(n)  2nd Floor  Slab</v>
      </c>
      <c r="L1825" s="500"/>
      <c r="M1825" s="486"/>
      <c r="N1825" s="858">
        <f>SUM(M1810:M1824)</f>
        <v>232</v>
      </c>
      <c r="O1825" s="965" t="s">
        <v>720</v>
      </c>
    </row>
    <row r="1826" spans="1:18" ht="18" customHeight="1">
      <c r="A1826" s="474"/>
      <c r="B1826" s="494"/>
      <c r="C1826" s="488"/>
      <c r="D1826" s="489"/>
      <c r="E1826" s="589"/>
      <c r="F1826" s="491"/>
      <c r="G1826" s="496"/>
      <c r="H1826" s="497"/>
      <c r="I1826" s="496"/>
      <c r="J1826" s="609"/>
      <c r="K1826" s="625"/>
      <c r="L1826" s="626"/>
      <c r="M1826" s="475"/>
      <c r="N1826" s="476"/>
      <c r="O1826" s="476"/>
    </row>
    <row r="1827" spans="1:18" s="487" customFormat="1" ht="18" customHeight="1">
      <c r="A1827" s="478"/>
      <c r="B1827" s="723" t="s">
        <v>641</v>
      </c>
      <c r="C1827" s="479"/>
      <c r="D1827" s="480"/>
      <c r="E1827" s="724"/>
      <c r="F1827" s="482"/>
      <c r="G1827" s="483"/>
      <c r="H1827" s="484"/>
      <c r="I1827" s="483"/>
      <c r="J1827" s="749"/>
      <c r="K1827" s="819"/>
      <c r="L1827" s="500"/>
      <c r="M1827" s="485"/>
      <c r="N1827" s="486"/>
      <c r="O1827" s="486"/>
    </row>
    <row r="1828" spans="1:18" s="487" customFormat="1" ht="18" customHeight="1">
      <c r="A1828" s="478"/>
      <c r="B1828" s="726" t="s">
        <v>535</v>
      </c>
      <c r="C1828" s="479"/>
      <c r="D1828" s="480"/>
      <c r="E1828" s="724"/>
      <c r="F1828" s="482"/>
      <c r="G1828" s="483"/>
      <c r="H1828" s="484"/>
      <c r="I1828" s="483"/>
      <c r="J1828" s="749"/>
      <c r="K1828" s="819"/>
      <c r="L1828" s="500"/>
      <c r="M1828" s="485"/>
      <c r="N1828" s="486"/>
      <c r="O1828" s="486"/>
    </row>
    <row r="1829" spans="1:18" s="487" customFormat="1" ht="18" customHeight="1">
      <c r="A1829" s="478"/>
      <c r="B1829" s="336" t="s">
        <v>376</v>
      </c>
      <c r="C1829" s="479">
        <v>1</v>
      </c>
      <c r="D1829" s="480" t="s">
        <v>87</v>
      </c>
      <c r="E1829" s="724">
        <v>1</v>
      </c>
      <c r="F1829" s="482">
        <v>5</v>
      </c>
      <c r="G1829" s="483">
        <v>4</v>
      </c>
      <c r="H1829" s="484">
        <v>13</v>
      </c>
      <c r="I1829" s="483">
        <f>3</f>
        <v>3</v>
      </c>
      <c r="J1829" s="749">
        <f>0</f>
        <v>0</v>
      </c>
      <c r="K1829" s="483">
        <v>5</v>
      </c>
      <c r="L1829" s="500"/>
      <c r="M1829" s="485">
        <f t="shared" ref="M1829:M1833" si="579">ROUNDUP((H1829+I1829/12)/3+1,0)*ROUNDUP((F1829+G1829/12)/3+1,0)*E1829*C1829</f>
        <v>18</v>
      </c>
      <c r="N1829" s="486"/>
      <c r="O1829" s="486"/>
      <c r="P1829" s="487">
        <f>6.33-1</f>
        <v>5.33</v>
      </c>
      <c r="Q1829" s="487">
        <f>15.58-1.5*1-0.83</f>
        <v>13.25</v>
      </c>
    </row>
    <row r="1830" spans="1:18" s="487" customFormat="1" ht="18" customHeight="1">
      <c r="A1830" s="478"/>
      <c r="B1830" s="336" t="s">
        <v>377</v>
      </c>
      <c r="C1830" s="479">
        <v>1</v>
      </c>
      <c r="D1830" s="480" t="s">
        <v>87</v>
      </c>
      <c r="E1830" s="724">
        <v>1</v>
      </c>
      <c r="F1830" s="482">
        <v>9</v>
      </c>
      <c r="G1830" s="483">
        <v>9</v>
      </c>
      <c r="H1830" s="484">
        <f>H1829</f>
        <v>13</v>
      </c>
      <c r="I1830" s="483">
        <f>I1829</f>
        <v>3</v>
      </c>
      <c r="J1830" s="749">
        <f t="shared" ref="J1830:K1830" si="580">J1829</f>
        <v>0</v>
      </c>
      <c r="K1830" s="483">
        <f t="shared" si="580"/>
        <v>5</v>
      </c>
      <c r="L1830" s="500"/>
      <c r="M1830" s="485">
        <f t="shared" si="579"/>
        <v>30</v>
      </c>
      <c r="N1830" s="486"/>
      <c r="O1830" s="486"/>
      <c r="P1830" s="487">
        <f>10.25-0.5*1</f>
        <v>9.75</v>
      </c>
      <c r="Q1830" s="487">
        <f t="shared" ref="Q1830" si="581">15.58-1.5*1-0.83</f>
        <v>13.25</v>
      </c>
    </row>
    <row r="1831" spans="1:18" s="487" customFormat="1" ht="18" customHeight="1">
      <c r="A1831" s="478"/>
      <c r="B1831" s="336" t="s">
        <v>378</v>
      </c>
      <c r="C1831" s="479">
        <v>1</v>
      </c>
      <c r="D1831" s="480" t="s">
        <v>87</v>
      </c>
      <c r="E1831" s="724">
        <v>1</v>
      </c>
      <c r="F1831" s="482">
        <v>14</v>
      </c>
      <c r="G1831" s="483">
        <v>6</v>
      </c>
      <c r="H1831" s="484">
        <v>8</v>
      </c>
      <c r="I1831" s="483">
        <v>11</v>
      </c>
      <c r="J1831" s="749">
        <f t="shared" ref="J1831:K1831" si="582">J1830</f>
        <v>0</v>
      </c>
      <c r="K1831" s="483">
        <f t="shared" si="582"/>
        <v>5</v>
      </c>
      <c r="L1831" s="500"/>
      <c r="M1831" s="485">
        <f t="shared" si="579"/>
        <v>24</v>
      </c>
      <c r="N1831" s="486"/>
      <c r="O1831" s="486"/>
      <c r="P1831" s="487">
        <f>16-1.5*1</f>
        <v>14.5</v>
      </c>
      <c r="Q1831" s="487">
        <f>9.92-1*1</f>
        <v>8.92</v>
      </c>
    </row>
    <row r="1832" spans="1:18" s="487" customFormat="1" ht="18" customHeight="1">
      <c r="A1832" s="478"/>
      <c r="B1832" s="336" t="s">
        <v>379</v>
      </c>
      <c r="C1832" s="479">
        <v>1</v>
      </c>
      <c r="D1832" s="480" t="s">
        <v>87</v>
      </c>
      <c r="E1832" s="724">
        <v>1</v>
      </c>
      <c r="F1832" s="482">
        <v>12</v>
      </c>
      <c r="G1832" s="483">
        <v>2</v>
      </c>
      <c r="H1832" s="484">
        <v>9</v>
      </c>
      <c r="I1832" s="483">
        <v>0</v>
      </c>
      <c r="J1832" s="749">
        <f t="shared" ref="J1832:K1832" si="583">J1831</f>
        <v>0</v>
      </c>
      <c r="K1832" s="483">
        <f t="shared" si="583"/>
        <v>5</v>
      </c>
      <c r="L1832" s="500"/>
      <c r="M1832" s="485">
        <f t="shared" si="579"/>
        <v>24</v>
      </c>
      <c r="N1832" s="486"/>
      <c r="O1832" s="486"/>
      <c r="P1832" s="487">
        <f>13.5-1*0.83-0.5*1</f>
        <v>12.17</v>
      </c>
    </row>
    <row r="1833" spans="1:18" s="487" customFormat="1" ht="18" customHeight="1">
      <c r="A1833" s="478"/>
      <c r="B1833" s="336" t="s">
        <v>380</v>
      </c>
      <c r="C1833" s="479">
        <v>1</v>
      </c>
      <c r="D1833" s="480" t="s">
        <v>87</v>
      </c>
      <c r="E1833" s="724">
        <v>1</v>
      </c>
      <c r="F1833" s="482">
        <f>F1831</f>
        <v>14</v>
      </c>
      <c r="G1833" s="483">
        <f>G1831</f>
        <v>6</v>
      </c>
      <c r="H1833" s="484">
        <f>H1832</f>
        <v>9</v>
      </c>
      <c r="I1833" s="483">
        <f>I1832</f>
        <v>0</v>
      </c>
      <c r="J1833" s="749">
        <f t="shared" ref="J1833:K1833" si="584">J1832</f>
        <v>0</v>
      </c>
      <c r="K1833" s="483">
        <f t="shared" si="584"/>
        <v>5</v>
      </c>
      <c r="L1833" s="500"/>
      <c r="M1833" s="485">
        <f t="shared" si="579"/>
        <v>24</v>
      </c>
      <c r="N1833" s="486"/>
      <c r="O1833" s="486"/>
      <c r="P1833" s="487">
        <f>16-1.5*1</f>
        <v>14.5</v>
      </c>
    </row>
    <row r="1834" spans="1:18" ht="18" customHeight="1">
      <c r="A1834" s="474"/>
      <c r="B1834" s="494"/>
      <c r="C1834" s="488"/>
      <c r="D1834" s="489"/>
      <c r="E1834" s="837">
        <f>C1829*E1829+C1830*E1830+C1831*E1831+C1832*E1832+C1833*E1833</f>
        <v>5</v>
      </c>
      <c r="F1834" s="491"/>
      <c r="G1834" s="496"/>
      <c r="H1834" s="497"/>
      <c r="I1834" s="496"/>
      <c r="J1834" s="609"/>
      <c r="K1834" s="625"/>
      <c r="L1834" s="626"/>
      <c r="M1834" s="475"/>
      <c r="N1834" s="476"/>
      <c r="O1834" s="476"/>
    </row>
    <row r="1835" spans="1:18" s="487" customFormat="1" ht="18" customHeight="1">
      <c r="A1835" s="478"/>
      <c r="B1835" s="726" t="s">
        <v>382</v>
      </c>
      <c r="C1835" s="479"/>
      <c r="D1835" s="480"/>
      <c r="E1835" s="724"/>
      <c r="F1835" s="482"/>
      <c r="G1835" s="483"/>
      <c r="H1835" s="484"/>
      <c r="I1835" s="483"/>
      <c r="J1835" s="749"/>
      <c r="K1835" s="819"/>
      <c r="L1835" s="500"/>
      <c r="M1835" s="485"/>
      <c r="N1835" s="486"/>
      <c r="O1835" s="486"/>
    </row>
    <row r="1836" spans="1:18" s="487" customFormat="1" ht="18" customHeight="1">
      <c r="A1836" s="478"/>
      <c r="B1836" s="336" t="s">
        <v>381</v>
      </c>
      <c r="C1836" s="479">
        <v>1</v>
      </c>
      <c r="D1836" s="480" t="s">
        <v>87</v>
      </c>
      <c r="E1836" s="724">
        <v>1</v>
      </c>
      <c r="F1836" s="482">
        <f>F1831</f>
        <v>14</v>
      </c>
      <c r="G1836" s="483">
        <f>G1831</f>
        <v>6</v>
      </c>
      <c r="H1836" s="484">
        <v>4</v>
      </c>
      <c r="I1836" s="483">
        <v>4</v>
      </c>
      <c r="J1836" s="749">
        <f>J1833</f>
        <v>0</v>
      </c>
      <c r="K1836" s="483">
        <f>K1833</f>
        <v>5</v>
      </c>
      <c r="L1836" s="500"/>
      <c r="M1836" s="485">
        <f t="shared" ref="M1836:M1839" si="585">ROUNDUP((H1836+I1836/12)/3+1,0)*ROUNDUP((F1836+G1836/12)/3+1,0)*E1836*C1836</f>
        <v>18</v>
      </c>
      <c r="N1836" s="486"/>
      <c r="O1836" s="486"/>
      <c r="P1836" s="487">
        <f>16-1.5*1</f>
        <v>14.5</v>
      </c>
      <c r="Q1836" s="487">
        <f>5.67-1*0.83-0.5*1</f>
        <v>4.34</v>
      </c>
      <c r="R1836" s="487">
        <f>15.58-9.92</f>
        <v>5.66</v>
      </c>
    </row>
    <row r="1837" spans="1:18" s="487" customFormat="1" ht="18" customHeight="1">
      <c r="A1837" s="478"/>
      <c r="B1837" s="336" t="s">
        <v>383</v>
      </c>
      <c r="C1837" s="479">
        <v>1</v>
      </c>
      <c r="D1837" s="480" t="s">
        <v>87</v>
      </c>
      <c r="E1837" s="724">
        <v>1</v>
      </c>
      <c r="F1837" s="482">
        <v>3</v>
      </c>
      <c r="G1837" s="483">
        <v>0</v>
      </c>
      <c r="H1837" s="484">
        <v>9</v>
      </c>
      <c r="I1837" s="483">
        <v>0</v>
      </c>
      <c r="J1837" s="749">
        <f t="shared" ref="J1837:K1837" si="586">J1836</f>
        <v>0</v>
      </c>
      <c r="K1837" s="483">
        <f t="shared" si="586"/>
        <v>5</v>
      </c>
      <c r="L1837" s="500"/>
      <c r="M1837" s="485">
        <f t="shared" si="585"/>
        <v>8</v>
      </c>
      <c r="N1837" s="486"/>
      <c r="O1837" s="486"/>
      <c r="P1837" s="487">
        <f>4-1</f>
        <v>3</v>
      </c>
    </row>
    <row r="1838" spans="1:18" s="487" customFormat="1" ht="18" customHeight="1">
      <c r="A1838" s="478"/>
      <c r="B1838" s="336" t="s">
        <v>384</v>
      </c>
      <c r="C1838" s="479">
        <v>1</v>
      </c>
      <c r="D1838" s="480" t="s">
        <v>87</v>
      </c>
      <c r="E1838" s="724">
        <v>1</v>
      </c>
      <c r="F1838" s="482">
        <v>12</v>
      </c>
      <c r="G1838" s="483">
        <v>3</v>
      </c>
      <c r="H1838" s="484">
        <v>3</v>
      </c>
      <c r="I1838" s="483">
        <v>2</v>
      </c>
      <c r="J1838" s="749">
        <f t="shared" ref="J1838:K1838" si="587">J1837</f>
        <v>0</v>
      </c>
      <c r="K1838" s="483">
        <f t="shared" si="587"/>
        <v>5</v>
      </c>
      <c r="L1838" s="500"/>
      <c r="M1838" s="485">
        <f t="shared" si="585"/>
        <v>18</v>
      </c>
      <c r="N1838" s="486"/>
      <c r="O1838" s="486"/>
      <c r="P1838" s="487">
        <f>13.5-1.5*0.83</f>
        <v>12.255000000000001</v>
      </c>
      <c r="Q1838" s="487">
        <f>3.58-0.5*0.83</f>
        <v>3.165</v>
      </c>
    </row>
    <row r="1839" spans="1:18" s="487" customFormat="1" ht="18" customHeight="1">
      <c r="A1839" s="478"/>
      <c r="B1839" s="336" t="s">
        <v>385</v>
      </c>
      <c r="C1839" s="479">
        <v>1</v>
      </c>
      <c r="D1839" s="480" t="s">
        <v>87</v>
      </c>
      <c r="E1839" s="724">
        <v>1</v>
      </c>
      <c r="F1839" s="482">
        <v>14</v>
      </c>
      <c r="G1839" s="483">
        <v>9</v>
      </c>
      <c r="H1839" s="484">
        <f>H1838</f>
        <v>3</v>
      </c>
      <c r="I1839" s="483">
        <f>I1838</f>
        <v>2</v>
      </c>
      <c r="J1839" s="749">
        <f t="shared" ref="J1839:K1839" si="588">J1838</f>
        <v>0</v>
      </c>
      <c r="K1839" s="483">
        <f t="shared" si="588"/>
        <v>5</v>
      </c>
      <c r="L1839" s="500"/>
      <c r="M1839" s="485">
        <f t="shared" si="585"/>
        <v>18</v>
      </c>
      <c r="N1839" s="486"/>
      <c r="O1839" s="486"/>
      <c r="P1839" s="487">
        <f>16-1.5*0.83</f>
        <v>14.755000000000001</v>
      </c>
      <c r="Q1839" s="487">
        <f>3.58-0.5*0.83</f>
        <v>3.165</v>
      </c>
    </row>
    <row r="1840" spans="1:18" ht="18" customHeight="1">
      <c r="A1840" s="474"/>
      <c r="B1840" s="494"/>
      <c r="C1840" s="488"/>
      <c r="D1840" s="489"/>
      <c r="E1840" s="837">
        <f>C1836*E1836+C1837*E1837+C1838*E1838+C1839*E1839</f>
        <v>4</v>
      </c>
      <c r="F1840" s="491"/>
      <c r="G1840" s="496"/>
      <c r="H1840" s="497"/>
      <c r="I1840" s="496"/>
      <c r="J1840" s="609"/>
      <c r="K1840" s="860" t="str">
        <f>B1827</f>
        <v>(o)  Roof Floor  Slab</v>
      </c>
      <c r="L1840" s="626"/>
      <c r="M1840" s="475"/>
      <c r="N1840" s="858">
        <f>SUM(M1828:M1840)</f>
        <v>182</v>
      </c>
      <c r="O1840" s="965" t="s">
        <v>720</v>
      </c>
    </row>
    <row r="1841" spans="1:17" ht="18" customHeight="1">
      <c r="A1841" s="474"/>
      <c r="B1841" s="494"/>
      <c r="C1841" s="488"/>
      <c r="D1841" s="489"/>
      <c r="E1841" s="589"/>
      <c r="F1841" s="491"/>
      <c r="G1841" s="496"/>
      <c r="H1841" s="497"/>
      <c r="I1841" s="496"/>
      <c r="J1841" s="609"/>
      <c r="K1841" s="625"/>
      <c r="L1841" s="626"/>
      <c r="M1841" s="475"/>
      <c r="N1841" s="476"/>
      <c r="O1841" s="476"/>
    </row>
    <row r="1842" spans="1:17" s="487" customFormat="1" ht="18" customHeight="1">
      <c r="A1842" s="478"/>
      <c r="B1842" s="723" t="s">
        <v>642</v>
      </c>
      <c r="C1842" s="479"/>
      <c r="D1842" s="480"/>
      <c r="E1842" s="724"/>
      <c r="F1842" s="482"/>
      <c r="G1842" s="483"/>
      <c r="H1842" s="484"/>
      <c r="I1842" s="483"/>
      <c r="J1842" s="749"/>
      <c r="K1842" s="483"/>
      <c r="L1842" s="500"/>
      <c r="M1842" s="485"/>
      <c r="N1842" s="486"/>
      <c r="O1842" s="486"/>
    </row>
    <row r="1843" spans="1:17" s="487" customFormat="1" ht="18" hidden="1" customHeight="1">
      <c r="A1843" s="478"/>
      <c r="B1843" s="869" t="s">
        <v>218</v>
      </c>
      <c r="C1843" s="479"/>
      <c r="D1843" s="480"/>
      <c r="E1843" s="724"/>
      <c r="F1843" s="482"/>
      <c r="G1843" s="483"/>
      <c r="H1843" s="484"/>
      <c r="I1843" s="483"/>
      <c r="J1843" s="749"/>
      <c r="K1843" s="483"/>
      <c r="L1843" s="500"/>
      <c r="M1843" s="485"/>
      <c r="N1843" s="486"/>
      <c r="O1843" s="486"/>
    </row>
    <row r="1844" spans="1:17" s="764" customFormat="1" ht="18" hidden="1" customHeight="1">
      <c r="A1844" s="751"/>
      <c r="B1844" s="768" t="s">
        <v>166</v>
      </c>
      <c r="C1844" s="753">
        <f>1</f>
        <v>1</v>
      </c>
      <c r="D1844" s="754" t="s">
        <v>87</v>
      </c>
      <c r="E1844" s="769">
        <f>1</f>
        <v>1</v>
      </c>
      <c r="F1844" s="756">
        <f>74</f>
        <v>74</v>
      </c>
      <c r="G1844" s="766">
        <f>0</f>
        <v>0</v>
      </c>
      <c r="H1844" s="770">
        <f>2</f>
        <v>2</v>
      </c>
      <c r="I1844" s="766">
        <v>0</v>
      </c>
      <c r="J1844" s="771">
        <f>1</f>
        <v>1</v>
      </c>
      <c r="K1844" s="766">
        <v>0</v>
      </c>
      <c r="L1844" s="870"/>
      <c r="M1844" s="761"/>
      <c r="N1844" s="767"/>
      <c r="O1844" s="767"/>
    </row>
    <row r="1845" spans="1:17" s="764" customFormat="1" ht="18" hidden="1" customHeight="1">
      <c r="A1845" s="751"/>
      <c r="B1845" s="768" t="s">
        <v>167</v>
      </c>
      <c r="C1845" s="753">
        <f>1</f>
        <v>1</v>
      </c>
      <c r="D1845" s="754" t="s">
        <v>87</v>
      </c>
      <c r="E1845" s="769">
        <f>1</f>
        <v>1</v>
      </c>
      <c r="F1845" s="756">
        <f>F1844</f>
        <v>74</v>
      </c>
      <c r="G1845" s="766">
        <f>G1844</f>
        <v>0</v>
      </c>
      <c r="H1845" s="770">
        <f>1</f>
        <v>1</v>
      </c>
      <c r="I1845" s="766">
        <f>0</f>
        <v>0</v>
      </c>
      <c r="J1845" s="771">
        <f>J1844</f>
        <v>1</v>
      </c>
      <c r="K1845" s="766">
        <f>K1844</f>
        <v>0</v>
      </c>
      <c r="L1845" s="870"/>
      <c r="M1845" s="761"/>
      <c r="N1845" s="767"/>
      <c r="O1845" s="767"/>
    </row>
    <row r="1846" spans="1:17" s="487" customFormat="1" ht="18" hidden="1" customHeight="1">
      <c r="A1846" s="478"/>
      <c r="B1846" s="336"/>
      <c r="C1846" s="479"/>
      <c r="D1846" s="480"/>
      <c r="E1846" s="724"/>
      <c r="F1846" s="482"/>
      <c r="G1846" s="483"/>
      <c r="H1846" s="484"/>
      <c r="I1846" s="483"/>
      <c r="J1846" s="749"/>
      <c r="K1846" s="483"/>
      <c r="L1846" s="500"/>
      <c r="M1846" s="485"/>
      <c r="N1846" s="871">
        <f>SUM(M1844:M1845)</f>
        <v>0</v>
      </c>
      <c r="O1846" s="872" t="s">
        <v>21</v>
      </c>
    </row>
    <row r="1847" spans="1:17" s="487" customFormat="1" ht="18" customHeight="1">
      <c r="A1847" s="478"/>
      <c r="B1847" s="869" t="s">
        <v>386</v>
      </c>
      <c r="C1847" s="479"/>
      <c r="D1847" s="480"/>
      <c r="E1847" s="724"/>
      <c r="F1847" s="482"/>
      <c r="G1847" s="483"/>
      <c r="H1847" s="484"/>
      <c r="I1847" s="483"/>
      <c r="J1847" s="749"/>
      <c r="K1847" s="483"/>
      <c r="L1847" s="500"/>
      <c r="M1847" s="485"/>
      <c r="N1847" s="486"/>
      <c r="O1847" s="486"/>
    </row>
    <row r="1848" spans="1:17" s="487" customFormat="1" ht="18" customHeight="1">
      <c r="A1848" s="478"/>
      <c r="B1848" s="336" t="s">
        <v>52</v>
      </c>
      <c r="C1848" s="479">
        <v>1</v>
      </c>
      <c r="D1848" s="480" t="s">
        <v>87</v>
      </c>
      <c r="E1848" s="724">
        <v>2</v>
      </c>
      <c r="F1848" s="482">
        <v>10</v>
      </c>
      <c r="G1848" s="483">
        <v>9</v>
      </c>
      <c r="H1848" s="484">
        <f>4</f>
        <v>4</v>
      </c>
      <c r="I1848" s="483">
        <v>5</v>
      </c>
      <c r="J1848" s="749">
        <v>0</v>
      </c>
      <c r="K1848" s="483">
        <v>6</v>
      </c>
      <c r="L1848" s="500"/>
      <c r="M1848" s="485">
        <f t="shared" ref="M1848:M1850" si="589">ROUNDUP((H1848+I1848/12)/3+1,0)*ROUNDUP((F1848+G1848/12)/3+1,0)*E1848*C1848</f>
        <v>30</v>
      </c>
      <c r="N1848" s="486"/>
      <c r="O1848" s="486"/>
      <c r="P1848" s="487">
        <f>10.75+9.5</f>
        <v>20.25</v>
      </c>
      <c r="Q1848" s="487">
        <f>P1848/2</f>
        <v>10.125</v>
      </c>
    </row>
    <row r="1849" spans="1:17" s="487" customFormat="1" ht="18" customHeight="1">
      <c r="A1849" s="478"/>
      <c r="B1849" s="336" t="s">
        <v>644</v>
      </c>
      <c r="C1849" s="479">
        <v>1</v>
      </c>
      <c r="D1849" s="480" t="s">
        <v>87</v>
      </c>
      <c r="E1849" s="724">
        <f>1</f>
        <v>1</v>
      </c>
      <c r="F1849" s="482">
        <v>7</v>
      </c>
      <c r="G1849" s="483">
        <v>10</v>
      </c>
      <c r="H1849" s="484">
        <v>1</v>
      </c>
      <c r="I1849" s="483">
        <v>2</v>
      </c>
      <c r="J1849" s="749">
        <v>1</v>
      </c>
      <c r="K1849" s="483">
        <v>4</v>
      </c>
      <c r="L1849" s="500"/>
      <c r="M1849" s="485">
        <f t="shared" si="589"/>
        <v>8</v>
      </c>
      <c r="N1849" s="486"/>
      <c r="O1849" s="486"/>
      <c r="P1849" s="487">
        <f>9-1.17</f>
        <v>7.83</v>
      </c>
    </row>
    <row r="1850" spans="1:17" s="487" customFormat="1" ht="18" customHeight="1">
      <c r="A1850" s="478"/>
      <c r="B1850" s="336" t="s">
        <v>53</v>
      </c>
      <c r="C1850" s="479">
        <v>1</v>
      </c>
      <c r="D1850" s="480" t="s">
        <v>87</v>
      </c>
      <c r="E1850" s="724">
        <f>1</f>
        <v>1</v>
      </c>
      <c r="F1850" s="482">
        <v>9</v>
      </c>
      <c r="G1850" s="483">
        <v>0</v>
      </c>
      <c r="H1850" s="484">
        <v>2</v>
      </c>
      <c r="I1850" s="483">
        <v>10</v>
      </c>
      <c r="J1850" s="749">
        <f>0</f>
        <v>0</v>
      </c>
      <c r="K1850" s="483">
        <v>6</v>
      </c>
      <c r="L1850" s="500"/>
      <c r="M1850" s="485">
        <f t="shared" si="589"/>
        <v>8</v>
      </c>
      <c r="N1850" s="486"/>
      <c r="O1850" s="486"/>
      <c r="P1850" s="487">
        <f>4-1.17</f>
        <v>2.83</v>
      </c>
    </row>
    <row r="1851" spans="1:17" ht="18" customHeight="1">
      <c r="A1851" s="474"/>
      <c r="B1851" s="494"/>
      <c r="C1851" s="488"/>
      <c r="D1851" s="489"/>
      <c r="E1851" s="589"/>
      <c r="F1851" s="491"/>
      <c r="G1851" s="496"/>
      <c r="H1851" s="497"/>
      <c r="I1851" s="496"/>
      <c r="J1851" s="609"/>
      <c r="K1851" s="496"/>
      <c r="L1851" s="626"/>
      <c r="M1851" s="475"/>
      <c r="N1851" s="874">
        <f>SUM(M1848:M1851)</f>
        <v>46</v>
      </c>
      <c r="O1851" s="875" t="s">
        <v>21</v>
      </c>
    </row>
    <row r="1852" spans="1:17" s="487" customFormat="1" ht="18" customHeight="1">
      <c r="A1852" s="478"/>
      <c r="B1852" s="869" t="s">
        <v>387</v>
      </c>
      <c r="C1852" s="479"/>
      <c r="D1852" s="480"/>
      <c r="E1852" s="724"/>
      <c r="F1852" s="482"/>
      <c r="G1852" s="483"/>
      <c r="H1852" s="484"/>
      <c r="I1852" s="483"/>
      <c r="J1852" s="749"/>
      <c r="K1852" s="483"/>
      <c r="L1852" s="500"/>
      <c r="M1852" s="485"/>
      <c r="N1852" s="486"/>
      <c r="O1852" s="486"/>
    </row>
    <row r="1853" spans="1:17" s="487" customFormat="1" ht="18" customHeight="1">
      <c r="A1853" s="478"/>
      <c r="B1853" s="336" t="s">
        <v>52</v>
      </c>
      <c r="C1853" s="479">
        <v>1</v>
      </c>
      <c r="D1853" s="480" t="s">
        <v>87</v>
      </c>
      <c r="E1853" s="724">
        <v>2</v>
      </c>
      <c r="F1853" s="482">
        <v>10</v>
      </c>
      <c r="G1853" s="483">
        <v>6</v>
      </c>
      <c r="H1853" s="484">
        <f>4</f>
        <v>4</v>
      </c>
      <c r="I1853" s="483">
        <v>5</v>
      </c>
      <c r="J1853" s="749">
        <v>0</v>
      </c>
      <c r="K1853" s="483">
        <v>6</v>
      </c>
      <c r="L1853" s="500"/>
      <c r="M1853" s="485">
        <f t="shared" ref="M1853:M1855" si="590">ROUNDUP((H1853+I1853/12)/3+1,0)*ROUNDUP((F1853+G1853/12)/3+1,0)*E1853*C1853</f>
        <v>30</v>
      </c>
      <c r="N1853" s="486"/>
      <c r="O1853" s="486"/>
    </row>
    <row r="1854" spans="1:17" s="487" customFormat="1" ht="18" customHeight="1">
      <c r="A1854" s="478"/>
      <c r="B1854" s="336" t="s">
        <v>644</v>
      </c>
      <c r="C1854" s="479">
        <v>1</v>
      </c>
      <c r="D1854" s="480" t="s">
        <v>87</v>
      </c>
      <c r="E1854" s="724">
        <f>1</f>
        <v>1</v>
      </c>
      <c r="F1854" s="482">
        <f>F1849</f>
        <v>7</v>
      </c>
      <c r="G1854" s="483">
        <f>G1849</f>
        <v>10</v>
      </c>
      <c r="H1854" s="484">
        <v>1</v>
      </c>
      <c r="I1854" s="483">
        <v>2</v>
      </c>
      <c r="J1854" s="749">
        <v>1</v>
      </c>
      <c r="K1854" s="483">
        <v>4</v>
      </c>
      <c r="L1854" s="500"/>
      <c r="M1854" s="485">
        <f t="shared" si="590"/>
        <v>8</v>
      </c>
      <c r="N1854" s="486"/>
      <c r="O1854" s="486"/>
    </row>
    <row r="1855" spans="1:17" s="487" customFormat="1" ht="18" customHeight="1">
      <c r="A1855" s="478"/>
      <c r="B1855" s="336" t="s">
        <v>53</v>
      </c>
      <c r="C1855" s="479">
        <v>1</v>
      </c>
      <c r="D1855" s="480" t="s">
        <v>87</v>
      </c>
      <c r="E1855" s="724">
        <f>1</f>
        <v>1</v>
      </c>
      <c r="F1855" s="482">
        <v>9</v>
      </c>
      <c r="G1855" s="483">
        <v>0</v>
      </c>
      <c r="H1855" s="484">
        <v>2</v>
      </c>
      <c r="I1855" s="483">
        <v>10</v>
      </c>
      <c r="J1855" s="749">
        <f>0</f>
        <v>0</v>
      </c>
      <c r="K1855" s="483">
        <v>6</v>
      </c>
      <c r="L1855" s="500"/>
      <c r="M1855" s="485">
        <f t="shared" si="590"/>
        <v>8</v>
      </c>
      <c r="N1855" s="486"/>
      <c r="O1855" s="486"/>
    </row>
    <row r="1856" spans="1:17" s="487" customFormat="1" ht="18" customHeight="1">
      <c r="A1856" s="478"/>
      <c r="B1856" s="336"/>
      <c r="C1856" s="479"/>
      <c r="D1856" s="480"/>
      <c r="E1856" s="724"/>
      <c r="F1856" s="482"/>
      <c r="G1856" s="483"/>
      <c r="H1856" s="484"/>
      <c r="I1856" s="483"/>
      <c r="J1856" s="749"/>
      <c r="K1856" s="483"/>
      <c r="L1856" s="726" t="str">
        <f>B1842</f>
        <v>(p) Stair</v>
      </c>
      <c r="M1856" s="485"/>
      <c r="N1856" s="858">
        <f>SUM(M1853:M1855)</f>
        <v>46</v>
      </c>
      <c r="O1856" s="965" t="s">
        <v>21</v>
      </c>
    </row>
    <row r="1857" spans="1:15" s="487" customFormat="1" ht="18" customHeight="1">
      <c r="A1857" s="833"/>
      <c r="B1857" s="830"/>
      <c r="C1857" s="934"/>
      <c r="D1857" s="935"/>
      <c r="E1857" s="1104"/>
      <c r="F1857" s="973"/>
      <c r="G1857" s="974"/>
      <c r="H1857" s="975"/>
      <c r="I1857" s="974"/>
      <c r="J1857" s="1042"/>
      <c r="K1857" s="974"/>
      <c r="L1857" s="500"/>
      <c r="M1857" s="920"/>
      <c r="N1857" s="750"/>
      <c r="O1857" s="867"/>
    </row>
    <row r="1858" spans="1:15" s="487" customFormat="1" ht="18" customHeight="1">
      <c r="A1858" s="709">
        <v>19</v>
      </c>
      <c r="B1858" s="710" t="s">
        <v>607</v>
      </c>
      <c r="C1858" s="1109"/>
      <c r="D1858" s="1110"/>
      <c r="E1858" s="1111"/>
      <c r="F1858" s="1112"/>
      <c r="G1858" s="1113"/>
      <c r="H1858" s="1114"/>
      <c r="I1858" s="1115"/>
      <c r="J1858" s="1116"/>
      <c r="K1858" s="1117"/>
      <c r="L1858" s="1118"/>
      <c r="M1858" s="722"/>
      <c r="N1858" s="722">
        <f>N1860</f>
        <v>127.66666666666667</v>
      </c>
      <c r="O1858" s="722" t="s">
        <v>26</v>
      </c>
    </row>
    <row r="1859" spans="1:15" s="487" customFormat="1" ht="18" customHeight="1">
      <c r="A1859" s="478"/>
      <c r="B1859" s="1119"/>
      <c r="C1859" s="934"/>
      <c r="D1859" s="935"/>
      <c r="E1859" s="1104"/>
      <c r="F1859" s="973"/>
      <c r="G1859" s="974"/>
      <c r="H1859" s="1040"/>
      <c r="I1859" s="1041"/>
      <c r="J1859" s="1120"/>
      <c r="K1859" s="1121"/>
      <c r="L1859" s="920"/>
      <c r="M1859" s="485"/>
      <c r="N1859" s="726"/>
      <c r="O1859" s="1122"/>
    </row>
    <row r="1860" spans="1:15" s="487" customFormat="1" ht="18" customHeight="1">
      <c r="A1860" s="478"/>
      <c r="B1860" s="1123" t="s">
        <v>612</v>
      </c>
      <c r="C1860" s="934"/>
      <c r="D1860" s="935"/>
      <c r="E1860" s="1104"/>
      <c r="F1860" s="973"/>
      <c r="G1860" s="974"/>
      <c r="H1860" s="1040"/>
      <c r="I1860" s="1041"/>
      <c r="J1860" s="1120"/>
      <c r="K1860" s="1121"/>
      <c r="L1860" s="920"/>
      <c r="M1860" s="485"/>
      <c r="N1860" s="485">
        <f>SUM(N1863:N1866)</f>
        <v>127.66666666666667</v>
      </c>
      <c r="O1860" s="478" t="s">
        <v>19</v>
      </c>
    </row>
    <row r="1861" spans="1:15" s="487" customFormat="1" ht="18" customHeight="1">
      <c r="A1861" s="478"/>
      <c r="B1861" s="873" t="s">
        <v>608</v>
      </c>
      <c r="C1861" s="934"/>
      <c r="D1861" s="935"/>
      <c r="E1861" s="1104"/>
      <c r="F1861" s="973"/>
      <c r="G1861" s="974"/>
      <c r="H1861" s="1040"/>
      <c r="I1861" s="1041"/>
      <c r="J1861" s="1120"/>
      <c r="K1861" s="1121"/>
      <c r="L1861" s="920"/>
      <c r="M1861" s="485"/>
      <c r="N1861" s="486"/>
      <c r="O1861" s="726"/>
    </row>
    <row r="1862" spans="1:15" s="487" customFormat="1" ht="18" customHeight="1">
      <c r="A1862" s="478"/>
      <c r="B1862" s="336" t="s">
        <v>609</v>
      </c>
      <c r="C1862" s="934">
        <v>2</v>
      </c>
      <c r="D1862" s="935" t="s">
        <v>87</v>
      </c>
      <c r="E1862" s="1104">
        <f>1</f>
        <v>1</v>
      </c>
      <c r="F1862" s="973">
        <v>17</v>
      </c>
      <c r="G1862" s="974">
        <v>6</v>
      </c>
      <c r="H1862" s="1040"/>
      <c r="I1862" s="1041"/>
      <c r="J1862" s="482"/>
      <c r="K1862" s="483"/>
      <c r="L1862" s="920"/>
      <c r="M1862" s="485">
        <f t="shared" ref="M1862:M1864" si="591">IF(C1862=0,1,C1862)*IF(E1862=0,1,E1862)*IF((F1862+G1862/12)=0,1,(F1862+G1862/12))*IF((H1862+I1862/12)=0,1,(H1862+I1862/12))*IF((J1862+K1862/12)=0,1,(J1862+K1862/12))</f>
        <v>35</v>
      </c>
      <c r="N1862" s="546"/>
      <c r="O1862" s="733"/>
    </row>
    <row r="1863" spans="1:15" s="487" customFormat="1" ht="18" customHeight="1">
      <c r="A1863" s="478"/>
      <c r="B1863" s="336" t="s">
        <v>610</v>
      </c>
      <c r="C1863" s="934">
        <v>2</v>
      </c>
      <c r="D1863" s="935" t="s">
        <v>87</v>
      </c>
      <c r="E1863" s="1104">
        <f>1</f>
        <v>1</v>
      </c>
      <c r="F1863" s="973">
        <v>9</v>
      </c>
      <c r="G1863" s="974">
        <v>0</v>
      </c>
      <c r="H1863" s="1040"/>
      <c r="I1863" s="1041"/>
      <c r="J1863" s="1120"/>
      <c r="K1863" s="1121"/>
      <c r="L1863" s="920"/>
      <c r="M1863" s="485">
        <f t="shared" si="591"/>
        <v>18</v>
      </c>
      <c r="N1863" s="546"/>
      <c r="O1863" s="733"/>
    </row>
    <row r="1864" spans="1:15" s="487" customFormat="1" ht="18" customHeight="1">
      <c r="A1864" s="478"/>
      <c r="B1864" s="830" t="s">
        <v>228</v>
      </c>
      <c r="C1864" s="934">
        <v>4</v>
      </c>
      <c r="D1864" s="935" t="s">
        <v>87</v>
      </c>
      <c r="E1864" s="1104">
        <v>2</v>
      </c>
      <c r="F1864" s="973">
        <v>9</v>
      </c>
      <c r="G1864" s="974">
        <v>4</v>
      </c>
      <c r="H1864" s="1040"/>
      <c r="I1864" s="1041"/>
      <c r="J1864" s="1120"/>
      <c r="K1864" s="1121"/>
      <c r="L1864" s="920"/>
      <c r="M1864" s="485">
        <f t="shared" si="591"/>
        <v>74.666666666666671</v>
      </c>
      <c r="N1864" s="546"/>
      <c r="O1864" s="733"/>
    </row>
    <row r="1865" spans="1:15" s="487" customFormat="1" ht="18" customHeight="1">
      <c r="A1865" s="478"/>
      <c r="B1865" s="830"/>
      <c r="C1865" s="934"/>
      <c r="D1865" s="935"/>
      <c r="E1865" s="1104"/>
      <c r="F1865" s="973"/>
      <c r="G1865" s="974"/>
      <c r="H1865" s="1040"/>
      <c r="I1865" s="1041"/>
      <c r="J1865" s="1120"/>
      <c r="K1865" s="1121"/>
      <c r="L1865" s="920"/>
      <c r="M1865" s="485"/>
      <c r="N1865" s="546"/>
      <c r="O1865" s="733"/>
    </row>
    <row r="1866" spans="1:15" s="487" customFormat="1" ht="18" customHeight="1">
      <c r="A1866" s="478"/>
      <c r="B1866" s="1124"/>
      <c r="C1866" s="934"/>
      <c r="D1866" s="935"/>
      <c r="E1866" s="1104"/>
      <c r="F1866" s="973"/>
      <c r="G1866" s="974"/>
      <c r="H1866" s="1040"/>
      <c r="I1866" s="1041"/>
      <c r="J1866" s="482"/>
      <c r="K1866" s="483"/>
      <c r="L1866" s="920"/>
      <c r="M1866" s="485"/>
      <c r="N1866" s="871">
        <f>SUM(M1859:M1866)</f>
        <v>127.66666666666667</v>
      </c>
      <c r="O1866" s="872" t="s">
        <v>26</v>
      </c>
    </row>
    <row r="1867" spans="1:15" s="487" customFormat="1" ht="18" customHeight="1">
      <c r="A1867" s="548"/>
      <c r="B1867" s="727"/>
      <c r="C1867" s="557"/>
      <c r="D1867" s="550"/>
      <c r="E1867" s="728"/>
      <c r="F1867" s="552"/>
      <c r="G1867" s="553"/>
      <c r="H1867" s="730"/>
      <c r="I1867" s="729"/>
      <c r="J1867" s="731"/>
      <c r="K1867" s="986"/>
      <c r="L1867" s="555"/>
      <c r="M1867" s="555"/>
      <c r="N1867" s="1106"/>
      <c r="O1867" s="1105"/>
    </row>
    <row r="1868" spans="1:15" s="487" customFormat="1" ht="18" customHeight="1">
      <c r="A1868" s="726">
        <v>20</v>
      </c>
      <c r="B1868" s="983" t="s">
        <v>611</v>
      </c>
      <c r="C1868" s="479"/>
      <c r="D1868" s="480"/>
      <c r="E1868" s="724"/>
      <c r="F1868" s="482"/>
      <c r="G1868" s="483"/>
      <c r="H1868" s="746"/>
      <c r="I1868" s="745"/>
      <c r="J1868" s="747"/>
      <c r="K1868" s="984"/>
      <c r="L1868" s="478"/>
      <c r="M1868" s="486"/>
      <c r="N1868" s="486">
        <f>N1869</f>
        <v>522.66666666666674</v>
      </c>
      <c r="O1868" s="486" t="s">
        <v>19</v>
      </c>
    </row>
    <row r="1869" spans="1:15" s="487" customFormat="1" ht="18" customHeight="1">
      <c r="A1869" s="733"/>
      <c r="B1869" s="1123" t="s">
        <v>613</v>
      </c>
      <c r="C1869" s="735"/>
      <c r="D1869" s="736"/>
      <c r="E1869" s="737"/>
      <c r="F1869" s="738"/>
      <c r="G1869" s="807"/>
      <c r="H1869" s="740"/>
      <c r="I1869" s="739"/>
      <c r="J1869" s="741"/>
      <c r="K1869" s="982"/>
      <c r="L1869" s="743"/>
      <c r="M1869" s="546"/>
      <c r="N1869" s="485">
        <f>SUM(N1872:N1873)</f>
        <v>522.66666666666674</v>
      </c>
      <c r="O1869" s="478" t="s">
        <v>19</v>
      </c>
    </row>
    <row r="1870" spans="1:15" s="487" customFormat="1" ht="18" customHeight="1">
      <c r="A1870" s="733"/>
      <c r="B1870" s="873" t="s">
        <v>608</v>
      </c>
      <c r="C1870" s="735"/>
      <c r="D1870" s="736"/>
      <c r="E1870" s="737"/>
      <c r="F1870" s="738"/>
      <c r="G1870" s="807"/>
      <c r="H1870" s="740"/>
      <c r="I1870" s="739"/>
      <c r="J1870" s="741"/>
      <c r="K1870" s="982"/>
      <c r="L1870" s="743"/>
      <c r="M1870" s="546"/>
      <c r="N1870" s="546"/>
      <c r="O1870" s="546"/>
    </row>
    <row r="1871" spans="1:15" s="487" customFormat="1" ht="18" customHeight="1">
      <c r="A1871" s="733"/>
      <c r="B1871" s="336" t="s">
        <v>609</v>
      </c>
      <c r="C1871" s="934">
        <v>2</v>
      </c>
      <c r="D1871" s="935" t="s">
        <v>87</v>
      </c>
      <c r="E1871" s="1104">
        <f>1</f>
        <v>1</v>
      </c>
      <c r="F1871" s="738">
        <v>18</v>
      </c>
      <c r="G1871" s="807">
        <v>0</v>
      </c>
      <c r="H1871" s="740"/>
      <c r="I1871" s="739"/>
      <c r="J1871" s="749">
        <v>9</v>
      </c>
      <c r="K1871" s="483">
        <v>4</v>
      </c>
      <c r="L1871" s="743"/>
      <c r="M1871" s="485">
        <f t="shared" ref="M1871:M1872" si="592">IF(C1871=0,1,C1871)*IF(E1871=0,1,E1871)*IF((F1871+G1871/12)=0,1,(F1871+G1871/12))*IF((H1871+I1871/12)=0,1,(H1871+I1871/12))*IF((J1871+K1871/12)=0,1,(J1871+K1871/12))</f>
        <v>336</v>
      </c>
      <c r="N1871" s="546"/>
      <c r="O1871" s="546"/>
    </row>
    <row r="1872" spans="1:15" s="487" customFormat="1" ht="18" customHeight="1">
      <c r="A1872" s="733"/>
      <c r="B1872" s="336" t="s">
        <v>610</v>
      </c>
      <c r="C1872" s="934">
        <v>2</v>
      </c>
      <c r="D1872" s="935" t="s">
        <v>87</v>
      </c>
      <c r="E1872" s="1104">
        <f>1</f>
        <v>1</v>
      </c>
      <c r="F1872" s="738">
        <v>10</v>
      </c>
      <c r="G1872" s="807">
        <v>0</v>
      </c>
      <c r="H1872" s="740"/>
      <c r="I1872" s="739"/>
      <c r="J1872" s="749">
        <f>J1871</f>
        <v>9</v>
      </c>
      <c r="K1872" s="483">
        <f>K1871</f>
        <v>4</v>
      </c>
      <c r="L1872" s="743"/>
      <c r="M1872" s="485">
        <f t="shared" si="592"/>
        <v>186.66666666666669</v>
      </c>
      <c r="N1872" s="546"/>
      <c r="O1872" s="546"/>
    </row>
    <row r="1873" spans="1:15" s="487" customFormat="1" ht="18" customHeight="1">
      <c r="A1873" s="733"/>
      <c r="B1873" s="734"/>
      <c r="C1873" s="735"/>
      <c r="D1873" s="736"/>
      <c r="E1873" s="737"/>
      <c r="F1873" s="738"/>
      <c r="G1873" s="807"/>
      <c r="H1873" s="740"/>
      <c r="I1873" s="739"/>
      <c r="J1873" s="741"/>
      <c r="K1873" s="982"/>
      <c r="L1873" s="743"/>
      <c r="M1873" s="546"/>
      <c r="N1873" s="871">
        <f>SUM(M1868:M1872)</f>
        <v>522.66666666666674</v>
      </c>
      <c r="O1873" s="872" t="s">
        <v>19</v>
      </c>
    </row>
    <row r="1874" spans="1:15" s="487" customFormat="1" ht="18" customHeight="1">
      <c r="A1874" s="548"/>
      <c r="B1874" s="727"/>
      <c r="C1874" s="557"/>
      <c r="D1874" s="550"/>
      <c r="E1874" s="728"/>
      <c r="F1874" s="552"/>
      <c r="G1874" s="553"/>
      <c r="H1874" s="730"/>
      <c r="I1874" s="729"/>
      <c r="J1874" s="731"/>
      <c r="K1874" s="986"/>
      <c r="L1874" s="555"/>
      <c r="M1874" s="555"/>
      <c r="N1874" s="1106"/>
      <c r="O1874" s="1105"/>
    </row>
    <row r="1875" spans="1:15" ht="18" hidden="1" customHeight="1">
      <c r="A1875" s="596">
        <v>21</v>
      </c>
      <c r="B1875" s="597" t="s">
        <v>113</v>
      </c>
      <c r="C1875" s="598"/>
      <c r="D1875" s="599"/>
      <c r="E1875" s="600"/>
      <c r="F1875" s="601"/>
      <c r="G1875" s="623"/>
      <c r="H1875" s="603"/>
      <c r="I1875" s="602"/>
      <c r="J1875" s="604"/>
      <c r="K1875" s="605"/>
      <c r="L1875" s="606"/>
      <c r="M1875" s="610"/>
      <c r="N1875" s="607"/>
      <c r="O1875" s="591" t="s">
        <v>19</v>
      </c>
    </row>
    <row r="1876" spans="1:15" ht="18" hidden="1" customHeight="1">
      <c r="A1876" s="474"/>
      <c r="B1876" s="668"/>
      <c r="C1876" s="488"/>
      <c r="D1876" s="489"/>
      <c r="E1876" s="589"/>
      <c r="F1876" s="491"/>
      <c r="G1876" s="496"/>
      <c r="H1876" s="493"/>
      <c r="I1876" s="492"/>
      <c r="J1876" s="608"/>
      <c r="K1876" s="590"/>
      <c r="L1876" s="474"/>
      <c r="M1876" s="475"/>
      <c r="N1876" s="476"/>
      <c r="O1876" s="591"/>
    </row>
    <row r="1877" spans="1:15" ht="18" hidden="1" customHeight="1">
      <c r="A1877" s="474"/>
      <c r="B1877" s="494" t="s">
        <v>89</v>
      </c>
      <c r="C1877" s="488"/>
      <c r="D1877" s="489"/>
      <c r="E1877" s="589"/>
      <c r="F1877" s="491"/>
      <c r="G1877" s="496"/>
      <c r="H1877" s="493"/>
      <c r="I1877" s="492"/>
      <c r="J1877" s="608"/>
      <c r="K1877" s="590"/>
      <c r="L1877" s="474"/>
      <c r="M1877" s="475"/>
      <c r="N1877" s="591"/>
      <c r="O1877" s="591"/>
    </row>
    <row r="1878" spans="1:15" ht="18" hidden="1" customHeight="1">
      <c r="A1878" s="474"/>
      <c r="B1878" s="642" t="s">
        <v>414</v>
      </c>
      <c r="C1878" s="488">
        <f>C1499</f>
        <v>1</v>
      </c>
      <c r="D1878" s="489" t="s">
        <v>87</v>
      </c>
      <c r="E1878" s="495">
        <f t="shared" ref="E1878:G1881" si="593">E1499</f>
        <v>1</v>
      </c>
      <c r="F1878" s="491">
        <f t="shared" si="593"/>
        <v>6</v>
      </c>
      <c r="G1878" s="496">
        <f t="shared" si="593"/>
        <v>0</v>
      </c>
      <c r="H1878" s="493"/>
      <c r="I1878" s="492"/>
      <c r="J1878" s="497">
        <f t="shared" ref="J1878:K1881" si="594">J1499</f>
        <v>8</v>
      </c>
      <c r="K1878" s="496">
        <f t="shared" si="594"/>
        <v>0</v>
      </c>
      <c r="L1878" s="475"/>
      <c r="M1878" s="475">
        <f t="shared" ref="M1878:M1881" si="595">IF(C1878=0,1,C1878)*IF(E1878=0,1,E1878)*IF((F1878+G1878/12)=0,1,(F1878+G1878/12))*IF((H1878+I1878/12)=0,1,(H1878+I1878/12))*IF((J1878+K1878/12)=0,1,(J1878+K1878/12))</f>
        <v>48</v>
      </c>
      <c r="N1878" s="591"/>
      <c r="O1878" s="591"/>
    </row>
    <row r="1879" spans="1:15" ht="18" hidden="1" customHeight="1">
      <c r="A1879" s="474"/>
      <c r="B1879" s="642" t="s">
        <v>415</v>
      </c>
      <c r="C1879" s="488">
        <f>C1500</f>
        <v>2</v>
      </c>
      <c r="D1879" s="489" t="s">
        <v>87</v>
      </c>
      <c r="E1879" s="495">
        <f t="shared" si="593"/>
        <v>1</v>
      </c>
      <c r="F1879" s="491">
        <f t="shared" si="593"/>
        <v>3</v>
      </c>
      <c r="G1879" s="496">
        <f t="shared" si="593"/>
        <v>3</v>
      </c>
      <c r="H1879" s="493"/>
      <c r="I1879" s="492"/>
      <c r="J1879" s="497">
        <f t="shared" si="594"/>
        <v>7</v>
      </c>
      <c r="K1879" s="496">
        <f t="shared" si="594"/>
        <v>2</v>
      </c>
      <c r="L1879" s="475"/>
      <c r="M1879" s="475">
        <f t="shared" si="595"/>
        <v>46.583333333333336</v>
      </c>
      <c r="N1879" s="591"/>
      <c r="O1879" s="591"/>
    </row>
    <row r="1880" spans="1:15" ht="18" hidden="1" customHeight="1">
      <c r="A1880" s="474"/>
      <c r="B1880" s="642" t="s">
        <v>416</v>
      </c>
      <c r="C1880" s="488">
        <f>C1501</f>
        <v>2</v>
      </c>
      <c r="D1880" s="489" t="s">
        <v>87</v>
      </c>
      <c r="E1880" s="495">
        <f t="shared" si="593"/>
        <v>1</v>
      </c>
      <c r="F1880" s="491">
        <f t="shared" si="593"/>
        <v>3</v>
      </c>
      <c r="G1880" s="496">
        <f t="shared" si="593"/>
        <v>3</v>
      </c>
      <c r="H1880" s="493"/>
      <c r="I1880" s="492"/>
      <c r="J1880" s="497">
        <f t="shared" si="594"/>
        <v>7</v>
      </c>
      <c r="K1880" s="496">
        <f t="shared" si="594"/>
        <v>2</v>
      </c>
      <c r="L1880" s="475"/>
      <c r="M1880" s="475">
        <f t="shared" si="595"/>
        <v>46.583333333333336</v>
      </c>
      <c r="N1880" s="591"/>
      <c r="O1880" s="591"/>
    </row>
    <row r="1881" spans="1:15" ht="18" hidden="1" customHeight="1">
      <c r="A1881" s="474"/>
      <c r="B1881" s="642" t="s">
        <v>417</v>
      </c>
      <c r="C1881" s="488">
        <f>C1502</f>
        <v>1</v>
      </c>
      <c r="D1881" s="489" t="s">
        <v>87</v>
      </c>
      <c r="E1881" s="495">
        <f t="shared" si="593"/>
        <v>1</v>
      </c>
      <c r="F1881" s="491">
        <f t="shared" si="593"/>
        <v>3</v>
      </c>
      <c r="G1881" s="496">
        <f t="shared" si="593"/>
        <v>3</v>
      </c>
      <c r="H1881" s="493"/>
      <c r="I1881" s="492"/>
      <c r="J1881" s="497">
        <f t="shared" si="594"/>
        <v>7</v>
      </c>
      <c r="K1881" s="496">
        <f t="shared" si="594"/>
        <v>2</v>
      </c>
      <c r="L1881" s="475"/>
      <c r="M1881" s="475">
        <f t="shared" si="595"/>
        <v>23.291666666666668</v>
      </c>
      <c r="N1881" s="591"/>
      <c r="O1881" s="591"/>
    </row>
    <row r="1882" spans="1:15" ht="18" hidden="1" customHeight="1">
      <c r="A1882" s="474"/>
      <c r="B1882" s="680"/>
      <c r="C1882" s="488"/>
      <c r="D1882" s="489"/>
      <c r="E1882" s="495">
        <f>C1878*E1878+C1879*E1879+C1880*E1880+C1881*E1881</f>
        <v>6</v>
      </c>
      <c r="F1882" s="491"/>
      <c r="G1882" s="496"/>
      <c r="H1882" s="493"/>
      <c r="I1882" s="492"/>
      <c r="J1882" s="497"/>
      <c r="K1882" s="496"/>
      <c r="L1882" s="475"/>
      <c r="M1882" s="573"/>
      <c r="N1882" s="591"/>
      <c r="O1882" s="591"/>
    </row>
    <row r="1883" spans="1:15" ht="18" hidden="1" customHeight="1">
      <c r="A1883" s="474"/>
      <c r="B1883" s="494" t="s">
        <v>110</v>
      </c>
      <c r="C1883" s="488"/>
      <c r="D1883" s="489"/>
      <c r="E1883" s="589"/>
      <c r="F1883" s="491"/>
      <c r="G1883" s="496"/>
      <c r="H1883" s="493"/>
      <c r="I1883" s="492"/>
      <c r="J1883" s="497"/>
      <c r="K1883" s="496"/>
      <c r="L1883" s="475"/>
      <c r="M1883" s="573"/>
      <c r="N1883" s="591"/>
      <c r="O1883" s="591"/>
    </row>
    <row r="1884" spans="1:15" ht="18" hidden="1" customHeight="1">
      <c r="A1884" s="474"/>
      <c r="B1884" s="642" t="s">
        <v>415</v>
      </c>
      <c r="C1884" s="488">
        <f>C1528</f>
        <v>3</v>
      </c>
      <c r="D1884" s="489" t="s">
        <v>87</v>
      </c>
      <c r="E1884" s="495">
        <f t="shared" ref="E1884:G1885" si="596">E1528</f>
        <v>1</v>
      </c>
      <c r="F1884" s="491">
        <f t="shared" si="596"/>
        <v>3</v>
      </c>
      <c r="G1884" s="496">
        <f t="shared" si="596"/>
        <v>3</v>
      </c>
      <c r="H1884" s="493"/>
      <c r="I1884" s="492"/>
      <c r="J1884" s="497">
        <f>J1528</f>
        <v>7</v>
      </c>
      <c r="K1884" s="496">
        <f>K1528</f>
        <v>2</v>
      </c>
      <c r="L1884" s="475"/>
      <c r="M1884" s="475">
        <f t="shared" ref="M1884:M1885" si="597">IF(C1884=0,1,C1884)*IF(E1884=0,1,E1884)*IF((F1884+G1884/12)=0,1,(F1884+G1884/12))*IF((H1884+I1884/12)=0,1,(H1884+I1884/12))*IF((J1884+K1884/12)=0,1,(J1884+K1884/12))</f>
        <v>69.875</v>
      </c>
      <c r="N1884" s="591"/>
      <c r="O1884" s="591"/>
    </row>
    <row r="1885" spans="1:15" ht="18" hidden="1" customHeight="1">
      <c r="A1885" s="474"/>
      <c r="B1885" s="642" t="s">
        <v>416</v>
      </c>
      <c r="C1885" s="488">
        <f>C1529</f>
        <v>2</v>
      </c>
      <c r="D1885" s="489" t="s">
        <v>87</v>
      </c>
      <c r="E1885" s="495">
        <f t="shared" si="596"/>
        <v>1</v>
      </c>
      <c r="F1885" s="491">
        <f t="shared" si="596"/>
        <v>3</v>
      </c>
      <c r="G1885" s="496">
        <f t="shared" si="596"/>
        <v>3</v>
      </c>
      <c r="H1885" s="493"/>
      <c r="I1885" s="492"/>
      <c r="J1885" s="497">
        <f>J1529</f>
        <v>7</v>
      </c>
      <c r="K1885" s="496">
        <f>K1529</f>
        <v>2</v>
      </c>
      <c r="L1885" s="475"/>
      <c r="M1885" s="475">
        <f t="shared" si="597"/>
        <v>46.583333333333336</v>
      </c>
      <c r="N1885" s="591"/>
      <c r="O1885" s="591"/>
    </row>
    <row r="1886" spans="1:15" ht="18" hidden="1" customHeight="1">
      <c r="A1886" s="474"/>
      <c r="B1886" s="680"/>
      <c r="C1886" s="488"/>
      <c r="D1886" s="489"/>
      <c r="E1886" s="495">
        <f>C1884*E1884+C1885*E1885</f>
        <v>5</v>
      </c>
      <c r="F1886" s="491"/>
      <c r="G1886" s="496"/>
      <c r="H1886" s="493"/>
      <c r="I1886" s="492"/>
      <c r="J1886" s="497"/>
      <c r="K1886" s="496"/>
      <c r="L1886" s="475"/>
      <c r="M1886" s="573"/>
      <c r="N1886" s="591"/>
      <c r="O1886" s="591"/>
    </row>
    <row r="1887" spans="1:15" ht="18" hidden="1" customHeight="1">
      <c r="A1887" s="474"/>
      <c r="B1887" s="494" t="s">
        <v>457</v>
      </c>
      <c r="C1887" s="488"/>
      <c r="D1887" s="489"/>
      <c r="E1887" s="495"/>
      <c r="F1887" s="491"/>
      <c r="G1887" s="496"/>
      <c r="H1887" s="493"/>
      <c r="I1887" s="492"/>
      <c r="J1887" s="497"/>
      <c r="K1887" s="496"/>
      <c r="L1887" s="475"/>
      <c r="M1887" s="573"/>
      <c r="N1887" s="591"/>
      <c r="O1887" s="591"/>
    </row>
    <row r="1888" spans="1:15" ht="18" hidden="1" customHeight="1">
      <c r="A1888" s="474"/>
      <c r="B1888" s="642" t="s">
        <v>415</v>
      </c>
      <c r="C1888" s="488">
        <f>C1554</f>
        <v>2</v>
      </c>
      <c r="D1888" s="489" t="s">
        <v>87</v>
      </c>
      <c r="E1888" s="495">
        <f t="shared" ref="E1888:G1890" si="598">E1554</f>
        <v>1</v>
      </c>
      <c r="F1888" s="491">
        <f t="shared" si="598"/>
        <v>3</v>
      </c>
      <c r="G1888" s="496">
        <f t="shared" si="598"/>
        <v>3</v>
      </c>
      <c r="H1888" s="493"/>
      <c r="I1888" s="492"/>
      <c r="J1888" s="497">
        <f t="shared" ref="J1888:K1890" si="599">J1554</f>
        <v>7</v>
      </c>
      <c r="K1888" s="496">
        <f t="shared" si="599"/>
        <v>2</v>
      </c>
      <c r="L1888" s="475"/>
      <c r="M1888" s="475">
        <f t="shared" ref="M1888:M1890" si="600">IF(C1888=0,1,C1888)*IF(E1888=0,1,E1888)*IF((F1888+G1888/12)=0,1,(F1888+G1888/12))*IF((H1888+I1888/12)=0,1,(H1888+I1888/12))*IF((J1888+K1888/12)=0,1,(J1888+K1888/12))</f>
        <v>46.583333333333336</v>
      </c>
      <c r="N1888" s="591"/>
      <c r="O1888" s="591"/>
    </row>
    <row r="1889" spans="1:15" ht="18" hidden="1" customHeight="1">
      <c r="A1889" s="474"/>
      <c r="B1889" s="642" t="s">
        <v>416</v>
      </c>
      <c r="C1889" s="488">
        <f>C1555</f>
        <v>1</v>
      </c>
      <c r="D1889" s="489" t="s">
        <v>87</v>
      </c>
      <c r="E1889" s="495">
        <f t="shared" si="598"/>
        <v>1</v>
      </c>
      <c r="F1889" s="491">
        <f t="shared" si="598"/>
        <v>3</v>
      </c>
      <c r="G1889" s="496">
        <f t="shared" si="598"/>
        <v>3</v>
      </c>
      <c r="H1889" s="493"/>
      <c r="I1889" s="492"/>
      <c r="J1889" s="497">
        <f t="shared" si="599"/>
        <v>7</v>
      </c>
      <c r="K1889" s="496">
        <f t="shared" si="599"/>
        <v>2</v>
      </c>
      <c r="L1889" s="475"/>
      <c r="M1889" s="475">
        <f t="shared" si="600"/>
        <v>23.291666666666668</v>
      </c>
      <c r="N1889" s="591"/>
      <c r="O1889" s="591"/>
    </row>
    <row r="1890" spans="1:15" ht="18" hidden="1" customHeight="1">
      <c r="A1890" s="474"/>
      <c r="B1890" s="642" t="s">
        <v>417</v>
      </c>
      <c r="C1890" s="488">
        <f>C1556</f>
        <v>1</v>
      </c>
      <c r="D1890" s="489" t="s">
        <v>87</v>
      </c>
      <c r="E1890" s="495">
        <f t="shared" si="598"/>
        <v>1</v>
      </c>
      <c r="F1890" s="491">
        <f t="shared" si="598"/>
        <v>3</v>
      </c>
      <c r="G1890" s="496">
        <f t="shared" si="598"/>
        <v>3</v>
      </c>
      <c r="H1890" s="493"/>
      <c r="I1890" s="492"/>
      <c r="J1890" s="497">
        <f t="shared" si="599"/>
        <v>7</v>
      </c>
      <c r="K1890" s="496">
        <f t="shared" si="599"/>
        <v>2</v>
      </c>
      <c r="L1890" s="475"/>
      <c r="M1890" s="475">
        <f t="shared" si="600"/>
        <v>23.291666666666668</v>
      </c>
      <c r="N1890" s="591"/>
      <c r="O1890" s="591"/>
    </row>
    <row r="1891" spans="1:15" ht="18" hidden="1" customHeight="1">
      <c r="A1891" s="474"/>
      <c r="B1891" s="680"/>
      <c r="C1891" s="488"/>
      <c r="D1891" s="489"/>
      <c r="E1891" s="495">
        <f>C1888*E1888+C1889*E1889+C1890*E1890</f>
        <v>4</v>
      </c>
      <c r="F1891" s="491"/>
      <c r="G1891" s="496"/>
      <c r="H1891" s="493"/>
      <c r="I1891" s="492"/>
      <c r="J1891" s="497"/>
      <c r="K1891" s="496"/>
      <c r="L1891" s="475"/>
      <c r="M1891" s="573"/>
      <c r="N1891" s="475">
        <f>SUM(M1878:M1890)</f>
        <v>374.08333333333337</v>
      </c>
      <c r="O1891" s="474" t="s">
        <v>19</v>
      </c>
    </row>
    <row r="1892" spans="1:15" ht="18" hidden="1" customHeight="1">
      <c r="A1892" s="619"/>
      <c r="B1892" s="681"/>
      <c r="C1892" s="563"/>
      <c r="D1892" s="564"/>
      <c r="E1892" s="593"/>
      <c r="F1892" s="565"/>
      <c r="G1892" s="620"/>
      <c r="H1892" s="567"/>
      <c r="I1892" s="566"/>
      <c r="J1892" s="682"/>
      <c r="K1892" s="621"/>
      <c r="L1892" s="619"/>
      <c r="M1892" s="544"/>
      <c r="N1892" s="619"/>
      <c r="O1892" s="619"/>
    </row>
    <row r="1893" spans="1:15" ht="18" hidden="1" customHeight="1">
      <c r="A1893" s="596">
        <v>22</v>
      </c>
      <c r="B1893" s="597" t="s">
        <v>551</v>
      </c>
      <c r="C1893" s="488"/>
      <c r="D1893" s="489"/>
      <c r="E1893" s="495"/>
      <c r="F1893" s="491"/>
      <c r="G1893" s="496"/>
      <c r="H1893" s="491"/>
      <c r="I1893" s="496"/>
      <c r="J1893" s="497"/>
      <c r="K1893" s="496"/>
      <c r="L1893" s="475"/>
      <c r="M1893" s="475"/>
      <c r="N1893" s="607"/>
      <c r="O1893" s="591" t="s">
        <v>19</v>
      </c>
    </row>
    <row r="1894" spans="1:15" ht="18" hidden="1" customHeight="1">
      <c r="A1894" s="596"/>
      <c r="B1894" s="597" t="s">
        <v>234</v>
      </c>
      <c r="C1894" s="488"/>
      <c r="D1894" s="489"/>
      <c r="E1894" s="495"/>
      <c r="F1894" s="491"/>
      <c r="G1894" s="496"/>
      <c r="H1894" s="491"/>
      <c r="I1894" s="496"/>
      <c r="J1894" s="497"/>
      <c r="K1894" s="496"/>
      <c r="L1894" s="475"/>
      <c r="M1894" s="475"/>
      <c r="N1894" s="591"/>
      <c r="O1894" s="591"/>
    </row>
    <row r="1895" spans="1:15" ht="18" hidden="1" customHeight="1">
      <c r="A1895" s="474"/>
      <c r="B1895" s="473" t="s">
        <v>89</v>
      </c>
      <c r="C1895" s="488"/>
      <c r="D1895" s="489"/>
      <c r="E1895" s="495"/>
      <c r="F1895" s="491"/>
      <c r="G1895" s="496"/>
      <c r="H1895" s="491"/>
      <c r="I1895" s="496"/>
      <c r="J1895" s="497"/>
      <c r="K1895" s="496"/>
      <c r="L1895" s="475"/>
      <c r="M1895" s="475"/>
      <c r="N1895" s="591"/>
      <c r="O1895" s="591"/>
    </row>
    <row r="1896" spans="1:15" ht="18" hidden="1" customHeight="1">
      <c r="A1896" s="474"/>
      <c r="B1896" s="642" t="s">
        <v>418</v>
      </c>
      <c r="C1896" s="488">
        <f t="shared" ref="C1896:C1901" si="601">C1503</f>
        <v>1</v>
      </c>
      <c r="D1896" s="489" t="s">
        <v>87</v>
      </c>
      <c r="E1896" s="495">
        <f t="shared" ref="E1896:G1901" si="602">E1503</f>
        <v>1</v>
      </c>
      <c r="F1896" s="491">
        <f t="shared" si="602"/>
        <v>2</v>
      </c>
      <c r="G1896" s="496">
        <f t="shared" si="602"/>
        <v>2</v>
      </c>
      <c r="H1896" s="491"/>
      <c r="I1896" s="496"/>
      <c r="J1896" s="497">
        <f t="shared" ref="J1896:K1901" si="603">J1503</f>
        <v>5</v>
      </c>
      <c r="K1896" s="496">
        <f t="shared" si="603"/>
        <v>0</v>
      </c>
      <c r="L1896" s="475"/>
      <c r="M1896" s="475">
        <f t="shared" ref="M1896:M1901" si="604">IF(C1896=0,1,C1896)*IF(E1896=0,1,E1896)*IF((F1896+G1896/12)=0,1,(F1896+G1896/12))*IF((H1896+I1896/12)=0,1,(H1896+I1896/12))*IF((J1896+K1896/12)=0,1,(J1896+K1896/12))</f>
        <v>10.833333333333332</v>
      </c>
      <c r="N1896" s="591"/>
      <c r="O1896" s="591"/>
    </row>
    <row r="1897" spans="1:15" ht="18" hidden="1" customHeight="1">
      <c r="A1897" s="474"/>
      <c r="B1897" s="642" t="s">
        <v>419</v>
      </c>
      <c r="C1897" s="488">
        <f t="shared" si="601"/>
        <v>5</v>
      </c>
      <c r="D1897" s="489" t="s">
        <v>87</v>
      </c>
      <c r="E1897" s="495">
        <f t="shared" si="602"/>
        <v>1</v>
      </c>
      <c r="F1897" s="491">
        <f t="shared" si="602"/>
        <v>6</v>
      </c>
      <c r="G1897" s="496">
        <f t="shared" si="602"/>
        <v>2</v>
      </c>
      <c r="H1897" s="491"/>
      <c r="I1897" s="496"/>
      <c r="J1897" s="497">
        <f t="shared" si="603"/>
        <v>5</v>
      </c>
      <c r="K1897" s="496">
        <f t="shared" si="603"/>
        <v>0</v>
      </c>
      <c r="L1897" s="475"/>
      <c r="M1897" s="475">
        <f t="shared" si="604"/>
        <v>154.16666666666669</v>
      </c>
      <c r="N1897" s="591"/>
      <c r="O1897" s="591"/>
    </row>
    <row r="1898" spans="1:15" ht="18" hidden="1" customHeight="1">
      <c r="A1898" s="474"/>
      <c r="B1898" s="642" t="s">
        <v>420</v>
      </c>
      <c r="C1898" s="488">
        <f t="shared" si="601"/>
        <v>2</v>
      </c>
      <c r="D1898" s="489" t="s">
        <v>87</v>
      </c>
      <c r="E1898" s="495">
        <f t="shared" si="602"/>
        <v>1</v>
      </c>
      <c r="F1898" s="491">
        <f t="shared" si="602"/>
        <v>6</v>
      </c>
      <c r="G1898" s="496">
        <f t="shared" si="602"/>
        <v>0</v>
      </c>
      <c r="H1898" s="491"/>
      <c r="I1898" s="496"/>
      <c r="J1898" s="497">
        <f t="shared" si="603"/>
        <v>6</v>
      </c>
      <c r="K1898" s="496">
        <f t="shared" si="603"/>
        <v>0</v>
      </c>
      <c r="L1898" s="475"/>
      <c r="M1898" s="475">
        <f t="shared" si="604"/>
        <v>72</v>
      </c>
      <c r="N1898" s="591"/>
      <c r="O1898" s="591"/>
    </row>
    <row r="1899" spans="1:15" ht="18" hidden="1" customHeight="1">
      <c r="A1899" s="474"/>
      <c r="B1899" s="642" t="s">
        <v>421</v>
      </c>
      <c r="C1899" s="488">
        <f t="shared" si="601"/>
        <v>2</v>
      </c>
      <c r="D1899" s="489" t="s">
        <v>87</v>
      </c>
      <c r="E1899" s="495">
        <f t="shared" si="602"/>
        <v>1</v>
      </c>
      <c r="F1899" s="491">
        <f t="shared" si="602"/>
        <v>2</v>
      </c>
      <c r="G1899" s="496">
        <f t="shared" si="602"/>
        <v>0</v>
      </c>
      <c r="H1899" s="491"/>
      <c r="I1899" s="496"/>
      <c r="J1899" s="497">
        <f t="shared" si="603"/>
        <v>2</v>
      </c>
      <c r="K1899" s="496">
        <f t="shared" si="603"/>
        <v>0</v>
      </c>
      <c r="L1899" s="475"/>
      <c r="M1899" s="475">
        <f t="shared" si="604"/>
        <v>8</v>
      </c>
      <c r="N1899" s="591"/>
      <c r="O1899" s="591"/>
    </row>
    <row r="1900" spans="1:15" ht="18" hidden="1" customHeight="1">
      <c r="A1900" s="474"/>
      <c r="B1900" s="642" t="s">
        <v>422</v>
      </c>
      <c r="C1900" s="488">
        <f t="shared" si="601"/>
        <v>1</v>
      </c>
      <c r="D1900" s="489" t="s">
        <v>87</v>
      </c>
      <c r="E1900" s="495">
        <f t="shared" si="602"/>
        <v>1</v>
      </c>
      <c r="F1900" s="491">
        <f t="shared" si="602"/>
        <v>3</v>
      </c>
      <c r="G1900" s="496">
        <f t="shared" si="602"/>
        <v>0</v>
      </c>
      <c r="H1900" s="491"/>
      <c r="I1900" s="496"/>
      <c r="J1900" s="497">
        <f t="shared" si="603"/>
        <v>2</v>
      </c>
      <c r="K1900" s="496">
        <f t="shared" si="603"/>
        <v>0</v>
      </c>
      <c r="L1900" s="475"/>
      <c r="M1900" s="475">
        <f t="shared" si="604"/>
        <v>6</v>
      </c>
      <c r="N1900" s="591"/>
      <c r="O1900" s="591"/>
    </row>
    <row r="1901" spans="1:15" ht="18" hidden="1" customHeight="1">
      <c r="A1901" s="474"/>
      <c r="B1901" s="642" t="s">
        <v>423</v>
      </c>
      <c r="C1901" s="488">
        <f t="shared" si="601"/>
        <v>1</v>
      </c>
      <c r="D1901" s="489" t="s">
        <v>87</v>
      </c>
      <c r="E1901" s="495">
        <f t="shared" si="602"/>
        <v>1</v>
      </c>
      <c r="F1901" s="491">
        <f t="shared" si="602"/>
        <v>7</v>
      </c>
      <c r="G1901" s="496">
        <f t="shared" si="602"/>
        <v>0</v>
      </c>
      <c r="H1901" s="491"/>
      <c r="I1901" s="496"/>
      <c r="J1901" s="497">
        <f t="shared" si="603"/>
        <v>2</v>
      </c>
      <c r="K1901" s="496">
        <f t="shared" si="603"/>
        <v>10</v>
      </c>
      <c r="L1901" s="475"/>
      <c r="M1901" s="475">
        <f t="shared" si="604"/>
        <v>19.833333333333336</v>
      </c>
      <c r="N1901" s="591"/>
      <c r="O1901" s="591"/>
    </row>
    <row r="1902" spans="1:15" ht="18" hidden="1" customHeight="1">
      <c r="A1902" s="474"/>
      <c r="B1902" s="680"/>
      <c r="C1902" s="488"/>
      <c r="D1902" s="489"/>
      <c r="E1902" s="495">
        <f>C1896*E1896+C1897*E1897+C1898*E1898+C1899*E1899+C1900*E1900+C1901*E1901</f>
        <v>12</v>
      </c>
      <c r="F1902" s="491"/>
      <c r="G1902" s="496"/>
      <c r="H1902" s="491"/>
      <c r="I1902" s="496"/>
      <c r="J1902" s="497"/>
      <c r="K1902" s="496"/>
      <c r="L1902" s="475"/>
      <c r="M1902" s="475"/>
      <c r="N1902" s="611">
        <f>SUM(M1896:M1901)</f>
        <v>270.83333333333337</v>
      </c>
      <c r="O1902" s="612" t="s">
        <v>19</v>
      </c>
    </row>
    <row r="1903" spans="1:15" ht="18" hidden="1" customHeight="1">
      <c r="A1903" s="474"/>
      <c r="B1903" s="473" t="s">
        <v>233</v>
      </c>
      <c r="C1903" s="488"/>
      <c r="D1903" s="489"/>
      <c r="E1903" s="495"/>
      <c r="F1903" s="491"/>
      <c r="G1903" s="496"/>
      <c r="H1903" s="491"/>
      <c r="I1903" s="496"/>
      <c r="J1903" s="497"/>
      <c r="K1903" s="496"/>
      <c r="L1903" s="475"/>
      <c r="M1903" s="475"/>
      <c r="N1903" s="591"/>
      <c r="O1903" s="591"/>
    </row>
    <row r="1904" spans="1:15" ht="18" hidden="1" customHeight="1">
      <c r="A1904" s="474"/>
      <c r="B1904" s="642" t="s">
        <v>424</v>
      </c>
      <c r="C1904" s="488">
        <f t="shared" ref="C1904:C1911" si="605">C1530</f>
        <v>1</v>
      </c>
      <c r="D1904" s="489" t="s">
        <v>87</v>
      </c>
      <c r="E1904" s="495">
        <f t="shared" ref="E1904:G1911" si="606">E1530</f>
        <v>1</v>
      </c>
      <c r="F1904" s="491">
        <f t="shared" si="606"/>
        <v>7</v>
      </c>
      <c r="G1904" s="496">
        <f t="shared" si="606"/>
        <v>6</v>
      </c>
      <c r="H1904" s="491"/>
      <c r="I1904" s="496"/>
      <c r="J1904" s="497">
        <f t="shared" ref="J1904:K1911" si="607">J1530</f>
        <v>9</v>
      </c>
      <c r="K1904" s="496">
        <f t="shared" si="607"/>
        <v>6</v>
      </c>
      <c r="L1904" s="475"/>
      <c r="M1904" s="475">
        <f t="shared" ref="M1904:M1911" si="608">IF(C1904=0,1,C1904)*IF(E1904=0,1,E1904)*IF((F1904+G1904/12)=0,1,(F1904+G1904/12))*IF((H1904+I1904/12)=0,1,(H1904+I1904/12))*IF((J1904+K1904/12)=0,1,(J1904+K1904/12))</f>
        <v>71.25</v>
      </c>
      <c r="N1904" s="591"/>
      <c r="O1904" s="591"/>
    </row>
    <row r="1905" spans="1:15" ht="18" hidden="1" customHeight="1">
      <c r="A1905" s="474"/>
      <c r="B1905" s="642" t="s">
        <v>418</v>
      </c>
      <c r="C1905" s="488">
        <f t="shared" si="605"/>
        <v>1</v>
      </c>
      <c r="D1905" s="489" t="s">
        <v>87</v>
      </c>
      <c r="E1905" s="495">
        <f t="shared" si="606"/>
        <v>1</v>
      </c>
      <c r="F1905" s="491">
        <f t="shared" si="606"/>
        <v>2</v>
      </c>
      <c r="G1905" s="496">
        <f t="shared" si="606"/>
        <v>2</v>
      </c>
      <c r="H1905" s="491"/>
      <c r="I1905" s="496"/>
      <c r="J1905" s="497">
        <f t="shared" si="607"/>
        <v>5</v>
      </c>
      <c r="K1905" s="496">
        <f t="shared" si="607"/>
        <v>0</v>
      </c>
      <c r="L1905" s="475"/>
      <c r="M1905" s="475">
        <f t="shared" si="608"/>
        <v>10.833333333333332</v>
      </c>
      <c r="N1905" s="591"/>
      <c r="O1905" s="591"/>
    </row>
    <row r="1906" spans="1:15" ht="18" hidden="1" customHeight="1">
      <c r="A1906" s="474"/>
      <c r="B1906" s="642" t="s">
        <v>426</v>
      </c>
      <c r="C1906" s="488">
        <f t="shared" si="605"/>
        <v>1</v>
      </c>
      <c r="D1906" s="489" t="s">
        <v>87</v>
      </c>
      <c r="E1906" s="495">
        <f t="shared" si="606"/>
        <v>1</v>
      </c>
      <c r="F1906" s="491">
        <f t="shared" si="606"/>
        <v>4</v>
      </c>
      <c r="G1906" s="496">
        <f t="shared" si="606"/>
        <v>2</v>
      </c>
      <c r="H1906" s="491"/>
      <c r="I1906" s="496"/>
      <c r="J1906" s="497">
        <f t="shared" si="607"/>
        <v>5</v>
      </c>
      <c r="K1906" s="496">
        <f t="shared" si="607"/>
        <v>0</v>
      </c>
      <c r="L1906" s="475"/>
      <c r="M1906" s="475">
        <f t="shared" si="608"/>
        <v>20.833333333333336</v>
      </c>
      <c r="N1906" s="591"/>
      <c r="O1906" s="591"/>
    </row>
    <row r="1907" spans="1:15" ht="18" hidden="1" customHeight="1">
      <c r="A1907" s="474"/>
      <c r="B1907" s="642" t="s">
        <v>419</v>
      </c>
      <c r="C1907" s="488">
        <f t="shared" si="605"/>
        <v>4</v>
      </c>
      <c r="D1907" s="489" t="s">
        <v>87</v>
      </c>
      <c r="E1907" s="495">
        <f t="shared" si="606"/>
        <v>1</v>
      </c>
      <c r="F1907" s="491">
        <f t="shared" si="606"/>
        <v>6</v>
      </c>
      <c r="G1907" s="496">
        <f t="shared" si="606"/>
        <v>2</v>
      </c>
      <c r="H1907" s="491"/>
      <c r="I1907" s="496"/>
      <c r="J1907" s="497">
        <f t="shared" si="607"/>
        <v>5</v>
      </c>
      <c r="K1907" s="496">
        <f t="shared" si="607"/>
        <v>0</v>
      </c>
      <c r="L1907" s="475"/>
      <c r="M1907" s="475">
        <f t="shared" si="608"/>
        <v>123.33333333333334</v>
      </c>
      <c r="N1907" s="591"/>
      <c r="O1907" s="591"/>
    </row>
    <row r="1908" spans="1:15" ht="18" hidden="1" customHeight="1">
      <c r="A1908" s="474"/>
      <c r="B1908" s="642" t="s">
        <v>420</v>
      </c>
      <c r="C1908" s="488">
        <f t="shared" si="605"/>
        <v>1</v>
      </c>
      <c r="D1908" s="489" t="s">
        <v>87</v>
      </c>
      <c r="E1908" s="495">
        <f t="shared" si="606"/>
        <v>1</v>
      </c>
      <c r="F1908" s="491">
        <f t="shared" si="606"/>
        <v>6</v>
      </c>
      <c r="G1908" s="496">
        <f t="shared" si="606"/>
        <v>0</v>
      </c>
      <c r="H1908" s="491"/>
      <c r="I1908" s="496"/>
      <c r="J1908" s="497">
        <f t="shared" si="607"/>
        <v>6</v>
      </c>
      <c r="K1908" s="496">
        <f t="shared" si="607"/>
        <v>0</v>
      </c>
      <c r="L1908" s="475"/>
      <c r="M1908" s="475">
        <f t="shared" si="608"/>
        <v>36</v>
      </c>
      <c r="N1908" s="591"/>
      <c r="O1908" s="591"/>
    </row>
    <row r="1909" spans="1:15" ht="18" hidden="1" customHeight="1">
      <c r="A1909" s="474"/>
      <c r="B1909" s="642" t="s">
        <v>422</v>
      </c>
      <c r="C1909" s="488">
        <f t="shared" si="605"/>
        <v>2</v>
      </c>
      <c r="D1909" s="489" t="s">
        <v>87</v>
      </c>
      <c r="E1909" s="495">
        <f t="shared" si="606"/>
        <v>1</v>
      </c>
      <c r="F1909" s="491">
        <f t="shared" si="606"/>
        <v>3</v>
      </c>
      <c r="G1909" s="496">
        <f t="shared" si="606"/>
        <v>0</v>
      </c>
      <c r="H1909" s="491"/>
      <c r="I1909" s="496"/>
      <c r="J1909" s="497">
        <f t="shared" si="607"/>
        <v>2</v>
      </c>
      <c r="K1909" s="496">
        <f t="shared" si="607"/>
        <v>0</v>
      </c>
      <c r="L1909" s="475"/>
      <c r="M1909" s="475">
        <f t="shared" si="608"/>
        <v>12</v>
      </c>
      <c r="N1909" s="591"/>
      <c r="O1909" s="591"/>
    </row>
    <row r="1910" spans="1:15" ht="18" hidden="1" customHeight="1">
      <c r="A1910" s="474"/>
      <c r="B1910" s="642" t="s">
        <v>425</v>
      </c>
      <c r="C1910" s="488">
        <f t="shared" si="605"/>
        <v>2</v>
      </c>
      <c r="D1910" s="489" t="s">
        <v>87</v>
      </c>
      <c r="E1910" s="495">
        <f t="shared" si="606"/>
        <v>1</v>
      </c>
      <c r="F1910" s="491">
        <f t="shared" si="606"/>
        <v>2</v>
      </c>
      <c r="G1910" s="496">
        <f t="shared" si="606"/>
        <v>0</v>
      </c>
      <c r="H1910" s="491"/>
      <c r="I1910" s="496"/>
      <c r="J1910" s="497">
        <f t="shared" si="607"/>
        <v>7</v>
      </c>
      <c r="K1910" s="496">
        <f t="shared" si="607"/>
        <v>0</v>
      </c>
      <c r="L1910" s="475"/>
      <c r="M1910" s="475">
        <f t="shared" si="608"/>
        <v>28</v>
      </c>
      <c r="N1910" s="591"/>
      <c r="O1910" s="591"/>
    </row>
    <row r="1911" spans="1:15" ht="18" hidden="1" customHeight="1">
      <c r="A1911" s="474"/>
      <c r="B1911" s="642" t="s">
        <v>423</v>
      </c>
      <c r="C1911" s="488">
        <f t="shared" si="605"/>
        <v>2</v>
      </c>
      <c r="D1911" s="489" t="s">
        <v>87</v>
      </c>
      <c r="E1911" s="495">
        <f t="shared" si="606"/>
        <v>1</v>
      </c>
      <c r="F1911" s="491">
        <f t="shared" si="606"/>
        <v>7</v>
      </c>
      <c r="G1911" s="496">
        <f t="shared" si="606"/>
        <v>0</v>
      </c>
      <c r="H1911" s="491"/>
      <c r="I1911" s="496"/>
      <c r="J1911" s="497">
        <f t="shared" si="607"/>
        <v>2</v>
      </c>
      <c r="K1911" s="496">
        <f t="shared" si="607"/>
        <v>10</v>
      </c>
      <c r="L1911" s="475"/>
      <c r="M1911" s="475">
        <f t="shared" si="608"/>
        <v>39.666666666666671</v>
      </c>
      <c r="N1911" s="591"/>
      <c r="O1911" s="591"/>
    </row>
    <row r="1912" spans="1:15" ht="18" hidden="1" customHeight="1">
      <c r="A1912" s="474"/>
      <c r="B1912" s="680"/>
      <c r="C1912" s="488"/>
      <c r="D1912" s="489"/>
      <c r="E1912" s="495">
        <f>C1904*E1904+C1905*E1905+C1906*E1906+C1907*E1907+C1908*E1908+C1909*E1909+C1910*E1910+C1911*E1911</f>
        <v>14</v>
      </c>
      <c r="F1912" s="491"/>
      <c r="G1912" s="496"/>
      <c r="H1912" s="491"/>
      <c r="I1912" s="496"/>
      <c r="J1912" s="497"/>
      <c r="K1912" s="496"/>
      <c r="L1912" s="475"/>
      <c r="M1912" s="475"/>
      <c r="N1912" s="611">
        <f>SUM(M1904:M1911)</f>
        <v>341.91666666666669</v>
      </c>
      <c r="O1912" s="612" t="s">
        <v>19</v>
      </c>
    </row>
    <row r="1913" spans="1:15" ht="18" hidden="1" customHeight="1">
      <c r="A1913" s="474"/>
      <c r="B1913" s="473" t="s">
        <v>626</v>
      </c>
      <c r="C1913" s="488"/>
      <c r="D1913" s="489"/>
      <c r="E1913" s="495"/>
      <c r="F1913" s="491"/>
      <c r="G1913" s="496"/>
      <c r="H1913" s="491"/>
      <c r="I1913" s="496"/>
      <c r="J1913" s="497"/>
      <c r="K1913" s="496"/>
      <c r="L1913" s="475"/>
      <c r="M1913" s="475"/>
      <c r="N1913" s="591"/>
      <c r="O1913" s="591"/>
    </row>
    <row r="1914" spans="1:15" ht="18" hidden="1" customHeight="1">
      <c r="A1914" s="474"/>
      <c r="B1914" s="642" t="s">
        <v>418</v>
      </c>
      <c r="C1914" s="488">
        <f>C1557</f>
        <v>1</v>
      </c>
      <c r="D1914" s="489" t="s">
        <v>87</v>
      </c>
      <c r="E1914" s="495">
        <f t="shared" ref="E1914:G1916" si="609">E1557</f>
        <v>1</v>
      </c>
      <c r="F1914" s="491">
        <f t="shared" si="609"/>
        <v>2</v>
      </c>
      <c r="G1914" s="496">
        <f t="shared" si="609"/>
        <v>2</v>
      </c>
      <c r="H1914" s="491"/>
      <c r="I1914" s="496"/>
      <c r="J1914" s="497">
        <f t="shared" ref="J1914:K1916" si="610">J1557</f>
        <v>5</v>
      </c>
      <c r="K1914" s="496">
        <f t="shared" si="610"/>
        <v>0</v>
      </c>
      <c r="L1914" s="475"/>
      <c r="M1914" s="475">
        <f t="shared" ref="M1914:M1917" si="611">IF(C1914=0,1,C1914)*IF(E1914=0,1,E1914)*IF((F1914+G1914/12)=0,1,(F1914+G1914/12))*IF((H1914+I1914/12)=0,1,(H1914+I1914/12))*IF((J1914+K1914/12)=0,1,(J1914+K1914/12))</f>
        <v>10.833333333333332</v>
      </c>
      <c r="N1914" s="591"/>
      <c r="O1914" s="591"/>
    </row>
    <row r="1915" spans="1:15" ht="18" hidden="1" customHeight="1">
      <c r="A1915" s="474"/>
      <c r="B1915" s="642" t="s">
        <v>419</v>
      </c>
      <c r="C1915" s="488">
        <f>C1558</f>
        <v>1</v>
      </c>
      <c r="D1915" s="489" t="s">
        <v>87</v>
      </c>
      <c r="E1915" s="495">
        <f t="shared" si="609"/>
        <v>1</v>
      </c>
      <c r="F1915" s="491">
        <f t="shared" si="609"/>
        <v>6</v>
      </c>
      <c r="G1915" s="496">
        <f t="shared" si="609"/>
        <v>2</v>
      </c>
      <c r="H1915" s="491"/>
      <c r="I1915" s="496"/>
      <c r="J1915" s="497">
        <f t="shared" si="610"/>
        <v>5</v>
      </c>
      <c r="K1915" s="496">
        <f t="shared" si="610"/>
        <v>0</v>
      </c>
      <c r="L1915" s="475"/>
      <c r="M1915" s="475">
        <f t="shared" si="611"/>
        <v>30.833333333333336</v>
      </c>
      <c r="N1915" s="591"/>
      <c r="O1915" s="591"/>
    </row>
    <row r="1916" spans="1:15" ht="18" hidden="1" customHeight="1">
      <c r="A1916" s="474"/>
      <c r="B1916" s="642" t="s">
        <v>420</v>
      </c>
      <c r="C1916" s="488">
        <f>C1559</f>
        <v>1</v>
      </c>
      <c r="D1916" s="489" t="s">
        <v>87</v>
      </c>
      <c r="E1916" s="495">
        <f t="shared" si="609"/>
        <v>1</v>
      </c>
      <c r="F1916" s="491">
        <f t="shared" si="609"/>
        <v>6</v>
      </c>
      <c r="G1916" s="496">
        <f t="shared" si="609"/>
        <v>0</v>
      </c>
      <c r="H1916" s="491"/>
      <c r="I1916" s="496"/>
      <c r="J1916" s="497">
        <f t="shared" si="610"/>
        <v>6</v>
      </c>
      <c r="K1916" s="496">
        <f t="shared" si="610"/>
        <v>0</v>
      </c>
      <c r="L1916" s="475"/>
      <c r="M1916" s="475">
        <f t="shared" si="611"/>
        <v>36</v>
      </c>
      <c r="N1916" s="591"/>
      <c r="O1916" s="591"/>
    </row>
    <row r="1917" spans="1:15" ht="18" hidden="1" customHeight="1">
      <c r="A1917" s="474"/>
      <c r="B1917" s="642" t="s">
        <v>423</v>
      </c>
      <c r="C1917" s="488">
        <f>C1561</f>
        <v>2</v>
      </c>
      <c r="D1917" s="489" t="s">
        <v>87</v>
      </c>
      <c r="E1917" s="495">
        <f>E1561</f>
        <v>1</v>
      </c>
      <c r="F1917" s="491">
        <f>F1561</f>
        <v>7</v>
      </c>
      <c r="G1917" s="496">
        <f>G1561</f>
        <v>0</v>
      </c>
      <c r="H1917" s="491"/>
      <c r="I1917" s="496"/>
      <c r="J1917" s="497">
        <f>J1561</f>
        <v>2</v>
      </c>
      <c r="K1917" s="496">
        <f>K1561</f>
        <v>10</v>
      </c>
      <c r="L1917" s="475"/>
      <c r="M1917" s="475">
        <f t="shared" si="611"/>
        <v>39.666666666666671</v>
      </c>
      <c r="N1917" s="591"/>
      <c r="O1917" s="591"/>
    </row>
    <row r="1918" spans="1:15" ht="18" hidden="1" customHeight="1">
      <c r="A1918" s="474"/>
      <c r="B1918" s="642"/>
      <c r="C1918" s="488"/>
      <c r="D1918" s="489"/>
      <c r="E1918" s="495">
        <f>C1912*E1912+C1913*E1913+C1914*E1914+C1915*E1915+C1916*E1916+C1917*E1917</f>
        <v>5</v>
      </c>
      <c r="F1918" s="491"/>
      <c r="G1918" s="496"/>
      <c r="H1918" s="491"/>
      <c r="I1918" s="496"/>
      <c r="J1918" s="497"/>
      <c r="K1918" s="496"/>
      <c r="L1918" s="475"/>
      <c r="M1918" s="475"/>
      <c r="N1918" s="611">
        <f>SUM(M1914:M1917)</f>
        <v>117.33333333333334</v>
      </c>
      <c r="O1918" s="612" t="s">
        <v>19</v>
      </c>
    </row>
    <row r="1919" spans="1:15" ht="18" hidden="1" customHeight="1">
      <c r="A1919" s="619"/>
      <c r="B1919" s="681"/>
      <c r="C1919" s="563"/>
      <c r="D1919" s="564"/>
      <c r="E1919" s="683"/>
      <c r="F1919" s="565"/>
      <c r="G1919" s="620"/>
      <c r="H1919" s="567"/>
      <c r="I1919" s="566"/>
      <c r="J1919" s="682"/>
      <c r="K1919" s="621"/>
      <c r="L1919" s="619"/>
      <c r="M1919" s="569"/>
      <c r="N1919" s="637"/>
      <c r="O1919" s="637"/>
    </row>
    <row r="1920" spans="1:15" ht="18" hidden="1" customHeight="1">
      <c r="A1920" s="596">
        <v>23</v>
      </c>
      <c r="B1920" s="597" t="s">
        <v>119</v>
      </c>
      <c r="C1920" s="598"/>
      <c r="D1920" s="599"/>
      <c r="E1920" s="600"/>
      <c r="F1920" s="601"/>
      <c r="G1920" s="623"/>
      <c r="H1920" s="603"/>
      <c r="I1920" s="602"/>
      <c r="J1920" s="604"/>
      <c r="K1920" s="605"/>
      <c r="L1920" s="606"/>
      <c r="M1920" s="610"/>
      <c r="N1920" s="647"/>
      <c r="O1920" s="596" t="s">
        <v>19</v>
      </c>
    </row>
    <row r="1921" spans="1:15" ht="18" hidden="1" customHeight="1">
      <c r="A1921" s="474"/>
      <c r="B1921" s="507" t="s">
        <v>235</v>
      </c>
      <c r="C1921" s="488">
        <v>1</v>
      </c>
      <c r="D1921" s="489" t="s">
        <v>87</v>
      </c>
      <c r="E1921" s="589">
        <v>1</v>
      </c>
      <c r="F1921" s="1189">
        <f>N1571</f>
        <v>17350.625000000015</v>
      </c>
      <c r="G1921" s="1188"/>
      <c r="H1921" s="493"/>
      <c r="I1921" s="492"/>
      <c r="J1921" s="608"/>
      <c r="K1921" s="590"/>
      <c r="L1921" s="474"/>
      <c r="M1921" s="475">
        <f t="shared" ref="M1921:M1923" si="612">IF(C1921=0,1,C1921)*IF(E1921=0,1,E1921)*IF((F1921+G1921/12)=0,1,(F1921+G1921/12))*IF((H1921+I1921/12)=0,1,(H1921+I1921/12))*IF((J1921+K1921/12)=0,1,(J1921+K1921/12))</f>
        <v>17350.625000000015</v>
      </c>
      <c r="N1921" s="474"/>
      <c r="O1921" s="474"/>
    </row>
    <row r="1922" spans="1:15" ht="18" hidden="1" customHeight="1">
      <c r="A1922" s="474"/>
      <c r="B1922" s="507" t="s">
        <v>553</v>
      </c>
      <c r="C1922" s="488">
        <v>1</v>
      </c>
      <c r="D1922" s="489" t="s">
        <v>87</v>
      </c>
      <c r="E1922" s="589">
        <v>1</v>
      </c>
      <c r="F1922" s="1175"/>
      <c r="G1922" s="1188"/>
      <c r="H1922" s="493"/>
      <c r="I1922" s="492"/>
      <c r="J1922" s="608"/>
      <c r="K1922" s="590"/>
      <c r="L1922" s="474"/>
      <c r="M1922" s="475">
        <f t="shared" si="612"/>
        <v>1</v>
      </c>
      <c r="N1922" s="474"/>
      <c r="O1922" s="474"/>
    </row>
    <row r="1923" spans="1:15" ht="18" hidden="1" customHeight="1">
      <c r="A1923" s="474"/>
      <c r="B1923" s="507" t="s">
        <v>92</v>
      </c>
      <c r="C1923" s="488">
        <v>1</v>
      </c>
      <c r="D1923" s="489" t="s">
        <v>87</v>
      </c>
      <c r="E1923" s="589">
        <v>1</v>
      </c>
      <c r="F1923" s="1175">
        <f>M1581+M1582</f>
        <v>319.5</v>
      </c>
      <c r="G1923" s="1188"/>
      <c r="H1923" s="493"/>
      <c r="I1923" s="492"/>
      <c r="J1923" s="608"/>
      <c r="K1923" s="590"/>
      <c r="L1923" s="474"/>
      <c r="M1923" s="475">
        <f t="shared" si="612"/>
        <v>319.5</v>
      </c>
      <c r="N1923" s="474"/>
      <c r="O1923" s="474"/>
    </row>
    <row r="1924" spans="1:15" ht="18" hidden="1" customHeight="1">
      <c r="A1924" s="474"/>
      <c r="B1924" s="507"/>
      <c r="C1924" s="488"/>
      <c r="D1924" s="489"/>
      <c r="E1924" s="589"/>
      <c r="F1924" s="493"/>
      <c r="G1924" s="589"/>
      <c r="H1924" s="493"/>
      <c r="I1924" s="492"/>
      <c r="J1924" s="608"/>
      <c r="K1924" s="590"/>
      <c r="L1924" s="624"/>
      <c r="M1924" s="669" t="s">
        <v>90</v>
      </c>
      <c r="N1924" s="669">
        <f>SUM(M1921:M1923)</f>
        <v>17671.125000000015</v>
      </c>
      <c r="O1924" s="476" t="s">
        <v>19</v>
      </c>
    </row>
    <row r="1925" spans="1:15" ht="18" hidden="1" customHeight="1">
      <c r="A1925" s="538"/>
      <c r="B1925" s="592"/>
      <c r="C1925" s="539"/>
      <c r="D1925" s="540"/>
      <c r="E1925" s="593"/>
      <c r="F1925" s="543"/>
      <c r="G1925" s="593"/>
      <c r="H1925" s="543"/>
      <c r="I1925" s="542"/>
      <c r="J1925" s="594"/>
      <c r="K1925" s="595"/>
      <c r="L1925" s="538"/>
      <c r="M1925" s="544"/>
      <c r="N1925" s="538"/>
      <c r="O1925" s="538"/>
    </row>
    <row r="1926" spans="1:15" ht="18" hidden="1" customHeight="1">
      <c r="A1926" s="596">
        <v>24</v>
      </c>
      <c r="B1926" s="597" t="s">
        <v>120</v>
      </c>
      <c r="C1926" s="598"/>
      <c r="D1926" s="599"/>
      <c r="E1926" s="600"/>
      <c r="F1926" s="603"/>
      <c r="G1926" s="600"/>
      <c r="H1926" s="603"/>
      <c r="I1926" s="602"/>
      <c r="J1926" s="604"/>
      <c r="K1926" s="605"/>
      <c r="L1926" s="606"/>
      <c r="M1926" s="610"/>
      <c r="N1926" s="607"/>
      <c r="O1926" s="596" t="s">
        <v>19</v>
      </c>
    </row>
    <row r="1927" spans="1:15" ht="18" hidden="1" customHeight="1">
      <c r="A1927" s="474"/>
      <c r="B1927" s="507" t="s">
        <v>178</v>
      </c>
      <c r="C1927" s="488">
        <v>1</v>
      </c>
      <c r="D1927" s="489" t="s">
        <v>87</v>
      </c>
      <c r="E1927" s="589">
        <v>1</v>
      </c>
      <c r="F1927" s="1195">
        <f>N1668</f>
        <v>268.16666666666663</v>
      </c>
      <c r="G1927" s="1196"/>
      <c r="H1927" s="491">
        <v>0</v>
      </c>
      <c r="I1927" s="496">
        <v>9</v>
      </c>
      <c r="J1927" s="608"/>
      <c r="K1927" s="590"/>
      <c r="L1927" s="474"/>
      <c r="M1927" s="475">
        <f t="shared" ref="M1927:M1929" si="613">IF(C1927=0,1,C1927)*IF(E1927=0,1,E1927)*IF((F1927+G1927/12)=0,1,(F1927+G1927/12))*IF((H1927+I1927/12)=0,1,(H1927+I1927/12))*IF((J1927+K1927/12)=0,1,(J1927+K1927/12))</f>
        <v>201.12499999999997</v>
      </c>
      <c r="O1927" s="591"/>
    </row>
    <row r="1928" spans="1:15" ht="18" hidden="1" customHeight="1">
      <c r="A1928" s="474"/>
      <c r="B1928" s="507" t="s">
        <v>236</v>
      </c>
      <c r="C1928" s="488">
        <v>1</v>
      </c>
      <c r="D1928" s="489" t="s">
        <v>87</v>
      </c>
      <c r="E1928" s="589">
        <v>2</v>
      </c>
      <c r="F1928" s="1175">
        <f>N1875</f>
        <v>0</v>
      </c>
      <c r="G1928" s="1176"/>
      <c r="H1928" s="493"/>
      <c r="I1928" s="492"/>
      <c r="J1928" s="608"/>
      <c r="K1928" s="590"/>
      <c r="L1928" s="474"/>
      <c r="M1928" s="475">
        <f t="shared" si="613"/>
        <v>2</v>
      </c>
      <c r="N1928" s="474"/>
      <c r="O1928" s="474"/>
    </row>
    <row r="1929" spans="1:15" ht="18" hidden="1" customHeight="1">
      <c r="A1929" s="474"/>
      <c r="B1929" s="507" t="s">
        <v>558</v>
      </c>
      <c r="C1929" s="488">
        <v>1</v>
      </c>
      <c r="D1929" s="489" t="s">
        <v>87</v>
      </c>
      <c r="E1929" s="495">
        <v>1</v>
      </c>
      <c r="F1929" s="1175">
        <f>N1956</f>
        <v>0</v>
      </c>
      <c r="G1929" s="1188"/>
      <c r="H1929" s="493"/>
      <c r="I1929" s="492"/>
      <c r="J1929" s="608"/>
      <c r="K1929" s="590"/>
      <c r="L1929" s="474"/>
      <c r="M1929" s="475">
        <f t="shared" si="613"/>
        <v>1</v>
      </c>
      <c r="N1929" s="684"/>
      <c r="O1929" s="684"/>
    </row>
    <row r="1930" spans="1:15" ht="18" hidden="1" customHeight="1">
      <c r="A1930" s="474"/>
      <c r="B1930" s="507"/>
      <c r="C1930" s="488"/>
      <c r="D1930" s="489"/>
      <c r="E1930" s="589"/>
      <c r="F1930" s="493"/>
      <c r="G1930" s="589"/>
      <c r="H1930" s="493"/>
      <c r="I1930" s="492"/>
      <c r="J1930" s="608"/>
      <c r="K1930" s="590"/>
      <c r="L1930" s="624"/>
      <c r="M1930" s="669" t="s">
        <v>90</v>
      </c>
      <c r="N1930" s="669">
        <f>SUM(M1927:M1929)</f>
        <v>204.12499999999997</v>
      </c>
      <c r="O1930" s="476" t="s">
        <v>19</v>
      </c>
    </row>
    <row r="1931" spans="1:15" ht="18" hidden="1" customHeight="1">
      <c r="A1931" s="538"/>
      <c r="B1931" s="592"/>
      <c r="C1931" s="539"/>
      <c r="D1931" s="540"/>
      <c r="E1931" s="593"/>
      <c r="F1931" s="541"/>
      <c r="G1931" s="615"/>
      <c r="H1931" s="543"/>
      <c r="I1931" s="542"/>
      <c r="J1931" s="594"/>
      <c r="K1931" s="595"/>
      <c r="L1931" s="538"/>
      <c r="M1931" s="544"/>
      <c r="N1931" s="685"/>
      <c r="O1931" s="685"/>
    </row>
    <row r="1932" spans="1:15" ht="18" hidden="1" customHeight="1">
      <c r="A1932" s="591">
        <v>25</v>
      </c>
      <c r="B1932" s="668" t="s">
        <v>56</v>
      </c>
      <c r="C1932" s="488"/>
      <c r="D1932" s="489"/>
      <c r="E1932" s="589"/>
      <c r="F1932" s="491"/>
      <c r="G1932" s="496"/>
      <c r="H1932" s="493"/>
      <c r="I1932" s="492"/>
      <c r="J1932" s="608"/>
      <c r="K1932" s="649"/>
      <c r="L1932" s="686"/>
      <c r="M1932" s="475"/>
      <c r="N1932" s="476"/>
      <c r="O1932" s="476" t="s">
        <v>19</v>
      </c>
    </row>
    <row r="1933" spans="1:15" ht="18" hidden="1" customHeight="1">
      <c r="A1933" s="591"/>
      <c r="B1933" s="668"/>
      <c r="C1933" s="488"/>
      <c r="D1933" s="489"/>
      <c r="E1933" s="589"/>
      <c r="F1933" s="491"/>
      <c r="G1933" s="496"/>
      <c r="H1933" s="493"/>
      <c r="I1933" s="492"/>
      <c r="J1933" s="608"/>
      <c r="K1933" s="649"/>
      <c r="L1933" s="686"/>
      <c r="M1933" s="475"/>
      <c r="N1933" s="476"/>
      <c r="O1933" s="476"/>
    </row>
    <row r="1934" spans="1:15" ht="18" hidden="1" customHeight="1">
      <c r="A1934" s="474"/>
      <c r="B1934" s="643" t="s">
        <v>180</v>
      </c>
      <c r="C1934" s="488"/>
      <c r="D1934" s="489"/>
      <c r="E1934" s="589"/>
      <c r="F1934" s="491"/>
      <c r="G1934" s="496"/>
      <c r="H1934" s="493"/>
      <c r="I1934" s="492"/>
      <c r="J1934" s="608"/>
      <c r="K1934" s="649"/>
      <c r="L1934" s="475"/>
      <c r="M1934" s="475"/>
      <c r="N1934" s="476"/>
      <c r="O1934" s="476"/>
    </row>
    <row r="1935" spans="1:15" ht="18" hidden="1" customHeight="1">
      <c r="A1935" s="474"/>
      <c r="B1935" s="473" t="s">
        <v>179</v>
      </c>
      <c r="C1935" s="488"/>
      <c r="D1935" s="489"/>
      <c r="E1935" s="589"/>
      <c r="F1935" s="491"/>
      <c r="G1935" s="496"/>
      <c r="H1935" s="493"/>
      <c r="I1935" s="492"/>
      <c r="J1935" s="608"/>
      <c r="K1935" s="649"/>
      <c r="L1935" s="475"/>
      <c r="M1935" s="475"/>
      <c r="N1935" s="476"/>
      <c r="O1935" s="476"/>
    </row>
    <row r="1936" spans="1:15" ht="18" hidden="1" customHeight="1">
      <c r="A1936" s="474"/>
      <c r="B1936" s="494" t="s">
        <v>554</v>
      </c>
      <c r="C1936" s="488">
        <v>1</v>
      </c>
      <c r="D1936" s="687" t="s">
        <v>87</v>
      </c>
      <c r="E1936" s="589">
        <v>1</v>
      </c>
      <c r="F1936" s="491">
        <v>32</v>
      </c>
      <c r="G1936" s="496">
        <v>10</v>
      </c>
      <c r="H1936" s="493"/>
      <c r="I1936" s="492"/>
      <c r="J1936" s="491">
        <v>6</v>
      </c>
      <c r="K1936" s="496">
        <v>0</v>
      </c>
      <c r="L1936" s="475"/>
      <c r="M1936" s="475">
        <f t="shared" ref="M1936:M1937" si="614">IF(C1936=0,1,C1936)*IF(E1936=0,1,E1936)*IF((F1936+G1936/12)=0,1,(F1936+G1936/12))*IF((H1936+I1936/12)=0,1,(H1936+I1936/12))*IF((J1936+K1936/12)=0,1,(J1936+K1936/12))</f>
        <v>197</v>
      </c>
      <c r="N1936" s="688"/>
      <c r="O1936" s="688"/>
    </row>
    <row r="1937" spans="1:15" ht="18" hidden="1" customHeight="1">
      <c r="A1937" s="474"/>
      <c r="B1937" s="494" t="s">
        <v>555</v>
      </c>
      <c r="C1937" s="488">
        <v>1</v>
      </c>
      <c r="D1937" s="687" t="s">
        <v>87</v>
      </c>
      <c r="E1937" s="589">
        <v>1</v>
      </c>
      <c r="F1937" s="491">
        <v>26</v>
      </c>
      <c r="G1937" s="496">
        <v>11</v>
      </c>
      <c r="H1937" s="493"/>
      <c r="I1937" s="492"/>
      <c r="J1937" s="491">
        <v>6</v>
      </c>
      <c r="K1937" s="496">
        <v>0</v>
      </c>
      <c r="L1937" s="475"/>
      <c r="M1937" s="475">
        <f t="shared" si="614"/>
        <v>161.5</v>
      </c>
      <c r="N1937" s="688"/>
      <c r="O1937" s="688"/>
    </row>
    <row r="1938" spans="1:15" ht="18" hidden="1" customHeight="1">
      <c r="A1938" s="474"/>
      <c r="B1938" s="473" t="s">
        <v>172</v>
      </c>
      <c r="C1938" s="488"/>
      <c r="D1938" s="687"/>
      <c r="E1938" s="589"/>
      <c r="F1938" s="491"/>
      <c r="G1938" s="496"/>
      <c r="H1938" s="493"/>
      <c r="I1938" s="492"/>
      <c r="J1938" s="491"/>
      <c r="K1938" s="496"/>
      <c r="L1938" s="475"/>
      <c r="M1938" s="475"/>
      <c r="N1938" s="688"/>
      <c r="O1938" s="688"/>
    </row>
    <row r="1939" spans="1:15" ht="18" hidden="1" customHeight="1">
      <c r="A1939" s="474"/>
      <c r="B1939" s="494" t="s">
        <v>556</v>
      </c>
      <c r="C1939" s="488">
        <f>C1937</f>
        <v>1</v>
      </c>
      <c r="D1939" s="687" t="s">
        <v>87</v>
      </c>
      <c r="E1939" s="589">
        <v>2</v>
      </c>
      <c r="F1939" s="491">
        <v>28</v>
      </c>
      <c r="G1939" s="496">
        <v>0</v>
      </c>
      <c r="H1939" s="493"/>
      <c r="I1939" s="492"/>
      <c r="J1939" s="491">
        <f>J1936</f>
        <v>6</v>
      </c>
      <c r="K1939" s="496">
        <f>K1936</f>
        <v>0</v>
      </c>
      <c r="L1939" s="475"/>
      <c r="M1939" s="475">
        <f t="shared" ref="M1939" si="615">IF(C1939=0,1,C1939)*IF(E1939=0,1,E1939)*IF((F1939+G1939/12)=0,1,(F1939+G1939/12))*IF((H1939+I1939/12)=0,1,(H1939+I1939/12))*IF((J1939+K1939/12)=0,1,(J1939+K1939/12))</f>
        <v>336</v>
      </c>
      <c r="N1939" s="688"/>
      <c r="O1939" s="688"/>
    </row>
    <row r="1940" spans="1:15" ht="18" hidden="1" customHeight="1">
      <c r="A1940" s="474"/>
      <c r="B1940" s="473" t="s">
        <v>409</v>
      </c>
      <c r="C1940" s="488"/>
      <c r="D1940" s="687"/>
      <c r="E1940" s="589"/>
      <c r="F1940" s="491"/>
      <c r="G1940" s="625"/>
      <c r="H1940" s="493"/>
      <c r="I1940" s="492"/>
      <c r="J1940" s="491"/>
      <c r="K1940" s="496"/>
      <c r="L1940" s="475"/>
      <c r="M1940" s="475"/>
      <c r="N1940" s="688"/>
      <c r="O1940" s="688"/>
    </row>
    <row r="1941" spans="1:15" ht="18" hidden="1" customHeight="1">
      <c r="A1941" s="474"/>
      <c r="B1941" s="494" t="s">
        <v>556</v>
      </c>
      <c r="C1941" s="488">
        <f>C1939</f>
        <v>1</v>
      </c>
      <c r="D1941" s="687" t="s">
        <v>87</v>
      </c>
      <c r="E1941" s="589">
        <v>1</v>
      </c>
      <c r="F1941" s="491">
        <v>28</v>
      </c>
      <c r="G1941" s="496">
        <v>0</v>
      </c>
      <c r="H1941" s="493"/>
      <c r="I1941" s="492"/>
      <c r="J1941" s="491">
        <f>J1939</f>
        <v>6</v>
      </c>
      <c r="K1941" s="496">
        <f>K1939</f>
        <v>0</v>
      </c>
      <c r="L1941" s="475"/>
      <c r="M1941" s="475">
        <f t="shared" ref="M1941" si="616">IF(C1941=0,1,C1941)*IF(E1941=0,1,E1941)*IF((F1941+G1941/12)=0,1,(F1941+G1941/12))*IF((H1941+I1941/12)=0,1,(H1941+I1941/12))*IF((J1941+K1941/12)=0,1,(J1941+K1941/12))</f>
        <v>168</v>
      </c>
      <c r="N1941" s="688"/>
      <c r="O1941" s="688"/>
    </row>
    <row r="1942" spans="1:15" ht="18" hidden="1" customHeight="1">
      <c r="A1942" s="474"/>
      <c r="B1942" s="652" t="s">
        <v>24</v>
      </c>
      <c r="C1942" s="488"/>
      <c r="D1942" s="687"/>
      <c r="E1942" s="589"/>
      <c r="F1942" s="491"/>
      <c r="G1942" s="496"/>
      <c r="H1942" s="493"/>
      <c r="I1942" s="492"/>
      <c r="J1942" s="491"/>
      <c r="K1942" s="496"/>
      <c r="L1942" s="475"/>
      <c r="M1942" s="475"/>
      <c r="N1942" s="688"/>
      <c r="O1942" s="688"/>
    </row>
    <row r="1943" spans="1:15" ht="18" hidden="1" customHeight="1">
      <c r="A1943" s="474"/>
      <c r="B1943" s="642" t="s">
        <v>416</v>
      </c>
      <c r="C1943" s="488">
        <v>5</v>
      </c>
      <c r="D1943" s="687" t="s">
        <v>87</v>
      </c>
      <c r="E1943" s="589">
        <v>1</v>
      </c>
      <c r="F1943" s="491">
        <v>3</v>
      </c>
      <c r="G1943" s="496">
        <v>3</v>
      </c>
      <c r="H1943" s="491"/>
      <c r="I1943" s="496"/>
      <c r="J1943" s="491">
        <f>J1939</f>
        <v>6</v>
      </c>
      <c r="K1943" s="496">
        <f>K1939</f>
        <v>0</v>
      </c>
      <c r="L1943" s="475">
        <f>C1943*E1943*(F1943+G1943/12)*(J1943+K1943/12)</f>
        <v>97.5</v>
      </c>
      <c r="M1943" s="475"/>
      <c r="N1943" s="688"/>
      <c r="O1943" s="688"/>
    </row>
    <row r="1944" spans="1:15" ht="18" hidden="1" customHeight="1">
      <c r="A1944" s="474"/>
      <c r="B1944" s="494"/>
      <c r="C1944" s="488"/>
      <c r="D1944" s="489"/>
      <c r="E1944" s="589"/>
      <c r="F1944" s="491"/>
      <c r="G1944" s="496"/>
      <c r="H1944" s="493"/>
      <c r="I1944" s="492"/>
      <c r="J1944" s="491"/>
      <c r="K1944" s="496"/>
      <c r="L1944" s="611">
        <f>SUM(L1934:L1943)</f>
        <v>97.5</v>
      </c>
      <c r="M1944" s="611">
        <f>SUM(M1936:M1943)</f>
        <v>862.5</v>
      </c>
      <c r="N1944" s="611">
        <f>M1944-L1944</f>
        <v>765</v>
      </c>
      <c r="O1944" s="475" t="s">
        <v>19</v>
      </c>
    </row>
    <row r="1945" spans="1:15" ht="18" hidden="1" customHeight="1">
      <c r="A1945" s="474"/>
      <c r="B1945" s="494"/>
      <c r="C1945" s="488"/>
      <c r="D1945" s="489"/>
      <c r="E1945" s="589"/>
      <c r="F1945" s="491"/>
      <c r="G1945" s="496"/>
      <c r="H1945" s="493"/>
      <c r="I1945" s="492"/>
      <c r="J1945" s="608"/>
      <c r="K1945" s="649"/>
      <c r="L1945" s="607"/>
      <c r="M1945" s="607"/>
      <c r="N1945" s="607"/>
      <c r="O1945" s="689"/>
    </row>
    <row r="1946" spans="1:15" ht="18" hidden="1" customHeight="1">
      <c r="A1946" s="474"/>
      <c r="B1946" s="644" t="s">
        <v>557</v>
      </c>
      <c r="C1946" s="488"/>
      <c r="D1946" s="489"/>
      <c r="E1946" s="589"/>
      <c r="F1946" s="491"/>
      <c r="G1946" s="496"/>
      <c r="H1946" s="493"/>
      <c r="I1946" s="492"/>
      <c r="J1946" s="608"/>
      <c r="K1946" s="649"/>
      <c r="L1946" s="475"/>
      <c r="M1946" s="475"/>
      <c r="N1946" s="476"/>
      <c r="O1946" s="476"/>
    </row>
    <row r="1947" spans="1:15" ht="18" hidden="1" customHeight="1">
      <c r="A1947" s="474"/>
      <c r="B1947" s="473" t="s">
        <v>179</v>
      </c>
      <c r="C1947" s="488"/>
      <c r="D1947" s="489"/>
      <c r="E1947" s="589"/>
      <c r="F1947" s="491"/>
      <c r="G1947" s="496"/>
      <c r="H1947" s="493"/>
      <c r="I1947" s="492"/>
      <c r="J1947" s="608"/>
      <c r="K1947" s="649"/>
      <c r="L1947" s="475"/>
      <c r="M1947" s="475"/>
      <c r="N1947" s="476"/>
      <c r="O1947" s="476"/>
    </row>
    <row r="1948" spans="1:15" ht="18" hidden="1" customHeight="1">
      <c r="A1948" s="474"/>
      <c r="B1948" s="494" t="s">
        <v>554</v>
      </c>
      <c r="C1948" s="488">
        <f>C1936</f>
        <v>1</v>
      </c>
      <c r="D1948" s="489" t="s">
        <v>87</v>
      </c>
      <c r="E1948" s="589">
        <f>E1936</f>
        <v>1</v>
      </c>
      <c r="F1948" s="491">
        <f>5</f>
        <v>5</v>
      </c>
      <c r="G1948" s="496">
        <v>5</v>
      </c>
      <c r="H1948" s="491">
        <v>11</v>
      </c>
      <c r="I1948" s="496">
        <v>0</v>
      </c>
      <c r="J1948" s="608"/>
      <c r="K1948" s="649"/>
      <c r="L1948" s="475"/>
      <c r="M1948" s="475">
        <f t="shared" ref="M1948:M1949" si="617">IF(C1948=0,1,C1948)*IF(E1948=0,1,E1948)*IF((F1948+G1948/12)=0,1,(F1948+G1948/12))*IF((H1948+I1948/12)=0,1,(H1948+I1948/12))*IF((J1948+K1948/12)=0,1,(J1948+K1948/12))</f>
        <v>59.583333333333336</v>
      </c>
      <c r="N1948" s="476"/>
      <c r="O1948" s="476"/>
    </row>
    <row r="1949" spans="1:15" ht="18" hidden="1" customHeight="1">
      <c r="A1949" s="474"/>
      <c r="B1949" s="494" t="s">
        <v>555</v>
      </c>
      <c r="C1949" s="488">
        <f>C1937</f>
        <v>1</v>
      </c>
      <c r="D1949" s="489" t="s">
        <v>87</v>
      </c>
      <c r="E1949" s="589">
        <f>E1937</f>
        <v>1</v>
      </c>
      <c r="F1949" s="491">
        <f>5</f>
        <v>5</v>
      </c>
      <c r="G1949" s="496">
        <f>7</f>
        <v>7</v>
      </c>
      <c r="H1949" s="491">
        <v>7</v>
      </c>
      <c r="I1949" s="496">
        <v>11</v>
      </c>
      <c r="J1949" s="608"/>
      <c r="K1949" s="649"/>
      <c r="L1949" s="475"/>
      <c r="M1949" s="475">
        <f t="shared" si="617"/>
        <v>44.201388888888886</v>
      </c>
      <c r="N1949" s="476"/>
      <c r="O1949" s="476"/>
    </row>
    <row r="1950" spans="1:15" ht="18" hidden="1" customHeight="1">
      <c r="A1950" s="474"/>
      <c r="B1950" s="473" t="s">
        <v>172</v>
      </c>
      <c r="C1950" s="488"/>
      <c r="D1950" s="489"/>
      <c r="E1950" s="589"/>
      <c r="F1950" s="491"/>
      <c r="G1950" s="496"/>
      <c r="H1950" s="491"/>
      <c r="I1950" s="496"/>
      <c r="J1950" s="608"/>
      <c r="K1950" s="649"/>
      <c r="L1950" s="475"/>
      <c r="M1950" s="475"/>
      <c r="N1950" s="688"/>
      <c r="O1950" s="688"/>
    </row>
    <row r="1951" spans="1:15" ht="18" hidden="1" customHeight="1">
      <c r="A1951" s="474"/>
      <c r="B1951" s="494" t="s">
        <v>556</v>
      </c>
      <c r="C1951" s="488">
        <f>C1939</f>
        <v>1</v>
      </c>
      <c r="D1951" s="489" t="s">
        <v>87</v>
      </c>
      <c r="E1951" s="589">
        <f>E1939</f>
        <v>2</v>
      </c>
      <c r="F1951" s="491">
        <v>6</v>
      </c>
      <c r="G1951" s="496">
        <v>0</v>
      </c>
      <c r="H1951" s="491">
        <v>8</v>
      </c>
      <c r="I1951" s="496">
        <v>0</v>
      </c>
      <c r="J1951" s="608"/>
      <c r="K1951" s="649"/>
      <c r="L1951" s="475"/>
      <c r="M1951" s="475">
        <f t="shared" ref="M1951" si="618">IF(C1951=0,1,C1951)*IF(E1951=0,1,E1951)*IF((F1951+G1951/12)=0,1,(F1951+G1951/12))*IF((H1951+I1951/12)=0,1,(H1951+I1951/12))*IF((J1951+K1951/12)=0,1,(J1951+K1951/12))</f>
        <v>96</v>
      </c>
      <c r="N1951" s="688"/>
      <c r="O1951" s="688"/>
    </row>
    <row r="1952" spans="1:15" ht="18" hidden="1" customHeight="1">
      <c r="A1952" s="474"/>
      <c r="B1952" s="473" t="s">
        <v>409</v>
      </c>
      <c r="C1952" s="488"/>
      <c r="D1952" s="489"/>
      <c r="E1952" s="589"/>
      <c r="F1952" s="491"/>
      <c r="G1952" s="496"/>
      <c r="H1952" s="491"/>
      <c r="I1952" s="625"/>
      <c r="J1952" s="608"/>
      <c r="K1952" s="690"/>
      <c r="L1952" s="475"/>
      <c r="M1952" s="475"/>
      <c r="N1952" s="688"/>
      <c r="O1952" s="688"/>
    </row>
    <row r="1953" spans="1:15" ht="18" hidden="1" customHeight="1">
      <c r="A1953" s="474"/>
      <c r="B1953" s="494" t="s">
        <v>556</v>
      </c>
      <c r="C1953" s="488">
        <f>C1941</f>
        <v>1</v>
      </c>
      <c r="D1953" s="489" t="s">
        <v>87</v>
      </c>
      <c r="E1953" s="589">
        <f>E1941</f>
        <v>1</v>
      </c>
      <c r="F1953" s="491">
        <v>6</v>
      </c>
      <c r="G1953" s="496">
        <v>0</v>
      </c>
      <c r="H1953" s="491">
        <v>8</v>
      </c>
      <c r="I1953" s="496">
        <v>0</v>
      </c>
      <c r="J1953" s="608"/>
      <c r="K1953" s="649"/>
      <c r="L1953" s="475"/>
      <c r="M1953" s="475">
        <f t="shared" ref="M1953" si="619">IF(C1953=0,1,C1953)*IF(E1953=0,1,E1953)*IF((F1953+G1953/12)=0,1,(F1953+G1953/12))*IF((H1953+I1953/12)=0,1,(H1953+I1953/12))*IF((J1953+K1953/12)=0,1,(J1953+K1953/12))</f>
        <v>48</v>
      </c>
      <c r="N1953" s="688"/>
      <c r="O1953" s="688"/>
    </row>
    <row r="1954" spans="1:15" ht="18" hidden="1" customHeight="1">
      <c r="A1954" s="474"/>
      <c r="B1954" s="494"/>
      <c r="C1954" s="488"/>
      <c r="D1954" s="489"/>
      <c r="E1954" s="589"/>
      <c r="F1954" s="491"/>
      <c r="G1954" s="496"/>
      <c r="H1954" s="493"/>
      <c r="I1954" s="492"/>
      <c r="J1954" s="608"/>
      <c r="K1954" s="649"/>
      <c r="L1954" s="475"/>
      <c r="M1954" s="611" t="s">
        <v>90</v>
      </c>
      <c r="N1954" s="611">
        <f>SUM(M1948:M1953)</f>
        <v>247.78472222222223</v>
      </c>
      <c r="O1954" s="475" t="s">
        <v>19</v>
      </c>
    </row>
    <row r="1955" spans="1:15" ht="18" hidden="1" customHeight="1">
      <c r="A1955" s="538"/>
      <c r="B1955" s="691"/>
      <c r="C1955" s="539"/>
      <c r="D1955" s="540"/>
      <c r="E1955" s="593"/>
      <c r="F1955" s="541"/>
      <c r="G1955" s="615"/>
      <c r="H1955" s="543"/>
      <c r="I1955" s="542"/>
      <c r="J1955" s="594"/>
      <c r="K1955" s="670"/>
      <c r="L1955" s="544"/>
      <c r="M1955" s="568"/>
      <c r="N1955" s="692"/>
      <c r="O1955" s="693"/>
    </row>
    <row r="1956" spans="1:15" ht="18" hidden="1" customHeight="1">
      <c r="A1956" s="591">
        <v>26</v>
      </c>
      <c r="B1956" s="646" t="s">
        <v>559</v>
      </c>
      <c r="C1956" s="488"/>
      <c r="D1956" s="489"/>
      <c r="E1956" s="589"/>
      <c r="F1956" s="491"/>
      <c r="G1956" s="496"/>
      <c r="H1956" s="493"/>
      <c r="I1956" s="492"/>
      <c r="J1956" s="608"/>
      <c r="K1956" s="649"/>
      <c r="L1956" s="474"/>
      <c r="M1956" s="476"/>
      <c r="N1956" s="476"/>
      <c r="O1956" s="476" t="s">
        <v>19</v>
      </c>
    </row>
    <row r="1957" spans="1:15" ht="18" hidden="1" customHeight="1">
      <c r="A1957" s="474"/>
      <c r="B1957" s="673"/>
      <c r="C1957" s="658"/>
      <c r="D1957" s="659"/>
      <c r="E1957" s="674"/>
      <c r="F1957" s="661"/>
      <c r="G1957" s="662"/>
      <c r="H1957" s="675"/>
      <c r="I1957" s="676"/>
      <c r="J1957" s="677"/>
      <c r="K1957" s="678"/>
      <c r="L1957" s="573"/>
      <c r="M1957" s="475"/>
      <c r="N1957" s="591"/>
      <c r="O1957" s="688"/>
    </row>
    <row r="1958" spans="1:15" ht="18" hidden="1" customHeight="1">
      <c r="A1958" s="474"/>
      <c r="B1958" s="694" t="s">
        <v>560</v>
      </c>
      <c r="C1958" s="658"/>
      <c r="D1958" s="659"/>
      <c r="E1958" s="674"/>
      <c r="F1958" s="661"/>
      <c r="G1958" s="662"/>
      <c r="H1958" s="675"/>
      <c r="I1958" s="676"/>
      <c r="J1958" s="677"/>
      <c r="K1958" s="678"/>
      <c r="L1958" s="573"/>
      <c r="M1958" s="475"/>
      <c r="N1958" s="476">
        <f>SUM(N1961:N1962)</f>
        <v>168</v>
      </c>
      <c r="O1958" s="591" t="s">
        <v>19</v>
      </c>
    </row>
    <row r="1959" spans="1:15" ht="18" hidden="1" customHeight="1">
      <c r="A1959" s="474"/>
      <c r="B1959" s="694" t="s">
        <v>561</v>
      </c>
      <c r="C1959" s="658">
        <f>1</f>
        <v>1</v>
      </c>
      <c r="D1959" s="659" t="s">
        <v>87</v>
      </c>
      <c r="E1959" s="674">
        <f>1</f>
        <v>1</v>
      </c>
      <c r="F1959" s="661">
        <v>16</v>
      </c>
      <c r="G1959" s="662">
        <v>0</v>
      </c>
      <c r="H1959" s="675"/>
      <c r="I1959" s="676"/>
      <c r="J1959" s="491">
        <f>3</f>
        <v>3</v>
      </c>
      <c r="K1959" s="496">
        <f>6</f>
        <v>6</v>
      </c>
      <c r="L1959" s="573"/>
      <c r="M1959" s="475">
        <f t="shared" ref="M1959" si="620">IF(C1959=0,1,C1959)*IF(E1959=0,1,E1959)*IF((F1959+G1959/12)=0,1,(F1959+G1959/12))*IF((H1959+I1959/12)=0,1,(H1959+I1959/12))*IF((J1959+K1959/12)=0,1,(J1959+K1959/12))</f>
        <v>56</v>
      </c>
      <c r="N1959" s="607"/>
      <c r="O1959" s="596"/>
    </row>
    <row r="1960" spans="1:15" ht="18" hidden="1" customHeight="1">
      <c r="A1960" s="474"/>
      <c r="B1960" s="694"/>
      <c r="C1960" s="658"/>
      <c r="D1960" s="659"/>
      <c r="E1960" s="674"/>
      <c r="F1960" s="661"/>
      <c r="G1960" s="662"/>
      <c r="H1960" s="675"/>
      <c r="I1960" s="676"/>
      <c r="J1960" s="677"/>
      <c r="K1960" s="678"/>
      <c r="L1960" s="573"/>
      <c r="M1960" s="475"/>
      <c r="N1960" s="607"/>
      <c r="O1960" s="596"/>
    </row>
    <row r="1961" spans="1:15" ht="18" hidden="1" customHeight="1">
      <c r="A1961" s="474"/>
      <c r="B1961" s="694" t="s">
        <v>561</v>
      </c>
      <c r="C1961" s="658">
        <f>1</f>
        <v>1</v>
      </c>
      <c r="D1961" s="659" t="s">
        <v>87</v>
      </c>
      <c r="E1961" s="674">
        <f>2</f>
        <v>2</v>
      </c>
      <c r="F1961" s="661">
        <f>F1959</f>
        <v>16</v>
      </c>
      <c r="G1961" s="662">
        <f>G1959</f>
        <v>0</v>
      </c>
      <c r="H1961" s="675"/>
      <c r="I1961" s="676"/>
      <c r="J1961" s="491">
        <f>3</f>
        <v>3</v>
      </c>
      <c r="K1961" s="496">
        <v>6</v>
      </c>
      <c r="L1961" s="573"/>
      <c r="M1961" s="475">
        <f t="shared" ref="M1961" si="621">IF(C1961=0,1,C1961)*IF(E1961=0,1,E1961)*IF((F1961+G1961/12)=0,1,(F1961+G1961/12))*IF((H1961+I1961/12)=0,1,(H1961+I1961/12))*IF((J1961+K1961/12)=0,1,(J1961+K1961/12))</f>
        <v>112</v>
      </c>
      <c r="N1961" s="607"/>
      <c r="O1961" s="596"/>
    </row>
    <row r="1962" spans="1:15" ht="18" hidden="1" customHeight="1">
      <c r="A1962" s="474"/>
      <c r="B1962" s="507"/>
      <c r="C1962" s="488"/>
      <c r="D1962" s="489"/>
      <c r="E1962" s="589"/>
      <c r="F1962" s="491"/>
      <c r="G1962" s="496"/>
      <c r="H1962" s="493"/>
      <c r="I1962" s="492"/>
      <c r="J1962" s="608"/>
      <c r="K1962" s="649"/>
      <c r="L1962" s="475"/>
      <c r="M1962" s="622" t="s">
        <v>90</v>
      </c>
      <c r="N1962" s="622">
        <f>SUM(M1958:M1961)</f>
        <v>168</v>
      </c>
      <c r="O1962" s="587" t="s">
        <v>19</v>
      </c>
    </row>
    <row r="1963" spans="1:15" ht="18" hidden="1" customHeight="1">
      <c r="A1963" s="504"/>
      <c r="B1963" s="695"/>
      <c r="C1963" s="558"/>
      <c r="D1963" s="559"/>
      <c r="E1963" s="696"/>
      <c r="F1963" s="560"/>
      <c r="G1963" s="618"/>
      <c r="H1963" s="562"/>
      <c r="I1963" s="561"/>
      <c r="J1963" s="697"/>
      <c r="K1963" s="698"/>
      <c r="L1963" s="505"/>
      <c r="M1963" s="610"/>
      <c r="N1963" s="596"/>
      <c r="O1963" s="596"/>
    </row>
    <row r="1964" spans="1:15" ht="18" hidden="1" customHeight="1">
      <c r="A1964" s="538"/>
      <c r="B1964" s="613"/>
      <c r="C1964" s="539"/>
      <c r="D1964" s="540"/>
      <c r="E1964" s="593"/>
      <c r="F1964" s="541"/>
      <c r="G1964" s="615"/>
      <c r="H1964" s="543"/>
      <c r="I1964" s="542"/>
      <c r="J1964" s="594"/>
      <c r="K1964" s="670"/>
      <c r="L1964" s="544"/>
      <c r="M1964" s="544"/>
      <c r="N1964" s="545"/>
      <c r="O1964" s="545"/>
    </row>
    <row r="1965" spans="1:15" s="487" customFormat="1" ht="18" customHeight="1">
      <c r="A1965" s="1125"/>
      <c r="B1965" s="1125"/>
      <c r="C1965" s="557"/>
      <c r="D1965" s="1126"/>
      <c r="E1965" s="1127"/>
      <c r="F1965" s="1128"/>
      <c r="G1965" s="1127"/>
      <c r="H1965" s="1129"/>
      <c r="I1965" s="1127"/>
      <c r="J1965" s="1129"/>
      <c r="K1965" s="1130"/>
      <c r="L1965" s="1131"/>
      <c r="M1965" s="805"/>
      <c r="N1965" s="1131"/>
      <c r="O1965" s="1125"/>
    </row>
    <row r="1966" spans="1:15" ht="18" customHeight="1">
      <c r="A1966" s="477"/>
      <c r="D1966" s="477"/>
      <c r="G1966" s="700"/>
      <c r="H1966" s="706"/>
      <c r="I1966" s="700"/>
      <c r="J1966" s="706"/>
      <c r="O1966" s="477"/>
    </row>
    <row r="1967" spans="1:15" ht="18" customHeight="1">
      <c r="A1967" s="477"/>
      <c r="D1967" s="477"/>
      <c r="G1967" s="700"/>
      <c r="H1967" s="706"/>
      <c r="I1967" s="700"/>
      <c r="J1967" s="706"/>
      <c r="O1967" s="477"/>
    </row>
    <row r="1968" spans="1:15" ht="18" customHeight="1">
      <c r="A1968" s="477"/>
      <c r="D1968" s="477"/>
      <c r="G1968" s="700"/>
      <c r="H1968" s="706"/>
      <c r="I1968" s="700"/>
      <c r="J1968" s="706"/>
      <c r="O1968" s="477"/>
    </row>
    <row r="1969" spans="1:15" ht="18" customHeight="1">
      <c r="A1969" s="477"/>
      <c r="D1969" s="477"/>
      <c r="G1969" s="700"/>
      <c r="H1969" s="706"/>
      <c r="I1969" s="700"/>
      <c r="J1969" s="706"/>
      <c r="O1969" s="477"/>
    </row>
    <row r="1970" spans="1:15" ht="18" customHeight="1">
      <c r="A1970" s="477"/>
      <c r="D1970" s="477"/>
      <c r="G1970" s="700"/>
      <c r="H1970" s="706"/>
      <c r="I1970" s="700"/>
      <c r="J1970" s="706"/>
      <c r="O1970" s="477"/>
    </row>
    <row r="1971" spans="1:15" ht="18" customHeight="1">
      <c r="A1971" s="477"/>
      <c r="D1971" s="477"/>
      <c r="G1971" s="700"/>
      <c r="H1971" s="706"/>
      <c r="I1971" s="700"/>
      <c r="J1971" s="706"/>
      <c r="O1971" s="477"/>
    </row>
    <row r="1972" spans="1:15" ht="18" customHeight="1">
      <c r="A1972" s="477"/>
      <c r="D1972" s="477"/>
      <c r="G1972" s="700"/>
      <c r="H1972" s="706"/>
      <c r="I1972" s="700"/>
      <c r="J1972" s="706"/>
      <c r="O1972" s="477"/>
    </row>
    <row r="1973" spans="1:15" ht="18" customHeight="1">
      <c r="A1973" s="477"/>
      <c r="D1973" s="477"/>
      <c r="G1973" s="700"/>
      <c r="H1973" s="706"/>
      <c r="I1973" s="700"/>
      <c r="J1973" s="706"/>
      <c r="O1973" s="477"/>
    </row>
    <row r="1974" spans="1:15" ht="18" customHeight="1">
      <c r="A1974" s="477"/>
      <c r="D1974" s="477"/>
      <c r="G1974" s="700"/>
      <c r="H1974" s="706"/>
      <c r="I1974" s="700"/>
      <c r="J1974" s="706"/>
      <c r="O1974" s="477"/>
    </row>
    <row r="1975" spans="1:15" ht="18" customHeight="1">
      <c r="A1975" s="477"/>
      <c r="D1975" s="477"/>
      <c r="G1975" s="700"/>
      <c r="H1975" s="706"/>
      <c r="I1975" s="700"/>
      <c r="J1975" s="706"/>
      <c r="O1975" s="477"/>
    </row>
    <row r="1976" spans="1:15" ht="18" customHeight="1">
      <c r="A1976" s="477"/>
      <c r="D1976" s="477"/>
      <c r="G1976" s="700"/>
      <c r="H1976" s="706"/>
      <c r="I1976" s="700"/>
      <c r="J1976" s="706"/>
      <c r="O1976" s="477"/>
    </row>
    <row r="1977" spans="1:15" ht="18" customHeight="1">
      <c r="A1977" s="477"/>
      <c r="D1977" s="477"/>
      <c r="G1977" s="700"/>
      <c r="H1977" s="706"/>
      <c r="I1977" s="700"/>
      <c r="J1977" s="706"/>
      <c r="O1977" s="477"/>
    </row>
    <row r="1978" spans="1:15" ht="18" customHeight="1">
      <c r="A1978" s="477"/>
      <c r="D1978" s="477"/>
      <c r="G1978" s="700"/>
      <c r="H1978" s="706"/>
      <c r="I1978" s="700"/>
      <c r="J1978" s="706"/>
      <c r="O1978" s="477"/>
    </row>
    <row r="1979" spans="1:15" ht="18" customHeight="1">
      <c r="A1979" s="477"/>
      <c r="D1979" s="477"/>
      <c r="G1979" s="700"/>
      <c r="H1979" s="706"/>
      <c r="I1979" s="700"/>
      <c r="J1979" s="706"/>
      <c r="O1979" s="477"/>
    </row>
    <row r="1980" spans="1:15" ht="18" customHeight="1">
      <c r="A1980" s="477"/>
      <c r="D1980" s="477"/>
      <c r="G1980" s="700"/>
      <c r="H1980" s="706"/>
      <c r="I1980" s="700"/>
      <c r="J1980" s="706"/>
      <c r="O1980" s="477"/>
    </row>
    <row r="1981" spans="1:15" ht="18" customHeight="1">
      <c r="A1981" s="477"/>
      <c r="D1981" s="477"/>
      <c r="G1981" s="700"/>
      <c r="H1981" s="706"/>
      <c r="I1981" s="700"/>
      <c r="J1981" s="706"/>
      <c r="O1981" s="477"/>
    </row>
    <row r="1982" spans="1:15" ht="18" customHeight="1">
      <c r="A1982" s="477"/>
      <c r="D1982" s="477"/>
      <c r="G1982" s="700"/>
      <c r="H1982" s="706"/>
      <c r="I1982" s="700"/>
      <c r="J1982" s="706"/>
      <c r="O1982" s="477"/>
    </row>
    <row r="1983" spans="1:15" ht="18" customHeight="1">
      <c r="A1983" s="477"/>
      <c r="D1983" s="477"/>
      <c r="G1983" s="700"/>
      <c r="H1983" s="706"/>
      <c r="I1983" s="700"/>
      <c r="J1983" s="706"/>
      <c r="O1983" s="477"/>
    </row>
    <row r="1984" spans="1:15" ht="18" customHeight="1">
      <c r="A1984" s="477"/>
      <c r="D1984" s="477"/>
      <c r="G1984" s="700"/>
      <c r="H1984" s="706"/>
      <c r="I1984" s="700"/>
      <c r="J1984" s="706"/>
      <c r="O1984" s="477"/>
    </row>
    <row r="1985" spans="1:15" ht="18" customHeight="1">
      <c r="A1985" s="477"/>
      <c r="D1985" s="477"/>
      <c r="G1985" s="700"/>
      <c r="H1985" s="706"/>
      <c r="I1985" s="700"/>
      <c r="J1985" s="706"/>
      <c r="O1985" s="477"/>
    </row>
    <row r="1986" spans="1:15" ht="18" customHeight="1">
      <c r="A1986" s="477"/>
      <c r="D1986" s="477"/>
      <c r="G1986" s="700"/>
      <c r="H1986" s="706"/>
      <c r="I1986" s="700"/>
      <c r="J1986" s="706"/>
      <c r="O1986" s="477"/>
    </row>
    <row r="1987" spans="1:15" ht="18" customHeight="1">
      <c r="A1987" s="477"/>
      <c r="D1987" s="477"/>
      <c r="G1987" s="700"/>
      <c r="H1987" s="706"/>
      <c r="I1987" s="700"/>
      <c r="J1987" s="706"/>
      <c r="O1987" s="477"/>
    </row>
    <row r="1988" spans="1:15" ht="18" customHeight="1">
      <c r="A1988" s="477"/>
      <c r="D1988" s="477"/>
      <c r="G1988" s="700"/>
      <c r="H1988" s="706"/>
      <c r="I1988" s="700"/>
      <c r="J1988" s="706"/>
      <c r="O1988" s="477"/>
    </row>
    <row r="1989" spans="1:15" ht="18" customHeight="1">
      <c r="A1989" s="477"/>
      <c r="D1989" s="477"/>
      <c r="G1989" s="700"/>
      <c r="H1989" s="706"/>
      <c r="I1989" s="700"/>
      <c r="J1989" s="706"/>
      <c r="O1989" s="477"/>
    </row>
    <row r="1990" spans="1:15" ht="18" customHeight="1">
      <c r="A1990" s="477"/>
      <c r="D1990" s="477"/>
      <c r="G1990" s="700"/>
      <c r="H1990" s="706"/>
      <c r="I1990" s="700"/>
      <c r="J1990" s="706"/>
      <c r="O1990" s="477"/>
    </row>
    <row r="1991" spans="1:15" ht="18" customHeight="1">
      <c r="A1991" s="477"/>
      <c r="D1991" s="477"/>
      <c r="G1991" s="700"/>
      <c r="H1991" s="706"/>
      <c r="I1991" s="700"/>
      <c r="J1991" s="706"/>
      <c r="O1991" s="477"/>
    </row>
    <row r="1992" spans="1:15" ht="18" customHeight="1">
      <c r="A1992" s="477"/>
      <c r="D1992" s="477"/>
      <c r="G1992" s="700"/>
      <c r="H1992" s="706"/>
      <c r="I1992" s="700"/>
      <c r="J1992" s="706"/>
      <c r="O1992" s="477"/>
    </row>
    <row r="1993" spans="1:15" ht="18" customHeight="1">
      <c r="A1993" s="477"/>
      <c r="D1993" s="477"/>
      <c r="G1993" s="700"/>
      <c r="H1993" s="706"/>
      <c r="I1993" s="700"/>
      <c r="J1993" s="706"/>
      <c r="O1993" s="477"/>
    </row>
    <row r="1994" spans="1:15" ht="18" customHeight="1">
      <c r="A1994" s="477"/>
      <c r="D1994" s="477"/>
      <c r="G1994" s="700"/>
      <c r="H1994" s="706"/>
      <c r="I1994" s="700"/>
      <c r="J1994" s="706"/>
      <c r="O1994" s="477"/>
    </row>
    <row r="1995" spans="1:15" ht="18" customHeight="1">
      <c r="A1995" s="477"/>
      <c r="D1995" s="477"/>
      <c r="G1995" s="700"/>
      <c r="H1995" s="706"/>
      <c r="I1995" s="700"/>
      <c r="J1995" s="706"/>
      <c r="O1995" s="477"/>
    </row>
    <row r="1996" spans="1:15" ht="18" customHeight="1">
      <c r="A1996" s="477"/>
      <c r="D1996" s="477"/>
      <c r="G1996" s="700"/>
      <c r="H1996" s="706"/>
      <c r="I1996" s="700"/>
      <c r="J1996" s="706"/>
      <c r="O1996" s="477"/>
    </row>
    <row r="1997" spans="1:15" ht="18" customHeight="1">
      <c r="A1997" s="477"/>
      <c r="D1997" s="477"/>
      <c r="G1997" s="700"/>
      <c r="H1997" s="706"/>
      <c r="I1997" s="700"/>
      <c r="J1997" s="706"/>
      <c r="O1997" s="477"/>
    </row>
    <row r="1998" spans="1:15" ht="18" customHeight="1">
      <c r="A1998" s="477"/>
      <c r="D1998" s="477"/>
      <c r="G1998" s="700"/>
      <c r="H1998" s="706"/>
      <c r="I1998" s="700"/>
      <c r="J1998" s="706"/>
      <c r="O1998" s="477"/>
    </row>
    <row r="1999" spans="1:15" ht="18" customHeight="1">
      <c r="A1999" s="477"/>
      <c r="D1999" s="477"/>
      <c r="G1999" s="700"/>
      <c r="H1999" s="706"/>
      <c r="I1999" s="700"/>
      <c r="J1999" s="706"/>
      <c r="O1999" s="477"/>
    </row>
    <row r="2000" spans="1:15" ht="18" customHeight="1">
      <c r="A2000" s="477"/>
      <c r="D2000" s="477"/>
      <c r="G2000" s="700"/>
      <c r="H2000" s="706"/>
      <c r="I2000" s="700"/>
      <c r="J2000" s="706"/>
      <c r="O2000" s="477"/>
    </row>
    <row r="2001" spans="1:15" ht="18" customHeight="1">
      <c r="A2001" s="477"/>
      <c r="D2001" s="477"/>
      <c r="G2001" s="700"/>
      <c r="H2001" s="706"/>
      <c r="I2001" s="700"/>
      <c r="J2001" s="706"/>
      <c r="O2001" s="477"/>
    </row>
    <row r="2002" spans="1:15" ht="18" customHeight="1">
      <c r="A2002" s="477"/>
      <c r="D2002" s="477"/>
      <c r="G2002" s="700"/>
      <c r="H2002" s="706"/>
      <c r="I2002" s="700"/>
      <c r="J2002" s="706"/>
      <c r="O2002" s="477"/>
    </row>
    <row r="2003" spans="1:15" ht="18" customHeight="1">
      <c r="A2003" s="477"/>
      <c r="D2003" s="477"/>
      <c r="G2003" s="700"/>
      <c r="H2003" s="706"/>
      <c r="I2003" s="700"/>
      <c r="J2003" s="706"/>
      <c r="O2003" s="477"/>
    </row>
    <row r="2004" spans="1:15" ht="18" customHeight="1">
      <c r="A2004" s="477"/>
      <c r="D2004" s="477"/>
      <c r="G2004" s="700"/>
      <c r="H2004" s="706"/>
      <c r="I2004" s="700"/>
      <c r="J2004" s="706"/>
      <c r="O2004" s="477"/>
    </row>
    <row r="2005" spans="1:15" ht="18" customHeight="1">
      <c r="A2005" s="477"/>
      <c r="D2005" s="477"/>
      <c r="G2005" s="700"/>
      <c r="H2005" s="706"/>
      <c r="I2005" s="700"/>
      <c r="J2005" s="706"/>
      <c r="O2005" s="477"/>
    </row>
    <row r="2006" spans="1:15" ht="18" customHeight="1">
      <c r="A2006" s="477"/>
      <c r="D2006" s="477"/>
      <c r="G2006" s="700"/>
      <c r="H2006" s="706"/>
      <c r="I2006" s="700"/>
      <c r="J2006" s="706"/>
      <c r="O2006" s="477"/>
    </row>
    <row r="2007" spans="1:15" ht="18" customHeight="1">
      <c r="A2007" s="477"/>
      <c r="D2007" s="477"/>
      <c r="G2007" s="700"/>
      <c r="H2007" s="706"/>
      <c r="I2007" s="700"/>
      <c r="J2007" s="706"/>
      <c r="O2007" s="477"/>
    </row>
    <row r="2008" spans="1:15" ht="18" customHeight="1">
      <c r="A2008" s="477"/>
      <c r="D2008" s="477"/>
      <c r="G2008" s="700"/>
      <c r="H2008" s="706"/>
      <c r="I2008" s="700"/>
      <c r="J2008" s="706"/>
      <c r="O2008" s="477"/>
    </row>
    <row r="2009" spans="1:15" ht="18" customHeight="1">
      <c r="A2009" s="477"/>
      <c r="D2009" s="477"/>
      <c r="G2009" s="700"/>
      <c r="H2009" s="706"/>
      <c r="I2009" s="700"/>
      <c r="J2009" s="706"/>
      <c r="O2009" s="477"/>
    </row>
    <row r="2010" spans="1:15" ht="18" customHeight="1">
      <c r="A2010" s="477"/>
      <c r="D2010" s="477"/>
      <c r="G2010" s="700"/>
      <c r="H2010" s="706"/>
      <c r="I2010" s="700"/>
      <c r="J2010" s="706"/>
      <c r="O2010" s="477"/>
    </row>
    <row r="2011" spans="1:15" ht="18" customHeight="1">
      <c r="A2011" s="477"/>
      <c r="D2011" s="477"/>
      <c r="G2011" s="700"/>
      <c r="H2011" s="706"/>
      <c r="I2011" s="700"/>
      <c r="J2011" s="706"/>
      <c r="O2011" s="477"/>
    </row>
    <row r="2012" spans="1:15" ht="18" customHeight="1">
      <c r="A2012" s="477"/>
      <c r="D2012" s="477"/>
      <c r="G2012" s="700"/>
      <c r="H2012" s="706"/>
      <c r="I2012" s="700"/>
      <c r="J2012" s="706"/>
      <c r="O2012" s="477"/>
    </row>
    <row r="2013" spans="1:15" ht="18" customHeight="1">
      <c r="A2013" s="477"/>
      <c r="D2013" s="477"/>
      <c r="G2013" s="700"/>
      <c r="H2013" s="706"/>
      <c r="I2013" s="700"/>
      <c r="J2013" s="706"/>
      <c r="O2013" s="477"/>
    </row>
    <row r="2014" spans="1:15" ht="18" customHeight="1">
      <c r="A2014" s="477"/>
      <c r="D2014" s="477"/>
      <c r="G2014" s="700"/>
      <c r="H2014" s="706"/>
      <c r="I2014" s="700"/>
      <c r="J2014" s="706"/>
      <c r="O2014" s="477"/>
    </row>
    <row r="2015" spans="1:15" ht="18" customHeight="1">
      <c r="A2015" s="477"/>
      <c r="D2015" s="477"/>
      <c r="G2015" s="700"/>
      <c r="H2015" s="706"/>
      <c r="I2015" s="700"/>
      <c r="J2015" s="706"/>
      <c r="O2015" s="477"/>
    </row>
    <row r="2016" spans="1:15" ht="18" customHeight="1">
      <c r="A2016" s="477"/>
      <c r="D2016" s="477"/>
      <c r="G2016" s="700"/>
      <c r="H2016" s="706"/>
      <c r="I2016" s="700"/>
      <c r="J2016" s="706"/>
      <c r="O2016" s="477"/>
    </row>
    <row r="2017" spans="1:15" ht="18" customHeight="1">
      <c r="A2017" s="477"/>
      <c r="D2017" s="477"/>
      <c r="G2017" s="700"/>
      <c r="H2017" s="706"/>
      <c r="I2017" s="700"/>
      <c r="J2017" s="706"/>
      <c r="O2017" s="477"/>
    </row>
    <row r="2018" spans="1:15" ht="18" customHeight="1">
      <c r="A2018" s="477"/>
      <c r="D2018" s="477"/>
      <c r="G2018" s="700"/>
      <c r="H2018" s="706"/>
      <c r="I2018" s="700"/>
      <c r="J2018" s="706"/>
      <c r="O2018" s="477"/>
    </row>
    <row r="2019" spans="1:15" ht="18" customHeight="1">
      <c r="A2019" s="477"/>
      <c r="D2019" s="477"/>
      <c r="G2019" s="700"/>
      <c r="H2019" s="706"/>
      <c r="I2019" s="700"/>
      <c r="J2019" s="706"/>
      <c r="O2019" s="477"/>
    </row>
    <row r="2020" spans="1:15" ht="18" customHeight="1">
      <c r="A2020" s="477"/>
      <c r="D2020" s="477"/>
      <c r="G2020" s="700"/>
      <c r="H2020" s="706"/>
      <c r="I2020" s="700"/>
      <c r="J2020" s="706"/>
      <c r="O2020" s="477"/>
    </row>
    <row r="2021" spans="1:15" ht="18" customHeight="1">
      <c r="A2021" s="477"/>
      <c r="D2021" s="477"/>
      <c r="G2021" s="700"/>
      <c r="H2021" s="706"/>
      <c r="I2021" s="700"/>
      <c r="J2021" s="706"/>
      <c r="O2021" s="477"/>
    </row>
    <row r="2022" spans="1:15" ht="18" customHeight="1">
      <c r="A2022" s="477"/>
      <c r="D2022" s="477"/>
      <c r="G2022" s="700"/>
      <c r="H2022" s="706"/>
      <c r="I2022" s="700"/>
      <c r="J2022" s="706"/>
      <c r="O2022" s="477"/>
    </row>
    <row r="2023" spans="1:15" ht="18" customHeight="1">
      <c r="A2023" s="477"/>
      <c r="D2023" s="477"/>
      <c r="G2023" s="700"/>
      <c r="H2023" s="706"/>
      <c r="I2023" s="700"/>
      <c r="J2023" s="706"/>
      <c r="O2023" s="477"/>
    </row>
    <row r="2024" spans="1:15" ht="18" customHeight="1">
      <c r="A2024" s="477"/>
      <c r="D2024" s="477"/>
      <c r="G2024" s="700"/>
      <c r="H2024" s="706"/>
      <c r="I2024" s="700"/>
      <c r="J2024" s="706"/>
      <c r="O2024" s="477"/>
    </row>
    <row r="2025" spans="1:15" ht="18" customHeight="1">
      <c r="A2025" s="477"/>
      <c r="D2025" s="477"/>
      <c r="G2025" s="700"/>
      <c r="H2025" s="706"/>
      <c r="I2025" s="700"/>
      <c r="J2025" s="706"/>
      <c r="O2025" s="477"/>
    </row>
    <row r="2026" spans="1:15" ht="18" customHeight="1">
      <c r="A2026" s="477"/>
      <c r="D2026" s="477"/>
      <c r="G2026" s="700"/>
      <c r="H2026" s="706"/>
      <c r="I2026" s="700"/>
      <c r="J2026" s="706"/>
      <c r="O2026" s="477"/>
    </row>
    <row r="2027" spans="1:15" ht="18" customHeight="1">
      <c r="A2027" s="477"/>
      <c r="D2027" s="477"/>
      <c r="G2027" s="700"/>
      <c r="H2027" s="706"/>
      <c r="I2027" s="700"/>
      <c r="J2027" s="706"/>
      <c r="O2027" s="477"/>
    </row>
    <row r="2028" spans="1:15" ht="18" customHeight="1">
      <c r="A2028" s="477"/>
      <c r="D2028" s="477"/>
      <c r="G2028" s="700"/>
      <c r="H2028" s="706"/>
      <c r="I2028" s="700"/>
      <c r="J2028" s="706"/>
      <c r="O2028" s="477"/>
    </row>
    <row r="2029" spans="1:15" ht="18" customHeight="1">
      <c r="A2029" s="477"/>
      <c r="D2029" s="477"/>
      <c r="G2029" s="700"/>
      <c r="H2029" s="706"/>
      <c r="I2029" s="700"/>
      <c r="J2029" s="706"/>
      <c r="O2029" s="477"/>
    </row>
    <row r="2030" spans="1:15" ht="18" customHeight="1">
      <c r="A2030" s="477"/>
      <c r="D2030" s="477"/>
      <c r="G2030" s="700"/>
      <c r="H2030" s="706"/>
      <c r="I2030" s="700"/>
      <c r="J2030" s="706"/>
      <c r="O2030" s="477"/>
    </row>
    <row r="2031" spans="1:15" ht="18" customHeight="1">
      <c r="A2031" s="477"/>
      <c r="D2031" s="477"/>
      <c r="G2031" s="700"/>
      <c r="H2031" s="706"/>
      <c r="I2031" s="700"/>
      <c r="J2031" s="706"/>
      <c r="O2031" s="477"/>
    </row>
    <row r="2032" spans="1:15" ht="18" customHeight="1">
      <c r="A2032" s="477"/>
      <c r="D2032" s="477"/>
      <c r="G2032" s="700"/>
      <c r="H2032" s="706"/>
      <c r="I2032" s="700"/>
      <c r="J2032" s="706"/>
      <c r="O2032" s="477"/>
    </row>
    <row r="2033" spans="1:15" ht="18" customHeight="1">
      <c r="A2033" s="477"/>
      <c r="D2033" s="477"/>
      <c r="G2033" s="700"/>
      <c r="H2033" s="706"/>
      <c r="I2033" s="700"/>
      <c r="J2033" s="706"/>
      <c r="O2033" s="477"/>
    </row>
    <row r="2034" spans="1:15" ht="18" customHeight="1">
      <c r="A2034" s="477"/>
      <c r="D2034" s="477"/>
      <c r="G2034" s="700"/>
      <c r="H2034" s="706"/>
      <c r="I2034" s="700"/>
      <c r="J2034" s="706"/>
      <c r="O2034" s="477"/>
    </row>
    <row r="2035" spans="1:15" ht="18" customHeight="1">
      <c r="A2035" s="477"/>
      <c r="D2035" s="477"/>
      <c r="G2035" s="700"/>
      <c r="H2035" s="706"/>
      <c r="I2035" s="700"/>
      <c r="J2035" s="706"/>
      <c r="O2035" s="477"/>
    </row>
    <row r="2036" spans="1:15" ht="18" customHeight="1">
      <c r="A2036" s="477"/>
      <c r="D2036" s="477"/>
      <c r="G2036" s="700"/>
      <c r="H2036" s="706"/>
      <c r="I2036" s="700"/>
      <c r="J2036" s="706"/>
      <c r="O2036" s="477"/>
    </row>
    <row r="2037" spans="1:15" ht="18" customHeight="1">
      <c r="A2037" s="477"/>
      <c r="D2037" s="477"/>
      <c r="G2037" s="700"/>
      <c r="H2037" s="706"/>
      <c r="I2037" s="700"/>
      <c r="J2037" s="706"/>
      <c r="O2037" s="477"/>
    </row>
    <row r="2038" spans="1:15" ht="18" customHeight="1">
      <c r="A2038" s="477"/>
      <c r="D2038" s="477"/>
      <c r="G2038" s="700"/>
      <c r="H2038" s="706"/>
      <c r="I2038" s="700"/>
      <c r="J2038" s="706"/>
      <c r="O2038" s="477"/>
    </row>
    <row r="2039" spans="1:15" ht="18" customHeight="1">
      <c r="A2039" s="477"/>
      <c r="D2039" s="477"/>
      <c r="G2039" s="700"/>
      <c r="H2039" s="706"/>
      <c r="I2039" s="700"/>
      <c r="J2039" s="706"/>
      <c r="O2039" s="477"/>
    </row>
    <row r="2040" spans="1:15" ht="18" customHeight="1">
      <c r="A2040" s="477"/>
      <c r="D2040" s="477"/>
      <c r="G2040" s="700"/>
      <c r="H2040" s="706"/>
      <c r="I2040" s="700"/>
      <c r="J2040" s="706"/>
      <c r="O2040" s="477"/>
    </row>
    <row r="2041" spans="1:15" ht="18" customHeight="1">
      <c r="A2041" s="477"/>
      <c r="D2041" s="477"/>
      <c r="G2041" s="700"/>
      <c r="H2041" s="706"/>
      <c r="I2041" s="700"/>
      <c r="J2041" s="706"/>
      <c r="O2041" s="477"/>
    </row>
    <row r="2042" spans="1:15" ht="18" customHeight="1">
      <c r="A2042" s="477"/>
      <c r="D2042" s="477"/>
      <c r="G2042" s="700"/>
      <c r="H2042" s="706"/>
      <c r="I2042" s="700"/>
      <c r="J2042" s="706"/>
      <c r="O2042" s="477"/>
    </row>
    <row r="2043" spans="1:15" ht="18" customHeight="1">
      <c r="A2043" s="477"/>
      <c r="D2043" s="477"/>
      <c r="G2043" s="700"/>
      <c r="H2043" s="706"/>
      <c r="I2043" s="700"/>
      <c r="J2043" s="706"/>
      <c r="O2043" s="477"/>
    </row>
    <row r="2044" spans="1:15" ht="18" customHeight="1">
      <c r="A2044" s="477"/>
      <c r="D2044" s="477"/>
      <c r="G2044" s="700"/>
      <c r="H2044" s="706"/>
      <c r="I2044" s="700"/>
      <c r="J2044" s="706"/>
      <c r="O2044" s="477"/>
    </row>
    <row r="2045" spans="1:15" ht="18" customHeight="1">
      <c r="A2045" s="477"/>
      <c r="D2045" s="477"/>
      <c r="G2045" s="700"/>
      <c r="H2045" s="706"/>
      <c r="I2045" s="700"/>
      <c r="J2045" s="706"/>
      <c r="O2045" s="477"/>
    </row>
    <row r="2046" spans="1:15" ht="18" customHeight="1">
      <c r="A2046" s="477"/>
      <c r="D2046" s="477"/>
      <c r="G2046" s="700"/>
      <c r="H2046" s="706"/>
      <c r="I2046" s="700"/>
      <c r="J2046" s="706"/>
      <c r="O2046" s="477"/>
    </row>
    <row r="2047" spans="1:15" ht="18" customHeight="1">
      <c r="A2047" s="477"/>
      <c r="D2047" s="477"/>
      <c r="G2047" s="700"/>
      <c r="H2047" s="706"/>
      <c r="I2047" s="700"/>
      <c r="J2047" s="706"/>
      <c r="O2047" s="477"/>
    </row>
    <row r="2048" spans="1:15" ht="18" customHeight="1">
      <c r="A2048" s="477"/>
      <c r="D2048" s="477"/>
      <c r="G2048" s="700"/>
      <c r="H2048" s="706"/>
      <c r="I2048" s="700"/>
      <c r="J2048" s="706"/>
      <c r="O2048" s="477"/>
    </row>
    <row r="2049" spans="1:15" ht="18" customHeight="1">
      <c r="A2049" s="477"/>
      <c r="D2049" s="477"/>
      <c r="G2049" s="700"/>
      <c r="H2049" s="706"/>
      <c r="I2049" s="700"/>
      <c r="J2049" s="706"/>
      <c r="O2049" s="477"/>
    </row>
    <row r="2050" spans="1:15" ht="18" customHeight="1">
      <c r="A2050" s="477"/>
      <c r="D2050" s="477"/>
      <c r="G2050" s="700"/>
      <c r="H2050" s="706"/>
      <c r="I2050" s="700"/>
      <c r="J2050" s="706"/>
      <c r="O2050" s="477"/>
    </row>
    <row r="2051" spans="1:15" ht="18" customHeight="1">
      <c r="A2051" s="477"/>
      <c r="D2051" s="477"/>
      <c r="G2051" s="700"/>
      <c r="H2051" s="706"/>
      <c r="I2051" s="700"/>
      <c r="J2051" s="706"/>
      <c r="O2051" s="477"/>
    </row>
    <row r="2052" spans="1:15" ht="18" customHeight="1">
      <c r="A2052" s="477"/>
      <c r="D2052" s="477"/>
      <c r="G2052" s="700"/>
      <c r="H2052" s="706"/>
      <c r="I2052" s="700"/>
      <c r="J2052" s="706"/>
      <c r="O2052" s="477"/>
    </row>
    <row r="2053" spans="1:15" ht="18" customHeight="1">
      <c r="A2053" s="477"/>
      <c r="D2053" s="477"/>
      <c r="G2053" s="700"/>
      <c r="H2053" s="706"/>
      <c r="I2053" s="700"/>
      <c r="J2053" s="706"/>
      <c r="O2053" s="477"/>
    </row>
    <row r="2054" spans="1:15" ht="18" customHeight="1">
      <c r="A2054" s="477"/>
      <c r="D2054" s="477"/>
      <c r="G2054" s="700"/>
      <c r="H2054" s="706"/>
      <c r="I2054" s="700"/>
      <c r="J2054" s="706"/>
      <c r="O2054" s="477"/>
    </row>
    <row r="2055" spans="1:15" ht="18" customHeight="1">
      <c r="A2055" s="477"/>
      <c r="D2055" s="477"/>
      <c r="G2055" s="700"/>
      <c r="H2055" s="706"/>
      <c r="I2055" s="700"/>
      <c r="J2055" s="706"/>
      <c r="O2055" s="477"/>
    </row>
    <row r="2056" spans="1:15" ht="18" customHeight="1">
      <c r="A2056" s="477"/>
      <c r="D2056" s="477"/>
      <c r="G2056" s="700"/>
      <c r="H2056" s="706"/>
      <c r="I2056" s="700"/>
      <c r="J2056" s="706"/>
      <c r="O2056" s="477"/>
    </row>
    <row r="2057" spans="1:15" ht="18" customHeight="1">
      <c r="A2057" s="477"/>
      <c r="D2057" s="477"/>
      <c r="G2057" s="700"/>
      <c r="H2057" s="706"/>
      <c r="I2057" s="700"/>
      <c r="J2057" s="706"/>
      <c r="O2057" s="477"/>
    </row>
    <row r="2058" spans="1:15" ht="18" customHeight="1">
      <c r="A2058" s="477"/>
      <c r="D2058" s="477"/>
      <c r="G2058" s="700"/>
      <c r="H2058" s="706"/>
      <c r="I2058" s="700"/>
      <c r="J2058" s="706"/>
      <c r="O2058" s="477"/>
    </row>
    <row r="2059" spans="1:15" ht="18" customHeight="1">
      <c r="A2059" s="477"/>
      <c r="D2059" s="477"/>
      <c r="G2059" s="700"/>
      <c r="H2059" s="706"/>
      <c r="I2059" s="700"/>
      <c r="J2059" s="706"/>
      <c r="O2059" s="477"/>
    </row>
    <row r="2060" spans="1:15" ht="18" customHeight="1">
      <c r="A2060" s="477"/>
      <c r="D2060" s="477"/>
      <c r="G2060" s="700"/>
      <c r="H2060" s="706"/>
      <c r="I2060" s="700"/>
      <c r="J2060" s="706"/>
      <c r="O2060" s="477"/>
    </row>
    <row r="2061" spans="1:15" ht="18" customHeight="1">
      <c r="A2061" s="477"/>
      <c r="D2061" s="477"/>
      <c r="G2061" s="700"/>
      <c r="H2061" s="706"/>
      <c r="I2061" s="700"/>
      <c r="J2061" s="706"/>
      <c r="O2061" s="477"/>
    </row>
    <row r="2062" spans="1:15" ht="18" customHeight="1">
      <c r="A2062" s="477"/>
      <c r="D2062" s="477"/>
      <c r="G2062" s="700"/>
      <c r="H2062" s="706"/>
      <c r="I2062" s="700"/>
      <c r="J2062" s="706"/>
      <c r="O2062" s="477"/>
    </row>
    <row r="2063" spans="1:15" ht="18" customHeight="1">
      <c r="A2063" s="477"/>
      <c r="D2063" s="477"/>
      <c r="G2063" s="700"/>
      <c r="H2063" s="706"/>
      <c r="I2063" s="700"/>
      <c r="J2063" s="706"/>
      <c r="O2063" s="477"/>
    </row>
    <row r="2064" spans="1:15" ht="18" customHeight="1">
      <c r="A2064" s="477"/>
      <c r="D2064" s="477"/>
      <c r="G2064" s="700"/>
      <c r="H2064" s="706"/>
      <c r="I2064" s="700"/>
      <c r="J2064" s="706"/>
      <c r="O2064" s="477"/>
    </row>
    <row r="2065" spans="1:15" ht="18" customHeight="1">
      <c r="A2065" s="477"/>
      <c r="D2065" s="477"/>
      <c r="G2065" s="700"/>
      <c r="H2065" s="706"/>
      <c r="I2065" s="700"/>
      <c r="J2065" s="706"/>
      <c r="O2065" s="477"/>
    </row>
    <row r="2066" spans="1:15" ht="18" customHeight="1">
      <c r="A2066" s="477"/>
      <c r="D2066" s="477"/>
      <c r="G2066" s="700"/>
      <c r="H2066" s="706"/>
      <c r="I2066" s="700"/>
      <c r="J2066" s="706"/>
      <c r="O2066" s="477"/>
    </row>
    <row r="2067" spans="1:15" ht="18" customHeight="1">
      <c r="A2067" s="477"/>
      <c r="D2067" s="477"/>
      <c r="G2067" s="700"/>
      <c r="H2067" s="706"/>
      <c r="I2067" s="700"/>
      <c r="J2067" s="706"/>
      <c r="O2067" s="477"/>
    </row>
    <row r="2068" spans="1:15" ht="18" customHeight="1">
      <c r="A2068" s="477"/>
      <c r="D2068" s="477"/>
      <c r="G2068" s="700"/>
      <c r="H2068" s="706"/>
      <c r="I2068" s="700"/>
      <c r="J2068" s="706"/>
      <c r="O2068" s="477"/>
    </row>
    <row r="2069" spans="1:15" ht="18" customHeight="1">
      <c r="A2069" s="477"/>
      <c r="D2069" s="477"/>
      <c r="G2069" s="700"/>
      <c r="H2069" s="706"/>
      <c r="I2069" s="700"/>
      <c r="J2069" s="706"/>
      <c r="O2069" s="477"/>
    </row>
    <row r="2070" spans="1:15" ht="18" customHeight="1">
      <c r="A2070" s="477"/>
      <c r="D2070" s="477"/>
      <c r="G2070" s="700"/>
      <c r="H2070" s="706"/>
      <c r="I2070" s="700"/>
      <c r="J2070" s="706"/>
      <c r="O2070" s="477"/>
    </row>
    <row r="2071" spans="1:15" ht="18" customHeight="1">
      <c r="A2071" s="477"/>
      <c r="D2071" s="477"/>
      <c r="G2071" s="700"/>
      <c r="H2071" s="706"/>
      <c r="I2071" s="700"/>
      <c r="J2071" s="706"/>
      <c r="O2071" s="477"/>
    </row>
    <row r="2072" spans="1:15" ht="18" customHeight="1">
      <c r="A2072" s="477"/>
      <c r="D2072" s="477"/>
      <c r="G2072" s="700"/>
      <c r="H2072" s="706"/>
      <c r="I2072" s="700"/>
      <c r="J2072" s="706"/>
      <c r="O2072" s="477"/>
    </row>
    <row r="2073" spans="1:15" ht="18" customHeight="1">
      <c r="A2073" s="477"/>
      <c r="D2073" s="477"/>
      <c r="G2073" s="700"/>
      <c r="H2073" s="706"/>
      <c r="I2073" s="700"/>
      <c r="J2073" s="706"/>
      <c r="O2073" s="477"/>
    </row>
    <row r="2074" spans="1:15" ht="18" customHeight="1">
      <c r="A2074" s="477"/>
      <c r="D2074" s="477"/>
      <c r="G2074" s="700"/>
      <c r="H2074" s="706"/>
      <c r="I2074" s="700"/>
      <c r="J2074" s="706"/>
      <c r="O2074" s="477"/>
    </row>
    <row r="2075" spans="1:15" ht="18" customHeight="1">
      <c r="A2075" s="477"/>
      <c r="D2075" s="477"/>
      <c r="G2075" s="700"/>
      <c r="H2075" s="706"/>
      <c r="I2075" s="700"/>
      <c r="J2075" s="706"/>
      <c r="O2075" s="477"/>
    </row>
    <row r="2076" spans="1:15" ht="18" customHeight="1">
      <c r="A2076" s="477"/>
      <c r="D2076" s="477"/>
      <c r="G2076" s="700"/>
      <c r="H2076" s="706"/>
      <c r="I2076" s="700"/>
      <c r="J2076" s="706"/>
      <c r="O2076" s="477"/>
    </row>
    <row r="2077" spans="1:15" ht="18" customHeight="1">
      <c r="A2077" s="477"/>
      <c r="D2077" s="477"/>
      <c r="G2077" s="700"/>
      <c r="H2077" s="706"/>
      <c r="I2077" s="700"/>
      <c r="J2077" s="706"/>
      <c r="O2077" s="477"/>
    </row>
    <row r="2078" spans="1:15" ht="18" customHeight="1">
      <c r="A2078" s="477"/>
      <c r="D2078" s="477"/>
      <c r="G2078" s="700"/>
      <c r="H2078" s="706"/>
      <c r="I2078" s="700"/>
      <c r="J2078" s="706"/>
      <c r="O2078" s="477"/>
    </row>
    <row r="2079" spans="1:15" ht="18" customHeight="1">
      <c r="A2079" s="477"/>
      <c r="D2079" s="477"/>
      <c r="G2079" s="700"/>
      <c r="H2079" s="706"/>
      <c r="I2079" s="700"/>
      <c r="J2079" s="706"/>
      <c r="O2079" s="477"/>
    </row>
    <row r="2080" spans="1:15" ht="18" customHeight="1">
      <c r="A2080" s="477"/>
      <c r="D2080" s="477"/>
      <c r="G2080" s="700"/>
      <c r="H2080" s="706"/>
      <c r="I2080" s="700"/>
      <c r="J2080" s="706"/>
      <c r="O2080" s="477"/>
    </row>
    <row r="2081" spans="1:15" ht="18" customHeight="1">
      <c r="A2081" s="477"/>
      <c r="D2081" s="477"/>
      <c r="G2081" s="700"/>
      <c r="H2081" s="706"/>
      <c r="I2081" s="700"/>
      <c r="J2081" s="706"/>
      <c r="O2081" s="477"/>
    </row>
    <row r="2082" spans="1:15" ht="18" customHeight="1">
      <c r="A2082" s="477"/>
      <c r="D2082" s="477"/>
      <c r="G2082" s="700"/>
      <c r="H2082" s="706"/>
      <c r="I2082" s="700"/>
      <c r="J2082" s="706"/>
      <c r="O2082" s="477"/>
    </row>
    <row r="2083" spans="1:15" ht="18" customHeight="1">
      <c r="A2083" s="477"/>
      <c r="D2083" s="477"/>
      <c r="G2083" s="700"/>
      <c r="H2083" s="706"/>
      <c r="I2083" s="700"/>
      <c r="J2083" s="706"/>
      <c r="O2083" s="477"/>
    </row>
    <row r="2084" spans="1:15" ht="18" customHeight="1">
      <c r="A2084" s="477"/>
      <c r="D2084" s="477"/>
      <c r="G2084" s="700"/>
      <c r="H2084" s="706"/>
      <c r="I2084" s="700"/>
      <c r="J2084" s="706"/>
      <c r="O2084" s="477"/>
    </row>
    <row r="2085" spans="1:15" ht="18" customHeight="1">
      <c r="A2085" s="477"/>
      <c r="D2085" s="477"/>
      <c r="G2085" s="700"/>
      <c r="H2085" s="706"/>
      <c r="I2085" s="700"/>
      <c r="J2085" s="706"/>
      <c r="O2085" s="477"/>
    </row>
    <row r="2086" spans="1:15" ht="18" customHeight="1">
      <c r="A2086" s="477"/>
      <c r="D2086" s="477"/>
      <c r="G2086" s="700"/>
      <c r="H2086" s="706"/>
      <c r="I2086" s="700"/>
      <c r="J2086" s="706"/>
      <c r="O2086" s="477"/>
    </row>
    <row r="2087" spans="1:15" ht="18" customHeight="1">
      <c r="A2087" s="477"/>
      <c r="D2087" s="477"/>
      <c r="G2087" s="700"/>
      <c r="H2087" s="706"/>
      <c r="I2087" s="700"/>
      <c r="J2087" s="706"/>
      <c r="O2087" s="477"/>
    </row>
    <row r="2088" spans="1:15" ht="18" customHeight="1">
      <c r="A2088" s="477"/>
      <c r="D2088" s="477"/>
      <c r="G2088" s="700"/>
      <c r="H2088" s="706"/>
      <c r="I2088" s="700"/>
      <c r="J2088" s="706"/>
      <c r="O2088" s="477"/>
    </row>
    <row r="2089" spans="1:15" ht="18" customHeight="1">
      <c r="A2089" s="477"/>
      <c r="D2089" s="477"/>
      <c r="G2089" s="700"/>
      <c r="H2089" s="706"/>
      <c r="I2089" s="700"/>
      <c r="J2089" s="706"/>
      <c r="O2089" s="477"/>
    </row>
    <row r="2090" spans="1:15" ht="18" customHeight="1">
      <c r="A2090" s="477"/>
      <c r="D2090" s="477"/>
      <c r="G2090" s="700"/>
      <c r="H2090" s="706"/>
      <c r="I2090" s="700"/>
      <c r="J2090" s="706"/>
      <c r="O2090" s="477"/>
    </row>
    <row r="2091" spans="1:15" ht="18" customHeight="1">
      <c r="A2091" s="477"/>
      <c r="D2091" s="477"/>
      <c r="G2091" s="700"/>
      <c r="H2091" s="706"/>
      <c r="I2091" s="700"/>
      <c r="J2091" s="706"/>
      <c r="O2091" s="477"/>
    </row>
    <row r="2092" spans="1:15" ht="18" customHeight="1">
      <c r="A2092" s="477"/>
      <c r="D2092" s="477"/>
      <c r="G2092" s="700"/>
      <c r="H2092" s="706"/>
      <c r="I2092" s="700"/>
      <c r="J2092" s="706"/>
      <c r="O2092" s="477"/>
    </row>
    <row r="2093" spans="1:15" ht="18" customHeight="1">
      <c r="A2093" s="477"/>
      <c r="D2093" s="477"/>
      <c r="G2093" s="700"/>
      <c r="H2093" s="706"/>
      <c r="I2093" s="700"/>
      <c r="J2093" s="706"/>
      <c r="O2093" s="477"/>
    </row>
    <row r="2094" spans="1:15" ht="18" customHeight="1">
      <c r="A2094" s="477"/>
      <c r="D2094" s="477"/>
      <c r="G2094" s="700"/>
      <c r="H2094" s="706"/>
      <c r="I2094" s="700"/>
      <c r="J2094" s="706"/>
      <c r="O2094" s="477"/>
    </row>
    <row r="2095" spans="1:15" ht="18" customHeight="1">
      <c r="A2095" s="477"/>
      <c r="D2095" s="477"/>
      <c r="G2095" s="700"/>
      <c r="H2095" s="706"/>
      <c r="I2095" s="700"/>
      <c r="J2095" s="706"/>
      <c r="O2095" s="477"/>
    </row>
    <row r="2096" spans="1:15" ht="18" customHeight="1">
      <c r="A2096" s="477"/>
      <c r="D2096" s="477"/>
      <c r="G2096" s="700"/>
      <c r="H2096" s="706"/>
      <c r="I2096" s="700"/>
      <c r="J2096" s="706"/>
      <c r="O2096" s="477"/>
    </row>
    <row r="2097" spans="1:15" ht="18" customHeight="1">
      <c r="A2097" s="477"/>
      <c r="D2097" s="477"/>
      <c r="G2097" s="700"/>
      <c r="H2097" s="706"/>
      <c r="I2097" s="700"/>
      <c r="J2097" s="706"/>
      <c r="O2097" s="477"/>
    </row>
    <row r="2098" spans="1:15" ht="18" customHeight="1">
      <c r="A2098" s="477"/>
      <c r="D2098" s="477"/>
      <c r="G2098" s="700"/>
      <c r="H2098" s="706"/>
      <c r="I2098" s="700"/>
      <c r="J2098" s="706"/>
      <c r="O2098" s="477"/>
    </row>
    <row r="2099" spans="1:15" ht="18" customHeight="1">
      <c r="A2099" s="477"/>
      <c r="D2099" s="477"/>
      <c r="G2099" s="700"/>
      <c r="H2099" s="706"/>
      <c r="I2099" s="700"/>
      <c r="J2099" s="706"/>
      <c r="O2099" s="477"/>
    </row>
    <row r="2100" spans="1:15" ht="18" customHeight="1">
      <c r="A2100" s="477"/>
      <c r="D2100" s="477"/>
      <c r="G2100" s="700"/>
      <c r="H2100" s="706"/>
      <c r="I2100" s="700"/>
      <c r="J2100" s="706"/>
      <c r="O2100" s="477"/>
    </row>
    <row r="2101" spans="1:15" ht="18" customHeight="1">
      <c r="A2101" s="477"/>
      <c r="D2101" s="477"/>
      <c r="G2101" s="700"/>
      <c r="H2101" s="706"/>
      <c r="I2101" s="700"/>
      <c r="J2101" s="706"/>
      <c r="O2101" s="477"/>
    </row>
    <row r="2102" spans="1:15" ht="18" customHeight="1">
      <c r="A2102" s="477"/>
      <c r="D2102" s="477"/>
      <c r="G2102" s="700"/>
      <c r="H2102" s="706"/>
      <c r="I2102" s="700"/>
      <c r="J2102" s="706"/>
      <c r="O2102" s="477"/>
    </row>
    <row r="2103" spans="1:15" ht="18" customHeight="1">
      <c r="A2103" s="477"/>
      <c r="D2103" s="477"/>
      <c r="G2103" s="700"/>
      <c r="H2103" s="706"/>
      <c r="I2103" s="700"/>
      <c r="J2103" s="706"/>
      <c r="O2103" s="477"/>
    </row>
    <row r="2104" spans="1:15" ht="18" customHeight="1">
      <c r="A2104" s="477"/>
      <c r="D2104" s="477"/>
      <c r="G2104" s="700"/>
      <c r="H2104" s="706"/>
      <c r="I2104" s="700"/>
      <c r="J2104" s="706"/>
      <c r="O2104" s="477"/>
    </row>
    <row r="2105" spans="1:15" ht="18" customHeight="1">
      <c r="A2105" s="477"/>
      <c r="D2105" s="477"/>
      <c r="G2105" s="700"/>
      <c r="H2105" s="706"/>
      <c r="I2105" s="700"/>
      <c r="J2105" s="706"/>
      <c r="O2105" s="477"/>
    </row>
    <row r="2106" spans="1:15" ht="18" customHeight="1">
      <c r="A2106" s="477"/>
      <c r="D2106" s="477"/>
      <c r="G2106" s="700"/>
      <c r="H2106" s="706"/>
      <c r="I2106" s="700"/>
      <c r="J2106" s="706"/>
      <c r="O2106" s="477"/>
    </row>
    <row r="2107" spans="1:15" ht="18" customHeight="1">
      <c r="A2107" s="477"/>
      <c r="D2107" s="477"/>
      <c r="G2107" s="700"/>
      <c r="H2107" s="706"/>
      <c r="I2107" s="700"/>
      <c r="J2107" s="706"/>
      <c r="O2107" s="477"/>
    </row>
    <row r="2108" spans="1:15" ht="18" customHeight="1">
      <c r="A2108" s="477"/>
      <c r="D2108" s="477"/>
      <c r="G2108" s="700"/>
      <c r="H2108" s="706"/>
      <c r="I2108" s="700"/>
      <c r="J2108" s="706"/>
      <c r="O2108" s="477"/>
    </row>
    <row r="2109" spans="1:15" ht="18" customHeight="1">
      <c r="A2109" s="477"/>
      <c r="D2109" s="477"/>
      <c r="G2109" s="700"/>
      <c r="H2109" s="706"/>
      <c r="I2109" s="700"/>
      <c r="J2109" s="706"/>
      <c r="O2109" s="477"/>
    </row>
    <row r="2110" spans="1:15" ht="18" customHeight="1">
      <c r="A2110" s="477"/>
      <c r="D2110" s="477"/>
      <c r="G2110" s="700"/>
      <c r="H2110" s="706"/>
      <c r="I2110" s="700"/>
      <c r="J2110" s="706"/>
      <c r="O2110" s="477"/>
    </row>
    <row r="2111" spans="1:15" ht="18" customHeight="1">
      <c r="A2111" s="477"/>
      <c r="D2111" s="477"/>
      <c r="G2111" s="700"/>
      <c r="H2111" s="706"/>
      <c r="I2111" s="700"/>
      <c r="J2111" s="706"/>
      <c r="O2111" s="477"/>
    </row>
    <row r="2112" spans="1:15" ht="18" customHeight="1">
      <c r="A2112" s="477"/>
      <c r="D2112" s="477"/>
      <c r="G2112" s="700"/>
      <c r="H2112" s="706"/>
      <c r="I2112" s="700"/>
      <c r="J2112" s="706"/>
      <c r="O2112" s="477"/>
    </row>
    <row r="2113" spans="1:15" ht="18" customHeight="1">
      <c r="A2113" s="477"/>
      <c r="D2113" s="477"/>
      <c r="G2113" s="700"/>
      <c r="H2113" s="706"/>
      <c r="I2113" s="700"/>
      <c r="J2113" s="706"/>
      <c r="O2113" s="477"/>
    </row>
    <row r="2114" spans="1:15" ht="18" customHeight="1">
      <c r="A2114" s="477"/>
      <c r="D2114" s="477"/>
      <c r="G2114" s="700"/>
      <c r="H2114" s="706"/>
      <c r="I2114" s="700"/>
      <c r="J2114" s="706"/>
      <c r="O2114" s="477"/>
    </row>
    <row r="2115" spans="1:15" ht="18" customHeight="1">
      <c r="A2115" s="477"/>
      <c r="D2115" s="477"/>
      <c r="G2115" s="700"/>
      <c r="H2115" s="706"/>
      <c r="I2115" s="700"/>
      <c r="J2115" s="706"/>
      <c r="O2115" s="477"/>
    </row>
    <row r="2116" spans="1:15" ht="18" customHeight="1">
      <c r="A2116" s="477"/>
      <c r="D2116" s="477"/>
      <c r="G2116" s="700"/>
      <c r="H2116" s="706"/>
      <c r="I2116" s="700"/>
      <c r="J2116" s="706"/>
      <c r="O2116" s="477"/>
    </row>
    <row r="2117" spans="1:15" ht="18" customHeight="1">
      <c r="A2117" s="477"/>
      <c r="D2117" s="477"/>
      <c r="G2117" s="700"/>
      <c r="H2117" s="706"/>
      <c r="I2117" s="700"/>
      <c r="J2117" s="706"/>
      <c r="O2117" s="477"/>
    </row>
    <row r="2118" spans="1:15" ht="18" customHeight="1">
      <c r="A2118" s="477"/>
      <c r="D2118" s="477"/>
      <c r="G2118" s="700"/>
      <c r="H2118" s="706"/>
      <c r="I2118" s="700"/>
      <c r="J2118" s="706"/>
      <c r="O2118" s="477"/>
    </row>
    <row r="2119" spans="1:15" ht="18" customHeight="1">
      <c r="A2119" s="477"/>
      <c r="D2119" s="477"/>
      <c r="G2119" s="700"/>
      <c r="H2119" s="706"/>
      <c r="I2119" s="700"/>
      <c r="J2119" s="706"/>
      <c r="O2119" s="477"/>
    </row>
    <row r="2120" spans="1:15" ht="18" customHeight="1">
      <c r="A2120" s="477"/>
      <c r="D2120" s="477"/>
      <c r="G2120" s="700"/>
      <c r="H2120" s="706"/>
      <c r="I2120" s="700"/>
      <c r="J2120" s="706"/>
      <c r="O2120" s="477"/>
    </row>
    <row r="2121" spans="1:15" ht="18" customHeight="1">
      <c r="A2121" s="477"/>
      <c r="D2121" s="477"/>
      <c r="G2121" s="700"/>
      <c r="H2121" s="706"/>
      <c r="I2121" s="700"/>
      <c r="J2121" s="706"/>
      <c r="O2121" s="477"/>
    </row>
    <row r="2122" spans="1:15" ht="18" customHeight="1">
      <c r="A2122" s="477"/>
      <c r="D2122" s="477"/>
      <c r="G2122" s="700"/>
      <c r="H2122" s="706"/>
      <c r="I2122" s="700"/>
      <c r="J2122" s="706"/>
      <c r="O2122" s="477"/>
    </row>
    <row r="2123" spans="1:15" ht="18" customHeight="1">
      <c r="A2123" s="477"/>
      <c r="D2123" s="477"/>
      <c r="G2123" s="700"/>
      <c r="H2123" s="706"/>
      <c r="I2123" s="700"/>
      <c r="J2123" s="706"/>
      <c r="O2123" s="477"/>
    </row>
    <row r="2124" spans="1:15" ht="18" customHeight="1">
      <c r="A2124" s="477"/>
      <c r="D2124" s="477"/>
      <c r="G2124" s="700"/>
      <c r="H2124" s="706"/>
      <c r="I2124" s="700"/>
      <c r="J2124" s="706"/>
      <c r="O2124" s="477"/>
    </row>
    <row r="2125" spans="1:15" ht="18" customHeight="1">
      <c r="A2125" s="477"/>
      <c r="D2125" s="477"/>
      <c r="G2125" s="700"/>
      <c r="H2125" s="706"/>
      <c r="I2125" s="700"/>
      <c r="J2125" s="706"/>
      <c r="O2125" s="477"/>
    </row>
    <row r="2126" spans="1:15" ht="18" customHeight="1">
      <c r="A2126" s="477"/>
      <c r="D2126" s="477"/>
      <c r="G2126" s="700"/>
      <c r="H2126" s="706"/>
      <c r="I2126" s="700"/>
      <c r="J2126" s="706"/>
      <c r="O2126" s="477"/>
    </row>
    <row r="2127" spans="1:15" ht="18" customHeight="1">
      <c r="A2127" s="477"/>
      <c r="D2127" s="477"/>
      <c r="G2127" s="700"/>
      <c r="H2127" s="706"/>
      <c r="I2127" s="700"/>
      <c r="J2127" s="706"/>
      <c r="O2127" s="477"/>
    </row>
    <row r="2128" spans="1:15" ht="18" customHeight="1">
      <c r="A2128" s="477"/>
      <c r="D2128" s="477"/>
      <c r="G2128" s="700"/>
      <c r="H2128" s="706"/>
      <c r="I2128" s="700"/>
      <c r="J2128" s="706"/>
      <c r="O2128" s="477"/>
    </row>
    <row r="2129" spans="1:15" ht="18" customHeight="1">
      <c r="A2129" s="477"/>
      <c r="D2129" s="477"/>
      <c r="G2129" s="700"/>
      <c r="H2129" s="706"/>
      <c r="I2129" s="700"/>
      <c r="J2129" s="706"/>
      <c r="O2129" s="477"/>
    </row>
    <row r="2130" spans="1:15" ht="18" customHeight="1">
      <c r="A2130" s="477"/>
      <c r="D2130" s="477"/>
      <c r="G2130" s="700"/>
      <c r="H2130" s="706"/>
      <c r="I2130" s="700"/>
      <c r="J2130" s="706"/>
      <c r="O2130" s="477"/>
    </row>
    <row r="2131" spans="1:15" ht="18" customHeight="1">
      <c r="A2131" s="477"/>
      <c r="D2131" s="477"/>
      <c r="G2131" s="700"/>
      <c r="H2131" s="706"/>
      <c r="I2131" s="700"/>
      <c r="J2131" s="706"/>
      <c r="O2131" s="477"/>
    </row>
    <row r="2132" spans="1:15" ht="18" customHeight="1">
      <c r="A2132" s="477"/>
      <c r="D2132" s="477"/>
      <c r="G2132" s="700"/>
      <c r="H2132" s="706"/>
      <c r="I2132" s="700"/>
      <c r="J2132" s="706"/>
      <c r="O2132" s="477"/>
    </row>
    <row r="2133" spans="1:15" ht="18" customHeight="1">
      <c r="A2133" s="477"/>
      <c r="D2133" s="477"/>
      <c r="G2133" s="700"/>
      <c r="H2133" s="706"/>
      <c r="I2133" s="700"/>
      <c r="J2133" s="706"/>
      <c r="O2133" s="477"/>
    </row>
    <row r="2134" spans="1:15" ht="18" customHeight="1">
      <c r="A2134" s="477"/>
      <c r="D2134" s="477"/>
      <c r="G2134" s="700"/>
      <c r="H2134" s="706"/>
      <c r="I2134" s="700"/>
      <c r="J2134" s="706"/>
      <c r="O2134" s="477"/>
    </row>
    <row r="2135" spans="1:15" ht="18" customHeight="1">
      <c r="A2135" s="477"/>
      <c r="D2135" s="477"/>
      <c r="G2135" s="700"/>
      <c r="H2135" s="706"/>
      <c r="I2135" s="700"/>
      <c r="J2135" s="706"/>
      <c r="O2135" s="477"/>
    </row>
    <row r="2136" spans="1:15" ht="18" customHeight="1">
      <c r="A2136" s="477"/>
      <c r="D2136" s="477"/>
      <c r="G2136" s="700"/>
      <c r="H2136" s="706"/>
      <c r="I2136" s="700"/>
      <c r="J2136" s="706"/>
      <c r="O2136" s="477"/>
    </row>
    <row r="2137" spans="1:15" ht="18" customHeight="1">
      <c r="A2137" s="477"/>
      <c r="D2137" s="477"/>
      <c r="G2137" s="700"/>
      <c r="H2137" s="706"/>
      <c r="I2137" s="700"/>
      <c r="J2137" s="706"/>
      <c r="O2137" s="477"/>
    </row>
    <row r="2138" spans="1:15" ht="18" customHeight="1">
      <c r="A2138" s="477"/>
      <c r="D2138" s="477"/>
      <c r="G2138" s="700"/>
      <c r="H2138" s="706"/>
      <c r="I2138" s="700"/>
      <c r="J2138" s="706"/>
      <c r="O2138" s="477"/>
    </row>
    <row r="2139" spans="1:15" ht="18" customHeight="1">
      <c r="A2139" s="477"/>
      <c r="D2139" s="477"/>
      <c r="G2139" s="700"/>
      <c r="H2139" s="706"/>
      <c r="I2139" s="700"/>
      <c r="J2139" s="706"/>
      <c r="O2139" s="477"/>
    </row>
    <row r="2140" spans="1:15" ht="18" customHeight="1">
      <c r="A2140" s="477"/>
      <c r="D2140" s="477"/>
      <c r="G2140" s="700"/>
      <c r="H2140" s="706"/>
      <c r="I2140" s="700"/>
      <c r="J2140" s="706"/>
      <c r="O2140" s="477"/>
    </row>
    <row r="2141" spans="1:15" ht="18" customHeight="1">
      <c r="A2141" s="477"/>
      <c r="D2141" s="477"/>
      <c r="G2141" s="700"/>
      <c r="H2141" s="706"/>
      <c r="I2141" s="700"/>
      <c r="J2141" s="706"/>
      <c r="O2141" s="477"/>
    </row>
    <row r="2142" spans="1:15" ht="18" customHeight="1">
      <c r="A2142" s="477"/>
      <c r="D2142" s="477"/>
      <c r="G2142" s="700"/>
      <c r="H2142" s="706"/>
      <c r="I2142" s="700"/>
      <c r="J2142" s="706"/>
      <c r="O2142" s="477"/>
    </row>
    <row r="2143" spans="1:15" ht="18" customHeight="1">
      <c r="A2143" s="477"/>
      <c r="D2143" s="477"/>
      <c r="G2143" s="700"/>
      <c r="H2143" s="706"/>
      <c r="I2143" s="700"/>
      <c r="J2143" s="706"/>
      <c r="O2143" s="477"/>
    </row>
    <row r="2144" spans="1:15" ht="18" customHeight="1">
      <c r="A2144" s="477"/>
      <c r="D2144" s="477"/>
      <c r="G2144" s="700"/>
      <c r="H2144" s="706"/>
      <c r="I2144" s="700"/>
      <c r="J2144" s="706"/>
      <c r="O2144" s="477"/>
    </row>
    <row r="2145" spans="1:15" ht="18" customHeight="1">
      <c r="A2145" s="477"/>
      <c r="D2145" s="477"/>
      <c r="G2145" s="700"/>
      <c r="H2145" s="706"/>
      <c r="I2145" s="700"/>
      <c r="J2145" s="706"/>
      <c r="O2145" s="477"/>
    </row>
    <row r="2146" spans="1:15" ht="18" customHeight="1">
      <c r="A2146" s="477"/>
      <c r="D2146" s="477"/>
      <c r="G2146" s="700"/>
      <c r="H2146" s="706"/>
      <c r="I2146" s="700"/>
      <c r="J2146" s="706"/>
      <c r="O2146" s="477"/>
    </row>
    <row r="2147" spans="1:15" ht="18" customHeight="1">
      <c r="A2147" s="477"/>
      <c r="D2147" s="477"/>
      <c r="G2147" s="700"/>
      <c r="H2147" s="706"/>
      <c r="I2147" s="700"/>
      <c r="J2147" s="706"/>
      <c r="O2147" s="477"/>
    </row>
    <row r="2148" spans="1:15" ht="18" customHeight="1">
      <c r="A2148" s="477"/>
      <c r="D2148" s="477"/>
      <c r="G2148" s="700"/>
      <c r="H2148" s="706"/>
      <c r="I2148" s="700"/>
      <c r="J2148" s="706"/>
      <c r="O2148" s="477"/>
    </row>
    <row r="2149" spans="1:15" ht="18" customHeight="1">
      <c r="A2149" s="477"/>
      <c r="D2149" s="477"/>
      <c r="G2149" s="700"/>
      <c r="H2149" s="706"/>
      <c r="I2149" s="700"/>
      <c r="J2149" s="706"/>
      <c r="O2149" s="477"/>
    </row>
    <row r="2150" spans="1:15" ht="18" customHeight="1">
      <c r="A2150" s="477"/>
      <c r="D2150" s="477"/>
      <c r="G2150" s="700"/>
      <c r="H2150" s="706"/>
      <c r="I2150" s="700"/>
      <c r="J2150" s="706"/>
      <c r="O2150" s="477"/>
    </row>
    <row r="2151" spans="1:15" ht="18" customHeight="1">
      <c r="A2151" s="477"/>
      <c r="D2151" s="477"/>
      <c r="G2151" s="700"/>
      <c r="H2151" s="706"/>
      <c r="I2151" s="700"/>
      <c r="J2151" s="706"/>
      <c r="O2151" s="477"/>
    </row>
    <row r="2152" spans="1:15" ht="18" customHeight="1">
      <c r="A2152" s="477"/>
      <c r="D2152" s="477"/>
      <c r="G2152" s="700"/>
      <c r="H2152" s="706"/>
      <c r="I2152" s="700"/>
      <c r="J2152" s="706"/>
      <c r="O2152" s="477"/>
    </row>
    <row r="2153" spans="1:15" ht="18" customHeight="1">
      <c r="A2153" s="477"/>
      <c r="D2153" s="477"/>
      <c r="G2153" s="700"/>
      <c r="H2153" s="706"/>
      <c r="I2153" s="700"/>
      <c r="J2153" s="706"/>
      <c r="O2153" s="477"/>
    </row>
    <row r="2154" spans="1:15" ht="18" customHeight="1">
      <c r="A2154" s="477"/>
      <c r="D2154" s="477"/>
      <c r="G2154" s="700"/>
      <c r="H2154" s="706"/>
      <c r="I2154" s="700"/>
      <c r="J2154" s="706"/>
      <c r="O2154" s="477"/>
    </row>
    <row r="2155" spans="1:15" ht="18" customHeight="1">
      <c r="A2155" s="477"/>
      <c r="D2155" s="477"/>
      <c r="G2155" s="700"/>
      <c r="H2155" s="706"/>
      <c r="I2155" s="700"/>
      <c r="J2155" s="706"/>
      <c r="O2155" s="477"/>
    </row>
    <row r="2156" spans="1:15" ht="18" customHeight="1">
      <c r="A2156" s="477"/>
      <c r="D2156" s="477"/>
      <c r="G2156" s="700"/>
      <c r="H2156" s="706"/>
      <c r="I2156" s="700"/>
      <c r="J2156" s="706"/>
      <c r="O2156" s="477"/>
    </row>
    <row r="2157" spans="1:15" ht="18" customHeight="1">
      <c r="A2157" s="477"/>
      <c r="D2157" s="477"/>
      <c r="G2157" s="700"/>
      <c r="H2157" s="706"/>
      <c r="I2157" s="700"/>
      <c r="J2157" s="706"/>
      <c r="O2157" s="477"/>
    </row>
    <row r="2158" spans="1:15" ht="18" customHeight="1">
      <c r="A2158" s="477"/>
      <c r="D2158" s="477"/>
      <c r="G2158" s="700"/>
      <c r="H2158" s="706"/>
      <c r="I2158" s="700"/>
      <c r="J2158" s="706"/>
      <c r="O2158" s="477"/>
    </row>
    <row r="2159" spans="1:15" ht="18" customHeight="1">
      <c r="A2159" s="477"/>
      <c r="D2159" s="477"/>
      <c r="G2159" s="700"/>
      <c r="H2159" s="706"/>
      <c r="I2159" s="700"/>
      <c r="J2159" s="706"/>
      <c r="O2159" s="477"/>
    </row>
    <row r="2160" spans="1:15" ht="18" customHeight="1">
      <c r="A2160" s="477"/>
      <c r="D2160" s="477"/>
      <c r="G2160" s="700"/>
      <c r="H2160" s="706"/>
      <c r="I2160" s="700"/>
      <c r="J2160" s="706"/>
      <c r="O2160" s="477"/>
    </row>
    <row r="2161" spans="1:15" ht="18" customHeight="1">
      <c r="A2161" s="477"/>
      <c r="D2161" s="477"/>
      <c r="G2161" s="700"/>
      <c r="H2161" s="706"/>
      <c r="I2161" s="700"/>
      <c r="J2161" s="706"/>
      <c r="O2161" s="477"/>
    </row>
    <row r="2162" spans="1:15" ht="18" customHeight="1">
      <c r="A2162" s="477"/>
      <c r="D2162" s="477"/>
      <c r="G2162" s="700"/>
      <c r="H2162" s="706"/>
      <c r="I2162" s="700"/>
      <c r="J2162" s="706"/>
      <c r="O2162" s="477"/>
    </row>
    <row r="2163" spans="1:15" ht="18" customHeight="1">
      <c r="A2163" s="477"/>
      <c r="D2163" s="477"/>
      <c r="G2163" s="700"/>
      <c r="H2163" s="706"/>
      <c r="I2163" s="700"/>
      <c r="J2163" s="706"/>
      <c r="O2163" s="477"/>
    </row>
    <row r="2164" spans="1:15" ht="18" customHeight="1">
      <c r="A2164" s="477"/>
      <c r="D2164" s="477"/>
      <c r="G2164" s="700"/>
      <c r="H2164" s="706"/>
      <c r="I2164" s="700"/>
      <c r="J2164" s="706"/>
      <c r="O2164" s="477"/>
    </row>
    <row r="2165" spans="1:15" ht="18" customHeight="1">
      <c r="A2165" s="477"/>
      <c r="D2165" s="477"/>
      <c r="G2165" s="700"/>
      <c r="H2165" s="706"/>
      <c r="I2165" s="700"/>
      <c r="J2165" s="706"/>
      <c r="O2165" s="477"/>
    </row>
    <row r="2166" spans="1:15" ht="18" customHeight="1">
      <c r="A2166" s="477"/>
      <c r="D2166" s="477"/>
      <c r="G2166" s="700"/>
      <c r="H2166" s="706"/>
      <c r="I2166" s="700"/>
      <c r="J2166" s="706"/>
      <c r="O2166" s="477"/>
    </row>
    <row r="2167" spans="1:15" ht="18" customHeight="1">
      <c r="A2167" s="477"/>
      <c r="D2167" s="477"/>
      <c r="G2167" s="700"/>
      <c r="H2167" s="706"/>
      <c r="I2167" s="700"/>
      <c r="J2167" s="706"/>
      <c r="O2167" s="477"/>
    </row>
    <row r="2168" spans="1:15" ht="18" customHeight="1">
      <c r="A2168" s="477"/>
      <c r="D2168" s="477"/>
      <c r="G2168" s="700"/>
      <c r="H2168" s="706"/>
      <c r="I2168" s="700"/>
      <c r="J2168" s="706"/>
      <c r="O2168" s="477"/>
    </row>
    <row r="2169" spans="1:15" ht="18" customHeight="1">
      <c r="A2169" s="477"/>
      <c r="D2169" s="477"/>
      <c r="G2169" s="700"/>
      <c r="H2169" s="706"/>
      <c r="I2169" s="700"/>
      <c r="J2169" s="706"/>
      <c r="O2169" s="477"/>
    </row>
    <row r="2170" spans="1:15" ht="18" customHeight="1">
      <c r="A2170" s="477"/>
      <c r="D2170" s="477"/>
      <c r="G2170" s="700"/>
      <c r="H2170" s="706"/>
      <c r="I2170" s="700"/>
      <c r="J2170" s="706"/>
      <c r="O2170" s="477"/>
    </row>
    <row r="2171" spans="1:15" ht="18" customHeight="1">
      <c r="A2171" s="477"/>
      <c r="D2171" s="477"/>
      <c r="G2171" s="700"/>
      <c r="H2171" s="706"/>
      <c r="I2171" s="700"/>
      <c r="J2171" s="706"/>
      <c r="O2171" s="477"/>
    </row>
    <row r="2172" spans="1:15" ht="18" customHeight="1">
      <c r="A2172" s="477"/>
      <c r="D2172" s="477"/>
      <c r="G2172" s="700"/>
      <c r="H2172" s="706"/>
      <c r="I2172" s="700"/>
      <c r="J2172" s="706"/>
      <c r="O2172" s="477"/>
    </row>
    <row r="2173" spans="1:15" ht="18" customHeight="1">
      <c r="A2173" s="477"/>
      <c r="D2173" s="477"/>
      <c r="G2173" s="700"/>
      <c r="H2173" s="706"/>
      <c r="I2173" s="700"/>
      <c r="J2173" s="706"/>
      <c r="O2173" s="477"/>
    </row>
    <row r="2174" spans="1:15" ht="18" customHeight="1">
      <c r="A2174" s="477"/>
      <c r="D2174" s="477"/>
      <c r="G2174" s="700"/>
      <c r="H2174" s="706"/>
      <c r="I2174" s="700"/>
      <c r="J2174" s="706"/>
      <c r="O2174" s="477"/>
    </row>
    <row r="2175" spans="1:15" ht="18" customHeight="1">
      <c r="A2175" s="477"/>
      <c r="D2175" s="477"/>
      <c r="G2175" s="700"/>
      <c r="H2175" s="706"/>
      <c r="I2175" s="700"/>
      <c r="J2175" s="706"/>
      <c r="O2175" s="477"/>
    </row>
    <row r="2176" spans="1:15" ht="18" customHeight="1">
      <c r="A2176" s="477"/>
      <c r="D2176" s="477"/>
      <c r="G2176" s="700"/>
      <c r="H2176" s="706"/>
      <c r="I2176" s="700"/>
      <c r="J2176" s="706"/>
      <c r="O2176" s="477"/>
    </row>
    <row r="2177" spans="1:15" ht="18" customHeight="1">
      <c r="A2177" s="477"/>
      <c r="D2177" s="477"/>
      <c r="G2177" s="700"/>
      <c r="H2177" s="706"/>
      <c r="I2177" s="700"/>
      <c r="J2177" s="706"/>
      <c r="O2177" s="477"/>
    </row>
    <row r="2178" spans="1:15" ht="18" customHeight="1">
      <c r="A2178" s="477"/>
      <c r="D2178" s="477"/>
      <c r="G2178" s="700"/>
      <c r="H2178" s="706"/>
      <c r="I2178" s="700"/>
      <c r="J2178" s="706"/>
      <c r="O2178" s="477"/>
    </row>
    <row r="2179" spans="1:15" ht="18" customHeight="1">
      <c r="A2179" s="477"/>
      <c r="D2179" s="477"/>
      <c r="G2179" s="700"/>
      <c r="H2179" s="706"/>
      <c r="I2179" s="700"/>
      <c r="J2179" s="706"/>
      <c r="O2179" s="477"/>
    </row>
    <row r="2180" spans="1:15" ht="18" customHeight="1">
      <c r="A2180" s="477"/>
      <c r="D2180" s="477"/>
      <c r="G2180" s="700"/>
      <c r="H2180" s="706"/>
      <c r="I2180" s="700"/>
      <c r="J2180" s="706"/>
      <c r="O2180" s="477"/>
    </row>
    <row r="2181" spans="1:15" ht="18" customHeight="1">
      <c r="A2181" s="477"/>
      <c r="D2181" s="477"/>
      <c r="G2181" s="700"/>
      <c r="H2181" s="706"/>
      <c r="I2181" s="700"/>
      <c r="J2181" s="706"/>
      <c r="O2181" s="477"/>
    </row>
    <row r="2182" spans="1:15" ht="18" customHeight="1">
      <c r="A2182" s="477"/>
      <c r="D2182" s="477"/>
      <c r="G2182" s="700"/>
      <c r="H2182" s="706"/>
      <c r="I2182" s="700"/>
      <c r="J2182" s="706"/>
      <c r="O2182" s="477"/>
    </row>
    <row r="2183" spans="1:15" ht="18" customHeight="1">
      <c r="A2183" s="477"/>
      <c r="D2183" s="477"/>
      <c r="G2183" s="700"/>
      <c r="H2183" s="706"/>
      <c r="I2183" s="700"/>
      <c r="J2183" s="706"/>
      <c r="O2183" s="477"/>
    </row>
    <row r="2184" spans="1:15" ht="18" customHeight="1">
      <c r="A2184" s="477"/>
      <c r="D2184" s="477"/>
      <c r="G2184" s="700"/>
      <c r="H2184" s="706"/>
      <c r="I2184" s="700"/>
      <c r="J2184" s="706"/>
      <c r="O2184" s="477"/>
    </row>
    <row r="2185" spans="1:15" ht="18" customHeight="1">
      <c r="A2185" s="477"/>
      <c r="D2185" s="477"/>
      <c r="G2185" s="700"/>
      <c r="H2185" s="706"/>
      <c r="I2185" s="700"/>
      <c r="J2185" s="706"/>
      <c r="O2185" s="477"/>
    </row>
    <row r="2186" spans="1:15" ht="18" customHeight="1">
      <c r="A2186" s="477"/>
      <c r="D2186" s="477"/>
      <c r="G2186" s="700"/>
      <c r="H2186" s="706"/>
      <c r="I2186" s="700"/>
      <c r="J2186" s="706"/>
      <c r="O2186" s="477"/>
    </row>
    <row r="2187" spans="1:15" ht="18" customHeight="1">
      <c r="A2187" s="477"/>
      <c r="D2187" s="477"/>
      <c r="G2187" s="700"/>
      <c r="H2187" s="706"/>
      <c r="I2187" s="700"/>
      <c r="J2187" s="706"/>
      <c r="O2187" s="477"/>
    </row>
    <row r="2188" spans="1:15" ht="18" customHeight="1">
      <c r="A2188" s="477"/>
      <c r="D2188" s="477"/>
      <c r="G2188" s="700"/>
      <c r="H2188" s="706"/>
      <c r="I2188" s="700"/>
      <c r="J2188" s="706"/>
      <c r="O2188" s="477"/>
    </row>
    <row r="2189" spans="1:15" ht="18" customHeight="1">
      <c r="A2189" s="477"/>
      <c r="D2189" s="477"/>
      <c r="G2189" s="700"/>
      <c r="H2189" s="706"/>
      <c r="I2189" s="700"/>
      <c r="J2189" s="706"/>
      <c r="O2189" s="477"/>
    </row>
    <row r="2190" spans="1:15" ht="18" customHeight="1">
      <c r="A2190" s="477"/>
      <c r="D2190" s="477"/>
      <c r="G2190" s="700"/>
      <c r="H2190" s="706"/>
      <c r="I2190" s="700"/>
      <c r="J2190" s="706"/>
      <c r="O2190" s="477"/>
    </row>
    <row r="2191" spans="1:15" ht="18" customHeight="1">
      <c r="A2191" s="477"/>
      <c r="D2191" s="477"/>
      <c r="G2191" s="700"/>
      <c r="H2191" s="706"/>
      <c r="I2191" s="700"/>
      <c r="J2191" s="706"/>
      <c r="O2191" s="477"/>
    </row>
    <row r="2192" spans="1:15" ht="18" customHeight="1">
      <c r="A2192" s="477"/>
      <c r="D2192" s="477"/>
      <c r="G2192" s="700"/>
      <c r="H2192" s="706"/>
      <c r="I2192" s="700"/>
      <c r="J2192" s="706"/>
      <c r="O2192" s="477"/>
    </row>
    <row r="2193" spans="1:15" ht="18" customHeight="1">
      <c r="A2193" s="477"/>
      <c r="D2193" s="477"/>
      <c r="G2193" s="700"/>
      <c r="H2193" s="706"/>
      <c r="I2193" s="700"/>
      <c r="J2193" s="706"/>
      <c r="O2193" s="477"/>
    </row>
    <row r="2194" spans="1:15" ht="18" customHeight="1">
      <c r="A2194" s="477"/>
      <c r="D2194" s="477"/>
      <c r="G2194" s="700"/>
      <c r="H2194" s="706"/>
      <c r="I2194" s="700"/>
      <c r="J2194" s="706"/>
      <c r="O2194" s="477"/>
    </row>
    <row r="2195" spans="1:15" ht="18" customHeight="1">
      <c r="A2195" s="477"/>
      <c r="D2195" s="477"/>
      <c r="G2195" s="700"/>
      <c r="H2195" s="706"/>
      <c r="I2195" s="700"/>
      <c r="J2195" s="706"/>
      <c r="O2195" s="477"/>
    </row>
    <row r="2196" spans="1:15" ht="18" customHeight="1">
      <c r="A2196" s="477"/>
      <c r="D2196" s="477"/>
      <c r="G2196" s="700"/>
      <c r="H2196" s="706"/>
      <c r="I2196" s="700"/>
      <c r="J2196" s="706"/>
      <c r="O2196" s="477"/>
    </row>
    <row r="2197" spans="1:15" ht="18" customHeight="1">
      <c r="A2197" s="477"/>
      <c r="D2197" s="477"/>
      <c r="G2197" s="700"/>
      <c r="H2197" s="706"/>
      <c r="I2197" s="700"/>
      <c r="J2197" s="706"/>
      <c r="O2197" s="477"/>
    </row>
    <row r="2198" spans="1:15" ht="18" customHeight="1">
      <c r="A2198" s="477"/>
      <c r="D2198" s="477"/>
      <c r="G2198" s="700"/>
      <c r="H2198" s="706"/>
      <c r="I2198" s="700"/>
      <c r="J2198" s="706"/>
      <c r="O2198" s="477"/>
    </row>
    <row r="2199" spans="1:15" ht="18" customHeight="1">
      <c r="A2199" s="477"/>
      <c r="D2199" s="477"/>
      <c r="G2199" s="700"/>
      <c r="H2199" s="706"/>
      <c r="I2199" s="700"/>
      <c r="J2199" s="706"/>
      <c r="O2199" s="477"/>
    </row>
    <row r="2200" spans="1:15" ht="18" customHeight="1">
      <c r="A2200" s="477"/>
      <c r="D2200" s="477"/>
      <c r="G2200" s="700"/>
      <c r="H2200" s="706"/>
      <c r="I2200" s="700"/>
      <c r="J2200" s="706"/>
      <c r="O2200" s="477"/>
    </row>
    <row r="2201" spans="1:15" ht="18" customHeight="1">
      <c r="A2201" s="477"/>
      <c r="D2201" s="477"/>
      <c r="G2201" s="700"/>
      <c r="H2201" s="706"/>
      <c r="I2201" s="700"/>
      <c r="J2201" s="706"/>
      <c r="O2201" s="477"/>
    </row>
    <row r="2202" spans="1:15" ht="18" customHeight="1">
      <c r="A2202" s="477"/>
      <c r="D2202" s="477"/>
      <c r="G2202" s="700"/>
      <c r="H2202" s="706"/>
      <c r="I2202" s="700"/>
      <c r="J2202" s="706"/>
      <c r="O2202" s="477"/>
    </row>
    <row r="2203" spans="1:15" ht="18" customHeight="1">
      <c r="A2203" s="477"/>
      <c r="D2203" s="477"/>
      <c r="G2203" s="700"/>
      <c r="H2203" s="706"/>
      <c r="I2203" s="700"/>
      <c r="J2203" s="706"/>
      <c r="O2203" s="477"/>
    </row>
    <row r="2204" spans="1:15" ht="18" customHeight="1">
      <c r="A2204" s="477"/>
      <c r="D2204" s="477"/>
      <c r="G2204" s="700"/>
      <c r="H2204" s="706"/>
      <c r="I2204" s="700"/>
      <c r="J2204" s="706"/>
      <c r="O2204" s="477"/>
    </row>
    <row r="2205" spans="1:15" ht="18" customHeight="1">
      <c r="A2205" s="477"/>
      <c r="D2205" s="477"/>
      <c r="G2205" s="700"/>
      <c r="H2205" s="706"/>
      <c r="I2205" s="700"/>
      <c r="J2205" s="706"/>
      <c r="O2205" s="477"/>
    </row>
    <row r="2206" spans="1:15" ht="18" customHeight="1">
      <c r="A2206" s="477"/>
      <c r="D2206" s="477"/>
      <c r="G2206" s="700"/>
      <c r="H2206" s="706"/>
      <c r="I2206" s="700"/>
      <c r="J2206" s="706"/>
      <c r="O2206" s="477"/>
    </row>
    <row r="2207" spans="1:15" ht="18" customHeight="1">
      <c r="A2207" s="477"/>
      <c r="D2207" s="477"/>
      <c r="G2207" s="700"/>
      <c r="H2207" s="706"/>
      <c r="I2207" s="700"/>
      <c r="J2207" s="706"/>
      <c r="O2207" s="477"/>
    </row>
    <row r="2208" spans="1:15" ht="18" customHeight="1">
      <c r="A2208" s="477"/>
      <c r="D2208" s="477"/>
      <c r="G2208" s="700"/>
      <c r="H2208" s="706"/>
      <c r="I2208" s="700"/>
      <c r="J2208" s="706"/>
      <c r="O2208" s="477"/>
    </row>
    <row r="2209" spans="1:15" ht="18" customHeight="1">
      <c r="A2209" s="477"/>
      <c r="D2209" s="477"/>
      <c r="G2209" s="700"/>
      <c r="H2209" s="706"/>
      <c r="I2209" s="700"/>
      <c r="J2209" s="706"/>
      <c r="O2209" s="477"/>
    </row>
    <row r="2210" spans="1:15" ht="18" customHeight="1">
      <c r="A2210" s="477"/>
      <c r="D2210" s="477"/>
      <c r="G2210" s="700"/>
      <c r="H2210" s="706"/>
      <c r="I2210" s="700"/>
      <c r="J2210" s="706"/>
      <c r="O2210" s="477"/>
    </row>
    <row r="2211" spans="1:15" ht="18" customHeight="1">
      <c r="A2211" s="477"/>
      <c r="D2211" s="477"/>
      <c r="G2211" s="700"/>
      <c r="H2211" s="706"/>
      <c r="I2211" s="700"/>
      <c r="J2211" s="706"/>
      <c r="O2211" s="477"/>
    </row>
    <row r="2212" spans="1:15" ht="18" customHeight="1">
      <c r="A2212" s="477"/>
      <c r="D2212" s="477"/>
      <c r="G2212" s="700"/>
      <c r="H2212" s="706"/>
      <c r="I2212" s="700"/>
      <c r="J2212" s="706"/>
      <c r="O2212" s="477"/>
    </row>
    <row r="2213" spans="1:15" ht="18" customHeight="1">
      <c r="A2213" s="477"/>
      <c r="D2213" s="477"/>
      <c r="G2213" s="700"/>
      <c r="H2213" s="706"/>
      <c r="I2213" s="700"/>
      <c r="J2213" s="706"/>
      <c r="O2213" s="477"/>
    </row>
    <row r="2214" spans="1:15" ht="18" customHeight="1">
      <c r="A2214" s="477"/>
      <c r="D2214" s="477"/>
      <c r="G2214" s="700"/>
      <c r="H2214" s="706"/>
      <c r="I2214" s="700"/>
      <c r="J2214" s="706"/>
      <c r="O2214" s="477"/>
    </row>
    <row r="2215" spans="1:15" ht="18" customHeight="1">
      <c r="A2215" s="477"/>
      <c r="D2215" s="477"/>
      <c r="G2215" s="700"/>
      <c r="H2215" s="706"/>
      <c r="I2215" s="700"/>
      <c r="J2215" s="706"/>
      <c r="O2215" s="477"/>
    </row>
    <row r="2216" spans="1:15" ht="18" customHeight="1">
      <c r="A2216" s="477"/>
      <c r="D2216" s="477"/>
      <c r="G2216" s="700"/>
      <c r="H2216" s="706"/>
      <c r="I2216" s="700"/>
      <c r="J2216" s="706"/>
      <c r="O2216" s="477"/>
    </row>
    <row r="2217" spans="1:15" ht="18" customHeight="1">
      <c r="A2217" s="477"/>
      <c r="D2217" s="477"/>
      <c r="G2217" s="700"/>
      <c r="H2217" s="706"/>
      <c r="I2217" s="700"/>
      <c r="J2217" s="706"/>
      <c r="O2217" s="477"/>
    </row>
    <row r="2218" spans="1:15" ht="18" customHeight="1">
      <c r="A2218" s="477"/>
      <c r="D2218" s="477"/>
      <c r="G2218" s="700"/>
      <c r="H2218" s="706"/>
      <c r="I2218" s="700"/>
      <c r="J2218" s="706"/>
      <c r="O2218" s="477"/>
    </row>
    <row r="2219" spans="1:15" ht="18" customHeight="1">
      <c r="A2219" s="477"/>
      <c r="D2219" s="477"/>
      <c r="G2219" s="700"/>
      <c r="H2219" s="706"/>
      <c r="I2219" s="700"/>
      <c r="J2219" s="706"/>
      <c r="O2219" s="477"/>
    </row>
    <row r="2220" spans="1:15" ht="18" customHeight="1">
      <c r="A2220" s="477"/>
      <c r="D2220" s="477"/>
      <c r="G2220" s="700"/>
      <c r="H2220" s="706"/>
      <c r="I2220" s="700"/>
      <c r="J2220" s="706"/>
      <c r="O2220" s="477"/>
    </row>
    <row r="2221" spans="1:15" ht="18" customHeight="1">
      <c r="A2221" s="477"/>
      <c r="D2221" s="477"/>
      <c r="G2221" s="700"/>
      <c r="H2221" s="706"/>
      <c r="I2221" s="700"/>
      <c r="J2221" s="706"/>
      <c r="O2221" s="477"/>
    </row>
    <row r="2222" spans="1:15" ht="18" customHeight="1">
      <c r="A2222" s="477"/>
      <c r="D2222" s="477"/>
      <c r="G2222" s="700"/>
      <c r="H2222" s="706"/>
      <c r="I2222" s="700"/>
      <c r="J2222" s="706"/>
      <c r="O2222" s="477"/>
    </row>
    <row r="2223" spans="1:15" ht="18" customHeight="1">
      <c r="A2223" s="477"/>
      <c r="D2223" s="477"/>
      <c r="G2223" s="700"/>
      <c r="H2223" s="706"/>
      <c r="I2223" s="700"/>
      <c r="J2223" s="706"/>
      <c r="O2223" s="477"/>
    </row>
    <row r="2224" spans="1:15" ht="18" customHeight="1">
      <c r="A2224" s="477"/>
      <c r="D2224" s="477"/>
      <c r="G2224" s="700"/>
      <c r="H2224" s="706"/>
      <c r="I2224" s="700"/>
      <c r="J2224" s="706"/>
      <c r="O2224" s="477"/>
    </row>
    <row r="2225" spans="1:15" ht="18" customHeight="1">
      <c r="A2225" s="477"/>
      <c r="D2225" s="477"/>
      <c r="G2225" s="700"/>
      <c r="H2225" s="706"/>
      <c r="I2225" s="700"/>
      <c r="J2225" s="706"/>
      <c r="O2225" s="477"/>
    </row>
    <row r="2226" spans="1:15" ht="18" customHeight="1">
      <c r="A2226" s="477"/>
      <c r="D2226" s="477"/>
      <c r="G2226" s="700"/>
      <c r="H2226" s="706"/>
      <c r="I2226" s="700"/>
      <c r="J2226" s="706"/>
      <c r="O2226" s="477"/>
    </row>
    <row r="2227" spans="1:15" ht="18" customHeight="1">
      <c r="A2227" s="477"/>
      <c r="D2227" s="477"/>
      <c r="G2227" s="700"/>
      <c r="H2227" s="706"/>
      <c r="I2227" s="700"/>
      <c r="J2227" s="706"/>
      <c r="O2227" s="477"/>
    </row>
    <row r="2228" spans="1:15" ht="18" customHeight="1">
      <c r="A2228" s="477"/>
      <c r="D2228" s="477"/>
      <c r="G2228" s="700"/>
      <c r="H2228" s="706"/>
      <c r="I2228" s="700"/>
      <c r="J2228" s="706"/>
      <c r="O2228" s="477"/>
    </row>
    <row r="2229" spans="1:15" ht="18" customHeight="1">
      <c r="A2229" s="477"/>
      <c r="D2229" s="477"/>
      <c r="G2229" s="700"/>
      <c r="H2229" s="706"/>
      <c r="I2229" s="700"/>
      <c r="J2229" s="706"/>
      <c r="O2229" s="477"/>
    </row>
    <row r="2230" spans="1:15" ht="18" customHeight="1">
      <c r="A2230" s="477"/>
      <c r="D2230" s="477"/>
      <c r="G2230" s="700"/>
      <c r="H2230" s="706"/>
      <c r="I2230" s="700"/>
      <c r="J2230" s="706"/>
      <c r="O2230" s="477"/>
    </row>
    <row r="2231" spans="1:15" ht="18" customHeight="1">
      <c r="A2231" s="477"/>
      <c r="D2231" s="477"/>
      <c r="G2231" s="700"/>
      <c r="H2231" s="706"/>
      <c r="I2231" s="700"/>
      <c r="J2231" s="706"/>
      <c r="O2231" s="477"/>
    </row>
    <row r="2232" spans="1:15" ht="18" customHeight="1">
      <c r="A2232" s="477"/>
      <c r="D2232" s="477"/>
      <c r="G2232" s="700"/>
      <c r="H2232" s="706"/>
      <c r="I2232" s="700"/>
      <c r="J2232" s="706"/>
      <c r="O2232" s="477"/>
    </row>
    <row r="2233" spans="1:15" ht="18" customHeight="1">
      <c r="A2233" s="477"/>
      <c r="D2233" s="477"/>
      <c r="G2233" s="700"/>
      <c r="H2233" s="706"/>
      <c r="I2233" s="700"/>
      <c r="J2233" s="706"/>
      <c r="O2233" s="477"/>
    </row>
    <row r="2234" spans="1:15" ht="18" customHeight="1">
      <c r="A2234" s="477"/>
      <c r="D2234" s="477"/>
      <c r="G2234" s="700"/>
      <c r="H2234" s="706"/>
      <c r="I2234" s="700"/>
      <c r="J2234" s="706"/>
      <c r="O2234" s="477"/>
    </row>
    <row r="2235" spans="1:15" ht="18" customHeight="1">
      <c r="A2235" s="477"/>
      <c r="D2235" s="477"/>
      <c r="G2235" s="700"/>
      <c r="H2235" s="706"/>
      <c r="I2235" s="700"/>
      <c r="J2235" s="706"/>
      <c r="O2235" s="477"/>
    </row>
    <row r="2236" spans="1:15" ht="18" customHeight="1">
      <c r="A2236" s="477"/>
      <c r="D2236" s="477"/>
      <c r="G2236" s="700"/>
      <c r="H2236" s="706"/>
      <c r="I2236" s="700"/>
      <c r="J2236" s="706"/>
      <c r="O2236" s="477"/>
    </row>
    <row r="2237" spans="1:15" ht="18" customHeight="1">
      <c r="A2237" s="477"/>
      <c r="D2237" s="477"/>
      <c r="G2237" s="700"/>
      <c r="H2237" s="706"/>
      <c r="I2237" s="700"/>
      <c r="J2237" s="706"/>
      <c r="O2237" s="477"/>
    </row>
    <row r="2238" spans="1:15" ht="18" customHeight="1">
      <c r="A2238" s="477"/>
      <c r="D2238" s="477"/>
      <c r="G2238" s="700"/>
      <c r="H2238" s="706"/>
      <c r="I2238" s="700"/>
      <c r="J2238" s="706"/>
      <c r="O2238" s="477"/>
    </row>
    <row r="2239" spans="1:15" ht="18" customHeight="1">
      <c r="A2239" s="477"/>
      <c r="D2239" s="477"/>
      <c r="G2239" s="700"/>
      <c r="H2239" s="706"/>
      <c r="I2239" s="700"/>
      <c r="J2239" s="706"/>
      <c r="O2239" s="477"/>
    </row>
    <row r="2240" spans="1:15" ht="18" customHeight="1">
      <c r="A2240" s="477"/>
      <c r="D2240" s="477"/>
      <c r="G2240" s="700"/>
      <c r="H2240" s="706"/>
      <c r="I2240" s="700"/>
      <c r="J2240" s="706"/>
      <c r="O2240" s="477"/>
    </row>
    <row r="2241" spans="1:15" ht="18" customHeight="1">
      <c r="A2241" s="477"/>
      <c r="D2241" s="477"/>
      <c r="G2241" s="700"/>
      <c r="H2241" s="706"/>
      <c r="I2241" s="700"/>
      <c r="J2241" s="706"/>
      <c r="O2241" s="477"/>
    </row>
    <row r="2242" spans="1:15" ht="18" customHeight="1">
      <c r="A2242" s="477"/>
      <c r="D2242" s="477"/>
      <c r="G2242" s="700"/>
      <c r="H2242" s="706"/>
      <c r="I2242" s="700"/>
      <c r="J2242" s="706"/>
      <c r="O2242" s="477"/>
    </row>
    <row r="2243" spans="1:15" ht="18" customHeight="1">
      <c r="A2243" s="477"/>
      <c r="D2243" s="477"/>
      <c r="G2243" s="700"/>
      <c r="H2243" s="706"/>
      <c r="I2243" s="700"/>
      <c r="J2243" s="706"/>
      <c r="O2243" s="477"/>
    </row>
    <row r="2244" spans="1:15" ht="18" customHeight="1">
      <c r="A2244" s="477"/>
      <c r="D2244" s="477"/>
      <c r="G2244" s="700"/>
      <c r="H2244" s="706"/>
      <c r="I2244" s="700"/>
      <c r="J2244" s="706"/>
      <c r="O2244" s="477"/>
    </row>
    <row r="2245" spans="1:15" ht="18" customHeight="1">
      <c r="A2245" s="477"/>
      <c r="D2245" s="477"/>
      <c r="G2245" s="700"/>
      <c r="H2245" s="706"/>
      <c r="I2245" s="700"/>
      <c r="J2245" s="706"/>
      <c r="O2245" s="477"/>
    </row>
    <row r="2246" spans="1:15" ht="18" customHeight="1">
      <c r="A2246" s="477"/>
      <c r="D2246" s="477"/>
      <c r="G2246" s="700"/>
      <c r="H2246" s="706"/>
      <c r="I2246" s="700"/>
      <c r="J2246" s="706"/>
      <c r="O2246" s="477"/>
    </row>
    <row r="2247" spans="1:15" ht="18" customHeight="1">
      <c r="A2247" s="477"/>
      <c r="D2247" s="477"/>
      <c r="G2247" s="700"/>
      <c r="H2247" s="706"/>
      <c r="I2247" s="700"/>
      <c r="J2247" s="706"/>
      <c r="O2247" s="477"/>
    </row>
    <row r="2248" spans="1:15" ht="18" customHeight="1">
      <c r="A2248" s="477"/>
      <c r="D2248" s="477"/>
      <c r="G2248" s="700"/>
      <c r="H2248" s="706"/>
      <c r="I2248" s="700"/>
      <c r="J2248" s="706"/>
      <c r="O2248" s="477"/>
    </row>
    <row r="2249" spans="1:15" ht="18" customHeight="1">
      <c r="A2249" s="477"/>
      <c r="D2249" s="477"/>
      <c r="G2249" s="700"/>
      <c r="H2249" s="706"/>
      <c r="I2249" s="700"/>
      <c r="J2249" s="706"/>
      <c r="O2249" s="477"/>
    </row>
    <row r="2250" spans="1:15" ht="18" customHeight="1">
      <c r="A2250" s="477"/>
      <c r="D2250" s="477"/>
      <c r="G2250" s="700"/>
      <c r="H2250" s="706"/>
      <c r="I2250" s="700"/>
      <c r="J2250" s="706"/>
      <c r="O2250" s="477"/>
    </row>
    <row r="2251" spans="1:15" ht="18" customHeight="1">
      <c r="A2251" s="477"/>
      <c r="D2251" s="477"/>
      <c r="G2251" s="700"/>
      <c r="H2251" s="706"/>
      <c r="I2251" s="700"/>
      <c r="J2251" s="706"/>
      <c r="O2251" s="477"/>
    </row>
    <row r="2252" spans="1:15" ht="18" customHeight="1">
      <c r="A2252" s="477"/>
      <c r="D2252" s="477"/>
      <c r="G2252" s="700"/>
      <c r="H2252" s="706"/>
      <c r="I2252" s="700"/>
      <c r="J2252" s="706"/>
      <c r="O2252" s="477"/>
    </row>
    <row r="2253" spans="1:15" ht="18" customHeight="1">
      <c r="A2253" s="477"/>
      <c r="D2253" s="477"/>
      <c r="G2253" s="700"/>
      <c r="H2253" s="706"/>
      <c r="I2253" s="700"/>
      <c r="J2253" s="706"/>
      <c r="O2253" s="477"/>
    </row>
    <row r="2254" spans="1:15" ht="18" customHeight="1">
      <c r="A2254" s="477"/>
      <c r="D2254" s="477"/>
      <c r="G2254" s="700"/>
      <c r="H2254" s="706"/>
      <c r="I2254" s="700"/>
      <c r="J2254" s="706"/>
      <c r="O2254" s="477"/>
    </row>
    <row r="2255" spans="1:15" ht="18" customHeight="1">
      <c r="A2255" s="477"/>
      <c r="D2255" s="477"/>
      <c r="G2255" s="700"/>
      <c r="H2255" s="706"/>
      <c r="I2255" s="700"/>
      <c r="J2255" s="706"/>
      <c r="O2255" s="477"/>
    </row>
    <row r="2256" spans="1:15" ht="18" customHeight="1">
      <c r="A2256" s="477"/>
      <c r="D2256" s="477"/>
      <c r="G2256" s="700"/>
      <c r="H2256" s="706"/>
      <c r="I2256" s="700"/>
      <c r="J2256" s="706"/>
      <c r="O2256" s="477"/>
    </row>
    <row r="2257" spans="1:15" ht="18" customHeight="1">
      <c r="A2257" s="477"/>
      <c r="D2257" s="477"/>
      <c r="G2257" s="700"/>
      <c r="H2257" s="706"/>
      <c r="I2257" s="700"/>
      <c r="J2257" s="706"/>
      <c r="O2257" s="477"/>
    </row>
    <row r="2258" spans="1:15" ht="18" customHeight="1">
      <c r="A2258" s="477"/>
      <c r="D2258" s="477"/>
      <c r="G2258" s="700"/>
      <c r="H2258" s="706"/>
      <c r="I2258" s="700"/>
      <c r="J2258" s="706"/>
      <c r="O2258" s="477"/>
    </row>
    <row r="2259" spans="1:15" ht="18" customHeight="1">
      <c r="A2259" s="477"/>
      <c r="D2259" s="477"/>
      <c r="G2259" s="700"/>
      <c r="H2259" s="706"/>
      <c r="I2259" s="700"/>
      <c r="J2259" s="706"/>
      <c r="O2259" s="477"/>
    </row>
    <row r="2260" spans="1:15" ht="18" customHeight="1">
      <c r="A2260" s="477"/>
      <c r="D2260" s="477"/>
      <c r="G2260" s="700"/>
      <c r="H2260" s="706"/>
      <c r="I2260" s="700"/>
      <c r="J2260" s="706"/>
      <c r="O2260" s="477"/>
    </row>
    <row r="2261" spans="1:15" ht="18" customHeight="1">
      <c r="A2261" s="477"/>
      <c r="D2261" s="477"/>
      <c r="G2261" s="700"/>
      <c r="H2261" s="706"/>
      <c r="I2261" s="700"/>
      <c r="J2261" s="706"/>
      <c r="O2261" s="477"/>
    </row>
    <row r="2262" spans="1:15" ht="18" customHeight="1">
      <c r="A2262" s="477"/>
      <c r="D2262" s="477"/>
      <c r="G2262" s="700"/>
      <c r="H2262" s="706"/>
      <c r="I2262" s="700"/>
      <c r="J2262" s="706"/>
      <c r="O2262" s="477"/>
    </row>
    <row r="2263" spans="1:15" ht="18" customHeight="1">
      <c r="A2263" s="477"/>
      <c r="D2263" s="477"/>
      <c r="G2263" s="700"/>
      <c r="H2263" s="706"/>
      <c r="I2263" s="700"/>
      <c r="J2263" s="706"/>
      <c r="O2263" s="477"/>
    </row>
    <row r="2264" spans="1:15" ht="18" customHeight="1">
      <c r="A2264" s="477"/>
      <c r="D2264" s="477"/>
      <c r="G2264" s="700"/>
      <c r="H2264" s="706"/>
      <c r="I2264" s="700"/>
      <c r="J2264" s="706"/>
      <c r="O2264" s="477"/>
    </row>
    <row r="2265" spans="1:15" ht="18" customHeight="1">
      <c r="A2265" s="477"/>
      <c r="D2265" s="477"/>
      <c r="G2265" s="700"/>
      <c r="H2265" s="706"/>
      <c r="I2265" s="700"/>
      <c r="J2265" s="706"/>
      <c r="O2265" s="477"/>
    </row>
    <row r="2266" spans="1:15" ht="18" customHeight="1">
      <c r="A2266" s="477"/>
      <c r="D2266" s="477"/>
      <c r="G2266" s="700"/>
      <c r="H2266" s="706"/>
      <c r="I2266" s="700"/>
      <c r="J2266" s="706"/>
      <c r="O2266" s="477"/>
    </row>
    <row r="2267" spans="1:15" ht="18" customHeight="1">
      <c r="A2267" s="477"/>
      <c r="D2267" s="477"/>
      <c r="G2267" s="700"/>
      <c r="H2267" s="706"/>
      <c r="I2267" s="700"/>
      <c r="J2267" s="706"/>
      <c r="O2267" s="477"/>
    </row>
    <row r="2268" spans="1:15" ht="18" customHeight="1">
      <c r="A2268" s="477"/>
      <c r="D2268" s="477"/>
      <c r="G2268" s="700"/>
      <c r="H2268" s="706"/>
      <c r="I2268" s="700"/>
      <c r="J2268" s="706"/>
      <c r="O2268" s="477"/>
    </row>
    <row r="2269" spans="1:15" ht="18" customHeight="1">
      <c r="A2269" s="477"/>
      <c r="D2269" s="477"/>
      <c r="G2269" s="700"/>
      <c r="H2269" s="706"/>
      <c r="I2269" s="700"/>
      <c r="J2269" s="706"/>
      <c r="O2269" s="477"/>
    </row>
    <row r="2270" spans="1:15" ht="18" customHeight="1">
      <c r="A2270" s="477"/>
      <c r="D2270" s="477"/>
      <c r="G2270" s="700"/>
      <c r="H2270" s="706"/>
      <c r="I2270" s="700"/>
      <c r="J2270" s="706"/>
      <c r="O2270" s="477"/>
    </row>
    <row r="2271" spans="1:15" ht="18" customHeight="1">
      <c r="A2271" s="477"/>
      <c r="D2271" s="477"/>
      <c r="G2271" s="700"/>
      <c r="H2271" s="706"/>
      <c r="I2271" s="700"/>
      <c r="J2271" s="706"/>
      <c r="O2271" s="477"/>
    </row>
    <row r="2272" spans="1:15" ht="18" customHeight="1">
      <c r="A2272" s="477"/>
      <c r="D2272" s="477"/>
      <c r="G2272" s="700"/>
      <c r="H2272" s="706"/>
      <c r="I2272" s="700"/>
      <c r="J2272" s="706"/>
      <c r="O2272" s="477"/>
    </row>
    <row r="2273" spans="1:15" ht="18" customHeight="1">
      <c r="A2273" s="477"/>
      <c r="D2273" s="477"/>
      <c r="G2273" s="700"/>
      <c r="H2273" s="706"/>
      <c r="I2273" s="700"/>
      <c r="J2273" s="706"/>
      <c r="O2273" s="477"/>
    </row>
    <row r="2274" spans="1:15" ht="18" customHeight="1">
      <c r="A2274" s="477"/>
      <c r="D2274" s="477"/>
      <c r="G2274" s="700"/>
      <c r="H2274" s="706"/>
      <c r="I2274" s="700"/>
      <c r="J2274" s="706"/>
      <c r="O2274" s="477"/>
    </row>
    <row r="2275" spans="1:15" ht="18" customHeight="1">
      <c r="A2275" s="477"/>
      <c r="D2275" s="477"/>
      <c r="G2275" s="700"/>
      <c r="H2275" s="706"/>
      <c r="I2275" s="700"/>
      <c r="J2275" s="706"/>
      <c r="O2275" s="477"/>
    </row>
    <row r="2276" spans="1:15" ht="18" customHeight="1">
      <c r="A2276" s="477"/>
      <c r="D2276" s="477"/>
      <c r="G2276" s="700"/>
      <c r="H2276" s="706"/>
      <c r="I2276" s="700"/>
      <c r="J2276" s="706"/>
      <c r="O2276" s="477"/>
    </row>
    <row r="2277" spans="1:15" ht="18" customHeight="1">
      <c r="A2277" s="477"/>
      <c r="D2277" s="477"/>
      <c r="G2277" s="700"/>
      <c r="H2277" s="706"/>
      <c r="I2277" s="700"/>
      <c r="J2277" s="706"/>
      <c r="O2277" s="477"/>
    </row>
    <row r="2278" spans="1:15" ht="18" customHeight="1">
      <c r="A2278" s="477"/>
      <c r="D2278" s="477"/>
      <c r="G2278" s="700"/>
      <c r="H2278" s="706"/>
      <c r="I2278" s="700"/>
      <c r="J2278" s="706"/>
      <c r="O2278" s="477"/>
    </row>
    <row r="2279" spans="1:15" ht="18" customHeight="1">
      <c r="A2279" s="477"/>
      <c r="D2279" s="477"/>
      <c r="G2279" s="700"/>
      <c r="H2279" s="706"/>
      <c r="I2279" s="700"/>
      <c r="J2279" s="706"/>
      <c r="O2279" s="477"/>
    </row>
    <row r="2280" spans="1:15" ht="18" customHeight="1">
      <c r="A2280" s="477"/>
      <c r="D2280" s="477"/>
      <c r="G2280" s="700"/>
      <c r="H2280" s="706"/>
      <c r="I2280" s="700"/>
      <c r="J2280" s="706"/>
      <c r="O2280" s="477"/>
    </row>
    <row r="2281" spans="1:15" ht="18" customHeight="1">
      <c r="A2281" s="477"/>
      <c r="D2281" s="477"/>
      <c r="G2281" s="700"/>
      <c r="H2281" s="706"/>
      <c r="I2281" s="700"/>
      <c r="J2281" s="706"/>
      <c r="O2281" s="477"/>
    </row>
    <row r="2282" spans="1:15" ht="18" customHeight="1">
      <c r="A2282" s="477"/>
      <c r="D2282" s="477"/>
      <c r="G2282" s="700"/>
      <c r="H2282" s="706"/>
      <c r="I2282" s="700"/>
      <c r="J2282" s="706"/>
      <c r="O2282" s="477"/>
    </row>
    <row r="2283" spans="1:15" ht="18" customHeight="1">
      <c r="A2283" s="477"/>
      <c r="D2283" s="477"/>
      <c r="G2283" s="700"/>
      <c r="H2283" s="706"/>
      <c r="I2283" s="700"/>
      <c r="J2283" s="706"/>
      <c r="O2283" s="477"/>
    </row>
    <row r="2284" spans="1:15" ht="18" customHeight="1">
      <c r="A2284" s="477"/>
      <c r="D2284" s="477"/>
      <c r="G2284" s="700"/>
      <c r="H2284" s="706"/>
      <c r="I2284" s="700"/>
      <c r="J2284" s="706"/>
      <c r="O2284" s="477"/>
    </row>
    <row r="2285" spans="1:15" ht="18" customHeight="1">
      <c r="A2285" s="477"/>
      <c r="D2285" s="477"/>
      <c r="G2285" s="700"/>
      <c r="H2285" s="706"/>
      <c r="I2285" s="700"/>
      <c r="J2285" s="706"/>
      <c r="O2285" s="477"/>
    </row>
    <row r="2286" spans="1:15" ht="18" customHeight="1">
      <c r="A2286" s="477"/>
      <c r="D2286" s="477"/>
      <c r="G2286" s="700"/>
      <c r="H2286" s="706"/>
      <c r="I2286" s="700"/>
      <c r="J2286" s="706"/>
      <c r="O2286" s="477"/>
    </row>
    <row r="2287" spans="1:15" ht="18" customHeight="1">
      <c r="A2287" s="477"/>
      <c r="D2287" s="477"/>
      <c r="G2287" s="700"/>
      <c r="H2287" s="706"/>
      <c r="I2287" s="700"/>
      <c r="J2287" s="706"/>
      <c r="O2287" s="477"/>
    </row>
    <row r="2288" spans="1:15" ht="18" customHeight="1">
      <c r="A2288" s="477"/>
      <c r="D2288" s="477"/>
      <c r="G2288" s="700"/>
      <c r="H2288" s="706"/>
      <c r="I2288" s="700"/>
      <c r="J2288" s="706"/>
      <c r="O2288" s="477"/>
    </row>
    <row r="2289" spans="1:15" ht="18" customHeight="1">
      <c r="A2289" s="477"/>
      <c r="D2289" s="477"/>
      <c r="G2289" s="700"/>
      <c r="H2289" s="706"/>
      <c r="I2289" s="700"/>
      <c r="J2289" s="706"/>
      <c r="O2289" s="477"/>
    </row>
    <row r="2290" spans="1:15" ht="18" customHeight="1">
      <c r="A2290" s="477"/>
      <c r="D2290" s="477"/>
      <c r="G2290" s="700"/>
      <c r="H2290" s="706"/>
      <c r="I2290" s="700"/>
      <c r="J2290" s="706"/>
      <c r="O2290" s="477"/>
    </row>
    <row r="2291" spans="1:15" ht="18" customHeight="1">
      <c r="A2291" s="477"/>
      <c r="D2291" s="477"/>
      <c r="G2291" s="700"/>
      <c r="H2291" s="706"/>
      <c r="I2291" s="700"/>
      <c r="J2291" s="706"/>
      <c r="O2291" s="477"/>
    </row>
    <row r="2292" spans="1:15" ht="18" customHeight="1">
      <c r="A2292" s="477"/>
      <c r="D2292" s="477"/>
      <c r="G2292" s="700"/>
      <c r="H2292" s="706"/>
      <c r="I2292" s="700"/>
      <c r="J2292" s="706"/>
      <c r="O2292" s="477"/>
    </row>
    <row r="2293" spans="1:15" ht="18" customHeight="1">
      <c r="A2293" s="477"/>
      <c r="D2293" s="477"/>
      <c r="G2293" s="700"/>
      <c r="H2293" s="706"/>
      <c r="I2293" s="700"/>
      <c r="J2293" s="706"/>
      <c r="O2293" s="477"/>
    </row>
    <row r="2294" spans="1:15" ht="18" customHeight="1">
      <c r="A2294" s="477"/>
      <c r="D2294" s="477"/>
      <c r="G2294" s="700"/>
      <c r="H2294" s="706"/>
      <c r="I2294" s="700"/>
      <c r="J2294" s="706"/>
      <c r="O2294" s="477"/>
    </row>
    <row r="2295" spans="1:15" ht="18" customHeight="1">
      <c r="A2295" s="477"/>
      <c r="D2295" s="477"/>
      <c r="G2295" s="700"/>
      <c r="H2295" s="706"/>
      <c r="I2295" s="700"/>
      <c r="J2295" s="706"/>
      <c r="O2295" s="477"/>
    </row>
    <row r="2296" spans="1:15" ht="18" customHeight="1">
      <c r="A2296" s="477"/>
      <c r="D2296" s="477"/>
      <c r="G2296" s="700"/>
      <c r="H2296" s="706"/>
      <c r="I2296" s="700"/>
      <c r="J2296" s="706"/>
      <c r="O2296" s="477"/>
    </row>
    <row r="2297" spans="1:15" ht="18" customHeight="1">
      <c r="A2297" s="477"/>
      <c r="D2297" s="477"/>
      <c r="G2297" s="700"/>
      <c r="H2297" s="706"/>
      <c r="I2297" s="700"/>
      <c r="J2297" s="706"/>
      <c r="O2297" s="477"/>
    </row>
    <row r="2298" spans="1:15" ht="18" customHeight="1">
      <c r="A2298" s="477"/>
      <c r="D2298" s="477"/>
      <c r="G2298" s="700"/>
      <c r="H2298" s="706"/>
      <c r="I2298" s="700"/>
      <c r="J2298" s="706"/>
      <c r="O2298" s="477"/>
    </row>
    <row r="2299" spans="1:15" ht="18" customHeight="1">
      <c r="A2299" s="477"/>
      <c r="D2299" s="477"/>
      <c r="G2299" s="700"/>
      <c r="H2299" s="706"/>
      <c r="I2299" s="700"/>
      <c r="J2299" s="706"/>
      <c r="O2299" s="477"/>
    </row>
    <row r="2300" spans="1:15" ht="18" customHeight="1">
      <c r="A2300" s="477"/>
      <c r="D2300" s="477"/>
      <c r="G2300" s="700"/>
      <c r="H2300" s="706"/>
      <c r="I2300" s="700"/>
      <c r="J2300" s="706"/>
      <c r="O2300" s="477"/>
    </row>
    <row r="2301" spans="1:15" ht="18" customHeight="1">
      <c r="A2301" s="477"/>
      <c r="D2301" s="477"/>
      <c r="G2301" s="700"/>
      <c r="H2301" s="706"/>
      <c r="I2301" s="700"/>
      <c r="J2301" s="706"/>
      <c r="O2301" s="477"/>
    </row>
    <row r="2302" spans="1:15" ht="18" customHeight="1">
      <c r="A2302" s="477"/>
      <c r="D2302" s="477"/>
      <c r="G2302" s="700"/>
      <c r="H2302" s="706"/>
      <c r="I2302" s="700"/>
      <c r="J2302" s="706"/>
      <c r="O2302" s="477"/>
    </row>
    <row r="2303" spans="1:15" ht="18" customHeight="1">
      <c r="A2303" s="477"/>
      <c r="D2303" s="477"/>
      <c r="G2303" s="700"/>
      <c r="H2303" s="706"/>
      <c r="I2303" s="700"/>
      <c r="J2303" s="706"/>
      <c r="O2303" s="477"/>
    </row>
    <row r="2304" spans="1:15" ht="18" customHeight="1">
      <c r="A2304" s="477"/>
      <c r="D2304" s="477"/>
      <c r="G2304" s="700"/>
      <c r="H2304" s="706"/>
      <c r="I2304" s="700"/>
      <c r="J2304" s="706"/>
      <c r="O2304" s="477"/>
    </row>
    <row r="2305" spans="1:15" ht="18" customHeight="1">
      <c r="A2305" s="477"/>
      <c r="D2305" s="477"/>
      <c r="G2305" s="700"/>
      <c r="H2305" s="706"/>
      <c r="I2305" s="700"/>
      <c r="J2305" s="706"/>
      <c r="O2305" s="477"/>
    </row>
    <row r="2306" spans="1:15" ht="18" customHeight="1">
      <c r="A2306" s="477"/>
      <c r="D2306" s="477"/>
      <c r="G2306" s="700"/>
      <c r="H2306" s="706"/>
      <c r="I2306" s="700"/>
      <c r="J2306" s="706"/>
      <c r="O2306" s="477"/>
    </row>
    <row r="2307" spans="1:15" ht="18" customHeight="1">
      <c r="A2307" s="477"/>
      <c r="D2307" s="477"/>
      <c r="G2307" s="700"/>
      <c r="H2307" s="706"/>
      <c r="I2307" s="700"/>
      <c r="J2307" s="706"/>
      <c r="O2307" s="477"/>
    </row>
    <row r="2308" spans="1:15" ht="18" customHeight="1">
      <c r="A2308" s="477"/>
      <c r="D2308" s="477"/>
      <c r="G2308" s="700"/>
      <c r="H2308" s="706"/>
      <c r="I2308" s="700"/>
      <c r="J2308" s="706"/>
      <c r="O2308" s="477"/>
    </row>
    <row r="2309" spans="1:15" ht="18" customHeight="1">
      <c r="A2309" s="477"/>
      <c r="D2309" s="477"/>
      <c r="G2309" s="700"/>
      <c r="H2309" s="706"/>
      <c r="I2309" s="700"/>
      <c r="J2309" s="706"/>
      <c r="O2309" s="477"/>
    </row>
    <row r="2310" spans="1:15" ht="18" customHeight="1">
      <c r="A2310" s="477"/>
      <c r="D2310" s="477"/>
      <c r="G2310" s="700"/>
      <c r="H2310" s="706"/>
      <c r="I2310" s="700"/>
      <c r="J2310" s="706"/>
      <c r="O2310" s="477"/>
    </row>
    <row r="2311" spans="1:15" ht="18" customHeight="1">
      <c r="A2311" s="477"/>
      <c r="D2311" s="477"/>
      <c r="G2311" s="700"/>
      <c r="H2311" s="706"/>
      <c r="I2311" s="700"/>
      <c r="J2311" s="706"/>
      <c r="O2311" s="477"/>
    </row>
    <row r="2312" spans="1:15" ht="18" customHeight="1">
      <c r="A2312" s="477"/>
      <c r="D2312" s="477"/>
      <c r="G2312" s="700"/>
      <c r="H2312" s="706"/>
      <c r="I2312" s="700"/>
      <c r="J2312" s="706"/>
      <c r="O2312" s="477"/>
    </row>
    <row r="2313" spans="1:15" ht="18" customHeight="1">
      <c r="A2313" s="477"/>
      <c r="D2313" s="477"/>
      <c r="G2313" s="700"/>
      <c r="H2313" s="706"/>
      <c r="I2313" s="700"/>
      <c r="J2313" s="706"/>
      <c r="O2313" s="477"/>
    </row>
    <row r="2314" spans="1:15" ht="18" customHeight="1">
      <c r="A2314" s="477"/>
      <c r="D2314" s="477"/>
      <c r="G2314" s="700"/>
      <c r="H2314" s="706"/>
      <c r="I2314" s="700"/>
      <c r="J2314" s="706"/>
      <c r="O2314" s="477"/>
    </row>
    <row r="2315" spans="1:15" ht="18" customHeight="1">
      <c r="A2315" s="477"/>
      <c r="D2315" s="477"/>
      <c r="G2315" s="700"/>
      <c r="H2315" s="706"/>
      <c r="I2315" s="700"/>
      <c r="J2315" s="706"/>
      <c r="O2315" s="477"/>
    </row>
    <row r="2316" spans="1:15" ht="18" customHeight="1">
      <c r="A2316" s="477"/>
      <c r="D2316" s="477"/>
      <c r="G2316" s="700"/>
      <c r="H2316" s="706"/>
      <c r="I2316" s="700"/>
      <c r="J2316" s="706"/>
      <c r="O2316" s="477"/>
    </row>
    <row r="2317" spans="1:15" ht="18" customHeight="1">
      <c r="A2317" s="477"/>
      <c r="D2317" s="477"/>
      <c r="G2317" s="700"/>
      <c r="H2317" s="706"/>
      <c r="I2317" s="700"/>
      <c r="J2317" s="706"/>
      <c r="O2317" s="477"/>
    </row>
    <row r="2318" spans="1:15" ht="18" customHeight="1">
      <c r="A2318" s="477"/>
      <c r="D2318" s="477"/>
      <c r="G2318" s="700"/>
      <c r="H2318" s="706"/>
      <c r="I2318" s="700"/>
      <c r="J2318" s="706"/>
      <c r="O2318" s="477"/>
    </row>
    <row r="2319" spans="1:15" ht="18" customHeight="1">
      <c r="A2319" s="477"/>
      <c r="D2319" s="477"/>
      <c r="G2319" s="700"/>
      <c r="H2319" s="706"/>
      <c r="I2319" s="700"/>
      <c r="J2319" s="706"/>
      <c r="O2319" s="477"/>
    </row>
    <row r="2320" spans="1:15" ht="18" customHeight="1">
      <c r="A2320" s="477"/>
      <c r="D2320" s="477"/>
      <c r="G2320" s="700"/>
      <c r="H2320" s="706"/>
      <c r="I2320" s="700"/>
      <c r="J2320" s="706"/>
      <c r="O2320" s="477"/>
    </row>
    <row r="2321" spans="1:15" ht="18" customHeight="1">
      <c r="A2321" s="477"/>
      <c r="D2321" s="477"/>
      <c r="G2321" s="700"/>
      <c r="H2321" s="706"/>
      <c r="I2321" s="700"/>
      <c r="J2321" s="706"/>
      <c r="O2321" s="477"/>
    </row>
    <row r="2322" spans="1:15" ht="18" customHeight="1">
      <c r="A2322" s="477"/>
      <c r="D2322" s="477"/>
      <c r="G2322" s="700"/>
      <c r="H2322" s="706"/>
      <c r="I2322" s="700"/>
      <c r="J2322" s="706"/>
      <c r="O2322" s="477"/>
    </row>
    <row r="2323" spans="1:15" ht="18" customHeight="1">
      <c r="A2323" s="477"/>
      <c r="D2323" s="477"/>
      <c r="G2323" s="700"/>
      <c r="H2323" s="706"/>
      <c r="I2323" s="700"/>
      <c r="J2323" s="706"/>
      <c r="O2323" s="477"/>
    </row>
    <row r="2324" spans="1:15" ht="18" customHeight="1">
      <c r="A2324" s="477"/>
      <c r="D2324" s="477"/>
      <c r="G2324" s="700"/>
      <c r="H2324" s="706"/>
      <c r="I2324" s="700"/>
      <c r="J2324" s="706"/>
      <c r="O2324" s="477"/>
    </row>
    <row r="2325" spans="1:15" ht="18" customHeight="1">
      <c r="A2325" s="477"/>
      <c r="D2325" s="477"/>
      <c r="G2325" s="700"/>
      <c r="H2325" s="706"/>
      <c r="I2325" s="700"/>
      <c r="J2325" s="706"/>
      <c r="O2325" s="477"/>
    </row>
    <row r="2326" spans="1:15" ht="18" customHeight="1">
      <c r="A2326" s="477"/>
      <c r="D2326" s="477"/>
      <c r="G2326" s="700"/>
      <c r="H2326" s="706"/>
      <c r="I2326" s="700"/>
      <c r="J2326" s="706"/>
      <c r="O2326" s="477"/>
    </row>
    <row r="2327" spans="1:15" ht="18" customHeight="1">
      <c r="A2327" s="477"/>
      <c r="D2327" s="477"/>
      <c r="G2327" s="700"/>
      <c r="H2327" s="706"/>
      <c r="I2327" s="700"/>
      <c r="J2327" s="706"/>
      <c r="O2327" s="477"/>
    </row>
    <row r="2328" spans="1:15" ht="18" customHeight="1">
      <c r="A2328" s="477"/>
      <c r="D2328" s="477"/>
      <c r="G2328" s="700"/>
      <c r="H2328" s="706"/>
      <c r="I2328" s="700"/>
      <c r="J2328" s="706"/>
      <c r="O2328" s="477"/>
    </row>
    <row r="2329" spans="1:15" ht="18" customHeight="1">
      <c r="A2329" s="477"/>
      <c r="D2329" s="477"/>
      <c r="G2329" s="700"/>
      <c r="H2329" s="706"/>
      <c r="I2329" s="700"/>
      <c r="J2329" s="706"/>
      <c r="O2329" s="477"/>
    </row>
    <row r="2330" spans="1:15" ht="18" customHeight="1">
      <c r="A2330" s="477"/>
      <c r="D2330" s="477"/>
      <c r="G2330" s="700"/>
      <c r="H2330" s="706"/>
      <c r="I2330" s="700"/>
      <c r="J2330" s="706"/>
      <c r="O2330" s="477"/>
    </row>
    <row r="2331" spans="1:15" ht="18" customHeight="1">
      <c r="A2331" s="477"/>
      <c r="D2331" s="477"/>
      <c r="G2331" s="700"/>
      <c r="H2331" s="706"/>
      <c r="I2331" s="700"/>
      <c r="J2331" s="706"/>
      <c r="O2331" s="477"/>
    </row>
    <row r="2332" spans="1:15" ht="18" customHeight="1">
      <c r="A2332" s="477"/>
      <c r="D2332" s="477"/>
      <c r="G2332" s="700"/>
      <c r="H2332" s="706"/>
      <c r="I2332" s="700"/>
      <c r="J2332" s="706"/>
      <c r="O2332" s="477"/>
    </row>
    <row r="2333" spans="1:15" ht="18" customHeight="1">
      <c r="A2333" s="477"/>
      <c r="D2333" s="477"/>
      <c r="G2333" s="700"/>
      <c r="H2333" s="706"/>
      <c r="I2333" s="700"/>
      <c r="J2333" s="706"/>
      <c r="O2333" s="477"/>
    </row>
    <row r="2334" spans="1:15" ht="18" customHeight="1">
      <c r="A2334" s="477"/>
      <c r="D2334" s="477"/>
      <c r="G2334" s="700"/>
      <c r="H2334" s="706"/>
      <c r="I2334" s="700"/>
      <c r="J2334" s="706"/>
      <c r="O2334" s="477"/>
    </row>
    <row r="2335" spans="1:15" ht="18" customHeight="1">
      <c r="A2335" s="477"/>
      <c r="D2335" s="477"/>
      <c r="G2335" s="700"/>
      <c r="H2335" s="706"/>
      <c r="I2335" s="700"/>
      <c r="J2335" s="706"/>
      <c r="O2335" s="477"/>
    </row>
    <row r="2336" spans="1:15" ht="18" customHeight="1">
      <c r="A2336" s="477"/>
      <c r="D2336" s="477"/>
      <c r="G2336" s="700"/>
      <c r="H2336" s="706"/>
      <c r="I2336" s="700"/>
      <c r="J2336" s="706"/>
      <c r="O2336" s="477"/>
    </row>
    <row r="2337" spans="1:15" ht="18" customHeight="1">
      <c r="A2337" s="477"/>
      <c r="D2337" s="477"/>
      <c r="G2337" s="700"/>
      <c r="H2337" s="706"/>
      <c r="I2337" s="700"/>
      <c r="J2337" s="706"/>
      <c r="O2337" s="477"/>
    </row>
    <row r="2338" spans="1:15" ht="18" customHeight="1">
      <c r="A2338" s="477"/>
      <c r="D2338" s="477"/>
      <c r="G2338" s="700"/>
      <c r="H2338" s="706"/>
      <c r="I2338" s="700"/>
      <c r="J2338" s="706"/>
      <c r="O2338" s="477"/>
    </row>
    <row r="2339" spans="1:15" ht="18" customHeight="1">
      <c r="A2339" s="477"/>
      <c r="D2339" s="477"/>
      <c r="G2339" s="700"/>
      <c r="H2339" s="706"/>
      <c r="I2339" s="700"/>
      <c r="J2339" s="706"/>
      <c r="O2339" s="477"/>
    </row>
    <row r="2340" spans="1:15" ht="18" customHeight="1">
      <c r="A2340" s="477"/>
      <c r="D2340" s="477"/>
      <c r="G2340" s="700"/>
      <c r="H2340" s="706"/>
      <c r="I2340" s="700"/>
      <c r="J2340" s="706"/>
      <c r="O2340" s="477"/>
    </row>
    <row r="2341" spans="1:15" ht="18" customHeight="1">
      <c r="A2341" s="477"/>
      <c r="D2341" s="477"/>
      <c r="G2341" s="700"/>
      <c r="H2341" s="706"/>
      <c r="I2341" s="700"/>
      <c r="J2341" s="706"/>
      <c r="O2341" s="477"/>
    </row>
    <row r="2342" spans="1:15" ht="18" customHeight="1">
      <c r="A2342" s="477"/>
      <c r="D2342" s="477"/>
      <c r="G2342" s="700"/>
      <c r="H2342" s="706"/>
      <c r="I2342" s="700"/>
      <c r="J2342" s="706"/>
      <c r="O2342" s="477"/>
    </row>
    <row r="2343" spans="1:15" ht="18" customHeight="1">
      <c r="A2343" s="477"/>
      <c r="D2343" s="477"/>
      <c r="G2343" s="700"/>
      <c r="H2343" s="706"/>
      <c r="I2343" s="700"/>
      <c r="J2343" s="706"/>
      <c r="O2343" s="477"/>
    </row>
    <row r="2344" spans="1:15" ht="18" customHeight="1">
      <c r="A2344" s="477"/>
      <c r="D2344" s="477"/>
      <c r="G2344" s="700"/>
      <c r="H2344" s="706"/>
      <c r="I2344" s="700"/>
      <c r="J2344" s="706"/>
      <c r="O2344" s="477"/>
    </row>
    <row r="2345" spans="1:15" ht="18" customHeight="1">
      <c r="A2345" s="477"/>
      <c r="D2345" s="477"/>
      <c r="G2345" s="700"/>
      <c r="H2345" s="706"/>
      <c r="I2345" s="700"/>
      <c r="J2345" s="706"/>
      <c r="O2345" s="477"/>
    </row>
    <row r="2346" spans="1:15" ht="18" customHeight="1">
      <c r="A2346" s="477"/>
      <c r="D2346" s="477"/>
      <c r="G2346" s="700"/>
      <c r="H2346" s="706"/>
      <c r="I2346" s="700"/>
      <c r="J2346" s="706"/>
      <c r="O2346" s="477"/>
    </row>
    <row r="2347" spans="1:15" ht="18" customHeight="1">
      <c r="A2347" s="477"/>
      <c r="D2347" s="477"/>
      <c r="G2347" s="700"/>
      <c r="H2347" s="706"/>
      <c r="I2347" s="700"/>
      <c r="J2347" s="706"/>
      <c r="O2347" s="477"/>
    </row>
    <row r="2348" spans="1:15" ht="18" customHeight="1">
      <c r="A2348" s="477"/>
      <c r="D2348" s="477"/>
      <c r="G2348" s="700"/>
      <c r="H2348" s="706"/>
      <c r="I2348" s="700"/>
      <c r="J2348" s="706"/>
      <c r="O2348" s="477"/>
    </row>
    <row r="2349" spans="1:15" ht="18" customHeight="1">
      <c r="A2349" s="477"/>
      <c r="D2349" s="477"/>
      <c r="G2349" s="700"/>
      <c r="H2349" s="706"/>
      <c r="I2349" s="700"/>
      <c r="J2349" s="706"/>
      <c r="O2349" s="477"/>
    </row>
    <row r="2350" spans="1:15" ht="18" customHeight="1">
      <c r="A2350" s="477"/>
      <c r="D2350" s="477"/>
      <c r="G2350" s="700"/>
      <c r="H2350" s="706"/>
      <c r="I2350" s="700"/>
      <c r="J2350" s="706"/>
      <c r="O2350" s="477"/>
    </row>
    <row r="2351" spans="1:15" ht="18" customHeight="1">
      <c r="A2351" s="477"/>
      <c r="D2351" s="477"/>
      <c r="G2351" s="700"/>
      <c r="H2351" s="706"/>
      <c r="I2351" s="700"/>
      <c r="J2351" s="706"/>
      <c r="O2351" s="477"/>
    </row>
    <row r="2352" spans="1:15" ht="18" customHeight="1">
      <c r="A2352" s="477"/>
      <c r="D2352" s="477"/>
      <c r="G2352" s="700"/>
      <c r="H2352" s="706"/>
      <c r="I2352" s="700"/>
      <c r="J2352" s="706"/>
      <c r="O2352" s="477"/>
    </row>
    <row r="2353" spans="1:15" ht="18" customHeight="1">
      <c r="A2353" s="477"/>
      <c r="D2353" s="477"/>
      <c r="G2353" s="700"/>
      <c r="H2353" s="706"/>
      <c r="I2353" s="700"/>
      <c r="J2353" s="706"/>
      <c r="O2353" s="477"/>
    </row>
    <row r="2354" spans="1:15" ht="18" customHeight="1">
      <c r="A2354" s="477"/>
      <c r="D2354" s="477"/>
      <c r="G2354" s="700"/>
      <c r="H2354" s="706"/>
      <c r="I2354" s="700"/>
      <c r="J2354" s="706"/>
      <c r="O2354" s="477"/>
    </row>
    <row r="2355" spans="1:15" ht="18" customHeight="1">
      <c r="A2355" s="477"/>
      <c r="D2355" s="477"/>
      <c r="G2355" s="700"/>
      <c r="H2355" s="706"/>
      <c r="I2355" s="700"/>
      <c r="J2355" s="706"/>
      <c r="O2355" s="477"/>
    </row>
    <row r="2356" spans="1:15" ht="18" customHeight="1">
      <c r="A2356" s="477"/>
      <c r="D2356" s="477"/>
      <c r="G2356" s="700"/>
      <c r="H2356" s="706"/>
      <c r="I2356" s="700"/>
      <c r="J2356" s="706"/>
      <c r="O2356" s="477"/>
    </row>
    <row r="2357" spans="1:15" ht="18" customHeight="1">
      <c r="A2357" s="477"/>
      <c r="D2357" s="477"/>
      <c r="G2357" s="700"/>
      <c r="H2357" s="706"/>
      <c r="I2357" s="700"/>
      <c r="J2357" s="706"/>
      <c r="O2357" s="477"/>
    </row>
    <row r="2358" spans="1:15" ht="18" customHeight="1">
      <c r="A2358" s="477"/>
      <c r="D2358" s="477"/>
      <c r="G2358" s="700"/>
      <c r="H2358" s="706"/>
      <c r="I2358" s="700"/>
      <c r="J2358" s="706"/>
      <c r="O2358" s="477"/>
    </row>
    <row r="2359" spans="1:15" ht="18" customHeight="1">
      <c r="A2359" s="477"/>
      <c r="D2359" s="477"/>
      <c r="G2359" s="700"/>
      <c r="H2359" s="706"/>
      <c r="I2359" s="700"/>
      <c r="J2359" s="706"/>
      <c r="O2359" s="477"/>
    </row>
    <row r="2360" spans="1:15" ht="18" customHeight="1">
      <c r="A2360" s="477"/>
      <c r="D2360" s="477"/>
      <c r="G2360" s="700"/>
      <c r="H2360" s="706"/>
      <c r="I2360" s="700"/>
      <c r="J2360" s="706"/>
      <c r="O2360" s="477"/>
    </row>
    <row r="2361" spans="1:15" ht="18" customHeight="1">
      <c r="A2361" s="477"/>
      <c r="D2361" s="477"/>
      <c r="G2361" s="700"/>
      <c r="H2361" s="706"/>
      <c r="I2361" s="700"/>
      <c r="J2361" s="706"/>
      <c r="O2361" s="477"/>
    </row>
    <row r="2362" spans="1:15" ht="18" customHeight="1">
      <c r="A2362" s="477"/>
      <c r="D2362" s="477"/>
      <c r="G2362" s="700"/>
      <c r="H2362" s="706"/>
      <c r="I2362" s="700"/>
      <c r="J2362" s="706"/>
      <c r="O2362" s="477"/>
    </row>
    <row r="2363" spans="1:15" ht="18" customHeight="1">
      <c r="A2363" s="477"/>
      <c r="D2363" s="477"/>
      <c r="G2363" s="700"/>
      <c r="H2363" s="706"/>
      <c r="I2363" s="700"/>
      <c r="J2363" s="706"/>
      <c r="O2363" s="477"/>
    </row>
    <row r="2364" spans="1:15" ht="18" customHeight="1">
      <c r="A2364" s="477"/>
      <c r="D2364" s="477"/>
      <c r="G2364" s="700"/>
      <c r="H2364" s="706"/>
      <c r="I2364" s="700"/>
      <c r="J2364" s="706"/>
      <c r="O2364" s="477"/>
    </row>
    <row r="2365" spans="1:15" ht="18" customHeight="1">
      <c r="A2365" s="477"/>
      <c r="D2365" s="477"/>
      <c r="G2365" s="700"/>
      <c r="H2365" s="706"/>
      <c r="I2365" s="700"/>
      <c r="J2365" s="706"/>
      <c r="O2365" s="477"/>
    </row>
    <row r="2366" spans="1:15" ht="18" customHeight="1">
      <c r="A2366" s="477"/>
      <c r="D2366" s="477"/>
      <c r="G2366" s="700"/>
      <c r="H2366" s="706"/>
      <c r="I2366" s="700"/>
      <c r="J2366" s="706"/>
      <c r="O2366" s="477"/>
    </row>
    <row r="2367" spans="1:15" ht="18" customHeight="1">
      <c r="A2367" s="477"/>
      <c r="D2367" s="477"/>
      <c r="G2367" s="700"/>
      <c r="H2367" s="706"/>
      <c r="I2367" s="700"/>
      <c r="J2367" s="706"/>
      <c r="O2367" s="477"/>
    </row>
    <row r="2368" spans="1:15" ht="18" customHeight="1">
      <c r="A2368" s="477"/>
      <c r="D2368" s="477"/>
      <c r="G2368" s="700"/>
      <c r="H2368" s="706"/>
      <c r="I2368" s="700"/>
      <c r="J2368" s="706"/>
      <c r="O2368" s="477"/>
    </row>
    <row r="2369" spans="1:15" ht="18" customHeight="1">
      <c r="A2369" s="477"/>
      <c r="D2369" s="477"/>
      <c r="G2369" s="700"/>
      <c r="H2369" s="706"/>
      <c r="I2369" s="700"/>
      <c r="J2369" s="706"/>
      <c r="O2369" s="477"/>
    </row>
    <row r="2370" spans="1:15" ht="18" customHeight="1">
      <c r="A2370" s="477"/>
      <c r="D2370" s="477"/>
      <c r="G2370" s="700"/>
      <c r="H2370" s="706"/>
      <c r="I2370" s="700"/>
      <c r="J2370" s="706"/>
      <c r="O2370" s="477"/>
    </row>
    <row r="2371" spans="1:15" ht="18" customHeight="1">
      <c r="A2371" s="477"/>
      <c r="D2371" s="477"/>
      <c r="G2371" s="700"/>
      <c r="H2371" s="706"/>
      <c r="I2371" s="700"/>
      <c r="J2371" s="706"/>
      <c r="O2371" s="477"/>
    </row>
    <row r="2372" spans="1:15" ht="18" customHeight="1">
      <c r="A2372" s="477"/>
      <c r="D2372" s="477"/>
      <c r="G2372" s="700"/>
      <c r="H2372" s="706"/>
      <c r="I2372" s="700"/>
      <c r="J2372" s="706"/>
      <c r="O2372" s="477"/>
    </row>
    <row r="2373" spans="1:15" ht="18" customHeight="1">
      <c r="A2373" s="477"/>
      <c r="D2373" s="477"/>
      <c r="G2373" s="700"/>
      <c r="H2373" s="706"/>
      <c r="I2373" s="700"/>
      <c r="J2373" s="706"/>
      <c r="O2373" s="477"/>
    </row>
    <row r="2374" spans="1:15" ht="18" customHeight="1">
      <c r="A2374" s="477"/>
      <c r="D2374" s="477"/>
      <c r="G2374" s="700"/>
      <c r="H2374" s="706"/>
      <c r="I2374" s="700"/>
      <c r="J2374" s="706"/>
      <c r="O2374" s="477"/>
    </row>
    <row r="2375" spans="1:15" ht="18" customHeight="1">
      <c r="A2375" s="477"/>
      <c r="D2375" s="477"/>
      <c r="G2375" s="700"/>
      <c r="H2375" s="706"/>
      <c r="I2375" s="700"/>
      <c r="J2375" s="706"/>
      <c r="O2375" s="477"/>
    </row>
    <row r="2376" spans="1:15" ht="18" customHeight="1">
      <c r="A2376" s="477"/>
      <c r="D2376" s="477"/>
      <c r="G2376" s="700"/>
      <c r="H2376" s="706"/>
      <c r="I2376" s="700"/>
      <c r="J2376" s="706"/>
      <c r="O2376" s="477"/>
    </row>
    <row r="2377" spans="1:15" ht="18" customHeight="1">
      <c r="A2377" s="477"/>
      <c r="D2377" s="477"/>
      <c r="G2377" s="700"/>
      <c r="H2377" s="706"/>
      <c r="I2377" s="700"/>
      <c r="J2377" s="706"/>
      <c r="O2377" s="477"/>
    </row>
    <row r="2378" spans="1:15" ht="18" customHeight="1">
      <c r="A2378" s="477"/>
      <c r="D2378" s="477"/>
      <c r="G2378" s="700"/>
      <c r="H2378" s="706"/>
      <c r="I2378" s="700"/>
      <c r="J2378" s="706"/>
      <c r="O2378" s="477"/>
    </row>
    <row r="2379" spans="1:15" ht="18" customHeight="1">
      <c r="A2379" s="477"/>
      <c r="D2379" s="477"/>
      <c r="G2379" s="700"/>
      <c r="H2379" s="706"/>
      <c r="I2379" s="700"/>
      <c r="J2379" s="706"/>
      <c r="O2379" s="477"/>
    </row>
    <row r="2380" spans="1:15" ht="18" customHeight="1">
      <c r="A2380" s="477"/>
      <c r="D2380" s="477"/>
      <c r="G2380" s="700"/>
      <c r="H2380" s="706"/>
      <c r="I2380" s="700"/>
      <c r="J2380" s="706"/>
      <c r="O2380" s="477"/>
    </row>
    <row r="2381" spans="1:15" ht="18" customHeight="1">
      <c r="A2381" s="477"/>
      <c r="D2381" s="477"/>
      <c r="G2381" s="700"/>
      <c r="H2381" s="706"/>
      <c r="I2381" s="700"/>
      <c r="J2381" s="706"/>
      <c r="O2381" s="477"/>
    </row>
    <row r="2382" spans="1:15" ht="18" customHeight="1">
      <c r="A2382" s="477"/>
      <c r="D2382" s="477"/>
      <c r="G2382" s="700"/>
      <c r="H2382" s="706"/>
      <c r="I2382" s="700"/>
      <c r="J2382" s="706"/>
      <c r="O2382" s="477"/>
    </row>
    <row r="2383" spans="1:15" ht="18" customHeight="1">
      <c r="A2383" s="477"/>
      <c r="D2383" s="477"/>
      <c r="G2383" s="700"/>
      <c r="H2383" s="706"/>
      <c r="I2383" s="700"/>
      <c r="J2383" s="706"/>
      <c r="O2383" s="477"/>
    </row>
    <row r="2384" spans="1:15" ht="18" customHeight="1">
      <c r="A2384" s="477"/>
      <c r="D2384" s="477"/>
      <c r="G2384" s="700"/>
      <c r="H2384" s="706"/>
      <c r="I2384" s="700"/>
      <c r="J2384" s="706"/>
      <c r="O2384" s="477"/>
    </row>
    <row r="2385" spans="1:15" ht="18" customHeight="1">
      <c r="A2385" s="477"/>
      <c r="D2385" s="477"/>
      <c r="G2385" s="700"/>
      <c r="H2385" s="706"/>
      <c r="I2385" s="700"/>
      <c r="J2385" s="706"/>
      <c r="O2385" s="477"/>
    </row>
    <row r="2386" spans="1:15" ht="18" customHeight="1">
      <c r="A2386" s="477"/>
      <c r="D2386" s="477"/>
      <c r="G2386" s="700"/>
      <c r="H2386" s="706"/>
      <c r="I2386" s="700"/>
      <c r="J2386" s="706"/>
      <c r="O2386" s="477"/>
    </row>
    <row r="2387" spans="1:15" ht="18" customHeight="1">
      <c r="A2387" s="477"/>
      <c r="D2387" s="477"/>
      <c r="G2387" s="700"/>
      <c r="H2387" s="706"/>
      <c r="I2387" s="700"/>
      <c r="J2387" s="706"/>
      <c r="O2387" s="477"/>
    </row>
    <row r="2388" spans="1:15" ht="18" customHeight="1">
      <c r="A2388" s="477"/>
      <c r="D2388" s="477"/>
      <c r="G2388" s="700"/>
      <c r="H2388" s="706"/>
      <c r="I2388" s="700"/>
      <c r="J2388" s="706"/>
      <c r="O2388" s="477"/>
    </row>
    <row r="2389" spans="1:15" ht="18" customHeight="1">
      <c r="A2389" s="477"/>
      <c r="D2389" s="477"/>
      <c r="G2389" s="700"/>
      <c r="H2389" s="706"/>
      <c r="I2389" s="700"/>
      <c r="J2389" s="706"/>
      <c r="O2389" s="477"/>
    </row>
    <row r="2390" spans="1:15" ht="18" customHeight="1">
      <c r="A2390" s="477"/>
      <c r="D2390" s="477"/>
      <c r="G2390" s="700"/>
      <c r="H2390" s="706"/>
      <c r="I2390" s="700"/>
      <c r="J2390" s="706"/>
      <c r="O2390" s="477"/>
    </row>
    <row r="2391" spans="1:15" ht="18" customHeight="1">
      <c r="A2391" s="477"/>
      <c r="D2391" s="477"/>
      <c r="G2391" s="700"/>
      <c r="H2391" s="706"/>
      <c r="I2391" s="700"/>
      <c r="J2391" s="706"/>
      <c r="O2391" s="477"/>
    </row>
    <row r="2392" spans="1:15" ht="18" customHeight="1">
      <c r="A2392" s="477"/>
      <c r="D2392" s="477"/>
      <c r="G2392" s="700"/>
      <c r="H2392" s="706"/>
      <c r="I2392" s="700"/>
      <c r="J2392" s="706"/>
      <c r="O2392" s="477"/>
    </row>
    <row r="2393" spans="1:15" ht="18" customHeight="1">
      <c r="A2393" s="477"/>
      <c r="D2393" s="477"/>
      <c r="G2393" s="700"/>
      <c r="H2393" s="706"/>
      <c r="I2393" s="700"/>
      <c r="J2393" s="706"/>
      <c r="O2393" s="477"/>
    </row>
    <row r="2394" spans="1:15" ht="18" customHeight="1">
      <c r="A2394" s="477"/>
      <c r="D2394" s="477"/>
      <c r="G2394" s="700"/>
      <c r="H2394" s="706"/>
      <c r="I2394" s="700"/>
      <c r="J2394" s="706"/>
      <c r="O2394" s="477"/>
    </row>
    <row r="2395" spans="1:15" ht="18" customHeight="1">
      <c r="A2395" s="477"/>
      <c r="D2395" s="477"/>
      <c r="G2395" s="700"/>
      <c r="H2395" s="706"/>
      <c r="I2395" s="700"/>
      <c r="J2395" s="706"/>
      <c r="O2395" s="477"/>
    </row>
    <row r="2396" spans="1:15" ht="18" customHeight="1">
      <c r="A2396" s="477"/>
      <c r="D2396" s="477"/>
      <c r="G2396" s="700"/>
      <c r="H2396" s="706"/>
      <c r="I2396" s="700"/>
      <c r="J2396" s="706"/>
      <c r="O2396" s="477"/>
    </row>
    <row r="2397" spans="1:15" ht="18" customHeight="1">
      <c r="A2397" s="477"/>
      <c r="D2397" s="477"/>
      <c r="G2397" s="700"/>
      <c r="H2397" s="706"/>
      <c r="I2397" s="700"/>
      <c r="J2397" s="706"/>
      <c r="O2397" s="477"/>
    </row>
    <row r="2398" spans="1:15" ht="18" customHeight="1">
      <c r="A2398" s="477"/>
      <c r="D2398" s="477"/>
      <c r="G2398" s="700"/>
      <c r="H2398" s="706"/>
      <c r="I2398" s="700"/>
      <c r="J2398" s="706"/>
      <c r="O2398" s="477"/>
    </row>
    <row r="2399" spans="1:15" ht="18" customHeight="1">
      <c r="A2399" s="477"/>
      <c r="D2399" s="477"/>
      <c r="G2399" s="700"/>
      <c r="H2399" s="706"/>
      <c r="I2399" s="700"/>
      <c r="J2399" s="706"/>
      <c r="O2399" s="477"/>
    </row>
    <row r="2400" spans="1:15" ht="18" customHeight="1">
      <c r="A2400" s="477"/>
      <c r="D2400" s="477"/>
      <c r="G2400" s="700"/>
      <c r="H2400" s="706"/>
      <c r="I2400" s="700"/>
      <c r="J2400" s="706"/>
      <c r="O2400" s="477"/>
    </row>
    <row r="2401" spans="1:15" ht="18" customHeight="1">
      <c r="A2401" s="477"/>
      <c r="D2401" s="477"/>
      <c r="G2401" s="700"/>
      <c r="H2401" s="706"/>
      <c r="I2401" s="700"/>
      <c r="J2401" s="706"/>
      <c r="O2401" s="477"/>
    </row>
    <row r="2402" spans="1:15" ht="18" customHeight="1">
      <c r="A2402" s="477"/>
      <c r="D2402" s="477"/>
      <c r="G2402" s="700"/>
      <c r="H2402" s="706"/>
      <c r="I2402" s="700"/>
      <c r="J2402" s="706"/>
      <c r="O2402" s="477"/>
    </row>
    <row r="2403" spans="1:15" ht="18" customHeight="1">
      <c r="A2403" s="477"/>
      <c r="D2403" s="477"/>
      <c r="G2403" s="700"/>
      <c r="H2403" s="706"/>
      <c r="I2403" s="700"/>
      <c r="J2403" s="706"/>
      <c r="O2403" s="477"/>
    </row>
    <row r="2404" spans="1:15" ht="18" customHeight="1">
      <c r="A2404" s="477"/>
      <c r="D2404" s="477"/>
      <c r="G2404" s="700"/>
      <c r="H2404" s="706"/>
      <c r="I2404" s="700"/>
      <c r="J2404" s="706"/>
      <c r="O2404" s="477"/>
    </row>
    <row r="2405" spans="1:15" ht="18" customHeight="1">
      <c r="A2405" s="477"/>
      <c r="D2405" s="477"/>
      <c r="G2405" s="700"/>
      <c r="H2405" s="706"/>
      <c r="I2405" s="700"/>
      <c r="J2405" s="706"/>
      <c r="O2405" s="477"/>
    </row>
    <row r="2406" spans="1:15" ht="18" customHeight="1">
      <c r="A2406" s="477"/>
      <c r="D2406" s="477"/>
      <c r="G2406" s="700"/>
      <c r="H2406" s="706"/>
      <c r="I2406" s="700"/>
      <c r="J2406" s="706"/>
      <c r="O2406" s="477"/>
    </row>
    <row r="2407" spans="1:15" ht="18" customHeight="1">
      <c r="A2407" s="477"/>
      <c r="D2407" s="477"/>
      <c r="G2407" s="700"/>
      <c r="H2407" s="706"/>
      <c r="I2407" s="700"/>
      <c r="J2407" s="706"/>
      <c r="O2407" s="477"/>
    </row>
    <row r="2408" spans="1:15" ht="18" customHeight="1">
      <c r="A2408" s="477"/>
      <c r="D2408" s="477"/>
      <c r="G2408" s="700"/>
      <c r="H2408" s="706"/>
      <c r="I2408" s="700"/>
      <c r="J2408" s="706"/>
      <c r="O2408" s="477"/>
    </row>
    <row r="2409" spans="1:15" ht="18" customHeight="1">
      <c r="A2409" s="477"/>
      <c r="D2409" s="477"/>
      <c r="G2409" s="700"/>
      <c r="H2409" s="706"/>
      <c r="I2409" s="700"/>
      <c r="J2409" s="706"/>
      <c r="O2409" s="477"/>
    </row>
    <row r="2410" spans="1:15" ht="18" customHeight="1">
      <c r="A2410" s="477"/>
      <c r="D2410" s="477"/>
      <c r="G2410" s="700"/>
      <c r="H2410" s="706"/>
      <c r="I2410" s="700"/>
      <c r="J2410" s="706"/>
      <c r="O2410" s="477"/>
    </row>
    <row r="2411" spans="1:15" ht="18" customHeight="1">
      <c r="A2411" s="477"/>
      <c r="D2411" s="477"/>
      <c r="G2411" s="700"/>
      <c r="H2411" s="706"/>
      <c r="I2411" s="700"/>
      <c r="J2411" s="706"/>
      <c r="O2411" s="477"/>
    </row>
    <row r="2412" spans="1:15" ht="18" customHeight="1">
      <c r="A2412" s="477"/>
      <c r="D2412" s="477"/>
      <c r="G2412" s="700"/>
      <c r="H2412" s="706"/>
      <c r="I2412" s="700"/>
      <c r="J2412" s="706"/>
      <c r="O2412" s="477"/>
    </row>
    <row r="2413" spans="1:15" ht="18" customHeight="1">
      <c r="A2413" s="477"/>
      <c r="D2413" s="477"/>
      <c r="G2413" s="700"/>
      <c r="H2413" s="706"/>
      <c r="I2413" s="700"/>
      <c r="J2413" s="706"/>
      <c r="O2413" s="477"/>
    </row>
    <row r="2414" spans="1:15" ht="18" customHeight="1">
      <c r="A2414" s="477"/>
      <c r="D2414" s="477"/>
      <c r="G2414" s="700"/>
      <c r="H2414" s="706"/>
      <c r="I2414" s="700"/>
      <c r="J2414" s="706"/>
      <c r="O2414" s="477"/>
    </row>
    <row r="2415" spans="1:15" ht="18" customHeight="1">
      <c r="A2415" s="477"/>
      <c r="D2415" s="477"/>
      <c r="G2415" s="700"/>
      <c r="H2415" s="706"/>
      <c r="I2415" s="700"/>
      <c r="J2415" s="706"/>
      <c r="O2415" s="477"/>
    </row>
    <row r="2416" spans="1:15" ht="18" customHeight="1">
      <c r="A2416" s="477"/>
      <c r="D2416" s="477"/>
      <c r="G2416" s="700"/>
      <c r="H2416" s="706"/>
      <c r="I2416" s="700"/>
      <c r="J2416" s="706"/>
      <c r="O2416" s="477"/>
    </row>
    <row r="2417" spans="1:15" ht="18" customHeight="1">
      <c r="A2417" s="477"/>
      <c r="D2417" s="477"/>
      <c r="G2417" s="700"/>
      <c r="H2417" s="706"/>
      <c r="I2417" s="700"/>
      <c r="J2417" s="706"/>
      <c r="O2417" s="477"/>
    </row>
    <row r="2418" spans="1:15" ht="18" customHeight="1">
      <c r="A2418" s="477"/>
      <c r="D2418" s="477"/>
      <c r="G2418" s="700"/>
      <c r="H2418" s="706"/>
      <c r="I2418" s="700"/>
      <c r="J2418" s="706"/>
      <c r="O2418" s="477"/>
    </row>
    <row r="2419" spans="1:15" ht="18" customHeight="1">
      <c r="A2419" s="477"/>
      <c r="D2419" s="477"/>
      <c r="G2419" s="700"/>
      <c r="H2419" s="706"/>
      <c r="I2419" s="700"/>
      <c r="J2419" s="706"/>
      <c r="O2419" s="477"/>
    </row>
    <row r="2420" spans="1:15" ht="18" customHeight="1">
      <c r="A2420" s="477"/>
      <c r="D2420" s="477"/>
      <c r="G2420" s="700"/>
      <c r="H2420" s="706"/>
      <c r="I2420" s="700"/>
      <c r="J2420" s="706"/>
      <c r="O2420" s="477"/>
    </row>
    <row r="2421" spans="1:15" ht="18" customHeight="1">
      <c r="A2421" s="477"/>
      <c r="D2421" s="477"/>
      <c r="G2421" s="700"/>
      <c r="H2421" s="706"/>
      <c r="I2421" s="700"/>
      <c r="J2421" s="706"/>
      <c r="O2421" s="477"/>
    </row>
    <row r="2422" spans="1:15" ht="18" customHeight="1">
      <c r="A2422" s="477"/>
      <c r="D2422" s="477"/>
      <c r="G2422" s="700"/>
      <c r="H2422" s="706"/>
      <c r="I2422" s="700"/>
      <c r="J2422" s="706"/>
      <c r="O2422" s="477"/>
    </row>
    <row r="2423" spans="1:15" ht="18" customHeight="1">
      <c r="A2423" s="477"/>
      <c r="D2423" s="477"/>
      <c r="G2423" s="700"/>
      <c r="H2423" s="706"/>
      <c r="I2423" s="700"/>
      <c r="J2423" s="706"/>
      <c r="O2423" s="477"/>
    </row>
    <row r="2424" spans="1:15" ht="18" customHeight="1">
      <c r="A2424" s="477"/>
      <c r="D2424" s="477"/>
      <c r="G2424" s="700"/>
      <c r="H2424" s="706"/>
      <c r="I2424" s="700"/>
      <c r="J2424" s="706"/>
      <c r="O2424" s="477"/>
    </row>
    <row r="2425" spans="1:15" ht="18" customHeight="1">
      <c r="A2425" s="477"/>
      <c r="D2425" s="477"/>
      <c r="G2425" s="700"/>
      <c r="H2425" s="706"/>
      <c r="I2425" s="700"/>
      <c r="J2425" s="706"/>
      <c r="O2425" s="477"/>
    </row>
    <row r="2426" spans="1:15" ht="18" customHeight="1">
      <c r="A2426" s="477"/>
      <c r="D2426" s="477"/>
      <c r="G2426" s="700"/>
      <c r="H2426" s="706"/>
      <c r="I2426" s="700"/>
      <c r="J2426" s="706"/>
      <c r="O2426" s="477"/>
    </row>
    <row r="2427" spans="1:15" ht="18" customHeight="1">
      <c r="A2427" s="477"/>
      <c r="D2427" s="477"/>
      <c r="G2427" s="700"/>
      <c r="H2427" s="706"/>
      <c r="I2427" s="700"/>
      <c r="J2427" s="706"/>
      <c r="O2427" s="477"/>
    </row>
    <row r="2428" spans="1:15" ht="18" customHeight="1">
      <c r="A2428" s="477"/>
      <c r="D2428" s="477"/>
      <c r="G2428" s="700"/>
      <c r="H2428" s="706"/>
      <c r="I2428" s="700"/>
      <c r="J2428" s="706"/>
      <c r="O2428" s="477"/>
    </row>
    <row r="2429" spans="1:15" ht="18" customHeight="1">
      <c r="A2429" s="477"/>
      <c r="D2429" s="477"/>
      <c r="G2429" s="700"/>
      <c r="H2429" s="706"/>
      <c r="I2429" s="700"/>
      <c r="J2429" s="706"/>
      <c r="O2429" s="477"/>
    </row>
    <row r="2430" spans="1:15" ht="18" customHeight="1">
      <c r="A2430" s="477"/>
      <c r="D2430" s="477"/>
      <c r="G2430" s="700"/>
      <c r="H2430" s="706"/>
      <c r="I2430" s="700"/>
      <c r="J2430" s="706"/>
      <c r="O2430" s="477"/>
    </row>
    <row r="2431" spans="1:15" ht="18" customHeight="1">
      <c r="A2431" s="477"/>
      <c r="D2431" s="477"/>
      <c r="G2431" s="700"/>
      <c r="H2431" s="706"/>
      <c r="I2431" s="700"/>
      <c r="J2431" s="706"/>
      <c r="O2431" s="477"/>
    </row>
    <row r="2432" spans="1:15" ht="18" customHeight="1">
      <c r="A2432" s="477"/>
      <c r="D2432" s="477"/>
      <c r="G2432" s="700"/>
      <c r="H2432" s="706"/>
      <c r="I2432" s="700"/>
      <c r="J2432" s="706"/>
      <c r="O2432" s="477"/>
    </row>
    <row r="2433" spans="1:15" ht="18" customHeight="1">
      <c r="A2433" s="477"/>
      <c r="D2433" s="477"/>
      <c r="G2433" s="700"/>
      <c r="H2433" s="706"/>
      <c r="I2433" s="700"/>
      <c r="J2433" s="706"/>
      <c r="O2433" s="477"/>
    </row>
    <row r="2434" spans="1:15" ht="18" customHeight="1">
      <c r="A2434" s="477"/>
      <c r="D2434" s="477"/>
      <c r="G2434" s="700"/>
      <c r="H2434" s="706"/>
      <c r="I2434" s="700"/>
      <c r="J2434" s="706"/>
      <c r="O2434" s="477"/>
    </row>
    <row r="2435" spans="1:15" ht="18" customHeight="1">
      <c r="A2435" s="477"/>
      <c r="D2435" s="477"/>
      <c r="G2435" s="700"/>
      <c r="H2435" s="706"/>
      <c r="I2435" s="700"/>
      <c r="J2435" s="706"/>
      <c r="O2435" s="477"/>
    </row>
    <row r="2436" spans="1:15" ht="18" customHeight="1">
      <c r="A2436" s="477"/>
      <c r="D2436" s="477"/>
      <c r="G2436" s="700"/>
      <c r="H2436" s="706"/>
      <c r="I2436" s="700"/>
      <c r="J2436" s="706"/>
      <c r="O2436" s="477"/>
    </row>
    <row r="2437" spans="1:15" ht="18" customHeight="1">
      <c r="A2437" s="477"/>
      <c r="D2437" s="477"/>
      <c r="G2437" s="700"/>
      <c r="H2437" s="706"/>
      <c r="I2437" s="700"/>
      <c r="J2437" s="706"/>
      <c r="O2437" s="477"/>
    </row>
    <row r="2438" spans="1:15" ht="18" customHeight="1">
      <c r="A2438" s="477"/>
      <c r="D2438" s="477"/>
      <c r="G2438" s="700"/>
      <c r="H2438" s="706"/>
      <c r="I2438" s="700"/>
      <c r="J2438" s="706"/>
      <c r="O2438" s="477"/>
    </row>
    <row r="2439" spans="1:15" ht="18" customHeight="1">
      <c r="A2439" s="477"/>
      <c r="D2439" s="477"/>
      <c r="G2439" s="700"/>
      <c r="H2439" s="706"/>
      <c r="I2439" s="700"/>
      <c r="J2439" s="706"/>
      <c r="O2439" s="477"/>
    </row>
    <row r="2440" spans="1:15" ht="18" customHeight="1">
      <c r="A2440" s="477"/>
      <c r="D2440" s="477"/>
      <c r="G2440" s="700"/>
      <c r="H2440" s="706"/>
      <c r="I2440" s="700"/>
      <c r="J2440" s="706"/>
      <c r="O2440" s="477"/>
    </row>
    <row r="2441" spans="1:15" ht="18" customHeight="1">
      <c r="A2441" s="477"/>
      <c r="D2441" s="477"/>
      <c r="G2441" s="700"/>
      <c r="H2441" s="706"/>
      <c r="I2441" s="700"/>
      <c r="J2441" s="706"/>
      <c r="O2441" s="477"/>
    </row>
    <row r="2442" spans="1:15" ht="18" customHeight="1">
      <c r="A2442" s="477"/>
      <c r="D2442" s="477"/>
      <c r="G2442" s="700"/>
      <c r="H2442" s="706"/>
      <c r="I2442" s="700"/>
      <c r="J2442" s="706"/>
      <c r="O2442" s="477"/>
    </row>
    <row r="2443" spans="1:15" ht="18" customHeight="1">
      <c r="A2443" s="477"/>
      <c r="D2443" s="477"/>
      <c r="G2443" s="700"/>
      <c r="H2443" s="706"/>
      <c r="I2443" s="700"/>
      <c r="J2443" s="706"/>
      <c r="O2443" s="477"/>
    </row>
    <row r="2444" spans="1:15" ht="18" customHeight="1">
      <c r="A2444" s="477"/>
      <c r="D2444" s="477"/>
      <c r="G2444" s="700"/>
      <c r="H2444" s="706"/>
      <c r="I2444" s="700"/>
      <c r="J2444" s="706"/>
      <c r="O2444" s="477"/>
    </row>
    <row r="2445" spans="1:15" ht="18" customHeight="1">
      <c r="A2445" s="477"/>
      <c r="D2445" s="477"/>
      <c r="G2445" s="700"/>
      <c r="H2445" s="706"/>
      <c r="I2445" s="700"/>
      <c r="J2445" s="706"/>
      <c r="O2445" s="477"/>
    </row>
    <row r="2446" spans="1:15" ht="18" customHeight="1">
      <c r="A2446" s="477"/>
      <c r="D2446" s="477"/>
      <c r="G2446" s="700"/>
      <c r="H2446" s="706"/>
      <c r="I2446" s="700"/>
      <c r="J2446" s="706"/>
      <c r="O2446" s="477"/>
    </row>
    <row r="2447" spans="1:15" ht="18" customHeight="1">
      <c r="A2447" s="477"/>
      <c r="D2447" s="477"/>
      <c r="G2447" s="700"/>
      <c r="H2447" s="706"/>
      <c r="I2447" s="700"/>
      <c r="J2447" s="706"/>
      <c r="O2447" s="477"/>
    </row>
    <row r="2448" spans="1:15" ht="18" customHeight="1">
      <c r="A2448" s="477"/>
      <c r="D2448" s="477"/>
      <c r="G2448" s="700"/>
      <c r="H2448" s="706"/>
      <c r="I2448" s="700"/>
      <c r="J2448" s="706"/>
      <c r="O2448" s="477"/>
    </row>
    <row r="2449" spans="1:15" ht="18" customHeight="1">
      <c r="A2449" s="477"/>
      <c r="D2449" s="477"/>
      <c r="G2449" s="700"/>
      <c r="H2449" s="706"/>
      <c r="I2449" s="700"/>
      <c r="J2449" s="706"/>
      <c r="O2449" s="477"/>
    </row>
    <row r="2450" spans="1:15" ht="18" customHeight="1">
      <c r="A2450" s="477"/>
      <c r="D2450" s="477"/>
      <c r="G2450" s="700"/>
      <c r="H2450" s="706"/>
      <c r="I2450" s="700"/>
      <c r="J2450" s="706"/>
      <c r="O2450" s="477"/>
    </row>
    <row r="2451" spans="1:15" ht="18" customHeight="1">
      <c r="A2451" s="477"/>
      <c r="D2451" s="477"/>
      <c r="G2451" s="700"/>
      <c r="H2451" s="706"/>
      <c r="I2451" s="700"/>
      <c r="J2451" s="706"/>
      <c r="O2451" s="477"/>
    </row>
    <row r="2452" spans="1:15" ht="18" customHeight="1">
      <c r="A2452" s="477"/>
      <c r="D2452" s="477"/>
      <c r="G2452" s="700"/>
      <c r="H2452" s="706"/>
      <c r="I2452" s="700"/>
      <c r="J2452" s="706"/>
      <c r="O2452" s="477"/>
    </row>
    <row r="2453" spans="1:15" ht="18" customHeight="1">
      <c r="A2453" s="477"/>
      <c r="D2453" s="477"/>
      <c r="G2453" s="700"/>
      <c r="H2453" s="706"/>
      <c r="I2453" s="700"/>
      <c r="J2453" s="706"/>
      <c r="O2453" s="477"/>
    </row>
    <row r="2454" spans="1:15" ht="18" customHeight="1">
      <c r="A2454" s="477"/>
      <c r="D2454" s="477"/>
      <c r="G2454" s="700"/>
      <c r="H2454" s="706"/>
      <c r="I2454" s="700"/>
      <c r="J2454" s="706"/>
      <c r="O2454" s="477"/>
    </row>
    <row r="2455" spans="1:15" ht="18" customHeight="1">
      <c r="A2455" s="477"/>
      <c r="D2455" s="477"/>
      <c r="G2455" s="700"/>
      <c r="H2455" s="706"/>
      <c r="I2455" s="700"/>
      <c r="J2455" s="706"/>
      <c r="O2455" s="477"/>
    </row>
    <row r="2456" spans="1:15" ht="18" customHeight="1">
      <c r="A2456" s="477"/>
      <c r="D2456" s="477"/>
      <c r="G2456" s="700"/>
      <c r="H2456" s="706"/>
      <c r="I2456" s="700"/>
      <c r="J2456" s="706"/>
      <c r="O2456" s="477"/>
    </row>
    <row r="2457" spans="1:15" ht="18" customHeight="1">
      <c r="A2457" s="477"/>
      <c r="D2457" s="477"/>
      <c r="G2457" s="700"/>
      <c r="H2457" s="706"/>
      <c r="I2457" s="700"/>
      <c r="J2457" s="706"/>
      <c r="O2457" s="477"/>
    </row>
    <row r="2458" spans="1:15" ht="18" customHeight="1">
      <c r="A2458" s="477"/>
      <c r="D2458" s="477"/>
      <c r="G2458" s="700"/>
      <c r="H2458" s="706"/>
      <c r="I2458" s="700"/>
      <c r="J2458" s="706"/>
      <c r="O2458" s="477"/>
    </row>
    <row r="2459" spans="1:15" ht="18" customHeight="1">
      <c r="A2459" s="477"/>
      <c r="D2459" s="477"/>
      <c r="G2459" s="700"/>
      <c r="H2459" s="706"/>
      <c r="I2459" s="700"/>
      <c r="J2459" s="706"/>
      <c r="O2459" s="477"/>
    </row>
    <row r="2460" spans="1:15" ht="18" customHeight="1">
      <c r="A2460" s="477"/>
      <c r="D2460" s="477"/>
      <c r="G2460" s="700"/>
      <c r="H2460" s="706"/>
      <c r="I2460" s="700"/>
      <c r="J2460" s="706"/>
      <c r="O2460" s="477"/>
    </row>
    <row r="2461" spans="1:15" ht="18" customHeight="1">
      <c r="A2461" s="477"/>
      <c r="D2461" s="477"/>
      <c r="G2461" s="700"/>
      <c r="H2461" s="706"/>
      <c r="I2461" s="700"/>
      <c r="J2461" s="706"/>
      <c r="O2461" s="477"/>
    </row>
    <row r="2462" spans="1:15" ht="18" customHeight="1">
      <c r="A2462" s="477"/>
      <c r="D2462" s="477"/>
      <c r="G2462" s="700"/>
      <c r="H2462" s="706"/>
      <c r="I2462" s="700"/>
      <c r="J2462" s="706"/>
      <c r="O2462" s="477"/>
    </row>
    <row r="2463" spans="1:15" ht="18" customHeight="1">
      <c r="A2463" s="477"/>
      <c r="D2463" s="477"/>
      <c r="G2463" s="700"/>
      <c r="H2463" s="706"/>
      <c r="I2463" s="700"/>
      <c r="J2463" s="706"/>
      <c r="O2463" s="477"/>
    </row>
    <row r="2464" spans="1:15" ht="18" customHeight="1">
      <c r="A2464" s="477"/>
      <c r="D2464" s="477"/>
      <c r="G2464" s="700"/>
      <c r="H2464" s="706"/>
      <c r="I2464" s="700"/>
      <c r="J2464" s="706"/>
      <c r="O2464" s="477"/>
    </row>
    <row r="2465" spans="1:15" ht="18" customHeight="1">
      <c r="A2465" s="477"/>
      <c r="D2465" s="477"/>
      <c r="G2465" s="700"/>
      <c r="H2465" s="706"/>
      <c r="I2465" s="700"/>
      <c r="J2465" s="706"/>
      <c r="O2465" s="477"/>
    </row>
    <row r="2466" spans="1:15" ht="18" customHeight="1">
      <c r="A2466" s="477"/>
      <c r="D2466" s="477"/>
      <c r="G2466" s="700"/>
      <c r="H2466" s="706"/>
      <c r="I2466" s="700"/>
      <c r="J2466" s="706"/>
      <c r="O2466" s="477"/>
    </row>
    <row r="2467" spans="1:15" ht="18" customHeight="1">
      <c r="A2467" s="477"/>
      <c r="D2467" s="477"/>
      <c r="G2467" s="700"/>
      <c r="H2467" s="706"/>
      <c r="I2467" s="700"/>
      <c r="J2467" s="706"/>
      <c r="O2467" s="477"/>
    </row>
    <row r="2468" spans="1:15" ht="18" customHeight="1">
      <c r="A2468" s="477"/>
      <c r="D2468" s="477"/>
      <c r="G2468" s="700"/>
      <c r="H2468" s="706"/>
      <c r="I2468" s="700"/>
      <c r="J2468" s="706"/>
      <c r="O2468" s="477"/>
    </row>
    <row r="2469" spans="1:15" ht="18" customHeight="1">
      <c r="A2469" s="477"/>
      <c r="D2469" s="477"/>
      <c r="G2469" s="700"/>
      <c r="H2469" s="706"/>
      <c r="I2469" s="700"/>
      <c r="J2469" s="706"/>
      <c r="O2469" s="477"/>
    </row>
    <row r="2470" spans="1:15" ht="18" customHeight="1">
      <c r="A2470" s="477"/>
      <c r="D2470" s="477"/>
      <c r="G2470" s="700"/>
      <c r="H2470" s="706"/>
      <c r="I2470" s="700"/>
      <c r="J2470" s="706"/>
      <c r="O2470" s="477"/>
    </row>
    <row r="2471" spans="1:15" ht="18" customHeight="1">
      <c r="A2471" s="477"/>
      <c r="D2471" s="477"/>
      <c r="G2471" s="700"/>
      <c r="H2471" s="706"/>
      <c r="I2471" s="700"/>
      <c r="J2471" s="706"/>
      <c r="O2471" s="477"/>
    </row>
    <row r="2472" spans="1:15" ht="18" customHeight="1">
      <c r="A2472" s="477"/>
      <c r="D2472" s="477"/>
      <c r="G2472" s="700"/>
      <c r="H2472" s="706"/>
      <c r="I2472" s="700"/>
      <c r="J2472" s="706"/>
      <c r="O2472" s="477"/>
    </row>
    <row r="2473" spans="1:15" ht="18" customHeight="1">
      <c r="A2473" s="477"/>
      <c r="D2473" s="477"/>
      <c r="G2473" s="700"/>
      <c r="H2473" s="706"/>
      <c r="I2473" s="700"/>
      <c r="J2473" s="706"/>
      <c r="O2473" s="477"/>
    </row>
    <row r="2474" spans="1:15" ht="18" customHeight="1">
      <c r="A2474" s="477"/>
      <c r="D2474" s="477"/>
      <c r="G2474" s="700"/>
      <c r="H2474" s="706"/>
      <c r="I2474" s="700"/>
      <c r="J2474" s="706"/>
      <c r="O2474" s="477"/>
    </row>
    <row r="2475" spans="1:15" ht="18" customHeight="1">
      <c r="A2475" s="477"/>
      <c r="D2475" s="477"/>
      <c r="G2475" s="700"/>
      <c r="H2475" s="706"/>
      <c r="I2475" s="700"/>
      <c r="J2475" s="706"/>
      <c r="O2475" s="477"/>
    </row>
    <row r="2476" spans="1:15" ht="18" customHeight="1">
      <c r="A2476" s="477"/>
      <c r="D2476" s="477"/>
      <c r="G2476" s="700"/>
      <c r="H2476" s="706"/>
      <c r="I2476" s="700"/>
      <c r="J2476" s="706"/>
      <c r="O2476" s="477"/>
    </row>
    <row r="2477" spans="1:15" ht="18" customHeight="1">
      <c r="A2477" s="477"/>
      <c r="D2477" s="477"/>
      <c r="G2477" s="700"/>
      <c r="H2477" s="706"/>
      <c r="I2477" s="700"/>
      <c r="J2477" s="706"/>
      <c r="O2477" s="477"/>
    </row>
    <row r="2478" spans="1:15" ht="18" customHeight="1">
      <c r="A2478" s="477"/>
      <c r="D2478" s="477"/>
      <c r="G2478" s="700"/>
      <c r="H2478" s="706"/>
      <c r="I2478" s="700"/>
      <c r="J2478" s="706"/>
      <c r="O2478" s="477"/>
    </row>
    <row r="2479" spans="1:15" ht="18" customHeight="1">
      <c r="A2479" s="477"/>
      <c r="D2479" s="477"/>
      <c r="G2479" s="700"/>
      <c r="H2479" s="706"/>
      <c r="I2479" s="700"/>
      <c r="J2479" s="706"/>
      <c r="O2479" s="477"/>
    </row>
    <row r="2480" spans="1:15" ht="18" customHeight="1">
      <c r="A2480" s="477"/>
      <c r="D2480" s="477"/>
      <c r="G2480" s="700"/>
      <c r="H2480" s="706"/>
      <c r="I2480" s="700"/>
      <c r="J2480" s="706"/>
      <c r="O2480" s="477"/>
    </row>
    <row r="2481" spans="1:15" ht="18" customHeight="1">
      <c r="A2481" s="477"/>
      <c r="D2481" s="477"/>
      <c r="G2481" s="700"/>
      <c r="H2481" s="706"/>
      <c r="I2481" s="700"/>
      <c r="J2481" s="706"/>
      <c r="O2481" s="477"/>
    </row>
    <row r="2482" spans="1:15" ht="18" customHeight="1">
      <c r="A2482" s="477"/>
      <c r="D2482" s="477"/>
      <c r="G2482" s="700"/>
      <c r="H2482" s="706"/>
      <c r="I2482" s="700"/>
      <c r="J2482" s="706"/>
      <c r="O2482" s="477"/>
    </row>
    <row r="2483" spans="1:15" ht="18" customHeight="1">
      <c r="A2483" s="477"/>
      <c r="D2483" s="477"/>
      <c r="G2483" s="700"/>
      <c r="H2483" s="706"/>
      <c r="I2483" s="700"/>
      <c r="J2483" s="706"/>
      <c r="O2483" s="477"/>
    </row>
    <row r="2484" spans="1:15" ht="18" customHeight="1">
      <c r="A2484" s="477"/>
      <c r="D2484" s="477"/>
      <c r="G2484" s="700"/>
      <c r="H2484" s="706"/>
      <c r="I2484" s="700"/>
      <c r="J2484" s="706"/>
      <c r="O2484" s="477"/>
    </row>
    <row r="2485" spans="1:15" ht="18" customHeight="1">
      <c r="A2485" s="477"/>
      <c r="D2485" s="477"/>
      <c r="G2485" s="700"/>
      <c r="H2485" s="706"/>
      <c r="I2485" s="700"/>
      <c r="J2485" s="706"/>
      <c r="O2485" s="477"/>
    </row>
    <row r="2486" spans="1:15" ht="18" customHeight="1">
      <c r="A2486" s="477"/>
      <c r="D2486" s="477"/>
      <c r="G2486" s="700"/>
      <c r="H2486" s="706"/>
      <c r="I2486" s="700"/>
      <c r="J2486" s="706"/>
      <c r="O2486" s="477"/>
    </row>
    <row r="2487" spans="1:15" ht="18" customHeight="1">
      <c r="A2487" s="477"/>
      <c r="D2487" s="477"/>
      <c r="G2487" s="700"/>
      <c r="H2487" s="706"/>
      <c r="I2487" s="700"/>
      <c r="J2487" s="706"/>
      <c r="O2487" s="477"/>
    </row>
    <row r="2488" spans="1:15" ht="18" customHeight="1">
      <c r="A2488" s="477"/>
      <c r="D2488" s="477"/>
      <c r="G2488" s="700"/>
      <c r="H2488" s="706"/>
      <c r="I2488" s="700"/>
      <c r="J2488" s="706"/>
      <c r="O2488" s="477"/>
    </row>
    <row r="2489" spans="1:15" ht="18" customHeight="1">
      <c r="A2489" s="477"/>
      <c r="D2489" s="477"/>
      <c r="G2489" s="700"/>
      <c r="H2489" s="706"/>
      <c r="I2489" s="700"/>
      <c r="J2489" s="706"/>
      <c r="O2489" s="477"/>
    </row>
    <row r="2490" spans="1:15" ht="18" customHeight="1">
      <c r="A2490" s="477"/>
      <c r="D2490" s="477"/>
      <c r="G2490" s="700"/>
      <c r="H2490" s="706"/>
      <c r="I2490" s="700"/>
      <c r="J2490" s="706"/>
      <c r="O2490" s="477"/>
    </row>
    <row r="2491" spans="1:15" ht="18" customHeight="1">
      <c r="A2491" s="477"/>
      <c r="D2491" s="477"/>
      <c r="G2491" s="700"/>
      <c r="H2491" s="706"/>
      <c r="I2491" s="700"/>
      <c r="J2491" s="706"/>
      <c r="O2491" s="477"/>
    </row>
    <row r="2492" spans="1:15" ht="18" customHeight="1">
      <c r="A2492" s="477"/>
      <c r="D2492" s="477"/>
      <c r="G2492" s="700"/>
      <c r="H2492" s="706"/>
      <c r="I2492" s="700"/>
      <c r="J2492" s="706"/>
      <c r="O2492" s="477"/>
    </row>
    <row r="2493" spans="1:15" ht="18" customHeight="1">
      <c r="A2493" s="477"/>
      <c r="D2493" s="477"/>
      <c r="G2493" s="700"/>
      <c r="H2493" s="706"/>
      <c r="I2493" s="700"/>
      <c r="J2493" s="706"/>
      <c r="O2493" s="477"/>
    </row>
    <row r="2494" spans="1:15" ht="18" customHeight="1">
      <c r="A2494" s="477"/>
      <c r="D2494" s="477"/>
      <c r="G2494" s="700"/>
      <c r="H2494" s="706"/>
      <c r="I2494" s="700"/>
      <c r="J2494" s="706"/>
      <c r="O2494" s="477"/>
    </row>
    <row r="2495" spans="1:15" ht="18" customHeight="1">
      <c r="A2495" s="477"/>
      <c r="D2495" s="477"/>
      <c r="G2495" s="700"/>
      <c r="H2495" s="706"/>
      <c r="I2495" s="700"/>
      <c r="J2495" s="706"/>
      <c r="O2495" s="477"/>
    </row>
    <row r="2496" spans="1:15" ht="18" customHeight="1">
      <c r="A2496" s="477"/>
      <c r="D2496" s="477"/>
      <c r="G2496" s="700"/>
      <c r="H2496" s="706"/>
      <c r="I2496" s="700"/>
      <c r="J2496" s="706"/>
      <c r="O2496" s="477"/>
    </row>
    <row r="2497" spans="1:15" ht="18" customHeight="1">
      <c r="A2497" s="477"/>
      <c r="D2497" s="477"/>
      <c r="G2497" s="700"/>
      <c r="H2497" s="706"/>
      <c r="I2497" s="700"/>
      <c r="J2497" s="706"/>
      <c r="O2497" s="477"/>
    </row>
    <row r="2498" spans="1:15" ht="18" customHeight="1">
      <c r="A2498" s="477"/>
      <c r="D2498" s="477"/>
      <c r="G2498" s="700"/>
      <c r="H2498" s="706"/>
      <c r="I2498" s="700"/>
      <c r="J2498" s="706"/>
      <c r="O2498" s="477"/>
    </row>
    <row r="2499" spans="1:15" ht="18" customHeight="1">
      <c r="A2499" s="477"/>
      <c r="D2499" s="477"/>
      <c r="G2499" s="700"/>
      <c r="H2499" s="706"/>
      <c r="I2499" s="700"/>
      <c r="J2499" s="706"/>
      <c r="O2499" s="477"/>
    </row>
    <row r="2500" spans="1:15" ht="18" customHeight="1">
      <c r="A2500" s="477"/>
      <c r="D2500" s="477"/>
      <c r="G2500" s="700"/>
      <c r="H2500" s="706"/>
      <c r="I2500" s="700"/>
      <c r="J2500" s="706"/>
      <c r="O2500" s="477"/>
    </row>
    <row r="2501" spans="1:15" ht="18" customHeight="1">
      <c r="A2501" s="477"/>
      <c r="D2501" s="477"/>
      <c r="G2501" s="700"/>
      <c r="H2501" s="706"/>
      <c r="I2501" s="700"/>
      <c r="J2501" s="706"/>
      <c r="O2501" s="477"/>
    </row>
    <row r="2502" spans="1:15" ht="18" customHeight="1">
      <c r="A2502" s="477"/>
      <c r="D2502" s="477"/>
      <c r="G2502" s="700"/>
      <c r="H2502" s="706"/>
      <c r="I2502" s="700"/>
      <c r="J2502" s="706"/>
      <c r="O2502" s="477"/>
    </row>
    <row r="2503" spans="1:15" ht="18" customHeight="1">
      <c r="A2503" s="477"/>
      <c r="D2503" s="477"/>
      <c r="G2503" s="700"/>
      <c r="H2503" s="706"/>
      <c r="I2503" s="700"/>
      <c r="J2503" s="706"/>
      <c r="O2503" s="477"/>
    </row>
    <row r="2504" spans="1:15" ht="18" customHeight="1">
      <c r="A2504" s="477"/>
      <c r="D2504" s="477"/>
      <c r="G2504" s="700"/>
      <c r="H2504" s="706"/>
      <c r="I2504" s="700"/>
      <c r="J2504" s="706"/>
      <c r="O2504" s="477"/>
    </row>
    <row r="2505" spans="1:15" ht="18" customHeight="1">
      <c r="A2505" s="477"/>
      <c r="D2505" s="477"/>
      <c r="G2505" s="700"/>
      <c r="H2505" s="706"/>
      <c r="I2505" s="700"/>
      <c r="J2505" s="706"/>
      <c r="O2505" s="477"/>
    </row>
    <row r="2506" spans="1:15" ht="18" customHeight="1">
      <c r="A2506" s="477"/>
      <c r="D2506" s="477"/>
      <c r="G2506" s="700"/>
      <c r="H2506" s="706"/>
      <c r="I2506" s="700"/>
      <c r="J2506" s="706"/>
      <c r="O2506" s="477"/>
    </row>
    <row r="2507" spans="1:15" ht="18" customHeight="1">
      <c r="A2507" s="477"/>
      <c r="D2507" s="477"/>
      <c r="G2507" s="700"/>
      <c r="H2507" s="706"/>
      <c r="I2507" s="700"/>
      <c r="J2507" s="706"/>
      <c r="O2507" s="477"/>
    </row>
    <row r="2508" spans="1:15" ht="18" customHeight="1">
      <c r="A2508" s="477"/>
      <c r="D2508" s="477"/>
      <c r="G2508" s="700"/>
      <c r="H2508" s="706"/>
      <c r="I2508" s="700"/>
      <c r="J2508" s="706"/>
      <c r="O2508" s="477"/>
    </row>
    <row r="2509" spans="1:15" ht="18" customHeight="1">
      <c r="A2509" s="477"/>
      <c r="D2509" s="477"/>
      <c r="G2509" s="700"/>
      <c r="H2509" s="706"/>
      <c r="I2509" s="700"/>
      <c r="J2509" s="706"/>
      <c r="O2509" s="477"/>
    </row>
    <row r="2510" spans="1:15" ht="18" customHeight="1">
      <c r="A2510" s="477"/>
      <c r="D2510" s="477"/>
      <c r="G2510" s="700"/>
      <c r="H2510" s="706"/>
      <c r="I2510" s="700"/>
      <c r="J2510" s="706"/>
      <c r="O2510" s="477"/>
    </row>
    <row r="2511" spans="1:15" ht="18" customHeight="1">
      <c r="A2511" s="477"/>
      <c r="D2511" s="477"/>
      <c r="G2511" s="700"/>
      <c r="H2511" s="706"/>
      <c r="I2511" s="700"/>
      <c r="J2511" s="706"/>
      <c r="O2511" s="477"/>
    </row>
    <row r="2512" spans="1:15" ht="18" customHeight="1">
      <c r="A2512" s="477"/>
      <c r="D2512" s="477"/>
      <c r="G2512" s="700"/>
      <c r="H2512" s="706"/>
      <c r="I2512" s="700"/>
      <c r="J2512" s="706"/>
      <c r="O2512" s="477"/>
    </row>
    <row r="2513" spans="1:15" ht="18" customHeight="1">
      <c r="A2513" s="477"/>
      <c r="D2513" s="477"/>
      <c r="G2513" s="700"/>
      <c r="H2513" s="706"/>
      <c r="I2513" s="700"/>
      <c r="J2513" s="706"/>
      <c r="O2513" s="477"/>
    </row>
    <row r="2514" spans="1:15" ht="18" customHeight="1">
      <c r="A2514" s="477"/>
      <c r="D2514" s="477"/>
      <c r="G2514" s="700"/>
      <c r="H2514" s="706"/>
      <c r="I2514" s="700"/>
      <c r="J2514" s="706"/>
      <c r="O2514" s="477"/>
    </row>
    <row r="2515" spans="1:15" ht="18" customHeight="1">
      <c r="A2515" s="477"/>
      <c r="D2515" s="477"/>
      <c r="G2515" s="700"/>
      <c r="H2515" s="706"/>
      <c r="I2515" s="700"/>
      <c r="J2515" s="706"/>
      <c r="O2515" s="477"/>
    </row>
    <row r="2516" spans="1:15" ht="18" customHeight="1">
      <c r="A2516" s="477"/>
      <c r="D2516" s="477"/>
      <c r="G2516" s="700"/>
      <c r="H2516" s="706"/>
      <c r="I2516" s="700"/>
      <c r="J2516" s="706"/>
      <c r="O2516" s="477"/>
    </row>
    <row r="2517" spans="1:15" ht="18" customHeight="1">
      <c r="A2517" s="477"/>
      <c r="D2517" s="477"/>
      <c r="G2517" s="700"/>
      <c r="H2517" s="706"/>
      <c r="I2517" s="700"/>
      <c r="J2517" s="706"/>
      <c r="O2517" s="477"/>
    </row>
    <row r="2518" spans="1:15" ht="18" customHeight="1">
      <c r="A2518" s="477"/>
      <c r="D2518" s="477"/>
      <c r="G2518" s="700"/>
      <c r="H2518" s="706"/>
      <c r="I2518" s="700"/>
      <c r="J2518" s="706"/>
      <c r="O2518" s="477"/>
    </row>
    <row r="2519" spans="1:15" ht="18" customHeight="1">
      <c r="A2519" s="477"/>
      <c r="D2519" s="477"/>
      <c r="G2519" s="700"/>
      <c r="H2519" s="706"/>
      <c r="I2519" s="700"/>
      <c r="J2519" s="706"/>
      <c r="O2519" s="477"/>
    </row>
    <row r="2520" spans="1:15" ht="18" customHeight="1">
      <c r="A2520" s="477"/>
      <c r="D2520" s="477"/>
      <c r="G2520" s="700"/>
      <c r="H2520" s="706"/>
      <c r="I2520" s="700"/>
      <c r="J2520" s="706"/>
      <c r="O2520" s="477"/>
    </row>
    <row r="2521" spans="1:15" ht="18" customHeight="1">
      <c r="A2521" s="477"/>
      <c r="D2521" s="477"/>
      <c r="G2521" s="700"/>
      <c r="H2521" s="706"/>
      <c r="I2521" s="700"/>
      <c r="J2521" s="706"/>
      <c r="O2521" s="477"/>
    </row>
    <row r="2522" spans="1:15" ht="18" customHeight="1">
      <c r="A2522" s="477"/>
      <c r="D2522" s="477"/>
      <c r="G2522" s="700"/>
      <c r="H2522" s="706"/>
      <c r="I2522" s="700"/>
      <c r="J2522" s="706"/>
      <c r="O2522" s="477"/>
    </row>
    <row r="2523" spans="1:15" ht="18" customHeight="1">
      <c r="A2523" s="477"/>
      <c r="D2523" s="477"/>
      <c r="G2523" s="700"/>
      <c r="H2523" s="706"/>
      <c r="I2523" s="700"/>
      <c r="J2523" s="706"/>
      <c r="O2523" s="477"/>
    </row>
    <row r="2524" spans="1:15" ht="18" customHeight="1">
      <c r="A2524" s="477"/>
      <c r="D2524" s="477"/>
      <c r="G2524" s="700"/>
      <c r="H2524" s="706"/>
      <c r="I2524" s="700"/>
      <c r="J2524" s="706"/>
      <c r="O2524" s="477"/>
    </row>
    <row r="2525" spans="1:15" ht="18" customHeight="1">
      <c r="A2525" s="477"/>
      <c r="D2525" s="477"/>
      <c r="G2525" s="700"/>
      <c r="H2525" s="706"/>
      <c r="I2525" s="700"/>
      <c r="J2525" s="706"/>
      <c r="O2525" s="477"/>
    </row>
    <row r="2526" spans="1:15" ht="18" customHeight="1">
      <c r="A2526" s="477"/>
      <c r="D2526" s="477"/>
      <c r="G2526" s="700"/>
      <c r="H2526" s="706"/>
      <c r="I2526" s="700"/>
      <c r="J2526" s="706"/>
      <c r="O2526" s="477"/>
    </row>
    <row r="2527" spans="1:15" ht="18" customHeight="1">
      <c r="A2527" s="477"/>
      <c r="D2527" s="477"/>
      <c r="G2527" s="700"/>
      <c r="H2527" s="706"/>
      <c r="I2527" s="700"/>
      <c r="J2527" s="706"/>
      <c r="O2527" s="477"/>
    </row>
    <row r="2528" spans="1:15" ht="18" customHeight="1">
      <c r="A2528" s="477"/>
      <c r="D2528" s="477"/>
      <c r="G2528" s="700"/>
      <c r="H2528" s="706"/>
      <c r="I2528" s="700"/>
      <c r="J2528" s="706"/>
      <c r="O2528" s="477"/>
    </row>
    <row r="2529" spans="1:15" ht="18" customHeight="1">
      <c r="A2529" s="477"/>
      <c r="D2529" s="477"/>
      <c r="G2529" s="700"/>
      <c r="H2529" s="706"/>
      <c r="I2529" s="700"/>
      <c r="J2529" s="706"/>
      <c r="O2529" s="477"/>
    </row>
    <row r="2530" spans="1:15" ht="18" customHeight="1">
      <c r="A2530" s="477"/>
      <c r="D2530" s="477"/>
      <c r="G2530" s="700"/>
      <c r="H2530" s="706"/>
      <c r="I2530" s="700"/>
      <c r="J2530" s="706"/>
      <c r="O2530" s="477"/>
    </row>
    <row r="2531" spans="1:15" ht="18" customHeight="1">
      <c r="A2531" s="477"/>
      <c r="D2531" s="477"/>
      <c r="G2531" s="700"/>
      <c r="H2531" s="706"/>
      <c r="I2531" s="700"/>
      <c r="J2531" s="706"/>
      <c r="O2531" s="477"/>
    </row>
    <row r="2532" spans="1:15" ht="18" customHeight="1">
      <c r="A2532" s="477"/>
      <c r="D2532" s="477"/>
      <c r="G2532" s="700"/>
      <c r="H2532" s="706"/>
      <c r="I2532" s="700"/>
      <c r="J2532" s="706"/>
      <c r="O2532" s="477"/>
    </row>
    <row r="2533" spans="1:15" ht="18" customHeight="1">
      <c r="A2533" s="477"/>
      <c r="D2533" s="477"/>
      <c r="G2533" s="700"/>
      <c r="H2533" s="706"/>
      <c r="I2533" s="700"/>
      <c r="J2533" s="706"/>
      <c r="O2533" s="477"/>
    </row>
    <row r="2534" spans="1:15" ht="18" customHeight="1">
      <c r="A2534" s="477"/>
      <c r="D2534" s="477"/>
      <c r="G2534" s="700"/>
      <c r="H2534" s="706"/>
      <c r="I2534" s="700"/>
      <c r="J2534" s="706"/>
      <c r="O2534" s="477"/>
    </row>
    <row r="2535" spans="1:15" ht="18" customHeight="1">
      <c r="A2535" s="477"/>
      <c r="D2535" s="477"/>
      <c r="G2535" s="700"/>
      <c r="H2535" s="706"/>
      <c r="I2535" s="700"/>
      <c r="J2535" s="706"/>
      <c r="O2535" s="477"/>
    </row>
    <row r="2536" spans="1:15" ht="18" customHeight="1">
      <c r="A2536" s="477"/>
      <c r="D2536" s="477"/>
      <c r="G2536" s="700"/>
      <c r="H2536" s="706"/>
      <c r="I2536" s="700"/>
      <c r="J2536" s="706"/>
      <c r="O2536" s="477"/>
    </row>
    <row r="2537" spans="1:15" ht="18" customHeight="1">
      <c r="A2537" s="477"/>
      <c r="D2537" s="477"/>
      <c r="G2537" s="700"/>
      <c r="H2537" s="706"/>
      <c r="I2537" s="700"/>
      <c r="J2537" s="706"/>
      <c r="O2537" s="477"/>
    </row>
    <row r="2538" spans="1:15" ht="18" customHeight="1">
      <c r="A2538" s="477"/>
      <c r="D2538" s="477"/>
      <c r="G2538" s="700"/>
      <c r="H2538" s="706"/>
      <c r="I2538" s="700"/>
      <c r="J2538" s="706"/>
      <c r="O2538" s="477"/>
    </row>
    <row r="2539" spans="1:15" ht="18" customHeight="1">
      <c r="A2539" s="477"/>
      <c r="D2539" s="477"/>
      <c r="G2539" s="700"/>
      <c r="H2539" s="706"/>
      <c r="I2539" s="700"/>
      <c r="J2539" s="706"/>
      <c r="O2539" s="477"/>
    </row>
    <row r="2540" spans="1:15" ht="18" customHeight="1">
      <c r="A2540" s="477"/>
      <c r="D2540" s="477"/>
      <c r="G2540" s="700"/>
      <c r="H2540" s="706"/>
      <c r="I2540" s="700"/>
      <c r="J2540" s="706"/>
      <c r="O2540" s="477"/>
    </row>
    <row r="2541" spans="1:15" ht="18" customHeight="1">
      <c r="A2541" s="477"/>
      <c r="D2541" s="477"/>
      <c r="G2541" s="700"/>
      <c r="H2541" s="706"/>
      <c r="I2541" s="700"/>
      <c r="J2541" s="706"/>
      <c r="O2541" s="477"/>
    </row>
    <row r="2542" spans="1:15" ht="18" customHeight="1">
      <c r="A2542" s="477"/>
      <c r="D2542" s="477"/>
      <c r="G2542" s="700"/>
      <c r="H2542" s="706"/>
      <c r="I2542" s="700"/>
      <c r="J2542" s="706"/>
      <c r="O2542" s="477"/>
    </row>
    <row r="2543" spans="1:15" ht="18" customHeight="1">
      <c r="A2543" s="477"/>
      <c r="D2543" s="477"/>
      <c r="G2543" s="700"/>
      <c r="H2543" s="706"/>
      <c r="I2543" s="700"/>
      <c r="J2543" s="706"/>
      <c r="O2543" s="477"/>
    </row>
    <row r="2544" spans="1:15" ht="18" customHeight="1">
      <c r="A2544" s="477"/>
      <c r="D2544" s="477"/>
      <c r="G2544" s="700"/>
      <c r="H2544" s="706"/>
      <c r="I2544" s="700"/>
      <c r="J2544" s="706"/>
      <c r="O2544" s="477"/>
    </row>
    <row r="2545" spans="1:15" ht="18" customHeight="1">
      <c r="A2545" s="477"/>
      <c r="D2545" s="477"/>
      <c r="G2545" s="700"/>
      <c r="H2545" s="706"/>
      <c r="I2545" s="700"/>
      <c r="J2545" s="706"/>
      <c r="O2545" s="477"/>
    </row>
    <row r="2546" spans="1:15" ht="18" customHeight="1">
      <c r="A2546" s="477"/>
      <c r="D2546" s="477"/>
      <c r="G2546" s="700"/>
      <c r="H2546" s="706"/>
      <c r="I2546" s="700"/>
      <c r="J2546" s="706"/>
      <c r="O2546" s="477"/>
    </row>
    <row r="2547" spans="1:15" ht="18" customHeight="1">
      <c r="A2547" s="477"/>
      <c r="D2547" s="477"/>
      <c r="G2547" s="700"/>
      <c r="H2547" s="706"/>
      <c r="I2547" s="700"/>
      <c r="J2547" s="706"/>
      <c r="O2547" s="477"/>
    </row>
    <row r="2548" spans="1:15" ht="18" customHeight="1">
      <c r="A2548" s="477"/>
      <c r="D2548" s="477"/>
      <c r="G2548" s="700"/>
      <c r="H2548" s="706"/>
      <c r="I2548" s="700"/>
      <c r="J2548" s="706"/>
      <c r="O2548" s="477"/>
    </row>
    <row r="2549" spans="1:15" ht="18" customHeight="1">
      <c r="A2549" s="477"/>
      <c r="D2549" s="477"/>
      <c r="G2549" s="700"/>
      <c r="H2549" s="706"/>
      <c r="I2549" s="700"/>
      <c r="J2549" s="706"/>
      <c r="O2549" s="477"/>
    </row>
    <row r="2550" spans="1:15" ht="18" customHeight="1">
      <c r="A2550" s="477"/>
      <c r="D2550" s="477"/>
      <c r="G2550" s="700"/>
      <c r="H2550" s="706"/>
      <c r="I2550" s="700"/>
      <c r="J2550" s="706"/>
      <c r="O2550" s="477"/>
    </row>
    <row r="2551" spans="1:15" ht="18" customHeight="1">
      <c r="A2551" s="477"/>
      <c r="D2551" s="477"/>
      <c r="G2551" s="700"/>
      <c r="H2551" s="706"/>
      <c r="I2551" s="700"/>
      <c r="J2551" s="706"/>
      <c r="O2551" s="477"/>
    </row>
    <row r="2552" spans="1:15" ht="18" customHeight="1">
      <c r="A2552" s="477"/>
      <c r="D2552" s="477"/>
      <c r="G2552" s="700"/>
      <c r="H2552" s="706"/>
      <c r="I2552" s="700"/>
      <c r="J2552" s="706"/>
      <c r="O2552" s="477"/>
    </row>
    <row r="2553" spans="1:15" ht="18" customHeight="1">
      <c r="A2553" s="477"/>
      <c r="D2553" s="477"/>
      <c r="G2553" s="700"/>
      <c r="H2553" s="706"/>
      <c r="I2553" s="700"/>
      <c r="J2553" s="706"/>
      <c r="O2553" s="477"/>
    </row>
    <row r="2554" spans="1:15" ht="18" customHeight="1">
      <c r="A2554" s="477"/>
      <c r="D2554" s="477"/>
      <c r="G2554" s="700"/>
      <c r="H2554" s="706"/>
      <c r="I2554" s="700"/>
      <c r="J2554" s="706"/>
      <c r="O2554" s="477"/>
    </row>
    <row r="2555" spans="1:15" ht="18" customHeight="1">
      <c r="A2555" s="477"/>
      <c r="D2555" s="477"/>
      <c r="G2555" s="700"/>
      <c r="H2555" s="706"/>
      <c r="I2555" s="700"/>
      <c r="J2555" s="706"/>
      <c r="O2555" s="477"/>
    </row>
    <row r="2556" spans="1:15" ht="18" customHeight="1">
      <c r="A2556" s="477"/>
      <c r="D2556" s="477"/>
      <c r="G2556" s="700"/>
      <c r="H2556" s="706"/>
      <c r="I2556" s="700"/>
      <c r="J2556" s="706"/>
      <c r="O2556" s="477"/>
    </row>
    <row r="2557" spans="1:15" ht="18" customHeight="1">
      <c r="A2557" s="477"/>
      <c r="D2557" s="477"/>
      <c r="G2557" s="700"/>
      <c r="H2557" s="706"/>
      <c r="I2557" s="700"/>
      <c r="J2557" s="706"/>
      <c r="O2557" s="477"/>
    </row>
    <row r="2558" spans="1:15" ht="18" customHeight="1">
      <c r="A2558" s="477"/>
      <c r="D2558" s="477"/>
      <c r="G2558" s="700"/>
      <c r="H2558" s="706"/>
      <c r="I2558" s="700"/>
      <c r="J2558" s="706"/>
      <c r="O2558" s="477"/>
    </row>
    <row r="2559" spans="1:15" ht="18" customHeight="1">
      <c r="A2559" s="477"/>
      <c r="D2559" s="477"/>
      <c r="G2559" s="700"/>
      <c r="H2559" s="706"/>
      <c r="I2559" s="700"/>
      <c r="J2559" s="706"/>
      <c r="O2559" s="477"/>
    </row>
    <row r="2560" spans="1:15" ht="18" customHeight="1">
      <c r="A2560" s="477"/>
      <c r="D2560" s="477"/>
      <c r="G2560" s="700"/>
      <c r="H2560" s="706"/>
      <c r="I2560" s="700"/>
      <c r="J2560" s="706"/>
      <c r="O2560" s="477"/>
    </row>
    <row r="2561" ht="18" customHeight="1"/>
  </sheetData>
  <mergeCells count="126">
    <mergeCell ref="C1372:E1372"/>
    <mergeCell ref="F1372:G1372"/>
    <mergeCell ref="H1372:I1372"/>
    <mergeCell ref="C823:E823"/>
    <mergeCell ref="C802:E802"/>
    <mergeCell ref="C1388:E1388"/>
    <mergeCell ref="F1388:G1388"/>
    <mergeCell ref="C1389:E1389"/>
    <mergeCell ref="F1389:G1389"/>
    <mergeCell ref="C1162:E1162"/>
    <mergeCell ref="F1162:G1162"/>
    <mergeCell ref="H1162:I1162"/>
    <mergeCell ref="C1163:E1163"/>
    <mergeCell ref="F1163:G1163"/>
    <mergeCell ref="H1163:I1163"/>
    <mergeCell ref="C1371:E1371"/>
    <mergeCell ref="F1371:G1371"/>
    <mergeCell ref="H1371:I1371"/>
    <mergeCell ref="C915:E915"/>
    <mergeCell ref="C916:E916"/>
    <mergeCell ref="U787:U788"/>
    <mergeCell ref="V787:V788"/>
    <mergeCell ref="W787:W788"/>
    <mergeCell ref="X787:X788"/>
    <mergeCell ref="F802:G802"/>
    <mergeCell ref="F801:G801"/>
    <mergeCell ref="H801:I801"/>
    <mergeCell ref="H802:I802"/>
    <mergeCell ref="P787:P788"/>
    <mergeCell ref="Q787:Q788"/>
    <mergeCell ref="R787:R788"/>
    <mergeCell ref="S787:S788"/>
    <mergeCell ref="T787:T788"/>
    <mergeCell ref="J788:K788"/>
    <mergeCell ref="J801:K801"/>
    <mergeCell ref="J802:K802"/>
    <mergeCell ref="J1169:K1169"/>
    <mergeCell ref="J1172:K1172"/>
    <mergeCell ref="J1371:K1371"/>
    <mergeCell ref="F1927:G1927"/>
    <mergeCell ref="F1928:G1928"/>
    <mergeCell ref="F916:G916"/>
    <mergeCell ref="J1372:K1372"/>
    <mergeCell ref="J1163:K1163"/>
    <mergeCell ref="J1164:K1164"/>
    <mergeCell ref="J1165:K1165"/>
    <mergeCell ref="J1166:K1166"/>
    <mergeCell ref="J1167:K1167"/>
    <mergeCell ref="J1381:K1381"/>
    <mergeCell ref="J1378:K1378"/>
    <mergeCell ref="J1373:K1373"/>
    <mergeCell ref="J1374:K1374"/>
    <mergeCell ref="J1375:K1375"/>
    <mergeCell ref="J1376:K1376"/>
    <mergeCell ref="J1377:K1377"/>
    <mergeCell ref="J1168:K1168"/>
    <mergeCell ref="J1162:K1162"/>
    <mergeCell ref="F1929:G1929"/>
    <mergeCell ref="F1922:G1922"/>
    <mergeCell ref="F1923:G1923"/>
    <mergeCell ref="F1921:G1921"/>
    <mergeCell ref="J789:K789"/>
    <mergeCell ref="J1395:K1395"/>
    <mergeCell ref="J1391:K1391"/>
    <mergeCell ref="J1392:K1392"/>
    <mergeCell ref="J1393:K1393"/>
    <mergeCell ref="J1390:K1390"/>
    <mergeCell ref="J1388:K1388"/>
    <mergeCell ref="J1385:K1385"/>
    <mergeCell ref="F882:G882"/>
    <mergeCell ref="H882:I882"/>
    <mergeCell ref="F900:G900"/>
    <mergeCell ref="H900:I900"/>
    <mergeCell ref="J1389:K1389"/>
    <mergeCell ref="F863:G863"/>
    <mergeCell ref="H863:I863"/>
    <mergeCell ref="J920:K920"/>
    <mergeCell ref="J921:K921"/>
    <mergeCell ref="J925:K925"/>
    <mergeCell ref="F834:G834"/>
    <mergeCell ref="H834:I834"/>
    <mergeCell ref="A4:A5"/>
    <mergeCell ref="B4:B5"/>
    <mergeCell ref="C4:E5"/>
    <mergeCell ref="F4:K4"/>
    <mergeCell ref="A3:N3"/>
    <mergeCell ref="O4:O5"/>
    <mergeCell ref="F5:G5"/>
    <mergeCell ref="H5:I5"/>
    <mergeCell ref="J5:K5"/>
    <mergeCell ref="M4:M5"/>
    <mergeCell ref="J803:K803"/>
    <mergeCell ref="J804:K804"/>
    <mergeCell ref="J805:K805"/>
    <mergeCell ref="J806:K806"/>
    <mergeCell ref="J832:K832"/>
    <mergeCell ref="F822:G822"/>
    <mergeCell ref="H822:I822"/>
    <mergeCell ref="F823:G823"/>
    <mergeCell ref="H823:I823"/>
    <mergeCell ref="J810:K810"/>
    <mergeCell ref="J822:K822"/>
    <mergeCell ref="J823:K823"/>
    <mergeCell ref="J824:K824"/>
    <mergeCell ref="J825:K825"/>
    <mergeCell ref="J826:K826"/>
    <mergeCell ref="J827:K827"/>
    <mergeCell ref="J828:K828"/>
    <mergeCell ref="J840:K840"/>
    <mergeCell ref="J922:K922"/>
    <mergeCell ref="F915:G915"/>
    <mergeCell ref="H915:I915"/>
    <mergeCell ref="H916:I916"/>
    <mergeCell ref="J850:K850"/>
    <mergeCell ref="J860:K860"/>
    <mergeCell ref="J869:K869"/>
    <mergeCell ref="J880:K880"/>
    <mergeCell ref="J888:K888"/>
    <mergeCell ref="J898:K898"/>
    <mergeCell ref="J906:K906"/>
    <mergeCell ref="J912:K912"/>
    <mergeCell ref="J916:K916"/>
    <mergeCell ref="J917:K917"/>
    <mergeCell ref="J918:K918"/>
    <mergeCell ref="J919:K919"/>
    <mergeCell ref="J915:K915"/>
  </mergeCells>
  <phoneticPr fontId="47" type="noConversion"/>
  <printOptions horizontalCentered="1"/>
  <pageMargins left="0.25" right="0" top="0.25" bottom="0.25" header="0.25" footer="0.25"/>
  <pageSetup paperSize="9" scale="90" orientation="portrait" r:id="rId1"/>
  <headerFooter>
    <oddFooter>Page &amp;P of &amp;N</oddFooter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M105"/>
  <sheetViews>
    <sheetView topLeftCell="A61" workbookViewId="0">
      <selection activeCell="D76" sqref="D76"/>
    </sheetView>
  </sheetViews>
  <sheetFormatPr defaultColWidth="8.88671875" defaultRowHeight="18"/>
  <cols>
    <col min="1" max="1" width="9" style="508" bestFit="1" customWidth="1"/>
    <col min="2" max="2" width="40" style="508" customWidth="1"/>
    <col min="3" max="3" width="9.5546875" style="508" customWidth="1"/>
    <col min="4" max="4" width="21" style="523" customWidth="1"/>
    <col min="5" max="5" width="8.88671875" style="508"/>
    <col min="6" max="6" width="10.33203125" style="508" bestFit="1" customWidth="1"/>
    <col min="7" max="7" width="8.88671875" style="508"/>
    <col min="8" max="8" width="12.33203125" style="508" bestFit="1" customWidth="1"/>
    <col min="9" max="9" width="9.44140625" style="508" bestFit="1" customWidth="1"/>
    <col min="10" max="13" width="9" style="508" bestFit="1" customWidth="1"/>
    <col min="14" max="14" width="14.44140625" style="508" bestFit="1" customWidth="1"/>
    <col min="15" max="16384" width="8.88671875" style="508"/>
  </cols>
  <sheetData>
    <row r="2" spans="1:8">
      <c r="A2" s="508">
        <v>1</v>
      </c>
      <c r="B2" s="509" t="s">
        <v>102</v>
      </c>
      <c r="C2" s="510" t="s">
        <v>82</v>
      </c>
      <c r="D2" s="511">
        <v>18400</v>
      </c>
      <c r="E2" s="510"/>
      <c r="F2" s="510"/>
    </row>
    <row r="3" spans="1:8">
      <c r="A3" s="508">
        <v>2</v>
      </c>
      <c r="B3" s="510" t="s">
        <v>36</v>
      </c>
      <c r="C3" s="510" t="s">
        <v>80</v>
      </c>
      <c r="D3" s="511">
        <v>50000</v>
      </c>
      <c r="E3" s="510"/>
      <c r="F3" s="510"/>
      <c r="H3" s="511">
        <v>12000</v>
      </c>
    </row>
    <row r="4" spans="1:8">
      <c r="A4" s="508">
        <v>3</v>
      </c>
      <c r="B4" s="509" t="s">
        <v>123</v>
      </c>
      <c r="C4" s="510" t="s">
        <v>80</v>
      </c>
      <c r="D4" s="511">
        <v>130000</v>
      </c>
      <c r="E4" s="510"/>
      <c r="F4" s="510"/>
      <c r="H4" s="511">
        <v>70000</v>
      </c>
    </row>
    <row r="5" spans="1:8">
      <c r="A5" s="508">
        <v>4</v>
      </c>
      <c r="B5" s="512" t="s">
        <v>68</v>
      </c>
      <c r="C5" s="510" t="s">
        <v>80</v>
      </c>
      <c r="D5" s="511">
        <v>220000</v>
      </c>
      <c r="E5" s="510"/>
      <c r="F5" s="510"/>
    </row>
    <row r="6" spans="1:8">
      <c r="A6" s="508">
        <v>5</v>
      </c>
      <c r="B6" s="510" t="s">
        <v>57</v>
      </c>
      <c r="C6" s="510" t="s">
        <v>35</v>
      </c>
      <c r="D6" s="511">
        <v>20000</v>
      </c>
      <c r="E6" s="510"/>
      <c r="F6" s="510"/>
    </row>
    <row r="7" spans="1:8">
      <c r="A7" s="508">
        <v>6</v>
      </c>
      <c r="B7" s="510" t="s">
        <v>772</v>
      </c>
      <c r="C7" s="510" t="s">
        <v>33</v>
      </c>
      <c r="D7" s="511">
        <v>7500</v>
      </c>
      <c r="E7" s="510"/>
      <c r="F7" s="510"/>
    </row>
    <row r="8" spans="1:8">
      <c r="A8" s="508">
        <v>7</v>
      </c>
      <c r="B8" s="510" t="s">
        <v>725</v>
      </c>
      <c r="C8" s="510" t="s">
        <v>727</v>
      </c>
      <c r="D8" s="511">
        <v>14700</v>
      </c>
      <c r="E8" s="510"/>
      <c r="F8" s="510"/>
    </row>
    <row r="9" spans="1:8">
      <c r="A9" s="508">
        <v>8</v>
      </c>
      <c r="B9" s="510" t="s">
        <v>726</v>
      </c>
      <c r="C9" s="510" t="s">
        <v>727</v>
      </c>
      <c r="D9" s="511">
        <v>14950</v>
      </c>
      <c r="E9" s="510"/>
      <c r="F9" s="510"/>
    </row>
    <row r="10" spans="1:8">
      <c r="A10" s="508">
        <v>9</v>
      </c>
      <c r="B10" s="510" t="s">
        <v>756</v>
      </c>
      <c r="C10" s="510" t="s">
        <v>755</v>
      </c>
      <c r="D10" s="511">
        <v>120000</v>
      </c>
      <c r="E10" s="510"/>
      <c r="F10" s="510"/>
    </row>
    <row r="11" spans="1:8">
      <c r="A11" s="508">
        <v>10</v>
      </c>
      <c r="B11" s="512" t="s">
        <v>58</v>
      </c>
      <c r="C11" s="510" t="s">
        <v>30</v>
      </c>
      <c r="D11" s="511">
        <v>2500000</v>
      </c>
      <c r="E11" s="510"/>
      <c r="F11" s="510"/>
      <c r="H11" s="511">
        <v>650000</v>
      </c>
    </row>
    <row r="12" spans="1:8">
      <c r="B12" s="513" t="s">
        <v>247</v>
      </c>
      <c r="C12" s="510" t="s">
        <v>30</v>
      </c>
      <c r="D12" s="511">
        <v>1500000</v>
      </c>
      <c r="E12" s="510"/>
      <c r="F12" s="510"/>
    </row>
    <row r="13" spans="1:8">
      <c r="A13" s="508">
        <v>11</v>
      </c>
      <c r="B13" s="514" t="s">
        <v>801</v>
      </c>
      <c r="C13" s="510" t="s">
        <v>184</v>
      </c>
      <c r="D13" s="511">
        <v>75000</v>
      </c>
      <c r="E13" s="510"/>
      <c r="F13" s="510"/>
    </row>
    <row r="14" spans="1:8">
      <c r="A14" s="508">
        <v>12</v>
      </c>
      <c r="B14" s="512" t="s">
        <v>59</v>
      </c>
      <c r="C14" s="510" t="s">
        <v>31</v>
      </c>
      <c r="D14" s="511">
        <v>12000</v>
      </c>
      <c r="E14" s="510"/>
      <c r="F14" s="510"/>
    </row>
    <row r="15" spans="1:8">
      <c r="A15" s="508">
        <v>13</v>
      </c>
      <c r="B15" s="515" t="s">
        <v>95</v>
      </c>
      <c r="C15" s="510" t="s">
        <v>30</v>
      </c>
      <c r="D15" s="511">
        <v>2420000</v>
      </c>
      <c r="E15" s="510"/>
      <c r="F15" s="510"/>
      <c r="H15" s="508">
        <f>460000*1.05</f>
        <v>483000</v>
      </c>
    </row>
    <row r="16" spans="1:8">
      <c r="A16" s="508">
        <v>14</v>
      </c>
      <c r="B16" s="515" t="s">
        <v>562</v>
      </c>
      <c r="C16" s="510" t="s">
        <v>30</v>
      </c>
      <c r="D16" s="511">
        <v>2060000</v>
      </c>
      <c r="E16" s="510"/>
      <c r="F16" s="510"/>
      <c r="H16" s="508">
        <f>480000*1.05</f>
        <v>504000</v>
      </c>
    </row>
    <row r="17" spans="1:13">
      <c r="A17" s="508">
        <v>15</v>
      </c>
      <c r="B17" s="515" t="s">
        <v>563</v>
      </c>
      <c r="C17" s="510" t="s">
        <v>30</v>
      </c>
      <c r="D17" s="511">
        <v>2450000</v>
      </c>
      <c r="E17" s="510"/>
      <c r="F17" s="510"/>
    </row>
    <row r="18" spans="1:13">
      <c r="A18" s="508">
        <v>16</v>
      </c>
      <c r="B18" s="515" t="s">
        <v>776</v>
      </c>
      <c r="C18" s="510" t="s">
        <v>30</v>
      </c>
      <c r="D18" s="511">
        <v>3430000</v>
      </c>
      <c r="E18" s="510"/>
      <c r="F18" s="510"/>
    </row>
    <row r="19" spans="1:13">
      <c r="A19" s="508">
        <v>17</v>
      </c>
      <c r="B19" s="510" t="s">
        <v>60</v>
      </c>
      <c r="C19" s="510" t="s">
        <v>25</v>
      </c>
      <c r="D19" s="511">
        <v>12000</v>
      </c>
      <c r="E19" s="510"/>
      <c r="F19" s="510"/>
    </row>
    <row r="20" spans="1:13">
      <c r="A20" s="508">
        <v>18</v>
      </c>
      <c r="B20" s="516" t="s">
        <v>796</v>
      </c>
      <c r="C20" s="517" t="s">
        <v>10</v>
      </c>
      <c r="D20" s="511">
        <v>285</v>
      </c>
      <c r="E20" s="510"/>
      <c r="F20" s="510"/>
    </row>
    <row r="21" spans="1:13">
      <c r="A21" s="508">
        <v>19</v>
      </c>
      <c r="B21" s="518" t="s">
        <v>129</v>
      </c>
      <c r="C21" s="510" t="s">
        <v>26</v>
      </c>
      <c r="D21" s="511">
        <v>170</v>
      </c>
      <c r="E21" s="510"/>
      <c r="F21" s="510"/>
    </row>
    <row r="22" spans="1:13">
      <c r="A22" s="508">
        <v>20</v>
      </c>
      <c r="B22" s="510" t="s">
        <v>70</v>
      </c>
      <c r="C22" s="510" t="s">
        <v>30</v>
      </c>
      <c r="D22" s="511">
        <f>D12</f>
        <v>1500000</v>
      </c>
      <c r="E22" s="510"/>
      <c r="F22" s="510"/>
    </row>
    <row r="23" spans="1:13">
      <c r="A23" s="508">
        <v>21</v>
      </c>
      <c r="B23" s="510" t="s">
        <v>770</v>
      </c>
      <c r="C23" s="510" t="s">
        <v>26</v>
      </c>
      <c r="D23" s="511">
        <v>14000</v>
      </c>
      <c r="E23" s="510"/>
      <c r="F23" s="510"/>
    </row>
    <row r="24" spans="1:13">
      <c r="A24" s="508">
        <v>22</v>
      </c>
      <c r="B24" s="510" t="s">
        <v>771</v>
      </c>
      <c r="C24" s="510" t="s">
        <v>26</v>
      </c>
      <c r="D24" s="511">
        <v>9500</v>
      </c>
      <c r="E24" s="510"/>
      <c r="F24" s="510"/>
    </row>
    <row r="25" spans="1:13">
      <c r="A25" s="508">
        <v>23</v>
      </c>
      <c r="B25" s="510" t="s">
        <v>800</v>
      </c>
      <c r="C25" s="510" t="s">
        <v>720</v>
      </c>
      <c r="D25" s="511">
        <v>450</v>
      </c>
      <c r="E25" s="510"/>
      <c r="F25" s="510"/>
    </row>
    <row r="26" spans="1:13">
      <c r="A26" s="508">
        <v>24</v>
      </c>
      <c r="B26" s="519" t="s">
        <v>124</v>
      </c>
      <c r="C26" s="510" t="s">
        <v>125</v>
      </c>
      <c r="D26" s="511">
        <v>12000</v>
      </c>
      <c r="E26" s="510"/>
      <c r="F26" s="510"/>
      <c r="I26" s="508" t="s">
        <v>38</v>
      </c>
    </row>
    <row r="27" spans="1:13">
      <c r="A27" s="508">
        <v>25</v>
      </c>
      <c r="B27" s="840" t="s">
        <v>550</v>
      </c>
      <c r="C27" s="510" t="s">
        <v>19</v>
      </c>
      <c r="D27" s="511"/>
      <c r="E27" s="510"/>
      <c r="F27" s="510"/>
      <c r="I27" s="511">
        <v>1976</v>
      </c>
    </row>
    <row r="28" spans="1:13">
      <c r="A28" s="508">
        <v>26</v>
      </c>
      <c r="B28" s="840" t="s">
        <v>239</v>
      </c>
      <c r="C28" s="510" t="s">
        <v>19</v>
      </c>
      <c r="D28" s="511"/>
      <c r="E28" s="510"/>
      <c r="F28" s="510"/>
      <c r="I28" s="511">
        <v>1271</v>
      </c>
    </row>
    <row r="29" spans="1:13">
      <c r="A29" s="508">
        <v>27</v>
      </c>
      <c r="B29" s="840" t="s">
        <v>183</v>
      </c>
      <c r="C29" s="510" t="s">
        <v>10</v>
      </c>
      <c r="D29" s="511"/>
      <c r="E29" s="510"/>
      <c r="F29" s="510"/>
    </row>
    <row r="30" spans="1:13">
      <c r="A30" s="508">
        <v>28</v>
      </c>
      <c r="B30" s="840" t="s">
        <v>47</v>
      </c>
      <c r="C30" s="510" t="s">
        <v>10</v>
      </c>
      <c r="D30" s="511"/>
      <c r="E30" s="510"/>
      <c r="F30" s="510"/>
      <c r="K30" s="508">
        <f>5000/6.24</f>
        <v>801.28205128205127</v>
      </c>
      <c r="M30" s="508">
        <f>12*12*8</f>
        <v>1152</v>
      </c>
    </row>
    <row r="31" spans="1:13">
      <c r="A31" s="508">
        <v>29</v>
      </c>
      <c r="B31" s="840" t="s">
        <v>71</v>
      </c>
      <c r="C31" s="510" t="s">
        <v>10</v>
      </c>
      <c r="D31" s="511"/>
      <c r="E31" s="510"/>
      <c r="F31" s="510"/>
      <c r="M31" s="508">
        <f>12*12*6</f>
        <v>864</v>
      </c>
    </row>
    <row r="32" spans="1:13">
      <c r="A32" s="508">
        <v>30</v>
      </c>
      <c r="B32" s="840" t="s">
        <v>48</v>
      </c>
      <c r="C32" s="510" t="s">
        <v>10</v>
      </c>
      <c r="D32" s="511"/>
      <c r="E32" s="510"/>
      <c r="F32" s="510"/>
    </row>
    <row r="33" spans="1:9">
      <c r="A33" s="508">
        <v>31</v>
      </c>
      <c r="B33" s="840" t="s">
        <v>126</v>
      </c>
      <c r="C33" s="510" t="s">
        <v>10</v>
      </c>
      <c r="D33" s="511"/>
      <c r="E33" s="510"/>
      <c r="F33" s="510"/>
    </row>
    <row r="34" spans="1:9">
      <c r="A34" s="508">
        <v>32</v>
      </c>
      <c r="B34" s="840" t="s">
        <v>101</v>
      </c>
      <c r="C34" s="510" t="s">
        <v>25</v>
      </c>
      <c r="D34" s="511"/>
      <c r="E34" s="510"/>
      <c r="F34" s="510"/>
    </row>
    <row r="35" spans="1:9">
      <c r="A35" s="508">
        <v>33</v>
      </c>
      <c r="B35" s="841" t="s">
        <v>240</v>
      </c>
      <c r="C35" s="510" t="s">
        <v>19</v>
      </c>
      <c r="D35" s="511"/>
      <c r="E35" s="510"/>
      <c r="F35" s="510"/>
    </row>
    <row r="36" spans="1:9">
      <c r="A36" s="508">
        <v>34</v>
      </c>
      <c r="B36" s="841" t="s">
        <v>243</v>
      </c>
      <c r="C36" s="510" t="s">
        <v>19</v>
      </c>
      <c r="D36" s="511"/>
      <c r="E36" s="510"/>
      <c r="F36" s="510"/>
    </row>
    <row r="37" spans="1:9">
      <c r="A37" s="508">
        <v>35</v>
      </c>
      <c r="B37" s="841" t="s">
        <v>99</v>
      </c>
      <c r="C37" s="510" t="s">
        <v>35</v>
      </c>
      <c r="D37" s="511"/>
      <c r="E37" s="510"/>
      <c r="F37" s="510"/>
      <c r="I37" s="508">
        <f>25700/5</f>
        <v>5140</v>
      </c>
    </row>
    <row r="38" spans="1:9">
      <c r="A38" s="508">
        <v>36</v>
      </c>
      <c r="B38" s="840" t="s">
        <v>49</v>
      </c>
      <c r="C38" s="510" t="s">
        <v>10</v>
      </c>
      <c r="D38" s="511"/>
      <c r="E38" s="510"/>
      <c r="F38" s="510"/>
    </row>
    <row r="39" spans="1:9">
      <c r="A39" s="508">
        <v>37</v>
      </c>
      <c r="B39" s="840" t="s">
        <v>41</v>
      </c>
      <c r="C39" s="510" t="s">
        <v>35</v>
      </c>
      <c r="D39" s="511"/>
      <c r="E39" s="510"/>
      <c r="F39" s="510"/>
    </row>
    <row r="40" spans="1:9">
      <c r="A40" s="508">
        <v>37</v>
      </c>
      <c r="B40" s="840" t="s">
        <v>50</v>
      </c>
      <c r="C40" s="510" t="s">
        <v>242</v>
      </c>
      <c r="D40" s="511"/>
      <c r="E40" s="510"/>
      <c r="F40" s="510"/>
    </row>
    <row r="41" spans="1:9">
      <c r="A41" s="508">
        <v>38</v>
      </c>
      <c r="B41" s="840" t="s">
        <v>118</v>
      </c>
      <c r="C41" s="510" t="s">
        <v>10</v>
      </c>
      <c r="D41" s="511"/>
      <c r="E41" s="510"/>
      <c r="F41" s="510"/>
    </row>
    <row r="42" spans="1:9">
      <c r="A42" s="508">
        <v>39</v>
      </c>
      <c r="B42" s="840" t="s">
        <v>100</v>
      </c>
      <c r="C42" s="510" t="s">
        <v>35</v>
      </c>
      <c r="D42" s="511"/>
      <c r="E42" s="510"/>
      <c r="F42" s="510"/>
    </row>
    <row r="43" spans="1:9">
      <c r="A43" s="508">
        <v>40</v>
      </c>
      <c r="B43" s="840" t="s">
        <v>62</v>
      </c>
      <c r="C43" s="510" t="s">
        <v>35</v>
      </c>
      <c r="D43" s="511"/>
      <c r="E43" s="510"/>
      <c r="F43" s="510"/>
    </row>
    <row r="44" spans="1:9">
      <c r="A44" s="508">
        <v>41</v>
      </c>
      <c r="B44" s="840" t="s">
        <v>61</v>
      </c>
      <c r="C44" s="510" t="s">
        <v>35</v>
      </c>
      <c r="D44" s="511"/>
      <c r="E44" s="510"/>
      <c r="F44" s="510"/>
    </row>
    <row r="45" spans="1:9">
      <c r="A45" s="508">
        <v>42</v>
      </c>
      <c r="B45" s="840" t="s">
        <v>51</v>
      </c>
      <c r="C45" s="510" t="s">
        <v>10</v>
      </c>
      <c r="D45" s="511"/>
      <c r="E45" s="510"/>
      <c r="F45" s="510"/>
    </row>
    <row r="46" spans="1:9">
      <c r="A46" s="508">
        <v>43</v>
      </c>
      <c r="B46" s="840" t="s">
        <v>121</v>
      </c>
      <c r="C46" s="510" t="s">
        <v>10</v>
      </c>
      <c r="D46" s="511"/>
      <c r="E46" s="510"/>
      <c r="F46" s="510"/>
    </row>
    <row r="47" spans="1:9">
      <c r="A47" s="508">
        <v>44</v>
      </c>
      <c r="B47" s="842" t="s">
        <v>127</v>
      </c>
      <c r="C47" s="510" t="s">
        <v>10</v>
      </c>
      <c r="D47" s="511"/>
      <c r="E47" s="510"/>
      <c r="F47" s="510"/>
      <c r="H47" s="511">
        <v>500</v>
      </c>
    </row>
    <row r="48" spans="1:9">
      <c r="A48" s="508">
        <v>45</v>
      </c>
      <c r="B48" s="842" t="s">
        <v>98</v>
      </c>
      <c r="C48" s="510" t="s">
        <v>10</v>
      </c>
      <c r="D48" s="511"/>
      <c r="E48" s="510"/>
      <c r="F48" s="510"/>
      <c r="H48" s="511">
        <v>400</v>
      </c>
    </row>
    <row r="49" spans="1:9">
      <c r="A49" s="508">
        <v>46</v>
      </c>
      <c r="B49" s="843" t="s">
        <v>182</v>
      </c>
      <c r="C49" s="510" t="s">
        <v>25</v>
      </c>
      <c r="D49" s="511"/>
      <c r="E49" s="510"/>
      <c r="F49" s="510"/>
    </row>
    <row r="50" spans="1:9">
      <c r="A50" s="508">
        <v>47</v>
      </c>
      <c r="B50" s="844" t="s">
        <v>96</v>
      </c>
      <c r="C50" s="517" t="s">
        <v>19</v>
      </c>
      <c r="D50" s="511"/>
      <c r="E50" s="510"/>
      <c r="F50" s="510"/>
    </row>
    <row r="51" spans="1:9">
      <c r="A51" s="508">
        <v>48</v>
      </c>
      <c r="B51" s="844" t="s">
        <v>97</v>
      </c>
      <c r="C51" s="517" t="s">
        <v>19</v>
      </c>
      <c r="D51" s="511"/>
      <c r="E51" s="510"/>
      <c r="F51" s="510"/>
    </row>
    <row r="52" spans="1:9">
      <c r="A52" s="508">
        <v>49</v>
      </c>
      <c r="B52" s="1021" t="s">
        <v>747</v>
      </c>
      <c r="C52" s="1020" t="s">
        <v>26</v>
      </c>
      <c r="D52" s="511">
        <v>1500</v>
      </c>
      <c r="E52" s="510"/>
      <c r="F52" s="510"/>
    </row>
    <row r="53" spans="1:9">
      <c r="A53" s="508">
        <v>50</v>
      </c>
      <c r="B53" s="510" t="s">
        <v>45</v>
      </c>
      <c r="C53" s="510" t="s">
        <v>10</v>
      </c>
      <c r="D53" s="511">
        <v>2000</v>
      </c>
      <c r="E53" s="510"/>
      <c r="F53" s="510"/>
    </row>
    <row r="54" spans="1:9">
      <c r="A54" s="508">
        <v>51</v>
      </c>
      <c r="B54" s="510" t="s">
        <v>46</v>
      </c>
      <c r="C54" s="510" t="s">
        <v>31</v>
      </c>
      <c r="D54" s="511">
        <v>15000</v>
      </c>
      <c r="E54" s="510"/>
      <c r="F54" s="510"/>
    </row>
    <row r="55" spans="1:9">
      <c r="A55" s="508">
        <v>52</v>
      </c>
      <c r="B55" s="1035" t="s">
        <v>763</v>
      </c>
      <c r="C55" s="510" t="s">
        <v>720</v>
      </c>
      <c r="D55" s="511">
        <f>G55*H55*I55</f>
        <v>8100</v>
      </c>
      <c r="E55" s="510"/>
      <c r="F55" s="510"/>
      <c r="G55" s="508">
        <v>30</v>
      </c>
      <c r="H55" s="508">
        <v>90</v>
      </c>
      <c r="I55" s="508">
        <v>3</v>
      </c>
    </row>
    <row r="56" spans="1:9">
      <c r="A56" s="508">
        <v>53</v>
      </c>
      <c r="B56" s="1035" t="s">
        <v>764</v>
      </c>
      <c r="C56" s="510" t="s">
        <v>765</v>
      </c>
      <c r="D56" s="511">
        <v>10000</v>
      </c>
      <c r="E56" s="510"/>
      <c r="F56" s="510"/>
    </row>
    <row r="57" spans="1:9">
      <c r="A57" s="508">
        <v>54</v>
      </c>
      <c r="B57" s="846" t="s">
        <v>251</v>
      </c>
      <c r="C57" s="510" t="s">
        <v>19</v>
      </c>
      <c r="D57" s="511"/>
      <c r="E57" s="510"/>
      <c r="F57" s="510"/>
    </row>
    <row r="58" spans="1:9">
      <c r="A58" s="508">
        <v>55</v>
      </c>
      <c r="B58" s="841" t="s">
        <v>552</v>
      </c>
      <c r="C58" s="510"/>
      <c r="D58" s="511"/>
      <c r="E58" s="510"/>
      <c r="F58" s="510"/>
    </row>
    <row r="59" spans="1:9">
      <c r="B59" s="337" t="s">
        <v>581</v>
      </c>
      <c r="C59" s="510"/>
      <c r="D59" s="511">
        <f>D15</f>
        <v>2420000</v>
      </c>
      <c r="E59" s="510"/>
      <c r="F59" s="510"/>
    </row>
    <row r="60" spans="1:9">
      <c r="B60" s="337" t="s">
        <v>583</v>
      </c>
      <c r="C60" s="510"/>
      <c r="D60" s="511">
        <f t="shared" ref="D60:D61" si="0">D16</f>
        <v>2060000</v>
      </c>
      <c r="E60" s="510"/>
      <c r="F60" s="510"/>
    </row>
    <row r="61" spans="1:9">
      <c r="B61" s="337" t="s">
        <v>584</v>
      </c>
      <c r="C61" s="510"/>
      <c r="D61" s="511">
        <f t="shared" si="0"/>
        <v>2450000</v>
      </c>
      <c r="E61" s="510"/>
      <c r="F61" s="510"/>
    </row>
    <row r="62" spans="1:9">
      <c r="B62" s="337" t="s">
        <v>590</v>
      </c>
      <c r="C62" s="510"/>
      <c r="D62" s="511">
        <f>D60</f>
        <v>2060000</v>
      </c>
      <c r="E62" s="510"/>
      <c r="F62" s="510"/>
    </row>
    <row r="63" spans="1:9">
      <c r="B63" s="337" t="s">
        <v>591</v>
      </c>
      <c r="C63" s="510"/>
      <c r="D63" s="511">
        <f>D61</f>
        <v>2450000</v>
      </c>
      <c r="E63" s="510"/>
      <c r="F63" s="510"/>
    </row>
    <row r="64" spans="1:9">
      <c r="B64" s="337" t="s">
        <v>746</v>
      </c>
      <c r="C64" s="510"/>
      <c r="D64" s="511">
        <f>D18</f>
        <v>3430000</v>
      </c>
      <c r="E64" s="510"/>
      <c r="F64" s="510"/>
    </row>
    <row r="65" spans="1:10">
      <c r="B65" s="336" t="s">
        <v>595</v>
      </c>
      <c r="C65" s="510"/>
      <c r="D65" s="511">
        <f>D59</f>
        <v>2420000</v>
      </c>
      <c r="E65" s="510"/>
      <c r="F65" s="510"/>
    </row>
    <row r="66" spans="1:10">
      <c r="B66" s="336" t="s">
        <v>596</v>
      </c>
      <c r="C66" s="510"/>
      <c r="D66" s="511">
        <f>D60</f>
        <v>2060000</v>
      </c>
      <c r="E66" s="510"/>
      <c r="F66" s="510"/>
    </row>
    <row r="67" spans="1:10">
      <c r="B67" s="336" t="s">
        <v>597</v>
      </c>
      <c r="C67" s="510"/>
      <c r="D67" s="511">
        <f>D61</f>
        <v>2450000</v>
      </c>
      <c r="E67" s="510"/>
      <c r="F67" s="510"/>
    </row>
    <row r="68" spans="1:10">
      <c r="B68" s="336" t="s">
        <v>601</v>
      </c>
      <c r="C68" s="510"/>
      <c r="D68" s="511">
        <f>D59</f>
        <v>2420000</v>
      </c>
      <c r="E68" s="510"/>
      <c r="F68" s="510"/>
    </row>
    <row r="69" spans="1:10">
      <c r="B69" s="336" t="s">
        <v>602</v>
      </c>
      <c r="C69" s="510"/>
      <c r="D69" s="511">
        <f>D60</f>
        <v>2060000</v>
      </c>
      <c r="E69" s="510"/>
      <c r="F69" s="510"/>
    </row>
    <row r="70" spans="1:10">
      <c r="B70" s="336" t="s">
        <v>603</v>
      </c>
      <c r="C70" s="510"/>
      <c r="D70" s="511">
        <f>D63</f>
        <v>2450000</v>
      </c>
      <c r="E70" s="510"/>
      <c r="F70" s="510"/>
    </row>
    <row r="71" spans="1:10">
      <c r="B71" s="336" t="s">
        <v>605</v>
      </c>
      <c r="C71" s="510"/>
      <c r="D71" s="511">
        <f>D70</f>
        <v>2450000</v>
      </c>
      <c r="E71" s="510"/>
      <c r="F71" s="510"/>
    </row>
    <row r="72" spans="1:10">
      <c r="B72" s="337" t="s">
        <v>618</v>
      </c>
      <c r="C72" s="510"/>
      <c r="D72" s="511">
        <f>D18</f>
        <v>3430000</v>
      </c>
      <c r="E72" s="510"/>
      <c r="F72" s="510"/>
    </row>
    <row r="73" spans="1:10">
      <c r="B73" s="337" t="s">
        <v>606</v>
      </c>
      <c r="C73" s="510"/>
      <c r="D73" s="511">
        <f>D59</f>
        <v>2420000</v>
      </c>
      <c r="E73" s="510"/>
      <c r="F73" s="510"/>
    </row>
    <row r="74" spans="1:10">
      <c r="B74" s="699" t="s">
        <v>612</v>
      </c>
      <c r="C74" s="510" t="s">
        <v>26</v>
      </c>
      <c r="D74" s="511">
        <f>ROUNDUP(((F74/10)/3.281)*1.1,-2)</f>
        <v>6800</v>
      </c>
      <c r="E74" s="510" t="s">
        <v>808</v>
      </c>
      <c r="F74" s="510">
        <f>150000+50000</f>
        <v>200000</v>
      </c>
    </row>
    <row r="75" spans="1:10">
      <c r="B75" s="699" t="s">
        <v>613</v>
      </c>
      <c r="C75" s="510" t="s">
        <v>19</v>
      </c>
      <c r="D75" s="511">
        <f>ROUNDUP((F75/100)/2,-2)</f>
        <v>6100</v>
      </c>
      <c r="E75" s="510" t="s">
        <v>809</v>
      </c>
      <c r="F75" s="510">
        <f>525000+525000*1.3</f>
        <v>1207500</v>
      </c>
      <c r="G75" s="508">
        <f>525000</f>
        <v>525000</v>
      </c>
      <c r="H75" s="508">
        <f>G75*0.3</f>
        <v>157500</v>
      </c>
      <c r="I75" s="508">
        <f>H75/2</f>
        <v>78750</v>
      </c>
      <c r="J75" s="508">
        <f>1500*100</f>
        <v>150000</v>
      </c>
    </row>
    <row r="76" spans="1:10">
      <c r="B76" s="337" t="s">
        <v>582</v>
      </c>
      <c r="C76" s="510"/>
      <c r="D76" s="511">
        <f>D70</f>
        <v>2450000</v>
      </c>
      <c r="E76" s="510"/>
      <c r="F76" s="510"/>
    </row>
    <row r="77" spans="1:10">
      <c r="B77" s="845" t="s">
        <v>560</v>
      </c>
      <c r="C77" s="510"/>
      <c r="D77" s="511"/>
      <c r="E77" s="510"/>
      <c r="F77" s="510"/>
    </row>
    <row r="78" spans="1:10">
      <c r="A78" s="508">
        <v>1</v>
      </c>
      <c r="B78" s="519" t="s">
        <v>63</v>
      </c>
      <c r="C78" s="510" t="s">
        <v>10</v>
      </c>
      <c r="D78" s="511">
        <v>27500</v>
      </c>
      <c r="E78" s="510"/>
      <c r="F78" s="510"/>
    </row>
    <row r="79" spans="1:10">
      <c r="A79" s="508">
        <v>2</v>
      </c>
      <c r="B79" s="512" t="s">
        <v>37</v>
      </c>
      <c r="C79" s="510" t="s">
        <v>10</v>
      </c>
      <c r="D79" s="511">
        <v>19800</v>
      </c>
      <c r="E79" s="510"/>
      <c r="F79" s="510"/>
    </row>
    <row r="80" spans="1:10">
      <c r="A80" s="508">
        <v>3</v>
      </c>
      <c r="B80" s="509" t="s">
        <v>64</v>
      </c>
      <c r="C80" s="510" t="s">
        <v>10</v>
      </c>
      <c r="D80" s="511">
        <f>D78</f>
        <v>27500</v>
      </c>
      <c r="E80" s="510"/>
      <c r="F80" s="510"/>
    </row>
    <row r="81" spans="1:6">
      <c r="A81" s="508">
        <v>4</v>
      </c>
      <c r="B81" s="519" t="s">
        <v>65</v>
      </c>
      <c r="C81" s="510" t="s">
        <v>10</v>
      </c>
      <c r="D81" s="511">
        <f>D80</f>
        <v>27500</v>
      </c>
      <c r="E81" s="510"/>
      <c r="F81" s="510"/>
    </row>
    <row r="82" spans="1:6">
      <c r="A82" s="508">
        <v>5</v>
      </c>
      <c r="B82" s="510" t="s">
        <v>72</v>
      </c>
      <c r="C82" s="510" t="s">
        <v>10</v>
      </c>
      <c r="D82" s="511">
        <f>D81</f>
        <v>27500</v>
      </c>
      <c r="E82" s="510"/>
      <c r="F82" s="510"/>
    </row>
    <row r="83" spans="1:6">
      <c r="A83" s="508">
        <v>6</v>
      </c>
      <c r="B83" s="509" t="s">
        <v>66</v>
      </c>
      <c r="C83" s="510" t="s">
        <v>10</v>
      </c>
      <c r="D83" s="511">
        <f>D82</f>
        <v>27500</v>
      </c>
      <c r="E83" s="510"/>
      <c r="F83" s="510"/>
    </row>
    <row r="84" spans="1:6">
      <c r="A84" s="508">
        <v>7</v>
      </c>
      <c r="B84" s="510" t="s">
        <v>724</v>
      </c>
      <c r="C84" s="510" t="s">
        <v>10</v>
      </c>
      <c r="D84" s="511">
        <f>D82</f>
        <v>27500</v>
      </c>
      <c r="E84" s="510"/>
      <c r="F84" s="510"/>
    </row>
    <row r="85" spans="1:6">
      <c r="A85" s="508">
        <v>8</v>
      </c>
      <c r="B85" s="510" t="s">
        <v>67</v>
      </c>
      <c r="C85" s="510" t="s">
        <v>10</v>
      </c>
      <c r="D85" s="511">
        <f>D83</f>
        <v>27500</v>
      </c>
      <c r="E85" s="510"/>
      <c r="F85" s="510"/>
    </row>
    <row r="86" spans="1:6">
      <c r="A86" s="508">
        <v>9</v>
      </c>
      <c r="B86" s="517" t="s">
        <v>128</v>
      </c>
      <c r="C86" s="517" t="s">
        <v>19</v>
      </c>
      <c r="D86" s="511"/>
      <c r="E86" s="510"/>
      <c r="F86" s="510"/>
    </row>
    <row r="87" spans="1:6">
      <c r="B87" s="513"/>
      <c r="C87" s="510"/>
      <c r="D87" s="511"/>
      <c r="E87" s="510"/>
      <c r="F87" s="510"/>
    </row>
    <row r="88" spans="1:6">
      <c r="B88" s="510"/>
      <c r="C88" s="510"/>
      <c r="D88" s="511"/>
      <c r="E88" s="510"/>
      <c r="F88" s="510"/>
    </row>
    <row r="89" spans="1:6">
      <c r="B89" s="510"/>
      <c r="C89" s="510"/>
      <c r="D89" s="511"/>
      <c r="E89" s="510"/>
      <c r="F89" s="510"/>
    </row>
    <row r="90" spans="1:6">
      <c r="B90" s="510"/>
      <c r="C90" s="510"/>
      <c r="D90" s="511"/>
      <c r="E90" s="510"/>
      <c r="F90" s="510"/>
    </row>
    <row r="91" spans="1:6">
      <c r="B91" s="510"/>
      <c r="C91" s="510"/>
      <c r="D91" s="511"/>
      <c r="E91" s="510"/>
      <c r="F91" s="510"/>
    </row>
    <row r="92" spans="1:6">
      <c r="B92" s="510"/>
      <c r="C92" s="510"/>
      <c r="D92" s="511"/>
      <c r="E92" s="510"/>
      <c r="F92" s="510"/>
    </row>
    <row r="93" spans="1:6">
      <c r="B93" s="510"/>
      <c r="C93" s="510"/>
      <c r="D93" s="511"/>
      <c r="E93" s="510"/>
      <c r="F93" s="510"/>
    </row>
    <row r="94" spans="1:6">
      <c r="B94" s="510"/>
      <c r="C94" s="510"/>
      <c r="D94" s="511"/>
      <c r="E94" s="510"/>
      <c r="F94" s="510"/>
    </row>
    <row r="95" spans="1:6">
      <c r="B95" s="510"/>
      <c r="C95" s="510"/>
      <c r="D95" s="511"/>
      <c r="E95" s="510"/>
      <c r="F95" s="510"/>
    </row>
    <row r="96" spans="1:6">
      <c r="B96" s="510"/>
      <c r="C96" s="510"/>
      <c r="D96" s="511"/>
      <c r="E96" s="510"/>
      <c r="F96" s="510"/>
    </row>
    <row r="101" spans="4:4" s="520" customFormat="1">
      <c r="D101" s="521"/>
    </row>
    <row r="102" spans="4:4">
      <c r="D102" s="522"/>
    </row>
    <row r="103" spans="4:4">
      <c r="D103" s="522"/>
    </row>
    <row r="104" spans="4:4">
      <c r="D104" s="522"/>
    </row>
    <row r="105" spans="4:4">
      <c r="D105" s="522"/>
    </row>
  </sheetData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M34"/>
  <sheetViews>
    <sheetView workbookViewId="0">
      <selection activeCell="J18" sqref="J18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6.25" customHeight="1">
      <c r="A5" s="1209" t="s">
        <v>148</v>
      </c>
      <c r="B5" s="1209"/>
      <c r="C5" s="1209"/>
      <c r="D5" s="1209"/>
      <c r="E5" s="1209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152</v>
      </c>
      <c r="C8" s="238" t="e">
        <f>'BQ-Apron &amp; Drain'!$G$16</f>
        <v>#N/A</v>
      </c>
      <c r="D8" s="238">
        <f>'BQ-Apron &amp; Drain'!$G$25</f>
        <v>8927134.9635416679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155</v>
      </c>
    </row>
    <row r="16" spans="1:13" ht="20.100000000000001" customHeight="1">
      <c r="B16" s="250" t="s">
        <v>159</v>
      </c>
    </row>
    <row r="17" spans="2:2" ht="20.100000000000001" customHeight="1">
      <c r="B17" s="250" t="s">
        <v>158</v>
      </c>
    </row>
    <row r="18" spans="2:2" ht="20.100000000000001" customHeight="1">
      <c r="B18" s="250" t="s">
        <v>156</v>
      </c>
    </row>
    <row r="19" spans="2:2" ht="20.100000000000001" customHeight="1">
      <c r="B19" s="250" t="s">
        <v>157</v>
      </c>
    </row>
    <row r="20" spans="2:2" ht="20.100000000000001" customHeight="1"/>
    <row r="21" spans="2:2" ht="20.100000000000001" customHeight="1"/>
    <row r="22" spans="2:2" ht="20.100000000000001" customHeight="1"/>
    <row r="23" spans="2:2" ht="20.100000000000001" customHeight="1"/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M79"/>
  <sheetViews>
    <sheetView workbookViewId="0">
      <selection activeCell="K14" sqref="K14"/>
    </sheetView>
  </sheetViews>
  <sheetFormatPr defaultColWidth="9.109375" defaultRowHeight="14.4"/>
  <cols>
    <col min="1" max="1" width="4.5546875" style="222" customWidth="1"/>
    <col min="2" max="2" width="45.5546875" style="200" customWidth="1"/>
    <col min="3" max="3" width="15.6640625" style="200" customWidth="1"/>
    <col min="4" max="4" width="5.4414062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252</v>
      </c>
      <c r="B1" s="19"/>
      <c r="C1" s="19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19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19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6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10" t="s">
        <v>146</v>
      </c>
      <c r="B5" s="1210"/>
      <c r="C5" s="1210"/>
      <c r="D5" s="1210"/>
      <c r="E5" s="1210"/>
      <c r="F5" s="1210"/>
      <c r="G5" s="1210"/>
    </row>
    <row r="6" spans="1:13" s="202" customFormat="1" ht="17.25" customHeight="1">
      <c r="A6" s="1211" t="s">
        <v>131</v>
      </c>
      <c r="B6" s="1213" t="s">
        <v>1</v>
      </c>
      <c r="C6" s="201" t="s">
        <v>2</v>
      </c>
      <c r="D6" s="1216" t="s">
        <v>3</v>
      </c>
      <c r="E6" s="1214" t="s">
        <v>78</v>
      </c>
      <c r="F6" s="1214" t="s">
        <v>79</v>
      </c>
      <c r="G6" s="201" t="s">
        <v>83</v>
      </c>
    </row>
    <row r="7" spans="1:13" s="202" customFormat="1" ht="17.25" customHeight="1">
      <c r="A7" s="1212"/>
      <c r="B7" s="1213"/>
      <c r="C7" s="201" t="s">
        <v>90</v>
      </c>
      <c r="D7" s="1217"/>
      <c r="E7" s="1215"/>
      <c r="F7" s="1215"/>
      <c r="G7" s="201" t="s">
        <v>84</v>
      </c>
    </row>
    <row r="8" spans="1:13" ht="30" customHeight="1">
      <c r="A8" s="204">
        <v>1</v>
      </c>
      <c r="B8" s="206" t="str">
        <f>VLOOKUP(A8,'BE-Apron &amp; Drain'!A:G,2,FALSE)</f>
        <v>Earth Work in Excavation for foundation in Ordinary soil to a depth of  (5)ft .</v>
      </c>
      <c r="C8" s="205">
        <f>VLOOKUP(A8,'BE-Apron &amp; Drain'!A:G,3,FALSE)</f>
        <v>1713.75</v>
      </c>
      <c r="D8" s="205" t="str">
        <f>VLOOKUP(A8,'BE-Apron &amp; Drain'!A:G,4,FALSE)</f>
        <v>Cft</v>
      </c>
      <c r="E8" s="207">
        <f>G8/C8</f>
        <v>297</v>
      </c>
      <c r="F8" s="205" t="str">
        <f>D8</f>
        <v>Cft</v>
      </c>
      <c r="G8" s="207">
        <f>VLOOKUP(A8,'BE-Apron &amp; Drain'!A:G,7,FALSE)</f>
        <v>508983.75</v>
      </c>
    </row>
    <row r="9" spans="1:13" ht="20.100000000000001" customHeight="1">
      <c r="A9" s="208"/>
      <c r="B9" s="209"/>
      <c r="C9" s="208"/>
      <c r="D9" s="208"/>
      <c r="E9" s="210"/>
      <c r="F9" s="211"/>
      <c r="G9" s="210"/>
    </row>
    <row r="10" spans="1:13" ht="30" customHeight="1">
      <c r="A10" s="208">
        <v>2</v>
      </c>
      <c r="B10" s="213" t="str">
        <f>VLOOKUP(A10,'BE-Apron &amp; Drain'!A:G,2,FALSE)</f>
        <v>Sand Filling Work</v>
      </c>
      <c r="C10" s="212">
        <f>VLOOKUP(A10,'BE-Apron &amp; Drain'!A:G,3,FALSE)</f>
        <v>214.21875</v>
      </c>
      <c r="D10" s="212" t="str">
        <f>VLOOKUP(A10,'BE-Apron &amp; Drain'!A:G,4,FALSE)</f>
        <v>Cft</v>
      </c>
      <c r="E10" s="210">
        <f>G10/C10</f>
        <v>823</v>
      </c>
      <c r="F10" s="212" t="str">
        <f>D10</f>
        <v>Cft</v>
      </c>
      <c r="G10" s="210">
        <f>VLOOKUP(A10,'BE-Apron &amp; Drain'!A:G,7,FALSE)</f>
        <v>176302.03125</v>
      </c>
    </row>
    <row r="11" spans="1:13" ht="20.100000000000001" customHeight="1">
      <c r="A11" s="208"/>
      <c r="B11" s="209"/>
      <c r="C11" s="208"/>
      <c r="D11" s="208"/>
      <c r="E11" s="210"/>
      <c r="F11" s="211"/>
      <c r="G11" s="210"/>
    </row>
    <row r="12" spans="1:13" ht="30" customHeight="1">
      <c r="A12" s="208">
        <v>3</v>
      </c>
      <c r="B12" s="213" t="str">
        <f>VLOOKUP(A12,'BE-Apron &amp; Drain'!A:G,2,FALSE)</f>
        <v>1:3:6 Lean Concrete Work</v>
      </c>
      <c r="C12" s="212">
        <f>VLOOKUP(A12,'BE-Apron &amp; Drain'!A:G,3,FALSE)</f>
        <v>620.91145833333337</v>
      </c>
      <c r="D12" s="212" t="str">
        <f>VLOOKUP(A12,'BE-Apron &amp; Drain'!A:G,4,FALSE)</f>
        <v>Cft</v>
      </c>
      <c r="E12" s="210">
        <f>G12/C12</f>
        <v>5712.7142857142853</v>
      </c>
      <c r="F12" s="212" t="str">
        <f>D12</f>
        <v>Cft</v>
      </c>
      <c r="G12" s="210">
        <f>VLOOKUP(A12,'BE-Apron &amp; Drain'!A:G,7,FALSE)</f>
        <v>3547089.7581845238</v>
      </c>
    </row>
    <row r="13" spans="1:13" ht="20.100000000000001" customHeight="1">
      <c r="A13" s="208"/>
      <c r="B13" s="209"/>
      <c r="C13" s="208"/>
      <c r="D13" s="208"/>
      <c r="E13" s="210"/>
      <c r="F13" s="211"/>
      <c r="G13" s="210"/>
    </row>
    <row r="14" spans="1:13" ht="30" customHeight="1">
      <c r="A14" s="208">
        <v>4</v>
      </c>
      <c r="B14" s="213" t="str">
        <f>VLOOKUP(A14,'BE-Apron &amp; Drain'!A:G,2,FALSE)</f>
        <v>4-1/2" Thk; Brick Walling In Cement Mortar (1:3) Reinforced At Every 4th Course .</v>
      </c>
      <c r="C14" s="212">
        <f>VLOOKUP(A14,'BE-Apron &amp; Drain'!A:G,3,FALSE)</f>
        <v>2285</v>
      </c>
      <c r="D14" s="212" t="str">
        <f>VLOOKUP(A14,'BE-Apron &amp; Drain'!A:G,4,FALSE)</f>
        <v>Sft</v>
      </c>
      <c r="E14" s="210" t="e">
        <f>G14/C14</f>
        <v>#N/A</v>
      </c>
      <c r="F14" s="212" t="str">
        <f>D14</f>
        <v>Sft</v>
      </c>
      <c r="G14" s="210" t="e">
        <f>VLOOKUP(A14,'BE-Apron &amp; Drain'!A:G,7,FALSE)</f>
        <v>#N/A</v>
      </c>
    </row>
    <row r="15" spans="1:13" ht="20.100000000000001" customHeight="1">
      <c r="A15" s="208"/>
      <c r="B15" s="209"/>
      <c r="C15" s="208"/>
      <c r="D15" s="208"/>
      <c r="E15" s="210"/>
      <c r="F15" s="211"/>
      <c r="G15" s="210"/>
    </row>
    <row r="16" spans="1:13" ht="30" customHeight="1">
      <c r="A16" s="208">
        <v>5</v>
      </c>
      <c r="B16" s="213" t="str">
        <f>VLOOKUP(A16,'BE-Apron &amp; Drain'!A:G,2,FALSE)</f>
        <v>1/2" tk: Plastering Work with (1:3) Cement Mortar .</v>
      </c>
      <c r="C16" s="212">
        <f>VLOOKUP(A16,'BE-Apron &amp; Drain'!A:G,3,FALSE)</f>
        <v>6866.5000000000009</v>
      </c>
      <c r="D16" s="212" t="str">
        <f>VLOOKUP(A16,'BE-Apron &amp; Drain'!A:G,4,FALSE)</f>
        <v>Sft</v>
      </c>
      <c r="E16" s="210">
        <f>G16/C16</f>
        <v>942.42857142857156</v>
      </c>
      <c r="F16" s="212" t="str">
        <f>D16</f>
        <v>Sft</v>
      </c>
      <c r="G16" s="210">
        <f>VLOOKUP(A16,'BE-Apron &amp; Drain'!A:G,7,FALSE)</f>
        <v>6471185.7857142873</v>
      </c>
    </row>
    <row r="17" spans="1:7" ht="20.100000000000001" customHeight="1">
      <c r="A17" s="208"/>
      <c r="B17" s="209"/>
      <c r="C17" s="208"/>
      <c r="D17" s="208"/>
      <c r="E17" s="210"/>
      <c r="F17" s="211"/>
      <c r="G17" s="210"/>
    </row>
    <row r="18" spans="1:7" ht="20.100000000000001" customHeight="1">
      <c r="A18" s="214"/>
      <c r="B18" s="215"/>
      <c r="C18" s="214"/>
      <c r="D18" s="214"/>
      <c r="E18" s="216"/>
      <c r="F18" s="217"/>
      <c r="G18" s="216"/>
    </row>
    <row r="19" spans="1:7" s="221" customFormat="1" ht="24.9" customHeight="1">
      <c r="A19" s="201"/>
      <c r="B19" s="201" t="s">
        <v>147</v>
      </c>
      <c r="C19" s="201"/>
      <c r="D19" s="201"/>
      <c r="E19" s="218"/>
      <c r="F19" s="219"/>
      <c r="G19" s="220" t="e">
        <f>SUM(G8:G18)</f>
        <v>#N/A</v>
      </c>
    </row>
    <row r="20" spans="1:7" ht="20.100000000000001" customHeight="1">
      <c r="E20" s="223"/>
      <c r="F20" s="224"/>
      <c r="G20" s="223"/>
    </row>
    <row r="21" spans="1:7" ht="20.100000000000001" customHeight="1">
      <c r="E21" s="223"/>
      <c r="F21" s="224"/>
      <c r="G21" s="223"/>
    </row>
    <row r="22" spans="1:7" ht="20.100000000000001" customHeight="1">
      <c r="E22" s="223"/>
      <c r="F22" s="224"/>
      <c r="G22" s="223"/>
    </row>
    <row r="23" spans="1:7" ht="20.100000000000001" customHeight="1">
      <c r="E23" s="223"/>
      <c r="F23" s="224"/>
      <c r="G23" s="225"/>
    </row>
    <row r="24" spans="1:7" ht="20.100000000000001" customHeight="1">
      <c r="E24" s="223"/>
      <c r="F24" s="224"/>
      <c r="G24" s="223"/>
    </row>
    <row r="25" spans="1:7" ht="20.100000000000001" customHeight="1">
      <c r="E25" s="223"/>
      <c r="F25" s="224"/>
      <c r="G25" s="223"/>
    </row>
    <row r="26" spans="1:7" ht="20.100000000000001" customHeight="1">
      <c r="E26" s="223"/>
      <c r="F26" s="224"/>
      <c r="G26" s="223"/>
    </row>
    <row r="27" spans="1:7" ht="20.100000000000001" customHeight="1">
      <c r="E27" s="223"/>
      <c r="F27" s="224"/>
      <c r="G27" s="223"/>
    </row>
    <row r="28" spans="1:7" ht="20.100000000000001" customHeight="1">
      <c r="E28" s="223"/>
      <c r="F28" s="224"/>
      <c r="G28" s="223"/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4.9" customHeight="1">
      <c r="E32" s="223"/>
      <c r="F32" s="224"/>
      <c r="G32" s="223"/>
    </row>
    <row r="33" spans="5:7" ht="24.9" customHeight="1">
      <c r="E33" s="223"/>
      <c r="F33" s="224"/>
      <c r="G33" s="223"/>
    </row>
    <row r="34" spans="5:7" ht="24.9" customHeight="1">
      <c r="E34" s="223"/>
      <c r="F34" s="224"/>
      <c r="G34" s="223"/>
    </row>
    <row r="35" spans="5:7" ht="24.9" customHeight="1">
      <c r="E35" s="223"/>
      <c r="F35" s="224"/>
      <c r="G35" s="223"/>
    </row>
    <row r="36" spans="5:7" ht="24.9" customHeight="1">
      <c r="E36" s="223"/>
      <c r="F36" s="224"/>
      <c r="G36" s="223"/>
    </row>
    <row r="37" spans="5:7" ht="24.9" customHeight="1">
      <c r="E37" s="223"/>
      <c r="F37" s="224"/>
      <c r="G37" s="223"/>
    </row>
    <row r="38" spans="5:7" ht="24.9" customHeight="1">
      <c r="E38" s="223"/>
      <c r="F38" s="224"/>
      <c r="G38" s="223"/>
    </row>
    <row r="39" spans="5:7" ht="24.9" customHeight="1">
      <c r="E39" s="223"/>
      <c r="F39" s="224"/>
      <c r="G39" s="223"/>
    </row>
    <row r="40" spans="5:7" ht="24.9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>
      <c r="E76" s="223"/>
      <c r="F76" s="224"/>
      <c r="G76" s="223"/>
    </row>
    <row r="77" spans="5:7">
      <c r="E77" s="223"/>
      <c r="F77" s="224"/>
      <c r="G77" s="223"/>
    </row>
    <row r="78" spans="5:7">
      <c r="E78" s="223"/>
      <c r="F78" s="224"/>
      <c r="G78" s="223"/>
    </row>
    <row r="79" spans="5:7">
      <c r="E79" s="223"/>
      <c r="F79" s="224"/>
      <c r="G79" s="223"/>
    </row>
  </sheetData>
  <mergeCells count="6">
    <mergeCell ref="A5:G5"/>
    <mergeCell ref="A6:A7"/>
    <mergeCell ref="B6:B7"/>
    <mergeCell ref="E6:E7"/>
    <mergeCell ref="F6:F7"/>
    <mergeCell ref="D6:D7"/>
  </mergeCells>
  <pageMargins left="0.65" right="0.35" top="0.5" bottom="0.5" header="0.3" footer="0.3"/>
  <pageSetup paperSize="9" scale="8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M203"/>
  <sheetViews>
    <sheetView topLeftCell="A19" workbookViewId="0">
      <selection activeCell="N34" sqref="N34"/>
    </sheetView>
  </sheetViews>
  <sheetFormatPr defaultColWidth="9.109375" defaultRowHeight="14.4"/>
  <cols>
    <col min="1" max="1" width="4.6640625" style="182" customWidth="1"/>
    <col min="2" max="2" width="32.44140625" style="182" customWidth="1"/>
    <col min="3" max="3" width="13.33203125" style="182" customWidth="1"/>
    <col min="4" max="4" width="6.6640625" style="182" customWidth="1"/>
    <col min="5" max="5" width="12.33203125" style="182" customWidth="1"/>
    <col min="6" max="6" width="6.6640625" style="182" customWidth="1"/>
    <col min="7" max="7" width="16.6640625" style="182" customWidth="1"/>
    <col min="8" max="8" width="12.5546875" style="182" customWidth="1"/>
    <col min="9" max="15" width="9.109375" style="182"/>
    <col min="16" max="16" width="15.33203125" style="182" bestFit="1" customWidth="1"/>
    <col min="17" max="16384" width="9.109375" style="182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21" t="s">
        <v>142</v>
      </c>
      <c r="B5" s="1221"/>
      <c r="C5" s="1221"/>
      <c r="D5" s="1221"/>
      <c r="E5" s="1221"/>
      <c r="F5" s="1221"/>
      <c r="G5" s="1221"/>
    </row>
    <row r="6" spans="1:13" ht="18" customHeight="1">
      <c r="A6" s="1222" t="s">
        <v>131</v>
      </c>
      <c r="B6" s="1223" t="s">
        <v>1</v>
      </c>
      <c r="C6" s="1223" t="s">
        <v>2</v>
      </c>
      <c r="D6" s="1223" t="s">
        <v>3</v>
      </c>
      <c r="E6" s="1223" t="s">
        <v>78</v>
      </c>
      <c r="F6" s="1224" t="s">
        <v>79</v>
      </c>
      <c r="G6" s="183" t="s">
        <v>6</v>
      </c>
    </row>
    <row r="7" spans="1:13" ht="18" customHeight="1">
      <c r="A7" s="1222"/>
      <c r="B7" s="1223"/>
      <c r="C7" s="1223"/>
      <c r="D7" s="1223"/>
      <c r="E7" s="1223"/>
      <c r="F7" s="1225"/>
      <c r="G7" s="184" t="s">
        <v>84</v>
      </c>
    </row>
    <row r="8" spans="1:13" ht="18" customHeight="1">
      <c r="A8" s="185"/>
      <c r="B8" s="186" t="s">
        <v>76</v>
      </c>
      <c r="C8" s="185"/>
      <c r="D8" s="187"/>
      <c r="E8" s="185"/>
      <c r="F8" s="185"/>
      <c r="G8" s="185"/>
    </row>
    <row r="9" spans="1:13" ht="18" customHeight="1">
      <c r="A9" s="188">
        <v>1</v>
      </c>
      <c r="B9" s="251" t="s">
        <v>102</v>
      </c>
      <c r="C9" s="189">
        <f>SUMIFS('BE-Apron &amp; Drain'!C:C,'BE-Apron &amp; Drain'!B:B,'BQ-Apron &amp; Drain'!B9)</f>
        <v>243.19977678571431</v>
      </c>
      <c r="D9" s="188" t="str">
        <f>VLOOKUP(B9,'BE-Apron &amp; Drain'!B:G,3,FALSE)</f>
        <v>Bag</v>
      </c>
      <c r="E9" s="190">
        <f>VLOOKUP(B9,'Price '!$B:$E,3,FALSE)</f>
        <v>18400</v>
      </c>
      <c r="F9" s="188" t="str">
        <f>D9</f>
        <v>Bag</v>
      </c>
      <c r="G9" s="190">
        <f>C9*E9</f>
        <v>4474875.8928571437</v>
      </c>
    </row>
    <row r="10" spans="1:13" ht="18" customHeight="1">
      <c r="A10" s="188">
        <v>2</v>
      </c>
      <c r="B10" s="191" t="s">
        <v>36</v>
      </c>
      <c r="C10" s="189">
        <f>SUMIFS('BE-Apron &amp; Drain'!C:C,'BE-Apron &amp; Drain'!B:B,'BQ-Apron &amp; Drain'!B10)</f>
        <v>11.376359375000002</v>
      </c>
      <c r="D10" s="188" t="str">
        <f>VLOOKUP(B10,'BE-Apron &amp; Drain'!B:G,3,FALSE)</f>
        <v>Sud</v>
      </c>
      <c r="E10" s="190">
        <f>VLOOKUP(B10,'Price '!$B:$E,3,FALSE)</f>
        <v>50000</v>
      </c>
      <c r="F10" s="188" t="str">
        <f t="shared" ref="F10:F13" si="0">D10</f>
        <v>Sud</v>
      </c>
      <c r="G10" s="190">
        <f t="shared" ref="G10:G13" si="1">C10*E10</f>
        <v>568817.96875000012</v>
      </c>
    </row>
    <row r="11" spans="1:13" ht="18" customHeight="1">
      <c r="A11" s="188">
        <v>3</v>
      </c>
      <c r="B11" s="16" t="s">
        <v>123</v>
      </c>
      <c r="C11" s="189">
        <f>SUMIFS('BE-Apron &amp; Drain'!C:C,'BE-Apron &amp; Drain'!B:B,'BQ-Apron &amp; Drain'!B11)</f>
        <v>5.9607500000000009</v>
      </c>
      <c r="D11" s="188" t="str">
        <f>VLOOKUP(B11,'BE-Apron &amp; Drain'!B:G,3,FALSE)</f>
        <v>Sud</v>
      </c>
      <c r="E11" s="190">
        <f>VLOOKUP(B11,'Price '!$B:$E,3,FALSE)</f>
        <v>130000</v>
      </c>
      <c r="F11" s="188" t="str">
        <f t="shared" si="0"/>
        <v>Sud</v>
      </c>
      <c r="G11" s="190">
        <f t="shared" si="1"/>
        <v>774897.50000000012</v>
      </c>
    </row>
    <row r="12" spans="1:13" ht="18" customHeight="1">
      <c r="A12" s="188">
        <v>4</v>
      </c>
      <c r="B12" s="45" t="s">
        <v>241</v>
      </c>
      <c r="C12" s="189">
        <f>SUMIFS('BE-Apron &amp; Drain'!C:C,'BE-Apron &amp; Drain'!B:B,'BQ-Apron &amp; Drain'!B12)</f>
        <v>12567.5</v>
      </c>
      <c r="D12" s="188" t="str">
        <f>VLOOKUP(B12,'BE-Apron &amp; Drain'!B:G,3,FALSE)</f>
        <v>Nos</v>
      </c>
      <c r="E12" s="190" t="e">
        <f>VLOOKUP(B12,'Price '!$B:$E,3,FALSE)</f>
        <v>#N/A</v>
      </c>
      <c r="F12" s="188" t="str">
        <f t="shared" si="0"/>
        <v>Nos</v>
      </c>
      <c r="G12" s="190" t="e">
        <f t="shared" si="1"/>
        <v>#N/A</v>
      </c>
    </row>
    <row r="13" spans="1:13" ht="18" customHeight="1">
      <c r="A13" s="188">
        <v>5</v>
      </c>
      <c r="B13" s="14" t="s">
        <v>129</v>
      </c>
      <c r="C13" s="189">
        <f>SUMIFS('BE-Apron &amp; Drain'!C:C,'BE-Apron &amp; Drain'!B:B,'BQ-Apron &amp; Drain'!B13)</f>
        <v>2627.75</v>
      </c>
      <c r="D13" s="188" t="str">
        <f>VLOOKUP(B13,'BE-Apron &amp; Drain'!B:G,3,FALSE)</f>
        <v>Rft</v>
      </c>
      <c r="E13" s="190">
        <f>VLOOKUP(B13,'Price '!$B:$E,3,FALSE)</f>
        <v>170</v>
      </c>
      <c r="F13" s="188" t="str">
        <f t="shared" si="0"/>
        <v>Rft</v>
      </c>
      <c r="G13" s="190">
        <f t="shared" si="1"/>
        <v>446717.5</v>
      </c>
    </row>
    <row r="14" spans="1:13" ht="18" customHeight="1">
      <c r="A14" s="188"/>
      <c r="B14" s="191"/>
      <c r="C14" s="189"/>
      <c r="D14" s="188"/>
      <c r="E14" s="190"/>
      <c r="F14" s="190"/>
      <c r="G14" s="190"/>
    </row>
    <row r="15" spans="1:13" ht="18" customHeight="1">
      <c r="A15" s="192"/>
      <c r="B15" s="192"/>
      <c r="C15" s="192"/>
      <c r="D15" s="193"/>
      <c r="E15" s="192"/>
      <c r="F15" s="192"/>
      <c r="G15" s="192"/>
    </row>
    <row r="16" spans="1:13" s="194" customFormat="1" ht="23.25" customHeight="1">
      <c r="C16" s="1218" t="s">
        <v>143</v>
      </c>
      <c r="D16" s="1219"/>
      <c r="E16" s="1220"/>
      <c r="F16" s="195"/>
      <c r="G16" s="196" t="e">
        <f>SUM(G9:G15)</f>
        <v>#N/A</v>
      </c>
    </row>
    <row r="17" spans="1:8" ht="18" customHeight="1"/>
    <row r="18" spans="1:8" ht="18" customHeight="1">
      <c r="H18" s="197" t="e">
        <f>G16+G25</f>
        <v>#N/A</v>
      </c>
    </row>
    <row r="19" spans="1:8" ht="18" customHeight="1">
      <c r="H19" s="332" t="e">
        <f>'BE-Apron &amp; Drain'!G47</f>
        <v>#N/A</v>
      </c>
    </row>
    <row r="20" spans="1:8" ht="18" customHeight="1">
      <c r="A20" s="185"/>
      <c r="B20" s="186" t="s">
        <v>144</v>
      </c>
      <c r="C20" s="185"/>
      <c r="D20" s="187"/>
      <c r="E20" s="185"/>
      <c r="F20" s="185"/>
      <c r="G20" s="185"/>
    </row>
    <row r="21" spans="1:8" ht="18" customHeight="1">
      <c r="A21" s="188">
        <v>1</v>
      </c>
      <c r="B21" s="255" t="s">
        <v>63</v>
      </c>
      <c r="C21" s="189">
        <f>SUMIFS('BE-Apron &amp; Drain'!C:C,'BE-Apron &amp; Drain'!B:B,'BQ-Apron &amp; Drain'!B21)</f>
        <v>120.57411458333334</v>
      </c>
      <c r="D21" s="188" t="str">
        <f>VLOOKUP(B21,'BE-Apron &amp; Drain'!B:G,3,FALSE)</f>
        <v>Nos</v>
      </c>
      <c r="E21" s="190">
        <f>VLOOKUP(B21,'Price '!$B:$E,3,FALSE)</f>
        <v>27500</v>
      </c>
      <c r="F21" s="188" t="str">
        <f t="shared" ref="F21:F22" si="2">D21</f>
        <v>Nos</v>
      </c>
      <c r="G21" s="190">
        <f t="shared" ref="G21:G22" si="3">C21*E21</f>
        <v>3315788.151041667</v>
      </c>
    </row>
    <row r="22" spans="1:8" ht="18" customHeight="1">
      <c r="A22" s="188">
        <v>2</v>
      </c>
      <c r="B22" s="255" t="s">
        <v>37</v>
      </c>
      <c r="C22" s="189">
        <f>SUMIFS('BE-Apron &amp; Drain'!C:C,'BE-Apron &amp; Drain'!B:B,'BQ-Apron &amp; Drain'!B22)</f>
        <v>283.40135416666669</v>
      </c>
      <c r="D22" s="188" t="str">
        <f>VLOOKUP(B22,'BE-Apron &amp; Drain'!B:G,3,FALSE)</f>
        <v>Nos</v>
      </c>
      <c r="E22" s="190">
        <f>VLOOKUP(B22,'Price '!$B:$E,3,FALSE)</f>
        <v>19800</v>
      </c>
      <c r="F22" s="188" t="str">
        <f t="shared" si="2"/>
        <v>Nos</v>
      </c>
      <c r="G22" s="190">
        <f t="shared" si="3"/>
        <v>5611346.8125000009</v>
      </c>
    </row>
    <row r="23" spans="1:8" ht="18" customHeight="1">
      <c r="A23" s="188"/>
      <c r="B23" s="191"/>
      <c r="C23" s="189"/>
      <c r="D23" s="188"/>
      <c r="E23" s="190"/>
      <c r="F23" s="190"/>
      <c r="G23" s="190"/>
    </row>
    <row r="24" spans="1:8" ht="18" customHeight="1">
      <c r="A24" s="193"/>
      <c r="B24" s="192"/>
      <c r="C24" s="198"/>
      <c r="D24" s="193"/>
      <c r="E24" s="199"/>
      <c r="F24" s="199"/>
      <c r="G24" s="199"/>
    </row>
    <row r="25" spans="1:8" s="194" customFormat="1" ht="21.75" customHeight="1">
      <c r="C25" s="1218" t="s">
        <v>145</v>
      </c>
      <c r="D25" s="1219"/>
      <c r="E25" s="1220"/>
      <c r="F25" s="195"/>
      <c r="G25" s="196">
        <f>SUM(G20:G24)</f>
        <v>8927134.9635416679</v>
      </c>
    </row>
    <row r="26" spans="1:8" ht="18" customHeight="1"/>
    <row r="27" spans="1:8" ht="18" customHeight="1"/>
    <row r="28" spans="1:8" ht="18" customHeight="1"/>
    <row r="29" spans="1:8" ht="18" customHeight="1"/>
    <row r="30" spans="1:8" ht="18" customHeight="1"/>
    <row r="31" spans="1:8" ht="18" customHeight="1"/>
    <row r="32" spans="1:8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</sheetData>
  <mergeCells count="9">
    <mergeCell ref="C16:E16"/>
    <mergeCell ref="C25:E25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N65"/>
  <sheetViews>
    <sheetView topLeftCell="A22" zoomScale="95" zoomScaleNormal="95" workbookViewId="0">
      <selection activeCell="G34" sqref="G34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1" width="10.88671875" style="148" bestFit="1" customWidth="1"/>
    <col min="12" max="16384" width="9.109375" style="148"/>
  </cols>
  <sheetData>
    <row r="1" spans="1:13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3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3" ht="21.9" customHeight="1">
      <c r="A5" s="1229" t="s">
        <v>0</v>
      </c>
      <c r="B5" s="1229"/>
      <c r="C5" s="1229"/>
      <c r="D5" s="1229"/>
      <c r="E5" s="1229"/>
      <c r="F5" s="1229"/>
      <c r="G5" s="1229"/>
    </row>
    <row r="6" spans="1:13" ht="17.25" customHeight="1">
      <c r="A6" s="1230" t="s">
        <v>131</v>
      </c>
      <c r="B6" s="1231" t="s">
        <v>1</v>
      </c>
      <c r="C6" s="1231" t="s">
        <v>2</v>
      </c>
      <c r="D6" s="1231" t="s">
        <v>3</v>
      </c>
      <c r="E6" s="1231" t="s">
        <v>78</v>
      </c>
      <c r="F6" s="1232" t="s">
        <v>79</v>
      </c>
      <c r="G6" s="149" t="s">
        <v>6</v>
      </c>
    </row>
    <row r="7" spans="1:13" ht="14.25" customHeight="1">
      <c r="A7" s="1230"/>
      <c r="B7" s="1231"/>
      <c r="C7" s="1231"/>
      <c r="D7" s="1231"/>
      <c r="E7" s="1231"/>
      <c r="F7" s="1233"/>
      <c r="G7" s="149" t="s">
        <v>140</v>
      </c>
    </row>
    <row r="8" spans="1:13" s="157" customFormat="1" ht="30.75" customHeight="1">
      <c r="A8" s="150">
        <v>1</v>
      </c>
      <c r="B8" s="151" t="str">
        <f>VLOOKUP(A8,'Measurement-Apron &amp; Drain'!A:O,2,FALSE)</f>
        <v>Earth Work in Excavation for foundation in Ordinary soil to a depth of  (5)ft .</v>
      </c>
      <c r="C8" s="152">
        <f>VLOOKUP(A8,'Measurement-Apron &amp; Drain'!A:O,14,FALSE)</f>
        <v>1713.75</v>
      </c>
      <c r="D8" s="153" t="str">
        <f>VLOOKUP(B8,'Measurement-Apron &amp; Drain'!B:P,14,FALSE)</f>
        <v>Cft</v>
      </c>
      <c r="E8" s="154"/>
      <c r="F8" s="154"/>
      <c r="G8" s="155">
        <f>SUM(G10)</f>
        <v>508983.75</v>
      </c>
      <c r="H8" s="156"/>
      <c r="I8" s="156">
        <f>G8</f>
        <v>508983.75</v>
      </c>
    </row>
    <row r="9" spans="1:13" ht="18" customHeight="1">
      <c r="A9" s="158"/>
      <c r="B9" s="159" t="s">
        <v>38</v>
      </c>
      <c r="C9" s="160"/>
      <c r="D9" s="158"/>
      <c r="E9" s="161"/>
      <c r="F9" s="161"/>
      <c r="G9" s="161"/>
    </row>
    <row r="10" spans="1:13" ht="18" customHeight="1">
      <c r="A10" s="158"/>
      <c r="B10" s="256" t="s">
        <v>37</v>
      </c>
      <c r="C10" s="160">
        <f>C8*1.5/100</f>
        <v>25.706250000000001</v>
      </c>
      <c r="D10" s="158" t="s">
        <v>10</v>
      </c>
      <c r="E10" s="161">
        <f>VLOOKUP(B10,'Price '!$B:$F,3,FALSE)</f>
        <v>19800</v>
      </c>
      <c r="F10" s="161" t="str">
        <f>D10</f>
        <v>Nos</v>
      </c>
      <c r="G10" s="161">
        <f>C10*E10</f>
        <v>508983.75</v>
      </c>
    </row>
    <row r="11" spans="1:13" ht="18" customHeight="1">
      <c r="A11" s="163"/>
      <c r="B11" s="164"/>
      <c r="C11" s="165"/>
      <c r="D11" s="163"/>
      <c r="E11" s="166"/>
      <c r="F11" s="166"/>
      <c r="G11" s="166"/>
    </row>
    <row r="12" spans="1:13" s="157" customFormat="1" ht="27" customHeight="1">
      <c r="A12" s="150">
        <v>2</v>
      </c>
      <c r="B12" s="151" t="str">
        <f>VLOOKUP(A12,'Measurement-Apron &amp; Drain'!A:O,2,FALSE)</f>
        <v>Sand Filling Work</v>
      </c>
      <c r="C12" s="152">
        <f>VLOOKUP(A12,'Measurement-Apron &amp; Drain'!A:O,14,FALSE)</f>
        <v>214.21875</v>
      </c>
      <c r="D12" s="153" t="str">
        <f>VLOOKUP(B12,'Measurement-Apron &amp; Drain'!B:P,14,FALSE)</f>
        <v>Cft</v>
      </c>
      <c r="E12" s="154"/>
      <c r="F12" s="154"/>
      <c r="G12" s="155">
        <f>SUM(G14:G16)</f>
        <v>176302.03125</v>
      </c>
      <c r="H12" s="156">
        <f>SUM(G14:G14)</f>
        <v>133886.71875</v>
      </c>
      <c r="I12" s="156">
        <f>SUM(G16:G16)</f>
        <v>42415.3125</v>
      </c>
    </row>
    <row r="13" spans="1:13" ht="18" customHeight="1">
      <c r="A13" s="158"/>
      <c r="B13" s="159" t="s">
        <v>81</v>
      </c>
      <c r="C13" s="162"/>
      <c r="D13" s="158"/>
      <c r="E13" s="161"/>
      <c r="F13" s="161"/>
      <c r="G13" s="161"/>
    </row>
    <row r="14" spans="1:13" ht="18" customHeight="1">
      <c r="A14" s="158"/>
      <c r="B14" s="167" t="s">
        <v>36</v>
      </c>
      <c r="C14" s="254">
        <f>C12*125/100/100</f>
        <v>2.677734375</v>
      </c>
      <c r="D14" s="158" t="s">
        <v>32</v>
      </c>
      <c r="E14" s="161">
        <f>VLOOKUP(B14,'Price '!$B:$F,3,FALSE)</f>
        <v>50000</v>
      </c>
      <c r="F14" s="161" t="str">
        <f t="shared" ref="F14" si="0">D14</f>
        <v>Sud</v>
      </c>
      <c r="G14" s="161">
        <f>C14*E14</f>
        <v>133886.71875</v>
      </c>
    </row>
    <row r="15" spans="1:13" ht="18" customHeight="1">
      <c r="A15" s="158"/>
      <c r="B15" s="159" t="s">
        <v>38</v>
      </c>
      <c r="C15" s="162"/>
      <c r="D15" s="158"/>
      <c r="E15" s="161"/>
      <c r="F15" s="161"/>
      <c r="G15" s="161"/>
    </row>
    <row r="16" spans="1:13" ht="18" customHeight="1">
      <c r="A16" s="158"/>
      <c r="B16" s="162" t="s">
        <v>37</v>
      </c>
      <c r="C16" s="42">
        <f>C12*1/100</f>
        <v>2.1421874999999999</v>
      </c>
      <c r="D16" s="158" t="s">
        <v>10</v>
      </c>
      <c r="E16" s="161">
        <f>VLOOKUP(B16,'Price '!$B:$F,3,FALSE)</f>
        <v>19800</v>
      </c>
      <c r="F16" s="161" t="str">
        <f t="shared" ref="F16" si="1">D16</f>
        <v>Nos</v>
      </c>
      <c r="G16" s="161">
        <f>C16*E16</f>
        <v>42415.3125</v>
      </c>
    </row>
    <row r="17" spans="1:9" ht="18" customHeight="1">
      <c r="A17" s="158"/>
      <c r="B17" s="162"/>
      <c r="C17" s="160"/>
      <c r="D17" s="158"/>
      <c r="E17" s="161"/>
      <c r="F17" s="161"/>
      <c r="G17" s="161"/>
    </row>
    <row r="18" spans="1:9" ht="18" customHeight="1">
      <c r="A18" s="163"/>
      <c r="B18" s="164"/>
      <c r="C18" s="164"/>
      <c r="D18" s="163"/>
      <c r="E18" s="166"/>
      <c r="F18" s="166"/>
      <c r="G18" s="166"/>
    </row>
    <row r="19" spans="1:9" s="157" customFormat="1" ht="30.9" customHeight="1">
      <c r="A19" s="150">
        <v>3</v>
      </c>
      <c r="B19" s="151" t="str">
        <f>VLOOKUP(A19,'Measurement-Apron &amp; Drain'!A:O,2,FALSE)</f>
        <v>1:3:6 Lean Concrete Work</v>
      </c>
      <c r="C19" s="152">
        <f>VLOOKUP(A19,'Measurement-Apron &amp; Drain'!A:O,14,FALSE)</f>
        <v>620.91145833333337</v>
      </c>
      <c r="D19" s="153" t="str">
        <f>VLOOKUP(B19,'Measurement-Apron &amp; Drain'!B:P,14,FALSE)</f>
        <v>Cft</v>
      </c>
      <c r="E19" s="154"/>
      <c r="F19" s="154"/>
      <c r="G19" s="155">
        <f>SUM(G21:G26)</f>
        <v>3547089.7581845238</v>
      </c>
      <c r="H19" s="156">
        <f>SUM(G21:G23)</f>
        <v>2392815.3571428573</v>
      </c>
      <c r="I19" s="156">
        <f>SUM(G25:G26)</f>
        <v>1154274.4010416667</v>
      </c>
    </row>
    <row r="20" spans="1:9" ht="18" customHeight="1">
      <c r="A20" s="158"/>
      <c r="B20" s="159" t="s">
        <v>81</v>
      </c>
      <c r="C20" s="162"/>
      <c r="D20" s="158"/>
      <c r="E20" s="161"/>
      <c r="F20" s="161"/>
      <c r="G20" s="161"/>
    </row>
    <row r="21" spans="1:9" ht="18" customHeight="1">
      <c r="A21" s="158"/>
      <c r="B21" s="45" t="s">
        <v>102</v>
      </c>
      <c r="C21" s="160">
        <f>1440*C19/100/112</f>
        <v>79.831473214285708</v>
      </c>
      <c r="D21" s="158" t="s">
        <v>33</v>
      </c>
      <c r="E21" s="161">
        <f>VLOOKUP(B21,'Price '!$B:$F,3,FALSE)</f>
        <v>18400</v>
      </c>
      <c r="F21" s="161" t="str">
        <f t="shared" ref="F21:F23" si="2">D21</f>
        <v>Bag</v>
      </c>
      <c r="G21" s="161">
        <f>C21*E21</f>
        <v>1468899.107142857</v>
      </c>
    </row>
    <row r="22" spans="1:9" ht="18" customHeight="1">
      <c r="A22" s="158"/>
      <c r="B22" s="162" t="s">
        <v>36</v>
      </c>
      <c r="C22" s="160">
        <f>48*C19/100/100</f>
        <v>2.9803750000000004</v>
      </c>
      <c r="D22" s="158" t="s">
        <v>32</v>
      </c>
      <c r="E22" s="161">
        <f>VLOOKUP(B22,'Price '!$B:$F,3,FALSE)</f>
        <v>50000</v>
      </c>
      <c r="F22" s="161" t="str">
        <f t="shared" si="2"/>
        <v>Sud</v>
      </c>
      <c r="G22" s="161">
        <f>C22*E22</f>
        <v>149018.75000000003</v>
      </c>
    </row>
    <row r="23" spans="1:9" ht="18" customHeight="1">
      <c r="A23" s="158"/>
      <c r="B23" s="16" t="s">
        <v>123</v>
      </c>
      <c r="C23" s="160">
        <f>96*C19/100/100</f>
        <v>5.9607500000000009</v>
      </c>
      <c r="D23" s="158" t="s">
        <v>32</v>
      </c>
      <c r="E23" s="161">
        <f>VLOOKUP(B23,'Price '!$B:$F,3,FALSE)</f>
        <v>130000</v>
      </c>
      <c r="F23" s="161" t="str">
        <f t="shared" si="2"/>
        <v>Sud</v>
      </c>
      <c r="G23" s="161">
        <f>C23*E23</f>
        <v>774897.50000000012</v>
      </c>
    </row>
    <row r="24" spans="1:9" ht="18" customHeight="1">
      <c r="A24" s="158"/>
      <c r="B24" s="159" t="s">
        <v>38</v>
      </c>
      <c r="C24" s="160"/>
      <c r="D24" s="158"/>
      <c r="E24" s="161"/>
      <c r="F24" s="161"/>
      <c r="G24" s="161"/>
    </row>
    <row r="25" spans="1:9" ht="18" customHeight="1">
      <c r="A25" s="158"/>
      <c r="B25" s="162" t="s">
        <v>63</v>
      </c>
      <c r="C25" s="160">
        <f>1*C19/100</f>
        <v>6.2091145833333341</v>
      </c>
      <c r="D25" s="158" t="s">
        <v>10</v>
      </c>
      <c r="E25" s="161">
        <f>VLOOKUP(B25,'Price '!$B:$F,3,FALSE)</f>
        <v>27500</v>
      </c>
      <c r="F25" s="161" t="str">
        <f t="shared" ref="F25:F26" si="3">D25</f>
        <v>Nos</v>
      </c>
      <c r="G25" s="161">
        <f>C25*E25</f>
        <v>170750.65104166669</v>
      </c>
    </row>
    <row r="26" spans="1:9" ht="18" customHeight="1">
      <c r="A26" s="158"/>
      <c r="B26" s="162" t="s">
        <v>37</v>
      </c>
      <c r="C26" s="160">
        <f>8*C19/100</f>
        <v>49.672916666666673</v>
      </c>
      <c r="D26" s="158" t="s">
        <v>10</v>
      </c>
      <c r="E26" s="161">
        <f>VLOOKUP(B26,'Price '!$B:$F,3,FALSE)</f>
        <v>19800</v>
      </c>
      <c r="F26" s="161" t="str">
        <f t="shared" si="3"/>
        <v>Nos</v>
      </c>
      <c r="G26" s="161">
        <f>C26*E26</f>
        <v>983523.75000000012</v>
      </c>
    </row>
    <row r="27" spans="1:9" ht="16.5" customHeight="1">
      <c r="A27" s="158"/>
      <c r="B27" s="162"/>
      <c r="C27" s="160"/>
      <c r="D27" s="158"/>
      <c r="E27" s="161"/>
      <c r="F27" s="161"/>
      <c r="G27" s="161"/>
    </row>
    <row r="28" spans="1:9" ht="18" customHeight="1">
      <c r="A28" s="163"/>
      <c r="B28" s="164"/>
      <c r="C28" s="164"/>
      <c r="D28" s="163"/>
      <c r="E28" s="166"/>
      <c r="F28" s="166"/>
      <c r="G28" s="166"/>
    </row>
    <row r="29" spans="1:9" s="157" customFormat="1" ht="44.25" customHeight="1">
      <c r="A29" s="150">
        <v>4</v>
      </c>
      <c r="B29" s="151" t="str">
        <f>VLOOKUP(A29,'Measurement-Apron &amp; Drain'!A:O,2,FALSE)</f>
        <v>4-1/2" Thk; Brick Walling In Cement Mortar (1:3) Reinforced At Every 4th Course .</v>
      </c>
      <c r="C29" s="152">
        <f>VLOOKUP(A29,'Measurement-Apron &amp; Drain'!A:O,14,FALSE)</f>
        <v>2285</v>
      </c>
      <c r="D29" s="153" t="str">
        <f>VLOOKUP(B29,'Measurement-Apron &amp; Drain'!B:P,14,FALSE)</f>
        <v>Sft</v>
      </c>
      <c r="E29" s="154"/>
      <c r="F29" s="154"/>
      <c r="G29" s="155" t="e">
        <f>SUM(G31:G37)</f>
        <v>#N/A</v>
      </c>
      <c r="H29" s="156" t="e">
        <f>SUM(G31:G34)</f>
        <v>#N/A</v>
      </c>
      <c r="I29" s="156">
        <f>SUM(G36:G37)</f>
        <v>2614040</v>
      </c>
    </row>
    <row r="30" spans="1:9" ht="18" customHeight="1">
      <c r="A30" s="158"/>
      <c r="B30" s="159" t="s">
        <v>81</v>
      </c>
      <c r="C30" s="160"/>
      <c r="D30" s="158"/>
      <c r="E30" s="161"/>
      <c r="F30" s="161"/>
      <c r="G30" s="161"/>
    </row>
    <row r="31" spans="1:9" ht="18" customHeight="1">
      <c r="A31" s="158"/>
      <c r="B31" s="45" t="s">
        <v>102</v>
      </c>
      <c r="C31" s="168">
        <f>350*C29/100/112</f>
        <v>71.40625</v>
      </c>
      <c r="D31" s="169" t="s">
        <v>33</v>
      </c>
      <c r="E31" s="161">
        <f>VLOOKUP(B31,'Price '!$B:$F,3,FALSE)</f>
        <v>18400</v>
      </c>
      <c r="F31" s="161" t="str">
        <f t="shared" ref="F31:F34" si="4">D31</f>
        <v>Bag</v>
      </c>
      <c r="G31" s="161">
        <f t="shared" ref="G31:G34" si="5">C31*E31</f>
        <v>1313875</v>
      </c>
    </row>
    <row r="32" spans="1:9" ht="18" customHeight="1">
      <c r="A32" s="158"/>
      <c r="B32" s="170" t="s">
        <v>36</v>
      </c>
      <c r="C32" s="171">
        <f>10*C29/100/100</f>
        <v>2.2850000000000001</v>
      </c>
      <c r="D32" s="172" t="s">
        <v>32</v>
      </c>
      <c r="E32" s="161">
        <f>VLOOKUP(B32,'Price '!$B:$F,3,FALSE)</f>
        <v>50000</v>
      </c>
      <c r="F32" s="161" t="str">
        <f t="shared" si="4"/>
        <v>Sud</v>
      </c>
      <c r="G32" s="161">
        <f t="shared" si="5"/>
        <v>114250</v>
      </c>
    </row>
    <row r="33" spans="1:9" ht="18" customHeight="1">
      <c r="A33" s="158"/>
      <c r="B33" s="45" t="s">
        <v>241</v>
      </c>
      <c r="C33" s="171">
        <f>550*C29/100</f>
        <v>12567.5</v>
      </c>
      <c r="D33" s="172" t="s">
        <v>10</v>
      </c>
      <c r="E33" s="161" t="e">
        <f>VLOOKUP(B33,'Price '!$B:$F,3,FALSE)</f>
        <v>#N/A</v>
      </c>
      <c r="F33" s="161" t="str">
        <f t="shared" si="4"/>
        <v>Nos</v>
      </c>
      <c r="G33" s="161" t="e">
        <f t="shared" si="5"/>
        <v>#N/A</v>
      </c>
    </row>
    <row r="34" spans="1:9" ht="18" customHeight="1">
      <c r="A34" s="158"/>
      <c r="B34" s="14" t="s">
        <v>129</v>
      </c>
      <c r="C34" s="171">
        <f>115*C29/100</f>
        <v>2627.75</v>
      </c>
      <c r="D34" s="172" t="s">
        <v>26</v>
      </c>
      <c r="E34" s="161">
        <f>VLOOKUP(B34,'Price '!$B:$F,3,FALSE)</f>
        <v>170</v>
      </c>
      <c r="F34" s="161" t="str">
        <f t="shared" si="4"/>
        <v>Rft</v>
      </c>
      <c r="G34" s="161">
        <f t="shared" si="5"/>
        <v>446717.5</v>
      </c>
    </row>
    <row r="35" spans="1:9" ht="18" customHeight="1">
      <c r="A35" s="158"/>
      <c r="B35" s="173" t="s">
        <v>38</v>
      </c>
      <c r="C35" s="171"/>
      <c r="D35" s="172"/>
      <c r="E35" s="161"/>
      <c r="F35" s="161"/>
      <c r="G35" s="161"/>
    </row>
    <row r="36" spans="1:9" ht="18" customHeight="1">
      <c r="A36" s="158"/>
      <c r="B36" s="170" t="s">
        <v>63</v>
      </c>
      <c r="C36" s="168">
        <f>2*C29/100</f>
        <v>45.7</v>
      </c>
      <c r="D36" s="169" t="s">
        <v>10</v>
      </c>
      <c r="E36" s="161">
        <f>VLOOKUP(B36,'Price '!$B:$F,3,FALSE)</f>
        <v>27500</v>
      </c>
      <c r="F36" s="161" t="str">
        <f t="shared" ref="F36:F37" si="6">D36</f>
        <v>Nos</v>
      </c>
      <c r="G36" s="161">
        <f t="shared" ref="G36:G37" si="7">C36*E36</f>
        <v>1256750</v>
      </c>
    </row>
    <row r="37" spans="1:9" ht="18" customHeight="1">
      <c r="A37" s="158"/>
      <c r="B37" s="170" t="s">
        <v>37</v>
      </c>
      <c r="C37" s="168">
        <f>3*C29/100</f>
        <v>68.55</v>
      </c>
      <c r="D37" s="169" t="s">
        <v>10</v>
      </c>
      <c r="E37" s="161">
        <f>VLOOKUP(B37,'Price '!$B:$F,3,FALSE)</f>
        <v>19800</v>
      </c>
      <c r="F37" s="161" t="str">
        <f t="shared" si="6"/>
        <v>Nos</v>
      </c>
      <c r="G37" s="161">
        <f t="shared" si="7"/>
        <v>1357290</v>
      </c>
    </row>
    <row r="38" spans="1:9" ht="18" customHeight="1">
      <c r="A38" s="163"/>
      <c r="B38" s="164"/>
      <c r="C38" s="165"/>
      <c r="D38" s="163"/>
      <c r="E38" s="166"/>
      <c r="F38" s="166"/>
      <c r="G38" s="166"/>
    </row>
    <row r="39" spans="1:9" s="157" customFormat="1" ht="36" customHeight="1">
      <c r="A39" s="150">
        <v>5</v>
      </c>
      <c r="B39" s="151" t="str">
        <f>VLOOKUP(A39,'Measurement-Apron &amp; Drain'!A:O,2,FALSE)</f>
        <v>1/2" tk: Plastering Work with (1:3) Cement Mortar .</v>
      </c>
      <c r="C39" s="152">
        <f>VLOOKUP(A39,'Measurement-Apron &amp; Drain'!A:O,14,FALSE)</f>
        <v>6866.5000000000009</v>
      </c>
      <c r="D39" s="153" t="str">
        <f>VLOOKUP(B39,'Measurement-Apron &amp; Drain'!B:P,14,FALSE)</f>
        <v>Sft</v>
      </c>
      <c r="E39" s="154"/>
      <c r="F39" s="154"/>
      <c r="G39" s="155">
        <f>SUM(G41:G45)</f>
        <v>6471185.7857142873</v>
      </c>
      <c r="H39" s="156">
        <f>SUM(G41:G42)</f>
        <v>1863764.2857142859</v>
      </c>
      <c r="I39" s="156">
        <f>SUM(G44:G45)</f>
        <v>4607421.5000000009</v>
      </c>
    </row>
    <row r="40" spans="1:9" ht="18" customHeight="1">
      <c r="A40" s="174"/>
      <c r="B40" s="159" t="s">
        <v>81</v>
      </c>
      <c r="C40" s="160"/>
      <c r="D40" s="175"/>
      <c r="E40" s="161"/>
      <c r="F40" s="161"/>
      <c r="G40" s="176"/>
    </row>
    <row r="41" spans="1:9" ht="18" customHeight="1">
      <c r="A41" s="177"/>
      <c r="B41" s="45" t="s">
        <v>102</v>
      </c>
      <c r="C41" s="160">
        <f>C39*150/100/112</f>
        <v>91.962053571428584</v>
      </c>
      <c r="D41" s="175" t="s">
        <v>33</v>
      </c>
      <c r="E41" s="161">
        <f>VLOOKUP(B41,'Price '!$B:$F,3,FALSE)</f>
        <v>18400</v>
      </c>
      <c r="F41" s="161" t="str">
        <f t="shared" ref="F41:F42" si="8">D41</f>
        <v>Bag</v>
      </c>
      <c r="G41" s="161">
        <f>C41*E41</f>
        <v>1692101.7857142859</v>
      </c>
    </row>
    <row r="42" spans="1:9" ht="18" customHeight="1">
      <c r="A42" s="174"/>
      <c r="B42" s="170" t="s">
        <v>36</v>
      </c>
      <c r="C42" s="171">
        <f>5*C39/100/100</f>
        <v>3.4332500000000006</v>
      </c>
      <c r="D42" s="175" t="s">
        <v>32</v>
      </c>
      <c r="E42" s="161">
        <f>VLOOKUP(B42,'Price '!$B:$F,3,FALSE)</f>
        <v>50000</v>
      </c>
      <c r="F42" s="161" t="str">
        <f t="shared" si="8"/>
        <v>Sud</v>
      </c>
      <c r="G42" s="161">
        <f>C42*E42</f>
        <v>171662.50000000003</v>
      </c>
    </row>
    <row r="43" spans="1:9" ht="18" customHeight="1">
      <c r="A43" s="174"/>
      <c r="B43" s="173" t="s">
        <v>38</v>
      </c>
      <c r="C43" s="171"/>
      <c r="D43" s="175"/>
      <c r="E43" s="161"/>
      <c r="F43" s="161"/>
      <c r="G43" s="176"/>
    </row>
    <row r="44" spans="1:9" ht="18" customHeight="1">
      <c r="A44" s="174"/>
      <c r="B44" s="170" t="s">
        <v>63</v>
      </c>
      <c r="C44" s="171">
        <f>1*C39/100</f>
        <v>68.665000000000006</v>
      </c>
      <c r="D44" s="175" t="s">
        <v>10</v>
      </c>
      <c r="E44" s="161">
        <f>VLOOKUP(B44,'Price '!$B:$F,3,FALSE)</f>
        <v>27500</v>
      </c>
      <c r="F44" s="161" t="str">
        <f t="shared" ref="F44:F45" si="9">D44</f>
        <v>Nos</v>
      </c>
      <c r="G44" s="161">
        <f>C44*E44</f>
        <v>1888287.5000000002</v>
      </c>
    </row>
    <row r="45" spans="1:9" ht="18" customHeight="1">
      <c r="A45" s="158"/>
      <c r="B45" s="170" t="s">
        <v>37</v>
      </c>
      <c r="C45" s="171">
        <f>2*C39/100</f>
        <v>137.33000000000001</v>
      </c>
      <c r="D45" s="158" t="s">
        <v>10</v>
      </c>
      <c r="E45" s="161">
        <f>VLOOKUP(B45,'Price '!$B:$F,3,FALSE)</f>
        <v>19800</v>
      </c>
      <c r="F45" s="161" t="str">
        <f t="shared" si="9"/>
        <v>Nos</v>
      </c>
      <c r="G45" s="161">
        <f>C45*E45</f>
        <v>2719134.0000000005</v>
      </c>
    </row>
    <row r="46" spans="1:9" ht="18" customHeight="1">
      <c r="A46" s="163"/>
      <c r="B46" s="164"/>
      <c r="C46" s="165"/>
      <c r="D46" s="163"/>
      <c r="E46" s="166"/>
      <c r="F46" s="166"/>
      <c r="G46" s="166"/>
    </row>
    <row r="47" spans="1:9" s="157" customFormat="1" ht="24.9" customHeight="1">
      <c r="A47" s="178"/>
      <c r="C47" s="1226" t="s">
        <v>141</v>
      </c>
      <c r="D47" s="1227"/>
      <c r="E47" s="1227"/>
      <c r="F47" s="1228"/>
      <c r="G47" s="179" t="e">
        <f>G39+G29++G19+G12+G8</f>
        <v>#N/A</v>
      </c>
      <c r="H47" s="179" t="e">
        <f>H39+H29+H19+H12+H8</f>
        <v>#N/A</v>
      </c>
      <c r="I47" s="179">
        <f>I39+I29+I19+I12+I8</f>
        <v>8927134.9635416679</v>
      </c>
    </row>
    <row r="48" spans="1:9" ht="18" customHeight="1"/>
    <row r="49" spans="2:14" ht="18" customHeight="1">
      <c r="K49" s="181"/>
    </row>
    <row r="50" spans="2:14" ht="18" customHeight="1">
      <c r="H50" s="181" t="e">
        <f>H47+I47</f>
        <v>#N/A</v>
      </c>
    </row>
    <row r="51" spans="2:14" ht="18" customHeight="1"/>
    <row r="52" spans="2:14" ht="18" customHeight="1"/>
    <row r="53" spans="2:14" ht="18" customHeight="1"/>
    <row r="54" spans="2:14" ht="18" customHeight="1">
      <c r="G54" s="148">
        <f>18000/25</f>
        <v>720</v>
      </c>
    </row>
    <row r="55" spans="2:14" ht="18" customHeight="1"/>
    <row r="56" spans="2:14" ht="18" customHeight="1"/>
    <row r="57" spans="2:14" s="180" customFormat="1" ht="18" customHeight="1">
      <c r="B57" s="148"/>
      <c r="C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</row>
    <row r="58" spans="2:14" s="180" customFormat="1" ht="18" customHeight="1">
      <c r="B58" s="148"/>
      <c r="C58" s="148"/>
      <c r="E58" s="148"/>
      <c r="F58" s="148"/>
      <c r="G58" s="148"/>
      <c r="H58" s="148"/>
      <c r="I58" s="148"/>
      <c r="J58" s="148"/>
      <c r="K58" s="148"/>
      <c r="L58" s="148"/>
      <c r="M58" s="148"/>
      <c r="N58" s="148"/>
    </row>
    <row r="59" spans="2:14" s="180" customFormat="1" ht="18" customHeight="1">
      <c r="B59" s="148"/>
      <c r="C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</row>
    <row r="60" spans="2:14" s="180" customFormat="1" ht="18" customHeight="1">
      <c r="B60" s="148"/>
      <c r="C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</row>
    <row r="61" spans="2:14" s="180" customFormat="1" ht="18" customHeight="1">
      <c r="B61" s="148"/>
      <c r="C61" s="148"/>
      <c r="E61" s="148"/>
      <c r="F61" s="148"/>
      <c r="G61" s="148"/>
      <c r="H61" s="148"/>
      <c r="I61" s="148"/>
      <c r="J61" s="148"/>
      <c r="K61" s="148"/>
      <c r="L61" s="148"/>
      <c r="M61" s="148"/>
      <c r="N61" s="148"/>
    </row>
    <row r="62" spans="2:14" s="180" customFormat="1" ht="18" customHeight="1">
      <c r="B62" s="148"/>
      <c r="C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</row>
    <row r="63" spans="2:14" s="180" customFormat="1" ht="18" customHeight="1">
      <c r="B63" s="148"/>
      <c r="C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</row>
    <row r="64" spans="2:14" s="180" customFormat="1" ht="18" customHeight="1">
      <c r="B64" s="148"/>
      <c r="C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</row>
    <row r="65" spans="2:14" s="180" customFormat="1" ht="18" customHeight="1">
      <c r="B65" s="148"/>
      <c r="C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</row>
  </sheetData>
  <mergeCells count="8">
    <mergeCell ref="C47:F47"/>
    <mergeCell ref="A5:G5"/>
    <mergeCell ref="A6:A7"/>
    <mergeCell ref="B6:B7"/>
    <mergeCell ref="C6:C7"/>
    <mergeCell ref="D6:D7"/>
    <mergeCell ref="E6:E7"/>
    <mergeCell ref="F6:F7"/>
  </mergeCells>
  <pageMargins left="0.65" right="0.45" top="0.5" bottom="0.5" header="0.3" footer="0.3"/>
  <pageSetup paperSize="9" scale="95" orientation="portrait" r:id="rId1"/>
  <headerFooter>
    <oddFooter>&amp;CPage &amp;Pof&amp;N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S42"/>
  <sheetViews>
    <sheetView zoomScaleSheetLayoutView="100" workbookViewId="0">
      <selection sqref="A1:A3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9" s="21" customFormat="1" ht="21.9" customHeight="1">
      <c r="A1" s="18" t="s">
        <v>252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9" s="21" customFormat="1" ht="21.9" customHeight="1">
      <c r="A2" s="18" t="s">
        <v>254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9" s="21" customFormat="1" ht="21.9" customHeight="1">
      <c r="A3" s="18" t="s">
        <v>253</v>
      </c>
      <c r="B3" s="19"/>
      <c r="C3" s="68"/>
      <c r="D3" s="19"/>
      <c r="E3" s="19"/>
      <c r="F3" s="20"/>
      <c r="G3" s="19"/>
      <c r="H3" s="19"/>
      <c r="I3" s="19"/>
      <c r="J3" s="19"/>
      <c r="K3" s="19"/>
      <c r="M3" s="22"/>
    </row>
    <row r="4" spans="1:19" s="11" customFormat="1" ht="24" customHeight="1">
      <c r="A4" s="12" t="s">
        <v>245</v>
      </c>
      <c r="B4" s="5"/>
      <c r="C4" s="6"/>
      <c r="D4" s="6"/>
      <c r="E4" s="6"/>
      <c r="F4" s="7"/>
      <c r="G4" s="6"/>
      <c r="H4" s="6"/>
      <c r="I4" s="8"/>
      <c r="J4" s="8"/>
      <c r="K4" s="8"/>
      <c r="L4" s="9"/>
      <c r="M4" s="10"/>
    </row>
    <row r="5" spans="1:19" ht="21.9" customHeight="1">
      <c r="A5" s="1236" t="s">
        <v>130</v>
      </c>
      <c r="B5" s="1236"/>
      <c r="C5" s="1236"/>
      <c r="D5" s="1236"/>
      <c r="E5" s="1236"/>
      <c r="F5" s="1236"/>
      <c r="G5" s="1236"/>
      <c r="H5" s="1236"/>
      <c r="I5" s="1236"/>
      <c r="J5" s="1236"/>
      <c r="K5" s="1236"/>
      <c r="L5" s="1236"/>
      <c r="M5" s="1236"/>
      <c r="N5" s="1236"/>
      <c r="O5" s="1236"/>
    </row>
    <row r="6" spans="1:19" ht="14.25" customHeight="1">
      <c r="A6" s="1237" t="s">
        <v>131</v>
      </c>
      <c r="B6" s="1239" t="s">
        <v>1</v>
      </c>
      <c r="C6" s="1241" t="s">
        <v>8</v>
      </c>
      <c r="D6" s="1242"/>
      <c r="E6" s="1243"/>
      <c r="F6" s="1247" t="s">
        <v>11</v>
      </c>
      <c r="G6" s="1248"/>
      <c r="H6" s="1248"/>
      <c r="I6" s="1248"/>
      <c r="J6" s="1248"/>
      <c r="K6" s="1249"/>
      <c r="L6" s="1239" t="s">
        <v>86</v>
      </c>
      <c r="M6" s="1239" t="s">
        <v>16</v>
      </c>
      <c r="N6" s="1250" t="s">
        <v>132</v>
      </c>
      <c r="O6" s="1251"/>
    </row>
    <row r="7" spans="1:19" s="69" customFormat="1" ht="16.5" customHeight="1">
      <c r="A7" s="1238"/>
      <c r="B7" s="1240"/>
      <c r="C7" s="1244"/>
      <c r="D7" s="1245"/>
      <c r="E7" s="1246"/>
      <c r="F7" s="1254" t="s">
        <v>133</v>
      </c>
      <c r="G7" s="1255"/>
      <c r="H7" s="1234" t="s">
        <v>134</v>
      </c>
      <c r="I7" s="1235"/>
      <c r="J7" s="1234" t="s">
        <v>135</v>
      </c>
      <c r="K7" s="1235"/>
      <c r="L7" s="1240"/>
      <c r="M7" s="1240"/>
      <c r="N7" s="1252"/>
      <c r="O7" s="1253"/>
    </row>
    <row r="8" spans="1:19" ht="46.5" customHeight="1">
      <c r="A8" s="79">
        <v>1</v>
      </c>
      <c r="B8" s="80" t="s">
        <v>246</v>
      </c>
      <c r="C8" s="81"/>
      <c r="D8" s="82"/>
      <c r="E8" s="83"/>
      <c r="F8" s="84"/>
      <c r="G8" s="85"/>
      <c r="H8" s="86"/>
      <c r="I8" s="87"/>
      <c r="J8" s="86"/>
      <c r="K8" s="87"/>
      <c r="L8" s="88"/>
      <c r="M8" s="89"/>
      <c r="N8" s="90">
        <f>SUM(M9:M10)</f>
        <v>1713.75</v>
      </c>
      <c r="O8" s="91" t="s">
        <v>21</v>
      </c>
      <c r="P8" s="92"/>
    </row>
    <row r="9" spans="1:19" s="104" customFormat="1" ht="15" customHeight="1">
      <c r="A9" s="93"/>
      <c r="B9" s="94" t="s">
        <v>137</v>
      </c>
      <c r="C9" s="95">
        <v>1</v>
      </c>
      <c r="D9" s="96" t="s">
        <v>87</v>
      </c>
      <c r="E9" s="97">
        <v>2</v>
      </c>
      <c r="F9" s="98">
        <f>154</f>
        <v>154</v>
      </c>
      <c r="G9" s="99">
        <v>4</v>
      </c>
      <c r="H9" s="98">
        <v>2</v>
      </c>
      <c r="I9" s="99">
        <v>3</v>
      </c>
      <c r="J9" s="98">
        <v>2</v>
      </c>
      <c r="K9" s="99">
        <v>0</v>
      </c>
      <c r="L9" s="100"/>
      <c r="M9" s="101">
        <f>C9*E9*(F9+G9/12)*(H9+I9/12)*(J9+K9/12)</f>
        <v>1389</v>
      </c>
      <c r="N9" s="102"/>
      <c r="O9" s="103"/>
      <c r="R9" s="104">
        <f>151.33+3</f>
        <v>154.33000000000001</v>
      </c>
    </row>
    <row r="10" spans="1:19" s="104" customFormat="1" ht="15" customHeight="1">
      <c r="A10" s="259"/>
      <c r="B10" s="330"/>
      <c r="C10" s="260">
        <f>1</f>
        <v>1</v>
      </c>
      <c r="D10" s="96" t="s">
        <v>87</v>
      </c>
      <c r="E10" s="262">
        <v>1</v>
      </c>
      <c r="F10" s="263">
        <v>72</v>
      </c>
      <c r="G10" s="264">
        <v>2</v>
      </c>
      <c r="H10" s="263">
        <f>H9</f>
        <v>2</v>
      </c>
      <c r="I10" s="264">
        <f>I9</f>
        <v>3</v>
      </c>
      <c r="J10" s="263">
        <f>J9</f>
        <v>2</v>
      </c>
      <c r="K10" s="264">
        <f>K9</f>
        <v>0</v>
      </c>
      <c r="L10" s="290"/>
      <c r="M10" s="101">
        <f>C10*E10*(F10+G10/12)*(H10+I10/12)*(J10+K10/12)</f>
        <v>324.75</v>
      </c>
      <c r="N10" s="291"/>
      <c r="O10" s="266"/>
    </row>
    <row r="11" spans="1:19" ht="15" customHeight="1">
      <c r="A11" s="105"/>
      <c r="B11" s="106"/>
      <c r="C11" s="107"/>
      <c r="D11" s="108"/>
      <c r="E11" s="109"/>
      <c r="F11" s="110"/>
      <c r="G11" s="111"/>
      <c r="H11" s="112"/>
      <c r="I11" s="113"/>
      <c r="J11" s="112"/>
      <c r="K11" s="113"/>
      <c r="L11" s="114"/>
      <c r="M11" s="115"/>
      <c r="N11" s="116"/>
      <c r="O11" s="117"/>
    </row>
    <row r="12" spans="1:19" ht="30.75" customHeight="1">
      <c r="A12" s="79">
        <v>2</v>
      </c>
      <c r="B12" s="80" t="s">
        <v>185</v>
      </c>
      <c r="C12" s="81"/>
      <c r="D12" s="82"/>
      <c r="E12" s="83"/>
      <c r="F12" s="84"/>
      <c r="G12" s="85"/>
      <c r="H12" s="86"/>
      <c r="I12" s="87"/>
      <c r="J12" s="86"/>
      <c r="K12" s="87"/>
      <c r="L12" s="88"/>
      <c r="M12" s="89"/>
      <c r="N12" s="90">
        <f>SUM(M13:M14)</f>
        <v>214.21875</v>
      </c>
      <c r="O12" s="91" t="s">
        <v>21</v>
      </c>
    </row>
    <row r="13" spans="1:19" ht="18" customHeight="1">
      <c r="A13" s="93"/>
      <c r="B13" s="94" t="s">
        <v>137</v>
      </c>
      <c r="C13" s="95">
        <v>1</v>
      </c>
      <c r="D13" s="96" t="s">
        <v>87</v>
      </c>
      <c r="E13" s="97">
        <f t="shared" ref="E13:I14" si="0">E9</f>
        <v>2</v>
      </c>
      <c r="F13" s="98">
        <f t="shared" si="0"/>
        <v>154</v>
      </c>
      <c r="G13" s="99">
        <f t="shared" si="0"/>
        <v>4</v>
      </c>
      <c r="H13" s="98">
        <f t="shared" si="0"/>
        <v>2</v>
      </c>
      <c r="I13" s="99">
        <f t="shared" si="0"/>
        <v>3</v>
      </c>
      <c r="J13" s="98">
        <v>0</v>
      </c>
      <c r="K13" s="99">
        <v>3</v>
      </c>
      <c r="L13" s="100"/>
      <c r="M13" s="101">
        <f>C13*E13*(F13+G13/12)*(H13+I13/12)*(J13+K13/12)</f>
        <v>173.625</v>
      </c>
      <c r="N13" s="102"/>
      <c r="O13" s="103"/>
    </row>
    <row r="14" spans="1:19" ht="18" customHeight="1">
      <c r="A14" s="259"/>
      <c r="B14" s="330"/>
      <c r="C14" s="95">
        <f>C10</f>
        <v>1</v>
      </c>
      <c r="D14" s="96" t="s">
        <v>87</v>
      </c>
      <c r="E14" s="97">
        <f t="shared" si="0"/>
        <v>1</v>
      </c>
      <c r="F14" s="98">
        <f t="shared" si="0"/>
        <v>72</v>
      </c>
      <c r="G14" s="99">
        <f t="shared" si="0"/>
        <v>2</v>
      </c>
      <c r="H14" s="98">
        <f t="shared" si="0"/>
        <v>2</v>
      </c>
      <c r="I14" s="99">
        <f t="shared" si="0"/>
        <v>3</v>
      </c>
      <c r="J14" s="98">
        <v>0</v>
      </c>
      <c r="K14" s="99">
        <v>3</v>
      </c>
      <c r="L14" s="100"/>
      <c r="M14" s="101">
        <f>C14*E14*(F14+G14/12)*(H14+I14/12)*(J14+K14/12)</f>
        <v>40.59375</v>
      </c>
      <c r="N14" s="291"/>
      <c r="O14" s="266"/>
    </row>
    <row r="15" spans="1:19" ht="18" customHeight="1">
      <c r="A15" s="105"/>
      <c r="B15" s="106"/>
      <c r="C15" s="107"/>
      <c r="D15" s="108"/>
      <c r="E15" s="109"/>
      <c r="F15" s="110"/>
      <c r="G15" s="111"/>
      <c r="H15" s="112"/>
      <c r="I15" s="113"/>
      <c r="J15" s="112"/>
      <c r="K15" s="113"/>
      <c r="L15" s="114"/>
      <c r="M15" s="115"/>
      <c r="N15" s="116"/>
      <c r="O15" s="117"/>
      <c r="S15" s="6">
        <f>1.5+0.75+0.5</f>
        <v>2.75</v>
      </c>
    </row>
    <row r="16" spans="1:19" ht="33.75" customHeight="1">
      <c r="A16" s="79">
        <v>3</v>
      </c>
      <c r="B16" s="80" t="s">
        <v>186</v>
      </c>
      <c r="C16" s="81"/>
      <c r="D16" s="82"/>
      <c r="E16" s="83"/>
      <c r="F16" s="84"/>
      <c r="G16" s="85"/>
      <c r="H16" s="86"/>
      <c r="I16" s="87"/>
      <c r="J16" s="86"/>
      <c r="K16" s="87"/>
      <c r="L16" s="88"/>
      <c r="M16" s="89"/>
      <c r="N16" s="90">
        <f>SUM(M17:M20)</f>
        <v>620.91145833333337</v>
      </c>
      <c r="O16" s="91" t="s">
        <v>21</v>
      </c>
      <c r="P16" s="92"/>
      <c r="Q16" s="6">
        <f>2*101+2*26</f>
        <v>254</v>
      </c>
      <c r="R16" s="6">
        <f>Q16+30</f>
        <v>284</v>
      </c>
    </row>
    <row r="17" spans="1:18" s="104" customFormat="1" ht="18" customHeight="1">
      <c r="A17" s="93"/>
      <c r="B17" s="94" t="s">
        <v>137</v>
      </c>
      <c r="C17" s="95">
        <v>1</v>
      </c>
      <c r="D17" s="96" t="s">
        <v>87</v>
      </c>
      <c r="E17" s="97">
        <f>E13</f>
        <v>2</v>
      </c>
      <c r="F17" s="98">
        <f>F9</f>
        <v>154</v>
      </c>
      <c r="G17" s="99">
        <f>G13</f>
        <v>4</v>
      </c>
      <c r="H17" s="98">
        <f>H9</f>
        <v>2</v>
      </c>
      <c r="I17" s="99">
        <f>I13</f>
        <v>3</v>
      </c>
      <c r="J17" s="98">
        <v>0</v>
      </c>
      <c r="K17" s="99">
        <v>3</v>
      </c>
      <c r="L17" s="100"/>
      <c r="M17" s="101">
        <f>C17*E17*(F17+G17/12)*(H17+I17/12)*(J17+K17/12)</f>
        <v>173.625</v>
      </c>
      <c r="N17" s="102"/>
      <c r="O17" s="103"/>
    </row>
    <row r="18" spans="1:18" s="104" customFormat="1" ht="18" customHeight="1">
      <c r="A18" s="93"/>
      <c r="B18" s="94"/>
      <c r="C18" s="95">
        <v>1</v>
      </c>
      <c r="D18" s="96" t="s">
        <v>87</v>
      </c>
      <c r="E18" s="97">
        <f>E14</f>
        <v>1</v>
      </c>
      <c r="F18" s="98">
        <f>F10</f>
        <v>72</v>
      </c>
      <c r="G18" s="99">
        <f>G14</f>
        <v>2</v>
      </c>
      <c r="H18" s="98">
        <f>H10</f>
        <v>2</v>
      </c>
      <c r="I18" s="99">
        <f>I14</f>
        <v>3</v>
      </c>
      <c r="J18" s="98">
        <v>0</v>
      </c>
      <c r="K18" s="99">
        <v>3</v>
      </c>
      <c r="L18" s="100"/>
      <c r="M18" s="101">
        <f>C18*E18*(F18+G18/12)*(H18+I18/12)*(J18+K18/12)</f>
        <v>40.59375</v>
      </c>
      <c r="N18" s="102"/>
      <c r="O18" s="103"/>
    </row>
    <row r="19" spans="1:18" s="104" customFormat="1" ht="18" customHeight="1">
      <c r="A19" s="93"/>
      <c r="B19" s="94" t="s">
        <v>138</v>
      </c>
      <c r="C19" s="95">
        <v>1</v>
      </c>
      <c r="D19" s="96" t="s">
        <v>87</v>
      </c>
      <c r="E19" s="97">
        <v>2</v>
      </c>
      <c r="F19" s="98">
        <f>F17</f>
        <v>154</v>
      </c>
      <c r="G19" s="99">
        <v>4</v>
      </c>
      <c r="H19" s="98">
        <f>2</f>
        <v>2</v>
      </c>
      <c r="I19" s="333">
        <f>7.5</f>
        <v>7.5</v>
      </c>
      <c r="J19" s="98">
        <v>0</v>
      </c>
      <c r="K19" s="99">
        <v>5</v>
      </c>
      <c r="L19" s="100"/>
      <c r="M19" s="101">
        <f>C19*E19*(F19+G19/12)*(H19+I19/12)*(J19+K19/12)</f>
        <v>337.60416666666669</v>
      </c>
      <c r="N19" s="102"/>
      <c r="O19" s="103"/>
      <c r="R19" s="104">
        <f>3-4.5/12</f>
        <v>2.625</v>
      </c>
    </row>
    <row r="20" spans="1:18" s="104" customFormat="1" ht="18" customHeight="1">
      <c r="A20" s="259"/>
      <c r="B20" s="330"/>
      <c r="C20" s="331">
        <f>1</f>
        <v>1</v>
      </c>
      <c r="D20" s="96" t="s">
        <v>87</v>
      </c>
      <c r="E20" s="262">
        <f>1</f>
        <v>1</v>
      </c>
      <c r="F20" s="263">
        <v>63</v>
      </c>
      <c r="G20" s="264">
        <v>2</v>
      </c>
      <c r="H20" s="263">
        <f>H19</f>
        <v>2</v>
      </c>
      <c r="I20" s="334">
        <f>I19</f>
        <v>7.5</v>
      </c>
      <c r="J20" s="263">
        <f>J19</f>
        <v>0</v>
      </c>
      <c r="K20" s="264">
        <f>K19</f>
        <v>5</v>
      </c>
      <c r="L20" s="290"/>
      <c r="M20" s="101">
        <f>C20*E20*(F20+G20/12)*(H20+I20/12)*(J20+K20/12)</f>
        <v>69.088541666666671</v>
      </c>
      <c r="N20" s="291"/>
      <c r="O20" s="266"/>
    </row>
    <row r="21" spans="1:18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114"/>
      <c r="M21" s="115"/>
      <c r="N21" s="116"/>
      <c r="O21" s="117"/>
    </row>
    <row r="22" spans="1:18" ht="57.75" customHeight="1">
      <c r="A22" s="79">
        <v>4</v>
      </c>
      <c r="B22" s="80" t="s">
        <v>139</v>
      </c>
      <c r="C22" s="81"/>
      <c r="D22" s="82"/>
      <c r="E22" s="83"/>
      <c r="F22" s="84"/>
      <c r="G22" s="85"/>
      <c r="H22" s="86"/>
      <c r="I22" s="87"/>
      <c r="J22" s="86"/>
      <c r="K22" s="87"/>
      <c r="L22" s="88"/>
      <c r="M22" s="89"/>
      <c r="N22" s="90">
        <f>SUM(M23:M24)</f>
        <v>2285</v>
      </c>
      <c r="O22" s="91" t="s">
        <v>19</v>
      </c>
      <c r="P22" s="92"/>
    </row>
    <row r="23" spans="1:18" ht="18" customHeight="1">
      <c r="A23" s="93"/>
      <c r="B23" s="94" t="s">
        <v>137</v>
      </c>
      <c r="C23" s="95">
        <f>C17*2</f>
        <v>2</v>
      </c>
      <c r="D23" s="96" t="s">
        <v>87</v>
      </c>
      <c r="E23" s="97">
        <f t="shared" ref="E23:G24" si="1">E17</f>
        <v>2</v>
      </c>
      <c r="F23" s="98">
        <f t="shared" si="1"/>
        <v>154</v>
      </c>
      <c r="G23" s="99">
        <f t="shared" si="1"/>
        <v>4</v>
      </c>
      <c r="H23" s="98"/>
      <c r="I23" s="99"/>
      <c r="J23" s="98">
        <v>3</v>
      </c>
      <c r="K23" s="99">
        <v>0</v>
      </c>
      <c r="L23" s="100"/>
      <c r="M23" s="101">
        <f>C23*E23*(F23+G23/12)*(J23+K23/12)</f>
        <v>1852</v>
      </c>
      <c r="N23" s="102"/>
      <c r="O23" s="103"/>
    </row>
    <row r="24" spans="1:18" ht="18" customHeight="1">
      <c r="A24" s="259"/>
      <c r="B24" s="330"/>
      <c r="C24" s="95">
        <f>C18*2</f>
        <v>2</v>
      </c>
      <c r="D24" s="96" t="s">
        <v>87</v>
      </c>
      <c r="E24" s="97">
        <f t="shared" si="1"/>
        <v>1</v>
      </c>
      <c r="F24" s="98">
        <f t="shared" si="1"/>
        <v>72</v>
      </c>
      <c r="G24" s="99">
        <f t="shared" si="1"/>
        <v>2</v>
      </c>
      <c r="H24" s="98"/>
      <c r="I24" s="99"/>
      <c r="J24" s="98">
        <v>3</v>
      </c>
      <c r="K24" s="99">
        <v>0</v>
      </c>
      <c r="L24" s="100"/>
      <c r="M24" s="101">
        <f>C24*E24*(F24+G24/12)*(J24+K24/12)</f>
        <v>433</v>
      </c>
      <c r="N24" s="291"/>
      <c r="O24" s="266"/>
    </row>
    <row r="25" spans="1:18" ht="15" customHeight="1">
      <c r="A25" s="105"/>
      <c r="B25" s="130"/>
      <c r="C25" s="131"/>
      <c r="D25" s="132"/>
      <c r="E25" s="133"/>
      <c r="F25" s="118"/>
      <c r="G25" s="113"/>
      <c r="H25" s="118"/>
      <c r="I25" s="113"/>
      <c r="J25" s="118"/>
      <c r="K25" s="113"/>
      <c r="L25" s="114"/>
      <c r="M25" s="134"/>
      <c r="N25" s="116"/>
      <c r="O25" s="117"/>
    </row>
    <row r="26" spans="1:18" ht="36.75" customHeight="1">
      <c r="A26" s="79">
        <v>5</v>
      </c>
      <c r="B26" s="135" t="s">
        <v>187</v>
      </c>
      <c r="C26" s="81"/>
      <c r="D26" s="82"/>
      <c r="E26" s="83"/>
      <c r="F26" s="84"/>
      <c r="G26" s="85"/>
      <c r="H26" s="86"/>
      <c r="I26" s="87"/>
      <c r="J26" s="86"/>
      <c r="K26" s="87"/>
      <c r="L26" s="88"/>
      <c r="M26" s="89"/>
      <c r="N26" s="90">
        <f>SUM(M27:M28)</f>
        <v>6866.5000000000009</v>
      </c>
      <c r="O26" s="91" t="s">
        <v>19</v>
      </c>
      <c r="P26" s="92"/>
    </row>
    <row r="27" spans="1:18" ht="18" customHeight="1">
      <c r="A27" s="93"/>
      <c r="B27" s="94" t="s">
        <v>137</v>
      </c>
      <c r="C27" s="95">
        <v>1</v>
      </c>
      <c r="D27" s="96" t="s">
        <v>87</v>
      </c>
      <c r="E27" s="97">
        <v>1</v>
      </c>
      <c r="F27" s="98">
        <f>F23</f>
        <v>154</v>
      </c>
      <c r="G27" s="99">
        <f>G23</f>
        <v>4</v>
      </c>
      <c r="H27" s="252"/>
      <c r="I27" s="253"/>
      <c r="J27" s="98">
        <v>7</v>
      </c>
      <c r="K27" s="99">
        <v>9</v>
      </c>
      <c r="L27" s="100"/>
      <c r="M27" s="101">
        <f>C27*E27*(F27+G27/12)*2*(J27+K27/12)</f>
        <v>2392.166666666667</v>
      </c>
      <c r="N27" s="102"/>
      <c r="O27" s="103"/>
      <c r="P27" s="92"/>
    </row>
    <row r="28" spans="1:18" ht="18" customHeight="1">
      <c r="A28" s="259"/>
      <c r="B28" s="330"/>
      <c r="C28" s="95">
        <v>2</v>
      </c>
      <c r="D28" s="96" t="s">
        <v>87</v>
      </c>
      <c r="E28" s="97">
        <v>2</v>
      </c>
      <c r="F28" s="98">
        <f>F24</f>
        <v>72</v>
      </c>
      <c r="G28" s="99">
        <f>G24</f>
        <v>2</v>
      </c>
      <c r="H28" s="252"/>
      <c r="I28" s="253"/>
      <c r="J28" s="98">
        <v>7</v>
      </c>
      <c r="K28" s="99">
        <v>9</v>
      </c>
      <c r="L28" s="100"/>
      <c r="M28" s="101">
        <f>C28*E28*(F28+G28/12)*2*(J28+K28/12)</f>
        <v>4474.3333333333339</v>
      </c>
      <c r="N28" s="291"/>
      <c r="O28" s="266"/>
      <c r="P28" s="92"/>
    </row>
    <row r="29" spans="1:18" ht="15" customHeight="1">
      <c r="A29" s="119"/>
      <c r="B29" s="120"/>
      <c r="C29" s="121"/>
      <c r="D29" s="122"/>
      <c r="E29" s="123"/>
      <c r="F29" s="124"/>
      <c r="G29" s="125"/>
      <c r="H29" s="124"/>
      <c r="I29" s="125"/>
      <c r="J29" s="124"/>
      <c r="K29" s="125"/>
      <c r="L29" s="126"/>
      <c r="M29" s="127"/>
      <c r="N29" s="128"/>
      <c r="O29" s="129"/>
      <c r="P29" s="92"/>
    </row>
    <row r="30" spans="1:18" ht="21" customHeight="1">
      <c r="P30" s="92"/>
    </row>
    <row r="31" spans="1:18" ht="21" customHeight="1">
      <c r="P31" s="92"/>
    </row>
    <row r="32" spans="1:18" ht="21" customHeight="1">
      <c r="P32" s="92"/>
    </row>
    <row r="33" spans="16:16" ht="21" customHeight="1">
      <c r="P33" s="92"/>
    </row>
    <row r="34" spans="16:16" ht="21" customHeight="1">
      <c r="P34" s="92"/>
    </row>
    <row r="39" spans="16:16" ht="21" customHeight="1">
      <c r="P39" s="147"/>
    </row>
    <row r="40" spans="16:16" ht="21" customHeight="1">
      <c r="P40" s="147"/>
    </row>
    <row r="42" spans="16:16" ht="21" customHeight="1">
      <c r="P42" s="147"/>
    </row>
  </sheetData>
  <mergeCells count="11">
    <mergeCell ref="J7:K7"/>
    <mergeCell ref="A5:O5"/>
    <mergeCell ref="A6:A7"/>
    <mergeCell ref="B6:B7"/>
    <mergeCell ref="C6:E7"/>
    <mergeCell ref="F6:K6"/>
    <mergeCell ref="L6:L7"/>
    <mergeCell ref="M6:M7"/>
    <mergeCell ref="N6:O7"/>
    <mergeCell ref="F7:G7"/>
    <mergeCell ref="H7:I7"/>
  </mergeCells>
  <dataValidations count="1">
    <dataValidation type="list" allowBlank="1" showInputMessage="1" sqref="B8:B53" xr:uid="{00000000-0002-0000-0B00-000000000000}">
      <formula1>#REF!</formula1>
    </dataValidation>
  </dataValidations>
  <pageMargins left="0.65" right="0.35" top="0.5" bottom="0.5" header="0" footer="0"/>
  <pageSetup paperSize="9" scale="92" orientation="portrait" verticalDpi="300" r:id="rId1"/>
  <headerFooter>
    <oddFooter>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5" tint="0.59999389629810485"/>
  </sheetPr>
  <dimension ref="A1:M34"/>
  <sheetViews>
    <sheetView workbookViewId="0">
      <selection activeCell="G12" sqref="G12"/>
    </sheetView>
  </sheetViews>
  <sheetFormatPr defaultColWidth="9.109375" defaultRowHeight="14.4"/>
  <cols>
    <col min="1" max="1" width="5.109375" style="227" customWidth="1"/>
    <col min="2" max="2" width="41.109375" style="227" customWidth="1"/>
    <col min="3" max="3" width="15.33203125" style="227" customWidth="1"/>
    <col min="4" max="4" width="13.5546875" style="227" customWidth="1"/>
    <col min="5" max="5" width="17.44140625" style="227" customWidth="1"/>
    <col min="6" max="16384" width="9.109375" style="227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0.100000000000001" customHeight="1">
      <c r="A4" s="226"/>
      <c r="B4" s="226"/>
      <c r="C4" s="226"/>
      <c r="D4" s="226"/>
      <c r="E4" s="226"/>
    </row>
    <row r="5" spans="1:13" ht="26.25" customHeight="1">
      <c r="A5" s="1209" t="s">
        <v>148</v>
      </c>
      <c r="B5" s="1209"/>
      <c r="C5" s="1209"/>
      <c r="D5" s="1209"/>
      <c r="E5" s="1209"/>
    </row>
    <row r="6" spans="1:13" ht="27.6">
      <c r="A6" s="228" t="s">
        <v>77</v>
      </c>
      <c r="B6" s="229" t="s">
        <v>1</v>
      </c>
      <c r="C6" s="230" t="s">
        <v>149</v>
      </c>
      <c r="D6" s="231" t="s">
        <v>150</v>
      </c>
      <c r="E6" s="231" t="s">
        <v>151</v>
      </c>
    </row>
    <row r="7" spans="1:13">
      <c r="A7" s="232"/>
      <c r="B7" s="233"/>
      <c r="C7" s="234"/>
      <c r="D7" s="235"/>
      <c r="E7" s="236"/>
    </row>
    <row r="8" spans="1:13" ht="20.100000000000001" customHeight="1">
      <c r="A8" s="237">
        <v>1</v>
      </c>
      <c r="B8" s="237" t="s">
        <v>190</v>
      </c>
      <c r="C8" s="238" t="e">
        <f>'Bill of Quantity (Tank)'!G21</f>
        <v>#N/A</v>
      </c>
      <c r="D8" s="238">
        <f>'Bill of Quantity (Tank)'!G30</f>
        <v>3630166.3820927236</v>
      </c>
      <c r="E8" s="239" t="e">
        <f>C8+D8</f>
        <v>#N/A</v>
      </c>
    </row>
    <row r="9" spans="1:13" ht="20.100000000000001" customHeight="1">
      <c r="A9" s="237"/>
      <c r="B9" s="240"/>
      <c r="C9" s="237"/>
      <c r="D9" s="237"/>
      <c r="E9" s="241"/>
    </row>
    <row r="10" spans="1:13" ht="20.100000000000001" customHeight="1">
      <c r="A10" s="242"/>
      <c r="B10" s="242"/>
      <c r="C10" s="242"/>
      <c r="D10" s="242"/>
      <c r="E10" s="243"/>
    </row>
    <row r="11" spans="1:13" ht="20.100000000000001" customHeight="1">
      <c r="A11" s="244"/>
      <c r="B11" s="245" t="s">
        <v>153</v>
      </c>
      <c r="C11" s="245"/>
      <c r="D11" s="246"/>
      <c r="E11" s="247" t="e">
        <f>SUM(E8:E10)</f>
        <v>#N/A</v>
      </c>
    </row>
    <row r="12" spans="1:13" ht="20.100000000000001" customHeight="1">
      <c r="G12" s="248"/>
    </row>
    <row r="13" spans="1:13" ht="20.100000000000001" customHeight="1"/>
    <row r="14" spans="1:13" ht="20.100000000000001" customHeight="1">
      <c r="B14" s="249" t="s">
        <v>154</v>
      </c>
    </row>
    <row r="15" spans="1:13" ht="20.100000000000001" customHeight="1">
      <c r="B15" s="250" t="s">
        <v>189</v>
      </c>
    </row>
    <row r="16" spans="1:13" ht="20.100000000000001" customHeight="1">
      <c r="B16" s="250" t="s">
        <v>207</v>
      </c>
    </row>
    <row r="17" spans="2:2" ht="20.100000000000001" customHeight="1">
      <c r="B17" s="250" t="s">
        <v>208</v>
      </c>
    </row>
    <row r="18" spans="2:2" ht="20.100000000000001" customHeight="1">
      <c r="B18" s="250" t="s">
        <v>209</v>
      </c>
    </row>
    <row r="19" spans="2:2" ht="20.100000000000001" customHeight="1">
      <c r="B19" s="250" t="s">
        <v>194</v>
      </c>
    </row>
    <row r="20" spans="2:2" ht="20.100000000000001" customHeight="1">
      <c r="B20" s="250" t="s">
        <v>196</v>
      </c>
    </row>
    <row r="21" spans="2:2" ht="20.100000000000001" customHeight="1">
      <c r="B21" s="250" t="s">
        <v>198</v>
      </c>
    </row>
    <row r="22" spans="2:2" ht="20.100000000000001" customHeight="1">
      <c r="B22" s="250" t="s">
        <v>210</v>
      </c>
    </row>
    <row r="23" spans="2:2" ht="20.100000000000001" customHeight="1">
      <c r="B23" s="250" t="s">
        <v>211</v>
      </c>
    </row>
    <row r="24" spans="2:2" ht="20.100000000000001" customHeight="1"/>
    <row r="25" spans="2:2" ht="20.100000000000001" customHeight="1"/>
    <row r="26" spans="2:2" ht="20.100000000000001" customHeight="1"/>
    <row r="27" spans="2:2" ht="20.100000000000001" customHeight="1"/>
    <row r="28" spans="2:2" ht="20.100000000000001" customHeight="1"/>
    <row r="29" spans="2:2" ht="20.100000000000001" customHeight="1"/>
    <row r="30" spans="2:2" ht="20.100000000000001" customHeight="1"/>
    <row r="31" spans="2:2" ht="20.100000000000001" customHeight="1"/>
    <row r="32" spans="2:2" ht="20.100000000000001" customHeight="1"/>
    <row r="33" ht="20.100000000000001" customHeight="1"/>
    <row r="34" ht="20.100000000000001" customHeight="1"/>
  </sheetData>
  <mergeCells count="1">
    <mergeCell ref="A5:E5"/>
  </mergeCells>
  <pageMargins left="0.5" right="0.5" top="0.5" bottom="0.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5" tint="0.59999389629810485"/>
  </sheetPr>
  <dimension ref="A1:M88"/>
  <sheetViews>
    <sheetView topLeftCell="A7" workbookViewId="0">
      <selection activeCell="K23" sqref="K23"/>
    </sheetView>
  </sheetViews>
  <sheetFormatPr defaultColWidth="9.109375" defaultRowHeight="14.4"/>
  <cols>
    <col min="1" max="1" width="4.5546875" style="222" customWidth="1"/>
    <col min="2" max="2" width="11.109375" style="222" customWidth="1"/>
    <col min="3" max="3" width="4.88671875" style="222" customWidth="1"/>
    <col min="4" max="4" width="45.5546875" style="200" customWidth="1"/>
    <col min="5" max="5" width="10.6640625" style="200" customWidth="1"/>
    <col min="6" max="6" width="5.5546875" style="222" customWidth="1"/>
    <col min="7" max="7" width="17.109375" style="200" customWidth="1"/>
    <col min="8" max="8" width="9.109375" style="200"/>
    <col min="9" max="9" width="10.44140625" style="200" customWidth="1"/>
    <col min="10" max="16384" width="9.109375" style="200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10" t="s">
        <v>146</v>
      </c>
      <c r="B4" s="1210"/>
      <c r="C4" s="1210"/>
      <c r="D4" s="1210"/>
      <c r="E4" s="1210"/>
      <c r="F4" s="1210"/>
      <c r="G4" s="1210"/>
    </row>
    <row r="5" spans="1:13" s="202" customFormat="1" ht="17.25" customHeight="1">
      <c r="A5" s="1211" t="s">
        <v>131</v>
      </c>
      <c r="B5" s="1256" t="s">
        <v>2</v>
      </c>
      <c r="C5" s="1257"/>
      <c r="D5" s="1213" t="s">
        <v>1</v>
      </c>
      <c r="E5" s="1214" t="s">
        <v>78</v>
      </c>
      <c r="F5" s="1214" t="s">
        <v>79</v>
      </c>
      <c r="G5" s="201" t="s">
        <v>83</v>
      </c>
    </row>
    <row r="6" spans="1:13" s="202" customFormat="1" ht="17.25" customHeight="1">
      <c r="A6" s="1212"/>
      <c r="B6" s="201" t="s">
        <v>90</v>
      </c>
      <c r="C6" s="203" t="s">
        <v>3</v>
      </c>
      <c r="D6" s="1213"/>
      <c r="E6" s="1215"/>
      <c r="F6" s="1215"/>
      <c r="G6" s="201" t="s">
        <v>84</v>
      </c>
    </row>
    <row r="7" spans="1:13" ht="30" customHeight="1">
      <c r="A7" s="204">
        <v>1</v>
      </c>
      <c r="B7" s="205">
        <f>VLOOKUP(A7,'BE-Septic Tank'!A:G,3,FALSE)</f>
        <v>612</v>
      </c>
      <c r="C7" s="205" t="str">
        <f>VLOOKUP(A7,'BE-Apron &amp; Drain'!A:G,4,FALSE)</f>
        <v>Cft</v>
      </c>
      <c r="D7" s="206" t="str">
        <f>VLOOKUP(A7,'BE-Septic Tank'!A:G,2,FALSE)</f>
        <v>Site Clearing &amp; Levelling</v>
      </c>
      <c r="E7" s="207">
        <f>G7/B7</f>
        <v>297</v>
      </c>
      <c r="F7" s="205" t="str">
        <f>C7</f>
        <v>Cft</v>
      </c>
      <c r="G7" s="207">
        <f>VLOOKUP(A7,'BE-Septic Tank'!A:G,7,FALSE)</f>
        <v>181764</v>
      </c>
    </row>
    <row r="8" spans="1:13" ht="20.100000000000001" customHeight="1">
      <c r="A8" s="208"/>
      <c r="B8" s="208"/>
      <c r="C8" s="208"/>
      <c r="D8" s="213"/>
      <c r="E8" s="210"/>
      <c r="F8" s="211"/>
      <c r="G8" s="210"/>
    </row>
    <row r="9" spans="1:13" ht="30" customHeight="1">
      <c r="A9" s="208">
        <v>2</v>
      </c>
      <c r="B9" s="208">
        <f>VLOOKUP(A9,'BE-Septic Tank'!A:G,3,FALSE)</f>
        <v>1512</v>
      </c>
      <c r="C9" s="212" t="str">
        <f>VLOOKUP(A9,'BE-Apron &amp; Drain'!A:G,4,FALSE)</f>
        <v>Cft</v>
      </c>
      <c r="D9" s="213" t="str">
        <f>VLOOKUP(A9,'BE-Septic Tank'!A:G,2,FALSE)</f>
        <v>Earth Work in Excavation for foundation in medium soil to a depth of  (5)ft .</v>
      </c>
      <c r="E9" s="210">
        <f>G9/B9</f>
        <v>396</v>
      </c>
      <c r="F9" s="212" t="str">
        <f>C9</f>
        <v>Cft</v>
      </c>
      <c r="G9" s="210">
        <f>VLOOKUP(A9,'BE-Septic Tank'!A:G,7,FALSE)</f>
        <v>598752</v>
      </c>
    </row>
    <row r="10" spans="1:13" ht="20.100000000000001" customHeight="1">
      <c r="A10" s="208"/>
      <c r="B10" s="208"/>
      <c r="C10" s="208"/>
      <c r="D10" s="209"/>
      <c r="E10" s="210"/>
      <c r="F10" s="211"/>
      <c r="G10" s="210"/>
    </row>
    <row r="11" spans="1:13" ht="20.100000000000001" customHeight="1">
      <c r="A11" s="208">
        <v>3</v>
      </c>
      <c r="B11" s="208">
        <f>VLOOKUP(A11,'BE-Septic Tank'!A:G,3,FALSE)</f>
        <v>126</v>
      </c>
      <c r="C11" s="212" t="str">
        <f>VLOOKUP(A11,'BE-Apron &amp; Drain'!A:G,4,FALSE)</f>
        <v>Cft</v>
      </c>
      <c r="D11" s="213" t="str">
        <f>VLOOKUP(A11,'BE-Septic Tank'!A:G,2,FALSE)</f>
        <v>6" Thk; Hard Core &amp; Sand Filling Work</v>
      </c>
      <c r="E11" s="210">
        <f>G11/B11</f>
        <v>2586.5</v>
      </c>
      <c r="F11" s="212" t="str">
        <f>C11</f>
        <v>Cft</v>
      </c>
      <c r="G11" s="210">
        <f>VLOOKUP(A11,'BE-Septic Tank'!A:G,7,FALSE)</f>
        <v>325899</v>
      </c>
    </row>
    <row r="12" spans="1:13" ht="20.100000000000001" customHeight="1">
      <c r="A12" s="208"/>
      <c r="B12" s="208"/>
      <c r="C12" s="208"/>
      <c r="D12" s="209"/>
      <c r="E12" s="210"/>
      <c r="F12" s="211"/>
      <c r="G12" s="210"/>
    </row>
    <row r="13" spans="1:13" ht="20.100000000000001" customHeight="1">
      <c r="A13" s="208">
        <v>4</v>
      </c>
      <c r="B13" s="208">
        <f>VLOOKUP(A13,'BE-Septic Tank'!A:G,3,FALSE)</f>
        <v>54</v>
      </c>
      <c r="C13" s="212" t="str">
        <f>VLOOKUP(A13,'BE-Apron &amp; Drain'!A:G,4,FALSE)</f>
        <v>Sft</v>
      </c>
      <c r="D13" s="213" t="str">
        <f>VLOOKUP(A13,'BE-Septic Tank'!A:G,2,FALSE)</f>
        <v>1:3:6 Lean Concrete Laying Work</v>
      </c>
      <c r="E13" s="210">
        <f>G13/B13</f>
        <v>5854.2142857142862</v>
      </c>
      <c r="F13" s="212" t="str">
        <f>C13</f>
        <v>Sft</v>
      </c>
      <c r="G13" s="210">
        <f>VLOOKUP(A13,'BE-Septic Tank'!A:G,7,FALSE)</f>
        <v>316127.57142857148</v>
      </c>
    </row>
    <row r="14" spans="1:13" ht="20.100000000000001" customHeight="1">
      <c r="A14" s="208"/>
      <c r="B14" s="208"/>
      <c r="C14" s="208"/>
      <c r="D14" s="209"/>
      <c r="E14" s="210"/>
      <c r="F14" s="211"/>
      <c r="G14" s="210"/>
    </row>
    <row r="15" spans="1:13" ht="20.100000000000001" customHeight="1">
      <c r="A15" s="208">
        <v>5</v>
      </c>
      <c r="B15" s="328">
        <f>VLOOKUP(A15,'BE-Septic Tank'!A:G,3,FALSE)</f>
        <v>276.66666666666669</v>
      </c>
      <c r="C15" s="212" t="str">
        <f>VLOOKUP(A15,'BE-Apron &amp; Drain'!A:G,4,FALSE)</f>
        <v>Sft</v>
      </c>
      <c r="D15" s="213" t="str">
        <f>VLOOKUP(A15,'BE-Septic Tank'!A:G,2,FALSE)</f>
        <v>Formwork &amp; Shuttering Work</v>
      </c>
      <c r="E15" s="210" t="e">
        <f>G15/B15</f>
        <v>#N/A</v>
      </c>
      <c r="F15" s="212" t="str">
        <f>C15</f>
        <v>Sft</v>
      </c>
      <c r="G15" s="210" t="e">
        <f>VLOOKUP(A15,'BE-Septic Tank'!A:G,7,FALSE)</f>
        <v>#N/A</v>
      </c>
    </row>
    <row r="16" spans="1:13" ht="20.100000000000001" customHeight="1">
      <c r="A16" s="208"/>
      <c r="B16" s="328"/>
      <c r="C16" s="212"/>
      <c r="D16" s="213"/>
      <c r="E16" s="210"/>
      <c r="F16" s="212"/>
      <c r="G16" s="210"/>
    </row>
    <row r="17" spans="1:7" ht="20.100000000000001" customHeight="1">
      <c r="A17" s="208">
        <v>6</v>
      </c>
      <c r="B17" s="328">
        <f>VLOOKUP(A17,'BE-Septic Tank'!A:G,3,FALSE)</f>
        <v>0.49511289509449286</v>
      </c>
      <c r="C17" s="212"/>
      <c r="D17" s="213" t="str">
        <f>VLOOKUP(A17,'BE-Septic Tank'!A:G,2,FALSE)</f>
        <v>Mild Steel Work</v>
      </c>
      <c r="E17" s="210"/>
      <c r="F17" s="212"/>
      <c r="G17" s="210">
        <f>VLOOKUP(A17,'BE-Septic Tank'!A:G,7,FALSE)</f>
        <v>1845285.7600171748</v>
      </c>
    </row>
    <row r="18" spans="1:7" ht="20.100000000000001" customHeight="1">
      <c r="A18" s="208"/>
      <c r="B18" s="208"/>
      <c r="C18" s="212"/>
      <c r="D18" s="213"/>
      <c r="E18" s="210"/>
      <c r="F18" s="212"/>
      <c r="G18" s="210"/>
    </row>
    <row r="19" spans="1:7" ht="20.100000000000001" customHeight="1">
      <c r="A19" s="208">
        <v>7</v>
      </c>
      <c r="B19" s="208">
        <f>VLOOKUP(A19,'BE-Septic Tank'!A:G,3,FALSE)</f>
        <v>84</v>
      </c>
      <c r="C19" s="212"/>
      <c r="D19" s="213" t="str">
        <f>VLOOKUP(A19,'BE-Septic Tank'!A:G,2,FALSE)</f>
        <v>(1:2:4) Cement Concrete Work</v>
      </c>
      <c r="E19" s="210"/>
      <c r="F19" s="212"/>
      <c r="G19" s="210">
        <f>VLOOKUP(A19,'BE-Septic Tank'!A:G,7,FALSE)</f>
        <v>606750</v>
      </c>
    </row>
    <row r="20" spans="1:7" ht="20.100000000000001" customHeight="1">
      <c r="A20" s="208"/>
      <c r="B20" s="212"/>
      <c r="C20" s="212"/>
      <c r="D20" s="213"/>
      <c r="E20" s="210"/>
      <c r="F20" s="212"/>
      <c r="G20" s="210"/>
    </row>
    <row r="21" spans="1:7" ht="20.100000000000001" customHeight="1">
      <c r="A21" s="329" t="s">
        <v>199</v>
      </c>
      <c r="B21" s="212">
        <f>VLOOKUP(A21,'BE-Septic Tank'!A:G,3,FALSE)</f>
        <v>407.21875</v>
      </c>
      <c r="C21" s="212"/>
      <c r="D21" s="213" t="str">
        <f>VLOOKUP(A21,'BE-Septic Tank'!A:G,2,FALSE)</f>
        <v>9" thk; Brick  Work   With 1:3  Cement  Mortar</v>
      </c>
      <c r="E21" s="210"/>
      <c r="F21" s="212"/>
      <c r="G21" s="210" t="e">
        <f>VLOOKUP(A21,'BE-Septic Tank'!A:G,7,FALSE)</f>
        <v>#N/A</v>
      </c>
    </row>
    <row r="22" spans="1:7" ht="20.100000000000001" customHeight="1">
      <c r="A22" s="329"/>
      <c r="B22" s="212"/>
      <c r="C22" s="212"/>
      <c r="D22" s="213"/>
      <c r="E22" s="210"/>
      <c r="F22" s="212"/>
      <c r="G22" s="210"/>
    </row>
    <row r="23" spans="1:7" ht="20.100000000000001" customHeight="1">
      <c r="A23" s="329" t="s">
        <v>203</v>
      </c>
      <c r="B23" s="208">
        <f>VLOOKUP(A23,'BE-Septic Tank'!A:G,3,FALSE)</f>
        <v>78.75</v>
      </c>
      <c r="C23" s="212"/>
      <c r="D23" s="213" t="str">
        <f>VLOOKUP(A23,'BE-Septic Tank'!A:G,2,FALSE)</f>
        <v>4-1/2" thk; Brick  Work   With 1:3  Cement  Mortar</v>
      </c>
      <c r="E23" s="210"/>
      <c r="F23" s="212"/>
      <c r="G23" s="210" t="e">
        <f>VLOOKUP(A23,'BE-Septic Tank'!A:G,7,FALSE)</f>
        <v>#N/A</v>
      </c>
    </row>
    <row r="24" spans="1:7" ht="20.100000000000001" customHeight="1">
      <c r="A24" s="329"/>
      <c r="B24" s="212"/>
      <c r="C24" s="212"/>
      <c r="D24" s="213"/>
      <c r="E24" s="210"/>
      <c r="F24" s="212"/>
      <c r="G24" s="210"/>
    </row>
    <row r="25" spans="1:7" ht="20.100000000000001" customHeight="1">
      <c r="A25" s="329">
        <v>9</v>
      </c>
      <c r="B25" s="212">
        <f>VLOOKUP(A25,'BE-Septic Tank'!A:G,3,FALSE)</f>
        <v>752.33333333333337</v>
      </c>
      <c r="C25" s="212"/>
      <c r="D25" s="213" t="str">
        <f>VLOOKUP(A25,'BE-Septic Tank'!A:G,2,FALSE)</f>
        <v>1/2" Thk Plastering work with 1:3 Cement motor</v>
      </c>
      <c r="E25" s="210"/>
      <c r="F25" s="212"/>
      <c r="G25" s="210">
        <f>VLOOKUP(A25,'BE-Septic Tank'!A:G,7,FALSE)</f>
        <v>832833</v>
      </c>
    </row>
    <row r="26" spans="1:7" ht="20.100000000000001" customHeight="1">
      <c r="A26" s="329"/>
      <c r="B26" s="212"/>
      <c r="C26" s="212"/>
      <c r="D26" s="213"/>
      <c r="E26" s="210"/>
      <c r="F26" s="212"/>
      <c r="G26" s="210"/>
    </row>
    <row r="27" spans="1:7" ht="20.100000000000001" customHeight="1">
      <c r="A27" s="214"/>
      <c r="B27" s="214"/>
      <c r="C27" s="214"/>
      <c r="D27" s="215"/>
      <c r="E27" s="216"/>
      <c r="F27" s="217"/>
      <c r="G27" s="216"/>
    </row>
    <row r="28" spans="1:7" s="221" customFormat="1" ht="24.9" customHeight="1">
      <c r="A28" s="201"/>
      <c r="B28" s="201"/>
      <c r="C28" s="201"/>
      <c r="D28" s="201" t="s">
        <v>147</v>
      </c>
      <c r="E28" s="218"/>
      <c r="F28" s="219"/>
      <c r="G28" s="220" t="e">
        <f>SUM(G7:G27)</f>
        <v>#N/A</v>
      </c>
    </row>
    <row r="29" spans="1:7" ht="20.100000000000001" customHeight="1">
      <c r="E29" s="223"/>
      <c r="F29" s="224"/>
      <c r="G29" s="223"/>
    </row>
    <row r="30" spans="1:7" ht="20.100000000000001" customHeight="1">
      <c r="E30" s="223"/>
      <c r="F30" s="224"/>
      <c r="G30" s="223"/>
    </row>
    <row r="31" spans="1:7" ht="20.100000000000001" customHeight="1">
      <c r="E31" s="223"/>
      <c r="F31" s="224"/>
      <c r="G31" s="223"/>
    </row>
    <row r="32" spans="1:7" ht="20.100000000000001" customHeight="1">
      <c r="E32" s="223"/>
      <c r="F32" s="224"/>
      <c r="G32" s="225"/>
    </row>
    <row r="33" spans="5:7" ht="20.100000000000001" customHeight="1">
      <c r="E33" s="223"/>
      <c r="F33" s="224"/>
      <c r="G33" s="223"/>
    </row>
    <row r="34" spans="5:7" ht="20.100000000000001" customHeight="1">
      <c r="E34" s="223"/>
      <c r="F34" s="224"/>
      <c r="G34" s="223"/>
    </row>
    <row r="35" spans="5:7" ht="20.100000000000001" customHeight="1">
      <c r="E35" s="223"/>
      <c r="F35" s="224"/>
      <c r="G35" s="223"/>
    </row>
    <row r="36" spans="5:7" ht="20.100000000000001" customHeight="1">
      <c r="E36" s="223"/>
      <c r="F36" s="224"/>
      <c r="G36" s="223"/>
    </row>
    <row r="37" spans="5:7" ht="20.100000000000001" customHeight="1">
      <c r="E37" s="223"/>
      <c r="F37" s="224"/>
      <c r="G37" s="223"/>
    </row>
    <row r="38" spans="5:7" ht="20.100000000000001" customHeight="1">
      <c r="E38" s="223"/>
      <c r="F38" s="224"/>
      <c r="G38" s="223"/>
    </row>
    <row r="39" spans="5:7" ht="20.100000000000001" customHeight="1">
      <c r="E39" s="223"/>
      <c r="F39" s="224"/>
      <c r="G39" s="223"/>
    </row>
    <row r="40" spans="5:7" ht="20.100000000000001" customHeight="1">
      <c r="E40" s="223"/>
      <c r="F40" s="224"/>
      <c r="G40" s="223"/>
    </row>
    <row r="41" spans="5:7" ht="24.9" customHeight="1">
      <c r="E41" s="223"/>
      <c r="F41" s="224"/>
      <c r="G41" s="223"/>
    </row>
    <row r="42" spans="5:7" ht="24.9" customHeight="1">
      <c r="E42" s="223"/>
      <c r="F42" s="224"/>
      <c r="G42" s="223"/>
    </row>
    <row r="43" spans="5:7" ht="24.9" customHeight="1">
      <c r="E43" s="223"/>
      <c r="F43" s="224"/>
      <c r="G43" s="223"/>
    </row>
    <row r="44" spans="5:7" ht="24.9" customHeight="1">
      <c r="E44" s="223"/>
      <c r="F44" s="224"/>
      <c r="G44" s="223"/>
    </row>
    <row r="45" spans="5:7" ht="24.9" customHeight="1">
      <c r="E45" s="223"/>
      <c r="F45" s="224"/>
      <c r="G45" s="223"/>
    </row>
    <row r="46" spans="5:7" ht="24.9" customHeight="1">
      <c r="E46" s="223"/>
      <c r="F46" s="224"/>
      <c r="G46" s="223"/>
    </row>
    <row r="47" spans="5:7" ht="24.9" customHeight="1">
      <c r="E47" s="223"/>
      <c r="F47" s="224"/>
      <c r="G47" s="223"/>
    </row>
    <row r="48" spans="5:7" ht="24.9" customHeight="1">
      <c r="E48" s="223"/>
      <c r="F48" s="224"/>
      <c r="G48" s="223"/>
    </row>
    <row r="49" spans="5:7" ht="24.9" customHeight="1">
      <c r="E49" s="223"/>
      <c r="F49" s="224"/>
      <c r="G49" s="223"/>
    </row>
    <row r="50" spans="5:7" ht="24.9" customHeight="1">
      <c r="E50" s="223"/>
      <c r="F50" s="224"/>
      <c r="G50" s="223"/>
    </row>
    <row r="51" spans="5:7" ht="24.9" customHeight="1">
      <c r="E51" s="223"/>
      <c r="F51" s="224"/>
      <c r="G51" s="223"/>
    </row>
    <row r="52" spans="5:7" ht="24.9" customHeight="1">
      <c r="E52" s="223"/>
      <c r="F52" s="224"/>
      <c r="G52" s="223"/>
    </row>
    <row r="53" spans="5:7" ht="24.9" customHeight="1">
      <c r="E53" s="223"/>
      <c r="F53" s="224"/>
      <c r="G53" s="223"/>
    </row>
    <row r="54" spans="5:7" ht="24.9" customHeight="1">
      <c r="E54" s="223"/>
      <c r="F54" s="224"/>
      <c r="G54" s="223"/>
    </row>
    <row r="55" spans="5:7" ht="24.9" customHeight="1">
      <c r="E55" s="223"/>
      <c r="F55" s="224"/>
      <c r="G55" s="223"/>
    </row>
    <row r="56" spans="5:7" ht="24.9" customHeight="1">
      <c r="E56" s="223"/>
      <c r="F56" s="224"/>
      <c r="G56" s="223"/>
    </row>
    <row r="57" spans="5:7" ht="24.9" customHeight="1">
      <c r="E57" s="223"/>
      <c r="F57" s="224"/>
      <c r="G57" s="223"/>
    </row>
    <row r="58" spans="5:7" ht="24.9" customHeight="1">
      <c r="E58" s="223"/>
      <c r="F58" s="224"/>
      <c r="G58" s="223"/>
    </row>
    <row r="59" spans="5:7" ht="24.9" customHeight="1">
      <c r="E59" s="223"/>
      <c r="F59" s="224"/>
      <c r="G59" s="223"/>
    </row>
    <row r="60" spans="5:7" ht="24.9" customHeight="1">
      <c r="E60" s="223"/>
      <c r="F60" s="224"/>
      <c r="G60" s="223"/>
    </row>
    <row r="61" spans="5:7" ht="24.9" customHeight="1">
      <c r="E61" s="223"/>
      <c r="F61" s="224"/>
      <c r="G61" s="223"/>
    </row>
    <row r="62" spans="5:7" ht="24.9" customHeight="1">
      <c r="E62" s="223"/>
      <c r="F62" s="224"/>
      <c r="G62" s="223"/>
    </row>
    <row r="63" spans="5:7" ht="24.9" customHeight="1">
      <c r="E63" s="223"/>
      <c r="F63" s="224"/>
      <c r="G63" s="223"/>
    </row>
    <row r="64" spans="5:7" ht="24.9" customHeight="1">
      <c r="E64" s="223"/>
      <c r="F64" s="224"/>
      <c r="G64" s="223"/>
    </row>
    <row r="65" spans="5:7" ht="24.9" customHeight="1">
      <c r="E65" s="223"/>
      <c r="F65" s="224"/>
      <c r="G65" s="223"/>
    </row>
    <row r="66" spans="5:7" ht="24.9" customHeight="1">
      <c r="E66" s="223"/>
      <c r="F66" s="224"/>
      <c r="G66" s="223"/>
    </row>
    <row r="67" spans="5:7" ht="24.9" customHeight="1">
      <c r="E67" s="223"/>
      <c r="F67" s="224"/>
      <c r="G67" s="223"/>
    </row>
    <row r="68" spans="5:7" ht="24.9" customHeight="1">
      <c r="E68" s="223"/>
      <c r="F68" s="224"/>
      <c r="G68" s="223"/>
    </row>
    <row r="69" spans="5:7" ht="24.9" customHeight="1">
      <c r="E69" s="223"/>
      <c r="F69" s="224"/>
      <c r="G69" s="223"/>
    </row>
    <row r="70" spans="5:7" ht="24.9" customHeight="1">
      <c r="E70" s="223"/>
      <c r="F70" s="224"/>
      <c r="G70" s="223"/>
    </row>
    <row r="71" spans="5:7" ht="24.9" customHeight="1">
      <c r="E71" s="223"/>
      <c r="F71" s="224"/>
      <c r="G71" s="223"/>
    </row>
    <row r="72" spans="5:7" ht="24.9" customHeight="1">
      <c r="E72" s="223"/>
      <c r="F72" s="224"/>
      <c r="G72" s="223"/>
    </row>
    <row r="73" spans="5:7" ht="24.9" customHeight="1">
      <c r="E73" s="223"/>
      <c r="F73" s="224"/>
      <c r="G73" s="223"/>
    </row>
    <row r="74" spans="5:7" ht="24.9" customHeight="1">
      <c r="E74" s="223"/>
      <c r="F74" s="224"/>
      <c r="G74" s="223"/>
    </row>
    <row r="75" spans="5:7" ht="24.9" customHeight="1">
      <c r="E75" s="223"/>
      <c r="F75" s="224"/>
      <c r="G75" s="223"/>
    </row>
    <row r="76" spans="5:7" ht="24.9" customHeight="1">
      <c r="E76" s="223"/>
      <c r="F76" s="224"/>
      <c r="G76" s="223"/>
    </row>
    <row r="77" spans="5:7" ht="24.9" customHeight="1">
      <c r="E77" s="223"/>
      <c r="F77" s="224"/>
      <c r="G77" s="223"/>
    </row>
    <row r="78" spans="5:7" ht="24.9" customHeight="1">
      <c r="E78" s="223"/>
      <c r="F78" s="224"/>
      <c r="G78" s="223"/>
    </row>
    <row r="79" spans="5:7" ht="24.9" customHeight="1">
      <c r="E79" s="223"/>
      <c r="F79" s="224"/>
      <c r="G79" s="223"/>
    </row>
    <row r="80" spans="5:7" ht="24.9" customHeight="1">
      <c r="E80" s="223"/>
      <c r="F80" s="224"/>
      <c r="G80" s="223"/>
    </row>
    <row r="81" spans="5:7" ht="24.9" customHeight="1">
      <c r="E81" s="223"/>
      <c r="F81" s="224"/>
      <c r="G81" s="223"/>
    </row>
    <row r="82" spans="5:7" ht="24.9" customHeight="1">
      <c r="E82" s="223"/>
      <c r="F82" s="224"/>
      <c r="G82" s="223"/>
    </row>
    <row r="83" spans="5:7" ht="24.9" customHeight="1">
      <c r="E83" s="223"/>
      <c r="F83" s="224"/>
      <c r="G83" s="223"/>
    </row>
    <row r="84" spans="5:7" ht="24.9" customHeight="1">
      <c r="E84" s="223"/>
      <c r="F84" s="224"/>
      <c r="G84" s="223"/>
    </row>
    <row r="85" spans="5:7">
      <c r="E85" s="223"/>
      <c r="F85" s="224"/>
      <c r="G85" s="223"/>
    </row>
    <row r="86" spans="5:7">
      <c r="E86" s="223"/>
      <c r="F86" s="224"/>
      <c r="G86" s="223"/>
    </row>
    <row r="87" spans="5:7">
      <c r="E87" s="223"/>
      <c r="F87" s="224"/>
      <c r="G87" s="223"/>
    </row>
    <row r="88" spans="5:7">
      <c r="E88" s="223"/>
      <c r="F88" s="224"/>
      <c r="G88" s="223"/>
    </row>
  </sheetData>
  <mergeCells count="6">
    <mergeCell ref="A4:G4"/>
    <mergeCell ref="A5:A6"/>
    <mergeCell ref="B5:C5"/>
    <mergeCell ref="D5:D6"/>
    <mergeCell ref="E5:E6"/>
    <mergeCell ref="F5:F6"/>
  </mergeCells>
  <pageMargins left="0.5" right="0.5" top="0.5" bottom="0.5" header="0.3" footer="0.3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5" tint="0.59999389629810485"/>
  </sheetPr>
  <dimension ref="A1:L1702"/>
  <sheetViews>
    <sheetView zoomScaleNormal="100" zoomScaleSheetLayoutView="80" workbookViewId="0">
      <selection activeCell="A4" sqref="A4"/>
    </sheetView>
  </sheetViews>
  <sheetFormatPr defaultColWidth="8.88671875" defaultRowHeight="13.2"/>
  <cols>
    <col min="1" max="1" width="4.6640625" style="2" customWidth="1"/>
    <col min="2" max="2" width="37.6640625" style="77" customWidth="1"/>
    <col min="3" max="3" width="11.5546875" style="3" customWidth="1"/>
    <col min="4" max="4" width="6.6640625" style="2" customWidth="1"/>
    <col min="5" max="5" width="11.6640625" style="24" customWidth="1"/>
    <col min="6" max="6" width="6.6640625" style="2" customWidth="1"/>
    <col min="7" max="7" width="18.33203125" style="24" customWidth="1"/>
    <col min="8" max="8" width="27" style="24" customWidth="1"/>
    <col min="9" max="9" width="16.33203125" style="2" customWidth="1"/>
    <col min="10" max="10" width="8.88671875" style="1"/>
    <col min="11" max="11" width="12.109375" style="1" customWidth="1"/>
    <col min="12" max="12" width="8.88671875" style="1" customWidth="1"/>
    <col min="13" max="13" width="23.88671875" style="1" customWidth="1"/>
    <col min="14" max="14" width="8.88671875" style="1"/>
    <col min="15" max="16" width="20.5546875" style="1" customWidth="1"/>
    <col min="17" max="16384" width="8.88671875" style="1"/>
  </cols>
  <sheetData>
    <row r="1" spans="1:12" s="21" customFormat="1" ht="21.9" customHeight="1">
      <c r="A1" s="18" t="s">
        <v>160</v>
      </c>
      <c r="B1" s="19"/>
      <c r="C1" s="19"/>
      <c r="D1" s="19"/>
      <c r="E1" s="19"/>
      <c r="F1" s="20"/>
      <c r="G1" s="19"/>
      <c r="H1" s="19"/>
      <c r="I1" s="19"/>
      <c r="J1" s="19"/>
      <c r="K1" s="19"/>
    </row>
    <row r="2" spans="1:12" s="21" customFormat="1" ht="21.9" customHeight="1">
      <c r="A2" s="18" t="s">
        <v>161</v>
      </c>
      <c r="B2" s="19"/>
      <c r="C2" s="19"/>
      <c r="D2" s="19"/>
      <c r="E2" s="19"/>
      <c r="F2" s="20"/>
      <c r="G2" s="19"/>
      <c r="H2" s="19"/>
      <c r="I2" s="19"/>
      <c r="J2" s="19"/>
      <c r="K2" s="19"/>
    </row>
    <row r="3" spans="1:12" s="11" customFormat="1" ht="21.9" customHeight="1">
      <c r="A3" s="4" t="s">
        <v>212</v>
      </c>
      <c r="B3" s="5"/>
      <c r="C3" s="6"/>
      <c r="D3" s="6"/>
      <c r="E3" s="6"/>
      <c r="F3" s="6"/>
      <c r="G3" s="6"/>
      <c r="H3" s="8"/>
      <c r="I3" s="60"/>
      <c r="J3" s="8"/>
      <c r="K3" s="9"/>
      <c r="L3" s="10"/>
    </row>
    <row r="4" spans="1:12" s="30" customFormat="1" ht="24.9" customHeight="1">
      <c r="A4" s="72" t="s">
        <v>7</v>
      </c>
      <c r="B4" s="72"/>
      <c r="C4" s="72"/>
      <c r="D4" s="72"/>
      <c r="E4" s="72"/>
      <c r="F4" s="72"/>
      <c r="G4" s="72"/>
      <c r="H4" s="28"/>
      <c r="I4" s="29"/>
    </row>
    <row r="5" spans="1:12" s="33" customFormat="1" ht="20.100000000000001" customHeight="1">
      <c r="A5" s="1262" t="s">
        <v>8</v>
      </c>
      <c r="B5" s="1262" t="s">
        <v>1</v>
      </c>
      <c r="C5" s="1263" t="s">
        <v>2</v>
      </c>
      <c r="D5" s="1264" t="s">
        <v>3</v>
      </c>
      <c r="E5" s="1258" t="s">
        <v>4</v>
      </c>
      <c r="F5" s="1264" t="s">
        <v>5</v>
      </c>
      <c r="G5" s="1258" t="s">
        <v>6</v>
      </c>
      <c r="H5" s="31"/>
      <c r="I5" s="32"/>
    </row>
    <row r="6" spans="1:12" s="33" customFormat="1" ht="24.9" customHeight="1">
      <c r="A6" s="1262"/>
      <c r="B6" s="1262"/>
      <c r="C6" s="1263"/>
      <c r="D6" s="1264"/>
      <c r="E6" s="1258"/>
      <c r="F6" s="1264"/>
      <c r="G6" s="1258"/>
      <c r="H6" s="31"/>
      <c r="I6" s="32"/>
    </row>
    <row r="7" spans="1:12" customFormat="1" ht="18" customHeight="1">
      <c r="A7" s="35"/>
      <c r="B7" s="73" t="s">
        <v>29</v>
      </c>
      <c r="C7" s="36"/>
      <c r="D7" s="37"/>
      <c r="E7" s="38"/>
      <c r="F7" s="37"/>
      <c r="G7" s="38"/>
      <c r="H7" s="39"/>
      <c r="I7" s="40"/>
    </row>
    <row r="8" spans="1:12" customFormat="1" ht="18" customHeight="1">
      <c r="A8" s="41">
        <v>1</v>
      </c>
      <c r="B8" s="14" t="s">
        <v>102</v>
      </c>
      <c r="C8" s="42">
        <f>SUMIF('BE-Septic Tank'!$B$7:$B$101,$B$8:$B$29,'BE-Septic Tank'!$C$7:$C$101)</f>
        <v>70.686380208333333</v>
      </c>
      <c r="D8" s="41">
        <f>VLOOKUP(B8,'Builder Estimate'!$B:$H,3,FALSE)</f>
        <v>117.91</v>
      </c>
      <c r="E8" s="43">
        <f>VLOOKUP(B8,'Price '!$B:$E,3,FALSE)</f>
        <v>18400</v>
      </c>
      <c r="F8" s="41" t="str">
        <f>VLOOKUP(B8,'Price '!$B:$D,2,FALSE)</f>
        <v>Bags</v>
      </c>
      <c r="G8" s="43">
        <f t="shared" ref="G8:G18" si="0">E8*C8</f>
        <v>1300629.3958333333</v>
      </c>
      <c r="H8" s="44"/>
      <c r="I8" s="40"/>
    </row>
    <row r="9" spans="1:12" customFormat="1" ht="18" customHeight="1">
      <c r="A9" s="41">
        <v>2</v>
      </c>
      <c r="B9" s="14" t="s">
        <v>93</v>
      </c>
      <c r="C9" s="42">
        <f>SUMIF('BE-Septic Tank'!$B$7:$B$101,$B$8:$B$29,'BE-Septic Tank'!$C$7:$C$101)</f>
        <v>5930.578125</v>
      </c>
      <c r="D9" s="41" t="e">
        <f>VLOOKUP(B9,'Builder Estimate'!$B:$H,3,FALSE)</f>
        <v>#N/A</v>
      </c>
      <c r="E9" s="43" t="e">
        <f>VLOOKUP(B9,'Price '!$B:$E,3,FALSE)</f>
        <v>#N/A</v>
      </c>
      <c r="F9" s="41" t="e">
        <f>VLOOKUP(B9,'Price '!$B:$D,2,FALSE)</f>
        <v>#N/A</v>
      </c>
      <c r="G9" s="43" t="e">
        <f t="shared" si="0"/>
        <v>#N/A</v>
      </c>
      <c r="I9" s="40"/>
    </row>
    <row r="10" spans="1:12" customFormat="1" ht="18" customHeight="1">
      <c r="A10" s="41">
        <v>3</v>
      </c>
      <c r="B10" s="14" t="s">
        <v>36</v>
      </c>
      <c r="C10" s="42">
        <f>SUMIF('BE-Septic Tank'!$B$7:$B$101,$B$8:$B$29,'BE-Septic Tank'!$C$7:$C$101)</f>
        <v>2.5937104166666667</v>
      </c>
      <c r="D10" s="41">
        <f>VLOOKUP(B10,'Builder Estimate'!$B:$H,3,FALSE)</f>
        <v>4.4000000000000004</v>
      </c>
      <c r="E10" s="43">
        <f>VLOOKUP(B10,'Price '!$B:$E,3,FALSE)</f>
        <v>50000</v>
      </c>
      <c r="F10" s="41" t="str">
        <f>VLOOKUP(B10,'Price '!$B:$D,2,FALSE)</f>
        <v>Suds</v>
      </c>
      <c r="G10" s="43">
        <f t="shared" si="0"/>
        <v>129685.52083333333</v>
      </c>
      <c r="H10" s="44"/>
      <c r="I10" s="40"/>
    </row>
    <row r="11" spans="1:12" customFormat="1" ht="18" customHeight="1">
      <c r="A11" s="41">
        <v>4</v>
      </c>
      <c r="B11" s="14" t="s">
        <v>123</v>
      </c>
      <c r="C11" s="42">
        <f>SUMIF('BE-Septic Tank'!$B$7:$B$101,$B$8:$B$29,'BE-Septic Tank'!$C$7:$C$101)</f>
        <v>2.1563833333333333</v>
      </c>
      <c r="D11" s="41">
        <f>VLOOKUP(B11,'Builder Estimate'!$B:$H,3,FALSE)</f>
        <v>8.8000000000000007</v>
      </c>
      <c r="E11" s="43">
        <f>VLOOKUP(B11,'Price '!$B:$E,3,FALSE)</f>
        <v>130000</v>
      </c>
      <c r="F11" s="41" t="str">
        <f>VLOOKUP(B11,'Price '!$B:$D,2,FALSE)</f>
        <v>Suds</v>
      </c>
      <c r="G11" s="43">
        <f t="shared" si="0"/>
        <v>280329.83333333331</v>
      </c>
      <c r="I11" s="40"/>
    </row>
    <row r="12" spans="1:12" customFormat="1" ht="18" customHeight="1">
      <c r="A12" s="41">
        <v>5</v>
      </c>
      <c r="B12" s="14" t="s">
        <v>68</v>
      </c>
      <c r="C12" s="42">
        <f>SUMIF('BE-Septic Tank'!$B$7:$B$101,$B$8:$B$29,'BE-Septic Tank'!$C$7:$C$101)</f>
        <v>1.26</v>
      </c>
      <c r="D12" s="41">
        <f>VLOOKUP(B12,'Builder Estimate'!$B:$H,3,FALSE)</f>
        <v>4.8146875000000007</v>
      </c>
      <c r="E12" s="43">
        <f>VLOOKUP(B12,'Price '!$B:$E,3,FALSE)</f>
        <v>220000</v>
      </c>
      <c r="F12" s="41" t="str">
        <f>VLOOKUP(B12,'Price '!$B:$D,2,FALSE)</f>
        <v>Suds</v>
      </c>
      <c r="G12" s="43">
        <f t="shared" si="0"/>
        <v>277200</v>
      </c>
      <c r="I12" s="40"/>
    </row>
    <row r="13" spans="1:12" customFormat="1" ht="18" customHeight="1">
      <c r="A13" s="41">
        <v>6</v>
      </c>
      <c r="B13" s="14" t="s">
        <v>57</v>
      </c>
      <c r="C13" s="42">
        <f>SUMIF('BE-Septic Tank'!$B$7:$B$101,$B$8:$B$29,'BE-Septic Tank'!$C$7:$C$101)</f>
        <v>2.76</v>
      </c>
      <c r="D13" s="41">
        <f>VLOOKUP(B13,'Builder Estimate'!$B:$H,3,FALSE)</f>
        <v>45.55833333333333</v>
      </c>
      <c r="E13" s="43">
        <f>VLOOKUP(B13,'Price '!$B:$E,3,FALSE)</f>
        <v>20000</v>
      </c>
      <c r="F13" s="41" t="str">
        <f>VLOOKUP(B13,'Price '!$B:$D,2,FALSE)</f>
        <v>Gal</v>
      </c>
      <c r="G13" s="43">
        <f t="shared" si="0"/>
        <v>55199.999999999993</v>
      </c>
      <c r="I13" s="40"/>
    </row>
    <row r="14" spans="1:12" customFormat="1" ht="18" customHeight="1">
      <c r="A14" s="41">
        <v>7</v>
      </c>
      <c r="B14" s="14" t="s">
        <v>95</v>
      </c>
      <c r="C14" s="42">
        <f>SUMIF('BE-Septic Tank'!$B$7:$B$101,$B$8:$B$29,'BE-Septic Tank'!$C$7:$C$101)</f>
        <v>0.51986853984921755</v>
      </c>
      <c r="D14" s="41" t="e">
        <f>VLOOKUP(B14,'Builder Estimate'!$B:$H,3,FALSE)</f>
        <v>#N/A</v>
      </c>
      <c r="E14" s="43">
        <f>VLOOKUP(B14,'Price '!$B:$E,3,FALSE)</f>
        <v>2420000</v>
      </c>
      <c r="F14" s="41" t="str">
        <f>VLOOKUP(B14,'Price '!$B:$D,2,FALSE)</f>
        <v>Ton</v>
      </c>
      <c r="G14" s="43">
        <f t="shared" si="0"/>
        <v>1258081.8664351064</v>
      </c>
      <c r="I14" s="40"/>
    </row>
    <row r="15" spans="1:12" customFormat="1" ht="20.25" customHeight="1">
      <c r="A15" s="41">
        <v>8</v>
      </c>
      <c r="B15" s="14" t="s">
        <v>60</v>
      </c>
      <c r="C15" s="42">
        <f>SUMIF('BE-Septic Tank'!$B$7:$B$101,$B$8:$B$29,'BE-Septic Tank'!$C$7:$C$101)</f>
        <v>9.9022579018898575</v>
      </c>
      <c r="D15" s="41">
        <f>VLOOKUP(B15,'Builder Estimate'!$B:$H,3,FALSE)</f>
        <v>183.60617697856344</v>
      </c>
      <c r="E15" s="43">
        <f>VLOOKUP(B15,'Price '!$B:$E,3,FALSE)</f>
        <v>12000</v>
      </c>
      <c r="F15" s="41" t="str">
        <f>VLOOKUP(B15,'Price '!$B:$D,2,FALSE)</f>
        <v>Lbs</v>
      </c>
      <c r="G15" s="43">
        <f t="shared" si="0"/>
        <v>118827.09482267829</v>
      </c>
      <c r="H15" s="44"/>
      <c r="I15" s="40"/>
    </row>
    <row r="16" spans="1:12" customFormat="1" ht="17.25" customHeight="1">
      <c r="A16" s="41">
        <v>9</v>
      </c>
      <c r="B16" s="14" t="s">
        <v>58</v>
      </c>
      <c r="C16" s="42">
        <f>SUMIF('BE-Septic Tank'!$B$7:$B$101,$B$8:$B$29,'BE-Septic Tank'!$C$7:$C$101)</f>
        <v>0.41499999999999998</v>
      </c>
      <c r="D16" s="41">
        <f>VLOOKUP(B16,'Builder Estimate'!$B:$H,3,FALSE)</f>
        <v>3.3101249999999999E-2</v>
      </c>
      <c r="E16" s="43">
        <f>VLOOKUP(B16,'Price '!$B:$E,3,FALSE)</f>
        <v>2500000</v>
      </c>
      <c r="F16" s="41" t="str">
        <f>VLOOKUP(B16,'Price '!$B:$D,2,FALSE)</f>
        <v>Ton</v>
      </c>
      <c r="G16" s="43">
        <f t="shared" si="0"/>
        <v>1037500</v>
      </c>
      <c r="I16" s="40"/>
    </row>
    <row r="17" spans="1:9" customFormat="1" ht="18" customHeight="1">
      <c r="A17" s="41">
        <v>10</v>
      </c>
      <c r="B17" s="14" t="s">
        <v>94</v>
      </c>
      <c r="C17" s="42">
        <f>SUMIF('BE-Septic Tank'!$B$7:$B$101,$B$8:$B$29,'BE-Septic Tank'!$C$7:$C$101)</f>
        <v>4.971354166666667</v>
      </c>
      <c r="D17" s="41" t="e">
        <f>VLOOKUP(B17,'Builder Estimate'!$B:$H,3,FALSE)</f>
        <v>#N/A</v>
      </c>
      <c r="E17" s="43" t="e">
        <f>VLOOKUP(B17,'Price '!$B:$E,3,FALSE)</f>
        <v>#N/A</v>
      </c>
      <c r="F17" s="41" t="e">
        <f>VLOOKUP(B17,'Price '!$B:$D,2,FALSE)</f>
        <v>#N/A</v>
      </c>
      <c r="G17" s="43" t="e">
        <f t="shared" si="0"/>
        <v>#N/A</v>
      </c>
      <c r="I17" s="40"/>
    </row>
    <row r="18" spans="1:9" customFormat="1" ht="18" customHeight="1">
      <c r="A18" s="41">
        <v>11</v>
      </c>
      <c r="B18" s="14" t="s">
        <v>59</v>
      </c>
      <c r="C18" s="42">
        <f>SUMIF('BE-Septic Tank'!$B$7:$B$101,$B$8:$B$29,'BE-Septic Tank'!$C$7:$C$101)</f>
        <v>2.3055555555555558</v>
      </c>
      <c r="D18" s="41">
        <f>VLOOKUP(B18,'Builder Estimate'!$B:$H,3,FALSE)</f>
        <v>0.45973958333333337</v>
      </c>
      <c r="E18" s="43">
        <f>VLOOKUP(B18,'Price '!$B:$E,3,FALSE)</f>
        <v>12000</v>
      </c>
      <c r="F18" s="41" t="str">
        <f>VLOOKUP(B18,'Price '!$B:$D,2,FALSE)</f>
        <v>Viss</v>
      </c>
      <c r="G18" s="43">
        <f t="shared" si="0"/>
        <v>27666.666666666668</v>
      </c>
      <c r="I18" s="40"/>
    </row>
    <row r="19" spans="1:9" customFormat="1" ht="18" customHeight="1">
      <c r="A19" s="41">
        <v>12</v>
      </c>
      <c r="B19" s="14" t="s">
        <v>129</v>
      </c>
      <c r="C19" s="42">
        <f>SUMIF('BE-Septic Tank'!$B$7:$B$101,$B$8:$B$29,'BE-Septic Tank'!$C$7:$C$101)</f>
        <v>99.618750000000006</v>
      </c>
      <c r="D19" s="41">
        <f>VLOOKUP(B19,'Builder Estimate'!$B:$H,3,FALSE)</f>
        <v>8269.2171527777791</v>
      </c>
      <c r="E19" s="43">
        <f>VLOOKUP(B19,'Price '!$B:$E,3,FALSE)</f>
        <v>170</v>
      </c>
      <c r="F19" s="41" t="str">
        <f>VLOOKUP(B19,'Price '!$B:$D,2,FALSE)</f>
        <v>Rft</v>
      </c>
      <c r="G19" s="43">
        <f>E19*C19</f>
        <v>16935.1875</v>
      </c>
      <c r="I19" s="40"/>
    </row>
    <row r="20" spans="1:9" customFormat="1" ht="18" customHeight="1">
      <c r="A20" s="41"/>
      <c r="B20" s="74"/>
      <c r="C20" s="42"/>
      <c r="D20" s="41"/>
      <c r="E20" s="43"/>
      <c r="F20" s="41"/>
      <c r="G20" s="43"/>
      <c r="I20" s="40"/>
    </row>
    <row r="21" spans="1:9" customFormat="1" ht="18" customHeight="1">
      <c r="A21" s="50"/>
      <c r="B21" s="75"/>
      <c r="C21" s="50"/>
      <c r="D21" s="50"/>
      <c r="E21" s="55"/>
      <c r="F21" s="50"/>
      <c r="G21" s="51" t="e">
        <f>SUM(G8:G20)</f>
        <v>#N/A</v>
      </c>
      <c r="H21" s="48"/>
      <c r="I21" s="49"/>
    </row>
    <row r="22" spans="1:9" customFormat="1" ht="18" customHeight="1">
      <c r="A22" s="52"/>
      <c r="B22" s="76" t="s">
        <v>28</v>
      </c>
      <c r="C22" s="42"/>
      <c r="D22" s="52"/>
      <c r="E22" s="53"/>
      <c r="F22" s="52"/>
      <c r="G22" s="53"/>
      <c r="H22" s="44"/>
      <c r="I22" s="40"/>
    </row>
    <row r="23" spans="1:9" customFormat="1" ht="18" customHeight="1">
      <c r="A23" s="41">
        <v>1</v>
      </c>
      <c r="B23" s="14" t="s">
        <v>63</v>
      </c>
      <c r="C23" s="42">
        <f>SUMIF('BE-Septic Tank'!$B$7:$B$101,$B$8:$B$29,'BE-Septic Tank'!$C$7:$C$101)</f>
        <v>25.516249999999999</v>
      </c>
      <c r="D23" s="41">
        <f>VLOOKUP(B23,'Builder Estimate'!$B:$H,3,FALSE)</f>
        <v>6.8781249999999998</v>
      </c>
      <c r="E23" s="43">
        <f>VLOOKUP(B23,'Price '!$B:$E,3,FALSE)</f>
        <v>27500</v>
      </c>
      <c r="F23" s="41" t="str">
        <f>VLOOKUP(B23,'Price '!$B:$D,2,FALSE)</f>
        <v>Nos</v>
      </c>
      <c r="G23" s="43">
        <f t="shared" ref="G23:G27" si="1">E23*C23</f>
        <v>701696.875</v>
      </c>
      <c r="H23" s="44"/>
      <c r="I23" s="40"/>
    </row>
    <row r="24" spans="1:9" customFormat="1" ht="18" customHeight="1">
      <c r="A24" s="41">
        <v>2</v>
      </c>
      <c r="B24" s="14" t="s">
        <v>64</v>
      </c>
      <c r="C24" s="42">
        <f>SUMIF('BE-Septic Tank'!$B$7:$B$101,$B$8:$B$29,'BE-Septic Tank'!$C$7:$C$101)</f>
        <v>19.366666666666667</v>
      </c>
      <c r="D24" s="41">
        <f>VLOOKUP(B24,'Builder Estimate'!$B:$H,3,FALSE)</f>
        <v>1.103375</v>
      </c>
      <c r="E24" s="43">
        <f>VLOOKUP(B24,'Price '!$B:$E,3,FALSE)</f>
        <v>27500</v>
      </c>
      <c r="F24" s="41" t="str">
        <f>VLOOKUP(B24,'Price '!$B:$D,2,FALSE)</f>
        <v>Nos</v>
      </c>
      <c r="G24" s="43">
        <f t="shared" si="1"/>
        <v>532583.33333333337</v>
      </c>
      <c r="H24" s="44"/>
      <c r="I24" s="40"/>
    </row>
    <row r="25" spans="1:9" customFormat="1" ht="18" customHeight="1">
      <c r="A25" s="41">
        <v>3</v>
      </c>
      <c r="B25" s="14" t="s">
        <v>65</v>
      </c>
      <c r="C25" s="42">
        <f>SUMIF('BE-Septic Tank'!$B$7:$B$101,$B$8:$B$29,'BE-Septic Tank'!$C$7:$C$101)</f>
        <v>0</v>
      </c>
      <c r="D25" s="41" t="e">
        <f>VLOOKUP(B25,'Builder Estimate'!$B:$H,3,FALSE)</f>
        <v>#N/A</v>
      </c>
      <c r="E25" s="43">
        <f>VLOOKUP(B25,'Price '!$B:$E,3,FALSE)</f>
        <v>27500</v>
      </c>
      <c r="F25" s="41" t="str">
        <f>VLOOKUP(B25,'Price '!$B:$D,2,FALSE)</f>
        <v>Nos</v>
      </c>
      <c r="G25" s="43">
        <f t="shared" si="1"/>
        <v>0</v>
      </c>
      <c r="H25" s="44"/>
      <c r="I25" s="40"/>
    </row>
    <row r="26" spans="1:9" customFormat="1" ht="18" customHeight="1">
      <c r="A26" s="41">
        <v>4</v>
      </c>
      <c r="B26" s="14" t="s">
        <v>66</v>
      </c>
      <c r="C26" s="42">
        <f>SUMIF('BE-Septic Tank'!$B$7:$B$101,$B$8:$B$29,'BE-Septic Tank'!$C$7:$C$101)</f>
        <v>9.9022579018898575</v>
      </c>
      <c r="D26" s="41">
        <f>VLOOKUP(B26,'Builder Estimate'!$B:$H,3,FALSE)</f>
        <v>183.60617697856344</v>
      </c>
      <c r="E26" s="43">
        <f>VLOOKUP(B26,'Price '!$B:$E,3,FALSE)</f>
        <v>27500</v>
      </c>
      <c r="F26" s="41" t="str">
        <f>VLOOKUP(B26,'Price '!$B:$D,2,FALSE)</f>
        <v>Nos</v>
      </c>
      <c r="G26" s="43">
        <f t="shared" si="1"/>
        <v>272312.0923019711</v>
      </c>
      <c r="H26" s="44"/>
      <c r="I26" s="40"/>
    </row>
    <row r="27" spans="1:9" customFormat="1" ht="18" customHeight="1">
      <c r="A27" s="41">
        <v>5</v>
      </c>
      <c r="B27" s="14" t="s">
        <v>37</v>
      </c>
      <c r="C27" s="42">
        <f>SUMIF('BE-Septic Tank'!$B$7:$B$101,$B$8:$B$29,'BE-Septic Tank'!$C$7:$C$101)</f>
        <v>106.29288290188985</v>
      </c>
      <c r="D27" s="41">
        <f>VLOOKUP(B27,'Builder Estimate'!$B:$H,3,FALSE)</f>
        <v>32.467500000000001</v>
      </c>
      <c r="E27" s="43">
        <f>VLOOKUP(B27,'Price '!$B:$E,3,FALSE)</f>
        <v>19800</v>
      </c>
      <c r="F27" s="41" t="str">
        <f>VLOOKUP(B27,'Price '!$B:$D,2,FALSE)</f>
        <v>Nos</v>
      </c>
      <c r="G27" s="43">
        <f t="shared" si="1"/>
        <v>2104599.0814574193</v>
      </c>
      <c r="H27" s="44"/>
      <c r="I27" s="40"/>
    </row>
    <row r="28" spans="1:9" customFormat="1" ht="18" customHeight="1">
      <c r="A28" s="41">
        <v>6</v>
      </c>
      <c r="B28" s="14" t="s">
        <v>72</v>
      </c>
      <c r="C28" s="42">
        <f>SUMIF('BE-Septic Tank'!$B$7:$B$101,$B$8:$B$29,'BE-Septic Tank'!$C$7:$C$101)</f>
        <v>0</v>
      </c>
      <c r="D28" s="41">
        <f>VLOOKUP(B28,'Builder Estimate'!$B:$H,3,FALSE)</f>
        <v>0</v>
      </c>
      <c r="E28" s="43">
        <f>VLOOKUP(B28,'Price '!$B:$E,3,FALSE)</f>
        <v>27500</v>
      </c>
      <c r="F28" s="41" t="str">
        <f>VLOOKUP(B28,'Price '!$B:$D,2,FALSE)</f>
        <v>Nos</v>
      </c>
      <c r="G28" s="43">
        <f>E28*C28</f>
        <v>0</v>
      </c>
      <c r="H28" s="44"/>
      <c r="I28" s="40"/>
    </row>
    <row r="29" spans="1:9" customFormat="1" ht="18" customHeight="1">
      <c r="A29" s="41">
        <v>7</v>
      </c>
      <c r="B29" s="14" t="s">
        <v>67</v>
      </c>
      <c r="C29" s="42">
        <f>SUMIF('BE-Septic Tank'!$B$7:$B$101,$B$8:$B$29,'BE-Septic Tank'!$C$7:$C$101)</f>
        <v>0.69</v>
      </c>
      <c r="D29" s="41">
        <f>VLOOKUP(B29,'Builder Estimate'!$B:$H,3,FALSE)</f>
        <v>11.389583333333333</v>
      </c>
      <c r="E29" s="43">
        <f>VLOOKUP(B29,'Price '!$B:$E,3,FALSE)</f>
        <v>27500</v>
      </c>
      <c r="F29" s="41" t="str">
        <f>VLOOKUP(B29,'Price '!$B:$D,2,FALSE)</f>
        <v>Nos</v>
      </c>
      <c r="G29" s="43">
        <f>E29*C29</f>
        <v>18975</v>
      </c>
      <c r="H29" s="44"/>
      <c r="I29" s="40"/>
    </row>
    <row r="30" spans="1:9" customFormat="1" ht="18" customHeight="1">
      <c r="A30" s="50"/>
      <c r="B30" s="75"/>
      <c r="C30" s="54"/>
      <c r="D30" s="50"/>
      <c r="E30" s="55"/>
      <c r="F30" s="50"/>
      <c r="G30" s="51">
        <f>SUM(G23:G29)</f>
        <v>3630166.3820927236</v>
      </c>
      <c r="H30" s="48"/>
      <c r="I30" s="49"/>
    </row>
    <row r="31" spans="1:9" customFormat="1" ht="25.5" customHeight="1">
      <c r="A31" s="50"/>
      <c r="B31" s="1259" t="s">
        <v>39</v>
      </c>
      <c r="C31" s="1260"/>
      <c r="D31" s="1260"/>
      <c r="E31" s="1260"/>
      <c r="F31" s="1261"/>
      <c r="G31" s="51" t="e">
        <f>G30+G21</f>
        <v>#N/A</v>
      </c>
      <c r="H31" s="48"/>
      <c r="I31" s="40"/>
    </row>
    <row r="32" spans="1:9" ht="18" customHeight="1"/>
    <row r="33" spans="1:11" ht="18" customHeight="1"/>
    <row r="34" spans="1:11" ht="18" customHeight="1"/>
    <row r="35" spans="1:11" ht="18" customHeight="1"/>
    <row r="36" spans="1:11" ht="18" customHeight="1">
      <c r="I36" s="65"/>
    </row>
    <row r="37" spans="1:11" ht="18" customHeight="1"/>
    <row r="38" spans="1:11" ht="18" customHeight="1"/>
    <row r="39" spans="1:11" ht="18" customHeight="1">
      <c r="K39" s="24"/>
    </row>
    <row r="40" spans="1:11" ht="18" customHeight="1"/>
    <row r="41" spans="1:11" ht="18" customHeight="1"/>
    <row r="42" spans="1:11" ht="18" customHeight="1"/>
    <row r="43" spans="1:11" ht="18" customHeight="1"/>
    <row r="44" spans="1:11" ht="18" customHeight="1"/>
    <row r="45" spans="1:11" ht="18" customHeight="1">
      <c r="A45" s="25"/>
      <c r="B45" s="78"/>
      <c r="C45" s="26"/>
      <c r="D45" s="25"/>
      <c r="E45" s="23"/>
      <c r="F45" s="25"/>
      <c r="G45" s="23"/>
      <c r="H45" s="23"/>
    </row>
    <row r="46" spans="1:11" ht="18" customHeight="1">
      <c r="A46" s="25"/>
      <c r="B46" s="78"/>
      <c r="C46" s="26"/>
      <c r="D46" s="25"/>
      <c r="E46" s="23"/>
      <c r="F46" s="25"/>
      <c r="G46" s="23"/>
      <c r="H46" s="23"/>
    </row>
    <row r="47" spans="1:11" ht="18" customHeight="1">
      <c r="A47" s="25"/>
      <c r="B47" s="78"/>
      <c r="C47" s="26"/>
      <c r="D47" s="25"/>
      <c r="E47" s="23"/>
      <c r="F47" s="25"/>
      <c r="G47" s="23"/>
      <c r="H47" s="23"/>
    </row>
    <row r="48" spans="1:11" ht="18" customHeight="1">
      <c r="A48" s="25"/>
      <c r="B48" s="78"/>
      <c r="C48" s="26"/>
      <c r="D48" s="25"/>
      <c r="E48" s="23"/>
      <c r="F48" s="25"/>
      <c r="G48" s="23"/>
      <c r="H48" s="23"/>
    </row>
    <row r="49" spans="1:12" ht="18" customHeight="1">
      <c r="A49" s="25"/>
      <c r="B49" s="78"/>
      <c r="C49" s="26"/>
      <c r="D49" s="25"/>
      <c r="E49" s="23"/>
      <c r="F49" s="25"/>
      <c r="G49" s="23"/>
      <c r="H49" s="23"/>
    </row>
    <row r="50" spans="1:12" ht="18" customHeight="1">
      <c r="A50" s="25"/>
      <c r="B50" s="78"/>
      <c r="C50" s="26"/>
      <c r="D50" s="25"/>
      <c r="E50" s="23"/>
      <c r="F50" s="25"/>
      <c r="G50" s="23"/>
      <c r="H50" s="23"/>
    </row>
    <row r="51" spans="1:12" ht="18" customHeight="1">
      <c r="A51" s="25"/>
      <c r="B51" s="78"/>
      <c r="C51" s="26"/>
      <c r="D51" s="25"/>
      <c r="E51" s="23"/>
      <c r="F51" s="25"/>
      <c r="G51" s="23"/>
      <c r="H51" s="23"/>
    </row>
    <row r="52" spans="1:12" ht="18" customHeight="1">
      <c r="A52" s="25"/>
      <c r="B52" s="78"/>
      <c r="C52" s="26"/>
      <c r="D52" s="25"/>
      <c r="E52" s="23"/>
      <c r="F52" s="25"/>
      <c r="G52" s="23"/>
      <c r="H52" s="23"/>
    </row>
    <row r="53" spans="1:12" ht="18" customHeight="1">
      <c r="A53" s="25"/>
      <c r="B53" s="78"/>
      <c r="C53" s="26"/>
      <c r="D53" s="25"/>
      <c r="E53" s="23"/>
      <c r="F53" s="25"/>
      <c r="G53" s="23"/>
      <c r="H53" s="23"/>
    </row>
    <row r="54" spans="1:12" ht="18" customHeight="1">
      <c r="A54" s="25"/>
      <c r="B54" s="78"/>
      <c r="C54" s="26"/>
      <c r="D54" s="25"/>
      <c r="E54" s="23"/>
      <c r="F54" s="25"/>
      <c r="G54" s="23"/>
      <c r="H54" s="23"/>
    </row>
    <row r="55" spans="1:12" s="2" customFormat="1" ht="18" customHeight="1">
      <c r="A55" s="25"/>
      <c r="B55" s="78"/>
      <c r="C55" s="26"/>
      <c r="D55" s="25"/>
      <c r="E55" s="23"/>
      <c r="F55" s="25"/>
      <c r="G55" s="23"/>
      <c r="H55" s="23"/>
      <c r="J55" s="1"/>
      <c r="K55" s="1"/>
      <c r="L55" s="1"/>
    </row>
    <row r="56" spans="1:12" s="2" customFormat="1" ht="18" customHeight="1">
      <c r="A56" s="25"/>
      <c r="B56" s="78"/>
      <c r="C56" s="26"/>
      <c r="D56" s="25"/>
      <c r="E56" s="23"/>
      <c r="F56" s="25"/>
      <c r="G56" s="23"/>
      <c r="H56" s="23"/>
      <c r="J56" s="1"/>
      <c r="K56" s="1"/>
      <c r="L56" s="1"/>
    </row>
    <row r="57" spans="1:12" s="2" customFormat="1" ht="18" customHeight="1">
      <c r="A57" s="25"/>
      <c r="B57" s="78"/>
      <c r="C57" s="26"/>
      <c r="D57" s="25"/>
      <c r="E57" s="23"/>
      <c r="F57" s="25"/>
      <c r="G57" s="23"/>
      <c r="H57" s="23"/>
      <c r="J57" s="1"/>
      <c r="K57" s="1"/>
      <c r="L57" s="1"/>
    </row>
    <row r="58" spans="1:12" s="2" customFormat="1" ht="18" customHeight="1">
      <c r="A58" s="25"/>
      <c r="B58" s="78"/>
      <c r="C58" s="26"/>
      <c r="D58" s="25"/>
      <c r="E58" s="23"/>
      <c r="F58" s="25"/>
      <c r="G58" s="23"/>
      <c r="H58" s="23"/>
      <c r="J58" s="1"/>
      <c r="K58" s="1"/>
      <c r="L58" s="1"/>
    </row>
    <row r="59" spans="1:12" s="2" customFormat="1" ht="18" customHeight="1">
      <c r="A59" s="25"/>
      <c r="B59" s="78"/>
      <c r="C59" s="26"/>
      <c r="D59" s="25"/>
      <c r="E59" s="23"/>
      <c r="F59" s="25"/>
      <c r="G59" s="23"/>
      <c r="H59" s="23"/>
      <c r="J59" s="1"/>
      <c r="K59" s="1"/>
      <c r="L59" s="1"/>
    </row>
    <row r="60" spans="1:12" s="2" customFormat="1" ht="18" customHeight="1">
      <c r="A60" s="25"/>
      <c r="B60" s="78"/>
      <c r="C60" s="26"/>
      <c r="D60" s="25"/>
      <c r="E60" s="23"/>
      <c r="F60" s="25"/>
      <c r="G60" s="23"/>
      <c r="H60" s="23"/>
      <c r="J60" s="1"/>
      <c r="K60" s="1"/>
      <c r="L60" s="1"/>
    </row>
    <row r="61" spans="1:12" s="2" customFormat="1" ht="18" customHeight="1">
      <c r="A61" s="25"/>
      <c r="B61" s="78"/>
      <c r="C61" s="26"/>
      <c r="D61" s="25"/>
      <c r="E61" s="23"/>
      <c r="F61" s="25"/>
      <c r="G61" s="23"/>
      <c r="H61" s="23"/>
      <c r="J61" s="1"/>
      <c r="K61" s="1"/>
      <c r="L61" s="1"/>
    </row>
    <row r="62" spans="1:12" s="2" customFormat="1" ht="18" customHeight="1">
      <c r="A62" s="25"/>
      <c r="B62" s="78"/>
      <c r="C62" s="26"/>
      <c r="D62" s="25"/>
      <c r="E62" s="23"/>
      <c r="F62" s="25"/>
      <c r="G62" s="23"/>
      <c r="H62" s="23"/>
      <c r="J62" s="1"/>
      <c r="K62" s="1"/>
      <c r="L62" s="1"/>
    </row>
    <row r="63" spans="1:12" s="2" customFormat="1" ht="18" customHeight="1">
      <c r="A63" s="25"/>
      <c r="B63" s="78"/>
      <c r="C63" s="26"/>
      <c r="D63" s="25"/>
      <c r="E63" s="23"/>
      <c r="F63" s="25"/>
      <c r="G63" s="23"/>
      <c r="H63" s="23"/>
      <c r="J63" s="1"/>
      <c r="K63" s="1"/>
      <c r="L63" s="1"/>
    </row>
    <row r="64" spans="1:12" s="2" customFormat="1" ht="18" customHeight="1">
      <c r="A64" s="25"/>
      <c r="B64" s="78"/>
      <c r="C64" s="26"/>
      <c r="D64" s="25"/>
      <c r="E64" s="23"/>
      <c r="F64" s="25"/>
      <c r="G64" s="23"/>
      <c r="H64" s="23"/>
      <c r="J64" s="1"/>
      <c r="K64" s="1"/>
      <c r="L64" s="1"/>
    </row>
    <row r="65" spans="1:12" s="2" customFormat="1" ht="18" customHeight="1">
      <c r="A65" s="25"/>
      <c r="B65" s="78"/>
      <c r="C65" s="26"/>
      <c r="D65" s="25"/>
      <c r="E65" s="23"/>
      <c r="F65" s="25"/>
      <c r="G65" s="23"/>
      <c r="H65" s="23"/>
      <c r="J65" s="1"/>
      <c r="K65" s="1"/>
      <c r="L65" s="1"/>
    </row>
    <row r="66" spans="1:12" s="2" customFormat="1" ht="18" customHeight="1">
      <c r="A66" s="25"/>
      <c r="B66" s="78"/>
      <c r="C66" s="26"/>
      <c r="D66" s="25"/>
      <c r="E66" s="23"/>
      <c r="F66" s="25"/>
      <c r="G66" s="23"/>
      <c r="H66" s="23"/>
      <c r="J66" s="1"/>
      <c r="K66" s="1"/>
      <c r="L66" s="1"/>
    </row>
    <row r="67" spans="1:12" s="2" customFormat="1" ht="18" customHeight="1">
      <c r="A67" s="25"/>
      <c r="B67" s="78"/>
      <c r="C67" s="26"/>
      <c r="D67" s="25"/>
      <c r="E67" s="23"/>
      <c r="F67" s="25"/>
      <c r="G67" s="23"/>
      <c r="H67" s="23"/>
      <c r="J67" s="1"/>
      <c r="K67" s="1"/>
      <c r="L67" s="1"/>
    </row>
    <row r="68" spans="1:12" s="2" customFormat="1" ht="18" customHeight="1">
      <c r="A68" s="25"/>
      <c r="B68" s="78"/>
      <c r="C68" s="26"/>
      <c r="D68" s="25"/>
      <c r="E68" s="23"/>
      <c r="F68" s="25"/>
      <c r="G68" s="23"/>
      <c r="H68" s="23"/>
      <c r="J68" s="1"/>
      <c r="K68" s="1"/>
      <c r="L68" s="1"/>
    </row>
    <row r="69" spans="1:12" s="2" customFormat="1" ht="18" customHeight="1">
      <c r="A69" s="25"/>
      <c r="B69" s="78"/>
      <c r="C69" s="26"/>
      <c r="D69" s="25"/>
      <c r="E69" s="23"/>
      <c r="F69" s="25"/>
      <c r="G69" s="23"/>
      <c r="H69" s="23"/>
      <c r="J69" s="1"/>
      <c r="K69" s="1"/>
      <c r="L69" s="1"/>
    </row>
    <row r="70" spans="1:12" s="2" customFormat="1" ht="18" customHeight="1">
      <c r="A70" s="25"/>
      <c r="B70" s="78"/>
      <c r="C70" s="26"/>
      <c r="D70" s="25"/>
      <c r="E70" s="23"/>
      <c r="F70" s="25"/>
      <c r="G70" s="23"/>
      <c r="H70" s="23"/>
      <c r="J70" s="1"/>
      <c r="K70" s="1"/>
      <c r="L70" s="1"/>
    </row>
    <row r="71" spans="1:12" s="2" customFormat="1" ht="18" customHeight="1">
      <c r="A71" s="25"/>
      <c r="B71" s="78"/>
      <c r="C71" s="26"/>
      <c r="D71" s="25"/>
      <c r="E71" s="23"/>
      <c r="F71" s="25"/>
      <c r="G71" s="23"/>
      <c r="H71" s="23"/>
      <c r="J71" s="1"/>
      <c r="K71" s="1"/>
      <c r="L71" s="1"/>
    </row>
    <row r="72" spans="1:12" s="2" customFormat="1" ht="18" customHeight="1">
      <c r="A72" s="25"/>
      <c r="B72" s="78"/>
      <c r="C72" s="26"/>
      <c r="D72" s="25"/>
      <c r="E72" s="23"/>
      <c r="F72" s="25"/>
      <c r="G72" s="23"/>
      <c r="H72" s="23"/>
      <c r="J72" s="1"/>
      <c r="K72" s="1"/>
      <c r="L72" s="1"/>
    </row>
    <row r="73" spans="1:12" s="2" customFormat="1" ht="18" customHeight="1">
      <c r="A73" s="25"/>
      <c r="B73" s="78"/>
      <c r="C73" s="26"/>
      <c r="D73" s="25"/>
      <c r="E73" s="23"/>
      <c r="F73" s="25"/>
      <c r="G73" s="23"/>
      <c r="H73" s="23"/>
      <c r="J73" s="1"/>
      <c r="K73" s="1"/>
      <c r="L73" s="1"/>
    </row>
    <row r="74" spans="1:12" s="2" customFormat="1" ht="18" customHeight="1">
      <c r="A74" s="25"/>
      <c r="B74" s="78"/>
      <c r="C74" s="26"/>
      <c r="D74" s="25"/>
      <c r="E74" s="23"/>
      <c r="F74" s="25"/>
      <c r="G74" s="23"/>
      <c r="H74" s="23"/>
      <c r="J74" s="1"/>
      <c r="K74" s="1"/>
      <c r="L74" s="1"/>
    </row>
    <row r="75" spans="1:12" s="2" customFormat="1" ht="18" customHeight="1">
      <c r="A75" s="25"/>
      <c r="B75" s="78"/>
      <c r="C75" s="26"/>
      <c r="D75" s="25"/>
      <c r="E75" s="23"/>
      <c r="F75" s="25"/>
      <c r="G75" s="23"/>
      <c r="H75" s="23"/>
      <c r="J75" s="1"/>
      <c r="K75" s="1"/>
      <c r="L75" s="1"/>
    </row>
    <row r="76" spans="1:12" s="2" customFormat="1" ht="18" customHeight="1">
      <c r="A76" s="25"/>
      <c r="B76" s="78"/>
      <c r="C76" s="26"/>
      <c r="D76" s="25"/>
      <c r="E76" s="23"/>
      <c r="F76" s="25"/>
      <c r="G76" s="23"/>
      <c r="H76" s="23"/>
      <c r="J76" s="1"/>
      <c r="K76" s="1"/>
      <c r="L76" s="1"/>
    </row>
    <row r="77" spans="1:12" s="2" customFormat="1" ht="18" customHeight="1">
      <c r="A77" s="25"/>
      <c r="B77" s="78"/>
      <c r="C77" s="26"/>
      <c r="D77" s="25"/>
      <c r="E77" s="23"/>
      <c r="F77" s="25"/>
      <c r="G77" s="23"/>
      <c r="H77" s="23"/>
      <c r="J77" s="1"/>
      <c r="K77" s="1"/>
      <c r="L77" s="1"/>
    </row>
    <row r="78" spans="1:12" s="2" customFormat="1" ht="18" customHeight="1">
      <c r="A78" s="25"/>
      <c r="B78" s="78"/>
      <c r="C78" s="26"/>
      <c r="D78" s="25"/>
      <c r="E78" s="23"/>
      <c r="F78" s="25"/>
      <c r="G78" s="23"/>
      <c r="H78" s="23"/>
      <c r="J78" s="1"/>
      <c r="K78" s="1"/>
      <c r="L78" s="1"/>
    </row>
    <row r="79" spans="1:12" s="2" customFormat="1" ht="18" customHeight="1">
      <c r="A79" s="25"/>
      <c r="B79" s="78"/>
      <c r="C79" s="26"/>
      <c r="D79" s="25"/>
      <c r="E79" s="23"/>
      <c r="F79" s="25"/>
      <c r="G79" s="23"/>
      <c r="H79" s="23"/>
      <c r="J79" s="1"/>
      <c r="K79" s="1"/>
      <c r="L79" s="1"/>
    </row>
    <row r="80" spans="1:12" s="2" customFormat="1" ht="18" customHeight="1">
      <c r="A80" s="25"/>
      <c r="B80" s="78"/>
      <c r="C80" s="26"/>
      <c r="D80" s="25"/>
      <c r="E80" s="23"/>
      <c r="F80" s="25"/>
      <c r="G80" s="23"/>
      <c r="H80" s="23"/>
      <c r="J80" s="1"/>
      <c r="K80" s="1"/>
      <c r="L80" s="1"/>
    </row>
    <row r="81" spans="1:12" s="2" customFormat="1" ht="18" customHeight="1">
      <c r="A81" s="25"/>
      <c r="B81" s="78"/>
      <c r="C81" s="26"/>
      <c r="D81" s="25"/>
      <c r="E81" s="23"/>
      <c r="F81" s="25"/>
      <c r="G81" s="23"/>
      <c r="H81" s="23"/>
      <c r="J81" s="1"/>
      <c r="K81" s="1"/>
      <c r="L81" s="1"/>
    </row>
    <row r="82" spans="1:12" s="2" customFormat="1" ht="18" customHeight="1">
      <c r="A82" s="25"/>
      <c r="B82" s="78"/>
      <c r="C82" s="26"/>
      <c r="D82" s="25"/>
      <c r="E82" s="23"/>
      <c r="F82" s="25"/>
      <c r="G82" s="23"/>
      <c r="H82" s="23"/>
      <c r="J82" s="1"/>
      <c r="K82" s="1"/>
      <c r="L82" s="1"/>
    </row>
    <row r="83" spans="1:12" s="2" customFormat="1" ht="18" customHeight="1">
      <c r="A83" s="25"/>
      <c r="B83" s="78"/>
      <c r="C83" s="26"/>
      <c r="D83" s="25"/>
      <c r="E83" s="23"/>
      <c r="F83" s="25"/>
      <c r="G83" s="23"/>
      <c r="H83" s="23"/>
      <c r="J83" s="1"/>
      <c r="K83" s="1"/>
      <c r="L83" s="1"/>
    </row>
    <row r="84" spans="1:12" s="2" customFormat="1" ht="18" customHeight="1">
      <c r="A84" s="25"/>
      <c r="B84" s="78"/>
      <c r="C84" s="26"/>
      <c r="D84" s="25"/>
      <c r="E84" s="23"/>
      <c r="F84" s="25"/>
      <c r="G84" s="23"/>
      <c r="H84" s="23"/>
      <c r="J84" s="1"/>
      <c r="K84" s="1"/>
      <c r="L84" s="1"/>
    </row>
    <row r="85" spans="1:12" s="2" customFormat="1" ht="18" customHeight="1">
      <c r="A85" s="25"/>
      <c r="B85" s="78"/>
      <c r="C85" s="26"/>
      <c r="D85" s="25"/>
      <c r="E85" s="23"/>
      <c r="F85" s="25"/>
      <c r="G85" s="23"/>
      <c r="H85" s="23"/>
      <c r="J85" s="1"/>
      <c r="K85" s="1"/>
      <c r="L85" s="1"/>
    </row>
    <row r="86" spans="1:12" s="2" customFormat="1" ht="18" customHeight="1">
      <c r="A86" s="25"/>
      <c r="B86" s="78"/>
      <c r="C86" s="26"/>
      <c r="D86" s="25"/>
      <c r="E86" s="23"/>
      <c r="F86" s="25"/>
      <c r="G86" s="23"/>
      <c r="H86" s="23"/>
      <c r="J86" s="1"/>
      <c r="K86" s="1"/>
      <c r="L86" s="1"/>
    </row>
    <row r="87" spans="1:12" s="2" customFormat="1" ht="18" customHeight="1">
      <c r="A87" s="25"/>
      <c r="B87" s="78"/>
      <c r="C87" s="26"/>
      <c r="D87" s="25"/>
      <c r="E87" s="23"/>
      <c r="F87" s="25"/>
      <c r="G87" s="23"/>
      <c r="H87" s="23"/>
      <c r="J87" s="1"/>
      <c r="K87" s="1"/>
      <c r="L87" s="1"/>
    </row>
    <row r="88" spans="1:12" s="2" customFormat="1" ht="18" customHeight="1">
      <c r="A88" s="25"/>
      <c r="B88" s="78"/>
      <c r="C88" s="26"/>
      <c r="D88" s="25"/>
      <c r="E88" s="23"/>
      <c r="F88" s="25"/>
      <c r="G88" s="23"/>
      <c r="H88" s="23"/>
      <c r="J88" s="1"/>
      <c r="K88" s="1"/>
      <c r="L88" s="1"/>
    </row>
    <row r="89" spans="1:12" s="2" customFormat="1" ht="18" customHeight="1">
      <c r="A89" s="25"/>
      <c r="B89" s="78"/>
      <c r="C89" s="26"/>
      <c r="D89" s="25"/>
      <c r="E89" s="23"/>
      <c r="F89" s="25"/>
      <c r="G89" s="23"/>
      <c r="H89" s="23"/>
      <c r="J89" s="1"/>
      <c r="K89" s="1"/>
      <c r="L89" s="1"/>
    </row>
    <row r="90" spans="1:12" s="2" customFormat="1" ht="18" customHeight="1">
      <c r="A90" s="25"/>
      <c r="B90" s="78"/>
      <c r="C90" s="26"/>
      <c r="D90" s="25"/>
      <c r="E90" s="23"/>
      <c r="F90" s="25"/>
      <c r="G90" s="23"/>
      <c r="H90" s="23"/>
      <c r="J90" s="1"/>
      <c r="K90" s="1"/>
      <c r="L90" s="1"/>
    </row>
    <row r="91" spans="1:12" s="2" customFormat="1" ht="18" customHeight="1">
      <c r="A91" s="25"/>
      <c r="B91" s="78"/>
      <c r="C91" s="26"/>
      <c r="D91" s="25"/>
      <c r="E91" s="23"/>
      <c r="F91" s="25"/>
      <c r="G91" s="23"/>
      <c r="H91" s="23"/>
      <c r="J91" s="1"/>
      <c r="K91" s="1"/>
      <c r="L91" s="1"/>
    </row>
    <row r="92" spans="1:12" s="2" customFormat="1" ht="18" customHeight="1">
      <c r="A92" s="25"/>
      <c r="B92" s="78"/>
      <c r="C92" s="26"/>
      <c r="D92" s="25"/>
      <c r="E92" s="23"/>
      <c r="F92" s="25"/>
      <c r="G92" s="23"/>
      <c r="H92" s="23"/>
      <c r="J92" s="1"/>
      <c r="K92" s="1"/>
      <c r="L92" s="1"/>
    </row>
    <row r="93" spans="1:12" s="2" customFormat="1" ht="18" customHeight="1">
      <c r="A93" s="25"/>
      <c r="B93" s="78"/>
      <c r="C93" s="26"/>
      <c r="D93" s="25"/>
      <c r="E93" s="23"/>
      <c r="F93" s="25"/>
      <c r="G93" s="23"/>
      <c r="H93" s="23"/>
      <c r="J93" s="1"/>
      <c r="K93" s="1"/>
      <c r="L93" s="1"/>
    </row>
    <row r="94" spans="1:12" s="2" customFormat="1" ht="18" customHeight="1">
      <c r="A94" s="25"/>
      <c r="B94" s="78"/>
      <c r="C94" s="26"/>
      <c r="D94" s="25"/>
      <c r="E94" s="23"/>
      <c r="F94" s="25"/>
      <c r="G94" s="23"/>
      <c r="H94" s="23"/>
      <c r="J94" s="1"/>
      <c r="K94" s="1"/>
      <c r="L94" s="1"/>
    </row>
    <row r="95" spans="1:12" s="2" customFormat="1" ht="18" customHeight="1">
      <c r="A95" s="25"/>
      <c r="B95" s="78"/>
      <c r="C95" s="26"/>
      <c r="D95" s="25"/>
      <c r="E95" s="23"/>
      <c r="F95" s="25"/>
      <c r="G95" s="23"/>
      <c r="H95" s="23"/>
      <c r="J95" s="1"/>
      <c r="K95" s="1"/>
      <c r="L95" s="1"/>
    </row>
    <row r="96" spans="1:12" s="2" customFormat="1" ht="18" customHeight="1">
      <c r="A96" s="25"/>
      <c r="B96" s="78"/>
      <c r="C96" s="26"/>
      <c r="D96" s="25"/>
      <c r="E96" s="23"/>
      <c r="F96" s="25"/>
      <c r="G96" s="23"/>
      <c r="H96" s="23"/>
      <c r="J96" s="1"/>
      <c r="K96" s="1"/>
      <c r="L96" s="1"/>
    </row>
    <row r="97" spans="1:12" s="2" customFormat="1" ht="18" customHeight="1">
      <c r="A97" s="25"/>
      <c r="B97" s="78"/>
      <c r="C97" s="26"/>
      <c r="D97" s="25"/>
      <c r="E97" s="23"/>
      <c r="F97" s="25"/>
      <c r="G97" s="23"/>
      <c r="H97" s="23"/>
      <c r="J97" s="1"/>
      <c r="K97" s="1"/>
      <c r="L97" s="1"/>
    </row>
    <row r="98" spans="1:12" s="2" customFormat="1" ht="18" customHeight="1">
      <c r="A98" s="25"/>
      <c r="B98" s="78"/>
      <c r="C98" s="26"/>
      <c r="D98" s="25"/>
      <c r="E98" s="23"/>
      <c r="F98" s="25"/>
      <c r="G98" s="23"/>
      <c r="H98" s="23"/>
      <c r="J98" s="1"/>
      <c r="K98" s="1"/>
      <c r="L98" s="1"/>
    </row>
    <row r="99" spans="1:12" s="2" customFormat="1" ht="18" customHeight="1">
      <c r="A99" s="25"/>
      <c r="B99" s="78"/>
      <c r="C99" s="26"/>
      <c r="D99" s="25"/>
      <c r="E99" s="23"/>
      <c r="F99" s="25"/>
      <c r="G99" s="23"/>
      <c r="H99" s="23"/>
      <c r="J99" s="1"/>
      <c r="K99" s="1"/>
      <c r="L99" s="1"/>
    </row>
    <row r="100" spans="1:12" s="2" customFormat="1" ht="18" customHeight="1">
      <c r="A100" s="25"/>
      <c r="B100" s="78"/>
      <c r="C100" s="26"/>
      <c r="D100" s="25"/>
      <c r="E100" s="23"/>
      <c r="F100" s="25"/>
      <c r="G100" s="23"/>
      <c r="H100" s="23"/>
      <c r="J100" s="1"/>
      <c r="K100" s="1"/>
      <c r="L100" s="1"/>
    </row>
    <row r="101" spans="1:12" s="2" customFormat="1" ht="18" customHeight="1">
      <c r="A101" s="25"/>
      <c r="B101" s="78"/>
      <c r="C101" s="26"/>
      <c r="D101" s="25"/>
      <c r="E101" s="23"/>
      <c r="F101" s="25"/>
      <c r="G101" s="23"/>
      <c r="H101" s="23"/>
      <c r="J101" s="1"/>
      <c r="K101" s="1"/>
      <c r="L101" s="1"/>
    </row>
    <row r="102" spans="1:12" s="2" customFormat="1" ht="18" customHeight="1">
      <c r="A102" s="25"/>
      <c r="B102" s="78"/>
      <c r="C102" s="26"/>
      <c r="D102" s="25"/>
      <c r="E102" s="23"/>
      <c r="F102" s="25"/>
      <c r="G102" s="23"/>
      <c r="H102" s="23"/>
      <c r="J102" s="1"/>
      <c r="K102" s="1"/>
      <c r="L102" s="1"/>
    </row>
    <row r="103" spans="1:12" s="2" customFormat="1" ht="18" customHeight="1">
      <c r="A103" s="25"/>
      <c r="B103" s="78"/>
      <c r="C103" s="26"/>
      <c r="D103" s="25"/>
      <c r="E103" s="23"/>
      <c r="F103" s="25"/>
      <c r="G103" s="23"/>
      <c r="H103" s="23"/>
      <c r="J103" s="1"/>
      <c r="K103" s="1"/>
      <c r="L103" s="1"/>
    </row>
    <row r="104" spans="1:12" s="2" customFormat="1" ht="18" customHeight="1">
      <c r="A104" s="25"/>
      <c r="B104" s="78"/>
      <c r="C104" s="26"/>
      <c r="D104" s="25"/>
      <c r="E104" s="23"/>
      <c r="F104" s="25"/>
      <c r="G104" s="23"/>
      <c r="H104" s="23"/>
      <c r="J104" s="1"/>
      <c r="K104" s="1"/>
      <c r="L104" s="1"/>
    </row>
    <row r="105" spans="1:12" s="2" customFormat="1" ht="18" customHeight="1">
      <c r="A105" s="25"/>
      <c r="B105" s="78"/>
      <c r="C105" s="26"/>
      <c r="D105" s="25"/>
      <c r="E105" s="23"/>
      <c r="F105" s="25"/>
      <c r="G105" s="23"/>
      <c r="H105" s="23"/>
      <c r="J105" s="1"/>
      <c r="K105" s="1"/>
      <c r="L105" s="1"/>
    </row>
    <row r="106" spans="1:12" s="2" customFormat="1" ht="18" customHeight="1">
      <c r="A106" s="25"/>
      <c r="B106" s="78"/>
      <c r="C106" s="26"/>
      <c r="D106" s="25"/>
      <c r="E106" s="23"/>
      <c r="F106" s="25"/>
      <c r="G106" s="23"/>
      <c r="H106" s="23"/>
      <c r="J106" s="1"/>
      <c r="K106" s="1"/>
      <c r="L106" s="1"/>
    </row>
    <row r="107" spans="1:12" s="2" customFormat="1" ht="18" customHeight="1">
      <c r="A107" s="25"/>
      <c r="B107" s="78"/>
      <c r="C107" s="26"/>
      <c r="D107" s="25"/>
      <c r="E107" s="23"/>
      <c r="F107" s="25"/>
      <c r="G107" s="23"/>
      <c r="H107" s="23"/>
      <c r="J107" s="1"/>
      <c r="K107" s="1"/>
      <c r="L107" s="1"/>
    </row>
    <row r="108" spans="1:12" s="2" customFormat="1" ht="18" customHeight="1">
      <c r="A108" s="25"/>
      <c r="B108" s="78"/>
      <c r="C108" s="26"/>
      <c r="D108" s="25"/>
      <c r="E108" s="23"/>
      <c r="F108" s="25"/>
      <c r="G108" s="23"/>
      <c r="H108" s="23"/>
      <c r="J108" s="1"/>
      <c r="K108" s="1"/>
      <c r="L108" s="1"/>
    </row>
    <row r="109" spans="1:12" s="2" customFormat="1" ht="18" customHeight="1">
      <c r="A109" s="25"/>
      <c r="B109" s="78"/>
      <c r="C109" s="26"/>
      <c r="D109" s="25"/>
      <c r="E109" s="23"/>
      <c r="F109" s="25"/>
      <c r="G109" s="23"/>
      <c r="H109" s="23"/>
      <c r="J109" s="1"/>
      <c r="K109" s="1"/>
      <c r="L109" s="1"/>
    </row>
    <row r="110" spans="1:12" s="2" customFormat="1" ht="18" customHeight="1">
      <c r="A110" s="25"/>
      <c r="B110" s="78"/>
      <c r="C110" s="26"/>
      <c r="D110" s="25"/>
      <c r="E110" s="23"/>
      <c r="F110" s="25"/>
      <c r="G110" s="23"/>
      <c r="H110" s="23"/>
      <c r="J110" s="1"/>
      <c r="K110" s="1"/>
      <c r="L110" s="1"/>
    </row>
    <row r="111" spans="1:12" s="2" customFormat="1" ht="18" customHeight="1">
      <c r="A111" s="25"/>
      <c r="B111" s="78"/>
      <c r="C111" s="26"/>
      <c r="D111" s="25"/>
      <c r="E111" s="23"/>
      <c r="F111" s="25"/>
      <c r="G111" s="23"/>
      <c r="H111" s="23"/>
      <c r="J111" s="1"/>
      <c r="K111" s="1"/>
      <c r="L111" s="1"/>
    </row>
    <row r="112" spans="1:12" s="2" customFormat="1" ht="18" customHeight="1">
      <c r="A112" s="25"/>
      <c r="B112" s="78"/>
      <c r="C112" s="26"/>
      <c r="D112" s="25"/>
      <c r="E112" s="23"/>
      <c r="F112" s="25"/>
      <c r="G112" s="23"/>
      <c r="H112" s="23"/>
      <c r="J112" s="1"/>
      <c r="K112" s="1"/>
      <c r="L112" s="1"/>
    </row>
    <row r="113" spans="1:12" s="2" customFormat="1" ht="18" customHeight="1">
      <c r="A113" s="25"/>
      <c r="B113" s="78"/>
      <c r="C113" s="26"/>
      <c r="D113" s="25"/>
      <c r="E113" s="23"/>
      <c r="F113" s="25"/>
      <c r="G113" s="23"/>
      <c r="H113" s="23"/>
      <c r="J113" s="1"/>
      <c r="K113" s="1"/>
      <c r="L113" s="1"/>
    </row>
    <row r="114" spans="1:12" s="2" customFormat="1" ht="18" customHeight="1">
      <c r="A114" s="25"/>
      <c r="B114" s="78"/>
      <c r="C114" s="26"/>
      <c r="D114" s="25"/>
      <c r="E114" s="23"/>
      <c r="F114" s="25"/>
      <c r="G114" s="23"/>
      <c r="H114" s="23"/>
      <c r="J114" s="1"/>
      <c r="K114" s="1"/>
      <c r="L114" s="1"/>
    </row>
    <row r="115" spans="1:12" s="2" customFormat="1" ht="18" customHeight="1">
      <c r="A115" s="25"/>
      <c r="B115" s="78"/>
      <c r="C115" s="26"/>
      <c r="D115" s="25"/>
      <c r="E115" s="23"/>
      <c r="F115" s="25"/>
      <c r="G115" s="23"/>
      <c r="H115" s="23"/>
      <c r="J115" s="1"/>
      <c r="K115" s="1"/>
      <c r="L115" s="1"/>
    </row>
    <row r="116" spans="1:12" s="2" customFormat="1" ht="18" customHeight="1">
      <c r="A116" s="25"/>
      <c r="B116" s="78"/>
      <c r="C116" s="26"/>
      <c r="D116" s="25"/>
      <c r="E116" s="23"/>
      <c r="F116" s="25"/>
      <c r="G116" s="23"/>
      <c r="H116" s="23"/>
      <c r="J116" s="1"/>
      <c r="K116" s="1"/>
      <c r="L116" s="1"/>
    </row>
    <row r="117" spans="1:12" s="2" customFormat="1" ht="18" customHeight="1">
      <c r="A117" s="25"/>
      <c r="B117" s="78"/>
      <c r="C117" s="26"/>
      <c r="D117" s="25"/>
      <c r="E117" s="23"/>
      <c r="F117" s="25"/>
      <c r="G117" s="23"/>
      <c r="H117" s="23"/>
      <c r="J117" s="1"/>
      <c r="K117" s="1"/>
      <c r="L117" s="1"/>
    </row>
    <row r="118" spans="1:12" s="2" customFormat="1" ht="18" customHeight="1">
      <c r="A118" s="25"/>
      <c r="B118" s="78"/>
      <c r="C118" s="26"/>
      <c r="D118" s="25"/>
      <c r="E118" s="23"/>
      <c r="F118" s="25"/>
      <c r="G118" s="23"/>
      <c r="H118" s="23"/>
      <c r="J118" s="1"/>
      <c r="K118" s="1"/>
      <c r="L118" s="1"/>
    </row>
    <row r="119" spans="1:12" s="2" customFormat="1" ht="18" customHeight="1">
      <c r="A119" s="25"/>
      <c r="B119" s="78"/>
      <c r="C119" s="26"/>
      <c r="D119" s="25"/>
      <c r="E119" s="23"/>
      <c r="F119" s="25"/>
      <c r="G119" s="23"/>
      <c r="H119" s="23"/>
      <c r="J119" s="1"/>
      <c r="K119" s="1"/>
      <c r="L119" s="1"/>
    </row>
    <row r="120" spans="1:12" s="2" customFormat="1" ht="18" customHeight="1">
      <c r="A120" s="25"/>
      <c r="B120" s="78"/>
      <c r="C120" s="26"/>
      <c r="D120" s="25"/>
      <c r="E120" s="23"/>
      <c r="F120" s="25"/>
      <c r="G120" s="23"/>
      <c r="H120" s="23"/>
      <c r="J120" s="1"/>
      <c r="K120" s="1"/>
      <c r="L120" s="1"/>
    </row>
    <row r="121" spans="1:12" s="2" customFormat="1" ht="18" customHeight="1">
      <c r="A121" s="25"/>
      <c r="B121" s="78"/>
      <c r="C121" s="26"/>
      <c r="D121" s="25"/>
      <c r="E121" s="23"/>
      <c r="F121" s="25"/>
      <c r="G121" s="23"/>
      <c r="H121" s="23"/>
      <c r="J121" s="1"/>
      <c r="K121" s="1"/>
      <c r="L121" s="1"/>
    </row>
    <row r="122" spans="1:12" s="2" customFormat="1" ht="18" customHeight="1">
      <c r="A122" s="25"/>
      <c r="B122" s="78"/>
      <c r="C122" s="26"/>
      <c r="D122" s="25"/>
      <c r="E122" s="23"/>
      <c r="F122" s="25"/>
      <c r="G122" s="23"/>
      <c r="H122" s="23"/>
      <c r="J122" s="1"/>
      <c r="K122" s="1"/>
      <c r="L122" s="1"/>
    </row>
    <row r="123" spans="1:12" s="2" customFormat="1" ht="18" customHeight="1">
      <c r="A123" s="25"/>
      <c r="B123" s="78"/>
      <c r="C123" s="26"/>
      <c r="D123" s="25"/>
      <c r="E123" s="23"/>
      <c r="F123" s="25"/>
      <c r="G123" s="23"/>
      <c r="H123" s="23"/>
      <c r="J123" s="1"/>
      <c r="K123" s="1"/>
      <c r="L123" s="1"/>
    </row>
    <row r="124" spans="1:12" s="2" customFormat="1" ht="18" customHeight="1">
      <c r="A124" s="25"/>
      <c r="B124" s="78"/>
      <c r="C124" s="26"/>
      <c r="D124" s="25"/>
      <c r="E124" s="23"/>
      <c r="F124" s="25"/>
      <c r="G124" s="23"/>
      <c r="H124" s="23"/>
      <c r="J124" s="1"/>
      <c r="K124" s="1"/>
      <c r="L124" s="1"/>
    </row>
    <row r="125" spans="1:12" s="2" customFormat="1" ht="18" customHeight="1">
      <c r="A125" s="25"/>
      <c r="B125" s="78"/>
      <c r="C125" s="26"/>
      <c r="D125" s="25"/>
      <c r="E125" s="23"/>
      <c r="F125" s="25"/>
      <c r="G125" s="23"/>
      <c r="H125" s="23"/>
      <c r="J125" s="1"/>
      <c r="K125" s="1"/>
      <c r="L125" s="1"/>
    </row>
    <row r="126" spans="1:12" s="2" customFormat="1" ht="18" customHeight="1">
      <c r="A126" s="25"/>
      <c r="B126" s="78"/>
      <c r="C126" s="26"/>
      <c r="D126" s="25"/>
      <c r="E126" s="23"/>
      <c r="F126" s="25"/>
      <c r="G126" s="23"/>
      <c r="H126" s="23"/>
      <c r="J126" s="1"/>
      <c r="K126" s="1"/>
      <c r="L126" s="1"/>
    </row>
    <row r="127" spans="1:12" s="2" customFormat="1" ht="18" customHeight="1">
      <c r="A127" s="25"/>
      <c r="B127" s="78"/>
      <c r="C127" s="26"/>
      <c r="D127" s="25"/>
      <c r="E127" s="23"/>
      <c r="F127" s="25"/>
      <c r="G127" s="23"/>
      <c r="H127" s="23"/>
      <c r="J127" s="1"/>
      <c r="K127" s="1"/>
      <c r="L127" s="1"/>
    </row>
    <row r="128" spans="1:12" s="2" customFormat="1" ht="18" customHeight="1">
      <c r="A128" s="25"/>
      <c r="B128" s="78"/>
      <c r="C128" s="26"/>
      <c r="D128" s="25"/>
      <c r="E128" s="23"/>
      <c r="F128" s="25"/>
      <c r="G128" s="23"/>
      <c r="H128" s="23"/>
      <c r="J128" s="1"/>
      <c r="K128" s="1"/>
      <c r="L128" s="1"/>
    </row>
    <row r="129" spans="1:12" s="2" customFormat="1" ht="18" customHeight="1">
      <c r="A129" s="25"/>
      <c r="B129" s="78"/>
      <c r="C129" s="26"/>
      <c r="D129" s="25"/>
      <c r="E129" s="23"/>
      <c r="F129" s="25"/>
      <c r="G129" s="23"/>
      <c r="H129" s="23"/>
      <c r="J129" s="1"/>
      <c r="K129" s="1"/>
      <c r="L129" s="1"/>
    </row>
    <row r="130" spans="1:12" s="2" customFormat="1" ht="18" customHeight="1">
      <c r="A130" s="25"/>
      <c r="B130" s="78"/>
      <c r="C130" s="26"/>
      <c r="D130" s="25"/>
      <c r="E130" s="23"/>
      <c r="F130" s="25"/>
      <c r="G130" s="23"/>
      <c r="H130" s="23"/>
      <c r="J130" s="1"/>
      <c r="K130" s="1"/>
      <c r="L130" s="1"/>
    </row>
    <row r="131" spans="1:12" s="2" customFormat="1" ht="18" customHeight="1">
      <c r="A131" s="25"/>
      <c r="B131" s="78"/>
      <c r="C131" s="26"/>
      <c r="D131" s="25"/>
      <c r="E131" s="23"/>
      <c r="F131" s="25"/>
      <c r="G131" s="23"/>
      <c r="H131" s="23"/>
      <c r="J131" s="1"/>
      <c r="K131" s="1"/>
      <c r="L131" s="1"/>
    </row>
    <row r="132" spans="1:12" s="2" customFormat="1" ht="18" customHeight="1">
      <c r="A132" s="25"/>
      <c r="B132" s="78"/>
      <c r="C132" s="26"/>
      <c r="D132" s="25"/>
      <c r="E132" s="23"/>
      <c r="F132" s="25"/>
      <c r="G132" s="23"/>
      <c r="H132" s="23"/>
      <c r="J132" s="1"/>
      <c r="K132" s="1"/>
      <c r="L132" s="1"/>
    </row>
    <row r="133" spans="1:12" s="2" customFormat="1" ht="18" customHeight="1">
      <c r="A133" s="25"/>
      <c r="B133" s="78"/>
      <c r="C133" s="26"/>
      <c r="D133" s="25"/>
      <c r="E133" s="23"/>
      <c r="F133" s="25"/>
      <c r="G133" s="23"/>
      <c r="H133" s="23"/>
      <c r="J133" s="1"/>
      <c r="K133" s="1"/>
      <c r="L133" s="1"/>
    </row>
    <row r="134" spans="1:12" s="2" customFormat="1" ht="18" customHeight="1">
      <c r="A134" s="25"/>
      <c r="B134" s="78"/>
      <c r="C134" s="26"/>
      <c r="D134" s="25"/>
      <c r="E134" s="23"/>
      <c r="F134" s="25"/>
      <c r="G134" s="23"/>
      <c r="H134" s="23"/>
      <c r="J134" s="1"/>
      <c r="K134" s="1"/>
      <c r="L134" s="1"/>
    </row>
    <row r="135" spans="1:12" s="2" customFormat="1" ht="18" customHeight="1">
      <c r="A135" s="25"/>
      <c r="B135" s="78"/>
      <c r="C135" s="26"/>
      <c r="D135" s="25"/>
      <c r="E135" s="23"/>
      <c r="F135" s="25"/>
      <c r="G135" s="23"/>
      <c r="H135" s="23"/>
      <c r="J135" s="1"/>
      <c r="K135" s="1"/>
      <c r="L135" s="1"/>
    </row>
    <row r="136" spans="1:12" s="2" customFormat="1" ht="18" customHeight="1">
      <c r="A136" s="25"/>
      <c r="B136" s="78"/>
      <c r="C136" s="26"/>
      <c r="D136" s="25"/>
      <c r="E136" s="23"/>
      <c r="F136" s="25"/>
      <c r="G136" s="23"/>
      <c r="H136" s="23"/>
      <c r="J136" s="1"/>
      <c r="K136" s="1"/>
      <c r="L136" s="1"/>
    </row>
    <row r="137" spans="1:12" s="2" customFormat="1" ht="18" customHeight="1">
      <c r="A137" s="25"/>
      <c r="B137" s="78"/>
      <c r="C137" s="26"/>
      <c r="D137" s="25"/>
      <c r="E137" s="23"/>
      <c r="F137" s="25"/>
      <c r="G137" s="23"/>
      <c r="H137" s="23"/>
      <c r="J137" s="1"/>
      <c r="K137" s="1"/>
      <c r="L137" s="1"/>
    </row>
    <row r="138" spans="1:12" s="2" customFormat="1" ht="18" customHeight="1">
      <c r="A138" s="25"/>
      <c r="B138" s="78"/>
      <c r="C138" s="26"/>
      <c r="D138" s="25"/>
      <c r="E138" s="23"/>
      <c r="F138" s="25"/>
      <c r="G138" s="23"/>
      <c r="H138" s="23"/>
      <c r="J138" s="1"/>
      <c r="K138" s="1"/>
      <c r="L138" s="1"/>
    </row>
    <row r="139" spans="1:12" s="2" customFormat="1" ht="18" customHeight="1">
      <c r="A139" s="25"/>
      <c r="B139" s="78"/>
      <c r="C139" s="26"/>
      <c r="D139" s="25"/>
      <c r="E139" s="23"/>
      <c r="F139" s="25"/>
      <c r="G139" s="23"/>
      <c r="H139" s="23"/>
      <c r="J139" s="1"/>
      <c r="K139" s="1"/>
      <c r="L139" s="1"/>
    </row>
    <row r="140" spans="1:12" s="2" customFormat="1" ht="18" customHeight="1">
      <c r="A140" s="25"/>
      <c r="B140" s="78"/>
      <c r="C140" s="26"/>
      <c r="D140" s="25"/>
      <c r="E140" s="23"/>
      <c r="F140" s="25"/>
      <c r="G140" s="23"/>
      <c r="H140" s="23"/>
      <c r="J140" s="1"/>
      <c r="K140" s="1"/>
      <c r="L140" s="1"/>
    </row>
    <row r="141" spans="1:12" s="2" customFormat="1" ht="18" customHeight="1">
      <c r="A141" s="25"/>
      <c r="B141" s="78"/>
      <c r="C141" s="26"/>
      <c r="D141" s="25"/>
      <c r="E141" s="23"/>
      <c r="F141" s="25"/>
      <c r="G141" s="23"/>
      <c r="H141" s="23"/>
      <c r="J141" s="1"/>
      <c r="K141" s="1"/>
      <c r="L141" s="1"/>
    </row>
    <row r="142" spans="1:12" s="2" customFormat="1" ht="18" customHeight="1">
      <c r="A142" s="25"/>
      <c r="B142" s="78"/>
      <c r="C142" s="26"/>
      <c r="D142" s="25"/>
      <c r="E142" s="23"/>
      <c r="F142" s="25"/>
      <c r="G142" s="23"/>
      <c r="H142" s="23"/>
      <c r="J142" s="1"/>
      <c r="K142" s="1"/>
      <c r="L142" s="1"/>
    </row>
    <row r="143" spans="1:12" s="2" customFormat="1" ht="18" customHeight="1">
      <c r="A143" s="25"/>
      <c r="B143" s="78"/>
      <c r="C143" s="26"/>
      <c r="D143" s="25"/>
      <c r="E143" s="23"/>
      <c r="F143" s="25"/>
      <c r="G143" s="23"/>
      <c r="H143" s="23"/>
      <c r="J143" s="1"/>
      <c r="K143" s="1"/>
      <c r="L143" s="1"/>
    </row>
    <row r="144" spans="1:12" s="2" customFormat="1" ht="18" customHeight="1">
      <c r="A144" s="25"/>
      <c r="B144" s="78"/>
      <c r="C144" s="26"/>
      <c r="D144" s="25"/>
      <c r="E144" s="23"/>
      <c r="F144" s="25"/>
      <c r="G144" s="23"/>
      <c r="H144" s="23"/>
      <c r="J144" s="1"/>
      <c r="K144" s="1"/>
      <c r="L144" s="1"/>
    </row>
    <row r="145" spans="1:12" s="2" customFormat="1" ht="18" customHeight="1">
      <c r="A145" s="25"/>
      <c r="B145" s="78"/>
      <c r="C145" s="26"/>
      <c r="D145" s="25"/>
      <c r="E145" s="23"/>
      <c r="F145" s="25"/>
      <c r="G145" s="23"/>
      <c r="H145" s="23"/>
      <c r="J145" s="1"/>
      <c r="K145" s="1"/>
      <c r="L145" s="1"/>
    </row>
    <row r="146" spans="1:12" s="2" customFormat="1" ht="18" customHeight="1">
      <c r="A146" s="25"/>
      <c r="B146" s="78"/>
      <c r="C146" s="26"/>
      <c r="D146" s="25"/>
      <c r="E146" s="23"/>
      <c r="F146" s="25"/>
      <c r="G146" s="23"/>
      <c r="H146" s="23"/>
      <c r="J146" s="1"/>
      <c r="K146" s="1"/>
      <c r="L146" s="1"/>
    </row>
    <row r="147" spans="1:12" s="2" customFormat="1" ht="18" customHeight="1">
      <c r="A147" s="25"/>
      <c r="B147" s="78"/>
      <c r="C147" s="26"/>
      <c r="D147" s="25"/>
      <c r="E147" s="23"/>
      <c r="F147" s="25"/>
      <c r="G147" s="23"/>
      <c r="H147" s="23"/>
      <c r="J147" s="1"/>
      <c r="K147" s="1"/>
      <c r="L147" s="1"/>
    </row>
    <row r="148" spans="1:12" s="2" customFormat="1" ht="18" customHeight="1">
      <c r="A148" s="25"/>
      <c r="B148" s="78"/>
      <c r="C148" s="26"/>
      <c r="D148" s="25"/>
      <c r="E148" s="23"/>
      <c r="F148" s="25"/>
      <c r="G148" s="23"/>
      <c r="H148" s="23"/>
      <c r="J148" s="1"/>
      <c r="K148" s="1"/>
      <c r="L148" s="1"/>
    </row>
    <row r="149" spans="1:12" s="2" customFormat="1" ht="18" customHeight="1">
      <c r="A149" s="25"/>
      <c r="B149" s="78"/>
      <c r="C149" s="26"/>
      <c r="D149" s="25"/>
      <c r="E149" s="23"/>
      <c r="F149" s="25"/>
      <c r="G149" s="23"/>
      <c r="H149" s="23"/>
      <c r="J149" s="1"/>
      <c r="K149" s="1"/>
      <c r="L149" s="1"/>
    </row>
    <row r="150" spans="1:12" s="2" customFormat="1" ht="18" customHeight="1">
      <c r="A150" s="25"/>
      <c r="B150" s="78"/>
      <c r="C150" s="26"/>
      <c r="D150" s="25"/>
      <c r="E150" s="23"/>
      <c r="F150" s="25"/>
      <c r="G150" s="23"/>
      <c r="H150" s="23"/>
      <c r="J150" s="1"/>
      <c r="K150" s="1"/>
      <c r="L150" s="1"/>
    </row>
    <row r="151" spans="1:12" s="2" customFormat="1" ht="18" customHeight="1">
      <c r="A151" s="25"/>
      <c r="B151" s="78"/>
      <c r="C151" s="26"/>
      <c r="D151" s="25"/>
      <c r="E151" s="23"/>
      <c r="F151" s="25"/>
      <c r="G151" s="23"/>
      <c r="H151" s="23"/>
      <c r="J151" s="1"/>
      <c r="K151" s="1"/>
      <c r="L151" s="1"/>
    </row>
    <row r="152" spans="1:12" s="2" customFormat="1" ht="18" customHeight="1">
      <c r="A152" s="25"/>
      <c r="B152" s="78"/>
      <c r="C152" s="26"/>
      <c r="D152" s="25"/>
      <c r="E152" s="23"/>
      <c r="F152" s="25"/>
      <c r="G152" s="23"/>
      <c r="H152" s="23"/>
      <c r="J152" s="1"/>
      <c r="K152" s="1"/>
      <c r="L152" s="1"/>
    </row>
    <row r="153" spans="1:12" s="2" customFormat="1" ht="18" customHeight="1">
      <c r="A153" s="25"/>
      <c r="B153" s="78"/>
      <c r="C153" s="26"/>
      <c r="D153" s="25"/>
      <c r="E153" s="23"/>
      <c r="F153" s="25"/>
      <c r="G153" s="23"/>
      <c r="H153" s="23"/>
      <c r="J153" s="1"/>
      <c r="K153" s="1"/>
      <c r="L153" s="1"/>
    </row>
    <row r="154" spans="1:12" s="2" customFormat="1" ht="18" customHeight="1">
      <c r="A154" s="25"/>
      <c r="B154" s="78"/>
      <c r="C154" s="26"/>
      <c r="D154" s="25"/>
      <c r="E154" s="23"/>
      <c r="F154" s="25"/>
      <c r="G154" s="23"/>
      <c r="H154" s="23"/>
      <c r="J154" s="1"/>
      <c r="K154" s="1"/>
      <c r="L154" s="1"/>
    </row>
    <row r="155" spans="1:12" s="2" customFormat="1" ht="18" customHeight="1">
      <c r="A155" s="25"/>
      <c r="B155" s="78"/>
      <c r="C155" s="26"/>
      <c r="D155" s="25"/>
      <c r="E155" s="23"/>
      <c r="F155" s="25"/>
      <c r="G155" s="23"/>
      <c r="H155" s="23"/>
      <c r="J155" s="1"/>
      <c r="K155" s="1"/>
      <c r="L155" s="1"/>
    </row>
    <row r="156" spans="1:12" s="2" customFormat="1" ht="18" customHeight="1">
      <c r="A156" s="25"/>
      <c r="B156" s="78"/>
      <c r="C156" s="26"/>
      <c r="D156" s="25"/>
      <c r="E156" s="23"/>
      <c r="F156" s="25"/>
      <c r="G156" s="23"/>
      <c r="H156" s="23"/>
      <c r="J156" s="1"/>
      <c r="K156" s="1"/>
      <c r="L156" s="1"/>
    </row>
    <row r="157" spans="1:12" s="2" customFormat="1" ht="18" customHeight="1">
      <c r="A157" s="25"/>
      <c r="B157" s="78"/>
      <c r="C157" s="26"/>
      <c r="D157" s="25"/>
      <c r="E157" s="23"/>
      <c r="F157" s="25"/>
      <c r="G157" s="23"/>
      <c r="H157" s="23"/>
      <c r="J157" s="1"/>
      <c r="K157" s="1"/>
      <c r="L157" s="1"/>
    </row>
    <row r="158" spans="1:12" s="2" customFormat="1" ht="18" customHeight="1">
      <c r="A158" s="25"/>
      <c r="B158" s="78"/>
      <c r="C158" s="26"/>
      <c r="D158" s="25"/>
      <c r="E158" s="23"/>
      <c r="F158" s="25"/>
      <c r="G158" s="23"/>
      <c r="H158" s="23"/>
      <c r="J158" s="1"/>
      <c r="K158" s="1"/>
      <c r="L158" s="1"/>
    </row>
    <row r="159" spans="1:12" s="2" customFormat="1" ht="18" customHeight="1">
      <c r="A159" s="25"/>
      <c r="B159" s="78"/>
      <c r="C159" s="26"/>
      <c r="D159" s="25"/>
      <c r="E159" s="23"/>
      <c r="F159" s="25"/>
      <c r="G159" s="23"/>
      <c r="H159" s="23"/>
      <c r="J159" s="1"/>
      <c r="K159" s="1"/>
      <c r="L159" s="1"/>
    </row>
    <row r="160" spans="1:12" s="2" customFormat="1" ht="18" customHeight="1">
      <c r="A160" s="25"/>
      <c r="B160" s="78"/>
      <c r="C160" s="26"/>
      <c r="D160" s="25"/>
      <c r="E160" s="23"/>
      <c r="F160" s="25"/>
      <c r="G160" s="23"/>
      <c r="H160" s="23"/>
      <c r="J160" s="1"/>
      <c r="K160" s="1"/>
      <c r="L160" s="1"/>
    </row>
    <row r="161" spans="1:12" s="2" customFormat="1" ht="18" customHeight="1">
      <c r="A161" s="25"/>
      <c r="B161" s="78"/>
      <c r="C161" s="26"/>
      <c r="D161" s="25"/>
      <c r="E161" s="23"/>
      <c r="F161" s="25"/>
      <c r="G161" s="23"/>
      <c r="H161" s="23"/>
      <c r="J161" s="1"/>
      <c r="K161" s="1"/>
      <c r="L161" s="1"/>
    </row>
    <row r="162" spans="1:12" s="2" customFormat="1" ht="18" customHeight="1">
      <c r="A162" s="25"/>
      <c r="B162" s="78"/>
      <c r="C162" s="26"/>
      <c r="D162" s="25"/>
      <c r="E162" s="23"/>
      <c r="F162" s="25"/>
      <c r="G162" s="23"/>
      <c r="H162" s="23"/>
      <c r="J162" s="1"/>
      <c r="K162" s="1"/>
      <c r="L162" s="1"/>
    </row>
    <row r="163" spans="1:12" s="2" customFormat="1" ht="18" customHeight="1">
      <c r="A163" s="25"/>
      <c r="B163" s="78"/>
      <c r="C163" s="26"/>
      <c r="D163" s="25"/>
      <c r="E163" s="23"/>
      <c r="F163" s="25"/>
      <c r="G163" s="23"/>
      <c r="H163" s="23"/>
      <c r="J163" s="1"/>
      <c r="K163" s="1"/>
      <c r="L163" s="1"/>
    </row>
    <row r="164" spans="1:12" s="2" customFormat="1" ht="18" customHeight="1">
      <c r="A164" s="25"/>
      <c r="B164" s="78"/>
      <c r="C164" s="26"/>
      <c r="D164" s="25"/>
      <c r="E164" s="23"/>
      <c r="F164" s="25"/>
      <c r="G164" s="23"/>
      <c r="H164" s="23"/>
      <c r="J164" s="1"/>
      <c r="K164" s="1"/>
      <c r="L164" s="1"/>
    </row>
    <row r="165" spans="1:12" s="2" customFormat="1" ht="18" customHeight="1">
      <c r="A165" s="25"/>
      <c r="B165" s="78"/>
      <c r="C165" s="26"/>
      <c r="D165" s="25"/>
      <c r="E165" s="23"/>
      <c r="F165" s="25"/>
      <c r="G165" s="23"/>
      <c r="H165" s="23"/>
      <c r="J165" s="1"/>
      <c r="K165" s="1"/>
      <c r="L165" s="1"/>
    </row>
    <row r="166" spans="1:12" s="2" customFormat="1" ht="18" customHeight="1">
      <c r="A166" s="25"/>
      <c r="B166" s="78"/>
      <c r="C166" s="26"/>
      <c r="D166" s="25"/>
      <c r="E166" s="23"/>
      <c r="F166" s="25"/>
      <c r="G166" s="23"/>
      <c r="H166" s="23"/>
      <c r="J166" s="1"/>
      <c r="K166" s="1"/>
      <c r="L166" s="1"/>
    </row>
    <row r="167" spans="1:12" s="2" customFormat="1" ht="18" customHeight="1">
      <c r="A167" s="25"/>
      <c r="B167" s="78"/>
      <c r="C167" s="26"/>
      <c r="D167" s="25"/>
      <c r="E167" s="23"/>
      <c r="F167" s="25"/>
      <c r="G167" s="23"/>
      <c r="H167" s="23"/>
      <c r="J167" s="1"/>
      <c r="K167" s="1"/>
      <c r="L167" s="1"/>
    </row>
    <row r="168" spans="1:12" s="2" customFormat="1" ht="18" customHeight="1">
      <c r="A168" s="25"/>
      <c r="B168" s="78"/>
      <c r="C168" s="26"/>
      <c r="D168" s="25"/>
      <c r="E168" s="23"/>
      <c r="F168" s="25"/>
      <c r="G168" s="23"/>
      <c r="H168" s="23"/>
      <c r="J168" s="1"/>
      <c r="K168" s="1"/>
      <c r="L168" s="1"/>
    </row>
    <row r="169" spans="1:12" s="2" customFormat="1" ht="18" customHeight="1">
      <c r="A169" s="25"/>
      <c r="B169" s="78"/>
      <c r="C169" s="26"/>
      <c r="D169" s="25"/>
      <c r="E169" s="23"/>
      <c r="F169" s="25"/>
      <c r="G169" s="23"/>
      <c r="H169" s="23"/>
      <c r="J169" s="1"/>
      <c r="K169" s="1"/>
      <c r="L169" s="1"/>
    </row>
    <row r="170" spans="1:12" s="2" customFormat="1" ht="18" customHeight="1">
      <c r="A170" s="25"/>
      <c r="B170" s="78"/>
      <c r="C170" s="26"/>
      <c r="D170" s="25"/>
      <c r="E170" s="23"/>
      <c r="F170" s="25"/>
      <c r="G170" s="23"/>
      <c r="H170" s="23"/>
      <c r="J170" s="1"/>
      <c r="K170" s="1"/>
      <c r="L170" s="1"/>
    </row>
    <row r="171" spans="1:12" s="2" customFormat="1" ht="18" customHeight="1">
      <c r="A171" s="25"/>
      <c r="B171" s="78"/>
      <c r="C171" s="26"/>
      <c r="D171" s="25"/>
      <c r="E171" s="23"/>
      <c r="F171" s="25"/>
      <c r="G171" s="23"/>
      <c r="H171" s="23"/>
      <c r="J171" s="1"/>
      <c r="K171" s="1"/>
      <c r="L171" s="1"/>
    </row>
    <row r="172" spans="1:12" s="2" customFormat="1" ht="18" customHeight="1">
      <c r="A172" s="25"/>
      <c r="B172" s="78"/>
      <c r="C172" s="26"/>
      <c r="D172" s="25"/>
      <c r="E172" s="23"/>
      <c r="F172" s="25"/>
      <c r="G172" s="23"/>
      <c r="H172" s="23"/>
      <c r="J172" s="1"/>
      <c r="K172" s="1"/>
      <c r="L172" s="1"/>
    </row>
    <row r="173" spans="1:12" s="2" customFormat="1" ht="18" customHeight="1">
      <c r="A173" s="25"/>
      <c r="B173" s="78"/>
      <c r="C173" s="26"/>
      <c r="D173" s="25"/>
      <c r="E173" s="23"/>
      <c r="F173" s="25"/>
      <c r="G173" s="23"/>
      <c r="H173" s="23"/>
      <c r="J173" s="1"/>
      <c r="K173" s="1"/>
      <c r="L173" s="1"/>
    </row>
    <row r="174" spans="1:12" s="2" customFormat="1" ht="18" customHeight="1">
      <c r="A174" s="25"/>
      <c r="B174" s="78"/>
      <c r="C174" s="26"/>
      <c r="D174" s="25"/>
      <c r="E174" s="23"/>
      <c r="F174" s="25"/>
      <c r="G174" s="23"/>
      <c r="H174" s="23"/>
      <c r="J174" s="1"/>
      <c r="K174" s="1"/>
      <c r="L174" s="1"/>
    </row>
    <row r="175" spans="1:12" s="2" customFormat="1" ht="18" customHeight="1">
      <c r="A175" s="25"/>
      <c r="B175" s="78"/>
      <c r="C175" s="26"/>
      <c r="D175" s="25"/>
      <c r="E175" s="23"/>
      <c r="F175" s="25"/>
      <c r="G175" s="23"/>
      <c r="H175" s="23"/>
      <c r="J175" s="1"/>
      <c r="K175" s="1"/>
      <c r="L175" s="1"/>
    </row>
    <row r="176" spans="1:12" s="2" customFormat="1" ht="18" customHeight="1">
      <c r="A176" s="25"/>
      <c r="B176" s="78"/>
      <c r="C176" s="26"/>
      <c r="D176" s="25"/>
      <c r="E176" s="23"/>
      <c r="F176" s="25"/>
      <c r="G176" s="23"/>
      <c r="H176" s="23"/>
      <c r="J176" s="1"/>
      <c r="K176" s="1"/>
      <c r="L176" s="1"/>
    </row>
    <row r="177" spans="1:12" s="2" customFormat="1" ht="18" customHeight="1">
      <c r="A177" s="25"/>
      <c r="B177" s="78"/>
      <c r="C177" s="26"/>
      <c r="D177" s="25"/>
      <c r="E177" s="23"/>
      <c r="F177" s="25"/>
      <c r="G177" s="23"/>
      <c r="H177" s="23"/>
      <c r="J177" s="1"/>
      <c r="K177" s="1"/>
      <c r="L177" s="1"/>
    </row>
    <row r="178" spans="1:12" s="2" customFormat="1" ht="18" customHeight="1">
      <c r="A178" s="25"/>
      <c r="B178" s="78"/>
      <c r="C178" s="26"/>
      <c r="D178" s="25"/>
      <c r="E178" s="23"/>
      <c r="F178" s="25"/>
      <c r="G178" s="23"/>
      <c r="H178" s="23"/>
      <c r="J178" s="1"/>
      <c r="K178" s="1"/>
      <c r="L178" s="1"/>
    </row>
    <row r="179" spans="1:12" s="2" customFormat="1" ht="18" customHeight="1">
      <c r="A179" s="25"/>
      <c r="B179" s="78"/>
      <c r="C179" s="26"/>
      <c r="D179" s="25"/>
      <c r="E179" s="23"/>
      <c r="F179" s="25"/>
      <c r="G179" s="23"/>
      <c r="H179" s="23"/>
      <c r="J179" s="1"/>
      <c r="K179" s="1"/>
      <c r="L179" s="1"/>
    </row>
    <row r="180" spans="1:12" s="2" customFormat="1" ht="18" customHeight="1">
      <c r="A180" s="25"/>
      <c r="B180" s="78"/>
      <c r="C180" s="26"/>
      <c r="D180" s="25"/>
      <c r="E180" s="23"/>
      <c r="F180" s="25"/>
      <c r="G180" s="23"/>
      <c r="H180" s="23"/>
      <c r="J180" s="1"/>
      <c r="K180" s="1"/>
      <c r="L180" s="1"/>
    </row>
    <row r="181" spans="1:12" s="2" customFormat="1" ht="18" customHeight="1">
      <c r="A181" s="25"/>
      <c r="B181" s="78"/>
      <c r="C181" s="26"/>
      <c r="D181" s="25"/>
      <c r="E181" s="23"/>
      <c r="F181" s="25"/>
      <c r="G181" s="23"/>
      <c r="H181" s="23"/>
      <c r="J181" s="1"/>
      <c r="K181" s="1"/>
      <c r="L181" s="1"/>
    </row>
    <row r="182" spans="1:12" s="2" customFormat="1" ht="18" customHeight="1">
      <c r="A182" s="25"/>
      <c r="B182" s="78"/>
      <c r="C182" s="26"/>
      <c r="D182" s="25"/>
      <c r="E182" s="23"/>
      <c r="F182" s="25"/>
      <c r="G182" s="23"/>
      <c r="H182" s="23"/>
      <c r="J182" s="1"/>
      <c r="K182" s="1"/>
      <c r="L182" s="1"/>
    </row>
    <row r="183" spans="1:12" s="2" customFormat="1" ht="18" customHeight="1">
      <c r="A183" s="25"/>
      <c r="B183" s="78"/>
      <c r="C183" s="26"/>
      <c r="D183" s="25"/>
      <c r="E183" s="23"/>
      <c r="F183" s="25"/>
      <c r="G183" s="23"/>
      <c r="H183" s="23"/>
      <c r="J183" s="1"/>
      <c r="K183" s="1"/>
      <c r="L183" s="1"/>
    </row>
    <row r="184" spans="1:12" s="2" customFormat="1" ht="18" customHeight="1">
      <c r="A184" s="25"/>
      <c r="B184" s="78"/>
      <c r="C184" s="26"/>
      <c r="D184" s="25"/>
      <c r="E184" s="23"/>
      <c r="F184" s="25"/>
      <c r="G184" s="23"/>
      <c r="H184" s="23"/>
      <c r="J184" s="1"/>
      <c r="K184" s="1"/>
      <c r="L184" s="1"/>
    </row>
    <row r="185" spans="1:12" s="2" customFormat="1" ht="18" customHeight="1">
      <c r="A185" s="25"/>
      <c r="B185" s="78"/>
      <c r="C185" s="26"/>
      <c r="D185" s="25"/>
      <c r="E185" s="23"/>
      <c r="F185" s="25"/>
      <c r="G185" s="23"/>
      <c r="H185" s="23"/>
      <c r="J185" s="1"/>
      <c r="K185" s="1"/>
      <c r="L185" s="1"/>
    </row>
    <row r="186" spans="1:12" s="2" customFormat="1" ht="18" customHeight="1">
      <c r="A186" s="25"/>
      <c r="B186" s="78"/>
      <c r="C186" s="26"/>
      <c r="D186" s="25"/>
      <c r="E186" s="23"/>
      <c r="F186" s="25"/>
      <c r="G186" s="23"/>
      <c r="H186" s="23"/>
      <c r="J186" s="1"/>
      <c r="K186" s="1"/>
      <c r="L186" s="1"/>
    </row>
    <row r="187" spans="1:12" s="2" customFormat="1" ht="18" customHeight="1">
      <c r="A187" s="25"/>
      <c r="B187" s="78"/>
      <c r="C187" s="26"/>
      <c r="D187" s="25"/>
      <c r="E187" s="23"/>
      <c r="F187" s="25"/>
      <c r="G187" s="23"/>
      <c r="H187" s="23"/>
      <c r="J187" s="1"/>
      <c r="K187" s="1"/>
      <c r="L187" s="1"/>
    </row>
    <row r="188" spans="1:12" s="2" customFormat="1" ht="18" customHeight="1">
      <c r="A188" s="25"/>
      <c r="B188" s="78"/>
      <c r="C188" s="26"/>
      <c r="D188" s="25"/>
      <c r="E188" s="23"/>
      <c r="F188" s="25"/>
      <c r="G188" s="23"/>
      <c r="H188" s="23"/>
      <c r="J188" s="1"/>
      <c r="K188" s="1"/>
      <c r="L188" s="1"/>
    </row>
    <row r="189" spans="1:12" s="2" customFormat="1" ht="18" customHeight="1">
      <c r="A189" s="25"/>
      <c r="B189" s="78"/>
      <c r="C189" s="26"/>
      <c r="D189" s="25"/>
      <c r="E189" s="23"/>
      <c r="F189" s="25"/>
      <c r="G189" s="23"/>
      <c r="H189" s="23"/>
      <c r="J189" s="1"/>
      <c r="K189" s="1"/>
      <c r="L189" s="1"/>
    </row>
    <row r="190" spans="1:12" s="2" customFormat="1" ht="18" customHeight="1">
      <c r="A190" s="25"/>
      <c r="B190" s="78"/>
      <c r="C190" s="26"/>
      <c r="D190" s="25"/>
      <c r="E190" s="23"/>
      <c r="F190" s="25"/>
      <c r="G190" s="23"/>
      <c r="H190" s="23"/>
      <c r="J190" s="1"/>
      <c r="K190" s="1"/>
      <c r="L190" s="1"/>
    </row>
    <row r="191" spans="1:12" s="2" customFormat="1" ht="18" customHeight="1">
      <c r="A191" s="25"/>
      <c r="B191" s="78"/>
      <c r="C191" s="26"/>
      <c r="D191" s="25"/>
      <c r="E191" s="23"/>
      <c r="F191" s="25"/>
      <c r="G191" s="23"/>
      <c r="H191" s="23"/>
      <c r="J191" s="1"/>
      <c r="K191" s="1"/>
      <c r="L191" s="1"/>
    </row>
    <row r="192" spans="1:12" s="2" customFormat="1" ht="18" customHeight="1">
      <c r="A192" s="25"/>
      <c r="B192" s="78"/>
      <c r="C192" s="26"/>
      <c r="D192" s="25"/>
      <c r="E192" s="23"/>
      <c r="F192" s="25"/>
      <c r="G192" s="23"/>
      <c r="H192" s="23"/>
      <c r="J192" s="1"/>
      <c r="K192" s="1"/>
      <c r="L192" s="1"/>
    </row>
    <row r="193" spans="1:12" s="2" customFormat="1" ht="18" customHeight="1">
      <c r="A193" s="25"/>
      <c r="B193" s="78"/>
      <c r="C193" s="26"/>
      <c r="D193" s="25"/>
      <c r="E193" s="23"/>
      <c r="F193" s="25"/>
      <c r="G193" s="23"/>
      <c r="H193" s="23"/>
      <c r="J193" s="1"/>
      <c r="K193" s="1"/>
      <c r="L193" s="1"/>
    </row>
    <row r="194" spans="1:12" s="2" customFormat="1" ht="18" customHeight="1">
      <c r="A194" s="25"/>
      <c r="B194" s="78"/>
      <c r="C194" s="26"/>
      <c r="D194" s="25"/>
      <c r="E194" s="23"/>
      <c r="F194" s="25"/>
      <c r="G194" s="23"/>
      <c r="H194" s="23"/>
      <c r="J194" s="1"/>
      <c r="K194" s="1"/>
      <c r="L194" s="1"/>
    </row>
    <row r="195" spans="1:12" s="2" customFormat="1" ht="18" customHeight="1">
      <c r="A195" s="25"/>
      <c r="B195" s="78"/>
      <c r="C195" s="26"/>
      <c r="D195" s="25"/>
      <c r="E195" s="23"/>
      <c r="F195" s="25"/>
      <c r="G195" s="23"/>
      <c r="H195" s="23"/>
      <c r="J195" s="1"/>
      <c r="K195" s="1"/>
      <c r="L195" s="1"/>
    </row>
    <row r="196" spans="1:12" s="2" customFormat="1" ht="18" customHeight="1">
      <c r="A196" s="25"/>
      <c r="B196" s="78"/>
      <c r="C196" s="26"/>
      <c r="D196" s="25"/>
      <c r="E196" s="23"/>
      <c r="F196" s="25"/>
      <c r="G196" s="23"/>
      <c r="H196" s="23"/>
      <c r="J196" s="1"/>
      <c r="K196" s="1"/>
      <c r="L196" s="1"/>
    </row>
    <row r="197" spans="1:12" s="2" customFormat="1" ht="18" customHeight="1">
      <c r="A197" s="25"/>
      <c r="B197" s="78"/>
      <c r="C197" s="26"/>
      <c r="D197" s="25"/>
      <c r="E197" s="23"/>
      <c r="F197" s="25"/>
      <c r="G197" s="23"/>
      <c r="H197" s="23"/>
      <c r="J197" s="1"/>
      <c r="K197" s="1"/>
      <c r="L197" s="1"/>
    </row>
    <row r="198" spans="1:12" s="2" customFormat="1" ht="18" customHeight="1">
      <c r="A198" s="25"/>
      <c r="B198" s="78"/>
      <c r="C198" s="26"/>
      <c r="D198" s="25"/>
      <c r="E198" s="23"/>
      <c r="F198" s="25"/>
      <c r="G198" s="23"/>
      <c r="H198" s="23"/>
      <c r="J198" s="1"/>
      <c r="K198" s="1"/>
      <c r="L198" s="1"/>
    </row>
    <row r="199" spans="1:12" s="2" customFormat="1" ht="18" customHeight="1">
      <c r="A199" s="25"/>
      <c r="B199" s="78"/>
      <c r="C199" s="26"/>
      <c r="D199" s="25"/>
      <c r="E199" s="23"/>
      <c r="F199" s="25"/>
      <c r="G199" s="23"/>
      <c r="H199" s="23"/>
      <c r="J199" s="1"/>
      <c r="K199" s="1"/>
      <c r="L199" s="1"/>
    </row>
    <row r="200" spans="1:12" s="2" customFormat="1" ht="18" customHeight="1">
      <c r="A200" s="25"/>
      <c r="B200" s="78"/>
      <c r="C200" s="26"/>
      <c r="D200" s="25"/>
      <c r="E200" s="23"/>
      <c r="F200" s="25"/>
      <c r="G200" s="23"/>
      <c r="H200" s="23"/>
      <c r="J200" s="1"/>
      <c r="K200" s="1"/>
      <c r="L200" s="1"/>
    </row>
    <row r="201" spans="1:12" s="2" customFormat="1" ht="18" customHeight="1">
      <c r="A201" s="25"/>
      <c r="B201" s="78"/>
      <c r="C201" s="26"/>
      <c r="D201" s="25"/>
      <c r="E201" s="23"/>
      <c r="F201" s="25"/>
      <c r="G201" s="23"/>
      <c r="H201" s="23"/>
      <c r="J201" s="1"/>
      <c r="K201" s="1"/>
      <c r="L201" s="1"/>
    </row>
    <row r="202" spans="1:12" s="2" customFormat="1" ht="18" customHeight="1">
      <c r="A202" s="25"/>
      <c r="B202" s="78"/>
      <c r="C202" s="26"/>
      <c r="D202" s="25"/>
      <c r="E202" s="23"/>
      <c r="F202" s="25"/>
      <c r="G202" s="23"/>
      <c r="H202" s="23"/>
      <c r="J202" s="1"/>
      <c r="K202" s="1"/>
      <c r="L202" s="1"/>
    </row>
    <row r="203" spans="1:12" s="2" customFormat="1" ht="18" customHeight="1">
      <c r="A203" s="25"/>
      <c r="B203" s="78"/>
      <c r="C203" s="26"/>
      <c r="D203" s="25"/>
      <c r="E203" s="23"/>
      <c r="F203" s="25"/>
      <c r="G203" s="23"/>
      <c r="H203" s="23"/>
      <c r="J203" s="1"/>
      <c r="K203" s="1"/>
      <c r="L203" s="1"/>
    </row>
    <row r="204" spans="1:12" s="2" customFormat="1" ht="18" customHeight="1">
      <c r="A204" s="25"/>
      <c r="B204" s="78"/>
      <c r="C204" s="26"/>
      <c r="D204" s="25"/>
      <c r="E204" s="23"/>
      <c r="F204" s="25"/>
      <c r="G204" s="23"/>
      <c r="H204" s="23"/>
      <c r="J204" s="1"/>
      <c r="K204" s="1"/>
      <c r="L204" s="1"/>
    </row>
    <row r="205" spans="1:12" s="2" customFormat="1" ht="18" customHeight="1">
      <c r="A205" s="25"/>
      <c r="B205" s="78"/>
      <c r="C205" s="26"/>
      <c r="D205" s="25"/>
      <c r="E205" s="23"/>
      <c r="F205" s="25"/>
      <c r="G205" s="23"/>
      <c r="H205" s="23"/>
      <c r="J205" s="1"/>
      <c r="K205" s="1"/>
      <c r="L205" s="1"/>
    </row>
    <row r="206" spans="1:12" s="2" customFormat="1" ht="18" customHeight="1">
      <c r="A206" s="25"/>
      <c r="B206" s="78"/>
      <c r="C206" s="26"/>
      <c r="D206" s="25"/>
      <c r="E206" s="23"/>
      <c r="F206" s="25"/>
      <c r="G206" s="23"/>
      <c r="H206" s="23"/>
      <c r="J206" s="1"/>
      <c r="K206" s="1"/>
      <c r="L206" s="1"/>
    </row>
    <row r="207" spans="1:12" s="2" customFormat="1" ht="18" customHeight="1">
      <c r="A207" s="25"/>
      <c r="B207" s="78"/>
      <c r="C207" s="26"/>
      <c r="D207" s="25"/>
      <c r="E207" s="23"/>
      <c r="F207" s="25"/>
      <c r="G207" s="23"/>
      <c r="H207" s="23"/>
      <c r="J207" s="1"/>
      <c r="K207" s="1"/>
      <c r="L207" s="1"/>
    </row>
    <row r="208" spans="1:12" s="2" customFormat="1" ht="18" customHeight="1">
      <c r="A208" s="25"/>
      <c r="B208" s="78"/>
      <c r="C208" s="26"/>
      <c r="D208" s="25"/>
      <c r="E208" s="23"/>
      <c r="F208" s="25"/>
      <c r="G208" s="23"/>
      <c r="H208" s="23"/>
      <c r="J208" s="1"/>
      <c r="K208" s="1"/>
      <c r="L208" s="1"/>
    </row>
    <row r="209" spans="1:12" s="2" customFormat="1" ht="18" customHeight="1">
      <c r="A209" s="25"/>
      <c r="B209" s="78"/>
      <c r="C209" s="26"/>
      <c r="D209" s="25"/>
      <c r="E209" s="23"/>
      <c r="F209" s="25"/>
      <c r="G209" s="23"/>
      <c r="H209" s="23"/>
      <c r="J209" s="1"/>
      <c r="K209" s="1"/>
      <c r="L209" s="1"/>
    </row>
    <row r="210" spans="1:12" s="2" customFormat="1" ht="18" customHeight="1">
      <c r="A210" s="25"/>
      <c r="B210" s="78"/>
      <c r="C210" s="26"/>
      <c r="D210" s="25"/>
      <c r="E210" s="23"/>
      <c r="F210" s="25"/>
      <c r="G210" s="23"/>
      <c r="H210" s="23"/>
      <c r="J210" s="1"/>
      <c r="K210" s="1"/>
      <c r="L210" s="1"/>
    </row>
    <row r="211" spans="1:12" s="2" customFormat="1" ht="18" customHeight="1">
      <c r="A211" s="25"/>
      <c r="B211" s="78"/>
      <c r="C211" s="26"/>
      <c r="D211" s="25"/>
      <c r="E211" s="23"/>
      <c r="F211" s="25"/>
      <c r="G211" s="23"/>
      <c r="H211" s="23"/>
      <c r="J211" s="1"/>
      <c r="K211" s="1"/>
      <c r="L211" s="1"/>
    </row>
    <row r="212" spans="1:12" s="2" customFormat="1" ht="18" customHeight="1">
      <c r="A212" s="25"/>
      <c r="B212" s="78"/>
      <c r="C212" s="26"/>
      <c r="D212" s="25"/>
      <c r="E212" s="23"/>
      <c r="F212" s="25"/>
      <c r="G212" s="23"/>
      <c r="H212" s="23"/>
      <c r="J212" s="1"/>
      <c r="K212" s="1"/>
      <c r="L212" s="1"/>
    </row>
    <row r="213" spans="1:12" s="2" customFormat="1" ht="18" customHeight="1">
      <c r="A213" s="25"/>
      <c r="B213" s="78"/>
      <c r="C213" s="26"/>
      <c r="D213" s="25"/>
      <c r="E213" s="23"/>
      <c r="F213" s="25"/>
      <c r="G213" s="23"/>
      <c r="H213" s="23"/>
      <c r="J213" s="1"/>
      <c r="K213" s="1"/>
      <c r="L213" s="1"/>
    </row>
    <row r="214" spans="1:12" s="2" customFormat="1" ht="18" customHeight="1">
      <c r="A214" s="25"/>
      <c r="B214" s="78"/>
      <c r="C214" s="26"/>
      <c r="D214" s="25"/>
      <c r="E214" s="23"/>
      <c r="F214" s="25"/>
      <c r="G214" s="23"/>
      <c r="H214" s="23"/>
      <c r="J214" s="1"/>
      <c r="K214" s="1"/>
      <c r="L214" s="1"/>
    </row>
    <row r="215" spans="1:12" ht="18" customHeight="1">
      <c r="A215" s="25"/>
      <c r="B215" s="78"/>
      <c r="C215" s="26"/>
      <c r="D215" s="25"/>
      <c r="E215" s="23"/>
      <c r="F215" s="25"/>
      <c r="G215" s="23"/>
      <c r="H215" s="23"/>
    </row>
    <row r="216" spans="1:12" ht="18" customHeight="1">
      <c r="A216" s="25"/>
      <c r="B216" s="78"/>
      <c r="C216" s="26"/>
      <c r="D216" s="25"/>
      <c r="E216" s="23"/>
      <c r="F216" s="25"/>
      <c r="G216" s="23"/>
      <c r="H216" s="23"/>
    </row>
    <row r="217" spans="1:12" ht="18" customHeight="1">
      <c r="A217" s="25"/>
      <c r="B217" s="78"/>
      <c r="C217" s="26"/>
      <c r="D217" s="25"/>
      <c r="E217" s="23"/>
      <c r="F217" s="25"/>
      <c r="G217" s="23"/>
      <c r="H217" s="23"/>
      <c r="I217" s="26"/>
      <c r="J217" s="27"/>
    </row>
    <row r="218" spans="1:12" ht="18" customHeight="1">
      <c r="A218" s="25"/>
      <c r="B218" s="78"/>
      <c r="C218" s="26"/>
      <c r="D218" s="25"/>
      <c r="E218" s="23"/>
      <c r="F218" s="25"/>
      <c r="G218" s="23"/>
      <c r="H218" s="23"/>
    </row>
    <row r="219" spans="1:12" ht="18" customHeight="1">
      <c r="A219" s="25"/>
      <c r="B219" s="78"/>
      <c r="C219" s="26"/>
      <c r="D219" s="25"/>
      <c r="E219" s="23"/>
      <c r="F219" s="25"/>
      <c r="G219" s="23"/>
      <c r="H219" s="23"/>
    </row>
    <row r="220" spans="1:12" ht="18" customHeight="1">
      <c r="A220" s="25"/>
      <c r="B220" s="78"/>
      <c r="C220" s="26"/>
      <c r="D220" s="25"/>
      <c r="E220" s="23"/>
      <c r="F220" s="25"/>
      <c r="G220" s="23"/>
      <c r="H220" s="23"/>
    </row>
    <row r="221" spans="1:12" ht="18" customHeight="1">
      <c r="A221" s="25"/>
      <c r="B221" s="78"/>
      <c r="C221" s="26"/>
      <c r="D221" s="25"/>
      <c r="E221" s="23"/>
      <c r="F221" s="25"/>
      <c r="G221" s="23"/>
      <c r="H221" s="23"/>
    </row>
    <row r="222" spans="1:12" ht="18" customHeight="1">
      <c r="A222" s="25"/>
      <c r="B222" s="78"/>
      <c r="C222" s="26"/>
      <c r="D222" s="25"/>
      <c r="E222" s="23"/>
      <c r="F222" s="25"/>
      <c r="G222" s="23"/>
      <c r="H222" s="23"/>
    </row>
    <row r="223" spans="1:12" ht="18" customHeight="1">
      <c r="A223" s="25"/>
      <c r="B223" s="78"/>
      <c r="C223" s="26"/>
      <c r="D223" s="25"/>
      <c r="E223" s="23"/>
      <c r="F223" s="25"/>
      <c r="G223" s="23"/>
      <c r="H223" s="23"/>
    </row>
    <row r="224" spans="1:12" ht="18" customHeight="1">
      <c r="A224" s="25"/>
      <c r="B224" s="78"/>
      <c r="C224" s="26"/>
      <c r="D224" s="25"/>
      <c r="E224" s="23"/>
      <c r="F224" s="25"/>
      <c r="G224" s="23"/>
      <c r="H224" s="23"/>
    </row>
    <row r="225" spans="1:12" ht="18" customHeight="1">
      <c r="A225" s="25"/>
      <c r="B225" s="78"/>
      <c r="C225" s="26"/>
      <c r="D225" s="25"/>
      <c r="E225" s="23"/>
      <c r="F225" s="25"/>
      <c r="G225" s="23"/>
      <c r="H225" s="23"/>
    </row>
    <row r="226" spans="1:12" ht="18" customHeight="1">
      <c r="A226" s="25"/>
      <c r="B226" s="78"/>
      <c r="C226" s="26"/>
      <c r="D226" s="25"/>
      <c r="E226" s="23"/>
      <c r="F226" s="25"/>
      <c r="G226" s="23"/>
      <c r="H226" s="23"/>
    </row>
    <row r="227" spans="1:12" ht="18" customHeight="1">
      <c r="A227" s="25"/>
      <c r="B227" s="78"/>
      <c r="C227" s="26"/>
      <c r="D227" s="25"/>
      <c r="E227" s="23"/>
      <c r="F227" s="25"/>
      <c r="G227" s="23"/>
      <c r="H227" s="23"/>
    </row>
    <row r="228" spans="1:12" ht="18" customHeight="1">
      <c r="A228" s="25"/>
      <c r="B228" s="78"/>
      <c r="C228" s="26"/>
      <c r="D228" s="25"/>
      <c r="E228" s="23"/>
      <c r="F228" s="25"/>
      <c r="G228" s="23"/>
      <c r="H228" s="23"/>
    </row>
    <row r="229" spans="1:12" ht="18" customHeight="1">
      <c r="A229" s="25"/>
      <c r="B229" s="78"/>
      <c r="C229" s="26"/>
      <c r="D229" s="25"/>
      <c r="E229" s="23"/>
      <c r="F229" s="25"/>
      <c r="G229" s="23"/>
      <c r="H229" s="23"/>
    </row>
    <row r="230" spans="1:12" ht="18" customHeight="1">
      <c r="A230" s="25"/>
      <c r="B230" s="78"/>
      <c r="C230" s="26"/>
      <c r="D230" s="25"/>
      <c r="E230" s="23"/>
      <c r="F230" s="25"/>
      <c r="G230" s="23"/>
      <c r="H230" s="23"/>
    </row>
    <row r="231" spans="1:12" s="2" customFormat="1" ht="18" customHeight="1">
      <c r="A231" s="25"/>
      <c r="B231" s="78"/>
      <c r="C231" s="26"/>
      <c r="D231" s="25"/>
      <c r="E231" s="23"/>
      <c r="F231" s="25"/>
      <c r="G231" s="23"/>
      <c r="H231" s="23"/>
      <c r="J231" s="1"/>
      <c r="K231" s="1"/>
      <c r="L231" s="1"/>
    </row>
    <row r="232" spans="1:12" s="2" customFormat="1" ht="18" customHeight="1">
      <c r="A232" s="25"/>
      <c r="B232" s="78"/>
      <c r="C232" s="26"/>
      <c r="D232" s="25"/>
      <c r="E232" s="23"/>
      <c r="F232" s="25"/>
      <c r="G232" s="23"/>
      <c r="H232" s="23"/>
      <c r="J232" s="1"/>
      <c r="K232" s="1"/>
      <c r="L232" s="1"/>
    </row>
    <row r="233" spans="1:12" s="2" customFormat="1" ht="18" customHeight="1">
      <c r="A233" s="25"/>
      <c r="B233" s="78"/>
      <c r="C233" s="26"/>
      <c r="D233" s="25"/>
      <c r="E233" s="23"/>
      <c r="F233" s="25"/>
      <c r="G233" s="23"/>
      <c r="H233" s="23"/>
      <c r="J233" s="1"/>
      <c r="K233" s="1"/>
      <c r="L233" s="1"/>
    </row>
    <row r="234" spans="1:12" s="2" customFormat="1" ht="18" customHeight="1">
      <c r="A234" s="25"/>
      <c r="B234" s="78"/>
      <c r="C234" s="26"/>
      <c r="D234" s="25"/>
      <c r="E234" s="23"/>
      <c r="F234" s="25"/>
      <c r="G234" s="23"/>
      <c r="H234" s="23"/>
      <c r="J234" s="1"/>
      <c r="K234" s="1"/>
      <c r="L234" s="1"/>
    </row>
    <row r="235" spans="1:12" s="2" customFormat="1" ht="18" customHeight="1">
      <c r="A235" s="25"/>
      <c r="B235" s="78"/>
      <c r="C235" s="26"/>
      <c r="D235" s="25"/>
      <c r="E235" s="23"/>
      <c r="F235" s="25"/>
      <c r="G235" s="23"/>
      <c r="H235" s="23"/>
      <c r="J235" s="1"/>
      <c r="K235" s="1"/>
      <c r="L235" s="1"/>
    </row>
    <row r="236" spans="1:12" s="2" customFormat="1" ht="18" customHeight="1">
      <c r="A236" s="25"/>
      <c r="B236" s="78"/>
      <c r="C236" s="26"/>
      <c r="D236" s="25"/>
      <c r="E236" s="23"/>
      <c r="F236" s="25"/>
      <c r="G236" s="23"/>
      <c r="H236" s="23"/>
      <c r="J236" s="1"/>
      <c r="K236" s="1"/>
      <c r="L236" s="1"/>
    </row>
    <row r="237" spans="1:12" s="2" customFormat="1" ht="18" customHeight="1">
      <c r="A237" s="25"/>
      <c r="B237" s="78"/>
      <c r="C237" s="26"/>
      <c r="D237" s="25"/>
      <c r="E237" s="23"/>
      <c r="F237" s="25"/>
      <c r="G237" s="23"/>
      <c r="H237" s="23"/>
      <c r="J237" s="1"/>
      <c r="K237" s="1"/>
      <c r="L237" s="1"/>
    </row>
    <row r="238" spans="1:12" s="2" customFormat="1" ht="18" customHeight="1">
      <c r="A238" s="25"/>
      <c r="B238" s="78"/>
      <c r="C238" s="26"/>
      <c r="D238" s="25"/>
      <c r="E238" s="23"/>
      <c r="F238" s="25"/>
      <c r="G238" s="23"/>
      <c r="H238" s="23"/>
      <c r="J238" s="1"/>
      <c r="K238" s="1"/>
      <c r="L238" s="1"/>
    </row>
    <row r="239" spans="1:12" s="2" customFormat="1" ht="18" customHeight="1">
      <c r="A239" s="25"/>
      <c r="B239" s="78"/>
      <c r="C239" s="26"/>
      <c r="D239" s="25"/>
      <c r="E239" s="23"/>
      <c r="F239" s="25"/>
      <c r="G239" s="23"/>
      <c r="H239" s="23"/>
      <c r="J239" s="1"/>
      <c r="K239" s="1"/>
      <c r="L239" s="1"/>
    </row>
    <row r="240" spans="1:12" s="2" customFormat="1" ht="18" customHeight="1">
      <c r="A240" s="25"/>
      <c r="B240" s="78"/>
      <c r="C240" s="26"/>
      <c r="D240" s="25"/>
      <c r="E240" s="23"/>
      <c r="F240" s="25"/>
      <c r="G240" s="23"/>
      <c r="H240" s="23"/>
      <c r="J240" s="1"/>
      <c r="K240" s="1"/>
      <c r="L240" s="1"/>
    </row>
    <row r="241" spans="1:12" s="2" customFormat="1" ht="18" customHeight="1">
      <c r="A241" s="25"/>
      <c r="B241" s="78"/>
      <c r="C241" s="26"/>
      <c r="D241" s="25"/>
      <c r="E241" s="23"/>
      <c r="F241" s="25"/>
      <c r="G241" s="23"/>
      <c r="H241" s="23"/>
      <c r="J241" s="1"/>
      <c r="K241" s="1"/>
      <c r="L241" s="1"/>
    </row>
    <row r="242" spans="1:12" s="2" customFormat="1" ht="18" customHeight="1">
      <c r="A242" s="25"/>
      <c r="B242" s="78"/>
      <c r="C242" s="26"/>
      <c r="D242" s="25"/>
      <c r="E242" s="23"/>
      <c r="F242" s="25"/>
      <c r="G242" s="23"/>
      <c r="H242" s="23"/>
      <c r="J242" s="1"/>
      <c r="K242" s="1"/>
      <c r="L242" s="1"/>
    </row>
    <row r="243" spans="1:12" s="2" customFormat="1" ht="18" customHeight="1">
      <c r="A243" s="25"/>
      <c r="B243" s="78"/>
      <c r="C243" s="26"/>
      <c r="D243" s="25"/>
      <c r="E243" s="23"/>
      <c r="F243" s="25"/>
      <c r="G243" s="23"/>
      <c r="H243" s="23"/>
      <c r="J243" s="1"/>
      <c r="K243" s="1"/>
      <c r="L243" s="1"/>
    </row>
    <row r="244" spans="1:12" s="2" customFormat="1" ht="18" customHeight="1">
      <c r="A244" s="25"/>
      <c r="B244" s="78"/>
      <c r="C244" s="26"/>
      <c r="D244" s="25"/>
      <c r="E244" s="23"/>
      <c r="F244" s="25"/>
      <c r="G244" s="23"/>
      <c r="H244" s="23"/>
      <c r="J244" s="1"/>
      <c r="K244" s="1"/>
      <c r="L244" s="1"/>
    </row>
    <row r="245" spans="1:12" s="2" customFormat="1" ht="18" customHeight="1">
      <c r="A245" s="25"/>
      <c r="B245" s="78"/>
      <c r="C245" s="26"/>
      <c r="D245" s="25"/>
      <c r="E245" s="23"/>
      <c r="F245" s="25"/>
      <c r="G245" s="23"/>
      <c r="H245" s="23"/>
      <c r="J245" s="1"/>
      <c r="K245" s="1"/>
      <c r="L245" s="1"/>
    </row>
    <row r="246" spans="1:12" s="2" customFormat="1" ht="18" customHeight="1">
      <c r="A246" s="25"/>
      <c r="B246" s="78"/>
      <c r="C246" s="26"/>
      <c r="D246" s="25"/>
      <c r="E246" s="23"/>
      <c r="F246" s="25"/>
      <c r="G246" s="23"/>
      <c r="H246" s="23"/>
      <c r="J246" s="1"/>
      <c r="K246" s="1"/>
      <c r="L246" s="1"/>
    </row>
    <row r="247" spans="1:12" s="2" customFormat="1" ht="18" customHeight="1">
      <c r="A247" s="25"/>
      <c r="B247" s="78"/>
      <c r="C247" s="26"/>
      <c r="D247" s="25"/>
      <c r="E247" s="23"/>
      <c r="F247" s="25"/>
      <c r="G247" s="23"/>
      <c r="H247" s="23"/>
      <c r="J247" s="1"/>
      <c r="K247" s="1"/>
      <c r="L247" s="1"/>
    </row>
    <row r="248" spans="1:12" s="2" customFormat="1" ht="18" customHeight="1">
      <c r="A248" s="25"/>
      <c r="B248" s="78"/>
      <c r="C248" s="26"/>
      <c r="D248" s="25"/>
      <c r="E248" s="23"/>
      <c r="F248" s="25"/>
      <c r="G248" s="23"/>
      <c r="H248" s="23"/>
      <c r="J248" s="1"/>
      <c r="K248" s="1"/>
      <c r="L248" s="1"/>
    </row>
    <row r="249" spans="1:12" s="2" customFormat="1" ht="18" customHeight="1">
      <c r="A249" s="25"/>
      <c r="B249" s="78"/>
      <c r="C249" s="26"/>
      <c r="D249" s="25"/>
      <c r="E249" s="23"/>
      <c r="F249" s="25"/>
      <c r="G249" s="23"/>
      <c r="H249" s="23"/>
      <c r="J249" s="1"/>
      <c r="K249" s="1"/>
      <c r="L249" s="1"/>
    </row>
    <row r="250" spans="1:12" s="2" customFormat="1" ht="18" customHeight="1">
      <c r="A250" s="25"/>
      <c r="B250" s="78"/>
      <c r="C250" s="26"/>
      <c r="D250" s="25"/>
      <c r="E250" s="23"/>
      <c r="F250" s="25"/>
      <c r="G250" s="23"/>
      <c r="H250" s="23"/>
      <c r="J250" s="1"/>
      <c r="K250" s="1"/>
      <c r="L250" s="1"/>
    </row>
    <row r="251" spans="1:12" s="2" customFormat="1" ht="18" customHeight="1">
      <c r="A251" s="25"/>
      <c r="B251" s="78"/>
      <c r="C251" s="26"/>
      <c r="D251" s="25"/>
      <c r="E251" s="23"/>
      <c r="F251" s="25"/>
      <c r="G251" s="23"/>
      <c r="H251" s="23"/>
      <c r="J251" s="1"/>
      <c r="K251" s="1"/>
      <c r="L251" s="1"/>
    </row>
    <row r="252" spans="1:12" s="2" customFormat="1" ht="18" customHeight="1">
      <c r="A252" s="25"/>
      <c r="B252" s="78"/>
      <c r="C252" s="26"/>
      <c r="D252" s="25"/>
      <c r="E252" s="23"/>
      <c r="F252" s="25"/>
      <c r="G252" s="23"/>
      <c r="H252" s="23"/>
      <c r="J252" s="1"/>
      <c r="K252" s="1"/>
      <c r="L252" s="1"/>
    </row>
    <row r="253" spans="1:12" s="2" customFormat="1" ht="18" customHeight="1">
      <c r="A253" s="25"/>
      <c r="B253" s="78"/>
      <c r="C253" s="26"/>
      <c r="D253" s="25"/>
      <c r="E253" s="23"/>
      <c r="F253" s="25"/>
      <c r="G253" s="23"/>
      <c r="H253" s="23"/>
      <c r="J253" s="1"/>
      <c r="K253" s="1"/>
      <c r="L253" s="1"/>
    </row>
    <row r="254" spans="1:12" s="2" customFormat="1" ht="18" customHeight="1">
      <c r="A254" s="25"/>
      <c r="B254" s="78"/>
      <c r="C254" s="26"/>
      <c r="D254" s="25"/>
      <c r="E254" s="23"/>
      <c r="F254" s="25"/>
      <c r="G254" s="23"/>
      <c r="H254" s="23"/>
      <c r="J254" s="1"/>
      <c r="K254" s="1"/>
      <c r="L254" s="1"/>
    </row>
    <row r="255" spans="1:12" s="2" customFormat="1" ht="18" customHeight="1">
      <c r="A255" s="25"/>
      <c r="B255" s="78"/>
      <c r="C255" s="26"/>
      <c r="D255" s="25"/>
      <c r="E255" s="23"/>
      <c r="F255" s="25"/>
      <c r="G255" s="23"/>
      <c r="H255" s="23"/>
      <c r="J255" s="1"/>
      <c r="K255" s="1"/>
      <c r="L255" s="1"/>
    </row>
    <row r="256" spans="1:12" s="2" customFormat="1" ht="18" customHeight="1">
      <c r="A256" s="25"/>
      <c r="B256" s="78"/>
      <c r="C256" s="26"/>
      <c r="D256" s="25"/>
      <c r="E256" s="23"/>
      <c r="F256" s="25"/>
      <c r="G256" s="23"/>
      <c r="H256" s="23"/>
      <c r="J256" s="1"/>
      <c r="K256" s="1"/>
      <c r="L256" s="1"/>
    </row>
    <row r="257" spans="1:12" s="2" customFormat="1" ht="18" customHeight="1">
      <c r="A257" s="25"/>
      <c r="B257" s="78"/>
      <c r="C257" s="26"/>
      <c r="D257" s="25"/>
      <c r="E257" s="23"/>
      <c r="F257" s="25"/>
      <c r="G257" s="23"/>
      <c r="H257" s="23"/>
      <c r="J257" s="1"/>
      <c r="K257" s="1"/>
      <c r="L257" s="1"/>
    </row>
    <row r="258" spans="1:12" s="2" customFormat="1" ht="18" customHeight="1">
      <c r="A258" s="25"/>
      <c r="B258" s="78"/>
      <c r="C258" s="26"/>
      <c r="D258" s="25"/>
      <c r="E258" s="23"/>
      <c r="F258" s="25"/>
      <c r="G258" s="23"/>
      <c r="H258" s="23"/>
      <c r="J258" s="1"/>
      <c r="K258" s="1"/>
      <c r="L258" s="1"/>
    </row>
    <row r="259" spans="1:12" s="2" customFormat="1" ht="18" customHeight="1">
      <c r="A259" s="25"/>
      <c r="B259" s="78"/>
      <c r="C259" s="26"/>
      <c r="D259" s="25"/>
      <c r="E259" s="23"/>
      <c r="F259" s="25"/>
      <c r="G259" s="23"/>
      <c r="H259" s="23"/>
      <c r="J259" s="1"/>
      <c r="K259" s="1"/>
      <c r="L259" s="1"/>
    </row>
    <row r="260" spans="1:12" s="2" customFormat="1" ht="18" customHeight="1">
      <c r="A260" s="25"/>
      <c r="B260" s="78"/>
      <c r="C260" s="26"/>
      <c r="D260" s="25"/>
      <c r="E260" s="23"/>
      <c r="F260" s="25"/>
      <c r="G260" s="23"/>
      <c r="H260" s="23"/>
      <c r="J260" s="1"/>
      <c r="K260" s="1"/>
      <c r="L260" s="1"/>
    </row>
    <row r="261" spans="1:12" s="2" customFormat="1" ht="18" customHeight="1">
      <c r="A261" s="25"/>
      <c r="B261" s="78"/>
      <c r="C261" s="26"/>
      <c r="D261" s="25"/>
      <c r="E261" s="23"/>
      <c r="F261" s="25"/>
      <c r="G261" s="23"/>
      <c r="H261" s="23"/>
      <c r="J261" s="1"/>
      <c r="K261" s="1"/>
      <c r="L261" s="1"/>
    </row>
    <row r="262" spans="1:12" s="2" customFormat="1" ht="18" customHeight="1">
      <c r="A262" s="25"/>
      <c r="B262" s="78"/>
      <c r="C262" s="26"/>
      <c r="D262" s="25"/>
      <c r="E262" s="23"/>
      <c r="F262" s="25"/>
      <c r="G262" s="23"/>
      <c r="H262" s="23"/>
      <c r="J262" s="1"/>
      <c r="K262" s="1"/>
      <c r="L262" s="1"/>
    </row>
    <row r="263" spans="1:12" s="2" customFormat="1" ht="18" customHeight="1">
      <c r="A263" s="25"/>
      <c r="B263" s="78"/>
      <c r="C263" s="26"/>
      <c r="D263" s="25"/>
      <c r="E263" s="23"/>
      <c r="F263" s="25"/>
      <c r="G263" s="23"/>
      <c r="H263" s="23"/>
      <c r="J263" s="1"/>
      <c r="K263" s="1"/>
      <c r="L263" s="1"/>
    </row>
    <row r="264" spans="1:12" s="2" customFormat="1" ht="18" customHeight="1">
      <c r="A264" s="25"/>
      <c r="B264" s="78"/>
      <c r="C264" s="26"/>
      <c r="D264" s="25"/>
      <c r="E264" s="23"/>
      <c r="F264" s="25"/>
      <c r="G264" s="23"/>
      <c r="H264" s="23"/>
      <c r="J264" s="1"/>
      <c r="K264" s="1"/>
      <c r="L264" s="1"/>
    </row>
    <row r="265" spans="1:12" s="2" customFormat="1" ht="18" customHeight="1">
      <c r="A265" s="25"/>
      <c r="B265" s="78"/>
      <c r="C265" s="26"/>
      <c r="D265" s="25"/>
      <c r="E265" s="23"/>
      <c r="F265" s="25"/>
      <c r="G265" s="23"/>
      <c r="H265" s="23"/>
      <c r="J265" s="1"/>
      <c r="K265" s="1"/>
      <c r="L265" s="1"/>
    </row>
    <row r="266" spans="1:12" s="2" customFormat="1" ht="18" customHeight="1">
      <c r="A266" s="25"/>
      <c r="B266" s="78"/>
      <c r="C266" s="26"/>
      <c r="D266" s="25"/>
      <c r="E266" s="23"/>
      <c r="F266" s="25"/>
      <c r="G266" s="23"/>
      <c r="H266" s="23"/>
      <c r="J266" s="1"/>
      <c r="K266" s="1"/>
      <c r="L266" s="1"/>
    </row>
    <row r="267" spans="1:12" s="2" customFormat="1" ht="18" customHeight="1">
      <c r="A267" s="25"/>
      <c r="B267" s="78"/>
      <c r="C267" s="26"/>
      <c r="D267" s="25"/>
      <c r="E267" s="23"/>
      <c r="F267" s="25"/>
      <c r="G267" s="23"/>
      <c r="H267" s="23"/>
      <c r="J267" s="1"/>
      <c r="K267" s="1"/>
      <c r="L267" s="1"/>
    </row>
    <row r="268" spans="1:12" s="2" customFormat="1" ht="18" customHeight="1">
      <c r="A268" s="25"/>
      <c r="B268" s="78"/>
      <c r="C268" s="26"/>
      <c r="D268" s="25"/>
      <c r="E268" s="23"/>
      <c r="F268" s="25"/>
      <c r="G268" s="23"/>
      <c r="H268" s="23"/>
      <c r="J268" s="1"/>
      <c r="K268" s="1"/>
      <c r="L268" s="1"/>
    </row>
    <row r="269" spans="1:12" s="2" customFormat="1" ht="18" customHeight="1">
      <c r="A269" s="25"/>
      <c r="B269" s="78"/>
      <c r="C269" s="26"/>
      <c r="D269" s="25"/>
      <c r="E269" s="23"/>
      <c r="F269" s="25"/>
      <c r="G269" s="23"/>
      <c r="H269" s="23"/>
      <c r="J269" s="1"/>
      <c r="K269" s="1"/>
      <c r="L269" s="1"/>
    </row>
    <row r="270" spans="1:12" s="2" customFormat="1" ht="18" customHeight="1">
      <c r="A270" s="25"/>
      <c r="B270" s="78"/>
      <c r="C270" s="26"/>
      <c r="D270" s="25"/>
      <c r="E270" s="23"/>
      <c r="F270" s="25"/>
      <c r="G270" s="23"/>
      <c r="H270" s="23"/>
      <c r="J270" s="1"/>
      <c r="K270" s="1"/>
      <c r="L270" s="1"/>
    </row>
    <row r="271" spans="1:12" s="2" customFormat="1" ht="18" customHeight="1">
      <c r="A271" s="25"/>
      <c r="B271" s="78"/>
      <c r="C271" s="26"/>
      <c r="D271" s="25"/>
      <c r="E271" s="23"/>
      <c r="F271" s="25"/>
      <c r="G271" s="23"/>
      <c r="H271" s="23"/>
      <c r="J271" s="1"/>
      <c r="K271" s="1"/>
      <c r="L271" s="1"/>
    </row>
    <row r="272" spans="1:12" s="2" customFormat="1" ht="18" customHeight="1">
      <c r="A272" s="25"/>
      <c r="B272" s="78"/>
      <c r="C272" s="26"/>
      <c r="D272" s="25"/>
      <c r="E272" s="23"/>
      <c r="F272" s="25"/>
      <c r="G272" s="23"/>
      <c r="H272" s="23"/>
      <c r="J272" s="1"/>
      <c r="K272" s="1"/>
      <c r="L272" s="1"/>
    </row>
    <row r="273" spans="1:12" s="2" customFormat="1" ht="18" customHeight="1">
      <c r="A273" s="25"/>
      <c r="B273" s="78"/>
      <c r="C273" s="26"/>
      <c r="D273" s="25"/>
      <c r="E273" s="23"/>
      <c r="F273" s="25"/>
      <c r="G273" s="23"/>
      <c r="H273" s="23"/>
      <c r="J273" s="1"/>
      <c r="K273" s="1"/>
      <c r="L273" s="1"/>
    </row>
    <row r="274" spans="1:12" s="2" customFormat="1" ht="18" customHeight="1">
      <c r="A274" s="25"/>
      <c r="B274" s="78"/>
      <c r="C274" s="26"/>
      <c r="D274" s="25"/>
      <c r="E274" s="23"/>
      <c r="F274" s="25"/>
      <c r="G274" s="23"/>
      <c r="H274" s="23"/>
      <c r="J274" s="1"/>
      <c r="K274" s="1"/>
      <c r="L274" s="1"/>
    </row>
    <row r="275" spans="1:12" s="2" customFormat="1" ht="18" customHeight="1">
      <c r="B275" s="77"/>
      <c r="C275" s="3"/>
      <c r="E275" s="24"/>
      <c r="G275" s="24"/>
      <c r="H275" s="24"/>
      <c r="J275" s="1"/>
      <c r="K275" s="1"/>
      <c r="L275" s="1"/>
    </row>
    <row r="276" spans="1:12" s="2" customFormat="1" ht="18" customHeight="1">
      <c r="B276" s="77"/>
      <c r="C276" s="3"/>
      <c r="E276" s="24"/>
      <c r="G276" s="24"/>
      <c r="H276" s="24"/>
      <c r="J276" s="1"/>
      <c r="K276" s="1"/>
      <c r="L276" s="1"/>
    </row>
    <row r="277" spans="1:12" s="2" customFormat="1" ht="18" customHeight="1">
      <c r="B277" s="77"/>
      <c r="C277" s="3"/>
      <c r="E277" s="24"/>
      <c r="G277" s="24"/>
      <c r="H277" s="24"/>
      <c r="J277" s="1"/>
      <c r="K277" s="1"/>
      <c r="L277" s="1"/>
    </row>
    <row r="278" spans="1:12" s="2" customFormat="1" ht="18" customHeight="1">
      <c r="A278" s="25"/>
      <c r="B278" s="78"/>
      <c r="C278" s="26"/>
      <c r="D278" s="25"/>
      <c r="E278" s="23"/>
      <c r="F278" s="25"/>
      <c r="G278" s="23"/>
      <c r="H278" s="23"/>
      <c r="J278" s="1"/>
      <c r="K278" s="1"/>
      <c r="L278" s="1"/>
    </row>
    <row r="279" spans="1:12" s="2" customFormat="1" ht="18" customHeight="1">
      <c r="A279" s="25"/>
      <c r="B279" s="78"/>
      <c r="C279" s="26"/>
      <c r="D279" s="25"/>
      <c r="E279" s="23"/>
      <c r="F279" s="25"/>
      <c r="G279" s="23"/>
      <c r="H279" s="23"/>
      <c r="J279" s="1"/>
      <c r="K279" s="1"/>
      <c r="L279" s="1"/>
    </row>
    <row r="280" spans="1:12" s="2" customFormat="1" ht="18" customHeight="1">
      <c r="A280" s="25"/>
      <c r="B280" s="78"/>
      <c r="C280" s="26"/>
      <c r="D280" s="25"/>
      <c r="E280" s="23"/>
      <c r="F280" s="25"/>
      <c r="G280" s="23"/>
      <c r="H280" s="23"/>
      <c r="J280" s="1"/>
      <c r="K280" s="1"/>
      <c r="L280" s="1"/>
    </row>
    <row r="281" spans="1:12" s="2" customFormat="1" ht="18" customHeight="1">
      <c r="A281" s="25"/>
      <c r="B281" s="78"/>
      <c r="C281" s="26"/>
      <c r="D281" s="25"/>
      <c r="E281" s="23"/>
      <c r="F281" s="25"/>
      <c r="G281" s="23"/>
      <c r="H281" s="23"/>
      <c r="J281" s="1"/>
      <c r="K281" s="1"/>
      <c r="L281" s="1"/>
    </row>
    <row r="282" spans="1:12" s="2" customFormat="1" ht="18" customHeight="1">
      <c r="A282" s="25"/>
      <c r="B282" s="78"/>
      <c r="C282" s="26"/>
      <c r="D282" s="25"/>
      <c r="E282" s="23"/>
      <c r="F282" s="25"/>
      <c r="G282" s="23"/>
      <c r="H282" s="23"/>
      <c r="J282" s="1"/>
      <c r="K282" s="1"/>
      <c r="L282" s="1"/>
    </row>
    <row r="283" spans="1:12" s="2" customFormat="1" ht="18" customHeight="1">
      <c r="A283" s="25"/>
      <c r="B283" s="78"/>
      <c r="C283" s="26"/>
      <c r="D283" s="25"/>
      <c r="E283" s="23"/>
      <c r="F283" s="25"/>
      <c r="G283" s="23"/>
      <c r="H283" s="23"/>
      <c r="J283" s="1"/>
      <c r="K283" s="1"/>
      <c r="L283" s="1"/>
    </row>
    <row r="284" spans="1:12" s="2" customFormat="1" ht="18" customHeight="1">
      <c r="A284" s="25"/>
      <c r="B284" s="78"/>
      <c r="C284" s="26"/>
      <c r="D284" s="25"/>
      <c r="E284" s="23"/>
      <c r="F284" s="25"/>
      <c r="G284" s="23"/>
      <c r="H284" s="23"/>
      <c r="J284" s="1"/>
      <c r="K284" s="1"/>
      <c r="L284" s="1"/>
    </row>
    <row r="285" spans="1:12" s="2" customFormat="1" ht="18" customHeight="1">
      <c r="A285" s="25"/>
      <c r="B285" s="78"/>
      <c r="C285" s="26"/>
      <c r="D285" s="25"/>
      <c r="E285" s="23"/>
      <c r="F285" s="25"/>
      <c r="G285" s="23"/>
      <c r="H285" s="23"/>
      <c r="J285" s="1"/>
      <c r="K285" s="1"/>
      <c r="L285" s="1"/>
    </row>
    <row r="286" spans="1:12" s="2" customFormat="1" ht="18" customHeight="1">
      <c r="A286" s="25"/>
      <c r="B286" s="78"/>
      <c r="C286" s="26"/>
      <c r="D286" s="25"/>
      <c r="E286" s="23"/>
      <c r="F286" s="25"/>
      <c r="G286" s="23"/>
      <c r="H286" s="23"/>
      <c r="J286" s="1"/>
      <c r="K286" s="1"/>
      <c r="L286" s="1"/>
    </row>
    <row r="287" spans="1:12" s="2" customFormat="1" ht="18" customHeight="1">
      <c r="A287" s="25"/>
      <c r="B287" s="78"/>
      <c r="C287" s="26"/>
      <c r="D287" s="25"/>
      <c r="E287" s="23"/>
      <c r="F287" s="25"/>
      <c r="G287" s="23"/>
      <c r="H287" s="23"/>
      <c r="J287" s="1"/>
      <c r="K287" s="1"/>
      <c r="L287" s="1"/>
    </row>
    <row r="288" spans="1:12" s="2" customFormat="1" ht="18" customHeight="1">
      <c r="A288" s="25"/>
      <c r="B288" s="78"/>
      <c r="C288" s="26"/>
      <c r="D288" s="25"/>
      <c r="E288" s="23"/>
      <c r="F288" s="25"/>
      <c r="G288" s="23"/>
      <c r="H288" s="23"/>
      <c r="J288" s="1"/>
      <c r="K288" s="1"/>
      <c r="L288" s="1"/>
    </row>
    <row r="289" spans="1:12" s="2" customFormat="1" ht="18" customHeight="1">
      <c r="A289" s="25"/>
      <c r="B289" s="78"/>
      <c r="C289" s="26"/>
      <c r="D289" s="25"/>
      <c r="E289" s="23"/>
      <c r="F289" s="25"/>
      <c r="G289" s="23"/>
      <c r="H289" s="23"/>
      <c r="J289" s="1"/>
      <c r="K289" s="1"/>
      <c r="L289" s="1"/>
    </row>
    <row r="290" spans="1:12" s="2" customFormat="1" ht="18" customHeight="1">
      <c r="A290" s="25"/>
      <c r="B290" s="78"/>
      <c r="C290" s="26"/>
      <c r="D290" s="25"/>
      <c r="E290" s="23"/>
      <c r="F290" s="25"/>
      <c r="G290" s="23"/>
      <c r="H290" s="23"/>
      <c r="J290" s="1"/>
      <c r="K290" s="1"/>
      <c r="L290" s="1"/>
    </row>
    <row r="291" spans="1:12" s="2" customFormat="1" ht="18" customHeight="1">
      <c r="A291" s="25"/>
      <c r="B291" s="78"/>
      <c r="C291" s="26"/>
      <c r="D291" s="25"/>
      <c r="E291" s="23"/>
      <c r="F291" s="25"/>
      <c r="G291" s="23"/>
      <c r="H291" s="23"/>
      <c r="J291" s="1"/>
      <c r="K291" s="1"/>
      <c r="L291" s="1"/>
    </row>
    <row r="292" spans="1:12" s="2" customFormat="1" ht="18" customHeight="1">
      <c r="A292" s="25"/>
      <c r="B292" s="78"/>
      <c r="C292" s="26"/>
      <c r="D292" s="25"/>
      <c r="E292" s="23"/>
      <c r="F292" s="25"/>
      <c r="G292" s="23"/>
      <c r="H292" s="23"/>
      <c r="J292" s="1"/>
      <c r="K292" s="1"/>
      <c r="L292" s="1"/>
    </row>
    <row r="293" spans="1:12" s="2" customFormat="1" ht="18" customHeight="1">
      <c r="A293" s="25"/>
      <c r="B293" s="78"/>
      <c r="C293" s="26"/>
      <c r="D293" s="25"/>
      <c r="E293" s="23"/>
      <c r="F293" s="25"/>
      <c r="G293" s="23"/>
      <c r="H293" s="23"/>
      <c r="J293" s="1"/>
      <c r="K293" s="1"/>
      <c r="L293" s="1"/>
    </row>
    <row r="294" spans="1:12" s="2" customFormat="1" ht="18" customHeight="1">
      <c r="A294" s="25"/>
      <c r="B294" s="78"/>
      <c r="C294" s="26"/>
      <c r="D294" s="25"/>
      <c r="E294" s="23"/>
      <c r="F294" s="25"/>
      <c r="G294" s="23"/>
      <c r="H294" s="23"/>
      <c r="J294" s="1"/>
      <c r="K294" s="1"/>
      <c r="L294" s="1"/>
    </row>
    <row r="295" spans="1:12" s="2" customFormat="1" ht="18" customHeight="1">
      <c r="A295" s="25"/>
      <c r="B295" s="78"/>
      <c r="C295" s="26"/>
      <c r="D295" s="25"/>
      <c r="E295" s="23"/>
      <c r="F295" s="25"/>
      <c r="G295" s="23"/>
      <c r="H295" s="23"/>
      <c r="J295" s="1"/>
      <c r="K295" s="1"/>
      <c r="L295" s="1"/>
    </row>
    <row r="296" spans="1:12" s="2" customFormat="1" ht="18" customHeight="1">
      <c r="A296" s="25"/>
      <c r="B296" s="78"/>
      <c r="C296" s="26"/>
      <c r="D296" s="25"/>
      <c r="E296" s="23"/>
      <c r="F296" s="25"/>
      <c r="G296" s="23"/>
      <c r="H296" s="23"/>
      <c r="J296" s="1"/>
      <c r="K296" s="1"/>
      <c r="L296" s="1"/>
    </row>
    <row r="297" spans="1:12" s="2" customFormat="1" ht="18" customHeight="1">
      <c r="A297" s="25"/>
      <c r="B297" s="78"/>
      <c r="C297" s="26"/>
      <c r="D297" s="25"/>
      <c r="E297" s="23"/>
      <c r="F297" s="25"/>
      <c r="G297" s="23"/>
      <c r="H297" s="23"/>
      <c r="J297" s="1"/>
      <c r="K297" s="1"/>
      <c r="L297" s="1"/>
    </row>
    <row r="298" spans="1:12" s="2" customFormat="1" ht="18" customHeight="1">
      <c r="A298" s="25"/>
      <c r="B298" s="78"/>
      <c r="C298" s="26"/>
      <c r="D298" s="25"/>
      <c r="E298" s="23"/>
      <c r="F298" s="25"/>
      <c r="G298" s="23"/>
      <c r="H298" s="23"/>
      <c r="J298" s="1"/>
      <c r="K298" s="1"/>
      <c r="L298" s="1"/>
    </row>
    <row r="299" spans="1:12" s="2" customFormat="1" ht="18" customHeight="1">
      <c r="A299" s="25"/>
      <c r="B299" s="78"/>
      <c r="C299" s="26"/>
      <c r="D299" s="25"/>
      <c r="E299" s="23"/>
      <c r="F299" s="25"/>
      <c r="G299" s="23"/>
      <c r="H299" s="23"/>
      <c r="J299" s="1"/>
      <c r="K299" s="1"/>
      <c r="L299" s="1"/>
    </row>
    <row r="300" spans="1:12" s="2" customFormat="1" ht="18" customHeight="1">
      <c r="A300" s="25"/>
      <c r="B300" s="78"/>
      <c r="C300" s="26"/>
      <c r="D300" s="25"/>
      <c r="E300" s="23"/>
      <c r="F300" s="25"/>
      <c r="G300" s="23"/>
      <c r="H300" s="23"/>
      <c r="J300" s="1"/>
      <c r="K300" s="1"/>
      <c r="L300" s="1"/>
    </row>
    <row r="301" spans="1:12" s="2" customFormat="1" ht="18" customHeight="1">
      <c r="A301" s="25"/>
      <c r="B301" s="78"/>
      <c r="C301" s="26"/>
      <c r="D301" s="25"/>
      <c r="E301" s="23"/>
      <c r="F301" s="25"/>
      <c r="G301" s="23"/>
      <c r="H301" s="23"/>
      <c r="J301" s="1"/>
      <c r="K301" s="1"/>
      <c r="L301" s="1"/>
    </row>
    <row r="302" spans="1:12" s="2" customFormat="1" ht="18" customHeight="1">
      <c r="A302" s="25"/>
      <c r="B302" s="78"/>
      <c r="C302" s="26"/>
      <c r="D302" s="25"/>
      <c r="E302" s="23"/>
      <c r="F302" s="25"/>
      <c r="G302" s="23"/>
      <c r="H302" s="23"/>
      <c r="J302" s="1"/>
      <c r="K302" s="1"/>
      <c r="L302" s="1"/>
    </row>
    <row r="303" spans="1:12" s="2" customFormat="1" ht="18" customHeight="1">
      <c r="A303" s="25"/>
      <c r="B303" s="78"/>
      <c r="C303" s="26"/>
      <c r="D303" s="25"/>
      <c r="E303" s="23"/>
      <c r="F303" s="25"/>
      <c r="G303" s="23"/>
      <c r="H303" s="23"/>
      <c r="J303" s="1"/>
      <c r="K303" s="1"/>
      <c r="L303" s="1"/>
    </row>
    <row r="304" spans="1:12" s="2" customFormat="1" ht="18" customHeight="1">
      <c r="A304" s="25"/>
      <c r="B304" s="78"/>
      <c r="C304" s="26"/>
      <c r="D304" s="25"/>
      <c r="E304" s="23"/>
      <c r="F304" s="25"/>
      <c r="G304" s="23"/>
      <c r="H304" s="23"/>
      <c r="J304" s="1"/>
      <c r="K304" s="1"/>
      <c r="L304" s="1"/>
    </row>
    <row r="305" spans="1:12" s="2" customFormat="1" ht="18" customHeight="1">
      <c r="A305" s="25"/>
      <c r="B305" s="78"/>
      <c r="C305" s="26"/>
      <c r="D305" s="25"/>
      <c r="E305" s="23"/>
      <c r="F305" s="25"/>
      <c r="G305" s="23"/>
      <c r="H305" s="23"/>
      <c r="J305" s="1"/>
      <c r="K305" s="1"/>
      <c r="L305" s="1"/>
    </row>
    <row r="306" spans="1:12" s="2" customFormat="1" ht="18" customHeight="1">
      <c r="A306" s="25"/>
      <c r="B306" s="78"/>
      <c r="C306" s="26"/>
      <c r="D306" s="25"/>
      <c r="E306" s="23"/>
      <c r="F306" s="25"/>
      <c r="G306" s="23"/>
      <c r="H306" s="23"/>
      <c r="J306" s="1"/>
      <c r="K306" s="1"/>
      <c r="L306" s="1"/>
    </row>
    <row r="307" spans="1:12" s="2" customFormat="1" ht="18" customHeight="1">
      <c r="A307" s="25"/>
      <c r="B307" s="78"/>
      <c r="C307" s="26"/>
      <c r="D307" s="25"/>
      <c r="E307" s="23"/>
      <c r="F307" s="25"/>
      <c r="G307" s="23"/>
      <c r="H307" s="23"/>
      <c r="J307" s="1"/>
      <c r="K307" s="1"/>
      <c r="L307" s="1"/>
    </row>
    <row r="308" spans="1:12" s="2" customFormat="1" ht="18" customHeight="1">
      <c r="A308" s="25"/>
      <c r="B308" s="78"/>
      <c r="C308" s="26"/>
      <c r="D308" s="25"/>
      <c r="E308" s="23"/>
      <c r="F308" s="25"/>
      <c r="G308" s="23"/>
      <c r="H308" s="23"/>
      <c r="J308" s="1"/>
      <c r="K308" s="1"/>
      <c r="L308" s="1"/>
    </row>
    <row r="309" spans="1:12" s="2" customFormat="1" ht="18" customHeight="1">
      <c r="A309" s="25"/>
      <c r="B309" s="78"/>
      <c r="C309" s="26"/>
      <c r="D309" s="25"/>
      <c r="E309" s="23"/>
      <c r="F309" s="25"/>
      <c r="G309" s="23"/>
      <c r="H309" s="23"/>
      <c r="J309" s="1"/>
      <c r="K309" s="1"/>
      <c r="L309" s="1"/>
    </row>
    <row r="310" spans="1:12" s="2" customFormat="1" ht="18" customHeight="1">
      <c r="A310" s="25"/>
      <c r="B310" s="78"/>
      <c r="C310" s="26"/>
      <c r="D310" s="25"/>
      <c r="E310" s="23"/>
      <c r="F310" s="25"/>
      <c r="G310" s="23"/>
      <c r="H310" s="23"/>
      <c r="J310" s="1"/>
      <c r="K310" s="1"/>
      <c r="L310" s="1"/>
    </row>
    <row r="311" spans="1:12" s="2" customFormat="1" ht="18" customHeight="1">
      <c r="A311" s="25"/>
      <c r="B311" s="78"/>
      <c r="C311" s="26"/>
      <c r="D311" s="25"/>
      <c r="E311" s="23"/>
      <c r="F311" s="25"/>
      <c r="G311" s="23"/>
      <c r="H311" s="23"/>
      <c r="J311" s="1"/>
      <c r="K311" s="1"/>
      <c r="L311" s="1"/>
    </row>
    <row r="312" spans="1:12" s="2" customFormat="1" ht="18" customHeight="1">
      <c r="A312" s="25"/>
      <c r="B312" s="78"/>
      <c r="C312" s="26"/>
      <c r="D312" s="25"/>
      <c r="E312" s="23"/>
      <c r="F312" s="25"/>
      <c r="G312" s="23"/>
      <c r="H312" s="23"/>
      <c r="J312" s="1"/>
      <c r="K312" s="1"/>
      <c r="L312" s="1"/>
    </row>
    <row r="313" spans="1:12" s="2" customFormat="1" ht="18" customHeight="1">
      <c r="A313" s="25"/>
      <c r="B313" s="78"/>
      <c r="C313" s="26"/>
      <c r="D313" s="25"/>
      <c r="E313" s="23"/>
      <c r="F313" s="25"/>
      <c r="G313" s="23"/>
      <c r="H313" s="23"/>
      <c r="J313" s="1"/>
      <c r="K313" s="1"/>
      <c r="L313" s="1"/>
    </row>
    <row r="314" spans="1:12" s="2" customFormat="1" ht="18" customHeight="1">
      <c r="A314" s="25"/>
      <c r="B314" s="78"/>
      <c r="C314" s="26"/>
      <c r="D314" s="25"/>
      <c r="E314" s="23"/>
      <c r="F314" s="25"/>
      <c r="G314" s="23"/>
      <c r="H314" s="23"/>
      <c r="J314" s="1"/>
      <c r="K314" s="1"/>
      <c r="L314" s="1"/>
    </row>
    <row r="315" spans="1:12" s="2" customFormat="1" ht="18" customHeight="1">
      <c r="A315" s="25"/>
      <c r="B315" s="78"/>
      <c r="C315" s="26"/>
      <c r="D315" s="25"/>
      <c r="E315" s="23"/>
      <c r="F315" s="25"/>
      <c r="G315" s="23"/>
      <c r="H315" s="23"/>
      <c r="J315" s="1"/>
      <c r="K315" s="1"/>
      <c r="L315" s="1"/>
    </row>
    <row r="316" spans="1:12" s="2" customFormat="1" ht="18" customHeight="1">
      <c r="A316" s="25"/>
      <c r="B316" s="78"/>
      <c r="C316" s="26"/>
      <c r="D316" s="25"/>
      <c r="E316" s="23"/>
      <c r="F316" s="25"/>
      <c r="G316" s="23"/>
      <c r="H316" s="23"/>
      <c r="J316" s="1"/>
      <c r="K316" s="1"/>
      <c r="L316" s="1"/>
    </row>
    <row r="317" spans="1:12" s="2" customFormat="1" ht="18" customHeight="1">
      <c r="A317" s="25"/>
      <c r="B317" s="78"/>
      <c r="C317" s="26"/>
      <c r="D317" s="25"/>
      <c r="E317" s="23"/>
      <c r="F317" s="25"/>
      <c r="G317" s="23"/>
      <c r="H317" s="23"/>
      <c r="J317" s="1"/>
      <c r="K317" s="1"/>
      <c r="L317" s="1"/>
    </row>
    <row r="318" spans="1:12" s="2" customFormat="1" ht="18" customHeight="1">
      <c r="A318" s="25"/>
      <c r="B318" s="78"/>
      <c r="C318" s="26"/>
      <c r="D318" s="25"/>
      <c r="E318" s="23"/>
      <c r="F318" s="25"/>
      <c r="G318" s="23"/>
      <c r="H318" s="23"/>
      <c r="J318" s="1"/>
      <c r="K318" s="1"/>
      <c r="L318" s="1"/>
    </row>
    <row r="319" spans="1:12" s="2" customFormat="1" ht="18" customHeight="1">
      <c r="A319" s="25"/>
      <c r="B319" s="78"/>
      <c r="C319" s="26"/>
      <c r="D319" s="25"/>
      <c r="E319" s="23"/>
      <c r="F319" s="25"/>
      <c r="G319" s="23"/>
      <c r="H319" s="23"/>
      <c r="J319" s="1"/>
      <c r="K319" s="1"/>
      <c r="L319" s="1"/>
    </row>
    <row r="320" spans="1:12" s="2" customFormat="1" ht="18" customHeight="1">
      <c r="A320" s="25"/>
      <c r="B320" s="78"/>
      <c r="C320" s="26"/>
      <c r="D320" s="25"/>
      <c r="E320" s="23"/>
      <c r="F320" s="25"/>
      <c r="G320" s="23"/>
      <c r="H320" s="23"/>
      <c r="J320" s="1"/>
      <c r="K320" s="1"/>
      <c r="L320" s="1"/>
    </row>
    <row r="321" spans="1:12" s="2" customFormat="1" ht="18" customHeight="1">
      <c r="A321" s="25"/>
      <c r="B321" s="78"/>
      <c r="C321" s="26"/>
      <c r="D321" s="25"/>
      <c r="E321" s="23"/>
      <c r="F321" s="25"/>
      <c r="G321" s="23"/>
      <c r="H321" s="23"/>
      <c r="J321" s="1"/>
      <c r="K321" s="1"/>
      <c r="L321" s="1"/>
    </row>
    <row r="322" spans="1:12" s="2" customFormat="1" ht="18" customHeight="1">
      <c r="A322" s="25"/>
      <c r="B322" s="78"/>
      <c r="C322" s="26"/>
      <c r="D322" s="25"/>
      <c r="E322" s="23"/>
      <c r="F322" s="25"/>
      <c r="G322" s="23"/>
      <c r="H322" s="23"/>
      <c r="J322" s="1"/>
      <c r="K322" s="1"/>
      <c r="L322" s="1"/>
    </row>
    <row r="323" spans="1:12" s="2" customFormat="1" ht="18" customHeight="1">
      <c r="A323" s="25"/>
      <c r="B323" s="78"/>
      <c r="C323" s="26"/>
      <c r="D323" s="25"/>
      <c r="E323" s="23"/>
      <c r="F323" s="25"/>
      <c r="G323" s="23"/>
      <c r="H323" s="23"/>
      <c r="J323" s="1"/>
      <c r="K323" s="1"/>
      <c r="L323" s="1"/>
    </row>
    <row r="324" spans="1:12" s="2" customFormat="1" ht="18" customHeight="1">
      <c r="A324" s="25"/>
      <c r="B324" s="78"/>
      <c r="C324" s="26"/>
      <c r="D324" s="25"/>
      <c r="E324" s="23"/>
      <c r="F324" s="25"/>
      <c r="G324" s="23"/>
      <c r="H324" s="23"/>
      <c r="J324" s="1"/>
      <c r="K324" s="1"/>
      <c r="L324" s="1"/>
    </row>
    <row r="325" spans="1:12" s="2" customFormat="1" ht="18" customHeight="1">
      <c r="A325" s="25"/>
      <c r="B325" s="78"/>
      <c r="C325" s="26"/>
      <c r="D325" s="25"/>
      <c r="E325" s="23"/>
      <c r="F325" s="25"/>
      <c r="G325" s="23"/>
      <c r="H325" s="23"/>
      <c r="J325" s="1"/>
      <c r="K325" s="1"/>
      <c r="L325" s="1"/>
    </row>
    <row r="326" spans="1:12" s="2" customFormat="1" ht="18" customHeight="1">
      <c r="A326" s="25"/>
      <c r="B326" s="78"/>
      <c r="C326" s="26"/>
      <c r="D326" s="25"/>
      <c r="E326" s="23"/>
      <c r="F326" s="25"/>
      <c r="G326" s="23"/>
      <c r="H326" s="23"/>
      <c r="J326" s="1"/>
      <c r="K326" s="1"/>
      <c r="L326" s="1"/>
    </row>
    <row r="327" spans="1:12" s="2" customFormat="1" ht="18" customHeight="1">
      <c r="A327" s="25"/>
      <c r="B327" s="78"/>
      <c r="C327" s="26"/>
      <c r="D327" s="25"/>
      <c r="E327" s="23"/>
      <c r="F327" s="25"/>
      <c r="G327" s="23"/>
      <c r="H327" s="23"/>
      <c r="J327" s="1"/>
      <c r="K327" s="1"/>
      <c r="L327" s="1"/>
    </row>
    <row r="328" spans="1:12" s="2" customFormat="1" ht="18" customHeight="1">
      <c r="A328" s="25"/>
      <c r="B328" s="78"/>
      <c r="C328" s="26"/>
      <c r="D328" s="25"/>
      <c r="E328" s="23"/>
      <c r="F328" s="25"/>
      <c r="G328" s="23"/>
      <c r="H328" s="23"/>
      <c r="J328" s="1"/>
      <c r="K328" s="1"/>
      <c r="L328" s="1"/>
    </row>
    <row r="329" spans="1:12" s="2" customFormat="1" ht="18" customHeight="1">
      <c r="A329" s="25"/>
      <c r="B329" s="78"/>
      <c r="C329" s="26"/>
      <c r="D329" s="25"/>
      <c r="E329" s="23"/>
      <c r="F329" s="25"/>
      <c r="G329" s="23"/>
      <c r="H329" s="23"/>
      <c r="J329" s="1"/>
      <c r="K329" s="1"/>
      <c r="L329" s="1"/>
    </row>
    <row r="330" spans="1:12" s="2" customFormat="1" ht="18" customHeight="1">
      <c r="A330" s="25"/>
      <c r="B330" s="78"/>
      <c r="C330" s="26"/>
      <c r="D330" s="25"/>
      <c r="E330" s="23"/>
      <c r="F330" s="25"/>
      <c r="G330" s="23"/>
      <c r="H330" s="23"/>
      <c r="J330" s="1"/>
      <c r="K330" s="1"/>
      <c r="L330" s="1"/>
    </row>
    <row r="331" spans="1:12" s="2" customFormat="1" ht="18" customHeight="1">
      <c r="A331" s="25"/>
      <c r="B331" s="78"/>
      <c r="C331" s="26"/>
      <c r="D331" s="25"/>
      <c r="E331" s="23"/>
      <c r="F331" s="25"/>
      <c r="G331" s="23"/>
      <c r="H331" s="23"/>
      <c r="J331" s="1"/>
      <c r="K331" s="1"/>
      <c r="L331" s="1"/>
    </row>
    <row r="332" spans="1:12" s="2" customFormat="1" ht="18" customHeight="1">
      <c r="A332" s="25"/>
      <c r="B332" s="78"/>
      <c r="C332" s="26"/>
      <c r="D332" s="25"/>
      <c r="E332" s="23"/>
      <c r="F332" s="25"/>
      <c r="G332" s="23"/>
      <c r="H332" s="23"/>
      <c r="J332" s="1"/>
      <c r="K332" s="1"/>
      <c r="L332" s="1"/>
    </row>
    <row r="333" spans="1:12" s="2" customFormat="1" ht="18" customHeight="1">
      <c r="A333" s="25"/>
      <c r="B333" s="78"/>
      <c r="C333" s="26"/>
      <c r="D333" s="25"/>
      <c r="E333" s="23"/>
      <c r="F333" s="25"/>
      <c r="G333" s="23"/>
      <c r="H333" s="23"/>
      <c r="J333" s="1"/>
      <c r="K333" s="1"/>
      <c r="L333" s="1"/>
    </row>
    <row r="334" spans="1:12" s="2" customFormat="1" ht="18" customHeight="1">
      <c r="A334" s="25"/>
      <c r="B334" s="78"/>
      <c r="C334" s="26"/>
      <c r="D334" s="25"/>
      <c r="E334" s="23"/>
      <c r="F334" s="25"/>
      <c r="G334" s="23"/>
      <c r="H334" s="23"/>
      <c r="J334" s="1"/>
      <c r="K334" s="1"/>
      <c r="L334" s="1"/>
    </row>
    <row r="335" spans="1:12" s="2" customFormat="1" ht="18" customHeight="1">
      <c r="A335" s="25"/>
      <c r="B335" s="78"/>
      <c r="C335" s="26"/>
      <c r="D335" s="25"/>
      <c r="E335" s="23"/>
      <c r="F335" s="25"/>
      <c r="G335" s="23"/>
      <c r="H335" s="23"/>
      <c r="J335" s="1"/>
      <c r="K335" s="1"/>
      <c r="L335" s="1"/>
    </row>
    <row r="336" spans="1:12" s="2" customFormat="1" ht="18" customHeight="1">
      <c r="A336" s="25"/>
      <c r="B336" s="78"/>
      <c r="C336" s="26"/>
      <c r="D336" s="25"/>
      <c r="E336" s="23"/>
      <c r="F336" s="25"/>
      <c r="G336" s="23"/>
      <c r="H336" s="23"/>
      <c r="J336" s="1"/>
      <c r="K336" s="1"/>
      <c r="L336" s="1"/>
    </row>
    <row r="337" spans="1:12" s="2" customFormat="1" ht="18" customHeight="1">
      <c r="A337" s="25"/>
      <c r="B337" s="78"/>
      <c r="C337" s="26"/>
      <c r="D337" s="25"/>
      <c r="E337" s="23"/>
      <c r="F337" s="25"/>
      <c r="G337" s="23"/>
      <c r="H337" s="23"/>
      <c r="J337" s="1"/>
      <c r="K337" s="1"/>
      <c r="L337" s="1"/>
    </row>
    <row r="338" spans="1:12" s="2" customFormat="1" ht="18" customHeight="1">
      <c r="A338" s="25"/>
      <c r="B338" s="78"/>
      <c r="C338" s="26"/>
      <c r="D338" s="25"/>
      <c r="E338" s="23"/>
      <c r="F338" s="25"/>
      <c r="G338" s="23"/>
      <c r="H338" s="23"/>
      <c r="J338" s="1"/>
      <c r="K338" s="1"/>
      <c r="L338" s="1"/>
    </row>
    <row r="339" spans="1:12" s="2" customFormat="1" ht="18" customHeight="1">
      <c r="A339" s="25"/>
      <c r="B339" s="78"/>
      <c r="C339" s="26"/>
      <c r="D339" s="25"/>
      <c r="E339" s="23"/>
      <c r="F339" s="25"/>
      <c r="G339" s="23"/>
      <c r="H339" s="23"/>
      <c r="J339" s="1"/>
      <c r="K339" s="1"/>
      <c r="L339" s="1"/>
    </row>
    <row r="340" spans="1:12" s="2" customFormat="1" ht="18" customHeight="1">
      <c r="A340" s="25"/>
      <c r="B340" s="78"/>
      <c r="C340" s="26"/>
      <c r="D340" s="25"/>
      <c r="E340" s="23"/>
      <c r="F340" s="25"/>
      <c r="G340" s="23"/>
      <c r="H340" s="23"/>
      <c r="J340" s="1"/>
      <c r="K340" s="1"/>
      <c r="L340" s="1"/>
    </row>
    <row r="341" spans="1:12" s="2" customFormat="1" ht="18" customHeight="1">
      <c r="A341" s="25"/>
      <c r="B341" s="78"/>
      <c r="C341" s="26"/>
      <c r="D341" s="25"/>
      <c r="E341" s="23"/>
      <c r="F341" s="25"/>
      <c r="G341" s="23"/>
      <c r="H341" s="23"/>
      <c r="J341" s="1"/>
      <c r="K341" s="1"/>
      <c r="L341" s="1"/>
    </row>
    <row r="342" spans="1:12" s="2" customFormat="1" ht="18" customHeight="1">
      <c r="A342" s="25"/>
      <c r="B342" s="78"/>
      <c r="C342" s="26"/>
      <c r="D342" s="25"/>
      <c r="E342" s="23"/>
      <c r="F342" s="25"/>
      <c r="G342" s="23"/>
      <c r="H342" s="23"/>
      <c r="J342" s="1"/>
      <c r="K342" s="1"/>
      <c r="L342" s="1"/>
    </row>
    <row r="343" spans="1:12" s="2" customFormat="1" ht="18" customHeight="1">
      <c r="A343" s="25"/>
      <c r="B343" s="78"/>
      <c r="C343" s="26"/>
      <c r="D343" s="25"/>
      <c r="E343" s="23"/>
      <c r="F343" s="25"/>
      <c r="G343" s="23"/>
      <c r="H343" s="23"/>
      <c r="J343" s="1"/>
      <c r="K343" s="1"/>
      <c r="L343" s="1"/>
    </row>
    <row r="344" spans="1:12" s="2" customFormat="1" ht="18" customHeight="1">
      <c r="A344" s="25"/>
      <c r="B344" s="78"/>
      <c r="C344" s="26"/>
      <c r="D344" s="25"/>
      <c r="E344" s="23"/>
      <c r="F344" s="25"/>
      <c r="G344" s="23"/>
      <c r="H344" s="23"/>
      <c r="J344" s="1"/>
      <c r="K344" s="1"/>
      <c r="L344" s="1"/>
    </row>
    <row r="345" spans="1:12" s="2" customFormat="1" ht="18" customHeight="1">
      <c r="A345" s="25"/>
      <c r="B345" s="78"/>
      <c r="C345" s="26"/>
      <c r="D345" s="25"/>
      <c r="E345" s="23"/>
      <c r="F345" s="25"/>
      <c r="G345" s="23"/>
      <c r="H345" s="23"/>
      <c r="J345" s="1"/>
      <c r="K345" s="1"/>
      <c r="L345" s="1"/>
    </row>
    <row r="346" spans="1:12" s="2" customFormat="1" ht="18" customHeight="1">
      <c r="A346" s="25"/>
      <c r="B346" s="78"/>
      <c r="C346" s="26"/>
      <c r="D346" s="25"/>
      <c r="E346" s="23"/>
      <c r="F346" s="25"/>
      <c r="G346" s="23"/>
      <c r="H346" s="23"/>
      <c r="J346" s="1"/>
      <c r="K346" s="1"/>
      <c r="L346" s="1"/>
    </row>
    <row r="347" spans="1:12" s="2" customFormat="1" ht="18" customHeight="1">
      <c r="A347" s="25"/>
      <c r="B347" s="78"/>
      <c r="C347" s="26"/>
      <c r="D347" s="25"/>
      <c r="E347" s="23"/>
      <c r="F347" s="25"/>
      <c r="G347" s="23"/>
      <c r="H347" s="23"/>
      <c r="J347" s="1"/>
      <c r="K347" s="1"/>
      <c r="L347" s="1"/>
    </row>
    <row r="348" spans="1:12" s="2" customFormat="1" ht="18" customHeight="1">
      <c r="A348" s="25"/>
      <c r="B348" s="78"/>
      <c r="C348" s="26"/>
      <c r="D348" s="25"/>
      <c r="E348" s="23"/>
      <c r="F348" s="25"/>
      <c r="G348" s="23"/>
      <c r="H348" s="23"/>
      <c r="J348" s="1"/>
      <c r="K348" s="1"/>
      <c r="L348" s="1"/>
    </row>
    <row r="349" spans="1:12" s="2" customFormat="1" ht="18" customHeight="1">
      <c r="A349" s="25"/>
      <c r="B349" s="78"/>
      <c r="C349" s="26"/>
      <c r="D349" s="25"/>
      <c r="E349" s="23"/>
      <c r="F349" s="25"/>
      <c r="G349" s="23"/>
      <c r="H349" s="23"/>
      <c r="J349" s="1"/>
      <c r="K349" s="1"/>
      <c r="L349" s="1"/>
    </row>
    <row r="350" spans="1:12" s="2" customFormat="1" ht="18" customHeight="1">
      <c r="A350" s="25"/>
      <c r="B350" s="78"/>
      <c r="C350" s="26"/>
      <c r="D350" s="25"/>
      <c r="E350" s="23"/>
      <c r="F350" s="25"/>
      <c r="G350" s="23"/>
      <c r="H350" s="23"/>
      <c r="J350" s="1"/>
      <c r="K350" s="1"/>
      <c r="L350" s="1"/>
    </row>
    <row r="351" spans="1:12" s="2" customFormat="1" ht="18" customHeight="1">
      <c r="A351" s="25"/>
      <c r="B351" s="78"/>
      <c r="C351" s="26"/>
      <c r="D351" s="25"/>
      <c r="E351" s="23"/>
      <c r="F351" s="25"/>
      <c r="G351" s="23"/>
      <c r="H351" s="23"/>
      <c r="J351" s="1"/>
      <c r="K351" s="1"/>
      <c r="L351" s="1"/>
    </row>
    <row r="352" spans="1:12" s="2" customFormat="1" ht="18" customHeight="1">
      <c r="A352" s="25"/>
      <c r="B352" s="78"/>
      <c r="C352" s="26"/>
      <c r="D352" s="25"/>
      <c r="E352" s="23"/>
      <c r="F352" s="25"/>
      <c r="G352" s="23"/>
      <c r="H352" s="23"/>
      <c r="J352" s="1"/>
      <c r="K352" s="1"/>
      <c r="L352" s="1"/>
    </row>
    <row r="353" spans="1:12" s="2" customFormat="1" ht="18" customHeight="1">
      <c r="A353" s="25"/>
      <c r="B353" s="78"/>
      <c r="C353" s="26"/>
      <c r="D353" s="25"/>
      <c r="E353" s="23"/>
      <c r="F353" s="25"/>
      <c r="G353" s="23"/>
      <c r="H353" s="23"/>
      <c r="J353" s="1"/>
      <c r="K353" s="1"/>
      <c r="L353" s="1"/>
    </row>
    <row r="354" spans="1:12" s="2" customFormat="1" ht="18" customHeight="1">
      <c r="A354" s="25"/>
      <c r="B354" s="78"/>
      <c r="C354" s="26"/>
      <c r="D354" s="25"/>
      <c r="E354" s="23"/>
      <c r="F354" s="25"/>
      <c r="G354" s="23"/>
      <c r="H354" s="23"/>
      <c r="J354" s="1"/>
      <c r="K354" s="1"/>
      <c r="L354" s="1"/>
    </row>
    <row r="355" spans="1:12" s="2" customFormat="1" ht="18" customHeight="1">
      <c r="A355" s="25"/>
      <c r="B355" s="78"/>
      <c r="C355" s="26"/>
      <c r="D355" s="25"/>
      <c r="E355" s="23"/>
      <c r="F355" s="25"/>
      <c r="G355" s="23"/>
      <c r="H355" s="23"/>
      <c r="J355" s="1"/>
      <c r="K355" s="1"/>
      <c r="L355" s="1"/>
    </row>
    <row r="356" spans="1:12" s="2" customFormat="1" ht="18" customHeight="1">
      <c r="A356" s="25"/>
      <c r="B356" s="78"/>
      <c r="C356" s="26"/>
      <c r="D356" s="25"/>
      <c r="E356" s="23"/>
      <c r="F356" s="25"/>
      <c r="G356" s="23"/>
      <c r="H356" s="23"/>
      <c r="J356" s="1"/>
      <c r="K356" s="1"/>
      <c r="L356" s="1"/>
    </row>
    <row r="357" spans="1:12" s="2" customFormat="1" ht="18" customHeight="1">
      <c r="A357" s="25"/>
      <c r="B357" s="78"/>
      <c r="C357" s="26"/>
      <c r="D357" s="25"/>
      <c r="E357" s="23"/>
      <c r="F357" s="25"/>
      <c r="G357" s="23"/>
      <c r="H357" s="23"/>
      <c r="J357" s="1"/>
      <c r="K357" s="1"/>
      <c r="L357" s="1"/>
    </row>
    <row r="358" spans="1:12" s="2" customFormat="1" ht="18" customHeight="1">
      <c r="A358" s="25"/>
      <c r="B358" s="78"/>
      <c r="C358" s="26"/>
      <c r="D358" s="25"/>
      <c r="E358" s="23"/>
      <c r="F358" s="25"/>
      <c r="G358" s="23"/>
      <c r="H358" s="23"/>
      <c r="J358" s="1"/>
      <c r="K358" s="1"/>
      <c r="L358" s="1"/>
    </row>
    <row r="359" spans="1:12" s="2" customFormat="1" ht="18" customHeight="1">
      <c r="A359" s="25"/>
      <c r="B359" s="78"/>
      <c r="C359" s="26"/>
      <c r="D359" s="25"/>
      <c r="E359" s="23"/>
      <c r="F359" s="25"/>
      <c r="G359" s="23"/>
      <c r="H359" s="23"/>
      <c r="J359" s="1"/>
      <c r="K359" s="1"/>
      <c r="L359" s="1"/>
    </row>
    <row r="360" spans="1:12" s="2" customFormat="1" ht="18" customHeight="1">
      <c r="A360" s="25"/>
      <c r="B360" s="78"/>
      <c r="C360" s="26"/>
      <c r="D360" s="25"/>
      <c r="E360" s="23"/>
      <c r="F360" s="25"/>
      <c r="G360" s="23"/>
      <c r="H360" s="23"/>
      <c r="J360" s="1"/>
      <c r="K360" s="1"/>
      <c r="L360" s="1"/>
    </row>
    <row r="361" spans="1:12" s="2" customFormat="1" ht="18" customHeight="1">
      <c r="A361" s="25"/>
      <c r="B361" s="78"/>
      <c r="C361" s="26"/>
      <c r="D361" s="25"/>
      <c r="E361" s="23"/>
      <c r="F361" s="25"/>
      <c r="G361" s="23"/>
      <c r="H361" s="23"/>
      <c r="J361" s="1"/>
      <c r="K361" s="1"/>
      <c r="L361" s="1"/>
    </row>
    <row r="362" spans="1:12" s="2" customFormat="1" ht="18" customHeight="1">
      <c r="A362" s="25"/>
      <c r="B362" s="78"/>
      <c r="C362" s="26"/>
      <c r="D362" s="25"/>
      <c r="E362" s="23"/>
      <c r="F362" s="25"/>
      <c r="G362" s="23"/>
      <c r="H362" s="23"/>
      <c r="J362" s="1"/>
      <c r="K362" s="1"/>
      <c r="L362" s="1"/>
    </row>
    <row r="363" spans="1:12" s="2" customFormat="1" ht="18" customHeight="1">
      <c r="A363" s="25"/>
      <c r="B363" s="78"/>
      <c r="C363" s="26"/>
      <c r="D363" s="25"/>
      <c r="E363" s="23"/>
      <c r="F363" s="25"/>
      <c r="G363" s="23"/>
      <c r="H363" s="23"/>
      <c r="J363" s="1"/>
      <c r="K363" s="1"/>
      <c r="L363" s="1"/>
    </row>
    <row r="364" spans="1:12" s="2" customFormat="1" ht="18" customHeight="1">
      <c r="A364" s="25"/>
      <c r="B364" s="78"/>
      <c r="C364" s="26"/>
      <c r="D364" s="25"/>
      <c r="E364" s="23"/>
      <c r="F364" s="25"/>
      <c r="G364" s="23"/>
      <c r="H364" s="23"/>
      <c r="J364" s="1"/>
      <c r="K364" s="1"/>
      <c r="L364" s="1"/>
    </row>
    <row r="365" spans="1:12" s="2" customFormat="1" ht="18" customHeight="1">
      <c r="A365" s="25"/>
      <c r="B365" s="78"/>
      <c r="C365" s="26"/>
      <c r="D365" s="25"/>
      <c r="E365" s="23"/>
      <c r="F365" s="25"/>
      <c r="G365" s="23"/>
      <c r="H365" s="23"/>
      <c r="J365" s="1"/>
      <c r="K365" s="1"/>
      <c r="L365" s="1"/>
    </row>
    <row r="366" spans="1:12" s="2" customFormat="1" ht="18" customHeight="1">
      <c r="A366" s="25"/>
      <c r="B366" s="78"/>
      <c r="C366" s="26"/>
      <c r="D366" s="25"/>
      <c r="E366" s="23"/>
      <c r="F366" s="25"/>
      <c r="G366" s="23"/>
      <c r="H366" s="23"/>
      <c r="J366" s="1"/>
      <c r="K366" s="1"/>
      <c r="L366" s="1"/>
    </row>
    <row r="367" spans="1:12" s="2" customFormat="1" ht="18" customHeight="1">
      <c r="A367" s="25"/>
      <c r="B367" s="78"/>
      <c r="C367" s="26"/>
      <c r="D367" s="25"/>
      <c r="E367" s="23"/>
      <c r="F367" s="25"/>
      <c r="G367" s="23"/>
      <c r="H367" s="23"/>
      <c r="J367" s="1"/>
      <c r="K367" s="1"/>
      <c r="L367" s="1"/>
    </row>
    <row r="368" spans="1:12" s="2" customFormat="1" ht="18" customHeight="1">
      <c r="A368" s="25"/>
      <c r="B368" s="78"/>
      <c r="C368" s="26"/>
      <c r="D368" s="25"/>
      <c r="E368" s="23"/>
      <c r="F368" s="25"/>
      <c r="G368" s="23"/>
      <c r="H368" s="23"/>
      <c r="J368" s="1"/>
      <c r="K368" s="1"/>
      <c r="L368" s="1"/>
    </row>
    <row r="369" spans="1:12" s="2" customFormat="1" ht="18" customHeight="1">
      <c r="A369" s="25"/>
      <c r="B369" s="78"/>
      <c r="C369" s="26"/>
      <c r="D369" s="25"/>
      <c r="E369" s="23"/>
      <c r="F369" s="25"/>
      <c r="G369" s="23"/>
      <c r="H369" s="23"/>
      <c r="J369" s="1"/>
      <c r="K369" s="1"/>
      <c r="L369" s="1"/>
    </row>
    <row r="370" spans="1:12" s="2" customFormat="1" ht="18" customHeight="1">
      <c r="A370" s="25"/>
      <c r="B370" s="78"/>
      <c r="C370" s="26"/>
      <c r="D370" s="25"/>
      <c r="E370" s="23"/>
      <c r="F370" s="25"/>
      <c r="G370" s="23"/>
      <c r="H370" s="23"/>
      <c r="J370" s="1"/>
      <c r="K370" s="1"/>
      <c r="L370" s="1"/>
    </row>
    <row r="371" spans="1:12" s="2" customFormat="1" ht="18" customHeight="1">
      <c r="A371" s="25"/>
      <c r="B371" s="78"/>
      <c r="C371" s="26"/>
      <c r="D371" s="25"/>
      <c r="E371" s="23"/>
      <c r="F371" s="25"/>
      <c r="G371" s="23"/>
      <c r="H371" s="23"/>
      <c r="J371" s="1"/>
      <c r="K371" s="1"/>
      <c r="L371" s="1"/>
    </row>
    <row r="372" spans="1:12" s="2" customFormat="1" ht="18" customHeight="1">
      <c r="A372" s="25"/>
      <c r="B372" s="78"/>
      <c r="C372" s="26"/>
      <c r="D372" s="25"/>
      <c r="E372" s="23"/>
      <c r="F372" s="25"/>
      <c r="G372" s="23"/>
      <c r="H372" s="23"/>
      <c r="J372" s="1"/>
      <c r="K372" s="1"/>
      <c r="L372" s="1"/>
    </row>
    <row r="373" spans="1:12" s="2" customFormat="1" ht="18" customHeight="1">
      <c r="A373" s="25"/>
      <c r="B373" s="78"/>
      <c r="C373" s="26"/>
      <c r="D373" s="25"/>
      <c r="E373" s="23"/>
      <c r="F373" s="25"/>
      <c r="G373" s="23"/>
      <c r="H373" s="23"/>
      <c r="J373" s="1"/>
      <c r="K373" s="1"/>
      <c r="L373" s="1"/>
    </row>
    <row r="374" spans="1:12" s="2" customFormat="1" ht="18" customHeight="1">
      <c r="A374" s="25"/>
      <c r="B374" s="78"/>
      <c r="C374" s="26"/>
      <c r="D374" s="25"/>
      <c r="E374" s="23"/>
      <c r="F374" s="25"/>
      <c r="G374" s="23"/>
      <c r="H374" s="23"/>
      <c r="J374" s="1"/>
      <c r="K374" s="1"/>
      <c r="L374" s="1"/>
    </row>
    <row r="375" spans="1:12" s="2" customFormat="1" ht="18" customHeight="1">
      <c r="A375" s="25"/>
      <c r="B375" s="78"/>
      <c r="C375" s="26"/>
      <c r="D375" s="25"/>
      <c r="E375" s="23"/>
      <c r="F375" s="25"/>
      <c r="G375" s="23"/>
      <c r="H375" s="23"/>
      <c r="J375" s="1"/>
      <c r="K375" s="1"/>
      <c r="L375" s="1"/>
    </row>
    <row r="376" spans="1:12" s="2" customFormat="1" ht="18" customHeight="1">
      <c r="A376" s="25"/>
      <c r="B376" s="78"/>
      <c r="C376" s="26"/>
      <c r="D376" s="25"/>
      <c r="E376" s="23"/>
      <c r="F376" s="25"/>
      <c r="G376" s="23"/>
      <c r="H376" s="23"/>
      <c r="J376" s="1"/>
      <c r="K376" s="1"/>
      <c r="L376" s="1"/>
    </row>
    <row r="377" spans="1:12" s="2" customFormat="1" ht="18" customHeight="1">
      <c r="A377" s="25"/>
      <c r="B377" s="78"/>
      <c r="C377" s="26"/>
      <c r="D377" s="25"/>
      <c r="E377" s="23"/>
      <c r="F377" s="25"/>
      <c r="G377" s="23"/>
      <c r="H377" s="23"/>
      <c r="J377" s="1"/>
      <c r="K377" s="1"/>
      <c r="L377" s="1"/>
    </row>
    <row r="378" spans="1:12" s="2" customFormat="1" ht="18" customHeight="1">
      <c r="A378" s="25"/>
      <c r="B378" s="78"/>
      <c r="C378" s="26"/>
      <c r="D378" s="25"/>
      <c r="E378" s="23"/>
      <c r="F378" s="25"/>
      <c r="G378" s="23"/>
      <c r="H378" s="23"/>
      <c r="J378" s="1"/>
      <c r="K378" s="1"/>
      <c r="L378" s="1"/>
    </row>
    <row r="379" spans="1:12" s="2" customFormat="1" ht="18" customHeight="1">
      <c r="A379" s="25"/>
      <c r="B379" s="78"/>
      <c r="C379" s="26"/>
      <c r="D379" s="25"/>
      <c r="E379" s="23"/>
      <c r="F379" s="25"/>
      <c r="G379" s="23"/>
      <c r="H379" s="23"/>
      <c r="J379" s="1"/>
      <c r="K379" s="1"/>
      <c r="L379" s="1"/>
    </row>
    <row r="380" spans="1:12" s="2" customFormat="1" ht="18" customHeight="1">
      <c r="A380" s="25"/>
      <c r="B380" s="78"/>
      <c r="C380" s="26"/>
      <c r="D380" s="25"/>
      <c r="E380" s="23"/>
      <c r="F380" s="25"/>
      <c r="G380" s="23"/>
      <c r="H380" s="23"/>
      <c r="J380" s="1"/>
      <c r="K380" s="1"/>
      <c r="L380" s="1"/>
    </row>
    <row r="381" spans="1:12" s="2" customFormat="1" ht="18" customHeight="1">
      <c r="A381" s="25"/>
      <c r="B381" s="78"/>
      <c r="C381" s="26"/>
      <c r="D381" s="25"/>
      <c r="E381" s="23"/>
      <c r="F381" s="25"/>
      <c r="G381" s="23"/>
      <c r="H381" s="23"/>
      <c r="J381" s="1"/>
      <c r="K381" s="1"/>
      <c r="L381" s="1"/>
    </row>
    <row r="382" spans="1:12" s="2" customFormat="1" ht="18" customHeight="1">
      <c r="A382" s="25"/>
      <c r="B382" s="78"/>
      <c r="C382" s="26"/>
      <c r="D382" s="25"/>
      <c r="E382" s="23"/>
      <c r="F382" s="25"/>
      <c r="G382" s="23"/>
      <c r="H382" s="23"/>
      <c r="J382" s="1"/>
      <c r="K382" s="1"/>
      <c r="L382" s="1"/>
    </row>
    <row r="383" spans="1:12" s="2" customFormat="1" ht="18" customHeight="1">
      <c r="A383" s="25"/>
      <c r="B383" s="78"/>
      <c r="C383" s="26"/>
      <c r="D383" s="25"/>
      <c r="E383" s="23"/>
      <c r="F383" s="25"/>
      <c r="G383" s="23"/>
      <c r="H383" s="23"/>
      <c r="J383" s="1"/>
      <c r="K383" s="1"/>
      <c r="L383" s="1"/>
    </row>
    <row r="384" spans="1:12" s="2" customFormat="1" ht="18" customHeight="1">
      <c r="A384" s="25"/>
      <c r="B384" s="78"/>
      <c r="C384" s="26"/>
      <c r="D384" s="25"/>
      <c r="E384" s="23"/>
      <c r="F384" s="25"/>
      <c r="G384" s="23"/>
      <c r="H384" s="23"/>
      <c r="J384" s="1"/>
      <c r="K384" s="1"/>
      <c r="L384" s="1"/>
    </row>
    <row r="385" spans="1:12" s="2" customFormat="1" ht="18" customHeight="1">
      <c r="A385" s="25"/>
      <c r="B385" s="78"/>
      <c r="C385" s="26"/>
      <c r="D385" s="25"/>
      <c r="E385" s="23"/>
      <c r="F385" s="25"/>
      <c r="G385" s="23"/>
      <c r="H385" s="23"/>
      <c r="J385" s="1"/>
      <c r="K385" s="1"/>
      <c r="L385" s="1"/>
    </row>
    <row r="386" spans="1:12" s="2" customFormat="1" ht="18" customHeight="1">
      <c r="A386" s="25"/>
      <c r="B386" s="78"/>
      <c r="C386" s="26"/>
      <c r="D386" s="25"/>
      <c r="E386" s="23"/>
      <c r="F386" s="25"/>
      <c r="G386" s="23"/>
      <c r="H386" s="23"/>
      <c r="J386" s="1"/>
      <c r="K386" s="1"/>
      <c r="L386" s="1"/>
    </row>
    <row r="387" spans="1:12" s="2" customFormat="1" ht="18" customHeight="1">
      <c r="A387" s="25"/>
      <c r="B387" s="78"/>
      <c r="C387" s="26"/>
      <c r="D387" s="25"/>
      <c r="E387" s="23"/>
      <c r="F387" s="25"/>
      <c r="G387" s="23"/>
      <c r="H387" s="23"/>
      <c r="J387" s="1"/>
      <c r="K387" s="1"/>
      <c r="L387" s="1"/>
    </row>
    <row r="388" spans="1:12" s="2" customFormat="1" ht="18" customHeight="1">
      <c r="A388" s="25"/>
      <c r="B388" s="78"/>
      <c r="C388" s="26"/>
      <c r="D388" s="25"/>
      <c r="E388" s="23"/>
      <c r="F388" s="25"/>
      <c r="G388" s="23"/>
      <c r="H388" s="23"/>
      <c r="J388" s="1"/>
      <c r="K388" s="1"/>
      <c r="L388" s="1"/>
    </row>
    <row r="389" spans="1:12" s="2" customFormat="1" ht="18" customHeight="1">
      <c r="A389" s="25"/>
      <c r="B389" s="78"/>
      <c r="C389" s="26"/>
      <c r="D389" s="25"/>
      <c r="E389" s="23"/>
      <c r="F389" s="25"/>
      <c r="G389" s="23"/>
      <c r="H389" s="23"/>
      <c r="J389" s="1"/>
      <c r="K389" s="1"/>
      <c r="L389" s="1"/>
    </row>
    <row r="390" spans="1:12" s="2" customFormat="1" ht="18" customHeight="1">
      <c r="A390" s="25"/>
      <c r="B390" s="78"/>
      <c r="C390" s="26"/>
      <c r="D390" s="25"/>
      <c r="E390" s="23"/>
      <c r="F390" s="25"/>
      <c r="G390" s="23"/>
      <c r="H390" s="23"/>
      <c r="J390" s="1"/>
      <c r="K390" s="1"/>
      <c r="L390" s="1"/>
    </row>
    <row r="391" spans="1:12" s="2" customFormat="1" ht="18" customHeight="1">
      <c r="A391" s="25"/>
      <c r="B391" s="78"/>
      <c r="C391" s="26"/>
      <c r="D391" s="25"/>
      <c r="E391" s="23"/>
      <c r="F391" s="25"/>
      <c r="G391" s="23"/>
      <c r="H391" s="23"/>
      <c r="J391" s="1"/>
      <c r="K391" s="1"/>
      <c r="L391" s="1"/>
    </row>
    <row r="392" spans="1:12" s="2" customFormat="1" ht="18" customHeight="1">
      <c r="A392" s="25"/>
      <c r="B392" s="78"/>
      <c r="C392" s="26"/>
      <c r="D392" s="25"/>
      <c r="E392" s="23"/>
      <c r="F392" s="25"/>
      <c r="G392" s="23"/>
      <c r="H392" s="23"/>
      <c r="J392" s="1"/>
      <c r="K392" s="1"/>
      <c r="L392" s="1"/>
    </row>
    <row r="393" spans="1:12" s="2" customFormat="1" ht="18" customHeight="1">
      <c r="A393" s="25"/>
      <c r="B393" s="78"/>
      <c r="C393" s="26"/>
      <c r="D393" s="25"/>
      <c r="E393" s="23"/>
      <c r="F393" s="25"/>
      <c r="G393" s="23"/>
      <c r="H393" s="23"/>
      <c r="J393" s="1"/>
      <c r="K393" s="1"/>
      <c r="L393" s="1"/>
    </row>
    <row r="394" spans="1:12" s="2" customFormat="1" ht="18" customHeight="1">
      <c r="A394" s="25"/>
      <c r="B394" s="78"/>
      <c r="C394" s="26"/>
      <c r="D394" s="25"/>
      <c r="E394" s="23"/>
      <c r="F394" s="25"/>
      <c r="G394" s="23"/>
      <c r="H394" s="23"/>
      <c r="J394" s="1"/>
      <c r="K394" s="1"/>
      <c r="L394" s="1"/>
    </row>
    <row r="395" spans="1:12" s="2" customFormat="1" ht="18" customHeight="1">
      <c r="A395" s="25"/>
      <c r="B395" s="78"/>
      <c r="C395" s="26"/>
      <c r="D395" s="25"/>
      <c r="E395" s="23"/>
      <c r="F395" s="25"/>
      <c r="G395" s="23"/>
      <c r="H395" s="23"/>
      <c r="J395" s="1"/>
      <c r="K395" s="1"/>
      <c r="L395" s="1"/>
    </row>
    <row r="396" spans="1:12" s="2" customFormat="1" ht="18" customHeight="1">
      <c r="A396" s="25"/>
      <c r="B396" s="78"/>
      <c r="C396" s="26"/>
      <c r="D396" s="25"/>
      <c r="E396" s="23"/>
      <c r="F396" s="25"/>
      <c r="G396" s="23"/>
      <c r="H396" s="23"/>
      <c r="J396" s="1"/>
      <c r="K396" s="1"/>
      <c r="L396" s="1"/>
    </row>
    <row r="397" spans="1:12" s="2" customFormat="1" ht="18" customHeight="1">
      <c r="A397" s="25"/>
      <c r="B397" s="78"/>
      <c r="C397" s="26"/>
      <c r="D397" s="25"/>
      <c r="E397" s="23"/>
      <c r="F397" s="25"/>
      <c r="G397" s="23"/>
      <c r="H397" s="23"/>
      <c r="J397" s="1"/>
      <c r="K397" s="1"/>
      <c r="L397" s="1"/>
    </row>
    <row r="398" spans="1:12" s="2" customFormat="1" ht="18" customHeight="1">
      <c r="A398" s="25"/>
      <c r="B398" s="78"/>
      <c r="C398" s="26"/>
      <c r="D398" s="25"/>
      <c r="E398" s="23"/>
      <c r="F398" s="25"/>
      <c r="G398" s="23"/>
      <c r="H398" s="23"/>
      <c r="J398" s="1"/>
      <c r="K398" s="1"/>
      <c r="L398" s="1"/>
    </row>
    <row r="399" spans="1:12" s="2" customFormat="1" ht="18" customHeight="1">
      <c r="A399" s="25"/>
      <c r="B399" s="78"/>
      <c r="C399" s="26"/>
      <c r="D399" s="25"/>
      <c r="E399" s="23"/>
      <c r="F399" s="25"/>
      <c r="G399" s="23"/>
      <c r="H399" s="23"/>
      <c r="J399" s="1"/>
      <c r="K399" s="1"/>
      <c r="L399" s="1"/>
    </row>
    <row r="400" spans="1:12" s="2" customFormat="1" ht="18" customHeight="1">
      <c r="A400" s="25"/>
      <c r="B400" s="78"/>
      <c r="C400" s="26"/>
      <c r="D400" s="25"/>
      <c r="E400" s="23"/>
      <c r="F400" s="25"/>
      <c r="G400" s="23"/>
      <c r="H400" s="23"/>
      <c r="J400" s="1"/>
      <c r="K400" s="1"/>
      <c r="L400" s="1"/>
    </row>
    <row r="401" spans="1:12" s="2" customFormat="1" ht="18" customHeight="1">
      <c r="A401" s="25"/>
      <c r="B401" s="78"/>
      <c r="C401" s="26"/>
      <c r="D401" s="25"/>
      <c r="E401" s="23"/>
      <c r="F401" s="25"/>
      <c r="G401" s="23"/>
      <c r="H401" s="23"/>
      <c r="J401" s="1"/>
      <c r="K401" s="1"/>
      <c r="L401" s="1"/>
    </row>
    <row r="402" spans="1:12" s="2" customFormat="1" ht="18" customHeight="1">
      <c r="A402" s="25"/>
      <c r="B402" s="78"/>
      <c r="C402" s="26"/>
      <c r="D402" s="25"/>
      <c r="E402" s="23"/>
      <c r="F402" s="25"/>
      <c r="G402" s="23"/>
      <c r="H402" s="23"/>
      <c r="J402" s="1"/>
      <c r="K402" s="1"/>
      <c r="L402" s="1"/>
    </row>
    <row r="403" spans="1:12" s="2" customFormat="1" ht="18" customHeight="1">
      <c r="A403" s="25"/>
      <c r="B403" s="78"/>
      <c r="C403" s="26"/>
      <c r="D403" s="25"/>
      <c r="E403" s="23"/>
      <c r="F403" s="25"/>
      <c r="G403" s="23"/>
      <c r="H403" s="23"/>
      <c r="J403" s="1"/>
      <c r="K403" s="1"/>
      <c r="L403" s="1"/>
    </row>
    <row r="404" spans="1:12" s="2" customFormat="1" ht="18" customHeight="1">
      <c r="A404" s="25"/>
      <c r="B404" s="78"/>
      <c r="C404" s="26"/>
      <c r="D404" s="25"/>
      <c r="E404" s="23"/>
      <c r="F404" s="25"/>
      <c r="G404" s="23"/>
      <c r="H404" s="23"/>
      <c r="J404" s="1"/>
      <c r="K404" s="1"/>
      <c r="L404" s="1"/>
    </row>
    <row r="405" spans="1:12" s="2" customFormat="1" ht="18" customHeight="1">
      <c r="A405" s="25"/>
      <c r="B405" s="78"/>
      <c r="C405" s="26"/>
      <c r="D405" s="25"/>
      <c r="E405" s="23"/>
      <c r="F405" s="25"/>
      <c r="G405" s="23"/>
      <c r="H405" s="23"/>
      <c r="J405" s="1"/>
      <c r="K405" s="1"/>
      <c r="L405" s="1"/>
    </row>
    <row r="406" spans="1:12" s="2" customFormat="1" ht="18" customHeight="1">
      <c r="A406" s="25"/>
      <c r="B406" s="78"/>
      <c r="C406" s="26"/>
      <c r="D406" s="25"/>
      <c r="E406" s="23"/>
      <c r="F406" s="25"/>
      <c r="G406" s="23"/>
      <c r="H406" s="23"/>
      <c r="J406" s="1"/>
      <c r="K406" s="1"/>
      <c r="L406" s="1"/>
    </row>
    <row r="407" spans="1:12" s="2" customFormat="1" ht="18" customHeight="1">
      <c r="A407" s="25"/>
      <c r="B407" s="78"/>
      <c r="C407" s="26"/>
      <c r="D407" s="25"/>
      <c r="E407" s="23"/>
      <c r="F407" s="25"/>
      <c r="G407" s="23"/>
      <c r="H407" s="23"/>
      <c r="J407" s="1"/>
      <c r="K407" s="1"/>
      <c r="L407" s="1"/>
    </row>
    <row r="408" spans="1:12" s="2" customFormat="1" ht="18" customHeight="1">
      <c r="A408" s="25"/>
      <c r="B408" s="78"/>
      <c r="C408" s="26"/>
      <c r="D408" s="25"/>
      <c r="E408" s="23"/>
      <c r="F408" s="25"/>
      <c r="G408" s="23"/>
      <c r="H408" s="23"/>
      <c r="J408" s="1"/>
      <c r="K408" s="1"/>
      <c r="L408" s="1"/>
    </row>
    <row r="409" spans="1:12" s="2" customFormat="1" ht="18" customHeight="1">
      <c r="A409" s="25"/>
      <c r="B409" s="78"/>
      <c r="C409" s="26"/>
      <c r="D409" s="25"/>
      <c r="E409" s="23"/>
      <c r="F409" s="25"/>
      <c r="G409" s="23"/>
      <c r="H409" s="23"/>
      <c r="J409" s="1"/>
      <c r="K409" s="1"/>
      <c r="L409" s="1"/>
    </row>
    <row r="410" spans="1:12" s="2" customFormat="1" ht="18" customHeight="1">
      <c r="A410" s="25"/>
      <c r="B410" s="78"/>
      <c r="C410" s="26"/>
      <c r="D410" s="25"/>
      <c r="E410" s="23"/>
      <c r="F410" s="25"/>
      <c r="G410" s="23"/>
      <c r="H410" s="23"/>
      <c r="J410" s="1"/>
      <c r="K410" s="1"/>
      <c r="L410" s="1"/>
    </row>
    <row r="411" spans="1:12" s="2" customFormat="1" ht="18" customHeight="1">
      <c r="A411" s="25"/>
      <c r="B411" s="78"/>
      <c r="C411" s="26"/>
      <c r="D411" s="25"/>
      <c r="E411" s="23"/>
      <c r="F411" s="25"/>
      <c r="G411" s="23"/>
      <c r="H411" s="23"/>
      <c r="J411" s="1"/>
      <c r="K411" s="1"/>
      <c r="L411" s="1"/>
    </row>
    <row r="412" spans="1:12" s="2" customFormat="1" ht="18" customHeight="1">
      <c r="A412" s="25"/>
      <c r="B412" s="78"/>
      <c r="C412" s="26"/>
      <c r="D412" s="25"/>
      <c r="E412" s="23"/>
      <c r="F412" s="25"/>
      <c r="G412" s="23"/>
      <c r="H412" s="23"/>
      <c r="J412" s="1"/>
      <c r="K412" s="1"/>
      <c r="L412" s="1"/>
    </row>
    <row r="413" spans="1:12" s="2" customFormat="1" ht="18" customHeight="1">
      <c r="A413" s="25"/>
      <c r="B413" s="78"/>
      <c r="C413" s="26"/>
      <c r="D413" s="25"/>
      <c r="E413" s="23"/>
      <c r="F413" s="25"/>
      <c r="G413" s="23"/>
      <c r="H413" s="23"/>
      <c r="J413" s="1"/>
      <c r="K413" s="1"/>
      <c r="L413" s="1"/>
    </row>
    <row r="414" spans="1:12" s="2" customFormat="1" ht="18" customHeight="1">
      <c r="A414" s="25"/>
      <c r="B414" s="78"/>
      <c r="C414" s="26"/>
      <c r="D414" s="25"/>
      <c r="E414" s="23"/>
      <c r="F414" s="25"/>
      <c r="G414" s="23"/>
      <c r="H414" s="23"/>
      <c r="J414" s="1"/>
      <c r="K414" s="1"/>
      <c r="L414" s="1"/>
    </row>
    <row r="415" spans="1:12" s="2" customFormat="1" ht="18" customHeight="1">
      <c r="A415" s="25"/>
      <c r="B415" s="78"/>
      <c r="C415" s="26"/>
      <c r="D415" s="25"/>
      <c r="E415" s="23"/>
      <c r="F415" s="25"/>
      <c r="G415" s="23"/>
      <c r="H415" s="23"/>
      <c r="J415" s="1"/>
      <c r="K415" s="1"/>
      <c r="L415" s="1"/>
    </row>
    <row r="416" spans="1:12" s="2" customFormat="1" ht="18" customHeight="1">
      <c r="A416" s="25"/>
      <c r="B416" s="78"/>
      <c r="C416" s="26"/>
      <c r="D416" s="25"/>
      <c r="E416" s="23"/>
      <c r="F416" s="25"/>
      <c r="G416" s="23"/>
      <c r="H416" s="23"/>
      <c r="J416" s="1"/>
      <c r="K416" s="1"/>
      <c r="L416" s="1"/>
    </row>
    <row r="417" spans="1:12" s="2" customFormat="1" ht="18" customHeight="1">
      <c r="A417" s="25"/>
      <c r="B417" s="78"/>
      <c r="C417" s="26"/>
      <c r="D417" s="25"/>
      <c r="E417" s="23"/>
      <c r="F417" s="25"/>
      <c r="G417" s="23"/>
      <c r="H417" s="23"/>
      <c r="J417" s="1"/>
      <c r="K417" s="1"/>
      <c r="L417" s="1"/>
    </row>
    <row r="418" spans="1:12" s="2" customFormat="1" ht="18" customHeight="1">
      <c r="A418" s="25"/>
      <c r="B418" s="78"/>
      <c r="C418" s="26"/>
      <c r="D418" s="25"/>
      <c r="E418" s="23"/>
      <c r="F418" s="25"/>
      <c r="G418" s="23"/>
      <c r="H418" s="23"/>
      <c r="J418" s="1"/>
      <c r="K418" s="1"/>
      <c r="L418" s="1"/>
    </row>
    <row r="419" spans="1:12" s="2" customFormat="1" ht="18" customHeight="1">
      <c r="A419" s="25"/>
      <c r="B419" s="78"/>
      <c r="C419" s="26"/>
      <c r="D419" s="25"/>
      <c r="E419" s="23"/>
      <c r="F419" s="25"/>
      <c r="G419" s="23"/>
      <c r="H419" s="23"/>
      <c r="J419" s="1"/>
      <c r="K419" s="1"/>
      <c r="L419" s="1"/>
    </row>
    <row r="420" spans="1:12" s="2" customFormat="1" ht="18" customHeight="1">
      <c r="A420" s="25"/>
      <c r="B420" s="78"/>
      <c r="C420" s="26"/>
      <c r="D420" s="25"/>
      <c r="E420" s="23"/>
      <c r="F420" s="25"/>
      <c r="G420" s="23"/>
      <c r="H420" s="23"/>
      <c r="J420" s="1"/>
      <c r="K420" s="1"/>
      <c r="L420" s="1"/>
    </row>
    <row r="421" spans="1:12" s="2" customFormat="1" ht="18" customHeight="1">
      <c r="A421" s="25"/>
      <c r="B421" s="78"/>
      <c r="C421" s="26"/>
      <c r="D421" s="25"/>
      <c r="E421" s="23"/>
      <c r="F421" s="25"/>
      <c r="G421" s="23"/>
      <c r="H421" s="23"/>
      <c r="J421" s="1"/>
      <c r="K421" s="1"/>
      <c r="L421" s="1"/>
    </row>
    <row r="422" spans="1:12" s="2" customFormat="1" ht="18" customHeight="1">
      <c r="A422" s="25"/>
      <c r="B422" s="78"/>
      <c r="C422" s="26"/>
      <c r="D422" s="25"/>
      <c r="E422" s="23"/>
      <c r="F422" s="25"/>
      <c r="G422" s="23"/>
      <c r="H422" s="23"/>
      <c r="J422" s="1"/>
      <c r="K422" s="1"/>
      <c r="L422" s="1"/>
    </row>
    <row r="423" spans="1:12" s="2" customFormat="1" ht="18" customHeight="1">
      <c r="A423" s="25"/>
      <c r="B423" s="78"/>
      <c r="C423" s="26"/>
      <c r="D423" s="25"/>
      <c r="E423" s="23"/>
      <c r="F423" s="25"/>
      <c r="G423" s="23"/>
      <c r="H423" s="23"/>
      <c r="J423" s="1"/>
      <c r="K423" s="1"/>
      <c r="L423" s="1"/>
    </row>
    <row r="424" spans="1:12" s="2" customFormat="1" ht="18" customHeight="1">
      <c r="A424" s="25"/>
      <c r="B424" s="78"/>
      <c r="C424" s="26"/>
      <c r="D424" s="25"/>
      <c r="E424" s="23"/>
      <c r="F424" s="25"/>
      <c r="G424" s="23"/>
      <c r="H424" s="23"/>
      <c r="J424" s="1"/>
      <c r="K424" s="1"/>
      <c r="L424" s="1"/>
    </row>
    <row r="425" spans="1:12" s="2" customFormat="1" ht="18" customHeight="1">
      <c r="A425" s="25"/>
      <c r="B425" s="78"/>
      <c r="C425" s="26"/>
      <c r="D425" s="25"/>
      <c r="E425" s="23"/>
      <c r="F425" s="25"/>
      <c r="G425" s="23"/>
      <c r="H425" s="23"/>
      <c r="J425" s="1"/>
      <c r="K425" s="1"/>
      <c r="L425" s="1"/>
    </row>
    <row r="426" spans="1:12" s="2" customFormat="1" ht="18" customHeight="1">
      <c r="A426" s="25"/>
      <c r="B426" s="78"/>
      <c r="C426" s="26"/>
      <c r="D426" s="25"/>
      <c r="E426" s="23"/>
      <c r="F426" s="25"/>
      <c r="G426" s="23"/>
      <c r="H426" s="23"/>
      <c r="J426" s="1"/>
      <c r="K426" s="1"/>
      <c r="L426" s="1"/>
    </row>
    <row r="427" spans="1:12" s="2" customFormat="1" ht="18" customHeight="1">
      <c r="A427" s="25"/>
      <c r="B427" s="78"/>
      <c r="C427" s="26"/>
      <c r="D427" s="25"/>
      <c r="E427" s="23"/>
      <c r="F427" s="25"/>
      <c r="G427" s="23"/>
      <c r="H427" s="23"/>
      <c r="J427" s="1"/>
      <c r="K427" s="1"/>
      <c r="L427" s="1"/>
    </row>
    <row r="428" spans="1:12" s="2" customFormat="1" ht="18" customHeight="1">
      <c r="A428" s="25"/>
      <c r="B428" s="78"/>
      <c r="C428" s="26"/>
      <c r="D428" s="25"/>
      <c r="E428" s="23"/>
      <c r="F428" s="25"/>
      <c r="G428" s="23"/>
      <c r="H428" s="23"/>
      <c r="J428" s="1"/>
      <c r="K428" s="1"/>
      <c r="L428" s="1"/>
    </row>
    <row r="429" spans="1:12" s="2" customFormat="1" ht="18" customHeight="1">
      <c r="A429" s="25"/>
      <c r="B429" s="78"/>
      <c r="C429" s="26"/>
      <c r="D429" s="25"/>
      <c r="E429" s="23"/>
      <c r="F429" s="25"/>
      <c r="G429" s="23"/>
      <c r="H429" s="23"/>
      <c r="J429" s="1"/>
      <c r="K429" s="1"/>
      <c r="L429" s="1"/>
    </row>
    <row r="430" spans="1:12" s="2" customFormat="1" ht="18" customHeight="1">
      <c r="A430" s="25"/>
      <c r="B430" s="78"/>
      <c r="C430" s="26"/>
      <c r="D430" s="25"/>
      <c r="E430" s="23"/>
      <c r="F430" s="25"/>
      <c r="G430" s="23"/>
      <c r="H430" s="23"/>
      <c r="J430" s="1"/>
      <c r="K430" s="1"/>
      <c r="L430" s="1"/>
    </row>
    <row r="431" spans="1:12" s="2" customFormat="1" ht="18" customHeight="1">
      <c r="A431" s="25"/>
      <c r="B431" s="78"/>
      <c r="C431" s="26"/>
      <c r="D431" s="25"/>
      <c r="E431" s="23"/>
      <c r="F431" s="25"/>
      <c r="G431" s="23"/>
      <c r="H431" s="23"/>
      <c r="J431" s="1"/>
      <c r="K431" s="1"/>
      <c r="L431" s="1"/>
    </row>
    <row r="432" spans="1:12" s="2" customFormat="1" ht="18" customHeight="1">
      <c r="A432" s="25"/>
      <c r="B432" s="78"/>
      <c r="C432" s="26"/>
      <c r="D432" s="25"/>
      <c r="E432" s="23"/>
      <c r="F432" s="25"/>
      <c r="G432" s="23"/>
      <c r="H432" s="23"/>
      <c r="J432" s="1"/>
      <c r="K432" s="1"/>
      <c r="L432" s="1"/>
    </row>
    <row r="433" spans="1:12" s="2" customFormat="1" ht="18" customHeight="1">
      <c r="A433" s="25"/>
      <c r="B433" s="78"/>
      <c r="C433" s="26"/>
      <c r="D433" s="25"/>
      <c r="E433" s="23"/>
      <c r="F433" s="25"/>
      <c r="G433" s="23"/>
      <c r="H433" s="23"/>
      <c r="J433" s="1"/>
      <c r="K433" s="1"/>
      <c r="L433" s="1"/>
    </row>
    <row r="434" spans="1:12" s="2" customFormat="1" ht="18" customHeight="1">
      <c r="A434" s="25"/>
      <c r="B434" s="78"/>
      <c r="C434" s="26"/>
      <c r="D434" s="25"/>
      <c r="E434" s="23"/>
      <c r="F434" s="25"/>
      <c r="G434" s="23"/>
      <c r="H434" s="23"/>
      <c r="J434" s="1"/>
      <c r="K434" s="1"/>
      <c r="L434" s="1"/>
    </row>
    <row r="435" spans="1:12" s="2" customFormat="1" ht="18" customHeight="1">
      <c r="A435" s="25"/>
      <c r="B435" s="78"/>
      <c r="C435" s="26"/>
      <c r="D435" s="25"/>
      <c r="E435" s="23"/>
      <c r="F435" s="25"/>
      <c r="G435" s="23"/>
      <c r="H435" s="23"/>
      <c r="J435" s="1"/>
      <c r="K435" s="1"/>
      <c r="L435" s="1"/>
    </row>
    <row r="436" spans="1:12" s="2" customFormat="1" ht="18" customHeight="1">
      <c r="A436" s="25"/>
      <c r="B436" s="78"/>
      <c r="C436" s="26"/>
      <c r="D436" s="25"/>
      <c r="E436" s="23"/>
      <c r="F436" s="25"/>
      <c r="G436" s="23"/>
      <c r="H436" s="23"/>
      <c r="J436" s="1"/>
      <c r="K436" s="1"/>
      <c r="L436" s="1"/>
    </row>
    <row r="437" spans="1:12" s="2" customFormat="1" ht="18" customHeight="1">
      <c r="A437" s="25"/>
      <c r="B437" s="78"/>
      <c r="C437" s="26"/>
      <c r="D437" s="25"/>
      <c r="E437" s="23"/>
      <c r="F437" s="25"/>
      <c r="G437" s="23"/>
      <c r="H437" s="23"/>
      <c r="J437" s="1"/>
      <c r="K437" s="1"/>
      <c r="L437" s="1"/>
    </row>
    <row r="438" spans="1:12" s="2" customFormat="1" ht="18" customHeight="1">
      <c r="A438" s="25"/>
      <c r="B438" s="78"/>
      <c r="C438" s="26"/>
      <c r="D438" s="25"/>
      <c r="E438" s="23"/>
      <c r="F438" s="25"/>
      <c r="G438" s="23"/>
      <c r="H438" s="23"/>
      <c r="J438" s="1"/>
      <c r="K438" s="1"/>
      <c r="L438" s="1"/>
    </row>
    <row r="439" spans="1:12" s="2" customFormat="1" ht="18" customHeight="1">
      <c r="A439" s="25"/>
      <c r="B439" s="78"/>
      <c r="C439" s="26"/>
      <c r="D439" s="25"/>
      <c r="E439" s="23"/>
      <c r="F439" s="25"/>
      <c r="G439" s="23"/>
      <c r="H439" s="23"/>
      <c r="J439" s="1"/>
      <c r="K439" s="1"/>
      <c r="L439" s="1"/>
    </row>
    <row r="440" spans="1:12" s="2" customFormat="1" ht="18" customHeight="1">
      <c r="A440" s="25"/>
      <c r="B440" s="78"/>
      <c r="C440" s="26"/>
      <c r="D440" s="25"/>
      <c r="E440" s="23"/>
      <c r="F440" s="25"/>
      <c r="G440" s="23"/>
      <c r="H440" s="23"/>
      <c r="J440" s="1"/>
      <c r="K440" s="1"/>
      <c r="L440" s="1"/>
    </row>
    <row r="441" spans="1:12" s="2" customFormat="1" ht="18" customHeight="1">
      <c r="A441" s="25"/>
      <c r="B441" s="78"/>
      <c r="C441" s="26"/>
      <c r="D441" s="25"/>
      <c r="E441" s="23"/>
      <c r="F441" s="25"/>
      <c r="G441" s="23"/>
      <c r="H441" s="23"/>
      <c r="J441" s="1"/>
      <c r="K441" s="1"/>
      <c r="L441" s="1"/>
    </row>
    <row r="442" spans="1:12" s="2" customFormat="1" ht="18" customHeight="1">
      <c r="A442" s="25"/>
      <c r="B442" s="78"/>
      <c r="C442" s="26"/>
      <c r="D442" s="25"/>
      <c r="E442" s="23"/>
      <c r="F442" s="25"/>
      <c r="G442" s="23"/>
      <c r="H442" s="23"/>
      <c r="J442" s="1"/>
      <c r="K442" s="1"/>
      <c r="L442" s="1"/>
    </row>
    <row r="443" spans="1:12" s="2" customFormat="1" ht="18" customHeight="1">
      <c r="A443" s="25"/>
      <c r="B443" s="78"/>
      <c r="C443" s="26"/>
      <c r="D443" s="25"/>
      <c r="E443" s="23"/>
      <c r="F443" s="25"/>
      <c r="G443" s="23"/>
      <c r="H443" s="23"/>
      <c r="J443" s="1"/>
      <c r="K443" s="1"/>
      <c r="L443" s="1"/>
    </row>
    <row r="444" spans="1:12" s="2" customFormat="1" ht="18" customHeight="1">
      <c r="A444" s="25"/>
      <c r="B444" s="78"/>
      <c r="C444" s="26"/>
      <c r="D444" s="25"/>
      <c r="E444" s="23"/>
      <c r="F444" s="25"/>
      <c r="G444" s="23"/>
      <c r="H444" s="23"/>
      <c r="J444" s="1"/>
      <c r="K444" s="1"/>
      <c r="L444" s="1"/>
    </row>
    <row r="445" spans="1:12" s="2" customFormat="1" ht="18" customHeight="1">
      <c r="A445" s="25"/>
      <c r="B445" s="78"/>
      <c r="C445" s="26"/>
      <c r="D445" s="25"/>
      <c r="E445" s="23"/>
      <c r="F445" s="25"/>
      <c r="G445" s="23"/>
      <c r="H445" s="23"/>
      <c r="J445" s="1"/>
      <c r="K445" s="1"/>
      <c r="L445" s="1"/>
    </row>
    <row r="446" spans="1:12" s="2" customFormat="1" ht="18" customHeight="1">
      <c r="A446" s="25"/>
      <c r="B446" s="78"/>
      <c r="C446" s="26"/>
      <c r="D446" s="25"/>
      <c r="E446" s="23"/>
      <c r="F446" s="25"/>
      <c r="G446" s="23"/>
      <c r="H446" s="23"/>
      <c r="J446" s="1"/>
      <c r="K446" s="1"/>
      <c r="L446" s="1"/>
    </row>
    <row r="447" spans="1:12" s="2" customFormat="1" ht="18" customHeight="1">
      <c r="A447" s="25"/>
      <c r="B447" s="78"/>
      <c r="C447" s="26"/>
      <c r="D447" s="25"/>
      <c r="E447" s="23"/>
      <c r="F447" s="25"/>
      <c r="G447" s="23"/>
      <c r="H447" s="23"/>
      <c r="J447" s="1"/>
      <c r="K447" s="1"/>
      <c r="L447" s="1"/>
    </row>
    <row r="448" spans="1:12" s="2" customFormat="1" ht="18" customHeight="1">
      <c r="A448" s="25"/>
      <c r="B448" s="78"/>
      <c r="C448" s="26"/>
      <c r="D448" s="25"/>
      <c r="E448" s="23"/>
      <c r="F448" s="25"/>
      <c r="G448" s="23"/>
      <c r="H448" s="23"/>
      <c r="J448" s="1"/>
      <c r="K448" s="1"/>
      <c r="L448" s="1"/>
    </row>
    <row r="449" spans="1:12" s="2" customFormat="1" ht="18" customHeight="1">
      <c r="A449" s="25"/>
      <c r="B449" s="78"/>
      <c r="C449" s="26"/>
      <c r="D449" s="25"/>
      <c r="E449" s="23"/>
      <c r="F449" s="25"/>
      <c r="G449" s="23"/>
      <c r="H449" s="23"/>
      <c r="J449" s="1"/>
      <c r="K449" s="1"/>
      <c r="L449" s="1"/>
    </row>
    <row r="450" spans="1:12" s="2" customFormat="1" ht="18" customHeight="1">
      <c r="A450" s="25"/>
      <c r="B450" s="78"/>
      <c r="C450" s="26"/>
      <c r="D450" s="25"/>
      <c r="E450" s="23"/>
      <c r="F450" s="25"/>
      <c r="G450" s="23"/>
      <c r="H450" s="23"/>
      <c r="J450" s="1"/>
      <c r="K450" s="1"/>
      <c r="L450" s="1"/>
    </row>
    <row r="451" spans="1:12" s="2" customFormat="1" ht="18" customHeight="1">
      <c r="A451" s="25"/>
      <c r="B451" s="78"/>
      <c r="C451" s="26"/>
      <c r="D451" s="25"/>
      <c r="E451" s="23"/>
      <c r="F451" s="25"/>
      <c r="G451" s="23"/>
      <c r="H451" s="23"/>
      <c r="J451" s="1"/>
      <c r="K451" s="1"/>
      <c r="L451" s="1"/>
    </row>
    <row r="452" spans="1:12" s="2" customFormat="1" ht="18" customHeight="1">
      <c r="A452" s="25"/>
      <c r="B452" s="78"/>
      <c r="C452" s="26"/>
      <c r="D452" s="25"/>
      <c r="E452" s="23"/>
      <c r="F452" s="25"/>
      <c r="G452" s="23"/>
      <c r="H452" s="23"/>
      <c r="J452" s="1"/>
      <c r="K452" s="1"/>
      <c r="L452" s="1"/>
    </row>
    <row r="453" spans="1:12" s="2" customFormat="1" ht="18" customHeight="1">
      <c r="A453" s="25"/>
      <c r="B453" s="78"/>
      <c r="C453" s="26"/>
      <c r="D453" s="25"/>
      <c r="E453" s="23"/>
      <c r="F453" s="25"/>
      <c r="G453" s="23"/>
      <c r="H453" s="23"/>
      <c r="J453" s="1"/>
      <c r="K453" s="1"/>
      <c r="L453" s="1"/>
    </row>
    <row r="454" spans="1:12" s="2" customFormat="1" ht="18" customHeight="1">
      <c r="A454" s="25"/>
      <c r="B454" s="78"/>
      <c r="C454" s="26"/>
      <c r="D454" s="25"/>
      <c r="E454" s="23"/>
      <c r="F454" s="25"/>
      <c r="G454" s="23"/>
      <c r="H454" s="23"/>
      <c r="J454" s="1"/>
      <c r="K454" s="1"/>
      <c r="L454" s="1"/>
    </row>
    <row r="455" spans="1:12" s="2" customFormat="1" ht="18" customHeight="1">
      <c r="A455" s="25"/>
      <c r="B455" s="78"/>
      <c r="C455" s="26"/>
      <c r="D455" s="25"/>
      <c r="E455" s="23"/>
      <c r="F455" s="25"/>
      <c r="G455" s="23"/>
      <c r="H455" s="23"/>
      <c r="J455" s="1"/>
      <c r="K455" s="1"/>
      <c r="L455" s="1"/>
    </row>
    <row r="456" spans="1:12" s="2" customFormat="1" ht="18" customHeight="1">
      <c r="A456" s="25"/>
      <c r="B456" s="78"/>
      <c r="C456" s="26"/>
      <c r="D456" s="25"/>
      <c r="E456" s="23"/>
      <c r="F456" s="25"/>
      <c r="G456" s="23"/>
      <c r="H456" s="23"/>
      <c r="J456" s="1"/>
      <c r="K456" s="1"/>
      <c r="L456" s="1"/>
    </row>
    <row r="457" spans="1:12" s="2" customFormat="1" ht="18" customHeight="1">
      <c r="A457" s="25"/>
      <c r="B457" s="78"/>
      <c r="C457" s="26"/>
      <c r="D457" s="25"/>
      <c r="E457" s="23"/>
      <c r="F457" s="25"/>
      <c r="G457" s="23"/>
      <c r="H457" s="23"/>
      <c r="J457" s="1"/>
      <c r="K457" s="1"/>
      <c r="L457" s="1"/>
    </row>
    <row r="458" spans="1:12" s="2" customFormat="1" ht="18" customHeight="1">
      <c r="A458" s="25"/>
      <c r="B458" s="78"/>
      <c r="C458" s="26"/>
      <c r="D458" s="25"/>
      <c r="E458" s="23"/>
      <c r="F458" s="25"/>
      <c r="G458" s="23"/>
      <c r="H458" s="23"/>
      <c r="J458" s="1"/>
      <c r="K458" s="1"/>
      <c r="L458" s="1"/>
    </row>
    <row r="459" spans="1:12" s="2" customFormat="1" ht="18" customHeight="1">
      <c r="A459" s="25"/>
      <c r="B459" s="78"/>
      <c r="C459" s="26"/>
      <c r="D459" s="25"/>
      <c r="E459" s="23"/>
      <c r="F459" s="25"/>
      <c r="G459" s="23"/>
      <c r="H459" s="23"/>
      <c r="J459" s="1"/>
      <c r="K459" s="1"/>
      <c r="L459" s="1"/>
    </row>
    <row r="460" spans="1:12" s="2" customFormat="1" ht="18" customHeight="1">
      <c r="A460" s="25"/>
      <c r="B460" s="78"/>
      <c r="C460" s="26"/>
      <c r="D460" s="25"/>
      <c r="E460" s="23"/>
      <c r="F460" s="25"/>
      <c r="G460" s="23"/>
      <c r="H460" s="23"/>
      <c r="J460" s="1"/>
      <c r="K460" s="1"/>
      <c r="L460" s="1"/>
    </row>
    <row r="461" spans="1:12" s="2" customFormat="1" ht="18" customHeight="1">
      <c r="A461" s="25"/>
      <c r="B461" s="78"/>
      <c r="C461" s="26"/>
      <c r="D461" s="25"/>
      <c r="E461" s="23"/>
      <c r="F461" s="25"/>
      <c r="G461" s="23"/>
      <c r="H461" s="23"/>
      <c r="J461" s="1"/>
      <c r="K461" s="1"/>
      <c r="L461" s="1"/>
    </row>
    <row r="462" spans="1:12" s="2" customFormat="1" ht="18" customHeight="1">
      <c r="A462" s="25"/>
      <c r="B462" s="78"/>
      <c r="C462" s="26"/>
      <c r="D462" s="25"/>
      <c r="E462" s="23"/>
      <c r="F462" s="25"/>
      <c r="G462" s="23"/>
      <c r="H462" s="23"/>
      <c r="J462" s="1"/>
      <c r="K462" s="1"/>
      <c r="L462" s="1"/>
    </row>
    <row r="463" spans="1:12" s="2" customFormat="1" ht="18" customHeight="1">
      <c r="A463" s="25"/>
      <c r="B463" s="78"/>
      <c r="C463" s="26"/>
      <c r="D463" s="25"/>
      <c r="E463" s="23"/>
      <c r="F463" s="25"/>
      <c r="G463" s="23"/>
      <c r="H463" s="23"/>
      <c r="J463" s="1"/>
      <c r="K463" s="1"/>
      <c r="L463" s="1"/>
    </row>
    <row r="464" spans="1:12" s="2" customFormat="1" ht="18" customHeight="1">
      <c r="A464" s="25"/>
      <c r="B464" s="78"/>
      <c r="C464" s="26"/>
      <c r="D464" s="25"/>
      <c r="E464" s="23"/>
      <c r="F464" s="25"/>
      <c r="G464" s="23"/>
      <c r="H464" s="23"/>
      <c r="J464" s="1"/>
      <c r="K464" s="1"/>
      <c r="L464" s="1"/>
    </row>
    <row r="465" spans="1:12" s="2" customFormat="1" ht="18" customHeight="1">
      <c r="A465" s="25"/>
      <c r="B465" s="78"/>
      <c r="C465" s="26"/>
      <c r="D465" s="25"/>
      <c r="E465" s="23"/>
      <c r="F465" s="25"/>
      <c r="G465" s="23"/>
      <c r="H465" s="23"/>
      <c r="J465" s="1"/>
      <c r="K465" s="1"/>
      <c r="L465" s="1"/>
    </row>
    <row r="466" spans="1:12" s="2" customFormat="1" ht="18" customHeight="1">
      <c r="A466" s="25"/>
      <c r="B466" s="78"/>
      <c r="C466" s="26"/>
      <c r="D466" s="25"/>
      <c r="E466" s="23"/>
      <c r="F466" s="25"/>
      <c r="G466" s="23"/>
      <c r="H466" s="23"/>
      <c r="J466" s="1"/>
      <c r="K466" s="1"/>
      <c r="L466" s="1"/>
    </row>
    <row r="467" spans="1:12" s="2" customFormat="1" ht="18" customHeight="1">
      <c r="A467" s="25"/>
      <c r="B467" s="78"/>
      <c r="C467" s="26"/>
      <c r="D467" s="25"/>
      <c r="E467" s="23"/>
      <c r="F467" s="25"/>
      <c r="G467" s="23"/>
      <c r="H467" s="23"/>
      <c r="J467" s="1"/>
      <c r="K467" s="1"/>
      <c r="L467" s="1"/>
    </row>
    <row r="468" spans="1:12" s="2" customFormat="1" ht="18" customHeight="1">
      <c r="A468" s="25"/>
      <c r="B468" s="78"/>
      <c r="C468" s="26"/>
      <c r="D468" s="25"/>
      <c r="E468" s="23"/>
      <c r="F468" s="25"/>
      <c r="G468" s="23"/>
      <c r="H468" s="23"/>
      <c r="J468" s="1"/>
      <c r="K468" s="1"/>
      <c r="L468" s="1"/>
    </row>
    <row r="469" spans="1:12" s="2" customFormat="1" ht="18" customHeight="1">
      <c r="A469" s="25"/>
      <c r="B469" s="78"/>
      <c r="C469" s="26"/>
      <c r="D469" s="25"/>
      <c r="E469" s="23"/>
      <c r="F469" s="25"/>
      <c r="G469" s="23"/>
      <c r="H469" s="23"/>
      <c r="J469" s="1"/>
      <c r="K469" s="1"/>
      <c r="L469" s="1"/>
    </row>
    <row r="470" spans="1:12" s="2" customFormat="1" ht="18" customHeight="1">
      <c r="A470" s="25"/>
      <c r="B470" s="78"/>
      <c r="C470" s="26"/>
      <c r="D470" s="25"/>
      <c r="E470" s="23"/>
      <c r="F470" s="25"/>
      <c r="G470" s="23"/>
      <c r="H470" s="23"/>
      <c r="J470" s="1"/>
      <c r="K470" s="1"/>
      <c r="L470" s="1"/>
    </row>
    <row r="471" spans="1:12" s="2" customFormat="1" ht="18" customHeight="1">
      <c r="A471" s="25"/>
      <c r="B471" s="78"/>
      <c r="C471" s="26"/>
      <c r="D471" s="25"/>
      <c r="E471" s="23"/>
      <c r="F471" s="25"/>
      <c r="G471" s="23"/>
      <c r="H471" s="23"/>
      <c r="J471" s="1"/>
      <c r="K471" s="1"/>
      <c r="L471" s="1"/>
    </row>
    <row r="472" spans="1:12" s="2" customFormat="1" ht="18" customHeight="1">
      <c r="A472" s="25"/>
      <c r="B472" s="78"/>
      <c r="C472" s="26"/>
      <c r="D472" s="25"/>
      <c r="E472" s="23"/>
      <c r="F472" s="25"/>
      <c r="G472" s="23"/>
      <c r="H472" s="23"/>
      <c r="J472" s="1"/>
      <c r="K472" s="1"/>
      <c r="L472" s="1"/>
    </row>
    <row r="473" spans="1:12" s="2" customFormat="1" ht="18" customHeight="1">
      <c r="A473" s="25"/>
      <c r="B473" s="78"/>
      <c r="C473" s="26"/>
      <c r="D473" s="25"/>
      <c r="E473" s="23"/>
      <c r="F473" s="25"/>
      <c r="G473" s="23"/>
      <c r="H473" s="23"/>
      <c r="J473" s="1"/>
      <c r="K473" s="1"/>
      <c r="L473" s="1"/>
    </row>
    <row r="474" spans="1:12" s="2" customFormat="1" ht="18" customHeight="1">
      <c r="A474" s="25"/>
      <c r="B474" s="78"/>
      <c r="C474" s="26"/>
      <c r="D474" s="25"/>
      <c r="E474" s="23"/>
      <c r="F474" s="25"/>
      <c r="G474" s="23"/>
      <c r="H474" s="23"/>
      <c r="J474" s="1"/>
      <c r="K474" s="1"/>
      <c r="L474" s="1"/>
    </row>
    <row r="475" spans="1:12" s="2" customFormat="1" ht="18" customHeight="1">
      <c r="A475" s="25"/>
      <c r="B475" s="78"/>
      <c r="C475" s="26"/>
      <c r="D475" s="25"/>
      <c r="E475" s="23"/>
      <c r="F475" s="25"/>
      <c r="G475" s="23"/>
      <c r="H475" s="23"/>
      <c r="J475" s="1"/>
      <c r="K475" s="1"/>
      <c r="L475" s="1"/>
    </row>
    <row r="476" spans="1:12" s="2" customFormat="1" ht="18" customHeight="1">
      <c r="A476" s="25"/>
      <c r="B476" s="78"/>
      <c r="C476" s="26"/>
      <c r="D476" s="25"/>
      <c r="E476" s="23"/>
      <c r="F476" s="25"/>
      <c r="G476" s="23"/>
      <c r="H476" s="23"/>
      <c r="J476" s="1"/>
      <c r="K476" s="1"/>
      <c r="L476" s="1"/>
    </row>
    <row r="477" spans="1:12" s="2" customFormat="1" ht="18" customHeight="1">
      <c r="A477" s="25"/>
      <c r="B477" s="78"/>
      <c r="C477" s="26"/>
      <c r="D477" s="25"/>
      <c r="E477" s="23"/>
      <c r="F477" s="25"/>
      <c r="G477" s="23"/>
      <c r="H477" s="23"/>
      <c r="J477" s="1"/>
      <c r="K477" s="1"/>
      <c r="L477" s="1"/>
    </row>
    <row r="478" spans="1:12" s="2" customFormat="1" ht="18" customHeight="1">
      <c r="A478" s="25"/>
      <c r="B478" s="78"/>
      <c r="C478" s="26"/>
      <c r="D478" s="25"/>
      <c r="E478" s="23"/>
      <c r="F478" s="25"/>
      <c r="G478" s="23"/>
      <c r="H478" s="23"/>
      <c r="J478" s="1"/>
      <c r="K478" s="1"/>
      <c r="L478" s="1"/>
    </row>
    <row r="479" spans="1:12" s="2" customFormat="1" ht="18" customHeight="1">
      <c r="A479" s="25"/>
      <c r="B479" s="78"/>
      <c r="C479" s="26"/>
      <c r="D479" s="25"/>
      <c r="E479" s="23"/>
      <c r="F479" s="25"/>
      <c r="G479" s="23"/>
      <c r="H479" s="23"/>
      <c r="J479" s="1"/>
      <c r="K479" s="1"/>
      <c r="L479" s="1"/>
    </row>
    <row r="480" spans="1:12" s="2" customFormat="1" ht="18" customHeight="1">
      <c r="A480" s="25"/>
      <c r="B480" s="78"/>
      <c r="C480" s="26"/>
      <c r="D480" s="25"/>
      <c r="E480" s="23"/>
      <c r="F480" s="25"/>
      <c r="G480" s="23"/>
      <c r="H480" s="23"/>
      <c r="J480" s="1"/>
      <c r="K480" s="1"/>
      <c r="L480" s="1"/>
    </row>
    <row r="481" spans="1:12" s="2" customFormat="1" ht="18" customHeight="1">
      <c r="A481" s="25"/>
      <c r="B481" s="78"/>
      <c r="C481" s="26"/>
      <c r="D481" s="25"/>
      <c r="E481" s="23"/>
      <c r="F481" s="25"/>
      <c r="G481" s="23"/>
      <c r="H481" s="23"/>
      <c r="J481" s="1"/>
      <c r="K481" s="1"/>
      <c r="L481" s="1"/>
    </row>
    <row r="482" spans="1:12" s="2" customFormat="1" ht="18" customHeight="1">
      <c r="A482" s="25"/>
      <c r="B482" s="78"/>
      <c r="C482" s="26"/>
      <c r="D482" s="25"/>
      <c r="E482" s="23"/>
      <c r="F482" s="25"/>
      <c r="G482" s="23"/>
      <c r="H482" s="23"/>
      <c r="J482" s="1"/>
      <c r="K482" s="1"/>
      <c r="L482" s="1"/>
    </row>
    <row r="483" spans="1:12" s="2" customFormat="1" ht="18" customHeight="1">
      <c r="A483" s="25"/>
      <c r="B483" s="78"/>
      <c r="C483" s="26"/>
      <c r="D483" s="25"/>
      <c r="E483" s="23"/>
      <c r="F483" s="25"/>
      <c r="G483" s="23"/>
      <c r="H483" s="23"/>
      <c r="J483" s="1"/>
      <c r="K483" s="1"/>
      <c r="L483" s="1"/>
    </row>
    <row r="484" spans="1:12" s="2" customFormat="1" ht="18" customHeight="1">
      <c r="B484" s="77"/>
      <c r="C484" s="3"/>
      <c r="E484" s="24"/>
      <c r="G484" s="24"/>
      <c r="H484" s="24"/>
      <c r="J484" s="1"/>
      <c r="K484" s="1"/>
      <c r="L484" s="1"/>
    </row>
    <row r="485" spans="1:12" s="2" customFormat="1" ht="18" customHeight="1">
      <c r="B485" s="77"/>
      <c r="C485" s="3"/>
      <c r="E485" s="24"/>
      <c r="G485" s="24"/>
      <c r="H485" s="24"/>
      <c r="J485" s="1"/>
      <c r="K485" s="1"/>
      <c r="L485" s="1"/>
    </row>
    <row r="486" spans="1:12" s="2" customFormat="1" ht="18" customHeight="1">
      <c r="B486" s="77"/>
      <c r="C486" s="3"/>
      <c r="E486" s="24"/>
      <c r="G486" s="24"/>
      <c r="H486" s="24"/>
      <c r="J486" s="1"/>
      <c r="K486" s="1"/>
      <c r="L486" s="1"/>
    </row>
    <row r="487" spans="1:12" s="2" customFormat="1" ht="18" customHeight="1">
      <c r="B487" s="77"/>
      <c r="C487" s="3"/>
      <c r="E487" s="24"/>
      <c r="G487" s="24"/>
      <c r="H487" s="24"/>
      <c r="J487" s="1"/>
      <c r="K487" s="1"/>
      <c r="L487" s="1"/>
    </row>
    <row r="488" spans="1:12" s="2" customFormat="1" ht="18" customHeight="1">
      <c r="B488" s="77"/>
      <c r="C488" s="3"/>
      <c r="E488" s="24"/>
      <c r="G488" s="24"/>
      <c r="H488" s="24"/>
      <c r="J488" s="1"/>
      <c r="K488" s="1"/>
      <c r="L488" s="1"/>
    </row>
    <row r="489" spans="1:12" s="2" customFormat="1" ht="18" customHeight="1">
      <c r="B489" s="77"/>
      <c r="C489" s="3"/>
      <c r="E489" s="24"/>
      <c r="G489" s="24"/>
      <c r="H489" s="24"/>
      <c r="J489" s="1"/>
      <c r="K489" s="1"/>
      <c r="L489" s="1"/>
    </row>
    <row r="490" spans="1:12" s="2" customFormat="1" ht="18" customHeight="1">
      <c r="B490" s="77"/>
      <c r="C490" s="3"/>
      <c r="E490" s="24"/>
      <c r="G490" s="24"/>
      <c r="H490" s="24"/>
      <c r="J490" s="1"/>
      <c r="K490" s="1"/>
      <c r="L490" s="1"/>
    </row>
    <row r="491" spans="1:12" s="2" customFormat="1" ht="18" customHeight="1">
      <c r="B491" s="77"/>
      <c r="C491" s="3"/>
      <c r="E491" s="24"/>
      <c r="G491" s="24"/>
      <c r="H491" s="24"/>
      <c r="J491" s="1"/>
      <c r="K491" s="1"/>
      <c r="L491" s="1"/>
    </row>
    <row r="492" spans="1:12" s="2" customFormat="1" ht="18" customHeight="1">
      <c r="B492" s="77"/>
      <c r="C492" s="3"/>
      <c r="E492" s="24"/>
      <c r="G492" s="24"/>
      <c r="H492" s="24"/>
      <c r="J492" s="1"/>
      <c r="K492" s="1"/>
      <c r="L492" s="1"/>
    </row>
    <row r="493" spans="1:12" s="2" customFormat="1" ht="18" customHeight="1">
      <c r="B493" s="77"/>
      <c r="C493" s="3"/>
      <c r="E493" s="24"/>
      <c r="G493" s="24"/>
      <c r="H493" s="24"/>
      <c r="J493" s="1"/>
      <c r="K493" s="1"/>
      <c r="L493" s="1"/>
    </row>
    <row r="494" spans="1:12" s="2" customFormat="1" ht="18" customHeight="1">
      <c r="B494" s="77"/>
      <c r="C494" s="3"/>
      <c r="E494" s="24"/>
      <c r="G494" s="24"/>
      <c r="H494" s="24"/>
      <c r="J494" s="1"/>
      <c r="K494" s="1"/>
      <c r="L494" s="1"/>
    </row>
    <row r="495" spans="1:12" s="2" customFormat="1" ht="18" customHeight="1">
      <c r="B495" s="77"/>
      <c r="C495" s="3"/>
      <c r="E495" s="24"/>
      <c r="G495" s="24"/>
      <c r="H495" s="24"/>
      <c r="J495" s="1"/>
      <c r="K495" s="1"/>
      <c r="L495" s="1"/>
    </row>
    <row r="496" spans="1:12" s="2" customFormat="1" ht="18" customHeight="1">
      <c r="B496" s="77"/>
      <c r="C496" s="3"/>
      <c r="E496" s="24"/>
      <c r="G496" s="24"/>
      <c r="H496" s="24"/>
      <c r="J496" s="1"/>
      <c r="K496" s="1"/>
      <c r="L496" s="1"/>
    </row>
    <row r="497" spans="2:12" s="2" customFormat="1" ht="18" customHeight="1">
      <c r="B497" s="77"/>
      <c r="C497" s="3"/>
      <c r="E497" s="24"/>
      <c r="G497" s="24"/>
      <c r="H497" s="24"/>
      <c r="J497" s="1"/>
      <c r="K497" s="1"/>
      <c r="L497" s="1"/>
    </row>
    <row r="498" spans="2:12" s="2" customFormat="1" ht="18" customHeight="1">
      <c r="B498" s="77"/>
      <c r="C498" s="3"/>
      <c r="E498" s="24"/>
      <c r="G498" s="24"/>
      <c r="H498" s="24"/>
      <c r="J498" s="1"/>
      <c r="K498" s="1"/>
      <c r="L498" s="1"/>
    </row>
    <row r="499" spans="2:12" s="2" customFormat="1" ht="18" customHeight="1">
      <c r="B499" s="77"/>
      <c r="C499" s="3"/>
      <c r="E499" s="24"/>
      <c r="G499" s="24"/>
      <c r="H499" s="24"/>
      <c r="J499" s="1"/>
      <c r="K499" s="1"/>
      <c r="L499" s="1"/>
    </row>
    <row r="500" spans="2:12" s="2" customFormat="1" ht="18" customHeight="1">
      <c r="B500" s="77"/>
      <c r="C500" s="3"/>
      <c r="E500" s="24"/>
      <c r="G500" s="24"/>
      <c r="H500" s="24"/>
      <c r="J500" s="1"/>
      <c r="K500" s="1"/>
      <c r="L500" s="1"/>
    </row>
    <row r="501" spans="2:12" s="2" customFormat="1" ht="18" customHeight="1">
      <c r="B501" s="77"/>
      <c r="C501" s="3"/>
      <c r="E501" s="24"/>
      <c r="G501" s="24"/>
      <c r="H501" s="24"/>
      <c r="J501" s="1"/>
      <c r="K501" s="1"/>
      <c r="L501" s="1"/>
    </row>
    <row r="502" spans="2:12" s="2" customFormat="1" ht="18" customHeight="1">
      <c r="B502" s="77"/>
      <c r="C502" s="3"/>
      <c r="E502" s="24"/>
      <c r="G502" s="24"/>
      <c r="H502" s="24"/>
      <c r="J502" s="1"/>
      <c r="K502" s="1"/>
      <c r="L502" s="1"/>
    </row>
    <row r="503" spans="2:12" s="2" customFormat="1" ht="18" customHeight="1">
      <c r="B503" s="77"/>
      <c r="C503" s="3"/>
      <c r="E503" s="24"/>
      <c r="G503" s="24"/>
      <c r="H503" s="24"/>
      <c r="J503" s="1"/>
      <c r="K503" s="1"/>
      <c r="L503" s="1"/>
    </row>
    <row r="504" spans="2:12" s="2" customFormat="1" ht="18" customHeight="1">
      <c r="B504" s="77"/>
      <c r="C504" s="3"/>
      <c r="E504" s="24"/>
      <c r="G504" s="24"/>
      <c r="H504" s="24"/>
      <c r="J504" s="1"/>
      <c r="K504" s="1"/>
      <c r="L504" s="1"/>
    </row>
    <row r="505" spans="2:12" s="2" customFormat="1" ht="18" customHeight="1">
      <c r="B505" s="77"/>
      <c r="C505" s="3"/>
      <c r="E505" s="24"/>
      <c r="G505" s="24"/>
      <c r="H505" s="24"/>
      <c r="J505" s="1"/>
      <c r="K505" s="1"/>
      <c r="L505" s="1"/>
    </row>
    <row r="506" spans="2:12" s="2" customFormat="1" ht="18" customHeight="1">
      <c r="B506" s="77"/>
      <c r="C506" s="3"/>
      <c r="E506" s="24"/>
      <c r="G506" s="24"/>
      <c r="H506" s="24"/>
      <c r="J506" s="1"/>
      <c r="K506" s="1"/>
      <c r="L506" s="1"/>
    </row>
    <row r="507" spans="2:12" s="2" customFormat="1" ht="18" customHeight="1">
      <c r="B507" s="77"/>
      <c r="C507" s="3"/>
      <c r="E507" s="24"/>
      <c r="G507" s="24"/>
      <c r="H507" s="24"/>
      <c r="J507" s="1"/>
      <c r="K507" s="1"/>
      <c r="L507" s="1"/>
    </row>
    <row r="508" spans="2:12" s="2" customFormat="1" ht="18" customHeight="1">
      <c r="B508" s="77"/>
      <c r="C508" s="3"/>
      <c r="E508" s="24"/>
      <c r="G508" s="24"/>
      <c r="H508" s="24"/>
      <c r="J508" s="1"/>
      <c r="K508" s="1"/>
      <c r="L508" s="1"/>
    </row>
    <row r="509" spans="2:12" s="2" customFormat="1" ht="18" customHeight="1">
      <c r="B509" s="77"/>
      <c r="C509" s="3"/>
      <c r="E509" s="24"/>
      <c r="G509" s="24"/>
      <c r="H509" s="24"/>
      <c r="J509" s="1"/>
      <c r="K509" s="1"/>
      <c r="L509" s="1"/>
    </row>
    <row r="510" spans="2:12" s="2" customFormat="1" ht="18" customHeight="1">
      <c r="B510" s="77"/>
      <c r="C510" s="3"/>
      <c r="E510" s="24"/>
      <c r="G510" s="24"/>
      <c r="H510" s="24"/>
      <c r="J510" s="1"/>
      <c r="K510" s="1"/>
      <c r="L510" s="1"/>
    </row>
    <row r="511" spans="2:12" s="2" customFormat="1" ht="18" customHeight="1">
      <c r="B511" s="77"/>
      <c r="C511" s="3"/>
      <c r="E511" s="24"/>
      <c r="G511" s="24"/>
      <c r="H511" s="24"/>
      <c r="J511" s="1"/>
      <c r="K511" s="1"/>
      <c r="L511" s="1"/>
    </row>
    <row r="512" spans="2:12" s="2" customFormat="1" ht="18" customHeight="1">
      <c r="B512" s="77"/>
      <c r="C512" s="3"/>
      <c r="E512" s="24"/>
      <c r="G512" s="24"/>
      <c r="H512" s="24"/>
      <c r="J512" s="1"/>
      <c r="K512" s="1"/>
      <c r="L512" s="1"/>
    </row>
    <row r="513" spans="2:12" s="2" customFormat="1" ht="18" customHeight="1">
      <c r="B513" s="77"/>
      <c r="C513" s="3"/>
      <c r="E513" s="24"/>
      <c r="G513" s="24"/>
      <c r="H513" s="24"/>
      <c r="J513" s="1"/>
      <c r="K513" s="1"/>
      <c r="L513" s="1"/>
    </row>
    <row r="514" spans="2:12" s="2" customFormat="1" ht="18" customHeight="1">
      <c r="B514" s="77"/>
      <c r="C514" s="3"/>
      <c r="E514" s="24"/>
      <c r="G514" s="24"/>
      <c r="H514" s="24"/>
      <c r="J514" s="1"/>
      <c r="K514" s="1"/>
      <c r="L514" s="1"/>
    </row>
    <row r="515" spans="2:12" s="2" customFormat="1" ht="18" customHeight="1">
      <c r="B515" s="77"/>
      <c r="C515" s="3"/>
      <c r="E515" s="24"/>
      <c r="G515" s="24"/>
      <c r="H515" s="24"/>
      <c r="J515" s="1"/>
      <c r="K515" s="1"/>
      <c r="L515" s="1"/>
    </row>
    <row r="516" spans="2:12" s="2" customFormat="1" ht="18" customHeight="1">
      <c r="B516" s="77"/>
      <c r="C516" s="3"/>
      <c r="E516" s="24"/>
      <c r="G516" s="24"/>
      <c r="H516" s="24"/>
      <c r="J516" s="1"/>
      <c r="K516" s="1"/>
      <c r="L516" s="1"/>
    </row>
    <row r="517" spans="2:12" s="2" customFormat="1" ht="18" customHeight="1">
      <c r="B517" s="77"/>
      <c r="C517" s="3"/>
      <c r="E517" s="24"/>
      <c r="G517" s="24"/>
      <c r="H517" s="24"/>
      <c r="J517" s="1"/>
      <c r="K517" s="1"/>
      <c r="L517" s="1"/>
    </row>
    <row r="518" spans="2:12" s="2" customFormat="1" ht="18" customHeight="1">
      <c r="B518" s="77"/>
      <c r="C518" s="3"/>
      <c r="E518" s="24"/>
      <c r="G518" s="24"/>
      <c r="H518" s="24"/>
      <c r="J518" s="1"/>
      <c r="K518" s="1"/>
      <c r="L518" s="1"/>
    </row>
    <row r="519" spans="2:12" s="2" customFormat="1" ht="18" customHeight="1">
      <c r="B519" s="77"/>
      <c r="C519" s="3"/>
      <c r="E519" s="24"/>
      <c r="G519" s="24"/>
      <c r="H519" s="24"/>
      <c r="J519" s="1"/>
      <c r="K519" s="1"/>
      <c r="L519" s="1"/>
    </row>
    <row r="520" spans="2:12" s="2" customFormat="1" ht="18" customHeight="1">
      <c r="B520" s="77"/>
      <c r="C520" s="3"/>
      <c r="E520" s="24"/>
      <c r="G520" s="24"/>
      <c r="H520" s="24"/>
      <c r="J520" s="1"/>
      <c r="K520" s="1"/>
      <c r="L520" s="1"/>
    </row>
    <row r="521" spans="2:12" s="2" customFormat="1" ht="18" customHeight="1">
      <c r="B521" s="77"/>
      <c r="C521" s="3"/>
      <c r="E521" s="24"/>
      <c r="G521" s="24"/>
      <c r="H521" s="24"/>
      <c r="J521" s="1"/>
      <c r="K521" s="1"/>
      <c r="L521" s="1"/>
    </row>
    <row r="522" spans="2:12" s="2" customFormat="1" ht="18" customHeight="1">
      <c r="B522" s="77"/>
      <c r="C522" s="3"/>
      <c r="E522" s="24"/>
      <c r="G522" s="24"/>
      <c r="H522" s="24"/>
      <c r="J522" s="1"/>
      <c r="K522" s="1"/>
      <c r="L522" s="1"/>
    </row>
    <row r="523" spans="2:12" s="2" customFormat="1" ht="18" customHeight="1">
      <c r="B523" s="77"/>
      <c r="C523" s="3"/>
      <c r="E523" s="24"/>
      <c r="G523" s="24"/>
      <c r="H523" s="24"/>
      <c r="J523" s="1"/>
      <c r="K523" s="1"/>
      <c r="L523" s="1"/>
    </row>
    <row r="524" spans="2:12" s="2" customFormat="1" ht="18" customHeight="1">
      <c r="B524" s="77"/>
      <c r="C524" s="3"/>
      <c r="E524" s="24"/>
      <c r="G524" s="24"/>
      <c r="H524" s="24"/>
      <c r="J524" s="1"/>
      <c r="K524" s="1"/>
      <c r="L524" s="1"/>
    </row>
    <row r="525" spans="2:12" s="2" customFormat="1" ht="18" customHeight="1">
      <c r="B525" s="77"/>
      <c r="C525" s="3"/>
      <c r="E525" s="24"/>
      <c r="G525" s="24"/>
      <c r="H525" s="24"/>
      <c r="J525" s="1"/>
      <c r="K525" s="1"/>
      <c r="L525" s="1"/>
    </row>
    <row r="526" spans="2:12" s="2" customFormat="1" ht="18" customHeight="1">
      <c r="B526" s="77"/>
      <c r="C526" s="3"/>
      <c r="E526" s="24"/>
      <c r="G526" s="24"/>
      <c r="H526" s="24"/>
      <c r="J526" s="1"/>
      <c r="K526" s="1"/>
      <c r="L526" s="1"/>
    </row>
    <row r="527" spans="2:12" s="2" customFormat="1" ht="18" customHeight="1">
      <c r="B527" s="77"/>
      <c r="C527" s="3"/>
      <c r="E527" s="24"/>
      <c r="G527" s="24"/>
      <c r="H527" s="24"/>
      <c r="J527" s="1"/>
      <c r="K527" s="1"/>
      <c r="L527" s="1"/>
    </row>
    <row r="528" spans="2:12" s="2" customFormat="1" ht="18" customHeight="1">
      <c r="B528" s="77"/>
      <c r="C528" s="3"/>
      <c r="E528" s="24"/>
      <c r="G528" s="24"/>
      <c r="H528" s="24"/>
      <c r="J528" s="1"/>
      <c r="K528" s="1"/>
      <c r="L528" s="1"/>
    </row>
    <row r="529" spans="2:12" s="2" customFormat="1" ht="18" customHeight="1">
      <c r="B529" s="77"/>
      <c r="C529" s="3"/>
      <c r="E529" s="24"/>
      <c r="G529" s="24"/>
      <c r="H529" s="24"/>
      <c r="J529" s="1"/>
      <c r="K529" s="1"/>
      <c r="L529" s="1"/>
    </row>
    <row r="530" spans="2:12" s="2" customFormat="1" ht="18" customHeight="1">
      <c r="B530" s="77"/>
      <c r="C530" s="3"/>
      <c r="E530" s="24"/>
      <c r="G530" s="24"/>
      <c r="H530" s="24"/>
      <c r="J530" s="1"/>
      <c r="K530" s="1"/>
      <c r="L530" s="1"/>
    </row>
    <row r="531" spans="2:12" s="2" customFormat="1" ht="18" customHeight="1">
      <c r="B531" s="77"/>
      <c r="C531" s="3"/>
      <c r="E531" s="24"/>
      <c r="G531" s="24"/>
      <c r="H531" s="24"/>
      <c r="J531" s="1"/>
      <c r="K531" s="1"/>
      <c r="L531" s="1"/>
    </row>
    <row r="532" spans="2:12" s="2" customFormat="1" ht="18" customHeight="1">
      <c r="B532" s="77"/>
      <c r="C532" s="3"/>
      <c r="E532" s="24"/>
      <c r="G532" s="24"/>
      <c r="H532" s="24"/>
      <c r="J532" s="1"/>
      <c r="K532" s="1"/>
      <c r="L532" s="1"/>
    </row>
    <row r="533" spans="2:12" s="2" customFormat="1" ht="18" customHeight="1">
      <c r="B533" s="77"/>
      <c r="C533" s="3"/>
      <c r="E533" s="24"/>
      <c r="G533" s="24"/>
      <c r="H533" s="24"/>
      <c r="J533" s="1"/>
      <c r="K533" s="1"/>
      <c r="L533" s="1"/>
    </row>
    <row r="534" spans="2:12" s="2" customFormat="1" ht="18" customHeight="1">
      <c r="B534" s="77"/>
      <c r="C534" s="3"/>
      <c r="E534" s="24"/>
      <c r="G534" s="24"/>
      <c r="H534" s="24"/>
      <c r="J534" s="1"/>
      <c r="K534" s="1"/>
      <c r="L534" s="1"/>
    </row>
    <row r="535" spans="2:12" s="2" customFormat="1" ht="18" customHeight="1">
      <c r="B535" s="77"/>
      <c r="C535" s="3"/>
      <c r="E535" s="24"/>
      <c r="G535" s="24"/>
      <c r="H535" s="24"/>
      <c r="J535" s="1"/>
      <c r="K535" s="1"/>
      <c r="L535" s="1"/>
    </row>
    <row r="536" spans="2:12" s="2" customFormat="1" ht="18" customHeight="1">
      <c r="B536" s="77"/>
      <c r="C536" s="3"/>
      <c r="E536" s="24"/>
      <c r="G536" s="24"/>
      <c r="H536" s="24"/>
      <c r="J536" s="1"/>
      <c r="K536" s="1"/>
      <c r="L536" s="1"/>
    </row>
    <row r="537" spans="2:12" s="2" customFormat="1" ht="18" customHeight="1">
      <c r="B537" s="77"/>
      <c r="C537" s="3"/>
      <c r="E537" s="24"/>
      <c r="G537" s="24"/>
      <c r="H537" s="24"/>
      <c r="J537" s="1"/>
      <c r="K537" s="1"/>
      <c r="L537" s="1"/>
    </row>
    <row r="538" spans="2:12" s="2" customFormat="1" ht="18" customHeight="1">
      <c r="B538" s="77"/>
      <c r="C538" s="3"/>
      <c r="E538" s="24"/>
      <c r="G538" s="24"/>
      <c r="H538" s="24"/>
      <c r="J538" s="1"/>
      <c r="K538" s="1"/>
      <c r="L538" s="1"/>
    </row>
    <row r="539" spans="2:12" s="2" customFormat="1" ht="18" customHeight="1">
      <c r="B539" s="77"/>
      <c r="C539" s="3"/>
      <c r="E539" s="24"/>
      <c r="G539" s="24"/>
      <c r="H539" s="24"/>
      <c r="J539" s="1"/>
      <c r="K539" s="1"/>
      <c r="L539" s="1"/>
    </row>
    <row r="540" spans="2:12" s="2" customFormat="1" ht="18" customHeight="1">
      <c r="B540" s="77"/>
      <c r="C540" s="3"/>
      <c r="E540" s="24"/>
      <c r="G540" s="24"/>
      <c r="H540" s="24"/>
      <c r="J540" s="1"/>
      <c r="K540" s="1"/>
      <c r="L540" s="1"/>
    </row>
    <row r="541" spans="2:12" s="2" customFormat="1" ht="18" customHeight="1">
      <c r="B541" s="77"/>
      <c r="C541" s="3"/>
      <c r="E541" s="24"/>
      <c r="G541" s="24"/>
      <c r="H541" s="24"/>
      <c r="J541" s="1"/>
      <c r="K541" s="1"/>
      <c r="L541" s="1"/>
    </row>
    <row r="542" spans="2:12" s="2" customFormat="1" ht="18" customHeight="1">
      <c r="B542" s="77"/>
      <c r="C542" s="3"/>
      <c r="E542" s="24"/>
      <c r="G542" s="24"/>
      <c r="H542" s="24"/>
      <c r="J542" s="1"/>
      <c r="K542" s="1"/>
      <c r="L542" s="1"/>
    </row>
    <row r="543" spans="2:12" s="2" customFormat="1" ht="18" customHeight="1">
      <c r="B543" s="77"/>
      <c r="C543" s="3"/>
      <c r="E543" s="24"/>
      <c r="G543" s="24"/>
      <c r="H543" s="24"/>
      <c r="J543" s="1"/>
      <c r="K543" s="1"/>
      <c r="L543" s="1"/>
    </row>
    <row r="544" spans="2:12" s="2" customFormat="1" ht="18" customHeight="1">
      <c r="B544" s="77"/>
      <c r="C544" s="3"/>
      <c r="E544" s="24"/>
      <c r="G544" s="24"/>
      <c r="H544" s="24"/>
      <c r="J544" s="1"/>
      <c r="K544" s="1"/>
      <c r="L544" s="1"/>
    </row>
    <row r="545" spans="2:12" s="2" customFormat="1" ht="18" customHeight="1">
      <c r="B545" s="77"/>
      <c r="C545" s="3"/>
      <c r="E545" s="24"/>
      <c r="G545" s="24"/>
      <c r="H545" s="24"/>
      <c r="J545" s="1"/>
      <c r="K545" s="1"/>
      <c r="L545" s="1"/>
    </row>
    <row r="546" spans="2:12" s="2" customFormat="1" ht="18" customHeight="1">
      <c r="B546" s="77"/>
      <c r="C546" s="3"/>
      <c r="E546" s="24"/>
      <c r="G546" s="24"/>
      <c r="H546" s="24"/>
      <c r="J546" s="1"/>
      <c r="K546" s="1"/>
      <c r="L546" s="1"/>
    </row>
    <row r="547" spans="2:12" s="2" customFormat="1" ht="18" customHeight="1">
      <c r="B547" s="77"/>
      <c r="C547" s="3"/>
      <c r="E547" s="24"/>
      <c r="G547" s="24"/>
      <c r="H547" s="24"/>
      <c r="J547" s="1"/>
      <c r="K547" s="1"/>
      <c r="L547" s="1"/>
    </row>
    <row r="548" spans="2:12" s="2" customFormat="1" ht="18" customHeight="1">
      <c r="B548" s="77"/>
      <c r="C548" s="3"/>
      <c r="E548" s="24"/>
      <c r="G548" s="24"/>
      <c r="H548" s="24"/>
      <c r="J548" s="1"/>
      <c r="K548" s="1"/>
      <c r="L548" s="1"/>
    </row>
    <row r="549" spans="2:12" s="2" customFormat="1" ht="18" customHeight="1">
      <c r="B549" s="77"/>
      <c r="C549" s="3"/>
      <c r="E549" s="24"/>
      <c r="G549" s="24"/>
      <c r="H549" s="24"/>
      <c r="J549" s="1"/>
      <c r="K549" s="1"/>
      <c r="L549" s="1"/>
    </row>
    <row r="550" spans="2:12" s="2" customFormat="1" ht="18" customHeight="1">
      <c r="B550" s="77"/>
      <c r="C550" s="3"/>
      <c r="E550" s="24"/>
      <c r="G550" s="24"/>
      <c r="H550" s="24"/>
      <c r="J550" s="1"/>
      <c r="K550" s="1"/>
      <c r="L550" s="1"/>
    </row>
    <row r="551" spans="2:12" s="2" customFormat="1" ht="18" customHeight="1">
      <c r="B551" s="77"/>
      <c r="C551" s="3"/>
      <c r="E551" s="24"/>
      <c r="G551" s="24"/>
      <c r="H551" s="24"/>
      <c r="J551" s="1"/>
      <c r="K551" s="1"/>
      <c r="L551" s="1"/>
    </row>
    <row r="552" spans="2:12" s="2" customFormat="1" ht="18" customHeight="1">
      <c r="B552" s="77"/>
      <c r="C552" s="3"/>
      <c r="E552" s="24"/>
      <c r="G552" s="24"/>
      <c r="H552" s="24"/>
      <c r="J552" s="1"/>
      <c r="K552" s="1"/>
      <c r="L552" s="1"/>
    </row>
    <row r="553" spans="2:12" s="2" customFormat="1" ht="18" customHeight="1">
      <c r="B553" s="77"/>
      <c r="C553" s="3"/>
      <c r="E553" s="24"/>
      <c r="G553" s="24"/>
      <c r="H553" s="24"/>
      <c r="J553" s="1"/>
      <c r="K553" s="1"/>
      <c r="L553" s="1"/>
    </row>
    <row r="554" spans="2:12" s="2" customFormat="1" ht="18" customHeight="1">
      <c r="B554" s="77"/>
      <c r="C554" s="3"/>
      <c r="E554" s="24"/>
      <c r="G554" s="24"/>
      <c r="H554" s="24"/>
      <c r="J554" s="1"/>
      <c r="K554" s="1"/>
      <c r="L554" s="1"/>
    </row>
    <row r="555" spans="2:12" s="2" customFormat="1" ht="18" customHeight="1">
      <c r="B555" s="77"/>
      <c r="C555" s="3"/>
      <c r="E555" s="24"/>
      <c r="G555" s="24"/>
      <c r="H555" s="24"/>
      <c r="J555" s="1"/>
      <c r="K555" s="1"/>
      <c r="L555" s="1"/>
    </row>
    <row r="556" spans="2:12" s="2" customFormat="1" ht="18" customHeight="1">
      <c r="B556" s="77"/>
      <c r="C556" s="3"/>
      <c r="E556" s="24"/>
      <c r="G556" s="24"/>
      <c r="H556" s="24"/>
      <c r="J556" s="1"/>
      <c r="K556" s="1"/>
      <c r="L556" s="1"/>
    </row>
    <row r="557" spans="2:12" s="2" customFormat="1" ht="18" customHeight="1">
      <c r="B557" s="77"/>
      <c r="C557" s="3"/>
      <c r="E557" s="24"/>
      <c r="G557" s="24"/>
      <c r="H557" s="24"/>
      <c r="J557" s="1"/>
      <c r="K557" s="1"/>
      <c r="L557" s="1"/>
    </row>
    <row r="558" spans="2:12" s="2" customFormat="1" ht="18" customHeight="1">
      <c r="B558" s="77"/>
      <c r="C558" s="3"/>
      <c r="E558" s="24"/>
      <c r="G558" s="24"/>
      <c r="H558" s="24"/>
      <c r="J558" s="1"/>
      <c r="K558" s="1"/>
      <c r="L558" s="1"/>
    </row>
    <row r="559" spans="2:12" s="2" customFormat="1" ht="18" customHeight="1">
      <c r="B559" s="77"/>
      <c r="C559" s="3"/>
      <c r="E559" s="24"/>
      <c r="G559" s="24"/>
      <c r="H559" s="24"/>
      <c r="J559" s="1"/>
      <c r="K559" s="1"/>
      <c r="L559" s="1"/>
    </row>
    <row r="560" spans="2:12" s="2" customFormat="1" ht="18" customHeight="1">
      <c r="B560" s="77"/>
      <c r="C560" s="3"/>
      <c r="E560" s="24"/>
      <c r="G560" s="24"/>
      <c r="H560" s="24"/>
      <c r="J560" s="1"/>
      <c r="K560" s="1"/>
      <c r="L560" s="1"/>
    </row>
    <row r="561" spans="2:12" s="2" customFormat="1" ht="18" customHeight="1">
      <c r="B561" s="77"/>
      <c r="C561" s="3"/>
      <c r="E561" s="24"/>
      <c r="G561" s="24"/>
      <c r="H561" s="24"/>
      <c r="J561" s="1"/>
      <c r="K561" s="1"/>
      <c r="L561" s="1"/>
    </row>
    <row r="562" spans="2:12" s="2" customFormat="1" ht="18" customHeight="1">
      <c r="B562" s="77"/>
      <c r="C562" s="3"/>
      <c r="E562" s="24"/>
      <c r="G562" s="24"/>
      <c r="H562" s="24"/>
      <c r="J562" s="1"/>
      <c r="K562" s="1"/>
      <c r="L562" s="1"/>
    </row>
    <row r="563" spans="2:12" s="2" customFormat="1" ht="18" customHeight="1">
      <c r="B563" s="77"/>
      <c r="C563" s="3"/>
      <c r="E563" s="24"/>
      <c r="G563" s="24"/>
      <c r="H563" s="24"/>
      <c r="J563" s="1"/>
      <c r="K563" s="1"/>
      <c r="L563" s="1"/>
    </row>
    <row r="564" spans="2:12" s="2" customFormat="1" ht="18" customHeight="1">
      <c r="B564" s="77"/>
      <c r="C564" s="3"/>
      <c r="E564" s="24"/>
      <c r="G564" s="24"/>
      <c r="H564" s="24"/>
      <c r="J564" s="1"/>
      <c r="K564" s="1"/>
      <c r="L564" s="1"/>
    </row>
    <row r="565" spans="2:12" s="2" customFormat="1" ht="18" customHeight="1">
      <c r="B565" s="77"/>
      <c r="C565" s="3"/>
      <c r="E565" s="24"/>
      <c r="G565" s="24"/>
      <c r="H565" s="24"/>
      <c r="J565" s="1"/>
      <c r="K565" s="1"/>
      <c r="L565" s="1"/>
    </row>
    <row r="566" spans="2:12" s="2" customFormat="1" ht="18" customHeight="1">
      <c r="B566" s="77"/>
      <c r="C566" s="3"/>
      <c r="E566" s="24"/>
      <c r="G566" s="24"/>
      <c r="H566" s="24"/>
      <c r="J566" s="1"/>
      <c r="K566" s="1"/>
      <c r="L566" s="1"/>
    </row>
    <row r="567" spans="2:12" s="2" customFormat="1" ht="18" customHeight="1">
      <c r="B567" s="77"/>
      <c r="C567" s="3"/>
      <c r="E567" s="24"/>
      <c r="G567" s="24"/>
      <c r="H567" s="24"/>
      <c r="J567" s="1"/>
      <c r="K567" s="1"/>
      <c r="L567" s="1"/>
    </row>
    <row r="568" spans="2:12" s="2" customFormat="1" ht="18" customHeight="1">
      <c r="B568" s="77"/>
      <c r="C568" s="3"/>
      <c r="E568" s="24"/>
      <c r="G568" s="24"/>
      <c r="H568" s="24"/>
      <c r="J568" s="1"/>
      <c r="K568" s="1"/>
      <c r="L568" s="1"/>
    </row>
    <row r="569" spans="2:12" s="2" customFormat="1" ht="18" customHeight="1">
      <c r="B569" s="77"/>
      <c r="C569" s="3"/>
      <c r="E569" s="24"/>
      <c r="G569" s="24"/>
      <c r="H569" s="24"/>
      <c r="J569" s="1"/>
      <c r="K569" s="1"/>
      <c r="L569" s="1"/>
    </row>
    <row r="570" spans="2:12" s="2" customFormat="1" ht="18" customHeight="1">
      <c r="B570" s="77"/>
      <c r="C570" s="3"/>
      <c r="E570" s="24"/>
      <c r="G570" s="24"/>
      <c r="H570" s="24"/>
      <c r="J570" s="1"/>
      <c r="K570" s="1"/>
      <c r="L570" s="1"/>
    </row>
    <row r="571" spans="2:12" s="2" customFormat="1" ht="18" customHeight="1">
      <c r="B571" s="77"/>
      <c r="C571" s="3"/>
      <c r="E571" s="24"/>
      <c r="G571" s="24"/>
      <c r="H571" s="24"/>
      <c r="J571" s="1"/>
      <c r="K571" s="1"/>
      <c r="L571" s="1"/>
    </row>
    <row r="572" spans="2:12" s="2" customFormat="1" ht="18" customHeight="1">
      <c r="B572" s="77"/>
      <c r="C572" s="3"/>
      <c r="E572" s="24"/>
      <c r="G572" s="24"/>
      <c r="H572" s="24"/>
      <c r="J572" s="1"/>
      <c r="K572" s="1"/>
      <c r="L572" s="1"/>
    </row>
    <row r="573" spans="2:12" s="2" customFormat="1" ht="18" customHeight="1">
      <c r="B573" s="77"/>
      <c r="C573" s="3"/>
      <c r="E573" s="24"/>
      <c r="G573" s="24"/>
      <c r="H573" s="24"/>
      <c r="J573" s="1"/>
      <c r="K573" s="1"/>
      <c r="L573" s="1"/>
    </row>
    <row r="574" spans="2:12" s="2" customFormat="1" ht="18" customHeight="1">
      <c r="B574" s="77"/>
      <c r="C574" s="3"/>
      <c r="E574" s="24"/>
      <c r="G574" s="24"/>
      <c r="H574" s="24"/>
      <c r="J574" s="1"/>
      <c r="K574" s="1"/>
      <c r="L574" s="1"/>
    </row>
    <row r="575" spans="2:12" s="2" customFormat="1" ht="18" customHeight="1">
      <c r="B575" s="77"/>
      <c r="C575" s="3"/>
      <c r="E575" s="24"/>
      <c r="G575" s="24"/>
      <c r="H575" s="24"/>
      <c r="J575" s="1"/>
      <c r="K575" s="1"/>
      <c r="L575" s="1"/>
    </row>
    <row r="576" spans="2:12" s="2" customFormat="1" ht="18" customHeight="1">
      <c r="B576" s="77"/>
      <c r="C576" s="3"/>
      <c r="E576" s="24"/>
      <c r="G576" s="24"/>
      <c r="H576" s="24"/>
      <c r="J576" s="1"/>
      <c r="K576" s="1"/>
      <c r="L576" s="1"/>
    </row>
    <row r="577" spans="2:12" s="2" customFormat="1" ht="18" customHeight="1">
      <c r="B577" s="77"/>
      <c r="C577" s="3"/>
      <c r="E577" s="24"/>
      <c r="G577" s="24"/>
      <c r="H577" s="24"/>
      <c r="J577" s="1"/>
      <c r="K577" s="1"/>
      <c r="L577" s="1"/>
    </row>
    <row r="578" spans="2:12" s="2" customFormat="1" ht="18" customHeight="1">
      <c r="B578" s="77"/>
      <c r="C578" s="3"/>
      <c r="E578" s="24"/>
      <c r="G578" s="24"/>
      <c r="H578" s="24"/>
      <c r="J578" s="1"/>
      <c r="K578" s="1"/>
      <c r="L578" s="1"/>
    </row>
    <row r="579" spans="2:12" s="2" customFormat="1" ht="18" customHeight="1">
      <c r="B579" s="77"/>
      <c r="C579" s="3"/>
      <c r="E579" s="24"/>
      <c r="G579" s="24"/>
      <c r="H579" s="24"/>
      <c r="J579" s="1"/>
      <c r="K579" s="1"/>
      <c r="L579" s="1"/>
    </row>
    <row r="580" spans="2:12" s="2" customFormat="1" ht="18" customHeight="1">
      <c r="B580" s="77"/>
      <c r="C580" s="3"/>
      <c r="E580" s="24"/>
      <c r="G580" s="24"/>
      <c r="H580" s="24"/>
      <c r="J580" s="1"/>
      <c r="K580" s="1"/>
      <c r="L580" s="1"/>
    </row>
    <row r="581" spans="2:12" s="2" customFormat="1" ht="18" customHeight="1">
      <c r="B581" s="77"/>
      <c r="C581" s="3"/>
      <c r="E581" s="24"/>
      <c r="G581" s="24"/>
      <c r="H581" s="24"/>
      <c r="J581" s="1"/>
      <c r="K581" s="1"/>
      <c r="L581" s="1"/>
    </row>
    <row r="582" spans="2:12" s="2" customFormat="1" ht="18" customHeight="1">
      <c r="B582" s="77"/>
      <c r="C582" s="3"/>
      <c r="E582" s="24"/>
      <c r="G582" s="24"/>
      <c r="H582" s="24"/>
      <c r="J582" s="1"/>
      <c r="K582" s="1"/>
      <c r="L582" s="1"/>
    </row>
    <row r="583" spans="2:12" s="2" customFormat="1" ht="18" customHeight="1">
      <c r="B583" s="77"/>
      <c r="C583" s="3"/>
      <c r="E583" s="24"/>
      <c r="G583" s="24"/>
      <c r="H583" s="24"/>
      <c r="J583" s="1"/>
      <c r="K583" s="1"/>
      <c r="L583" s="1"/>
    </row>
    <row r="584" spans="2:12" s="2" customFormat="1" ht="18" customHeight="1">
      <c r="B584" s="77"/>
      <c r="C584" s="3"/>
      <c r="E584" s="24"/>
      <c r="G584" s="24"/>
      <c r="H584" s="24"/>
      <c r="J584" s="1"/>
      <c r="K584" s="1"/>
      <c r="L584" s="1"/>
    </row>
    <row r="585" spans="2:12" s="2" customFormat="1" ht="18" customHeight="1">
      <c r="B585" s="77"/>
      <c r="C585" s="3"/>
      <c r="E585" s="24"/>
      <c r="G585" s="24"/>
      <c r="H585" s="24"/>
      <c r="J585" s="1"/>
      <c r="K585" s="1"/>
      <c r="L585" s="1"/>
    </row>
    <row r="586" spans="2:12" s="2" customFormat="1" ht="18" customHeight="1">
      <c r="B586" s="77"/>
      <c r="C586" s="3"/>
      <c r="E586" s="24"/>
      <c r="G586" s="24"/>
      <c r="H586" s="24"/>
      <c r="J586" s="1"/>
      <c r="K586" s="1"/>
      <c r="L586" s="1"/>
    </row>
    <row r="587" spans="2:12" s="2" customFormat="1" ht="18" customHeight="1">
      <c r="B587" s="77"/>
      <c r="C587" s="3"/>
      <c r="E587" s="24"/>
      <c r="G587" s="24"/>
      <c r="H587" s="24"/>
      <c r="J587" s="1"/>
      <c r="K587" s="1"/>
      <c r="L587" s="1"/>
    </row>
    <row r="588" spans="2:12" s="2" customFormat="1" ht="18" customHeight="1">
      <c r="B588" s="77"/>
      <c r="C588" s="3"/>
      <c r="E588" s="24"/>
      <c r="G588" s="24"/>
      <c r="H588" s="24"/>
      <c r="J588" s="1"/>
      <c r="K588" s="1"/>
      <c r="L588" s="1"/>
    </row>
    <row r="589" spans="2:12" s="2" customFormat="1" ht="18" customHeight="1">
      <c r="B589" s="77"/>
      <c r="C589" s="3"/>
      <c r="E589" s="24"/>
      <c r="G589" s="24"/>
      <c r="H589" s="24"/>
      <c r="J589" s="1"/>
      <c r="K589" s="1"/>
      <c r="L589" s="1"/>
    </row>
    <row r="590" spans="2:12" s="2" customFormat="1" ht="18" customHeight="1">
      <c r="B590" s="77"/>
      <c r="C590" s="3"/>
      <c r="E590" s="24"/>
      <c r="G590" s="24"/>
      <c r="H590" s="24"/>
      <c r="J590" s="1"/>
      <c r="K590" s="1"/>
      <c r="L590" s="1"/>
    </row>
    <row r="591" spans="2:12" s="2" customFormat="1" ht="18" customHeight="1">
      <c r="B591" s="77"/>
      <c r="C591" s="3"/>
      <c r="E591" s="24"/>
      <c r="G591" s="24"/>
      <c r="H591" s="24"/>
      <c r="J591" s="1"/>
      <c r="K591" s="1"/>
      <c r="L591" s="1"/>
    </row>
    <row r="592" spans="2:12" s="2" customFormat="1" ht="18" customHeight="1">
      <c r="B592" s="77"/>
      <c r="C592" s="3"/>
      <c r="E592" s="24"/>
      <c r="G592" s="24"/>
      <c r="H592" s="24"/>
      <c r="J592" s="1"/>
      <c r="K592" s="1"/>
      <c r="L592" s="1"/>
    </row>
    <row r="593" spans="2:12" s="2" customFormat="1" ht="18" customHeight="1">
      <c r="B593" s="77"/>
      <c r="C593" s="3"/>
      <c r="E593" s="24"/>
      <c r="G593" s="24"/>
      <c r="H593" s="24"/>
      <c r="J593" s="1"/>
      <c r="K593" s="1"/>
      <c r="L593" s="1"/>
    </row>
    <row r="594" spans="2:12" s="2" customFormat="1" ht="18" customHeight="1">
      <c r="B594" s="77"/>
      <c r="C594" s="3"/>
      <c r="E594" s="24"/>
      <c r="G594" s="24"/>
      <c r="H594" s="24"/>
      <c r="J594" s="1"/>
      <c r="K594" s="1"/>
      <c r="L594" s="1"/>
    </row>
    <row r="595" spans="2:12" s="2" customFormat="1" ht="18" customHeight="1">
      <c r="B595" s="77"/>
      <c r="C595" s="3"/>
      <c r="E595" s="24"/>
      <c r="G595" s="24"/>
      <c r="H595" s="24"/>
      <c r="J595" s="1"/>
      <c r="K595" s="1"/>
      <c r="L595" s="1"/>
    </row>
    <row r="596" spans="2:12" s="2" customFormat="1" ht="18" customHeight="1">
      <c r="B596" s="77"/>
      <c r="C596" s="3"/>
      <c r="E596" s="24"/>
      <c r="G596" s="24"/>
      <c r="H596" s="24"/>
      <c r="J596" s="1"/>
      <c r="K596" s="1"/>
      <c r="L596" s="1"/>
    </row>
    <row r="597" spans="2:12" s="2" customFormat="1" ht="18" customHeight="1">
      <c r="B597" s="77"/>
      <c r="C597" s="3"/>
      <c r="E597" s="24"/>
      <c r="G597" s="24"/>
      <c r="H597" s="24"/>
      <c r="J597" s="1"/>
      <c r="K597" s="1"/>
      <c r="L597" s="1"/>
    </row>
    <row r="598" spans="2:12" s="2" customFormat="1" ht="18" customHeight="1">
      <c r="B598" s="77"/>
      <c r="C598" s="3"/>
      <c r="E598" s="24"/>
      <c r="G598" s="24"/>
      <c r="H598" s="24"/>
      <c r="J598" s="1"/>
      <c r="K598" s="1"/>
      <c r="L598" s="1"/>
    </row>
    <row r="599" spans="2:12" s="2" customFormat="1" ht="18" customHeight="1">
      <c r="B599" s="77"/>
      <c r="C599" s="3"/>
      <c r="E599" s="24"/>
      <c r="G599" s="24"/>
      <c r="H599" s="24"/>
      <c r="J599" s="1"/>
      <c r="K599" s="1"/>
      <c r="L599" s="1"/>
    </row>
    <row r="600" spans="2:12" s="2" customFormat="1" ht="18" customHeight="1">
      <c r="B600" s="77"/>
      <c r="C600" s="3"/>
      <c r="E600" s="24"/>
      <c r="G600" s="24"/>
      <c r="H600" s="24"/>
      <c r="J600" s="1"/>
      <c r="K600" s="1"/>
      <c r="L600" s="1"/>
    </row>
    <row r="601" spans="2:12" s="2" customFormat="1" ht="18" customHeight="1">
      <c r="B601" s="77"/>
      <c r="C601" s="3"/>
      <c r="E601" s="24"/>
      <c r="G601" s="24"/>
      <c r="H601" s="24"/>
      <c r="J601" s="1"/>
      <c r="K601" s="1"/>
      <c r="L601" s="1"/>
    </row>
    <row r="602" spans="2:12" s="2" customFormat="1" ht="18" customHeight="1">
      <c r="B602" s="77"/>
      <c r="C602" s="3"/>
      <c r="E602" s="24"/>
      <c r="G602" s="24"/>
      <c r="H602" s="24"/>
      <c r="J602" s="1"/>
      <c r="K602" s="1"/>
      <c r="L602" s="1"/>
    </row>
    <row r="603" spans="2:12" s="2" customFormat="1" ht="18" customHeight="1">
      <c r="B603" s="77"/>
      <c r="C603" s="3"/>
      <c r="E603" s="24"/>
      <c r="G603" s="24"/>
      <c r="H603" s="24"/>
      <c r="J603" s="1"/>
      <c r="K603" s="1"/>
      <c r="L603" s="1"/>
    </row>
    <row r="604" spans="2:12" s="2" customFormat="1" ht="18" customHeight="1">
      <c r="B604" s="77"/>
      <c r="C604" s="3"/>
      <c r="E604" s="24"/>
      <c r="G604" s="24"/>
      <c r="H604" s="24"/>
      <c r="J604" s="1"/>
      <c r="K604" s="1"/>
      <c r="L604" s="1"/>
    </row>
    <row r="605" spans="2:12" s="2" customFormat="1" ht="18" customHeight="1">
      <c r="B605" s="77"/>
      <c r="C605" s="3"/>
      <c r="E605" s="24"/>
      <c r="G605" s="24"/>
      <c r="H605" s="24"/>
      <c r="J605" s="1"/>
      <c r="K605" s="1"/>
      <c r="L605" s="1"/>
    </row>
    <row r="606" spans="2:12" s="2" customFormat="1" ht="18" customHeight="1">
      <c r="B606" s="77"/>
      <c r="C606" s="3"/>
      <c r="E606" s="24"/>
      <c r="G606" s="24"/>
      <c r="H606" s="24"/>
      <c r="J606" s="1"/>
      <c r="K606" s="1"/>
      <c r="L606" s="1"/>
    </row>
    <row r="607" spans="2:12" s="2" customFormat="1" ht="18" customHeight="1">
      <c r="B607" s="77"/>
      <c r="C607" s="3"/>
      <c r="E607" s="24"/>
      <c r="G607" s="24"/>
      <c r="H607" s="24"/>
      <c r="J607" s="1"/>
      <c r="K607" s="1"/>
      <c r="L607" s="1"/>
    </row>
    <row r="608" spans="2:12" s="2" customFormat="1" ht="18" customHeight="1">
      <c r="B608" s="77"/>
      <c r="C608" s="3"/>
      <c r="E608" s="24"/>
      <c r="G608" s="24"/>
      <c r="H608" s="24"/>
      <c r="J608" s="1"/>
      <c r="K608" s="1"/>
      <c r="L608" s="1"/>
    </row>
    <row r="609" spans="2:12" s="2" customFormat="1" ht="18" customHeight="1">
      <c r="B609" s="77"/>
      <c r="C609" s="3"/>
      <c r="E609" s="24"/>
      <c r="G609" s="24"/>
      <c r="H609" s="24"/>
      <c r="J609" s="1"/>
      <c r="K609" s="1"/>
      <c r="L609" s="1"/>
    </row>
    <row r="610" spans="2:12" s="2" customFormat="1" ht="18" customHeight="1">
      <c r="B610" s="77"/>
      <c r="C610" s="3"/>
      <c r="E610" s="24"/>
      <c r="G610" s="24"/>
      <c r="H610" s="24"/>
      <c r="J610" s="1"/>
      <c r="K610" s="1"/>
      <c r="L610" s="1"/>
    </row>
    <row r="611" spans="2:12" s="2" customFormat="1" ht="18" customHeight="1">
      <c r="B611" s="77"/>
      <c r="C611" s="3"/>
      <c r="E611" s="24"/>
      <c r="G611" s="24"/>
      <c r="H611" s="24"/>
      <c r="J611" s="1"/>
      <c r="K611" s="1"/>
      <c r="L611" s="1"/>
    </row>
    <row r="612" spans="2:12" s="2" customFormat="1" ht="18" customHeight="1">
      <c r="B612" s="77"/>
      <c r="C612" s="3"/>
      <c r="E612" s="24"/>
      <c r="G612" s="24"/>
      <c r="H612" s="24"/>
      <c r="J612" s="1"/>
      <c r="K612" s="1"/>
      <c r="L612" s="1"/>
    </row>
    <row r="613" spans="2:12" s="2" customFormat="1" ht="18" customHeight="1">
      <c r="B613" s="77"/>
      <c r="C613" s="3"/>
      <c r="E613" s="24"/>
      <c r="G613" s="24"/>
      <c r="H613" s="24"/>
      <c r="J613" s="1"/>
      <c r="K613" s="1"/>
      <c r="L613" s="1"/>
    </row>
    <row r="614" spans="2:12" s="2" customFormat="1" ht="18" customHeight="1">
      <c r="B614" s="77"/>
      <c r="C614" s="3"/>
      <c r="E614" s="24"/>
      <c r="G614" s="24"/>
      <c r="H614" s="24"/>
      <c r="J614" s="1"/>
      <c r="K614" s="1"/>
      <c r="L614" s="1"/>
    </row>
    <row r="615" spans="2:12" s="2" customFormat="1" ht="18" customHeight="1">
      <c r="B615" s="77"/>
      <c r="C615" s="3"/>
      <c r="E615" s="24"/>
      <c r="G615" s="24"/>
      <c r="H615" s="24"/>
      <c r="J615" s="1"/>
      <c r="K615" s="1"/>
      <c r="L615" s="1"/>
    </row>
    <row r="616" spans="2:12" s="2" customFormat="1" ht="18" customHeight="1">
      <c r="B616" s="77"/>
      <c r="C616" s="3"/>
      <c r="E616" s="24"/>
      <c r="G616" s="24"/>
      <c r="H616" s="24"/>
      <c r="J616" s="1"/>
      <c r="K616" s="1"/>
      <c r="L616" s="1"/>
    </row>
    <row r="617" spans="2:12" s="2" customFormat="1" ht="18" customHeight="1">
      <c r="B617" s="77"/>
      <c r="C617" s="3"/>
      <c r="E617" s="24"/>
      <c r="G617" s="24"/>
      <c r="H617" s="24"/>
      <c r="J617" s="1"/>
      <c r="K617" s="1"/>
      <c r="L617" s="1"/>
    </row>
    <row r="618" spans="2:12" s="2" customFormat="1" ht="18" customHeight="1">
      <c r="B618" s="77"/>
      <c r="C618" s="3"/>
      <c r="E618" s="24"/>
      <c r="G618" s="24"/>
      <c r="H618" s="24"/>
      <c r="J618" s="1"/>
      <c r="K618" s="1"/>
      <c r="L618" s="1"/>
    </row>
    <row r="619" spans="2:12" s="2" customFormat="1" ht="18" customHeight="1">
      <c r="B619" s="77"/>
      <c r="C619" s="3"/>
      <c r="E619" s="24"/>
      <c r="G619" s="24"/>
      <c r="H619" s="24"/>
      <c r="J619" s="1"/>
      <c r="K619" s="1"/>
      <c r="L619" s="1"/>
    </row>
    <row r="620" spans="2:12" s="2" customFormat="1" ht="18" customHeight="1">
      <c r="B620" s="77"/>
      <c r="C620" s="3"/>
      <c r="E620" s="24"/>
      <c r="G620" s="24"/>
      <c r="H620" s="24"/>
      <c r="J620" s="1"/>
      <c r="K620" s="1"/>
      <c r="L620" s="1"/>
    </row>
    <row r="621" spans="2:12" s="2" customFormat="1" ht="18" customHeight="1">
      <c r="B621" s="77"/>
      <c r="C621" s="3"/>
      <c r="E621" s="24"/>
      <c r="G621" s="24"/>
      <c r="H621" s="24"/>
      <c r="J621" s="1"/>
      <c r="K621" s="1"/>
      <c r="L621" s="1"/>
    </row>
    <row r="622" spans="2:12" s="2" customFormat="1" ht="18" customHeight="1">
      <c r="B622" s="77"/>
      <c r="C622" s="3"/>
      <c r="E622" s="24"/>
      <c r="G622" s="24"/>
      <c r="H622" s="24"/>
      <c r="J622" s="1"/>
      <c r="K622" s="1"/>
      <c r="L622" s="1"/>
    </row>
    <row r="623" spans="2:12" s="2" customFormat="1" ht="18" customHeight="1">
      <c r="B623" s="77"/>
      <c r="C623" s="3"/>
      <c r="E623" s="24"/>
      <c r="G623" s="24"/>
      <c r="H623" s="24"/>
      <c r="J623" s="1"/>
      <c r="K623" s="1"/>
      <c r="L623" s="1"/>
    </row>
    <row r="624" spans="2:12" s="2" customFormat="1" ht="18" customHeight="1">
      <c r="B624" s="77"/>
      <c r="C624" s="3"/>
      <c r="E624" s="24"/>
      <c r="G624" s="24"/>
      <c r="H624" s="24"/>
      <c r="J624" s="1"/>
      <c r="K624" s="1"/>
      <c r="L624" s="1"/>
    </row>
    <row r="625" spans="2:12" s="2" customFormat="1" ht="18" customHeight="1">
      <c r="B625" s="77"/>
      <c r="C625" s="3"/>
      <c r="E625" s="24"/>
      <c r="G625" s="24"/>
      <c r="H625" s="24"/>
      <c r="J625" s="1"/>
      <c r="K625" s="1"/>
      <c r="L625" s="1"/>
    </row>
    <row r="626" spans="2:12" s="2" customFormat="1" ht="18" customHeight="1">
      <c r="B626" s="77"/>
      <c r="C626" s="3"/>
      <c r="E626" s="24"/>
      <c r="G626" s="24"/>
      <c r="H626" s="24"/>
      <c r="J626" s="1"/>
      <c r="K626" s="1"/>
      <c r="L626" s="1"/>
    </row>
    <row r="627" spans="2:12" s="2" customFormat="1" ht="18" customHeight="1">
      <c r="B627" s="77"/>
      <c r="C627" s="3"/>
      <c r="E627" s="24"/>
      <c r="G627" s="24"/>
      <c r="H627" s="24"/>
      <c r="J627" s="1"/>
      <c r="K627" s="1"/>
      <c r="L627" s="1"/>
    </row>
    <row r="628" spans="2:12" s="2" customFormat="1" ht="18" customHeight="1">
      <c r="B628" s="77"/>
      <c r="C628" s="3"/>
      <c r="E628" s="24"/>
      <c r="G628" s="24"/>
      <c r="H628" s="24"/>
      <c r="J628" s="1"/>
      <c r="K628" s="1"/>
      <c r="L628" s="1"/>
    </row>
    <row r="629" spans="2:12" s="2" customFormat="1" ht="18" customHeight="1">
      <c r="B629" s="77"/>
      <c r="C629" s="3"/>
      <c r="E629" s="24"/>
      <c r="G629" s="24"/>
      <c r="H629" s="24"/>
      <c r="J629" s="1"/>
      <c r="K629" s="1"/>
      <c r="L629" s="1"/>
    </row>
    <row r="630" spans="2:12" s="2" customFormat="1" ht="18" customHeight="1">
      <c r="B630" s="77"/>
      <c r="C630" s="3"/>
      <c r="E630" s="24"/>
      <c r="G630" s="24"/>
      <c r="H630" s="24"/>
      <c r="J630" s="1"/>
      <c r="K630" s="1"/>
      <c r="L630" s="1"/>
    </row>
    <row r="631" spans="2:12" s="2" customFormat="1" ht="18" customHeight="1">
      <c r="B631" s="77"/>
      <c r="C631" s="3"/>
      <c r="E631" s="24"/>
      <c r="G631" s="24"/>
      <c r="H631" s="24"/>
      <c r="J631" s="1"/>
      <c r="K631" s="1"/>
      <c r="L631" s="1"/>
    </row>
    <row r="632" spans="2:12" s="2" customFormat="1" ht="18" customHeight="1">
      <c r="B632" s="77"/>
      <c r="C632" s="3"/>
      <c r="E632" s="24"/>
      <c r="G632" s="24"/>
      <c r="H632" s="24"/>
      <c r="J632" s="1"/>
      <c r="K632" s="1"/>
      <c r="L632" s="1"/>
    </row>
    <row r="633" spans="2:12" s="2" customFormat="1" ht="18" customHeight="1">
      <c r="B633" s="77"/>
      <c r="C633" s="3"/>
      <c r="E633" s="24"/>
      <c r="G633" s="24"/>
      <c r="H633" s="24"/>
      <c r="J633" s="1"/>
      <c r="K633" s="1"/>
      <c r="L633" s="1"/>
    </row>
    <row r="634" spans="2:12" s="2" customFormat="1" ht="18" customHeight="1">
      <c r="B634" s="77"/>
      <c r="C634" s="3"/>
      <c r="E634" s="24"/>
      <c r="G634" s="24"/>
      <c r="H634" s="24"/>
      <c r="J634" s="1"/>
      <c r="K634" s="1"/>
      <c r="L634" s="1"/>
    </row>
    <row r="635" spans="2:12" s="2" customFormat="1" ht="18" customHeight="1">
      <c r="B635" s="77"/>
      <c r="C635" s="3"/>
      <c r="E635" s="24"/>
      <c r="G635" s="24"/>
      <c r="H635" s="24"/>
      <c r="J635" s="1"/>
      <c r="K635" s="1"/>
      <c r="L635" s="1"/>
    </row>
    <row r="636" spans="2:12" s="2" customFormat="1" ht="18" customHeight="1">
      <c r="B636" s="77"/>
      <c r="C636" s="3"/>
      <c r="E636" s="24"/>
      <c r="G636" s="24"/>
      <c r="H636" s="24"/>
      <c r="J636" s="1"/>
      <c r="K636" s="1"/>
      <c r="L636" s="1"/>
    </row>
    <row r="637" spans="2:12" s="2" customFormat="1" ht="18" customHeight="1">
      <c r="B637" s="77"/>
      <c r="C637" s="3"/>
      <c r="E637" s="24"/>
      <c r="G637" s="24"/>
      <c r="H637" s="24"/>
      <c r="J637" s="1"/>
      <c r="K637" s="1"/>
      <c r="L637" s="1"/>
    </row>
    <row r="638" spans="2:12" s="2" customFormat="1" ht="18" customHeight="1">
      <c r="B638" s="77"/>
      <c r="C638" s="3"/>
      <c r="E638" s="24"/>
      <c r="G638" s="24"/>
      <c r="H638" s="24"/>
      <c r="J638" s="1"/>
      <c r="K638" s="1"/>
      <c r="L638" s="1"/>
    </row>
    <row r="639" spans="2:12" s="2" customFormat="1" ht="18" customHeight="1">
      <c r="B639" s="77"/>
      <c r="C639" s="3"/>
      <c r="E639" s="24"/>
      <c r="G639" s="24"/>
      <c r="H639" s="24"/>
      <c r="J639" s="1"/>
      <c r="K639" s="1"/>
      <c r="L639" s="1"/>
    </row>
    <row r="640" spans="2:12" s="2" customFormat="1" ht="18" customHeight="1">
      <c r="B640" s="77"/>
      <c r="C640" s="3"/>
      <c r="E640" s="24"/>
      <c r="G640" s="24"/>
      <c r="H640" s="24"/>
      <c r="J640" s="1"/>
      <c r="K640" s="1"/>
      <c r="L640" s="1"/>
    </row>
    <row r="641" spans="2:12" s="2" customFormat="1" ht="18" customHeight="1">
      <c r="B641" s="77"/>
      <c r="C641" s="3"/>
      <c r="E641" s="24"/>
      <c r="G641" s="24"/>
      <c r="H641" s="24"/>
      <c r="J641" s="1"/>
      <c r="K641" s="1"/>
      <c r="L641" s="1"/>
    </row>
    <row r="642" spans="2:12" s="2" customFormat="1" ht="18" customHeight="1">
      <c r="B642" s="77"/>
      <c r="C642" s="3"/>
      <c r="E642" s="24"/>
      <c r="G642" s="24"/>
      <c r="H642" s="24"/>
      <c r="J642" s="1"/>
      <c r="K642" s="1"/>
      <c r="L642" s="1"/>
    </row>
    <row r="643" spans="2:12" s="2" customFormat="1" ht="18" customHeight="1">
      <c r="B643" s="77"/>
      <c r="C643" s="3"/>
      <c r="E643" s="24"/>
      <c r="G643" s="24"/>
      <c r="H643" s="24"/>
      <c r="J643" s="1"/>
      <c r="K643" s="1"/>
      <c r="L643" s="1"/>
    </row>
    <row r="644" spans="2:12" s="2" customFormat="1" ht="18" customHeight="1">
      <c r="B644" s="77"/>
      <c r="C644" s="3"/>
      <c r="E644" s="24"/>
      <c r="G644" s="24"/>
      <c r="H644" s="24"/>
      <c r="J644" s="1"/>
      <c r="K644" s="1"/>
      <c r="L644" s="1"/>
    </row>
    <row r="645" spans="2:12" s="2" customFormat="1" ht="18" customHeight="1">
      <c r="B645" s="77"/>
      <c r="C645" s="3"/>
      <c r="E645" s="24"/>
      <c r="G645" s="24"/>
      <c r="H645" s="24"/>
      <c r="J645" s="1"/>
      <c r="K645" s="1"/>
      <c r="L645" s="1"/>
    </row>
    <row r="646" spans="2:12" s="2" customFormat="1" ht="18" customHeight="1">
      <c r="B646" s="77"/>
      <c r="C646" s="3"/>
      <c r="E646" s="24"/>
      <c r="G646" s="24"/>
      <c r="H646" s="24"/>
      <c r="J646" s="1"/>
      <c r="K646" s="1"/>
      <c r="L646" s="1"/>
    </row>
    <row r="647" spans="2:12" s="2" customFormat="1" ht="18" customHeight="1">
      <c r="B647" s="77"/>
      <c r="C647" s="3"/>
      <c r="E647" s="24"/>
      <c r="G647" s="24"/>
      <c r="H647" s="24"/>
      <c r="J647" s="1"/>
      <c r="K647" s="1"/>
      <c r="L647" s="1"/>
    </row>
    <row r="648" spans="2:12" s="2" customFormat="1" ht="18" customHeight="1">
      <c r="B648" s="77"/>
      <c r="C648" s="3"/>
      <c r="E648" s="24"/>
      <c r="G648" s="24"/>
      <c r="H648" s="24"/>
      <c r="J648" s="1"/>
      <c r="K648" s="1"/>
      <c r="L648" s="1"/>
    </row>
    <row r="649" spans="2:12" s="2" customFormat="1" ht="18" customHeight="1">
      <c r="B649" s="77"/>
      <c r="C649" s="3"/>
      <c r="E649" s="24"/>
      <c r="G649" s="24"/>
      <c r="H649" s="24"/>
      <c r="J649" s="1"/>
      <c r="K649" s="1"/>
      <c r="L649" s="1"/>
    </row>
    <row r="650" spans="2:12" s="2" customFormat="1" ht="18" customHeight="1">
      <c r="B650" s="77"/>
      <c r="C650" s="3"/>
      <c r="E650" s="24"/>
      <c r="G650" s="24"/>
      <c r="H650" s="24"/>
      <c r="J650" s="1"/>
      <c r="K650" s="1"/>
      <c r="L650" s="1"/>
    </row>
    <row r="651" spans="2:12" s="2" customFormat="1" ht="18" customHeight="1">
      <c r="B651" s="77"/>
      <c r="C651" s="3"/>
      <c r="E651" s="24"/>
      <c r="G651" s="24"/>
      <c r="H651" s="24"/>
      <c r="J651" s="1"/>
      <c r="K651" s="1"/>
      <c r="L651" s="1"/>
    </row>
    <row r="652" spans="2:12" s="2" customFormat="1" ht="18" customHeight="1">
      <c r="B652" s="77"/>
      <c r="C652" s="3"/>
      <c r="E652" s="24"/>
      <c r="G652" s="24"/>
      <c r="H652" s="24"/>
      <c r="J652" s="1"/>
      <c r="K652" s="1"/>
      <c r="L652" s="1"/>
    </row>
    <row r="653" spans="2:12" s="2" customFormat="1" ht="18" customHeight="1">
      <c r="B653" s="77"/>
      <c r="C653" s="3"/>
      <c r="E653" s="24"/>
      <c r="G653" s="24"/>
      <c r="H653" s="24"/>
      <c r="J653" s="1"/>
      <c r="K653" s="1"/>
      <c r="L653" s="1"/>
    </row>
    <row r="654" spans="2:12" s="2" customFormat="1" ht="18" customHeight="1">
      <c r="B654" s="77"/>
      <c r="C654" s="3"/>
      <c r="E654" s="24"/>
      <c r="G654" s="24"/>
      <c r="H654" s="24"/>
      <c r="J654" s="1"/>
      <c r="K654" s="1"/>
      <c r="L654" s="1"/>
    </row>
    <row r="655" spans="2:12" s="2" customFormat="1" ht="18" customHeight="1">
      <c r="B655" s="77"/>
      <c r="C655" s="3"/>
      <c r="E655" s="24"/>
      <c r="G655" s="24"/>
      <c r="H655" s="24"/>
      <c r="J655" s="1"/>
      <c r="K655" s="1"/>
      <c r="L655" s="1"/>
    </row>
    <row r="656" spans="2:12" s="2" customFormat="1" ht="18" customHeight="1">
      <c r="B656" s="77"/>
      <c r="C656" s="3"/>
      <c r="E656" s="24"/>
      <c r="G656" s="24"/>
      <c r="H656" s="24"/>
      <c r="J656" s="1"/>
      <c r="K656" s="1"/>
      <c r="L656" s="1"/>
    </row>
    <row r="657" spans="2:12" s="2" customFormat="1" ht="18" customHeight="1">
      <c r="B657" s="77"/>
      <c r="C657" s="3"/>
      <c r="E657" s="24"/>
      <c r="G657" s="24"/>
      <c r="H657" s="24"/>
      <c r="J657" s="1"/>
      <c r="K657" s="1"/>
      <c r="L657" s="1"/>
    </row>
    <row r="658" spans="2:12" s="2" customFormat="1" ht="18" customHeight="1">
      <c r="B658" s="77"/>
      <c r="C658" s="3"/>
      <c r="E658" s="24"/>
      <c r="G658" s="24"/>
      <c r="H658" s="24"/>
      <c r="J658" s="1"/>
      <c r="K658" s="1"/>
      <c r="L658" s="1"/>
    </row>
    <row r="659" spans="2:12" s="2" customFormat="1" ht="18" customHeight="1">
      <c r="B659" s="77"/>
      <c r="C659" s="3"/>
      <c r="E659" s="24"/>
      <c r="G659" s="24"/>
      <c r="H659" s="24"/>
      <c r="J659" s="1"/>
      <c r="K659" s="1"/>
      <c r="L659" s="1"/>
    </row>
    <row r="660" spans="2:12" s="2" customFormat="1" ht="18" customHeight="1">
      <c r="B660" s="77"/>
      <c r="C660" s="3"/>
      <c r="E660" s="24"/>
      <c r="G660" s="24"/>
      <c r="H660" s="24"/>
      <c r="J660" s="1"/>
      <c r="K660" s="1"/>
      <c r="L660" s="1"/>
    </row>
    <row r="661" spans="2:12" s="2" customFormat="1" ht="18" customHeight="1">
      <c r="B661" s="77"/>
      <c r="C661" s="3"/>
      <c r="E661" s="24"/>
      <c r="G661" s="24"/>
      <c r="H661" s="24"/>
      <c r="J661" s="1"/>
      <c r="K661" s="1"/>
      <c r="L661" s="1"/>
    </row>
    <row r="662" spans="2:12" s="2" customFormat="1" ht="18" customHeight="1">
      <c r="B662" s="77"/>
      <c r="C662" s="3"/>
      <c r="E662" s="24"/>
      <c r="G662" s="24"/>
      <c r="H662" s="24"/>
      <c r="J662" s="1"/>
      <c r="K662" s="1"/>
      <c r="L662" s="1"/>
    </row>
    <row r="663" spans="2:12" s="2" customFormat="1" ht="18" customHeight="1">
      <c r="B663" s="77"/>
      <c r="C663" s="3"/>
      <c r="E663" s="24"/>
      <c r="G663" s="24"/>
      <c r="H663" s="24"/>
      <c r="J663" s="1"/>
      <c r="K663" s="1"/>
      <c r="L663" s="1"/>
    </row>
    <row r="664" spans="2:12" s="2" customFormat="1" ht="18" customHeight="1">
      <c r="B664" s="77"/>
      <c r="C664" s="3"/>
      <c r="E664" s="24"/>
      <c r="G664" s="24"/>
      <c r="H664" s="24"/>
      <c r="J664" s="1"/>
      <c r="K664" s="1"/>
      <c r="L664" s="1"/>
    </row>
    <row r="665" spans="2:12" s="2" customFormat="1" ht="18" customHeight="1">
      <c r="B665" s="77"/>
      <c r="C665" s="3"/>
      <c r="E665" s="24"/>
      <c r="G665" s="24"/>
      <c r="H665" s="24"/>
      <c r="J665" s="1"/>
      <c r="K665" s="1"/>
      <c r="L665" s="1"/>
    </row>
    <row r="666" spans="2:12" s="2" customFormat="1" ht="18" customHeight="1">
      <c r="B666" s="77"/>
      <c r="C666" s="3"/>
      <c r="E666" s="24"/>
      <c r="G666" s="24"/>
      <c r="H666" s="24"/>
      <c r="J666" s="1"/>
      <c r="K666" s="1"/>
      <c r="L666" s="1"/>
    </row>
    <row r="667" spans="2:12" s="2" customFormat="1" ht="18" customHeight="1">
      <c r="B667" s="77"/>
      <c r="C667" s="3"/>
      <c r="E667" s="24"/>
      <c r="G667" s="24"/>
      <c r="H667" s="24"/>
      <c r="J667" s="1"/>
      <c r="K667" s="1"/>
      <c r="L667" s="1"/>
    </row>
    <row r="668" spans="2:12" s="2" customFormat="1" ht="18" customHeight="1">
      <c r="B668" s="77"/>
      <c r="C668" s="3"/>
      <c r="E668" s="24"/>
      <c r="G668" s="24"/>
      <c r="H668" s="24"/>
      <c r="J668" s="1"/>
      <c r="K668" s="1"/>
      <c r="L668" s="1"/>
    </row>
    <row r="669" spans="2:12" s="2" customFormat="1" ht="18" customHeight="1">
      <c r="B669" s="77"/>
      <c r="C669" s="3"/>
      <c r="E669" s="24"/>
      <c r="G669" s="24"/>
      <c r="H669" s="24"/>
      <c r="J669" s="1"/>
      <c r="K669" s="1"/>
      <c r="L669" s="1"/>
    </row>
    <row r="670" spans="2:12" s="2" customFormat="1" ht="18" customHeight="1">
      <c r="B670" s="77"/>
      <c r="C670" s="3"/>
      <c r="E670" s="24"/>
      <c r="G670" s="24"/>
      <c r="H670" s="24"/>
      <c r="J670" s="1"/>
      <c r="K670" s="1"/>
      <c r="L670" s="1"/>
    </row>
    <row r="671" spans="2:12" s="2" customFormat="1" ht="18" customHeight="1">
      <c r="B671" s="77"/>
      <c r="C671" s="3"/>
      <c r="E671" s="24"/>
      <c r="G671" s="24"/>
      <c r="H671" s="24"/>
      <c r="J671" s="1"/>
      <c r="K671" s="1"/>
      <c r="L671" s="1"/>
    </row>
    <row r="672" spans="2:12" s="2" customFormat="1" ht="18" customHeight="1">
      <c r="B672" s="77"/>
      <c r="C672" s="3"/>
      <c r="E672" s="24"/>
      <c r="G672" s="24"/>
      <c r="H672" s="24"/>
      <c r="J672" s="1"/>
      <c r="K672" s="1"/>
      <c r="L672" s="1"/>
    </row>
    <row r="673" spans="2:12" s="2" customFormat="1" ht="18" customHeight="1">
      <c r="B673" s="77"/>
      <c r="C673" s="3"/>
      <c r="E673" s="24"/>
      <c r="G673" s="24"/>
      <c r="H673" s="24"/>
      <c r="J673" s="1"/>
      <c r="K673" s="1"/>
      <c r="L673" s="1"/>
    </row>
    <row r="674" spans="2:12" s="2" customFormat="1" ht="18" customHeight="1">
      <c r="B674" s="77"/>
      <c r="C674" s="3"/>
      <c r="E674" s="24"/>
      <c r="G674" s="24"/>
      <c r="H674" s="24"/>
      <c r="J674" s="1"/>
      <c r="K674" s="1"/>
      <c r="L674" s="1"/>
    </row>
    <row r="675" spans="2:12" s="2" customFormat="1" ht="18" customHeight="1">
      <c r="B675" s="77"/>
      <c r="C675" s="3"/>
      <c r="E675" s="24"/>
      <c r="G675" s="24"/>
      <c r="H675" s="24"/>
      <c r="J675" s="1"/>
      <c r="K675" s="1"/>
      <c r="L675" s="1"/>
    </row>
    <row r="676" spans="2:12" s="2" customFormat="1" ht="18" customHeight="1">
      <c r="B676" s="77"/>
      <c r="C676" s="3"/>
      <c r="E676" s="24"/>
      <c r="G676" s="24"/>
      <c r="H676" s="24"/>
      <c r="J676" s="1"/>
      <c r="K676" s="1"/>
      <c r="L676" s="1"/>
    </row>
    <row r="677" spans="2:12" s="2" customFormat="1" ht="18" customHeight="1">
      <c r="B677" s="77"/>
      <c r="C677" s="3"/>
      <c r="E677" s="24"/>
      <c r="G677" s="24"/>
      <c r="H677" s="24"/>
      <c r="J677" s="1"/>
      <c r="K677" s="1"/>
      <c r="L677" s="1"/>
    </row>
    <row r="678" spans="2:12" s="2" customFormat="1" ht="18" customHeight="1">
      <c r="B678" s="77"/>
      <c r="C678" s="3"/>
      <c r="E678" s="24"/>
      <c r="G678" s="24"/>
      <c r="H678" s="24"/>
      <c r="J678" s="1"/>
      <c r="K678" s="1"/>
      <c r="L678" s="1"/>
    </row>
    <row r="679" spans="2:12" s="2" customFormat="1" ht="18" customHeight="1">
      <c r="B679" s="77"/>
      <c r="C679" s="3"/>
      <c r="E679" s="24"/>
      <c r="G679" s="24"/>
      <c r="H679" s="24"/>
      <c r="J679" s="1"/>
      <c r="K679" s="1"/>
      <c r="L679" s="1"/>
    </row>
    <row r="680" spans="2:12" s="2" customFormat="1" ht="18" customHeight="1">
      <c r="B680" s="77"/>
      <c r="C680" s="3"/>
      <c r="E680" s="24"/>
      <c r="G680" s="24"/>
      <c r="H680" s="24"/>
      <c r="J680" s="1"/>
      <c r="K680" s="1"/>
      <c r="L680" s="1"/>
    </row>
    <row r="681" spans="2:12" s="2" customFormat="1" ht="18" customHeight="1">
      <c r="B681" s="77"/>
      <c r="C681" s="3"/>
      <c r="E681" s="24"/>
      <c r="G681" s="24"/>
      <c r="H681" s="24"/>
      <c r="J681" s="1"/>
      <c r="K681" s="1"/>
      <c r="L681" s="1"/>
    </row>
    <row r="682" spans="2:12" s="2" customFormat="1" ht="18" customHeight="1">
      <c r="B682" s="77"/>
      <c r="C682" s="3"/>
      <c r="E682" s="24"/>
      <c r="G682" s="24"/>
      <c r="H682" s="24"/>
      <c r="J682" s="1"/>
      <c r="K682" s="1"/>
      <c r="L682" s="1"/>
    </row>
    <row r="683" spans="2:12" s="2" customFormat="1" ht="18" customHeight="1">
      <c r="B683" s="77"/>
      <c r="C683" s="3"/>
      <c r="E683" s="24"/>
      <c r="G683" s="24"/>
      <c r="H683" s="24"/>
      <c r="J683" s="1"/>
      <c r="K683" s="1"/>
      <c r="L683" s="1"/>
    </row>
    <row r="684" spans="2:12" s="2" customFormat="1" ht="18" customHeight="1">
      <c r="B684" s="77"/>
      <c r="C684" s="3"/>
      <c r="E684" s="24"/>
      <c r="G684" s="24"/>
      <c r="H684" s="24"/>
      <c r="J684" s="1"/>
      <c r="K684" s="1"/>
      <c r="L684" s="1"/>
    </row>
    <row r="685" spans="2:12" s="2" customFormat="1" ht="18" customHeight="1">
      <c r="B685" s="77"/>
      <c r="C685" s="3"/>
      <c r="E685" s="24"/>
      <c r="G685" s="24"/>
      <c r="H685" s="24"/>
      <c r="J685" s="1"/>
      <c r="K685" s="1"/>
      <c r="L685" s="1"/>
    </row>
    <row r="686" spans="2:12" s="2" customFormat="1" ht="18" customHeight="1">
      <c r="B686" s="77"/>
      <c r="C686" s="3"/>
      <c r="E686" s="24"/>
      <c r="G686" s="24"/>
      <c r="H686" s="24"/>
      <c r="J686" s="1"/>
      <c r="K686" s="1"/>
      <c r="L686" s="1"/>
    </row>
    <row r="687" spans="2:12" s="2" customFormat="1" ht="18" customHeight="1">
      <c r="B687" s="77"/>
      <c r="C687" s="3"/>
      <c r="E687" s="24"/>
      <c r="G687" s="24"/>
      <c r="H687" s="24"/>
      <c r="J687" s="1"/>
      <c r="K687" s="1"/>
      <c r="L687" s="1"/>
    </row>
    <row r="688" spans="2:12" s="2" customFormat="1" ht="18" customHeight="1">
      <c r="B688" s="77"/>
      <c r="C688" s="3"/>
      <c r="E688" s="24"/>
      <c r="G688" s="24"/>
      <c r="H688" s="24"/>
      <c r="J688" s="1"/>
      <c r="K688" s="1"/>
      <c r="L688" s="1"/>
    </row>
    <row r="689" spans="2:12" s="2" customFormat="1" ht="18" customHeight="1">
      <c r="B689" s="77"/>
      <c r="C689" s="3"/>
      <c r="E689" s="24"/>
      <c r="G689" s="24"/>
      <c r="H689" s="24"/>
      <c r="J689" s="1"/>
      <c r="K689" s="1"/>
      <c r="L689" s="1"/>
    </row>
    <row r="690" spans="2:12" s="2" customFormat="1" ht="18" customHeight="1">
      <c r="B690" s="77"/>
      <c r="C690" s="3"/>
      <c r="E690" s="24"/>
      <c r="G690" s="24"/>
      <c r="H690" s="24"/>
      <c r="J690" s="1"/>
      <c r="K690" s="1"/>
      <c r="L690" s="1"/>
    </row>
    <row r="691" spans="2:12" s="2" customFormat="1" ht="18" customHeight="1">
      <c r="B691" s="77"/>
      <c r="C691" s="3"/>
      <c r="E691" s="24"/>
      <c r="G691" s="24"/>
      <c r="H691" s="24"/>
      <c r="J691" s="1"/>
      <c r="K691" s="1"/>
      <c r="L691" s="1"/>
    </row>
    <row r="692" spans="2:12" s="2" customFormat="1" ht="18" customHeight="1">
      <c r="B692" s="77"/>
      <c r="C692" s="3"/>
      <c r="E692" s="24"/>
      <c r="G692" s="24"/>
      <c r="H692" s="24"/>
      <c r="J692" s="1"/>
      <c r="K692" s="1"/>
      <c r="L692" s="1"/>
    </row>
    <row r="693" spans="2:12" s="2" customFormat="1" ht="18" customHeight="1">
      <c r="B693" s="77"/>
      <c r="C693" s="3"/>
      <c r="E693" s="24"/>
      <c r="G693" s="24"/>
      <c r="H693" s="24"/>
      <c r="J693" s="1"/>
      <c r="K693" s="1"/>
      <c r="L693" s="1"/>
    </row>
    <row r="694" spans="2:12" s="2" customFormat="1" ht="18" customHeight="1">
      <c r="B694" s="77"/>
      <c r="C694" s="3"/>
      <c r="E694" s="24"/>
      <c r="G694" s="24"/>
      <c r="H694" s="24"/>
      <c r="J694" s="1"/>
      <c r="K694" s="1"/>
      <c r="L694" s="1"/>
    </row>
    <row r="695" spans="2:12" s="2" customFormat="1" ht="18" customHeight="1">
      <c r="B695" s="77"/>
      <c r="C695" s="3"/>
      <c r="E695" s="24"/>
      <c r="G695" s="24"/>
      <c r="H695" s="24"/>
      <c r="J695" s="1"/>
      <c r="K695" s="1"/>
      <c r="L695" s="1"/>
    </row>
    <row r="696" spans="2:12" s="2" customFormat="1" ht="18" customHeight="1">
      <c r="B696" s="77"/>
      <c r="C696" s="3"/>
      <c r="E696" s="24"/>
      <c r="G696" s="24"/>
      <c r="H696" s="24"/>
      <c r="J696" s="1"/>
      <c r="K696" s="1"/>
      <c r="L696" s="1"/>
    </row>
    <row r="697" spans="2:12" s="2" customFormat="1" ht="18" customHeight="1">
      <c r="B697" s="77"/>
      <c r="C697" s="3"/>
      <c r="E697" s="24"/>
      <c r="G697" s="24"/>
      <c r="H697" s="24"/>
      <c r="J697" s="1"/>
      <c r="K697" s="1"/>
      <c r="L697" s="1"/>
    </row>
    <row r="698" spans="2:12" s="2" customFormat="1" ht="18" customHeight="1">
      <c r="B698" s="77"/>
      <c r="C698" s="3"/>
      <c r="E698" s="24"/>
      <c r="G698" s="24"/>
      <c r="H698" s="24"/>
      <c r="J698" s="1"/>
      <c r="K698" s="1"/>
      <c r="L698" s="1"/>
    </row>
    <row r="699" spans="2:12" s="2" customFormat="1" ht="18" customHeight="1">
      <c r="B699" s="77"/>
      <c r="C699" s="3"/>
      <c r="E699" s="24"/>
      <c r="G699" s="24"/>
      <c r="H699" s="24"/>
      <c r="J699" s="1"/>
      <c r="K699" s="1"/>
      <c r="L699" s="1"/>
    </row>
    <row r="700" spans="2:12" s="2" customFormat="1" ht="18" customHeight="1">
      <c r="B700" s="77"/>
      <c r="C700" s="3"/>
      <c r="E700" s="24"/>
      <c r="G700" s="24"/>
      <c r="H700" s="24"/>
      <c r="J700" s="1"/>
      <c r="K700" s="1"/>
      <c r="L700" s="1"/>
    </row>
    <row r="701" spans="2:12" s="2" customFormat="1" ht="18" customHeight="1">
      <c r="B701" s="77"/>
      <c r="C701" s="3"/>
      <c r="E701" s="24"/>
      <c r="G701" s="24"/>
      <c r="H701" s="24"/>
      <c r="J701" s="1"/>
      <c r="K701" s="1"/>
      <c r="L701" s="1"/>
    </row>
    <row r="702" spans="2:12" s="2" customFormat="1" ht="18" customHeight="1">
      <c r="B702" s="77"/>
      <c r="C702" s="3"/>
      <c r="E702" s="24"/>
      <c r="G702" s="24"/>
      <c r="H702" s="24"/>
      <c r="J702" s="1"/>
      <c r="K702" s="1"/>
      <c r="L702" s="1"/>
    </row>
    <row r="703" spans="2:12" s="2" customFormat="1" ht="18" customHeight="1">
      <c r="B703" s="77"/>
      <c r="C703" s="3"/>
      <c r="E703" s="24"/>
      <c r="G703" s="24"/>
      <c r="H703" s="24"/>
      <c r="J703" s="1"/>
      <c r="K703" s="1"/>
      <c r="L703" s="1"/>
    </row>
    <row r="704" spans="2:12" s="2" customFormat="1" ht="18" customHeight="1">
      <c r="B704" s="77"/>
      <c r="C704" s="3"/>
      <c r="E704" s="24"/>
      <c r="G704" s="24"/>
      <c r="H704" s="24"/>
      <c r="J704" s="1"/>
      <c r="K704" s="1"/>
      <c r="L704" s="1"/>
    </row>
    <row r="705" spans="2:12" s="2" customFormat="1" ht="18" customHeight="1">
      <c r="B705" s="77"/>
      <c r="C705" s="3"/>
      <c r="E705" s="24"/>
      <c r="G705" s="24"/>
      <c r="H705" s="24"/>
      <c r="J705" s="1"/>
      <c r="K705" s="1"/>
      <c r="L705" s="1"/>
    </row>
    <row r="706" spans="2:12" s="2" customFormat="1" ht="18" customHeight="1">
      <c r="B706" s="77"/>
      <c r="C706" s="3"/>
      <c r="E706" s="24"/>
      <c r="G706" s="24"/>
      <c r="H706" s="24"/>
      <c r="J706" s="1"/>
      <c r="K706" s="1"/>
      <c r="L706" s="1"/>
    </row>
    <row r="707" spans="2:12" s="2" customFormat="1" ht="18" customHeight="1">
      <c r="B707" s="77"/>
      <c r="C707" s="3"/>
      <c r="E707" s="24"/>
      <c r="G707" s="24"/>
      <c r="H707" s="24"/>
      <c r="J707" s="1"/>
      <c r="K707" s="1"/>
      <c r="L707" s="1"/>
    </row>
    <row r="708" spans="2:12" s="2" customFormat="1" ht="18" customHeight="1">
      <c r="B708" s="77"/>
      <c r="C708" s="3"/>
      <c r="E708" s="24"/>
      <c r="G708" s="24"/>
      <c r="H708" s="24"/>
      <c r="J708" s="1"/>
      <c r="K708" s="1"/>
      <c r="L708" s="1"/>
    </row>
    <row r="709" spans="2:12" s="2" customFormat="1" ht="18" customHeight="1">
      <c r="B709" s="77"/>
      <c r="C709" s="3"/>
      <c r="E709" s="24"/>
      <c r="G709" s="24"/>
      <c r="H709" s="24"/>
      <c r="J709" s="1"/>
      <c r="K709" s="1"/>
      <c r="L709" s="1"/>
    </row>
    <row r="710" spans="2:12" s="2" customFormat="1" ht="18" customHeight="1">
      <c r="B710" s="77"/>
      <c r="C710" s="3"/>
      <c r="E710" s="24"/>
      <c r="G710" s="24"/>
      <c r="H710" s="24"/>
      <c r="J710" s="1"/>
      <c r="K710" s="1"/>
      <c r="L710" s="1"/>
    </row>
    <row r="711" spans="2:12" s="2" customFormat="1" ht="18" customHeight="1">
      <c r="B711" s="77"/>
      <c r="C711" s="3"/>
      <c r="E711" s="24"/>
      <c r="G711" s="24"/>
      <c r="H711" s="24"/>
      <c r="J711" s="1"/>
      <c r="K711" s="1"/>
      <c r="L711" s="1"/>
    </row>
    <row r="712" spans="2:12" s="2" customFormat="1" ht="18" customHeight="1">
      <c r="B712" s="77"/>
      <c r="C712" s="3"/>
      <c r="E712" s="24"/>
      <c r="G712" s="24"/>
      <c r="H712" s="24"/>
      <c r="J712" s="1"/>
      <c r="K712" s="1"/>
      <c r="L712" s="1"/>
    </row>
    <row r="713" spans="2:12" s="2" customFormat="1" ht="18" customHeight="1">
      <c r="B713" s="77"/>
      <c r="C713" s="3"/>
      <c r="E713" s="24"/>
      <c r="G713" s="24"/>
      <c r="H713" s="24"/>
      <c r="J713" s="1"/>
      <c r="K713" s="1"/>
      <c r="L713" s="1"/>
    </row>
    <row r="714" spans="2:12" s="2" customFormat="1" ht="18" customHeight="1">
      <c r="B714" s="77"/>
      <c r="C714" s="3"/>
      <c r="E714" s="24"/>
      <c r="G714" s="24"/>
      <c r="H714" s="24"/>
      <c r="J714" s="1"/>
      <c r="K714" s="1"/>
      <c r="L714" s="1"/>
    </row>
    <row r="715" spans="2:12" s="2" customFormat="1" ht="18" customHeight="1">
      <c r="B715" s="77"/>
      <c r="C715" s="3"/>
      <c r="E715" s="24"/>
      <c r="G715" s="24"/>
      <c r="H715" s="24"/>
      <c r="J715" s="1"/>
      <c r="K715" s="1"/>
      <c r="L715" s="1"/>
    </row>
    <row r="716" spans="2:12" s="2" customFormat="1" ht="18" customHeight="1">
      <c r="B716" s="77"/>
      <c r="C716" s="3"/>
      <c r="E716" s="24"/>
      <c r="G716" s="24"/>
      <c r="H716" s="24"/>
      <c r="J716" s="1"/>
      <c r="K716" s="1"/>
      <c r="L716" s="1"/>
    </row>
    <row r="717" spans="2:12" s="2" customFormat="1" ht="18" customHeight="1">
      <c r="B717" s="77"/>
      <c r="C717" s="3"/>
      <c r="E717" s="24"/>
      <c r="G717" s="24"/>
      <c r="H717" s="24"/>
      <c r="J717" s="1"/>
      <c r="K717" s="1"/>
      <c r="L717" s="1"/>
    </row>
    <row r="718" spans="2:12" s="2" customFormat="1" ht="18" customHeight="1">
      <c r="B718" s="77"/>
      <c r="C718" s="3"/>
      <c r="E718" s="24"/>
      <c r="G718" s="24"/>
      <c r="H718" s="24"/>
      <c r="J718" s="1"/>
      <c r="K718" s="1"/>
      <c r="L718" s="1"/>
    </row>
    <row r="719" spans="2:12" s="2" customFormat="1" ht="18" customHeight="1">
      <c r="B719" s="77"/>
      <c r="C719" s="3"/>
      <c r="E719" s="24"/>
      <c r="G719" s="24"/>
      <c r="H719" s="24"/>
      <c r="J719" s="1"/>
      <c r="K719" s="1"/>
      <c r="L719" s="1"/>
    </row>
    <row r="720" spans="2:12" s="2" customFormat="1" ht="18" customHeight="1">
      <c r="B720" s="77"/>
      <c r="C720" s="3"/>
      <c r="E720" s="24"/>
      <c r="G720" s="24"/>
      <c r="H720" s="24"/>
      <c r="J720" s="1"/>
      <c r="K720" s="1"/>
      <c r="L720" s="1"/>
    </row>
    <row r="721" spans="2:12" s="2" customFormat="1" ht="18" customHeight="1">
      <c r="B721" s="77"/>
      <c r="C721" s="3"/>
      <c r="E721" s="24"/>
      <c r="G721" s="24"/>
      <c r="H721" s="24"/>
      <c r="J721" s="1"/>
      <c r="K721" s="1"/>
      <c r="L721" s="1"/>
    </row>
    <row r="722" spans="2:12" s="2" customFormat="1" ht="18" customHeight="1">
      <c r="B722" s="77"/>
      <c r="C722" s="3"/>
      <c r="E722" s="24"/>
      <c r="G722" s="24"/>
      <c r="H722" s="24"/>
      <c r="J722" s="1"/>
      <c r="K722" s="1"/>
      <c r="L722" s="1"/>
    </row>
    <row r="723" spans="2:12" s="2" customFormat="1" ht="18" customHeight="1">
      <c r="B723" s="77"/>
      <c r="C723" s="3"/>
      <c r="E723" s="24"/>
      <c r="G723" s="24"/>
      <c r="H723" s="24"/>
      <c r="J723" s="1"/>
      <c r="K723" s="1"/>
      <c r="L723" s="1"/>
    </row>
    <row r="724" spans="2:12" s="2" customFormat="1" ht="18" customHeight="1">
      <c r="B724" s="77"/>
      <c r="C724" s="3"/>
      <c r="E724" s="24"/>
      <c r="G724" s="24"/>
      <c r="H724" s="24"/>
      <c r="J724" s="1"/>
      <c r="K724" s="1"/>
      <c r="L724" s="1"/>
    </row>
    <row r="725" spans="2:12" s="2" customFormat="1" ht="18" customHeight="1">
      <c r="B725" s="77"/>
      <c r="C725" s="3"/>
      <c r="E725" s="24"/>
      <c r="G725" s="24"/>
      <c r="H725" s="24"/>
      <c r="J725" s="1"/>
      <c r="K725" s="1"/>
      <c r="L725" s="1"/>
    </row>
    <row r="726" spans="2:12" s="2" customFormat="1" ht="18" customHeight="1">
      <c r="B726" s="77"/>
      <c r="C726" s="3"/>
      <c r="E726" s="24"/>
      <c r="G726" s="24"/>
      <c r="H726" s="24"/>
      <c r="J726" s="1"/>
      <c r="K726" s="1"/>
      <c r="L726" s="1"/>
    </row>
    <row r="727" spans="2:12" s="2" customFormat="1" ht="18" customHeight="1">
      <c r="B727" s="77"/>
      <c r="C727" s="3"/>
      <c r="E727" s="24"/>
      <c r="G727" s="24"/>
      <c r="H727" s="24"/>
      <c r="J727" s="1"/>
      <c r="K727" s="1"/>
      <c r="L727" s="1"/>
    </row>
    <row r="728" spans="2:12" s="2" customFormat="1" ht="18" customHeight="1">
      <c r="B728" s="77"/>
      <c r="C728" s="3"/>
      <c r="E728" s="24"/>
      <c r="G728" s="24"/>
      <c r="H728" s="24"/>
      <c r="J728" s="1"/>
      <c r="K728" s="1"/>
      <c r="L728" s="1"/>
    </row>
    <row r="729" spans="2:12" s="2" customFormat="1" ht="18" customHeight="1">
      <c r="B729" s="77"/>
      <c r="C729" s="3"/>
      <c r="E729" s="24"/>
      <c r="G729" s="24"/>
      <c r="H729" s="24"/>
      <c r="J729" s="1"/>
      <c r="K729" s="1"/>
      <c r="L729" s="1"/>
    </row>
    <row r="730" spans="2:12" s="2" customFormat="1" ht="18" customHeight="1">
      <c r="B730" s="77"/>
      <c r="C730" s="3"/>
      <c r="E730" s="24"/>
      <c r="G730" s="24"/>
      <c r="H730" s="24"/>
      <c r="J730" s="1"/>
      <c r="K730" s="1"/>
      <c r="L730" s="1"/>
    </row>
    <row r="731" spans="2:12" s="2" customFormat="1" ht="18" customHeight="1">
      <c r="B731" s="77"/>
      <c r="C731" s="3"/>
      <c r="E731" s="24"/>
      <c r="G731" s="24"/>
      <c r="H731" s="24"/>
      <c r="J731" s="1"/>
      <c r="K731" s="1"/>
      <c r="L731" s="1"/>
    </row>
    <row r="732" spans="2:12" s="2" customFormat="1" ht="18" customHeight="1">
      <c r="B732" s="77"/>
      <c r="C732" s="3"/>
      <c r="E732" s="24"/>
      <c r="G732" s="24"/>
      <c r="H732" s="24"/>
      <c r="J732" s="1"/>
      <c r="K732" s="1"/>
      <c r="L732" s="1"/>
    </row>
    <row r="733" spans="2:12" s="2" customFormat="1" ht="18" customHeight="1">
      <c r="B733" s="77"/>
      <c r="C733" s="3"/>
      <c r="E733" s="24"/>
      <c r="G733" s="24"/>
      <c r="H733" s="24"/>
      <c r="J733" s="1"/>
      <c r="K733" s="1"/>
      <c r="L733" s="1"/>
    </row>
    <row r="734" spans="2:12" s="2" customFormat="1" ht="18" customHeight="1">
      <c r="B734" s="77"/>
      <c r="C734" s="3"/>
      <c r="E734" s="24"/>
      <c r="G734" s="24"/>
      <c r="H734" s="24"/>
      <c r="J734" s="1"/>
      <c r="K734" s="1"/>
      <c r="L734" s="1"/>
    </row>
    <row r="735" spans="2:12" s="2" customFormat="1" ht="18" customHeight="1">
      <c r="B735" s="77"/>
      <c r="C735" s="3"/>
      <c r="E735" s="24"/>
      <c r="G735" s="24"/>
      <c r="H735" s="24"/>
      <c r="J735" s="1"/>
      <c r="K735" s="1"/>
      <c r="L735" s="1"/>
    </row>
    <row r="736" spans="2:12" s="2" customFormat="1" ht="18" customHeight="1">
      <c r="B736" s="77"/>
      <c r="C736" s="3"/>
      <c r="E736" s="24"/>
      <c r="G736" s="24"/>
      <c r="H736" s="24"/>
      <c r="J736" s="1"/>
      <c r="K736" s="1"/>
      <c r="L736" s="1"/>
    </row>
    <row r="737" spans="2:12" s="2" customFormat="1" ht="18" customHeight="1">
      <c r="B737" s="77"/>
      <c r="C737" s="3"/>
      <c r="E737" s="24"/>
      <c r="G737" s="24"/>
      <c r="H737" s="24"/>
      <c r="J737" s="1"/>
      <c r="K737" s="1"/>
      <c r="L737" s="1"/>
    </row>
    <row r="738" spans="2:12" s="2" customFormat="1" ht="18" customHeight="1">
      <c r="B738" s="77"/>
      <c r="C738" s="3"/>
      <c r="E738" s="24"/>
      <c r="G738" s="24"/>
      <c r="H738" s="24"/>
      <c r="J738" s="1"/>
      <c r="K738" s="1"/>
      <c r="L738" s="1"/>
    </row>
    <row r="739" spans="2:12" s="2" customFormat="1" ht="18" customHeight="1">
      <c r="B739" s="77"/>
      <c r="C739" s="3"/>
      <c r="E739" s="24"/>
      <c r="G739" s="24"/>
      <c r="H739" s="24"/>
      <c r="J739" s="1"/>
      <c r="K739" s="1"/>
      <c r="L739" s="1"/>
    </row>
    <row r="740" spans="2:12" s="2" customFormat="1" ht="18" customHeight="1">
      <c r="B740" s="77"/>
      <c r="C740" s="3"/>
      <c r="E740" s="24"/>
      <c r="G740" s="24"/>
      <c r="H740" s="24"/>
      <c r="J740" s="1"/>
      <c r="K740" s="1"/>
      <c r="L740" s="1"/>
    </row>
    <row r="741" spans="2:12" s="2" customFormat="1" ht="18" customHeight="1">
      <c r="B741" s="77"/>
      <c r="C741" s="3"/>
      <c r="E741" s="24"/>
      <c r="G741" s="24"/>
      <c r="H741" s="24"/>
      <c r="J741" s="1"/>
      <c r="K741" s="1"/>
      <c r="L741" s="1"/>
    </row>
    <row r="742" spans="2:12" s="2" customFormat="1" ht="18" customHeight="1">
      <c r="B742" s="77"/>
      <c r="C742" s="3"/>
      <c r="E742" s="24"/>
      <c r="G742" s="24"/>
      <c r="H742" s="24"/>
      <c r="J742" s="1"/>
      <c r="K742" s="1"/>
      <c r="L742" s="1"/>
    </row>
    <row r="743" spans="2:12" s="2" customFormat="1" ht="18" customHeight="1">
      <c r="B743" s="77"/>
      <c r="C743" s="3"/>
      <c r="E743" s="24"/>
      <c r="G743" s="24"/>
      <c r="H743" s="24"/>
      <c r="J743" s="1"/>
      <c r="K743" s="1"/>
      <c r="L743" s="1"/>
    </row>
    <row r="744" spans="2:12" s="2" customFormat="1" ht="18" customHeight="1">
      <c r="B744" s="77"/>
      <c r="C744" s="3"/>
      <c r="E744" s="24"/>
      <c r="G744" s="24"/>
      <c r="H744" s="24"/>
      <c r="J744" s="1"/>
      <c r="K744" s="1"/>
      <c r="L744" s="1"/>
    </row>
    <row r="745" spans="2:12" s="2" customFormat="1" ht="18" customHeight="1">
      <c r="B745" s="77"/>
      <c r="C745" s="3"/>
      <c r="E745" s="24"/>
      <c r="G745" s="24"/>
      <c r="H745" s="24"/>
      <c r="J745" s="1"/>
      <c r="K745" s="1"/>
      <c r="L745" s="1"/>
    </row>
    <row r="746" spans="2:12" s="2" customFormat="1" ht="18" customHeight="1">
      <c r="B746" s="77"/>
      <c r="C746" s="3"/>
      <c r="E746" s="24"/>
      <c r="G746" s="24"/>
      <c r="H746" s="24"/>
      <c r="J746" s="1"/>
      <c r="K746" s="1"/>
      <c r="L746" s="1"/>
    </row>
    <row r="747" spans="2:12" s="2" customFormat="1" ht="18" customHeight="1">
      <c r="B747" s="77"/>
      <c r="C747" s="3"/>
      <c r="E747" s="24"/>
      <c r="G747" s="24"/>
      <c r="H747" s="24"/>
      <c r="J747" s="1"/>
      <c r="K747" s="1"/>
      <c r="L747" s="1"/>
    </row>
    <row r="748" spans="2:12" s="2" customFormat="1" ht="18" customHeight="1">
      <c r="B748" s="77"/>
      <c r="C748" s="3"/>
      <c r="E748" s="24"/>
      <c r="G748" s="24"/>
      <c r="H748" s="24"/>
      <c r="J748" s="1"/>
      <c r="K748" s="1"/>
      <c r="L748" s="1"/>
    </row>
    <row r="749" spans="2:12" s="2" customFormat="1" ht="18" customHeight="1">
      <c r="B749" s="77"/>
      <c r="C749" s="3"/>
      <c r="E749" s="24"/>
      <c r="G749" s="24"/>
      <c r="H749" s="24"/>
      <c r="J749" s="1"/>
      <c r="K749" s="1"/>
      <c r="L749" s="1"/>
    </row>
    <row r="750" spans="2:12" s="2" customFormat="1" ht="18" customHeight="1">
      <c r="B750" s="77"/>
      <c r="C750" s="3"/>
      <c r="E750" s="24"/>
      <c r="G750" s="24"/>
      <c r="H750" s="24"/>
      <c r="J750" s="1"/>
      <c r="K750" s="1"/>
      <c r="L750" s="1"/>
    </row>
    <row r="751" spans="2:12" s="2" customFormat="1" ht="18" customHeight="1">
      <c r="B751" s="77"/>
      <c r="C751" s="3"/>
      <c r="E751" s="24"/>
      <c r="G751" s="24"/>
      <c r="H751" s="24"/>
      <c r="J751" s="1"/>
      <c r="K751" s="1"/>
      <c r="L751" s="1"/>
    </row>
    <row r="752" spans="2:12" s="2" customFormat="1" ht="18" customHeight="1">
      <c r="B752" s="77"/>
      <c r="C752" s="3"/>
      <c r="E752" s="24"/>
      <c r="G752" s="24"/>
      <c r="H752" s="24"/>
      <c r="J752" s="1"/>
      <c r="K752" s="1"/>
      <c r="L752" s="1"/>
    </row>
    <row r="753" spans="2:12" s="2" customFormat="1" ht="18" customHeight="1">
      <c r="B753" s="77"/>
      <c r="C753" s="3"/>
      <c r="E753" s="24"/>
      <c r="G753" s="24"/>
      <c r="H753" s="24"/>
      <c r="J753" s="1"/>
      <c r="K753" s="1"/>
      <c r="L753" s="1"/>
    </row>
    <row r="754" spans="2:12" s="2" customFormat="1" ht="18" customHeight="1">
      <c r="B754" s="77"/>
      <c r="C754" s="3"/>
      <c r="E754" s="24"/>
      <c r="G754" s="24"/>
      <c r="H754" s="24"/>
      <c r="J754" s="1"/>
      <c r="K754" s="1"/>
      <c r="L754" s="1"/>
    </row>
    <row r="755" spans="2:12" s="2" customFormat="1" ht="18" customHeight="1">
      <c r="B755" s="77"/>
      <c r="C755" s="3"/>
      <c r="E755" s="24"/>
      <c r="G755" s="24"/>
      <c r="H755" s="24"/>
      <c r="J755" s="1"/>
      <c r="K755" s="1"/>
      <c r="L755" s="1"/>
    </row>
    <row r="756" spans="2:12" s="2" customFormat="1" ht="18" customHeight="1">
      <c r="B756" s="77"/>
      <c r="C756" s="3"/>
      <c r="E756" s="24"/>
      <c r="G756" s="24"/>
      <c r="H756" s="24"/>
      <c r="J756" s="1"/>
      <c r="K756" s="1"/>
      <c r="L756" s="1"/>
    </row>
    <row r="757" spans="2:12" s="2" customFormat="1" ht="18" customHeight="1">
      <c r="B757" s="77"/>
      <c r="C757" s="3"/>
      <c r="E757" s="24"/>
      <c r="G757" s="24"/>
      <c r="H757" s="24"/>
      <c r="J757" s="1"/>
      <c r="K757" s="1"/>
      <c r="L757" s="1"/>
    </row>
    <row r="758" spans="2:12" s="2" customFormat="1" ht="18" customHeight="1">
      <c r="B758" s="77"/>
      <c r="C758" s="3"/>
      <c r="E758" s="24"/>
      <c r="G758" s="24"/>
      <c r="H758" s="24"/>
      <c r="J758" s="1"/>
      <c r="K758" s="1"/>
      <c r="L758" s="1"/>
    </row>
    <row r="759" spans="2:12" s="2" customFormat="1" ht="18" customHeight="1">
      <c r="B759" s="77"/>
      <c r="C759" s="3"/>
      <c r="E759" s="24"/>
      <c r="G759" s="24"/>
      <c r="H759" s="24"/>
      <c r="J759" s="1"/>
      <c r="K759" s="1"/>
      <c r="L759" s="1"/>
    </row>
    <row r="760" spans="2:12" s="2" customFormat="1" ht="18" customHeight="1">
      <c r="B760" s="77"/>
      <c r="C760" s="3"/>
      <c r="E760" s="24"/>
      <c r="G760" s="24"/>
      <c r="H760" s="24"/>
      <c r="J760" s="1"/>
      <c r="K760" s="1"/>
      <c r="L760" s="1"/>
    </row>
    <row r="761" spans="2:12" s="2" customFormat="1" ht="18" customHeight="1">
      <c r="B761" s="77"/>
      <c r="C761" s="3"/>
      <c r="E761" s="24"/>
      <c r="G761" s="24"/>
      <c r="H761" s="24"/>
      <c r="J761" s="1"/>
      <c r="K761" s="1"/>
      <c r="L761" s="1"/>
    </row>
    <row r="762" spans="2:12" s="2" customFormat="1" ht="18" customHeight="1">
      <c r="B762" s="77"/>
      <c r="C762" s="3"/>
      <c r="E762" s="24"/>
      <c r="G762" s="24"/>
      <c r="H762" s="24"/>
      <c r="J762" s="1"/>
      <c r="K762" s="1"/>
      <c r="L762" s="1"/>
    </row>
    <row r="763" spans="2:12" s="2" customFormat="1" ht="18" customHeight="1">
      <c r="B763" s="77"/>
      <c r="C763" s="3"/>
      <c r="E763" s="24"/>
      <c r="G763" s="24"/>
      <c r="H763" s="24"/>
      <c r="J763" s="1"/>
      <c r="K763" s="1"/>
      <c r="L763" s="1"/>
    </row>
    <row r="764" spans="2:12" s="2" customFormat="1" ht="18" customHeight="1">
      <c r="B764" s="77"/>
      <c r="C764" s="3"/>
      <c r="E764" s="24"/>
      <c r="G764" s="24"/>
      <c r="H764" s="24"/>
      <c r="J764" s="1"/>
      <c r="K764" s="1"/>
      <c r="L764" s="1"/>
    </row>
    <row r="765" spans="2:12" s="2" customFormat="1" ht="18" customHeight="1">
      <c r="B765" s="77"/>
      <c r="C765" s="3"/>
      <c r="E765" s="24"/>
      <c r="G765" s="24"/>
      <c r="H765" s="24"/>
      <c r="J765" s="1"/>
      <c r="K765" s="1"/>
      <c r="L765" s="1"/>
    </row>
    <row r="766" spans="2:12" s="2" customFormat="1" ht="18" customHeight="1">
      <c r="B766" s="77"/>
      <c r="C766" s="3"/>
      <c r="E766" s="24"/>
      <c r="G766" s="24"/>
      <c r="H766" s="24"/>
      <c r="J766" s="1"/>
      <c r="K766" s="1"/>
      <c r="L766" s="1"/>
    </row>
    <row r="767" spans="2:12" s="2" customFormat="1" ht="18" customHeight="1">
      <c r="B767" s="77"/>
      <c r="C767" s="3"/>
      <c r="E767" s="24"/>
      <c r="G767" s="24"/>
      <c r="H767" s="24"/>
      <c r="J767" s="1"/>
      <c r="K767" s="1"/>
      <c r="L767" s="1"/>
    </row>
    <row r="768" spans="2:12" s="2" customFormat="1" ht="18" customHeight="1">
      <c r="B768" s="77"/>
      <c r="C768" s="3"/>
      <c r="E768" s="24"/>
      <c r="G768" s="24"/>
      <c r="H768" s="24"/>
      <c r="J768" s="1"/>
      <c r="K768" s="1"/>
      <c r="L768" s="1"/>
    </row>
    <row r="769" spans="2:12" s="2" customFormat="1" ht="18" customHeight="1">
      <c r="B769" s="77"/>
      <c r="C769" s="3"/>
      <c r="E769" s="24"/>
      <c r="G769" s="24"/>
      <c r="H769" s="24"/>
      <c r="J769" s="1"/>
      <c r="K769" s="1"/>
      <c r="L769" s="1"/>
    </row>
    <row r="770" spans="2:12" s="2" customFormat="1" ht="18" customHeight="1">
      <c r="B770" s="77"/>
      <c r="C770" s="3"/>
      <c r="E770" s="24"/>
      <c r="G770" s="24"/>
      <c r="H770" s="24"/>
      <c r="J770" s="1"/>
      <c r="K770" s="1"/>
      <c r="L770" s="1"/>
    </row>
    <row r="771" spans="2:12" s="2" customFormat="1" ht="18" customHeight="1">
      <c r="B771" s="77"/>
      <c r="C771" s="3"/>
      <c r="E771" s="24"/>
      <c r="G771" s="24"/>
      <c r="H771" s="24"/>
      <c r="J771" s="1"/>
      <c r="K771" s="1"/>
      <c r="L771" s="1"/>
    </row>
    <row r="772" spans="2:12" s="2" customFormat="1" ht="18" customHeight="1">
      <c r="B772" s="77"/>
      <c r="C772" s="3"/>
      <c r="E772" s="24"/>
      <c r="G772" s="24"/>
      <c r="H772" s="24"/>
      <c r="J772" s="1"/>
      <c r="K772" s="1"/>
      <c r="L772" s="1"/>
    </row>
    <row r="773" spans="2:12" s="2" customFormat="1" ht="18" customHeight="1">
      <c r="B773" s="77"/>
      <c r="C773" s="3"/>
      <c r="E773" s="24"/>
      <c r="G773" s="24"/>
      <c r="H773" s="24"/>
      <c r="J773" s="1"/>
      <c r="K773" s="1"/>
      <c r="L773" s="1"/>
    </row>
    <row r="774" spans="2:12" s="2" customFormat="1" ht="18" customHeight="1">
      <c r="B774" s="77"/>
      <c r="C774" s="3"/>
      <c r="E774" s="24"/>
      <c r="G774" s="24"/>
      <c r="H774" s="24"/>
      <c r="J774" s="1"/>
      <c r="K774" s="1"/>
      <c r="L774" s="1"/>
    </row>
    <row r="775" spans="2:12" s="2" customFormat="1" ht="18" customHeight="1">
      <c r="B775" s="77"/>
      <c r="C775" s="3"/>
      <c r="E775" s="24"/>
      <c r="G775" s="24"/>
      <c r="H775" s="24"/>
      <c r="J775" s="1"/>
      <c r="K775" s="1"/>
      <c r="L775" s="1"/>
    </row>
    <row r="776" spans="2:12" s="2" customFormat="1" ht="18" customHeight="1">
      <c r="B776" s="77"/>
      <c r="C776" s="3"/>
      <c r="E776" s="24"/>
      <c r="G776" s="24"/>
      <c r="H776" s="24"/>
      <c r="J776" s="1"/>
      <c r="K776" s="1"/>
      <c r="L776" s="1"/>
    </row>
    <row r="777" spans="2:12" s="2" customFormat="1" ht="18" customHeight="1">
      <c r="B777" s="77"/>
      <c r="C777" s="3"/>
      <c r="E777" s="24"/>
      <c r="G777" s="24"/>
      <c r="H777" s="24"/>
      <c r="J777" s="1"/>
      <c r="K777" s="1"/>
      <c r="L777" s="1"/>
    </row>
    <row r="778" spans="2:12" s="2" customFormat="1" ht="18" customHeight="1">
      <c r="B778" s="77"/>
      <c r="C778" s="3"/>
      <c r="E778" s="24"/>
      <c r="G778" s="24"/>
      <c r="H778" s="24"/>
      <c r="J778" s="1"/>
      <c r="K778" s="1"/>
      <c r="L778" s="1"/>
    </row>
    <row r="779" spans="2:12" s="2" customFormat="1" ht="18" customHeight="1">
      <c r="B779" s="77"/>
      <c r="C779" s="3"/>
      <c r="E779" s="24"/>
      <c r="G779" s="24"/>
      <c r="H779" s="24"/>
      <c r="J779" s="1"/>
      <c r="K779" s="1"/>
      <c r="L779" s="1"/>
    </row>
    <row r="780" spans="2:12" s="2" customFormat="1" ht="18" customHeight="1">
      <c r="B780" s="77"/>
      <c r="C780" s="3"/>
      <c r="E780" s="24"/>
      <c r="G780" s="24"/>
      <c r="H780" s="24"/>
      <c r="J780" s="1"/>
      <c r="K780" s="1"/>
      <c r="L780" s="1"/>
    </row>
    <row r="781" spans="2:12" s="2" customFormat="1" ht="18" customHeight="1">
      <c r="B781" s="77"/>
      <c r="C781" s="3"/>
      <c r="E781" s="24"/>
      <c r="G781" s="24"/>
      <c r="H781" s="24"/>
      <c r="J781" s="1"/>
      <c r="K781" s="1"/>
      <c r="L781" s="1"/>
    </row>
    <row r="782" spans="2:12" s="2" customFormat="1" ht="18" customHeight="1">
      <c r="B782" s="77"/>
      <c r="C782" s="3"/>
      <c r="E782" s="24"/>
      <c r="G782" s="24"/>
      <c r="H782" s="24"/>
      <c r="J782" s="1"/>
      <c r="K782" s="1"/>
      <c r="L782" s="1"/>
    </row>
    <row r="783" spans="2:12" s="2" customFormat="1" ht="18" customHeight="1">
      <c r="B783" s="77"/>
      <c r="C783" s="3"/>
      <c r="E783" s="24"/>
      <c r="G783" s="24"/>
      <c r="H783" s="24"/>
      <c r="J783" s="1"/>
      <c r="K783" s="1"/>
      <c r="L783" s="1"/>
    </row>
    <row r="784" spans="2:12" s="2" customFormat="1" ht="18" customHeight="1">
      <c r="B784" s="77"/>
      <c r="C784" s="3"/>
      <c r="E784" s="24"/>
      <c r="G784" s="24"/>
      <c r="H784" s="24"/>
      <c r="J784" s="1"/>
      <c r="K784" s="1"/>
      <c r="L784" s="1"/>
    </row>
    <row r="785" spans="2:12" s="2" customFormat="1" ht="18" customHeight="1">
      <c r="B785" s="77"/>
      <c r="C785" s="3"/>
      <c r="E785" s="24"/>
      <c r="G785" s="24"/>
      <c r="H785" s="24"/>
      <c r="J785" s="1"/>
      <c r="K785" s="1"/>
      <c r="L785" s="1"/>
    </row>
    <row r="786" spans="2:12" s="2" customFormat="1" ht="18" customHeight="1">
      <c r="B786" s="77"/>
      <c r="C786" s="3"/>
      <c r="E786" s="24"/>
      <c r="G786" s="24"/>
      <c r="H786" s="24"/>
      <c r="J786" s="1"/>
      <c r="K786" s="1"/>
      <c r="L786" s="1"/>
    </row>
    <row r="787" spans="2:12" s="2" customFormat="1" ht="18" customHeight="1">
      <c r="B787" s="77"/>
      <c r="C787" s="3"/>
      <c r="E787" s="24"/>
      <c r="G787" s="24"/>
      <c r="H787" s="24"/>
      <c r="J787" s="1"/>
      <c r="K787" s="1"/>
      <c r="L787" s="1"/>
    </row>
    <row r="788" spans="2:12" s="2" customFormat="1" ht="18" customHeight="1">
      <c r="B788" s="77"/>
      <c r="C788" s="3"/>
      <c r="E788" s="24"/>
      <c r="G788" s="24"/>
      <c r="H788" s="24"/>
      <c r="J788" s="1"/>
      <c r="K788" s="1"/>
      <c r="L788" s="1"/>
    </row>
    <row r="789" spans="2:12" s="2" customFormat="1" ht="18" customHeight="1">
      <c r="B789" s="77"/>
      <c r="C789" s="3"/>
      <c r="E789" s="24"/>
      <c r="G789" s="24"/>
      <c r="H789" s="24"/>
      <c r="J789" s="1"/>
      <c r="K789" s="1"/>
      <c r="L789" s="1"/>
    </row>
    <row r="790" spans="2:12" s="2" customFormat="1" ht="18" customHeight="1">
      <c r="B790" s="77"/>
      <c r="C790" s="3"/>
      <c r="E790" s="24"/>
      <c r="G790" s="24"/>
      <c r="H790" s="24"/>
      <c r="J790" s="1"/>
      <c r="K790" s="1"/>
      <c r="L790" s="1"/>
    </row>
    <row r="791" spans="2:12" s="2" customFormat="1" ht="18" customHeight="1">
      <c r="B791" s="77"/>
      <c r="C791" s="3"/>
      <c r="E791" s="24"/>
      <c r="G791" s="24"/>
      <c r="H791" s="24"/>
      <c r="J791" s="1"/>
      <c r="K791" s="1"/>
      <c r="L791" s="1"/>
    </row>
    <row r="792" spans="2:12" s="2" customFormat="1" ht="18" customHeight="1">
      <c r="B792" s="77"/>
      <c r="C792" s="3"/>
      <c r="E792" s="24"/>
      <c r="G792" s="24"/>
      <c r="H792" s="24"/>
      <c r="J792" s="1"/>
      <c r="K792" s="1"/>
      <c r="L792" s="1"/>
    </row>
    <row r="793" spans="2:12" s="2" customFormat="1" ht="18" customHeight="1">
      <c r="B793" s="77"/>
      <c r="C793" s="3"/>
      <c r="E793" s="24"/>
      <c r="G793" s="24"/>
      <c r="H793" s="24"/>
      <c r="J793" s="1"/>
      <c r="K793" s="1"/>
      <c r="L793" s="1"/>
    </row>
    <row r="794" spans="2:12" s="2" customFormat="1" ht="18" customHeight="1">
      <c r="B794" s="77"/>
      <c r="C794" s="3"/>
      <c r="E794" s="24"/>
      <c r="G794" s="24"/>
      <c r="H794" s="24"/>
      <c r="J794" s="1"/>
      <c r="K794" s="1"/>
      <c r="L794" s="1"/>
    </row>
    <row r="795" spans="2:12" s="2" customFormat="1" ht="18" customHeight="1">
      <c r="B795" s="77"/>
      <c r="C795" s="3"/>
      <c r="E795" s="24"/>
      <c r="G795" s="24"/>
      <c r="H795" s="24"/>
      <c r="J795" s="1"/>
      <c r="K795" s="1"/>
      <c r="L795" s="1"/>
    </row>
    <row r="796" spans="2:12" s="2" customFormat="1" ht="18" customHeight="1">
      <c r="B796" s="77"/>
      <c r="C796" s="3"/>
      <c r="E796" s="24"/>
      <c r="G796" s="24"/>
      <c r="H796" s="24"/>
      <c r="J796" s="1"/>
      <c r="K796" s="1"/>
      <c r="L796" s="1"/>
    </row>
    <row r="797" spans="2:12" s="2" customFormat="1" ht="18" customHeight="1">
      <c r="B797" s="77"/>
      <c r="C797" s="3"/>
      <c r="E797" s="24"/>
      <c r="G797" s="24"/>
      <c r="H797" s="24"/>
      <c r="J797" s="1"/>
      <c r="K797" s="1"/>
      <c r="L797" s="1"/>
    </row>
    <row r="798" spans="2:12" s="2" customFormat="1" ht="18" customHeight="1">
      <c r="B798" s="77"/>
      <c r="C798" s="3"/>
      <c r="E798" s="24"/>
      <c r="G798" s="24"/>
      <c r="H798" s="24"/>
      <c r="J798" s="1"/>
      <c r="K798" s="1"/>
      <c r="L798" s="1"/>
    </row>
    <row r="799" spans="2:12" s="2" customFormat="1" ht="18" customHeight="1">
      <c r="B799" s="77"/>
      <c r="C799" s="3"/>
      <c r="E799" s="24"/>
      <c r="G799" s="24"/>
      <c r="H799" s="24"/>
      <c r="J799" s="1"/>
      <c r="K799" s="1"/>
      <c r="L799" s="1"/>
    </row>
    <row r="800" spans="2:12" s="2" customFormat="1" ht="18" customHeight="1">
      <c r="B800" s="77"/>
      <c r="C800" s="3"/>
      <c r="E800" s="24"/>
      <c r="G800" s="24"/>
      <c r="H800" s="24"/>
      <c r="J800" s="1"/>
      <c r="K800" s="1"/>
      <c r="L800" s="1"/>
    </row>
    <row r="801" spans="2:12" s="2" customFormat="1" ht="18" customHeight="1">
      <c r="B801" s="77"/>
      <c r="C801" s="3"/>
      <c r="E801" s="24"/>
      <c r="G801" s="24"/>
      <c r="H801" s="24"/>
      <c r="J801" s="1"/>
      <c r="K801" s="1"/>
      <c r="L801" s="1"/>
    </row>
    <row r="802" spans="2:12" s="2" customFormat="1" ht="18" customHeight="1">
      <c r="B802" s="77"/>
      <c r="C802" s="3"/>
      <c r="E802" s="24"/>
      <c r="G802" s="24"/>
      <c r="H802" s="24"/>
      <c r="J802" s="1"/>
      <c r="K802" s="1"/>
      <c r="L802" s="1"/>
    </row>
    <row r="803" spans="2:12" s="2" customFormat="1" ht="18" customHeight="1">
      <c r="B803" s="77"/>
      <c r="C803" s="3"/>
      <c r="E803" s="24"/>
      <c r="G803" s="24"/>
      <c r="H803" s="24"/>
      <c r="J803" s="1"/>
      <c r="K803" s="1"/>
      <c r="L803" s="1"/>
    </row>
    <row r="804" spans="2:12" s="2" customFormat="1" ht="18" customHeight="1">
      <c r="B804" s="77"/>
      <c r="C804" s="3"/>
      <c r="E804" s="24"/>
      <c r="G804" s="24"/>
      <c r="H804" s="24"/>
      <c r="J804" s="1"/>
      <c r="K804" s="1"/>
      <c r="L804" s="1"/>
    </row>
    <row r="805" spans="2:12" s="2" customFormat="1" ht="18" customHeight="1">
      <c r="B805" s="77"/>
      <c r="C805" s="3"/>
      <c r="E805" s="24"/>
      <c r="G805" s="24"/>
      <c r="H805" s="24"/>
      <c r="J805" s="1"/>
      <c r="K805" s="1"/>
      <c r="L805" s="1"/>
    </row>
    <row r="806" spans="2:12" s="2" customFormat="1" ht="18" customHeight="1">
      <c r="B806" s="77"/>
      <c r="C806" s="3"/>
      <c r="E806" s="24"/>
      <c r="G806" s="24"/>
      <c r="H806" s="24"/>
      <c r="J806" s="1"/>
      <c r="K806" s="1"/>
      <c r="L806" s="1"/>
    </row>
    <row r="807" spans="2:12" s="2" customFormat="1" ht="18" customHeight="1">
      <c r="B807" s="77"/>
      <c r="C807" s="3"/>
      <c r="E807" s="24"/>
      <c r="G807" s="24"/>
      <c r="H807" s="24"/>
      <c r="J807" s="1"/>
      <c r="K807" s="1"/>
      <c r="L807" s="1"/>
    </row>
    <row r="808" spans="2:12" s="2" customFormat="1" ht="18" customHeight="1">
      <c r="B808" s="77"/>
      <c r="C808" s="3"/>
      <c r="E808" s="24"/>
      <c r="G808" s="24"/>
      <c r="H808" s="24"/>
      <c r="J808" s="1"/>
      <c r="K808" s="1"/>
      <c r="L808" s="1"/>
    </row>
    <row r="809" spans="2:12" s="2" customFormat="1" ht="18" customHeight="1">
      <c r="B809" s="77"/>
      <c r="C809" s="3"/>
      <c r="E809" s="24"/>
      <c r="G809" s="24"/>
      <c r="H809" s="24"/>
      <c r="J809" s="1"/>
      <c r="K809" s="1"/>
      <c r="L809" s="1"/>
    </row>
    <row r="810" spans="2:12" s="2" customFormat="1" ht="18" customHeight="1">
      <c r="B810" s="77"/>
      <c r="C810" s="3"/>
      <c r="E810" s="24"/>
      <c r="G810" s="24"/>
      <c r="H810" s="24"/>
      <c r="J810" s="1"/>
      <c r="K810" s="1"/>
      <c r="L810" s="1"/>
    </row>
    <row r="811" spans="2:12" s="2" customFormat="1" ht="18" customHeight="1">
      <c r="B811" s="77"/>
      <c r="C811" s="3"/>
      <c r="E811" s="24"/>
      <c r="G811" s="24"/>
      <c r="H811" s="24"/>
      <c r="J811" s="1"/>
      <c r="K811" s="1"/>
      <c r="L811" s="1"/>
    </row>
    <row r="812" spans="2:12" s="2" customFormat="1" ht="18" customHeight="1">
      <c r="B812" s="77"/>
      <c r="C812" s="3"/>
      <c r="E812" s="24"/>
      <c r="G812" s="24"/>
      <c r="H812" s="24"/>
      <c r="J812" s="1"/>
      <c r="K812" s="1"/>
      <c r="L812" s="1"/>
    </row>
    <row r="813" spans="2:12" s="2" customFormat="1" ht="18" customHeight="1">
      <c r="B813" s="77"/>
      <c r="C813" s="3"/>
      <c r="E813" s="24"/>
      <c r="G813" s="24"/>
      <c r="H813" s="24"/>
      <c r="J813" s="1"/>
      <c r="K813" s="1"/>
      <c r="L813" s="1"/>
    </row>
    <row r="814" spans="2:12" s="2" customFormat="1" ht="18" customHeight="1">
      <c r="B814" s="77"/>
      <c r="C814" s="3"/>
      <c r="E814" s="24"/>
      <c r="G814" s="24"/>
      <c r="H814" s="24"/>
      <c r="J814" s="1"/>
      <c r="K814" s="1"/>
      <c r="L814" s="1"/>
    </row>
    <row r="815" spans="2:12" s="2" customFormat="1" ht="18" customHeight="1">
      <c r="B815" s="77"/>
      <c r="C815" s="3"/>
      <c r="E815" s="24"/>
      <c r="G815" s="24"/>
      <c r="H815" s="24"/>
      <c r="J815" s="1"/>
      <c r="K815" s="1"/>
      <c r="L815" s="1"/>
    </row>
    <row r="816" spans="2:12" s="2" customFormat="1" ht="18" customHeight="1">
      <c r="B816" s="77"/>
      <c r="C816" s="3"/>
      <c r="E816" s="24"/>
      <c r="G816" s="24"/>
      <c r="H816" s="24"/>
      <c r="J816" s="1"/>
      <c r="K816" s="1"/>
      <c r="L816" s="1"/>
    </row>
    <row r="817" spans="2:12" s="2" customFormat="1" ht="18" customHeight="1">
      <c r="B817" s="77"/>
      <c r="C817" s="3"/>
      <c r="E817" s="24"/>
      <c r="G817" s="24"/>
      <c r="H817" s="24"/>
      <c r="J817" s="1"/>
      <c r="K817" s="1"/>
      <c r="L817" s="1"/>
    </row>
    <row r="818" spans="2:12" s="2" customFormat="1" ht="18" customHeight="1">
      <c r="B818" s="77"/>
      <c r="C818" s="3"/>
      <c r="E818" s="24"/>
      <c r="G818" s="24"/>
      <c r="H818" s="24"/>
      <c r="J818" s="1"/>
      <c r="K818" s="1"/>
      <c r="L818" s="1"/>
    </row>
    <row r="819" spans="2:12" s="2" customFormat="1" ht="18" customHeight="1">
      <c r="B819" s="77"/>
      <c r="C819" s="3"/>
      <c r="E819" s="24"/>
      <c r="G819" s="24"/>
      <c r="H819" s="24"/>
      <c r="J819" s="1"/>
      <c r="K819" s="1"/>
      <c r="L819" s="1"/>
    </row>
    <row r="820" spans="2:12" s="2" customFormat="1" ht="18" customHeight="1">
      <c r="B820" s="77"/>
      <c r="C820" s="3"/>
      <c r="E820" s="24"/>
      <c r="G820" s="24"/>
      <c r="H820" s="24"/>
      <c r="J820" s="1"/>
      <c r="K820" s="1"/>
      <c r="L820" s="1"/>
    </row>
    <row r="821" spans="2:12" s="2" customFormat="1" ht="18" customHeight="1">
      <c r="B821" s="77"/>
      <c r="C821" s="3"/>
      <c r="E821" s="24"/>
      <c r="G821" s="24"/>
      <c r="H821" s="24"/>
      <c r="J821" s="1"/>
      <c r="K821" s="1"/>
      <c r="L821" s="1"/>
    </row>
    <row r="822" spans="2:12" s="2" customFormat="1" ht="18" customHeight="1">
      <c r="B822" s="77"/>
      <c r="C822" s="3"/>
      <c r="E822" s="24"/>
      <c r="G822" s="24"/>
      <c r="H822" s="24"/>
      <c r="J822" s="1"/>
      <c r="K822" s="1"/>
      <c r="L822" s="1"/>
    </row>
    <row r="823" spans="2:12" s="2" customFormat="1" ht="18" customHeight="1">
      <c r="B823" s="77"/>
      <c r="C823" s="3"/>
      <c r="E823" s="24"/>
      <c r="G823" s="24"/>
      <c r="H823" s="24"/>
      <c r="J823" s="1"/>
      <c r="K823" s="1"/>
      <c r="L823" s="1"/>
    </row>
    <row r="824" spans="2:12" s="2" customFormat="1" ht="18" customHeight="1">
      <c r="B824" s="77"/>
      <c r="C824" s="3"/>
      <c r="E824" s="24"/>
      <c r="G824" s="24"/>
      <c r="H824" s="24"/>
      <c r="J824" s="1"/>
      <c r="K824" s="1"/>
      <c r="L824" s="1"/>
    </row>
    <row r="825" spans="2:12" s="2" customFormat="1" ht="18" customHeight="1">
      <c r="B825" s="77"/>
      <c r="C825" s="3"/>
      <c r="E825" s="24"/>
      <c r="G825" s="24"/>
      <c r="H825" s="24"/>
      <c r="J825" s="1"/>
      <c r="K825" s="1"/>
      <c r="L825" s="1"/>
    </row>
    <row r="826" spans="2:12" s="2" customFormat="1" ht="18" customHeight="1">
      <c r="B826" s="77"/>
      <c r="C826" s="3"/>
      <c r="E826" s="24"/>
      <c r="G826" s="24"/>
      <c r="H826" s="24"/>
      <c r="J826" s="1"/>
      <c r="K826" s="1"/>
      <c r="L826" s="1"/>
    </row>
    <row r="827" spans="2:12" s="2" customFormat="1" ht="18" customHeight="1">
      <c r="B827" s="77"/>
      <c r="C827" s="3"/>
      <c r="E827" s="24"/>
      <c r="G827" s="24"/>
      <c r="H827" s="24"/>
      <c r="J827" s="1"/>
      <c r="K827" s="1"/>
      <c r="L827" s="1"/>
    </row>
    <row r="828" spans="2:12" s="2" customFormat="1" ht="18" customHeight="1">
      <c r="B828" s="77"/>
      <c r="C828" s="3"/>
      <c r="E828" s="24"/>
      <c r="G828" s="24"/>
      <c r="H828" s="24"/>
      <c r="J828" s="1"/>
      <c r="K828" s="1"/>
      <c r="L828" s="1"/>
    </row>
    <row r="829" spans="2:12" s="2" customFormat="1" ht="18" customHeight="1">
      <c r="B829" s="77"/>
      <c r="C829" s="3"/>
      <c r="E829" s="24"/>
      <c r="G829" s="24"/>
      <c r="H829" s="24"/>
      <c r="J829" s="1"/>
      <c r="K829" s="1"/>
      <c r="L829" s="1"/>
    </row>
    <row r="830" spans="2:12" s="2" customFormat="1" ht="18" customHeight="1">
      <c r="B830" s="77"/>
      <c r="C830" s="3"/>
      <c r="E830" s="24"/>
      <c r="G830" s="24"/>
      <c r="H830" s="24"/>
      <c r="J830" s="1"/>
      <c r="K830" s="1"/>
      <c r="L830" s="1"/>
    </row>
    <row r="831" spans="2:12" s="2" customFormat="1" ht="18" customHeight="1">
      <c r="B831" s="77"/>
      <c r="C831" s="3"/>
      <c r="E831" s="24"/>
      <c r="G831" s="24"/>
      <c r="H831" s="24"/>
      <c r="J831" s="1"/>
      <c r="K831" s="1"/>
      <c r="L831" s="1"/>
    </row>
    <row r="832" spans="2:12" s="2" customFormat="1" ht="18" customHeight="1">
      <c r="B832" s="77"/>
      <c r="C832" s="3"/>
      <c r="E832" s="24"/>
      <c r="G832" s="24"/>
      <c r="H832" s="24"/>
      <c r="J832" s="1"/>
      <c r="K832" s="1"/>
      <c r="L832" s="1"/>
    </row>
    <row r="833" spans="2:12" s="2" customFormat="1" ht="18" customHeight="1">
      <c r="B833" s="77"/>
      <c r="C833" s="3"/>
      <c r="E833" s="24"/>
      <c r="G833" s="24"/>
      <c r="H833" s="24"/>
      <c r="J833" s="1"/>
      <c r="K833" s="1"/>
      <c r="L833" s="1"/>
    </row>
    <row r="834" spans="2:12" s="2" customFormat="1" ht="18" customHeight="1">
      <c r="B834" s="77"/>
      <c r="C834" s="3"/>
      <c r="E834" s="24"/>
      <c r="G834" s="24"/>
      <c r="H834" s="24"/>
      <c r="J834" s="1"/>
      <c r="K834" s="1"/>
      <c r="L834" s="1"/>
    </row>
    <row r="835" spans="2:12" s="2" customFormat="1" ht="18" customHeight="1">
      <c r="B835" s="77"/>
      <c r="C835" s="3"/>
      <c r="E835" s="24"/>
      <c r="G835" s="24"/>
      <c r="H835" s="24"/>
      <c r="J835" s="1"/>
      <c r="K835" s="1"/>
      <c r="L835" s="1"/>
    </row>
    <row r="836" spans="2:12" s="2" customFormat="1" ht="18" customHeight="1">
      <c r="B836" s="77"/>
      <c r="C836" s="3"/>
      <c r="E836" s="24"/>
      <c r="G836" s="24"/>
      <c r="H836" s="24"/>
      <c r="J836" s="1"/>
      <c r="K836" s="1"/>
      <c r="L836" s="1"/>
    </row>
    <row r="837" spans="2:12" s="2" customFormat="1" ht="18" customHeight="1">
      <c r="B837" s="77"/>
      <c r="C837" s="3"/>
      <c r="E837" s="24"/>
      <c r="G837" s="24"/>
      <c r="H837" s="24"/>
      <c r="J837" s="1"/>
      <c r="K837" s="1"/>
      <c r="L837" s="1"/>
    </row>
    <row r="838" spans="2:12" s="2" customFormat="1" ht="18" customHeight="1">
      <c r="B838" s="77"/>
      <c r="C838" s="3"/>
      <c r="E838" s="24"/>
      <c r="G838" s="24"/>
      <c r="H838" s="24"/>
      <c r="J838" s="1"/>
      <c r="K838" s="1"/>
      <c r="L838" s="1"/>
    </row>
    <row r="839" spans="2:12" s="2" customFormat="1" ht="18" customHeight="1">
      <c r="B839" s="77"/>
      <c r="C839" s="3"/>
      <c r="E839" s="24"/>
      <c r="G839" s="24"/>
      <c r="H839" s="24"/>
      <c r="J839" s="1"/>
      <c r="K839" s="1"/>
      <c r="L839" s="1"/>
    </row>
    <row r="840" spans="2:12" s="2" customFormat="1" ht="18" customHeight="1">
      <c r="B840" s="77"/>
      <c r="C840" s="3"/>
      <c r="E840" s="24"/>
      <c r="G840" s="24"/>
      <c r="H840" s="24"/>
      <c r="J840" s="1"/>
      <c r="K840" s="1"/>
      <c r="L840" s="1"/>
    </row>
    <row r="841" spans="2:12" s="2" customFormat="1" ht="18" customHeight="1">
      <c r="B841" s="77"/>
      <c r="C841" s="3"/>
      <c r="E841" s="24"/>
      <c r="G841" s="24"/>
      <c r="H841" s="24"/>
      <c r="J841" s="1"/>
      <c r="K841" s="1"/>
      <c r="L841" s="1"/>
    </row>
    <row r="842" spans="2:12" s="2" customFormat="1" ht="18" customHeight="1">
      <c r="B842" s="77"/>
      <c r="C842" s="3"/>
      <c r="E842" s="24"/>
      <c r="G842" s="24"/>
      <c r="H842" s="24"/>
      <c r="J842" s="1"/>
      <c r="K842" s="1"/>
      <c r="L842" s="1"/>
    </row>
    <row r="843" spans="2:12" s="2" customFormat="1" ht="18" customHeight="1">
      <c r="B843" s="77"/>
      <c r="C843" s="3"/>
      <c r="E843" s="24"/>
      <c r="G843" s="24"/>
      <c r="H843" s="24"/>
      <c r="J843" s="1"/>
      <c r="K843" s="1"/>
      <c r="L843" s="1"/>
    </row>
    <row r="844" spans="2:12" s="2" customFormat="1" ht="18" customHeight="1">
      <c r="B844" s="77"/>
      <c r="C844" s="3"/>
      <c r="E844" s="24"/>
      <c r="G844" s="24"/>
      <c r="H844" s="24"/>
      <c r="J844" s="1"/>
      <c r="K844" s="1"/>
      <c r="L844" s="1"/>
    </row>
    <row r="845" spans="2:12" s="2" customFormat="1" ht="18" customHeight="1">
      <c r="B845" s="77"/>
      <c r="C845" s="3"/>
      <c r="E845" s="24"/>
      <c r="G845" s="24"/>
      <c r="H845" s="24"/>
      <c r="J845" s="1"/>
      <c r="K845" s="1"/>
      <c r="L845" s="1"/>
    </row>
    <row r="846" spans="2:12" s="2" customFormat="1" ht="18" customHeight="1">
      <c r="B846" s="77"/>
      <c r="C846" s="3"/>
      <c r="E846" s="24"/>
      <c r="G846" s="24"/>
      <c r="H846" s="24"/>
      <c r="J846" s="1"/>
      <c r="K846" s="1"/>
      <c r="L846" s="1"/>
    </row>
    <row r="847" spans="2:12" s="2" customFormat="1" ht="18" customHeight="1">
      <c r="B847" s="77"/>
      <c r="C847" s="3"/>
      <c r="E847" s="24"/>
      <c r="G847" s="24"/>
      <c r="H847" s="24"/>
      <c r="J847" s="1"/>
      <c r="K847" s="1"/>
      <c r="L847" s="1"/>
    </row>
    <row r="848" spans="2:12" s="2" customFormat="1" ht="18" customHeight="1">
      <c r="B848" s="77"/>
      <c r="C848" s="3"/>
      <c r="E848" s="24"/>
      <c r="G848" s="24"/>
      <c r="H848" s="24"/>
      <c r="J848" s="1"/>
      <c r="K848" s="1"/>
      <c r="L848" s="1"/>
    </row>
    <row r="849" spans="2:12" s="2" customFormat="1" ht="18" customHeight="1">
      <c r="B849" s="77"/>
      <c r="C849" s="3"/>
      <c r="E849" s="24"/>
      <c r="G849" s="24"/>
      <c r="H849" s="24"/>
      <c r="J849" s="1"/>
      <c r="K849" s="1"/>
      <c r="L849" s="1"/>
    </row>
    <row r="850" spans="2:12" s="2" customFormat="1" ht="18" customHeight="1">
      <c r="B850" s="77"/>
      <c r="C850" s="3"/>
      <c r="E850" s="24"/>
      <c r="G850" s="24"/>
      <c r="H850" s="24"/>
      <c r="J850" s="1"/>
      <c r="K850" s="1"/>
      <c r="L850" s="1"/>
    </row>
    <row r="851" spans="2:12" s="2" customFormat="1" ht="18" customHeight="1">
      <c r="B851" s="77"/>
      <c r="C851" s="3"/>
      <c r="E851" s="24"/>
      <c r="G851" s="24"/>
      <c r="H851" s="24"/>
      <c r="J851" s="1"/>
      <c r="K851" s="1"/>
      <c r="L851" s="1"/>
    </row>
    <row r="852" spans="2:12" s="2" customFormat="1" ht="18" customHeight="1">
      <c r="B852" s="77"/>
      <c r="C852" s="3"/>
      <c r="E852" s="24"/>
      <c r="G852" s="24"/>
      <c r="H852" s="24"/>
      <c r="J852" s="1"/>
      <c r="K852" s="1"/>
      <c r="L852" s="1"/>
    </row>
    <row r="853" spans="2:12" s="2" customFormat="1" ht="18" customHeight="1">
      <c r="B853" s="77"/>
      <c r="C853" s="3"/>
      <c r="E853" s="24"/>
      <c r="G853" s="24"/>
      <c r="H853" s="24"/>
      <c r="J853" s="1"/>
      <c r="K853" s="1"/>
      <c r="L853" s="1"/>
    </row>
    <row r="854" spans="2:12" s="2" customFormat="1" ht="18" customHeight="1">
      <c r="B854" s="77"/>
      <c r="C854" s="3"/>
      <c r="E854" s="24"/>
      <c r="G854" s="24"/>
      <c r="H854" s="24"/>
      <c r="J854" s="1"/>
      <c r="K854" s="1"/>
      <c r="L854" s="1"/>
    </row>
    <row r="855" spans="2:12" s="2" customFormat="1" ht="18" customHeight="1">
      <c r="B855" s="77"/>
      <c r="C855" s="3"/>
      <c r="E855" s="24"/>
      <c r="G855" s="24"/>
      <c r="H855" s="24"/>
      <c r="J855" s="1"/>
      <c r="K855" s="1"/>
      <c r="L855" s="1"/>
    </row>
    <row r="856" spans="2:12" s="2" customFormat="1" ht="18" customHeight="1">
      <c r="B856" s="77"/>
      <c r="C856" s="3"/>
      <c r="E856" s="24"/>
      <c r="G856" s="24"/>
      <c r="H856" s="24"/>
      <c r="J856" s="1"/>
      <c r="K856" s="1"/>
      <c r="L856" s="1"/>
    </row>
    <row r="857" spans="2:12" s="2" customFormat="1" ht="18" customHeight="1">
      <c r="B857" s="77"/>
      <c r="C857" s="3"/>
      <c r="E857" s="24"/>
      <c r="G857" s="24"/>
      <c r="H857" s="24"/>
      <c r="J857" s="1"/>
      <c r="K857" s="1"/>
      <c r="L857" s="1"/>
    </row>
    <row r="858" spans="2:12" s="2" customFormat="1" ht="18" customHeight="1">
      <c r="B858" s="77"/>
      <c r="C858" s="3"/>
      <c r="E858" s="24"/>
      <c r="G858" s="24"/>
      <c r="H858" s="24"/>
      <c r="J858" s="1"/>
      <c r="K858" s="1"/>
      <c r="L858" s="1"/>
    </row>
    <row r="859" spans="2:12" s="2" customFormat="1" ht="18" customHeight="1">
      <c r="B859" s="77"/>
      <c r="C859" s="3"/>
      <c r="E859" s="24"/>
      <c r="G859" s="24"/>
      <c r="H859" s="24"/>
      <c r="J859" s="1"/>
      <c r="K859" s="1"/>
      <c r="L859" s="1"/>
    </row>
    <row r="860" spans="2:12" s="2" customFormat="1" ht="18" customHeight="1">
      <c r="B860" s="77"/>
      <c r="C860" s="3"/>
      <c r="E860" s="24"/>
      <c r="G860" s="24"/>
      <c r="H860" s="24"/>
      <c r="J860" s="1"/>
      <c r="K860" s="1"/>
      <c r="L860" s="1"/>
    </row>
    <row r="861" spans="2:12" s="2" customFormat="1" ht="18" customHeight="1">
      <c r="B861" s="77"/>
      <c r="C861" s="3"/>
      <c r="E861" s="24"/>
      <c r="G861" s="24"/>
      <c r="H861" s="24"/>
      <c r="J861" s="1"/>
      <c r="K861" s="1"/>
      <c r="L861" s="1"/>
    </row>
    <row r="862" spans="2:12" s="2" customFormat="1" ht="18" customHeight="1">
      <c r="B862" s="77"/>
      <c r="C862" s="3"/>
      <c r="E862" s="24"/>
      <c r="G862" s="24"/>
      <c r="H862" s="24"/>
      <c r="J862" s="1"/>
      <c r="K862" s="1"/>
      <c r="L862" s="1"/>
    </row>
    <row r="863" spans="2:12" s="2" customFormat="1" ht="18" customHeight="1">
      <c r="B863" s="77"/>
      <c r="C863" s="3"/>
      <c r="E863" s="24"/>
      <c r="G863" s="24"/>
      <c r="H863" s="24"/>
      <c r="J863" s="1"/>
      <c r="K863" s="1"/>
      <c r="L863" s="1"/>
    </row>
    <row r="864" spans="2:12" s="2" customFormat="1" ht="18" customHeight="1">
      <c r="B864" s="77"/>
      <c r="C864" s="3"/>
      <c r="E864" s="24"/>
      <c r="G864" s="24"/>
      <c r="H864" s="24"/>
      <c r="J864" s="1"/>
      <c r="K864" s="1"/>
      <c r="L864" s="1"/>
    </row>
    <row r="865" spans="2:12" s="2" customFormat="1" ht="18" customHeight="1">
      <c r="B865" s="77"/>
      <c r="C865" s="3"/>
      <c r="E865" s="24"/>
      <c r="G865" s="24"/>
      <c r="H865" s="24"/>
      <c r="J865" s="1"/>
      <c r="K865" s="1"/>
      <c r="L865" s="1"/>
    </row>
    <row r="866" spans="2:12" s="2" customFormat="1" ht="18" customHeight="1">
      <c r="B866" s="77"/>
      <c r="C866" s="3"/>
      <c r="E866" s="24"/>
      <c r="G866" s="24"/>
      <c r="H866" s="24"/>
      <c r="J866" s="1"/>
      <c r="K866" s="1"/>
      <c r="L866" s="1"/>
    </row>
    <row r="867" spans="2:12" s="2" customFormat="1" ht="18" customHeight="1">
      <c r="B867" s="77"/>
      <c r="C867" s="3"/>
      <c r="E867" s="24"/>
      <c r="G867" s="24"/>
      <c r="H867" s="24"/>
      <c r="J867" s="1"/>
      <c r="K867" s="1"/>
      <c r="L867" s="1"/>
    </row>
    <row r="868" spans="2:12" s="2" customFormat="1" ht="18" customHeight="1">
      <c r="B868" s="77"/>
      <c r="C868" s="3"/>
      <c r="E868" s="24"/>
      <c r="G868" s="24"/>
      <c r="H868" s="24"/>
      <c r="J868" s="1"/>
      <c r="K868" s="1"/>
      <c r="L868" s="1"/>
    </row>
    <row r="869" spans="2:12" s="2" customFormat="1" ht="18" customHeight="1">
      <c r="B869" s="77"/>
      <c r="C869" s="3"/>
      <c r="E869" s="24"/>
      <c r="G869" s="24"/>
      <c r="H869" s="24"/>
      <c r="J869" s="1"/>
      <c r="K869" s="1"/>
      <c r="L869" s="1"/>
    </row>
    <row r="870" spans="2:12" s="2" customFormat="1" ht="18" customHeight="1">
      <c r="B870" s="77"/>
      <c r="C870" s="3"/>
      <c r="E870" s="24"/>
      <c r="G870" s="24"/>
      <c r="H870" s="24"/>
      <c r="J870" s="1"/>
      <c r="K870" s="1"/>
      <c r="L870" s="1"/>
    </row>
    <row r="871" spans="2:12" s="2" customFormat="1" ht="18" customHeight="1">
      <c r="B871" s="77"/>
      <c r="C871" s="3"/>
      <c r="E871" s="24"/>
      <c r="G871" s="24"/>
      <c r="H871" s="24"/>
      <c r="J871" s="1"/>
      <c r="K871" s="1"/>
      <c r="L871" s="1"/>
    </row>
    <row r="872" spans="2:12" s="2" customFormat="1" ht="18" customHeight="1">
      <c r="B872" s="77"/>
      <c r="C872" s="3"/>
      <c r="E872" s="24"/>
      <c r="G872" s="24"/>
      <c r="H872" s="24"/>
      <c r="J872" s="1"/>
      <c r="K872" s="1"/>
      <c r="L872" s="1"/>
    </row>
    <row r="873" spans="2:12" s="2" customFormat="1" ht="18" customHeight="1">
      <c r="B873" s="77"/>
      <c r="C873" s="3"/>
      <c r="E873" s="24"/>
      <c r="G873" s="24"/>
      <c r="H873" s="24"/>
      <c r="J873" s="1"/>
      <c r="K873" s="1"/>
      <c r="L873" s="1"/>
    </row>
    <row r="874" spans="2:12" s="2" customFormat="1" ht="18" customHeight="1">
      <c r="B874" s="77"/>
      <c r="C874" s="3"/>
      <c r="E874" s="24"/>
      <c r="G874" s="24"/>
      <c r="H874" s="24"/>
      <c r="J874" s="1"/>
      <c r="K874" s="1"/>
      <c r="L874" s="1"/>
    </row>
    <row r="875" spans="2:12" s="2" customFormat="1" ht="18" customHeight="1">
      <c r="B875" s="77"/>
      <c r="C875" s="3"/>
      <c r="E875" s="24"/>
      <c r="G875" s="24"/>
      <c r="H875" s="24"/>
      <c r="J875" s="1"/>
      <c r="K875" s="1"/>
      <c r="L875" s="1"/>
    </row>
    <row r="876" spans="2:12" s="2" customFormat="1" ht="18" customHeight="1">
      <c r="B876" s="77"/>
      <c r="C876" s="3"/>
      <c r="E876" s="24"/>
      <c r="G876" s="24"/>
      <c r="H876" s="24"/>
      <c r="J876" s="1"/>
      <c r="K876" s="1"/>
      <c r="L876" s="1"/>
    </row>
    <row r="877" spans="2:12" s="2" customFormat="1" ht="18" customHeight="1">
      <c r="B877" s="77"/>
      <c r="C877" s="3"/>
      <c r="E877" s="24"/>
      <c r="G877" s="24"/>
      <c r="H877" s="24"/>
      <c r="J877" s="1"/>
      <c r="K877" s="1"/>
      <c r="L877" s="1"/>
    </row>
    <row r="878" spans="2:12" s="2" customFormat="1" ht="18" customHeight="1">
      <c r="B878" s="77"/>
      <c r="C878" s="3"/>
      <c r="E878" s="24"/>
      <c r="G878" s="24"/>
      <c r="H878" s="24"/>
      <c r="J878" s="1"/>
      <c r="K878" s="1"/>
      <c r="L878" s="1"/>
    </row>
    <row r="879" spans="2:12" s="2" customFormat="1" ht="18" customHeight="1">
      <c r="B879" s="77"/>
      <c r="C879" s="3"/>
      <c r="E879" s="24"/>
      <c r="G879" s="24"/>
      <c r="H879" s="24"/>
      <c r="J879" s="1"/>
      <c r="K879" s="1"/>
      <c r="L879" s="1"/>
    </row>
    <row r="880" spans="2:12" s="2" customFormat="1" ht="18" customHeight="1">
      <c r="B880" s="77"/>
      <c r="C880" s="3"/>
      <c r="E880" s="24"/>
      <c r="G880" s="24"/>
      <c r="H880" s="24"/>
      <c r="J880" s="1"/>
      <c r="K880" s="1"/>
      <c r="L880" s="1"/>
    </row>
    <row r="881" spans="2:12" s="2" customFormat="1" ht="18" customHeight="1">
      <c r="B881" s="77"/>
      <c r="C881" s="3"/>
      <c r="E881" s="24"/>
      <c r="G881" s="24"/>
      <c r="H881" s="24"/>
      <c r="J881" s="1"/>
      <c r="K881" s="1"/>
      <c r="L881" s="1"/>
    </row>
    <row r="882" spans="2:12" s="2" customFormat="1" ht="18" customHeight="1">
      <c r="B882" s="77"/>
      <c r="C882" s="3"/>
      <c r="E882" s="24"/>
      <c r="G882" s="24"/>
      <c r="H882" s="24"/>
      <c r="J882" s="1"/>
      <c r="K882" s="1"/>
      <c r="L882" s="1"/>
    </row>
    <row r="883" spans="2:12" s="2" customFormat="1" ht="18" customHeight="1">
      <c r="B883" s="77"/>
      <c r="C883" s="3"/>
      <c r="E883" s="24"/>
      <c r="G883" s="24"/>
      <c r="H883" s="24"/>
      <c r="J883" s="1"/>
      <c r="K883" s="1"/>
      <c r="L883" s="1"/>
    </row>
    <row r="884" spans="2:12" s="2" customFormat="1" ht="18" customHeight="1">
      <c r="B884" s="77"/>
      <c r="C884" s="3"/>
      <c r="E884" s="24"/>
      <c r="G884" s="24"/>
      <c r="H884" s="24"/>
      <c r="J884" s="1"/>
      <c r="K884" s="1"/>
      <c r="L884" s="1"/>
    </row>
    <row r="885" spans="2:12" s="2" customFormat="1" ht="18" customHeight="1">
      <c r="B885" s="77"/>
      <c r="C885" s="3"/>
      <c r="E885" s="24"/>
      <c r="G885" s="24"/>
      <c r="H885" s="24"/>
      <c r="J885" s="1"/>
      <c r="K885" s="1"/>
      <c r="L885" s="1"/>
    </row>
    <row r="886" spans="2:12" s="2" customFormat="1" ht="18" customHeight="1">
      <c r="B886" s="77"/>
      <c r="C886" s="3"/>
      <c r="E886" s="24"/>
      <c r="G886" s="24"/>
      <c r="H886" s="24"/>
      <c r="J886" s="1"/>
      <c r="K886" s="1"/>
      <c r="L886" s="1"/>
    </row>
    <row r="887" spans="2:12" s="2" customFormat="1" ht="18" customHeight="1">
      <c r="B887" s="77"/>
      <c r="C887" s="3"/>
      <c r="E887" s="24"/>
      <c r="G887" s="24"/>
      <c r="H887" s="24"/>
      <c r="J887" s="1"/>
      <c r="K887" s="1"/>
      <c r="L887" s="1"/>
    </row>
    <row r="888" spans="2:12" s="2" customFormat="1" ht="18" customHeight="1">
      <c r="B888" s="77"/>
      <c r="C888" s="3"/>
      <c r="E888" s="24"/>
      <c r="G888" s="24"/>
      <c r="H888" s="24"/>
      <c r="J888" s="1"/>
      <c r="K888" s="1"/>
      <c r="L888" s="1"/>
    </row>
    <row r="889" spans="2:12" s="2" customFormat="1" ht="18" customHeight="1">
      <c r="B889" s="77"/>
      <c r="C889" s="3"/>
      <c r="E889" s="24"/>
      <c r="G889" s="24"/>
      <c r="H889" s="24"/>
      <c r="J889" s="1"/>
      <c r="K889" s="1"/>
      <c r="L889" s="1"/>
    </row>
    <row r="890" spans="2:12" s="2" customFormat="1" ht="18" customHeight="1">
      <c r="B890" s="77"/>
      <c r="C890" s="3"/>
      <c r="E890" s="24"/>
      <c r="G890" s="24"/>
      <c r="H890" s="24"/>
      <c r="J890" s="1"/>
      <c r="K890" s="1"/>
      <c r="L890" s="1"/>
    </row>
    <row r="891" spans="2:12" s="2" customFormat="1" ht="18" customHeight="1">
      <c r="B891" s="77"/>
      <c r="C891" s="3"/>
      <c r="E891" s="24"/>
      <c r="G891" s="24"/>
      <c r="H891" s="24"/>
      <c r="J891" s="1"/>
      <c r="K891" s="1"/>
      <c r="L891" s="1"/>
    </row>
    <row r="892" spans="2:12" s="2" customFormat="1" ht="18" customHeight="1">
      <c r="B892" s="77"/>
      <c r="C892" s="3"/>
      <c r="E892" s="24"/>
      <c r="G892" s="24"/>
      <c r="H892" s="24"/>
      <c r="J892" s="1"/>
      <c r="K892" s="1"/>
      <c r="L892" s="1"/>
    </row>
    <row r="893" spans="2:12" s="2" customFormat="1" ht="18" customHeight="1">
      <c r="B893" s="77"/>
      <c r="C893" s="3"/>
      <c r="E893" s="24"/>
      <c r="G893" s="24"/>
      <c r="H893" s="24"/>
      <c r="J893" s="1"/>
      <c r="K893" s="1"/>
      <c r="L893" s="1"/>
    </row>
    <row r="894" spans="2:12" s="2" customFormat="1" ht="18" customHeight="1">
      <c r="B894" s="77"/>
      <c r="C894" s="3"/>
      <c r="E894" s="24"/>
      <c r="G894" s="24"/>
      <c r="H894" s="24"/>
      <c r="J894" s="1"/>
      <c r="K894" s="1"/>
      <c r="L894" s="1"/>
    </row>
    <row r="895" spans="2:12" s="2" customFormat="1" ht="18" customHeight="1">
      <c r="B895" s="77"/>
      <c r="C895" s="3"/>
      <c r="E895" s="24"/>
      <c r="G895" s="24"/>
      <c r="H895" s="24"/>
      <c r="J895" s="1"/>
      <c r="K895" s="1"/>
      <c r="L895" s="1"/>
    </row>
    <row r="896" spans="2:12" s="2" customFormat="1" ht="18" customHeight="1">
      <c r="B896" s="77"/>
      <c r="C896" s="3"/>
      <c r="E896" s="24"/>
      <c r="G896" s="24"/>
      <c r="H896" s="24"/>
      <c r="J896" s="1"/>
      <c r="K896" s="1"/>
      <c r="L896" s="1"/>
    </row>
    <row r="897" spans="2:12" s="2" customFormat="1" ht="18" customHeight="1">
      <c r="B897" s="77"/>
      <c r="C897" s="3"/>
      <c r="E897" s="24"/>
      <c r="G897" s="24"/>
      <c r="H897" s="24"/>
      <c r="J897" s="1"/>
      <c r="K897" s="1"/>
      <c r="L897" s="1"/>
    </row>
    <row r="898" spans="2:12" s="2" customFormat="1" ht="18" customHeight="1">
      <c r="B898" s="77"/>
      <c r="C898" s="3"/>
      <c r="E898" s="24"/>
      <c r="G898" s="24"/>
      <c r="H898" s="24"/>
      <c r="J898" s="1"/>
      <c r="K898" s="1"/>
      <c r="L898" s="1"/>
    </row>
    <row r="899" spans="2:12" s="2" customFormat="1" ht="18" customHeight="1">
      <c r="B899" s="77"/>
      <c r="C899" s="3"/>
      <c r="E899" s="24"/>
      <c r="G899" s="24"/>
      <c r="H899" s="24"/>
      <c r="J899" s="1"/>
      <c r="K899" s="1"/>
      <c r="L899" s="1"/>
    </row>
    <row r="900" spans="2:12" s="2" customFormat="1" ht="18" customHeight="1">
      <c r="B900" s="77"/>
      <c r="C900" s="3"/>
      <c r="E900" s="24"/>
      <c r="G900" s="24"/>
      <c r="H900" s="24"/>
      <c r="J900" s="1"/>
      <c r="K900" s="1"/>
      <c r="L900" s="1"/>
    </row>
    <row r="901" spans="2:12" s="2" customFormat="1" ht="18" customHeight="1">
      <c r="B901" s="77"/>
      <c r="C901" s="3"/>
      <c r="E901" s="24"/>
      <c r="G901" s="24"/>
      <c r="H901" s="24"/>
      <c r="J901" s="1"/>
      <c r="K901" s="1"/>
      <c r="L901" s="1"/>
    </row>
    <row r="902" spans="2:12" s="2" customFormat="1" ht="18" customHeight="1">
      <c r="B902" s="77"/>
      <c r="C902" s="3"/>
      <c r="E902" s="24"/>
      <c r="G902" s="24"/>
      <c r="H902" s="24"/>
      <c r="J902" s="1"/>
      <c r="K902" s="1"/>
      <c r="L902" s="1"/>
    </row>
    <row r="903" spans="2:12" s="2" customFormat="1" ht="18" customHeight="1">
      <c r="B903" s="77"/>
      <c r="C903" s="3"/>
      <c r="E903" s="24"/>
      <c r="G903" s="24"/>
      <c r="H903" s="24"/>
      <c r="J903" s="1"/>
      <c r="K903" s="1"/>
      <c r="L903" s="1"/>
    </row>
    <row r="904" spans="2:12" s="2" customFormat="1" ht="18" customHeight="1">
      <c r="B904" s="77"/>
      <c r="C904" s="3"/>
      <c r="E904" s="24"/>
      <c r="G904" s="24"/>
      <c r="H904" s="24"/>
      <c r="J904" s="1"/>
      <c r="K904" s="1"/>
      <c r="L904" s="1"/>
    </row>
    <row r="905" spans="2:12" s="2" customFormat="1" ht="18" customHeight="1">
      <c r="B905" s="77"/>
      <c r="C905" s="3"/>
      <c r="E905" s="24"/>
      <c r="G905" s="24"/>
      <c r="H905" s="24"/>
      <c r="J905" s="1"/>
      <c r="K905" s="1"/>
      <c r="L905" s="1"/>
    </row>
    <row r="906" spans="2:12" s="2" customFormat="1" ht="18" customHeight="1">
      <c r="B906" s="77"/>
      <c r="C906" s="3"/>
      <c r="E906" s="24"/>
      <c r="G906" s="24"/>
      <c r="H906" s="24"/>
      <c r="J906" s="1"/>
      <c r="K906" s="1"/>
      <c r="L906" s="1"/>
    </row>
    <row r="907" spans="2:12" s="2" customFormat="1" ht="18" customHeight="1">
      <c r="B907" s="77"/>
      <c r="C907" s="3"/>
      <c r="E907" s="24"/>
      <c r="G907" s="24"/>
      <c r="H907" s="24"/>
      <c r="J907" s="1"/>
      <c r="K907" s="1"/>
      <c r="L907" s="1"/>
    </row>
    <row r="908" spans="2:12" s="2" customFormat="1" ht="18" customHeight="1">
      <c r="B908" s="77"/>
      <c r="C908" s="3"/>
      <c r="E908" s="24"/>
      <c r="G908" s="24"/>
      <c r="H908" s="24"/>
      <c r="J908" s="1"/>
      <c r="K908" s="1"/>
      <c r="L908" s="1"/>
    </row>
    <row r="909" spans="2:12" s="2" customFormat="1" ht="18" customHeight="1">
      <c r="B909" s="77"/>
      <c r="C909" s="3"/>
      <c r="E909" s="24"/>
      <c r="G909" s="24"/>
      <c r="H909" s="24"/>
      <c r="J909" s="1"/>
      <c r="K909" s="1"/>
      <c r="L909" s="1"/>
    </row>
    <row r="910" spans="2:12" s="2" customFormat="1" ht="18" customHeight="1">
      <c r="B910" s="77"/>
      <c r="C910" s="3"/>
      <c r="E910" s="24"/>
      <c r="G910" s="24"/>
      <c r="H910" s="24"/>
      <c r="J910" s="1"/>
      <c r="K910" s="1"/>
      <c r="L910" s="1"/>
    </row>
    <row r="911" spans="2:12" s="2" customFormat="1" ht="18" customHeight="1">
      <c r="B911" s="77"/>
      <c r="C911" s="3"/>
      <c r="E911" s="24"/>
      <c r="G911" s="24"/>
      <c r="H911" s="24"/>
      <c r="J911" s="1"/>
      <c r="K911" s="1"/>
      <c r="L911" s="1"/>
    </row>
    <row r="912" spans="2:12" s="2" customFormat="1" ht="18" customHeight="1">
      <c r="B912" s="77"/>
      <c r="C912" s="3"/>
      <c r="E912" s="24"/>
      <c r="G912" s="24"/>
      <c r="H912" s="24"/>
      <c r="J912" s="1"/>
      <c r="K912" s="1"/>
      <c r="L912" s="1"/>
    </row>
    <row r="913" spans="2:12" s="2" customFormat="1" ht="18" customHeight="1">
      <c r="B913" s="77"/>
      <c r="C913" s="3"/>
      <c r="E913" s="24"/>
      <c r="G913" s="24"/>
      <c r="H913" s="24"/>
      <c r="J913" s="1"/>
      <c r="K913" s="1"/>
      <c r="L913" s="1"/>
    </row>
    <row r="914" spans="2:12" s="2" customFormat="1" ht="18" customHeight="1">
      <c r="B914" s="77"/>
      <c r="C914" s="3"/>
      <c r="E914" s="24"/>
      <c r="G914" s="24"/>
      <c r="H914" s="24"/>
      <c r="J914" s="1"/>
      <c r="K914" s="1"/>
      <c r="L914" s="1"/>
    </row>
    <row r="915" spans="2:12" s="2" customFormat="1" ht="18" customHeight="1">
      <c r="B915" s="77"/>
      <c r="C915" s="3"/>
      <c r="E915" s="24"/>
      <c r="G915" s="24"/>
      <c r="H915" s="24"/>
      <c r="J915" s="1"/>
      <c r="K915" s="1"/>
      <c r="L915" s="1"/>
    </row>
    <row r="916" spans="2:12" s="2" customFormat="1" ht="18" customHeight="1">
      <c r="B916" s="77"/>
      <c r="C916" s="3"/>
      <c r="E916" s="24"/>
      <c r="G916" s="24"/>
      <c r="H916" s="24"/>
      <c r="J916" s="1"/>
      <c r="K916" s="1"/>
      <c r="L916" s="1"/>
    </row>
    <row r="917" spans="2:12" s="2" customFormat="1" ht="18" customHeight="1">
      <c r="B917" s="77"/>
      <c r="C917" s="3"/>
      <c r="E917" s="24"/>
      <c r="G917" s="24"/>
      <c r="H917" s="24"/>
      <c r="J917" s="1"/>
      <c r="K917" s="1"/>
      <c r="L917" s="1"/>
    </row>
    <row r="918" spans="2:12" s="2" customFormat="1" ht="18" customHeight="1">
      <c r="B918" s="77"/>
      <c r="C918" s="3"/>
      <c r="E918" s="24"/>
      <c r="G918" s="24"/>
      <c r="H918" s="24"/>
      <c r="J918" s="1"/>
      <c r="K918" s="1"/>
      <c r="L918" s="1"/>
    </row>
    <row r="919" spans="2:12" s="2" customFormat="1" ht="18" customHeight="1">
      <c r="B919" s="77"/>
      <c r="C919" s="3"/>
      <c r="E919" s="24"/>
      <c r="G919" s="24"/>
      <c r="H919" s="24"/>
      <c r="J919" s="1"/>
      <c r="K919" s="1"/>
      <c r="L919" s="1"/>
    </row>
    <row r="920" spans="2:12" s="2" customFormat="1" ht="18" customHeight="1">
      <c r="B920" s="77"/>
      <c r="C920" s="3"/>
      <c r="E920" s="24"/>
      <c r="G920" s="24"/>
      <c r="H920" s="24"/>
      <c r="J920" s="1"/>
      <c r="K920" s="1"/>
      <c r="L920" s="1"/>
    </row>
    <row r="921" spans="2:12" s="2" customFormat="1" ht="18" customHeight="1">
      <c r="B921" s="77"/>
      <c r="C921" s="3"/>
      <c r="E921" s="24"/>
      <c r="G921" s="24"/>
      <c r="H921" s="24"/>
      <c r="J921" s="1"/>
      <c r="K921" s="1"/>
      <c r="L921" s="1"/>
    </row>
    <row r="922" spans="2:12" s="2" customFormat="1" ht="18" customHeight="1">
      <c r="B922" s="77"/>
      <c r="C922" s="3"/>
      <c r="E922" s="24"/>
      <c r="G922" s="24"/>
      <c r="H922" s="24"/>
      <c r="J922" s="1"/>
      <c r="K922" s="1"/>
      <c r="L922" s="1"/>
    </row>
    <row r="923" spans="2:12" s="2" customFormat="1" ht="18" customHeight="1">
      <c r="B923" s="77"/>
      <c r="C923" s="3"/>
      <c r="E923" s="24"/>
      <c r="G923" s="24"/>
      <c r="H923" s="24"/>
      <c r="J923" s="1"/>
      <c r="K923" s="1"/>
      <c r="L923" s="1"/>
    </row>
    <row r="924" spans="2:12" s="2" customFormat="1" ht="18" customHeight="1">
      <c r="B924" s="77"/>
      <c r="C924" s="3"/>
      <c r="E924" s="24"/>
      <c r="G924" s="24"/>
      <c r="H924" s="24"/>
      <c r="J924" s="1"/>
      <c r="K924" s="1"/>
      <c r="L924" s="1"/>
    </row>
    <row r="925" spans="2:12" s="2" customFormat="1" ht="18" customHeight="1">
      <c r="B925" s="77"/>
      <c r="C925" s="3"/>
      <c r="E925" s="24"/>
      <c r="G925" s="24"/>
      <c r="H925" s="24"/>
      <c r="J925" s="1"/>
      <c r="K925" s="1"/>
      <c r="L925" s="1"/>
    </row>
    <row r="926" spans="2:12" s="2" customFormat="1" ht="18" customHeight="1">
      <c r="B926" s="77"/>
      <c r="C926" s="3"/>
      <c r="E926" s="24"/>
      <c r="G926" s="24"/>
      <c r="H926" s="24"/>
      <c r="J926" s="1"/>
      <c r="K926" s="1"/>
      <c r="L926" s="1"/>
    </row>
    <row r="927" spans="2:12" s="2" customFormat="1" ht="18" customHeight="1">
      <c r="B927" s="77"/>
      <c r="C927" s="3"/>
      <c r="E927" s="24"/>
      <c r="G927" s="24"/>
      <c r="H927" s="24"/>
      <c r="J927" s="1"/>
      <c r="K927" s="1"/>
      <c r="L927" s="1"/>
    </row>
    <row r="928" spans="2:12" s="2" customFormat="1" ht="18" customHeight="1">
      <c r="B928" s="77"/>
      <c r="C928" s="3"/>
      <c r="E928" s="24"/>
      <c r="G928" s="24"/>
      <c r="H928" s="24"/>
      <c r="J928" s="1"/>
      <c r="K928" s="1"/>
      <c r="L928" s="1"/>
    </row>
    <row r="929" spans="2:12" s="2" customFormat="1" ht="18" customHeight="1">
      <c r="B929" s="77"/>
      <c r="C929" s="3"/>
      <c r="E929" s="24"/>
      <c r="G929" s="24"/>
      <c r="H929" s="24"/>
      <c r="J929" s="1"/>
      <c r="K929" s="1"/>
      <c r="L929" s="1"/>
    </row>
    <row r="930" spans="2:12" s="2" customFormat="1" ht="18" customHeight="1">
      <c r="B930" s="77"/>
      <c r="C930" s="3"/>
      <c r="E930" s="24"/>
      <c r="G930" s="24"/>
      <c r="H930" s="24"/>
      <c r="J930" s="1"/>
      <c r="K930" s="1"/>
      <c r="L930" s="1"/>
    </row>
    <row r="931" spans="2:12" s="2" customFormat="1" ht="18" customHeight="1">
      <c r="B931" s="77"/>
      <c r="C931" s="3"/>
      <c r="E931" s="24"/>
      <c r="G931" s="24"/>
      <c r="H931" s="24"/>
      <c r="J931" s="1"/>
      <c r="K931" s="1"/>
      <c r="L931" s="1"/>
    </row>
    <row r="932" spans="2:12" s="2" customFormat="1" ht="18" customHeight="1">
      <c r="B932" s="77"/>
      <c r="C932" s="3"/>
      <c r="E932" s="24"/>
      <c r="G932" s="24"/>
      <c r="H932" s="24"/>
      <c r="J932" s="1"/>
      <c r="K932" s="1"/>
      <c r="L932" s="1"/>
    </row>
    <row r="933" spans="2:12" s="2" customFormat="1" ht="18" customHeight="1">
      <c r="B933" s="77"/>
      <c r="C933" s="3"/>
      <c r="E933" s="24"/>
      <c r="G933" s="24"/>
      <c r="H933" s="24"/>
      <c r="J933" s="1"/>
      <c r="K933" s="1"/>
      <c r="L933" s="1"/>
    </row>
    <row r="934" spans="2:12" s="2" customFormat="1" ht="18" customHeight="1">
      <c r="B934" s="77"/>
      <c r="C934" s="3"/>
      <c r="E934" s="24"/>
      <c r="G934" s="24"/>
      <c r="H934" s="24"/>
      <c r="J934" s="1"/>
      <c r="K934" s="1"/>
      <c r="L934" s="1"/>
    </row>
    <row r="935" spans="2:12" s="2" customFormat="1" ht="18" customHeight="1">
      <c r="B935" s="77"/>
      <c r="C935" s="3"/>
      <c r="E935" s="24"/>
      <c r="G935" s="24"/>
      <c r="H935" s="24"/>
      <c r="J935" s="1"/>
      <c r="K935" s="1"/>
      <c r="L935" s="1"/>
    </row>
    <row r="936" spans="2:12" s="2" customFormat="1" ht="18" customHeight="1">
      <c r="B936" s="77"/>
      <c r="C936" s="3"/>
      <c r="E936" s="24"/>
      <c r="G936" s="24"/>
      <c r="H936" s="24"/>
      <c r="J936" s="1"/>
      <c r="K936" s="1"/>
      <c r="L936" s="1"/>
    </row>
    <row r="937" spans="2:12" s="2" customFormat="1" ht="18" customHeight="1">
      <c r="B937" s="77"/>
      <c r="C937" s="3"/>
      <c r="E937" s="24"/>
      <c r="G937" s="24"/>
      <c r="H937" s="24"/>
      <c r="J937" s="1"/>
      <c r="K937" s="1"/>
      <c r="L937" s="1"/>
    </row>
    <row r="938" spans="2:12" s="2" customFormat="1" ht="18" customHeight="1">
      <c r="B938" s="77"/>
      <c r="C938" s="3"/>
      <c r="E938" s="24"/>
      <c r="G938" s="24"/>
      <c r="H938" s="24"/>
      <c r="J938" s="1"/>
      <c r="K938" s="1"/>
      <c r="L938" s="1"/>
    </row>
    <row r="939" spans="2:12" s="2" customFormat="1" ht="18" customHeight="1">
      <c r="B939" s="77"/>
      <c r="C939" s="3"/>
      <c r="E939" s="24"/>
      <c r="G939" s="24"/>
      <c r="H939" s="24"/>
      <c r="J939" s="1"/>
      <c r="K939" s="1"/>
      <c r="L939" s="1"/>
    </row>
    <row r="940" spans="2:12" s="2" customFormat="1" ht="18" customHeight="1">
      <c r="B940" s="77"/>
      <c r="C940" s="3"/>
      <c r="E940" s="24"/>
      <c r="G940" s="24"/>
      <c r="H940" s="24"/>
      <c r="J940" s="1"/>
      <c r="K940" s="1"/>
      <c r="L940" s="1"/>
    </row>
    <row r="941" spans="2:12" s="2" customFormat="1" ht="18" customHeight="1">
      <c r="B941" s="77"/>
      <c r="C941" s="3"/>
      <c r="E941" s="24"/>
      <c r="G941" s="24"/>
      <c r="H941" s="24"/>
      <c r="J941" s="1"/>
      <c r="K941" s="1"/>
      <c r="L941" s="1"/>
    </row>
    <row r="942" spans="2:12" s="2" customFormat="1" ht="18" customHeight="1">
      <c r="B942" s="77"/>
      <c r="C942" s="3"/>
      <c r="E942" s="24"/>
      <c r="G942" s="24"/>
      <c r="H942" s="24"/>
      <c r="J942" s="1"/>
      <c r="K942" s="1"/>
      <c r="L942" s="1"/>
    </row>
    <row r="943" spans="2:12" s="2" customFormat="1" ht="18" customHeight="1">
      <c r="B943" s="77"/>
      <c r="C943" s="3"/>
      <c r="E943" s="24"/>
      <c r="G943" s="24"/>
      <c r="H943" s="24"/>
      <c r="J943" s="1"/>
      <c r="K943" s="1"/>
      <c r="L943" s="1"/>
    </row>
    <row r="944" spans="2:12" s="2" customFormat="1" ht="18" customHeight="1">
      <c r="B944" s="77"/>
      <c r="C944" s="3"/>
      <c r="E944" s="24"/>
      <c r="G944" s="24"/>
      <c r="H944" s="24"/>
      <c r="J944" s="1"/>
      <c r="K944" s="1"/>
      <c r="L944" s="1"/>
    </row>
    <row r="945" spans="2:12" s="2" customFormat="1" ht="18" customHeight="1">
      <c r="B945" s="77"/>
      <c r="C945" s="3"/>
      <c r="E945" s="24"/>
      <c r="G945" s="24"/>
      <c r="H945" s="24"/>
      <c r="J945" s="1"/>
      <c r="K945" s="1"/>
      <c r="L945" s="1"/>
    </row>
    <row r="946" spans="2:12" s="2" customFormat="1" ht="18" customHeight="1">
      <c r="B946" s="77"/>
      <c r="C946" s="3"/>
      <c r="E946" s="24"/>
      <c r="G946" s="24"/>
      <c r="H946" s="24"/>
      <c r="J946" s="1"/>
      <c r="K946" s="1"/>
      <c r="L946" s="1"/>
    </row>
    <row r="947" spans="2:12" s="2" customFormat="1" ht="18" customHeight="1">
      <c r="B947" s="77"/>
      <c r="C947" s="3"/>
      <c r="E947" s="24"/>
      <c r="G947" s="24"/>
      <c r="H947" s="24"/>
      <c r="J947" s="1"/>
      <c r="K947" s="1"/>
      <c r="L947" s="1"/>
    </row>
    <row r="948" spans="2:12" s="2" customFormat="1" ht="18" customHeight="1">
      <c r="B948" s="77"/>
      <c r="C948" s="3"/>
      <c r="E948" s="24"/>
      <c r="G948" s="24"/>
      <c r="H948" s="24"/>
      <c r="J948" s="1"/>
      <c r="K948" s="1"/>
      <c r="L948" s="1"/>
    </row>
    <row r="949" spans="2:12" s="2" customFormat="1" ht="18" customHeight="1">
      <c r="B949" s="77"/>
      <c r="C949" s="3"/>
      <c r="E949" s="24"/>
      <c r="G949" s="24"/>
      <c r="H949" s="24"/>
      <c r="J949" s="1"/>
      <c r="K949" s="1"/>
      <c r="L949" s="1"/>
    </row>
    <row r="950" spans="2:12" s="2" customFormat="1" ht="18" customHeight="1">
      <c r="B950" s="77"/>
      <c r="C950" s="3"/>
      <c r="E950" s="24"/>
      <c r="G950" s="24"/>
      <c r="H950" s="24"/>
      <c r="J950" s="1"/>
      <c r="K950" s="1"/>
      <c r="L950" s="1"/>
    </row>
    <row r="951" spans="2:12" s="2" customFormat="1" ht="18" customHeight="1">
      <c r="B951" s="77"/>
      <c r="C951" s="3"/>
      <c r="E951" s="24"/>
      <c r="G951" s="24"/>
      <c r="H951" s="24"/>
      <c r="J951" s="1"/>
      <c r="K951" s="1"/>
      <c r="L951" s="1"/>
    </row>
    <row r="952" spans="2:12" s="2" customFormat="1" ht="18" customHeight="1">
      <c r="B952" s="77"/>
      <c r="C952" s="3"/>
      <c r="E952" s="24"/>
      <c r="G952" s="24"/>
      <c r="H952" s="24"/>
      <c r="J952" s="1"/>
      <c r="K952" s="1"/>
      <c r="L952" s="1"/>
    </row>
    <row r="953" spans="2:12" s="2" customFormat="1" ht="18" customHeight="1">
      <c r="B953" s="77"/>
      <c r="C953" s="3"/>
      <c r="E953" s="24"/>
      <c r="G953" s="24"/>
      <c r="H953" s="24"/>
      <c r="J953" s="1"/>
      <c r="K953" s="1"/>
      <c r="L953" s="1"/>
    </row>
    <row r="954" spans="2:12" s="2" customFormat="1" ht="18" customHeight="1">
      <c r="B954" s="77"/>
      <c r="C954" s="3"/>
      <c r="E954" s="24"/>
      <c r="G954" s="24"/>
      <c r="H954" s="24"/>
      <c r="J954" s="1"/>
      <c r="K954" s="1"/>
      <c r="L954" s="1"/>
    </row>
    <row r="955" spans="2:12" s="2" customFormat="1" ht="18" customHeight="1">
      <c r="B955" s="77"/>
      <c r="C955" s="3"/>
      <c r="E955" s="24"/>
      <c r="G955" s="24"/>
      <c r="H955" s="24"/>
      <c r="J955" s="1"/>
      <c r="K955" s="1"/>
      <c r="L955" s="1"/>
    </row>
    <row r="956" spans="2:12" s="2" customFormat="1" ht="18" customHeight="1">
      <c r="B956" s="77"/>
      <c r="C956" s="3"/>
      <c r="E956" s="24"/>
      <c r="G956" s="24"/>
      <c r="H956" s="24"/>
      <c r="J956" s="1"/>
      <c r="K956" s="1"/>
      <c r="L956" s="1"/>
    </row>
    <row r="957" spans="2:12" s="2" customFormat="1" ht="18" customHeight="1">
      <c r="B957" s="77"/>
      <c r="C957" s="3"/>
      <c r="E957" s="24"/>
      <c r="G957" s="24"/>
      <c r="H957" s="24"/>
      <c r="J957" s="1"/>
      <c r="K957" s="1"/>
      <c r="L957" s="1"/>
    </row>
    <row r="958" spans="2:12" s="2" customFormat="1" ht="18" customHeight="1">
      <c r="B958" s="77"/>
      <c r="C958" s="3"/>
      <c r="E958" s="24"/>
      <c r="G958" s="24"/>
      <c r="H958" s="24"/>
      <c r="J958" s="1"/>
      <c r="K958" s="1"/>
      <c r="L958" s="1"/>
    </row>
    <row r="959" spans="2:12" s="2" customFormat="1" ht="18" customHeight="1">
      <c r="B959" s="77"/>
      <c r="C959" s="3"/>
      <c r="E959" s="24"/>
      <c r="G959" s="24"/>
      <c r="H959" s="24"/>
      <c r="J959" s="1"/>
      <c r="K959" s="1"/>
      <c r="L959" s="1"/>
    </row>
    <row r="960" spans="2:12" s="2" customFormat="1" ht="18" customHeight="1">
      <c r="B960" s="77"/>
      <c r="C960" s="3"/>
      <c r="E960" s="24"/>
      <c r="G960" s="24"/>
      <c r="H960" s="24"/>
      <c r="J960" s="1"/>
      <c r="K960" s="1"/>
      <c r="L960" s="1"/>
    </row>
    <row r="961" spans="2:12" s="2" customFormat="1" ht="18" customHeight="1">
      <c r="B961" s="77"/>
      <c r="C961" s="3"/>
      <c r="E961" s="24"/>
      <c r="G961" s="24"/>
      <c r="H961" s="24"/>
      <c r="J961" s="1"/>
      <c r="K961" s="1"/>
      <c r="L961" s="1"/>
    </row>
    <row r="962" spans="2:12" s="2" customFormat="1" ht="18" customHeight="1">
      <c r="B962" s="77"/>
      <c r="C962" s="3"/>
      <c r="E962" s="24"/>
      <c r="G962" s="24"/>
      <c r="H962" s="24"/>
      <c r="J962" s="1"/>
      <c r="K962" s="1"/>
      <c r="L962" s="1"/>
    </row>
    <row r="963" spans="2:12" s="2" customFormat="1" ht="18" customHeight="1">
      <c r="B963" s="77"/>
      <c r="C963" s="3"/>
      <c r="E963" s="24"/>
      <c r="G963" s="24"/>
      <c r="H963" s="24"/>
      <c r="J963" s="1"/>
      <c r="K963" s="1"/>
      <c r="L963" s="1"/>
    </row>
    <row r="964" spans="2:12" s="2" customFormat="1" ht="18" customHeight="1">
      <c r="B964" s="77"/>
      <c r="C964" s="3"/>
      <c r="E964" s="24"/>
      <c r="G964" s="24"/>
      <c r="H964" s="24"/>
      <c r="J964" s="1"/>
      <c r="K964" s="1"/>
      <c r="L964" s="1"/>
    </row>
    <row r="965" spans="2:12" s="2" customFormat="1" ht="18" customHeight="1">
      <c r="B965" s="77"/>
      <c r="C965" s="3"/>
      <c r="E965" s="24"/>
      <c r="G965" s="24"/>
      <c r="H965" s="24"/>
      <c r="J965" s="1"/>
      <c r="K965" s="1"/>
      <c r="L965" s="1"/>
    </row>
    <row r="966" spans="2:12" s="2" customFormat="1" ht="18" customHeight="1">
      <c r="B966" s="77"/>
      <c r="C966" s="3"/>
      <c r="E966" s="24"/>
      <c r="G966" s="24"/>
      <c r="H966" s="24"/>
      <c r="J966" s="1"/>
      <c r="K966" s="1"/>
      <c r="L966" s="1"/>
    </row>
    <row r="967" spans="2:12" s="2" customFormat="1" ht="18" customHeight="1">
      <c r="B967" s="77"/>
      <c r="C967" s="3"/>
      <c r="E967" s="24"/>
      <c r="G967" s="24"/>
      <c r="H967" s="24"/>
      <c r="J967" s="1"/>
      <c r="K967" s="1"/>
      <c r="L967" s="1"/>
    </row>
    <row r="968" spans="2:12" s="2" customFormat="1" ht="18" customHeight="1">
      <c r="B968" s="77"/>
      <c r="C968" s="3"/>
      <c r="E968" s="24"/>
      <c r="G968" s="24"/>
      <c r="H968" s="24"/>
      <c r="J968" s="1"/>
      <c r="K968" s="1"/>
      <c r="L968" s="1"/>
    </row>
    <row r="969" spans="2:12" s="2" customFormat="1" ht="18" customHeight="1">
      <c r="B969" s="77"/>
      <c r="C969" s="3"/>
      <c r="E969" s="24"/>
      <c r="G969" s="24"/>
      <c r="H969" s="24"/>
      <c r="J969" s="1"/>
      <c r="K969" s="1"/>
      <c r="L969" s="1"/>
    </row>
    <row r="970" spans="2:12" s="2" customFormat="1" ht="18" customHeight="1">
      <c r="B970" s="77"/>
      <c r="C970" s="3"/>
      <c r="E970" s="24"/>
      <c r="G970" s="24"/>
      <c r="H970" s="24"/>
      <c r="J970" s="1"/>
      <c r="K970" s="1"/>
      <c r="L970" s="1"/>
    </row>
    <row r="971" spans="2:12" s="2" customFormat="1" ht="18" customHeight="1">
      <c r="B971" s="77"/>
      <c r="C971" s="3"/>
      <c r="E971" s="24"/>
      <c r="G971" s="24"/>
      <c r="H971" s="24"/>
      <c r="J971" s="1"/>
      <c r="K971" s="1"/>
      <c r="L971" s="1"/>
    </row>
    <row r="972" spans="2:12" s="2" customFormat="1" ht="18" customHeight="1">
      <c r="B972" s="77"/>
      <c r="C972" s="3"/>
      <c r="E972" s="24"/>
      <c r="G972" s="24"/>
      <c r="H972" s="24"/>
      <c r="J972" s="1"/>
      <c r="K972" s="1"/>
      <c r="L972" s="1"/>
    </row>
    <row r="973" spans="2:12" s="2" customFormat="1" ht="18" customHeight="1">
      <c r="B973" s="77"/>
      <c r="C973" s="3"/>
      <c r="E973" s="24"/>
      <c r="G973" s="24"/>
      <c r="H973" s="24"/>
      <c r="J973" s="1"/>
      <c r="K973" s="1"/>
      <c r="L973" s="1"/>
    </row>
    <row r="974" spans="2:12" s="2" customFormat="1" ht="18" customHeight="1">
      <c r="B974" s="77"/>
      <c r="C974" s="3"/>
      <c r="E974" s="24"/>
      <c r="G974" s="24"/>
      <c r="H974" s="24"/>
      <c r="J974" s="1"/>
      <c r="K974" s="1"/>
      <c r="L974" s="1"/>
    </row>
    <row r="975" spans="2:12" s="2" customFormat="1" ht="18" customHeight="1">
      <c r="B975" s="77"/>
      <c r="C975" s="3"/>
      <c r="E975" s="24"/>
      <c r="G975" s="24"/>
      <c r="H975" s="24"/>
      <c r="J975" s="1"/>
      <c r="K975" s="1"/>
      <c r="L975" s="1"/>
    </row>
    <row r="976" spans="2:12" s="2" customFormat="1" ht="18" customHeight="1">
      <c r="B976" s="77"/>
      <c r="C976" s="3"/>
      <c r="E976" s="24"/>
      <c r="G976" s="24"/>
      <c r="H976" s="24"/>
      <c r="J976" s="1"/>
      <c r="K976" s="1"/>
      <c r="L976" s="1"/>
    </row>
    <row r="977" spans="2:12" s="2" customFormat="1" ht="18" customHeight="1">
      <c r="B977" s="77"/>
      <c r="C977" s="3"/>
      <c r="E977" s="24"/>
      <c r="G977" s="24"/>
      <c r="H977" s="24"/>
      <c r="J977" s="1"/>
      <c r="K977" s="1"/>
      <c r="L977" s="1"/>
    </row>
    <row r="978" spans="2:12" s="2" customFormat="1" ht="18" customHeight="1">
      <c r="B978" s="77"/>
      <c r="C978" s="3"/>
      <c r="E978" s="24"/>
      <c r="G978" s="24"/>
      <c r="H978" s="24"/>
      <c r="J978" s="1"/>
      <c r="K978" s="1"/>
      <c r="L978" s="1"/>
    </row>
    <row r="979" spans="2:12" s="2" customFormat="1" ht="18" customHeight="1">
      <c r="B979" s="77"/>
      <c r="C979" s="3"/>
      <c r="E979" s="24"/>
      <c r="G979" s="24"/>
      <c r="H979" s="24"/>
      <c r="J979" s="1"/>
      <c r="K979" s="1"/>
      <c r="L979" s="1"/>
    </row>
    <row r="980" spans="2:12" s="2" customFormat="1" ht="18" customHeight="1">
      <c r="B980" s="77"/>
      <c r="C980" s="3"/>
      <c r="E980" s="24"/>
      <c r="G980" s="24"/>
      <c r="H980" s="24"/>
      <c r="J980" s="1"/>
      <c r="K980" s="1"/>
      <c r="L980" s="1"/>
    </row>
    <row r="981" spans="2:12" s="2" customFormat="1" ht="18" customHeight="1">
      <c r="B981" s="77"/>
      <c r="C981" s="3"/>
      <c r="E981" s="24"/>
      <c r="G981" s="24"/>
      <c r="H981" s="24"/>
      <c r="J981" s="1"/>
      <c r="K981" s="1"/>
      <c r="L981" s="1"/>
    </row>
    <row r="982" spans="2:12" s="2" customFormat="1" ht="18" customHeight="1">
      <c r="B982" s="77"/>
      <c r="C982" s="3"/>
      <c r="E982" s="24"/>
      <c r="G982" s="24"/>
      <c r="H982" s="24"/>
      <c r="J982" s="1"/>
      <c r="K982" s="1"/>
      <c r="L982" s="1"/>
    </row>
    <row r="983" spans="2:12" s="2" customFormat="1" ht="18" customHeight="1">
      <c r="B983" s="77"/>
      <c r="C983" s="3"/>
      <c r="E983" s="24"/>
      <c r="G983" s="24"/>
      <c r="H983" s="24"/>
      <c r="J983" s="1"/>
      <c r="K983" s="1"/>
      <c r="L983" s="1"/>
    </row>
    <row r="984" spans="2:12" s="2" customFormat="1" ht="18" customHeight="1">
      <c r="B984" s="77"/>
      <c r="C984" s="3"/>
      <c r="E984" s="24"/>
      <c r="G984" s="24"/>
      <c r="H984" s="24"/>
      <c r="J984" s="1"/>
      <c r="K984" s="1"/>
      <c r="L984" s="1"/>
    </row>
    <row r="985" spans="2:12" s="2" customFormat="1" ht="18" customHeight="1">
      <c r="B985" s="77"/>
      <c r="C985" s="3"/>
      <c r="E985" s="24"/>
      <c r="G985" s="24"/>
      <c r="H985" s="24"/>
      <c r="J985" s="1"/>
      <c r="K985" s="1"/>
      <c r="L985" s="1"/>
    </row>
    <row r="986" spans="2:12" s="2" customFormat="1" ht="18" customHeight="1">
      <c r="B986" s="77"/>
      <c r="C986" s="3"/>
      <c r="E986" s="24"/>
      <c r="G986" s="24"/>
      <c r="H986" s="24"/>
      <c r="J986" s="1"/>
      <c r="K986" s="1"/>
      <c r="L986" s="1"/>
    </row>
    <row r="987" spans="2:12" s="2" customFormat="1" ht="18" customHeight="1">
      <c r="B987" s="77"/>
      <c r="C987" s="3"/>
      <c r="E987" s="24"/>
      <c r="G987" s="24"/>
      <c r="H987" s="24"/>
      <c r="J987" s="1"/>
      <c r="K987" s="1"/>
      <c r="L987" s="1"/>
    </row>
    <row r="988" spans="2:12" s="2" customFormat="1" ht="18" customHeight="1">
      <c r="B988" s="77"/>
      <c r="C988" s="3"/>
      <c r="E988" s="24"/>
      <c r="G988" s="24"/>
      <c r="H988" s="24"/>
      <c r="J988" s="1"/>
      <c r="K988" s="1"/>
      <c r="L988" s="1"/>
    </row>
    <row r="989" spans="2:12" s="2" customFormat="1" ht="18" customHeight="1">
      <c r="B989" s="77"/>
      <c r="C989" s="3"/>
      <c r="E989" s="24"/>
      <c r="G989" s="24"/>
      <c r="H989" s="24"/>
      <c r="J989" s="1"/>
      <c r="K989" s="1"/>
      <c r="L989" s="1"/>
    </row>
    <row r="990" spans="2:12" s="2" customFormat="1" ht="18" customHeight="1">
      <c r="B990" s="77"/>
      <c r="C990" s="3"/>
      <c r="E990" s="24"/>
      <c r="G990" s="24"/>
      <c r="H990" s="24"/>
      <c r="J990" s="1"/>
      <c r="K990" s="1"/>
      <c r="L990" s="1"/>
    </row>
    <row r="991" spans="2:12" s="2" customFormat="1" ht="18" customHeight="1">
      <c r="B991" s="77"/>
      <c r="C991" s="3"/>
      <c r="E991" s="24"/>
      <c r="G991" s="24"/>
      <c r="H991" s="24"/>
      <c r="J991" s="1"/>
      <c r="K991" s="1"/>
      <c r="L991" s="1"/>
    </row>
    <row r="992" spans="2:12" s="2" customFormat="1" ht="18" customHeight="1">
      <c r="B992" s="77"/>
      <c r="C992" s="3"/>
      <c r="E992" s="24"/>
      <c r="G992" s="24"/>
      <c r="H992" s="24"/>
      <c r="J992" s="1"/>
      <c r="K992" s="1"/>
      <c r="L992" s="1"/>
    </row>
    <row r="993" spans="2:12" s="2" customFormat="1" ht="18" customHeight="1">
      <c r="B993" s="77"/>
      <c r="C993" s="3"/>
      <c r="E993" s="24"/>
      <c r="G993" s="24"/>
      <c r="H993" s="24"/>
      <c r="J993" s="1"/>
      <c r="K993" s="1"/>
      <c r="L993" s="1"/>
    </row>
    <row r="994" spans="2:12" s="2" customFormat="1" ht="18" customHeight="1">
      <c r="B994" s="77"/>
      <c r="C994" s="3"/>
      <c r="E994" s="24"/>
      <c r="G994" s="24"/>
      <c r="H994" s="24"/>
      <c r="J994" s="1"/>
      <c r="K994" s="1"/>
      <c r="L994" s="1"/>
    </row>
    <row r="995" spans="2:12" s="2" customFormat="1" ht="18" customHeight="1">
      <c r="B995" s="77"/>
      <c r="C995" s="3"/>
      <c r="E995" s="24"/>
      <c r="G995" s="24"/>
      <c r="H995" s="24"/>
      <c r="J995" s="1"/>
      <c r="K995" s="1"/>
      <c r="L995" s="1"/>
    </row>
    <row r="996" spans="2:12" s="2" customFormat="1" ht="18" customHeight="1">
      <c r="B996" s="77"/>
      <c r="C996" s="3"/>
      <c r="E996" s="24"/>
      <c r="G996" s="24"/>
      <c r="H996" s="24"/>
      <c r="J996" s="1"/>
      <c r="K996" s="1"/>
      <c r="L996" s="1"/>
    </row>
    <row r="997" spans="2:12" s="2" customFormat="1" ht="18" customHeight="1">
      <c r="B997" s="77"/>
      <c r="C997" s="3"/>
      <c r="E997" s="24"/>
      <c r="G997" s="24"/>
      <c r="H997" s="24"/>
      <c r="J997" s="1"/>
      <c r="K997" s="1"/>
      <c r="L997" s="1"/>
    </row>
    <row r="998" spans="2:12" s="2" customFormat="1" ht="18" customHeight="1">
      <c r="B998" s="77"/>
      <c r="C998" s="3"/>
      <c r="E998" s="24"/>
      <c r="G998" s="24"/>
      <c r="H998" s="24"/>
      <c r="J998" s="1"/>
      <c r="K998" s="1"/>
      <c r="L998" s="1"/>
    </row>
    <row r="999" spans="2:12" s="2" customFormat="1" ht="18" customHeight="1">
      <c r="B999" s="77"/>
      <c r="C999" s="3"/>
      <c r="E999" s="24"/>
      <c r="G999" s="24"/>
      <c r="H999" s="24"/>
      <c r="J999" s="1"/>
      <c r="K999" s="1"/>
      <c r="L999" s="1"/>
    </row>
    <row r="1000" spans="2:12" s="2" customFormat="1" ht="18" customHeight="1">
      <c r="B1000" s="77"/>
      <c r="C1000" s="3"/>
      <c r="E1000" s="24"/>
      <c r="G1000" s="24"/>
      <c r="H1000" s="24"/>
      <c r="J1000" s="1"/>
      <c r="K1000" s="1"/>
      <c r="L1000" s="1"/>
    </row>
    <row r="1001" spans="2:12" s="2" customFormat="1" ht="18" customHeight="1">
      <c r="B1001" s="77"/>
      <c r="C1001" s="3"/>
      <c r="E1001" s="24"/>
      <c r="G1001" s="24"/>
      <c r="H1001" s="24"/>
      <c r="J1001" s="1"/>
      <c r="K1001" s="1"/>
      <c r="L1001" s="1"/>
    </row>
    <row r="1002" spans="2:12" s="2" customFormat="1" ht="18" customHeight="1">
      <c r="B1002" s="77"/>
      <c r="C1002" s="3"/>
      <c r="E1002" s="24"/>
      <c r="G1002" s="24"/>
      <c r="H1002" s="24"/>
      <c r="J1002" s="1"/>
      <c r="K1002" s="1"/>
      <c r="L1002" s="1"/>
    </row>
    <row r="1003" spans="2:12" s="2" customFormat="1" ht="18" customHeight="1">
      <c r="B1003" s="77"/>
      <c r="C1003" s="3"/>
      <c r="E1003" s="24"/>
      <c r="G1003" s="24"/>
      <c r="H1003" s="24"/>
      <c r="J1003" s="1"/>
      <c r="K1003" s="1"/>
      <c r="L1003" s="1"/>
    </row>
    <row r="1004" spans="2:12" s="2" customFormat="1" ht="18" customHeight="1">
      <c r="B1004" s="77"/>
      <c r="C1004" s="3"/>
      <c r="E1004" s="24"/>
      <c r="G1004" s="24"/>
      <c r="H1004" s="24"/>
      <c r="J1004" s="1"/>
      <c r="K1004" s="1"/>
      <c r="L1004" s="1"/>
    </row>
    <row r="1005" spans="2:12" s="2" customFormat="1" ht="18" customHeight="1">
      <c r="B1005" s="77"/>
      <c r="C1005" s="3"/>
      <c r="E1005" s="24"/>
      <c r="G1005" s="24"/>
      <c r="H1005" s="24"/>
      <c r="J1005" s="1"/>
      <c r="K1005" s="1"/>
      <c r="L1005" s="1"/>
    </row>
    <row r="1006" spans="2:12" s="2" customFormat="1" ht="18" customHeight="1">
      <c r="B1006" s="77"/>
      <c r="C1006" s="3"/>
      <c r="E1006" s="24"/>
      <c r="G1006" s="24"/>
      <c r="H1006" s="24"/>
      <c r="J1006" s="1"/>
      <c r="K1006" s="1"/>
      <c r="L1006" s="1"/>
    </row>
    <row r="1007" spans="2:12" s="2" customFormat="1" ht="18" customHeight="1">
      <c r="B1007" s="77"/>
      <c r="C1007" s="3"/>
      <c r="E1007" s="24"/>
      <c r="G1007" s="24"/>
      <c r="H1007" s="24"/>
      <c r="J1007" s="1"/>
      <c r="K1007" s="1"/>
      <c r="L1007" s="1"/>
    </row>
    <row r="1008" spans="2:12" s="2" customFormat="1" ht="18" customHeight="1">
      <c r="B1008" s="77"/>
      <c r="C1008" s="3"/>
      <c r="E1008" s="24"/>
      <c r="G1008" s="24"/>
      <c r="H1008" s="24"/>
      <c r="J1008" s="1"/>
      <c r="K1008" s="1"/>
      <c r="L1008" s="1"/>
    </row>
    <row r="1009" spans="2:12" s="2" customFormat="1" ht="18" customHeight="1">
      <c r="B1009" s="77"/>
      <c r="C1009" s="3"/>
      <c r="E1009" s="24"/>
      <c r="G1009" s="24"/>
      <c r="H1009" s="24"/>
      <c r="J1009" s="1"/>
      <c r="K1009" s="1"/>
      <c r="L1009" s="1"/>
    </row>
    <row r="1010" spans="2:12" s="2" customFormat="1" ht="18" customHeight="1">
      <c r="B1010" s="77"/>
      <c r="C1010" s="3"/>
      <c r="E1010" s="24"/>
      <c r="G1010" s="24"/>
      <c r="H1010" s="24"/>
      <c r="J1010" s="1"/>
      <c r="K1010" s="1"/>
      <c r="L1010" s="1"/>
    </row>
    <row r="1011" spans="2:12" s="2" customFormat="1" ht="18" customHeight="1">
      <c r="B1011" s="77"/>
      <c r="C1011" s="3"/>
      <c r="E1011" s="24"/>
      <c r="G1011" s="24"/>
      <c r="H1011" s="24"/>
      <c r="J1011" s="1"/>
      <c r="K1011" s="1"/>
      <c r="L1011" s="1"/>
    </row>
    <row r="1012" spans="2:12" s="2" customFormat="1" ht="18" customHeight="1">
      <c r="B1012" s="77"/>
      <c r="C1012" s="3"/>
      <c r="E1012" s="24"/>
      <c r="G1012" s="24"/>
      <c r="H1012" s="24"/>
      <c r="J1012" s="1"/>
      <c r="K1012" s="1"/>
      <c r="L1012" s="1"/>
    </row>
    <row r="1013" spans="2:12" s="2" customFormat="1" ht="18" customHeight="1">
      <c r="B1013" s="77"/>
      <c r="C1013" s="3"/>
      <c r="E1013" s="24"/>
      <c r="G1013" s="24"/>
      <c r="H1013" s="24"/>
      <c r="J1013" s="1"/>
      <c r="K1013" s="1"/>
      <c r="L1013" s="1"/>
    </row>
    <row r="1014" spans="2:12" s="2" customFormat="1" ht="18" customHeight="1">
      <c r="B1014" s="77"/>
      <c r="C1014" s="3"/>
      <c r="E1014" s="24"/>
      <c r="G1014" s="24"/>
      <c r="H1014" s="24"/>
      <c r="J1014" s="1"/>
      <c r="K1014" s="1"/>
      <c r="L1014" s="1"/>
    </row>
    <row r="1015" spans="2:12" s="2" customFormat="1" ht="18" customHeight="1">
      <c r="B1015" s="77"/>
      <c r="C1015" s="3"/>
      <c r="E1015" s="24"/>
      <c r="G1015" s="24"/>
      <c r="H1015" s="24"/>
      <c r="J1015" s="1"/>
      <c r="K1015" s="1"/>
      <c r="L1015" s="1"/>
    </row>
    <row r="1016" spans="2:12" s="2" customFormat="1" ht="18" customHeight="1">
      <c r="B1016" s="77"/>
      <c r="C1016" s="3"/>
      <c r="E1016" s="24"/>
      <c r="G1016" s="24"/>
      <c r="H1016" s="24"/>
      <c r="J1016" s="1"/>
      <c r="K1016" s="1"/>
      <c r="L1016" s="1"/>
    </row>
    <row r="1017" spans="2:12" s="2" customFormat="1" ht="18" customHeight="1">
      <c r="B1017" s="77"/>
      <c r="C1017" s="3"/>
      <c r="E1017" s="24"/>
      <c r="G1017" s="24"/>
      <c r="H1017" s="24"/>
      <c r="J1017" s="1"/>
      <c r="K1017" s="1"/>
      <c r="L1017" s="1"/>
    </row>
    <row r="1018" spans="2:12" s="2" customFormat="1" ht="18" customHeight="1">
      <c r="B1018" s="77"/>
      <c r="C1018" s="3"/>
      <c r="E1018" s="24"/>
      <c r="G1018" s="24"/>
      <c r="H1018" s="24"/>
      <c r="J1018" s="1"/>
      <c r="K1018" s="1"/>
      <c r="L1018" s="1"/>
    </row>
    <row r="1019" spans="2:12" s="2" customFormat="1" ht="18" customHeight="1">
      <c r="B1019" s="77"/>
      <c r="C1019" s="3"/>
      <c r="E1019" s="24"/>
      <c r="G1019" s="24"/>
      <c r="H1019" s="24"/>
      <c r="J1019" s="1"/>
      <c r="K1019" s="1"/>
      <c r="L1019" s="1"/>
    </row>
    <row r="1020" spans="2:12" s="2" customFormat="1" ht="18" customHeight="1">
      <c r="B1020" s="77"/>
      <c r="C1020" s="3"/>
      <c r="E1020" s="24"/>
      <c r="G1020" s="24"/>
      <c r="H1020" s="24"/>
      <c r="J1020" s="1"/>
      <c r="K1020" s="1"/>
      <c r="L1020" s="1"/>
    </row>
    <row r="1021" spans="2:12" s="2" customFormat="1" ht="18" customHeight="1">
      <c r="B1021" s="77"/>
      <c r="C1021" s="3"/>
      <c r="E1021" s="24"/>
      <c r="G1021" s="24"/>
      <c r="H1021" s="24"/>
      <c r="J1021" s="1"/>
      <c r="K1021" s="1"/>
      <c r="L1021" s="1"/>
    </row>
    <row r="1022" spans="2:12" s="2" customFormat="1" ht="18" customHeight="1">
      <c r="B1022" s="77"/>
      <c r="C1022" s="3"/>
      <c r="E1022" s="24"/>
      <c r="G1022" s="24"/>
      <c r="H1022" s="24"/>
      <c r="J1022" s="1"/>
      <c r="K1022" s="1"/>
      <c r="L1022" s="1"/>
    </row>
    <row r="1023" spans="2:12" s="2" customFormat="1" ht="18" customHeight="1">
      <c r="B1023" s="77"/>
      <c r="C1023" s="3"/>
      <c r="E1023" s="24"/>
      <c r="G1023" s="24"/>
      <c r="H1023" s="24"/>
      <c r="J1023" s="1"/>
      <c r="K1023" s="1"/>
      <c r="L1023" s="1"/>
    </row>
    <row r="1024" spans="2:12" s="2" customFormat="1" ht="18" customHeight="1">
      <c r="B1024" s="77"/>
      <c r="C1024" s="3"/>
      <c r="E1024" s="24"/>
      <c r="G1024" s="24"/>
      <c r="H1024" s="24"/>
      <c r="J1024" s="1"/>
      <c r="K1024" s="1"/>
      <c r="L1024" s="1"/>
    </row>
    <row r="1025" spans="2:12" s="2" customFormat="1" ht="18" customHeight="1">
      <c r="B1025" s="77"/>
      <c r="C1025" s="3"/>
      <c r="E1025" s="24"/>
      <c r="G1025" s="24"/>
      <c r="H1025" s="24"/>
      <c r="J1025" s="1"/>
      <c r="K1025" s="1"/>
      <c r="L1025" s="1"/>
    </row>
    <row r="1026" spans="2:12" s="2" customFormat="1" ht="18" customHeight="1">
      <c r="B1026" s="77"/>
      <c r="C1026" s="3"/>
      <c r="E1026" s="24"/>
      <c r="G1026" s="24"/>
      <c r="H1026" s="24"/>
      <c r="J1026" s="1"/>
      <c r="K1026" s="1"/>
      <c r="L1026" s="1"/>
    </row>
    <row r="1027" spans="2:12" s="2" customFormat="1" ht="18" customHeight="1">
      <c r="B1027" s="77"/>
      <c r="C1027" s="3"/>
      <c r="E1027" s="24"/>
      <c r="G1027" s="24"/>
      <c r="H1027" s="24"/>
      <c r="J1027" s="1"/>
      <c r="K1027" s="1"/>
      <c r="L1027" s="1"/>
    </row>
    <row r="1028" spans="2:12" s="2" customFormat="1" ht="18" customHeight="1">
      <c r="B1028" s="77"/>
      <c r="C1028" s="3"/>
      <c r="E1028" s="24"/>
      <c r="G1028" s="24"/>
      <c r="H1028" s="24"/>
      <c r="J1028" s="1"/>
      <c r="K1028" s="1"/>
      <c r="L1028" s="1"/>
    </row>
    <row r="1029" spans="2:12" s="2" customFormat="1" ht="18" customHeight="1">
      <c r="B1029" s="77"/>
      <c r="C1029" s="3"/>
      <c r="E1029" s="24"/>
      <c r="G1029" s="24"/>
      <c r="H1029" s="24"/>
      <c r="J1029" s="1"/>
      <c r="K1029" s="1"/>
      <c r="L1029" s="1"/>
    </row>
    <row r="1030" spans="2:12" s="2" customFormat="1" ht="18" customHeight="1">
      <c r="B1030" s="77"/>
      <c r="C1030" s="3"/>
      <c r="E1030" s="24"/>
      <c r="G1030" s="24"/>
      <c r="H1030" s="24"/>
      <c r="J1030" s="1"/>
      <c r="K1030" s="1"/>
      <c r="L1030" s="1"/>
    </row>
    <row r="1031" spans="2:12" s="2" customFormat="1" ht="18" customHeight="1">
      <c r="B1031" s="77"/>
      <c r="C1031" s="3"/>
      <c r="E1031" s="24"/>
      <c r="G1031" s="24"/>
      <c r="H1031" s="24"/>
      <c r="J1031" s="1"/>
      <c r="K1031" s="1"/>
      <c r="L1031" s="1"/>
    </row>
    <row r="1032" spans="2:12" s="2" customFormat="1" ht="18" customHeight="1">
      <c r="B1032" s="77"/>
      <c r="C1032" s="3"/>
      <c r="E1032" s="24"/>
      <c r="G1032" s="24"/>
      <c r="H1032" s="24"/>
      <c r="J1032" s="1"/>
      <c r="K1032" s="1"/>
      <c r="L1032" s="1"/>
    </row>
    <row r="1033" spans="2:12" s="2" customFormat="1" ht="18" customHeight="1">
      <c r="B1033" s="77"/>
      <c r="C1033" s="3"/>
      <c r="E1033" s="24"/>
      <c r="G1033" s="24"/>
      <c r="H1033" s="24"/>
      <c r="J1033" s="1"/>
      <c r="K1033" s="1"/>
      <c r="L1033" s="1"/>
    </row>
    <row r="1034" spans="2:12" s="2" customFormat="1" ht="18" customHeight="1">
      <c r="B1034" s="77"/>
      <c r="C1034" s="3"/>
      <c r="E1034" s="24"/>
      <c r="G1034" s="24"/>
      <c r="H1034" s="24"/>
      <c r="J1034" s="1"/>
      <c r="K1034" s="1"/>
      <c r="L1034" s="1"/>
    </row>
    <row r="1035" spans="2:12" s="2" customFormat="1" ht="18" customHeight="1">
      <c r="B1035" s="77"/>
      <c r="C1035" s="3"/>
      <c r="E1035" s="24"/>
      <c r="G1035" s="24"/>
      <c r="H1035" s="24"/>
      <c r="J1035" s="1"/>
      <c r="K1035" s="1"/>
      <c r="L1035" s="1"/>
    </row>
    <row r="1036" spans="2:12" s="2" customFormat="1" ht="18" customHeight="1">
      <c r="B1036" s="77"/>
      <c r="C1036" s="3"/>
      <c r="E1036" s="24"/>
      <c r="G1036" s="24"/>
      <c r="H1036" s="24"/>
      <c r="J1036" s="1"/>
      <c r="K1036" s="1"/>
      <c r="L1036" s="1"/>
    </row>
    <row r="1037" spans="2:12" s="2" customFormat="1" ht="18" customHeight="1">
      <c r="B1037" s="77"/>
      <c r="C1037" s="3"/>
      <c r="E1037" s="24"/>
      <c r="G1037" s="24"/>
      <c r="H1037" s="24"/>
      <c r="J1037" s="1"/>
      <c r="K1037" s="1"/>
      <c r="L1037" s="1"/>
    </row>
    <row r="1038" spans="2:12" s="2" customFormat="1" ht="18" customHeight="1">
      <c r="B1038" s="77"/>
      <c r="C1038" s="3"/>
      <c r="E1038" s="24"/>
      <c r="G1038" s="24"/>
      <c r="H1038" s="24"/>
      <c r="J1038" s="1"/>
      <c r="K1038" s="1"/>
      <c r="L1038" s="1"/>
    </row>
    <row r="1039" spans="2:12" s="2" customFormat="1" ht="18" customHeight="1">
      <c r="B1039" s="77"/>
      <c r="C1039" s="3"/>
      <c r="E1039" s="24"/>
      <c r="G1039" s="24"/>
      <c r="H1039" s="24"/>
      <c r="J1039" s="1"/>
      <c r="K1039" s="1"/>
      <c r="L1039" s="1"/>
    </row>
    <row r="1040" spans="2:12" s="2" customFormat="1" ht="18" customHeight="1">
      <c r="B1040" s="77"/>
      <c r="C1040" s="3"/>
      <c r="E1040" s="24"/>
      <c r="G1040" s="24"/>
      <c r="H1040" s="24"/>
      <c r="J1040" s="1"/>
      <c r="K1040" s="1"/>
      <c r="L1040" s="1"/>
    </row>
    <row r="1041" spans="2:12" s="2" customFormat="1" ht="18" customHeight="1">
      <c r="B1041" s="77"/>
      <c r="C1041" s="3"/>
      <c r="E1041" s="24"/>
      <c r="G1041" s="24"/>
      <c r="H1041" s="24"/>
      <c r="J1041" s="1"/>
      <c r="K1041" s="1"/>
      <c r="L1041" s="1"/>
    </row>
    <row r="1042" spans="2:12" s="2" customFormat="1" ht="18" customHeight="1">
      <c r="B1042" s="77"/>
      <c r="C1042" s="3"/>
      <c r="E1042" s="24"/>
      <c r="G1042" s="24"/>
      <c r="H1042" s="24"/>
      <c r="J1042" s="1"/>
      <c r="K1042" s="1"/>
      <c r="L1042" s="1"/>
    </row>
    <row r="1043" spans="2:12" s="2" customFormat="1" ht="18" customHeight="1">
      <c r="B1043" s="77"/>
      <c r="C1043" s="3"/>
      <c r="E1043" s="24"/>
      <c r="G1043" s="24"/>
      <c r="H1043" s="24"/>
      <c r="J1043" s="1"/>
      <c r="K1043" s="1"/>
      <c r="L1043" s="1"/>
    </row>
    <row r="1044" spans="2:12" s="2" customFormat="1" ht="18" customHeight="1">
      <c r="B1044" s="77"/>
      <c r="C1044" s="3"/>
      <c r="E1044" s="24"/>
      <c r="G1044" s="24"/>
      <c r="H1044" s="24"/>
      <c r="J1044" s="1"/>
      <c r="K1044" s="1"/>
      <c r="L1044" s="1"/>
    </row>
    <row r="1045" spans="2:12" s="2" customFormat="1" ht="18" customHeight="1">
      <c r="B1045" s="77"/>
      <c r="C1045" s="3"/>
      <c r="E1045" s="24"/>
      <c r="G1045" s="24"/>
      <c r="H1045" s="24"/>
      <c r="J1045" s="1"/>
      <c r="K1045" s="1"/>
      <c r="L1045" s="1"/>
    </row>
    <row r="1046" spans="2:12" s="2" customFormat="1" ht="18" customHeight="1">
      <c r="B1046" s="77"/>
      <c r="C1046" s="3"/>
      <c r="E1046" s="24"/>
      <c r="G1046" s="24"/>
      <c r="H1046" s="24"/>
      <c r="J1046" s="1"/>
      <c r="K1046" s="1"/>
      <c r="L1046" s="1"/>
    </row>
    <row r="1047" spans="2:12" s="2" customFormat="1" ht="18" customHeight="1">
      <c r="B1047" s="77"/>
      <c r="C1047" s="3"/>
      <c r="E1047" s="24"/>
      <c r="G1047" s="24"/>
      <c r="H1047" s="24"/>
      <c r="J1047" s="1"/>
      <c r="K1047" s="1"/>
      <c r="L1047" s="1"/>
    </row>
    <row r="1048" spans="2:12" s="2" customFormat="1" ht="18" customHeight="1">
      <c r="B1048" s="77"/>
      <c r="C1048" s="3"/>
      <c r="E1048" s="24"/>
      <c r="G1048" s="24"/>
      <c r="H1048" s="24"/>
      <c r="J1048" s="1"/>
      <c r="K1048" s="1"/>
      <c r="L1048" s="1"/>
    </row>
    <row r="1049" spans="2:12" s="2" customFormat="1" ht="18" customHeight="1">
      <c r="B1049" s="77"/>
      <c r="C1049" s="3"/>
      <c r="E1049" s="24"/>
      <c r="G1049" s="24"/>
      <c r="H1049" s="24"/>
      <c r="J1049" s="1"/>
      <c r="K1049" s="1"/>
      <c r="L1049" s="1"/>
    </row>
    <row r="1050" spans="2:12" s="2" customFormat="1" ht="18" customHeight="1">
      <c r="B1050" s="77"/>
      <c r="C1050" s="3"/>
      <c r="E1050" s="24"/>
      <c r="G1050" s="24"/>
      <c r="H1050" s="24"/>
      <c r="J1050" s="1"/>
      <c r="K1050" s="1"/>
      <c r="L1050" s="1"/>
    </row>
    <row r="1051" spans="2:12" s="2" customFormat="1" ht="18" customHeight="1">
      <c r="B1051" s="77"/>
      <c r="C1051" s="3"/>
      <c r="E1051" s="24"/>
      <c r="G1051" s="24"/>
      <c r="H1051" s="24"/>
      <c r="J1051" s="1"/>
      <c r="K1051" s="1"/>
      <c r="L1051" s="1"/>
    </row>
    <row r="1052" spans="2:12" s="2" customFormat="1" ht="18" customHeight="1">
      <c r="B1052" s="77"/>
      <c r="C1052" s="3"/>
      <c r="E1052" s="24"/>
      <c r="G1052" s="24"/>
      <c r="H1052" s="24"/>
      <c r="J1052" s="1"/>
      <c r="K1052" s="1"/>
      <c r="L1052" s="1"/>
    </row>
    <row r="1053" spans="2:12" s="2" customFormat="1" ht="18" customHeight="1">
      <c r="B1053" s="77"/>
      <c r="C1053" s="3"/>
      <c r="E1053" s="24"/>
      <c r="G1053" s="24"/>
      <c r="H1053" s="24"/>
      <c r="J1053" s="1"/>
      <c r="K1053" s="1"/>
      <c r="L1053" s="1"/>
    </row>
    <row r="1054" spans="2:12" s="2" customFormat="1" ht="18" customHeight="1">
      <c r="B1054" s="77"/>
      <c r="C1054" s="3"/>
      <c r="E1054" s="24"/>
      <c r="G1054" s="24"/>
      <c r="H1054" s="24"/>
      <c r="J1054" s="1"/>
      <c r="K1054" s="1"/>
      <c r="L1054" s="1"/>
    </row>
    <row r="1055" spans="2:12" s="2" customFormat="1" ht="18" customHeight="1">
      <c r="B1055" s="77"/>
      <c r="C1055" s="3"/>
      <c r="E1055" s="24"/>
      <c r="G1055" s="24"/>
      <c r="H1055" s="24"/>
      <c r="J1055" s="1"/>
      <c r="K1055" s="1"/>
      <c r="L1055" s="1"/>
    </row>
    <row r="1056" spans="2:12" s="2" customFormat="1" ht="18" customHeight="1">
      <c r="B1056" s="77"/>
      <c r="C1056" s="3"/>
      <c r="E1056" s="24"/>
      <c r="G1056" s="24"/>
      <c r="H1056" s="24"/>
      <c r="J1056" s="1"/>
      <c r="K1056" s="1"/>
      <c r="L1056" s="1"/>
    </row>
    <row r="1057" spans="2:12" s="2" customFormat="1" ht="18" customHeight="1">
      <c r="B1057" s="77"/>
      <c r="C1057" s="3"/>
      <c r="E1057" s="24"/>
      <c r="G1057" s="24"/>
      <c r="H1057" s="24"/>
      <c r="J1057" s="1"/>
      <c r="K1057" s="1"/>
      <c r="L1057" s="1"/>
    </row>
    <row r="1058" spans="2:12" s="2" customFormat="1" ht="18" customHeight="1">
      <c r="B1058" s="77"/>
      <c r="C1058" s="3"/>
      <c r="E1058" s="24"/>
      <c r="G1058" s="24"/>
      <c r="H1058" s="24"/>
      <c r="J1058" s="1"/>
      <c r="K1058" s="1"/>
      <c r="L1058" s="1"/>
    </row>
    <row r="1059" spans="2:12" s="2" customFormat="1" ht="18" customHeight="1">
      <c r="B1059" s="77"/>
      <c r="C1059" s="3"/>
      <c r="E1059" s="24"/>
      <c r="G1059" s="24"/>
      <c r="H1059" s="24"/>
      <c r="J1059" s="1"/>
      <c r="K1059" s="1"/>
      <c r="L1059" s="1"/>
    </row>
    <row r="1060" spans="2:12" s="2" customFormat="1" ht="18" customHeight="1">
      <c r="B1060" s="77"/>
      <c r="C1060" s="3"/>
      <c r="E1060" s="24"/>
      <c r="G1060" s="24"/>
      <c r="H1060" s="24"/>
      <c r="J1060" s="1"/>
      <c r="K1060" s="1"/>
      <c r="L1060" s="1"/>
    </row>
    <row r="1061" spans="2:12" s="2" customFormat="1" ht="18" customHeight="1">
      <c r="B1061" s="77"/>
      <c r="C1061" s="3"/>
      <c r="E1061" s="24"/>
      <c r="G1061" s="24"/>
      <c r="H1061" s="24"/>
      <c r="J1061" s="1"/>
      <c r="K1061" s="1"/>
      <c r="L1061" s="1"/>
    </row>
    <row r="1062" spans="2:12" s="2" customFormat="1" ht="18" customHeight="1">
      <c r="B1062" s="77"/>
      <c r="C1062" s="3"/>
      <c r="E1062" s="24"/>
      <c r="G1062" s="24"/>
      <c r="H1062" s="24"/>
      <c r="J1062" s="1"/>
      <c r="K1062" s="1"/>
      <c r="L1062" s="1"/>
    </row>
    <row r="1063" spans="2:12" s="2" customFormat="1" ht="18" customHeight="1">
      <c r="B1063" s="77"/>
      <c r="C1063" s="3"/>
      <c r="E1063" s="24"/>
      <c r="G1063" s="24"/>
      <c r="H1063" s="24"/>
      <c r="J1063" s="1"/>
      <c r="K1063" s="1"/>
      <c r="L1063" s="1"/>
    </row>
    <row r="1064" spans="2:12" s="2" customFormat="1" ht="18" customHeight="1">
      <c r="B1064" s="77"/>
      <c r="C1064" s="3"/>
      <c r="E1064" s="24"/>
      <c r="G1064" s="24"/>
      <c r="H1064" s="24"/>
      <c r="J1064" s="1"/>
      <c r="K1064" s="1"/>
      <c r="L1064" s="1"/>
    </row>
    <row r="1065" spans="2:12" s="2" customFormat="1" ht="18" customHeight="1">
      <c r="B1065" s="77"/>
      <c r="C1065" s="3"/>
      <c r="E1065" s="24"/>
      <c r="G1065" s="24"/>
      <c r="H1065" s="24"/>
      <c r="J1065" s="1"/>
      <c r="K1065" s="1"/>
      <c r="L1065" s="1"/>
    </row>
    <row r="1066" spans="2:12" s="2" customFormat="1" ht="18" customHeight="1">
      <c r="B1066" s="77"/>
      <c r="C1066" s="3"/>
      <c r="E1066" s="24"/>
      <c r="G1066" s="24"/>
      <c r="H1066" s="24"/>
      <c r="J1066" s="1"/>
      <c r="K1066" s="1"/>
      <c r="L1066" s="1"/>
    </row>
    <row r="1067" spans="2:12" s="2" customFormat="1" ht="18" customHeight="1">
      <c r="B1067" s="77"/>
      <c r="C1067" s="3"/>
      <c r="E1067" s="24"/>
      <c r="G1067" s="24"/>
      <c r="H1067" s="24"/>
      <c r="J1067" s="1"/>
      <c r="K1067" s="1"/>
      <c r="L1067" s="1"/>
    </row>
    <row r="1068" spans="2:12" s="2" customFormat="1" ht="18" customHeight="1">
      <c r="B1068" s="77"/>
      <c r="C1068" s="3"/>
      <c r="E1068" s="24"/>
      <c r="G1068" s="24"/>
      <c r="H1068" s="24"/>
      <c r="J1068" s="1"/>
      <c r="K1068" s="1"/>
      <c r="L1068" s="1"/>
    </row>
    <row r="1069" spans="2:12" s="2" customFormat="1" ht="18" customHeight="1">
      <c r="B1069" s="77"/>
      <c r="C1069" s="3"/>
      <c r="E1069" s="24"/>
      <c r="G1069" s="24"/>
      <c r="H1069" s="24"/>
      <c r="J1069" s="1"/>
      <c r="K1069" s="1"/>
      <c r="L1069" s="1"/>
    </row>
    <row r="1070" spans="2:12" s="2" customFormat="1" ht="18" customHeight="1">
      <c r="B1070" s="77"/>
      <c r="C1070" s="3"/>
      <c r="E1070" s="24"/>
      <c r="G1070" s="24"/>
      <c r="H1070" s="24"/>
      <c r="J1070" s="1"/>
      <c r="K1070" s="1"/>
      <c r="L1070" s="1"/>
    </row>
    <row r="1071" spans="2:12" s="2" customFormat="1" ht="18" customHeight="1">
      <c r="B1071" s="77"/>
      <c r="C1071" s="3"/>
      <c r="E1071" s="24"/>
      <c r="G1071" s="24"/>
      <c r="H1071" s="24"/>
      <c r="J1071" s="1"/>
      <c r="K1071" s="1"/>
      <c r="L1071" s="1"/>
    </row>
    <row r="1072" spans="2:12" s="2" customFormat="1" ht="18" customHeight="1">
      <c r="B1072" s="77"/>
      <c r="C1072" s="3"/>
      <c r="E1072" s="24"/>
      <c r="G1072" s="24"/>
      <c r="H1072" s="24"/>
      <c r="J1072" s="1"/>
      <c r="K1072" s="1"/>
      <c r="L1072" s="1"/>
    </row>
    <row r="1073" spans="2:12" s="2" customFormat="1" ht="18" customHeight="1">
      <c r="B1073" s="77"/>
      <c r="C1073" s="3"/>
      <c r="E1073" s="24"/>
      <c r="G1073" s="24"/>
      <c r="H1073" s="24"/>
      <c r="J1073" s="1"/>
      <c r="K1073" s="1"/>
      <c r="L1073" s="1"/>
    </row>
    <row r="1074" spans="2:12" s="2" customFormat="1" ht="18" customHeight="1">
      <c r="B1074" s="77"/>
      <c r="C1074" s="3"/>
      <c r="E1074" s="24"/>
      <c r="G1074" s="24"/>
      <c r="H1074" s="24"/>
      <c r="J1074" s="1"/>
      <c r="K1074" s="1"/>
      <c r="L1074" s="1"/>
    </row>
    <row r="1075" spans="2:12" s="2" customFormat="1" ht="18" customHeight="1">
      <c r="B1075" s="77"/>
      <c r="C1075" s="3"/>
      <c r="E1075" s="24"/>
      <c r="G1075" s="24"/>
      <c r="H1075" s="24"/>
      <c r="J1075" s="1"/>
      <c r="K1075" s="1"/>
      <c r="L1075" s="1"/>
    </row>
    <row r="1076" spans="2:12" s="2" customFormat="1" ht="18" customHeight="1">
      <c r="B1076" s="77"/>
      <c r="C1076" s="3"/>
      <c r="E1076" s="24"/>
      <c r="G1076" s="24"/>
      <c r="H1076" s="24"/>
      <c r="J1076" s="1"/>
      <c r="K1076" s="1"/>
      <c r="L1076" s="1"/>
    </row>
    <row r="1077" spans="2:12" s="2" customFormat="1" ht="18" customHeight="1">
      <c r="B1077" s="77"/>
      <c r="C1077" s="3"/>
      <c r="E1077" s="24"/>
      <c r="G1077" s="24"/>
      <c r="H1077" s="24"/>
      <c r="J1077" s="1"/>
      <c r="K1077" s="1"/>
      <c r="L1077" s="1"/>
    </row>
    <row r="1078" spans="2:12" s="2" customFormat="1" ht="18" customHeight="1">
      <c r="B1078" s="77"/>
      <c r="C1078" s="3"/>
      <c r="E1078" s="24"/>
      <c r="G1078" s="24"/>
      <c r="H1078" s="24"/>
      <c r="J1078" s="1"/>
      <c r="K1078" s="1"/>
      <c r="L1078" s="1"/>
    </row>
    <row r="1079" spans="2:12" s="2" customFormat="1" ht="18" customHeight="1">
      <c r="B1079" s="77"/>
      <c r="C1079" s="3"/>
      <c r="E1079" s="24"/>
      <c r="G1079" s="24"/>
      <c r="H1079" s="24"/>
      <c r="J1079" s="1"/>
      <c r="K1079" s="1"/>
      <c r="L1079" s="1"/>
    </row>
    <row r="1080" spans="2:12" s="2" customFormat="1" ht="18" customHeight="1">
      <c r="B1080" s="77"/>
      <c r="C1080" s="3"/>
      <c r="E1080" s="24"/>
      <c r="G1080" s="24"/>
      <c r="H1080" s="24"/>
      <c r="J1080" s="1"/>
      <c r="K1080" s="1"/>
      <c r="L1080" s="1"/>
    </row>
    <row r="1081" spans="2:12" s="2" customFormat="1" ht="18" customHeight="1">
      <c r="B1081" s="77"/>
      <c r="C1081" s="3"/>
      <c r="E1081" s="24"/>
      <c r="G1081" s="24"/>
      <c r="H1081" s="24"/>
      <c r="J1081" s="1"/>
      <c r="K1081" s="1"/>
      <c r="L1081" s="1"/>
    </row>
    <row r="1082" spans="2:12" s="2" customFormat="1" ht="18" customHeight="1">
      <c r="B1082" s="77"/>
      <c r="C1082" s="3"/>
      <c r="E1082" s="24"/>
      <c r="G1082" s="24"/>
      <c r="H1082" s="24"/>
      <c r="J1082" s="1"/>
      <c r="K1082" s="1"/>
      <c r="L1082" s="1"/>
    </row>
    <row r="1083" spans="2:12" s="2" customFormat="1" ht="18" customHeight="1">
      <c r="B1083" s="77"/>
      <c r="C1083" s="3"/>
      <c r="E1083" s="24"/>
      <c r="G1083" s="24"/>
      <c r="H1083" s="24"/>
      <c r="J1083" s="1"/>
      <c r="K1083" s="1"/>
      <c r="L1083" s="1"/>
    </row>
    <row r="1084" spans="2:12" s="2" customFormat="1" ht="18" customHeight="1">
      <c r="B1084" s="77"/>
      <c r="C1084" s="3"/>
      <c r="E1084" s="24"/>
      <c r="G1084" s="24"/>
      <c r="H1084" s="24"/>
      <c r="J1084" s="1"/>
      <c r="K1084" s="1"/>
      <c r="L1084" s="1"/>
    </row>
    <row r="1085" spans="2:12" s="2" customFormat="1" ht="18" customHeight="1">
      <c r="B1085" s="77"/>
      <c r="C1085" s="3"/>
      <c r="E1085" s="24"/>
      <c r="G1085" s="24"/>
      <c r="H1085" s="24"/>
      <c r="J1085" s="1"/>
      <c r="K1085" s="1"/>
      <c r="L1085" s="1"/>
    </row>
    <row r="1086" spans="2:12" s="2" customFormat="1" ht="18" customHeight="1">
      <c r="B1086" s="77"/>
      <c r="C1086" s="3"/>
      <c r="E1086" s="24"/>
      <c r="G1086" s="24"/>
      <c r="H1086" s="24"/>
      <c r="J1086" s="1"/>
      <c r="K1086" s="1"/>
      <c r="L1086" s="1"/>
    </row>
    <row r="1087" spans="2:12" s="2" customFormat="1" ht="18" customHeight="1">
      <c r="B1087" s="77"/>
      <c r="C1087" s="3"/>
      <c r="E1087" s="24"/>
      <c r="G1087" s="24"/>
      <c r="H1087" s="24"/>
      <c r="J1087" s="1"/>
      <c r="K1087" s="1"/>
      <c r="L1087" s="1"/>
    </row>
    <row r="1088" spans="2:12" s="2" customFormat="1" ht="18" customHeight="1">
      <c r="B1088" s="77"/>
      <c r="C1088" s="3"/>
      <c r="E1088" s="24"/>
      <c r="G1088" s="24"/>
      <c r="H1088" s="24"/>
      <c r="J1088" s="1"/>
      <c r="K1088" s="1"/>
      <c r="L1088" s="1"/>
    </row>
    <row r="1089" spans="2:12" s="2" customFormat="1" ht="18" customHeight="1">
      <c r="B1089" s="77"/>
      <c r="C1089" s="3"/>
      <c r="E1089" s="24"/>
      <c r="G1089" s="24"/>
      <c r="H1089" s="24"/>
      <c r="J1089" s="1"/>
      <c r="K1089" s="1"/>
      <c r="L1089" s="1"/>
    </row>
    <row r="1090" spans="2:12" s="2" customFormat="1" ht="18" customHeight="1">
      <c r="B1090" s="77"/>
      <c r="C1090" s="3"/>
      <c r="E1090" s="24"/>
      <c r="G1090" s="24"/>
      <c r="H1090" s="24"/>
      <c r="J1090" s="1"/>
      <c r="K1090" s="1"/>
      <c r="L1090" s="1"/>
    </row>
    <row r="1091" spans="2:12" s="2" customFormat="1" ht="18" customHeight="1">
      <c r="B1091" s="77"/>
      <c r="C1091" s="3"/>
      <c r="E1091" s="24"/>
      <c r="G1091" s="24"/>
      <c r="H1091" s="24"/>
      <c r="J1091" s="1"/>
      <c r="K1091" s="1"/>
      <c r="L1091" s="1"/>
    </row>
    <row r="1092" spans="2:12" s="2" customFormat="1" ht="18" customHeight="1">
      <c r="B1092" s="77"/>
      <c r="C1092" s="3"/>
      <c r="E1092" s="24"/>
      <c r="G1092" s="24"/>
      <c r="H1092" s="24"/>
      <c r="J1092" s="1"/>
      <c r="K1092" s="1"/>
      <c r="L1092" s="1"/>
    </row>
    <row r="1093" spans="2:12" s="2" customFormat="1" ht="18" customHeight="1">
      <c r="B1093" s="77"/>
      <c r="C1093" s="3"/>
      <c r="E1093" s="24"/>
      <c r="G1093" s="24"/>
      <c r="H1093" s="24"/>
      <c r="J1093" s="1"/>
      <c r="K1093" s="1"/>
      <c r="L1093" s="1"/>
    </row>
    <row r="1094" spans="2:12" s="2" customFormat="1" ht="18" customHeight="1">
      <c r="B1094" s="77"/>
      <c r="C1094" s="3"/>
      <c r="E1094" s="24"/>
      <c r="G1094" s="24"/>
      <c r="H1094" s="24"/>
      <c r="J1094" s="1"/>
      <c r="K1094" s="1"/>
      <c r="L1094" s="1"/>
    </row>
    <row r="1095" spans="2:12" s="2" customFormat="1" ht="18" customHeight="1">
      <c r="B1095" s="77"/>
      <c r="C1095" s="3"/>
      <c r="E1095" s="24"/>
      <c r="G1095" s="24"/>
      <c r="H1095" s="24"/>
      <c r="J1095" s="1"/>
      <c r="K1095" s="1"/>
      <c r="L1095" s="1"/>
    </row>
    <row r="1096" spans="2:12" s="2" customFormat="1" ht="18" customHeight="1">
      <c r="B1096" s="77"/>
      <c r="C1096" s="3"/>
      <c r="E1096" s="24"/>
      <c r="G1096" s="24"/>
      <c r="H1096" s="24"/>
      <c r="J1096" s="1"/>
      <c r="K1096" s="1"/>
      <c r="L1096" s="1"/>
    </row>
    <row r="1097" spans="2:12" s="2" customFormat="1" ht="18" customHeight="1">
      <c r="B1097" s="77"/>
      <c r="C1097" s="3"/>
      <c r="E1097" s="24"/>
      <c r="G1097" s="24"/>
      <c r="H1097" s="24"/>
      <c r="J1097" s="1"/>
      <c r="K1097" s="1"/>
      <c r="L1097" s="1"/>
    </row>
    <row r="1098" spans="2:12" s="2" customFormat="1" ht="18" customHeight="1">
      <c r="B1098" s="77"/>
      <c r="C1098" s="3"/>
      <c r="E1098" s="24"/>
      <c r="G1098" s="24"/>
      <c r="H1098" s="24"/>
      <c r="J1098" s="1"/>
      <c r="K1098" s="1"/>
      <c r="L1098" s="1"/>
    </row>
    <row r="1099" spans="2:12" s="2" customFormat="1" ht="18" customHeight="1">
      <c r="B1099" s="77"/>
      <c r="C1099" s="3"/>
      <c r="E1099" s="24"/>
      <c r="G1099" s="24"/>
      <c r="H1099" s="24"/>
      <c r="J1099" s="1"/>
      <c r="K1099" s="1"/>
      <c r="L1099" s="1"/>
    </row>
    <row r="1100" spans="2:12" s="2" customFormat="1" ht="18" customHeight="1">
      <c r="B1100" s="77"/>
      <c r="C1100" s="3"/>
      <c r="E1100" s="24"/>
      <c r="G1100" s="24"/>
      <c r="H1100" s="24"/>
      <c r="J1100" s="1"/>
      <c r="K1100" s="1"/>
      <c r="L1100" s="1"/>
    </row>
    <row r="1101" spans="2:12" s="2" customFormat="1" ht="18" customHeight="1">
      <c r="B1101" s="77"/>
      <c r="C1101" s="3"/>
      <c r="E1101" s="24"/>
      <c r="G1101" s="24"/>
      <c r="H1101" s="24"/>
      <c r="J1101" s="1"/>
      <c r="K1101" s="1"/>
      <c r="L1101" s="1"/>
    </row>
    <row r="1102" spans="2:12" s="2" customFormat="1" ht="18" customHeight="1">
      <c r="B1102" s="77"/>
      <c r="C1102" s="3"/>
      <c r="E1102" s="24"/>
      <c r="G1102" s="24"/>
      <c r="H1102" s="24"/>
      <c r="J1102" s="1"/>
      <c r="K1102" s="1"/>
      <c r="L1102" s="1"/>
    </row>
    <row r="1103" spans="2:12" s="2" customFormat="1" ht="18" customHeight="1">
      <c r="B1103" s="77"/>
      <c r="C1103" s="3"/>
      <c r="E1103" s="24"/>
      <c r="G1103" s="24"/>
      <c r="H1103" s="24"/>
      <c r="J1103" s="1"/>
      <c r="K1103" s="1"/>
      <c r="L1103" s="1"/>
    </row>
    <row r="1104" spans="2:12" s="2" customFormat="1" ht="18" customHeight="1">
      <c r="B1104" s="77"/>
      <c r="C1104" s="3"/>
      <c r="E1104" s="24"/>
      <c r="G1104" s="24"/>
      <c r="H1104" s="24"/>
      <c r="J1104" s="1"/>
      <c r="K1104" s="1"/>
      <c r="L1104" s="1"/>
    </row>
    <row r="1105" spans="2:12" s="2" customFormat="1" ht="18" customHeight="1">
      <c r="B1105" s="77"/>
      <c r="C1105" s="3"/>
      <c r="E1105" s="24"/>
      <c r="G1105" s="24"/>
      <c r="H1105" s="24"/>
      <c r="J1105" s="1"/>
      <c r="K1105" s="1"/>
      <c r="L1105" s="1"/>
    </row>
    <row r="1106" spans="2:12" s="2" customFormat="1" ht="18" customHeight="1">
      <c r="B1106" s="77"/>
      <c r="C1106" s="3"/>
      <c r="E1106" s="24"/>
      <c r="G1106" s="24"/>
      <c r="H1106" s="24"/>
      <c r="J1106" s="1"/>
      <c r="K1106" s="1"/>
      <c r="L1106" s="1"/>
    </row>
    <row r="1107" spans="2:12" s="2" customFormat="1" ht="18" customHeight="1">
      <c r="B1107" s="77"/>
      <c r="C1107" s="3"/>
      <c r="E1107" s="24"/>
      <c r="G1107" s="24"/>
      <c r="H1107" s="24"/>
      <c r="J1107" s="1"/>
      <c r="K1107" s="1"/>
      <c r="L1107" s="1"/>
    </row>
    <row r="1108" spans="2:12" s="2" customFormat="1" ht="18" customHeight="1">
      <c r="B1108" s="77"/>
      <c r="C1108" s="3"/>
      <c r="E1108" s="24"/>
      <c r="G1108" s="24"/>
      <c r="H1108" s="24"/>
      <c r="J1108" s="1"/>
      <c r="K1108" s="1"/>
      <c r="L1108" s="1"/>
    </row>
    <row r="1109" spans="2:12" s="2" customFormat="1" ht="18" customHeight="1">
      <c r="B1109" s="77"/>
      <c r="C1109" s="3"/>
      <c r="E1109" s="24"/>
      <c r="G1109" s="24"/>
      <c r="H1109" s="24"/>
      <c r="J1109" s="1"/>
      <c r="K1109" s="1"/>
      <c r="L1109" s="1"/>
    </row>
    <row r="1110" spans="2:12" s="2" customFormat="1" ht="18" customHeight="1">
      <c r="B1110" s="77"/>
      <c r="C1110" s="3"/>
      <c r="E1110" s="24"/>
      <c r="G1110" s="24"/>
      <c r="H1110" s="24"/>
      <c r="J1110" s="1"/>
      <c r="K1110" s="1"/>
      <c r="L1110" s="1"/>
    </row>
    <row r="1111" spans="2:12" s="2" customFormat="1" ht="18" customHeight="1">
      <c r="B1111" s="77"/>
      <c r="C1111" s="3"/>
      <c r="E1111" s="24"/>
      <c r="G1111" s="24"/>
      <c r="H1111" s="24"/>
      <c r="J1111" s="1"/>
      <c r="K1111" s="1"/>
      <c r="L1111" s="1"/>
    </row>
    <row r="1112" spans="2:12" s="2" customFormat="1" ht="18" customHeight="1">
      <c r="B1112" s="77"/>
      <c r="C1112" s="3"/>
      <c r="E1112" s="24"/>
      <c r="G1112" s="24"/>
      <c r="H1112" s="24"/>
      <c r="J1112" s="1"/>
      <c r="K1112" s="1"/>
      <c r="L1112" s="1"/>
    </row>
    <row r="1113" spans="2:12" s="2" customFormat="1" ht="18" customHeight="1">
      <c r="B1113" s="77"/>
      <c r="C1113" s="3"/>
      <c r="E1113" s="24"/>
      <c r="G1113" s="24"/>
      <c r="H1113" s="24"/>
      <c r="J1113" s="1"/>
      <c r="K1113" s="1"/>
      <c r="L1113" s="1"/>
    </row>
    <row r="1114" spans="2:12" s="2" customFormat="1" ht="18" customHeight="1">
      <c r="B1114" s="77"/>
      <c r="C1114" s="3"/>
      <c r="E1114" s="24"/>
      <c r="G1114" s="24"/>
      <c r="H1114" s="24"/>
      <c r="J1114" s="1"/>
      <c r="K1114" s="1"/>
      <c r="L1114" s="1"/>
    </row>
    <row r="1115" spans="2:12" s="2" customFormat="1" ht="18" customHeight="1">
      <c r="B1115" s="77"/>
      <c r="C1115" s="3"/>
      <c r="E1115" s="24"/>
      <c r="G1115" s="24"/>
      <c r="H1115" s="24"/>
      <c r="J1115" s="1"/>
      <c r="K1115" s="1"/>
      <c r="L1115" s="1"/>
    </row>
    <row r="1116" spans="2:12" s="2" customFormat="1" ht="18" customHeight="1">
      <c r="B1116" s="77"/>
      <c r="C1116" s="3"/>
      <c r="E1116" s="24"/>
      <c r="G1116" s="24"/>
      <c r="H1116" s="24"/>
      <c r="J1116" s="1"/>
      <c r="K1116" s="1"/>
      <c r="L1116" s="1"/>
    </row>
    <row r="1117" spans="2:12" s="2" customFormat="1" ht="18" customHeight="1">
      <c r="B1117" s="77"/>
      <c r="C1117" s="3"/>
      <c r="E1117" s="24"/>
      <c r="G1117" s="24"/>
      <c r="H1117" s="24"/>
      <c r="J1117" s="1"/>
      <c r="K1117" s="1"/>
      <c r="L1117" s="1"/>
    </row>
    <row r="1118" spans="2:12" s="2" customFormat="1" ht="18" customHeight="1">
      <c r="B1118" s="77"/>
      <c r="C1118" s="3"/>
      <c r="E1118" s="24"/>
      <c r="G1118" s="24"/>
      <c r="H1118" s="24"/>
      <c r="J1118" s="1"/>
      <c r="K1118" s="1"/>
      <c r="L1118" s="1"/>
    </row>
    <row r="1119" spans="2:12" s="2" customFormat="1" ht="18" customHeight="1">
      <c r="B1119" s="77"/>
      <c r="C1119" s="3"/>
      <c r="E1119" s="24"/>
      <c r="G1119" s="24"/>
      <c r="H1119" s="24"/>
      <c r="J1119" s="1"/>
      <c r="K1119" s="1"/>
      <c r="L1119" s="1"/>
    </row>
    <row r="1120" spans="2:12" s="2" customFormat="1" ht="18" customHeight="1">
      <c r="B1120" s="77"/>
      <c r="C1120" s="3"/>
      <c r="E1120" s="24"/>
      <c r="G1120" s="24"/>
      <c r="H1120" s="24"/>
      <c r="J1120" s="1"/>
      <c r="K1120" s="1"/>
      <c r="L1120" s="1"/>
    </row>
    <row r="1121" spans="2:12" s="2" customFormat="1" ht="18" customHeight="1">
      <c r="B1121" s="77"/>
      <c r="C1121" s="3"/>
      <c r="E1121" s="24"/>
      <c r="G1121" s="24"/>
      <c r="H1121" s="24"/>
      <c r="J1121" s="1"/>
      <c r="K1121" s="1"/>
      <c r="L1121" s="1"/>
    </row>
    <row r="1122" spans="2:12" s="2" customFormat="1" ht="18" customHeight="1">
      <c r="B1122" s="77"/>
      <c r="C1122" s="3"/>
      <c r="E1122" s="24"/>
      <c r="G1122" s="24"/>
      <c r="H1122" s="24"/>
      <c r="J1122" s="1"/>
      <c r="K1122" s="1"/>
      <c r="L1122" s="1"/>
    </row>
    <row r="1123" spans="2:12" s="2" customFormat="1" ht="18" customHeight="1">
      <c r="B1123" s="77"/>
      <c r="C1123" s="3"/>
      <c r="E1123" s="24"/>
      <c r="G1123" s="24"/>
      <c r="H1123" s="24"/>
      <c r="J1123" s="1"/>
      <c r="K1123" s="1"/>
      <c r="L1123" s="1"/>
    </row>
    <row r="1124" spans="2:12" s="2" customFormat="1" ht="18" customHeight="1">
      <c r="B1124" s="77"/>
      <c r="C1124" s="3"/>
      <c r="E1124" s="24"/>
      <c r="G1124" s="24"/>
      <c r="H1124" s="24"/>
      <c r="J1124" s="1"/>
      <c r="K1124" s="1"/>
      <c r="L1124" s="1"/>
    </row>
    <row r="1125" spans="2:12" s="2" customFormat="1" ht="18" customHeight="1">
      <c r="B1125" s="77"/>
      <c r="C1125" s="3"/>
      <c r="E1125" s="24"/>
      <c r="G1125" s="24"/>
      <c r="H1125" s="24"/>
      <c r="J1125" s="1"/>
      <c r="K1125" s="1"/>
      <c r="L1125" s="1"/>
    </row>
    <row r="1126" spans="2:12" s="2" customFormat="1" ht="18" customHeight="1">
      <c r="B1126" s="77"/>
      <c r="C1126" s="3"/>
      <c r="E1126" s="24"/>
      <c r="G1126" s="24"/>
      <c r="H1126" s="24"/>
      <c r="J1126" s="1"/>
      <c r="K1126" s="1"/>
      <c r="L1126" s="1"/>
    </row>
    <row r="1127" spans="2:12" s="2" customFormat="1" ht="18" customHeight="1">
      <c r="B1127" s="77"/>
      <c r="C1127" s="3"/>
      <c r="E1127" s="24"/>
      <c r="G1127" s="24"/>
      <c r="H1127" s="24"/>
      <c r="J1127" s="1"/>
      <c r="K1127" s="1"/>
      <c r="L1127" s="1"/>
    </row>
    <row r="1128" spans="2:12" s="2" customFormat="1" ht="18" customHeight="1">
      <c r="B1128" s="77"/>
      <c r="C1128" s="3"/>
      <c r="E1128" s="24"/>
      <c r="G1128" s="24"/>
      <c r="H1128" s="24"/>
      <c r="J1128" s="1"/>
      <c r="K1128" s="1"/>
      <c r="L1128" s="1"/>
    </row>
    <row r="1129" spans="2:12" s="2" customFormat="1" ht="18" customHeight="1">
      <c r="B1129" s="77"/>
      <c r="C1129" s="3"/>
      <c r="E1129" s="24"/>
      <c r="G1129" s="24"/>
      <c r="H1129" s="24"/>
      <c r="J1129" s="1"/>
      <c r="K1129" s="1"/>
      <c r="L1129" s="1"/>
    </row>
    <row r="1130" spans="2:12" s="2" customFormat="1" ht="18" customHeight="1">
      <c r="B1130" s="77"/>
      <c r="C1130" s="3"/>
      <c r="E1130" s="24"/>
      <c r="G1130" s="24"/>
      <c r="H1130" s="24"/>
      <c r="J1130" s="1"/>
      <c r="K1130" s="1"/>
      <c r="L1130" s="1"/>
    </row>
    <row r="1131" spans="2:12" s="2" customFormat="1" ht="18" customHeight="1">
      <c r="B1131" s="77"/>
      <c r="C1131" s="3"/>
      <c r="E1131" s="24"/>
      <c r="G1131" s="24"/>
      <c r="H1131" s="24"/>
      <c r="J1131" s="1"/>
      <c r="K1131" s="1"/>
      <c r="L1131" s="1"/>
    </row>
    <row r="1132" spans="2:12" s="2" customFormat="1" ht="18" customHeight="1">
      <c r="B1132" s="77"/>
      <c r="C1132" s="3"/>
      <c r="E1132" s="24"/>
      <c r="G1132" s="24"/>
      <c r="H1132" s="24"/>
      <c r="J1132" s="1"/>
      <c r="K1132" s="1"/>
      <c r="L1132" s="1"/>
    </row>
    <row r="1133" spans="2:12" s="2" customFormat="1" ht="18" customHeight="1">
      <c r="B1133" s="77"/>
      <c r="C1133" s="3"/>
      <c r="E1133" s="24"/>
      <c r="G1133" s="24"/>
      <c r="H1133" s="24"/>
      <c r="J1133" s="1"/>
      <c r="K1133" s="1"/>
      <c r="L1133" s="1"/>
    </row>
    <row r="1134" spans="2:12" s="2" customFormat="1" ht="18" customHeight="1">
      <c r="B1134" s="77"/>
      <c r="C1134" s="3"/>
      <c r="E1134" s="24"/>
      <c r="G1134" s="24"/>
      <c r="H1134" s="24"/>
      <c r="J1134" s="1"/>
      <c r="K1134" s="1"/>
      <c r="L1134" s="1"/>
    </row>
    <row r="1135" spans="2:12" s="2" customFormat="1" ht="18" customHeight="1">
      <c r="B1135" s="77"/>
      <c r="C1135" s="3"/>
      <c r="E1135" s="24"/>
      <c r="G1135" s="24"/>
      <c r="H1135" s="24"/>
      <c r="J1135" s="1"/>
      <c r="K1135" s="1"/>
      <c r="L1135" s="1"/>
    </row>
    <row r="1136" spans="2:12" s="2" customFormat="1" ht="18" customHeight="1">
      <c r="B1136" s="77"/>
      <c r="C1136" s="3"/>
      <c r="E1136" s="24"/>
      <c r="G1136" s="24"/>
      <c r="H1136" s="24"/>
      <c r="J1136" s="1"/>
      <c r="K1136" s="1"/>
      <c r="L1136" s="1"/>
    </row>
    <row r="1137" spans="2:12" s="2" customFormat="1" ht="18" customHeight="1">
      <c r="B1137" s="77"/>
      <c r="C1137" s="3"/>
      <c r="E1137" s="24"/>
      <c r="G1137" s="24"/>
      <c r="H1137" s="24"/>
      <c r="J1137" s="1"/>
      <c r="K1137" s="1"/>
      <c r="L1137" s="1"/>
    </row>
    <row r="1138" spans="2:12" s="2" customFormat="1" ht="18" customHeight="1">
      <c r="B1138" s="77"/>
      <c r="C1138" s="3"/>
      <c r="E1138" s="24"/>
      <c r="G1138" s="24"/>
      <c r="H1138" s="24"/>
      <c r="J1138" s="1"/>
      <c r="K1138" s="1"/>
      <c r="L1138" s="1"/>
    </row>
    <row r="1139" spans="2:12" s="2" customFormat="1" ht="18" customHeight="1">
      <c r="B1139" s="77"/>
      <c r="C1139" s="3"/>
      <c r="E1139" s="24"/>
      <c r="G1139" s="24"/>
      <c r="H1139" s="24"/>
      <c r="J1139" s="1"/>
      <c r="K1139" s="1"/>
      <c r="L1139" s="1"/>
    </row>
    <row r="1140" spans="2:12" s="2" customFormat="1" ht="18" customHeight="1">
      <c r="B1140" s="77"/>
      <c r="C1140" s="3"/>
      <c r="E1140" s="24"/>
      <c r="G1140" s="24"/>
      <c r="H1140" s="24"/>
      <c r="J1140" s="1"/>
      <c r="K1140" s="1"/>
      <c r="L1140" s="1"/>
    </row>
    <row r="1141" spans="2:12" s="2" customFormat="1" ht="18" customHeight="1">
      <c r="B1141" s="77"/>
      <c r="C1141" s="3"/>
      <c r="E1141" s="24"/>
      <c r="G1141" s="24"/>
      <c r="H1141" s="24"/>
      <c r="J1141" s="1"/>
      <c r="K1141" s="1"/>
      <c r="L1141" s="1"/>
    </row>
    <row r="1142" spans="2:12" s="2" customFormat="1" ht="18" customHeight="1">
      <c r="B1142" s="77"/>
      <c r="C1142" s="3"/>
      <c r="E1142" s="24"/>
      <c r="G1142" s="24"/>
      <c r="H1142" s="24"/>
      <c r="J1142" s="1"/>
      <c r="K1142" s="1"/>
      <c r="L1142" s="1"/>
    </row>
    <row r="1143" spans="2:12" s="2" customFormat="1" ht="18" customHeight="1">
      <c r="B1143" s="77"/>
      <c r="C1143" s="3"/>
      <c r="E1143" s="24"/>
      <c r="G1143" s="24"/>
      <c r="H1143" s="24"/>
      <c r="J1143" s="1"/>
      <c r="K1143" s="1"/>
      <c r="L1143" s="1"/>
    </row>
    <row r="1144" spans="2:12" s="2" customFormat="1" ht="18" customHeight="1">
      <c r="B1144" s="77"/>
      <c r="C1144" s="3"/>
      <c r="E1144" s="24"/>
      <c r="G1144" s="24"/>
      <c r="H1144" s="24"/>
      <c r="J1144" s="1"/>
      <c r="K1144" s="1"/>
      <c r="L1144" s="1"/>
    </row>
    <row r="1145" spans="2:12" s="2" customFormat="1" ht="18" customHeight="1">
      <c r="B1145" s="77"/>
      <c r="C1145" s="3"/>
      <c r="E1145" s="24"/>
      <c r="G1145" s="24"/>
      <c r="H1145" s="24"/>
      <c r="J1145" s="1"/>
      <c r="K1145" s="1"/>
      <c r="L1145" s="1"/>
    </row>
    <row r="1146" spans="2:12" s="2" customFormat="1" ht="18" customHeight="1">
      <c r="B1146" s="77"/>
      <c r="C1146" s="3"/>
      <c r="E1146" s="24"/>
      <c r="G1146" s="24"/>
      <c r="H1146" s="24"/>
      <c r="J1146" s="1"/>
      <c r="K1146" s="1"/>
      <c r="L1146" s="1"/>
    </row>
    <row r="1147" spans="2:12" s="2" customFormat="1" ht="18" customHeight="1">
      <c r="B1147" s="77"/>
      <c r="C1147" s="3"/>
      <c r="E1147" s="24"/>
      <c r="G1147" s="24"/>
      <c r="H1147" s="24"/>
      <c r="J1147" s="1"/>
      <c r="K1147" s="1"/>
      <c r="L1147" s="1"/>
    </row>
    <row r="1148" spans="2:12" s="2" customFormat="1" ht="18" customHeight="1">
      <c r="B1148" s="77"/>
      <c r="C1148" s="3"/>
      <c r="E1148" s="24"/>
      <c r="G1148" s="24"/>
      <c r="H1148" s="24"/>
      <c r="J1148" s="1"/>
      <c r="K1148" s="1"/>
      <c r="L1148" s="1"/>
    </row>
    <row r="1149" spans="2:12" s="2" customFormat="1" ht="18" customHeight="1">
      <c r="B1149" s="77"/>
      <c r="C1149" s="3"/>
      <c r="E1149" s="24"/>
      <c r="G1149" s="24"/>
      <c r="H1149" s="24"/>
      <c r="J1149" s="1"/>
      <c r="K1149" s="1"/>
      <c r="L1149" s="1"/>
    </row>
    <row r="1150" spans="2:12" s="2" customFormat="1" ht="18" customHeight="1">
      <c r="B1150" s="77"/>
      <c r="C1150" s="3"/>
      <c r="E1150" s="24"/>
      <c r="G1150" s="24"/>
      <c r="H1150" s="24"/>
      <c r="J1150" s="1"/>
      <c r="K1150" s="1"/>
      <c r="L1150" s="1"/>
    </row>
    <row r="1151" spans="2:12" s="2" customFormat="1" ht="18" customHeight="1">
      <c r="B1151" s="77"/>
      <c r="C1151" s="3"/>
      <c r="E1151" s="24"/>
      <c r="G1151" s="24"/>
      <c r="H1151" s="24"/>
      <c r="J1151" s="1"/>
      <c r="K1151" s="1"/>
      <c r="L1151" s="1"/>
    </row>
    <row r="1152" spans="2:12" s="2" customFormat="1" ht="18" customHeight="1">
      <c r="B1152" s="77"/>
      <c r="C1152" s="3"/>
      <c r="E1152" s="24"/>
      <c r="G1152" s="24"/>
      <c r="H1152" s="24"/>
      <c r="J1152" s="1"/>
      <c r="K1152" s="1"/>
      <c r="L1152" s="1"/>
    </row>
    <row r="1153" spans="2:12" s="2" customFormat="1" ht="18" customHeight="1">
      <c r="B1153" s="77"/>
      <c r="C1153" s="3"/>
      <c r="E1153" s="24"/>
      <c r="G1153" s="24"/>
      <c r="H1153" s="24"/>
      <c r="J1153" s="1"/>
      <c r="K1153" s="1"/>
      <c r="L1153" s="1"/>
    </row>
    <row r="1154" spans="2:12" s="2" customFormat="1" ht="18" customHeight="1">
      <c r="B1154" s="77"/>
      <c r="C1154" s="3"/>
      <c r="E1154" s="24"/>
      <c r="G1154" s="24"/>
      <c r="H1154" s="24"/>
      <c r="J1154" s="1"/>
      <c r="K1154" s="1"/>
      <c r="L1154" s="1"/>
    </row>
    <row r="1155" spans="2:12" s="2" customFormat="1" ht="18" customHeight="1">
      <c r="B1155" s="77"/>
      <c r="C1155" s="3"/>
      <c r="E1155" s="24"/>
      <c r="G1155" s="24"/>
      <c r="H1155" s="24"/>
      <c r="J1155" s="1"/>
      <c r="K1155" s="1"/>
      <c r="L1155" s="1"/>
    </row>
    <row r="1156" spans="2:12" s="2" customFormat="1" ht="18" customHeight="1">
      <c r="B1156" s="77"/>
      <c r="C1156" s="3"/>
      <c r="E1156" s="24"/>
      <c r="G1156" s="24"/>
      <c r="H1156" s="24"/>
      <c r="J1156" s="1"/>
      <c r="K1156" s="1"/>
      <c r="L1156" s="1"/>
    </row>
    <row r="1157" spans="2:12" s="2" customFormat="1" ht="18" customHeight="1">
      <c r="B1157" s="77"/>
      <c r="C1157" s="3"/>
      <c r="E1157" s="24"/>
      <c r="G1157" s="24"/>
      <c r="H1157" s="24"/>
      <c r="J1157" s="1"/>
      <c r="K1157" s="1"/>
      <c r="L1157" s="1"/>
    </row>
    <row r="1158" spans="2:12" s="2" customFormat="1" ht="18" customHeight="1">
      <c r="B1158" s="77"/>
      <c r="C1158" s="3"/>
      <c r="E1158" s="24"/>
      <c r="G1158" s="24"/>
      <c r="H1158" s="24"/>
      <c r="J1158" s="1"/>
      <c r="K1158" s="1"/>
      <c r="L1158" s="1"/>
    </row>
    <row r="1159" spans="2:12" s="2" customFormat="1" ht="18" customHeight="1">
      <c r="B1159" s="77"/>
      <c r="C1159" s="3"/>
      <c r="E1159" s="24"/>
      <c r="G1159" s="24"/>
      <c r="H1159" s="24"/>
      <c r="J1159" s="1"/>
      <c r="K1159" s="1"/>
      <c r="L1159" s="1"/>
    </row>
    <row r="1160" spans="2:12" s="2" customFormat="1" ht="18" customHeight="1">
      <c r="B1160" s="77"/>
      <c r="C1160" s="3"/>
      <c r="E1160" s="24"/>
      <c r="G1160" s="24"/>
      <c r="H1160" s="24"/>
      <c r="J1160" s="1"/>
      <c r="K1160" s="1"/>
      <c r="L1160" s="1"/>
    </row>
    <row r="1161" spans="2:12" s="2" customFormat="1" ht="18" customHeight="1">
      <c r="B1161" s="77"/>
      <c r="C1161" s="3"/>
      <c r="E1161" s="24"/>
      <c r="G1161" s="24"/>
      <c r="H1161" s="24"/>
      <c r="J1161" s="1"/>
      <c r="K1161" s="1"/>
      <c r="L1161" s="1"/>
    </row>
    <row r="1162" spans="2:12" s="2" customFormat="1" ht="18" customHeight="1">
      <c r="B1162" s="77"/>
      <c r="C1162" s="3"/>
      <c r="E1162" s="24"/>
      <c r="G1162" s="24"/>
      <c r="H1162" s="24"/>
      <c r="J1162" s="1"/>
      <c r="K1162" s="1"/>
      <c r="L1162" s="1"/>
    </row>
    <row r="1163" spans="2:12" s="2" customFormat="1" ht="18" customHeight="1">
      <c r="B1163" s="77"/>
      <c r="C1163" s="3"/>
      <c r="E1163" s="24"/>
      <c r="G1163" s="24"/>
      <c r="H1163" s="24"/>
      <c r="J1163" s="1"/>
      <c r="K1163" s="1"/>
      <c r="L1163" s="1"/>
    </row>
    <row r="1164" spans="2:12" s="2" customFormat="1" ht="18" customHeight="1">
      <c r="B1164" s="77"/>
      <c r="C1164" s="3"/>
      <c r="E1164" s="24"/>
      <c r="G1164" s="24"/>
      <c r="H1164" s="24"/>
      <c r="J1164" s="1"/>
      <c r="K1164" s="1"/>
      <c r="L1164" s="1"/>
    </row>
    <row r="1165" spans="2:12" s="2" customFormat="1" ht="18" customHeight="1">
      <c r="B1165" s="77"/>
      <c r="C1165" s="3"/>
      <c r="E1165" s="24"/>
      <c r="G1165" s="24"/>
      <c r="H1165" s="24"/>
      <c r="J1165" s="1"/>
      <c r="K1165" s="1"/>
      <c r="L1165" s="1"/>
    </row>
    <row r="1166" spans="2:12" s="2" customFormat="1" ht="18" customHeight="1">
      <c r="B1166" s="77"/>
      <c r="C1166" s="3"/>
      <c r="E1166" s="24"/>
      <c r="G1166" s="24"/>
      <c r="H1166" s="24"/>
      <c r="J1166" s="1"/>
      <c r="K1166" s="1"/>
      <c r="L1166" s="1"/>
    </row>
    <row r="1167" spans="2:12" s="2" customFormat="1" ht="18" customHeight="1">
      <c r="B1167" s="77"/>
      <c r="C1167" s="3"/>
      <c r="E1167" s="24"/>
      <c r="G1167" s="24"/>
      <c r="H1167" s="24"/>
      <c r="J1167" s="1"/>
      <c r="K1167" s="1"/>
      <c r="L1167" s="1"/>
    </row>
    <row r="1168" spans="2:12" s="2" customFormat="1" ht="18" customHeight="1">
      <c r="B1168" s="77"/>
      <c r="C1168" s="3"/>
      <c r="E1168" s="24"/>
      <c r="G1168" s="24"/>
      <c r="H1168" s="24"/>
      <c r="J1168" s="1"/>
      <c r="K1168" s="1"/>
      <c r="L1168" s="1"/>
    </row>
    <row r="1169" spans="2:12" s="2" customFormat="1" ht="18" customHeight="1">
      <c r="B1169" s="77"/>
      <c r="C1169" s="3"/>
      <c r="E1169" s="24"/>
      <c r="G1169" s="24"/>
      <c r="H1169" s="24"/>
      <c r="J1169" s="1"/>
      <c r="K1169" s="1"/>
      <c r="L1169" s="1"/>
    </row>
    <row r="1170" spans="2:12" s="2" customFormat="1" ht="18" customHeight="1">
      <c r="B1170" s="77"/>
      <c r="C1170" s="3"/>
      <c r="E1170" s="24"/>
      <c r="G1170" s="24"/>
      <c r="H1170" s="24"/>
      <c r="J1170" s="1"/>
      <c r="K1170" s="1"/>
      <c r="L1170" s="1"/>
    </row>
    <row r="1171" spans="2:12" s="2" customFormat="1" ht="18" customHeight="1">
      <c r="B1171" s="77"/>
      <c r="C1171" s="3"/>
      <c r="E1171" s="24"/>
      <c r="G1171" s="24"/>
      <c r="H1171" s="24"/>
      <c r="J1171" s="1"/>
      <c r="K1171" s="1"/>
      <c r="L1171" s="1"/>
    </row>
    <row r="1172" spans="2:12" s="2" customFormat="1" ht="18" customHeight="1">
      <c r="B1172" s="77"/>
      <c r="C1172" s="3"/>
      <c r="E1172" s="24"/>
      <c r="G1172" s="24"/>
      <c r="H1172" s="24"/>
      <c r="J1172" s="1"/>
      <c r="K1172" s="1"/>
      <c r="L1172" s="1"/>
    </row>
    <row r="1173" spans="2:12" s="2" customFormat="1" ht="18" customHeight="1">
      <c r="B1173" s="77"/>
      <c r="C1173" s="3"/>
      <c r="E1173" s="24"/>
      <c r="G1173" s="24"/>
      <c r="H1173" s="24"/>
      <c r="J1173" s="1"/>
      <c r="K1173" s="1"/>
      <c r="L1173" s="1"/>
    </row>
    <row r="1174" spans="2:12" s="2" customFormat="1" ht="18" customHeight="1">
      <c r="B1174" s="77"/>
      <c r="C1174" s="3"/>
      <c r="E1174" s="24"/>
      <c r="G1174" s="24"/>
      <c r="H1174" s="24"/>
      <c r="J1174" s="1"/>
      <c r="K1174" s="1"/>
      <c r="L1174" s="1"/>
    </row>
    <row r="1175" spans="2:12" s="2" customFormat="1" ht="18" customHeight="1">
      <c r="B1175" s="77"/>
      <c r="C1175" s="3"/>
      <c r="E1175" s="24"/>
      <c r="G1175" s="24"/>
      <c r="H1175" s="24"/>
      <c r="J1175" s="1"/>
      <c r="K1175" s="1"/>
      <c r="L1175" s="1"/>
    </row>
    <row r="1176" spans="2:12" s="2" customFormat="1" ht="18" customHeight="1">
      <c r="B1176" s="77"/>
      <c r="C1176" s="3"/>
      <c r="E1176" s="24"/>
      <c r="G1176" s="24"/>
      <c r="H1176" s="24"/>
      <c r="J1176" s="1"/>
      <c r="K1176" s="1"/>
      <c r="L1176" s="1"/>
    </row>
    <row r="1177" spans="2:12" s="2" customFormat="1" ht="18" customHeight="1">
      <c r="B1177" s="77"/>
      <c r="C1177" s="3"/>
      <c r="E1177" s="24"/>
      <c r="G1177" s="24"/>
      <c r="H1177" s="24"/>
      <c r="J1177" s="1"/>
      <c r="K1177" s="1"/>
      <c r="L1177" s="1"/>
    </row>
    <row r="1178" spans="2:12" s="2" customFormat="1" ht="18" customHeight="1">
      <c r="B1178" s="77"/>
      <c r="C1178" s="3"/>
      <c r="E1178" s="24"/>
      <c r="G1178" s="24"/>
      <c r="H1178" s="24"/>
      <c r="J1178" s="1"/>
      <c r="K1178" s="1"/>
      <c r="L1178" s="1"/>
    </row>
    <row r="1179" spans="2:12" s="2" customFormat="1" ht="18" customHeight="1">
      <c r="B1179" s="77"/>
      <c r="C1179" s="3"/>
      <c r="E1179" s="24"/>
      <c r="G1179" s="24"/>
      <c r="H1179" s="24"/>
      <c r="J1179" s="1"/>
      <c r="K1179" s="1"/>
      <c r="L1179" s="1"/>
    </row>
    <row r="1180" spans="2:12" s="2" customFormat="1" ht="18" customHeight="1">
      <c r="B1180" s="77"/>
      <c r="C1180" s="3"/>
      <c r="E1180" s="24"/>
      <c r="G1180" s="24"/>
      <c r="H1180" s="24"/>
      <c r="J1180" s="1"/>
      <c r="K1180" s="1"/>
      <c r="L1180" s="1"/>
    </row>
    <row r="1181" spans="2:12" s="2" customFormat="1" ht="18" customHeight="1">
      <c r="B1181" s="77"/>
      <c r="C1181" s="3"/>
      <c r="E1181" s="24"/>
      <c r="G1181" s="24"/>
      <c r="H1181" s="24"/>
      <c r="J1181" s="1"/>
      <c r="K1181" s="1"/>
      <c r="L1181" s="1"/>
    </row>
    <row r="1182" spans="2:12" s="2" customFormat="1" ht="18" customHeight="1">
      <c r="B1182" s="77"/>
      <c r="C1182" s="3"/>
      <c r="E1182" s="24"/>
      <c r="G1182" s="24"/>
      <c r="H1182" s="24"/>
      <c r="J1182" s="1"/>
      <c r="K1182" s="1"/>
      <c r="L1182" s="1"/>
    </row>
    <row r="1183" spans="2:12" s="2" customFormat="1" ht="18" customHeight="1">
      <c r="B1183" s="77"/>
      <c r="C1183" s="3"/>
      <c r="E1183" s="24"/>
      <c r="G1183" s="24"/>
      <c r="H1183" s="24"/>
      <c r="J1183" s="1"/>
      <c r="K1183" s="1"/>
      <c r="L1183" s="1"/>
    </row>
    <row r="1184" spans="2:12" s="2" customFormat="1" ht="18" customHeight="1">
      <c r="B1184" s="77"/>
      <c r="C1184" s="3"/>
      <c r="E1184" s="24"/>
      <c r="G1184" s="24"/>
      <c r="H1184" s="24"/>
      <c r="J1184" s="1"/>
      <c r="K1184" s="1"/>
      <c r="L1184" s="1"/>
    </row>
    <row r="1185" spans="2:12" s="2" customFormat="1" ht="18" customHeight="1">
      <c r="B1185" s="77"/>
      <c r="C1185" s="3"/>
      <c r="E1185" s="24"/>
      <c r="G1185" s="24"/>
      <c r="H1185" s="24"/>
      <c r="J1185" s="1"/>
      <c r="K1185" s="1"/>
      <c r="L1185" s="1"/>
    </row>
    <row r="1186" spans="2:12" s="2" customFormat="1" ht="18" customHeight="1">
      <c r="B1186" s="77"/>
      <c r="C1186" s="3"/>
      <c r="E1186" s="24"/>
      <c r="G1186" s="24"/>
      <c r="H1186" s="24"/>
      <c r="J1186" s="1"/>
      <c r="K1186" s="1"/>
      <c r="L1186" s="1"/>
    </row>
    <row r="1187" spans="2:12" s="2" customFormat="1" ht="18" customHeight="1">
      <c r="B1187" s="77"/>
      <c r="C1187" s="3"/>
      <c r="E1187" s="24"/>
      <c r="G1187" s="24"/>
      <c r="H1187" s="24"/>
      <c r="J1187" s="1"/>
      <c r="K1187" s="1"/>
      <c r="L1187" s="1"/>
    </row>
    <row r="1188" spans="2:12" s="2" customFormat="1" ht="18" customHeight="1">
      <c r="B1188" s="77"/>
      <c r="C1188" s="3"/>
      <c r="E1188" s="24"/>
      <c r="G1188" s="24"/>
      <c r="H1188" s="24"/>
      <c r="J1188" s="1"/>
      <c r="K1188" s="1"/>
      <c r="L1188" s="1"/>
    </row>
    <row r="1189" spans="2:12" s="2" customFormat="1" ht="18" customHeight="1">
      <c r="B1189" s="77"/>
      <c r="C1189" s="3"/>
      <c r="E1189" s="24"/>
      <c r="G1189" s="24"/>
      <c r="H1189" s="24"/>
      <c r="J1189" s="1"/>
      <c r="K1189" s="1"/>
      <c r="L1189" s="1"/>
    </row>
    <row r="1190" spans="2:12" s="2" customFormat="1" ht="18" customHeight="1">
      <c r="B1190" s="77"/>
      <c r="C1190" s="3"/>
      <c r="E1190" s="24"/>
      <c r="G1190" s="24"/>
      <c r="H1190" s="24"/>
      <c r="J1190" s="1"/>
      <c r="K1190" s="1"/>
      <c r="L1190" s="1"/>
    </row>
    <row r="1191" spans="2:12" s="2" customFormat="1" ht="18" customHeight="1">
      <c r="B1191" s="77"/>
      <c r="C1191" s="3"/>
      <c r="E1191" s="24"/>
      <c r="G1191" s="24"/>
      <c r="H1191" s="24"/>
      <c r="J1191" s="1"/>
      <c r="K1191" s="1"/>
      <c r="L1191" s="1"/>
    </row>
    <row r="1192" spans="2:12" s="2" customFormat="1" ht="18" customHeight="1">
      <c r="B1192" s="77"/>
      <c r="C1192" s="3"/>
      <c r="E1192" s="24"/>
      <c r="G1192" s="24"/>
      <c r="H1192" s="24"/>
      <c r="J1192" s="1"/>
      <c r="K1192" s="1"/>
      <c r="L1192" s="1"/>
    </row>
    <row r="1193" spans="2:12" s="2" customFormat="1" ht="18" customHeight="1">
      <c r="B1193" s="77"/>
      <c r="C1193" s="3"/>
      <c r="E1193" s="24"/>
      <c r="G1193" s="24"/>
      <c r="H1193" s="24"/>
      <c r="J1193" s="1"/>
      <c r="K1193" s="1"/>
      <c r="L1193" s="1"/>
    </row>
    <row r="1194" spans="2:12" s="2" customFormat="1" ht="18" customHeight="1">
      <c r="B1194" s="77"/>
      <c r="C1194" s="3"/>
      <c r="E1194" s="24"/>
      <c r="G1194" s="24"/>
      <c r="H1194" s="24"/>
      <c r="J1194" s="1"/>
      <c r="K1194" s="1"/>
      <c r="L1194" s="1"/>
    </row>
    <row r="1195" spans="2:12" s="2" customFormat="1" ht="18" customHeight="1">
      <c r="B1195" s="77"/>
      <c r="C1195" s="3"/>
      <c r="E1195" s="24"/>
      <c r="G1195" s="24"/>
      <c r="H1195" s="24"/>
      <c r="J1195" s="1"/>
      <c r="K1195" s="1"/>
      <c r="L1195" s="1"/>
    </row>
    <row r="1196" spans="2:12" s="2" customFormat="1" ht="18" customHeight="1">
      <c r="B1196" s="77"/>
      <c r="C1196" s="3"/>
      <c r="E1196" s="24"/>
      <c r="G1196" s="24"/>
      <c r="H1196" s="24"/>
      <c r="J1196" s="1"/>
      <c r="K1196" s="1"/>
      <c r="L1196" s="1"/>
    </row>
    <row r="1197" spans="2:12" s="2" customFormat="1" ht="18" customHeight="1">
      <c r="B1197" s="77"/>
      <c r="C1197" s="3"/>
      <c r="E1197" s="24"/>
      <c r="G1197" s="24"/>
      <c r="H1197" s="24"/>
      <c r="J1197" s="1"/>
      <c r="K1197" s="1"/>
      <c r="L1197" s="1"/>
    </row>
    <row r="1198" spans="2:12" s="2" customFormat="1" ht="18" customHeight="1">
      <c r="B1198" s="77"/>
      <c r="C1198" s="3"/>
      <c r="E1198" s="24"/>
      <c r="G1198" s="24"/>
      <c r="H1198" s="24"/>
      <c r="J1198" s="1"/>
      <c r="K1198" s="1"/>
      <c r="L1198" s="1"/>
    </row>
    <row r="1199" spans="2:12" s="2" customFormat="1" ht="18" customHeight="1">
      <c r="B1199" s="77"/>
      <c r="C1199" s="3"/>
      <c r="E1199" s="24"/>
      <c r="G1199" s="24"/>
      <c r="H1199" s="24"/>
      <c r="J1199" s="1"/>
      <c r="K1199" s="1"/>
      <c r="L1199" s="1"/>
    </row>
    <row r="1200" spans="2:12" s="2" customFormat="1" ht="18" customHeight="1">
      <c r="B1200" s="77"/>
      <c r="C1200" s="3"/>
      <c r="E1200" s="24"/>
      <c r="G1200" s="24"/>
      <c r="H1200" s="24"/>
      <c r="J1200" s="1"/>
      <c r="K1200" s="1"/>
      <c r="L1200" s="1"/>
    </row>
    <row r="1201" spans="2:12" s="2" customFormat="1" ht="18" customHeight="1">
      <c r="B1201" s="77"/>
      <c r="C1201" s="3"/>
      <c r="E1201" s="24"/>
      <c r="G1201" s="24"/>
      <c r="H1201" s="24"/>
      <c r="J1201" s="1"/>
      <c r="K1201" s="1"/>
      <c r="L1201" s="1"/>
    </row>
    <row r="1202" spans="2:12" s="2" customFormat="1" ht="18" customHeight="1">
      <c r="B1202" s="77"/>
      <c r="C1202" s="3"/>
      <c r="E1202" s="24"/>
      <c r="G1202" s="24"/>
      <c r="H1202" s="24"/>
      <c r="J1202" s="1"/>
      <c r="K1202" s="1"/>
      <c r="L1202" s="1"/>
    </row>
    <row r="1203" spans="2:12" s="2" customFormat="1" ht="18" customHeight="1">
      <c r="B1203" s="77"/>
      <c r="C1203" s="3"/>
      <c r="E1203" s="24"/>
      <c r="G1203" s="24"/>
      <c r="H1203" s="24"/>
      <c r="J1203" s="1"/>
      <c r="K1203" s="1"/>
      <c r="L1203" s="1"/>
    </row>
    <row r="1204" spans="2:12" s="2" customFormat="1" ht="18" customHeight="1">
      <c r="B1204" s="77"/>
      <c r="C1204" s="3"/>
      <c r="E1204" s="24"/>
      <c r="G1204" s="24"/>
      <c r="H1204" s="24"/>
      <c r="J1204" s="1"/>
      <c r="K1204" s="1"/>
      <c r="L1204" s="1"/>
    </row>
    <row r="1205" spans="2:12" s="2" customFormat="1" ht="18" customHeight="1">
      <c r="B1205" s="77"/>
      <c r="C1205" s="3"/>
      <c r="E1205" s="24"/>
      <c r="G1205" s="24"/>
      <c r="H1205" s="24"/>
      <c r="J1205" s="1"/>
      <c r="K1205" s="1"/>
      <c r="L1205" s="1"/>
    </row>
    <row r="1206" spans="2:12" s="2" customFormat="1" ht="18" customHeight="1">
      <c r="B1206" s="77"/>
      <c r="C1206" s="3"/>
      <c r="E1206" s="24"/>
      <c r="G1206" s="24"/>
      <c r="H1206" s="24"/>
      <c r="J1206" s="1"/>
      <c r="K1206" s="1"/>
      <c r="L1206" s="1"/>
    </row>
    <row r="1207" spans="2:12" s="2" customFormat="1" ht="18" customHeight="1">
      <c r="B1207" s="77"/>
      <c r="C1207" s="3"/>
      <c r="E1207" s="24"/>
      <c r="G1207" s="24"/>
      <c r="H1207" s="24"/>
      <c r="J1207" s="1"/>
      <c r="K1207" s="1"/>
      <c r="L1207" s="1"/>
    </row>
    <row r="1208" spans="2:12" s="2" customFormat="1" ht="18" customHeight="1">
      <c r="B1208" s="77"/>
      <c r="C1208" s="3"/>
      <c r="E1208" s="24"/>
      <c r="G1208" s="24"/>
      <c r="H1208" s="24"/>
      <c r="J1208" s="1"/>
      <c r="K1208" s="1"/>
      <c r="L1208" s="1"/>
    </row>
    <row r="1209" spans="2:12" s="2" customFormat="1" ht="18" customHeight="1">
      <c r="B1209" s="77"/>
      <c r="C1209" s="3"/>
      <c r="E1209" s="24"/>
      <c r="G1209" s="24"/>
      <c r="H1209" s="24"/>
      <c r="J1209" s="1"/>
      <c r="K1209" s="1"/>
      <c r="L1209" s="1"/>
    </row>
    <row r="1210" spans="2:12" s="2" customFormat="1" ht="18" customHeight="1">
      <c r="B1210" s="77"/>
      <c r="C1210" s="3"/>
      <c r="E1210" s="24"/>
      <c r="G1210" s="24"/>
      <c r="H1210" s="24"/>
      <c r="J1210" s="1"/>
      <c r="K1210" s="1"/>
      <c r="L1210" s="1"/>
    </row>
    <row r="1211" spans="2:12" s="2" customFormat="1" ht="18" customHeight="1">
      <c r="B1211" s="77"/>
      <c r="C1211" s="3"/>
      <c r="E1211" s="24"/>
      <c r="G1211" s="24"/>
      <c r="H1211" s="24"/>
      <c r="J1211" s="1"/>
      <c r="K1211" s="1"/>
      <c r="L1211" s="1"/>
    </row>
    <row r="1212" spans="2:12" s="2" customFormat="1" ht="18" customHeight="1">
      <c r="B1212" s="77"/>
      <c r="C1212" s="3"/>
      <c r="E1212" s="24"/>
      <c r="G1212" s="24"/>
      <c r="H1212" s="24"/>
      <c r="J1212" s="1"/>
      <c r="K1212" s="1"/>
      <c r="L1212" s="1"/>
    </row>
    <row r="1213" spans="2:12" s="2" customFormat="1" ht="18" customHeight="1">
      <c r="B1213" s="77"/>
      <c r="C1213" s="3"/>
      <c r="E1213" s="24"/>
      <c r="G1213" s="24"/>
      <c r="H1213" s="24"/>
      <c r="J1213" s="1"/>
      <c r="K1213" s="1"/>
      <c r="L1213" s="1"/>
    </row>
    <row r="1214" spans="2:12" s="2" customFormat="1" ht="18" customHeight="1">
      <c r="B1214" s="77"/>
      <c r="C1214" s="3"/>
      <c r="E1214" s="24"/>
      <c r="G1214" s="24"/>
      <c r="H1214" s="24"/>
      <c r="J1214" s="1"/>
      <c r="K1214" s="1"/>
      <c r="L1214" s="1"/>
    </row>
    <row r="1215" spans="2:12" s="2" customFormat="1" ht="18" customHeight="1">
      <c r="B1215" s="77"/>
      <c r="C1215" s="3"/>
      <c r="E1215" s="24"/>
      <c r="G1215" s="24"/>
      <c r="H1215" s="24"/>
      <c r="J1215" s="1"/>
      <c r="K1215" s="1"/>
      <c r="L1215" s="1"/>
    </row>
    <row r="1216" spans="2:12" s="2" customFormat="1" ht="18" customHeight="1">
      <c r="B1216" s="77"/>
      <c r="C1216" s="3"/>
      <c r="E1216" s="24"/>
      <c r="G1216" s="24"/>
      <c r="H1216" s="24"/>
      <c r="J1216" s="1"/>
      <c r="K1216" s="1"/>
      <c r="L1216" s="1"/>
    </row>
    <row r="1217" spans="2:12" s="2" customFormat="1" ht="18" customHeight="1">
      <c r="B1217" s="77"/>
      <c r="C1217" s="3"/>
      <c r="E1217" s="24"/>
      <c r="G1217" s="24"/>
      <c r="H1217" s="24"/>
      <c r="J1217" s="1"/>
      <c r="K1217" s="1"/>
      <c r="L1217" s="1"/>
    </row>
    <row r="1218" spans="2:12" s="2" customFormat="1" ht="18" customHeight="1">
      <c r="B1218" s="77"/>
      <c r="C1218" s="3"/>
      <c r="E1218" s="24"/>
      <c r="G1218" s="24"/>
      <c r="H1218" s="24"/>
      <c r="J1218" s="1"/>
      <c r="K1218" s="1"/>
      <c r="L1218" s="1"/>
    </row>
    <row r="1219" spans="2:12" s="2" customFormat="1" ht="18" customHeight="1">
      <c r="B1219" s="77"/>
      <c r="C1219" s="3"/>
      <c r="E1219" s="24"/>
      <c r="G1219" s="24"/>
      <c r="H1219" s="24"/>
      <c r="J1219" s="1"/>
      <c r="K1219" s="1"/>
      <c r="L1219" s="1"/>
    </row>
    <row r="1220" spans="2:12" s="2" customFormat="1" ht="18" customHeight="1">
      <c r="B1220" s="77"/>
      <c r="C1220" s="3"/>
      <c r="E1220" s="24"/>
      <c r="G1220" s="24"/>
      <c r="H1220" s="24"/>
      <c r="J1220" s="1"/>
      <c r="K1220" s="1"/>
      <c r="L1220" s="1"/>
    </row>
    <row r="1221" spans="2:12" s="2" customFormat="1" ht="18" customHeight="1">
      <c r="B1221" s="77"/>
      <c r="C1221" s="3"/>
      <c r="E1221" s="24"/>
      <c r="G1221" s="24"/>
      <c r="H1221" s="24"/>
      <c r="J1221" s="1"/>
      <c r="K1221" s="1"/>
      <c r="L1221" s="1"/>
    </row>
    <row r="1222" spans="2:12" s="2" customFormat="1" ht="18" customHeight="1">
      <c r="B1222" s="77"/>
      <c r="C1222" s="3"/>
      <c r="E1222" s="24"/>
      <c r="G1222" s="24"/>
      <c r="H1222" s="24"/>
      <c r="J1222" s="1"/>
      <c r="K1222" s="1"/>
      <c r="L1222" s="1"/>
    </row>
    <row r="1223" spans="2:12" s="2" customFormat="1" ht="18" customHeight="1">
      <c r="B1223" s="77"/>
      <c r="C1223" s="3"/>
      <c r="E1223" s="24"/>
      <c r="G1223" s="24"/>
      <c r="H1223" s="24"/>
      <c r="J1223" s="1"/>
      <c r="K1223" s="1"/>
      <c r="L1223" s="1"/>
    </row>
    <row r="1224" spans="2:12" s="2" customFormat="1" ht="18" customHeight="1">
      <c r="B1224" s="77"/>
      <c r="C1224" s="3"/>
      <c r="E1224" s="24"/>
      <c r="G1224" s="24"/>
      <c r="H1224" s="24"/>
      <c r="J1224" s="1"/>
      <c r="K1224" s="1"/>
      <c r="L1224" s="1"/>
    </row>
    <row r="1225" spans="2:12" s="2" customFormat="1" ht="18" customHeight="1">
      <c r="B1225" s="77"/>
      <c r="C1225" s="3"/>
      <c r="E1225" s="24"/>
      <c r="G1225" s="24"/>
      <c r="H1225" s="24"/>
      <c r="J1225" s="1"/>
      <c r="K1225" s="1"/>
      <c r="L1225" s="1"/>
    </row>
    <row r="1226" spans="2:12" s="2" customFormat="1" ht="18" customHeight="1">
      <c r="B1226" s="77"/>
      <c r="C1226" s="3"/>
      <c r="E1226" s="24"/>
      <c r="G1226" s="24"/>
      <c r="H1226" s="24"/>
      <c r="J1226" s="1"/>
      <c r="K1226" s="1"/>
      <c r="L1226" s="1"/>
    </row>
    <row r="1227" spans="2:12" s="2" customFormat="1" ht="18" customHeight="1">
      <c r="B1227" s="77"/>
      <c r="C1227" s="3"/>
      <c r="E1227" s="24"/>
      <c r="G1227" s="24"/>
      <c r="H1227" s="24"/>
      <c r="J1227" s="1"/>
      <c r="K1227" s="1"/>
      <c r="L1227" s="1"/>
    </row>
    <row r="1228" spans="2:12" s="2" customFormat="1" ht="18" customHeight="1">
      <c r="B1228" s="77"/>
      <c r="C1228" s="3"/>
      <c r="E1228" s="24"/>
      <c r="G1228" s="24"/>
      <c r="H1228" s="24"/>
      <c r="J1228" s="1"/>
      <c r="K1228" s="1"/>
      <c r="L1228" s="1"/>
    </row>
    <row r="1229" spans="2:12" s="2" customFormat="1" ht="18" customHeight="1">
      <c r="B1229" s="77"/>
      <c r="C1229" s="3"/>
      <c r="E1229" s="24"/>
      <c r="G1229" s="24"/>
      <c r="H1229" s="24"/>
      <c r="J1229" s="1"/>
      <c r="K1229" s="1"/>
      <c r="L1229" s="1"/>
    </row>
    <row r="1230" spans="2:12" s="2" customFormat="1" ht="18" customHeight="1">
      <c r="B1230" s="77"/>
      <c r="C1230" s="3"/>
      <c r="E1230" s="24"/>
      <c r="G1230" s="24"/>
      <c r="H1230" s="24"/>
      <c r="J1230" s="1"/>
      <c r="K1230" s="1"/>
      <c r="L1230" s="1"/>
    </row>
    <row r="1231" spans="2:12" s="2" customFormat="1" ht="18" customHeight="1">
      <c r="B1231" s="77"/>
      <c r="C1231" s="3"/>
      <c r="E1231" s="24"/>
      <c r="G1231" s="24"/>
      <c r="H1231" s="24"/>
      <c r="J1231" s="1"/>
      <c r="K1231" s="1"/>
      <c r="L1231" s="1"/>
    </row>
    <row r="1232" spans="2:12" s="2" customFormat="1" ht="18" customHeight="1">
      <c r="B1232" s="77"/>
      <c r="C1232" s="3"/>
      <c r="E1232" s="24"/>
      <c r="G1232" s="24"/>
      <c r="H1232" s="24"/>
      <c r="J1232" s="1"/>
      <c r="K1232" s="1"/>
      <c r="L1232" s="1"/>
    </row>
    <row r="1233" spans="2:12" s="2" customFormat="1" ht="18" customHeight="1">
      <c r="B1233" s="77"/>
      <c r="C1233" s="3"/>
      <c r="E1233" s="24"/>
      <c r="G1233" s="24"/>
      <c r="H1233" s="24"/>
      <c r="J1233" s="1"/>
      <c r="K1233" s="1"/>
      <c r="L1233" s="1"/>
    </row>
    <row r="1234" spans="2:12" s="2" customFormat="1" ht="18" customHeight="1">
      <c r="B1234" s="77"/>
      <c r="C1234" s="3"/>
      <c r="E1234" s="24"/>
      <c r="G1234" s="24"/>
      <c r="H1234" s="24"/>
      <c r="J1234" s="1"/>
      <c r="K1234" s="1"/>
      <c r="L1234" s="1"/>
    </row>
    <row r="1235" spans="2:12" s="2" customFormat="1" ht="18" customHeight="1">
      <c r="B1235" s="77"/>
      <c r="C1235" s="3"/>
      <c r="E1235" s="24"/>
      <c r="G1235" s="24"/>
      <c r="H1235" s="24"/>
      <c r="J1235" s="1"/>
      <c r="K1235" s="1"/>
      <c r="L1235" s="1"/>
    </row>
    <row r="1236" spans="2:12" s="2" customFormat="1" ht="18" customHeight="1">
      <c r="B1236" s="77"/>
      <c r="C1236" s="3"/>
      <c r="E1236" s="24"/>
      <c r="G1236" s="24"/>
      <c r="H1236" s="24"/>
      <c r="J1236" s="1"/>
      <c r="K1236" s="1"/>
      <c r="L1236" s="1"/>
    </row>
    <row r="1237" spans="2:12" s="2" customFormat="1" ht="18" customHeight="1">
      <c r="B1237" s="77"/>
      <c r="C1237" s="3"/>
      <c r="E1237" s="24"/>
      <c r="G1237" s="24"/>
      <c r="H1237" s="24"/>
      <c r="J1237" s="1"/>
      <c r="K1237" s="1"/>
      <c r="L1237" s="1"/>
    </row>
    <row r="1238" spans="2:12" s="2" customFormat="1" ht="18" customHeight="1">
      <c r="B1238" s="77"/>
      <c r="C1238" s="3"/>
      <c r="E1238" s="24"/>
      <c r="G1238" s="24"/>
      <c r="H1238" s="24"/>
      <c r="J1238" s="1"/>
      <c r="K1238" s="1"/>
      <c r="L1238" s="1"/>
    </row>
    <row r="1239" spans="2:12" s="2" customFormat="1" ht="18" customHeight="1">
      <c r="B1239" s="77"/>
      <c r="C1239" s="3"/>
      <c r="E1239" s="24"/>
      <c r="G1239" s="24"/>
      <c r="H1239" s="24"/>
      <c r="J1239" s="1"/>
      <c r="K1239" s="1"/>
      <c r="L1239" s="1"/>
    </row>
    <row r="1240" spans="2:12" s="2" customFormat="1" ht="18" customHeight="1">
      <c r="B1240" s="77"/>
      <c r="C1240" s="3"/>
      <c r="E1240" s="24"/>
      <c r="G1240" s="24"/>
      <c r="H1240" s="24"/>
      <c r="J1240" s="1"/>
      <c r="K1240" s="1"/>
      <c r="L1240" s="1"/>
    </row>
    <row r="1241" spans="2:12" s="2" customFormat="1" ht="18" customHeight="1">
      <c r="B1241" s="77"/>
      <c r="C1241" s="3"/>
      <c r="E1241" s="24"/>
      <c r="G1241" s="24"/>
      <c r="H1241" s="24"/>
      <c r="J1241" s="1"/>
      <c r="K1241" s="1"/>
      <c r="L1241" s="1"/>
    </row>
    <row r="1242" spans="2:12" s="2" customFormat="1" ht="18" customHeight="1">
      <c r="B1242" s="77"/>
      <c r="C1242" s="3"/>
      <c r="E1242" s="24"/>
      <c r="G1242" s="24"/>
      <c r="H1242" s="24"/>
      <c r="J1242" s="1"/>
      <c r="K1242" s="1"/>
      <c r="L1242" s="1"/>
    </row>
    <row r="1243" spans="2:12" s="2" customFormat="1" ht="18" customHeight="1">
      <c r="B1243" s="77"/>
      <c r="C1243" s="3"/>
      <c r="E1243" s="24"/>
      <c r="G1243" s="24"/>
      <c r="H1243" s="24"/>
      <c r="J1243" s="1"/>
      <c r="K1243" s="1"/>
      <c r="L1243" s="1"/>
    </row>
    <row r="1244" spans="2:12" s="2" customFormat="1" ht="18" customHeight="1">
      <c r="B1244" s="77"/>
      <c r="C1244" s="3"/>
      <c r="E1244" s="24"/>
      <c r="G1244" s="24"/>
      <c r="H1244" s="24"/>
      <c r="J1244" s="1"/>
      <c r="K1244" s="1"/>
      <c r="L1244" s="1"/>
    </row>
    <row r="1245" spans="2:12" s="2" customFormat="1" ht="18" customHeight="1">
      <c r="B1245" s="77"/>
      <c r="C1245" s="3"/>
      <c r="E1245" s="24"/>
      <c r="G1245" s="24"/>
      <c r="H1245" s="24"/>
      <c r="J1245" s="1"/>
      <c r="K1245" s="1"/>
      <c r="L1245" s="1"/>
    </row>
    <row r="1246" spans="2:12" s="2" customFormat="1" ht="18" customHeight="1">
      <c r="B1246" s="77"/>
      <c r="C1246" s="3"/>
      <c r="E1246" s="24"/>
      <c r="G1246" s="24"/>
      <c r="H1246" s="24"/>
      <c r="J1246" s="1"/>
      <c r="K1246" s="1"/>
      <c r="L1246" s="1"/>
    </row>
    <row r="1247" spans="2:12" s="2" customFormat="1" ht="18" customHeight="1">
      <c r="B1247" s="77"/>
      <c r="C1247" s="3"/>
      <c r="E1247" s="24"/>
      <c r="G1247" s="24"/>
      <c r="H1247" s="24"/>
      <c r="J1247" s="1"/>
      <c r="K1247" s="1"/>
      <c r="L1247" s="1"/>
    </row>
    <row r="1248" spans="2:12" s="2" customFormat="1" ht="18" customHeight="1">
      <c r="B1248" s="77"/>
      <c r="C1248" s="3"/>
      <c r="E1248" s="24"/>
      <c r="G1248" s="24"/>
      <c r="H1248" s="24"/>
      <c r="J1248" s="1"/>
      <c r="K1248" s="1"/>
      <c r="L1248" s="1"/>
    </row>
    <row r="1249" spans="2:12" s="2" customFormat="1" ht="18" customHeight="1">
      <c r="B1249" s="77"/>
      <c r="C1249" s="3"/>
      <c r="E1249" s="24"/>
      <c r="G1249" s="24"/>
      <c r="H1249" s="24"/>
      <c r="J1249" s="1"/>
      <c r="K1249" s="1"/>
      <c r="L1249" s="1"/>
    </row>
    <row r="1250" spans="2:12" s="2" customFormat="1" ht="18" customHeight="1">
      <c r="B1250" s="77"/>
      <c r="C1250" s="3"/>
      <c r="E1250" s="24"/>
      <c r="G1250" s="24"/>
      <c r="H1250" s="24"/>
      <c r="J1250" s="1"/>
      <c r="K1250" s="1"/>
      <c r="L1250" s="1"/>
    </row>
    <row r="1251" spans="2:12" s="2" customFormat="1" ht="18" customHeight="1">
      <c r="B1251" s="77"/>
      <c r="C1251" s="3"/>
      <c r="E1251" s="24"/>
      <c r="G1251" s="24"/>
      <c r="H1251" s="24"/>
      <c r="J1251" s="1"/>
      <c r="K1251" s="1"/>
      <c r="L1251" s="1"/>
    </row>
    <row r="1252" spans="2:12" s="2" customFormat="1" ht="18" customHeight="1">
      <c r="B1252" s="77"/>
      <c r="C1252" s="3"/>
      <c r="E1252" s="24"/>
      <c r="G1252" s="24"/>
      <c r="H1252" s="24"/>
      <c r="J1252" s="1"/>
      <c r="K1252" s="1"/>
      <c r="L1252" s="1"/>
    </row>
    <row r="1253" spans="2:12" s="2" customFormat="1" ht="18" customHeight="1">
      <c r="B1253" s="77"/>
      <c r="C1253" s="3"/>
      <c r="E1253" s="24"/>
      <c r="G1253" s="24"/>
      <c r="H1253" s="24"/>
      <c r="J1253" s="1"/>
      <c r="K1253" s="1"/>
      <c r="L1253" s="1"/>
    </row>
    <row r="1254" spans="2:12" s="2" customFormat="1" ht="18" customHeight="1">
      <c r="B1254" s="77"/>
      <c r="C1254" s="3"/>
      <c r="E1254" s="24"/>
      <c r="G1254" s="24"/>
      <c r="H1254" s="24"/>
      <c r="J1254" s="1"/>
      <c r="K1254" s="1"/>
      <c r="L1254" s="1"/>
    </row>
    <row r="1255" spans="2:12" s="2" customFormat="1" ht="18" customHeight="1">
      <c r="B1255" s="77"/>
      <c r="C1255" s="3"/>
      <c r="E1255" s="24"/>
      <c r="G1255" s="24"/>
      <c r="H1255" s="24"/>
      <c r="J1255" s="1"/>
      <c r="K1255" s="1"/>
      <c r="L1255" s="1"/>
    </row>
    <row r="1256" spans="2:12" s="2" customFormat="1" ht="18" customHeight="1">
      <c r="B1256" s="77"/>
      <c r="C1256" s="3"/>
      <c r="E1256" s="24"/>
      <c r="G1256" s="24"/>
      <c r="H1256" s="24"/>
      <c r="J1256" s="1"/>
      <c r="K1256" s="1"/>
      <c r="L1256" s="1"/>
    </row>
    <row r="1257" spans="2:12" s="2" customFormat="1" ht="18" customHeight="1">
      <c r="B1257" s="77"/>
      <c r="C1257" s="3"/>
      <c r="E1257" s="24"/>
      <c r="G1257" s="24"/>
      <c r="H1257" s="24"/>
      <c r="J1257" s="1"/>
      <c r="K1257" s="1"/>
      <c r="L1257" s="1"/>
    </row>
    <row r="1258" spans="2:12" s="2" customFormat="1" ht="18" customHeight="1">
      <c r="B1258" s="77"/>
      <c r="C1258" s="3"/>
      <c r="E1258" s="24"/>
      <c r="G1258" s="24"/>
      <c r="H1258" s="24"/>
      <c r="J1258" s="1"/>
      <c r="K1258" s="1"/>
      <c r="L1258" s="1"/>
    </row>
    <row r="1259" spans="2:12" s="2" customFormat="1" ht="18" customHeight="1">
      <c r="B1259" s="77"/>
      <c r="C1259" s="3"/>
      <c r="E1259" s="24"/>
      <c r="G1259" s="24"/>
      <c r="H1259" s="24"/>
      <c r="J1259" s="1"/>
      <c r="K1259" s="1"/>
      <c r="L1259" s="1"/>
    </row>
    <row r="1260" spans="2:12" s="2" customFormat="1" ht="18" customHeight="1">
      <c r="B1260" s="77"/>
      <c r="C1260" s="3"/>
      <c r="E1260" s="24"/>
      <c r="G1260" s="24"/>
      <c r="H1260" s="24"/>
      <c r="J1260" s="1"/>
      <c r="K1260" s="1"/>
      <c r="L1260" s="1"/>
    </row>
    <row r="1261" spans="2:12" s="2" customFormat="1" ht="18" customHeight="1">
      <c r="B1261" s="77"/>
      <c r="C1261" s="3"/>
      <c r="E1261" s="24"/>
      <c r="G1261" s="24"/>
      <c r="H1261" s="24"/>
      <c r="J1261" s="1"/>
      <c r="K1261" s="1"/>
      <c r="L1261" s="1"/>
    </row>
    <row r="1262" spans="2:12" s="2" customFormat="1" ht="18" customHeight="1">
      <c r="B1262" s="77"/>
      <c r="C1262" s="3"/>
      <c r="E1262" s="24"/>
      <c r="G1262" s="24"/>
      <c r="H1262" s="24"/>
      <c r="J1262" s="1"/>
      <c r="K1262" s="1"/>
      <c r="L1262" s="1"/>
    </row>
    <row r="1263" spans="2:12" s="2" customFormat="1" ht="18" customHeight="1">
      <c r="B1263" s="77"/>
      <c r="C1263" s="3"/>
      <c r="E1263" s="24"/>
      <c r="G1263" s="24"/>
      <c r="H1263" s="24"/>
      <c r="J1263" s="1"/>
      <c r="K1263" s="1"/>
      <c r="L1263" s="1"/>
    </row>
    <row r="1264" spans="2:12" s="2" customFormat="1" ht="18" customHeight="1">
      <c r="B1264" s="77"/>
      <c r="C1264" s="3"/>
      <c r="E1264" s="24"/>
      <c r="G1264" s="24"/>
      <c r="H1264" s="24"/>
      <c r="J1264" s="1"/>
      <c r="K1264" s="1"/>
      <c r="L1264" s="1"/>
    </row>
    <row r="1265" spans="2:12" s="2" customFormat="1" ht="18" customHeight="1">
      <c r="B1265" s="77"/>
      <c r="C1265" s="3"/>
      <c r="E1265" s="24"/>
      <c r="G1265" s="24"/>
      <c r="H1265" s="24"/>
      <c r="J1265" s="1"/>
      <c r="K1265" s="1"/>
      <c r="L1265" s="1"/>
    </row>
    <row r="1266" spans="2:12" s="2" customFormat="1" ht="18" customHeight="1">
      <c r="B1266" s="77"/>
      <c r="C1266" s="3"/>
      <c r="E1266" s="24"/>
      <c r="G1266" s="24"/>
      <c r="H1266" s="24"/>
      <c r="J1266" s="1"/>
      <c r="K1266" s="1"/>
      <c r="L1266" s="1"/>
    </row>
    <row r="1267" spans="2:12" s="2" customFormat="1" ht="18" customHeight="1">
      <c r="B1267" s="77"/>
      <c r="C1267" s="3"/>
      <c r="E1267" s="24"/>
      <c r="G1267" s="24"/>
      <c r="H1267" s="24"/>
      <c r="J1267" s="1"/>
      <c r="K1267" s="1"/>
      <c r="L1267" s="1"/>
    </row>
    <row r="1268" spans="2:12" s="2" customFormat="1" ht="18" customHeight="1">
      <c r="B1268" s="77"/>
      <c r="C1268" s="3"/>
      <c r="E1268" s="24"/>
      <c r="G1268" s="24"/>
      <c r="H1268" s="24"/>
      <c r="J1268" s="1"/>
      <c r="K1268" s="1"/>
      <c r="L1268" s="1"/>
    </row>
    <row r="1269" spans="2:12" s="2" customFormat="1" ht="18" customHeight="1">
      <c r="B1269" s="77"/>
      <c r="C1269" s="3"/>
      <c r="E1269" s="24"/>
      <c r="G1269" s="24"/>
      <c r="H1269" s="24"/>
      <c r="J1269" s="1"/>
      <c r="K1269" s="1"/>
      <c r="L1269" s="1"/>
    </row>
    <row r="1270" spans="2:12" s="2" customFormat="1" ht="18" customHeight="1">
      <c r="B1270" s="77"/>
      <c r="C1270" s="3"/>
      <c r="E1270" s="24"/>
      <c r="G1270" s="24"/>
      <c r="H1270" s="24"/>
      <c r="J1270" s="1"/>
      <c r="K1270" s="1"/>
      <c r="L1270" s="1"/>
    </row>
    <row r="1271" spans="2:12" s="2" customFormat="1" ht="18" customHeight="1">
      <c r="B1271" s="77"/>
      <c r="C1271" s="3"/>
      <c r="E1271" s="24"/>
      <c r="G1271" s="24"/>
      <c r="H1271" s="24"/>
      <c r="J1271" s="1"/>
      <c r="K1271" s="1"/>
      <c r="L1271" s="1"/>
    </row>
    <row r="1272" spans="2:12" s="2" customFormat="1" ht="18" customHeight="1">
      <c r="B1272" s="77"/>
      <c r="C1272" s="3"/>
      <c r="E1272" s="24"/>
      <c r="G1272" s="24"/>
      <c r="H1272" s="24"/>
      <c r="J1272" s="1"/>
      <c r="K1272" s="1"/>
      <c r="L1272" s="1"/>
    </row>
    <row r="1273" spans="2:12" s="2" customFormat="1" ht="18" customHeight="1">
      <c r="B1273" s="77"/>
      <c r="C1273" s="3"/>
      <c r="E1273" s="24"/>
      <c r="G1273" s="24"/>
      <c r="H1273" s="24"/>
      <c r="J1273" s="1"/>
      <c r="K1273" s="1"/>
      <c r="L1273" s="1"/>
    </row>
    <row r="1274" spans="2:12" s="2" customFormat="1" ht="18" customHeight="1">
      <c r="B1274" s="77"/>
      <c r="C1274" s="3"/>
      <c r="E1274" s="24"/>
      <c r="G1274" s="24"/>
      <c r="H1274" s="24"/>
      <c r="J1274" s="1"/>
      <c r="K1274" s="1"/>
      <c r="L1274" s="1"/>
    </row>
    <row r="1275" spans="2:12" s="2" customFormat="1" ht="18" customHeight="1">
      <c r="B1275" s="77"/>
      <c r="C1275" s="3"/>
      <c r="E1275" s="24"/>
      <c r="G1275" s="24"/>
      <c r="H1275" s="24"/>
      <c r="J1275" s="1"/>
      <c r="K1275" s="1"/>
      <c r="L1275" s="1"/>
    </row>
    <row r="1276" spans="2:12" s="2" customFormat="1" ht="18" customHeight="1">
      <c r="B1276" s="77"/>
      <c r="C1276" s="3"/>
      <c r="E1276" s="24"/>
      <c r="G1276" s="24"/>
      <c r="H1276" s="24"/>
      <c r="J1276" s="1"/>
      <c r="K1276" s="1"/>
      <c r="L1276" s="1"/>
    </row>
    <row r="1277" spans="2:12" s="2" customFormat="1" ht="18" customHeight="1">
      <c r="B1277" s="77"/>
      <c r="C1277" s="3"/>
      <c r="E1277" s="24"/>
      <c r="G1277" s="24"/>
      <c r="H1277" s="24"/>
      <c r="J1277" s="1"/>
      <c r="K1277" s="1"/>
      <c r="L1277" s="1"/>
    </row>
    <row r="1278" spans="2:12" s="2" customFormat="1" ht="18" customHeight="1">
      <c r="B1278" s="77"/>
      <c r="C1278" s="3"/>
      <c r="E1278" s="24"/>
      <c r="G1278" s="24"/>
      <c r="H1278" s="24"/>
      <c r="J1278" s="1"/>
      <c r="K1278" s="1"/>
      <c r="L1278" s="1"/>
    </row>
    <row r="1279" spans="2:12" s="2" customFormat="1" ht="18" customHeight="1">
      <c r="B1279" s="77"/>
      <c r="C1279" s="3"/>
      <c r="E1279" s="24"/>
      <c r="G1279" s="24"/>
      <c r="H1279" s="24"/>
      <c r="J1279" s="1"/>
      <c r="K1279" s="1"/>
      <c r="L1279" s="1"/>
    </row>
    <row r="1280" spans="2:12" s="2" customFormat="1" ht="18" customHeight="1">
      <c r="B1280" s="77"/>
      <c r="C1280" s="3"/>
      <c r="E1280" s="24"/>
      <c r="G1280" s="24"/>
      <c r="H1280" s="24"/>
      <c r="J1280" s="1"/>
      <c r="K1280" s="1"/>
      <c r="L1280" s="1"/>
    </row>
    <row r="1281" spans="2:12" s="2" customFormat="1" ht="18" customHeight="1">
      <c r="B1281" s="77"/>
      <c r="C1281" s="3"/>
      <c r="E1281" s="24"/>
      <c r="G1281" s="24"/>
      <c r="H1281" s="24"/>
      <c r="J1281" s="1"/>
      <c r="K1281" s="1"/>
      <c r="L1281" s="1"/>
    </row>
    <row r="1282" spans="2:12" s="2" customFormat="1" ht="18" customHeight="1">
      <c r="B1282" s="77"/>
      <c r="C1282" s="3"/>
      <c r="E1282" s="24"/>
      <c r="G1282" s="24"/>
      <c r="H1282" s="24"/>
      <c r="J1282" s="1"/>
      <c r="K1282" s="1"/>
      <c r="L1282" s="1"/>
    </row>
    <row r="1283" spans="2:12" s="2" customFormat="1" ht="18" customHeight="1">
      <c r="B1283" s="77"/>
      <c r="C1283" s="3"/>
      <c r="E1283" s="24"/>
      <c r="G1283" s="24"/>
      <c r="H1283" s="24"/>
      <c r="J1283" s="1"/>
      <c r="K1283" s="1"/>
      <c r="L1283" s="1"/>
    </row>
    <row r="1284" spans="2:12" s="2" customFormat="1" ht="18" customHeight="1">
      <c r="B1284" s="77"/>
      <c r="C1284" s="3"/>
      <c r="E1284" s="24"/>
      <c r="G1284" s="24"/>
      <c r="H1284" s="24"/>
      <c r="J1284" s="1"/>
      <c r="K1284" s="1"/>
      <c r="L1284" s="1"/>
    </row>
    <row r="1285" spans="2:12" s="2" customFormat="1" ht="18" customHeight="1">
      <c r="B1285" s="77"/>
      <c r="C1285" s="3"/>
      <c r="E1285" s="24"/>
      <c r="G1285" s="24"/>
      <c r="H1285" s="24"/>
      <c r="J1285" s="1"/>
      <c r="K1285" s="1"/>
      <c r="L1285" s="1"/>
    </row>
    <row r="1286" spans="2:12" s="2" customFormat="1" ht="18" customHeight="1">
      <c r="B1286" s="77"/>
      <c r="C1286" s="3"/>
      <c r="E1286" s="24"/>
      <c r="G1286" s="24"/>
      <c r="H1286" s="24"/>
      <c r="J1286" s="1"/>
      <c r="K1286" s="1"/>
      <c r="L1286" s="1"/>
    </row>
    <row r="1287" spans="2:12" s="2" customFormat="1" ht="18" customHeight="1">
      <c r="B1287" s="77"/>
      <c r="C1287" s="3"/>
      <c r="E1287" s="24"/>
      <c r="G1287" s="24"/>
      <c r="H1287" s="24"/>
      <c r="J1287" s="1"/>
      <c r="K1287" s="1"/>
      <c r="L1287" s="1"/>
    </row>
    <row r="1288" spans="2:12" s="2" customFormat="1" ht="18" customHeight="1">
      <c r="B1288" s="77"/>
      <c r="C1288" s="3"/>
      <c r="E1288" s="24"/>
      <c r="G1288" s="24"/>
      <c r="H1288" s="24"/>
      <c r="J1288" s="1"/>
      <c r="K1288" s="1"/>
      <c r="L1288" s="1"/>
    </row>
    <row r="1289" spans="2:12" s="2" customFormat="1" ht="18" customHeight="1">
      <c r="B1289" s="77"/>
      <c r="C1289" s="3"/>
      <c r="E1289" s="24"/>
      <c r="G1289" s="24"/>
      <c r="H1289" s="24"/>
      <c r="J1289" s="1"/>
      <c r="K1289" s="1"/>
      <c r="L1289" s="1"/>
    </row>
    <row r="1290" spans="2:12" s="2" customFormat="1" ht="18" customHeight="1">
      <c r="B1290" s="77"/>
      <c r="C1290" s="3"/>
      <c r="E1290" s="24"/>
      <c r="G1290" s="24"/>
      <c r="H1290" s="24"/>
      <c r="J1290" s="1"/>
      <c r="K1290" s="1"/>
      <c r="L1290" s="1"/>
    </row>
    <row r="1291" spans="2:12" s="2" customFormat="1" ht="18" customHeight="1">
      <c r="B1291" s="77"/>
      <c r="C1291" s="3"/>
      <c r="E1291" s="24"/>
      <c r="G1291" s="24"/>
      <c r="H1291" s="24"/>
      <c r="J1291" s="1"/>
      <c r="K1291" s="1"/>
      <c r="L1291" s="1"/>
    </row>
    <row r="1292" spans="2:12" s="2" customFormat="1" ht="18" customHeight="1">
      <c r="B1292" s="77"/>
      <c r="C1292" s="3"/>
      <c r="E1292" s="24"/>
      <c r="G1292" s="24"/>
      <c r="H1292" s="24"/>
      <c r="J1292" s="1"/>
      <c r="K1292" s="1"/>
      <c r="L1292" s="1"/>
    </row>
    <row r="1293" spans="2:12" s="2" customFormat="1" ht="18" customHeight="1">
      <c r="B1293" s="77"/>
      <c r="C1293" s="3"/>
      <c r="E1293" s="24"/>
      <c r="G1293" s="24"/>
      <c r="H1293" s="24"/>
      <c r="J1293" s="1"/>
      <c r="K1293" s="1"/>
      <c r="L1293" s="1"/>
    </row>
    <row r="1294" spans="2:12" s="2" customFormat="1" ht="18" customHeight="1">
      <c r="B1294" s="77"/>
      <c r="C1294" s="3"/>
      <c r="E1294" s="24"/>
      <c r="G1294" s="24"/>
      <c r="H1294" s="24"/>
      <c r="J1294" s="1"/>
      <c r="K1294" s="1"/>
      <c r="L1294" s="1"/>
    </row>
    <row r="1295" spans="2:12" s="2" customFormat="1" ht="18" customHeight="1">
      <c r="B1295" s="77"/>
      <c r="C1295" s="3"/>
      <c r="E1295" s="24"/>
      <c r="G1295" s="24"/>
      <c r="H1295" s="24"/>
      <c r="J1295" s="1"/>
      <c r="K1295" s="1"/>
      <c r="L1295" s="1"/>
    </row>
    <row r="1296" spans="2:12" s="2" customFormat="1" ht="18" customHeight="1">
      <c r="B1296" s="77"/>
      <c r="C1296" s="3"/>
      <c r="E1296" s="24"/>
      <c r="G1296" s="24"/>
      <c r="H1296" s="24"/>
      <c r="J1296" s="1"/>
      <c r="K1296" s="1"/>
      <c r="L1296" s="1"/>
    </row>
    <row r="1297" spans="2:12" s="2" customFormat="1" ht="18" customHeight="1">
      <c r="B1297" s="77"/>
      <c r="C1297" s="3"/>
      <c r="E1297" s="24"/>
      <c r="G1297" s="24"/>
      <c r="H1297" s="24"/>
      <c r="J1297" s="1"/>
      <c r="K1297" s="1"/>
      <c r="L1297" s="1"/>
    </row>
    <row r="1298" spans="2:12" s="2" customFormat="1" ht="18" customHeight="1">
      <c r="B1298" s="77"/>
      <c r="C1298" s="3"/>
      <c r="E1298" s="24"/>
      <c r="G1298" s="24"/>
      <c r="H1298" s="24"/>
      <c r="J1298" s="1"/>
      <c r="K1298" s="1"/>
      <c r="L1298" s="1"/>
    </row>
    <row r="1299" spans="2:12" s="2" customFormat="1" ht="18" customHeight="1">
      <c r="B1299" s="77"/>
      <c r="C1299" s="3"/>
      <c r="E1299" s="24"/>
      <c r="G1299" s="24"/>
      <c r="H1299" s="24"/>
      <c r="J1299" s="1"/>
      <c r="K1299" s="1"/>
      <c r="L1299" s="1"/>
    </row>
    <row r="1300" spans="2:12" s="2" customFormat="1" ht="18" customHeight="1">
      <c r="B1300" s="77"/>
      <c r="C1300" s="3"/>
      <c r="E1300" s="24"/>
      <c r="G1300" s="24"/>
      <c r="H1300" s="24"/>
      <c r="J1300" s="1"/>
      <c r="K1300" s="1"/>
      <c r="L1300" s="1"/>
    </row>
    <row r="1301" spans="2:12" s="2" customFormat="1" ht="18" customHeight="1">
      <c r="B1301" s="77"/>
      <c r="C1301" s="3"/>
      <c r="E1301" s="24"/>
      <c r="G1301" s="24"/>
      <c r="H1301" s="24"/>
      <c r="J1301" s="1"/>
      <c r="K1301" s="1"/>
      <c r="L1301" s="1"/>
    </row>
    <row r="1302" spans="2:12" s="2" customFormat="1" ht="18" customHeight="1">
      <c r="B1302" s="77"/>
      <c r="C1302" s="3"/>
      <c r="E1302" s="24"/>
      <c r="G1302" s="24"/>
      <c r="H1302" s="24"/>
      <c r="J1302" s="1"/>
      <c r="K1302" s="1"/>
      <c r="L1302" s="1"/>
    </row>
    <row r="1303" spans="2:12" s="2" customFormat="1" ht="18" customHeight="1">
      <c r="B1303" s="77"/>
      <c r="C1303" s="3"/>
      <c r="E1303" s="24"/>
      <c r="G1303" s="24"/>
      <c r="H1303" s="24"/>
      <c r="J1303" s="1"/>
      <c r="K1303" s="1"/>
      <c r="L1303" s="1"/>
    </row>
    <row r="1304" spans="2:12" s="2" customFormat="1" ht="18" customHeight="1">
      <c r="B1304" s="77"/>
      <c r="C1304" s="3"/>
      <c r="E1304" s="24"/>
      <c r="G1304" s="24"/>
      <c r="H1304" s="24"/>
      <c r="J1304" s="1"/>
      <c r="K1304" s="1"/>
      <c r="L1304" s="1"/>
    </row>
    <row r="1305" spans="2:12" s="2" customFormat="1" ht="18" customHeight="1">
      <c r="B1305" s="77"/>
      <c r="C1305" s="3"/>
      <c r="E1305" s="24"/>
      <c r="G1305" s="24"/>
      <c r="H1305" s="24"/>
      <c r="J1305" s="1"/>
      <c r="K1305" s="1"/>
      <c r="L1305" s="1"/>
    </row>
    <row r="1306" spans="2:12" s="2" customFormat="1" ht="18" customHeight="1">
      <c r="B1306" s="77"/>
      <c r="C1306" s="3"/>
      <c r="E1306" s="24"/>
      <c r="G1306" s="24"/>
      <c r="H1306" s="24"/>
      <c r="J1306" s="1"/>
      <c r="K1306" s="1"/>
      <c r="L1306" s="1"/>
    </row>
    <row r="1307" spans="2:12" s="2" customFormat="1" ht="18" customHeight="1">
      <c r="B1307" s="77"/>
      <c r="C1307" s="3"/>
      <c r="E1307" s="24"/>
      <c r="G1307" s="24"/>
      <c r="H1307" s="24"/>
      <c r="J1307" s="1"/>
      <c r="K1307" s="1"/>
      <c r="L1307" s="1"/>
    </row>
    <row r="1308" spans="2:12" s="2" customFormat="1" ht="18" customHeight="1">
      <c r="B1308" s="77"/>
      <c r="C1308" s="3"/>
      <c r="E1308" s="24"/>
      <c r="G1308" s="24"/>
      <c r="H1308" s="24"/>
      <c r="J1308" s="1"/>
      <c r="K1308" s="1"/>
      <c r="L1308" s="1"/>
    </row>
    <row r="1309" spans="2:12" s="2" customFormat="1" ht="18" customHeight="1">
      <c r="B1309" s="77"/>
      <c r="C1309" s="3"/>
      <c r="E1309" s="24"/>
      <c r="G1309" s="24"/>
      <c r="H1309" s="24"/>
      <c r="J1309" s="1"/>
      <c r="K1309" s="1"/>
      <c r="L1309" s="1"/>
    </row>
    <row r="1310" spans="2:12" s="2" customFormat="1" ht="18" customHeight="1">
      <c r="B1310" s="77"/>
      <c r="C1310" s="3"/>
      <c r="E1310" s="24"/>
      <c r="G1310" s="24"/>
      <c r="H1310" s="24"/>
      <c r="J1310" s="1"/>
      <c r="K1310" s="1"/>
      <c r="L1310" s="1"/>
    </row>
    <row r="1311" spans="2:12" s="2" customFormat="1" ht="18" customHeight="1">
      <c r="B1311" s="77"/>
      <c r="C1311" s="3"/>
      <c r="E1311" s="24"/>
      <c r="G1311" s="24"/>
      <c r="H1311" s="24"/>
      <c r="J1311" s="1"/>
      <c r="K1311" s="1"/>
      <c r="L1311" s="1"/>
    </row>
    <row r="1312" spans="2:12" s="2" customFormat="1" ht="18" customHeight="1">
      <c r="B1312" s="77"/>
      <c r="C1312" s="3"/>
      <c r="E1312" s="24"/>
      <c r="G1312" s="24"/>
      <c r="H1312" s="24"/>
      <c r="J1312" s="1"/>
      <c r="K1312" s="1"/>
      <c r="L1312" s="1"/>
    </row>
    <row r="1313" spans="2:12" s="2" customFormat="1" ht="18" customHeight="1">
      <c r="B1313" s="77"/>
      <c r="C1313" s="3"/>
      <c r="E1313" s="24"/>
      <c r="G1313" s="24"/>
      <c r="H1313" s="24"/>
      <c r="J1313" s="1"/>
      <c r="K1313" s="1"/>
      <c r="L1313" s="1"/>
    </row>
    <row r="1314" spans="2:12" s="2" customFormat="1" ht="18" customHeight="1">
      <c r="B1314" s="77"/>
      <c r="C1314" s="3"/>
      <c r="E1314" s="24"/>
      <c r="G1314" s="24"/>
      <c r="H1314" s="24"/>
      <c r="J1314" s="1"/>
      <c r="K1314" s="1"/>
      <c r="L1314" s="1"/>
    </row>
    <row r="1315" spans="2:12" s="2" customFormat="1" ht="18" customHeight="1">
      <c r="B1315" s="77"/>
      <c r="C1315" s="3"/>
      <c r="E1315" s="24"/>
      <c r="G1315" s="24"/>
      <c r="H1315" s="24"/>
      <c r="J1315" s="1"/>
      <c r="K1315" s="1"/>
      <c r="L1315" s="1"/>
    </row>
    <row r="1316" spans="2:12" s="2" customFormat="1" ht="18" customHeight="1">
      <c r="B1316" s="77"/>
      <c r="C1316" s="3"/>
      <c r="E1316" s="24"/>
      <c r="G1316" s="24"/>
      <c r="H1316" s="24"/>
      <c r="J1316" s="1"/>
      <c r="K1316" s="1"/>
      <c r="L1316" s="1"/>
    </row>
    <row r="1317" spans="2:12" s="2" customFormat="1" ht="18" customHeight="1">
      <c r="B1317" s="77"/>
      <c r="C1317" s="3"/>
      <c r="E1317" s="24"/>
      <c r="G1317" s="24"/>
      <c r="H1317" s="24"/>
      <c r="J1317" s="1"/>
      <c r="K1317" s="1"/>
      <c r="L1317" s="1"/>
    </row>
    <row r="1318" spans="2:12" s="2" customFormat="1" ht="18" customHeight="1">
      <c r="B1318" s="77"/>
      <c r="C1318" s="3"/>
      <c r="E1318" s="24"/>
      <c r="G1318" s="24"/>
      <c r="H1318" s="24"/>
      <c r="J1318" s="1"/>
      <c r="K1318" s="1"/>
      <c r="L1318" s="1"/>
    </row>
    <row r="1319" spans="2:12" s="2" customFormat="1" ht="18" customHeight="1">
      <c r="B1319" s="77"/>
      <c r="C1319" s="3"/>
      <c r="E1319" s="24"/>
      <c r="G1319" s="24"/>
      <c r="H1319" s="24"/>
      <c r="J1319" s="1"/>
      <c r="K1319" s="1"/>
      <c r="L1319" s="1"/>
    </row>
    <row r="1320" spans="2:12" s="2" customFormat="1" ht="18" customHeight="1">
      <c r="B1320" s="77"/>
      <c r="C1320" s="3"/>
      <c r="E1320" s="24"/>
      <c r="G1320" s="24"/>
      <c r="H1320" s="24"/>
      <c r="J1320" s="1"/>
      <c r="K1320" s="1"/>
      <c r="L1320" s="1"/>
    </row>
    <row r="1321" spans="2:12" s="2" customFormat="1" ht="18" customHeight="1">
      <c r="B1321" s="77"/>
      <c r="C1321" s="3"/>
      <c r="E1321" s="24"/>
      <c r="G1321" s="24"/>
      <c r="H1321" s="24"/>
      <c r="J1321" s="1"/>
      <c r="K1321" s="1"/>
      <c r="L1321" s="1"/>
    </row>
    <row r="1322" spans="2:12" s="2" customFormat="1" ht="18" customHeight="1">
      <c r="B1322" s="77"/>
      <c r="C1322" s="3"/>
      <c r="E1322" s="24"/>
      <c r="G1322" s="24"/>
      <c r="H1322" s="24"/>
      <c r="J1322" s="1"/>
      <c r="K1322" s="1"/>
      <c r="L1322" s="1"/>
    </row>
    <row r="1323" spans="2:12" s="2" customFormat="1" ht="18" customHeight="1">
      <c r="B1323" s="77"/>
      <c r="C1323" s="3"/>
      <c r="E1323" s="24"/>
      <c r="G1323" s="24"/>
      <c r="H1323" s="24"/>
      <c r="J1323" s="1"/>
      <c r="K1323" s="1"/>
      <c r="L1323" s="1"/>
    </row>
    <row r="1324" spans="2:12" s="2" customFormat="1" ht="18" customHeight="1">
      <c r="B1324" s="77"/>
      <c r="C1324" s="3"/>
      <c r="E1324" s="24"/>
      <c r="G1324" s="24"/>
      <c r="H1324" s="24"/>
      <c r="J1324" s="1"/>
      <c r="K1324" s="1"/>
      <c r="L1324" s="1"/>
    </row>
    <row r="1325" spans="2:12" s="2" customFormat="1" ht="18" customHeight="1">
      <c r="B1325" s="77"/>
      <c r="C1325" s="3"/>
      <c r="E1325" s="24"/>
      <c r="G1325" s="24"/>
      <c r="H1325" s="24"/>
      <c r="J1325" s="1"/>
      <c r="K1325" s="1"/>
      <c r="L1325" s="1"/>
    </row>
    <row r="1326" spans="2:12" s="2" customFormat="1" ht="18" customHeight="1">
      <c r="B1326" s="77"/>
      <c r="C1326" s="3"/>
      <c r="E1326" s="24"/>
      <c r="G1326" s="24"/>
      <c r="H1326" s="24"/>
      <c r="J1326" s="1"/>
      <c r="K1326" s="1"/>
      <c r="L1326" s="1"/>
    </row>
    <row r="1327" spans="2:12" s="2" customFormat="1" ht="18" customHeight="1">
      <c r="B1327" s="77"/>
      <c r="C1327" s="3"/>
      <c r="E1327" s="24"/>
      <c r="G1327" s="24"/>
      <c r="H1327" s="24"/>
      <c r="J1327" s="1"/>
      <c r="K1327" s="1"/>
      <c r="L1327" s="1"/>
    </row>
    <row r="1328" spans="2:12" s="2" customFormat="1" ht="18" customHeight="1">
      <c r="B1328" s="77"/>
      <c r="C1328" s="3"/>
      <c r="E1328" s="24"/>
      <c r="G1328" s="24"/>
      <c r="H1328" s="24"/>
      <c r="J1328" s="1"/>
      <c r="K1328" s="1"/>
      <c r="L1328" s="1"/>
    </row>
    <row r="1329" spans="2:12" s="2" customFormat="1" ht="18" customHeight="1">
      <c r="B1329" s="77"/>
      <c r="C1329" s="3"/>
      <c r="E1329" s="24"/>
      <c r="G1329" s="24"/>
      <c r="H1329" s="24"/>
      <c r="J1329" s="1"/>
      <c r="K1329" s="1"/>
      <c r="L1329" s="1"/>
    </row>
    <row r="1330" spans="2:12" s="2" customFormat="1" ht="18" customHeight="1">
      <c r="B1330" s="77"/>
      <c r="C1330" s="3"/>
      <c r="E1330" s="24"/>
      <c r="G1330" s="24"/>
      <c r="H1330" s="24"/>
      <c r="J1330" s="1"/>
      <c r="K1330" s="1"/>
      <c r="L1330" s="1"/>
    </row>
    <row r="1331" spans="2:12" s="2" customFormat="1" ht="18" customHeight="1">
      <c r="B1331" s="77"/>
      <c r="C1331" s="3"/>
      <c r="E1331" s="24"/>
      <c r="G1331" s="24"/>
      <c r="H1331" s="24"/>
      <c r="J1331" s="1"/>
      <c r="K1331" s="1"/>
      <c r="L1331" s="1"/>
    </row>
    <row r="1332" spans="2:12" s="2" customFormat="1" ht="18" customHeight="1">
      <c r="B1332" s="77"/>
      <c r="C1332" s="3"/>
      <c r="E1332" s="24"/>
      <c r="G1332" s="24"/>
      <c r="H1332" s="24"/>
      <c r="J1332" s="1"/>
      <c r="K1332" s="1"/>
      <c r="L1332" s="1"/>
    </row>
    <row r="1333" spans="2:12" s="2" customFormat="1" ht="18" customHeight="1">
      <c r="B1333" s="77"/>
      <c r="C1333" s="3"/>
      <c r="E1333" s="24"/>
      <c r="G1333" s="24"/>
      <c r="H1333" s="24"/>
      <c r="J1333" s="1"/>
      <c r="K1333" s="1"/>
      <c r="L1333" s="1"/>
    </row>
    <row r="1334" spans="2:12" s="2" customFormat="1" ht="18" customHeight="1">
      <c r="B1334" s="77"/>
      <c r="C1334" s="3"/>
      <c r="E1334" s="24"/>
      <c r="G1334" s="24"/>
      <c r="H1334" s="24"/>
      <c r="J1334" s="1"/>
      <c r="K1334" s="1"/>
      <c r="L1334" s="1"/>
    </row>
    <row r="1335" spans="2:12" s="2" customFormat="1" ht="18" customHeight="1">
      <c r="B1335" s="77"/>
      <c r="C1335" s="3"/>
      <c r="E1335" s="24"/>
      <c r="G1335" s="24"/>
      <c r="H1335" s="24"/>
      <c r="J1335" s="1"/>
      <c r="K1335" s="1"/>
      <c r="L1335" s="1"/>
    </row>
    <row r="1336" spans="2:12" s="2" customFormat="1" ht="18" customHeight="1">
      <c r="B1336" s="77"/>
      <c r="C1336" s="3"/>
      <c r="E1336" s="24"/>
      <c r="G1336" s="24"/>
      <c r="H1336" s="24"/>
      <c r="J1336" s="1"/>
      <c r="K1336" s="1"/>
      <c r="L1336" s="1"/>
    </row>
    <row r="1337" spans="2:12" s="2" customFormat="1" ht="18" customHeight="1">
      <c r="B1337" s="77"/>
      <c r="C1337" s="3"/>
      <c r="E1337" s="24"/>
      <c r="G1337" s="24"/>
      <c r="H1337" s="24"/>
      <c r="J1337" s="1"/>
      <c r="K1337" s="1"/>
      <c r="L1337" s="1"/>
    </row>
    <row r="1338" spans="2:12" s="2" customFormat="1" ht="18" customHeight="1">
      <c r="B1338" s="77"/>
      <c r="C1338" s="3"/>
      <c r="E1338" s="24"/>
      <c r="G1338" s="24"/>
      <c r="H1338" s="24"/>
      <c r="J1338" s="1"/>
      <c r="K1338" s="1"/>
      <c r="L1338" s="1"/>
    </row>
    <row r="1339" spans="2:12" s="2" customFormat="1" ht="18" customHeight="1">
      <c r="B1339" s="77"/>
      <c r="C1339" s="3"/>
      <c r="E1339" s="24"/>
      <c r="G1339" s="24"/>
      <c r="H1339" s="24"/>
      <c r="J1339" s="1"/>
      <c r="K1339" s="1"/>
      <c r="L1339" s="1"/>
    </row>
    <row r="1340" spans="2:12" s="2" customFormat="1" ht="18" customHeight="1">
      <c r="B1340" s="77"/>
      <c r="C1340" s="3"/>
      <c r="E1340" s="24"/>
      <c r="G1340" s="24"/>
      <c r="H1340" s="24"/>
      <c r="J1340" s="1"/>
      <c r="K1340" s="1"/>
      <c r="L1340" s="1"/>
    </row>
    <row r="1341" spans="2:12" s="2" customFormat="1" ht="18" customHeight="1">
      <c r="B1341" s="77"/>
      <c r="C1341" s="3"/>
      <c r="E1341" s="24"/>
      <c r="G1341" s="24"/>
      <c r="H1341" s="24"/>
      <c r="J1341" s="1"/>
      <c r="K1341" s="1"/>
      <c r="L1341" s="1"/>
    </row>
    <row r="1342" spans="2:12" s="2" customFormat="1" ht="18" customHeight="1">
      <c r="B1342" s="77"/>
      <c r="C1342" s="3"/>
      <c r="E1342" s="24"/>
      <c r="G1342" s="24"/>
      <c r="H1342" s="24"/>
      <c r="J1342" s="1"/>
      <c r="K1342" s="1"/>
      <c r="L1342" s="1"/>
    </row>
    <row r="1343" spans="2:12" s="2" customFormat="1" ht="18" customHeight="1">
      <c r="B1343" s="77"/>
      <c r="C1343" s="3"/>
      <c r="E1343" s="24"/>
      <c r="G1343" s="24"/>
      <c r="H1343" s="24"/>
      <c r="J1343" s="1"/>
      <c r="K1343" s="1"/>
      <c r="L1343" s="1"/>
    </row>
    <row r="1344" spans="2:12" s="2" customFormat="1" ht="18" customHeight="1">
      <c r="B1344" s="77"/>
      <c r="C1344" s="3"/>
      <c r="E1344" s="24"/>
      <c r="G1344" s="24"/>
      <c r="H1344" s="24"/>
      <c r="J1344" s="1"/>
      <c r="K1344" s="1"/>
      <c r="L1344" s="1"/>
    </row>
    <row r="1345" spans="2:12" s="2" customFormat="1" ht="18" customHeight="1">
      <c r="B1345" s="77"/>
      <c r="C1345" s="3"/>
      <c r="E1345" s="24"/>
      <c r="G1345" s="24"/>
      <c r="H1345" s="24"/>
      <c r="J1345" s="1"/>
      <c r="K1345" s="1"/>
      <c r="L1345" s="1"/>
    </row>
    <row r="1346" spans="2:12" s="2" customFormat="1" ht="18" customHeight="1">
      <c r="B1346" s="77"/>
      <c r="C1346" s="3"/>
      <c r="E1346" s="24"/>
      <c r="G1346" s="24"/>
      <c r="H1346" s="24"/>
      <c r="J1346" s="1"/>
      <c r="K1346" s="1"/>
      <c r="L1346" s="1"/>
    </row>
    <row r="1347" spans="2:12" s="2" customFormat="1" ht="18" customHeight="1">
      <c r="B1347" s="77"/>
      <c r="C1347" s="3"/>
      <c r="E1347" s="24"/>
      <c r="G1347" s="24"/>
      <c r="H1347" s="24"/>
      <c r="J1347" s="1"/>
      <c r="K1347" s="1"/>
      <c r="L1347" s="1"/>
    </row>
    <row r="1348" spans="2:12" s="2" customFormat="1" ht="18" customHeight="1">
      <c r="B1348" s="77"/>
      <c r="C1348" s="3"/>
      <c r="E1348" s="24"/>
      <c r="G1348" s="24"/>
      <c r="H1348" s="24"/>
      <c r="J1348" s="1"/>
      <c r="K1348" s="1"/>
      <c r="L1348" s="1"/>
    </row>
    <row r="1349" spans="2:12" s="2" customFormat="1" ht="18" customHeight="1">
      <c r="B1349" s="77"/>
      <c r="C1349" s="3"/>
      <c r="E1349" s="24"/>
      <c r="G1349" s="24"/>
      <c r="H1349" s="24"/>
      <c r="J1349" s="1"/>
      <c r="K1349" s="1"/>
      <c r="L1349" s="1"/>
    </row>
    <row r="1350" spans="2:12" s="2" customFormat="1" ht="18" customHeight="1">
      <c r="B1350" s="77"/>
      <c r="C1350" s="3"/>
      <c r="E1350" s="24"/>
      <c r="G1350" s="24"/>
      <c r="H1350" s="24"/>
      <c r="J1350" s="1"/>
      <c r="K1350" s="1"/>
      <c r="L1350" s="1"/>
    </row>
    <row r="1351" spans="2:12" s="2" customFormat="1" ht="18" customHeight="1">
      <c r="B1351" s="77"/>
      <c r="C1351" s="3"/>
      <c r="E1351" s="24"/>
      <c r="G1351" s="24"/>
      <c r="H1351" s="24"/>
      <c r="J1351" s="1"/>
      <c r="K1351" s="1"/>
      <c r="L1351" s="1"/>
    </row>
    <row r="1352" spans="2:12" s="2" customFormat="1" ht="18" customHeight="1">
      <c r="B1352" s="77"/>
      <c r="C1352" s="3"/>
      <c r="E1352" s="24"/>
      <c r="G1352" s="24"/>
      <c r="H1352" s="24"/>
      <c r="J1352" s="1"/>
      <c r="K1352" s="1"/>
      <c r="L1352" s="1"/>
    </row>
    <row r="1353" spans="2:12" s="2" customFormat="1" ht="18" customHeight="1">
      <c r="B1353" s="77"/>
      <c r="C1353" s="3"/>
      <c r="E1353" s="24"/>
      <c r="G1353" s="24"/>
      <c r="H1353" s="24"/>
      <c r="J1353" s="1"/>
      <c r="K1353" s="1"/>
      <c r="L1353" s="1"/>
    </row>
    <row r="1354" spans="2:12" s="2" customFormat="1" ht="18" customHeight="1">
      <c r="B1354" s="77"/>
      <c r="C1354" s="3"/>
      <c r="E1354" s="24"/>
      <c r="G1354" s="24"/>
      <c r="H1354" s="24"/>
      <c r="J1354" s="1"/>
      <c r="K1354" s="1"/>
      <c r="L1354" s="1"/>
    </row>
    <row r="1355" spans="2:12" s="2" customFormat="1" ht="18" customHeight="1">
      <c r="B1355" s="77"/>
      <c r="C1355" s="3"/>
      <c r="E1355" s="24"/>
      <c r="G1355" s="24"/>
      <c r="H1355" s="24"/>
      <c r="J1355" s="1"/>
      <c r="K1355" s="1"/>
      <c r="L1355" s="1"/>
    </row>
    <row r="1356" spans="2:12" s="2" customFormat="1" ht="18" customHeight="1">
      <c r="B1356" s="77"/>
      <c r="C1356" s="3"/>
      <c r="E1356" s="24"/>
      <c r="G1356" s="24"/>
      <c r="H1356" s="24"/>
      <c r="J1356" s="1"/>
      <c r="K1356" s="1"/>
      <c r="L1356" s="1"/>
    </row>
    <row r="1357" spans="2:12" s="2" customFormat="1" ht="18" customHeight="1">
      <c r="B1357" s="77"/>
      <c r="C1357" s="3"/>
      <c r="E1357" s="24"/>
      <c r="G1357" s="24"/>
      <c r="H1357" s="24"/>
      <c r="J1357" s="1"/>
      <c r="K1357" s="1"/>
      <c r="L1357" s="1"/>
    </row>
    <row r="1358" spans="2:12" s="2" customFormat="1" ht="18" customHeight="1">
      <c r="B1358" s="77"/>
      <c r="C1358" s="3"/>
      <c r="E1358" s="24"/>
      <c r="G1358" s="24"/>
      <c r="H1358" s="24"/>
      <c r="J1358" s="1"/>
      <c r="K1358" s="1"/>
      <c r="L1358" s="1"/>
    </row>
    <row r="1359" spans="2:12" s="2" customFormat="1" ht="18" customHeight="1">
      <c r="B1359" s="77"/>
      <c r="C1359" s="3"/>
      <c r="E1359" s="24"/>
      <c r="G1359" s="24"/>
      <c r="H1359" s="24"/>
      <c r="J1359" s="1"/>
      <c r="K1359" s="1"/>
      <c r="L1359" s="1"/>
    </row>
    <row r="1360" spans="2:12" s="2" customFormat="1" ht="18" customHeight="1">
      <c r="B1360" s="77"/>
      <c r="C1360" s="3"/>
      <c r="E1360" s="24"/>
      <c r="G1360" s="24"/>
      <c r="H1360" s="24"/>
      <c r="J1360" s="1"/>
      <c r="K1360" s="1"/>
      <c r="L1360" s="1"/>
    </row>
    <row r="1361" spans="2:12" s="2" customFormat="1" ht="18" customHeight="1">
      <c r="B1361" s="77"/>
      <c r="C1361" s="3"/>
      <c r="E1361" s="24"/>
      <c r="G1361" s="24"/>
      <c r="H1361" s="24"/>
      <c r="J1361" s="1"/>
      <c r="K1361" s="1"/>
      <c r="L1361" s="1"/>
    </row>
    <row r="1362" spans="2:12" s="2" customFormat="1" ht="18" customHeight="1">
      <c r="B1362" s="77"/>
      <c r="C1362" s="3"/>
      <c r="E1362" s="24"/>
      <c r="G1362" s="24"/>
      <c r="H1362" s="24"/>
      <c r="J1362" s="1"/>
      <c r="K1362" s="1"/>
      <c r="L1362" s="1"/>
    </row>
    <row r="1363" spans="2:12" s="2" customFormat="1" ht="18" customHeight="1">
      <c r="B1363" s="77"/>
      <c r="C1363" s="3"/>
      <c r="E1363" s="24"/>
      <c r="G1363" s="24"/>
      <c r="H1363" s="24"/>
      <c r="J1363" s="1"/>
      <c r="K1363" s="1"/>
      <c r="L1363" s="1"/>
    </row>
    <row r="1364" spans="2:12" s="2" customFormat="1" ht="18" customHeight="1">
      <c r="B1364" s="77"/>
      <c r="C1364" s="3"/>
      <c r="E1364" s="24"/>
      <c r="G1364" s="24"/>
      <c r="H1364" s="24"/>
      <c r="J1364" s="1"/>
      <c r="K1364" s="1"/>
      <c r="L1364" s="1"/>
    </row>
    <row r="1365" spans="2:12" s="2" customFormat="1" ht="18" customHeight="1">
      <c r="B1365" s="77"/>
      <c r="C1365" s="3"/>
      <c r="E1365" s="24"/>
      <c r="G1365" s="24"/>
      <c r="H1365" s="24"/>
      <c r="J1365" s="1"/>
      <c r="K1365" s="1"/>
      <c r="L1365" s="1"/>
    </row>
    <row r="1366" spans="2:12" s="2" customFormat="1" ht="18" customHeight="1">
      <c r="B1366" s="77"/>
      <c r="C1366" s="3"/>
      <c r="E1366" s="24"/>
      <c r="G1366" s="24"/>
      <c r="H1366" s="24"/>
      <c r="J1366" s="1"/>
      <c r="K1366" s="1"/>
      <c r="L1366" s="1"/>
    </row>
    <row r="1367" spans="2:12" s="2" customFormat="1" ht="18" customHeight="1">
      <c r="B1367" s="77"/>
      <c r="C1367" s="3"/>
      <c r="E1367" s="24"/>
      <c r="G1367" s="24"/>
      <c r="H1367" s="24"/>
      <c r="J1367" s="1"/>
      <c r="K1367" s="1"/>
      <c r="L1367" s="1"/>
    </row>
    <row r="1368" spans="2:12" s="2" customFormat="1" ht="18" customHeight="1">
      <c r="B1368" s="77"/>
      <c r="C1368" s="3"/>
      <c r="E1368" s="24"/>
      <c r="G1368" s="24"/>
      <c r="H1368" s="24"/>
      <c r="J1368" s="1"/>
      <c r="K1368" s="1"/>
      <c r="L1368" s="1"/>
    </row>
    <row r="1369" spans="2:12" s="2" customFormat="1" ht="18" customHeight="1">
      <c r="B1369" s="77"/>
      <c r="C1369" s="3"/>
      <c r="E1369" s="24"/>
      <c r="G1369" s="24"/>
      <c r="H1369" s="24"/>
      <c r="J1369" s="1"/>
      <c r="K1369" s="1"/>
      <c r="L1369" s="1"/>
    </row>
    <row r="1370" spans="2:12" s="2" customFormat="1" ht="18" customHeight="1">
      <c r="B1370" s="77"/>
      <c r="C1370" s="3"/>
      <c r="E1370" s="24"/>
      <c r="G1370" s="24"/>
      <c r="H1370" s="24"/>
      <c r="J1370" s="1"/>
      <c r="K1370" s="1"/>
      <c r="L1370" s="1"/>
    </row>
    <row r="1371" spans="2:12" s="2" customFormat="1" ht="18" customHeight="1">
      <c r="B1371" s="77"/>
      <c r="C1371" s="3"/>
      <c r="E1371" s="24"/>
      <c r="G1371" s="24"/>
      <c r="H1371" s="24"/>
      <c r="J1371" s="1"/>
      <c r="K1371" s="1"/>
      <c r="L1371" s="1"/>
    </row>
    <row r="1372" spans="2:12" s="2" customFormat="1" ht="18" customHeight="1">
      <c r="B1372" s="77"/>
      <c r="C1372" s="3"/>
      <c r="E1372" s="24"/>
      <c r="G1372" s="24"/>
      <c r="H1372" s="24"/>
      <c r="J1372" s="1"/>
      <c r="K1372" s="1"/>
      <c r="L1372" s="1"/>
    </row>
    <row r="1373" spans="2:12" s="2" customFormat="1" ht="18" customHeight="1">
      <c r="B1373" s="77"/>
      <c r="C1373" s="3"/>
      <c r="E1373" s="24"/>
      <c r="G1373" s="24"/>
      <c r="H1373" s="24"/>
      <c r="J1373" s="1"/>
      <c r="K1373" s="1"/>
      <c r="L1373" s="1"/>
    </row>
    <row r="1374" spans="2:12" s="2" customFormat="1" ht="18" customHeight="1">
      <c r="B1374" s="77"/>
      <c r="C1374" s="3"/>
      <c r="E1374" s="24"/>
      <c r="G1374" s="24"/>
      <c r="H1374" s="24"/>
      <c r="J1374" s="1"/>
      <c r="K1374" s="1"/>
      <c r="L1374" s="1"/>
    </row>
    <row r="1375" spans="2:12" s="2" customFormat="1" ht="18" customHeight="1">
      <c r="B1375" s="77"/>
      <c r="C1375" s="3"/>
      <c r="E1375" s="24"/>
      <c r="G1375" s="24"/>
      <c r="H1375" s="24"/>
      <c r="J1375" s="1"/>
      <c r="K1375" s="1"/>
      <c r="L1375" s="1"/>
    </row>
    <row r="1376" spans="2:12" s="2" customFormat="1" ht="18" customHeight="1">
      <c r="B1376" s="77"/>
      <c r="C1376" s="3"/>
      <c r="E1376" s="24"/>
      <c r="G1376" s="24"/>
      <c r="H1376" s="24"/>
      <c r="J1376" s="1"/>
      <c r="K1376" s="1"/>
      <c r="L1376" s="1"/>
    </row>
    <row r="1377" spans="2:12" s="2" customFormat="1" ht="18" customHeight="1">
      <c r="B1377" s="77"/>
      <c r="C1377" s="3"/>
      <c r="E1377" s="24"/>
      <c r="G1377" s="24"/>
      <c r="H1377" s="24"/>
      <c r="J1377" s="1"/>
      <c r="K1377" s="1"/>
      <c r="L1377" s="1"/>
    </row>
    <row r="1378" spans="2:12" s="2" customFormat="1" ht="18" customHeight="1">
      <c r="B1378" s="77"/>
      <c r="C1378" s="3"/>
      <c r="E1378" s="24"/>
      <c r="G1378" s="24"/>
      <c r="H1378" s="24"/>
      <c r="J1378" s="1"/>
      <c r="K1378" s="1"/>
      <c r="L1378" s="1"/>
    </row>
    <row r="1379" spans="2:12" s="2" customFormat="1" ht="18" customHeight="1">
      <c r="B1379" s="77"/>
      <c r="C1379" s="3"/>
      <c r="E1379" s="24"/>
      <c r="G1379" s="24"/>
      <c r="H1379" s="24"/>
      <c r="J1379" s="1"/>
      <c r="K1379" s="1"/>
      <c r="L1379" s="1"/>
    </row>
    <row r="1380" spans="2:12" s="2" customFormat="1" ht="18" customHeight="1">
      <c r="B1380" s="77"/>
      <c r="C1380" s="3"/>
      <c r="E1380" s="24"/>
      <c r="G1380" s="24"/>
      <c r="H1380" s="24"/>
      <c r="J1380" s="1"/>
      <c r="K1380" s="1"/>
      <c r="L1380" s="1"/>
    </row>
    <row r="1381" spans="2:12" s="2" customFormat="1" ht="18" customHeight="1">
      <c r="B1381" s="77"/>
      <c r="C1381" s="3"/>
      <c r="E1381" s="24"/>
      <c r="G1381" s="24"/>
      <c r="H1381" s="24"/>
      <c r="J1381" s="1"/>
      <c r="K1381" s="1"/>
      <c r="L1381" s="1"/>
    </row>
    <row r="1382" spans="2:12" s="2" customFormat="1" ht="18" customHeight="1">
      <c r="B1382" s="77"/>
      <c r="C1382" s="3"/>
      <c r="E1382" s="24"/>
      <c r="G1382" s="24"/>
      <c r="H1382" s="24"/>
      <c r="J1382" s="1"/>
      <c r="K1382" s="1"/>
      <c r="L1382" s="1"/>
    </row>
    <row r="1383" spans="2:12" s="2" customFormat="1" ht="18" customHeight="1">
      <c r="B1383" s="77"/>
      <c r="C1383" s="3"/>
      <c r="E1383" s="24"/>
      <c r="G1383" s="24"/>
      <c r="H1383" s="24"/>
      <c r="J1383" s="1"/>
      <c r="K1383" s="1"/>
      <c r="L1383" s="1"/>
    </row>
    <row r="1384" spans="2:12" s="2" customFormat="1" ht="18" customHeight="1">
      <c r="B1384" s="77"/>
      <c r="C1384" s="3"/>
      <c r="E1384" s="24"/>
      <c r="G1384" s="24"/>
      <c r="H1384" s="24"/>
      <c r="J1384" s="1"/>
      <c r="K1384" s="1"/>
      <c r="L1384" s="1"/>
    </row>
    <row r="1385" spans="2:12" s="2" customFormat="1" ht="18" customHeight="1">
      <c r="B1385" s="77"/>
      <c r="C1385" s="3"/>
      <c r="E1385" s="24"/>
      <c r="G1385" s="24"/>
      <c r="H1385" s="24"/>
      <c r="J1385" s="1"/>
      <c r="K1385" s="1"/>
      <c r="L1385" s="1"/>
    </row>
    <row r="1386" spans="2:12" s="2" customFormat="1" ht="18" customHeight="1">
      <c r="B1386" s="77"/>
      <c r="C1386" s="3"/>
      <c r="E1386" s="24"/>
      <c r="G1386" s="24"/>
      <c r="H1386" s="24"/>
      <c r="J1386" s="1"/>
      <c r="K1386" s="1"/>
      <c r="L1386" s="1"/>
    </row>
    <row r="1387" spans="2:12" s="2" customFormat="1" ht="18" customHeight="1">
      <c r="B1387" s="77"/>
      <c r="C1387" s="3"/>
      <c r="E1387" s="24"/>
      <c r="G1387" s="24"/>
      <c r="H1387" s="24"/>
      <c r="J1387" s="1"/>
      <c r="K1387" s="1"/>
      <c r="L1387" s="1"/>
    </row>
    <row r="1388" spans="2:12" s="2" customFormat="1" ht="18" customHeight="1">
      <c r="B1388" s="77"/>
      <c r="C1388" s="3"/>
      <c r="E1388" s="24"/>
      <c r="G1388" s="24"/>
      <c r="H1388" s="24"/>
      <c r="J1388" s="1"/>
      <c r="K1388" s="1"/>
      <c r="L1388" s="1"/>
    </row>
    <row r="1389" spans="2:12" s="2" customFormat="1" ht="18" customHeight="1">
      <c r="B1389" s="77"/>
      <c r="C1389" s="3"/>
      <c r="E1389" s="24"/>
      <c r="G1389" s="24"/>
      <c r="H1389" s="24"/>
      <c r="J1389" s="1"/>
      <c r="K1389" s="1"/>
      <c r="L1389" s="1"/>
    </row>
    <row r="1390" spans="2:12" s="2" customFormat="1" ht="18" customHeight="1">
      <c r="B1390" s="77"/>
      <c r="C1390" s="3"/>
      <c r="E1390" s="24"/>
      <c r="G1390" s="24"/>
      <c r="H1390" s="24"/>
      <c r="J1390" s="1"/>
      <c r="K1390" s="1"/>
      <c r="L1390" s="1"/>
    </row>
    <row r="1391" spans="2:12" s="2" customFormat="1" ht="18" customHeight="1">
      <c r="B1391" s="77"/>
      <c r="C1391" s="3"/>
      <c r="E1391" s="24"/>
      <c r="G1391" s="24"/>
      <c r="H1391" s="24"/>
      <c r="J1391" s="1"/>
      <c r="K1391" s="1"/>
      <c r="L1391" s="1"/>
    </row>
    <row r="1392" spans="2:12" s="2" customFormat="1" ht="18" customHeight="1">
      <c r="B1392" s="77"/>
      <c r="C1392" s="3"/>
      <c r="E1392" s="24"/>
      <c r="G1392" s="24"/>
      <c r="H1392" s="24"/>
      <c r="J1392" s="1"/>
      <c r="K1392" s="1"/>
      <c r="L1392" s="1"/>
    </row>
    <row r="1393" spans="2:12" s="2" customFormat="1" ht="18" customHeight="1">
      <c r="B1393" s="77"/>
      <c r="C1393" s="3"/>
      <c r="E1393" s="24"/>
      <c r="G1393" s="24"/>
      <c r="H1393" s="24"/>
      <c r="J1393" s="1"/>
      <c r="K1393" s="1"/>
      <c r="L1393" s="1"/>
    </row>
    <row r="1394" spans="2:12" s="2" customFormat="1" ht="18" customHeight="1">
      <c r="B1394" s="77"/>
      <c r="C1394" s="3"/>
      <c r="E1394" s="24"/>
      <c r="G1394" s="24"/>
      <c r="H1394" s="24"/>
      <c r="J1394" s="1"/>
      <c r="K1394" s="1"/>
      <c r="L1394" s="1"/>
    </row>
    <row r="1395" spans="2:12" s="2" customFormat="1" ht="18" customHeight="1">
      <c r="B1395" s="77"/>
      <c r="C1395" s="3"/>
      <c r="E1395" s="24"/>
      <c r="G1395" s="24"/>
      <c r="H1395" s="24"/>
      <c r="J1395" s="1"/>
      <c r="K1395" s="1"/>
      <c r="L1395" s="1"/>
    </row>
    <row r="1396" spans="2:12" s="2" customFormat="1" ht="18" customHeight="1">
      <c r="B1396" s="77"/>
      <c r="C1396" s="3"/>
      <c r="E1396" s="24"/>
      <c r="G1396" s="24"/>
      <c r="H1396" s="24"/>
      <c r="J1396" s="1"/>
      <c r="K1396" s="1"/>
      <c r="L1396" s="1"/>
    </row>
    <row r="1397" spans="2:12" s="2" customFormat="1" ht="18" customHeight="1">
      <c r="B1397" s="77"/>
      <c r="C1397" s="3"/>
      <c r="E1397" s="24"/>
      <c r="G1397" s="24"/>
      <c r="H1397" s="24"/>
      <c r="J1397" s="1"/>
      <c r="K1397" s="1"/>
      <c r="L1397" s="1"/>
    </row>
    <row r="1398" spans="2:12" s="2" customFormat="1" ht="18" customHeight="1">
      <c r="B1398" s="77"/>
      <c r="C1398" s="3"/>
      <c r="E1398" s="24"/>
      <c r="G1398" s="24"/>
      <c r="H1398" s="24"/>
      <c r="J1398" s="1"/>
      <c r="K1398" s="1"/>
      <c r="L1398" s="1"/>
    </row>
    <row r="1399" spans="2:12" s="2" customFormat="1" ht="18" customHeight="1">
      <c r="B1399" s="77"/>
      <c r="C1399" s="3"/>
      <c r="E1399" s="24"/>
      <c r="G1399" s="24"/>
      <c r="H1399" s="24"/>
      <c r="J1399" s="1"/>
      <c r="K1399" s="1"/>
      <c r="L1399" s="1"/>
    </row>
    <row r="1400" spans="2:12" s="2" customFormat="1" ht="18" customHeight="1">
      <c r="B1400" s="77"/>
      <c r="C1400" s="3"/>
      <c r="E1400" s="24"/>
      <c r="G1400" s="24"/>
      <c r="H1400" s="24"/>
      <c r="J1400" s="1"/>
      <c r="K1400" s="1"/>
      <c r="L1400" s="1"/>
    </row>
    <row r="1401" spans="2:12" s="2" customFormat="1" ht="18" customHeight="1">
      <c r="B1401" s="77"/>
      <c r="C1401" s="3"/>
      <c r="E1401" s="24"/>
      <c r="G1401" s="24"/>
      <c r="H1401" s="24"/>
      <c r="J1401" s="1"/>
      <c r="K1401" s="1"/>
      <c r="L1401" s="1"/>
    </row>
    <row r="1402" spans="2:12" s="2" customFormat="1" ht="18" customHeight="1">
      <c r="B1402" s="77"/>
      <c r="C1402" s="3"/>
      <c r="E1402" s="24"/>
      <c r="G1402" s="24"/>
      <c r="H1402" s="24"/>
      <c r="J1402" s="1"/>
      <c r="K1402" s="1"/>
      <c r="L1402" s="1"/>
    </row>
    <row r="1403" spans="2:12" s="2" customFormat="1" ht="18" customHeight="1">
      <c r="B1403" s="77"/>
      <c r="C1403" s="3"/>
      <c r="E1403" s="24"/>
      <c r="G1403" s="24"/>
      <c r="H1403" s="24"/>
      <c r="J1403" s="1"/>
      <c r="K1403" s="1"/>
      <c r="L1403" s="1"/>
    </row>
    <row r="1404" spans="2:12" s="2" customFormat="1" ht="18" customHeight="1">
      <c r="B1404" s="77"/>
      <c r="C1404" s="3"/>
      <c r="E1404" s="24"/>
      <c r="G1404" s="24"/>
      <c r="H1404" s="24"/>
      <c r="J1404" s="1"/>
      <c r="K1404" s="1"/>
      <c r="L1404" s="1"/>
    </row>
    <row r="1405" spans="2:12" s="2" customFormat="1" ht="18" customHeight="1">
      <c r="B1405" s="77"/>
      <c r="C1405" s="3"/>
      <c r="E1405" s="24"/>
      <c r="G1405" s="24"/>
      <c r="H1405" s="24"/>
      <c r="J1405" s="1"/>
      <c r="K1405" s="1"/>
      <c r="L1405" s="1"/>
    </row>
    <row r="1406" spans="2:12" s="2" customFormat="1" ht="18" customHeight="1">
      <c r="B1406" s="77"/>
      <c r="C1406" s="3"/>
      <c r="E1406" s="24"/>
      <c r="G1406" s="24"/>
      <c r="H1406" s="24"/>
      <c r="J1406" s="1"/>
      <c r="K1406" s="1"/>
      <c r="L1406" s="1"/>
    </row>
    <row r="1407" spans="2:12" s="2" customFormat="1" ht="18" customHeight="1">
      <c r="B1407" s="77"/>
      <c r="C1407" s="3"/>
      <c r="E1407" s="24"/>
      <c r="G1407" s="24"/>
      <c r="H1407" s="24"/>
      <c r="J1407" s="1"/>
      <c r="K1407" s="1"/>
      <c r="L1407" s="1"/>
    </row>
    <row r="1408" spans="2:12" s="2" customFormat="1" ht="18" customHeight="1">
      <c r="B1408" s="77"/>
      <c r="C1408" s="3"/>
      <c r="E1408" s="24"/>
      <c r="G1408" s="24"/>
      <c r="H1408" s="24"/>
      <c r="J1408" s="1"/>
      <c r="K1408" s="1"/>
      <c r="L1408" s="1"/>
    </row>
    <row r="1409" spans="2:12" s="2" customFormat="1" ht="18" customHeight="1">
      <c r="B1409" s="77"/>
      <c r="C1409" s="3"/>
      <c r="E1409" s="24"/>
      <c r="G1409" s="24"/>
      <c r="H1409" s="24"/>
      <c r="J1409" s="1"/>
      <c r="K1409" s="1"/>
      <c r="L1409" s="1"/>
    </row>
    <row r="1410" spans="2:12" s="2" customFormat="1" ht="18" customHeight="1">
      <c r="B1410" s="77"/>
      <c r="C1410" s="3"/>
      <c r="E1410" s="24"/>
      <c r="G1410" s="24"/>
      <c r="H1410" s="24"/>
      <c r="J1410" s="1"/>
      <c r="K1410" s="1"/>
      <c r="L1410" s="1"/>
    </row>
    <row r="1411" spans="2:12" s="2" customFormat="1" ht="18" customHeight="1">
      <c r="B1411" s="77"/>
      <c r="C1411" s="3"/>
      <c r="E1411" s="24"/>
      <c r="G1411" s="24"/>
      <c r="H1411" s="24"/>
      <c r="J1411" s="1"/>
      <c r="K1411" s="1"/>
      <c r="L1411" s="1"/>
    </row>
    <row r="1412" spans="2:12" s="2" customFormat="1" ht="18" customHeight="1">
      <c r="B1412" s="77"/>
      <c r="C1412" s="3"/>
      <c r="E1412" s="24"/>
      <c r="G1412" s="24"/>
      <c r="H1412" s="24"/>
      <c r="J1412" s="1"/>
      <c r="K1412" s="1"/>
      <c r="L1412" s="1"/>
    </row>
    <row r="1413" spans="2:12" s="2" customFormat="1" ht="18" customHeight="1">
      <c r="B1413" s="77"/>
      <c r="C1413" s="3"/>
      <c r="E1413" s="24"/>
      <c r="G1413" s="24"/>
      <c r="H1413" s="24"/>
      <c r="J1413" s="1"/>
      <c r="K1413" s="1"/>
      <c r="L1413" s="1"/>
    </row>
    <row r="1414" spans="2:12" s="2" customFormat="1" ht="18" customHeight="1">
      <c r="B1414" s="77"/>
      <c r="C1414" s="3"/>
      <c r="E1414" s="24"/>
      <c r="G1414" s="24"/>
      <c r="H1414" s="24"/>
      <c r="J1414" s="1"/>
      <c r="K1414" s="1"/>
      <c r="L1414" s="1"/>
    </row>
    <row r="1415" spans="2:12" s="2" customFormat="1" ht="18" customHeight="1">
      <c r="B1415" s="77"/>
      <c r="C1415" s="3"/>
      <c r="E1415" s="24"/>
      <c r="G1415" s="24"/>
      <c r="H1415" s="24"/>
      <c r="J1415" s="1"/>
      <c r="K1415" s="1"/>
      <c r="L1415" s="1"/>
    </row>
    <row r="1416" spans="2:12" s="2" customFormat="1" ht="18" customHeight="1">
      <c r="B1416" s="77"/>
      <c r="C1416" s="3"/>
      <c r="E1416" s="24"/>
      <c r="G1416" s="24"/>
      <c r="H1416" s="24"/>
      <c r="J1416" s="1"/>
      <c r="K1416" s="1"/>
      <c r="L1416" s="1"/>
    </row>
    <row r="1417" spans="2:12" s="2" customFormat="1" ht="18" customHeight="1">
      <c r="B1417" s="77"/>
      <c r="C1417" s="3"/>
      <c r="E1417" s="24"/>
      <c r="G1417" s="24"/>
      <c r="H1417" s="24"/>
      <c r="J1417" s="1"/>
      <c r="K1417" s="1"/>
      <c r="L1417" s="1"/>
    </row>
    <row r="1418" spans="2:12" s="2" customFormat="1" ht="18" customHeight="1">
      <c r="B1418" s="77"/>
      <c r="C1418" s="3"/>
      <c r="E1418" s="24"/>
      <c r="G1418" s="24"/>
      <c r="H1418" s="24"/>
      <c r="J1418" s="1"/>
      <c r="K1418" s="1"/>
      <c r="L1418" s="1"/>
    </row>
    <row r="1419" spans="2:12" s="2" customFormat="1" ht="18" customHeight="1">
      <c r="B1419" s="77"/>
      <c r="C1419" s="3"/>
      <c r="E1419" s="24"/>
      <c r="G1419" s="24"/>
      <c r="H1419" s="24"/>
      <c r="J1419" s="1"/>
      <c r="K1419" s="1"/>
      <c r="L1419" s="1"/>
    </row>
    <row r="1420" spans="2:12" s="2" customFormat="1" ht="18" customHeight="1">
      <c r="B1420" s="77"/>
      <c r="C1420" s="3"/>
      <c r="E1420" s="24"/>
      <c r="G1420" s="24"/>
      <c r="H1420" s="24"/>
      <c r="J1420" s="1"/>
      <c r="K1420" s="1"/>
      <c r="L1420" s="1"/>
    </row>
    <row r="1421" spans="2:12" s="2" customFormat="1" ht="18" customHeight="1">
      <c r="B1421" s="77"/>
      <c r="C1421" s="3"/>
      <c r="E1421" s="24"/>
      <c r="G1421" s="24"/>
      <c r="H1421" s="24"/>
      <c r="J1421" s="1"/>
      <c r="K1421" s="1"/>
      <c r="L1421" s="1"/>
    </row>
    <row r="1422" spans="2:12" s="2" customFormat="1" ht="18" customHeight="1">
      <c r="B1422" s="77"/>
      <c r="C1422" s="3"/>
      <c r="E1422" s="24"/>
      <c r="G1422" s="24"/>
      <c r="H1422" s="24"/>
      <c r="J1422" s="1"/>
      <c r="K1422" s="1"/>
      <c r="L1422" s="1"/>
    </row>
    <row r="1423" spans="2:12" s="2" customFormat="1" ht="18" customHeight="1">
      <c r="B1423" s="77"/>
      <c r="C1423" s="3"/>
      <c r="E1423" s="24"/>
      <c r="G1423" s="24"/>
      <c r="H1423" s="24"/>
      <c r="J1423" s="1"/>
      <c r="K1423" s="1"/>
      <c r="L1423" s="1"/>
    </row>
    <row r="1424" spans="2:12" s="2" customFormat="1" ht="18" customHeight="1">
      <c r="B1424" s="77"/>
      <c r="C1424" s="3"/>
      <c r="E1424" s="24"/>
      <c r="G1424" s="24"/>
      <c r="H1424" s="24"/>
      <c r="J1424" s="1"/>
      <c r="K1424" s="1"/>
      <c r="L1424" s="1"/>
    </row>
    <row r="1425" spans="2:12" s="2" customFormat="1" ht="18" customHeight="1">
      <c r="B1425" s="77"/>
      <c r="C1425" s="3"/>
      <c r="E1425" s="24"/>
      <c r="G1425" s="24"/>
      <c r="H1425" s="24"/>
      <c r="J1425" s="1"/>
      <c r="K1425" s="1"/>
      <c r="L1425" s="1"/>
    </row>
    <row r="1426" spans="2:12" s="2" customFormat="1" ht="18" customHeight="1">
      <c r="B1426" s="77"/>
      <c r="C1426" s="3"/>
      <c r="E1426" s="24"/>
      <c r="G1426" s="24"/>
      <c r="H1426" s="24"/>
      <c r="J1426" s="1"/>
      <c r="K1426" s="1"/>
      <c r="L1426" s="1"/>
    </row>
    <row r="1427" spans="2:12" s="2" customFormat="1" ht="18" customHeight="1">
      <c r="B1427" s="77"/>
      <c r="C1427" s="3"/>
      <c r="E1427" s="24"/>
      <c r="G1427" s="24"/>
      <c r="H1427" s="24"/>
      <c r="J1427" s="1"/>
      <c r="K1427" s="1"/>
      <c r="L1427" s="1"/>
    </row>
    <row r="1428" spans="2:12" s="2" customFormat="1" ht="18" customHeight="1">
      <c r="B1428" s="77"/>
      <c r="C1428" s="3"/>
      <c r="E1428" s="24"/>
      <c r="G1428" s="24"/>
      <c r="H1428" s="24"/>
      <c r="J1428" s="1"/>
      <c r="K1428" s="1"/>
      <c r="L1428" s="1"/>
    </row>
    <row r="1429" spans="2:12" s="2" customFormat="1" ht="18" customHeight="1">
      <c r="B1429" s="77"/>
      <c r="C1429" s="3"/>
      <c r="E1429" s="24"/>
      <c r="G1429" s="24"/>
      <c r="H1429" s="24"/>
      <c r="J1429" s="1"/>
      <c r="K1429" s="1"/>
      <c r="L1429" s="1"/>
    </row>
    <row r="1430" spans="2:12" s="2" customFormat="1" ht="18" customHeight="1">
      <c r="B1430" s="77"/>
      <c r="C1430" s="3"/>
      <c r="E1430" s="24"/>
      <c r="G1430" s="24"/>
      <c r="H1430" s="24"/>
      <c r="J1430" s="1"/>
      <c r="K1430" s="1"/>
      <c r="L1430" s="1"/>
    </row>
    <row r="1431" spans="2:12" s="2" customFormat="1" ht="18" customHeight="1">
      <c r="B1431" s="77"/>
      <c r="C1431" s="3"/>
      <c r="E1431" s="24"/>
      <c r="G1431" s="24"/>
      <c r="H1431" s="24"/>
      <c r="J1431" s="1"/>
      <c r="K1431" s="1"/>
      <c r="L1431" s="1"/>
    </row>
    <row r="1432" spans="2:12" s="2" customFormat="1" ht="18" customHeight="1">
      <c r="B1432" s="77"/>
      <c r="C1432" s="3"/>
      <c r="E1432" s="24"/>
      <c r="G1432" s="24"/>
      <c r="H1432" s="24"/>
      <c r="J1432" s="1"/>
      <c r="K1432" s="1"/>
      <c r="L1432" s="1"/>
    </row>
    <row r="1433" spans="2:12" s="2" customFormat="1" ht="18" customHeight="1">
      <c r="B1433" s="77"/>
      <c r="C1433" s="3"/>
      <c r="E1433" s="24"/>
      <c r="G1433" s="24"/>
      <c r="H1433" s="24"/>
      <c r="J1433" s="1"/>
      <c r="K1433" s="1"/>
      <c r="L1433" s="1"/>
    </row>
    <row r="1434" spans="2:12" s="2" customFormat="1" ht="18" customHeight="1">
      <c r="B1434" s="77"/>
      <c r="C1434" s="3"/>
      <c r="E1434" s="24"/>
      <c r="G1434" s="24"/>
      <c r="H1434" s="24"/>
      <c r="J1434" s="1"/>
      <c r="K1434" s="1"/>
      <c r="L1434" s="1"/>
    </row>
    <row r="1435" spans="2:12" s="2" customFormat="1" ht="18" customHeight="1">
      <c r="B1435" s="77"/>
      <c r="C1435" s="3"/>
      <c r="E1435" s="24"/>
      <c r="G1435" s="24"/>
      <c r="H1435" s="24"/>
      <c r="J1435" s="1"/>
      <c r="K1435" s="1"/>
      <c r="L1435" s="1"/>
    </row>
    <row r="1436" spans="2:12" s="2" customFormat="1" ht="18" customHeight="1">
      <c r="B1436" s="77"/>
      <c r="C1436" s="3"/>
      <c r="E1436" s="24"/>
      <c r="G1436" s="24"/>
      <c r="H1436" s="24"/>
      <c r="J1436" s="1"/>
      <c r="K1436" s="1"/>
      <c r="L1436" s="1"/>
    </row>
    <row r="1437" spans="2:12" s="2" customFormat="1" ht="18" customHeight="1">
      <c r="B1437" s="77"/>
      <c r="C1437" s="3"/>
      <c r="E1437" s="24"/>
      <c r="G1437" s="24"/>
      <c r="H1437" s="24"/>
      <c r="J1437" s="1"/>
      <c r="K1437" s="1"/>
      <c r="L1437" s="1"/>
    </row>
    <row r="1438" spans="2:12" s="2" customFormat="1" ht="18" customHeight="1">
      <c r="B1438" s="77"/>
      <c r="C1438" s="3"/>
      <c r="E1438" s="24"/>
      <c r="G1438" s="24"/>
      <c r="H1438" s="24"/>
      <c r="J1438" s="1"/>
      <c r="K1438" s="1"/>
      <c r="L1438" s="1"/>
    </row>
    <row r="1439" spans="2:12" s="2" customFormat="1" ht="18" customHeight="1">
      <c r="B1439" s="77"/>
      <c r="C1439" s="3"/>
      <c r="E1439" s="24"/>
      <c r="G1439" s="24"/>
      <c r="H1439" s="24"/>
      <c r="J1439" s="1"/>
      <c r="K1439" s="1"/>
      <c r="L1439" s="1"/>
    </row>
    <row r="1440" spans="2:12" s="2" customFormat="1" ht="18" customHeight="1">
      <c r="B1440" s="77"/>
      <c r="C1440" s="3"/>
      <c r="E1440" s="24"/>
      <c r="G1440" s="24"/>
      <c r="H1440" s="24"/>
      <c r="J1440" s="1"/>
      <c r="K1440" s="1"/>
      <c r="L1440" s="1"/>
    </row>
    <row r="1441" spans="2:12" s="2" customFormat="1" ht="18" customHeight="1">
      <c r="B1441" s="77"/>
      <c r="C1441" s="3"/>
      <c r="E1441" s="24"/>
      <c r="G1441" s="24"/>
      <c r="H1441" s="24"/>
      <c r="J1441" s="1"/>
      <c r="K1441" s="1"/>
      <c r="L1441" s="1"/>
    </row>
    <row r="1442" spans="2:12" s="2" customFormat="1" ht="18" customHeight="1">
      <c r="B1442" s="77"/>
      <c r="C1442" s="3"/>
      <c r="E1442" s="24"/>
      <c r="G1442" s="24"/>
      <c r="H1442" s="24"/>
      <c r="J1442" s="1"/>
      <c r="K1442" s="1"/>
      <c r="L1442" s="1"/>
    </row>
    <row r="1443" spans="2:12" s="2" customFormat="1" ht="18" customHeight="1">
      <c r="B1443" s="77"/>
      <c r="C1443" s="3"/>
      <c r="E1443" s="24"/>
      <c r="G1443" s="24"/>
      <c r="H1443" s="24"/>
      <c r="J1443" s="1"/>
      <c r="K1443" s="1"/>
      <c r="L1443" s="1"/>
    </row>
    <row r="1444" spans="2:12" s="2" customFormat="1" ht="18" customHeight="1">
      <c r="B1444" s="77"/>
      <c r="C1444" s="3"/>
      <c r="E1444" s="24"/>
      <c r="G1444" s="24"/>
      <c r="H1444" s="24"/>
      <c r="J1444" s="1"/>
      <c r="K1444" s="1"/>
      <c r="L1444" s="1"/>
    </row>
    <row r="1445" spans="2:12" s="2" customFormat="1" ht="18" customHeight="1">
      <c r="B1445" s="77"/>
      <c r="C1445" s="3"/>
      <c r="E1445" s="24"/>
      <c r="G1445" s="24"/>
      <c r="H1445" s="24"/>
      <c r="J1445" s="1"/>
      <c r="K1445" s="1"/>
      <c r="L1445" s="1"/>
    </row>
    <row r="1446" spans="2:12" s="2" customFormat="1" ht="18" customHeight="1">
      <c r="B1446" s="77"/>
      <c r="C1446" s="3"/>
      <c r="E1446" s="24"/>
      <c r="G1446" s="24"/>
      <c r="H1446" s="24"/>
      <c r="J1446" s="1"/>
      <c r="K1446" s="1"/>
      <c r="L1446" s="1"/>
    </row>
    <row r="1447" spans="2:12" s="2" customFormat="1" ht="18" customHeight="1">
      <c r="B1447" s="77"/>
      <c r="C1447" s="3"/>
      <c r="E1447" s="24"/>
      <c r="G1447" s="24"/>
      <c r="H1447" s="24"/>
      <c r="J1447" s="1"/>
      <c r="K1447" s="1"/>
      <c r="L1447" s="1"/>
    </row>
    <row r="1448" spans="2:12" s="2" customFormat="1" ht="18" customHeight="1">
      <c r="B1448" s="77"/>
      <c r="C1448" s="3"/>
      <c r="E1448" s="24"/>
      <c r="G1448" s="24"/>
      <c r="H1448" s="24"/>
      <c r="J1448" s="1"/>
      <c r="K1448" s="1"/>
      <c r="L1448" s="1"/>
    </row>
    <row r="1449" spans="2:12" s="2" customFormat="1" ht="18" customHeight="1">
      <c r="B1449" s="77"/>
      <c r="C1449" s="3"/>
      <c r="E1449" s="24"/>
      <c r="G1449" s="24"/>
      <c r="H1449" s="24"/>
      <c r="J1449" s="1"/>
      <c r="K1449" s="1"/>
      <c r="L1449" s="1"/>
    </row>
    <row r="1450" spans="2:12" s="2" customFormat="1" ht="18" customHeight="1">
      <c r="B1450" s="77"/>
      <c r="C1450" s="3"/>
      <c r="E1450" s="24"/>
      <c r="G1450" s="24"/>
      <c r="H1450" s="24"/>
      <c r="J1450" s="1"/>
      <c r="K1450" s="1"/>
      <c r="L1450" s="1"/>
    </row>
    <row r="1451" spans="2:12" s="2" customFormat="1" ht="18" customHeight="1">
      <c r="B1451" s="77"/>
      <c r="C1451" s="3"/>
      <c r="E1451" s="24"/>
      <c r="G1451" s="24"/>
      <c r="H1451" s="24"/>
      <c r="J1451" s="1"/>
      <c r="K1451" s="1"/>
      <c r="L1451" s="1"/>
    </row>
    <row r="1452" spans="2:12" s="2" customFormat="1" ht="18" customHeight="1">
      <c r="B1452" s="77"/>
      <c r="C1452" s="3"/>
      <c r="E1452" s="24"/>
      <c r="G1452" s="24"/>
      <c r="H1452" s="24"/>
      <c r="J1452" s="1"/>
      <c r="K1452" s="1"/>
      <c r="L1452" s="1"/>
    </row>
    <row r="1453" spans="2:12" s="2" customFormat="1" ht="18" customHeight="1">
      <c r="B1453" s="77"/>
      <c r="C1453" s="3"/>
      <c r="E1453" s="24"/>
      <c r="G1453" s="24"/>
      <c r="H1453" s="24"/>
      <c r="J1453" s="1"/>
      <c r="K1453" s="1"/>
      <c r="L1453" s="1"/>
    </row>
    <row r="1454" spans="2:12" s="2" customFormat="1" ht="18" customHeight="1">
      <c r="B1454" s="77"/>
      <c r="C1454" s="3"/>
      <c r="E1454" s="24"/>
      <c r="G1454" s="24"/>
      <c r="H1454" s="24"/>
      <c r="J1454" s="1"/>
      <c r="K1454" s="1"/>
      <c r="L1454" s="1"/>
    </row>
    <row r="1455" spans="2:12" s="2" customFormat="1" ht="18" customHeight="1">
      <c r="B1455" s="77"/>
      <c r="C1455" s="3"/>
      <c r="E1455" s="24"/>
      <c r="G1455" s="24"/>
      <c r="H1455" s="24"/>
      <c r="J1455" s="1"/>
      <c r="K1455" s="1"/>
      <c r="L1455" s="1"/>
    </row>
    <row r="1456" spans="2:12" s="2" customFormat="1" ht="18" customHeight="1">
      <c r="B1456" s="77"/>
      <c r="C1456" s="3"/>
      <c r="E1456" s="24"/>
      <c r="G1456" s="24"/>
      <c r="H1456" s="24"/>
      <c r="J1456" s="1"/>
      <c r="K1456" s="1"/>
      <c r="L1456" s="1"/>
    </row>
    <row r="1457" spans="2:12" s="2" customFormat="1" ht="18" customHeight="1">
      <c r="B1457" s="77"/>
      <c r="C1457" s="3"/>
      <c r="E1457" s="24"/>
      <c r="G1457" s="24"/>
      <c r="H1457" s="24"/>
      <c r="J1457" s="1"/>
      <c r="K1457" s="1"/>
      <c r="L1457" s="1"/>
    </row>
    <row r="1458" spans="2:12" s="2" customFormat="1" ht="18" customHeight="1">
      <c r="B1458" s="77"/>
      <c r="C1458" s="3"/>
      <c r="E1458" s="24"/>
      <c r="G1458" s="24"/>
      <c r="H1458" s="24"/>
      <c r="J1458" s="1"/>
      <c r="K1458" s="1"/>
      <c r="L1458" s="1"/>
    </row>
    <row r="1459" spans="2:12" s="2" customFormat="1" ht="18" customHeight="1">
      <c r="B1459" s="77"/>
      <c r="C1459" s="3"/>
      <c r="E1459" s="24"/>
      <c r="G1459" s="24"/>
      <c r="H1459" s="24"/>
      <c r="J1459" s="1"/>
      <c r="K1459" s="1"/>
      <c r="L1459" s="1"/>
    </row>
    <row r="1460" spans="2:12" s="2" customFormat="1" ht="18" customHeight="1">
      <c r="B1460" s="77"/>
      <c r="C1460" s="3"/>
      <c r="E1460" s="24"/>
      <c r="G1460" s="24"/>
      <c r="H1460" s="24"/>
      <c r="J1460" s="1"/>
      <c r="K1460" s="1"/>
      <c r="L1460" s="1"/>
    </row>
    <row r="1461" spans="2:12" s="2" customFormat="1" ht="18" customHeight="1">
      <c r="B1461" s="77"/>
      <c r="C1461" s="3"/>
      <c r="E1461" s="24"/>
      <c r="G1461" s="24"/>
      <c r="H1461" s="24"/>
      <c r="J1461" s="1"/>
      <c r="K1461" s="1"/>
      <c r="L1461" s="1"/>
    </row>
    <row r="1462" spans="2:12" s="2" customFormat="1" ht="18" customHeight="1">
      <c r="B1462" s="77"/>
      <c r="C1462" s="3"/>
      <c r="E1462" s="24"/>
      <c r="G1462" s="24"/>
      <c r="H1462" s="24"/>
      <c r="J1462" s="1"/>
      <c r="K1462" s="1"/>
      <c r="L1462" s="1"/>
    </row>
    <row r="1463" spans="2:12" s="2" customFormat="1" ht="18" customHeight="1">
      <c r="B1463" s="77"/>
      <c r="C1463" s="3"/>
      <c r="E1463" s="24"/>
      <c r="G1463" s="24"/>
      <c r="H1463" s="24"/>
      <c r="J1463" s="1"/>
      <c r="K1463" s="1"/>
      <c r="L1463" s="1"/>
    </row>
    <row r="1464" spans="2:12" s="2" customFormat="1" ht="18" customHeight="1">
      <c r="B1464" s="77"/>
      <c r="C1464" s="3"/>
      <c r="E1464" s="24"/>
      <c r="G1464" s="24"/>
      <c r="H1464" s="24"/>
      <c r="J1464" s="1"/>
      <c r="K1464" s="1"/>
      <c r="L1464" s="1"/>
    </row>
    <row r="1465" spans="2:12" s="2" customFormat="1" ht="18" customHeight="1">
      <c r="B1465" s="77"/>
      <c r="C1465" s="3"/>
      <c r="E1465" s="24"/>
      <c r="G1465" s="24"/>
      <c r="H1465" s="24"/>
      <c r="J1465" s="1"/>
      <c r="K1465" s="1"/>
      <c r="L1465" s="1"/>
    </row>
    <row r="1466" spans="2:12" s="2" customFormat="1" ht="18" customHeight="1">
      <c r="B1466" s="77"/>
      <c r="C1466" s="3"/>
      <c r="E1466" s="24"/>
      <c r="G1466" s="24"/>
      <c r="H1466" s="24"/>
      <c r="J1466" s="1"/>
      <c r="K1466" s="1"/>
      <c r="L1466" s="1"/>
    </row>
    <row r="1467" spans="2:12" s="2" customFormat="1" ht="18" customHeight="1">
      <c r="B1467" s="77"/>
      <c r="C1467" s="3"/>
      <c r="E1467" s="24"/>
      <c r="G1467" s="24"/>
      <c r="H1467" s="24"/>
      <c r="J1467" s="1"/>
      <c r="K1467" s="1"/>
      <c r="L1467" s="1"/>
    </row>
    <row r="1468" spans="2:12" s="2" customFormat="1" ht="18" customHeight="1">
      <c r="B1468" s="77"/>
      <c r="C1468" s="3"/>
      <c r="E1468" s="24"/>
      <c r="G1468" s="24"/>
      <c r="H1468" s="24"/>
      <c r="J1468" s="1"/>
      <c r="K1468" s="1"/>
      <c r="L1468" s="1"/>
    </row>
    <row r="1469" spans="2:12" s="2" customFormat="1" ht="18" customHeight="1">
      <c r="B1469" s="77"/>
      <c r="C1469" s="3"/>
      <c r="E1469" s="24"/>
      <c r="G1469" s="24"/>
      <c r="H1469" s="24"/>
      <c r="J1469" s="1"/>
      <c r="K1469" s="1"/>
      <c r="L1469" s="1"/>
    </row>
    <row r="1470" spans="2:12" s="2" customFormat="1" ht="18" customHeight="1">
      <c r="B1470" s="77"/>
      <c r="C1470" s="3"/>
      <c r="E1470" s="24"/>
      <c r="G1470" s="24"/>
      <c r="H1470" s="24"/>
      <c r="J1470" s="1"/>
      <c r="K1470" s="1"/>
      <c r="L1470" s="1"/>
    </row>
    <row r="1471" spans="2:12" s="2" customFormat="1" ht="18" customHeight="1">
      <c r="B1471" s="77"/>
      <c r="C1471" s="3"/>
      <c r="E1471" s="24"/>
      <c r="G1471" s="24"/>
      <c r="H1471" s="24"/>
      <c r="J1471" s="1"/>
      <c r="K1471" s="1"/>
      <c r="L1471" s="1"/>
    </row>
    <row r="1472" spans="2:12" s="2" customFormat="1" ht="18" customHeight="1">
      <c r="B1472" s="77"/>
      <c r="C1472" s="3"/>
      <c r="E1472" s="24"/>
      <c r="G1472" s="24"/>
      <c r="H1472" s="24"/>
      <c r="J1472" s="1"/>
      <c r="K1472" s="1"/>
      <c r="L1472" s="1"/>
    </row>
    <row r="1473" spans="2:12" s="2" customFormat="1" ht="18" customHeight="1">
      <c r="B1473" s="77"/>
      <c r="C1473" s="3"/>
      <c r="E1473" s="24"/>
      <c r="G1473" s="24"/>
      <c r="H1473" s="24"/>
      <c r="J1473" s="1"/>
      <c r="K1473" s="1"/>
      <c r="L1473" s="1"/>
    </row>
    <row r="1474" spans="2:12" s="2" customFormat="1" ht="18" customHeight="1">
      <c r="B1474" s="77"/>
      <c r="C1474" s="3"/>
      <c r="E1474" s="24"/>
      <c r="G1474" s="24"/>
      <c r="H1474" s="24"/>
      <c r="J1474" s="1"/>
      <c r="K1474" s="1"/>
      <c r="L1474" s="1"/>
    </row>
    <row r="1475" spans="2:12" s="2" customFormat="1" ht="18" customHeight="1">
      <c r="B1475" s="77"/>
      <c r="C1475" s="3"/>
      <c r="E1475" s="24"/>
      <c r="G1475" s="24"/>
      <c r="H1475" s="24"/>
      <c r="J1475" s="1"/>
      <c r="K1475" s="1"/>
      <c r="L1475" s="1"/>
    </row>
    <row r="1476" spans="2:12" s="2" customFormat="1" ht="18" customHeight="1">
      <c r="B1476" s="77"/>
      <c r="C1476" s="3"/>
      <c r="E1476" s="24"/>
      <c r="G1476" s="24"/>
      <c r="H1476" s="24"/>
      <c r="J1476" s="1"/>
      <c r="K1476" s="1"/>
      <c r="L1476" s="1"/>
    </row>
    <row r="1477" spans="2:12" s="2" customFormat="1" ht="18" customHeight="1">
      <c r="B1477" s="77"/>
      <c r="C1477" s="3"/>
      <c r="E1477" s="24"/>
      <c r="G1477" s="24"/>
      <c r="H1477" s="24"/>
      <c r="J1477" s="1"/>
      <c r="K1477" s="1"/>
      <c r="L1477" s="1"/>
    </row>
    <row r="1478" spans="2:12" s="2" customFormat="1" ht="18" customHeight="1">
      <c r="B1478" s="77"/>
      <c r="C1478" s="3"/>
      <c r="E1478" s="24"/>
      <c r="G1478" s="24"/>
      <c r="H1478" s="24"/>
      <c r="J1478" s="1"/>
      <c r="K1478" s="1"/>
      <c r="L1478" s="1"/>
    </row>
    <row r="1479" spans="2:12" s="2" customFormat="1" ht="18" customHeight="1">
      <c r="B1479" s="77"/>
      <c r="C1479" s="3"/>
      <c r="E1479" s="24"/>
      <c r="G1479" s="24"/>
      <c r="H1479" s="24"/>
      <c r="J1479" s="1"/>
      <c r="K1479" s="1"/>
      <c r="L1479" s="1"/>
    </row>
    <row r="1480" spans="2:12" s="2" customFormat="1" ht="18" customHeight="1">
      <c r="B1480" s="77"/>
      <c r="C1480" s="3"/>
      <c r="E1480" s="24"/>
      <c r="G1480" s="24"/>
      <c r="H1480" s="24"/>
      <c r="J1480" s="1"/>
      <c r="K1480" s="1"/>
      <c r="L1480" s="1"/>
    </row>
    <row r="1481" spans="2:12" s="2" customFormat="1" ht="18" customHeight="1">
      <c r="B1481" s="77"/>
      <c r="C1481" s="3"/>
      <c r="E1481" s="24"/>
      <c r="G1481" s="24"/>
      <c r="H1481" s="24"/>
      <c r="J1481" s="1"/>
      <c r="K1481" s="1"/>
      <c r="L1481" s="1"/>
    </row>
    <row r="1482" spans="2:12" s="2" customFormat="1" ht="18" customHeight="1">
      <c r="B1482" s="77"/>
      <c r="C1482" s="3"/>
      <c r="E1482" s="24"/>
      <c r="G1482" s="24"/>
      <c r="H1482" s="24"/>
      <c r="J1482" s="1"/>
      <c r="K1482" s="1"/>
      <c r="L1482" s="1"/>
    </row>
    <row r="1483" spans="2:12" s="2" customFormat="1" ht="18" customHeight="1">
      <c r="B1483" s="77"/>
      <c r="C1483" s="3"/>
      <c r="E1483" s="24"/>
      <c r="G1483" s="24"/>
      <c r="H1483" s="24"/>
      <c r="J1483" s="1"/>
      <c r="K1483" s="1"/>
      <c r="L1483" s="1"/>
    </row>
    <row r="1484" spans="2:12" s="2" customFormat="1" ht="18" customHeight="1">
      <c r="B1484" s="77"/>
      <c r="C1484" s="3"/>
      <c r="E1484" s="24"/>
      <c r="G1484" s="24"/>
      <c r="H1484" s="24"/>
      <c r="J1484" s="1"/>
      <c r="K1484" s="1"/>
      <c r="L1484" s="1"/>
    </row>
    <row r="1485" spans="2:12" s="2" customFormat="1" ht="18" customHeight="1">
      <c r="B1485" s="77"/>
      <c r="C1485" s="3"/>
      <c r="E1485" s="24"/>
      <c r="G1485" s="24"/>
      <c r="H1485" s="24"/>
      <c r="J1485" s="1"/>
      <c r="K1485" s="1"/>
      <c r="L1485" s="1"/>
    </row>
    <row r="1486" spans="2:12" s="2" customFormat="1" ht="18" customHeight="1">
      <c r="B1486" s="77"/>
      <c r="C1486" s="3"/>
      <c r="E1486" s="24"/>
      <c r="G1486" s="24"/>
      <c r="H1486" s="24"/>
      <c r="J1486" s="1"/>
      <c r="K1486" s="1"/>
      <c r="L1486" s="1"/>
    </row>
    <row r="1487" spans="2:12" s="2" customFormat="1" ht="18" customHeight="1">
      <c r="B1487" s="77"/>
      <c r="C1487" s="3"/>
      <c r="E1487" s="24"/>
      <c r="G1487" s="24"/>
      <c r="H1487" s="24"/>
      <c r="J1487" s="1"/>
      <c r="K1487" s="1"/>
      <c r="L1487" s="1"/>
    </row>
    <row r="1488" spans="2:12" s="2" customFormat="1" ht="18" customHeight="1">
      <c r="B1488" s="77"/>
      <c r="C1488" s="3"/>
      <c r="E1488" s="24"/>
      <c r="G1488" s="24"/>
      <c r="H1488" s="24"/>
      <c r="J1488" s="1"/>
      <c r="K1488" s="1"/>
      <c r="L1488" s="1"/>
    </row>
    <row r="1489" spans="2:12" s="2" customFormat="1" ht="18" customHeight="1">
      <c r="B1489" s="77"/>
      <c r="C1489" s="3"/>
      <c r="E1489" s="24"/>
      <c r="G1489" s="24"/>
      <c r="H1489" s="24"/>
      <c r="J1489" s="1"/>
      <c r="K1489" s="1"/>
      <c r="L1489" s="1"/>
    </row>
    <row r="1490" spans="2:12" s="2" customFormat="1" ht="18" customHeight="1">
      <c r="B1490" s="77"/>
      <c r="C1490" s="3"/>
      <c r="E1490" s="24"/>
      <c r="G1490" s="24"/>
      <c r="H1490" s="24"/>
      <c r="J1490" s="1"/>
      <c r="K1490" s="1"/>
      <c r="L1490" s="1"/>
    </row>
    <row r="1491" spans="2:12" s="2" customFormat="1" ht="18" customHeight="1">
      <c r="B1491" s="77"/>
      <c r="C1491" s="3"/>
      <c r="E1491" s="24"/>
      <c r="G1491" s="24"/>
      <c r="H1491" s="24"/>
      <c r="J1491" s="1"/>
      <c r="K1491" s="1"/>
      <c r="L1491" s="1"/>
    </row>
    <row r="1492" spans="2:12" s="2" customFormat="1" ht="18" customHeight="1">
      <c r="B1492" s="77"/>
      <c r="C1492" s="3"/>
      <c r="E1492" s="24"/>
      <c r="G1492" s="24"/>
      <c r="H1492" s="24"/>
      <c r="J1492" s="1"/>
      <c r="K1492" s="1"/>
      <c r="L1492" s="1"/>
    </row>
    <row r="1493" spans="2:12" s="2" customFormat="1" ht="18" customHeight="1">
      <c r="B1493" s="77"/>
      <c r="C1493" s="3"/>
      <c r="E1493" s="24"/>
      <c r="G1493" s="24"/>
      <c r="H1493" s="24"/>
      <c r="J1493" s="1"/>
      <c r="K1493" s="1"/>
      <c r="L1493" s="1"/>
    </row>
    <row r="1494" spans="2:12" s="2" customFormat="1" ht="18" customHeight="1">
      <c r="B1494" s="77"/>
      <c r="C1494" s="3"/>
      <c r="E1494" s="24"/>
      <c r="G1494" s="24"/>
      <c r="H1494" s="24"/>
      <c r="J1494" s="1"/>
      <c r="K1494" s="1"/>
      <c r="L1494" s="1"/>
    </row>
    <row r="1495" spans="2:12" s="2" customFormat="1" ht="18" customHeight="1">
      <c r="B1495" s="77"/>
      <c r="C1495" s="3"/>
      <c r="E1495" s="24"/>
      <c r="G1495" s="24"/>
      <c r="H1495" s="24"/>
      <c r="J1495" s="1"/>
      <c r="K1495" s="1"/>
      <c r="L1495" s="1"/>
    </row>
    <row r="1496" spans="2:12" s="2" customFormat="1" ht="18" customHeight="1">
      <c r="B1496" s="77"/>
      <c r="C1496" s="3"/>
      <c r="E1496" s="24"/>
      <c r="G1496" s="24"/>
      <c r="H1496" s="24"/>
      <c r="J1496" s="1"/>
      <c r="K1496" s="1"/>
      <c r="L1496" s="1"/>
    </row>
    <row r="1497" spans="2:12" s="2" customFormat="1" ht="18" customHeight="1">
      <c r="B1497" s="77"/>
      <c r="C1497" s="3"/>
      <c r="E1497" s="24"/>
      <c r="G1497" s="24"/>
      <c r="H1497" s="24"/>
      <c r="J1497" s="1"/>
      <c r="K1497" s="1"/>
      <c r="L1497" s="1"/>
    </row>
    <row r="1498" spans="2:12" s="2" customFormat="1" ht="18" customHeight="1">
      <c r="B1498" s="77"/>
      <c r="C1498" s="3"/>
      <c r="E1498" s="24"/>
      <c r="G1498" s="24"/>
      <c r="H1498" s="24"/>
      <c r="J1498" s="1"/>
      <c r="K1498" s="1"/>
      <c r="L1498" s="1"/>
    </row>
    <row r="1499" spans="2:12" s="2" customFormat="1" ht="18" customHeight="1">
      <c r="B1499" s="77"/>
      <c r="C1499" s="3"/>
      <c r="E1499" s="24"/>
      <c r="G1499" s="24"/>
      <c r="H1499" s="24"/>
      <c r="J1499" s="1"/>
      <c r="K1499" s="1"/>
      <c r="L1499" s="1"/>
    </row>
    <row r="1500" spans="2:12" s="2" customFormat="1" ht="18" customHeight="1">
      <c r="B1500" s="77"/>
      <c r="C1500" s="3"/>
      <c r="E1500" s="24"/>
      <c r="G1500" s="24"/>
      <c r="H1500" s="24"/>
      <c r="J1500" s="1"/>
      <c r="K1500" s="1"/>
      <c r="L1500" s="1"/>
    </row>
    <row r="1501" spans="2:12" s="2" customFormat="1" ht="18" customHeight="1">
      <c r="B1501" s="77"/>
      <c r="C1501" s="3"/>
      <c r="E1501" s="24"/>
      <c r="G1501" s="24"/>
      <c r="H1501" s="24"/>
      <c r="J1501" s="1"/>
      <c r="K1501" s="1"/>
      <c r="L1501" s="1"/>
    </row>
    <row r="1502" spans="2:12" s="2" customFormat="1" ht="18" customHeight="1">
      <c r="B1502" s="77"/>
      <c r="C1502" s="3"/>
      <c r="E1502" s="24"/>
      <c r="G1502" s="24"/>
      <c r="H1502" s="24"/>
      <c r="J1502" s="1"/>
      <c r="K1502" s="1"/>
      <c r="L1502" s="1"/>
    </row>
    <row r="1503" spans="2:12" s="2" customFormat="1" ht="18" customHeight="1">
      <c r="B1503" s="77"/>
      <c r="C1503" s="3"/>
      <c r="E1503" s="24"/>
      <c r="G1503" s="24"/>
      <c r="H1503" s="24"/>
      <c r="J1503" s="1"/>
      <c r="K1503" s="1"/>
      <c r="L1503" s="1"/>
    </row>
    <row r="1504" spans="2:12" s="2" customFormat="1" ht="18" customHeight="1">
      <c r="B1504" s="77"/>
      <c r="C1504" s="3"/>
      <c r="E1504" s="24"/>
      <c r="G1504" s="24"/>
      <c r="H1504" s="24"/>
      <c r="J1504" s="1"/>
      <c r="K1504" s="1"/>
      <c r="L1504" s="1"/>
    </row>
    <row r="1505" spans="2:12" s="2" customFormat="1" ht="18" customHeight="1">
      <c r="B1505" s="77"/>
      <c r="C1505" s="3"/>
      <c r="E1505" s="24"/>
      <c r="G1505" s="24"/>
      <c r="H1505" s="24"/>
      <c r="J1505" s="1"/>
      <c r="K1505" s="1"/>
      <c r="L1505" s="1"/>
    </row>
    <row r="1506" spans="2:12" s="2" customFormat="1" ht="18" customHeight="1">
      <c r="B1506" s="77"/>
      <c r="C1506" s="3"/>
      <c r="E1506" s="24"/>
      <c r="G1506" s="24"/>
      <c r="H1506" s="24"/>
      <c r="J1506" s="1"/>
      <c r="K1506" s="1"/>
      <c r="L1506" s="1"/>
    </row>
    <row r="1507" spans="2:12" s="2" customFormat="1" ht="18" customHeight="1">
      <c r="B1507" s="77"/>
      <c r="C1507" s="3"/>
      <c r="E1507" s="24"/>
      <c r="G1507" s="24"/>
      <c r="H1507" s="24"/>
      <c r="J1507" s="1"/>
      <c r="K1507" s="1"/>
      <c r="L1507" s="1"/>
    </row>
    <row r="1508" spans="2:12" s="2" customFormat="1" ht="18" customHeight="1">
      <c r="B1508" s="77"/>
      <c r="C1508" s="3"/>
      <c r="E1508" s="24"/>
      <c r="G1508" s="24"/>
      <c r="H1508" s="24"/>
      <c r="J1508" s="1"/>
      <c r="K1508" s="1"/>
      <c r="L1508" s="1"/>
    </row>
    <row r="1509" spans="2:12" s="2" customFormat="1" ht="18" customHeight="1">
      <c r="B1509" s="77"/>
      <c r="C1509" s="3"/>
      <c r="E1509" s="24"/>
      <c r="G1509" s="24"/>
      <c r="H1509" s="24"/>
      <c r="J1509" s="1"/>
      <c r="K1509" s="1"/>
      <c r="L1509" s="1"/>
    </row>
    <row r="1510" spans="2:12" s="2" customFormat="1" ht="18" customHeight="1">
      <c r="B1510" s="77"/>
      <c r="C1510" s="3"/>
      <c r="E1510" s="24"/>
      <c r="G1510" s="24"/>
      <c r="H1510" s="24"/>
      <c r="J1510" s="1"/>
      <c r="K1510" s="1"/>
      <c r="L1510" s="1"/>
    </row>
    <row r="1511" spans="2:12" s="2" customFormat="1" ht="18" customHeight="1">
      <c r="B1511" s="77"/>
      <c r="C1511" s="3"/>
      <c r="E1511" s="24"/>
      <c r="G1511" s="24"/>
      <c r="H1511" s="24"/>
      <c r="J1511" s="1"/>
      <c r="K1511" s="1"/>
      <c r="L1511" s="1"/>
    </row>
    <row r="1512" spans="2:12" s="2" customFormat="1" ht="18" customHeight="1">
      <c r="B1512" s="77"/>
      <c r="C1512" s="3"/>
      <c r="E1512" s="24"/>
      <c r="G1512" s="24"/>
      <c r="H1512" s="24"/>
      <c r="J1512" s="1"/>
      <c r="K1512" s="1"/>
      <c r="L1512" s="1"/>
    </row>
    <row r="1513" spans="2:12" s="2" customFormat="1" ht="18" customHeight="1">
      <c r="B1513" s="77"/>
      <c r="C1513" s="3"/>
      <c r="E1513" s="24"/>
      <c r="G1513" s="24"/>
      <c r="H1513" s="24"/>
      <c r="J1513" s="1"/>
      <c r="K1513" s="1"/>
      <c r="L1513" s="1"/>
    </row>
    <row r="1514" spans="2:12" s="2" customFormat="1" ht="18" customHeight="1">
      <c r="B1514" s="77"/>
      <c r="C1514" s="3"/>
      <c r="E1514" s="24"/>
      <c r="G1514" s="24"/>
      <c r="H1514" s="24"/>
      <c r="J1514" s="1"/>
      <c r="K1514" s="1"/>
      <c r="L1514" s="1"/>
    </row>
    <row r="1515" spans="2:12" s="2" customFormat="1" ht="18" customHeight="1">
      <c r="B1515" s="77"/>
      <c r="C1515" s="3"/>
      <c r="E1515" s="24"/>
      <c r="G1515" s="24"/>
      <c r="H1515" s="24"/>
      <c r="J1515" s="1"/>
      <c r="K1515" s="1"/>
      <c r="L1515" s="1"/>
    </row>
    <row r="1516" spans="2:12" s="2" customFormat="1" ht="18" customHeight="1">
      <c r="B1516" s="77"/>
      <c r="C1516" s="3"/>
      <c r="E1516" s="24"/>
      <c r="G1516" s="24"/>
      <c r="H1516" s="24"/>
      <c r="J1516" s="1"/>
      <c r="K1516" s="1"/>
      <c r="L1516" s="1"/>
    </row>
    <row r="1517" spans="2:12" s="2" customFormat="1" ht="18" customHeight="1">
      <c r="B1517" s="77"/>
      <c r="C1517" s="3"/>
      <c r="E1517" s="24"/>
      <c r="G1517" s="24"/>
      <c r="H1517" s="24"/>
      <c r="J1517" s="1"/>
      <c r="K1517" s="1"/>
      <c r="L1517" s="1"/>
    </row>
    <row r="1518" spans="2:12" s="2" customFormat="1" ht="18" customHeight="1">
      <c r="B1518" s="77"/>
      <c r="C1518" s="3"/>
      <c r="E1518" s="24"/>
      <c r="G1518" s="24"/>
      <c r="H1518" s="24"/>
      <c r="J1518" s="1"/>
      <c r="K1518" s="1"/>
      <c r="L1518" s="1"/>
    </row>
    <row r="1519" spans="2:12" s="2" customFormat="1" ht="18" customHeight="1">
      <c r="B1519" s="77"/>
      <c r="C1519" s="3"/>
      <c r="E1519" s="24"/>
      <c r="G1519" s="24"/>
      <c r="H1519" s="24"/>
      <c r="J1519" s="1"/>
      <c r="K1519" s="1"/>
      <c r="L1519" s="1"/>
    </row>
    <row r="1520" spans="2:12" s="2" customFormat="1" ht="18" customHeight="1">
      <c r="B1520" s="77"/>
      <c r="C1520" s="3"/>
      <c r="E1520" s="24"/>
      <c r="G1520" s="24"/>
      <c r="H1520" s="24"/>
      <c r="J1520" s="1"/>
      <c r="K1520" s="1"/>
      <c r="L1520" s="1"/>
    </row>
    <row r="1521" spans="2:12" s="2" customFormat="1" ht="18" customHeight="1">
      <c r="B1521" s="77"/>
      <c r="C1521" s="3"/>
      <c r="E1521" s="24"/>
      <c r="G1521" s="24"/>
      <c r="H1521" s="24"/>
      <c r="J1521" s="1"/>
      <c r="K1521" s="1"/>
      <c r="L1521" s="1"/>
    </row>
    <row r="1522" spans="2:12" s="2" customFormat="1" ht="18" customHeight="1">
      <c r="B1522" s="77"/>
      <c r="C1522" s="3"/>
      <c r="E1522" s="24"/>
      <c r="G1522" s="24"/>
      <c r="H1522" s="24"/>
      <c r="J1522" s="1"/>
      <c r="K1522" s="1"/>
      <c r="L1522" s="1"/>
    </row>
    <row r="1523" spans="2:12" s="2" customFormat="1" ht="18" customHeight="1">
      <c r="B1523" s="77"/>
      <c r="C1523" s="3"/>
      <c r="E1523" s="24"/>
      <c r="G1523" s="24"/>
      <c r="H1523" s="24"/>
      <c r="J1523" s="1"/>
      <c r="K1523" s="1"/>
      <c r="L1523" s="1"/>
    </row>
    <row r="1524" spans="2:12" s="2" customFormat="1" ht="18" customHeight="1">
      <c r="B1524" s="77"/>
      <c r="C1524" s="3"/>
      <c r="E1524" s="24"/>
      <c r="G1524" s="24"/>
      <c r="H1524" s="24"/>
      <c r="J1524" s="1"/>
      <c r="K1524" s="1"/>
      <c r="L1524" s="1"/>
    </row>
    <row r="1525" spans="2:12" s="2" customFormat="1" ht="18" customHeight="1">
      <c r="B1525" s="77"/>
      <c r="C1525" s="3"/>
      <c r="E1525" s="24"/>
      <c r="G1525" s="24"/>
      <c r="H1525" s="24"/>
      <c r="J1525" s="1"/>
      <c r="K1525" s="1"/>
      <c r="L1525" s="1"/>
    </row>
    <row r="1526" spans="2:12" s="2" customFormat="1" ht="18" customHeight="1">
      <c r="B1526" s="77"/>
      <c r="C1526" s="3"/>
      <c r="E1526" s="24"/>
      <c r="G1526" s="24"/>
      <c r="H1526" s="24"/>
      <c r="J1526" s="1"/>
      <c r="K1526" s="1"/>
      <c r="L1526" s="1"/>
    </row>
    <row r="1527" spans="2:12" s="2" customFormat="1" ht="18" customHeight="1">
      <c r="B1527" s="77"/>
      <c r="C1527" s="3"/>
      <c r="E1527" s="24"/>
      <c r="G1527" s="24"/>
      <c r="H1527" s="24"/>
      <c r="J1527" s="1"/>
      <c r="K1527" s="1"/>
      <c r="L1527" s="1"/>
    </row>
    <row r="1528" spans="2:12" s="2" customFormat="1" ht="18" customHeight="1">
      <c r="B1528" s="77"/>
      <c r="C1528" s="3"/>
      <c r="E1528" s="24"/>
      <c r="G1528" s="24"/>
      <c r="H1528" s="24"/>
      <c r="J1528" s="1"/>
      <c r="K1528" s="1"/>
      <c r="L1528" s="1"/>
    </row>
    <row r="1529" spans="2:12" s="2" customFormat="1" ht="18" customHeight="1">
      <c r="B1529" s="77"/>
      <c r="C1529" s="3"/>
      <c r="E1529" s="24"/>
      <c r="G1529" s="24"/>
      <c r="H1529" s="24"/>
      <c r="J1529" s="1"/>
      <c r="K1529" s="1"/>
      <c r="L1529" s="1"/>
    </row>
    <row r="1530" spans="2:12" s="2" customFormat="1" ht="18" customHeight="1">
      <c r="B1530" s="77"/>
      <c r="C1530" s="3"/>
      <c r="E1530" s="24"/>
      <c r="G1530" s="24"/>
      <c r="H1530" s="24"/>
      <c r="J1530" s="1"/>
      <c r="K1530" s="1"/>
      <c r="L1530" s="1"/>
    </row>
    <row r="1531" spans="2:12" s="2" customFormat="1" ht="18" customHeight="1">
      <c r="B1531" s="77"/>
      <c r="C1531" s="3"/>
      <c r="E1531" s="24"/>
      <c r="G1531" s="24"/>
      <c r="H1531" s="24"/>
      <c r="J1531" s="1"/>
      <c r="K1531" s="1"/>
      <c r="L1531" s="1"/>
    </row>
    <row r="1532" spans="2:12" s="2" customFormat="1" ht="18" customHeight="1">
      <c r="B1532" s="77"/>
      <c r="C1532" s="3"/>
      <c r="E1532" s="24"/>
      <c r="G1532" s="24"/>
      <c r="H1532" s="24"/>
      <c r="J1532" s="1"/>
      <c r="K1532" s="1"/>
      <c r="L1532" s="1"/>
    </row>
    <row r="1533" spans="2:12" s="2" customFormat="1" ht="18" customHeight="1">
      <c r="B1533" s="77"/>
      <c r="C1533" s="3"/>
      <c r="E1533" s="24"/>
      <c r="G1533" s="24"/>
      <c r="H1533" s="24"/>
      <c r="J1533" s="1"/>
      <c r="K1533" s="1"/>
      <c r="L1533" s="1"/>
    </row>
    <row r="1534" spans="2:12" s="2" customFormat="1" ht="18" customHeight="1">
      <c r="B1534" s="77"/>
      <c r="C1534" s="3"/>
      <c r="E1534" s="24"/>
      <c r="G1534" s="24"/>
      <c r="H1534" s="24"/>
      <c r="J1534" s="1"/>
      <c r="K1534" s="1"/>
      <c r="L1534" s="1"/>
    </row>
    <row r="1535" spans="2:12" s="2" customFormat="1" ht="18" customHeight="1">
      <c r="B1535" s="77"/>
      <c r="C1535" s="3"/>
      <c r="E1535" s="24"/>
      <c r="G1535" s="24"/>
      <c r="H1535" s="24"/>
      <c r="J1535" s="1"/>
      <c r="K1535" s="1"/>
      <c r="L1535" s="1"/>
    </row>
    <row r="1536" spans="2:12" s="2" customFormat="1" ht="18" customHeight="1">
      <c r="B1536" s="77"/>
      <c r="C1536" s="3"/>
      <c r="E1536" s="24"/>
      <c r="G1536" s="24"/>
      <c r="H1536" s="24"/>
      <c r="J1536" s="1"/>
      <c r="K1536" s="1"/>
      <c r="L1536" s="1"/>
    </row>
    <row r="1537" spans="2:12" s="2" customFormat="1" ht="18" customHeight="1">
      <c r="B1537" s="77"/>
      <c r="C1537" s="3"/>
      <c r="E1537" s="24"/>
      <c r="G1537" s="24"/>
      <c r="H1537" s="24"/>
      <c r="J1537" s="1"/>
      <c r="K1537" s="1"/>
      <c r="L1537" s="1"/>
    </row>
    <row r="1538" spans="2:12" s="2" customFormat="1" ht="18" customHeight="1">
      <c r="B1538" s="77"/>
      <c r="C1538" s="3"/>
      <c r="E1538" s="24"/>
      <c r="G1538" s="24"/>
      <c r="H1538" s="24"/>
      <c r="J1538" s="1"/>
      <c r="K1538" s="1"/>
      <c r="L1538" s="1"/>
    </row>
    <row r="1539" spans="2:12" s="2" customFormat="1" ht="18" customHeight="1">
      <c r="B1539" s="77"/>
      <c r="C1539" s="3"/>
      <c r="E1539" s="24"/>
      <c r="G1539" s="24"/>
      <c r="H1539" s="24"/>
      <c r="J1539" s="1"/>
      <c r="K1539" s="1"/>
      <c r="L1539" s="1"/>
    </row>
    <row r="1540" spans="2:12" s="2" customFormat="1" ht="18" customHeight="1">
      <c r="B1540" s="77"/>
      <c r="C1540" s="3"/>
      <c r="E1540" s="24"/>
      <c r="G1540" s="24"/>
      <c r="H1540" s="24"/>
      <c r="J1540" s="1"/>
      <c r="K1540" s="1"/>
      <c r="L1540" s="1"/>
    </row>
    <row r="1541" spans="2:12" s="2" customFormat="1" ht="18" customHeight="1">
      <c r="B1541" s="77"/>
      <c r="C1541" s="3"/>
      <c r="E1541" s="24"/>
      <c r="G1541" s="24"/>
      <c r="H1541" s="24"/>
      <c r="J1541" s="1"/>
      <c r="K1541" s="1"/>
      <c r="L1541" s="1"/>
    </row>
    <row r="1542" spans="2:12" s="2" customFormat="1" ht="18" customHeight="1">
      <c r="B1542" s="77"/>
      <c r="C1542" s="3"/>
      <c r="E1542" s="24"/>
      <c r="G1542" s="24"/>
      <c r="H1542" s="24"/>
      <c r="J1542" s="1"/>
      <c r="K1542" s="1"/>
      <c r="L1542" s="1"/>
    </row>
    <row r="1543" spans="2:12" s="2" customFormat="1" ht="18" customHeight="1">
      <c r="B1543" s="77"/>
      <c r="C1543" s="3"/>
      <c r="E1543" s="24"/>
      <c r="G1543" s="24"/>
      <c r="H1543" s="24"/>
      <c r="J1543" s="1"/>
      <c r="K1543" s="1"/>
      <c r="L1543" s="1"/>
    </row>
    <row r="1544" spans="2:12" s="2" customFormat="1" ht="18" customHeight="1">
      <c r="B1544" s="77"/>
      <c r="C1544" s="3"/>
      <c r="E1544" s="24"/>
      <c r="G1544" s="24"/>
      <c r="H1544" s="24"/>
      <c r="J1544" s="1"/>
      <c r="K1544" s="1"/>
      <c r="L1544" s="1"/>
    </row>
    <row r="1545" spans="2:12" s="2" customFormat="1" ht="18" customHeight="1">
      <c r="B1545" s="77"/>
      <c r="C1545" s="3"/>
      <c r="E1545" s="24"/>
      <c r="G1545" s="24"/>
      <c r="H1545" s="24"/>
      <c r="J1545" s="1"/>
      <c r="K1545" s="1"/>
      <c r="L1545" s="1"/>
    </row>
    <row r="1546" spans="2:12" s="2" customFormat="1" ht="18" customHeight="1">
      <c r="B1546" s="77"/>
      <c r="C1546" s="3"/>
      <c r="E1546" s="24"/>
      <c r="G1546" s="24"/>
      <c r="H1546" s="24"/>
      <c r="J1546" s="1"/>
      <c r="K1546" s="1"/>
      <c r="L1546" s="1"/>
    </row>
    <row r="1547" spans="2:12" s="2" customFormat="1" ht="18" customHeight="1">
      <c r="B1547" s="77"/>
      <c r="C1547" s="3"/>
      <c r="E1547" s="24"/>
      <c r="G1547" s="24"/>
      <c r="H1547" s="24"/>
      <c r="J1547" s="1"/>
      <c r="K1547" s="1"/>
      <c r="L1547" s="1"/>
    </row>
    <row r="1548" spans="2:12" s="2" customFormat="1" ht="18" customHeight="1">
      <c r="B1548" s="77"/>
      <c r="C1548" s="3"/>
      <c r="E1548" s="24"/>
      <c r="G1548" s="24"/>
      <c r="H1548" s="24"/>
      <c r="J1548" s="1"/>
      <c r="K1548" s="1"/>
      <c r="L1548" s="1"/>
    </row>
    <row r="1549" spans="2:12" s="2" customFormat="1" ht="18" customHeight="1">
      <c r="B1549" s="77"/>
      <c r="C1549" s="3"/>
      <c r="E1549" s="24"/>
      <c r="G1549" s="24"/>
      <c r="H1549" s="24"/>
      <c r="J1549" s="1"/>
      <c r="K1549" s="1"/>
      <c r="L1549" s="1"/>
    </row>
    <row r="1550" spans="2:12" s="2" customFormat="1" ht="18" customHeight="1">
      <c r="B1550" s="77"/>
      <c r="C1550" s="3"/>
      <c r="E1550" s="24"/>
      <c r="G1550" s="24"/>
      <c r="H1550" s="24"/>
      <c r="J1550" s="1"/>
      <c r="K1550" s="1"/>
      <c r="L1550" s="1"/>
    </row>
    <row r="1551" spans="2:12" s="2" customFormat="1" ht="18" customHeight="1">
      <c r="B1551" s="77"/>
      <c r="C1551" s="3"/>
      <c r="E1551" s="24"/>
      <c r="G1551" s="24"/>
      <c r="H1551" s="24"/>
      <c r="J1551" s="1"/>
      <c r="K1551" s="1"/>
      <c r="L1551" s="1"/>
    </row>
    <row r="1552" spans="2:12" s="2" customFormat="1" ht="18" customHeight="1">
      <c r="B1552" s="77"/>
      <c r="C1552" s="3"/>
      <c r="E1552" s="24"/>
      <c r="G1552" s="24"/>
      <c r="H1552" s="24"/>
      <c r="J1552" s="1"/>
      <c r="K1552" s="1"/>
      <c r="L1552" s="1"/>
    </row>
    <row r="1553" spans="2:12" s="2" customFormat="1" ht="18" customHeight="1">
      <c r="B1553" s="77"/>
      <c r="C1553" s="3"/>
      <c r="E1553" s="24"/>
      <c r="G1553" s="24"/>
      <c r="H1553" s="24"/>
      <c r="J1553" s="1"/>
      <c r="K1553" s="1"/>
      <c r="L1553" s="1"/>
    </row>
    <row r="1554" spans="2:12" s="2" customFormat="1" ht="18" customHeight="1">
      <c r="B1554" s="77"/>
      <c r="C1554" s="3"/>
      <c r="E1554" s="24"/>
      <c r="G1554" s="24"/>
      <c r="H1554" s="24"/>
      <c r="J1554" s="1"/>
      <c r="K1554" s="1"/>
      <c r="L1554" s="1"/>
    </row>
    <row r="1555" spans="2:12" s="2" customFormat="1" ht="18" customHeight="1">
      <c r="B1555" s="77"/>
      <c r="C1555" s="3"/>
      <c r="E1555" s="24"/>
      <c r="G1555" s="24"/>
      <c r="H1555" s="24"/>
      <c r="J1555" s="1"/>
      <c r="K1555" s="1"/>
      <c r="L1555" s="1"/>
    </row>
    <row r="1556" spans="2:12" s="2" customFormat="1" ht="18" customHeight="1">
      <c r="B1556" s="77"/>
      <c r="C1556" s="3"/>
      <c r="E1556" s="24"/>
      <c r="G1556" s="24"/>
      <c r="H1556" s="24"/>
      <c r="J1556" s="1"/>
      <c r="K1556" s="1"/>
      <c r="L1556" s="1"/>
    </row>
    <row r="1557" spans="2:12" s="2" customFormat="1" ht="18" customHeight="1">
      <c r="B1557" s="77"/>
      <c r="C1557" s="3"/>
      <c r="E1557" s="24"/>
      <c r="G1557" s="24"/>
      <c r="H1557" s="24"/>
      <c r="J1557" s="1"/>
      <c r="K1557" s="1"/>
      <c r="L1557" s="1"/>
    </row>
    <row r="1558" spans="2:12" s="2" customFormat="1" ht="18" customHeight="1">
      <c r="B1558" s="77"/>
      <c r="C1558" s="3"/>
      <c r="E1558" s="24"/>
      <c r="G1558" s="24"/>
      <c r="H1558" s="24"/>
      <c r="J1558" s="1"/>
      <c r="K1558" s="1"/>
      <c r="L1558" s="1"/>
    </row>
    <row r="1559" spans="2:12" s="2" customFormat="1" ht="18" customHeight="1">
      <c r="B1559" s="77"/>
      <c r="C1559" s="3"/>
      <c r="E1559" s="24"/>
      <c r="G1559" s="24"/>
      <c r="H1559" s="24"/>
      <c r="J1559" s="1"/>
      <c r="K1559" s="1"/>
      <c r="L1559" s="1"/>
    </row>
    <row r="1560" spans="2:12" s="2" customFormat="1" ht="18" customHeight="1">
      <c r="B1560" s="77"/>
      <c r="C1560" s="3"/>
      <c r="E1560" s="24"/>
      <c r="G1560" s="24"/>
      <c r="H1560" s="24"/>
      <c r="J1560" s="1"/>
      <c r="K1560" s="1"/>
      <c r="L1560" s="1"/>
    </row>
    <row r="1561" spans="2:12" s="2" customFormat="1" ht="18" customHeight="1">
      <c r="B1561" s="77"/>
      <c r="C1561" s="3"/>
      <c r="E1561" s="24"/>
      <c r="G1561" s="24"/>
      <c r="H1561" s="24"/>
      <c r="J1561" s="1"/>
      <c r="K1561" s="1"/>
      <c r="L1561" s="1"/>
    </row>
    <row r="1562" spans="2:12" s="2" customFormat="1" ht="18" customHeight="1">
      <c r="B1562" s="77"/>
      <c r="C1562" s="3"/>
      <c r="E1562" s="24"/>
      <c r="G1562" s="24"/>
      <c r="H1562" s="24"/>
      <c r="J1562" s="1"/>
      <c r="K1562" s="1"/>
      <c r="L1562" s="1"/>
    </row>
    <row r="1563" spans="2:12" s="2" customFormat="1" ht="18" customHeight="1">
      <c r="B1563" s="77"/>
      <c r="C1563" s="3"/>
      <c r="E1563" s="24"/>
      <c r="G1563" s="24"/>
      <c r="H1563" s="24"/>
      <c r="J1563" s="1"/>
      <c r="K1563" s="1"/>
      <c r="L1563" s="1"/>
    </row>
    <row r="1564" spans="2:12" s="2" customFormat="1" ht="18" customHeight="1">
      <c r="B1564" s="77"/>
      <c r="C1564" s="3"/>
      <c r="E1564" s="24"/>
      <c r="G1564" s="24"/>
      <c r="H1564" s="24"/>
      <c r="J1564" s="1"/>
      <c r="K1564" s="1"/>
      <c r="L1564" s="1"/>
    </row>
    <row r="1565" spans="2:12" s="2" customFormat="1" ht="18" customHeight="1">
      <c r="B1565" s="77"/>
      <c r="C1565" s="3"/>
      <c r="E1565" s="24"/>
      <c r="G1565" s="24"/>
      <c r="H1565" s="24"/>
      <c r="J1565" s="1"/>
      <c r="K1565" s="1"/>
      <c r="L1565" s="1"/>
    </row>
    <row r="1566" spans="2:12" s="2" customFormat="1" ht="18" customHeight="1">
      <c r="B1566" s="77"/>
      <c r="C1566" s="3"/>
      <c r="E1566" s="24"/>
      <c r="G1566" s="24"/>
      <c r="H1566" s="24"/>
      <c r="J1566" s="1"/>
      <c r="K1566" s="1"/>
      <c r="L1566" s="1"/>
    </row>
    <row r="1567" spans="2:12" s="2" customFormat="1" ht="18" customHeight="1">
      <c r="B1567" s="77"/>
      <c r="C1567" s="3"/>
      <c r="E1567" s="24"/>
      <c r="G1567" s="24"/>
      <c r="H1567" s="24"/>
      <c r="J1567" s="1"/>
      <c r="K1567" s="1"/>
      <c r="L1567" s="1"/>
    </row>
    <row r="1568" spans="2:12" s="2" customFormat="1" ht="18" customHeight="1">
      <c r="B1568" s="77"/>
      <c r="C1568" s="3"/>
      <c r="E1568" s="24"/>
      <c r="G1568" s="24"/>
      <c r="H1568" s="24"/>
      <c r="J1568" s="1"/>
      <c r="K1568" s="1"/>
      <c r="L1568" s="1"/>
    </row>
    <row r="1569" spans="2:12" s="2" customFormat="1" ht="18" customHeight="1">
      <c r="B1569" s="77"/>
      <c r="C1569" s="3"/>
      <c r="E1569" s="24"/>
      <c r="G1569" s="24"/>
      <c r="H1569" s="24"/>
      <c r="J1569" s="1"/>
      <c r="K1569" s="1"/>
      <c r="L1569" s="1"/>
    </row>
    <row r="1570" spans="2:12" s="2" customFormat="1" ht="18" customHeight="1">
      <c r="B1570" s="77"/>
      <c r="C1570" s="3"/>
      <c r="E1570" s="24"/>
      <c r="G1570" s="24"/>
      <c r="H1570" s="24"/>
      <c r="J1570" s="1"/>
      <c r="K1570" s="1"/>
      <c r="L1570" s="1"/>
    </row>
    <row r="1571" spans="2:12" s="2" customFormat="1" ht="18" customHeight="1">
      <c r="B1571" s="77"/>
      <c r="C1571" s="3"/>
      <c r="E1571" s="24"/>
      <c r="G1571" s="24"/>
      <c r="H1571" s="24"/>
      <c r="J1571" s="1"/>
      <c r="K1571" s="1"/>
      <c r="L1571" s="1"/>
    </row>
    <row r="1572" spans="2:12" s="2" customFormat="1" ht="18" customHeight="1">
      <c r="B1572" s="77"/>
      <c r="C1572" s="3"/>
      <c r="E1572" s="24"/>
      <c r="G1572" s="24"/>
      <c r="H1572" s="24"/>
      <c r="J1572" s="1"/>
      <c r="K1572" s="1"/>
      <c r="L1572" s="1"/>
    </row>
    <row r="1573" spans="2:12" s="2" customFormat="1" ht="18" customHeight="1">
      <c r="B1573" s="77"/>
      <c r="C1573" s="3"/>
      <c r="E1573" s="24"/>
      <c r="G1573" s="24"/>
      <c r="H1573" s="24"/>
      <c r="J1573" s="1"/>
      <c r="K1573" s="1"/>
      <c r="L1573" s="1"/>
    </row>
    <row r="1574" spans="2:12" s="2" customFormat="1" ht="18" customHeight="1">
      <c r="B1574" s="77"/>
      <c r="C1574" s="3"/>
      <c r="E1574" s="24"/>
      <c r="G1574" s="24"/>
      <c r="H1574" s="24"/>
      <c r="J1574" s="1"/>
      <c r="K1574" s="1"/>
      <c r="L1574" s="1"/>
    </row>
    <row r="1575" spans="2:12" s="2" customFormat="1" ht="18" customHeight="1">
      <c r="B1575" s="77"/>
      <c r="C1575" s="3"/>
      <c r="E1575" s="24"/>
      <c r="G1575" s="24"/>
      <c r="H1575" s="24"/>
      <c r="J1575" s="1"/>
      <c r="K1575" s="1"/>
      <c r="L1575" s="1"/>
    </row>
    <row r="1576" spans="2:12" s="2" customFormat="1" ht="18" customHeight="1">
      <c r="B1576" s="77"/>
      <c r="C1576" s="3"/>
      <c r="E1576" s="24"/>
      <c r="G1576" s="24"/>
      <c r="H1576" s="24"/>
      <c r="J1576" s="1"/>
      <c r="K1576" s="1"/>
      <c r="L1576" s="1"/>
    </row>
    <row r="1577" spans="2:12" s="2" customFormat="1" ht="18" customHeight="1">
      <c r="B1577" s="77"/>
      <c r="C1577" s="3"/>
      <c r="E1577" s="24"/>
      <c r="G1577" s="24"/>
      <c r="H1577" s="24"/>
      <c r="J1577" s="1"/>
      <c r="K1577" s="1"/>
      <c r="L1577" s="1"/>
    </row>
    <row r="1578" spans="2:12" s="2" customFormat="1" ht="18" customHeight="1">
      <c r="B1578" s="77"/>
      <c r="C1578" s="3"/>
      <c r="E1578" s="24"/>
      <c r="G1578" s="24"/>
      <c r="H1578" s="24"/>
      <c r="J1578" s="1"/>
      <c r="K1578" s="1"/>
      <c r="L1578" s="1"/>
    </row>
    <row r="1579" spans="2:12" s="2" customFormat="1" ht="18" customHeight="1">
      <c r="B1579" s="77"/>
      <c r="C1579" s="3"/>
      <c r="E1579" s="24"/>
      <c r="G1579" s="24"/>
      <c r="H1579" s="24"/>
      <c r="J1579" s="1"/>
      <c r="K1579" s="1"/>
      <c r="L1579" s="1"/>
    </row>
    <row r="1580" spans="2:12" s="2" customFormat="1" ht="18" customHeight="1">
      <c r="B1580" s="77"/>
      <c r="C1580" s="3"/>
      <c r="E1580" s="24"/>
      <c r="G1580" s="24"/>
      <c r="H1580" s="24"/>
      <c r="J1580" s="1"/>
      <c r="K1580" s="1"/>
      <c r="L1580" s="1"/>
    </row>
    <row r="1581" spans="2:12" s="2" customFormat="1" ht="18" customHeight="1">
      <c r="B1581" s="77"/>
      <c r="C1581" s="3"/>
      <c r="E1581" s="24"/>
      <c r="G1581" s="24"/>
      <c r="H1581" s="24"/>
      <c r="J1581" s="1"/>
      <c r="K1581" s="1"/>
      <c r="L1581" s="1"/>
    </row>
    <row r="1582" spans="2:12" s="2" customFormat="1" ht="18" customHeight="1">
      <c r="B1582" s="77"/>
      <c r="C1582" s="3"/>
      <c r="E1582" s="24"/>
      <c r="G1582" s="24"/>
      <c r="H1582" s="24"/>
      <c r="J1582" s="1"/>
      <c r="K1582" s="1"/>
      <c r="L1582" s="1"/>
    </row>
    <row r="1583" spans="2:12" s="2" customFormat="1" ht="18" customHeight="1">
      <c r="B1583" s="77"/>
      <c r="C1583" s="3"/>
      <c r="E1583" s="24"/>
      <c r="G1583" s="24"/>
      <c r="H1583" s="24"/>
      <c r="J1583" s="1"/>
      <c r="K1583" s="1"/>
      <c r="L1583" s="1"/>
    </row>
    <row r="1584" spans="2:12" s="2" customFormat="1" ht="18" customHeight="1">
      <c r="B1584" s="77"/>
      <c r="C1584" s="3"/>
      <c r="E1584" s="24"/>
      <c r="G1584" s="24"/>
      <c r="H1584" s="24"/>
      <c r="J1584" s="1"/>
      <c r="K1584" s="1"/>
      <c r="L1584" s="1"/>
    </row>
    <row r="1585" spans="2:12" s="2" customFormat="1" ht="18" customHeight="1">
      <c r="B1585" s="77"/>
      <c r="C1585" s="3"/>
      <c r="E1585" s="24"/>
      <c r="G1585" s="24"/>
      <c r="H1585" s="24"/>
      <c r="J1585" s="1"/>
      <c r="K1585" s="1"/>
      <c r="L1585" s="1"/>
    </row>
    <row r="1586" spans="2:12" s="2" customFormat="1" ht="18" customHeight="1">
      <c r="B1586" s="77"/>
      <c r="C1586" s="3"/>
      <c r="E1586" s="24"/>
      <c r="G1586" s="24"/>
      <c r="H1586" s="24"/>
      <c r="J1586" s="1"/>
      <c r="K1586" s="1"/>
      <c r="L1586" s="1"/>
    </row>
    <row r="1587" spans="2:12" s="2" customFormat="1" ht="18" customHeight="1">
      <c r="B1587" s="77"/>
      <c r="C1587" s="3"/>
      <c r="E1587" s="24"/>
      <c r="G1587" s="24"/>
      <c r="H1587" s="24"/>
      <c r="J1587" s="1"/>
      <c r="K1587" s="1"/>
      <c r="L1587" s="1"/>
    </row>
    <row r="1588" spans="2:12" s="2" customFormat="1" ht="18" customHeight="1">
      <c r="B1588" s="77"/>
      <c r="C1588" s="3"/>
      <c r="E1588" s="24"/>
      <c r="G1588" s="24"/>
      <c r="H1588" s="24"/>
      <c r="J1588" s="1"/>
      <c r="K1588" s="1"/>
      <c r="L1588" s="1"/>
    </row>
    <row r="1589" spans="2:12" s="2" customFormat="1" ht="18" customHeight="1">
      <c r="B1589" s="77"/>
      <c r="C1589" s="3"/>
      <c r="E1589" s="24"/>
      <c r="G1589" s="24"/>
      <c r="H1589" s="24"/>
      <c r="J1589" s="1"/>
      <c r="K1589" s="1"/>
      <c r="L1589" s="1"/>
    </row>
    <row r="1590" spans="2:12" s="2" customFormat="1" ht="18" customHeight="1">
      <c r="B1590" s="77"/>
      <c r="C1590" s="3"/>
      <c r="E1590" s="24"/>
      <c r="G1590" s="24"/>
      <c r="H1590" s="24"/>
      <c r="J1590" s="1"/>
      <c r="K1590" s="1"/>
      <c r="L1590" s="1"/>
    </row>
    <row r="1591" spans="2:12" s="2" customFormat="1" ht="18" customHeight="1">
      <c r="B1591" s="77"/>
      <c r="C1591" s="3"/>
      <c r="E1591" s="24"/>
      <c r="G1591" s="24"/>
      <c r="H1591" s="24"/>
      <c r="J1591" s="1"/>
      <c r="K1591" s="1"/>
      <c r="L1591" s="1"/>
    </row>
    <row r="1592" spans="2:12" s="2" customFormat="1" ht="18" customHeight="1">
      <c r="B1592" s="77"/>
      <c r="C1592" s="3"/>
      <c r="E1592" s="24"/>
      <c r="G1592" s="24"/>
      <c r="H1592" s="24"/>
      <c r="J1592" s="1"/>
      <c r="K1592" s="1"/>
      <c r="L1592" s="1"/>
    </row>
    <row r="1593" spans="2:12" s="2" customFormat="1" ht="18" customHeight="1">
      <c r="B1593" s="77"/>
      <c r="C1593" s="3"/>
      <c r="E1593" s="24"/>
      <c r="G1593" s="24"/>
      <c r="H1593" s="24"/>
      <c r="J1593" s="1"/>
      <c r="K1593" s="1"/>
      <c r="L1593" s="1"/>
    </row>
    <row r="1594" spans="2:12" s="2" customFormat="1" ht="18" customHeight="1">
      <c r="B1594" s="77"/>
      <c r="C1594" s="3"/>
      <c r="E1594" s="24"/>
      <c r="G1594" s="24"/>
      <c r="H1594" s="24"/>
      <c r="J1594" s="1"/>
      <c r="K1594" s="1"/>
      <c r="L1594" s="1"/>
    </row>
    <row r="1595" spans="2:12" s="2" customFormat="1" ht="18" customHeight="1">
      <c r="B1595" s="77"/>
      <c r="C1595" s="3"/>
      <c r="E1595" s="24"/>
      <c r="G1595" s="24"/>
      <c r="H1595" s="24"/>
      <c r="J1595" s="1"/>
      <c r="K1595" s="1"/>
      <c r="L1595" s="1"/>
    </row>
    <row r="1596" spans="2:12" s="2" customFormat="1" ht="18" customHeight="1">
      <c r="B1596" s="77"/>
      <c r="C1596" s="3"/>
      <c r="E1596" s="24"/>
      <c r="G1596" s="24"/>
      <c r="H1596" s="24"/>
      <c r="J1596" s="1"/>
      <c r="K1596" s="1"/>
      <c r="L1596" s="1"/>
    </row>
    <row r="1597" spans="2:12" s="2" customFormat="1" ht="18" customHeight="1">
      <c r="B1597" s="77"/>
      <c r="C1597" s="3"/>
      <c r="E1597" s="24"/>
      <c r="G1597" s="24"/>
      <c r="H1597" s="24"/>
      <c r="J1597" s="1"/>
      <c r="K1597" s="1"/>
      <c r="L1597" s="1"/>
    </row>
    <row r="1598" spans="2:12" s="2" customFormat="1" ht="18" customHeight="1">
      <c r="B1598" s="77"/>
      <c r="C1598" s="3"/>
      <c r="E1598" s="24"/>
      <c r="G1598" s="24"/>
      <c r="H1598" s="24"/>
      <c r="J1598" s="1"/>
      <c r="K1598" s="1"/>
      <c r="L1598" s="1"/>
    </row>
    <row r="1599" spans="2:12" s="2" customFormat="1" ht="18" customHeight="1">
      <c r="B1599" s="77"/>
      <c r="C1599" s="3"/>
      <c r="E1599" s="24"/>
      <c r="G1599" s="24"/>
      <c r="H1599" s="24"/>
      <c r="J1599" s="1"/>
      <c r="K1599" s="1"/>
      <c r="L1599" s="1"/>
    </row>
    <row r="1600" spans="2:12" s="2" customFormat="1" ht="18" customHeight="1">
      <c r="B1600" s="77"/>
      <c r="C1600" s="3"/>
      <c r="E1600" s="24"/>
      <c r="G1600" s="24"/>
      <c r="H1600" s="24"/>
      <c r="J1600" s="1"/>
      <c r="K1600" s="1"/>
      <c r="L1600" s="1"/>
    </row>
    <row r="1601" spans="2:12" s="2" customFormat="1" ht="18" customHeight="1">
      <c r="B1601" s="77"/>
      <c r="C1601" s="3"/>
      <c r="E1601" s="24"/>
      <c r="G1601" s="24"/>
      <c r="H1601" s="24"/>
      <c r="J1601" s="1"/>
      <c r="K1601" s="1"/>
      <c r="L1601" s="1"/>
    </row>
    <row r="1602" spans="2:12" s="2" customFormat="1" ht="18" customHeight="1">
      <c r="B1602" s="77"/>
      <c r="C1602" s="3"/>
      <c r="E1602" s="24"/>
      <c r="G1602" s="24"/>
      <c r="H1602" s="24"/>
      <c r="J1602" s="1"/>
      <c r="K1602" s="1"/>
      <c r="L1602" s="1"/>
    </row>
    <row r="1603" spans="2:12" s="2" customFormat="1" ht="18" customHeight="1">
      <c r="B1603" s="77"/>
      <c r="C1603" s="3"/>
      <c r="E1603" s="24"/>
      <c r="G1603" s="24"/>
      <c r="H1603" s="24"/>
      <c r="J1603" s="1"/>
      <c r="K1603" s="1"/>
      <c r="L1603" s="1"/>
    </row>
    <row r="1604" spans="2:12" s="2" customFormat="1" ht="18" customHeight="1">
      <c r="B1604" s="77"/>
      <c r="C1604" s="3"/>
      <c r="E1604" s="24"/>
      <c r="G1604" s="24"/>
      <c r="H1604" s="24"/>
      <c r="J1604" s="1"/>
      <c r="K1604" s="1"/>
      <c r="L1604" s="1"/>
    </row>
    <row r="1605" spans="2:12" s="2" customFormat="1" ht="18" customHeight="1">
      <c r="B1605" s="77"/>
      <c r="C1605" s="3"/>
      <c r="E1605" s="24"/>
      <c r="G1605" s="24"/>
      <c r="H1605" s="24"/>
      <c r="J1605" s="1"/>
      <c r="K1605" s="1"/>
      <c r="L1605" s="1"/>
    </row>
    <row r="1606" spans="2:12" s="2" customFormat="1" ht="18" customHeight="1">
      <c r="B1606" s="77"/>
      <c r="C1606" s="3"/>
      <c r="E1606" s="24"/>
      <c r="G1606" s="24"/>
      <c r="H1606" s="24"/>
      <c r="J1606" s="1"/>
      <c r="K1606" s="1"/>
      <c r="L1606" s="1"/>
    </row>
    <row r="1607" spans="2:12" s="2" customFormat="1" ht="18" customHeight="1">
      <c r="B1607" s="77"/>
      <c r="C1607" s="3"/>
      <c r="E1607" s="24"/>
      <c r="G1607" s="24"/>
      <c r="H1607" s="24"/>
      <c r="J1607" s="1"/>
      <c r="K1607" s="1"/>
      <c r="L1607" s="1"/>
    </row>
    <row r="1608" spans="2:12" s="2" customFormat="1" ht="18" customHeight="1">
      <c r="B1608" s="77"/>
      <c r="C1608" s="3"/>
      <c r="E1608" s="24"/>
      <c r="G1608" s="24"/>
      <c r="H1608" s="24"/>
      <c r="J1608" s="1"/>
      <c r="K1608" s="1"/>
      <c r="L1608" s="1"/>
    </row>
    <row r="1609" spans="2:12" s="2" customFormat="1" ht="18" customHeight="1">
      <c r="B1609" s="77"/>
      <c r="C1609" s="3"/>
      <c r="E1609" s="24"/>
      <c r="G1609" s="24"/>
      <c r="H1609" s="24"/>
      <c r="J1609" s="1"/>
      <c r="K1609" s="1"/>
      <c r="L1609" s="1"/>
    </row>
    <row r="1610" spans="2:12" s="2" customFormat="1" ht="18" customHeight="1">
      <c r="B1610" s="77"/>
      <c r="C1610" s="3"/>
      <c r="E1610" s="24"/>
      <c r="G1610" s="24"/>
      <c r="H1610" s="24"/>
      <c r="J1610" s="1"/>
      <c r="K1610" s="1"/>
      <c r="L1610" s="1"/>
    </row>
    <row r="1611" spans="2:12" s="2" customFormat="1" ht="18" customHeight="1">
      <c r="B1611" s="77"/>
      <c r="C1611" s="3"/>
      <c r="E1611" s="24"/>
      <c r="G1611" s="24"/>
      <c r="H1611" s="24"/>
      <c r="J1611" s="1"/>
      <c r="K1611" s="1"/>
      <c r="L1611" s="1"/>
    </row>
    <row r="1612" spans="2:12" s="2" customFormat="1" ht="18" customHeight="1">
      <c r="B1612" s="77"/>
      <c r="C1612" s="3"/>
      <c r="E1612" s="24"/>
      <c r="G1612" s="24"/>
      <c r="H1612" s="24"/>
      <c r="J1612" s="1"/>
      <c r="K1612" s="1"/>
      <c r="L1612" s="1"/>
    </row>
    <row r="1613" spans="2:12" s="2" customFormat="1" ht="18" customHeight="1">
      <c r="B1613" s="77"/>
      <c r="C1613" s="3"/>
      <c r="E1613" s="24"/>
      <c r="G1613" s="24"/>
      <c r="H1613" s="24"/>
      <c r="J1613" s="1"/>
      <c r="K1613" s="1"/>
      <c r="L1613" s="1"/>
    </row>
    <row r="1614" spans="2:12" s="2" customFormat="1" ht="18" customHeight="1">
      <c r="B1614" s="77"/>
      <c r="C1614" s="3"/>
      <c r="E1614" s="24"/>
      <c r="G1614" s="24"/>
      <c r="H1614" s="24"/>
      <c r="J1614" s="1"/>
      <c r="K1614" s="1"/>
      <c r="L1614" s="1"/>
    </row>
    <row r="1615" spans="2:12" s="2" customFormat="1" ht="18" customHeight="1">
      <c r="B1615" s="77"/>
      <c r="C1615" s="3"/>
      <c r="E1615" s="24"/>
      <c r="G1615" s="24"/>
      <c r="H1615" s="24"/>
      <c r="J1615" s="1"/>
      <c r="K1615" s="1"/>
      <c r="L1615" s="1"/>
    </row>
    <row r="1616" spans="2:12" s="2" customFormat="1" ht="18" customHeight="1">
      <c r="B1616" s="77"/>
      <c r="C1616" s="3"/>
      <c r="E1616" s="24"/>
      <c r="G1616" s="24"/>
      <c r="H1616" s="24"/>
      <c r="J1616" s="1"/>
      <c r="K1616" s="1"/>
      <c r="L1616" s="1"/>
    </row>
    <row r="1617" spans="2:12" s="2" customFormat="1" ht="18" customHeight="1">
      <c r="B1617" s="77"/>
      <c r="C1617" s="3"/>
      <c r="E1617" s="24"/>
      <c r="G1617" s="24"/>
      <c r="H1617" s="24"/>
      <c r="J1617" s="1"/>
      <c r="K1617" s="1"/>
      <c r="L1617" s="1"/>
    </row>
    <row r="1618" spans="2:12" s="2" customFormat="1" ht="18" customHeight="1">
      <c r="B1618" s="77"/>
      <c r="C1618" s="3"/>
      <c r="E1618" s="24"/>
      <c r="G1618" s="24"/>
      <c r="H1618" s="24"/>
      <c r="J1618" s="1"/>
      <c r="K1618" s="1"/>
      <c r="L1618" s="1"/>
    </row>
    <row r="1619" spans="2:12" s="2" customFormat="1" ht="18" customHeight="1">
      <c r="B1619" s="77"/>
      <c r="C1619" s="3"/>
      <c r="E1619" s="24"/>
      <c r="G1619" s="24"/>
      <c r="H1619" s="24"/>
      <c r="J1619" s="1"/>
      <c r="K1619" s="1"/>
      <c r="L1619" s="1"/>
    </row>
    <row r="1620" spans="2:12" s="2" customFormat="1" ht="18" customHeight="1">
      <c r="B1620" s="77"/>
      <c r="C1620" s="3"/>
      <c r="E1620" s="24"/>
      <c r="G1620" s="24"/>
      <c r="H1620" s="24"/>
      <c r="J1620" s="1"/>
      <c r="K1620" s="1"/>
      <c r="L1620" s="1"/>
    </row>
    <row r="1621" spans="2:12" s="2" customFormat="1" ht="18" customHeight="1">
      <c r="B1621" s="77"/>
      <c r="C1621" s="3"/>
      <c r="E1621" s="24"/>
      <c r="G1621" s="24"/>
      <c r="H1621" s="24"/>
      <c r="J1621" s="1"/>
      <c r="K1621" s="1"/>
      <c r="L1621" s="1"/>
    </row>
    <row r="1622" spans="2:12" s="2" customFormat="1" ht="18" customHeight="1">
      <c r="B1622" s="77"/>
      <c r="C1622" s="3"/>
      <c r="E1622" s="24"/>
      <c r="G1622" s="24"/>
      <c r="H1622" s="24"/>
      <c r="J1622" s="1"/>
      <c r="K1622" s="1"/>
      <c r="L1622" s="1"/>
    </row>
    <row r="1623" spans="2:12" s="2" customFormat="1" ht="18" customHeight="1">
      <c r="B1623" s="77"/>
      <c r="C1623" s="3"/>
      <c r="E1623" s="24"/>
      <c r="G1623" s="24"/>
      <c r="H1623" s="24"/>
      <c r="J1623" s="1"/>
      <c r="K1623" s="1"/>
      <c r="L1623" s="1"/>
    </row>
    <row r="1624" spans="2:12" s="2" customFormat="1" ht="18" customHeight="1">
      <c r="B1624" s="77"/>
      <c r="C1624" s="3"/>
      <c r="E1624" s="24"/>
      <c r="G1624" s="24"/>
      <c r="H1624" s="24"/>
      <c r="J1624" s="1"/>
      <c r="K1624" s="1"/>
      <c r="L1624" s="1"/>
    </row>
    <row r="1625" spans="2:12" s="2" customFormat="1" ht="18" customHeight="1">
      <c r="B1625" s="77"/>
      <c r="C1625" s="3"/>
      <c r="E1625" s="24"/>
      <c r="G1625" s="24"/>
      <c r="H1625" s="24"/>
      <c r="J1625" s="1"/>
      <c r="K1625" s="1"/>
      <c r="L1625" s="1"/>
    </row>
    <row r="1626" spans="2:12" s="2" customFormat="1" ht="18" customHeight="1">
      <c r="B1626" s="77"/>
      <c r="C1626" s="3"/>
      <c r="E1626" s="24"/>
      <c r="G1626" s="24"/>
      <c r="H1626" s="24"/>
      <c r="J1626" s="1"/>
      <c r="K1626" s="1"/>
      <c r="L1626" s="1"/>
    </row>
    <row r="1627" spans="2:12" s="2" customFormat="1" ht="18" customHeight="1">
      <c r="B1627" s="77"/>
      <c r="C1627" s="3"/>
      <c r="E1627" s="24"/>
      <c r="G1627" s="24"/>
      <c r="H1627" s="24"/>
      <c r="J1627" s="1"/>
      <c r="K1627" s="1"/>
      <c r="L1627" s="1"/>
    </row>
    <row r="1628" spans="2:12" s="2" customFormat="1" ht="18" customHeight="1">
      <c r="B1628" s="77"/>
      <c r="C1628" s="3"/>
      <c r="E1628" s="24"/>
      <c r="G1628" s="24"/>
      <c r="H1628" s="24"/>
      <c r="J1628" s="1"/>
      <c r="K1628" s="1"/>
      <c r="L1628" s="1"/>
    </row>
    <row r="1629" spans="2:12" s="2" customFormat="1" ht="18" customHeight="1">
      <c r="B1629" s="77"/>
      <c r="C1629" s="3"/>
      <c r="E1629" s="24"/>
      <c r="G1629" s="24"/>
      <c r="H1629" s="24"/>
      <c r="J1629" s="1"/>
      <c r="K1629" s="1"/>
      <c r="L1629" s="1"/>
    </row>
    <row r="1630" spans="2:12" s="2" customFormat="1" ht="18" customHeight="1">
      <c r="B1630" s="77"/>
      <c r="C1630" s="3"/>
      <c r="E1630" s="24"/>
      <c r="G1630" s="24"/>
      <c r="H1630" s="24"/>
      <c r="J1630" s="1"/>
      <c r="K1630" s="1"/>
      <c r="L1630" s="1"/>
    </row>
    <row r="1631" spans="2:12" s="2" customFormat="1" ht="18" customHeight="1">
      <c r="B1631" s="77"/>
      <c r="C1631" s="3"/>
      <c r="E1631" s="24"/>
      <c r="G1631" s="24"/>
      <c r="H1631" s="24"/>
      <c r="J1631" s="1"/>
      <c r="K1631" s="1"/>
      <c r="L1631" s="1"/>
    </row>
    <row r="1632" spans="2:12" s="2" customFormat="1" ht="18" customHeight="1">
      <c r="B1632" s="77"/>
      <c r="C1632" s="3"/>
      <c r="E1632" s="24"/>
      <c r="G1632" s="24"/>
      <c r="H1632" s="24"/>
      <c r="J1632" s="1"/>
      <c r="K1632" s="1"/>
      <c r="L1632" s="1"/>
    </row>
    <row r="1633" spans="2:12" s="2" customFormat="1" ht="18" customHeight="1">
      <c r="B1633" s="77"/>
      <c r="C1633" s="3"/>
      <c r="E1633" s="24"/>
      <c r="G1633" s="24"/>
      <c r="H1633" s="24"/>
      <c r="J1633" s="1"/>
      <c r="K1633" s="1"/>
      <c r="L1633" s="1"/>
    </row>
    <row r="1634" spans="2:12" s="2" customFormat="1" ht="18" customHeight="1">
      <c r="B1634" s="77"/>
      <c r="C1634" s="3"/>
      <c r="E1634" s="24"/>
      <c r="G1634" s="24"/>
      <c r="H1634" s="24"/>
      <c r="J1634" s="1"/>
      <c r="K1634" s="1"/>
      <c r="L1634" s="1"/>
    </row>
    <row r="1635" spans="2:12" s="2" customFormat="1" ht="18" customHeight="1">
      <c r="B1635" s="77"/>
      <c r="C1635" s="3"/>
      <c r="E1635" s="24"/>
      <c r="G1635" s="24"/>
      <c r="H1635" s="24"/>
      <c r="J1635" s="1"/>
      <c r="K1635" s="1"/>
      <c r="L1635" s="1"/>
    </row>
    <row r="1636" spans="2:12" s="2" customFormat="1" ht="18" customHeight="1">
      <c r="B1636" s="77"/>
      <c r="C1636" s="3"/>
      <c r="E1636" s="24"/>
      <c r="G1636" s="24"/>
      <c r="H1636" s="24"/>
      <c r="J1636" s="1"/>
      <c r="K1636" s="1"/>
      <c r="L1636" s="1"/>
    </row>
    <row r="1637" spans="2:12" s="2" customFormat="1" ht="18" customHeight="1">
      <c r="B1637" s="77"/>
      <c r="C1637" s="3"/>
      <c r="E1637" s="24"/>
      <c r="G1637" s="24"/>
      <c r="H1637" s="24"/>
      <c r="J1637" s="1"/>
      <c r="K1637" s="1"/>
      <c r="L1637" s="1"/>
    </row>
    <row r="1638" spans="2:12" s="2" customFormat="1" ht="18" customHeight="1">
      <c r="B1638" s="77"/>
      <c r="C1638" s="3"/>
      <c r="E1638" s="24"/>
      <c r="G1638" s="24"/>
      <c r="H1638" s="24"/>
      <c r="J1638" s="1"/>
      <c r="K1638" s="1"/>
      <c r="L1638" s="1"/>
    </row>
    <row r="1639" spans="2:12" s="2" customFormat="1" ht="18" customHeight="1">
      <c r="B1639" s="77"/>
      <c r="C1639" s="3"/>
      <c r="E1639" s="24"/>
      <c r="G1639" s="24"/>
      <c r="H1639" s="24"/>
      <c r="J1639" s="1"/>
      <c r="K1639" s="1"/>
      <c r="L1639" s="1"/>
    </row>
    <row r="1640" spans="2:12" s="2" customFormat="1" ht="18" customHeight="1">
      <c r="B1640" s="77"/>
      <c r="C1640" s="3"/>
      <c r="E1640" s="24"/>
      <c r="G1640" s="24"/>
      <c r="H1640" s="24"/>
      <c r="J1640" s="1"/>
      <c r="K1640" s="1"/>
      <c r="L1640" s="1"/>
    </row>
    <row r="1641" spans="2:12" s="2" customFormat="1" ht="18" customHeight="1">
      <c r="B1641" s="77"/>
      <c r="C1641" s="3"/>
      <c r="E1641" s="24"/>
      <c r="G1641" s="24"/>
      <c r="H1641" s="24"/>
      <c r="J1641" s="1"/>
      <c r="K1641" s="1"/>
      <c r="L1641" s="1"/>
    </row>
    <row r="1642" spans="2:12" s="2" customFormat="1" ht="18" customHeight="1">
      <c r="B1642" s="77"/>
      <c r="C1642" s="3"/>
      <c r="E1642" s="24"/>
      <c r="G1642" s="24"/>
      <c r="H1642" s="24"/>
      <c r="J1642" s="1"/>
      <c r="K1642" s="1"/>
      <c r="L1642" s="1"/>
    </row>
    <row r="1643" spans="2:12" s="2" customFormat="1" ht="18" customHeight="1">
      <c r="B1643" s="77"/>
      <c r="C1643" s="3"/>
      <c r="E1643" s="24"/>
      <c r="G1643" s="24"/>
      <c r="H1643" s="24"/>
      <c r="J1643" s="1"/>
      <c r="K1643" s="1"/>
      <c r="L1643" s="1"/>
    </row>
    <row r="1644" spans="2:12" s="2" customFormat="1" ht="18" customHeight="1">
      <c r="B1644" s="77"/>
      <c r="C1644" s="3"/>
      <c r="E1644" s="24"/>
      <c r="G1644" s="24"/>
      <c r="H1644" s="24"/>
      <c r="J1644" s="1"/>
      <c r="K1644" s="1"/>
      <c r="L1644" s="1"/>
    </row>
    <row r="1645" spans="2:12" s="2" customFormat="1" ht="18" customHeight="1">
      <c r="B1645" s="77"/>
      <c r="C1645" s="3"/>
      <c r="E1645" s="24"/>
      <c r="G1645" s="24"/>
      <c r="H1645" s="24"/>
      <c r="J1645" s="1"/>
      <c r="K1645" s="1"/>
      <c r="L1645" s="1"/>
    </row>
    <row r="1646" spans="2:12" s="2" customFormat="1" ht="18" customHeight="1">
      <c r="B1646" s="77"/>
      <c r="C1646" s="3"/>
      <c r="E1646" s="24"/>
      <c r="G1646" s="24"/>
      <c r="H1646" s="24"/>
      <c r="J1646" s="1"/>
      <c r="K1646" s="1"/>
      <c r="L1646" s="1"/>
    </row>
    <row r="1647" spans="2:12" s="2" customFormat="1" ht="18" customHeight="1">
      <c r="B1647" s="77"/>
      <c r="C1647" s="3"/>
      <c r="E1647" s="24"/>
      <c r="G1647" s="24"/>
      <c r="H1647" s="24"/>
      <c r="J1647" s="1"/>
      <c r="K1647" s="1"/>
      <c r="L1647" s="1"/>
    </row>
    <row r="1648" spans="2:12" s="2" customFormat="1" ht="18" customHeight="1">
      <c r="B1648" s="77"/>
      <c r="C1648" s="3"/>
      <c r="E1648" s="24"/>
      <c r="G1648" s="24"/>
      <c r="H1648" s="24"/>
      <c r="J1648" s="1"/>
      <c r="K1648" s="1"/>
      <c r="L1648" s="1"/>
    </row>
    <row r="1649" spans="2:12" s="2" customFormat="1" ht="18" customHeight="1">
      <c r="B1649" s="77"/>
      <c r="C1649" s="3"/>
      <c r="E1649" s="24"/>
      <c r="G1649" s="24"/>
      <c r="H1649" s="24"/>
      <c r="J1649" s="1"/>
      <c r="K1649" s="1"/>
      <c r="L1649" s="1"/>
    </row>
    <row r="1650" spans="2:12" s="2" customFormat="1" ht="18" customHeight="1">
      <c r="B1650" s="77"/>
      <c r="C1650" s="3"/>
      <c r="E1650" s="24"/>
      <c r="G1650" s="24"/>
      <c r="H1650" s="24"/>
      <c r="J1650" s="1"/>
      <c r="K1650" s="1"/>
      <c r="L1650" s="1"/>
    </row>
    <row r="1651" spans="2:12" s="2" customFormat="1" ht="18" customHeight="1">
      <c r="B1651" s="77"/>
      <c r="C1651" s="3"/>
      <c r="E1651" s="24"/>
      <c r="G1651" s="24"/>
      <c r="H1651" s="24"/>
      <c r="J1651" s="1"/>
      <c r="K1651" s="1"/>
      <c r="L1651" s="1"/>
    </row>
    <row r="1652" spans="2:12" s="2" customFormat="1" ht="18" customHeight="1">
      <c r="B1652" s="77"/>
      <c r="C1652" s="3"/>
      <c r="E1652" s="24"/>
      <c r="G1652" s="24"/>
      <c r="H1652" s="24"/>
      <c r="J1652" s="1"/>
      <c r="K1652" s="1"/>
      <c r="L1652" s="1"/>
    </row>
    <row r="1653" spans="2:12" s="2" customFormat="1" ht="18" customHeight="1">
      <c r="B1653" s="77"/>
      <c r="C1653" s="3"/>
      <c r="E1653" s="24"/>
      <c r="G1653" s="24"/>
      <c r="H1653" s="24"/>
      <c r="J1653" s="1"/>
      <c r="K1653" s="1"/>
      <c r="L1653" s="1"/>
    </row>
    <row r="1654" spans="2:12" s="2" customFormat="1" ht="18" customHeight="1">
      <c r="B1654" s="77"/>
      <c r="C1654" s="3"/>
      <c r="E1654" s="24"/>
      <c r="G1654" s="24"/>
      <c r="H1654" s="24"/>
      <c r="J1654" s="1"/>
      <c r="K1654" s="1"/>
      <c r="L1654" s="1"/>
    </row>
    <row r="1655" spans="2:12" s="2" customFormat="1" ht="18" customHeight="1">
      <c r="B1655" s="77"/>
      <c r="C1655" s="3"/>
      <c r="E1655" s="24"/>
      <c r="G1655" s="24"/>
      <c r="H1655" s="24"/>
      <c r="J1655" s="1"/>
      <c r="K1655" s="1"/>
      <c r="L1655" s="1"/>
    </row>
    <row r="1656" spans="2:12" s="2" customFormat="1" ht="18" customHeight="1">
      <c r="B1656" s="77"/>
      <c r="C1656" s="3"/>
      <c r="E1656" s="24"/>
      <c r="G1656" s="24"/>
      <c r="H1656" s="24"/>
      <c r="J1656" s="1"/>
      <c r="K1656" s="1"/>
      <c r="L1656" s="1"/>
    </row>
    <row r="1657" spans="2:12" s="2" customFormat="1" ht="18" customHeight="1">
      <c r="B1657" s="77"/>
      <c r="C1657" s="3"/>
      <c r="E1657" s="24"/>
      <c r="G1657" s="24"/>
      <c r="H1657" s="24"/>
      <c r="J1657" s="1"/>
      <c r="K1657" s="1"/>
      <c r="L1657" s="1"/>
    </row>
    <row r="1658" spans="2:12" s="2" customFormat="1" ht="18" customHeight="1">
      <c r="B1658" s="77"/>
      <c r="C1658" s="3"/>
      <c r="E1658" s="24"/>
      <c r="G1658" s="24"/>
      <c r="H1658" s="24"/>
      <c r="J1658" s="1"/>
      <c r="K1658" s="1"/>
      <c r="L1658" s="1"/>
    </row>
    <row r="1659" spans="2:12" s="2" customFormat="1" ht="18" customHeight="1">
      <c r="B1659" s="77"/>
      <c r="C1659" s="3"/>
      <c r="E1659" s="24"/>
      <c r="G1659" s="24"/>
      <c r="H1659" s="24"/>
      <c r="J1659" s="1"/>
      <c r="K1659" s="1"/>
      <c r="L1659" s="1"/>
    </row>
    <row r="1660" spans="2:12" s="2" customFormat="1" ht="18" customHeight="1">
      <c r="B1660" s="77"/>
      <c r="C1660" s="3"/>
      <c r="E1660" s="24"/>
      <c r="G1660" s="24"/>
      <c r="H1660" s="24"/>
      <c r="J1660" s="1"/>
      <c r="K1660" s="1"/>
      <c r="L1660" s="1"/>
    </row>
    <row r="1661" spans="2:12" s="2" customFormat="1" ht="18" customHeight="1">
      <c r="B1661" s="77"/>
      <c r="C1661" s="3"/>
      <c r="E1661" s="24"/>
      <c r="G1661" s="24"/>
      <c r="H1661" s="24"/>
      <c r="J1661" s="1"/>
      <c r="K1661" s="1"/>
      <c r="L1661" s="1"/>
    </row>
    <row r="1662" spans="2:12" s="2" customFormat="1" ht="18" customHeight="1">
      <c r="B1662" s="77"/>
      <c r="C1662" s="3"/>
      <c r="E1662" s="24"/>
      <c r="G1662" s="24"/>
      <c r="H1662" s="24"/>
      <c r="J1662" s="1"/>
      <c r="K1662" s="1"/>
      <c r="L1662" s="1"/>
    </row>
    <row r="1663" spans="2:12" s="2" customFormat="1" ht="18" customHeight="1">
      <c r="B1663" s="77"/>
      <c r="C1663" s="3"/>
      <c r="E1663" s="24"/>
      <c r="G1663" s="24"/>
      <c r="H1663" s="24"/>
      <c r="J1663" s="1"/>
      <c r="K1663" s="1"/>
      <c r="L1663" s="1"/>
    </row>
    <row r="1664" spans="2:12" s="2" customFormat="1" ht="18" customHeight="1">
      <c r="B1664" s="77"/>
      <c r="C1664" s="3"/>
      <c r="E1664" s="24"/>
      <c r="G1664" s="24"/>
      <c r="H1664" s="24"/>
      <c r="J1664" s="1"/>
      <c r="K1664" s="1"/>
      <c r="L1664" s="1"/>
    </row>
    <row r="1665" spans="2:12" s="2" customFormat="1" ht="18" customHeight="1">
      <c r="B1665" s="77"/>
      <c r="C1665" s="3"/>
      <c r="E1665" s="24"/>
      <c r="G1665" s="24"/>
      <c r="H1665" s="24"/>
      <c r="J1665" s="1"/>
      <c r="K1665" s="1"/>
      <c r="L1665" s="1"/>
    </row>
    <row r="1666" spans="2:12" s="2" customFormat="1" ht="18" customHeight="1">
      <c r="B1666" s="77"/>
      <c r="C1666" s="3"/>
      <c r="E1666" s="24"/>
      <c r="G1666" s="24"/>
      <c r="H1666" s="24"/>
      <c r="J1666" s="1"/>
      <c r="K1666" s="1"/>
      <c r="L1666" s="1"/>
    </row>
    <row r="1667" spans="2:12" s="2" customFormat="1" ht="18" customHeight="1">
      <c r="B1667" s="77"/>
      <c r="C1667" s="3"/>
      <c r="E1667" s="24"/>
      <c r="G1667" s="24"/>
      <c r="H1667" s="24"/>
      <c r="J1667" s="1"/>
      <c r="K1667" s="1"/>
      <c r="L1667" s="1"/>
    </row>
    <row r="1668" spans="2:12" s="2" customFormat="1" ht="18" customHeight="1">
      <c r="B1668" s="77"/>
      <c r="C1668" s="3"/>
      <c r="E1668" s="24"/>
      <c r="G1668" s="24"/>
      <c r="H1668" s="24"/>
      <c r="J1668" s="1"/>
      <c r="K1668" s="1"/>
      <c r="L1668" s="1"/>
    </row>
    <row r="1669" spans="2:12" s="2" customFormat="1" ht="18" customHeight="1">
      <c r="B1669" s="77"/>
      <c r="C1669" s="3"/>
      <c r="E1669" s="24"/>
      <c r="G1669" s="24"/>
      <c r="H1669" s="24"/>
      <c r="J1669" s="1"/>
      <c r="K1669" s="1"/>
      <c r="L1669" s="1"/>
    </row>
    <row r="1670" spans="2:12" s="2" customFormat="1" ht="18" customHeight="1">
      <c r="B1670" s="77"/>
      <c r="C1670" s="3"/>
      <c r="E1670" s="24"/>
      <c r="G1670" s="24"/>
      <c r="H1670" s="24"/>
      <c r="J1670" s="1"/>
      <c r="K1670" s="1"/>
      <c r="L1670" s="1"/>
    </row>
    <row r="1671" spans="2:12" s="2" customFormat="1" ht="18" customHeight="1">
      <c r="B1671" s="77"/>
      <c r="C1671" s="3"/>
      <c r="E1671" s="24"/>
      <c r="G1671" s="24"/>
      <c r="H1671" s="24"/>
      <c r="J1671" s="1"/>
      <c r="K1671" s="1"/>
      <c r="L1671" s="1"/>
    </row>
    <row r="1672" spans="2:12" s="2" customFormat="1" ht="18" customHeight="1">
      <c r="B1672" s="77"/>
      <c r="C1672" s="3"/>
      <c r="E1672" s="24"/>
      <c r="G1672" s="24"/>
      <c r="H1672" s="24"/>
      <c r="J1672" s="1"/>
      <c r="K1672" s="1"/>
      <c r="L1672" s="1"/>
    </row>
    <row r="1673" spans="2:12" s="2" customFormat="1" ht="18" customHeight="1">
      <c r="B1673" s="77"/>
      <c r="C1673" s="3"/>
      <c r="E1673" s="24"/>
      <c r="G1673" s="24"/>
      <c r="H1673" s="24"/>
      <c r="J1673" s="1"/>
      <c r="K1673" s="1"/>
      <c r="L1673" s="1"/>
    </row>
    <row r="1674" spans="2:12" s="2" customFormat="1" ht="18" customHeight="1">
      <c r="B1674" s="77"/>
      <c r="C1674" s="3"/>
      <c r="E1674" s="24"/>
      <c r="G1674" s="24"/>
      <c r="H1674" s="24"/>
      <c r="J1674" s="1"/>
      <c r="K1674" s="1"/>
      <c r="L1674" s="1"/>
    </row>
    <row r="1675" spans="2:12" s="2" customFormat="1" ht="18" customHeight="1">
      <c r="B1675" s="77"/>
      <c r="C1675" s="3"/>
      <c r="E1675" s="24"/>
      <c r="G1675" s="24"/>
      <c r="H1675" s="24"/>
      <c r="J1675" s="1"/>
      <c r="K1675" s="1"/>
      <c r="L1675" s="1"/>
    </row>
    <row r="1676" spans="2:12" s="2" customFormat="1" ht="18" customHeight="1">
      <c r="B1676" s="77"/>
      <c r="C1676" s="3"/>
      <c r="E1676" s="24"/>
      <c r="G1676" s="24"/>
      <c r="H1676" s="24"/>
      <c r="J1676" s="1"/>
      <c r="K1676" s="1"/>
      <c r="L1676" s="1"/>
    </row>
    <row r="1677" spans="2:12" s="2" customFormat="1" ht="18" customHeight="1">
      <c r="B1677" s="77"/>
      <c r="C1677" s="3"/>
      <c r="E1677" s="24"/>
      <c r="G1677" s="24"/>
      <c r="H1677" s="24"/>
      <c r="J1677" s="1"/>
      <c r="K1677" s="1"/>
      <c r="L1677" s="1"/>
    </row>
    <row r="1678" spans="2:12" s="2" customFormat="1" ht="18" customHeight="1">
      <c r="B1678" s="77"/>
      <c r="C1678" s="3"/>
      <c r="E1678" s="24"/>
      <c r="G1678" s="24"/>
      <c r="H1678" s="24"/>
      <c r="J1678" s="1"/>
      <c r="K1678" s="1"/>
      <c r="L1678" s="1"/>
    </row>
    <row r="1679" spans="2:12" s="2" customFormat="1" ht="18" customHeight="1">
      <c r="B1679" s="77"/>
      <c r="C1679" s="3"/>
      <c r="E1679" s="24"/>
      <c r="G1679" s="24"/>
      <c r="H1679" s="24"/>
      <c r="J1679" s="1"/>
      <c r="K1679" s="1"/>
      <c r="L1679" s="1"/>
    </row>
    <row r="1680" spans="2:12" s="2" customFormat="1" ht="18" customHeight="1">
      <c r="B1680" s="77"/>
      <c r="C1680" s="3"/>
      <c r="E1680" s="24"/>
      <c r="G1680" s="24"/>
      <c r="H1680" s="24"/>
      <c r="J1680" s="1"/>
      <c r="K1680" s="1"/>
      <c r="L1680" s="1"/>
    </row>
    <row r="1681" spans="2:12" s="2" customFormat="1" ht="18" customHeight="1">
      <c r="B1681" s="77"/>
      <c r="C1681" s="3"/>
      <c r="E1681" s="24"/>
      <c r="G1681" s="24"/>
      <c r="H1681" s="24"/>
      <c r="J1681" s="1"/>
      <c r="K1681" s="1"/>
      <c r="L1681" s="1"/>
    </row>
    <row r="1682" spans="2:12" s="2" customFormat="1" ht="18" customHeight="1">
      <c r="B1682" s="77"/>
      <c r="C1682" s="3"/>
      <c r="E1682" s="24"/>
      <c r="G1682" s="24"/>
      <c r="H1682" s="24"/>
      <c r="J1682" s="1"/>
      <c r="K1682" s="1"/>
      <c r="L1682" s="1"/>
    </row>
    <row r="1683" spans="2:12" s="2" customFormat="1" ht="18" customHeight="1">
      <c r="B1683" s="77"/>
      <c r="C1683" s="3"/>
      <c r="E1683" s="24"/>
      <c r="G1683" s="24"/>
      <c r="H1683" s="24"/>
      <c r="J1683" s="1"/>
      <c r="K1683" s="1"/>
      <c r="L1683" s="1"/>
    </row>
    <row r="1684" spans="2:12" s="2" customFormat="1" ht="18" customHeight="1">
      <c r="B1684" s="77"/>
      <c r="C1684" s="3"/>
      <c r="E1684" s="24"/>
      <c r="G1684" s="24"/>
      <c r="H1684" s="24"/>
      <c r="J1684" s="1"/>
      <c r="K1684" s="1"/>
      <c r="L1684" s="1"/>
    </row>
    <row r="1685" spans="2:12" s="2" customFormat="1" ht="18" customHeight="1">
      <c r="B1685" s="77"/>
      <c r="C1685" s="3"/>
      <c r="E1685" s="24"/>
      <c r="G1685" s="24"/>
      <c r="H1685" s="24"/>
      <c r="J1685" s="1"/>
      <c r="K1685" s="1"/>
      <c r="L1685" s="1"/>
    </row>
    <row r="1686" spans="2:12" s="2" customFormat="1" ht="18" customHeight="1">
      <c r="B1686" s="77"/>
      <c r="C1686" s="3"/>
      <c r="E1686" s="24"/>
      <c r="G1686" s="24"/>
      <c r="H1686" s="24"/>
      <c r="J1686" s="1"/>
      <c r="K1686" s="1"/>
      <c r="L1686" s="1"/>
    </row>
    <row r="1687" spans="2:12" s="2" customFormat="1" ht="18" customHeight="1">
      <c r="B1687" s="77"/>
      <c r="C1687" s="3"/>
      <c r="E1687" s="24"/>
      <c r="G1687" s="24"/>
      <c r="H1687" s="24"/>
      <c r="J1687" s="1"/>
      <c r="K1687" s="1"/>
      <c r="L1687" s="1"/>
    </row>
    <row r="1688" spans="2:12" s="2" customFormat="1" ht="18" customHeight="1">
      <c r="B1688" s="77"/>
      <c r="C1688" s="3"/>
      <c r="E1688" s="24"/>
      <c r="G1688" s="24"/>
      <c r="H1688" s="24"/>
      <c r="J1688" s="1"/>
      <c r="K1688" s="1"/>
      <c r="L1688" s="1"/>
    </row>
    <row r="1689" spans="2:12" s="2" customFormat="1" ht="18" customHeight="1">
      <c r="B1689" s="77"/>
      <c r="C1689" s="3"/>
      <c r="E1689" s="24"/>
      <c r="G1689" s="24"/>
      <c r="H1689" s="24"/>
      <c r="J1689" s="1"/>
      <c r="K1689" s="1"/>
      <c r="L1689" s="1"/>
    </row>
    <row r="1690" spans="2:12" s="2" customFormat="1" ht="18" customHeight="1">
      <c r="B1690" s="77"/>
      <c r="C1690" s="3"/>
      <c r="E1690" s="24"/>
      <c r="G1690" s="24"/>
      <c r="H1690" s="24"/>
      <c r="J1690" s="1"/>
      <c r="K1690" s="1"/>
      <c r="L1690" s="1"/>
    </row>
    <row r="1691" spans="2:12" s="2" customFormat="1" ht="18" customHeight="1">
      <c r="B1691" s="77"/>
      <c r="C1691" s="3"/>
      <c r="E1691" s="24"/>
      <c r="G1691" s="24"/>
      <c r="H1691" s="24"/>
      <c r="J1691" s="1"/>
      <c r="K1691" s="1"/>
      <c r="L1691" s="1"/>
    </row>
    <row r="1692" spans="2:12" s="2" customFormat="1" ht="18" customHeight="1">
      <c r="B1692" s="77"/>
      <c r="C1692" s="3"/>
      <c r="E1692" s="24"/>
      <c r="G1692" s="24"/>
      <c r="H1692" s="24"/>
      <c r="J1692" s="1"/>
      <c r="K1692" s="1"/>
      <c r="L1692" s="1"/>
    </row>
    <row r="1693" spans="2:12" s="2" customFormat="1" ht="18" customHeight="1">
      <c r="B1693" s="77"/>
      <c r="C1693" s="3"/>
      <c r="E1693" s="24"/>
      <c r="G1693" s="24"/>
      <c r="H1693" s="24"/>
      <c r="J1693" s="1"/>
      <c r="K1693" s="1"/>
      <c r="L1693" s="1"/>
    </row>
    <row r="1694" spans="2:12" s="2" customFormat="1" ht="18" customHeight="1">
      <c r="B1694" s="77"/>
      <c r="C1694" s="3"/>
      <c r="E1694" s="24"/>
      <c r="G1694" s="24"/>
      <c r="H1694" s="24"/>
      <c r="J1694" s="1"/>
      <c r="K1694" s="1"/>
      <c r="L1694" s="1"/>
    </row>
    <row r="1695" spans="2:12" s="2" customFormat="1" ht="18" customHeight="1">
      <c r="B1695" s="77"/>
      <c r="C1695" s="3"/>
      <c r="E1695" s="24"/>
      <c r="G1695" s="24"/>
      <c r="H1695" s="24"/>
      <c r="J1695" s="1"/>
      <c r="K1695" s="1"/>
      <c r="L1695" s="1"/>
    </row>
    <row r="1696" spans="2:12" s="2" customFormat="1" ht="18" customHeight="1">
      <c r="B1696" s="77"/>
      <c r="C1696" s="3"/>
      <c r="E1696" s="24"/>
      <c r="G1696" s="24"/>
      <c r="H1696" s="24"/>
      <c r="J1696" s="1"/>
      <c r="K1696" s="1"/>
      <c r="L1696" s="1"/>
    </row>
    <row r="1697" spans="2:12" s="2" customFormat="1" ht="18" customHeight="1">
      <c r="B1697" s="77"/>
      <c r="C1697" s="3"/>
      <c r="E1697" s="24"/>
      <c r="G1697" s="24"/>
      <c r="H1697" s="24"/>
      <c r="J1697" s="1"/>
      <c r="K1697" s="1"/>
      <c r="L1697" s="1"/>
    </row>
    <row r="1698" spans="2:12" s="2" customFormat="1" ht="18" customHeight="1">
      <c r="B1698" s="77"/>
      <c r="C1698" s="3"/>
      <c r="E1698" s="24"/>
      <c r="G1698" s="24"/>
      <c r="H1698" s="24"/>
      <c r="J1698" s="1"/>
      <c r="K1698" s="1"/>
      <c r="L1698" s="1"/>
    </row>
    <row r="1699" spans="2:12" s="2" customFormat="1" ht="18" customHeight="1">
      <c r="B1699" s="77"/>
      <c r="C1699" s="3"/>
      <c r="E1699" s="24"/>
      <c r="G1699" s="24"/>
      <c r="H1699" s="24"/>
      <c r="J1699" s="1"/>
      <c r="K1699" s="1"/>
      <c r="L1699" s="1"/>
    </row>
    <row r="1700" spans="2:12" s="2" customFormat="1" ht="18" customHeight="1">
      <c r="B1700" s="77"/>
      <c r="C1700" s="3"/>
      <c r="E1700" s="24"/>
      <c r="G1700" s="24"/>
      <c r="H1700" s="24"/>
      <c r="J1700" s="1"/>
      <c r="K1700" s="1"/>
      <c r="L1700" s="1"/>
    </row>
    <row r="1701" spans="2:12" s="2" customFormat="1" ht="18" customHeight="1">
      <c r="B1701" s="77"/>
      <c r="C1701" s="3"/>
      <c r="E1701" s="24"/>
      <c r="G1701" s="24"/>
      <c r="H1701" s="24"/>
      <c r="J1701" s="1"/>
      <c r="K1701" s="1"/>
      <c r="L1701" s="1"/>
    </row>
    <row r="1702" spans="2:12" s="2" customFormat="1" ht="18" customHeight="1">
      <c r="B1702" s="77"/>
      <c r="C1702" s="3"/>
      <c r="E1702" s="24"/>
      <c r="G1702" s="24"/>
      <c r="H1702" s="24"/>
      <c r="J1702" s="1"/>
      <c r="K1702" s="1"/>
      <c r="L1702" s="1"/>
    </row>
  </sheetData>
  <mergeCells count="8">
    <mergeCell ref="G5:G6"/>
    <mergeCell ref="B31:F31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scale="95" orientation="portrait" r:id="rId1"/>
  <headerFooter>
    <oddFooter>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</sheetPr>
  <dimension ref="A1:N137"/>
  <sheetViews>
    <sheetView topLeftCell="A97" zoomScale="95" zoomScaleNormal="95" workbookViewId="0">
      <selection activeCell="G102" sqref="G102"/>
    </sheetView>
  </sheetViews>
  <sheetFormatPr defaultColWidth="9.109375" defaultRowHeight="14.4"/>
  <cols>
    <col min="1" max="1" width="3.88671875" style="180" customWidth="1"/>
    <col min="2" max="2" width="39.88671875" style="148" customWidth="1"/>
    <col min="3" max="3" width="10.6640625" style="148" customWidth="1"/>
    <col min="4" max="4" width="5.6640625" style="180" customWidth="1"/>
    <col min="5" max="5" width="10.6640625" style="148" customWidth="1"/>
    <col min="6" max="6" width="5.6640625" style="148" customWidth="1"/>
    <col min="7" max="7" width="17.44140625" style="148" customWidth="1"/>
    <col min="8" max="8" width="17.88671875" style="148" customWidth="1"/>
    <col min="9" max="9" width="14.44140625" style="148" customWidth="1"/>
    <col min="10" max="10" width="9.109375" style="148"/>
    <col min="11" max="12" width="10.88671875" style="148" bestFit="1" customWidth="1"/>
    <col min="13" max="16384" width="9.109375" style="148"/>
  </cols>
  <sheetData>
    <row r="1" spans="1:13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3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3" s="11" customFormat="1" ht="24" customHeight="1">
      <c r="A3" s="12" t="s">
        <v>206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3" ht="21.9" customHeight="1">
      <c r="A4" s="1229" t="s">
        <v>0</v>
      </c>
      <c r="B4" s="1229"/>
      <c r="C4" s="1229"/>
      <c r="D4" s="1229"/>
      <c r="E4" s="1229"/>
      <c r="F4" s="1229"/>
      <c r="G4" s="1229"/>
    </row>
    <row r="5" spans="1:13" ht="17.25" customHeight="1">
      <c r="A5" s="1230" t="s">
        <v>131</v>
      </c>
      <c r="B5" s="1231" t="s">
        <v>1</v>
      </c>
      <c r="C5" s="1231" t="s">
        <v>2</v>
      </c>
      <c r="D5" s="1231" t="s">
        <v>3</v>
      </c>
      <c r="E5" s="1231" t="s">
        <v>78</v>
      </c>
      <c r="F5" s="1232" t="s">
        <v>79</v>
      </c>
      <c r="G5" s="149" t="s">
        <v>6</v>
      </c>
    </row>
    <row r="6" spans="1:13" ht="14.25" customHeight="1">
      <c r="A6" s="1230"/>
      <c r="B6" s="1231"/>
      <c r="C6" s="1231"/>
      <c r="D6" s="1231"/>
      <c r="E6" s="1231"/>
      <c r="F6" s="1233"/>
      <c r="G6" s="149" t="s">
        <v>140</v>
      </c>
    </row>
    <row r="7" spans="1:13" s="157" customFormat="1" ht="30.75" customHeight="1">
      <c r="A7" s="150">
        <v>1</v>
      </c>
      <c r="B7" s="151" t="str">
        <f>VLOOKUP(A7,'Measurement-Septic Tank'!A:O,2,FALSE)</f>
        <v>Site Clearing &amp; Levelling</v>
      </c>
      <c r="C7" s="152">
        <f>VLOOKUP(A7,'Measurement-Septic Tank'!A:O,14,FALSE)</f>
        <v>612</v>
      </c>
      <c r="D7" s="153" t="str">
        <f>VLOOKUP(A7,'Measurement-Septic Tank'!A:O,15,FALSE)</f>
        <v>Sft</v>
      </c>
      <c r="E7" s="154"/>
      <c r="F7" s="154"/>
      <c r="G7" s="155">
        <f>SUM(G9)</f>
        <v>181764</v>
      </c>
      <c r="H7" s="156"/>
      <c r="I7" s="156">
        <f>G7</f>
        <v>181764</v>
      </c>
    </row>
    <row r="8" spans="1:13" ht="18" customHeight="1">
      <c r="A8" s="158"/>
      <c r="B8" s="159" t="s">
        <v>38</v>
      </c>
      <c r="C8" s="160"/>
      <c r="D8" s="158"/>
      <c r="E8" s="161"/>
      <c r="F8" s="161"/>
      <c r="G8" s="161"/>
    </row>
    <row r="9" spans="1:13" ht="18" customHeight="1">
      <c r="A9" s="158"/>
      <c r="B9" s="162" t="s">
        <v>37</v>
      </c>
      <c r="C9" s="160">
        <f>C7*1.5/100</f>
        <v>9.18</v>
      </c>
      <c r="D9" s="158" t="s">
        <v>10</v>
      </c>
      <c r="E9" s="161">
        <f>VLOOKUP(B9,'Price '!$B:$F,3,FALSE)</f>
        <v>19800</v>
      </c>
      <c r="F9" s="161" t="str">
        <f>D9</f>
        <v>Nos</v>
      </c>
      <c r="G9" s="161">
        <f>C9*E9</f>
        <v>181764</v>
      </c>
    </row>
    <row r="10" spans="1:13" ht="18" customHeight="1">
      <c r="A10" s="163"/>
      <c r="B10" s="164"/>
      <c r="C10" s="165"/>
      <c r="D10" s="163"/>
      <c r="E10" s="166"/>
      <c r="F10" s="166"/>
      <c r="G10" s="166"/>
    </row>
    <row r="11" spans="1:13" s="157" customFormat="1" ht="27" customHeight="1">
      <c r="A11" s="150">
        <v>2</v>
      </c>
      <c r="B11" s="151" t="str">
        <f>VLOOKUP(A11,'Measurement-Septic Tank'!A:O,2,FALSE)</f>
        <v>Earth Work in Excavation for foundation in medium soil to a depth of  (5)ft .</v>
      </c>
      <c r="C11" s="152">
        <f>VLOOKUP(A11,'Measurement-Septic Tank'!A:O,14,FALSE)</f>
        <v>1512</v>
      </c>
      <c r="D11" s="153" t="str">
        <f>VLOOKUP(A11,'Measurement-Septic Tank'!A:O,15,FALSE)</f>
        <v>Cft</v>
      </c>
      <c r="E11" s="154"/>
      <c r="F11" s="154"/>
      <c r="G11" s="155">
        <f>SUM(G12:G13)</f>
        <v>598752</v>
      </c>
      <c r="H11" s="156"/>
      <c r="I11" s="156">
        <f>SUM(G13:G13)</f>
        <v>598752</v>
      </c>
    </row>
    <row r="12" spans="1:13" ht="18" customHeight="1">
      <c r="A12" s="158"/>
      <c r="B12" s="159" t="s">
        <v>38</v>
      </c>
      <c r="C12" s="162"/>
      <c r="D12" s="158"/>
      <c r="E12" s="161"/>
      <c r="F12" s="161"/>
      <c r="G12" s="161"/>
    </row>
    <row r="13" spans="1:13" ht="18" customHeight="1">
      <c r="A13" s="158"/>
      <c r="B13" s="162" t="s">
        <v>37</v>
      </c>
      <c r="C13" s="254">
        <f>C11*2/100</f>
        <v>30.24</v>
      </c>
      <c r="D13" s="158" t="s">
        <v>10</v>
      </c>
      <c r="E13" s="161">
        <f>VLOOKUP(B13,'Price '!$B:$F,3,FALSE)</f>
        <v>19800</v>
      </c>
      <c r="F13" s="161" t="str">
        <f t="shared" ref="F13" si="0">D13</f>
        <v>Nos</v>
      </c>
      <c r="G13" s="161">
        <f>C13*E13</f>
        <v>598752</v>
      </c>
    </row>
    <row r="14" spans="1:13" ht="18" customHeight="1">
      <c r="A14" s="158"/>
      <c r="B14" s="162"/>
      <c r="C14" s="160"/>
      <c r="D14" s="158"/>
      <c r="E14" s="161"/>
      <c r="F14" s="161"/>
      <c r="G14" s="161"/>
    </row>
    <row r="15" spans="1:13" ht="18" customHeight="1">
      <c r="A15" s="163"/>
      <c r="B15" s="164"/>
      <c r="C15" s="164"/>
      <c r="D15" s="163"/>
      <c r="E15" s="166"/>
      <c r="F15" s="166"/>
      <c r="G15" s="166"/>
    </row>
    <row r="16" spans="1:13" s="157" customFormat="1" ht="30.9" customHeight="1">
      <c r="A16" s="150">
        <v>3</v>
      </c>
      <c r="B16" s="151" t="str">
        <f>VLOOKUP(A16,'Measurement-Septic Tank'!A:O,2,FALSE)</f>
        <v>6" Thk; Hard Core &amp; Sand Filling Work</v>
      </c>
      <c r="C16" s="152">
        <f>VLOOKUP(A16,'Measurement-Septic Tank'!A:O,14,FALSE)</f>
        <v>126</v>
      </c>
      <c r="D16" s="153" t="str">
        <f>VLOOKUP(A16,'Measurement-Septic Tank'!A:O,15,FALSE)</f>
        <v>Cft</v>
      </c>
      <c r="E16" s="154"/>
      <c r="F16" s="154"/>
      <c r="G16" s="155">
        <f>SUM(G18:G22)</f>
        <v>325899</v>
      </c>
      <c r="H16" s="156">
        <f>SUM(G18:G19)</f>
        <v>296100</v>
      </c>
      <c r="I16" s="156">
        <f>SUM(G21:G22)</f>
        <v>29799</v>
      </c>
    </row>
    <row r="17" spans="1:9" ht="18" customHeight="1">
      <c r="A17" s="158"/>
      <c r="B17" s="159" t="s">
        <v>81</v>
      </c>
      <c r="C17" s="162"/>
      <c r="D17" s="158"/>
      <c r="E17" s="161"/>
      <c r="F17" s="161"/>
      <c r="G17" s="161"/>
    </row>
    <row r="18" spans="1:9" ht="18" customHeight="1">
      <c r="A18" s="158"/>
      <c r="B18" s="45" t="s">
        <v>36</v>
      </c>
      <c r="C18" s="42">
        <f>C16*30/100/100</f>
        <v>0.37799999999999995</v>
      </c>
      <c r="D18" s="158" t="s">
        <v>33</v>
      </c>
      <c r="E18" s="161">
        <f>VLOOKUP(B18,'Price '!$B:$F,3,FALSE)</f>
        <v>50000</v>
      </c>
      <c r="F18" s="161" t="str">
        <f t="shared" ref="F18:F19" si="1">D18</f>
        <v>Bag</v>
      </c>
      <c r="G18" s="161">
        <f>C18*E18</f>
        <v>18899.999999999996</v>
      </c>
    </row>
    <row r="19" spans="1:9" ht="18" customHeight="1">
      <c r="A19" s="158"/>
      <c r="B19" s="46" t="s">
        <v>68</v>
      </c>
      <c r="C19" s="42">
        <f>C16*100/100/100</f>
        <v>1.26</v>
      </c>
      <c r="D19" s="158" t="s">
        <v>32</v>
      </c>
      <c r="E19" s="161">
        <f>VLOOKUP(B19,'Price '!$B:$F,3,FALSE)</f>
        <v>220000</v>
      </c>
      <c r="F19" s="161" t="str">
        <f t="shared" si="1"/>
        <v>Sud</v>
      </c>
      <c r="G19" s="161">
        <f>C19*E19</f>
        <v>277200</v>
      </c>
    </row>
    <row r="20" spans="1:9" ht="18" customHeight="1">
      <c r="A20" s="158"/>
      <c r="B20" s="61" t="s">
        <v>28</v>
      </c>
      <c r="C20" s="160"/>
      <c r="D20" s="158"/>
      <c r="E20" s="161"/>
      <c r="F20" s="161"/>
      <c r="G20" s="161"/>
    </row>
    <row r="21" spans="1:9" ht="18" customHeight="1">
      <c r="A21" s="158"/>
      <c r="B21" s="34" t="s">
        <v>63</v>
      </c>
      <c r="C21" s="42">
        <f>C16*0.5/100</f>
        <v>0.63</v>
      </c>
      <c r="D21" s="41" t="s">
        <v>10</v>
      </c>
      <c r="E21" s="43">
        <f>VLOOKUP(B21,'Price '!B:D,3,FALSE)</f>
        <v>27500</v>
      </c>
      <c r="F21" s="161" t="str">
        <f t="shared" ref="F21:F22" si="2">D21</f>
        <v>Nos</v>
      </c>
      <c r="G21" s="161">
        <f>C21*E21</f>
        <v>17325</v>
      </c>
    </row>
    <row r="22" spans="1:9" ht="18" customHeight="1">
      <c r="A22" s="158"/>
      <c r="B22" s="45" t="s">
        <v>37</v>
      </c>
      <c r="C22" s="42">
        <f>C16*0.5/100</f>
        <v>0.63</v>
      </c>
      <c r="D22" s="41" t="s">
        <v>10</v>
      </c>
      <c r="E22" s="43">
        <f>VLOOKUP(B22,'Price '!B:D,3,FALSE)</f>
        <v>19800</v>
      </c>
      <c r="F22" s="161" t="str">
        <f t="shared" si="2"/>
        <v>Nos</v>
      </c>
      <c r="G22" s="161">
        <f t="shared" ref="G22" si="3">C22*E22</f>
        <v>12474</v>
      </c>
    </row>
    <row r="23" spans="1:9" ht="16.5" customHeight="1">
      <c r="A23" s="158"/>
      <c r="B23" s="162"/>
      <c r="C23" s="160"/>
      <c r="D23" s="158"/>
      <c r="E23" s="161"/>
      <c r="F23" s="161"/>
      <c r="G23" s="161"/>
    </row>
    <row r="24" spans="1:9" ht="18" customHeight="1">
      <c r="A24" s="163"/>
      <c r="B24" s="164"/>
      <c r="C24" s="164"/>
      <c r="D24" s="163"/>
      <c r="E24" s="166"/>
      <c r="F24" s="166"/>
      <c r="G24" s="166"/>
    </row>
    <row r="25" spans="1:9" s="157" customFormat="1" ht="44.25" customHeight="1">
      <c r="A25" s="150">
        <v>4</v>
      </c>
      <c r="B25" s="151" t="str">
        <f>VLOOKUP(A25,'Measurement-Septic Tank'!A:O,2,FALSE)</f>
        <v>1:3:6 Lean Concrete Laying Work</v>
      </c>
      <c r="C25" s="152">
        <f>VLOOKUP(A25,'Measurement-Septic Tank'!A:O,14,FALSE)</f>
        <v>54</v>
      </c>
      <c r="D25" s="153" t="str">
        <f>VLOOKUP(A25,'Measurement-Septic Tank'!A:O,15,FALSE)</f>
        <v>Cft</v>
      </c>
      <c r="E25" s="154"/>
      <c r="F25" s="154"/>
      <c r="G25" s="155">
        <f>SUM(G27:G34)</f>
        <v>316127.57142857148</v>
      </c>
      <c r="H25" s="156">
        <f>SUM(G27:G30)</f>
        <v>229700.57142857148</v>
      </c>
      <c r="I25" s="156">
        <f>SUM(G32:G34)</f>
        <v>86427.000000000015</v>
      </c>
    </row>
    <row r="26" spans="1:9" ht="18" customHeight="1">
      <c r="A26" s="158"/>
      <c r="B26" s="61" t="s">
        <v>29</v>
      </c>
      <c r="C26" s="41"/>
      <c r="D26" s="41"/>
      <c r="E26" s="43"/>
      <c r="F26" s="161"/>
      <c r="G26" s="161"/>
    </row>
    <row r="27" spans="1:9" ht="18" customHeight="1">
      <c r="A27" s="158"/>
      <c r="B27" s="16" t="s">
        <v>102</v>
      </c>
      <c r="C27" s="42">
        <f>C25*1440/112/100</f>
        <v>6.9428571428571431</v>
      </c>
      <c r="D27" s="41" t="s">
        <v>33</v>
      </c>
      <c r="E27" s="43">
        <f>VLOOKUP(B27,'Price '!B:D,3,FALSE)</f>
        <v>18400</v>
      </c>
      <c r="F27" s="161" t="str">
        <f t="shared" ref="F27:F30" si="4">D27</f>
        <v>Bag</v>
      </c>
      <c r="G27" s="161">
        <f t="shared" ref="G27:G30" si="5">C27*E27</f>
        <v>127748.57142857143</v>
      </c>
    </row>
    <row r="28" spans="1:9" ht="18" customHeight="1">
      <c r="A28" s="158"/>
      <c r="B28" s="45" t="s">
        <v>36</v>
      </c>
      <c r="C28" s="42">
        <f>C25*48/100/100</f>
        <v>0.25920000000000004</v>
      </c>
      <c r="D28" s="41" t="s">
        <v>32</v>
      </c>
      <c r="E28" s="43">
        <f>VLOOKUP(B28,'Price '!B:D,3,FALSE)</f>
        <v>50000</v>
      </c>
      <c r="F28" s="161" t="str">
        <f t="shared" si="4"/>
        <v>Sud</v>
      </c>
      <c r="G28" s="161">
        <f t="shared" si="5"/>
        <v>12960.000000000002</v>
      </c>
    </row>
    <row r="29" spans="1:9" ht="18" customHeight="1">
      <c r="A29" s="158"/>
      <c r="B29" s="16" t="s">
        <v>123</v>
      </c>
      <c r="C29" s="42">
        <f>C25*96/100/100</f>
        <v>0.51840000000000008</v>
      </c>
      <c r="D29" s="41" t="s">
        <v>32</v>
      </c>
      <c r="E29" s="43">
        <f>VLOOKUP(B29,'Price '!B:D,3,FALSE)</f>
        <v>130000</v>
      </c>
      <c r="F29" s="161" t="str">
        <f t="shared" si="4"/>
        <v>Sud</v>
      </c>
      <c r="G29" s="161">
        <f t="shared" si="5"/>
        <v>67392.000000000015</v>
      </c>
    </row>
    <row r="30" spans="1:9" ht="18" customHeight="1">
      <c r="A30" s="158"/>
      <c r="B30" s="45" t="s">
        <v>57</v>
      </c>
      <c r="C30" s="42">
        <f>C25*2/100</f>
        <v>1.08</v>
      </c>
      <c r="D30" s="41" t="s">
        <v>35</v>
      </c>
      <c r="E30" s="43">
        <f>VLOOKUP(B30,'Price '!B:D,3,FALSE)</f>
        <v>20000</v>
      </c>
      <c r="F30" s="161" t="str">
        <f t="shared" si="4"/>
        <v>Gal</v>
      </c>
      <c r="G30" s="161">
        <f t="shared" si="5"/>
        <v>21600</v>
      </c>
    </row>
    <row r="31" spans="1:9" ht="18" customHeight="1">
      <c r="A31" s="158"/>
      <c r="B31" s="61" t="s">
        <v>28</v>
      </c>
      <c r="C31" s="41"/>
      <c r="D31" s="41"/>
      <c r="E31" s="43"/>
      <c r="F31" s="161"/>
      <c r="G31" s="161"/>
    </row>
    <row r="32" spans="1:9" ht="18" customHeight="1">
      <c r="A32" s="158"/>
      <c r="B32" s="34" t="s">
        <v>63</v>
      </c>
      <c r="C32" s="42">
        <f>C25*1/100</f>
        <v>0.54</v>
      </c>
      <c r="D32" s="41" t="s">
        <v>10</v>
      </c>
      <c r="E32" s="43">
        <f>VLOOKUP(B32,'Price '!B:D,3,FALSE)</f>
        <v>27500</v>
      </c>
      <c r="F32" s="161" t="str">
        <f t="shared" ref="F32:F34" si="6">D32</f>
        <v>Nos</v>
      </c>
      <c r="G32" s="161">
        <f t="shared" ref="G32:G34" si="7">C32*E32</f>
        <v>14850.000000000002</v>
      </c>
    </row>
    <row r="33" spans="1:9" ht="18" customHeight="1">
      <c r="A33" s="158"/>
      <c r="B33" s="45" t="s">
        <v>37</v>
      </c>
      <c r="C33" s="42">
        <f>C25*6/100</f>
        <v>3.24</v>
      </c>
      <c r="D33" s="41" t="s">
        <v>10</v>
      </c>
      <c r="E33" s="43">
        <f>VLOOKUP(B33,'Price '!B:D,3,FALSE)</f>
        <v>19800</v>
      </c>
      <c r="F33" s="161" t="str">
        <f t="shared" si="6"/>
        <v>Nos</v>
      </c>
      <c r="G33" s="161">
        <f t="shared" si="7"/>
        <v>64152.000000000007</v>
      </c>
    </row>
    <row r="34" spans="1:9" ht="18" customHeight="1">
      <c r="A34" s="322"/>
      <c r="B34" s="45" t="s">
        <v>67</v>
      </c>
      <c r="C34" s="42">
        <f>C25*0.5/100</f>
        <v>0.27</v>
      </c>
      <c r="D34" s="41" t="s">
        <v>10</v>
      </c>
      <c r="E34" s="43">
        <f>VLOOKUP(B34,'Price '!B:D,3,FALSE)</f>
        <v>27500</v>
      </c>
      <c r="F34" s="161" t="str">
        <f t="shared" si="6"/>
        <v>Nos</v>
      </c>
      <c r="G34" s="161">
        <f t="shared" si="7"/>
        <v>7425.0000000000009</v>
      </c>
    </row>
    <row r="35" spans="1:9" ht="18" customHeight="1">
      <c r="A35" s="322"/>
      <c r="B35" s="323"/>
      <c r="C35" s="324"/>
      <c r="D35" s="325"/>
      <c r="E35" s="17"/>
      <c r="F35" s="17"/>
      <c r="G35" s="17"/>
    </row>
    <row r="36" spans="1:9" ht="18" customHeight="1">
      <c r="A36" s="163"/>
      <c r="B36" s="164"/>
      <c r="C36" s="165"/>
      <c r="D36" s="163"/>
      <c r="E36" s="166"/>
      <c r="F36" s="166"/>
      <c r="G36" s="166"/>
    </row>
    <row r="37" spans="1:9" s="157" customFormat="1" ht="36" customHeight="1">
      <c r="A37" s="150">
        <v>5</v>
      </c>
      <c r="B37" s="151" t="str">
        <f>VLOOKUP(A37,'Measurement-Septic Tank'!A:O,2,FALSE)</f>
        <v>Formwork &amp; Shuttering Work</v>
      </c>
      <c r="C37" s="152">
        <f>VLOOKUP(A37,'Measurement-Septic Tank'!A:O,14,FALSE)</f>
        <v>276.66666666666669</v>
      </c>
      <c r="D37" s="153" t="str">
        <f>VLOOKUP(A37,'Measurement-Septic Tank'!A:O,15,FALSE)</f>
        <v>Cft</v>
      </c>
      <c r="E37" s="154"/>
      <c r="F37" s="154"/>
      <c r="G37" s="155" t="e">
        <f>SUM(G39:G49)</f>
        <v>#N/A</v>
      </c>
      <c r="H37" s="156" t="e">
        <f>SUM(G39:G41)</f>
        <v>#N/A</v>
      </c>
      <c r="I37" s="156">
        <f>SUM(G43:G49)</f>
        <v>696923.33333333337</v>
      </c>
    </row>
    <row r="38" spans="1:9" ht="18" customHeight="1">
      <c r="A38" s="174"/>
      <c r="B38" s="61" t="s">
        <v>29</v>
      </c>
      <c r="C38" s="41"/>
      <c r="D38" s="41"/>
      <c r="E38" s="43"/>
      <c r="F38" s="161"/>
      <c r="G38" s="176"/>
    </row>
    <row r="39" spans="1:9" ht="18" customHeight="1">
      <c r="A39" s="177"/>
      <c r="B39" s="46" t="s">
        <v>58</v>
      </c>
      <c r="C39" s="42">
        <f>C37*15/100/50/2</f>
        <v>0.41499999999999998</v>
      </c>
      <c r="D39" s="41" t="s">
        <v>30</v>
      </c>
      <c r="E39" s="43">
        <f>VLOOKUP(B39,'Price '!B:D,3,FALSE)</f>
        <v>2500000</v>
      </c>
      <c r="F39" s="161" t="str">
        <f t="shared" ref="F39:F40" si="8">D39</f>
        <v>Ton</v>
      </c>
      <c r="G39" s="161">
        <f>C39*E39</f>
        <v>1037500</v>
      </c>
    </row>
    <row r="40" spans="1:9" ht="18" customHeight="1">
      <c r="A40" s="174"/>
      <c r="B40" s="15" t="s">
        <v>94</v>
      </c>
      <c r="C40" s="42">
        <f>C37*115/100/32/2</f>
        <v>4.971354166666667</v>
      </c>
      <c r="D40" s="41" t="s">
        <v>10</v>
      </c>
      <c r="E40" s="43" t="e">
        <f>VLOOKUP(B40,'Price '!B:D,3,FALSE)</f>
        <v>#N/A</v>
      </c>
      <c r="F40" s="161" t="str">
        <f t="shared" si="8"/>
        <v>Nos</v>
      </c>
      <c r="G40" s="161" t="e">
        <f>C40*E40</f>
        <v>#N/A</v>
      </c>
    </row>
    <row r="41" spans="1:9" ht="18" customHeight="1">
      <c r="A41" s="174"/>
      <c r="B41" s="46" t="s">
        <v>59</v>
      </c>
      <c r="C41" s="42">
        <f>C37*3/100/3.6</f>
        <v>2.3055555555555558</v>
      </c>
      <c r="D41" s="41" t="s">
        <v>31</v>
      </c>
      <c r="E41" s="43">
        <f>VLOOKUP(B41,'Price '!B:D,3,FALSE)</f>
        <v>12000</v>
      </c>
      <c r="F41" s="161"/>
      <c r="G41" s="161">
        <f t="shared" ref="G41:G44" si="9">C41*E41</f>
        <v>27666.666666666668</v>
      </c>
    </row>
    <row r="42" spans="1:9" ht="18" customHeight="1">
      <c r="A42" s="158"/>
      <c r="B42" s="61" t="s">
        <v>28</v>
      </c>
      <c r="C42" s="41"/>
      <c r="D42" s="41"/>
      <c r="E42" s="43"/>
      <c r="F42" s="161"/>
      <c r="G42" s="161"/>
    </row>
    <row r="43" spans="1:9" ht="18" customHeight="1">
      <c r="A43" s="322"/>
      <c r="B43" s="34" t="s">
        <v>64</v>
      </c>
      <c r="C43" s="42">
        <f>C37*4/100</f>
        <v>11.066666666666668</v>
      </c>
      <c r="D43" s="41" t="s">
        <v>10</v>
      </c>
      <c r="E43" s="43">
        <f>VLOOKUP(B43,'Price '!B:D,3,FALSE)</f>
        <v>27500</v>
      </c>
      <c r="F43" s="17" t="str">
        <f>D43</f>
        <v>Nos</v>
      </c>
      <c r="G43" s="161">
        <f t="shared" si="9"/>
        <v>304333.33333333337</v>
      </c>
    </row>
    <row r="44" spans="1:9" ht="18" customHeight="1">
      <c r="A44" s="322"/>
      <c r="B44" s="45" t="s">
        <v>37</v>
      </c>
      <c r="C44" s="42">
        <f>C37*2/100</f>
        <v>5.5333333333333341</v>
      </c>
      <c r="D44" s="41" t="s">
        <v>10</v>
      </c>
      <c r="E44" s="43">
        <f>VLOOKUP(B44,'Price '!B:D,3,FALSE)</f>
        <v>19800</v>
      </c>
      <c r="F44" s="17" t="str">
        <f>D44</f>
        <v>Nos</v>
      </c>
      <c r="G44" s="161">
        <f t="shared" si="9"/>
        <v>109560.00000000001</v>
      </c>
    </row>
    <row r="45" spans="1:9" ht="18" customHeight="1">
      <c r="A45" s="322"/>
      <c r="B45" s="45"/>
      <c r="C45" s="42"/>
      <c r="D45" s="41"/>
      <c r="E45" s="43"/>
      <c r="F45" s="17"/>
      <c r="G45" s="161"/>
    </row>
    <row r="46" spans="1:9" ht="18" customHeight="1">
      <c r="A46" s="322"/>
      <c r="B46" s="71" t="s">
        <v>75</v>
      </c>
      <c r="C46" s="42">
        <f>C37</f>
        <v>276.66666666666669</v>
      </c>
      <c r="D46" s="41" t="s">
        <v>55</v>
      </c>
      <c r="E46" s="43"/>
      <c r="F46" s="41"/>
      <c r="G46" s="161"/>
    </row>
    <row r="47" spans="1:9" ht="18" customHeight="1">
      <c r="A47" s="322"/>
      <c r="B47" s="61" t="s">
        <v>28</v>
      </c>
      <c r="C47" s="41"/>
      <c r="D47" s="41"/>
      <c r="E47" s="43"/>
      <c r="F47" s="41"/>
      <c r="G47" s="161"/>
    </row>
    <row r="48" spans="1:9" ht="18" customHeight="1">
      <c r="A48" s="322"/>
      <c r="B48" s="34" t="s">
        <v>64</v>
      </c>
      <c r="C48" s="42">
        <f>C46*3/100</f>
        <v>8.3000000000000007</v>
      </c>
      <c r="D48" s="41" t="s">
        <v>10</v>
      </c>
      <c r="E48" s="43">
        <f>VLOOKUP(B48,'Price '!B:D,3,FALSE)</f>
        <v>27500</v>
      </c>
      <c r="F48" s="17" t="str">
        <f>D48</f>
        <v>Nos</v>
      </c>
      <c r="G48" s="161">
        <f>C48*E48</f>
        <v>228250.00000000003</v>
      </c>
    </row>
    <row r="49" spans="1:9" ht="18" customHeight="1">
      <c r="A49" s="322"/>
      <c r="B49" s="45" t="s">
        <v>37</v>
      </c>
      <c r="C49" s="42">
        <f>C46*1/100</f>
        <v>2.7666666666666671</v>
      </c>
      <c r="D49" s="41" t="s">
        <v>10</v>
      </c>
      <c r="E49" s="43">
        <f>VLOOKUP(B49,'Price '!B:D,3,FALSE)</f>
        <v>19800</v>
      </c>
      <c r="F49" s="17" t="str">
        <f>D49</f>
        <v>Nos</v>
      </c>
      <c r="G49" s="161">
        <f>C49*E49</f>
        <v>54780.000000000007</v>
      </c>
    </row>
    <row r="50" spans="1:9" ht="18" customHeight="1">
      <c r="A50" s="163"/>
      <c r="B50" s="265"/>
      <c r="C50" s="326"/>
      <c r="D50" s="163"/>
      <c r="E50" s="166"/>
      <c r="F50" s="166"/>
      <c r="G50" s="166"/>
    </row>
    <row r="51" spans="1:9" ht="18" customHeight="1">
      <c r="A51" s="150">
        <v>6</v>
      </c>
      <c r="B51" s="151" t="str">
        <f>VLOOKUP(A51,'Measurement-Septic Tank'!A:O,2,FALSE)</f>
        <v>Mild Steel Work</v>
      </c>
      <c r="C51" s="152">
        <f>VLOOKUP(A51,'Measurement-Septic Tank'!A:O,14,FALSE)</f>
        <v>0.49511289509449286</v>
      </c>
      <c r="D51" s="153" t="str">
        <f>VLOOKUP(A51,'Measurement-Septic Tank'!A:O,15,FALSE)</f>
        <v>Ton</v>
      </c>
      <c r="E51" s="154"/>
      <c r="F51" s="154"/>
      <c r="G51" s="155">
        <f>SUM(G52:G57)</f>
        <v>1845285.7600171748</v>
      </c>
      <c r="H51" s="156">
        <f>SUM(G52:G54)</f>
        <v>1376908.9612577846</v>
      </c>
      <c r="I51" s="156">
        <f>SUM(G55:G58)</f>
        <v>468376.79875939025</v>
      </c>
    </row>
    <row r="52" spans="1:9" ht="18" customHeight="1">
      <c r="A52" s="322"/>
      <c r="B52" s="61" t="s">
        <v>29</v>
      </c>
      <c r="C52" s="41"/>
      <c r="D52" s="41"/>
      <c r="E52" s="43"/>
      <c r="F52" s="41"/>
      <c r="G52" s="43"/>
    </row>
    <row r="53" spans="1:9" ht="18" customHeight="1">
      <c r="A53" s="322"/>
      <c r="B53" s="47" t="s">
        <v>95</v>
      </c>
      <c r="C53" s="42">
        <f>C51*1.05</f>
        <v>0.51986853984921755</v>
      </c>
      <c r="D53" s="41" t="s">
        <v>30</v>
      </c>
      <c r="E53" s="43">
        <f>VLOOKUP(B53,'Price '!B:D,3,FALSE)</f>
        <v>2420000</v>
      </c>
      <c r="F53" s="41" t="s">
        <v>30</v>
      </c>
      <c r="G53" s="43">
        <f>E53*C53</f>
        <v>1258081.8664351064</v>
      </c>
    </row>
    <row r="54" spans="1:9" ht="18" customHeight="1">
      <c r="A54" s="322"/>
      <c r="B54" s="45" t="s">
        <v>60</v>
      </c>
      <c r="C54" s="64">
        <f>C51*20</f>
        <v>9.9022579018898575</v>
      </c>
      <c r="D54" s="41" t="s">
        <v>69</v>
      </c>
      <c r="E54" s="43">
        <f>VLOOKUP(B54,'Price '!B:D,3,FALSE)</f>
        <v>12000</v>
      </c>
      <c r="F54" s="41" t="str">
        <f>D54</f>
        <v>lbs</v>
      </c>
      <c r="G54" s="43">
        <f>E54*C54</f>
        <v>118827.09482267829</v>
      </c>
    </row>
    <row r="55" spans="1:9" ht="18" customHeight="1">
      <c r="A55" s="322"/>
      <c r="B55" s="61" t="s">
        <v>28</v>
      </c>
      <c r="C55" s="41"/>
      <c r="D55" s="41"/>
      <c r="E55" s="43"/>
      <c r="F55" s="41"/>
      <c r="G55" s="43"/>
    </row>
    <row r="56" spans="1:9" ht="18" customHeight="1">
      <c r="A56" s="322"/>
      <c r="B56" s="16" t="s">
        <v>66</v>
      </c>
      <c r="C56" s="42">
        <f>C51*20*1</f>
        <v>9.9022579018898575</v>
      </c>
      <c r="D56" s="41" t="s">
        <v>10</v>
      </c>
      <c r="E56" s="43">
        <f>VLOOKUP(B56,'Price '!B:D,3,FALSE)</f>
        <v>27500</v>
      </c>
      <c r="F56" s="41" t="s">
        <v>10</v>
      </c>
      <c r="G56" s="43">
        <f>E56*C56</f>
        <v>272312.0923019711</v>
      </c>
    </row>
    <row r="57" spans="1:9" ht="18" customHeight="1">
      <c r="A57" s="322"/>
      <c r="B57" s="45" t="s">
        <v>37</v>
      </c>
      <c r="C57" s="42">
        <f>C51*20*1</f>
        <v>9.9022579018898575</v>
      </c>
      <c r="D57" s="41" t="s">
        <v>10</v>
      </c>
      <c r="E57" s="43">
        <f>VLOOKUP(B57,'Price '!B:D,3,FALSE)</f>
        <v>19800</v>
      </c>
      <c r="F57" s="41" t="s">
        <v>10</v>
      </c>
      <c r="G57" s="43">
        <f>E57*C57</f>
        <v>196064.70645741918</v>
      </c>
    </row>
    <row r="58" spans="1:9" ht="18" customHeight="1">
      <c r="A58" s="163"/>
      <c r="B58" s="57"/>
      <c r="C58" s="56"/>
      <c r="D58" s="56"/>
      <c r="E58" s="59"/>
      <c r="F58" s="56"/>
      <c r="G58" s="63"/>
    </row>
    <row r="59" spans="1:9" ht="18" customHeight="1">
      <c r="A59" s="150">
        <v>7</v>
      </c>
      <c r="B59" s="151" t="str">
        <f>VLOOKUP(A59,'Measurement-Septic Tank'!A:O,2,FALSE)</f>
        <v>(1:2:4) Cement Concrete Work</v>
      </c>
      <c r="C59" s="152">
        <f>VLOOKUP(A59,'Measurement-Septic Tank'!A:O,14,FALSE)</f>
        <v>84</v>
      </c>
      <c r="D59" s="153" t="str">
        <f>VLOOKUP(A59,'Measurement-Septic Tank'!A:O,15,FALSE)</f>
        <v>Sft</v>
      </c>
      <c r="E59" s="154"/>
      <c r="F59" s="154"/>
      <c r="G59" s="155">
        <f>SUM(G61:G69)</f>
        <v>606750</v>
      </c>
      <c r="H59" s="156">
        <f>SUM(G61:G64)</f>
        <v>439044</v>
      </c>
      <c r="I59" s="156">
        <f>SUM(G66:G69)</f>
        <v>167706</v>
      </c>
    </row>
    <row r="60" spans="1:9" ht="18" customHeight="1">
      <c r="A60" s="322"/>
      <c r="B60" s="61" t="s">
        <v>29</v>
      </c>
      <c r="C60" s="41"/>
      <c r="D60" s="41"/>
      <c r="E60" s="43"/>
      <c r="F60" s="41"/>
      <c r="G60" s="62"/>
    </row>
    <row r="61" spans="1:9" ht="18" customHeight="1">
      <c r="A61" s="322"/>
      <c r="B61" s="16" t="s">
        <v>102</v>
      </c>
      <c r="C61" s="42">
        <f>C59*2070/112/100</f>
        <v>15.525</v>
      </c>
      <c r="D61" s="41" t="s">
        <v>33</v>
      </c>
      <c r="E61" s="43">
        <f>VLOOKUP(B61,'Price '!B:D,3,FALSE)</f>
        <v>18400</v>
      </c>
      <c r="F61" s="41" t="str">
        <f>D61</f>
        <v>Bag</v>
      </c>
      <c r="G61" s="43">
        <f>C61*E61</f>
        <v>285660</v>
      </c>
    </row>
    <row r="62" spans="1:9" ht="18" customHeight="1">
      <c r="A62" s="322"/>
      <c r="B62" s="45" t="s">
        <v>36</v>
      </c>
      <c r="C62" s="42">
        <f>C59*46/100/100</f>
        <v>0.38640000000000002</v>
      </c>
      <c r="D62" s="41" t="s">
        <v>32</v>
      </c>
      <c r="E62" s="43">
        <f>VLOOKUP(B62,'Price '!B:D,3,FALSE)</f>
        <v>50000</v>
      </c>
      <c r="F62" s="41" t="str">
        <f t="shared" ref="F62:F69" si="10">D62</f>
        <v>Sud</v>
      </c>
      <c r="G62" s="43">
        <f t="shared" ref="G62:G69" si="11">C62*E62</f>
        <v>19320</v>
      </c>
    </row>
    <row r="63" spans="1:9" ht="18" customHeight="1">
      <c r="A63" s="322"/>
      <c r="B63" s="16" t="s">
        <v>123</v>
      </c>
      <c r="C63" s="42">
        <f>C59*92/100/100</f>
        <v>0.77280000000000004</v>
      </c>
      <c r="D63" s="41" t="s">
        <v>32</v>
      </c>
      <c r="E63" s="43">
        <f>VLOOKUP(B63,'Price '!B:D,3,FALSE)</f>
        <v>130000</v>
      </c>
      <c r="F63" s="41" t="str">
        <f t="shared" si="10"/>
        <v>Sud</v>
      </c>
      <c r="G63" s="43">
        <f t="shared" si="11"/>
        <v>100464</v>
      </c>
    </row>
    <row r="64" spans="1:9" ht="18" customHeight="1">
      <c r="A64" s="322"/>
      <c r="B64" s="45" t="s">
        <v>57</v>
      </c>
      <c r="C64" s="42">
        <f>C59*2/100</f>
        <v>1.68</v>
      </c>
      <c r="D64" s="41" t="s">
        <v>35</v>
      </c>
      <c r="E64" s="43">
        <f>VLOOKUP(B64,'Price '!B:D,3,FALSE)</f>
        <v>20000</v>
      </c>
      <c r="F64" s="41" t="str">
        <f t="shared" si="10"/>
        <v>Gal</v>
      </c>
      <c r="G64" s="43">
        <f t="shared" si="11"/>
        <v>33600</v>
      </c>
    </row>
    <row r="65" spans="1:11" ht="18" customHeight="1">
      <c r="A65" s="322"/>
      <c r="B65" s="45"/>
      <c r="C65" s="41"/>
      <c r="D65" s="41"/>
      <c r="E65" s="43"/>
      <c r="F65" s="41"/>
      <c r="G65" s="43"/>
    </row>
    <row r="66" spans="1:11" ht="18" customHeight="1">
      <c r="A66" s="322"/>
      <c r="B66" s="61" t="s">
        <v>28</v>
      </c>
      <c r="C66" s="41"/>
      <c r="D66" s="41"/>
      <c r="E66" s="43"/>
      <c r="F66" s="41"/>
      <c r="G66" s="43"/>
    </row>
    <row r="67" spans="1:11" ht="18" customHeight="1">
      <c r="A67" s="322"/>
      <c r="B67" s="34" t="s">
        <v>63</v>
      </c>
      <c r="C67" s="42">
        <f>C59*1/100</f>
        <v>0.84</v>
      </c>
      <c r="D67" s="41" t="s">
        <v>10</v>
      </c>
      <c r="E67" s="43">
        <f>VLOOKUP(B67,'Price '!B:D,3,FALSE)</f>
        <v>27500</v>
      </c>
      <c r="F67" s="41" t="str">
        <f t="shared" si="10"/>
        <v>Nos</v>
      </c>
      <c r="G67" s="43">
        <f t="shared" si="11"/>
        <v>23100</v>
      </c>
    </row>
    <row r="68" spans="1:11" ht="18" customHeight="1">
      <c r="A68" s="322"/>
      <c r="B68" s="322" t="s">
        <v>37</v>
      </c>
      <c r="C68" s="42">
        <f>C59*8/100</f>
        <v>6.72</v>
      </c>
      <c r="D68" s="41" t="s">
        <v>10</v>
      </c>
      <c r="E68" s="43">
        <f>VLOOKUP(B68,'Price '!B:D,3,FALSE)</f>
        <v>19800</v>
      </c>
      <c r="F68" s="41" t="str">
        <f t="shared" si="10"/>
        <v>Nos</v>
      </c>
      <c r="G68" s="43">
        <f t="shared" si="11"/>
        <v>133056</v>
      </c>
    </row>
    <row r="69" spans="1:11" s="157" customFormat="1" ht="18" customHeight="1">
      <c r="A69" s="322"/>
      <c r="B69" s="322" t="s">
        <v>67</v>
      </c>
      <c r="C69" s="42">
        <f>C59*0.5/100</f>
        <v>0.42</v>
      </c>
      <c r="D69" s="41" t="s">
        <v>10</v>
      </c>
      <c r="E69" s="43">
        <f>VLOOKUP(B69,'Price '!B:D,3,FALSE)</f>
        <v>27500</v>
      </c>
      <c r="F69" s="41" t="str">
        <f t="shared" si="10"/>
        <v>Nos</v>
      </c>
      <c r="G69" s="43">
        <f t="shared" si="11"/>
        <v>11550</v>
      </c>
      <c r="H69" s="148"/>
      <c r="I69" s="148"/>
    </row>
    <row r="70" spans="1:11" s="157" customFormat="1" ht="18" customHeight="1">
      <c r="A70" s="163"/>
      <c r="B70" s="163"/>
      <c r="C70" s="58"/>
      <c r="D70" s="56"/>
      <c r="E70" s="59"/>
      <c r="F70" s="56"/>
      <c r="G70" s="59"/>
      <c r="H70" s="148"/>
      <c r="I70" s="148"/>
    </row>
    <row r="71" spans="1:11" s="157" customFormat="1" ht="27" customHeight="1">
      <c r="A71" s="150" t="s">
        <v>199</v>
      </c>
      <c r="B71" s="151" t="str">
        <f>VLOOKUP(A71,'Measurement-Septic Tank'!A:O,2,FALSE)</f>
        <v>9" thk; Brick  Work   With 1:3  Cement  Mortar</v>
      </c>
      <c r="C71" s="152">
        <f>VLOOKUP(A71,'Measurement-Septic Tank'!A:O,14,FALSE)</f>
        <v>407.21875</v>
      </c>
      <c r="D71" s="153" t="str">
        <f>VLOOKUP(A71,'Measurement-Septic Tank'!A:O,15,FALSE)</f>
        <v>Cft</v>
      </c>
      <c r="E71" s="154"/>
      <c r="F71" s="154"/>
      <c r="G71" s="155" t="e">
        <f>SUM(G73:G80)</f>
        <v>#N/A</v>
      </c>
      <c r="H71" s="156" t="e">
        <f>SUM(G73:G76)</f>
        <v>#N/A</v>
      </c>
      <c r="I71" s="156">
        <f>SUM(G78:G80)</f>
        <v>931716.5</v>
      </c>
    </row>
    <row r="72" spans="1:11" s="157" customFormat="1" ht="18" customHeight="1">
      <c r="A72" s="322"/>
      <c r="B72" s="61" t="s">
        <v>29</v>
      </c>
      <c r="C72" s="41"/>
      <c r="D72" s="41"/>
      <c r="E72" s="43"/>
      <c r="F72" s="41"/>
      <c r="G72" s="43"/>
      <c r="H72" s="327"/>
      <c r="I72" s="327"/>
    </row>
    <row r="73" spans="1:11" s="157" customFormat="1" ht="18" customHeight="1">
      <c r="A73" s="322"/>
      <c r="B73" s="16" t="s">
        <v>102</v>
      </c>
      <c r="C73" s="42">
        <f>C71*780/112/100</f>
        <v>28.359877232142857</v>
      </c>
      <c r="D73" s="41" t="s">
        <v>33</v>
      </c>
      <c r="E73" s="43">
        <f>VLOOKUP(B73,'Price '!B:D,3,FALSE)</f>
        <v>18400</v>
      </c>
      <c r="F73" s="41" t="s">
        <v>33</v>
      </c>
      <c r="G73" s="43">
        <f>C73*E73</f>
        <v>521821.74107142858</v>
      </c>
      <c r="H73" s="327"/>
      <c r="I73" s="327"/>
    </row>
    <row r="74" spans="1:11" s="157" customFormat="1" ht="18" customHeight="1">
      <c r="A74" s="322"/>
      <c r="B74" s="46" t="s">
        <v>36</v>
      </c>
      <c r="C74" s="42">
        <f>C71*26/100/100</f>
        <v>1.05876875</v>
      </c>
      <c r="D74" s="41" t="s">
        <v>32</v>
      </c>
      <c r="E74" s="43">
        <f>VLOOKUP(B74,'Price '!B:D,3,FALSE)</f>
        <v>50000</v>
      </c>
      <c r="F74" s="41" t="s">
        <v>32</v>
      </c>
      <c r="G74" s="43">
        <f t="shared" ref="G74:G79" si="12">C74*E74</f>
        <v>52938.4375</v>
      </c>
      <c r="H74" s="327"/>
      <c r="I74" s="327"/>
    </row>
    <row r="75" spans="1:11" s="157" customFormat="1" ht="18" customHeight="1">
      <c r="A75" s="322"/>
      <c r="B75" s="14" t="s">
        <v>93</v>
      </c>
      <c r="C75" s="64">
        <f>C71*1350/100</f>
        <v>5497.453125</v>
      </c>
      <c r="D75" s="41" t="s">
        <v>10</v>
      </c>
      <c r="E75" s="43" t="e">
        <f>VLOOKUP(B75,'Price '!B:D,3,FALSE)</f>
        <v>#N/A</v>
      </c>
      <c r="F75" s="41" t="s">
        <v>10</v>
      </c>
      <c r="G75" s="43" t="e">
        <f t="shared" si="12"/>
        <v>#N/A</v>
      </c>
      <c r="H75" s="327"/>
      <c r="I75" s="327"/>
    </row>
    <row r="76" spans="1:11" s="157" customFormat="1" ht="18" customHeight="1">
      <c r="A76" s="322"/>
      <c r="B76" s="45"/>
      <c r="C76" s="41"/>
      <c r="D76" s="41"/>
      <c r="E76" s="43"/>
      <c r="F76" s="41"/>
      <c r="G76" s="43"/>
      <c r="H76" s="327"/>
      <c r="I76" s="327"/>
    </row>
    <row r="77" spans="1:11" s="157" customFormat="1" ht="18" customHeight="1">
      <c r="A77" s="322"/>
      <c r="B77" s="61" t="s">
        <v>28</v>
      </c>
      <c r="C77" s="41"/>
      <c r="D77" s="41"/>
      <c r="E77" s="43"/>
      <c r="F77" s="41"/>
      <c r="G77" s="43"/>
      <c r="H77" s="327"/>
      <c r="I77" s="327"/>
    </row>
    <row r="78" spans="1:11" s="157" customFormat="1" ht="18" customHeight="1">
      <c r="A78" s="322"/>
      <c r="B78" s="45" t="s">
        <v>63</v>
      </c>
      <c r="C78" s="42">
        <f>C71*4/100</f>
        <v>16.28875</v>
      </c>
      <c r="D78" s="41" t="s">
        <v>10</v>
      </c>
      <c r="E78" s="43">
        <f>VLOOKUP(B78,'Price '!B:D,3,FALSE)</f>
        <v>27500</v>
      </c>
      <c r="F78" s="41" t="s">
        <v>10</v>
      </c>
      <c r="G78" s="43">
        <f t="shared" si="12"/>
        <v>447940.625</v>
      </c>
      <c r="H78" s="327"/>
      <c r="I78" s="327"/>
    </row>
    <row r="79" spans="1:11" ht="18" customHeight="1">
      <c r="A79" s="322"/>
      <c r="B79" s="45" t="s">
        <v>37</v>
      </c>
      <c r="C79" s="42">
        <f>C71*6/100</f>
        <v>24.433125</v>
      </c>
      <c r="D79" s="41" t="s">
        <v>10</v>
      </c>
      <c r="E79" s="43">
        <f>VLOOKUP(B79,'Price '!B:D,3,FALSE)</f>
        <v>19800</v>
      </c>
      <c r="F79" s="41" t="s">
        <v>10</v>
      </c>
      <c r="G79" s="43">
        <f t="shared" si="12"/>
        <v>483775.875</v>
      </c>
    </row>
    <row r="80" spans="1:11" ht="18" customHeight="1">
      <c r="A80" s="163"/>
      <c r="B80" s="163"/>
      <c r="C80" s="58"/>
      <c r="D80" s="56"/>
      <c r="E80" s="59"/>
      <c r="F80" s="56"/>
      <c r="G80" s="59"/>
      <c r="K80" s="181"/>
    </row>
    <row r="81" spans="1:14" ht="28.5" customHeight="1">
      <c r="A81" s="150" t="s">
        <v>203</v>
      </c>
      <c r="B81" s="151" t="str">
        <f>VLOOKUP(A81,'Measurement-Septic Tank'!A:O,2,FALSE)</f>
        <v>4-1/2" thk; Brick  Work   With 1:3  Cement  Mortar</v>
      </c>
      <c r="C81" s="152">
        <f>VLOOKUP(A81,'Measurement-Septic Tank'!A:O,14,FALSE)</f>
        <v>78.75</v>
      </c>
      <c r="D81" s="153" t="str">
        <f>VLOOKUP(A81,'Measurement-Septic Tank'!A:O,15,FALSE)</f>
        <v>Sft</v>
      </c>
      <c r="E81" s="154"/>
      <c r="F81" s="154"/>
      <c r="G81" s="155" t="e">
        <f>SUM(G83:G91)</f>
        <v>#N/A</v>
      </c>
      <c r="H81" s="156" t="e">
        <f>SUM(G83:G86)</f>
        <v>#N/A</v>
      </c>
      <c r="I81" s="156">
        <f>SUM(G88:G90)</f>
        <v>90090</v>
      </c>
    </row>
    <row r="82" spans="1:14" ht="18" customHeight="1">
      <c r="A82" s="322"/>
      <c r="B82" s="61" t="s">
        <v>29</v>
      </c>
      <c r="C82" s="41"/>
      <c r="D82" s="41"/>
      <c r="E82" s="43"/>
      <c r="F82" s="41"/>
      <c r="G82" s="43"/>
    </row>
    <row r="83" spans="1:14" ht="18" customHeight="1">
      <c r="A83" s="322"/>
      <c r="B83" s="16" t="s">
        <v>102</v>
      </c>
      <c r="C83" s="42">
        <f>C81*350/112/100</f>
        <v>2.4609375</v>
      </c>
      <c r="D83" s="41" t="s">
        <v>33</v>
      </c>
      <c r="E83" s="43">
        <f>VLOOKUP(B83,'Price '!B:D,3,FALSE)</f>
        <v>18400</v>
      </c>
      <c r="F83" s="41" t="s">
        <v>33</v>
      </c>
      <c r="G83" s="43">
        <f>C83*E83</f>
        <v>45281.25</v>
      </c>
    </row>
    <row r="84" spans="1:14" ht="18" customHeight="1">
      <c r="A84" s="322"/>
      <c r="B84" s="46" t="s">
        <v>36</v>
      </c>
      <c r="C84" s="42">
        <f>C81*10/100/100</f>
        <v>7.8750000000000001E-2</v>
      </c>
      <c r="D84" s="41" t="s">
        <v>32</v>
      </c>
      <c r="E84" s="43">
        <f>VLOOKUP(B84,'Price '!B:D,3,FALSE)</f>
        <v>50000</v>
      </c>
      <c r="F84" s="41" t="s">
        <v>32</v>
      </c>
      <c r="G84" s="43">
        <f>C84*E84</f>
        <v>3937.5</v>
      </c>
    </row>
    <row r="85" spans="1:14" ht="18" customHeight="1">
      <c r="A85" s="322"/>
      <c r="B85" s="14" t="s">
        <v>93</v>
      </c>
      <c r="C85" s="42">
        <f>C81*550/100</f>
        <v>433.125</v>
      </c>
      <c r="D85" s="41" t="s">
        <v>10</v>
      </c>
      <c r="E85" s="43" t="e">
        <f>VLOOKUP(B85,'Price '!B:D,3,FALSE)</f>
        <v>#N/A</v>
      </c>
      <c r="F85" s="41" t="s">
        <v>10</v>
      </c>
      <c r="G85" s="43" t="e">
        <f>C85*E85</f>
        <v>#N/A</v>
      </c>
    </row>
    <row r="86" spans="1:14" ht="18" customHeight="1">
      <c r="A86" s="322"/>
      <c r="B86" s="14" t="s">
        <v>129</v>
      </c>
      <c r="C86" s="42">
        <f>C81*115/100*1.1</f>
        <v>99.618750000000006</v>
      </c>
      <c r="D86" s="41" t="s">
        <v>26</v>
      </c>
      <c r="E86" s="43">
        <f>VLOOKUP(B86,'[6]Price (Kalay)'!B:D,3,FALSE)</f>
        <v>50</v>
      </c>
      <c r="F86" s="41" t="s">
        <v>10</v>
      </c>
      <c r="G86" s="43">
        <f>C86*E86</f>
        <v>4980.9375</v>
      </c>
    </row>
    <row r="87" spans="1:14" ht="18" customHeight="1">
      <c r="A87" s="322"/>
      <c r="B87" s="45"/>
      <c r="C87" s="41"/>
      <c r="D87" s="41"/>
      <c r="E87" s="43"/>
      <c r="F87" s="41"/>
      <c r="G87" s="43"/>
    </row>
    <row r="88" spans="1:14" s="180" customFormat="1" ht="18" customHeight="1">
      <c r="A88" s="322"/>
      <c r="B88" s="61" t="s">
        <v>28</v>
      </c>
      <c r="C88" s="41"/>
      <c r="D88" s="41"/>
      <c r="E88" s="43"/>
      <c r="F88" s="41"/>
      <c r="G88" s="43"/>
      <c r="H88" s="148"/>
      <c r="I88" s="148"/>
      <c r="J88" s="148"/>
      <c r="K88" s="148"/>
      <c r="L88" s="148"/>
      <c r="M88" s="148"/>
      <c r="N88" s="148"/>
    </row>
    <row r="89" spans="1:14" s="180" customFormat="1" ht="18" customHeight="1">
      <c r="A89" s="322"/>
      <c r="B89" s="34" t="s">
        <v>63</v>
      </c>
      <c r="C89" s="42">
        <f>C81*2/100</f>
        <v>1.575</v>
      </c>
      <c r="D89" s="41" t="s">
        <v>10</v>
      </c>
      <c r="E89" s="43">
        <f>VLOOKUP(B89,'Price '!B:D,3,FALSE)</f>
        <v>27500</v>
      </c>
      <c r="F89" s="41" t="s">
        <v>10</v>
      </c>
      <c r="G89" s="43">
        <f>C89*E89</f>
        <v>43312.5</v>
      </c>
      <c r="H89" s="148"/>
      <c r="I89" s="148"/>
      <c r="J89" s="148"/>
      <c r="K89" s="148"/>
      <c r="L89" s="148"/>
      <c r="M89" s="148"/>
      <c r="N89" s="148"/>
    </row>
    <row r="90" spans="1:14" s="180" customFormat="1" ht="18" customHeight="1">
      <c r="A90" s="322"/>
      <c r="B90" s="45" t="s">
        <v>37</v>
      </c>
      <c r="C90" s="42">
        <f>C81*3/100</f>
        <v>2.3624999999999998</v>
      </c>
      <c r="D90" s="41" t="s">
        <v>10</v>
      </c>
      <c r="E90" s="43">
        <f>VLOOKUP(B90,'Price '!B:D,3,FALSE)</f>
        <v>19800</v>
      </c>
      <c r="F90" s="41" t="s">
        <v>10</v>
      </c>
      <c r="G90" s="43">
        <f>C90*E90</f>
        <v>46777.5</v>
      </c>
      <c r="H90" s="148"/>
      <c r="I90" s="148"/>
      <c r="J90" s="148"/>
      <c r="K90" s="148"/>
      <c r="L90" s="148"/>
      <c r="M90" s="148"/>
      <c r="N90" s="148"/>
    </row>
    <row r="91" spans="1:14" s="180" customFormat="1" ht="18" customHeight="1">
      <c r="A91" s="163"/>
      <c r="B91" s="57"/>
      <c r="C91" s="56"/>
      <c r="D91" s="56"/>
      <c r="E91" s="59"/>
      <c r="F91" s="56"/>
      <c r="G91" s="59"/>
      <c r="H91" s="148"/>
      <c r="I91" s="148"/>
      <c r="J91" s="148"/>
      <c r="K91" s="148"/>
      <c r="L91" s="148"/>
      <c r="M91" s="148"/>
      <c r="N91" s="148"/>
    </row>
    <row r="92" spans="1:14" s="180" customFormat="1" ht="30" customHeight="1">
      <c r="A92" s="150">
        <v>9</v>
      </c>
      <c r="B92" s="151" t="str">
        <f>VLOOKUP(A92,'Measurement-Septic Tank'!A:O,2,FALSE)</f>
        <v>1/2" Thk Plastering work with 1:3 Cement motor</v>
      </c>
      <c r="C92" s="152">
        <f>VLOOKUP(A92,'Measurement-Septic Tank'!A:O,14,FALSE)</f>
        <v>752.33333333333337</v>
      </c>
      <c r="D92" s="153" t="str">
        <f>VLOOKUP(A92,'Measurement-Septic Tank'!A:O,15,FALSE)</f>
        <v>Sft</v>
      </c>
      <c r="E92" s="154"/>
      <c r="F92" s="154"/>
      <c r="G92" s="155">
        <f>SUM(G94:G101)</f>
        <v>832833</v>
      </c>
      <c r="H92" s="156">
        <f>SUM(G94:G97)</f>
        <v>454221.25</v>
      </c>
      <c r="I92" s="156">
        <f>SUM(G99:G101)</f>
        <v>378611.75</v>
      </c>
      <c r="J92" s="148"/>
      <c r="K92" s="148"/>
      <c r="L92" s="148"/>
      <c r="M92" s="148"/>
      <c r="N92" s="148"/>
    </row>
    <row r="93" spans="1:14" s="180" customFormat="1" ht="18" customHeight="1">
      <c r="A93" s="322"/>
      <c r="B93" s="61" t="s">
        <v>29</v>
      </c>
      <c r="C93" s="41"/>
      <c r="D93" s="41"/>
      <c r="E93" s="43"/>
      <c r="F93" s="41"/>
      <c r="G93" s="43"/>
      <c r="H93" s="148"/>
      <c r="I93" s="148"/>
      <c r="J93" s="148"/>
      <c r="K93" s="148"/>
      <c r="L93" s="148"/>
      <c r="M93" s="148"/>
      <c r="N93" s="148"/>
    </row>
    <row r="94" spans="1:14" s="180" customFormat="1" ht="18" customHeight="1">
      <c r="A94" s="322"/>
      <c r="B94" s="16" t="s">
        <v>102</v>
      </c>
      <c r="C94" s="42">
        <f>C92*259/112/100</f>
        <v>17.397708333333334</v>
      </c>
      <c r="D94" s="41" t="s">
        <v>33</v>
      </c>
      <c r="E94" s="43">
        <f>VLOOKUP(B94,'Price '!B:D,3,FALSE)</f>
        <v>18400</v>
      </c>
      <c r="F94" s="41" t="s">
        <v>33</v>
      </c>
      <c r="G94" s="43">
        <f>C94*E94</f>
        <v>320117.83333333337</v>
      </c>
      <c r="H94" s="148"/>
      <c r="I94" s="148"/>
      <c r="J94" s="148"/>
      <c r="K94" s="148"/>
      <c r="L94" s="148"/>
      <c r="M94" s="148"/>
      <c r="N94" s="148"/>
    </row>
    <row r="95" spans="1:14" s="180" customFormat="1" ht="18" customHeight="1">
      <c r="A95" s="322"/>
      <c r="B95" s="46" t="s">
        <v>36</v>
      </c>
      <c r="C95" s="42">
        <f>C92*5.75/100/100</f>
        <v>0.43259166666666671</v>
      </c>
      <c r="D95" s="41" t="s">
        <v>32</v>
      </c>
      <c r="E95" s="43">
        <f>VLOOKUP(B95,'Price '!B:D,3,FALSE)</f>
        <v>50000</v>
      </c>
      <c r="F95" s="41" t="s">
        <v>32</v>
      </c>
      <c r="G95" s="43">
        <f t="shared" ref="G95:G100" si="13">C95*E95</f>
        <v>21629.583333333336</v>
      </c>
      <c r="H95" s="148"/>
      <c r="I95" s="148"/>
      <c r="J95" s="148"/>
      <c r="K95" s="148"/>
      <c r="L95" s="148"/>
      <c r="M95" s="148"/>
      <c r="N95" s="148"/>
    </row>
    <row r="96" spans="1:14" s="180" customFormat="1" ht="18" customHeight="1">
      <c r="A96" s="322"/>
      <c r="B96" s="16" t="s">
        <v>123</v>
      </c>
      <c r="C96" s="42">
        <f>C92*11.5/100/100</f>
        <v>0.86518333333333342</v>
      </c>
      <c r="D96" s="41" t="s">
        <v>32</v>
      </c>
      <c r="E96" s="43">
        <f>VLOOKUP(B96,'Price '!B:D,3,FALSE)</f>
        <v>130000</v>
      </c>
      <c r="F96" s="41" t="s">
        <v>32</v>
      </c>
      <c r="G96" s="43">
        <f t="shared" si="13"/>
        <v>112473.83333333334</v>
      </c>
      <c r="H96" s="148"/>
      <c r="I96" s="148"/>
      <c r="J96" s="148"/>
      <c r="K96" s="148"/>
      <c r="L96" s="148"/>
      <c r="M96" s="148"/>
      <c r="N96" s="148"/>
    </row>
    <row r="97" spans="1:12" ht="18" customHeight="1">
      <c r="A97" s="322"/>
      <c r="B97" s="45"/>
      <c r="C97" s="41"/>
      <c r="D97" s="41"/>
      <c r="E97" s="43"/>
      <c r="F97" s="41"/>
      <c r="G97" s="43"/>
    </row>
    <row r="98" spans="1:12" ht="18" customHeight="1">
      <c r="A98" s="322"/>
      <c r="B98" s="61" t="s">
        <v>28</v>
      </c>
      <c r="C98" s="41"/>
      <c r="D98" s="41"/>
      <c r="E98" s="43"/>
      <c r="F98" s="41"/>
      <c r="G98" s="43"/>
    </row>
    <row r="99" spans="1:12" ht="18" customHeight="1">
      <c r="A99" s="322"/>
      <c r="B99" s="34" t="s">
        <v>63</v>
      </c>
      <c r="C99" s="42">
        <f>C92*0.75/100</f>
        <v>5.6425000000000001</v>
      </c>
      <c r="D99" s="41" t="s">
        <v>10</v>
      </c>
      <c r="E99" s="43">
        <f>VLOOKUP(B99,'Price '!B:D,3,FALSE)</f>
        <v>27500</v>
      </c>
      <c r="F99" s="41" t="s">
        <v>10</v>
      </c>
      <c r="G99" s="43">
        <f t="shared" si="13"/>
        <v>155168.75</v>
      </c>
    </row>
    <row r="100" spans="1:12" ht="18" customHeight="1">
      <c r="A100" s="322"/>
      <c r="B100" s="45" t="s">
        <v>37</v>
      </c>
      <c r="C100" s="42">
        <f>C92*1.5/100</f>
        <v>11.285</v>
      </c>
      <c r="D100" s="41" t="s">
        <v>10</v>
      </c>
      <c r="E100" s="43">
        <f>VLOOKUP(B100,'Price '!B:D,3,FALSE)</f>
        <v>19800</v>
      </c>
      <c r="F100" s="41" t="s">
        <v>10</v>
      </c>
      <c r="G100" s="43">
        <f t="shared" si="13"/>
        <v>223443</v>
      </c>
    </row>
    <row r="101" spans="1:12" ht="18" customHeight="1">
      <c r="A101" s="163"/>
      <c r="B101" s="57"/>
      <c r="C101" s="56"/>
      <c r="D101" s="56"/>
      <c r="E101" s="59"/>
      <c r="F101" s="56"/>
      <c r="G101" s="59"/>
    </row>
    <row r="102" spans="1:12" ht="18" customHeight="1">
      <c r="A102" s="148"/>
      <c r="C102" s="1226" t="s">
        <v>141</v>
      </c>
      <c r="D102" s="1227"/>
      <c r="E102" s="1227"/>
      <c r="F102" s="1228"/>
      <c r="G102" s="179" t="e">
        <f>G7+G11+G16+G25+G37+G51+G59+G71+G81++G92</f>
        <v>#N/A</v>
      </c>
      <c r="H102" s="179" t="e">
        <f>H16+H25+H37+H51+H59+H71+H81+H92</f>
        <v>#N/A</v>
      </c>
      <c r="I102" s="179">
        <f>I7+I11+I16+I25+I37+I51+I59+I71+I81+I92</f>
        <v>3630166.3820927236</v>
      </c>
      <c r="L102" s="181" t="e">
        <f>H102+I102</f>
        <v>#N/A</v>
      </c>
    </row>
    <row r="103" spans="1:12" ht="18" customHeight="1">
      <c r="A103" s="148"/>
      <c r="D103" s="148"/>
    </row>
    <row r="104" spans="1:12" ht="18" customHeight="1">
      <c r="A104" s="148"/>
      <c r="D104" s="148"/>
    </row>
    <row r="105" spans="1:12" ht="18" customHeight="1">
      <c r="A105" s="148"/>
      <c r="D105" s="148"/>
    </row>
    <row r="106" spans="1:12" ht="18" customHeight="1">
      <c r="A106" s="148"/>
      <c r="D106" s="148"/>
    </row>
    <row r="107" spans="1:12" ht="18" customHeight="1">
      <c r="A107" s="148"/>
      <c r="D107" s="148"/>
    </row>
    <row r="108" spans="1:12" ht="18" customHeight="1">
      <c r="A108" s="148"/>
      <c r="D108" s="148"/>
    </row>
    <row r="109" spans="1:12" ht="18" customHeight="1">
      <c r="A109" s="148"/>
      <c r="D109" s="148"/>
    </row>
    <row r="110" spans="1:12" ht="18" customHeight="1">
      <c r="A110" s="148"/>
      <c r="D110" s="148"/>
    </row>
    <row r="111" spans="1:12" ht="18" customHeight="1">
      <c r="A111" s="148"/>
      <c r="D111" s="148"/>
    </row>
    <row r="112" spans="1:12" ht="18" customHeight="1">
      <c r="A112" s="148"/>
      <c r="D112" s="148"/>
    </row>
    <row r="113" s="148" customFormat="1" ht="18" customHeight="1"/>
    <row r="114" s="148" customFormat="1" ht="18" customHeight="1"/>
    <row r="115" s="148" customFormat="1" ht="18" customHeight="1"/>
    <row r="116" s="148" customFormat="1" ht="18" customHeight="1"/>
    <row r="117" s="148" customFormat="1" ht="18" customHeight="1"/>
    <row r="118" s="148" customFormat="1" ht="18" customHeight="1"/>
    <row r="119" s="148" customFormat="1" ht="18" customHeight="1"/>
    <row r="120" s="148" customFormat="1" ht="18" customHeight="1"/>
    <row r="121" s="148" customFormat="1" ht="18" customHeight="1"/>
    <row r="122" s="148" customFormat="1" ht="18" customHeight="1"/>
    <row r="123" s="148" customFormat="1" ht="18" customHeight="1"/>
    <row r="124" s="148" customFormat="1" ht="18" customHeight="1"/>
    <row r="125" s="148" customFormat="1" ht="18" customHeight="1"/>
    <row r="126" s="148" customFormat="1" ht="18" customHeight="1"/>
    <row r="127" s="148" customFormat="1"/>
    <row r="128" s="148" customFormat="1"/>
    <row r="129" s="148" customFormat="1"/>
    <row r="130" s="148" customFormat="1"/>
    <row r="131" s="148" customFormat="1"/>
    <row r="132" s="148" customFormat="1"/>
    <row r="133" s="148" customFormat="1"/>
    <row r="134" s="148" customFormat="1"/>
    <row r="135" s="148" customFormat="1"/>
    <row r="136" s="148" customFormat="1"/>
    <row r="137" s="148" customFormat="1"/>
  </sheetData>
  <mergeCells count="8">
    <mergeCell ref="C102:F102"/>
    <mergeCell ref="A4:G4"/>
    <mergeCell ref="A5:A6"/>
    <mergeCell ref="B5:B6"/>
    <mergeCell ref="C5:C6"/>
    <mergeCell ref="D5:D6"/>
    <mergeCell ref="E5:E6"/>
    <mergeCell ref="F5:F6"/>
  </mergeCells>
  <pageMargins left="0.5" right="0.5" top="0.5" bottom="0.5" header="0.3" footer="0.3"/>
  <pageSetup paperSize="9" orientation="portrait" r:id="rId1"/>
  <headerFooter>
    <oddFooter>Page 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5" tint="0.59999389629810485"/>
  </sheetPr>
  <dimension ref="A1:T67"/>
  <sheetViews>
    <sheetView topLeftCell="A16" zoomScaleSheetLayoutView="100" workbookViewId="0">
      <selection activeCell="Q14" sqref="Q14"/>
    </sheetView>
  </sheetViews>
  <sheetFormatPr defaultColWidth="9.109375" defaultRowHeight="21" customHeight="1"/>
  <cols>
    <col min="1" max="1" width="3.6640625" style="136" customWidth="1"/>
    <col min="2" max="2" width="30.5546875" style="137" customWidth="1"/>
    <col min="3" max="3" width="3.44140625" style="138" customWidth="1"/>
    <col min="4" max="4" width="1" style="139" customWidth="1"/>
    <col min="5" max="5" width="3.6640625" style="140" customWidth="1"/>
    <col min="6" max="6" width="4.33203125" style="141" customWidth="1"/>
    <col min="7" max="7" width="4.33203125" style="142" customWidth="1"/>
    <col min="8" max="8" width="4.33203125" style="143" customWidth="1"/>
    <col min="9" max="9" width="4.33203125" style="144" customWidth="1"/>
    <col min="10" max="10" width="4.33203125" style="143" customWidth="1"/>
    <col min="11" max="11" width="4.33203125" style="144" customWidth="1"/>
    <col min="12" max="12" width="7.5546875" style="145" customWidth="1"/>
    <col min="13" max="13" width="8.44140625" style="146" customWidth="1"/>
    <col min="14" max="14" width="10" style="6" customWidth="1"/>
    <col min="15" max="15" width="4" style="137" customWidth="1"/>
    <col min="16" max="16" width="15.109375" style="6" customWidth="1"/>
    <col min="17" max="17" width="14.6640625" style="6" customWidth="1"/>
    <col min="18" max="18" width="9.109375" style="6"/>
    <col min="19" max="19" width="10.109375" style="6" customWidth="1"/>
    <col min="20" max="20" width="18" style="6" customWidth="1"/>
    <col min="21" max="29" width="5.6640625" style="6" customWidth="1"/>
    <col min="30" max="16384" width="9.109375" style="6"/>
  </cols>
  <sheetData>
    <row r="1" spans="1:16" s="21" customFormat="1" ht="21.9" customHeight="1">
      <c r="A1" s="18" t="s">
        <v>160</v>
      </c>
      <c r="B1" s="19"/>
      <c r="C1" s="68"/>
      <c r="D1" s="19"/>
      <c r="E1" s="19"/>
      <c r="F1" s="20"/>
      <c r="G1" s="19"/>
      <c r="H1" s="19"/>
      <c r="I1" s="19"/>
      <c r="J1" s="19"/>
      <c r="K1" s="19"/>
      <c r="M1" s="22"/>
    </row>
    <row r="2" spans="1:16" s="21" customFormat="1" ht="21.9" customHeight="1">
      <c r="A2" s="18" t="s">
        <v>161</v>
      </c>
      <c r="B2" s="19"/>
      <c r="C2" s="68"/>
      <c r="D2" s="19"/>
      <c r="E2" s="19"/>
      <c r="F2" s="20"/>
      <c r="G2" s="19"/>
      <c r="H2" s="19"/>
      <c r="I2" s="19"/>
      <c r="J2" s="19"/>
      <c r="K2" s="19"/>
      <c r="M2" s="22"/>
    </row>
    <row r="3" spans="1:16" s="11" customFormat="1" ht="24" customHeight="1">
      <c r="A3" s="12" t="s">
        <v>188</v>
      </c>
      <c r="B3" s="5"/>
      <c r="C3" s="6"/>
      <c r="D3" s="6"/>
      <c r="E3" s="6"/>
      <c r="F3" s="7"/>
      <c r="G3" s="6"/>
      <c r="H3" s="6"/>
      <c r="I3" s="8"/>
      <c r="J3" s="8"/>
      <c r="K3" s="8"/>
      <c r="L3" s="9"/>
      <c r="M3" s="10"/>
    </row>
    <row r="4" spans="1:16" ht="21.9" customHeight="1">
      <c r="A4" s="1236" t="s">
        <v>130</v>
      </c>
      <c r="B4" s="1236"/>
      <c r="C4" s="1236"/>
      <c r="D4" s="1236"/>
      <c r="E4" s="1236"/>
      <c r="F4" s="1236"/>
      <c r="G4" s="1236"/>
      <c r="H4" s="1236"/>
      <c r="I4" s="1236"/>
      <c r="J4" s="1236"/>
      <c r="K4" s="1236"/>
      <c r="L4" s="1236"/>
      <c r="M4" s="1236"/>
      <c r="N4" s="1236"/>
      <c r="O4" s="1236"/>
    </row>
    <row r="5" spans="1:16" ht="14.25" customHeight="1">
      <c r="A5" s="1237" t="s">
        <v>131</v>
      </c>
      <c r="B5" s="1239" t="s">
        <v>1</v>
      </c>
      <c r="C5" s="1241" t="s">
        <v>8</v>
      </c>
      <c r="D5" s="1242"/>
      <c r="E5" s="1243"/>
      <c r="F5" s="1247" t="s">
        <v>11</v>
      </c>
      <c r="G5" s="1248"/>
      <c r="H5" s="1248"/>
      <c r="I5" s="1248"/>
      <c r="J5" s="1248"/>
      <c r="K5" s="1249"/>
      <c r="L5" s="1239" t="s">
        <v>86</v>
      </c>
      <c r="M5" s="1239" t="s">
        <v>16</v>
      </c>
      <c r="N5" s="1250" t="s">
        <v>132</v>
      </c>
      <c r="O5" s="1251"/>
    </row>
    <row r="6" spans="1:16" s="69" customFormat="1" ht="16.5" customHeight="1">
      <c r="A6" s="1238"/>
      <c r="B6" s="1240"/>
      <c r="C6" s="1244"/>
      <c r="D6" s="1245"/>
      <c r="E6" s="1246"/>
      <c r="F6" s="1254" t="s">
        <v>133</v>
      </c>
      <c r="G6" s="1255"/>
      <c r="H6" s="1234" t="s">
        <v>134</v>
      </c>
      <c r="I6" s="1235"/>
      <c r="J6" s="1234" t="s">
        <v>135</v>
      </c>
      <c r="K6" s="1235"/>
      <c r="L6" s="1240"/>
      <c r="M6" s="1240"/>
      <c r="N6" s="1252"/>
      <c r="O6" s="1253"/>
    </row>
    <row r="7" spans="1:16" s="69" customFormat="1" ht="16.5" customHeight="1">
      <c r="A7" s="93">
        <v>1</v>
      </c>
      <c r="B7" s="80" t="s">
        <v>189</v>
      </c>
      <c r="C7" s="95"/>
      <c r="D7" s="96"/>
      <c r="E7" s="97"/>
      <c r="F7" s="98"/>
      <c r="G7" s="99"/>
      <c r="H7" s="98"/>
      <c r="I7" s="99"/>
      <c r="J7" s="98"/>
      <c r="K7" s="99"/>
      <c r="L7" s="100"/>
      <c r="M7" s="101"/>
      <c r="N7" s="90">
        <f>SUM(M8:M8)</f>
        <v>612</v>
      </c>
      <c r="O7" s="103" t="s">
        <v>19</v>
      </c>
    </row>
    <row r="8" spans="1:16" s="69" customFormat="1" ht="16.5" customHeight="1">
      <c r="A8" s="93"/>
      <c r="B8" s="6" t="s">
        <v>190</v>
      </c>
      <c r="C8" s="95">
        <f>1</f>
        <v>1</v>
      </c>
      <c r="D8" s="257" t="s">
        <v>87</v>
      </c>
      <c r="E8" s="97">
        <f>1</f>
        <v>1</v>
      </c>
      <c r="F8" s="98">
        <f>28+8</f>
        <v>36</v>
      </c>
      <c r="G8" s="99">
        <v>0</v>
      </c>
      <c r="H8" s="98">
        <f>9+8</f>
        <v>17</v>
      </c>
      <c r="I8" s="99">
        <v>0</v>
      </c>
      <c r="J8" s="98"/>
      <c r="K8" s="99"/>
      <c r="L8" s="100"/>
      <c r="M8" s="101">
        <f>C8*E8*(F8+G8/12)*(H8+I8/12)</f>
        <v>612</v>
      </c>
      <c r="N8" s="102"/>
      <c r="O8" s="103"/>
    </row>
    <row r="9" spans="1:16" s="69" customFormat="1" ht="16.5" customHeight="1">
      <c r="A9" s="93"/>
      <c r="B9" s="94"/>
      <c r="C9" s="95"/>
      <c r="D9" s="96"/>
      <c r="E9" s="97"/>
      <c r="F9" s="98"/>
      <c r="G9" s="99"/>
      <c r="H9" s="98"/>
      <c r="I9" s="99"/>
      <c r="J9" s="98"/>
      <c r="K9" s="99"/>
      <c r="L9" s="100"/>
      <c r="M9" s="101"/>
      <c r="N9" s="102"/>
      <c r="O9" s="103"/>
    </row>
    <row r="10" spans="1:16" s="69" customFormat="1" ht="16.5" customHeight="1">
      <c r="A10" s="93"/>
      <c r="B10" s="94"/>
      <c r="C10" s="95"/>
      <c r="D10" s="96"/>
      <c r="E10" s="97"/>
      <c r="F10" s="98"/>
      <c r="G10" s="99"/>
      <c r="H10" s="98"/>
      <c r="I10" s="99"/>
      <c r="J10" s="98"/>
      <c r="K10" s="99"/>
      <c r="L10" s="100"/>
      <c r="M10" s="101"/>
      <c r="N10" s="102"/>
      <c r="O10" s="103"/>
    </row>
    <row r="11" spans="1:16" ht="46.5" customHeight="1">
      <c r="A11" s="79">
        <v>2</v>
      </c>
      <c r="B11" s="80" t="s">
        <v>136</v>
      </c>
      <c r="C11" s="81"/>
      <c r="D11" s="82"/>
      <c r="E11" s="83"/>
      <c r="F11" s="84"/>
      <c r="G11" s="85"/>
      <c r="H11" s="86"/>
      <c r="I11" s="87"/>
      <c r="J11" s="86"/>
      <c r="K11" s="87"/>
      <c r="L11" s="88"/>
      <c r="M11" s="89"/>
      <c r="N11" s="90">
        <f>SUM(M12:M12)</f>
        <v>1512</v>
      </c>
      <c r="O11" s="91" t="s">
        <v>21</v>
      </c>
      <c r="P11" s="92"/>
    </row>
    <row r="12" spans="1:16" s="104" customFormat="1" ht="15" customHeight="1">
      <c r="A12" s="93"/>
      <c r="B12" s="6" t="s">
        <v>190</v>
      </c>
      <c r="C12" s="95">
        <v>1</v>
      </c>
      <c r="D12" s="96" t="s">
        <v>87</v>
      </c>
      <c r="E12" s="97">
        <v>1</v>
      </c>
      <c r="F12" s="98">
        <v>28</v>
      </c>
      <c r="G12" s="99">
        <v>0</v>
      </c>
      <c r="H12" s="98">
        <v>9</v>
      </c>
      <c r="I12" s="99">
        <v>0</v>
      </c>
      <c r="J12" s="98">
        <v>6</v>
      </c>
      <c r="K12" s="99">
        <v>0</v>
      </c>
      <c r="L12" s="100"/>
      <c r="M12" s="101">
        <f>C12*E12*(F12+G12/12)*(H12+I12/12)*(J12+K12/12)</f>
        <v>1512</v>
      </c>
      <c r="N12" s="102"/>
      <c r="O12" s="103"/>
    </row>
    <row r="13" spans="1:16" ht="15" customHeight="1">
      <c r="A13" s="105"/>
      <c r="B13" s="106"/>
      <c r="C13" s="107"/>
      <c r="D13" s="108"/>
      <c r="E13" s="109"/>
      <c r="F13" s="110"/>
      <c r="G13" s="111"/>
      <c r="H13" s="112"/>
      <c r="I13" s="113"/>
      <c r="J13" s="112"/>
      <c r="K13" s="113"/>
      <c r="L13" s="114"/>
      <c r="M13" s="115"/>
      <c r="N13" s="116"/>
      <c r="O13" s="117"/>
    </row>
    <row r="14" spans="1:16" ht="33.75" customHeight="1">
      <c r="A14" s="79">
        <v>3</v>
      </c>
      <c r="B14" s="80" t="s">
        <v>191</v>
      </c>
      <c r="C14" s="81"/>
      <c r="D14" s="82"/>
      <c r="E14" s="83"/>
      <c r="F14" s="84"/>
      <c r="G14" s="85"/>
      <c r="H14" s="86"/>
      <c r="I14" s="87"/>
      <c r="J14" s="86"/>
      <c r="K14" s="87"/>
      <c r="L14" s="88"/>
      <c r="M14" s="89"/>
      <c r="N14" s="90">
        <f>SUM(M15:M15)</f>
        <v>126</v>
      </c>
      <c r="O14" s="91" t="s">
        <v>21</v>
      </c>
      <c r="P14" s="92"/>
    </row>
    <row r="15" spans="1:16" s="104" customFormat="1" ht="15" customHeight="1">
      <c r="A15" s="93"/>
      <c r="B15" s="6" t="s">
        <v>190</v>
      </c>
      <c r="C15" s="95">
        <v>1</v>
      </c>
      <c r="D15" s="96" t="s">
        <v>87</v>
      </c>
      <c r="E15" s="97">
        <v>1</v>
      </c>
      <c r="F15" s="98">
        <f>F12</f>
        <v>28</v>
      </c>
      <c r="G15" s="99">
        <f>G12</f>
        <v>0</v>
      </c>
      <c r="H15" s="98">
        <f>H12</f>
        <v>9</v>
      </c>
      <c r="I15" s="99">
        <f>I12</f>
        <v>0</v>
      </c>
      <c r="J15" s="98">
        <v>0</v>
      </c>
      <c r="K15" s="99">
        <v>6</v>
      </c>
      <c r="L15" s="100"/>
      <c r="M15" s="101">
        <f>C15*E15*(F15+G15/12)*(H15+I15/12)*(J15+K15/12)</f>
        <v>126</v>
      </c>
      <c r="N15" s="102"/>
      <c r="O15" s="103"/>
    </row>
    <row r="16" spans="1:16" ht="15" customHeight="1">
      <c r="A16" s="105"/>
      <c r="B16" s="106"/>
      <c r="C16" s="107"/>
      <c r="D16" s="108"/>
      <c r="E16" s="109"/>
      <c r="F16" s="110"/>
      <c r="G16" s="111"/>
      <c r="H16" s="112"/>
      <c r="I16" s="113"/>
      <c r="J16" s="112"/>
      <c r="K16" s="113"/>
      <c r="L16" s="114"/>
      <c r="M16" s="115"/>
      <c r="N16" s="116"/>
      <c r="O16" s="117"/>
    </row>
    <row r="17" spans="1:20" ht="39" customHeight="1">
      <c r="A17" s="79">
        <v>4</v>
      </c>
      <c r="B17" s="80" t="s">
        <v>192</v>
      </c>
      <c r="C17" s="81"/>
      <c r="D17" s="82"/>
      <c r="E17" s="83"/>
      <c r="F17" s="84"/>
      <c r="G17" s="85"/>
      <c r="H17" s="86"/>
      <c r="I17" s="87"/>
      <c r="J17" s="86"/>
      <c r="K17" s="87"/>
      <c r="L17" s="88"/>
      <c r="M17" s="89"/>
      <c r="N17" s="90">
        <f>N20</f>
        <v>54</v>
      </c>
      <c r="O17" s="91" t="s">
        <v>21</v>
      </c>
      <c r="P17" s="92"/>
      <c r="T17" s="258"/>
    </row>
    <row r="18" spans="1:20" s="104" customFormat="1" ht="15" customHeight="1">
      <c r="A18" s="93"/>
      <c r="B18" s="6" t="s">
        <v>193</v>
      </c>
      <c r="C18" s="95">
        <v>1</v>
      </c>
      <c r="D18" s="96" t="s">
        <v>87</v>
      </c>
      <c r="E18" s="97">
        <v>1</v>
      </c>
      <c r="F18" s="98">
        <f>F15</f>
        <v>28</v>
      </c>
      <c r="G18" s="99">
        <f>G15</f>
        <v>0</v>
      </c>
      <c r="H18" s="98">
        <f>H15</f>
        <v>9</v>
      </c>
      <c r="I18" s="99">
        <f>I15</f>
        <v>0</v>
      </c>
      <c r="J18" s="98">
        <v>0</v>
      </c>
      <c r="K18" s="99">
        <v>3</v>
      </c>
      <c r="L18" s="100"/>
      <c r="M18" s="101">
        <f>C18*E18*(F18+G18/12)*(H18+I18/12)*(J18+K18/12)</f>
        <v>63</v>
      </c>
      <c r="N18" s="102"/>
      <c r="O18" s="103"/>
    </row>
    <row r="19" spans="1:20" s="104" customFormat="1" ht="15" customHeight="1">
      <c r="A19" s="259"/>
      <c r="B19" s="6" t="s">
        <v>24</v>
      </c>
      <c r="C19" s="260">
        <f>1</f>
        <v>1</v>
      </c>
      <c r="D19" s="261"/>
      <c r="E19" s="262">
        <f>1</f>
        <v>1</v>
      </c>
      <c r="F19" s="263">
        <f>4</f>
        <v>4</v>
      </c>
      <c r="G19" s="264">
        <f>0</f>
        <v>0</v>
      </c>
      <c r="H19" s="263">
        <f>9</f>
        <v>9</v>
      </c>
      <c r="I19" s="264">
        <f>0</f>
        <v>0</v>
      </c>
      <c r="J19" s="98">
        <v>0</v>
      </c>
      <c r="K19" s="99">
        <v>3</v>
      </c>
      <c r="L19" s="127">
        <f>C19*E19*(F19+G19/12)*(H19+I19/12)*(J19+K19/12)</f>
        <v>9</v>
      </c>
      <c r="M19" s="127"/>
      <c r="N19" s="265"/>
      <c r="O19" s="266"/>
    </row>
    <row r="20" spans="1:20" s="104" customFormat="1" ht="15" customHeight="1">
      <c r="A20" s="259"/>
      <c r="B20" s="6"/>
      <c r="C20" s="260"/>
      <c r="D20" s="261"/>
      <c r="E20" s="262"/>
      <c r="F20" s="263"/>
      <c r="G20" s="264"/>
      <c r="H20" s="263"/>
      <c r="I20" s="264"/>
      <c r="J20" s="263"/>
      <c r="K20" s="264"/>
      <c r="L20" s="267">
        <f>SUM(L19)</f>
        <v>9</v>
      </c>
      <c r="M20" s="267">
        <f>SUM(M18:M19)</f>
        <v>63</v>
      </c>
      <c r="N20" s="268">
        <f>M20-L20</f>
        <v>54</v>
      </c>
      <c r="O20" s="266"/>
    </row>
    <row r="21" spans="1:20" ht="15" customHeight="1">
      <c r="A21" s="105"/>
      <c r="B21" s="106"/>
      <c r="C21" s="107"/>
      <c r="D21" s="108"/>
      <c r="E21" s="109"/>
      <c r="F21" s="110"/>
      <c r="G21" s="111"/>
      <c r="H21" s="112"/>
      <c r="I21" s="113"/>
      <c r="J21" s="112"/>
      <c r="K21" s="113"/>
      <c r="L21" s="269"/>
      <c r="M21" s="270"/>
      <c r="N21" s="271"/>
      <c r="O21" s="117"/>
    </row>
    <row r="22" spans="1:20" ht="15" customHeight="1">
      <c r="A22" s="93">
        <v>5</v>
      </c>
      <c r="B22" s="80" t="s">
        <v>194</v>
      </c>
      <c r="C22" s="95"/>
      <c r="D22" s="96"/>
      <c r="E22" s="97"/>
      <c r="F22" s="98"/>
      <c r="G22" s="99"/>
      <c r="H22" s="98"/>
      <c r="I22" s="99"/>
      <c r="J22" s="98"/>
      <c r="K22" s="99"/>
      <c r="L22" s="100"/>
      <c r="M22" s="101"/>
      <c r="N22" s="90">
        <f>SUM(M23:M24)</f>
        <v>276.66666666666669</v>
      </c>
      <c r="O22" s="91" t="s">
        <v>21</v>
      </c>
    </row>
    <row r="23" spans="1:20" ht="15" customHeight="1">
      <c r="A23" s="93"/>
      <c r="B23" s="6" t="s">
        <v>195</v>
      </c>
      <c r="C23" s="95">
        <f>1</f>
        <v>1</v>
      </c>
      <c r="D23" s="257" t="s">
        <v>87</v>
      </c>
      <c r="E23" s="97">
        <f>1</f>
        <v>1</v>
      </c>
      <c r="F23" s="98">
        <f>28</f>
        <v>28</v>
      </c>
      <c r="G23" s="99">
        <f>0</f>
        <v>0</v>
      </c>
      <c r="H23" s="98">
        <f>9</f>
        <v>9</v>
      </c>
      <c r="I23" s="99">
        <f>0</f>
        <v>0</v>
      </c>
      <c r="J23" s="98"/>
      <c r="K23" s="99"/>
      <c r="L23" s="100"/>
      <c r="M23" s="101">
        <f>C23*E23*(F23+G23/12)*(H23+I23/12)</f>
        <v>252</v>
      </c>
      <c r="N23" s="102"/>
      <c r="O23" s="103"/>
    </row>
    <row r="24" spans="1:20" ht="15" customHeight="1">
      <c r="A24" s="93"/>
      <c r="B24" s="272"/>
      <c r="C24" s="95">
        <v>1</v>
      </c>
      <c r="D24" s="257"/>
      <c r="E24" s="97">
        <v>1</v>
      </c>
      <c r="F24" s="98">
        <f>28</f>
        <v>28</v>
      </c>
      <c r="G24" s="99">
        <f>0</f>
        <v>0</v>
      </c>
      <c r="H24" s="98">
        <f>9</f>
        <v>9</v>
      </c>
      <c r="I24" s="99">
        <v>0</v>
      </c>
      <c r="J24" s="98">
        <f>0</f>
        <v>0</v>
      </c>
      <c r="K24" s="99">
        <f>4</f>
        <v>4</v>
      </c>
      <c r="L24" s="100"/>
      <c r="M24" s="101">
        <f>C24*E24*2*(F24+G24/12+H24+I24/12)*(J24+K24/12)</f>
        <v>24.666666666666664</v>
      </c>
      <c r="N24" s="102"/>
      <c r="O24" s="103"/>
    </row>
    <row r="25" spans="1:20" ht="15" customHeight="1">
      <c r="A25" s="93"/>
      <c r="B25" s="272"/>
      <c r="C25" s="95"/>
      <c r="D25" s="257"/>
      <c r="E25" s="97"/>
      <c r="F25" s="98"/>
      <c r="G25" s="99"/>
      <c r="H25" s="98"/>
      <c r="I25" s="99"/>
      <c r="J25" s="98"/>
      <c r="K25" s="99"/>
      <c r="L25" s="100"/>
      <c r="M25" s="67" t="s">
        <v>90</v>
      </c>
      <c r="N25" s="273">
        <f>SUM(M22:M24)</f>
        <v>276.66666666666669</v>
      </c>
      <c r="O25" s="13" t="s">
        <v>21</v>
      </c>
    </row>
    <row r="26" spans="1:20" ht="15" customHeight="1">
      <c r="A26" s="93"/>
      <c r="B26" s="94"/>
      <c r="C26" s="95"/>
      <c r="D26" s="96"/>
      <c r="E26" s="97"/>
      <c r="F26" s="98"/>
      <c r="G26" s="99"/>
      <c r="H26" s="98"/>
      <c r="I26" s="99"/>
      <c r="J26" s="98"/>
      <c r="K26" s="99"/>
      <c r="L26" s="100"/>
      <c r="M26" s="101"/>
      <c r="N26" s="102"/>
      <c r="O26" s="103"/>
    </row>
    <row r="27" spans="1:20" ht="15" customHeight="1">
      <c r="A27" s="79">
        <v>6</v>
      </c>
      <c r="B27" s="80" t="s">
        <v>196</v>
      </c>
      <c r="C27" s="81"/>
      <c r="D27" s="82"/>
      <c r="E27" s="83"/>
      <c r="F27" s="84"/>
      <c r="G27" s="85"/>
      <c r="H27" s="86"/>
      <c r="I27" s="87"/>
      <c r="J27" s="86"/>
      <c r="K27" s="87"/>
      <c r="L27" s="88"/>
      <c r="M27" s="89"/>
      <c r="N27" s="274">
        <f>N32</f>
        <v>0.49511289509449286</v>
      </c>
      <c r="O27" s="91" t="s">
        <v>30</v>
      </c>
      <c r="P27" s="92"/>
    </row>
    <row r="28" spans="1:20" ht="15" customHeight="1">
      <c r="A28" s="275"/>
      <c r="B28" s="276" t="s">
        <v>195</v>
      </c>
      <c r="C28" s="277"/>
      <c r="D28" s="278"/>
      <c r="E28" s="279"/>
      <c r="F28" s="280"/>
      <c r="G28" s="281"/>
      <c r="H28" s="282"/>
      <c r="I28" s="283"/>
      <c r="J28" s="282"/>
      <c r="K28" s="283"/>
      <c r="L28" s="284"/>
      <c r="M28" s="285"/>
      <c r="N28" s="286"/>
      <c r="O28" s="287"/>
      <c r="P28" s="92"/>
    </row>
    <row r="29" spans="1:20" ht="15" customHeight="1">
      <c r="A29" s="275"/>
      <c r="B29" s="288" t="s">
        <v>197</v>
      </c>
      <c r="C29" s="277"/>
      <c r="D29" s="278"/>
      <c r="E29" s="279"/>
      <c r="F29" s="280"/>
      <c r="G29" s="281"/>
      <c r="H29" s="282"/>
      <c r="I29" s="283"/>
      <c r="J29" s="282"/>
      <c r="K29" s="283"/>
      <c r="L29" s="284"/>
      <c r="M29" s="285"/>
      <c r="N29" s="286"/>
      <c r="O29" s="287"/>
      <c r="P29" s="92"/>
    </row>
    <row r="30" spans="1:20" ht="15" customHeight="1">
      <c r="A30" s="93"/>
      <c r="B30" s="276" t="s">
        <v>106</v>
      </c>
      <c r="C30" s="95">
        <f>1</f>
        <v>1</v>
      </c>
      <c r="D30" s="96" t="s">
        <v>87</v>
      </c>
      <c r="E30" s="97">
        <f>(9-2*0.25)/0.5+1</f>
        <v>18</v>
      </c>
      <c r="F30" s="98">
        <f>28-2*0.25+2*0.42</f>
        <v>28.34</v>
      </c>
      <c r="G30" s="99">
        <v>0</v>
      </c>
      <c r="H30" s="98"/>
      <c r="I30" s="99"/>
      <c r="J30" s="98"/>
      <c r="K30" s="99"/>
      <c r="L30" s="100"/>
      <c r="M30" s="101">
        <f>C30*E30*(F30+G30/12)</f>
        <v>510.12</v>
      </c>
      <c r="N30" s="102"/>
      <c r="O30" s="103"/>
    </row>
    <row r="31" spans="1:20" ht="15" customHeight="1">
      <c r="A31" s="259"/>
      <c r="B31" s="276" t="s">
        <v>105</v>
      </c>
      <c r="C31" s="95">
        <f>1</f>
        <v>1</v>
      </c>
      <c r="D31" s="289" t="s">
        <v>87</v>
      </c>
      <c r="E31" s="262">
        <f>(28-2*0.25)/0.5+1</f>
        <v>56</v>
      </c>
      <c r="F31" s="98">
        <f>9-2*0.25+2*0.42</f>
        <v>9.34</v>
      </c>
      <c r="G31" s="264">
        <v>0</v>
      </c>
      <c r="H31" s="263"/>
      <c r="I31" s="264"/>
      <c r="J31" s="263"/>
      <c r="K31" s="264"/>
      <c r="L31" s="290"/>
      <c r="M31" s="127">
        <f>C31*E31*(F31+G31/12)</f>
        <v>523.04</v>
      </c>
      <c r="N31" s="291"/>
      <c r="O31" s="266"/>
    </row>
    <row r="32" spans="1:20" ht="15" customHeight="1">
      <c r="A32" s="259"/>
      <c r="B32" s="276"/>
      <c r="C32" s="260"/>
      <c r="D32" s="289"/>
      <c r="E32" s="262"/>
      <c r="F32" s="263"/>
      <c r="G32" s="264"/>
      <c r="H32" s="263"/>
      <c r="I32" s="264"/>
      <c r="J32" s="263"/>
      <c r="K32" s="264"/>
      <c r="L32" s="290"/>
      <c r="M32" s="67" t="s">
        <v>90</v>
      </c>
      <c r="N32" s="273">
        <f>SUM(M30:M31)/12/3.281/53</f>
        <v>0.49511289509449286</v>
      </c>
      <c r="O32" s="13" t="s">
        <v>26</v>
      </c>
    </row>
    <row r="33" spans="1:18" ht="15" customHeight="1">
      <c r="A33" s="259"/>
      <c r="B33" s="70" t="s">
        <v>115</v>
      </c>
      <c r="C33" s="260"/>
      <c r="D33" s="289"/>
      <c r="E33" s="262"/>
      <c r="F33" s="263"/>
      <c r="G33" s="264"/>
      <c r="H33" s="263"/>
      <c r="I33" s="264"/>
      <c r="J33" s="263"/>
      <c r="K33" s="264"/>
      <c r="L33" s="290"/>
      <c r="M33" s="292"/>
      <c r="N33" s="291"/>
      <c r="O33" s="266"/>
    </row>
    <row r="34" spans="1:18" ht="15" customHeight="1">
      <c r="A34" s="259"/>
      <c r="B34" s="66" t="s">
        <v>114</v>
      </c>
      <c r="C34" s="260"/>
      <c r="D34" s="289" t="s">
        <v>116</v>
      </c>
      <c r="E34" s="262"/>
      <c r="F34" s="263"/>
      <c r="G34" s="264"/>
      <c r="H34" s="263"/>
      <c r="I34" s="264"/>
      <c r="J34" s="263"/>
      <c r="K34" s="264"/>
      <c r="L34" s="290"/>
      <c r="M34" s="292"/>
      <c r="N34" s="293">
        <f>N32</f>
        <v>0.49511289509449286</v>
      </c>
      <c r="O34" s="266" t="s">
        <v>30</v>
      </c>
    </row>
    <row r="35" spans="1:18" ht="15" customHeight="1">
      <c r="A35" s="105"/>
      <c r="B35" s="130"/>
      <c r="C35" s="131"/>
      <c r="D35" s="132"/>
      <c r="E35" s="133"/>
      <c r="F35" s="118"/>
      <c r="G35" s="113"/>
      <c r="H35" s="118"/>
      <c r="I35" s="113"/>
      <c r="J35" s="118"/>
      <c r="K35" s="113"/>
      <c r="L35" s="114"/>
      <c r="M35" s="134"/>
      <c r="N35" s="116"/>
      <c r="O35" s="117"/>
      <c r="R35" s="6">
        <f>3/12</f>
        <v>0.25</v>
      </c>
    </row>
    <row r="36" spans="1:18" ht="36.75" customHeight="1">
      <c r="A36" s="79">
        <v>7</v>
      </c>
      <c r="B36" s="135" t="s">
        <v>198</v>
      </c>
      <c r="C36" s="81"/>
      <c r="D36" s="82"/>
      <c r="E36" s="83"/>
      <c r="F36" s="84"/>
      <c r="G36" s="85"/>
      <c r="H36" s="86"/>
      <c r="I36" s="87"/>
      <c r="J36" s="86"/>
      <c r="K36" s="87"/>
      <c r="L36" s="88"/>
      <c r="M36" s="89"/>
      <c r="N36" s="90">
        <f>SUM(M37)</f>
        <v>84</v>
      </c>
      <c r="O36" s="91" t="s">
        <v>19</v>
      </c>
      <c r="P36" s="92"/>
    </row>
    <row r="37" spans="1:18" ht="15" customHeight="1">
      <c r="A37" s="275"/>
      <c r="B37" s="276" t="s">
        <v>195</v>
      </c>
      <c r="C37" s="294">
        <f>1</f>
        <v>1</v>
      </c>
      <c r="D37" s="278" t="s">
        <v>87</v>
      </c>
      <c r="E37" s="279">
        <f>1</f>
        <v>1</v>
      </c>
      <c r="F37" s="98">
        <f>F23</f>
        <v>28</v>
      </c>
      <c r="G37" s="99">
        <f>G23</f>
        <v>0</v>
      </c>
      <c r="H37" s="98">
        <f>H23</f>
        <v>9</v>
      </c>
      <c r="I37" s="99">
        <f>I23</f>
        <v>0</v>
      </c>
      <c r="J37" s="98">
        <f>0</f>
        <v>0</v>
      </c>
      <c r="K37" s="99">
        <f>4</f>
        <v>4</v>
      </c>
      <c r="L37" s="284"/>
      <c r="M37" s="285">
        <f>C37*E37*(F37+G37/12)*(H37+I37)*(J37+K37/12)</f>
        <v>84</v>
      </c>
      <c r="N37" s="286"/>
      <c r="O37" s="287"/>
      <c r="P37" s="92"/>
    </row>
    <row r="38" spans="1:18" ht="15" customHeight="1">
      <c r="A38" s="295"/>
      <c r="B38" s="296"/>
      <c r="C38" s="297"/>
      <c r="D38" s="298"/>
      <c r="E38" s="299"/>
      <c r="F38" s="263"/>
      <c r="G38" s="264"/>
      <c r="H38" s="300"/>
      <c r="I38" s="301"/>
      <c r="J38" s="263"/>
      <c r="K38" s="264"/>
      <c r="L38" s="302"/>
      <c r="M38" s="67" t="s">
        <v>90</v>
      </c>
      <c r="N38" s="273">
        <f>M37</f>
        <v>84</v>
      </c>
      <c r="O38" s="13" t="s">
        <v>19</v>
      </c>
      <c r="P38" s="92"/>
    </row>
    <row r="39" spans="1:18" ht="15" customHeight="1">
      <c r="A39" s="105"/>
      <c r="B39" s="303"/>
      <c r="C39" s="107"/>
      <c r="D39" s="108"/>
      <c r="E39" s="109"/>
      <c r="F39" s="110"/>
      <c r="G39" s="111"/>
      <c r="H39" s="304"/>
      <c r="I39" s="305"/>
      <c r="J39" s="112"/>
      <c r="K39" s="113"/>
      <c r="L39" s="114"/>
      <c r="M39" s="115"/>
      <c r="N39" s="306"/>
      <c r="O39" s="307"/>
      <c r="P39" s="92"/>
    </row>
    <row r="40" spans="1:18" ht="32.25" customHeight="1">
      <c r="A40" s="79" t="s">
        <v>199</v>
      </c>
      <c r="B40" s="308" t="s">
        <v>200</v>
      </c>
      <c r="C40" s="277"/>
      <c r="D40" s="278"/>
      <c r="E40" s="279"/>
      <c r="F40" s="280"/>
      <c r="G40" s="281"/>
      <c r="H40" s="309"/>
      <c r="I40" s="310"/>
      <c r="J40" s="282"/>
      <c r="K40" s="283"/>
      <c r="L40" s="284"/>
      <c r="M40" s="285"/>
      <c r="N40" s="90">
        <f>SUM(N41:N43)</f>
        <v>407.21875</v>
      </c>
      <c r="O40" s="91" t="s">
        <v>21</v>
      </c>
      <c r="P40" s="92"/>
    </row>
    <row r="41" spans="1:18" ht="15" customHeight="1">
      <c r="A41" s="275"/>
      <c r="B41" s="311" t="s">
        <v>201</v>
      </c>
      <c r="C41" s="294">
        <f>1</f>
        <v>1</v>
      </c>
      <c r="D41" s="278" t="s">
        <v>87</v>
      </c>
      <c r="E41" s="279">
        <f>2</f>
        <v>2</v>
      </c>
      <c r="F41" s="98">
        <f>F37</f>
        <v>28</v>
      </c>
      <c r="G41" s="99">
        <f>G37</f>
        <v>0</v>
      </c>
      <c r="H41" s="98">
        <f>0</f>
        <v>0</v>
      </c>
      <c r="I41" s="99">
        <f>9</f>
        <v>9</v>
      </c>
      <c r="J41" s="98">
        <f>6</f>
        <v>6</v>
      </c>
      <c r="K41" s="99">
        <v>11</v>
      </c>
      <c r="L41" s="284"/>
      <c r="M41" s="285">
        <f>C41*E41*(F41+G41/12)*(H41+I41/12)*(J41+K41/12)</f>
        <v>290.5</v>
      </c>
      <c r="N41" s="286"/>
      <c r="O41" s="287"/>
      <c r="P41" s="92"/>
    </row>
    <row r="42" spans="1:18" ht="15" customHeight="1">
      <c r="A42" s="275"/>
      <c r="B42" s="311" t="s">
        <v>202</v>
      </c>
      <c r="C42" s="294">
        <f>1</f>
        <v>1</v>
      </c>
      <c r="D42" s="278" t="s">
        <v>87</v>
      </c>
      <c r="E42" s="279">
        <f>3</f>
        <v>3</v>
      </c>
      <c r="F42" s="98">
        <f>7</f>
        <v>7</v>
      </c>
      <c r="G42" s="99">
        <f>6</f>
        <v>6</v>
      </c>
      <c r="H42" s="98">
        <f>0</f>
        <v>0</v>
      </c>
      <c r="I42" s="99">
        <f>9</f>
        <v>9</v>
      </c>
      <c r="J42" s="98">
        <f>6</f>
        <v>6</v>
      </c>
      <c r="K42" s="99">
        <v>11</v>
      </c>
      <c r="L42" s="284"/>
      <c r="M42" s="285">
        <f>C42*E42*(F42+G42/12)*(H42+I42/12)*(J42+K42/12)</f>
        <v>116.71875</v>
      </c>
      <c r="N42" s="286"/>
      <c r="O42" s="287"/>
      <c r="P42" s="92"/>
    </row>
    <row r="43" spans="1:18" ht="15" customHeight="1">
      <c r="A43" s="275"/>
      <c r="B43" s="311"/>
      <c r="C43" s="294"/>
      <c r="D43" s="278"/>
      <c r="E43" s="279"/>
      <c r="F43" s="98"/>
      <c r="G43" s="99"/>
      <c r="H43" s="98"/>
      <c r="I43" s="99"/>
      <c r="J43" s="98"/>
      <c r="K43" s="99"/>
      <c r="L43" s="284"/>
      <c r="M43" s="67" t="s">
        <v>90</v>
      </c>
      <c r="N43" s="67">
        <f>SUM(M41:M42)</f>
        <v>407.21875</v>
      </c>
      <c r="O43" s="13" t="s">
        <v>21</v>
      </c>
      <c r="P43" s="92"/>
      <c r="Q43" s="6">
        <f>9-1.5</f>
        <v>7.5</v>
      </c>
    </row>
    <row r="44" spans="1:18" ht="15" customHeight="1">
      <c r="A44" s="312"/>
      <c r="B44" s="313"/>
      <c r="C44" s="314"/>
      <c r="D44" s="315"/>
      <c r="E44" s="316"/>
      <c r="F44" s="124"/>
      <c r="G44" s="125"/>
      <c r="H44" s="124"/>
      <c r="I44" s="125"/>
      <c r="J44" s="124"/>
      <c r="K44" s="125"/>
      <c r="L44" s="269"/>
      <c r="M44" s="270"/>
      <c r="N44" s="317"/>
      <c r="O44" s="318"/>
      <c r="P44" s="92"/>
    </row>
    <row r="45" spans="1:18" ht="29.25" customHeight="1">
      <c r="A45" s="79" t="s">
        <v>203</v>
      </c>
      <c r="B45" s="308" t="s">
        <v>204</v>
      </c>
      <c r="C45" s="294"/>
      <c r="D45" s="278"/>
      <c r="E45" s="279"/>
      <c r="F45" s="98"/>
      <c r="G45" s="99"/>
      <c r="H45" s="98"/>
      <c r="I45" s="99"/>
      <c r="J45" s="98"/>
      <c r="K45" s="99"/>
      <c r="L45" s="284"/>
      <c r="M45" s="285"/>
      <c r="N45" s="90">
        <f>SUM(N46:N48)</f>
        <v>78.75</v>
      </c>
      <c r="O45" s="91" t="s">
        <v>19</v>
      </c>
      <c r="P45" s="92"/>
    </row>
    <row r="46" spans="1:18" ht="15" customHeight="1">
      <c r="A46" s="275"/>
      <c r="B46" s="311" t="s">
        <v>202</v>
      </c>
      <c r="C46" s="294">
        <f>1</f>
        <v>1</v>
      </c>
      <c r="D46" s="278" t="s">
        <v>87</v>
      </c>
      <c r="E46" s="279">
        <v>2</v>
      </c>
      <c r="F46" s="98">
        <f>F42</f>
        <v>7</v>
      </c>
      <c r="G46" s="99">
        <f>G42</f>
        <v>6</v>
      </c>
      <c r="H46" s="98"/>
      <c r="I46" s="99"/>
      <c r="J46" s="98">
        <f>5</f>
        <v>5</v>
      </c>
      <c r="K46" s="99">
        <f>3</f>
        <v>3</v>
      </c>
      <c r="L46" s="284"/>
      <c r="M46" s="285">
        <f>C46*E46*(F46+G46/12)*(J46+K46/12)</f>
        <v>78.75</v>
      </c>
      <c r="N46" s="286"/>
      <c r="O46" s="287"/>
      <c r="P46" s="92"/>
    </row>
    <row r="47" spans="1:18" ht="15" customHeight="1">
      <c r="A47" s="275"/>
      <c r="B47" s="276"/>
      <c r="C47" s="294"/>
      <c r="D47" s="278"/>
      <c r="E47" s="279"/>
      <c r="F47" s="98"/>
      <c r="G47" s="99"/>
      <c r="H47" s="98"/>
      <c r="I47" s="99"/>
      <c r="J47" s="98"/>
      <c r="K47" s="99"/>
      <c r="L47" s="284"/>
      <c r="M47" s="67" t="s">
        <v>90</v>
      </c>
      <c r="N47" s="67">
        <f>SUM(M45:M46)</f>
        <v>78.75</v>
      </c>
      <c r="O47" s="13" t="s">
        <v>21</v>
      </c>
      <c r="P47" s="92"/>
    </row>
    <row r="48" spans="1:18" ht="15" customHeight="1">
      <c r="A48" s="312"/>
      <c r="B48" s="319"/>
      <c r="C48" s="314"/>
      <c r="D48" s="315"/>
      <c r="E48" s="316"/>
      <c r="F48" s="124"/>
      <c r="G48" s="125"/>
      <c r="H48" s="124"/>
      <c r="I48" s="125"/>
      <c r="J48" s="124"/>
      <c r="K48" s="125"/>
      <c r="L48" s="269"/>
      <c r="M48" s="270"/>
      <c r="N48" s="317"/>
      <c r="O48" s="318"/>
      <c r="P48" s="92"/>
      <c r="R48" s="6">
        <f>96-13</f>
        <v>83</v>
      </c>
    </row>
    <row r="49" spans="1:18" ht="30" customHeight="1">
      <c r="A49" s="275">
        <v>9</v>
      </c>
      <c r="B49" s="308" t="s">
        <v>205</v>
      </c>
      <c r="C49" s="294"/>
      <c r="D49" s="278"/>
      <c r="E49" s="279"/>
      <c r="F49" s="320"/>
      <c r="G49" s="321"/>
      <c r="H49" s="320"/>
      <c r="I49" s="321"/>
      <c r="J49" s="320"/>
      <c r="K49" s="321"/>
      <c r="L49" s="284"/>
      <c r="M49" s="285"/>
      <c r="N49" s="90">
        <f>SUM(N50:N53)</f>
        <v>752.33333333333337</v>
      </c>
      <c r="O49" s="91" t="s">
        <v>19</v>
      </c>
      <c r="P49" s="92"/>
    </row>
    <row r="50" spans="1:18" ht="15" customHeight="1">
      <c r="A50" s="275"/>
      <c r="B50" s="311" t="s">
        <v>201</v>
      </c>
      <c r="C50" s="294">
        <f>1</f>
        <v>1</v>
      </c>
      <c r="D50" s="278" t="s">
        <v>87</v>
      </c>
      <c r="E50" s="279">
        <f>E41</f>
        <v>2</v>
      </c>
      <c r="F50" s="98">
        <f>F41</f>
        <v>28</v>
      </c>
      <c r="G50" s="99">
        <f>G41</f>
        <v>0</v>
      </c>
      <c r="H50" s="98"/>
      <c r="I50" s="99"/>
      <c r="J50" s="98">
        <f>J41</f>
        <v>6</v>
      </c>
      <c r="K50" s="99">
        <f>K41</f>
        <v>11</v>
      </c>
      <c r="L50" s="284"/>
      <c r="M50" s="285">
        <f>C50*E50*(F50+G50/12)*(J50+K50/12)</f>
        <v>387.33333333333337</v>
      </c>
      <c r="N50" s="286"/>
      <c r="O50" s="287"/>
      <c r="P50" s="92"/>
      <c r="R50" s="6">
        <f>R48/12</f>
        <v>6.916666666666667</v>
      </c>
    </row>
    <row r="51" spans="1:18" ht="15" customHeight="1">
      <c r="A51" s="275"/>
      <c r="B51" s="311" t="s">
        <v>202</v>
      </c>
      <c r="C51" s="294">
        <f>2</f>
        <v>2</v>
      </c>
      <c r="D51" s="278" t="s">
        <v>87</v>
      </c>
      <c r="E51" s="279">
        <f>2</f>
        <v>2</v>
      </c>
      <c r="F51" s="98">
        <f>F42</f>
        <v>7</v>
      </c>
      <c r="G51" s="99">
        <f>G42</f>
        <v>6</v>
      </c>
      <c r="H51" s="98"/>
      <c r="I51" s="99"/>
      <c r="J51" s="98">
        <f>J42</f>
        <v>6</v>
      </c>
      <c r="K51" s="99">
        <f>K42</f>
        <v>11</v>
      </c>
      <c r="L51" s="284"/>
      <c r="M51" s="285">
        <f>C51*E51*(F51+G51/12)*(J51+K51/12)</f>
        <v>207.5</v>
      </c>
      <c r="N51" s="286"/>
      <c r="O51" s="287"/>
      <c r="P51" s="92"/>
    </row>
    <row r="52" spans="1:18" ht="15" customHeight="1">
      <c r="A52" s="275"/>
      <c r="B52" s="276"/>
      <c r="C52" s="294">
        <f>2</f>
        <v>2</v>
      </c>
      <c r="D52" s="278" t="s">
        <v>87</v>
      </c>
      <c r="E52" s="279">
        <f xml:space="preserve">   E46</f>
        <v>2</v>
      </c>
      <c r="F52" s="98">
        <f>F46</f>
        <v>7</v>
      </c>
      <c r="G52" s="99">
        <f>G46</f>
        <v>6</v>
      </c>
      <c r="H52" s="98"/>
      <c r="I52" s="99"/>
      <c r="J52" s="98">
        <f>J46</f>
        <v>5</v>
      </c>
      <c r="K52" s="99">
        <f>K46</f>
        <v>3</v>
      </c>
      <c r="L52" s="284"/>
      <c r="M52" s="285">
        <f>C52*E52*(F52+G52/12)*(J52+K52/12)</f>
        <v>157.5</v>
      </c>
      <c r="N52" s="286"/>
      <c r="O52" s="287"/>
      <c r="P52" s="92"/>
    </row>
    <row r="53" spans="1:18" ht="15" customHeight="1">
      <c r="A53" s="275"/>
      <c r="B53" s="276"/>
      <c r="C53" s="294"/>
      <c r="D53" s="278"/>
      <c r="E53" s="279"/>
      <c r="F53" s="98"/>
      <c r="G53" s="99"/>
      <c r="H53" s="98"/>
      <c r="I53" s="99"/>
      <c r="J53" s="98"/>
      <c r="K53" s="99"/>
      <c r="L53" s="284"/>
      <c r="M53" s="67" t="s">
        <v>90</v>
      </c>
      <c r="N53" s="67">
        <f>SUM(M50:M52)</f>
        <v>752.33333333333337</v>
      </c>
      <c r="O53" s="13" t="s">
        <v>21</v>
      </c>
      <c r="P53" s="92"/>
    </row>
    <row r="54" spans="1:18" ht="15" customHeight="1">
      <c r="A54" s="119"/>
      <c r="B54" s="120"/>
      <c r="C54" s="121"/>
      <c r="D54" s="122"/>
      <c r="E54" s="123"/>
      <c r="F54" s="124"/>
      <c r="G54" s="125"/>
      <c r="H54" s="124"/>
      <c r="I54" s="125"/>
      <c r="J54" s="124"/>
      <c r="K54" s="125"/>
      <c r="L54" s="126"/>
      <c r="M54" s="127"/>
      <c r="N54" s="128"/>
      <c r="O54" s="129"/>
      <c r="P54" s="92"/>
    </row>
    <row r="55" spans="1:18" ht="21" customHeight="1">
      <c r="P55" s="92"/>
    </row>
    <row r="56" spans="1:18" ht="21" customHeight="1">
      <c r="P56" s="92"/>
    </row>
    <row r="57" spans="1:18" ht="21" customHeight="1">
      <c r="P57" s="92"/>
    </row>
    <row r="58" spans="1:18" ht="21" customHeight="1">
      <c r="P58" s="92"/>
    </row>
    <row r="59" spans="1:18" ht="21" customHeight="1">
      <c r="P59" s="92"/>
    </row>
    <row r="64" spans="1:18" ht="21" customHeight="1">
      <c r="P64" s="147"/>
    </row>
    <row r="65" spans="16:16" ht="21" customHeight="1">
      <c r="P65" s="147"/>
    </row>
    <row r="67" spans="16:16" ht="21" customHeight="1">
      <c r="P67" s="147"/>
    </row>
  </sheetData>
  <mergeCells count="11">
    <mergeCell ref="J6:K6"/>
    <mergeCell ref="A4:O4"/>
    <mergeCell ref="A5:A6"/>
    <mergeCell ref="B5:B6"/>
    <mergeCell ref="C5:E6"/>
    <mergeCell ref="F5:K5"/>
    <mergeCell ref="L5:L6"/>
    <mergeCell ref="M5:M6"/>
    <mergeCell ref="N5:O6"/>
    <mergeCell ref="F6:G6"/>
    <mergeCell ref="H6:I6"/>
  </mergeCells>
  <dataValidations count="1">
    <dataValidation type="list" allowBlank="1" showInputMessage="1" sqref="B11:B29 B31:B78" xr:uid="{00000000-0002-0000-1000-000000000000}">
      <formula1>#REF!</formula1>
    </dataValidation>
  </dataValidations>
  <pageMargins left="0.5" right="0.5" top="0.5" bottom="0.5" header="0" footer="0"/>
  <pageSetup paperSize="9" scale="95" orientation="portrait" verticalDpi="300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30</vt:i4>
      </vt:variant>
    </vt:vector>
  </HeadingPairs>
  <TitlesOfParts>
    <vt:vector size="48" baseType="lpstr">
      <vt:lpstr>Summary Of Cost</vt:lpstr>
      <vt:lpstr>Summary (Civil)</vt:lpstr>
      <vt:lpstr>Abstract of Cost</vt:lpstr>
      <vt:lpstr>BQ</vt:lpstr>
      <vt:lpstr>Bill of Quantity</vt:lpstr>
      <vt:lpstr>Builder Estimate</vt:lpstr>
      <vt:lpstr>Details of Measurement</vt:lpstr>
      <vt:lpstr>Price </vt:lpstr>
      <vt:lpstr>Summary(Apron)</vt:lpstr>
      <vt:lpstr>AC-Apron &amp; Drain</vt:lpstr>
      <vt:lpstr>BQ-Apron &amp; Drain</vt:lpstr>
      <vt:lpstr>BE-Apron &amp; Drain</vt:lpstr>
      <vt:lpstr>Measurement-Apron &amp; Drain</vt:lpstr>
      <vt:lpstr>Summary(Septic Tank)</vt:lpstr>
      <vt:lpstr>AC-Septic Tank</vt:lpstr>
      <vt:lpstr>Bill of Quantity (Tank)</vt:lpstr>
      <vt:lpstr>BE-Septic Tank</vt:lpstr>
      <vt:lpstr>Measurement-Septic Tank</vt:lpstr>
      <vt:lpstr>'Abstract of Cost'!Print_Area</vt:lpstr>
      <vt:lpstr>'AC-Apron &amp; Drain'!Print_Area</vt:lpstr>
      <vt:lpstr>'AC-Septic Tank'!Print_Area</vt:lpstr>
      <vt:lpstr>'BE-Apron &amp; Drain'!Print_Area</vt:lpstr>
      <vt:lpstr>'BE-Septic Tank'!Print_Area</vt:lpstr>
      <vt:lpstr>'Bill of Quantity'!Print_Area</vt:lpstr>
      <vt:lpstr>'Bill of Quantity (Tank)'!Print_Area</vt:lpstr>
      <vt:lpstr>BQ!Print_Area</vt:lpstr>
      <vt:lpstr>'BQ-Apron &amp; Drain'!Print_Area</vt:lpstr>
      <vt:lpstr>'Builder Estimate'!Print_Area</vt:lpstr>
      <vt:lpstr>'Details of Measurement'!Print_Area</vt:lpstr>
      <vt:lpstr>'Measurement-Apron &amp; Drain'!Print_Area</vt:lpstr>
      <vt:lpstr>'Measurement-Septic Tank'!Print_Area</vt:lpstr>
      <vt:lpstr>'Summary (Civil)'!Print_Area</vt:lpstr>
      <vt:lpstr>'Summary Of Cost'!Print_Area</vt:lpstr>
      <vt:lpstr>'Summary(Apron)'!Print_Area</vt:lpstr>
      <vt:lpstr>'Summary(Septic Tank)'!Print_Area</vt:lpstr>
      <vt:lpstr>'Abstract of Cost'!Print_Titles</vt:lpstr>
      <vt:lpstr>'AC-Apron &amp; Drain'!Print_Titles</vt:lpstr>
      <vt:lpstr>'AC-Septic Tank'!Print_Titles</vt:lpstr>
      <vt:lpstr>'BE-Apron &amp; Drain'!Print_Titles</vt:lpstr>
      <vt:lpstr>'BE-Septic Tank'!Print_Titles</vt:lpstr>
      <vt:lpstr>'Bill of Quantity'!Print_Titles</vt:lpstr>
      <vt:lpstr>'Bill of Quantity (Tank)'!Print_Titles</vt:lpstr>
      <vt:lpstr>BQ!Print_Titles</vt:lpstr>
      <vt:lpstr>'BQ-Apron &amp; Drain'!Print_Titles</vt:lpstr>
      <vt:lpstr>'Builder Estimate'!Print_Titles</vt:lpstr>
      <vt:lpstr>'Details of Measurement'!Print_Titles</vt:lpstr>
      <vt:lpstr>'Measurement-Apron &amp; Drain'!Print_Titles</vt:lpstr>
      <vt:lpstr>'Measurement-Septic Tank'!Print_Titles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 Mon</dc:creator>
  <cp:lastModifiedBy>Moh Moh Myint Thu</cp:lastModifiedBy>
  <cp:lastPrinted>2026-05-07T04:18:15Z</cp:lastPrinted>
  <dcterms:created xsi:type="dcterms:W3CDTF">2014-07-02T03:20:43Z</dcterms:created>
  <dcterms:modified xsi:type="dcterms:W3CDTF">2026-06-12T05:10:27Z</dcterms:modified>
</cp:coreProperties>
</file>
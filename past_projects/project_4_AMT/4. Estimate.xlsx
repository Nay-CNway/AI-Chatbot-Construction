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aych\Downloads\Telegram Desktop\AMT 12 Documents\"/>
    </mc:Choice>
  </mc:AlternateContent>
  <xr:revisionPtr revIDLastSave="0" documentId="8_{BBDE0051-7A32-494D-A753-31EF7CAD1B02}" xr6:coauthVersionLast="47" xr6:coauthVersionMax="47" xr10:uidLastSave="{00000000-0000-0000-0000-000000000000}"/>
  <bookViews>
    <workbookView xWindow="-110" yWindow="-110" windowWidth="25820" windowHeight="15500" tabRatio="871" activeTab="2" xr2:uid="{9BDEA1D8-197A-4187-906D-6F83A385C373}"/>
  </bookViews>
  <sheets>
    <sheet name="Material Rate" sheetId="44" r:id="rId1"/>
    <sheet name="ALL SUM" sheetId="62" r:id="rId2"/>
    <sheet name="SUM(Structure)" sheetId="28" r:id="rId3"/>
    <sheet name="BQ" sheetId="7" r:id="rId4"/>
    <sheet name="Detail-Skeleton" sheetId="13" r:id="rId5"/>
    <sheet name="SUM(Finishing)" sheetId="61" r:id="rId6"/>
    <sheet name="BQ-Finishing" sheetId="59" r:id="rId7"/>
    <sheet name="Detail-Finishing" sheetId="58" r:id="rId8"/>
    <sheet name="L-Rate" sheetId="39" state="hidden" r:id="rId9"/>
    <sheet name="Sheet2 (2)" sheetId="31" state="hidden" r:id="rId10"/>
    <sheet name="Sheet1" sheetId="32" state="hidden" r:id="rId11"/>
    <sheet name="Sheet2" sheetId="30" state="hidden" r:id="rId12"/>
    <sheet name="Lab" sheetId="35" state="hidden" r:id="rId13"/>
    <sheet name="Sheet4" sheetId="34" state="hidden" r:id="rId14"/>
    <sheet name="Paint Survey" sheetId="36" state="hidden" r:id="rId15"/>
    <sheet name="Slab Concrete" sheetId="37" state="hidden" r:id="rId16"/>
  </sheets>
  <definedNames>
    <definedName name="_xlnm._FilterDatabase" localSheetId="3" hidden="1">BQ!$A$4:$G$519</definedName>
    <definedName name="_xlnm._FilterDatabase" localSheetId="6" hidden="1">'BQ-Finishing'!$A$4:$G$169</definedName>
    <definedName name="_xlnm._FilterDatabase" localSheetId="4" hidden="1">'Detail-Skeleton'!$B$4:$B$1161</definedName>
    <definedName name="_xlnm.Print_Titles" localSheetId="3">BQ!$1:$5</definedName>
    <definedName name="_xlnm.Print_Titles" localSheetId="4">'Detail-Skeleton'!$2:$5</definedName>
  </definedNames>
  <calcPr calcId="191029" fullCalcOnLoad="1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62" l="1"/>
  <c r="A1" i="62"/>
  <c r="G91" i="13"/>
  <c r="K216" i="58"/>
  <c r="E244" i="59"/>
  <c r="D91" i="13"/>
  <c r="E62" i="13"/>
  <c r="D87" i="59"/>
  <c r="F227" i="59"/>
  <c r="E227" i="59"/>
  <c r="F226" i="59"/>
  <c r="E226" i="59"/>
  <c r="F91" i="59"/>
  <c r="E91" i="59"/>
  <c r="F90" i="59"/>
  <c r="E90" i="59"/>
  <c r="F89" i="59"/>
  <c r="E89" i="59"/>
  <c r="B82" i="59"/>
  <c r="D248" i="58"/>
  <c r="C248" i="58"/>
  <c r="D246" i="58"/>
  <c r="C246" i="58"/>
  <c r="H246" i="58" s="1"/>
  <c r="H247" i="58" s="1"/>
  <c r="D90" i="59" s="1"/>
  <c r="D244" i="58"/>
  <c r="C244" i="58"/>
  <c r="H244" i="58" s="1"/>
  <c r="H245" i="58" s="1"/>
  <c r="D91" i="59" s="1"/>
  <c r="H241" i="58"/>
  <c r="H242" i="58" s="1"/>
  <c r="D82" i="59" s="1"/>
  <c r="H240" i="58"/>
  <c r="H239" i="58"/>
  <c r="F544" i="7"/>
  <c r="E544" i="7"/>
  <c r="F468" i="7"/>
  <c r="D287" i="58"/>
  <c r="C287" i="58"/>
  <c r="C286" i="58"/>
  <c r="H286" i="58" s="1"/>
  <c r="C285" i="58"/>
  <c r="H285" i="58"/>
  <c r="F181" i="58"/>
  <c r="F180" i="58"/>
  <c r="E115" i="59"/>
  <c r="E113" i="59"/>
  <c r="B111" i="59"/>
  <c r="H292" i="58"/>
  <c r="I293" i="58" s="1"/>
  <c r="D111" i="59" s="1"/>
  <c r="H296" i="58"/>
  <c r="E176" i="59"/>
  <c r="E149" i="59"/>
  <c r="E177" i="59"/>
  <c r="E150" i="59"/>
  <c r="E178" i="59"/>
  <c r="E133" i="59"/>
  <c r="E179" i="59"/>
  <c r="E180" i="59"/>
  <c r="F165" i="59"/>
  <c r="E165" i="59"/>
  <c r="F164" i="59"/>
  <c r="E164" i="59"/>
  <c r="F162" i="59"/>
  <c r="F161" i="59"/>
  <c r="E161" i="59"/>
  <c r="F156" i="59"/>
  <c r="E156" i="59"/>
  <c r="F155" i="59"/>
  <c r="E155" i="59"/>
  <c r="F154" i="59"/>
  <c r="E154" i="59"/>
  <c r="F152" i="59"/>
  <c r="E152" i="59"/>
  <c r="F151" i="59"/>
  <c r="E151" i="59"/>
  <c r="F150" i="59"/>
  <c r="F149" i="59"/>
  <c r="F145" i="59"/>
  <c r="E145" i="59"/>
  <c r="F144" i="59"/>
  <c r="E144" i="59"/>
  <c r="F142" i="59"/>
  <c r="F141" i="59"/>
  <c r="F136" i="59"/>
  <c r="E136" i="59"/>
  <c r="F135" i="59"/>
  <c r="E135" i="59"/>
  <c r="F133" i="59"/>
  <c r="F132" i="59"/>
  <c r="F131" i="59"/>
  <c r="F127" i="59"/>
  <c r="E127" i="59"/>
  <c r="F126" i="59"/>
  <c r="E126" i="59"/>
  <c r="F125" i="59"/>
  <c r="E125" i="59"/>
  <c r="F123" i="59"/>
  <c r="E123" i="59"/>
  <c r="F122" i="59"/>
  <c r="E122" i="59"/>
  <c r="F121" i="59"/>
  <c r="F120" i="59"/>
  <c r="E108" i="59"/>
  <c r="F106" i="59"/>
  <c r="E106" i="59"/>
  <c r="G106" i="59" s="1"/>
  <c r="F105" i="59"/>
  <c r="E105" i="59"/>
  <c r="F104" i="59"/>
  <c r="E104" i="59"/>
  <c r="F100" i="59"/>
  <c r="E100" i="59"/>
  <c r="F98" i="59"/>
  <c r="E98" i="59"/>
  <c r="F93" i="59"/>
  <c r="E93" i="59"/>
  <c r="F88" i="59"/>
  <c r="F87" i="59"/>
  <c r="E87" i="59"/>
  <c r="F86" i="59"/>
  <c r="E86" i="59"/>
  <c r="G86" i="59" s="1"/>
  <c r="F85" i="59"/>
  <c r="E85" i="59"/>
  <c r="F84" i="59"/>
  <c r="E84" i="59"/>
  <c r="F77" i="59"/>
  <c r="E77" i="59"/>
  <c r="F75" i="59"/>
  <c r="E75" i="59"/>
  <c r="F74" i="59"/>
  <c r="E74" i="59"/>
  <c r="F73" i="59"/>
  <c r="E73" i="59"/>
  <c r="F72" i="59"/>
  <c r="E72" i="59"/>
  <c r="F71" i="59"/>
  <c r="E71" i="59"/>
  <c r="F63" i="59"/>
  <c r="E63" i="59"/>
  <c r="F62" i="59"/>
  <c r="E62" i="59"/>
  <c r="F58" i="59"/>
  <c r="E58" i="59"/>
  <c r="F56" i="59"/>
  <c r="E56" i="59"/>
  <c r="F55" i="59"/>
  <c r="F54" i="59"/>
  <c r="E54" i="59"/>
  <c r="F53" i="59"/>
  <c r="E53" i="59"/>
  <c r="F52" i="59"/>
  <c r="F51" i="59"/>
  <c r="E51" i="59"/>
  <c r="F50" i="59"/>
  <c r="F49" i="59"/>
  <c r="E45" i="59"/>
  <c r="F42" i="59"/>
  <c r="F41" i="59"/>
  <c r="F40" i="59"/>
  <c r="F39" i="59"/>
  <c r="F38" i="59"/>
  <c r="F37" i="59"/>
  <c r="F36" i="59"/>
  <c r="F35" i="59"/>
  <c r="F34" i="59"/>
  <c r="F33" i="59"/>
  <c r="F32" i="59"/>
  <c r="F31" i="59"/>
  <c r="F30" i="59"/>
  <c r="F29" i="59"/>
  <c r="E35" i="59"/>
  <c r="E22" i="59"/>
  <c r="E20" i="59"/>
  <c r="F20" i="59"/>
  <c r="F19" i="59"/>
  <c r="E19" i="59"/>
  <c r="F18" i="59"/>
  <c r="E18" i="59"/>
  <c r="F17" i="59"/>
  <c r="E17" i="59"/>
  <c r="F16" i="59"/>
  <c r="E16" i="59"/>
  <c r="F15" i="59"/>
  <c r="E15" i="59"/>
  <c r="F14" i="59"/>
  <c r="E14" i="59"/>
  <c r="F13" i="59"/>
  <c r="E13" i="59"/>
  <c r="F12" i="59"/>
  <c r="E12" i="59"/>
  <c r="E11" i="59"/>
  <c r="E231" i="59"/>
  <c r="E230" i="59"/>
  <c r="E229" i="59"/>
  <c r="E228" i="59"/>
  <c r="E224" i="59"/>
  <c r="E223" i="59"/>
  <c r="E222" i="59"/>
  <c r="E221" i="59"/>
  <c r="E220" i="59"/>
  <c r="E219" i="59"/>
  <c r="E218" i="59"/>
  <c r="E217" i="59"/>
  <c r="E216" i="59"/>
  <c r="E215" i="59"/>
  <c r="E214" i="59"/>
  <c r="E213" i="59"/>
  <c r="E212" i="59"/>
  <c r="E211" i="59"/>
  <c r="E210" i="59"/>
  <c r="E209" i="59"/>
  <c r="E208" i="59"/>
  <c r="E50" i="59"/>
  <c r="E207" i="59"/>
  <c r="E206" i="59"/>
  <c r="E42" i="59" s="1"/>
  <c r="E205" i="59"/>
  <c r="E204" i="59"/>
  <c r="E40" i="59" s="1"/>
  <c r="E203" i="59"/>
  <c r="E202" i="59"/>
  <c r="E38" i="59"/>
  <c r="E201" i="59"/>
  <c r="E37" i="59"/>
  <c r="E200" i="59"/>
  <c r="E36" i="59" s="1"/>
  <c r="E199" i="59"/>
  <c r="E198" i="59"/>
  <c r="E197" i="59"/>
  <c r="E33" i="59"/>
  <c r="E196" i="59"/>
  <c r="E195" i="59"/>
  <c r="E31" i="59" s="1"/>
  <c r="E194" i="59"/>
  <c r="E193" i="59"/>
  <c r="E192" i="59"/>
  <c r="E191" i="59"/>
  <c r="E190" i="59"/>
  <c r="E189" i="59"/>
  <c r="E188" i="59"/>
  <c r="E187" i="59"/>
  <c r="E186" i="59"/>
  <c r="E185" i="59"/>
  <c r="E184" i="59"/>
  <c r="E183" i="59"/>
  <c r="E181" i="59"/>
  <c r="F231" i="59"/>
  <c r="F230" i="59"/>
  <c r="F229" i="59"/>
  <c r="F228" i="59"/>
  <c r="F225" i="59"/>
  <c r="F224" i="59"/>
  <c r="F223" i="59"/>
  <c r="F222" i="59"/>
  <c r="F221" i="59"/>
  <c r="F220" i="59"/>
  <c r="F219" i="59"/>
  <c r="F218" i="59"/>
  <c r="F217" i="59"/>
  <c r="F216" i="59"/>
  <c r="F215" i="59"/>
  <c r="F214" i="59"/>
  <c r="F213" i="59"/>
  <c r="F212" i="59"/>
  <c r="F211" i="59"/>
  <c r="F210" i="59"/>
  <c r="F209" i="59"/>
  <c r="F208" i="59"/>
  <c r="F207" i="59"/>
  <c r="F206" i="59"/>
  <c r="F205" i="59"/>
  <c r="F204" i="59"/>
  <c r="F203" i="59"/>
  <c r="F202" i="59"/>
  <c r="F201" i="59"/>
  <c r="F200" i="59"/>
  <c r="F199" i="59"/>
  <c r="F198" i="59"/>
  <c r="F197" i="59"/>
  <c r="F196" i="59"/>
  <c r="F195" i="59"/>
  <c r="F194" i="59"/>
  <c r="F193" i="59"/>
  <c r="F192" i="59"/>
  <c r="F191" i="59"/>
  <c r="F190" i="59"/>
  <c r="F189" i="59"/>
  <c r="F188" i="59"/>
  <c r="F187" i="59"/>
  <c r="F186" i="59"/>
  <c r="F185" i="59"/>
  <c r="F184" i="59"/>
  <c r="F183" i="59"/>
  <c r="C81" i="44"/>
  <c r="E225" i="59" s="1"/>
  <c r="F11" i="59"/>
  <c r="E245" i="59"/>
  <c r="F244" i="59"/>
  <c r="F243" i="59"/>
  <c r="E243" i="59"/>
  <c r="F242" i="59"/>
  <c r="E242" i="59"/>
  <c r="F241" i="59"/>
  <c r="E241" i="59"/>
  <c r="F240" i="59"/>
  <c r="E240" i="59"/>
  <c r="F239" i="59"/>
  <c r="E239" i="59"/>
  <c r="B105" i="44"/>
  <c r="C245" i="59"/>
  <c r="F245" i="59"/>
  <c r="C159" i="59"/>
  <c r="B159" i="59"/>
  <c r="B147" i="59"/>
  <c r="C139" i="59"/>
  <c r="B139" i="59"/>
  <c r="B129" i="59"/>
  <c r="F297" i="58"/>
  <c r="B118" i="59"/>
  <c r="B110" i="59"/>
  <c r="A110" i="59"/>
  <c r="C307" i="58"/>
  <c r="D306" i="58"/>
  <c r="F301" i="58"/>
  <c r="D291" i="58"/>
  <c r="D297" i="58" s="1"/>
  <c r="H297" i="58" s="1"/>
  <c r="I297" i="58" s="1"/>
  <c r="D118" i="59" s="1"/>
  <c r="D120" i="59" s="1"/>
  <c r="G120" i="59" s="1"/>
  <c r="A2" i="61"/>
  <c r="A1" i="61"/>
  <c r="D284" i="58"/>
  <c r="H284" i="58"/>
  <c r="D281" i="58"/>
  <c r="H281" i="58" s="1"/>
  <c r="I282" i="58" s="1"/>
  <c r="D180" i="58" s="1"/>
  <c r="H180" i="58" s="1"/>
  <c r="D236" i="58"/>
  <c r="H236" i="58" s="1"/>
  <c r="H235" i="58"/>
  <c r="D86" i="59"/>
  <c r="D229" i="58"/>
  <c r="G229" i="58" s="1"/>
  <c r="D228" i="58"/>
  <c r="H228" i="58"/>
  <c r="D68" i="59"/>
  <c r="D67" i="59"/>
  <c r="H195" i="58"/>
  <c r="I196" i="58"/>
  <c r="D63" i="59"/>
  <c r="G63" i="59" s="1"/>
  <c r="C66" i="59"/>
  <c r="C60" i="59"/>
  <c r="C102" i="59"/>
  <c r="C108" i="59"/>
  <c r="F108" i="59" s="1"/>
  <c r="B102" i="59"/>
  <c r="A102" i="59"/>
  <c r="B96" i="59"/>
  <c r="A96" i="59"/>
  <c r="C81" i="59"/>
  <c r="C80" i="59"/>
  <c r="B81" i="59"/>
  <c r="B80" i="59"/>
  <c r="B79" i="59"/>
  <c r="A79" i="59"/>
  <c r="B66" i="59"/>
  <c r="A66" i="59"/>
  <c r="B60" i="59"/>
  <c r="A60" i="59"/>
  <c r="C47" i="59"/>
  <c r="B47" i="59"/>
  <c r="E178" i="58"/>
  <c r="E177" i="58"/>
  <c r="H173" i="58"/>
  <c r="H172" i="58"/>
  <c r="H171" i="58"/>
  <c r="B27" i="59"/>
  <c r="B26" i="59"/>
  <c r="B25" i="59"/>
  <c r="B24" i="59"/>
  <c r="A24" i="59"/>
  <c r="D76" i="58"/>
  <c r="H76" i="58"/>
  <c r="D20" i="59"/>
  <c r="C9" i="59"/>
  <c r="B9" i="59"/>
  <c r="C24" i="59"/>
  <c r="B8" i="59"/>
  <c r="C7" i="59"/>
  <c r="B7" i="59"/>
  <c r="B6" i="59"/>
  <c r="A6" i="59"/>
  <c r="F238" i="59"/>
  <c r="E238" i="59"/>
  <c r="F237" i="59"/>
  <c r="E237" i="59"/>
  <c r="F236" i="59"/>
  <c r="E236" i="59"/>
  <c r="F235" i="59"/>
  <c r="E235" i="59"/>
  <c r="F182" i="59"/>
  <c r="F181" i="59"/>
  <c r="F180" i="59"/>
  <c r="F179" i="59"/>
  <c r="F178" i="59"/>
  <c r="F177" i="59"/>
  <c r="F176" i="59"/>
  <c r="F45" i="59"/>
  <c r="F22" i="59"/>
  <c r="C8" i="59"/>
  <c r="A2" i="59"/>
  <c r="A1" i="59"/>
  <c r="D146" i="58"/>
  <c r="G146" i="58"/>
  <c r="D145" i="58"/>
  <c r="G145" i="58" s="1"/>
  <c r="G127" i="58"/>
  <c r="G157" i="58"/>
  <c r="D166" i="58"/>
  <c r="G166" i="58"/>
  <c r="G165" i="58"/>
  <c r="D164" i="58"/>
  <c r="H164" i="58"/>
  <c r="G163" i="58"/>
  <c r="D162" i="58"/>
  <c r="H162" i="58"/>
  <c r="G161" i="58"/>
  <c r="H159" i="58"/>
  <c r="D160" i="58"/>
  <c r="H160" i="58"/>
  <c r="C144" i="58"/>
  <c r="G144" i="58" s="1"/>
  <c r="C143" i="58"/>
  <c r="G143" i="58"/>
  <c r="C142" i="58"/>
  <c r="G142" i="58" s="1"/>
  <c r="F140" i="58"/>
  <c r="H140" i="58" s="1"/>
  <c r="D140" i="58"/>
  <c r="H139" i="58"/>
  <c r="F138" i="58"/>
  <c r="H138" i="58"/>
  <c r="H135" i="58"/>
  <c r="H134" i="58"/>
  <c r="D137" i="58"/>
  <c r="H137" i="58"/>
  <c r="D136" i="58"/>
  <c r="H136" i="58" s="1"/>
  <c r="H133" i="58"/>
  <c r="F132" i="58"/>
  <c r="H132" i="58"/>
  <c r="H131" i="58"/>
  <c r="C80" i="58"/>
  <c r="D17" i="59"/>
  <c r="D70" i="58"/>
  <c r="D71" i="58" s="1"/>
  <c r="D69" i="58"/>
  <c r="C69" i="58"/>
  <c r="D68" i="58"/>
  <c r="C68" i="58"/>
  <c r="D66" i="58"/>
  <c r="C66" i="58"/>
  <c r="D65" i="58"/>
  <c r="C65" i="58"/>
  <c r="D63" i="58"/>
  <c r="C63" i="58"/>
  <c r="D62" i="58"/>
  <c r="C62" i="58"/>
  <c r="D56" i="58"/>
  <c r="H56" i="58" s="1"/>
  <c r="D55" i="58"/>
  <c r="H55" i="58" s="1"/>
  <c r="D54" i="58"/>
  <c r="H54" i="58"/>
  <c r="D53" i="58"/>
  <c r="H53" i="58" s="1"/>
  <c r="D47" i="58"/>
  <c r="H47" i="58"/>
  <c r="D51" i="58"/>
  <c r="H51" i="58" s="1"/>
  <c r="D52" i="58"/>
  <c r="H52" i="58"/>
  <c r="D50" i="58"/>
  <c r="H50" i="58"/>
  <c r="H57" i="58" s="1"/>
  <c r="L46" i="58"/>
  <c r="D49" i="58"/>
  <c r="H49" i="58" s="1"/>
  <c r="D48" i="58"/>
  <c r="H48" i="58"/>
  <c r="D46" i="58"/>
  <c r="H46" i="58"/>
  <c r="D45" i="58"/>
  <c r="H45" i="58" s="1"/>
  <c r="D44" i="58"/>
  <c r="H44" i="58" s="1"/>
  <c r="D43" i="58"/>
  <c r="H43" i="58"/>
  <c r="H39" i="58"/>
  <c r="H33" i="58"/>
  <c r="H32" i="58"/>
  <c r="H31" i="58"/>
  <c r="H30" i="58"/>
  <c r="H29" i="58"/>
  <c r="I40" i="58" s="1"/>
  <c r="D9" i="59" s="1"/>
  <c r="D13" i="59" s="1"/>
  <c r="G13" i="59" s="1"/>
  <c r="H28" i="58"/>
  <c r="H27" i="58"/>
  <c r="F37" i="58"/>
  <c r="H37" i="58"/>
  <c r="F38" i="58"/>
  <c r="H38" i="58" s="1"/>
  <c r="F36" i="58"/>
  <c r="H36" i="58" s="1"/>
  <c r="F35" i="58"/>
  <c r="H35" i="58"/>
  <c r="F34" i="58"/>
  <c r="H34" i="58"/>
  <c r="H130" i="58"/>
  <c r="H129" i="58"/>
  <c r="G156" i="58"/>
  <c r="G155" i="58"/>
  <c r="G154" i="58"/>
  <c r="G153" i="58"/>
  <c r="G152" i="58"/>
  <c r="G151" i="58"/>
  <c r="H149" i="58"/>
  <c r="H148" i="58"/>
  <c r="G126" i="58"/>
  <c r="F125" i="58"/>
  <c r="C125" i="58"/>
  <c r="F124" i="58"/>
  <c r="G124" i="58"/>
  <c r="F123" i="58"/>
  <c r="G123" i="58" s="1"/>
  <c r="F122" i="58"/>
  <c r="G122" i="58" s="1"/>
  <c r="F121" i="58"/>
  <c r="G121" i="58" s="1"/>
  <c r="H119" i="58"/>
  <c r="H118" i="58"/>
  <c r="H112" i="58"/>
  <c r="H113" i="58"/>
  <c r="H111" i="58"/>
  <c r="C110" i="58"/>
  <c r="H110" i="58" s="1"/>
  <c r="H109" i="58"/>
  <c r="D277" i="58"/>
  <c r="H277" i="58"/>
  <c r="D102" i="59" s="1"/>
  <c r="D108" i="59"/>
  <c r="D273" i="58"/>
  <c r="H273" i="58"/>
  <c r="D272" i="58"/>
  <c r="H272" i="58" s="1"/>
  <c r="D270" i="58"/>
  <c r="H270" i="58" s="1"/>
  <c r="D269" i="58"/>
  <c r="H269" i="58"/>
  <c r="H265" i="58"/>
  <c r="H264" i="58"/>
  <c r="H263" i="58"/>
  <c r="H262" i="58"/>
  <c r="H261" i="58"/>
  <c r="G232" i="58"/>
  <c r="F230" i="58"/>
  <c r="D231" i="58"/>
  <c r="H231" i="58"/>
  <c r="D230" i="58"/>
  <c r="G227" i="58"/>
  <c r="F226" i="58"/>
  <c r="D226" i="58"/>
  <c r="H210" i="58"/>
  <c r="H256" i="58"/>
  <c r="H213" i="58"/>
  <c r="H212" i="58"/>
  <c r="H211" i="58"/>
  <c r="H222" i="58"/>
  <c r="H221" i="58"/>
  <c r="H220" i="58"/>
  <c r="H219" i="58"/>
  <c r="H218" i="58"/>
  <c r="H217" i="58"/>
  <c r="H216" i="58"/>
  <c r="H259" i="58"/>
  <c r="H258" i="58"/>
  <c r="H257" i="58"/>
  <c r="H255" i="58"/>
  <c r="H254" i="58"/>
  <c r="H253" i="58"/>
  <c r="H209" i="58"/>
  <c r="H208" i="58"/>
  <c r="F207" i="58"/>
  <c r="D207" i="58"/>
  <c r="H199" i="58"/>
  <c r="C201" i="58"/>
  <c r="D69" i="59"/>
  <c r="D75" i="59"/>
  <c r="H201" i="58"/>
  <c r="H200" i="58"/>
  <c r="F192" i="58"/>
  <c r="F191" i="58"/>
  <c r="F190" i="58"/>
  <c r="F189" i="58"/>
  <c r="H189" i="58" s="1"/>
  <c r="F188" i="58"/>
  <c r="F187" i="58"/>
  <c r="F186" i="58"/>
  <c r="H186" i="58" s="1"/>
  <c r="D192" i="58"/>
  <c r="D191" i="58"/>
  <c r="D190" i="58"/>
  <c r="H190" i="58"/>
  <c r="D189" i="58"/>
  <c r="D188" i="58"/>
  <c r="H188" i="58" s="1"/>
  <c r="D187" i="58"/>
  <c r="H187" i="58"/>
  <c r="D186" i="58"/>
  <c r="H88" i="58"/>
  <c r="H87" i="58"/>
  <c r="G107" i="58"/>
  <c r="G106" i="58"/>
  <c r="G105" i="58"/>
  <c r="G104" i="58"/>
  <c r="G103" i="58"/>
  <c r="G102" i="58"/>
  <c r="H100" i="58"/>
  <c r="H99" i="58"/>
  <c r="G97" i="58"/>
  <c r="F96" i="58"/>
  <c r="C96" i="58"/>
  <c r="G96" i="58" s="1"/>
  <c r="F95" i="58"/>
  <c r="G95" i="58"/>
  <c r="G114" i="58" s="1"/>
  <c r="F94" i="58"/>
  <c r="G94" i="58" s="1"/>
  <c r="F93" i="58"/>
  <c r="G93" i="58" s="1"/>
  <c r="F92" i="58"/>
  <c r="G92" i="58" s="1"/>
  <c r="H90" i="58"/>
  <c r="H89" i="58"/>
  <c r="H22" i="58"/>
  <c r="H21" i="58"/>
  <c r="G17" i="58"/>
  <c r="H15" i="58"/>
  <c r="H11" i="58"/>
  <c r="G14" i="58"/>
  <c r="G13" i="58"/>
  <c r="G18" i="58" s="1"/>
  <c r="H10" i="58"/>
  <c r="H18" i="58" s="1"/>
  <c r="I18" i="58" s="1"/>
  <c r="D7" i="59" s="1"/>
  <c r="D6" i="59" s="1"/>
  <c r="D22" i="59" s="1"/>
  <c r="D89" i="13"/>
  <c r="D90" i="13"/>
  <c r="E56" i="13"/>
  <c r="E63" i="13" s="1"/>
  <c r="E89" i="13" s="1"/>
  <c r="F434" i="7"/>
  <c r="F548" i="7"/>
  <c r="E548" i="7"/>
  <c r="E434" i="7" s="1"/>
  <c r="B430" i="7"/>
  <c r="B429" i="7"/>
  <c r="F547" i="7"/>
  <c r="E547" i="7"/>
  <c r="F467" i="7"/>
  <c r="E24" i="13"/>
  <c r="O12" i="7"/>
  <c r="M163" i="13"/>
  <c r="M162" i="13"/>
  <c r="M161" i="13"/>
  <c r="M164" i="13" s="1"/>
  <c r="M160" i="13"/>
  <c r="M159" i="13"/>
  <c r="F562" i="7"/>
  <c r="E562" i="7"/>
  <c r="E470" i="7" s="1"/>
  <c r="G470" i="7" s="1"/>
  <c r="J455" i="7" s="1"/>
  <c r="F561" i="7"/>
  <c r="E561" i="7"/>
  <c r="E189" i="7"/>
  <c r="F560" i="7"/>
  <c r="E560" i="7"/>
  <c r="F559" i="7"/>
  <c r="E559" i="7"/>
  <c r="E75" i="7"/>
  <c r="E312" i="7"/>
  <c r="F558" i="7"/>
  <c r="E558" i="7"/>
  <c r="F557" i="7"/>
  <c r="E557" i="7"/>
  <c r="F554" i="7"/>
  <c r="F553" i="7"/>
  <c r="F552" i="7"/>
  <c r="F551" i="7"/>
  <c r="F550" i="7"/>
  <c r="F549" i="7"/>
  <c r="F546" i="7"/>
  <c r="F545" i="7"/>
  <c r="F543" i="7"/>
  <c r="F542" i="7"/>
  <c r="F541" i="7"/>
  <c r="F540" i="7"/>
  <c r="F538" i="7"/>
  <c r="F537" i="7"/>
  <c r="F536" i="7"/>
  <c r="F535" i="7"/>
  <c r="F533" i="7"/>
  <c r="F532" i="7"/>
  <c r="F531" i="7"/>
  <c r="F530" i="7"/>
  <c r="F529" i="7"/>
  <c r="F528" i="7"/>
  <c r="F527" i="7"/>
  <c r="F526" i="7"/>
  <c r="E554" i="7"/>
  <c r="E513" i="7" s="1"/>
  <c r="G513" i="7" s="1"/>
  <c r="E553" i="7"/>
  <c r="E512" i="7" s="1"/>
  <c r="G512" i="7" s="1"/>
  <c r="E552" i="7"/>
  <c r="E551" i="7"/>
  <c r="E550" i="7"/>
  <c r="E436" i="7" s="1"/>
  <c r="E549" i="7"/>
  <c r="E435" i="7" s="1"/>
  <c r="E546" i="7"/>
  <c r="E466" i="7" s="1"/>
  <c r="E545" i="7"/>
  <c r="E543" i="7"/>
  <c r="E464" i="7"/>
  <c r="E542" i="7"/>
  <c r="E463" i="7" s="1"/>
  <c r="E541" i="7"/>
  <c r="E538" i="7"/>
  <c r="E246" i="7" s="1"/>
  <c r="E537" i="7"/>
  <c r="E348" i="7" s="1"/>
  <c r="E536" i="7"/>
  <c r="E142" i="7"/>
  <c r="E535" i="7"/>
  <c r="E422" i="7" s="1"/>
  <c r="E532" i="7"/>
  <c r="E13" i="7" s="1"/>
  <c r="E531" i="7"/>
  <c r="E411" i="7"/>
  <c r="E530" i="7"/>
  <c r="E84" i="7"/>
  <c r="E529" i="7"/>
  <c r="E25" i="7"/>
  <c r="E528" i="7"/>
  <c r="E185" i="7" s="1"/>
  <c r="E527" i="7"/>
  <c r="E370" i="7" s="1"/>
  <c r="E526" i="7"/>
  <c r="E268" i="7" s="1"/>
  <c r="F525" i="7"/>
  <c r="E525" i="7"/>
  <c r="C17" i="44"/>
  <c r="C10" i="44"/>
  <c r="E533" i="7" s="1"/>
  <c r="E206" i="7" s="1"/>
  <c r="E21" i="39"/>
  <c r="F21" i="39"/>
  <c r="E20" i="39"/>
  <c r="F20" i="39"/>
  <c r="E19" i="39"/>
  <c r="F19" i="39" s="1"/>
  <c r="E18" i="39"/>
  <c r="F18" i="39"/>
  <c r="H18" i="39" s="1"/>
  <c r="E17" i="39"/>
  <c r="F17" i="39"/>
  <c r="E16" i="39"/>
  <c r="F16" i="39"/>
  <c r="H16" i="39" s="1"/>
  <c r="E15" i="39"/>
  <c r="F15" i="39" s="1"/>
  <c r="E14" i="39"/>
  <c r="F14" i="39"/>
  <c r="E13" i="39"/>
  <c r="E12" i="39"/>
  <c r="D12" i="39"/>
  <c r="E11" i="39"/>
  <c r="F11" i="39" s="1"/>
  <c r="E10" i="39"/>
  <c r="F10" i="39"/>
  <c r="E9" i="39"/>
  <c r="F9" i="39"/>
  <c r="E8" i="39"/>
  <c r="F8" i="39" s="1"/>
  <c r="H8" i="39" s="1"/>
  <c r="E7" i="39"/>
  <c r="F7" i="39" s="1"/>
  <c r="E6" i="39"/>
  <c r="F6" i="39"/>
  <c r="E5" i="39"/>
  <c r="F5" i="39" s="1"/>
  <c r="H5" i="39" s="1"/>
  <c r="E4" i="39"/>
  <c r="F4" i="39" s="1"/>
  <c r="H4" i="39" s="1"/>
  <c r="G74" i="13"/>
  <c r="G92" i="13" s="1"/>
  <c r="G138" i="13"/>
  <c r="I138" i="13"/>
  <c r="G137" i="13"/>
  <c r="G178" i="13" s="1"/>
  <c r="E179" i="13" s="1"/>
  <c r="G136" i="13"/>
  <c r="G135" i="13"/>
  <c r="G152" i="13" s="1"/>
  <c r="F1034" i="13"/>
  <c r="F1035" i="13" s="1"/>
  <c r="F1036" i="13" s="1"/>
  <c r="F1037" i="13"/>
  <c r="F1038" i="13"/>
  <c r="B1038" i="13"/>
  <c r="B1037" i="13"/>
  <c r="B1036" i="13"/>
  <c r="B1035" i="13"/>
  <c r="B1034" i="13"/>
  <c r="G1057" i="13"/>
  <c r="F1056" i="13"/>
  <c r="I1056" i="13"/>
  <c r="E1057" i="13"/>
  <c r="E906" i="13"/>
  <c r="E970" i="13" s="1"/>
  <c r="E971" i="13" s="1"/>
  <c r="H971" i="13" s="1"/>
  <c r="E905" i="13"/>
  <c r="E968" i="13" s="1"/>
  <c r="E969" i="13" s="1"/>
  <c r="E904" i="13"/>
  <c r="E903" i="13"/>
  <c r="E902" i="13"/>
  <c r="E925" i="13" s="1"/>
  <c r="E901" i="13"/>
  <c r="E924" i="13" s="1"/>
  <c r="B970" i="13"/>
  <c r="B968" i="13"/>
  <c r="B966" i="13"/>
  <c r="B964" i="13"/>
  <c r="B962" i="13"/>
  <c r="G960" i="13"/>
  <c r="B960" i="13"/>
  <c r="B959" i="13"/>
  <c r="B929" i="13"/>
  <c r="B928" i="13"/>
  <c r="B927" i="13"/>
  <c r="B926" i="13"/>
  <c r="B925" i="13"/>
  <c r="B924" i="13"/>
  <c r="B923" i="13"/>
  <c r="G902" i="13"/>
  <c r="I902" i="13" s="1"/>
  <c r="F901" i="13"/>
  <c r="F902" i="13" s="1"/>
  <c r="F903" i="13" s="1"/>
  <c r="F962" i="13"/>
  <c r="D906" i="13"/>
  <c r="D905" i="13"/>
  <c r="D903" i="13"/>
  <c r="D926" i="13"/>
  <c r="D902" i="13"/>
  <c r="D962" i="13" s="1"/>
  <c r="D901" i="13"/>
  <c r="F245" i="7"/>
  <c r="F14" i="7"/>
  <c r="F13" i="7"/>
  <c r="F250" i="7"/>
  <c r="F249" i="7"/>
  <c r="F247" i="7"/>
  <c r="F246" i="7"/>
  <c r="F244" i="7"/>
  <c r="F261" i="7"/>
  <c r="F260" i="7"/>
  <c r="F258" i="7"/>
  <c r="F257" i="7"/>
  <c r="F256" i="7"/>
  <c r="J655" i="13"/>
  <c r="J657" i="13"/>
  <c r="J568" i="13"/>
  <c r="I568" i="13"/>
  <c r="H568" i="13"/>
  <c r="C242" i="7"/>
  <c r="C254" i="7" s="1"/>
  <c r="C240" i="7"/>
  <c r="C253" i="7"/>
  <c r="J430" i="13"/>
  <c r="J429" i="13"/>
  <c r="H430" i="13"/>
  <c r="I430" i="13"/>
  <c r="A1" i="28"/>
  <c r="A1" i="7"/>
  <c r="D1013" i="13"/>
  <c r="D439" i="7"/>
  <c r="F439" i="7"/>
  <c r="C432" i="7"/>
  <c r="J1011" i="13"/>
  <c r="C431" i="7" s="1"/>
  <c r="F1012" i="13"/>
  <c r="I1012" i="13" s="1"/>
  <c r="J1012" i="13" s="1"/>
  <c r="D432" i="7" s="1"/>
  <c r="E1011" i="13"/>
  <c r="F442" i="7"/>
  <c r="F441" i="7"/>
  <c r="F436" i="7"/>
  <c r="F438" i="7"/>
  <c r="F437" i="7"/>
  <c r="F435" i="7"/>
  <c r="C428" i="7"/>
  <c r="B428" i="7"/>
  <c r="A428" i="7"/>
  <c r="E1008" i="13"/>
  <c r="I1008" i="13" s="1"/>
  <c r="E1007" i="13"/>
  <c r="I1007" i="13"/>
  <c r="E1004" i="13"/>
  <c r="I1004" i="13" s="1"/>
  <c r="J1005" i="13" s="1"/>
  <c r="D177" i="58" s="1"/>
  <c r="D429" i="7"/>
  <c r="D434" i="7"/>
  <c r="G434" i="7" s="1"/>
  <c r="F479" i="7"/>
  <c r="C477" i="7"/>
  <c r="B477" i="7"/>
  <c r="F474" i="7"/>
  <c r="M520" i="13"/>
  <c r="I832" i="13"/>
  <c r="I831" i="13"/>
  <c r="I827" i="13"/>
  <c r="E826" i="13"/>
  <c r="I826" i="13" s="1"/>
  <c r="G1211" i="13"/>
  <c r="E1211" i="13"/>
  <c r="I1211" i="13" s="1"/>
  <c r="J1212" i="13" s="1"/>
  <c r="D510" i="7" s="1"/>
  <c r="H1206" i="13"/>
  <c r="I1203" i="13"/>
  <c r="I1202" i="13"/>
  <c r="I1200" i="13"/>
  <c r="G1185" i="13"/>
  <c r="I1185" i="13"/>
  <c r="I1199" i="13"/>
  <c r="G1184" i="13"/>
  <c r="D1184" i="13"/>
  <c r="I1184" i="13"/>
  <c r="F466" i="7"/>
  <c r="F465" i="7"/>
  <c r="F464" i="7"/>
  <c r="F463" i="7"/>
  <c r="F470" i="7"/>
  <c r="D470" i="7"/>
  <c r="F462" i="7"/>
  <c r="G1131" i="13"/>
  <c r="I1131" i="13" s="1"/>
  <c r="I1120" i="13"/>
  <c r="I1105" i="13"/>
  <c r="D1104" i="13"/>
  <c r="D1103" i="13"/>
  <c r="I1103" i="13" s="1"/>
  <c r="D1102" i="13"/>
  <c r="I1102" i="13"/>
  <c r="E1104" i="13"/>
  <c r="I1104" i="13" s="1"/>
  <c r="I1117" i="13"/>
  <c r="I1116" i="13"/>
  <c r="C460" i="7"/>
  <c r="B460" i="7"/>
  <c r="C459" i="7"/>
  <c r="B459" i="7"/>
  <c r="B458" i="7"/>
  <c r="B457" i="7"/>
  <c r="B456" i="7"/>
  <c r="B455" i="7"/>
  <c r="A455" i="7"/>
  <c r="G1134" i="13"/>
  <c r="I1134" i="13" s="1"/>
  <c r="I1139" i="13"/>
  <c r="I1143" i="13"/>
  <c r="I1142" i="13"/>
  <c r="I1141" i="13"/>
  <c r="I1140" i="13"/>
  <c r="I1138" i="13"/>
  <c r="E1137" i="13"/>
  <c r="I1137" i="13" s="1"/>
  <c r="I1144" i="13" s="1"/>
  <c r="D460" i="7" s="1"/>
  <c r="D466" i="7" s="1"/>
  <c r="G466" i="7" s="1"/>
  <c r="I1130" i="13"/>
  <c r="D1119" i="13"/>
  <c r="I1119" i="13"/>
  <c r="G1133" i="13"/>
  <c r="I1133" i="13" s="1"/>
  <c r="E1132" i="13"/>
  <c r="I1132" i="13"/>
  <c r="E1131" i="13"/>
  <c r="E1129" i="13"/>
  <c r="I1129" i="13"/>
  <c r="E1126" i="13"/>
  <c r="D1126" i="13"/>
  <c r="K1107" i="13"/>
  <c r="I1114" i="13"/>
  <c r="D1118" i="13"/>
  <c r="I1118" i="13" s="1"/>
  <c r="E1115" i="13"/>
  <c r="D1115" i="13"/>
  <c r="I1115" i="13" s="1"/>
  <c r="I1122" i="13" s="1"/>
  <c r="E1113" i="13"/>
  <c r="D1113" i="13"/>
  <c r="I1113" i="13" s="1"/>
  <c r="D1098" i="13"/>
  <c r="I1098" i="13" s="1"/>
  <c r="D1097" i="13"/>
  <c r="I1097" i="13" s="1"/>
  <c r="D1096" i="13"/>
  <c r="I1096" i="13"/>
  <c r="D1092" i="13"/>
  <c r="I1092" i="13" s="1"/>
  <c r="E1091" i="13"/>
  <c r="D1091" i="13"/>
  <c r="D1090" i="13"/>
  <c r="I1090" i="13"/>
  <c r="D1087" i="13"/>
  <c r="I1087" i="13"/>
  <c r="D1086" i="13"/>
  <c r="I1086" i="13"/>
  <c r="E1085" i="13"/>
  <c r="I1085" i="13" s="1"/>
  <c r="E1084" i="13"/>
  <c r="D1084" i="13"/>
  <c r="D1083" i="13"/>
  <c r="I1083" i="13" s="1"/>
  <c r="D1082" i="13"/>
  <c r="I1082" i="13"/>
  <c r="E1081" i="13"/>
  <c r="D1081" i="13"/>
  <c r="D1080" i="13"/>
  <c r="I1080" i="13"/>
  <c r="D1079" i="13"/>
  <c r="I1079" i="13" s="1"/>
  <c r="I1075" i="13"/>
  <c r="I1074" i="13"/>
  <c r="I1070" i="13"/>
  <c r="D1076" i="13"/>
  <c r="I1076" i="13" s="1"/>
  <c r="D1073" i="13"/>
  <c r="I1073" i="13" s="1"/>
  <c r="D1072" i="13"/>
  <c r="I1072" i="13"/>
  <c r="D1071" i="13"/>
  <c r="I1071" i="13" s="1"/>
  <c r="E1069" i="13"/>
  <c r="D1069" i="13"/>
  <c r="D1068" i="13"/>
  <c r="I1068" i="13" s="1"/>
  <c r="D1067" i="13"/>
  <c r="I1067" i="13"/>
  <c r="M381" i="13"/>
  <c r="E381" i="13"/>
  <c r="E380" i="13"/>
  <c r="E379" i="13"/>
  <c r="M378" i="13"/>
  <c r="M374" i="13"/>
  <c r="E374" i="13"/>
  <c r="E373" i="13"/>
  <c r="E372" i="13"/>
  <c r="M371" i="13"/>
  <c r="M367" i="13"/>
  <c r="E367" i="13"/>
  <c r="E366" i="13"/>
  <c r="E365" i="13"/>
  <c r="M364" i="13"/>
  <c r="E377" i="13"/>
  <c r="D377" i="13"/>
  <c r="B377" i="13"/>
  <c r="E370" i="13"/>
  <c r="D375" i="13" s="1"/>
  <c r="D370" i="13"/>
  <c r="D373" i="13"/>
  <c r="B370" i="13"/>
  <c r="E363" i="13"/>
  <c r="D363" i="13"/>
  <c r="B363" i="13"/>
  <c r="G1154" i="13"/>
  <c r="F1154" i="13"/>
  <c r="F1153" i="13"/>
  <c r="E1154" i="13"/>
  <c r="E1153" i="13"/>
  <c r="D1154" i="13"/>
  <c r="D1153" i="13"/>
  <c r="E1050" i="13"/>
  <c r="I1050" i="13" s="1"/>
  <c r="G1048" i="13"/>
  <c r="H1048" i="13" s="1"/>
  <c r="E1048" i="13"/>
  <c r="D1048" i="13"/>
  <c r="B1048" i="13"/>
  <c r="E1045" i="13"/>
  <c r="D1045" i="13"/>
  <c r="H1045" i="13" s="1"/>
  <c r="E1044" i="13"/>
  <c r="D1044" i="13"/>
  <c r="E1043" i="13"/>
  <c r="D1043" i="13"/>
  <c r="G1032" i="13"/>
  <c r="E1032" i="13"/>
  <c r="G1031" i="13"/>
  <c r="E1031" i="13"/>
  <c r="G1030" i="13"/>
  <c r="E1030" i="13"/>
  <c r="G1029" i="13"/>
  <c r="E1029" i="13"/>
  <c r="G1028" i="13"/>
  <c r="E1028" i="13"/>
  <c r="G1027" i="13"/>
  <c r="E1027" i="13"/>
  <c r="D1032" i="13"/>
  <c r="D1038" i="13"/>
  <c r="D1031" i="13"/>
  <c r="H1031" i="13" s="1"/>
  <c r="D1030" i="13"/>
  <c r="D1036" i="13"/>
  <c r="D1029" i="13"/>
  <c r="D1035" i="13"/>
  <c r="D1028" i="13"/>
  <c r="D1034" i="13" s="1"/>
  <c r="D1027" i="13"/>
  <c r="G1025" i="13"/>
  <c r="E1025" i="13"/>
  <c r="D1025" i="13"/>
  <c r="E1024" i="13"/>
  <c r="H1024" i="13" s="1"/>
  <c r="E1023" i="13"/>
  <c r="H1023" i="13" s="1"/>
  <c r="D1023" i="13"/>
  <c r="E1022" i="13"/>
  <c r="D1022" i="13"/>
  <c r="E1021" i="13"/>
  <c r="D1021" i="13"/>
  <c r="B994" i="13"/>
  <c r="B982" i="13"/>
  <c r="B937" i="13"/>
  <c r="B934" i="13"/>
  <c r="F914" i="13"/>
  <c r="F994" i="13"/>
  <c r="E914" i="13"/>
  <c r="D914" i="13"/>
  <c r="F911" i="13"/>
  <c r="F982" i="13"/>
  <c r="E911" i="13"/>
  <c r="D911" i="13"/>
  <c r="F394" i="7"/>
  <c r="F393" i="7"/>
  <c r="F391" i="7"/>
  <c r="F390" i="7"/>
  <c r="F389" i="7"/>
  <c r="F388" i="7"/>
  <c r="F384" i="7"/>
  <c r="F383" i="7"/>
  <c r="F381" i="7"/>
  <c r="F380" i="7"/>
  <c r="F379" i="7"/>
  <c r="F378" i="7"/>
  <c r="C386" i="7"/>
  <c r="C376" i="7"/>
  <c r="B386" i="7"/>
  <c r="B376" i="7"/>
  <c r="G885" i="13"/>
  <c r="G914" i="13" s="1"/>
  <c r="F885" i="13"/>
  <c r="H881" i="13"/>
  <c r="G877" i="13"/>
  <c r="I877" i="13" s="1"/>
  <c r="G876" i="13"/>
  <c r="I876" i="13"/>
  <c r="G875" i="13"/>
  <c r="E875" i="13"/>
  <c r="I875" i="13" s="1"/>
  <c r="G874" i="13"/>
  <c r="G873" i="13"/>
  <c r="E874" i="13"/>
  <c r="E873" i="13"/>
  <c r="I873" i="13" s="1"/>
  <c r="E872" i="13"/>
  <c r="G867" i="13"/>
  <c r="F867" i="13"/>
  <c r="G863" i="13"/>
  <c r="G1045" i="13" s="1"/>
  <c r="H863" i="13"/>
  <c r="G862" i="13"/>
  <c r="G861" i="13"/>
  <c r="G858" i="13"/>
  <c r="E858" i="13"/>
  <c r="I858" i="13" s="1"/>
  <c r="G857" i="13"/>
  <c r="E857" i="13"/>
  <c r="G856" i="13"/>
  <c r="E856" i="13"/>
  <c r="I855" i="13"/>
  <c r="G854" i="13"/>
  <c r="I854" i="13"/>
  <c r="G852" i="13"/>
  <c r="I852" i="13" s="1"/>
  <c r="G850" i="13"/>
  <c r="G851" i="13"/>
  <c r="I851" i="13" s="1"/>
  <c r="E850" i="13"/>
  <c r="F374" i="7"/>
  <c r="F373" i="7"/>
  <c r="F371" i="7"/>
  <c r="F370" i="7"/>
  <c r="F369" i="7"/>
  <c r="F368" i="7"/>
  <c r="C366" i="7"/>
  <c r="B366" i="7"/>
  <c r="B356" i="7"/>
  <c r="H840" i="13"/>
  <c r="H839" i="13"/>
  <c r="H838" i="13"/>
  <c r="H837" i="13"/>
  <c r="H835" i="13"/>
  <c r="H818" i="13"/>
  <c r="D817" i="13"/>
  <c r="D1024" i="13" s="1"/>
  <c r="E830" i="13"/>
  <c r="E829" i="13"/>
  <c r="E828" i="13"/>
  <c r="G826" i="13"/>
  <c r="G817" i="13"/>
  <c r="G1024" i="13" s="1"/>
  <c r="G816" i="13"/>
  <c r="G815" i="13"/>
  <c r="G814" i="13"/>
  <c r="G813" i="13"/>
  <c r="L816" i="13"/>
  <c r="M815" i="13"/>
  <c r="L815" i="13"/>
  <c r="E809" i="13"/>
  <c r="E808" i="13"/>
  <c r="E807" i="13"/>
  <c r="G806" i="13"/>
  <c r="E806" i="13"/>
  <c r="F353" i="7"/>
  <c r="F352" i="7"/>
  <c r="F350" i="7"/>
  <c r="F349" i="7"/>
  <c r="F348" i="7"/>
  <c r="F347" i="7"/>
  <c r="F340" i="7"/>
  <c r="F339" i="7"/>
  <c r="F337" i="7"/>
  <c r="F336" i="7"/>
  <c r="F335" i="7"/>
  <c r="F331" i="7"/>
  <c r="F330" i="7"/>
  <c r="F329" i="7"/>
  <c r="F327" i="7"/>
  <c r="F326" i="7"/>
  <c r="F325" i="7"/>
  <c r="F324" i="7"/>
  <c r="B342" i="7"/>
  <c r="C333" i="7"/>
  <c r="B333" i="7"/>
  <c r="C322" i="7"/>
  <c r="B322" i="7"/>
  <c r="A322" i="7"/>
  <c r="J800" i="13"/>
  <c r="B345" i="7"/>
  <c r="I800" i="13"/>
  <c r="B344" i="7" s="1"/>
  <c r="H800" i="13"/>
  <c r="B343" i="7"/>
  <c r="F791" i="13"/>
  <c r="E792" i="13" s="1"/>
  <c r="E782" i="13"/>
  <c r="D786" i="13"/>
  <c r="G795" i="13"/>
  <c r="F795" i="13"/>
  <c r="E795" i="13"/>
  <c r="D795" i="13"/>
  <c r="D797" i="13"/>
  <c r="B795" i="13"/>
  <c r="D791" i="13"/>
  <c r="G791" i="13"/>
  <c r="E791" i="13"/>
  <c r="E793" i="13"/>
  <c r="B791" i="13"/>
  <c r="G781" i="13"/>
  <c r="G786" i="13"/>
  <c r="F781" i="13"/>
  <c r="E781" i="13"/>
  <c r="D784" i="13"/>
  <c r="F777" i="13"/>
  <c r="E777" i="13"/>
  <c r="D777" i="13"/>
  <c r="F774" i="13"/>
  <c r="E774" i="13"/>
  <c r="D774" i="13"/>
  <c r="F773" i="13"/>
  <c r="E773" i="13"/>
  <c r="E776" i="13" s="1"/>
  <c r="D773" i="13"/>
  <c r="I769" i="13"/>
  <c r="I767" i="13"/>
  <c r="I766" i="13"/>
  <c r="G768" i="13"/>
  <c r="I768" i="13" s="1"/>
  <c r="E768" i="13"/>
  <c r="E775" i="13"/>
  <c r="F320" i="7"/>
  <c r="F319" i="7"/>
  <c r="F317" i="7"/>
  <c r="F316" i="7"/>
  <c r="B314" i="7"/>
  <c r="B307" i="7"/>
  <c r="H761" i="13"/>
  <c r="E754" i="13"/>
  <c r="F745" i="13"/>
  <c r="E746" i="13" s="1"/>
  <c r="D745" i="13"/>
  <c r="F735" i="13"/>
  <c r="E743" i="13"/>
  <c r="E741" i="13"/>
  <c r="E739" i="13"/>
  <c r="E737" i="13"/>
  <c r="E733" i="13"/>
  <c r="E731" i="13"/>
  <c r="E729" i="13"/>
  <c r="E728" i="13"/>
  <c r="E727" i="13"/>
  <c r="E718" i="13"/>
  <c r="E723" i="13"/>
  <c r="E721" i="13"/>
  <c r="E719" i="13"/>
  <c r="E717" i="13"/>
  <c r="G735" i="13"/>
  <c r="E735" i="13"/>
  <c r="E742" i="13" s="1"/>
  <c r="D735" i="13"/>
  <c r="B735" i="13"/>
  <c r="G725" i="13"/>
  <c r="F725" i="13"/>
  <c r="E726" i="13" s="1"/>
  <c r="E725" i="13"/>
  <c r="D725" i="13"/>
  <c r="B725" i="13"/>
  <c r="G715" i="13"/>
  <c r="F715" i="13"/>
  <c r="E715" i="13"/>
  <c r="E722" i="13" s="1"/>
  <c r="D715" i="13"/>
  <c r="B715" i="13"/>
  <c r="F304" i="7"/>
  <c r="F303" i="7"/>
  <c r="F301" i="7"/>
  <c r="F300" i="7"/>
  <c r="F299" i="7"/>
  <c r="H699" i="13"/>
  <c r="F694" i="13"/>
  <c r="G695" i="13"/>
  <c r="E693" i="13"/>
  <c r="F692" i="13"/>
  <c r="D692" i="13"/>
  <c r="F691" i="13"/>
  <c r="D691" i="13"/>
  <c r="D690" i="13"/>
  <c r="F285" i="7"/>
  <c r="F284" i="7"/>
  <c r="F283" i="7"/>
  <c r="F281" i="7"/>
  <c r="F280" i="7"/>
  <c r="F279" i="7"/>
  <c r="F278" i="7"/>
  <c r="B276" i="7"/>
  <c r="B265" i="7"/>
  <c r="H678" i="13"/>
  <c r="G677" i="13"/>
  <c r="F677" i="13"/>
  <c r="F752" i="13"/>
  <c r="E753" i="13" s="1"/>
  <c r="E677" i="13"/>
  <c r="E752" i="13" s="1"/>
  <c r="G674" i="13"/>
  <c r="E674" i="13"/>
  <c r="I666" i="13"/>
  <c r="F671" i="13"/>
  <c r="F690" i="13"/>
  <c r="B673" i="13"/>
  <c r="B692" i="13"/>
  <c r="B672" i="13"/>
  <c r="B691" i="13" s="1"/>
  <c r="B671" i="13"/>
  <c r="B690" i="13" s="1"/>
  <c r="I665" i="13"/>
  <c r="I664" i="13"/>
  <c r="F663" i="13"/>
  <c r="F685" i="13"/>
  <c r="E663" i="13"/>
  <c r="F226" i="7"/>
  <c r="F225" i="7"/>
  <c r="F223" i="7"/>
  <c r="F222" i="7"/>
  <c r="F221" i="7"/>
  <c r="F218" i="7"/>
  <c r="F217" i="7"/>
  <c r="F215" i="7"/>
  <c r="F214" i="7"/>
  <c r="F213" i="7"/>
  <c r="F168" i="7"/>
  <c r="F167" i="7"/>
  <c r="F165" i="7"/>
  <c r="F164" i="7"/>
  <c r="F163" i="7"/>
  <c r="F157" i="7"/>
  <c r="F156" i="7"/>
  <c r="F154" i="7"/>
  <c r="F153" i="7"/>
  <c r="F152" i="7"/>
  <c r="C160" i="7"/>
  <c r="C161" i="7"/>
  <c r="C149" i="7"/>
  <c r="C150" i="7"/>
  <c r="F134" i="7"/>
  <c r="F133" i="7"/>
  <c r="F131" i="7"/>
  <c r="F130" i="7"/>
  <c r="F129" i="7"/>
  <c r="F125" i="7"/>
  <c r="F124" i="7"/>
  <c r="F122" i="7"/>
  <c r="F121" i="7"/>
  <c r="F120" i="7"/>
  <c r="J656" i="13"/>
  <c r="E652" i="13"/>
  <c r="E651" i="13"/>
  <c r="H651" i="13" s="1"/>
  <c r="E650" i="13"/>
  <c r="E645" i="13"/>
  <c r="E644" i="13"/>
  <c r="E643" i="13"/>
  <c r="E639" i="13"/>
  <c r="E638" i="13"/>
  <c r="E637" i="13"/>
  <c r="E632" i="13"/>
  <c r="E631" i="13"/>
  <c r="E630" i="13"/>
  <c r="E623" i="13"/>
  <c r="E622" i="13"/>
  <c r="E621" i="13"/>
  <c r="E617" i="13"/>
  <c r="E616" i="13"/>
  <c r="E615" i="13"/>
  <c r="E611" i="13"/>
  <c r="H611" i="13" s="1"/>
  <c r="E610" i="13"/>
  <c r="E609" i="13"/>
  <c r="E604" i="13"/>
  <c r="E603" i="13"/>
  <c r="E602" i="13"/>
  <c r="E598" i="13"/>
  <c r="E597" i="13"/>
  <c r="E596" i="13"/>
  <c r="E592" i="13"/>
  <c r="E591" i="13"/>
  <c r="E590" i="13"/>
  <c r="G648" i="13"/>
  <c r="F648" i="13"/>
  <c r="D648" i="13"/>
  <c r="B648" i="13"/>
  <c r="B647" i="13"/>
  <c r="G641" i="13"/>
  <c r="F641" i="13"/>
  <c r="E646" i="13" s="1"/>
  <c r="E641" i="13"/>
  <c r="D641" i="13"/>
  <c r="B641" i="13"/>
  <c r="G635" i="13"/>
  <c r="C640" i="13" s="1"/>
  <c r="F635" i="13"/>
  <c r="E635" i="13"/>
  <c r="D635" i="13"/>
  <c r="D640" i="13" s="1"/>
  <c r="B635" i="13"/>
  <c r="B634" i="13"/>
  <c r="B627" i="13"/>
  <c r="D619" i="13"/>
  <c r="D622" i="13"/>
  <c r="B619" i="13"/>
  <c r="E613" i="13"/>
  <c r="D613" i="13"/>
  <c r="B613" i="13"/>
  <c r="D607" i="13"/>
  <c r="B607" i="13"/>
  <c r="B606" i="13"/>
  <c r="E600" i="13"/>
  <c r="D600" i="13"/>
  <c r="D603" i="13" s="1"/>
  <c r="B600" i="13"/>
  <c r="D594" i="13"/>
  <c r="B594" i="13"/>
  <c r="D588" i="13"/>
  <c r="D589" i="13"/>
  <c r="B588" i="13"/>
  <c r="B587" i="13"/>
  <c r="B573" i="13"/>
  <c r="E565" i="13"/>
  <c r="E564" i="13"/>
  <c r="H564" i="13" s="1"/>
  <c r="E563" i="13"/>
  <c r="E562" i="13"/>
  <c r="E561" i="13"/>
  <c r="G559" i="13"/>
  <c r="F559" i="13"/>
  <c r="D559" i="13"/>
  <c r="D562" i="13" s="1"/>
  <c r="D565" i="13"/>
  <c r="B559" i="13"/>
  <c r="B558" i="13"/>
  <c r="E555" i="13"/>
  <c r="E554" i="13"/>
  <c r="E553" i="13"/>
  <c r="G551" i="13"/>
  <c r="E552" i="13" s="1"/>
  <c r="F551" i="13"/>
  <c r="D551" i="13"/>
  <c r="D552" i="13"/>
  <c r="B551" i="13"/>
  <c r="B550" i="13"/>
  <c r="E547" i="13"/>
  <c r="E546" i="13"/>
  <c r="E545" i="13"/>
  <c r="G543" i="13"/>
  <c r="C548" i="13" s="1"/>
  <c r="F543" i="13"/>
  <c r="D543" i="13"/>
  <c r="D546" i="13"/>
  <c r="B543" i="13"/>
  <c r="B542" i="13"/>
  <c r="E539" i="13"/>
  <c r="E538" i="13"/>
  <c r="D539" i="13" s="1"/>
  <c r="E537" i="13"/>
  <c r="E532" i="13"/>
  <c r="E531" i="13"/>
  <c r="E530" i="13"/>
  <c r="E525" i="13"/>
  <c r="E524" i="13"/>
  <c r="E523" i="13"/>
  <c r="E518" i="13"/>
  <c r="E517" i="13"/>
  <c r="E516" i="13"/>
  <c r="E511" i="13"/>
  <c r="E510" i="13"/>
  <c r="E509" i="13"/>
  <c r="E535" i="13"/>
  <c r="D535" i="13"/>
  <c r="D538" i="13" s="1"/>
  <c r="B535" i="13"/>
  <c r="D528" i="13"/>
  <c r="B528" i="13"/>
  <c r="E521" i="13"/>
  <c r="D526" i="13" s="1"/>
  <c r="D521" i="13"/>
  <c r="D524" i="13" s="1"/>
  <c r="B521" i="13"/>
  <c r="D514" i="13"/>
  <c r="B514" i="13"/>
  <c r="D507" i="13"/>
  <c r="D510" i="13" s="1"/>
  <c r="D508" i="13"/>
  <c r="B507" i="13"/>
  <c r="E496" i="13"/>
  <c r="E495" i="13"/>
  <c r="E494" i="13"/>
  <c r="E489" i="13"/>
  <c r="E488" i="13"/>
  <c r="E487" i="13"/>
  <c r="E474" i="13"/>
  <c r="E473" i="13"/>
  <c r="E472" i="13"/>
  <c r="E467" i="13"/>
  <c r="E466" i="13"/>
  <c r="E465" i="13"/>
  <c r="E460" i="13"/>
  <c r="E459" i="13"/>
  <c r="E458" i="13"/>
  <c r="E453" i="13"/>
  <c r="E452" i="13"/>
  <c r="E451" i="13"/>
  <c r="E446" i="13"/>
  <c r="E445" i="13"/>
  <c r="E444" i="13"/>
  <c r="E427" i="13"/>
  <c r="E426" i="13"/>
  <c r="E424" i="13"/>
  <c r="E410" i="13"/>
  <c r="E409" i="13"/>
  <c r="E408" i="13"/>
  <c r="M395" i="13"/>
  <c r="E395" i="13"/>
  <c r="E394" i="13"/>
  <c r="E393" i="13"/>
  <c r="M392" i="13"/>
  <c r="M388" i="13"/>
  <c r="E388" i="13"/>
  <c r="E387" i="13"/>
  <c r="E386" i="13"/>
  <c r="M385" i="13"/>
  <c r="M360" i="13"/>
  <c r="E360" i="13"/>
  <c r="E359" i="13"/>
  <c r="E358" i="13"/>
  <c r="M357" i="13"/>
  <c r="M353" i="13"/>
  <c r="E353" i="13"/>
  <c r="E352" i="13"/>
  <c r="E351" i="13"/>
  <c r="M350" i="13"/>
  <c r="M346" i="13"/>
  <c r="E346" i="13"/>
  <c r="E345" i="13"/>
  <c r="E344" i="13"/>
  <c r="M343" i="13"/>
  <c r="D492" i="13"/>
  <c r="D493" i="13" s="1"/>
  <c r="B492" i="13"/>
  <c r="D485" i="13"/>
  <c r="B485" i="13"/>
  <c r="E470" i="13"/>
  <c r="D470" i="13"/>
  <c r="D471" i="13"/>
  <c r="B470" i="13"/>
  <c r="E463" i="13"/>
  <c r="D463" i="13"/>
  <c r="B463" i="13"/>
  <c r="E456" i="13"/>
  <c r="D456" i="13"/>
  <c r="D459" i="13"/>
  <c r="B456" i="13"/>
  <c r="D449" i="13"/>
  <c r="B449" i="13"/>
  <c r="D442" i="13"/>
  <c r="B442" i="13"/>
  <c r="E422" i="13"/>
  <c r="D422" i="13"/>
  <c r="D426" i="13"/>
  <c r="B422" i="13"/>
  <c r="E406" i="13"/>
  <c r="D406" i="13"/>
  <c r="D407" i="13" s="1"/>
  <c r="B406" i="13"/>
  <c r="E391" i="13"/>
  <c r="D391" i="13"/>
  <c r="D394" i="13" s="1"/>
  <c r="D392" i="13"/>
  <c r="B391" i="13"/>
  <c r="E384" i="13"/>
  <c r="D384" i="13"/>
  <c r="B384" i="13"/>
  <c r="E356" i="13"/>
  <c r="D356" i="13"/>
  <c r="B356" i="13"/>
  <c r="D349" i="13"/>
  <c r="D352" i="13" s="1"/>
  <c r="H352" i="13" s="1"/>
  <c r="B349" i="13"/>
  <c r="D342" i="13"/>
  <c r="B342" i="13"/>
  <c r="G325" i="13"/>
  <c r="G323" i="13"/>
  <c r="G321" i="13"/>
  <c r="B325" i="13"/>
  <c r="B323" i="13"/>
  <c r="B321" i="13"/>
  <c r="G315" i="13"/>
  <c r="E315" i="13"/>
  <c r="I315" i="13" s="1"/>
  <c r="G314" i="13"/>
  <c r="G313" i="13"/>
  <c r="G312" i="13"/>
  <c r="G311" i="13"/>
  <c r="G310" i="13"/>
  <c r="B314" i="13"/>
  <c r="B313" i="13"/>
  <c r="B312" i="13"/>
  <c r="B311" i="13"/>
  <c r="B310" i="13"/>
  <c r="G309" i="13"/>
  <c r="B309" i="13"/>
  <c r="G297" i="13"/>
  <c r="G299" i="13"/>
  <c r="G301" i="13"/>
  <c r="B301" i="13"/>
  <c r="B299" i="13"/>
  <c r="B297" i="13"/>
  <c r="E289" i="13"/>
  <c r="E290" i="13"/>
  <c r="E325" i="13" s="1"/>
  <c r="I325" i="13" s="1"/>
  <c r="I286" i="13"/>
  <c r="I285" i="13"/>
  <c r="E279" i="13"/>
  <c r="E619" i="13" s="1"/>
  <c r="E274" i="13"/>
  <c r="E594" i="13"/>
  <c r="E277" i="13"/>
  <c r="E607" i="13"/>
  <c r="D612" i="13" s="1"/>
  <c r="E273" i="13"/>
  <c r="E283" i="13"/>
  <c r="E287" i="13"/>
  <c r="E323" i="13" s="1"/>
  <c r="E263" i="13"/>
  <c r="E260" i="13"/>
  <c r="E551" i="13"/>
  <c r="D556" i="13" s="1"/>
  <c r="E257" i="13"/>
  <c r="E543" i="13" s="1"/>
  <c r="I257" i="13"/>
  <c r="E253" i="13"/>
  <c r="E528" i="13" s="1"/>
  <c r="G250" i="13"/>
  <c r="G507" i="13"/>
  <c r="F250" i="13"/>
  <c r="F507" i="13"/>
  <c r="E250" i="13"/>
  <c r="G251" i="13"/>
  <c r="G252" i="13" s="1"/>
  <c r="G521" i="13" s="1"/>
  <c r="F251" i="13"/>
  <c r="F252" i="13" s="1"/>
  <c r="E251" i="13"/>
  <c r="E514" i="13" s="1"/>
  <c r="E249" i="13"/>
  <c r="E246" i="13"/>
  <c r="E492" i="13" s="1"/>
  <c r="F245" i="13"/>
  <c r="E245" i="13"/>
  <c r="E238" i="13"/>
  <c r="E449" i="13"/>
  <c r="E237" i="13"/>
  <c r="E442" i="13" s="1"/>
  <c r="E236" i="13"/>
  <c r="E435" i="13"/>
  <c r="F231" i="13"/>
  <c r="F422" i="13" s="1"/>
  <c r="E230" i="13"/>
  <c r="E414" i="13"/>
  <c r="E417" i="13"/>
  <c r="E228" i="13"/>
  <c r="F227" i="13"/>
  <c r="E216" i="13"/>
  <c r="E217" i="13"/>
  <c r="E349" i="13" s="1"/>
  <c r="J204" i="13"/>
  <c r="B161" i="7" s="1"/>
  <c r="J207" i="13"/>
  <c r="B139" i="7"/>
  <c r="I204" i="13"/>
  <c r="B160" i="7" s="1"/>
  <c r="I207" i="13"/>
  <c r="B138" i="7"/>
  <c r="J197" i="13"/>
  <c r="B150" i="7" s="1"/>
  <c r="I197" i="13"/>
  <c r="B149" i="7"/>
  <c r="J186" i="13"/>
  <c r="I186" i="13"/>
  <c r="M196" i="13"/>
  <c r="M195" i="13"/>
  <c r="G194" i="13"/>
  <c r="D196" i="13" s="1"/>
  <c r="F194" i="13"/>
  <c r="E194" i="13"/>
  <c r="D194" i="13"/>
  <c r="D195" i="13" s="1"/>
  <c r="B194" i="13"/>
  <c r="M185" i="13"/>
  <c r="E184" i="13"/>
  <c r="M183" i="13"/>
  <c r="M181" i="13"/>
  <c r="E180" i="13"/>
  <c r="M179" i="13"/>
  <c r="M177" i="13"/>
  <c r="E176" i="13"/>
  <c r="M175" i="13"/>
  <c r="F182" i="13"/>
  <c r="E182" i="13"/>
  <c r="E185" i="13" s="1"/>
  <c r="D182" i="13"/>
  <c r="B182" i="13"/>
  <c r="D178" i="13"/>
  <c r="B178" i="13"/>
  <c r="D174" i="13"/>
  <c r="B174" i="13"/>
  <c r="G159" i="13"/>
  <c r="E159" i="13"/>
  <c r="D159" i="13"/>
  <c r="B159" i="13"/>
  <c r="E155" i="13"/>
  <c r="D155" i="13"/>
  <c r="B155" i="13"/>
  <c r="D154" i="13"/>
  <c r="B154" i="13"/>
  <c r="D153" i="13"/>
  <c r="B153" i="13"/>
  <c r="I142" i="13"/>
  <c r="F136" i="13"/>
  <c r="E136" i="13"/>
  <c r="G128" i="13"/>
  <c r="E128" i="13"/>
  <c r="E129" i="13" s="1"/>
  <c r="G126" i="13"/>
  <c r="E126" i="13"/>
  <c r="E127" i="13" s="1"/>
  <c r="G124" i="13"/>
  <c r="E124" i="13"/>
  <c r="E125" i="13"/>
  <c r="G117" i="13"/>
  <c r="G116" i="13"/>
  <c r="I116" i="13" s="1"/>
  <c r="G115" i="13"/>
  <c r="F109" i="13"/>
  <c r="E117" i="13"/>
  <c r="F108" i="13"/>
  <c r="F126" i="13" s="1"/>
  <c r="F107" i="13"/>
  <c r="F106" i="13"/>
  <c r="D109" i="13"/>
  <c r="I109" i="13" s="1"/>
  <c r="B109" i="13"/>
  <c r="D108" i="13"/>
  <c r="D116" i="13" s="1"/>
  <c r="B108" i="13"/>
  <c r="D107" i="13"/>
  <c r="D115" i="13" s="1"/>
  <c r="I115" i="13" s="1"/>
  <c r="B107" i="13"/>
  <c r="F86" i="13"/>
  <c r="G84" i="13"/>
  <c r="G85" i="13" s="1"/>
  <c r="F84" i="13"/>
  <c r="F82" i="13"/>
  <c r="G80" i="13"/>
  <c r="G81" i="13" s="1"/>
  <c r="F80" i="13"/>
  <c r="D83" i="13"/>
  <c r="D79" i="13"/>
  <c r="B83" i="13"/>
  <c r="B79" i="13"/>
  <c r="E54" i="13"/>
  <c r="E65" i="13" s="1"/>
  <c r="E83" i="13"/>
  <c r="E53" i="13"/>
  <c r="E79" i="13" s="1"/>
  <c r="E80" i="13" s="1"/>
  <c r="E52" i="13"/>
  <c r="E51" i="13"/>
  <c r="E71" i="13" s="1"/>
  <c r="E73" i="13" s="1"/>
  <c r="E74" i="13" s="1"/>
  <c r="I51" i="13"/>
  <c r="F19" i="13"/>
  <c r="I19" i="13" s="1"/>
  <c r="F17" i="13"/>
  <c r="D49" i="13"/>
  <c r="G48" i="13"/>
  <c r="F48" i="13"/>
  <c r="G47" i="13"/>
  <c r="F47" i="13"/>
  <c r="I47" i="13" s="1"/>
  <c r="G46" i="13"/>
  <c r="I46" i="13" s="1"/>
  <c r="F46" i="13"/>
  <c r="D40" i="13"/>
  <c r="F39" i="13"/>
  <c r="I39" i="13" s="1"/>
  <c r="F38" i="13"/>
  <c r="I38" i="13"/>
  <c r="F37" i="13"/>
  <c r="I37" i="13" s="1"/>
  <c r="F22" i="13"/>
  <c r="F23" i="13" s="1"/>
  <c r="F26" i="13"/>
  <c r="F28" i="13" s="1"/>
  <c r="G22" i="13"/>
  <c r="G16" i="13"/>
  <c r="G18" i="13"/>
  <c r="E29" i="13"/>
  <c r="D20" i="13"/>
  <c r="F12" i="13"/>
  <c r="E12" i="13"/>
  <c r="A2" i="28"/>
  <c r="F498" i="7"/>
  <c r="F405" i="7"/>
  <c r="F273" i="7"/>
  <c r="F198" i="7"/>
  <c r="F189" i="7"/>
  <c r="F179" i="7"/>
  <c r="F105" i="7"/>
  <c r="F96" i="7"/>
  <c r="F87" i="7"/>
  <c r="F58" i="7"/>
  <c r="F39" i="7"/>
  <c r="F425" i="7"/>
  <c r="F312" i="7"/>
  <c r="F236" i="7"/>
  <c r="F145" i="7"/>
  <c r="F75" i="7"/>
  <c r="F414" i="7"/>
  <c r="F294" i="7"/>
  <c r="F208" i="7"/>
  <c r="F115" i="7"/>
  <c r="F67" i="7"/>
  <c r="F16" i="7"/>
  <c r="F104" i="7"/>
  <c r="F95" i="7"/>
  <c r="F86" i="7"/>
  <c r="F516" i="7"/>
  <c r="F508" i="7"/>
  <c r="F499" i="7"/>
  <c r="F486" i="7"/>
  <c r="F453" i="7"/>
  <c r="F426" i="7"/>
  <c r="F415" i="7"/>
  <c r="F406" i="7"/>
  <c r="F364" i="7"/>
  <c r="F313" i="7"/>
  <c r="F295" i="7"/>
  <c r="F274" i="7"/>
  <c r="F237" i="7"/>
  <c r="F209" i="7"/>
  <c r="F199" i="7"/>
  <c r="F190" i="7"/>
  <c r="F180" i="7"/>
  <c r="F146" i="7"/>
  <c r="F116" i="7"/>
  <c r="F106" i="7"/>
  <c r="F97" i="7"/>
  <c r="F88" i="7"/>
  <c r="F76" i="7"/>
  <c r="F68" i="7"/>
  <c r="F59" i="7"/>
  <c r="F48" i="7"/>
  <c r="F40" i="7"/>
  <c r="F29" i="7"/>
  <c r="F21" i="7"/>
  <c r="F17" i="7"/>
  <c r="F497" i="7"/>
  <c r="F507" i="7"/>
  <c r="F452" i="7"/>
  <c r="F404" i="7"/>
  <c r="F363" i="7"/>
  <c r="F272" i="7"/>
  <c r="F197" i="7"/>
  <c r="F188" i="7"/>
  <c r="F178" i="7"/>
  <c r="F57" i="7"/>
  <c r="F47" i="7"/>
  <c r="F38" i="7"/>
  <c r="C11" i="7"/>
  <c r="B11" i="7"/>
  <c r="F9" i="7"/>
  <c r="C7" i="7"/>
  <c r="B7" i="7"/>
  <c r="D562" i="7" s="1"/>
  <c r="G562" i="7" s="1"/>
  <c r="A7" i="7"/>
  <c r="F292" i="7"/>
  <c r="F291" i="7"/>
  <c r="F290" i="7"/>
  <c r="F206" i="7"/>
  <c r="F205" i="7"/>
  <c r="F204" i="7"/>
  <c r="F113" i="7"/>
  <c r="F112" i="7"/>
  <c r="F111" i="7"/>
  <c r="F270" i="7"/>
  <c r="F269" i="7"/>
  <c r="F268" i="7"/>
  <c r="F267" i="7"/>
  <c r="F195" i="7"/>
  <c r="F194" i="7"/>
  <c r="F193" i="7"/>
  <c r="F192" i="7"/>
  <c r="F186" i="7"/>
  <c r="F185" i="7"/>
  <c r="F184" i="7"/>
  <c r="F183" i="7"/>
  <c r="B191" i="7"/>
  <c r="B182" i="7"/>
  <c r="G1176" i="13"/>
  <c r="G1175" i="13"/>
  <c r="G1174" i="13"/>
  <c r="G1168" i="13"/>
  <c r="G1169" i="13" s="1"/>
  <c r="I1169" i="13" s="1"/>
  <c r="E1020" i="13"/>
  <c r="D1020" i="13"/>
  <c r="G872" i="13"/>
  <c r="G853" i="13"/>
  <c r="I853" i="13" s="1"/>
  <c r="E760" i="13"/>
  <c r="E758" i="13"/>
  <c r="E756" i="13"/>
  <c r="E713" i="13"/>
  <c r="E711" i="13"/>
  <c r="E709" i="13"/>
  <c r="E707" i="13"/>
  <c r="F693" i="13"/>
  <c r="G283" i="13"/>
  <c r="G628" i="13"/>
  <c r="C633" i="13" s="1"/>
  <c r="E629" i="13"/>
  <c r="D630" i="13" s="1"/>
  <c r="I270" i="13"/>
  <c r="G236" i="13"/>
  <c r="F236" i="13"/>
  <c r="F237" i="13" s="1"/>
  <c r="F435" i="13"/>
  <c r="F414" i="13"/>
  <c r="G215" i="13"/>
  <c r="G216" i="13" s="1"/>
  <c r="F215" i="13"/>
  <c r="F335" i="13"/>
  <c r="E335" i="13"/>
  <c r="I30" i="13"/>
  <c r="E8" i="35"/>
  <c r="D25" i="35"/>
  <c r="B35" i="35"/>
  <c r="B33" i="35"/>
  <c r="B32" i="35"/>
  <c r="B31" i="35"/>
  <c r="B29" i="35"/>
  <c r="B36" i="35" s="1"/>
  <c r="E19" i="35"/>
  <c r="D19" i="35"/>
  <c r="E7" i="35"/>
  <c r="E6" i="35"/>
  <c r="L1214" i="13"/>
  <c r="G22" i="31"/>
  <c r="E5" i="35"/>
  <c r="B51" i="37"/>
  <c r="H48" i="37"/>
  <c r="J48" i="37" s="1"/>
  <c r="H40" i="37"/>
  <c r="J40" i="37" s="1"/>
  <c r="H39" i="37"/>
  <c r="J39" i="37" s="1"/>
  <c r="K43" i="37" s="1"/>
  <c r="H38" i="37"/>
  <c r="J38" i="37"/>
  <c r="F41" i="37"/>
  <c r="H41" i="37" s="1"/>
  <c r="J41" i="37" s="1"/>
  <c r="C42" i="37"/>
  <c r="F42" i="37"/>
  <c r="E42" i="37"/>
  <c r="H42" i="37" s="1"/>
  <c r="J42" i="37" s="1"/>
  <c r="F43" i="37"/>
  <c r="H43" i="37" s="1"/>
  <c r="J43" i="37" s="1"/>
  <c r="E41" i="37"/>
  <c r="H36" i="37"/>
  <c r="J36" i="37"/>
  <c r="H35" i="37"/>
  <c r="J35" i="37"/>
  <c r="H34" i="37"/>
  <c r="J34" i="37"/>
  <c r="F33" i="37"/>
  <c r="H33" i="37" s="1"/>
  <c r="J33" i="37" s="1"/>
  <c r="F32" i="37"/>
  <c r="H32" i="37"/>
  <c r="J32" i="37"/>
  <c r="H31" i="37"/>
  <c r="J31" i="37" s="1"/>
  <c r="H30" i="37"/>
  <c r="J30" i="37"/>
  <c r="H29" i="37"/>
  <c r="J29" i="37"/>
  <c r="H28" i="37"/>
  <c r="J28" i="37"/>
  <c r="H27" i="37"/>
  <c r="J27" i="37"/>
  <c r="F26" i="37"/>
  <c r="H26" i="37" s="1"/>
  <c r="J26" i="37" s="1"/>
  <c r="D22" i="37"/>
  <c r="H22" i="37" s="1"/>
  <c r="J22" i="37" s="1"/>
  <c r="H25" i="37"/>
  <c r="J25" i="37" s="1"/>
  <c r="H24" i="37"/>
  <c r="J24" i="37" s="1"/>
  <c r="H23" i="37"/>
  <c r="J23" i="37"/>
  <c r="H21" i="37"/>
  <c r="J21" i="37"/>
  <c r="H20" i="37"/>
  <c r="J20" i="37" s="1"/>
  <c r="H19" i="37"/>
  <c r="J19" i="37"/>
  <c r="F18" i="37"/>
  <c r="H18" i="37" s="1"/>
  <c r="J18" i="37" s="1"/>
  <c r="D14" i="37"/>
  <c r="H14" i="37"/>
  <c r="J14" i="37" s="1"/>
  <c r="F17" i="37"/>
  <c r="H17" i="37"/>
  <c r="J17" i="37" s="1"/>
  <c r="H16" i="37"/>
  <c r="J16" i="37" s="1"/>
  <c r="H15" i="37"/>
  <c r="J15" i="37"/>
  <c r="H13" i="37"/>
  <c r="J13" i="37"/>
  <c r="H12" i="37"/>
  <c r="J12" i="37" s="1"/>
  <c r="H11" i="37"/>
  <c r="J11" i="37"/>
  <c r="F10" i="37"/>
  <c r="H10" i="37"/>
  <c r="J10" i="37"/>
  <c r="F2" i="37"/>
  <c r="H2" i="37"/>
  <c r="J2" i="37" s="1"/>
  <c r="H8" i="37"/>
  <c r="J8" i="37"/>
  <c r="H7" i="37"/>
  <c r="J7" i="37" s="1"/>
  <c r="H5" i="37"/>
  <c r="J5" i="37" s="1"/>
  <c r="H4" i="37"/>
  <c r="J4" i="37" s="1"/>
  <c r="H3" i="37"/>
  <c r="J3" i="37" s="1"/>
  <c r="F9" i="37"/>
  <c r="H9" i="37"/>
  <c r="J9" i="37" s="1"/>
  <c r="D6" i="37"/>
  <c r="H6" i="37" s="1"/>
  <c r="J6" i="37" s="1"/>
  <c r="L150" i="34"/>
  <c r="J155" i="34"/>
  <c r="L155" i="34" s="1"/>
  <c r="L156" i="34" s="1"/>
  <c r="F155" i="34"/>
  <c r="F154" i="34"/>
  <c r="F153" i="34"/>
  <c r="F152" i="34"/>
  <c r="F150" i="34"/>
  <c r="F149" i="34"/>
  <c r="F148" i="34"/>
  <c r="F147" i="34"/>
  <c r="F146" i="34"/>
  <c r="N131" i="34"/>
  <c r="N133" i="34" s="1"/>
  <c r="K130" i="34"/>
  <c r="H133" i="34"/>
  <c r="I133" i="34"/>
  <c r="H130" i="34"/>
  <c r="E4" i="35"/>
  <c r="E10" i="35" s="1"/>
  <c r="B143" i="34"/>
  <c r="B142" i="34"/>
  <c r="B141" i="34"/>
  <c r="B140" i="34"/>
  <c r="B139" i="34"/>
  <c r="B138" i="34"/>
  <c r="B137" i="34"/>
  <c r="B136" i="34"/>
  <c r="B135" i="34"/>
  <c r="B134" i="34"/>
  <c r="B133" i="34"/>
  <c r="B132" i="34"/>
  <c r="B128" i="34"/>
  <c r="B129" i="34" s="1"/>
  <c r="B130" i="34" s="1"/>
  <c r="B127" i="34"/>
  <c r="K108" i="34"/>
  <c r="K106" i="34"/>
  <c r="K120" i="34"/>
  <c r="C118" i="34"/>
  <c r="H118" i="34" s="1"/>
  <c r="H110" i="34"/>
  <c r="L110" i="34" s="1"/>
  <c r="H121" i="34"/>
  <c r="F117" i="34"/>
  <c r="H120" i="34"/>
  <c r="C117" i="34"/>
  <c r="H117" i="34" s="1"/>
  <c r="H102" i="34"/>
  <c r="H101" i="34"/>
  <c r="H103" i="34" s="1"/>
  <c r="I103" i="34" s="1"/>
  <c r="H100" i="34"/>
  <c r="H109" i="34"/>
  <c r="H108" i="34"/>
  <c r="H107" i="34"/>
  <c r="H106" i="34"/>
  <c r="K89" i="34"/>
  <c r="J94" i="34"/>
  <c r="H87" i="34"/>
  <c r="H83" i="34"/>
  <c r="H86" i="34"/>
  <c r="H85" i="34"/>
  <c r="H88" i="34" s="1"/>
  <c r="C92" i="34" s="1"/>
  <c r="H92" i="34" s="1"/>
  <c r="H82" i="34"/>
  <c r="H81" i="34"/>
  <c r="L82" i="34"/>
  <c r="C80" i="34"/>
  <c r="M339" i="13"/>
  <c r="M336" i="13"/>
  <c r="N72" i="34"/>
  <c r="N71" i="34"/>
  <c r="N70" i="34"/>
  <c r="K70" i="34"/>
  <c r="L70" i="34"/>
  <c r="I74" i="34"/>
  <c r="I73" i="34"/>
  <c r="I70" i="34"/>
  <c r="I71" i="34"/>
  <c r="N63" i="34"/>
  <c r="N62" i="34"/>
  <c r="N58" i="34"/>
  <c r="N57" i="34"/>
  <c r="N53" i="34"/>
  <c r="N52" i="34"/>
  <c r="F9" i="35"/>
  <c r="L54" i="34"/>
  <c r="I66" i="34"/>
  <c r="I56" i="34"/>
  <c r="I51" i="34"/>
  <c r="I61" i="34"/>
  <c r="I55" i="34"/>
  <c r="I50" i="34"/>
  <c r="G58" i="34"/>
  <c r="I58" i="34"/>
  <c r="G57" i="34"/>
  <c r="I57" i="34" s="1"/>
  <c r="G53" i="34"/>
  <c r="I53" i="34" s="1"/>
  <c r="G52" i="34"/>
  <c r="I52" i="34"/>
  <c r="F43" i="34"/>
  <c r="I43" i="34"/>
  <c r="L43" i="34" s="1"/>
  <c r="I42" i="34"/>
  <c r="M42" i="34" s="1"/>
  <c r="I39" i="34"/>
  <c r="M39" i="34"/>
  <c r="F40" i="34"/>
  <c r="I40" i="34" s="1"/>
  <c r="D44" i="36"/>
  <c r="D43" i="36"/>
  <c r="D42" i="36"/>
  <c r="G28" i="36"/>
  <c r="G26" i="36"/>
  <c r="G22" i="36"/>
  <c r="G20" i="36"/>
  <c r="D6" i="36"/>
  <c r="E6" i="36" s="1"/>
  <c r="I6" i="36" s="1"/>
  <c r="K6" i="36" s="1"/>
  <c r="D4" i="36"/>
  <c r="D30" i="36"/>
  <c r="D3" i="36"/>
  <c r="D17" i="36"/>
  <c r="D21" i="36"/>
  <c r="G21" i="36"/>
  <c r="D2" i="36"/>
  <c r="D24" i="36" s="1"/>
  <c r="D27" i="36" s="1"/>
  <c r="G27" i="36"/>
  <c r="G37" i="36"/>
  <c r="G36" i="36"/>
  <c r="G35" i="36"/>
  <c r="G39" i="36"/>
  <c r="G30" i="36" s="1"/>
  <c r="G38" i="36"/>
  <c r="G14" i="36"/>
  <c r="G13" i="36"/>
  <c r="G12" i="36"/>
  <c r="G11" i="36"/>
  <c r="G34" i="36"/>
  <c r="G33" i="36"/>
  <c r="G32" i="36"/>
  <c r="G10" i="36"/>
  <c r="G7" i="36"/>
  <c r="G6" i="36"/>
  <c r="G25" i="36"/>
  <c r="G31" i="36"/>
  <c r="E19" i="36"/>
  <c r="G19" i="36"/>
  <c r="E18" i="36"/>
  <c r="G18" i="36"/>
  <c r="K17" i="34"/>
  <c r="K16" i="34"/>
  <c r="K15" i="34"/>
  <c r="K14" i="34"/>
  <c r="D8" i="35"/>
  <c r="G10" i="35"/>
  <c r="D7" i="35"/>
  <c r="D6" i="35"/>
  <c r="F6" i="35" s="1"/>
  <c r="D5" i="35"/>
  <c r="F5" i="35" s="1"/>
  <c r="D4" i="35"/>
  <c r="D16" i="34"/>
  <c r="D14" i="34"/>
  <c r="M130" i="13"/>
  <c r="M132" i="13"/>
  <c r="M135" i="13"/>
  <c r="M139" i="13"/>
  <c r="M167" i="13"/>
  <c r="M166" i="13"/>
  <c r="M171" i="13"/>
  <c r="M170" i="13"/>
  <c r="M169" i="13"/>
  <c r="M192" i="13"/>
  <c r="M193" i="13"/>
  <c r="M194" i="13"/>
  <c r="M191" i="13"/>
  <c r="M190" i="13"/>
  <c r="M189" i="13"/>
  <c r="M173" i="13"/>
  <c r="M174" i="13" s="1"/>
  <c r="C25" i="31"/>
  <c r="D24" i="31"/>
  <c r="D23" i="31"/>
  <c r="D25" i="31" s="1"/>
  <c r="D22" i="31"/>
  <c r="D21" i="31"/>
  <c r="D20" i="31"/>
  <c r="D19" i="31"/>
  <c r="D1191" i="13"/>
  <c r="B1191" i="13"/>
  <c r="F1191" i="13"/>
  <c r="F1190" i="13"/>
  <c r="I1053" i="13"/>
  <c r="M1053" i="13"/>
  <c r="M1059" i="13"/>
  <c r="N1059" i="13"/>
  <c r="G663" i="13"/>
  <c r="G668" i="13"/>
  <c r="G669" i="13"/>
  <c r="G670" i="13"/>
  <c r="E585" i="13"/>
  <c r="E584" i="13"/>
  <c r="E583" i="13"/>
  <c r="E578" i="13"/>
  <c r="E577" i="13"/>
  <c r="E576" i="13"/>
  <c r="E504" i="13"/>
  <c r="E503" i="13"/>
  <c r="E502" i="13"/>
  <c r="E482" i="13"/>
  <c r="H482" i="13" s="1"/>
  <c r="E481" i="13"/>
  <c r="E480" i="13"/>
  <c r="E439" i="13"/>
  <c r="E438" i="13"/>
  <c r="E437" i="13"/>
  <c r="I64" i="13"/>
  <c r="F102" i="7"/>
  <c r="F101" i="7"/>
  <c r="F100" i="7"/>
  <c r="F99" i="7"/>
  <c r="F93" i="7"/>
  <c r="F92" i="7"/>
  <c r="F91" i="7"/>
  <c r="F90" i="7"/>
  <c r="C19" i="30"/>
  <c r="D18" i="30"/>
  <c r="D17" i="30"/>
  <c r="D19" i="30"/>
  <c r="D16" i="30"/>
  <c r="D15" i="30"/>
  <c r="D14" i="30"/>
  <c r="F1198" i="13"/>
  <c r="F145" i="13"/>
  <c r="F201" i="13" s="1"/>
  <c r="E145" i="13"/>
  <c r="H316" i="13"/>
  <c r="H326" i="13"/>
  <c r="D689" i="13"/>
  <c r="B670" i="13"/>
  <c r="B689" i="13"/>
  <c r="B669" i="13"/>
  <c r="B688" i="13"/>
  <c r="D628" i="13"/>
  <c r="D631" i="13"/>
  <c r="B626" i="13"/>
  <c r="B500" i="13"/>
  <c r="B499" i="13"/>
  <c r="B414" i="13"/>
  <c r="B413" i="13"/>
  <c r="B324" i="13"/>
  <c r="B322" i="13"/>
  <c r="B300" i="13"/>
  <c r="F689" i="13"/>
  <c r="D311" i="13"/>
  <c r="G244" i="13"/>
  <c r="G478" i="13"/>
  <c r="E479" i="13" s="1"/>
  <c r="F478" i="13"/>
  <c r="G230" i="13"/>
  <c r="G231" i="13"/>
  <c r="F190" i="13"/>
  <c r="E190" i="13"/>
  <c r="B190" i="13"/>
  <c r="F170" i="13"/>
  <c r="E173" i="13" s="1"/>
  <c r="B170" i="13"/>
  <c r="D170" i="13"/>
  <c r="D171" i="13"/>
  <c r="D172" i="13" s="1"/>
  <c r="E170" i="13"/>
  <c r="D145" i="13"/>
  <c r="D162" i="13"/>
  <c r="G100" i="13"/>
  <c r="E1187" i="13"/>
  <c r="H1187" i="13" s="1"/>
  <c r="D1187" i="13"/>
  <c r="G1047" i="13"/>
  <c r="F1189" i="13"/>
  <c r="D1189" i="13"/>
  <c r="B1175" i="13"/>
  <c r="B1190" i="13"/>
  <c r="B1174" i="13"/>
  <c r="B1189" i="13" s="1"/>
  <c r="D1183" i="13"/>
  <c r="G1156" i="13"/>
  <c r="G1155" i="13"/>
  <c r="A2" i="7"/>
  <c r="M3" i="13"/>
  <c r="D1190" i="13"/>
  <c r="D1156" i="13"/>
  <c r="F1156" i="13"/>
  <c r="F1155" i="13"/>
  <c r="G1153" i="13"/>
  <c r="D752" i="13"/>
  <c r="B752" i="13"/>
  <c r="D705" i="13"/>
  <c r="B705" i="13"/>
  <c r="D698" i="13"/>
  <c r="I698" i="13" s="1"/>
  <c r="I699" i="13" s="1"/>
  <c r="J699" i="13" s="1"/>
  <c r="B698" i="13"/>
  <c r="E419" i="13"/>
  <c r="E418" i="13"/>
  <c r="E416" i="13"/>
  <c r="B628" i="13"/>
  <c r="D581" i="13"/>
  <c r="B581" i="13"/>
  <c r="D574" i="13"/>
  <c r="B574" i="13"/>
  <c r="B572" i="13"/>
  <c r="B571" i="13"/>
  <c r="D478" i="13"/>
  <c r="D481" i="13"/>
  <c r="B478" i="13"/>
  <c r="B477" i="13"/>
  <c r="D435" i="13"/>
  <c r="D436" i="13" s="1"/>
  <c r="B435" i="13"/>
  <c r="B434" i="13"/>
  <c r="B433" i="13"/>
  <c r="E192" i="13"/>
  <c r="G190" i="13"/>
  <c r="D193" i="13" s="1"/>
  <c r="D93" i="13"/>
  <c r="B93" i="13"/>
  <c r="G76" i="13"/>
  <c r="G77" i="13" s="1"/>
  <c r="F76" i="13"/>
  <c r="G72" i="13"/>
  <c r="F72" i="13"/>
  <c r="D98" i="13"/>
  <c r="B75" i="13"/>
  <c r="D71" i="13"/>
  <c r="B71" i="13"/>
  <c r="G45" i="13"/>
  <c r="I45" i="13" s="1"/>
  <c r="D106" i="13"/>
  <c r="D122" i="13" s="1"/>
  <c r="I106" i="13"/>
  <c r="B70" i="7"/>
  <c r="G1183" i="13"/>
  <c r="G1187" i="13" s="1"/>
  <c r="G1189" i="13"/>
  <c r="G883" i="13"/>
  <c r="G884" i="13"/>
  <c r="D688" i="13"/>
  <c r="D687" i="13"/>
  <c r="F688" i="13"/>
  <c r="F687" i="13"/>
  <c r="B687" i="13"/>
  <c r="E403" i="13"/>
  <c r="E402" i="13"/>
  <c r="E401" i="13"/>
  <c r="D399" i="13"/>
  <c r="D400" i="13" s="1"/>
  <c r="B399" i="13"/>
  <c r="B398" i="13"/>
  <c r="E338" i="13"/>
  <c r="B320" i="13"/>
  <c r="E172" i="13"/>
  <c r="B201" i="13"/>
  <c r="B200" i="13"/>
  <c r="B189" i="13"/>
  <c r="B148" i="7" s="1"/>
  <c r="B162" i="13"/>
  <c r="B161" i="13"/>
  <c r="E158" i="13"/>
  <c r="B158" i="13"/>
  <c r="B157" i="13"/>
  <c r="G52" i="13"/>
  <c r="G53" i="13" s="1"/>
  <c r="G54" i="13" s="1"/>
  <c r="F52" i="13"/>
  <c r="G36" i="13"/>
  <c r="F310" i="7"/>
  <c r="F309" i="7"/>
  <c r="B306" i="7"/>
  <c r="C287" i="7"/>
  <c r="C288" i="7" s="1"/>
  <c r="B287" i="7"/>
  <c r="C264" i="7"/>
  <c r="B264" i="7"/>
  <c r="B263" i="7"/>
  <c r="A263" i="7"/>
  <c r="D1054" i="13"/>
  <c r="D1047" i="13"/>
  <c r="H1047" i="13" s="1"/>
  <c r="B1047" i="13"/>
  <c r="B1046" i="13"/>
  <c r="B1042" i="13"/>
  <c r="B990" i="13"/>
  <c r="B986" i="13"/>
  <c r="B978" i="13"/>
  <c r="B974" i="13"/>
  <c r="B973" i="13"/>
  <c r="B942" i="13"/>
  <c r="B936" i="13"/>
  <c r="B935" i="13"/>
  <c r="B933" i="13"/>
  <c r="B932" i="13"/>
  <c r="B931" i="13"/>
  <c r="B918" i="13"/>
  <c r="G913" i="13"/>
  <c r="G936" i="13" s="1"/>
  <c r="G990" i="13"/>
  <c r="F913" i="13"/>
  <c r="F990" i="13" s="1"/>
  <c r="G912" i="13"/>
  <c r="F912" i="13"/>
  <c r="F986" i="13"/>
  <c r="D913" i="13"/>
  <c r="D990" i="13" s="1"/>
  <c r="D912" i="13"/>
  <c r="G910" i="13"/>
  <c r="G909" i="13"/>
  <c r="F910" i="13"/>
  <c r="F978" i="13"/>
  <c r="F909" i="13"/>
  <c r="F974" i="13"/>
  <c r="E976" i="13" s="1"/>
  <c r="G865" i="13"/>
  <c r="G866" i="13"/>
  <c r="D910" i="13"/>
  <c r="D909" i="13"/>
  <c r="G899" i="13"/>
  <c r="G955" i="13" s="1"/>
  <c r="F899" i="13"/>
  <c r="F955" i="13" s="1"/>
  <c r="G898" i="13"/>
  <c r="F898" i="13"/>
  <c r="F951" i="13"/>
  <c r="G897" i="13"/>
  <c r="G947" i="13"/>
  <c r="F897" i="13"/>
  <c r="F947" i="13"/>
  <c r="G896" i="13"/>
  <c r="G919" i="13" s="1"/>
  <c r="G943" i="13"/>
  <c r="F896" i="13"/>
  <c r="F943" i="13" s="1"/>
  <c r="E945" i="13" s="1"/>
  <c r="D899" i="13"/>
  <c r="D898" i="13"/>
  <c r="D897" i="13"/>
  <c r="D947" i="13" s="1"/>
  <c r="D948" i="13" s="1"/>
  <c r="D896" i="13"/>
  <c r="G842" i="13"/>
  <c r="G843" i="13"/>
  <c r="G820" i="13"/>
  <c r="G821" i="13"/>
  <c r="D685" i="13"/>
  <c r="D693" i="13"/>
  <c r="B685" i="13"/>
  <c r="B308" i="13"/>
  <c r="B307" i="13"/>
  <c r="B298" i="13"/>
  <c r="B296" i="13"/>
  <c r="G226" i="13"/>
  <c r="F78" i="13"/>
  <c r="E98" i="13"/>
  <c r="B106" i="13"/>
  <c r="B114" i="13"/>
  <c r="B50" i="13"/>
  <c r="B70" i="13"/>
  <c r="F74" i="13"/>
  <c r="B151" i="13"/>
  <c r="B152" i="13"/>
  <c r="E152" i="13"/>
  <c r="B168" i="13"/>
  <c r="B295" i="13"/>
  <c r="B319" i="13"/>
  <c r="B333" i="13"/>
  <c r="B334" i="13"/>
  <c r="B335" i="13"/>
  <c r="D335" i="13"/>
  <c r="E337" i="13"/>
  <c r="E339" i="13"/>
  <c r="H656" i="13"/>
  <c r="B230" i="7" s="1"/>
  <c r="B242" i="7" s="1"/>
  <c r="B254" i="7" s="1"/>
  <c r="I656" i="13"/>
  <c r="B229" i="7"/>
  <c r="B240" i="7"/>
  <c r="B253" i="7"/>
  <c r="B919" i="13"/>
  <c r="B920" i="13"/>
  <c r="B921" i="13"/>
  <c r="B922" i="13"/>
  <c r="B943" i="13"/>
  <c r="B947" i="13"/>
  <c r="B951" i="13"/>
  <c r="B955" i="13"/>
  <c r="H999" i="13"/>
  <c r="B418" i="7"/>
  <c r="I999" i="13"/>
  <c r="B419" i="7"/>
  <c r="B1149" i="13"/>
  <c r="A19" i="7"/>
  <c r="B19" i="7"/>
  <c r="C19" i="7"/>
  <c r="A23" i="7"/>
  <c r="B23" i="7"/>
  <c r="C23" i="7"/>
  <c r="F25" i="7"/>
  <c r="F26" i="7"/>
  <c r="A31" i="7"/>
  <c r="B31" i="7"/>
  <c r="C31" i="7"/>
  <c r="F33" i="7"/>
  <c r="F34" i="7"/>
  <c r="F35" i="7"/>
  <c r="F36" i="7"/>
  <c r="A41" i="7"/>
  <c r="B41" i="7"/>
  <c r="N13" i="7"/>
  <c r="C41" i="7"/>
  <c r="F43" i="7"/>
  <c r="F44" i="7"/>
  <c r="F45" i="7"/>
  <c r="A49" i="7"/>
  <c r="B49" i="7"/>
  <c r="N14" i="7" s="1"/>
  <c r="B50" i="7"/>
  <c r="C50" i="7"/>
  <c r="F52" i="7"/>
  <c r="F53" i="7"/>
  <c r="F54" i="7"/>
  <c r="F55" i="7"/>
  <c r="B61" i="7"/>
  <c r="C61" i="7"/>
  <c r="F63" i="7"/>
  <c r="F64" i="7"/>
  <c r="F65" i="7"/>
  <c r="B69" i="7"/>
  <c r="C69" i="7"/>
  <c r="F72" i="7"/>
  <c r="F73" i="7"/>
  <c r="A78" i="7"/>
  <c r="B78" i="7"/>
  <c r="B79" i="7"/>
  <c r="C79" i="7"/>
  <c r="C98" i="7" s="1"/>
  <c r="F81" i="7"/>
  <c r="F82" i="7"/>
  <c r="F83" i="7"/>
  <c r="F84" i="7"/>
  <c r="B108" i="7"/>
  <c r="C108" i="7"/>
  <c r="C118" i="7"/>
  <c r="B136" i="7"/>
  <c r="F141" i="7"/>
  <c r="F142" i="7"/>
  <c r="F143" i="7"/>
  <c r="A170" i="7"/>
  <c r="B170" i="7"/>
  <c r="B171" i="7"/>
  <c r="C171" i="7"/>
  <c r="C172" i="7" s="1"/>
  <c r="F173" i="7"/>
  <c r="F174" i="7"/>
  <c r="F175" i="7"/>
  <c r="F176" i="7"/>
  <c r="B201" i="7"/>
  <c r="C201" i="7"/>
  <c r="C211" i="7"/>
  <c r="B227" i="7"/>
  <c r="F232" i="7"/>
  <c r="F233" i="7"/>
  <c r="F234" i="7"/>
  <c r="A355" i="7"/>
  <c r="B355" i="7"/>
  <c r="C356" i="7"/>
  <c r="F358" i="7"/>
  <c r="F359" i="7"/>
  <c r="F360" i="7"/>
  <c r="F361" i="7"/>
  <c r="A396" i="7"/>
  <c r="B396" i="7"/>
  <c r="B397" i="7"/>
  <c r="C397" i="7"/>
  <c r="F399" i="7"/>
  <c r="F400" i="7"/>
  <c r="F401" i="7"/>
  <c r="F402" i="7"/>
  <c r="B408" i="7"/>
  <c r="C408" i="7"/>
  <c r="F410" i="7"/>
  <c r="F411" i="7"/>
  <c r="F412" i="7"/>
  <c r="B417" i="7"/>
  <c r="F421" i="7"/>
  <c r="F422" i="7"/>
  <c r="F423" i="7"/>
  <c r="A444" i="7"/>
  <c r="B444" i="7"/>
  <c r="C444" i="7"/>
  <c r="C447" i="7"/>
  <c r="F449" i="7"/>
  <c r="F450" i="7"/>
  <c r="A472" i="7"/>
  <c r="B472" i="7"/>
  <c r="C472" i="7"/>
  <c r="A476" i="7"/>
  <c r="B476" i="7"/>
  <c r="B481" i="7"/>
  <c r="C481" i="7"/>
  <c r="F484" i="7"/>
  <c r="B488" i="7"/>
  <c r="C489" i="7"/>
  <c r="C490" i="7"/>
  <c r="F492" i="7"/>
  <c r="F493" i="7"/>
  <c r="F494" i="7"/>
  <c r="F495" i="7"/>
  <c r="B501" i="7"/>
  <c r="C501" i="7"/>
  <c r="F503" i="7"/>
  <c r="F504" i="7"/>
  <c r="F505" i="7"/>
  <c r="A510" i="7"/>
  <c r="B510" i="7"/>
  <c r="C510" i="7"/>
  <c r="F512" i="7"/>
  <c r="F513" i="7"/>
  <c r="F514" i="7"/>
  <c r="E1054" i="13"/>
  <c r="E122" i="13"/>
  <c r="E123" i="13"/>
  <c r="D152" i="13"/>
  <c r="G122" i="13"/>
  <c r="G114" i="13"/>
  <c r="D75" i="13"/>
  <c r="D77" i="13" s="1"/>
  <c r="D76" i="13"/>
  <c r="F45" i="13"/>
  <c r="F36" i="13"/>
  <c r="I36" i="13" s="1"/>
  <c r="D100" i="13"/>
  <c r="D97" i="13"/>
  <c r="E97" i="13"/>
  <c r="E1198" i="13"/>
  <c r="E1201" i="13"/>
  <c r="P751" i="13"/>
  <c r="G99" i="13"/>
  <c r="I96" i="13"/>
  <c r="B1187" i="13"/>
  <c r="F1187" i="13"/>
  <c r="H836" i="13"/>
  <c r="D9" i="36"/>
  <c r="I75" i="34"/>
  <c r="I76" i="34"/>
  <c r="K25" i="37"/>
  <c r="K36" i="37"/>
  <c r="F7" i="35"/>
  <c r="F271" i="13"/>
  <c r="F273" i="13" s="1"/>
  <c r="F588" i="13" s="1"/>
  <c r="F574" i="13"/>
  <c r="G158" i="13"/>
  <c r="F399" i="13"/>
  <c r="F500" i="13"/>
  <c r="G162" i="13"/>
  <c r="G201" i="13"/>
  <c r="E202" i="13"/>
  <c r="G500" i="13"/>
  <c r="H880" i="13"/>
  <c r="E1047" i="13"/>
  <c r="D414" i="13"/>
  <c r="D500" i="13"/>
  <c r="G9" i="36"/>
  <c r="E9" i="36" s="1"/>
  <c r="I9" i="36" s="1"/>
  <c r="C91" i="34"/>
  <c r="H91" i="34" s="1"/>
  <c r="G155" i="34"/>
  <c r="H155" i="34" s="1"/>
  <c r="G574" i="13"/>
  <c r="G271" i="13"/>
  <c r="G273" i="13" s="1"/>
  <c r="G581" i="13"/>
  <c r="I7" i="13"/>
  <c r="J8" i="13"/>
  <c r="D7" i="7" s="1"/>
  <c r="D9" i="7" s="1"/>
  <c r="L1212" i="13"/>
  <c r="L1213" i="13"/>
  <c r="C7" i="35"/>
  <c r="C8" i="35"/>
  <c r="C6" i="35"/>
  <c r="C4" i="35"/>
  <c r="C10" i="35"/>
  <c r="C5" i="35"/>
  <c r="E478" i="13"/>
  <c r="D483" i="13" s="1"/>
  <c r="E399" i="13"/>
  <c r="E574" i="13"/>
  <c r="D158" i="13"/>
  <c r="I141" i="13"/>
  <c r="J143" i="13" s="1"/>
  <c r="D89" i="7" s="1"/>
  <c r="D190" i="13"/>
  <c r="D191" i="13"/>
  <c r="D192" i="13"/>
  <c r="I192" i="13" s="1"/>
  <c r="E581" i="13"/>
  <c r="F628" i="13"/>
  <c r="I1204" i="13"/>
  <c r="F698" i="13"/>
  <c r="E716" i="13"/>
  <c r="E25" i="13"/>
  <c r="E258" i="13"/>
  <c r="E312" i="13" s="1"/>
  <c r="I312" i="13" s="1"/>
  <c r="H510" i="13"/>
  <c r="F16" i="13"/>
  <c r="I16" i="13" s="1"/>
  <c r="C483" i="13"/>
  <c r="D359" i="13"/>
  <c r="F18" i="13"/>
  <c r="E26" i="13"/>
  <c r="E23" i="13"/>
  <c r="E22" i="13"/>
  <c r="D601" i="13"/>
  <c r="G828" i="13"/>
  <c r="G26" i="13"/>
  <c r="H10" i="39"/>
  <c r="H20" i="39"/>
  <c r="D13" i="39"/>
  <c r="F13" i="39"/>
  <c r="E730" i="13"/>
  <c r="I1054" i="13"/>
  <c r="J565" i="13"/>
  <c r="J567" i="13" s="1"/>
  <c r="J569" i="13"/>
  <c r="D241" i="7" s="1"/>
  <c r="I230" i="13"/>
  <c r="G182" i="13"/>
  <c r="E183" i="13" s="1"/>
  <c r="G154" i="13"/>
  <c r="D411" i="13"/>
  <c r="G1188" i="13"/>
  <c r="H1188" i="13" s="1"/>
  <c r="G924" i="13"/>
  <c r="D479" i="13"/>
  <c r="G414" i="13"/>
  <c r="C420" i="13"/>
  <c r="E628" i="13"/>
  <c r="D468" i="13"/>
  <c r="E640" i="13"/>
  <c r="D738" i="13"/>
  <c r="I856" i="13"/>
  <c r="I1091" i="13"/>
  <c r="D547" i="13"/>
  <c r="H547" i="13" s="1"/>
  <c r="H546" i="13"/>
  <c r="G155" i="13"/>
  <c r="D564" i="13"/>
  <c r="I1057" i="13"/>
  <c r="G514" i="13"/>
  <c r="D554" i="13"/>
  <c r="D555" i="13"/>
  <c r="H555" i="13"/>
  <c r="D1085" i="13"/>
  <c r="E929" i="13"/>
  <c r="H481" i="13"/>
  <c r="E232" i="13"/>
  <c r="E1176" i="13"/>
  <c r="I252" i="13"/>
  <c r="D371" i="13"/>
  <c r="I1084" i="13"/>
  <c r="D620" i="13"/>
  <c r="D396" i="13"/>
  <c r="H479" i="13"/>
  <c r="H1027" i="13"/>
  <c r="D560" i="13"/>
  <c r="D544" i="13"/>
  <c r="D545" i="13" s="1"/>
  <c r="H545" i="13" s="1"/>
  <c r="D563" i="13"/>
  <c r="H563" i="13" s="1"/>
  <c r="D522" i="13"/>
  <c r="D964" i="13"/>
  <c r="D965" i="13" s="1"/>
  <c r="D796" i="13"/>
  <c r="I12" i="13"/>
  <c r="J12" i="13"/>
  <c r="D624" i="13"/>
  <c r="E1034" i="13"/>
  <c r="I1034" i="13" s="1"/>
  <c r="I1069" i="13"/>
  <c r="G335" i="13"/>
  <c r="G342" i="13"/>
  <c r="F514" i="13"/>
  <c r="E559" i="13"/>
  <c r="D566" i="13"/>
  <c r="I566" i="13" s="1"/>
  <c r="I263" i="13"/>
  <c r="E264" i="13"/>
  <c r="E673" i="13" s="1"/>
  <c r="E692" i="13" s="1"/>
  <c r="D536" i="13"/>
  <c r="D595" i="13"/>
  <c r="D597" i="13"/>
  <c r="D598" i="13"/>
  <c r="H598" i="13" s="1"/>
  <c r="F238" i="13"/>
  <c r="F239" i="13"/>
  <c r="F240" i="13" s="1"/>
  <c r="I236" i="13"/>
  <c r="I1168" i="13"/>
  <c r="D72" i="13"/>
  <c r="D708" i="13"/>
  <c r="D712" i="13"/>
  <c r="H817" i="13"/>
  <c r="D599" i="13"/>
  <c r="D540" i="13"/>
  <c r="E556" i="13"/>
  <c r="I556" i="13"/>
  <c r="H597" i="13"/>
  <c r="D482" i="13"/>
  <c r="I283" i="13"/>
  <c r="E193" i="13"/>
  <c r="E798" i="13"/>
  <c r="E833" i="13"/>
  <c r="E842" i="13"/>
  <c r="E843" i="13"/>
  <c r="E899" i="13" s="1"/>
  <c r="H885" i="13"/>
  <c r="G253" i="13"/>
  <c r="G254" i="13" s="1"/>
  <c r="G535" i="13" s="1"/>
  <c r="E648" i="13"/>
  <c r="D653" i="13"/>
  <c r="I289" i="13"/>
  <c r="D357" i="13"/>
  <c r="D361" i="13"/>
  <c r="C566" i="13"/>
  <c r="E560" i="13"/>
  <c r="H560" i="13" s="1"/>
  <c r="H622" i="13"/>
  <c r="E1036" i="13"/>
  <c r="H1030" i="13"/>
  <c r="G153" i="13"/>
  <c r="G174" i="13"/>
  <c r="E175" i="13"/>
  <c r="G920" i="13"/>
  <c r="D759" i="13"/>
  <c r="H459" i="13"/>
  <c r="F27" i="13"/>
  <c r="F521" i="13"/>
  <c r="F253" i="13"/>
  <c r="F254" i="13" s="1"/>
  <c r="D730" i="13"/>
  <c r="E72" i="13"/>
  <c r="G922" i="13"/>
  <c r="I107" i="13"/>
  <c r="D495" i="13"/>
  <c r="D497" i="13"/>
  <c r="H1028" i="13"/>
  <c r="F705" i="13"/>
  <c r="H862" i="13"/>
  <c r="G1044" i="13"/>
  <c r="H1044" i="13"/>
  <c r="H1154" i="13"/>
  <c r="I901" i="13"/>
  <c r="D438" i="13"/>
  <c r="H438" i="13" s="1"/>
  <c r="D439" i="13"/>
  <c r="H439" i="13" s="1"/>
  <c r="D591" i="13"/>
  <c r="H591" i="13"/>
  <c r="E720" i="13"/>
  <c r="E636" i="13"/>
  <c r="B122" i="13"/>
  <c r="I693" i="13"/>
  <c r="I172" i="13"/>
  <c r="D605" i="13"/>
  <c r="I54" i="13"/>
  <c r="I323" i="13"/>
  <c r="H1025" i="13"/>
  <c r="D440" i="13"/>
  <c r="I48" i="13"/>
  <c r="I108" i="13"/>
  <c r="I874" i="13"/>
  <c r="D920" i="13"/>
  <c r="G974" i="13"/>
  <c r="G932" i="13"/>
  <c r="E174" i="13"/>
  <c r="E137" i="13"/>
  <c r="D175" i="13"/>
  <c r="D649" i="13"/>
  <c r="D651" i="13"/>
  <c r="D652" i="13"/>
  <c r="H652" i="13" s="1"/>
  <c r="D592" i="13"/>
  <c r="E694" i="13"/>
  <c r="H694" i="13"/>
  <c r="E695" i="13"/>
  <c r="I695" i="13"/>
  <c r="G807" i="13"/>
  <c r="G808" i="13" s="1"/>
  <c r="D994" i="13"/>
  <c r="D937" i="13"/>
  <c r="D963" i="13"/>
  <c r="D925" i="13"/>
  <c r="E962" i="13"/>
  <c r="E963" i="13" s="1"/>
  <c r="I914" i="13"/>
  <c r="D126" i="13"/>
  <c r="D629" i="13"/>
  <c r="H630" i="13"/>
  <c r="D92" i="13"/>
  <c r="E501" i="13"/>
  <c r="C505" i="13"/>
  <c r="I226" i="13"/>
  <c r="D123" i="13"/>
  <c r="I123" i="13"/>
  <c r="D114" i="13"/>
  <c r="I114" i="13" s="1"/>
  <c r="D110" i="13"/>
  <c r="D80" i="13"/>
  <c r="D81" i="13"/>
  <c r="D82" i="13" s="1"/>
  <c r="E114" i="13"/>
  <c r="F122" i="13"/>
  <c r="C653" i="13"/>
  <c r="E685" i="13"/>
  <c r="I685" i="13" s="1"/>
  <c r="G775" i="13"/>
  <c r="I775" i="13" s="1"/>
  <c r="G776" i="13"/>
  <c r="G528" i="13"/>
  <c r="E705" i="13"/>
  <c r="E708" i="13" s="1"/>
  <c r="I152" i="13"/>
  <c r="E633" i="13"/>
  <c r="E116" i="13"/>
  <c r="I158" i="13"/>
  <c r="D919" i="13"/>
  <c r="D943" i="13"/>
  <c r="D944" i="13" s="1"/>
  <c r="G19" i="13"/>
  <c r="G17" i="13"/>
  <c r="D633" i="13"/>
  <c r="I633" i="13" s="1"/>
  <c r="E544" i="13"/>
  <c r="E548" i="13"/>
  <c r="E757" i="13"/>
  <c r="E811" i="13"/>
  <c r="E820" i="13" s="1"/>
  <c r="G986" i="13"/>
  <c r="E988" i="13" s="1"/>
  <c r="G935" i="13"/>
  <c r="F128" i="13"/>
  <c r="F174" i="13"/>
  <c r="E512" i="13"/>
  <c r="E859" i="13"/>
  <c r="E865" i="13"/>
  <c r="E1037" i="13"/>
  <c r="I63" i="13"/>
  <c r="E90" i="13"/>
  <c r="E196" i="13"/>
  <c r="J196" i="13" s="1"/>
  <c r="I857" i="13"/>
  <c r="I777" i="13"/>
  <c r="I1126" i="13"/>
  <c r="E27" i="13"/>
  <c r="I18" i="13"/>
  <c r="H394" i="13"/>
  <c r="B137" i="7"/>
  <c r="E99" i="13"/>
  <c r="I98" i="13"/>
  <c r="B159" i="7"/>
  <c r="F216" i="13"/>
  <c r="I215" i="13"/>
  <c r="G23" i="13"/>
  <c r="G24" i="13"/>
  <c r="G25" i="13"/>
  <c r="I260" i="13"/>
  <c r="E261" i="13"/>
  <c r="E588" i="13"/>
  <c r="D593" i="13" s="1"/>
  <c r="E280" i="13"/>
  <c r="E321" i="13" s="1"/>
  <c r="I321" i="13" s="1"/>
  <c r="D350" i="13"/>
  <c r="D354" i="13"/>
  <c r="E425" i="13"/>
  <c r="D450" i="13"/>
  <c r="D452" i="13"/>
  <c r="H452" i="13" s="1"/>
  <c r="D636" i="13"/>
  <c r="H636" i="13" s="1"/>
  <c r="D638" i="13"/>
  <c r="H638" i="13"/>
  <c r="E786" i="13"/>
  <c r="E783" i="13"/>
  <c r="D904" i="13"/>
  <c r="D11" i="7"/>
  <c r="D17" i="7"/>
  <c r="G829" i="13"/>
  <c r="G830" i="13" s="1"/>
  <c r="I830" i="13" s="1"/>
  <c r="I844" i="13" s="1"/>
  <c r="I828" i="13"/>
  <c r="D360" i="13"/>
  <c r="H360" i="13"/>
  <c r="H359" i="13"/>
  <c r="E671" i="13"/>
  <c r="D921" i="13"/>
  <c r="D951" i="13"/>
  <c r="G951" i="13"/>
  <c r="E953" i="13"/>
  <c r="G921" i="13"/>
  <c r="D933" i="13"/>
  <c r="D978" i="13"/>
  <c r="D936" i="13"/>
  <c r="E301" i="13"/>
  <c r="I301" i="13"/>
  <c r="D519" i="13"/>
  <c r="I251" i="13"/>
  <c r="C512" i="13"/>
  <c r="E508" i="13"/>
  <c r="D447" i="13"/>
  <c r="D464" i="13"/>
  <c r="D466" i="13"/>
  <c r="H466" i="13" s="1"/>
  <c r="C556" i="13"/>
  <c r="I677" i="13"/>
  <c r="I678" i="13" s="1"/>
  <c r="J678" i="13" s="1"/>
  <c r="E698" i="13"/>
  <c r="E797" i="13"/>
  <c r="H797" i="13"/>
  <c r="E796" i="13"/>
  <c r="D382" i="13"/>
  <c r="D380" i="13"/>
  <c r="D378" i="13"/>
  <c r="D968" i="13"/>
  <c r="D969" i="13"/>
  <c r="H969" i="13" s="1"/>
  <c r="D928" i="13"/>
  <c r="E928" i="13"/>
  <c r="I22" i="13"/>
  <c r="E505" i="13"/>
  <c r="I97" i="13"/>
  <c r="E949" i="13"/>
  <c r="D201" i="13"/>
  <c r="D203" i="13" s="1"/>
  <c r="I145" i="13"/>
  <c r="J146" i="13"/>
  <c r="D98" i="7" s="1"/>
  <c r="E81" i="13"/>
  <c r="E82" i="13" s="1"/>
  <c r="E740" i="13"/>
  <c r="E736" i="13"/>
  <c r="H814" i="13"/>
  <c r="G1021" i="13"/>
  <c r="H1021" i="13"/>
  <c r="G911" i="13"/>
  <c r="G934" i="13" s="1"/>
  <c r="E994" i="13"/>
  <c r="E996" i="13"/>
  <c r="E937" i="13"/>
  <c r="E1038" i="13"/>
  <c r="I1038" i="13" s="1"/>
  <c r="H1032" i="13"/>
  <c r="E1012" i="13"/>
  <c r="I1011" i="13"/>
  <c r="D431" i="7"/>
  <c r="D438" i="7" s="1"/>
  <c r="E964" i="13"/>
  <c r="E965" i="13"/>
  <c r="E926" i="13"/>
  <c r="D974" i="13"/>
  <c r="D932" i="13"/>
  <c r="D1198" i="13"/>
  <c r="I1183" i="13"/>
  <c r="I1192" i="13"/>
  <c r="E201" i="13"/>
  <c r="E203" i="13" s="1"/>
  <c r="J203" i="13" s="1"/>
  <c r="J205" i="13" s="1"/>
  <c r="J206" i="13" s="1"/>
  <c r="E162" i="13"/>
  <c r="I162" i="13"/>
  <c r="E115" i="13"/>
  <c r="F124" i="13"/>
  <c r="E732" i="13"/>
  <c r="D798" i="13"/>
  <c r="H816" i="13"/>
  <c r="G1023" i="13"/>
  <c r="D934" i="13"/>
  <c r="D982" i="13"/>
  <c r="I135" i="13"/>
  <c r="G170" i="13"/>
  <c r="G86" i="13"/>
  <c r="G78" i="13"/>
  <c r="G82" i="13"/>
  <c r="D511" i="13"/>
  <c r="H511" i="13"/>
  <c r="D608" i="13"/>
  <c r="D610" i="13"/>
  <c r="H815" i="13"/>
  <c r="G1022" i="13"/>
  <c r="H1022" i="13"/>
  <c r="D402" i="13"/>
  <c r="D404" i="13"/>
  <c r="I53" i="13"/>
  <c r="B124" i="13"/>
  <c r="B115" i="13"/>
  <c r="E566" i="13"/>
  <c r="D929" i="13"/>
  <c r="D970" i="13"/>
  <c r="D971" i="13"/>
  <c r="H554" i="13"/>
  <c r="I326" i="13"/>
  <c r="J327" i="13" s="1"/>
  <c r="D219" i="7" s="1"/>
  <c r="E420" i="13"/>
  <c r="I640" i="13"/>
  <c r="E415" i="13"/>
  <c r="D561" i="13"/>
  <c r="H561" i="13" s="1"/>
  <c r="J193" i="13"/>
  <c r="J198" i="13"/>
  <c r="J199" i="13" s="1"/>
  <c r="D150" i="7" s="1"/>
  <c r="J110" i="13"/>
  <c r="I807" i="13"/>
  <c r="C519" i="13"/>
  <c r="E515" i="13"/>
  <c r="H843" i="13"/>
  <c r="H562" i="13"/>
  <c r="H796" i="13"/>
  <c r="H799" i="13" s="1"/>
  <c r="H801" i="13" s="1"/>
  <c r="D343" i="7" s="1"/>
  <c r="G217" i="13"/>
  <c r="G218" i="13" s="1"/>
  <c r="E526" i="13"/>
  <c r="I526" i="13" s="1"/>
  <c r="D177" i="13"/>
  <c r="G1170" i="13"/>
  <c r="I1170" i="13" s="1"/>
  <c r="F277" i="13"/>
  <c r="I80" i="13"/>
  <c r="E314" i="13"/>
  <c r="I314" i="13"/>
  <c r="D637" i="13"/>
  <c r="H637" i="13"/>
  <c r="H538" i="13"/>
  <c r="H539" i="13"/>
  <c r="D78" i="13"/>
  <c r="E522" i="13"/>
  <c r="H522" i="13" s="1"/>
  <c r="C526" i="13"/>
  <c r="H629" i="13"/>
  <c r="H495" i="13"/>
  <c r="E706" i="13"/>
  <c r="E710" i="13"/>
  <c r="F964" i="13"/>
  <c r="F904" i="13"/>
  <c r="D92" i="7"/>
  <c r="G92" i="7" s="1"/>
  <c r="D176" i="13"/>
  <c r="I176" i="13"/>
  <c r="I175" i="13"/>
  <c r="H544" i="13"/>
  <c r="D710" i="13"/>
  <c r="D711" i="13" s="1"/>
  <c r="E529" i="13"/>
  <c r="C533" i="13"/>
  <c r="F449" i="13"/>
  <c r="E178" i="13"/>
  <c r="I696" i="13"/>
  <c r="D403" i="13"/>
  <c r="H403" i="13" s="1"/>
  <c r="H402" i="13"/>
  <c r="G982" i="13"/>
  <c r="E983" i="13" s="1"/>
  <c r="D381" i="13"/>
  <c r="H381" i="13" s="1"/>
  <c r="H380" i="13"/>
  <c r="D297" i="7"/>
  <c r="D553" i="13"/>
  <c r="H553" i="13"/>
  <c r="H552" i="13"/>
  <c r="E788" i="13"/>
  <c r="D789" i="13"/>
  <c r="E787" i="13"/>
  <c r="D639" i="13"/>
  <c r="I82" i="13"/>
  <c r="I81" i="13"/>
  <c r="D202" i="13"/>
  <c r="I202" i="13"/>
  <c r="I205" i="13"/>
  <c r="I206" i="13"/>
  <c r="E1191" i="13"/>
  <c r="H1176" i="13"/>
  <c r="D979" i="13"/>
  <c r="D611" i="13"/>
  <c r="J163" i="13"/>
  <c r="D127" i="7" s="1"/>
  <c r="D131" i="7" s="1"/>
  <c r="G131" i="7" s="1"/>
  <c r="E755" i="13"/>
  <c r="E759" i="13"/>
  <c r="D991" i="13"/>
  <c r="D952" i="13"/>
  <c r="I829" i="13"/>
  <c r="D927" i="13"/>
  <c r="D966" i="13"/>
  <c r="D967" i="13" s="1"/>
  <c r="I99" i="13"/>
  <c r="E100" i="13"/>
  <c r="I100" i="13"/>
  <c r="E171" i="13"/>
  <c r="I171" i="13"/>
  <c r="D173" i="13"/>
  <c r="J173" i="13"/>
  <c r="D975" i="13"/>
  <c r="D353" i="13"/>
  <c r="H353" i="13" s="1"/>
  <c r="E313" i="13"/>
  <c r="I313" i="13"/>
  <c r="E672" i="13"/>
  <c r="G349" i="13"/>
  <c r="E350" i="13" s="1"/>
  <c r="E536" i="13"/>
  <c r="D537" i="13" s="1"/>
  <c r="H537" i="13" s="1"/>
  <c r="C540" i="13"/>
  <c r="H692" i="13"/>
  <c r="H673" i="13"/>
  <c r="F607" i="13"/>
  <c r="D523" i="13"/>
  <c r="H523" i="13" s="1"/>
  <c r="D709" i="13"/>
  <c r="I709" i="13" s="1"/>
  <c r="F905" i="13"/>
  <c r="I711" i="13"/>
  <c r="I710" i="13"/>
  <c r="I759" i="13"/>
  <c r="H536" i="13"/>
  <c r="D102" i="7"/>
  <c r="D101" i="7"/>
  <c r="G101" i="7" s="1"/>
  <c r="D301" i="7"/>
  <c r="G301" i="7" s="1"/>
  <c r="D300" i="7"/>
  <c r="G300" i="7" s="1"/>
  <c r="F906" i="13"/>
  <c r="F968" i="13"/>
  <c r="F970" i="13"/>
  <c r="H207" i="58"/>
  <c r="J7" i="59"/>
  <c r="H7" i="59"/>
  <c r="E162" i="59"/>
  <c r="E131" i="59"/>
  <c r="E364" i="7"/>
  <c r="E95" i="7"/>
  <c r="E329" i="7"/>
  <c r="E283" i="7"/>
  <c r="E218" i="7"/>
  <c r="E516" i="7"/>
  <c r="E146" i="7"/>
  <c r="E453" i="7"/>
  <c r="E340" i="7"/>
  <c r="E199" i="7"/>
  <c r="E120" i="7"/>
  <c r="E237" i="7"/>
  <c r="E304" i="7"/>
  <c r="E226" i="7"/>
  <c r="E116" i="7"/>
  <c r="E508" i="7"/>
  <c r="E331" i="7"/>
  <c r="E106" i="7"/>
  <c r="E374" i="7"/>
  <c r="E507" i="7"/>
  <c r="E104" i="7"/>
  <c r="G104" i="7" s="1"/>
  <c r="E313" i="7"/>
  <c r="E47" i="7"/>
  <c r="E352" i="7"/>
  <c r="E236" i="7"/>
  <c r="E425" i="7"/>
  <c r="E492" i="7"/>
  <c r="E59" i="7"/>
  <c r="E29" i="7"/>
  <c r="E180" i="7"/>
  <c r="E134" i="7"/>
  <c r="E209" i="7"/>
  <c r="E394" i="7"/>
  <c r="E353" i="7"/>
  <c r="E273" i="7"/>
  <c r="E467" i="7"/>
  <c r="H66" i="58"/>
  <c r="D93" i="7"/>
  <c r="D91" i="7"/>
  <c r="G91" i="7" s="1"/>
  <c r="D90" i="7"/>
  <c r="D95" i="7"/>
  <c r="G95" i="7"/>
  <c r="D100" i="7"/>
  <c r="E292" i="7"/>
  <c r="E57" i="7"/>
  <c r="E86" i="7"/>
  <c r="E178" i="7"/>
  <c r="E17" i="7"/>
  <c r="G17" i="7" s="1"/>
  <c r="E474" i="7"/>
  <c r="E274" i="7"/>
  <c r="E76" i="7"/>
  <c r="E157" i="7"/>
  <c r="E68" i="7"/>
  <c r="E295" i="7"/>
  <c r="E9" i="7"/>
  <c r="G9" i="7"/>
  <c r="E499" i="7"/>
  <c r="D514" i="7"/>
  <c r="G514" i="7"/>
  <c r="H510" i="7" s="1"/>
  <c r="D245" i="7"/>
  <c r="C127" i="7"/>
  <c r="C109" i="7"/>
  <c r="C89" i="7"/>
  <c r="C80" i="7"/>
  <c r="N10" i="7"/>
  <c r="C297" i="7"/>
  <c r="E363" i="7"/>
  <c r="E404" i="7"/>
  <c r="E452" i="7"/>
  <c r="E393" i="7"/>
  <c r="E197" i="7"/>
  <c r="E100" i="7"/>
  <c r="G100" i="7" s="1"/>
  <c r="E299" i="7"/>
  <c r="E493" i="7"/>
  <c r="E281" i="7"/>
  <c r="E36" i="7"/>
  <c r="E495" i="7"/>
  <c r="E91" i="7"/>
  <c r="E504" i="7"/>
  <c r="E359" i="7"/>
  <c r="E176" i="7"/>
  <c r="E402" i="7"/>
  <c r="E380" i="7"/>
  <c r="E327" i="7"/>
  <c r="E52" i="7"/>
  <c r="E278" i="7"/>
  <c r="E360" i="7"/>
  <c r="E270" i="7"/>
  <c r="E81" i="7"/>
  <c r="E449" i="7"/>
  <c r="E45" i="7"/>
  <c r="E55" i="7"/>
  <c r="E102" i="7"/>
  <c r="G102" i="7" s="1"/>
  <c r="E358" i="7"/>
  <c r="E301" i="7"/>
  <c r="E324" i="7"/>
  <c r="E215" i="7"/>
  <c r="E514" i="7"/>
  <c r="E378" i="7"/>
  <c r="E93" i="7"/>
  <c r="E186" i="7"/>
  <c r="E390" i="7"/>
  <c r="E14" i="7"/>
  <c r="G14" i="7" s="1"/>
  <c r="E410" i="7"/>
  <c r="E195" i="7"/>
  <c r="E142" i="59"/>
  <c r="E63" i="7"/>
  <c r="E43" i="7"/>
  <c r="E113" i="7"/>
  <c r="E192" i="7"/>
  <c r="E290" i="7"/>
  <c r="E111" i="7"/>
  <c r="E368" i="7"/>
  <c r="E129" i="7"/>
  <c r="E92" i="7"/>
  <c r="E194" i="7"/>
  <c r="E54" i="7"/>
  <c r="E35" i="7"/>
  <c r="E112" i="7"/>
  <c r="E222" i="7"/>
  <c r="E336" i="7"/>
  <c r="E401" i="7"/>
  <c r="E55" i="59"/>
  <c r="G55" i="59"/>
  <c r="E439" i="7"/>
  <c r="G439" i="7" s="1"/>
  <c r="E16" i="7"/>
  <c r="E133" i="7"/>
  <c r="E339" i="7"/>
  <c r="E184" i="7"/>
  <c r="E450" i="7"/>
  <c r="E260" i="7"/>
  <c r="E325" i="7"/>
  <c r="E373" i="7"/>
  <c r="E99" i="7"/>
  <c r="E245" i="7"/>
  <c r="G245" i="7" s="1"/>
  <c r="E383" i="7"/>
  <c r="E223" i="7"/>
  <c r="E122" i="7"/>
  <c r="E105" i="7"/>
  <c r="G105" i="7" s="1"/>
  <c r="E399" i="7"/>
  <c r="E183" i="7"/>
  <c r="E497" i="7"/>
  <c r="E38" i="7"/>
  <c r="E412" i="7"/>
  <c r="E33" i="7"/>
  <c r="E131" i="7"/>
  <c r="E83" i="7"/>
  <c r="E175" i="7"/>
  <c r="E494" i="7"/>
  <c r="E269" i="7"/>
  <c r="E505" i="7"/>
  <c r="E101" i="7"/>
  <c r="E280" i="7"/>
  <c r="E326" i="7"/>
  <c r="E205" i="7"/>
  <c r="E300" i="7"/>
  <c r="E214" i="7"/>
  <c r="E291" i="7"/>
  <c r="E64" i="7"/>
  <c r="E121" i="7"/>
  <c r="E130" i="7"/>
  <c r="E208" i="7"/>
  <c r="E400" i="7"/>
  <c r="E174" i="7"/>
  <c r="E193" i="7"/>
  <c r="E438" i="7"/>
  <c r="G438" i="7"/>
  <c r="E361" i="7"/>
  <c r="E217" i="7"/>
  <c r="E67" i="7"/>
  <c r="E414" i="7"/>
  <c r="E294" i="7"/>
  <c r="E225" i="7"/>
  <c r="E303" i="7"/>
  <c r="E124" i="7"/>
  <c r="E279" i="7"/>
  <c r="E26" i="7"/>
  <c r="E441" i="7"/>
  <c r="E391" i="7"/>
  <c r="E115" i="7"/>
  <c r="E319" i="7"/>
  <c r="E156" i="7"/>
  <c r="E167" i="7"/>
  <c r="E249" i="7"/>
  <c r="E145" i="7"/>
  <c r="E498" i="7"/>
  <c r="E468" i="7"/>
  <c r="G468" i="7"/>
  <c r="E437" i="7"/>
  <c r="E337" i="7"/>
  <c r="E65" i="7"/>
  <c r="E267" i="7"/>
  <c r="E90" i="7"/>
  <c r="G90" i="7"/>
  <c r="E388" i="7"/>
  <c r="E213" i="7"/>
  <c r="E204" i="7"/>
  <c r="E335" i="7"/>
  <c r="E221" i="7"/>
  <c r="E442" i="7"/>
  <c r="E125" i="7"/>
  <c r="E48" i="7"/>
  <c r="E190" i="7"/>
  <c r="E415" i="7"/>
  <c r="E479" i="7"/>
  <c r="E97" i="7"/>
  <c r="E141" i="59"/>
  <c r="E120" i="59"/>
  <c r="G17" i="59"/>
  <c r="G75" i="59"/>
  <c r="G108" i="59"/>
  <c r="E132" i="59"/>
  <c r="E121" i="59"/>
  <c r="G20" i="59"/>
  <c r="I223" i="58"/>
  <c r="D80" i="59"/>
  <c r="H230" i="58"/>
  <c r="H233" i="58" s="1"/>
  <c r="I233" i="58" s="1"/>
  <c r="D81" i="59" s="1"/>
  <c r="D85" i="59" s="1"/>
  <c r="G85" i="59" s="1"/>
  <c r="D303" i="58"/>
  <c r="D307" i="58"/>
  <c r="H307" i="58" s="1"/>
  <c r="I24" i="58"/>
  <c r="D8" i="59" s="1"/>
  <c r="D12" i="59" s="1"/>
  <c r="H177" i="58"/>
  <c r="G125" i="58"/>
  <c r="C74" i="58"/>
  <c r="H287" i="58"/>
  <c r="H248" i="58"/>
  <c r="H249" i="58" s="1"/>
  <c r="H69" i="58"/>
  <c r="I202" i="58"/>
  <c r="D179" i="58" s="1"/>
  <c r="H179" i="58" s="1"/>
  <c r="D66" i="59"/>
  <c r="D77" i="59"/>
  <c r="G77" i="59" s="1"/>
  <c r="G233" i="58"/>
  <c r="I266" i="58"/>
  <c r="D96" i="59" s="1"/>
  <c r="D98" i="59" s="1"/>
  <c r="G98" i="59" s="1"/>
  <c r="D100" i="59"/>
  <c r="G100" i="59"/>
  <c r="H114" i="58"/>
  <c r="H65" i="58"/>
  <c r="H68" i="58"/>
  <c r="H192" i="58"/>
  <c r="H226" i="58"/>
  <c r="H63" i="58"/>
  <c r="I274" i="58"/>
  <c r="D104" i="59"/>
  <c r="G104" i="59"/>
  <c r="H58" i="58"/>
  <c r="H59" i="58"/>
  <c r="D14" i="59" s="1"/>
  <c r="C72" i="58"/>
  <c r="C75" i="58" s="1"/>
  <c r="H75" i="58" s="1"/>
  <c r="H71" i="58"/>
  <c r="D299" i="58"/>
  <c r="H299" i="58" s="1"/>
  <c r="D129" i="59" s="1"/>
  <c r="D73" i="59"/>
  <c r="G73" i="59" s="1"/>
  <c r="D72" i="59"/>
  <c r="D74" i="59"/>
  <c r="G74" i="59"/>
  <c r="D170" i="58"/>
  <c r="H170" i="58"/>
  <c r="I174" i="58" s="1"/>
  <c r="D27" i="59" s="1"/>
  <c r="D71" i="59"/>
  <c r="G71" i="59"/>
  <c r="D301" i="58"/>
  <c r="H301" i="58" s="1"/>
  <c r="D139" i="59" s="1"/>
  <c r="D11" i="59"/>
  <c r="D183" i="59"/>
  <c r="G183" i="59" s="1"/>
  <c r="H72" i="58"/>
  <c r="D217" i="59"/>
  <c r="G217" i="59" s="1"/>
  <c r="D218" i="59"/>
  <c r="G218" i="59" s="1"/>
  <c r="D135" i="59"/>
  <c r="G135" i="59" s="1"/>
  <c r="D131" i="59"/>
  <c r="D136" i="59"/>
  <c r="G136" i="59" s="1"/>
  <c r="D142" i="59"/>
  <c r="G131" i="59"/>
  <c r="N8" i="7"/>
  <c r="D512" i="7"/>
  <c r="D516" i="7"/>
  <c r="G516" i="7"/>
  <c r="J510" i="7"/>
  <c r="D513" i="7"/>
  <c r="D104" i="7"/>
  <c r="D99" i="7"/>
  <c r="D105" i="7"/>
  <c r="D106" i="7"/>
  <c r="G106" i="7" s="1"/>
  <c r="C446" i="7"/>
  <c r="D16" i="7"/>
  <c r="D14" i="7"/>
  <c r="D13" i="7"/>
  <c r="N9" i="7"/>
  <c r="C202" i="7"/>
  <c r="C219" i="7"/>
  <c r="F24" i="13"/>
  <c r="I23" i="13"/>
  <c r="I24" i="13"/>
  <c r="F25" i="13"/>
  <c r="I25" i="13"/>
  <c r="G16" i="7"/>
  <c r="G13" i="7"/>
  <c r="E34" i="59"/>
  <c r="E421" i="7"/>
  <c r="E232" i="7"/>
  <c r="E316" i="7"/>
  <c r="E256" i="7"/>
  <c r="E349" i="7"/>
  <c r="E244" i="7"/>
  <c r="E153" i="7"/>
  <c r="E164" i="7"/>
  <c r="E309" i="7"/>
  <c r="E462" i="7"/>
  <c r="E465" i="7"/>
  <c r="E405" i="7"/>
  <c r="E284" i="7"/>
  <c r="E87" i="7"/>
  <c r="E330" i="7"/>
  <c r="E39" i="7"/>
  <c r="E179" i="7"/>
  <c r="E198" i="7"/>
  <c r="E58" i="7"/>
  <c r="E96" i="7"/>
  <c r="E39" i="59"/>
  <c r="G39" i="59"/>
  <c r="E29" i="59"/>
  <c r="E49" i="59"/>
  <c r="E52" i="59"/>
  <c r="E347" i="7"/>
  <c r="E257" i="7"/>
  <c r="E141" i="7"/>
  <c r="E152" i="7"/>
  <c r="E72" i="7"/>
  <c r="E30" i="59"/>
  <c r="E41" i="59"/>
  <c r="G41" i="59" s="1"/>
  <c r="E32" i="59"/>
  <c r="E426" i="7"/>
  <c r="E285" i="7"/>
  <c r="E40" i="7"/>
  <c r="E168" i="7"/>
  <c r="E486" i="7"/>
  <c r="E88" i="7"/>
  <c r="E406" i="7"/>
  <c r="E320" i="7"/>
  <c r="E21" i="7"/>
  <c r="E384" i="7"/>
  <c r="E261" i="7"/>
  <c r="E250" i="7"/>
  <c r="I254" i="13" l="1"/>
  <c r="F535" i="13"/>
  <c r="E540" i="13" s="1"/>
  <c r="I540" i="13" s="1"/>
  <c r="H350" i="13"/>
  <c r="D351" i="13"/>
  <c r="H351" i="13" s="1"/>
  <c r="J11" i="7"/>
  <c r="D161" i="7"/>
  <c r="D33" i="59"/>
  <c r="D34" i="59"/>
  <c r="G34" i="59" s="1"/>
  <c r="H813" i="13"/>
  <c r="G1020" i="13"/>
  <c r="H1020" i="13" s="1"/>
  <c r="H1060" i="13" s="1"/>
  <c r="I27" i="13"/>
  <c r="I937" i="13"/>
  <c r="I193" i="58"/>
  <c r="G22" i="59"/>
  <c r="J8" i="59" s="1"/>
  <c r="D239" i="59"/>
  <c r="G239" i="59" s="1"/>
  <c r="F29" i="13"/>
  <c r="I28" i="13"/>
  <c r="D577" i="13"/>
  <c r="D579" i="13"/>
  <c r="I579" i="13" s="1"/>
  <c r="D575" i="13"/>
  <c r="D457" i="7"/>
  <c r="D463" i="7" s="1"/>
  <c r="D542" i="7" s="1"/>
  <c r="G542" i="7" s="1"/>
  <c r="J1123" i="13"/>
  <c r="D244" i="59"/>
  <c r="G244" i="59" s="1"/>
  <c r="D223" i="59"/>
  <c r="G223" i="59" s="1"/>
  <c r="D220" i="59"/>
  <c r="G220" i="59" s="1"/>
  <c r="D189" i="59"/>
  <c r="G189" i="59" s="1"/>
  <c r="D225" i="59"/>
  <c r="G225" i="59" s="1"/>
  <c r="D192" i="59"/>
  <c r="G192" i="59" s="1"/>
  <c r="D245" i="59"/>
  <c r="G245" i="59" s="1"/>
  <c r="D231" i="59"/>
  <c r="G231" i="59" s="1"/>
  <c r="D216" i="59"/>
  <c r="G216" i="59" s="1"/>
  <c r="D205" i="59"/>
  <c r="G205" i="59" s="1"/>
  <c r="D242" i="59"/>
  <c r="G242" i="59" s="1"/>
  <c r="D197" i="59"/>
  <c r="G197" i="59" s="1"/>
  <c r="D222" i="59"/>
  <c r="G222" i="59" s="1"/>
  <c r="D219" i="59"/>
  <c r="G219" i="59" s="1"/>
  <c r="D229" i="59"/>
  <c r="G229" i="59" s="1"/>
  <c r="I738" i="13"/>
  <c r="D739" i="13"/>
  <c r="I739" i="13" s="1"/>
  <c r="D584" i="13"/>
  <c r="D582" i="13"/>
  <c r="D586" i="13"/>
  <c r="D368" i="13"/>
  <c r="D364" i="13"/>
  <c r="D366" i="13"/>
  <c r="D88" i="59"/>
  <c r="D89" i="59"/>
  <c r="G89" i="59" s="1"/>
  <c r="D93" i="59"/>
  <c r="D84" i="59"/>
  <c r="D221" i="59" s="1"/>
  <c r="G221" i="59" s="1"/>
  <c r="G93" i="59"/>
  <c r="D453" i="13"/>
  <c r="H453" i="13" s="1"/>
  <c r="D115" i="59"/>
  <c r="G115" i="59" s="1"/>
  <c r="D113" i="59"/>
  <c r="G113" i="59" s="1"/>
  <c r="D141" i="59"/>
  <c r="D144" i="59"/>
  <c r="G144" i="59" s="1"/>
  <c r="D145" i="59"/>
  <c r="G145" i="59" s="1"/>
  <c r="C43" i="36"/>
  <c r="K9" i="36"/>
  <c r="C42" i="36"/>
  <c r="F42" i="36" s="1"/>
  <c r="G84" i="59"/>
  <c r="D215" i="59"/>
  <c r="G215" i="59" s="1"/>
  <c r="C354" i="13"/>
  <c r="D160" i="7"/>
  <c r="G33" i="59"/>
  <c r="D347" i="7"/>
  <c r="G347" i="7" s="1"/>
  <c r="H62" i="58"/>
  <c r="C73" i="58"/>
  <c r="D123" i="59"/>
  <c r="G123" i="59" s="1"/>
  <c r="D122" i="59"/>
  <c r="G122" i="59" s="1"/>
  <c r="D125" i="59"/>
  <c r="G125" i="59" s="1"/>
  <c r="D121" i="59"/>
  <c r="D126" i="59"/>
  <c r="G126" i="59" s="1"/>
  <c r="D127" i="59"/>
  <c r="D545" i="7"/>
  <c r="G545" i="7" s="1"/>
  <c r="D553" i="7"/>
  <c r="G553" i="7" s="1"/>
  <c r="D548" i="7"/>
  <c r="G548" i="7" s="1"/>
  <c r="D544" i="7"/>
  <c r="G544" i="7" s="1"/>
  <c r="D554" i="7"/>
  <c r="G554" i="7" s="1"/>
  <c r="H93" i="34"/>
  <c r="H94" i="34" s="1"/>
  <c r="K94" i="34" s="1"/>
  <c r="K96" i="34" s="1"/>
  <c r="D228" i="59"/>
  <c r="G228" i="59" s="1"/>
  <c r="D203" i="59"/>
  <c r="G203" i="59" s="1"/>
  <c r="F278" i="13"/>
  <c r="H95" i="34"/>
  <c r="K95" i="34" s="1"/>
  <c r="E909" i="13"/>
  <c r="H865" i="13"/>
  <c r="E866" i="13"/>
  <c r="C306" i="58"/>
  <c r="H306" i="58" s="1"/>
  <c r="H308" i="58" s="1"/>
  <c r="H309" i="58" s="1"/>
  <c r="D159" i="59" s="1"/>
  <c r="H303" i="58"/>
  <c r="D147" i="59" s="1"/>
  <c r="D186" i="59"/>
  <c r="G186" i="59" s="1"/>
  <c r="G14" i="59"/>
  <c r="D792" i="13"/>
  <c r="I792" i="13" s="1"/>
  <c r="D793" i="13"/>
  <c r="J793" i="13" s="1"/>
  <c r="D223" i="7"/>
  <c r="G223" i="7" s="1"/>
  <c r="D222" i="7"/>
  <c r="G222" i="7" s="1"/>
  <c r="D221" i="7"/>
  <c r="G221" i="7" s="1"/>
  <c r="D226" i="7"/>
  <c r="G226" i="7" s="1"/>
  <c r="D225" i="7"/>
  <c r="G225" i="7" s="1"/>
  <c r="H671" i="13"/>
  <c r="E690" i="13"/>
  <c r="H690" i="13" s="1"/>
  <c r="D199" i="59"/>
  <c r="G199" i="59" s="1"/>
  <c r="E177" i="13"/>
  <c r="J177" i="13" s="1"/>
  <c r="D129" i="7"/>
  <c r="G129" i="7" s="1"/>
  <c r="D133" i="7"/>
  <c r="G133" i="7" s="1"/>
  <c r="J127" i="7" s="1"/>
  <c r="D134" i="7"/>
  <c r="G134" i="7" s="1"/>
  <c r="D130" i="7"/>
  <c r="G130" i="7" s="1"/>
  <c r="H415" i="13"/>
  <c r="F217" i="13"/>
  <c r="F342" i="13"/>
  <c r="E347" i="13" s="1"/>
  <c r="D276" i="7"/>
  <c r="F528" i="13"/>
  <c r="E533" i="13" s="1"/>
  <c r="I253" i="13"/>
  <c r="E34" i="7"/>
  <c r="E44" i="7"/>
  <c r="E53" i="7"/>
  <c r="G11" i="59"/>
  <c r="D35" i="59"/>
  <c r="G35" i="59" s="1"/>
  <c r="D551" i="7"/>
  <c r="G551" i="7" s="1"/>
  <c r="D224" i="59"/>
  <c r="G224" i="59" s="1"/>
  <c r="D546" i="7"/>
  <c r="G546" i="7" s="1"/>
  <c r="D243" i="59"/>
  <c r="G243" i="59" s="1"/>
  <c r="D185" i="59"/>
  <c r="G185" i="59" s="1"/>
  <c r="G12" i="59"/>
  <c r="D184" i="59"/>
  <c r="G184" i="59" s="1"/>
  <c r="J98" i="7"/>
  <c r="D509" i="13"/>
  <c r="H509" i="13" s="1"/>
  <c r="H508" i="13"/>
  <c r="F137" i="13"/>
  <c r="I136" i="13"/>
  <c r="I249" i="13"/>
  <c r="E255" i="13"/>
  <c r="E670" i="13" s="1"/>
  <c r="E311" i="13"/>
  <c r="I311" i="13" s="1"/>
  <c r="E500" i="13"/>
  <c r="D505" i="13" s="1"/>
  <c r="I505" i="13" s="1"/>
  <c r="F241" i="13"/>
  <c r="F463" i="13"/>
  <c r="G167" i="58"/>
  <c r="D731" i="13"/>
  <c r="I731" i="13" s="1"/>
  <c r="I730" i="13"/>
  <c r="G87" i="59"/>
  <c r="G121" i="59"/>
  <c r="D181" i="13"/>
  <c r="D179" i="13"/>
  <c r="D133" i="59"/>
  <c r="G133" i="59" s="1"/>
  <c r="D132" i="59"/>
  <c r="J111" i="13"/>
  <c r="D50" i="7" s="1"/>
  <c r="H1151" i="13"/>
  <c r="I1198" i="13"/>
  <c r="D1201" i="13"/>
  <c r="I1201" i="13" s="1"/>
  <c r="I1178" i="13"/>
  <c r="E224" i="13"/>
  <c r="E342" i="13"/>
  <c r="D347" i="13" s="1"/>
  <c r="I347" i="13" s="1"/>
  <c r="E934" i="13"/>
  <c r="E982" i="13"/>
  <c r="E984" i="13" s="1"/>
  <c r="H373" i="13"/>
  <c r="D374" i="13"/>
  <c r="H374" i="13" s="1"/>
  <c r="H7" i="7"/>
  <c r="J7" i="7"/>
  <c r="I216" i="13"/>
  <c r="J844" i="13"/>
  <c r="J845" i="13" s="1"/>
  <c r="J1127" i="13"/>
  <c r="D458" i="7"/>
  <c r="D464" i="7" s="1"/>
  <c r="G464" i="7" s="1"/>
  <c r="E960" i="13"/>
  <c r="E961" i="13" s="1"/>
  <c r="G809" i="13"/>
  <c r="G810" i="13" s="1"/>
  <c r="I810" i="13" s="1"/>
  <c r="I808" i="13"/>
  <c r="D97" i="7"/>
  <c r="G97" i="7" s="1"/>
  <c r="D96" i="7"/>
  <c r="G96" i="7" s="1"/>
  <c r="J89" i="7" s="1"/>
  <c r="J49" i="13"/>
  <c r="F406" i="13"/>
  <c r="E411" i="13" s="1"/>
  <c r="I227" i="13"/>
  <c r="G978" i="13"/>
  <c r="E980" i="13" s="1"/>
  <c r="G933" i="13"/>
  <c r="C340" i="13"/>
  <c r="E340" i="13"/>
  <c r="E336" i="13"/>
  <c r="G903" i="13"/>
  <c r="G962" i="13"/>
  <c r="G925" i="13"/>
  <c r="I925" i="13" s="1"/>
  <c r="H11" i="7"/>
  <c r="I7" i="59"/>
  <c r="D153" i="7"/>
  <c r="G153" i="7" s="1"/>
  <c r="C586" i="13"/>
  <c r="E582" i="13"/>
  <c r="K7" i="59"/>
  <c r="E896" i="13"/>
  <c r="H820" i="13"/>
  <c r="E821" i="13"/>
  <c r="G277" i="13"/>
  <c r="I277" i="13" s="1"/>
  <c r="G274" i="13"/>
  <c r="G588" i="13"/>
  <c r="I273" i="13"/>
  <c r="E381" i="7"/>
  <c r="E371" i="7"/>
  <c r="G132" i="59"/>
  <c r="H167" i="58"/>
  <c r="I167" i="58" s="1"/>
  <c r="D26" i="59" s="1"/>
  <c r="D32" i="59" s="1"/>
  <c r="G32" i="59" s="1"/>
  <c r="F456" i="13"/>
  <c r="G356" i="13"/>
  <c r="G219" i="13"/>
  <c r="G222" i="13"/>
  <c r="C579" i="13"/>
  <c r="E579" i="13"/>
  <c r="E575" i="13"/>
  <c r="H639" i="13"/>
  <c r="I114" i="58"/>
  <c r="D25" i="59" s="1"/>
  <c r="G99" i="7"/>
  <c r="H98" i="7" s="1"/>
  <c r="H672" i="13"/>
  <c r="E691" i="13"/>
  <c r="H691" i="13" s="1"/>
  <c r="D984" i="13"/>
  <c r="I984" i="13" s="1"/>
  <c r="D983" i="13"/>
  <c r="H983" i="13" s="1"/>
  <c r="M44" i="34"/>
  <c r="D517" i="13"/>
  <c r="D518" i="13" s="1"/>
  <c r="D515" i="13"/>
  <c r="H515" i="13" s="1"/>
  <c r="D646" i="13"/>
  <c r="I646" i="13" s="1"/>
  <c r="D642" i="13"/>
  <c r="D644" i="13"/>
  <c r="D645" i="13" s="1"/>
  <c r="H645" i="13" s="1"/>
  <c r="D604" i="13"/>
  <c r="H604" i="13" s="1"/>
  <c r="H603" i="13"/>
  <c r="E738" i="13"/>
  <c r="I809" i="13"/>
  <c r="E927" i="13"/>
  <c r="E966" i="13"/>
  <c r="E967" i="13" s="1"/>
  <c r="H967" i="13" s="1"/>
  <c r="D706" i="13"/>
  <c r="E712" i="13"/>
  <c r="H963" i="13"/>
  <c r="E922" i="13"/>
  <c r="E955" i="13"/>
  <c r="E956" i="13" s="1"/>
  <c r="D343" i="13"/>
  <c r="D345" i="13"/>
  <c r="H345" i="13" s="1"/>
  <c r="D467" i="13"/>
  <c r="H467" i="13" s="1"/>
  <c r="I872" i="13"/>
  <c r="E878" i="13"/>
  <c r="E883" i="13" s="1"/>
  <c r="H842" i="13"/>
  <c r="H844" i="13" s="1"/>
  <c r="E898" i="13"/>
  <c r="I708" i="13"/>
  <c r="F8" i="35"/>
  <c r="L52" i="34"/>
  <c r="L53" i="34" s="1"/>
  <c r="K32" i="37"/>
  <c r="D473" i="13"/>
  <c r="D475" i="13"/>
  <c r="H524" i="13"/>
  <c r="D525" i="13"/>
  <c r="H525" i="13" s="1"/>
  <c r="H644" i="13"/>
  <c r="D747" i="13"/>
  <c r="H747" i="13" s="1"/>
  <c r="D746" i="13"/>
  <c r="H746" i="13" s="1"/>
  <c r="H748" i="13" s="1"/>
  <c r="D776" i="13"/>
  <c r="I776" i="13" s="1"/>
  <c r="I773" i="13"/>
  <c r="H1029" i="13"/>
  <c r="E1035" i="13"/>
  <c r="I1035" i="13" s="1"/>
  <c r="D436" i="7"/>
  <c r="G436" i="7" s="1"/>
  <c r="D442" i="7"/>
  <c r="G442" i="7" s="1"/>
  <c r="C79" i="58"/>
  <c r="D16" i="59" s="1"/>
  <c r="H74" i="58"/>
  <c r="G141" i="59"/>
  <c r="G142" i="59"/>
  <c r="D299" i="7"/>
  <c r="G299" i="7" s="1"/>
  <c r="D304" i="7"/>
  <c r="G304" i="7" s="1"/>
  <c r="D303" i="7"/>
  <c r="G303" i="7" s="1"/>
  <c r="E92" i="13"/>
  <c r="I92" i="13" s="1"/>
  <c r="E91" i="13"/>
  <c r="I91" i="13" s="1"/>
  <c r="I90" i="13"/>
  <c r="D995" i="13"/>
  <c r="I72" i="13"/>
  <c r="C347" i="13"/>
  <c r="E343" i="13"/>
  <c r="D338" i="13"/>
  <c r="D336" i="13"/>
  <c r="D340" i="13"/>
  <c r="D955" i="13"/>
  <c r="D922" i="13"/>
  <c r="I922" i="13" s="1"/>
  <c r="I899" i="13"/>
  <c r="E82" i="7"/>
  <c r="D530" i="13"/>
  <c r="H530" i="13" s="1"/>
  <c r="E30" i="36"/>
  <c r="I30" i="36" s="1"/>
  <c r="D423" i="13"/>
  <c r="D425" i="13"/>
  <c r="H425" i="13" s="1"/>
  <c r="D428" i="13"/>
  <c r="D532" i="13"/>
  <c r="H532" i="13" s="1"/>
  <c r="H531" i="13"/>
  <c r="D614" i="13"/>
  <c r="D618" i="13"/>
  <c r="D616" i="13"/>
  <c r="E642" i="13"/>
  <c r="C646" i="13"/>
  <c r="H610" i="13"/>
  <c r="E182" i="59"/>
  <c r="E540" i="7"/>
  <c r="G27" i="13"/>
  <c r="G28" i="13"/>
  <c r="G29" i="13" s="1"/>
  <c r="L2" i="37"/>
  <c r="L3" i="37" s="1"/>
  <c r="L4" i="37" s="1"/>
  <c r="L5" i="37" s="1"/>
  <c r="L6" i="37" s="1"/>
  <c r="L7" i="37" s="1"/>
  <c r="L8" i="37" s="1"/>
  <c r="L9" i="37" s="1"/>
  <c r="L10" i="37" s="1"/>
  <c r="L11" i="37" s="1"/>
  <c r="L12" i="37" s="1"/>
  <c r="L13" i="37" s="1"/>
  <c r="L14" i="37" s="1"/>
  <c r="L15" i="37" s="1"/>
  <c r="L16" i="37" s="1"/>
  <c r="L17" i="37" s="1"/>
  <c r="L18" i="37" s="1"/>
  <c r="L19" i="37" s="1"/>
  <c r="L20" i="37" s="1"/>
  <c r="L21" i="37" s="1"/>
  <c r="L22" i="37" s="1"/>
  <c r="L23" i="37" s="1"/>
  <c r="L24" i="37" s="1"/>
  <c r="L25" i="37" s="1"/>
  <c r="L26" i="37" s="1"/>
  <c r="L27" i="37" s="1"/>
  <c r="L28" i="37" s="1"/>
  <c r="L29" i="37" s="1"/>
  <c r="L30" i="37" s="1"/>
  <c r="L31" i="37" s="1"/>
  <c r="L32" i="37" s="1"/>
  <c r="L33" i="37" s="1"/>
  <c r="L34" i="37" s="1"/>
  <c r="L35" i="37" s="1"/>
  <c r="L36" i="37" s="1"/>
  <c r="L37" i="37" s="1"/>
  <c r="L38" i="37" s="1"/>
  <c r="L39" i="37" s="1"/>
  <c r="L40" i="37" s="1"/>
  <c r="L41" i="37" s="1"/>
  <c r="L42" i="37" s="1"/>
  <c r="L43" i="37" s="1"/>
  <c r="K9" i="37"/>
  <c r="I1135" i="13"/>
  <c r="D459" i="7" s="1"/>
  <c r="D465" i="7" s="1"/>
  <c r="G465" i="7" s="1"/>
  <c r="E389" i="7"/>
  <c r="E233" i="7"/>
  <c r="D760" i="13"/>
  <c r="I760" i="13" s="1"/>
  <c r="I19" i="35"/>
  <c r="F442" i="13"/>
  <c r="I237" i="13"/>
  <c r="B126" i="13"/>
  <c r="B116" i="13"/>
  <c r="E242" i="13"/>
  <c r="D445" i="13"/>
  <c r="D446" i="13" s="1"/>
  <c r="H446" i="13" s="1"/>
  <c r="D443" i="13"/>
  <c r="E745" i="13"/>
  <c r="E747" i="13" s="1"/>
  <c r="H674" i="13"/>
  <c r="D24" i="35"/>
  <c r="E484" i="7"/>
  <c r="E369" i="7"/>
  <c r="E379" i="7"/>
  <c r="G93" i="7"/>
  <c r="H89" i="7" s="1"/>
  <c r="E163" i="7"/>
  <c r="F966" i="13"/>
  <c r="N73" i="34"/>
  <c r="E85" i="13"/>
  <c r="E86" i="13" s="1"/>
  <c r="E84" i="13"/>
  <c r="B117" i="13"/>
  <c r="B128" i="13"/>
  <c r="F485" i="13"/>
  <c r="F246" i="13"/>
  <c r="H6" i="39"/>
  <c r="I288" i="58"/>
  <c r="J798" i="13"/>
  <c r="I411" i="13"/>
  <c r="I44" i="34"/>
  <c r="I45" i="34" s="1"/>
  <c r="I47" i="34" s="1"/>
  <c r="L40" i="34"/>
  <c r="K17" i="37"/>
  <c r="K46" i="37" s="1"/>
  <c r="H366" i="13"/>
  <c r="H965" i="13"/>
  <c r="H867" i="13"/>
  <c r="D516" i="13"/>
  <c r="H516" i="13" s="1"/>
  <c r="E195" i="13"/>
  <c r="E191" i="13"/>
  <c r="D480" i="13"/>
  <c r="H480" i="13" s="1"/>
  <c r="E485" i="13"/>
  <c r="E247" i="13"/>
  <c r="D488" i="13"/>
  <c r="H488" i="13" s="1"/>
  <c r="D486" i="13"/>
  <c r="D490" i="13"/>
  <c r="H426" i="13"/>
  <c r="D427" i="13"/>
  <c r="H427" i="13" s="1"/>
  <c r="D529" i="13"/>
  <c r="H529" i="13" s="1"/>
  <c r="D531" i="13"/>
  <c r="D533" i="13"/>
  <c r="D716" i="13"/>
  <c r="D717" i="13" s="1"/>
  <c r="I717" i="13" s="1"/>
  <c r="D722" i="13"/>
  <c r="D720" i="13"/>
  <c r="D718" i="13"/>
  <c r="I774" i="13"/>
  <c r="G127" i="59"/>
  <c r="D420" i="13"/>
  <c r="I420" i="13" s="1"/>
  <c r="D417" i="13"/>
  <c r="H417" i="13" s="1"/>
  <c r="D418" i="13"/>
  <c r="D419" i="13" s="1"/>
  <c r="H419" i="13" s="1"/>
  <c r="D415" i="13"/>
  <c r="D416" i="13" s="1"/>
  <c r="H416" i="13" s="1"/>
  <c r="G227" i="13"/>
  <c r="G406" i="13" s="1"/>
  <c r="G399" i="13"/>
  <c r="H14" i="39"/>
  <c r="E173" i="7"/>
  <c r="E503" i="7"/>
  <c r="E88" i="59"/>
  <c r="G88" i="59" s="1"/>
  <c r="H123" i="34"/>
  <c r="G150" i="34"/>
  <c r="H150" i="34" s="1"/>
  <c r="D183" i="13"/>
  <c r="D185" i="13"/>
  <c r="J185" i="13" s="1"/>
  <c r="D387" i="13"/>
  <c r="D385" i="13"/>
  <c r="D389" i="13"/>
  <c r="D454" i="13"/>
  <c r="E649" i="13"/>
  <c r="E653" i="13"/>
  <c r="I653" i="13" s="1"/>
  <c r="D367" i="13"/>
  <c r="H367" i="13" s="1"/>
  <c r="J40" i="13"/>
  <c r="G24" i="36"/>
  <c r="E24" i="36" s="1"/>
  <c r="I24" i="36" s="1"/>
  <c r="K24" i="36" s="1"/>
  <c r="E1175" i="13"/>
  <c r="E299" i="13"/>
  <c r="I299" i="13" s="1"/>
  <c r="I26" i="13"/>
  <c r="I191" i="13"/>
  <c r="G17" i="36"/>
  <c r="E17" i="36" s="1"/>
  <c r="I17" i="36" s="1"/>
  <c r="K17" i="36" s="1"/>
  <c r="I17" i="13"/>
  <c r="D346" i="13"/>
  <c r="H346" i="13" s="1"/>
  <c r="D496" i="13"/>
  <c r="H496" i="13" s="1"/>
  <c r="I903" i="13"/>
  <c r="D501" i="13"/>
  <c r="D503" i="13"/>
  <c r="E957" i="13"/>
  <c r="D73" i="13"/>
  <c r="I231" i="13"/>
  <c r="G422" i="13"/>
  <c r="H631" i="13"/>
  <c r="D632" i="13"/>
  <c r="H632" i="13" s="1"/>
  <c r="F4" i="35"/>
  <c r="F10" i="35" s="1"/>
  <c r="D10" i="35"/>
  <c r="I10" i="35" s="1"/>
  <c r="G237" i="13"/>
  <c r="G435" i="13"/>
  <c r="E440" i="13" s="1"/>
  <c r="I440" i="13" s="1"/>
  <c r="E507" i="13"/>
  <c r="D512" i="13" s="1"/>
  <c r="I512" i="13" s="1"/>
  <c r="I250" i="13"/>
  <c r="H861" i="13"/>
  <c r="G1043" i="13"/>
  <c r="D1037" i="13"/>
  <c r="I1037" i="13" s="1"/>
  <c r="H1043" i="13"/>
  <c r="G72" i="59"/>
  <c r="E992" i="13"/>
  <c r="I59" i="34"/>
  <c r="I60" i="34" s="1"/>
  <c r="I62" i="34" s="1"/>
  <c r="G1172" i="13"/>
  <c r="D124" i="13"/>
  <c r="D125" i="13" s="1"/>
  <c r="I125" i="13" s="1"/>
  <c r="I130" i="13" s="1"/>
  <c r="D783" i="13"/>
  <c r="I783" i="13" s="1"/>
  <c r="E784" i="13"/>
  <c r="J784" i="13" s="1"/>
  <c r="D782" i="13"/>
  <c r="I782" i="13" s="1"/>
  <c r="F786" i="13"/>
  <c r="I806" i="13"/>
  <c r="IV1004" i="13"/>
  <c r="D960" i="13"/>
  <c r="D961" i="13" s="1"/>
  <c r="D924" i="13"/>
  <c r="I924" i="13" s="1"/>
  <c r="D757" i="13"/>
  <c r="D753" i="13"/>
  <c r="D755" i="13"/>
  <c r="E483" i="13"/>
  <c r="I483" i="13" s="1"/>
  <c r="E75" i="13"/>
  <c r="I52" i="13"/>
  <c r="J65" i="13" s="1"/>
  <c r="J66" i="13" s="1"/>
  <c r="I850" i="13"/>
  <c r="G937" i="13"/>
  <c r="G994" i="13"/>
  <c r="E995" i="13" s="1"/>
  <c r="J1009" i="13"/>
  <c r="G90" i="59"/>
  <c r="F274" i="13"/>
  <c r="E519" i="13"/>
  <c r="I519" i="13" s="1"/>
  <c r="D504" i="13"/>
  <c r="H504" i="13" s="1"/>
  <c r="H503" i="13"/>
  <c r="D736" i="13"/>
  <c r="D740" i="13"/>
  <c r="D742" i="13"/>
  <c r="I770" i="13"/>
  <c r="J770" i="13" s="1"/>
  <c r="D322" i="7" s="1"/>
  <c r="E188" i="7"/>
  <c r="E272" i="7"/>
  <c r="E28" i="7"/>
  <c r="D935" i="13"/>
  <c r="D986" i="13"/>
  <c r="G245" i="13"/>
  <c r="I244" i="13"/>
  <c r="I155" i="13"/>
  <c r="D117" i="13"/>
  <c r="I117" i="13" s="1"/>
  <c r="J118" i="13" s="1"/>
  <c r="J119" i="13" s="1"/>
  <c r="D61" i="7" s="1"/>
  <c r="D461" i="13"/>
  <c r="D457" i="13"/>
  <c r="D623" i="13"/>
  <c r="H623" i="13" s="1"/>
  <c r="D227" i="59"/>
  <c r="G227" i="59" s="1"/>
  <c r="D226" i="59"/>
  <c r="G226" i="59" s="1"/>
  <c r="G1190" i="13"/>
  <c r="G1191" i="13" s="1"/>
  <c r="H1191" i="13" s="1"/>
  <c r="D84" i="13"/>
  <c r="I84" i="13" s="1"/>
  <c r="D85" i="13"/>
  <c r="D128" i="13"/>
  <c r="D129" i="13" s="1"/>
  <c r="I129" i="13" s="1"/>
  <c r="I159" i="13"/>
  <c r="J160" i="13" s="1"/>
  <c r="D118" i="7" s="1"/>
  <c r="D548" i="13"/>
  <c r="I548" i="13" s="1"/>
  <c r="I663" i="13"/>
  <c r="I675" i="13" s="1"/>
  <c r="D726" i="13"/>
  <c r="D728" i="13"/>
  <c r="D732" i="13"/>
  <c r="I271" i="13"/>
  <c r="F581" i="13"/>
  <c r="E586" i="13" s="1"/>
  <c r="H592" i="13"/>
  <c r="D127" i="13"/>
  <c r="I127" i="13" s="1"/>
  <c r="H111" i="34"/>
  <c r="I111" i="34" s="1"/>
  <c r="D409" i="13"/>
  <c r="D395" i="13"/>
  <c r="H395" i="13" s="1"/>
  <c r="D460" i="13"/>
  <c r="H460" i="13" s="1"/>
  <c r="H517" i="13"/>
  <c r="F960" i="13"/>
  <c r="F12" i="39"/>
  <c r="H12" i="39" s="1"/>
  <c r="E153" i="13"/>
  <c r="I153" i="13" s="1"/>
  <c r="I195" i="13"/>
  <c r="H518" i="13"/>
  <c r="I1036" i="13"/>
  <c r="I1081" i="13"/>
  <c r="I1107" i="13" s="1"/>
  <c r="H191" i="58"/>
  <c r="G91" i="59"/>
  <c r="D177" i="59" l="1"/>
  <c r="G177" i="59" s="1"/>
  <c r="D121" i="7"/>
  <c r="G121" i="7" s="1"/>
  <c r="D122" i="7"/>
  <c r="G122" i="7" s="1"/>
  <c r="D120" i="7"/>
  <c r="G120" i="7" s="1"/>
  <c r="D124" i="7"/>
  <c r="G124" i="7" s="1"/>
  <c r="D125" i="7"/>
  <c r="G125" i="7" s="1"/>
  <c r="D63" i="7"/>
  <c r="D64" i="7"/>
  <c r="D67" i="7"/>
  <c r="D68" i="7"/>
  <c r="G68" i="7" s="1"/>
  <c r="D65" i="7"/>
  <c r="J30" i="13"/>
  <c r="J164" i="13"/>
  <c r="J165" i="13" s="1"/>
  <c r="D108" i="7" s="1"/>
  <c r="J67" i="13"/>
  <c r="D31" i="7" s="1"/>
  <c r="H1150" i="13"/>
  <c r="I131" i="13"/>
  <c r="L130" i="13"/>
  <c r="I728" i="13"/>
  <c r="D729" i="13"/>
  <c r="I729" i="13" s="1"/>
  <c r="G238" i="13"/>
  <c r="G442" i="13"/>
  <c r="E447" i="13" s="1"/>
  <c r="I447" i="13" s="1"/>
  <c r="D281" i="7"/>
  <c r="G281" i="7" s="1"/>
  <c r="D284" i="7"/>
  <c r="G284" i="7" s="1"/>
  <c r="D283" i="7"/>
  <c r="G283" i="7" s="1"/>
  <c r="J276" i="7" s="1"/>
  <c r="D278" i="7"/>
  <c r="G278" i="7" s="1"/>
  <c r="H276" i="7" s="1"/>
  <c r="D285" i="7"/>
  <c r="G285" i="7" s="1"/>
  <c r="D280" i="7"/>
  <c r="G280" i="7" s="1"/>
  <c r="D279" i="7"/>
  <c r="G279" i="7" s="1"/>
  <c r="E910" i="13"/>
  <c r="H866" i="13"/>
  <c r="I198" i="13"/>
  <c r="I199" i="13" s="1"/>
  <c r="H642" i="13"/>
  <c r="D643" i="13"/>
  <c r="H643" i="13" s="1"/>
  <c r="F43" i="36"/>
  <c r="K43" i="36"/>
  <c r="D105" i="59"/>
  <c r="D181" i="58"/>
  <c r="H181" i="58" s="1"/>
  <c r="I340" i="13"/>
  <c r="I1206" i="13"/>
  <c r="J1207" i="13" s="1"/>
  <c r="J1208" i="13" s="1"/>
  <c r="D501" i="7" s="1"/>
  <c r="D543" i="7"/>
  <c r="G543" i="7" s="1"/>
  <c r="H409" i="13"/>
  <c r="D410" i="13"/>
  <c r="H410" i="13" s="1"/>
  <c r="E77" i="13"/>
  <c r="E76" i="13"/>
  <c r="I76" i="13" s="1"/>
  <c r="E93" i="13"/>
  <c r="E94" i="13" s="1"/>
  <c r="I720" i="13"/>
  <c r="D721" i="13"/>
  <c r="I721" i="13" s="1"/>
  <c r="E490" i="13"/>
  <c r="I490" i="13" s="1"/>
  <c r="D344" i="13"/>
  <c r="H344" i="13" s="1"/>
  <c r="H343" i="13"/>
  <c r="G16" i="59"/>
  <c r="D188" i="59"/>
  <c r="G188" i="59" s="1"/>
  <c r="C593" i="13"/>
  <c r="E589" i="13"/>
  <c r="E593" i="13"/>
  <c r="I593" i="13" s="1"/>
  <c r="K7" i="7"/>
  <c r="D178" i="59"/>
  <c r="G178" i="59" s="1"/>
  <c r="I29" i="13"/>
  <c r="M820" i="13"/>
  <c r="I822" i="13"/>
  <c r="H336" i="13"/>
  <c r="D337" i="13"/>
  <c r="H337" i="13" s="1"/>
  <c r="I274" i="13"/>
  <c r="F275" i="13"/>
  <c r="F594" i="13"/>
  <c r="K11" i="7"/>
  <c r="D86" i="13"/>
  <c r="I86" i="13" s="1"/>
  <c r="I85" i="13"/>
  <c r="H1172" i="13"/>
  <c r="G1173" i="13"/>
  <c r="H1173" i="13" s="1"/>
  <c r="I7" i="7"/>
  <c r="E1059" i="13"/>
  <c r="I1059" i="13" s="1"/>
  <c r="E789" i="13"/>
  <c r="J789" i="13" s="1"/>
  <c r="J799" i="13" s="1"/>
  <c r="J801" i="13" s="1"/>
  <c r="D345" i="7" s="1"/>
  <c r="D349" i="7" s="1"/>
  <c r="G349" i="7" s="1"/>
  <c r="D787" i="13"/>
  <c r="I787" i="13" s="1"/>
  <c r="I799" i="13" s="1"/>
  <c r="I801" i="13" s="1"/>
  <c r="D344" i="7" s="1"/>
  <c r="D788" i="13"/>
  <c r="I788" i="13" s="1"/>
  <c r="D388" i="13"/>
  <c r="H388" i="13" s="1"/>
  <c r="H387" i="13"/>
  <c r="G163" i="7"/>
  <c r="D60" i="59"/>
  <c r="D62" i="59"/>
  <c r="H297" i="7"/>
  <c r="E297" i="13"/>
  <c r="I297" i="13" s="1"/>
  <c r="I304" i="13" s="1"/>
  <c r="E1174" i="13"/>
  <c r="M224" i="13"/>
  <c r="D987" i="13"/>
  <c r="I722" i="13"/>
  <c r="D723" i="13"/>
  <c r="I723" i="13" s="1"/>
  <c r="H127" i="7"/>
  <c r="H995" i="13"/>
  <c r="I898" i="13"/>
  <c r="E921" i="13"/>
  <c r="I921" i="13" s="1"/>
  <c r="E951" i="13"/>
  <c r="D713" i="13"/>
  <c r="I713" i="13" s="1"/>
  <c r="I712" i="13"/>
  <c r="G363" i="13"/>
  <c r="G220" i="13"/>
  <c r="D196" i="59"/>
  <c r="G196" i="59" s="1"/>
  <c r="E689" i="13"/>
  <c r="H689" i="13" s="1"/>
  <c r="H670" i="13"/>
  <c r="D22" i="35"/>
  <c r="D26" i="35" s="1"/>
  <c r="D583" i="13"/>
  <c r="H583" i="13" s="1"/>
  <c r="H582" i="13"/>
  <c r="I183" i="13"/>
  <c r="D184" i="13"/>
  <c r="I184" i="13" s="1"/>
  <c r="I886" i="13"/>
  <c r="M884" i="13"/>
  <c r="F349" i="13"/>
  <c r="E354" i="13" s="1"/>
  <c r="I354" i="13" s="1"/>
  <c r="I217" i="13"/>
  <c r="F218" i="13"/>
  <c r="E932" i="13"/>
  <c r="I932" i="13" s="1"/>
  <c r="E974" i="13"/>
  <c r="I909" i="13"/>
  <c r="M866" i="13"/>
  <c r="I868" i="13"/>
  <c r="E423" i="13"/>
  <c r="E428" i="13"/>
  <c r="I428" i="13" s="1"/>
  <c r="C428" i="13"/>
  <c r="I64" i="34"/>
  <c r="D719" i="13"/>
  <c r="I719" i="13" s="1"/>
  <c r="I718" i="13"/>
  <c r="H338" i="13"/>
  <c r="D339" i="13"/>
  <c r="H339" i="13" s="1"/>
  <c r="D576" i="13"/>
  <c r="H576" i="13" s="1"/>
  <c r="H575" i="13"/>
  <c r="J219" i="7"/>
  <c r="D489" i="13"/>
  <c r="H489" i="13" s="1"/>
  <c r="D743" i="13"/>
  <c r="I743" i="13" s="1"/>
  <c r="I742" i="13"/>
  <c r="H418" i="13"/>
  <c r="I740" i="13"/>
  <c r="D741" i="13"/>
  <c r="I741" i="13" s="1"/>
  <c r="D758" i="13"/>
  <c r="I758" i="13" s="1"/>
  <c r="I757" i="13"/>
  <c r="D502" i="13"/>
  <c r="H502" i="13" s="1"/>
  <c r="H501" i="13"/>
  <c r="H649" i="13"/>
  <c r="D650" i="13"/>
  <c r="H650" i="13" s="1"/>
  <c r="D996" i="13"/>
  <c r="I996" i="13" s="1"/>
  <c r="D707" i="13"/>
  <c r="I707" i="13" s="1"/>
  <c r="I706" i="13"/>
  <c r="C361" i="13"/>
  <c r="E357" i="13"/>
  <c r="E897" i="13"/>
  <c r="H821" i="13"/>
  <c r="N820" i="13" s="1"/>
  <c r="I586" i="13"/>
  <c r="D198" i="59"/>
  <c r="G198" i="59" s="1"/>
  <c r="C440" i="13"/>
  <c r="E436" i="13"/>
  <c r="E234" i="7"/>
  <c r="E423" i="7"/>
  <c r="E317" i="7"/>
  <c r="E350" i="7"/>
  <c r="E247" i="7"/>
  <c r="E154" i="7"/>
  <c r="E258" i="7"/>
  <c r="E165" i="7"/>
  <c r="G165" i="7" s="1"/>
  <c r="E73" i="7"/>
  <c r="E310" i="7"/>
  <c r="E143" i="7"/>
  <c r="J297" i="7"/>
  <c r="D152" i="59"/>
  <c r="G152" i="59" s="1"/>
  <c r="D150" i="59"/>
  <c r="G150" i="59" s="1"/>
  <c r="D154" i="59"/>
  <c r="G154" i="59" s="1"/>
  <c r="D151" i="59"/>
  <c r="D149" i="59"/>
  <c r="G149" i="59" s="1"/>
  <c r="D156" i="59"/>
  <c r="G156" i="59" s="1"/>
  <c r="D155" i="59"/>
  <c r="C81" i="58"/>
  <c r="H73" i="58"/>
  <c r="H77" i="58" s="1"/>
  <c r="D15" i="59" s="1"/>
  <c r="G463" i="7"/>
  <c r="D467" i="7"/>
  <c r="J19" i="13"/>
  <c r="J31" i="13"/>
  <c r="E912" i="13"/>
  <c r="E884" i="13"/>
  <c r="H883" i="13"/>
  <c r="D366" i="7"/>
  <c r="D162" i="59"/>
  <c r="D164" i="59"/>
  <c r="D161" i="59"/>
  <c r="G246" i="13"/>
  <c r="G492" i="13" s="1"/>
  <c r="G485" i="13"/>
  <c r="I245" i="13"/>
  <c r="D178" i="58"/>
  <c r="H178" i="58" s="1"/>
  <c r="D430" i="7"/>
  <c r="E669" i="13"/>
  <c r="E310" i="13"/>
  <c r="I310" i="13" s="1"/>
  <c r="J147" i="13"/>
  <c r="J148" i="13" s="1"/>
  <c r="D79" i="7" s="1"/>
  <c r="D956" i="13"/>
  <c r="H956" i="13" s="1"/>
  <c r="D957" i="13"/>
  <c r="I957" i="13" s="1"/>
  <c r="E154" i="13"/>
  <c r="I154" i="13" s="1"/>
  <c r="J156" i="13" s="1"/>
  <c r="D109" i="7" s="1"/>
  <c r="F178" i="13"/>
  <c r="E181" i="13" s="1"/>
  <c r="I137" i="13"/>
  <c r="J139" i="13" s="1"/>
  <c r="D80" i="7" s="1"/>
  <c r="D176" i="59"/>
  <c r="G176" i="59" s="1"/>
  <c r="D74" i="13"/>
  <c r="I74" i="13" s="1"/>
  <c r="I73" i="13"/>
  <c r="G594" i="13"/>
  <c r="G275" i="13"/>
  <c r="G600" i="13" s="1"/>
  <c r="F279" i="13"/>
  <c r="F613" i="13"/>
  <c r="I11" i="7"/>
  <c r="I753" i="13"/>
  <c r="D754" i="13"/>
  <c r="I754" i="13" s="1"/>
  <c r="I533" i="13"/>
  <c r="D456" i="7"/>
  <c r="D462" i="7" s="1"/>
  <c r="J1108" i="13"/>
  <c r="I736" i="13"/>
  <c r="D737" i="13"/>
  <c r="I737" i="13" s="1"/>
  <c r="N866" i="13"/>
  <c r="H868" i="13"/>
  <c r="H445" i="13"/>
  <c r="E400" i="13"/>
  <c r="C404" i="13"/>
  <c r="E404" i="13"/>
  <c r="I404" i="13" s="1"/>
  <c r="E309" i="13"/>
  <c r="I309" i="13" s="1"/>
  <c r="E668" i="13"/>
  <c r="K30" i="36"/>
  <c r="C44" i="36"/>
  <c r="G964" i="13"/>
  <c r="G926" i="13"/>
  <c r="I926" i="13" s="1"/>
  <c r="G904" i="13"/>
  <c r="I179" i="13"/>
  <c r="D180" i="13"/>
  <c r="I180" i="13" s="1"/>
  <c r="F470" i="13"/>
  <c r="G53" i="7"/>
  <c r="K8" i="59"/>
  <c r="D727" i="13"/>
  <c r="I727" i="13" s="1"/>
  <c r="I726" i="13"/>
  <c r="D164" i="7"/>
  <c r="G164" i="7" s="1"/>
  <c r="D167" i="7"/>
  <c r="D578" i="13"/>
  <c r="H578" i="13" s="1"/>
  <c r="H577" i="13"/>
  <c r="H473" i="13"/>
  <c r="D474" i="13"/>
  <c r="H474" i="13" s="1"/>
  <c r="M86" i="13"/>
  <c r="H1175" i="13"/>
  <c r="E1190" i="13"/>
  <c r="H1190" i="13" s="1"/>
  <c r="H1149" i="13"/>
  <c r="J41" i="13"/>
  <c r="D23" i="7" s="1"/>
  <c r="H219" i="7"/>
  <c r="D327" i="7"/>
  <c r="G327" i="7" s="1"/>
  <c r="D330" i="7"/>
  <c r="G330" i="7" s="1"/>
  <c r="D324" i="7"/>
  <c r="G324" i="7" s="1"/>
  <c r="D326" i="7"/>
  <c r="G326" i="7" s="1"/>
  <c r="D331" i="7"/>
  <c r="G331" i="7" s="1"/>
  <c r="D329" i="7"/>
  <c r="G329" i="7" s="1"/>
  <c r="J322" i="7" s="1"/>
  <c r="D325" i="7"/>
  <c r="G325" i="7" s="1"/>
  <c r="G223" i="13"/>
  <c r="G391" i="13" s="1"/>
  <c r="G384" i="13"/>
  <c r="G607" i="13"/>
  <c r="G278" i="13"/>
  <c r="D159" i="7"/>
  <c r="D163" i="7"/>
  <c r="D165" i="7"/>
  <c r="H961" i="13"/>
  <c r="E407" i="13"/>
  <c r="C411" i="13"/>
  <c r="I778" i="13"/>
  <c r="J778" i="13" s="1"/>
  <c r="D333" i="7" s="1"/>
  <c r="E943" i="13"/>
  <c r="I896" i="13"/>
  <c r="E919" i="13"/>
  <c r="I919" i="13" s="1"/>
  <c r="J181" i="13"/>
  <c r="J187" i="13" s="1"/>
  <c r="J188" i="13" s="1"/>
  <c r="D550" i="7"/>
  <c r="G550" i="7" s="1"/>
  <c r="H584" i="13"/>
  <c r="D585" i="13"/>
  <c r="H585" i="13" s="1"/>
  <c r="D617" i="13"/>
  <c r="H617" i="13" s="1"/>
  <c r="H616" i="13"/>
  <c r="D37" i="59"/>
  <c r="D38" i="59"/>
  <c r="D29" i="59"/>
  <c r="D24" i="59"/>
  <c r="D31" i="59"/>
  <c r="D30" i="59"/>
  <c r="D40" i="59"/>
  <c r="D36" i="59"/>
  <c r="I246" i="13"/>
  <c r="F492" i="13"/>
  <c r="E497" i="13" s="1"/>
  <c r="I497" i="13" s="1"/>
  <c r="D55" i="7"/>
  <c r="G55" i="7" s="1"/>
  <c r="D59" i="7"/>
  <c r="G59" i="7" s="1"/>
  <c r="D52" i="7"/>
  <c r="G52" i="7" s="1"/>
  <c r="D57" i="7"/>
  <c r="G57" i="7" s="1"/>
  <c r="J50" i="7" s="1"/>
  <c r="D58" i="7"/>
  <c r="G58" i="7" s="1"/>
  <c r="D54" i="7"/>
  <c r="G54" i="7" s="1"/>
  <c r="D53" i="7"/>
  <c r="D756" i="13"/>
  <c r="I756" i="13" s="1"/>
  <c r="I755" i="13"/>
  <c r="I732" i="13"/>
  <c r="D733" i="13"/>
  <c r="I733" i="13" s="1"/>
  <c r="D235" i="59"/>
  <c r="G235" i="59" s="1"/>
  <c r="D180" i="59"/>
  <c r="G180" i="59" s="1"/>
  <c r="D113" i="7" l="1"/>
  <c r="G113" i="7" s="1"/>
  <c r="D116" i="7"/>
  <c r="G116" i="7" s="1"/>
  <c r="D111" i="7"/>
  <c r="G111" i="7" s="1"/>
  <c r="D115" i="7"/>
  <c r="G115" i="7" s="1"/>
  <c r="J109" i="7" s="1"/>
  <c r="D112" i="7"/>
  <c r="G112" i="7" s="1"/>
  <c r="D187" i="59"/>
  <c r="G187" i="59" s="1"/>
  <c r="G15" i="59"/>
  <c r="D348" i="7"/>
  <c r="D342" i="7"/>
  <c r="D350" i="7" s="1"/>
  <c r="G350" i="7" s="1"/>
  <c r="D352" i="7"/>
  <c r="D82" i="7"/>
  <c r="G82" i="7" s="1"/>
  <c r="D81" i="7"/>
  <c r="G81" i="7" s="1"/>
  <c r="H80" i="7" s="1"/>
  <c r="D83" i="7"/>
  <c r="G83" i="7" s="1"/>
  <c r="D84" i="7"/>
  <c r="G84" i="7" s="1"/>
  <c r="D88" i="7"/>
  <c r="G88" i="7" s="1"/>
  <c r="D87" i="7"/>
  <c r="G87" i="7" s="1"/>
  <c r="D86" i="7"/>
  <c r="G86" i="7" s="1"/>
  <c r="J80" i="7" s="1"/>
  <c r="D195" i="59"/>
  <c r="G195" i="59" s="1"/>
  <c r="G31" i="59"/>
  <c r="G449" i="13"/>
  <c r="G239" i="13"/>
  <c r="I238" i="13"/>
  <c r="G29" i="59"/>
  <c r="D193" i="59"/>
  <c r="G193" i="59" s="1"/>
  <c r="D18" i="59"/>
  <c r="C82" i="58"/>
  <c r="D19" i="59" s="1"/>
  <c r="G38" i="59"/>
  <c r="D202" i="59"/>
  <c r="G202" i="59" s="1"/>
  <c r="D408" i="13"/>
  <c r="H408" i="13" s="1"/>
  <c r="H407" i="13"/>
  <c r="D168" i="7"/>
  <c r="G168" i="7" s="1"/>
  <c r="G167" i="7"/>
  <c r="J159" i="7" s="1"/>
  <c r="E493" i="13"/>
  <c r="C497" i="13"/>
  <c r="G155" i="59"/>
  <c r="D238" i="59"/>
  <c r="G238" i="59" s="1"/>
  <c r="H822" i="13"/>
  <c r="J822" i="13"/>
  <c r="J823" i="13" s="1"/>
  <c r="E1017" i="13"/>
  <c r="I1017" i="13" s="1"/>
  <c r="J118" i="7"/>
  <c r="E385" i="13"/>
  <c r="C389" i="13"/>
  <c r="E688" i="13"/>
  <c r="H688" i="13" s="1"/>
  <c r="H669" i="13"/>
  <c r="F600" i="13"/>
  <c r="E605" i="13" s="1"/>
  <c r="I605" i="13" s="1"/>
  <c r="I275" i="13"/>
  <c r="C396" i="13"/>
  <c r="E392" i="13"/>
  <c r="G467" i="7"/>
  <c r="D547" i="7"/>
  <c r="G547" i="7" s="1"/>
  <c r="G63" i="7"/>
  <c r="N870" i="13"/>
  <c r="N890" i="13" s="1"/>
  <c r="N821" i="13"/>
  <c r="H118" i="7"/>
  <c r="D953" i="13"/>
  <c r="I953" i="13" s="1"/>
  <c r="E952" i="13"/>
  <c r="H952" i="13" s="1"/>
  <c r="G279" i="13"/>
  <c r="G619" i="13" s="1"/>
  <c r="G613" i="13"/>
  <c r="C605" i="13"/>
  <c r="E601" i="13"/>
  <c r="J32" i="13"/>
  <c r="D19" i="7" s="1"/>
  <c r="D21" i="7" s="1"/>
  <c r="I1147" i="13"/>
  <c r="I1157" i="13" s="1"/>
  <c r="C612" i="13"/>
  <c r="E608" i="13"/>
  <c r="E612" i="13"/>
  <c r="I612" i="13" s="1"/>
  <c r="D230" i="59"/>
  <c r="G230" i="59" s="1"/>
  <c r="G105" i="59"/>
  <c r="I182" i="58"/>
  <c r="D47" i="59" s="1"/>
  <c r="E443" i="13"/>
  <c r="C447" i="13"/>
  <c r="D42" i="59"/>
  <c r="D45" i="59"/>
  <c r="G161" i="59"/>
  <c r="D181" i="59"/>
  <c r="G181" i="59" s="1"/>
  <c r="K44" i="36"/>
  <c r="K45" i="36" s="1"/>
  <c r="F44" i="36"/>
  <c r="I761" i="13"/>
  <c r="J761" i="13" s="1"/>
  <c r="J762" i="13" s="1"/>
  <c r="D165" i="59"/>
  <c r="D236" i="59"/>
  <c r="G236" i="59" s="1"/>
  <c r="G164" i="59"/>
  <c r="D976" i="13"/>
  <c r="I976" i="13" s="1"/>
  <c r="E975" i="13"/>
  <c r="H975" i="13" s="1"/>
  <c r="E95" i="13"/>
  <c r="E303" i="13" s="1"/>
  <c r="H303" i="13" s="1"/>
  <c r="H304" i="13" s="1"/>
  <c r="J305" i="13" s="1"/>
  <c r="E1155" i="13"/>
  <c r="D149" i="7"/>
  <c r="D70" i="7"/>
  <c r="J131" i="13"/>
  <c r="D69" i="7" s="1"/>
  <c r="D73" i="7" s="1"/>
  <c r="G73" i="7" s="1"/>
  <c r="D194" i="59"/>
  <c r="G194" i="59" s="1"/>
  <c r="G30" i="59"/>
  <c r="D424" i="13"/>
  <c r="H424" i="13" s="1"/>
  <c r="H423" i="13"/>
  <c r="I187" i="13"/>
  <c r="I188" i="13" s="1"/>
  <c r="D138" i="7" s="1"/>
  <c r="H322" i="7"/>
  <c r="F619" i="13"/>
  <c r="H159" i="7"/>
  <c r="D358" i="13"/>
  <c r="H358" i="13" s="1"/>
  <c r="H357" i="13"/>
  <c r="D139" i="7"/>
  <c r="J208" i="13"/>
  <c r="E599" i="13"/>
  <c r="I599" i="13" s="1"/>
  <c r="G40" i="59"/>
  <c r="D204" i="59"/>
  <c r="G204" i="59" s="1"/>
  <c r="G67" i="7"/>
  <c r="J61" i="7" s="1"/>
  <c r="D435" i="7"/>
  <c r="D428" i="7"/>
  <c r="E944" i="13"/>
  <c r="H944" i="13" s="1"/>
  <c r="D945" i="13"/>
  <c r="I945" i="13" s="1"/>
  <c r="J868" i="13"/>
  <c r="J869" i="13" s="1"/>
  <c r="D376" i="7" s="1"/>
  <c r="D337" i="7"/>
  <c r="G337" i="7" s="1"/>
  <c r="D339" i="7"/>
  <c r="G339" i="7" s="1"/>
  <c r="J333" i="7" s="1"/>
  <c r="D335" i="7"/>
  <c r="G335" i="7" s="1"/>
  <c r="D336" i="7"/>
  <c r="G336" i="7" s="1"/>
  <c r="D340" i="7"/>
  <c r="G340" i="7" s="1"/>
  <c r="G966" i="13"/>
  <c r="G905" i="13"/>
  <c r="I904" i="13"/>
  <c r="G927" i="13"/>
  <c r="I927" i="13" s="1"/>
  <c r="G162" i="59"/>
  <c r="D182" i="59"/>
  <c r="G182" i="59" s="1"/>
  <c r="G151" i="59"/>
  <c r="D179" i="59"/>
  <c r="G179" i="59" s="1"/>
  <c r="D437" i="13"/>
  <c r="H437" i="13" s="1"/>
  <c r="H436" i="13"/>
  <c r="E1189" i="13"/>
  <c r="H1189" i="13" s="1"/>
  <c r="H1192" i="13" s="1"/>
  <c r="J1193" i="13" s="1"/>
  <c r="H1174" i="13"/>
  <c r="H50" i="7"/>
  <c r="E687" i="13"/>
  <c r="H687" i="13" s="1"/>
  <c r="H668" i="13"/>
  <c r="F219" i="13"/>
  <c r="F222" i="13"/>
  <c r="F356" i="13"/>
  <c r="E361" i="13" s="1"/>
  <c r="I361" i="13" s="1"/>
  <c r="I218" i="13"/>
  <c r="G221" i="13"/>
  <c r="G377" i="13" s="1"/>
  <c r="G370" i="13"/>
  <c r="E78" i="13"/>
  <c r="I78" i="13" s="1"/>
  <c r="I77" i="13"/>
  <c r="M78" i="13" s="1"/>
  <c r="M93" i="13" s="1"/>
  <c r="I910" i="13"/>
  <c r="E933" i="13"/>
  <c r="I933" i="13" s="1"/>
  <c r="E978" i="13"/>
  <c r="H400" i="13"/>
  <c r="D401" i="13"/>
  <c r="H401" i="13" s="1"/>
  <c r="I897" i="13"/>
  <c r="E920" i="13"/>
  <c r="I920" i="13" s="1"/>
  <c r="E947" i="13"/>
  <c r="G65" i="7"/>
  <c r="I748" i="13"/>
  <c r="J748" i="13" s="1"/>
  <c r="J749" i="13" s="1"/>
  <c r="D307" i="7" s="1"/>
  <c r="G64" i="7"/>
  <c r="G462" i="7"/>
  <c r="H455" i="7" s="1"/>
  <c r="D541" i="7"/>
  <c r="G541" i="7" s="1"/>
  <c r="E486" i="13"/>
  <c r="C490" i="13"/>
  <c r="D201" i="59"/>
  <c r="G201" i="59" s="1"/>
  <c r="G37" i="59"/>
  <c r="D28" i="7"/>
  <c r="D25" i="7"/>
  <c r="D26" i="7"/>
  <c r="D29" i="7"/>
  <c r="G29" i="7" s="1"/>
  <c r="I316" i="13"/>
  <c r="J317" i="13" s="1"/>
  <c r="D211" i="7" s="1"/>
  <c r="D373" i="7"/>
  <c r="G373" i="7" s="1"/>
  <c r="D369" i="7"/>
  <c r="G369" i="7" s="1"/>
  <c r="D371" i="7"/>
  <c r="G371" i="7" s="1"/>
  <c r="D368" i="7"/>
  <c r="G368" i="7" s="1"/>
  <c r="D370" i="7"/>
  <c r="G370" i="7" s="1"/>
  <c r="D374" i="7"/>
  <c r="G374" i="7" s="1"/>
  <c r="C368" i="13"/>
  <c r="E364" i="13"/>
  <c r="D34" i="7"/>
  <c r="G34" i="7" s="1"/>
  <c r="D33" i="7"/>
  <c r="D40" i="7"/>
  <c r="G40" i="7" s="1"/>
  <c r="D38" i="7"/>
  <c r="G38" i="7" s="1"/>
  <c r="D35" i="7"/>
  <c r="D39" i="7"/>
  <c r="D36" i="7"/>
  <c r="H589" i="13"/>
  <c r="D590" i="13"/>
  <c r="H590" i="13" s="1"/>
  <c r="G36" i="59"/>
  <c r="D200" i="59"/>
  <c r="G200" i="59" s="1"/>
  <c r="E595" i="13"/>
  <c r="C599" i="13"/>
  <c r="E618" i="13"/>
  <c r="I618" i="13" s="1"/>
  <c r="H886" i="13"/>
  <c r="J886" i="13" s="1"/>
  <c r="G62" i="59"/>
  <c r="D214" i="59"/>
  <c r="G214" i="59" s="1"/>
  <c r="I912" i="13"/>
  <c r="E935" i="13"/>
  <c r="I935" i="13" s="1"/>
  <c r="E986" i="13"/>
  <c r="E1040" i="13"/>
  <c r="I1040" i="13" s="1"/>
  <c r="D505" i="7"/>
  <c r="G505" i="7" s="1"/>
  <c r="D503" i="7"/>
  <c r="G503" i="7" s="1"/>
  <c r="D508" i="7"/>
  <c r="G508" i="7" s="1"/>
  <c r="D507" i="7"/>
  <c r="G507" i="7" s="1"/>
  <c r="J501" i="7" s="1"/>
  <c r="D504" i="7"/>
  <c r="G504" i="7" s="1"/>
  <c r="I278" i="13"/>
  <c r="E913" i="13"/>
  <c r="H884" i="13"/>
  <c r="N884" i="13" s="1"/>
  <c r="J890" i="13" l="1"/>
  <c r="J891" i="13" s="1"/>
  <c r="J887" i="13"/>
  <c r="D202" i="7"/>
  <c r="J329" i="13"/>
  <c r="J330" i="13" s="1"/>
  <c r="D201" i="7" s="1"/>
  <c r="G45" i="59"/>
  <c r="J24" i="59" s="1"/>
  <c r="D240" i="59"/>
  <c r="G240" i="59" s="1"/>
  <c r="D444" i="13"/>
  <c r="H444" i="13" s="1"/>
  <c r="H443" i="13"/>
  <c r="D381" i="7"/>
  <c r="G381" i="7" s="1"/>
  <c r="D384" i="7"/>
  <c r="G384" i="7" s="1"/>
  <c r="D383" i="7"/>
  <c r="G383" i="7" s="1"/>
  <c r="J376" i="7" s="1"/>
  <c r="D380" i="7"/>
  <c r="G380" i="7" s="1"/>
  <c r="D378" i="7"/>
  <c r="G378" i="7" s="1"/>
  <c r="D379" i="7"/>
  <c r="G379" i="7" s="1"/>
  <c r="H501" i="7"/>
  <c r="D487" i="13"/>
  <c r="H487" i="13" s="1"/>
  <c r="H486" i="13"/>
  <c r="M82" i="13"/>
  <c r="D494" i="13"/>
  <c r="H494" i="13" s="1"/>
  <c r="H493" i="13"/>
  <c r="G348" i="7"/>
  <c r="D537" i="7"/>
  <c r="G537" i="7" s="1"/>
  <c r="G435" i="7"/>
  <c r="D549" i="7"/>
  <c r="G549" i="7" s="1"/>
  <c r="D143" i="7"/>
  <c r="G143" i="7" s="1"/>
  <c r="D141" i="7"/>
  <c r="G141" i="7" s="1"/>
  <c r="D137" i="7"/>
  <c r="D136" i="7"/>
  <c r="G165" i="59"/>
  <c r="D237" i="59"/>
  <c r="G237" i="59" s="1"/>
  <c r="L93" i="13"/>
  <c r="L94" i="13" s="1"/>
  <c r="H333" i="7"/>
  <c r="D206" i="59"/>
  <c r="G206" i="59" s="1"/>
  <c r="G42" i="59"/>
  <c r="J1194" i="13"/>
  <c r="D490" i="7" s="1"/>
  <c r="D489" i="7"/>
  <c r="E624" i="13"/>
  <c r="I624" i="13" s="1"/>
  <c r="I655" i="13" s="1"/>
  <c r="I657" i="13" s="1"/>
  <c r="D437" i="7"/>
  <c r="G437" i="7" s="1"/>
  <c r="D441" i="7"/>
  <c r="G441" i="7" s="1"/>
  <c r="J428" i="7" s="1"/>
  <c r="J366" i="7"/>
  <c r="C375" i="13"/>
  <c r="E371" i="13"/>
  <c r="G36" i="7"/>
  <c r="D214" i="7"/>
  <c r="G214" i="7" s="1"/>
  <c r="D218" i="7"/>
  <c r="G218" i="7" s="1"/>
  <c r="D217" i="7"/>
  <c r="G217" i="7" s="1"/>
  <c r="J211" i="7" s="1"/>
  <c r="D215" i="7"/>
  <c r="G215" i="7" s="1"/>
  <c r="D213" i="7"/>
  <c r="G213" i="7" s="1"/>
  <c r="D310" i="7"/>
  <c r="G310" i="7" s="1"/>
  <c r="D309" i="7"/>
  <c r="G309" i="7" s="1"/>
  <c r="D312" i="7"/>
  <c r="C382" i="13"/>
  <c r="E378" i="13"/>
  <c r="J763" i="13"/>
  <c r="D314" i="7"/>
  <c r="D53" i="59"/>
  <c r="D51" i="59"/>
  <c r="D58" i="59"/>
  <c r="D54" i="59"/>
  <c r="D52" i="59"/>
  <c r="D50" i="59"/>
  <c r="D56" i="59"/>
  <c r="D49" i="59"/>
  <c r="G35" i="7"/>
  <c r="G26" i="7"/>
  <c r="D609" i="13"/>
  <c r="H609" i="13" s="1"/>
  <c r="H608" i="13"/>
  <c r="G25" i="7"/>
  <c r="H23" i="7" s="1"/>
  <c r="D529" i="7"/>
  <c r="G529" i="7" s="1"/>
  <c r="E948" i="13"/>
  <c r="H948" i="13" s="1"/>
  <c r="D949" i="13"/>
  <c r="I949" i="13" s="1"/>
  <c r="F384" i="13"/>
  <c r="E389" i="13" s="1"/>
  <c r="I389" i="13" s="1"/>
  <c r="F223" i="13"/>
  <c r="I222" i="13"/>
  <c r="I1060" i="13"/>
  <c r="J1061" i="13" s="1"/>
  <c r="G19" i="59"/>
  <c r="D191" i="59"/>
  <c r="G191" i="59" s="1"/>
  <c r="I913" i="13"/>
  <c r="E990" i="13"/>
  <c r="E936" i="13"/>
  <c r="I936" i="13" s="1"/>
  <c r="D365" i="13"/>
  <c r="H365" i="13" s="1"/>
  <c r="H364" i="13"/>
  <c r="D980" i="13"/>
  <c r="I980" i="13" s="1"/>
  <c r="E979" i="13"/>
  <c r="H979" i="13" s="1"/>
  <c r="E614" i="13"/>
  <c r="C618" i="13"/>
  <c r="G456" i="13"/>
  <c r="G240" i="13"/>
  <c r="I239" i="13"/>
  <c r="E620" i="13"/>
  <c r="C624" i="13"/>
  <c r="E450" i="13"/>
  <c r="C454" i="13"/>
  <c r="E454" i="13"/>
  <c r="I454" i="13" s="1"/>
  <c r="I279" i="13"/>
  <c r="J101" i="13"/>
  <c r="J102" i="13" s="1"/>
  <c r="D41" i="7" s="1"/>
  <c r="H366" i="7"/>
  <c r="G39" i="7"/>
  <c r="J31" i="7" s="1"/>
  <c r="D356" i="7"/>
  <c r="J846" i="13"/>
  <c r="D190" i="59"/>
  <c r="G190" i="59" s="1"/>
  <c r="G18" i="59"/>
  <c r="H8" i="59" s="1"/>
  <c r="H385" i="13"/>
  <c r="D386" i="13"/>
  <c r="H386" i="13" s="1"/>
  <c r="E987" i="13"/>
  <c r="H987" i="13" s="1"/>
  <c r="D988" i="13"/>
  <c r="I988" i="13" s="1"/>
  <c r="H61" i="7"/>
  <c r="H109" i="7"/>
  <c r="G33" i="7"/>
  <c r="H31" i="7" s="1"/>
  <c r="H675" i="13"/>
  <c r="J675" i="13" s="1"/>
  <c r="D72" i="7"/>
  <c r="D75" i="7"/>
  <c r="G21" i="7"/>
  <c r="D393" i="13"/>
  <c r="H393" i="13" s="1"/>
  <c r="H392" i="13"/>
  <c r="D152" i="7"/>
  <c r="G152" i="7" s="1"/>
  <c r="D148" i="7"/>
  <c r="D154" i="7"/>
  <c r="G154" i="7" s="1"/>
  <c r="D156" i="7"/>
  <c r="H1155" i="13"/>
  <c r="E1156" i="13"/>
  <c r="H1156" i="13" s="1"/>
  <c r="D353" i="7"/>
  <c r="G353" i="7" s="1"/>
  <c r="G352" i="7"/>
  <c r="H595" i="13"/>
  <c r="D596" i="13"/>
  <c r="H596" i="13" s="1"/>
  <c r="G28" i="7"/>
  <c r="J23" i="7" s="1"/>
  <c r="F220" i="13"/>
  <c r="F363" i="13"/>
  <c r="E368" i="13" s="1"/>
  <c r="I368" i="13" s="1"/>
  <c r="I219" i="13"/>
  <c r="G906" i="13"/>
  <c r="G968" i="13"/>
  <c r="I905" i="13"/>
  <c r="G928" i="13"/>
  <c r="I928" i="13" s="1"/>
  <c r="H696" i="13"/>
  <c r="J696" i="13" s="1"/>
  <c r="D142" i="7"/>
  <c r="D145" i="7"/>
  <c r="I208" i="13"/>
  <c r="D602" i="13"/>
  <c r="H602" i="13" s="1"/>
  <c r="H601" i="13"/>
  <c r="D229" i="7" l="1"/>
  <c r="D253" i="7"/>
  <c r="H998" i="13"/>
  <c r="H1000" i="13" s="1"/>
  <c r="D418" i="7" s="1"/>
  <c r="I8" i="59"/>
  <c r="H169" i="59"/>
  <c r="L7" i="59" s="1"/>
  <c r="H429" i="13"/>
  <c r="G169" i="59"/>
  <c r="E991" i="13"/>
  <c r="H991" i="13" s="1"/>
  <c r="D992" i="13"/>
  <c r="I992" i="13" s="1"/>
  <c r="I998" i="13" s="1"/>
  <c r="I1000" i="13" s="1"/>
  <c r="D419" i="7" s="1"/>
  <c r="D422" i="7" s="1"/>
  <c r="D208" i="7"/>
  <c r="D204" i="7"/>
  <c r="D209" i="7"/>
  <c r="G209" i="7" s="1"/>
  <c r="D205" i="7"/>
  <c r="D206" i="7"/>
  <c r="H378" i="13"/>
  <c r="D379" i="13"/>
  <c r="H379" i="13" s="1"/>
  <c r="H148" i="7"/>
  <c r="H137" i="7"/>
  <c r="G970" i="13"/>
  <c r="G929" i="13"/>
  <c r="I929" i="13" s="1"/>
  <c r="I906" i="13"/>
  <c r="J915" i="13" s="1"/>
  <c r="J916" i="13" s="1"/>
  <c r="D397" i="7" s="1"/>
  <c r="D451" i="13"/>
  <c r="H451" i="13" s="1"/>
  <c r="H450" i="13"/>
  <c r="D313" i="7"/>
  <c r="G313" i="7" s="1"/>
  <c r="G312" i="7"/>
  <c r="J307" i="7" s="1"/>
  <c r="D386" i="7"/>
  <c r="J888" i="13"/>
  <c r="G145" i="7"/>
  <c r="D146" i="7"/>
  <c r="G146" i="7" s="1"/>
  <c r="H376" i="7"/>
  <c r="I31" i="7"/>
  <c r="G58" i="59"/>
  <c r="D241" i="59"/>
  <c r="G241" i="59" s="1"/>
  <c r="G248" i="59" s="1"/>
  <c r="H1157" i="13"/>
  <c r="D157" i="7"/>
  <c r="G157" i="7" s="1"/>
  <c r="G156" i="7"/>
  <c r="J148" i="7" s="1"/>
  <c r="J290" i="13"/>
  <c r="D191" i="7" s="1"/>
  <c r="G142" i="7"/>
  <c r="G51" i="59"/>
  <c r="D209" i="59"/>
  <c r="G209" i="59" s="1"/>
  <c r="D288" i="7"/>
  <c r="J700" i="13"/>
  <c r="J701" i="13" s="1"/>
  <c r="D287" i="7" s="1"/>
  <c r="J169" i="59"/>
  <c r="H428" i="7"/>
  <c r="H19" i="7"/>
  <c r="J19" i="7"/>
  <c r="F391" i="13"/>
  <c r="E396" i="13" s="1"/>
  <c r="I396" i="13" s="1"/>
  <c r="I223" i="13"/>
  <c r="D207" i="59"/>
  <c r="G207" i="59" s="1"/>
  <c r="G49" i="59"/>
  <c r="H211" i="7"/>
  <c r="H24" i="59"/>
  <c r="D76" i="7"/>
  <c r="G76" i="7" s="1"/>
  <c r="G75" i="7"/>
  <c r="J69" i="7" s="1"/>
  <c r="D364" i="7"/>
  <c r="G364" i="7" s="1"/>
  <c r="D358" i="7"/>
  <c r="G358" i="7" s="1"/>
  <c r="D361" i="7"/>
  <c r="D359" i="7"/>
  <c r="G359" i="7" s="1"/>
  <c r="D363" i="7"/>
  <c r="G363" i="7" s="1"/>
  <c r="J356" i="7" s="1"/>
  <c r="D360" i="7"/>
  <c r="G360" i="7" s="1"/>
  <c r="G241" i="13"/>
  <c r="G463" i="13"/>
  <c r="I240" i="13"/>
  <c r="G56" i="59"/>
  <c r="D213" i="59"/>
  <c r="G213" i="59" s="1"/>
  <c r="G233" i="59" s="1"/>
  <c r="C4" i="61" s="1"/>
  <c r="H342" i="7"/>
  <c r="G53" i="59"/>
  <c r="D211" i="59"/>
  <c r="G211" i="59" s="1"/>
  <c r="J938" i="13"/>
  <c r="J939" i="13" s="1"/>
  <c r="D408" i="7" s="1"/>
  <c r="F370" i="13"/>
  <c r="E375" i="13" s="1"/>
  <c r="I375" i="13" s="1"/>
  <c r="F221" i="13"/>
  <c r="I220" i="13"/>
  <c r="J1062" i="13"/>
  <c r="D445" i="7" s="1"/>
  <c r="D444" i="7"/>
  <c r="G72" i="7"/>
  <c r="H69" i="7" s="1"/>
  <c r="D494" i="7"/>
  <c r="G494" i="7" s="1"/>
  <c r="D497" i="7"/>
  <c r="G497" i="7" s="1"/>
  <c r="D492" i="7"/>
  <c r="G492" i="7" s="1"/>
  <c r="D499" i="7"/>
  <c r="G499" i="7" s="1"/>
  <c r="D495" i="7"/>
  <c r="G495" i="7" s="1"/>
  <c r="D498" i="7"/>
  <c r="G498" i="7" s="1"/>
  <c r="D493" i="7"/>
  <c r="G493" i="7" s="1"/>
  <c r="D265" i="7"/>
  <c r="J679" i="13"/>
  <c r="J680" i="13" s="1"/>
  <c r="D264" i="7" s="1"/>
  <c r="G52" i="59"/>
  <c r="D210" i="59"/>
  <c r="G210" i="59" s="1"/>
  <c r="D372" i="13"/>
  <c r="H372" i="13" s="1"/>
  <c r="H371" i="13"/>
  <c r="D45" i="7"/>
  <c r="D44" i="7"/>
  <c r="D43" i="7"/>
  <c r="D48" i="7"/>
  <c r="D47" i="7"/>
  <c r="D316" i="7"/>
  <c r="G316" i="7" s="1"/>
  <c r="D319" i="7"/>
  <c r="D317" i="7"/>
  <c r="G317" i="7" s="1"/>
  <c r="H620" i="13"/>
  <c r="D621" i="13"/>
  <c r="H621" i="13" s="1"/>
  <c r="H655" i="13" s="1"/>
  <c r="H657" i="13" s="1"/>
  <c r="E457" i="13"/>
  <c r="C461" i="13"/>
  <c r="E461" i="13"/>
  <c r="I461" i="13" s="1"/>
  <c r="D208" i="59"/>
  <c r="G208" i="59" s="1"/>
  <c r="G50" i="59"/>
  <c r="J342" i="7"/>
  <c r="D615" i="13"/>
  <c r="H615" i="13" s="1"/>
  <c r="H614" i="13"/>
  <c r="G54" i="59"/>
  <c r="D212" i="59"/>
  <c r="G212" i="59" s="1"/>
  <c r="D402" i="7" l="1"/>
  <c r="G402" i="7" s="1"/>
  <c r="D404" i="7"/>
  <c r="G404" i="7" s="1"/>
  <c r="D406" i="7"/>
  <c r="G406" i="7" s="1"/>
  <c r="D405" i="7"/>
  <c r="G405" i="7" s="1"/>
  <c r="D399" i="7"/>
  <c r="G399" i="7" s="1"/>
  <c r="D401" i="7"/>
  <c r="G401" i="7" s="1"/>
  <c r="D400" i="7"/>
  <c r="G400" i="7" s="1"/>
  <c r="G422" i="7"/>
  <c r="D535" i="7"/>
  <c r="D254" i="7"/>
  <c r="D230" i="7"/>
  <c r="D228" i="7" s="1"/>
  <c r="J658" i="13"/>
  <c r="C8" i="61"/>
  <c r="C5" i="61"/>
  <c r="C7" i="61" s="1"/>
  <c r="G249" i="59"/>
  <c r="M7" i="59"/>
  <c r="M8" i="59"/>
  <c r="D414" i="7"/>
  <c r="G414" i="7" s="1"/>
  <c r="D411" i="7"/>
  <c r="G411" i="7" s="1"/>
  <c r="D410" i="7"/>
  <c r="G410" i="7" s="1"/>
  <c r="D415" i="7"/>
  <c r="G415" i="7" s="1"/>
  <c r="D412" i="7"/>
  <c r="G412" i="7" s="1"/>
  <c r="M24" i="59"/>
  <c r="J490" i="7"/>
  <c r="J137" i="7"/>
  <c r="G206" i="7"/>
  <c r="D533" i="7"/>
  <c r="G533" i="7" s="1"/>
  <c r="L8" i="59"/>
  <c r="L169" i="59" s="1"/>
  <c r="H431" i="13"/>
  <c r="L429" i="13"/>
  <c r="G361" i="7"/>
  <c r="D320" i="7"/>
  <c r="G320" i="7" s="1"/>
  <c r="G319" i="7"/>
  <c r="D290" i="7"/>
  <c r="G290" i="7" s="1"/>
  <c r="D295" i="7"/>
  <c r="G295" i="7" s="1"/>
  <c r="D294" i="7"/>
  <c r="G294" i="7" s="1"/>
  <c r="D292" i="7"/>
  <c r="G292" i="7" s="1"/>
  <c r="D291" i="7"/>
  <c r="G291" i="7" s="1"/>
  <c r="G48" i="7"/>
  <c r="G43" i="7"/>
  <c r="G205" i="7"/>
  <c r="D531" i="7"/>
  <c r="G531" i="7" s="1"/>
  <c r="D425" i="7"/>
  <c r="D417" i="7"/>
  <c r="D423" i="7" s="1"/>
  <c r="G423" i="7" s="1"/>
  <c r="D421" i="7"/>
  <c r="G421" i="7" s="1"/>
  <c r="G47" i="7"/>
  <c r="H490" i="7"/>
  <c r="G44" i="7"/>
  <c r="L24" i="59"/>
  <c r="D389" i="7"/>
  <c r="G389" i="7" s="1"/>
  <c r="D393" i="7"/>
  <c r="G393" i="7" s="1"/>
  <c r="D388" i="7"/>
  <c r="G388" i="7" s="1"/>
  <c r="D394" i="7"/>
  <c r="G394" i="7" s="1"/>
  <c r="D390" i="7"/>
  <c r="G390" i="7" s="1"/>
  <c r="D391" i="7"/>
  <c r="G391" i="7" s="1"/>
  <c r="D256" i="7"/>
  <c r="G256" i="7" s="1"/>
  <c r="D258" i="7"/>
  <c r="G258" i="7" s="1"/>
  <c r="D458" i="13"/>
  <c r="H458" i="13" s="1"/>
  <c r="H457" i="13"/>
  <c r="J232" i="13"/>
  <c r="D172" i="7" s="1"/>
  <c r="D270" i="7"/>
  <c r="G270" i="7" s="1"/>
  <c r="D267" i="7"/>
  <c r="G267" i="7" s="1"/>
  <c r="D274" i="7"/>
  <c r="G274" i="7" s="1"/>
  <c r="D273" i="7"/>
  <c r="G273" i="7" s="1"/>
  <c r="D269" i="7"/>
  <c r="G269" i="7" s="1"/>
  <c r="D272" i="7"/>
  <c r="G272" i="7" s="1"/>
  <c r="J265" i="7" s="1"/>
  <c r="D268" i="7"/>
  <c r="G268" i="7" s="1"/>
  <c r="F377" i="13"/>
  <c r="E382" i="13" s="1"/>
  <c r="I382" i="13" s="1"/>
  <c r="I429" i="13" s="1"/>
  <c r="I431" i="13" s="1"/>
  <c r="I221" i="13"/>
  <c r="I428" i="7"/>
  <c r="H173" i="59"/>
  <c r="H181" i="59" s="1"/>
  <c r="H188" i="59" s="1"/>
  <c r="H195" i="59" s="1"/>
  <c r="H356" i="7"/>
  <c r="H314" i="7"/>
  <c r="G45" i="7"/>
  <c r="D527" i="7"/>
  <c r="G527" i="7" s="1"/>
  <c r="H307" i="7"/>
  <c r="D446" i="7"/>
  <c r="C468" i="13"/>
  <c r="E464" i="13"/>
  <c r="E468" i="13"/>
  <c r="I468" i="13" s="1"/>
  <c r="G204" i="7"/>
  <c r="D532" i="7"/>
  <c r="G532" i="7" s="1"/>
  <c r="D232" i="7"/>
  <c r="D234" i="7"/>
  <c r="D192" i="7"/>
  <c r="G192" i="7" s="1"/>
  <c r="H191" i="7" s="1"/>
  <c r="D195" i="7"/>
  <c r="G195" i="7" s="1"/>
  <c r="D198" i="7"/>
  <c r="G198" i="7" s="1"/>
  <c r="D193" i="7"/>
  <c r="G193" i="7" s="1"/>
  <c r="D197" i="7"/>
  <c r="G197" i="7" s="1"/>
  <c r="J191" i="7" s="1"/>
  <c r="D199" i="7"/>
  <c r="G199" i="7" s="1"/>
  <c r="D194" i="7"/>
  <c r="G194" i="7" s="1"/>
  <c r="G208" i="7"/>
  <c r="J202" i="7" s="1"/>
  <c r="D557" i="7"/>
  <c r="G557" i="7" s="1"/>
  <c r="D450" i="7"/>
  <c r="G450" i="7" s="1"/>
  <c r="D449" i="7"/>
  <c r="G449" i="7" s="1"/>
  <c r="G470" i="13"/>
  <c r="I241" i="13"/>
  <c r="J265" i="13" s="1"/>
  <c r="D182" i="7" s="1"/>
  <c r="I1160" i="13"/>
  <c r="I1164" i="13"/>
  <c r="J1157" i="13"/>
  <c r="J1158" i="13" s="1"/>
  <c r="D472" i="7" s="1"/>
  <c r="D474" i="7" s="1"/>
  <c r="G474" i="7" s="1"/>
  <c r="C10" i="61" l="1"/>
  <c r="C9" i="61"/>
  <c r="C13" i="61" s="1"/>
  <c r="C6" i="62" s="1"/>
  <c r="C11" i="61"/>
  <c r="C12" i="61"/>
  <c r="J1160" i="13"/>
  <c r="J1161" i="13"/>
  <c r="G234" i="7"/>
  <c r="D186" i="7"/>
  <c r="G186" i="7" s="1"/>
  <c r="D188" i="7"/>
  <c r="G188" i="7" s="1"/>
  <c r="D185" i="7"/>
  <c r="G185" i="7" s="1"/>
  <c r="D183" i="7"/>
  <c r="G183" i="7" s="1"/>
  <c r="D189" i="7"/>
  <c r="G189" i="7" s="1"/>
  <c r="D184" i="7"/>
  <c r="G184" i="7" s="1"/>
  <c r="D190" i="7"/>
  <c r="G190" i="7" s="1"/>
  <c r="G232" i="7"/>
  <c r="I356" i="7"/>
  <c r="J386" i="7"/>
  <c r="G535" i="7"/>
  <c r="J288" i="7"/>
  <c r="H408" i="7"/>
  <c r="H386" i="7"/>
  <c r="D233" i="7"/>
  <c r="D236" i="7"/>
  <c r="H202" i="7"/>
  <c r="J291" i="13"/>
  <c r="J292" i="13" s="1"/>
  <c r="D171" i="7" s="1"/>
  <c r="D465" i="13"/>
  <c r="H465" i="13" s="1"/>
  <c r="H464" i="13"/>
  <c r="D447" i="7"/>
  <c r="D452" i="7" s="1"/>
  <c r="G452" i="7" s="1"/>
  <c r="J41" i="7"/>
  <c r="H288" i="7"/>
  <c r="J314" i="7"/>
  <c r="J408" i="7"/>
  <c r="H397" i="7"/>
  <c r="H265" i="7"/>
  <c r="D257" i="7"/>
  <c r="G257" i="7" s="1"/>
  <c r="D260" i="7"/>
  <c r="D178" i="7"/>
  <c r="D176" i="7"/>
  <c r="D180" i="7"/>
  <c r="D174" i="7"/>
  <c r="D179" i="7"/>
  <c r="D175" i="7"/>
  <c r="D173" i="7"/>
  <c r="D252" i="7"/>
  <c r="H417" i="7"/>
  <c r="J1165" i="13"/>
  <c r="D477" i="7" s="1"/>
  <c r="D479" i="7" s="1"/>
  <c r="G479" i="7" s="1"/>
  <c r="H1177" i="13"/>
  <c r="H1178" i="13" s="1"/>
  <c r="J1179" i="13" s="1"/>
  <c r="C475" i="13"/>
  <c r="E471" i="13"/>
  <c r="E475" i="13"/>
  <c r="I475" i="13" s="1"/>
  <c r="I567" i="13" s="1"/>
  <c r="I569" i="13" s="1"/>
  <c r="D240" i="7" s="1"/>
  <c r="H41" i="7"/>
  <c r="D552" i="7"/>
  <c r="G552" i="7" s="1"/>
  <c r="M169" i="59"/>
  <c r="J472" i="7"/>
  <c r="H472" i="7"/>
  <c r="D426" i="7"/>
  <c r="G426" i="7" s="1"/>
  <c r="G425" i="7"/>
  <c r="J417" i="7" s="1"/>
  <c r="J397" i="7"/>
  <c r="H444" i="7" l="1"/>
  <c r="G233" i="7"/>
  <c r="H228" i="7" s="1"/>
  <c r="H182" i="7"/>
  <c r="G173" i="7"/>
  <c r="D525" i="7"/>
  <c r="G525" i="7" s="1"/>
  <c r="G179" i="7"/>
  <c r="D561" i="7"/>
  <c r="G561" i="7" s="1"/>
  <c r="D453" i="7"/>
  <c r="G453" i="7" s="1"/>
  <c r="J444" i="7" s="1"/>
  <c r="G174" i="7"/>
  <c r="D526" i="7"/>
  <c r="G526" i="7" s="1"/>
  <c r="G180" i="7"/>
  <c r="J1180" i="13"/>
  <c r="D482" i="7" s="1"/>
  <c r="D484" i="7" s="1"/>
  <c r="G484" i="7" s="1"/>
  <c r="D481" i="7"/>
  <c r="D486" i="7" s="1"/>
  <c r="J182" i="7"/>
  <c r="G178" i="7"/>
  <c r="D558" i="7"/>
  <c r="G558" i="7" s="1"/>
  <c r="I41" i="7"/>
  <c r="D261" i="7"/>
  <c r="G261" i="7" s="1"/>
  <c r="G260" i="7"/>
  <c r="J477" i="7"/>
  <c r="H477" i="7"/>
  <c r="G175" i="7"/>
  <c r="D528" i="7"/>
  <c r="G528" i="7" s="1"/>
  <c r="G176" i="7"/>
  <c r="D530" i="7"/>
  <c r="G530" i="7" s="1"/>
  <c r="D244" i="7"/>
  <c r="H471" i="13"/>
  <c r="D472" i="13"/>
  <c r="H472" i="13" s="1"/>
  <c r="G236" i="7"/>
  <c r="D237" i="7"/>
  <c r="G237" i="7" s="1"/>
  <c r="J172" i="7" l="1"/>
  <c r="H172" i="7"/>
  <c r="J228" i="7"/>
  <c r="G486" i="7"/>
  <c r="J482" i="7" s="1"/>
  <c r="H567" i="13"/>
  <c r="H569" i="13" s="1"/>
  <c r="D242" i="7" s="1"/>
  <c r="J252" i="7"/>
  <c r="H252" i="7"/>
  <c r="I444" i="7"/>
  <c r="G244" i="7"/>
  <c r="D536" i="7"/>
  <c r="G536" i="7" l="1"/>
  <c r="H482" i="7"/>
  <c r="D246" i="7"/>
  <c r="D227" i="7"/>
  <c r="D239" i="7"/>
  <c r="D247" i="7"/>
  <c r="D249" i="7"/>
  <c r="G249" i="7" l="1"/>
  <c r="D250" i="7"/>
  <c r="D559" i="7"/>
  <c r="G559" i="7" s="1"/>
  <c r="G247" i="7"/>
  <c r="D540" i="7"/>
  <c r="G540" i="7" s="1"/>
  <c r="G246" i="7"/>
  <c r="D538" i="7"/>
  <c r="I482" i="7"/>
  <c r="G538" i="7" l="1"/>
  <c r="G555" i="7" s="1"/>
  <c r="C5" i="28" s="1"/>
  <c r="D539" i="7"/>
  <c r="G519" i="7"/>
  <c r="G250" i="7"/>
  <c r="H239" i="7" s="1"/>
  <c r="D560" i="7"/>
  <c r="G560" i="7" s="1"/>
  <c r="G563" i="7" s="1"/>
  <c r="J239" i="7"/>
  <c r="G564" i="7" l="1"/>
  <c r="C6" i="28"/>
  <c r="H519" i="7"/>
  <c r="J519" i="7"/>
  <c r="C8" i="28"/>
  <c r="C9" i="28"/>
  <c r="C12" i="28" l="1"/>
  <c r="C10" i="28"/>
  <c r="C14" i="28"/>
  <c r="C5" i="62" s="1"/>
  <c r="C8" i="62" s="1"/>
  <c r="C9" i="62" s="1"/>
  <c r="C11" i="28"/>
  <c r="C13" i="28"/>
  <c r="L510" i="7"/>
  <c r="L98" i="7"/>
  <c r="L11" i="7"/>
  <c r="L89" i="7"/>
  <c r="L7" i="7"/>
  <c r="L276" i="7"/>
  <c r="L127" i="7"/>
  <c r="L219" i="7"/>
  <c r="L297" i="7"/>
  <c r="L159" i="7"/>
  <c r="L322" i="7"/>
  <c r="L455" i="7"/>
  <c r="L118" i="7"/>
  <c r="L80" i="7"/>
  <c r="L50" i="7"/>
  <c r="L501" i="7"/>
  <c r="L366" i="7"/>
  <c r="L333" i="7"/>
  <c r="L23" i="7"/>
  <c r="L109" i="7"/>
  <c r="L61" i="7"/>
  <c r="L31" i="7"/>
  <c r="L342" i="7"/>
  <c r="L69" i="7"/>
  <c r="L19" i="7"/>
  <c r="L428" i="7"/>
  <c r="L211" i="7"/>
  <c r="L137" i="7"/>
  <c r="L148" i="7"/>
  <c r="L376" i="7"/>
  <c r="L356" i="7"/>
  <c r="L191" i="7"/>
  <c r="L314" i="7"/>
  <c r="L490" i="7"/>
  <c r="L307" i="7"/>
  <c r="L41" i="7"/>
  <c r="L408" i="7"/>
  <c r="L397" i="7"/>
  <c r="L202" i="7"/>
  <c r="L417" i="7"/>
  <c r="L386" i="7"/>
  <c r="L265" i="7"/>
  <c r="L472" i="7"/>
  <c r="L288" i="7"/>
  <c r="L228" i="7"/>
  <c r="L182" i="7"/>
  <c r="L477" i="7"/>
  <c r="L444" i="7"/>
  <c r="L252" i="7"/>
  <c r="L172" i="7"/>
  <c r="L482" i="7"/>
  <c r="M455" i="7"/>
  <c r="M510" i="7"/>
  <c r="M7" i="7"/>
  <c r="M11" i="7"/>
  <c r="M98" i="7"/>
  <c r="M89" i="7"/>
  <c r="M127" i="7"/>
  <c r="M297" i="7"/>
  <c r="M50" i="7"/>
  <c r="O14" i="7" s="1"/>
  <c r="P14" i="7" s="1"/>
  <c r="M276" i="7"/>
  <c r="M322" i="7"/>
  <c r="M219" i="7"/>
  <c r="M61" i="7"/>
  <c r="M501" i="7"/>
  <c r="M118" i="7"/>
  <c r="M109" i="7"/>
  <c r="M333" i="7"/>
  <c r="M80" i="7"/>
  <c r="O15" i="7" s="1"/>
  <c r="M159" i="7"/>
  <c r="M366" i="7"/>
  <c r="M428" i="7"/>
  <c r="M376" i="7"/>
  <c r="M23" i="7"/>
  <c r="O10" i="7" s="1"/>
  <c r="P10" i="7" s="1"/>
  <c r="M31" i="7"/>
  <c r="O11" i="7" s="1"/>
  <c r="P11" i="7" s="1"/>
  <c r="Q11" i="7" s="1"/>
  <c r="R11" i="7" s="1"/>
  <c r="M211" i="7"/>
  <c r="M307" i="7"/>
  <c r="M342" i="7"/>
  <c r="M356" i="7"/>
  <c r="M148" i="7"/>
  <c r="M19" i="7"/>
  <c r="O9" i="7" s="1"/>
  <c r="P9" i="7" s="1"/>
  <c r="M69" i="7"/>
  <c r="M490" i="7"/>
  <c r="M137" i="7"/>
  <c r="M265" i="7"/>
  <c r="M202" i="7"/>
  <c r="M191" i="7"/>
  <c r="M386" i="7"/>
  <c r="M408" i="7"/>
  <c r="M417" i="7"/>
  <c r="M314" i="7"/>
  <c r="M41" i="7"/>
  <c r="O13" i="7" s="1"/>
  <c r="M288" i="7"/>
  <c r="M397" i="7"/>
  <c r="M472" i="7"/>
  <c r="M182" i="7"/>
  <c r="M477" i="7"/>
  <c r="M444" i="7"/>
  <c r="M228" i="7"/>
  <c r="M252" i="7"/>
  <c r="M482" i="7"/>
  <c r="M172" i="7"/>
  <c r="O16" i="7" s="1"/>
  <c r="M239" i="7"/>
  <c r="L239" i="7"/>
  <c r="O7" i="7" l="1"/>
  <c r="O8" i="7"/>
  <c r="M519" i="7"/>
  <c r="P7" i="7"/>
  <c r="P6" i="7" s="1"/>
  <c r="L519" i="7"/>
  <c r="Q14" i="7"/>
  <c r="R14" i="7" s="1"/>
  <c r="Q9" i="7" l="1"/>
  <c r="Q10" i="7"/>
  <c r="R10" i="7" s="1"/>
  <c r="R9" i="7" l="1"/>
  <c r="Q7" i="7"/>
</calcChain>
</file>

<file path=xl/sharedStrings.xml><?xml version="1.0" encoding="utf-8"?>
<sst xmlns="http://schemas.openxmlformats.org/spreadsheetml/2006/main" count="3637" uniqueCount="923">
  <si>
    <t>Item</t>
  </si>
  <si>
    <t>Particular</t>
  </si>
  <si>
    <t>No</t>
  </si>
  <si>
    <t>L</t>
  </si>
  <si>
    <t>B</t>
  </si>
  <si>
    <t>H</t>
  </si>
  <si>
    <t>Contents</t>
  </si>
  <si>
    <t>%Fc</t>
  </si>
  <si>
    <t>Cement</t>
  </si>
  <si>
    <t>Bag</t>
  </si>
  <si>
    <t>Sud</t>
  </si>
  <si>
    <t>Brick</t>
  </si>
  <si>
    <t>%Fs</t>
  </si>
  <si>
    <t>Sht</t>
  </si>
  <si>
    <t>Ton</t>
  </si>
  <si>
    <t>Lb</t>
  </si>
  <si>
    <t>Unit</t>
  </si>
  <si>
    <t>Quantity</t>
  </si>
  <si>
    <t>Rate</t>
  </si>
  <si>
    <t>Per</t>
  </si>
  <si>
    <t>Amount</t>
  </si>
  <si>
    <t>Fs</t>
  </si>
  <si>
    <t>Labour</t>
  </si>
  <si>
    <t>DETAILS OF MEASUREMENT</t>
  </si>
  <si>
    <t>Measurement</t>
  </si>
  <si>
    <t>Deduction</t>
  </si>
  <si>
    <t>Material</t>
  </si>
  <si>
    <t>Fc</t>
  </si>
  <si>
    <t>Gal</t>
  </si>
  <si>
    <t>Fr</t>
  </si>
  <si>
    <t>No.</t>
  </si>
  <si>
    <t>R/Sand</t>
  </si>
  <si>
    <t>Binding Wire</t>
  </si>
  <si>
    <t>M.S Rod</t>
  </si>
  <si>
    <t>Fuel</t>
  </si>
  <si>
    <t>Wire Nail</t>
  </si>
  <si>
    <t>( c ) Rebar Work</t>
  </si>
  <si>
    <t>Lapping</t>
  </si>
  <si>
    <t>16 mm Ø</t>
  </si>
  <si>
    <t>Concrete Casting Work For Column</t>
  </si>
  <si>
    <t>( b ) Earth Carrying Work</t>
  </si>
  <si>
    <t>As Per Deduction of Volume</t>
  </si>
  <si>
    <t>Retaining Wall - Volume</t>
  </si>
  <si>
    <t xml:space="preserve">Retaining Wall </t>
  </si>
  <si>
    <t xml:space="preserve">Dedcution </t>
  </si>
  <si>
    <t xml:space="preserve"> 3'' thk; (1:3:6) Lean Conc; work</t>
  </si>
  <si>
    <t xml:space="preserve"> Earth Volume</t>
  </si>
  <si>
    <t>Description</t>
  </si>
  <si>
    <t>Total Amount</t>
  </si>
  <si>
    <t>Total Material + Labour</t>
  </si>
  <si>
    <t>Total of Each</t>
  </si>
  <si>
    <t>Earth Work in Medium Soil</t>
  </si>
  <si>
    <t>Concrete Casting Work for Footing</t>
  </si>
  <si>
    <t>Jungle Wood</t>
  </si>
  <si>
    <t>R.C Concrete Casting Work Beam</t>
  </si>
  <si>
    <t>Flooring Work</t>
  </si>
  <si>
    <t>Enamel Paint</t>
  </si>
  <si>
    <t>BUILDER'S ESTIMATE</t>
  </si>
  <si>
    <t>Total Length</t>
  </si>
  <si>
    <t>Retaining Wall (Beam bottom)</t>
  </si>
  <si>
    <t>Short Column</t>
  </si>
  <si>
    <t>16mm Ø</t>
  </si>
  <si>
    <t>5 Ply Wood (8' x 4')</t>
  </si>
  <si>
    <t>Plinth Beam Formwork Area</t>
  </si>
  <si>
    <t>Total Beam Formwork Area</t>
  </si>
  <si>
    <t xml:space="preserve">Total Plaster Area </t>
  </si>
  <si>
    <t>Roof Beam Formowrk Area</t>
  </si>
  <si>
    <t>6.5mmØ</t>
  </si>
  <si>
    <t>Around</t>
  </si>
  <si>
    <t>Footing</t>
  </si>
  <si>
    <t xml:space="preserve"> (1:3:6) Lean Conc; Work</t>
  </si>
  <si>
    <t xml:space="preserve">Total Retaining Wall Length (Up to N.G.L) </t>
  </si>
  <si>
    <t>External Walling Work</t>
  </si>
  <si>
    <t>Ground Floor</t>
  </si>
  <si>
    <t>External Wall x 2 side</t>
  </si>
  <si>
    <t>Internal Wall x 2 side</t>
  </si>
  <si>
    <t>Lintel &amp; Stiffener Work</t>
  </si>
  <si>
    <t>Plinth Plaster</t>
  </si>
  <si>
    <t>( a ) 4½" Thk; Brick Walling Work</t>
  </si>
  <si>
    <t>( b ) Formwork</t>
  </si>
  <si>
    <t>( c ) Re Bar Work</t>
  </si>
  <si>
    <t>Ø</t>
  </si>
  <si>
    <t>Ft</t>
  </si>
  <si>
    <t>( a ) (1:2:4) R.C Concrete Work</t>
  </si>
  <si>
    <t xml:space="preserve">( b ) Formwork </t>
  </si>
  <si>
    <t xml:space="preserve">Total Brick Walling Area </t>
  </si>
  <si>
    <t>X-met</t>
  </si>
  <si>
    <t>X-Met</t>
  </si>
  <si>
    <t>Coal Tar</t>
  </si>
  <si>
    <t>Scaffolding Work</t>
  </si>
  <si>
    <t>Bamboo</t>
  </si>
  <si>
    <t>Coin Yarn</t>
  </si>
  <si>
    <t>Viss</t>
  </si>
  <si>
    <t>( b ) Sand Filling Work for Floor</t>
  </si>
  <si>
    <t>( c ) 4½" thk (1:3:6) Cement Concrete Work</t>
  </si>
  <si>
    <t>R/Shingle</t>
  </si>
  <si>
    <t>9" thk; (Up To N.G.L)</t>
  </si>
  <si>
    <t>9" thk; (N.G.L to Bot of PB)</t>
  </si>
  <si>
    <t>( a ) (1:2:4) R.C Conc; Work</t>
  </si>
  <si>
    <t>( a ) (1:2:4) R.C Conc; Casting Work</t>
  </si>
  <si>
    <t>Roof Beam</t>
  </si>
  <si>
    <t>Brick Step (Tread)</t>
  </si>
  <si>
    <t>Brick Step (Riser, Front)</t>
  </si>
  <si>
    <t>( a ) Back Filling Work</t>
  </si>
  <si>
    <t xml:space="preserve">Front Brick Step </t>
  </si>
  <si>
    <t>Plinth Level Beam</t>
  </si>
  <si>
    <t xml:space="preserve">Total Retaining Wall Length (N.G.L to PB) </t>
  </si>
  <si>
    <t>Ded; slab thk</t>
  </si>
  <si>
    <t>3 T 16 mm Ø Bottom Bar</t>
  </si>
  <si>
    <t>RC Floor Slab Work</t>
  </si>
  <si>
    <t>( a ) (1:2:4) RC Concrete Work</t>
  </si>
  <si>
    <t>Bed Form</t>
  </si>
  <si>
    <t>Side Form</t>
  </si>
  <si>
    <t>( c ) Re bar Work</t>
  </si>
  <si>
    <t>10Ø</t>
  </si>
  <si>
    <t>Step</t>
  </si>
  <si>
    <t>Lintel (4½" x 4½")</t>
  </si>
  <si>
    <t>Deduction Door &amp; Window</t>
  </si>
  <si>
    <t>Deduction Lintel &amp; Stiffener</t>
  </si>
  <si>
    <t>Sill (Lintel - Door Wide)</t>
  </si>
  <si>
    <t>Total External Brick Wall Area</t>
  </si>
  <si>
    <t>Stair</t>
  </si>
  <si>
    <t>Ground Floor Lintel</t>
  </si>
  <si>
    <t>Ground Floor Sill</t>
  </si>
  <si>
    <t>First Floor Lintel</t>
  </si>
  <si>
    <t>First Floor Sill</t>
  </si>
  <si>
    <t xml:space="preserve"> Lintel @ External Wall</t>
  </si>
  <si>
    <t xml:space="preserve"> Lintel @ Internal Wall</t>
  </si>
  <si>
    <t>10mm Ø</t>
  </si>
  <si>
    <t>6.5mmØ Stirrup @ 6" c/c</t>
  </si>
  <si>
    <t>Deduction for Window &amp; Door</t>
  </si>
  <si>
    <t>Deduction for Door &amp; Window</t>
  </si>
  <si>
    <t>Front Brick Step</t>
  </si>
  <si>
    <t>10mmØ</t>
  </si>
  <si>
    <t>1st Floor Level Beam</t>
  </si>
  <si>
    <t>Total First Floor Beam Formwork Area</t>
  </si>
  <si>
    <t>Ded; Beam Ht</t>
  </si>
  <si>
    <t>1st Floor</t>
  </si>
  <si>
    <t>(1:3) Cement Mortar Plastering Work</t>
  </si>
  <si>
    <t>Retaining Wall Brick Work with (1:3) Cement Mortor</t>
  </si>
  <si>
    <t>16mmØ</t>
  </si>
  <si>
    <t>6 T 16 mm Ø M.S Rod</t>
  </si>
  <si>
    <t>Roof Slab</t>
  </si>
  <si>
    <t>First Floor Slab</t>
  </si>
  <si>
    <t>Footing Conc;Volume</t>
  </si>
  <si>
    <t>13" thk; Brick R/Wall</t>
  </si>
  <si>
    <t>13½" thk; Brick R/Wall</t>
  </si>
  <si>
    <t>16mmØ 6" c/c, Bothway</t>
  </si>
  <si>
    <t>Deduction Lintel</t>
  </si>
  <si>
    <t>C1 (12" x 12")</t>
  </si>
  <si>
    <t>Plinth Beam</t>
  </si>
  <si>
    <t xml:space="preserve"> Hard Core Laying with sand Work</t>
  </si>
  <si>
    <t>( d ) 1½" Thk; (1:2:4) Concrete Topping Work</t>
  </si>
  <si>
    <t>Ded 10</t>
  </si>
  <si>
    <t>Rft</t>
  </si>
  <si>
    <t>Strut</t>
  </si>
  <si>
    <t>Column Plaster</t>
  </si>
  <si>
    <t>Column</t>
  </si>
  <si>
    <t>RB1</t>
  </si>
  <si>
    <t>RB2</t>
  </si>
  <si>
    <t>RB3</t>
  </si>
  <si>
    <t>Boundry of Slab</t>
  </si>
  <si>
    <t>Up To Plinth</t>
  </si>
  <si>
    <t>Ground Floor Column</t>
  </si>
  <si>
    <t>First Floor Column</t>
  </si>
  <si>
    <t>1st Floor Beam</t>
  </si>
  <si>
    <t>တိုင္ကပ္</t>
  </si>
  <si>
    <t>T-Post</t>
  </si>
  <si>
    <t>M³</t>
  </si>
  <si>
    <t>Down Payment</t>
  </si>
  <si>
    <t>ေအာက္ခံခံုတံုးၿပီး၊ ေျမညီထပ္တိုင္ေထာင္ၿပီး</t>
  </si>
  <si>
    <t>အေပၚထပ္တိုင္ေထာင္၊ အမိုး Slab ေလာင္းၿပီး</t>
  </si>
  <si>
    <t>အုတ္စီ၊ က်ည္းေဘာင္ေထာင္၊ Plaster ေခ်ာၿပီး</t>
  </si>
  <si>
    <t>ေငြေပးေခ်မႈ အစီအစဥ္</t>
  </si>
  <si>
    <t>ကြန္ကရစ္လုပ္ငန္း</t>
  </si>
  <si>
    <t>အုတ္စီ၊ ေခ်ာ၊ က်ည္းေဘာင္ေထာင္</t>
  </si>
  <si>
    <t>မီးဖိုေခ်ာင္ခန္းေၾကြျပား</t>
  </si>
  <si>
    <t>ေၾကြျပားခင္း၊ အေပၚထပ္တြင္းခန္းကာၿပီး၊ ေဆးသုတ္လုပ္ငန္းၿပီး</t>
  </si>
  <si>
    <t>ပစၥည္းအမ်ိဳးအစား</t>
  </si>
  <si>
    <t>အုတ္နံရံတြင္း/ျပင္၊ ကြန္ကရစ္မ်က္ႏွာျပင္ (တိုင္၊ ယက္မ၊ ပထမထပ္ Slab ႏွင့္ အမိုး Slab ေအာက္) ေဆးသုတ္ျခင္း</t>
  </si>
  <si>
    <t>ဘုရားခန္း</t>
  </si>
  <si>
    <t>လုပ္ငန္းၿပီးဆံုးၿပီးေသာအခါ လုပ္ငန္းခြင္သန္႔ရွင္းေရး</t>
  </si>
  <si>
    <t>%</t>
  </si>
  <si>
    <t>ပမာဏ</t>
  </si>
  <si>
    <t>စုစုေပါင္း</t>
  </si>
  <si>
    <t>A</t>
  </si>
  <si>
    <t>လုပ္ငန္းခြင္သံုး ေရ၊ မီး၊ မီတာခ</t>
  </si>
  <si>
    <t>လုပ္ငန္းလက္ခံသူေဆာင္ရြက္ရန္တာ၀န္</t>
  </si>
  <si>
    <t>လုပ္ငန္းအပ္ႏွံသူေဆာင္ရြက္ရန္တာ၀န္</t>
  </si>
  <si>
    <t>ေနာက္ဘက္ ေရခ်ိဳးခန္း၊ အိမ္သာခန္း</t>
  </si>
  <si>
    <t>အေဆာက္အဦ ေဆာက္လုပ္ခြင့္ စည္ပင္အခြန္အခ</t>
  </si>
  <si>
    <t>Archi, Structure Drawing၊ တာ၀န္ယူတည္ေဆာက္မည့္ အင္ဂ်င္နီယာလက္မွတ္</t>
  </si>
  <si>
    <t>C</t>
  </si>
  <si>
    <t>D</t>
  </si>
  <si>
    <t>ေဆာက္လုပ္ေရးသံုးယႏၱယား၊ စက္ပစၥည္းမ်ား</t>
  </si>
  <si>
    <t>အျပင္ေဆး Orient၊ အတြင္းေဆး UE</t>
  </si>
  <si>
    <t>အခင္းေၾကြျပား၊ နံရံေၾကြျပားအျမင့္ 5ေပ</t>
  </si>
  <si>
    <t>5"x2" ပ်ဥ္းကတိုးက်ည္းေဘာင္</t>
  </si>
  <si>
    <t>ပါ၀င္ေသာလုပ္ငန္းမ်ား (ပစၥည္းဖိုး+လက္ခ အၿပီး)</t>
  </si>
  <si>
    <t>E</t>
  </si>
  <si>
    <t>လုပ္ငန္းလက္ခံထဲတြင္ မပါ၀င္ေသးေသာလုပ္ငန္းမ်ား</t>
  </si>
  <si>
    <t>ပါေကး</t>
  </si>
  <si>
    <t>သစ္သားျပတင္းရြက္၊ သစ္သားတံခါးရြက္</t>
  </si>
  <si>
    <t>၀ရန္တာလက္ရန္း၊ ေလွခါးလက္ရန္း</t>
  </si>
  <si>
    <t>ျပတင္းေပါက္တြင္ ဂ်ပန္ကြက္သံပန္းမ်ား</t>
  </si>
  <si>
    <t>လွ်ပ္စစ္မီးလုပ္ငန္း</t>
  </si>
  <si>
    <t>အေရွ႕ဘက္ျခမ္း</t>
  </si>
  <si>
    <t>ဧည့္ခန္း</t>
  </si>
  <si>
    <t>အိပ္ခန္း နံပါတ္ (၁)</t>
  </si>
  <si>
    <t>အိပ္ခန္း နံပါတ္ (၂)</t>
  </si>
  <si>
    <t>အေနာက္ဘက္ျခမ္း</t>
  </si>
  <si>
    <t>အိပ္ခန္း နံပါတ္ (၃)</t>
  </si>
  <si>
    <t>အေဆာင္သူ/သား ခ်က္ျပဳတ္ခန္း</t>
  </si>
  <si>
    <t>အိမ္ရွင္မီးဖိုေခ်ာင္ခန္း</t>
  </si>
  <si>
    <t>အေပၚထပ္ခန္းဖြဲ႔စည္းပံု</t>
  </si>
  <si>
    <t>အခန္း (၁)</t>
  </si>
  <si>
    <t>အခန္း (၂)</t>
  </si>
  <si>
    <t>အခန္း (၃)</t>
  </si>
  <si>
    <t>အခန္း (၄)</t>
  </si>
  <si>
    <t>အခန္း (၅)</t>
  </si>
  <si>
    <t>အခန္း (၆)</t>
  </si>
  <si>
    <t>အခန္း (၇)</t>
  </si>
  <si>
    <t>၀ရန္တာ</t>
  </si>
  <si>
    <t>အလယ္ေလွ်ာက္လမ္း</t>
  </si>
  <si>
    <t>17' 6" x 9' 0"</t>
  </si>
  <si>
    <t>6' 0" x 6' 0"</t>
  </si>
  <si>
    <t>13' 0" x 9' 0"</t>
  </si>
  <si>
    <t>12' 6" x 9' 0"</t>
  </si>
  <si>
    <t>14' 0" x 10' 0"</t>
  </si>
  <si>
    <t>10' 0" x 10' 0"</t>
  </si>
  <si>
    <t>6' 0" x 10' 0"</t>
  </si>
  <si>
    <t>13' 0" x 14' 0"</t>
  </si>
  <si>
    <t>10' 0" x 8' 6"</t>
  </si>
  <si>
    <t>14' 0" x 9' 0"</t>
  </si>
  <si>
    <t>14' 0" x 10' 6"</t>
  </si>
  <si>
    <t>3' 6" အက်ယ္</t>
  </si>
  <si>
    <t>ေအာက္ထပ္ခန္းဖြဲ႔စည္းပံု</t>
  </si>
  <si>
    <t>ကားပါကင္</t>
  </si>
  <si>
    <t>အတိုင္းအတာ</t>
  </si>
  <si>
    <t>စဥ္</t>
  </si>
  <si>
    <t>အေပၚထပ္အတြင္းခန္းမ်ားကာရန္ျခင္း(8 ေပအျမင့္)၊ တံခါးအပါ</t>
  </si>
  <si>
    <t>1 T 16mm Left &amp; Right Extra</t>
  </si>
  <si>
    <t xml:space="preserve">2T-10mm Ø M.S Rod </t>
  </si>
  <si>
    <t>C1</t>
  </si>
  <si>
    <t>C2</t>
  </si>
  <si>
    <t>ေနာက္ဆက္တြဲ ၇။ (ခ)</t>
  </si>
  <si>
    <t>¾" M.S Flat  ႏွင့္ 8mm M.S Plain Bar</t>
  </si>
  <si>
    <t>50x25 RHS Frame, 6mm Shera Board</t>
  </si>
  <si>
    <t>အိမ္ရွင္စိတ္တိုင္းက် ဒီဇိုင္းပံုစံ၊ အရည္အေသြး ေရြးခ်ယ္ ၀ယ္ယူႏိုင္ရန္ခ်န္ထားျခင္းျဖစ္ပါသည္။</t>
  </si>
  <si>
    <t>လုပ္ငန္းစရန္ ႀကိဳတင္ေငြ (စာခ်ဳပ္ခ်ဳပ္ေသာေန႔တြင္)</t>
  </si>
  <si>
    <t>ပစၥည္းစံခ်ိန္စံညႊန္း</t>
  </si>
  <si>
    <t>သံေခ်ာင္း</t>
  </si>
  <si>
    <t>HRB-400</t>
  </si>
  <si>
    <t>Apachi, Double Rino</t>
  </si>
  <si>
    <t>RC Concrete</t>
  </si>
  <si>
    <t>G-25</t>
  </si>
  <si>
    <t>စာခ်ဳပ္ပါေငြပမာဏ (၅၃၀သိန္းက်ပ္)တြင္ မပါ၀င္ေသးေသာလုပ္ငန္းမ်ား</t>
  </si>
  <si>
    <t>ေၾကြျပားခင္း၊ အေပၚထပ္တြင္းခန္းကာၿပီး</t>
  </si>
  <si>
    <t>ေဆးသုတ္လုပ္ငန္းၿပီး</t>
  </si>
  <si>
    <t>Foundation လုပ္ငန္း</t>
  </si>
  <si>
    <t>ေနာက္ဆက္တြဲ ၇။ (က)</t>
  </si>
  <si>
    <t>Drawing Cover</t>
  </si>
  <si>
    <t>Ground Floor Plan</t>
  </si>
  <si>
    <t>First Floor Plan</t>
  </si>
  <si>
    <t>Front &amp; Back Elevation</t>
  </si>
  <si>
    <t>Left Side Elevation</t>
  </si>
  <si>
    <t>Right Side Elevation</t>
  </si>
  <si>
    <t>Roof Plan</t>
  </si>
  <si>
    <t>Foundation Plan</t>
  </si>
  <si>
    <t>Plinth Beam Plan</t>
  </si>
  <si>
    <t>Floor Beam &amp; Slab Plan</t>
  </si>
  <si>
    <t>Roof Beam &amp; Slab Plan</t>
  </si>
  <si>
    <t>Foundation, Column, Plinth Beam Schedule</t>
  </si>
  <si>
    <t>Beam &amp; Slab Schedule</t>
  </si>
  <si>
    <t>Door &amp; Window Details</t>
  </si>
  <si>
    <t>PB1</t>
  </si>
  <si>
    <t>PB2</t>
  </si>
  <si>
    <t>PB3</t>
  </si>
  <si>
    <t>ကြင္း</t>
  </si>
  <si>
    <t>ေျမညီထပ္တိုင္</t>
  </si>
  <si>
    <t>ပလင့္ခံုအၿပီးထိ</t>
  </si>
  <si>
    <t>ပလင့္ခံုေလာင္းၿပီး</t>
  </si>
  <si>
    <t>ပထမထပ္ ၾကမ္းခင္းဆလပ္ ေလာင္းၿပီး</t>
  </si>
  <si>
    <t>အမိုး ဆလပ္ေလာင္းၿပီး</t>
  </si>
  <si>
    <t>FB1</t>
  </si>
  <si>
    <t>FB2</t>
  </si>
  <si>
    <t>FB3</t>
  </si>
  <si>
    <t>ပထမထပ္ ဘင္း</t>
  </si>
  <si>
    <t>ပထမထပ္တိုင္</t>
  </si>
  <si>
    <t>အမိုးဘင္း</t>
  </si>
  <si>
    <t>UE 9000</t>
  </si>
  <si>
    <t>UE 9101</t>
  </si>
  <si>
    <t>SSUE 9505</t>
  </si>
  <si>
    <t>LA 1255</t>
  </si>
  <si>
    <t>OE 8201</t>
  </si>
  <si>
    <t>RED OXIDE</t>
  </si>
  <si>
    <t>UNDER COAT</t>
  </si>
  <si>
    <t>TURPINTINE</t>
  </si>
  <si>
    <t>SAND PAPER (180)</t>
  </si>
  <si>
    <t>SAND PAPER (No 2)</t>
  </si>
  <si>
    <t>သံဂ်ာ</t>
  </si>
  <si>
    <t>Steel ျပား</t>
  </si>
  <si>
    <t>Putty ျပား</t>
  </si>
  <si>
    <t>Roller ကိုင္း</t>
  </si>
  <si>
    <t>Roller ထုတ္</t>
  </si>
  <si>
    <t>3" Brush</t>
  </si>
  <si>
    <t>2" Brush</t>
  </si>
  <si>
    <t>1" Brush</t>
  </si>
  <si>
    <t>External Paint</t>
  </si>
  <si>
    <t>Internal Paint</t>
  </si>
  <si>
    <t>ဂ်ပန္ကြက္သံပန္း</t>
  </si>
  <si>
    <t>Int Paint</t>
  </si>
  <si>
    <t>Ext Paint</t>
  </si>
  <si>
    <t>PUTTY Bag</t>
  </si>
  <si>
    <t>Putty (Ext+Int Area)</t>
  </si>
  <si>
    <t>အတြင္းေဆး</t>
  </si>
  <si>
    <t>အျပင္ေဆး</t>
  </si>
  <si>
    <t>ဆီေဆး</t>
  </si>
  <si>
    <t>Mat</t>
  </si>
  <si>
    <t>Lab</t>
  </si>
  <si>
    <t>က်ည္းေဘာင္ေထာင္၊ နံရံအုတ္စီ၊ ေခ်ာၿပီး၊ ေရခ်ိဳးခန္း၊ အိမ္သာၿပီး</t>
  </si>
  <si>
    <t>လုပ္ငန္းအမည္</t>
  </si>
  <si>
    <t>ေငြပမာဏ (က်ပ္)</t>
  </si>
  <si>
    <t>ၾကမ္းခင္းသဲျဖည့္၊ ကြန္ကရစ္ေလာင္း၊ ေတာ္ပင္ေလာင္းၿပီး</t>
  </si>
  <si>
    <t>Sft</t>
  </si>
  <si>
    <t>4' Wide</t>
  </si>
  <si>
    <t>2"x1" Hollow (1mm thk;)</t>
  </si>
  <si>
    <t>Ks/Ft</t>
  </si>
  <si>
    <t>Ks</t>
  </si>
  <si>
    <t>Ks/No</t>
  </si>
  <si>
    <t>Plain Sheet + Hollow</t>
  </si>
  <si>
    <t>Ready Made Formwork For Column (10 No)</t>
  </si>
  <si>
    <t>4' &amp; 4' 6" Length Column Formwork</t>
  </si>
  <si>
    <t>6' &amp; 6' 6" Length Column Formwork</t>
  </si>
  <si>
    <t>4' &amp; 4' 6"  Length Column Formwork</t>
  </si>
  <si>
    <t xml:space="preserve">Secrew </t>
  </si>
  <si>
    <t>Welding Rod</t>
  </si>
  <si>
    <t xml:space="preserve">6mm Coil </t>
  </si>
  <si>
    <t>Plain Sheet အထူ (4' Wide)</t>
  </si>
  <si>
    <t>က်န္</t>
  </si>
  <si>
    <t>5ပဲေျဖာင့္</t>
  </si>
  <si>
    <t>¾" Flat</t>
  </si>
  <si>
    <t>Iron Grill</t>
  </si>
  <si>
    <t>Beam</t>
  </si>
  <si>
    <t>Slab</t>
  </si>
  <si>
    <t>Inclined</t>
  </si>
  <si>
    <t>Vertical</t>
  </si>
  <si>
    <t>3"x1"</t>
  </si>
  <si>
    <t>4"x2"</t>
  </si>
  <si>
    <t>3"x2"</t>
  </si>
  <si>
    <t>T-Head</t>
  </si>
  <si>
    <t>Myaw</t>
  </si>
  <si>
    <t>T-Head (750Ft)</t>
  </si>
  <si>
    <t>1"x1"</t>
  </si>
  <si>
    <t>2"x1"</t>
  </si>
  <si>
    <t>Line A Beam</t>
  </si>
  <si>
    <t>Line 1,2,3,5 Beam</t>
  </si>
  <si>
    <t>Line B Beam</t>
  </si>
  <si>
    <t>Line C Beam</t>
  </si>
  <si>
    <t>Line D Beam</t>
  </si>
  <si>
    <t>Landing Beam</t>
  </si>
  <si>
    <t>Waist</t>
  </si>
  <si>
    <t>Line E Beam</t>
  </si>
  <si>
    <t>22.4.2021</t>
  </si>
  <si>
    <t>ရက္စြဲ</t>
  </si>
  <si>
    <t>ေရစက္အိမ္</t>
  </si>
  <si>
    <t>ထပ္တိုးလုပ္ငန္း</t>
  </si>
  <si>
    <t>ေပးေခ်ၿပီး</t>
  </si>
  <si>
    <t>အမိုးေပၚေလွခါးအိမ္</t>
  </si>
  <si>
    <t>အေပၚထပ္အတြင္းပိုင္းခန္းဖ႔ြဲကာ</t>
  </si>
  <si>
    <t>ေၾကြးျပားလုပ္ငန္း (မီးဖိုေခ်ာင္၊ ေရခ်ိဳးခန္း၊ အိမ္သာ) ၃၅၀ႏႈန္း</t>
  </si>
  <si>
    <t>ေငြပမာဏ</t>
  </si>
  <si>
    <t>မူလလုပ္ငန္း</t>
  </si>
  <si>
    <t>26.4.2021</t>
  </si>
  <si>
    <t>ယေန႔ထိထုတ္ၿပီး</t>
  </si>
  <si>
    <t>ယခင္ထုတ္ၿပီး</t>
  </si>
  <si>
    <t>ယေန႔ထုတ္ေငြ</t>
  </si>
  <si>
    <t>ထုတ္ရန္က်န္</t>
  </si>
  <si>
    <t>8.5.21</t>
  </si>
  <si>
    <t>FB1 (10" x 10")</t>
  </si>
  <si>
    <t>Total Length of FB1 (10" x10")</t>
  </si>
  <si>
    <t>RB1 (10" x 10")</t>
  </si>
  <si>
    <t>3 T 16 mm Ø Top Bar</t>
  </si>
  <si>
    <t>10 mm Ø Stirrup 4"~6" c/c</t>
  </si>
  <si>
    <t>4 T 16 mm Ø Bottom Bar</t>
  </si>
  <si>
    <t>4 T 16 mm Ø Top Bar</t>
  </si>
  <si>
    <t>10MM Bot; Main Bar @ 6"c/c</t>
  </si>
  <si>
    <t>10MM Bot; Dist; Bar @ 6"c/c</t>
  </si>
  <si>
    <t>Partition, 10' L</t>
  </si>
  <si>
    <t>Total Length of PB3 (12" x 14")</t>
  </si>
  <si>
    <t>Worker</t>
  </si>
  <si>
    <t>Carpenter</t>
  </si>
  <si>
    <t>Site Cleaning Work</t>
  </si>
  <si>
    <t>Staking Works For Preparation of Foundation</t>
  </si>
  <si>
    <t>Mason</t>
  </si>
  <si>
    <t>Operator</t>
  </si>
  <si>
    <t>Steel Fixer</t>
  </si>
  <si>
    <t xml:space="preserve">½" thk; Plastering with (1:3) Cement Mortar </t>
  </si>
  <si>
    <t xml:space="preserve">¾" thk; Plastering with (1:3) Cement Mortar </t>
  </si>
  <si>
    <t xml:space="preserve">Foundation </t>
  </si>
  <si>
    <t xml:space="preserve"> - Material Cost</t>
  </si>
  <si>
    <t xml:space="preserve"> - Labour Cost</t>
  </si>
  <si>
    <t>Say</t>
  </si>
  <si>
    <t xml:space="preserve">Structure Work </t>
  </si>
  <si>
    <t>6.5 mm Ø M.S Rod</t>
  </si>
  <si>
    <t>F1 (3' 0" x 3' 0" x 10")</t>
  </si>
  <si>
    <t>F2 (4' 0" x 4' 0" x 10")</t>
  </si>
  <si>
    <t>F3 (5' 0" x 5' 0" x 12")</t>
  </si>
  <si>
    <t>F4 (6' 0" x 6' 0" x 14")</t>
  </si>
  <si>
    <t>Line 1,2,3</t>
  </si>
  <si>
    <t>Line A,B,C &amp; D</t>
  </si>
  <si>
    <t>Line 2' &amp; 3'</t>
  </si>
  <si>
    <t>Line D'</t>
  </si>
  <si>
    <t>For Main Brick Step (11' 0" L)</t>
  </si>
  <si>
    <t>Line A</t>
  </si>
  <si>
    <t>Line B</t>
  </si>
  <si>
    <t>Line C</t>
  </si>
  <si>
    <t>Line 1,3</t>
  </si>
  <si>
    <t>Line 2</t>
  </si>
  <si>
    <t>F2,C1 (12" x 12")</t>
  </si>
  <si>
    <t>F3,C1 (12" x 12")</t>
  </si>
  <si>
    <t>F4,C1 (12" x 12")</t>
  </si>
  <si>
    <t>F1,C2 (10" x 10")</t>
  </si>
  <si>
    <t>C2 (10" x 10")</t>
  </si>
  <si>
    <t xml:space="preserve">Column Re bar (Footing to Plinth) </t>
  </si>
  <si>
    <t xml:space="preserve">Column Re bar (Plinth to 1st Floor) </t>
  </si>
  <si>
    <t xml:space="preserve">Column Re bar (1st Floor to RB) </t>
  </si>
  <si>
    <t>Column Re Bar (Total Footing to Roof)</t>
  </si>
  <si>
    <t>GB1 (10" x 10")</t>
  </si>
  <si>
    <t>Line 1,2,3 (B-D), 19' L</t>
  </si>
  <si>
    <t xml:space="preserve">A,B,C,D (2-3) 11' 6" L </t>
  </si>
  <si>
    <t>Total Length of GB1 (10" x 10")</t>
  </si>
  <si>
    <t>GB2 (10"x12")</t>
  </si>
  <si>
    <t>Line B',B'' (1-2), 13' 6" L</t>
  </si>
  <si>
    <t>Line A,B,C&amp;D (1-2), 13' 6" L</t>
  </si>
  <si>
    <t>Bet; 1&amp;2, 14' L</t>
  </si>
  <si>
    <t>Bet; 1&amp;2, 6' L</t>
  </si>
  <si>
    <t>X-Dir, Portico GB, 10' 8" L</t>
  </si>
  <si>
    <t>Y-Dir, Portico GB, 5' 4" L</t>
  </si>
  <si>
    <t>GB3 (10"x14")</t>
  </si>
  <si>
    <t>1,2,3&amp;3' (A-B), 16' 6" L</t>
  </si>
  <si>
    <t>X-Dir, 4' L</t>
  </si>
  <si>
    <t>Total Length of GB3 (10" x 14")</t>
  </si>
  <si>
    <t>Ground Beam Concrete Volume</t>
  </si>
  <si>
    <t>X-Dir Line,(2-3), 11' 6"</t>
  </si>
  <si>
    <t>Line 1 (B-D), 19' L</t>
  </si>
  <si>
    <t>Y-Dir Bet; 1&amp;2, 14' L</t>
  </si>
  <si>
    <t>Y-Dir Bet; 1&amp;2, 6' L</t>
  </si>
  <si>
    <t>X-Dir, Portico FB1, 10' 8" L</t>
  </si>
  <si>
    <t>Y-Dir, Portico FB1, 5' 4" L</t>
  </si>
  <si>
    <t>Line A,B,C (1-2), 13' 6" L</t>
  </si>
  <si>
    <t>X-Dir Bet A&amp;B (1-2), 13' 6" L</t>
  </si>
  <si>
    <t>FB2 (10"x12")</t>
  </si>
  <si>
    <t>Line 3 (B-D), 19' L</t>
  </si>
  <si>
    <t>FB3 (10"x14")</t>
  </si>
  <si>
    <t xml:space="preserve">Line D (1-2), 13' 6" L </t>
  </si>
  <si>
    <t>Line D' (Verendah), 13' L</t>
  </si>
  <si>
    <t>Y-Dir, 3' 6" L</t>
  </si>
  <si>
    <t xml:space="preserve">Line 2 (B-D), 19' L </t>
  </si>
  <si>
    <t>Line 3' (Verendah), 16' L</t>
  </si>
  <si>
    <t>Total Length of FB3 (10" x 14")</t>
  </si>
  <si>
    <t>FB4 (10"x16")</t>
  </si>
  <si>
    <t>Line 1&amp;3 (A-B), 16' L</t>
  </si>
  <si>
    <t>FB5 (12"x14")</t>
  </si>
  <si>
    <t>Line B (2-3), 11' 6" L</t>
  </si>
  <si>
    <t>Line 2 (A-B), 16' L</t>
  </si>
  <si>
    <t>FB6 (12"x18")</t>
  </si>
  <si>
    <t>Total Length of FB6 (12" x 18")</t>
  </si>
  <si>
    <t>Total Length of FB5 (12" x 14")</t>
  </si>
  <si>
    <t>Total Length of FB4 (10" x 16")</t>
  </si>
  <si>
    <t>1st Floor Beam Concrete Volume</t>
  </si>
  <si>
    <t>Verendah, 9' 3" L</t>
  </si>
  <si>
    <t>Line D', 3' 6" L</t>
  </si>
  <si>
    <t xml:space="preserve"> +27' 0" Lev;</t>
  </si>
  <si>
    <t>Line D, (1-2), 13' 6" L</t>
  </si>
  <si>
    <t>RB2 (10"x12")</t>
  </si>
  <si>
    <t xml:space="preserve"> +28' 0" Lev;</t>
  </si>
  <si>
    <t xml:space="preserve"> +28' 11" Lev;</t>
  </si>
  <si>
    <t>Line C,D (2-3), 11' 6" L</t>
  </si>
  <si>
    <t>Line A, A', B (2-3), 11' 6" L</t>
  </si>
  <si>
    <t>Line 1, 2, 3 (B-D), 19' L</t>
  </si>
  <si>
    <t>Line 1' (B-C), 9' L</t>
  </si>
  <si>
    <t>Y-Dir Bet;A&amp;B, 1&amp;2</t>
  </si>
  <si>
    <t>Y-Dir Bet;A&amp;B</t>
  </si>
  <si>
    <t>Line C,D (1-2), 13' 6" L</t>
  </si>
  <si>
    <t>Line A,A',A'',B (1-2), 13' 6" L</t>
  </si>
  <si>
    <t>RB3 (10"x14")</t>
  </si>
  <si>
    <t>Total Length of RB1(10"x10")</t>
  </si>
  <si>
    <t>Total Length of RB2(10"x12")</t>
  </si>
  <si>
    <t>Total Length of RB3 (10" x 14")</t>
  </si>
  <si>
    <t>Line 1,2,3 (A-B), 16' L</t>
  </si>
  <si>
    <t>Roof Beam Concrete Volume</t>
  </si>
  <si>
    <t>Total Length of GB2 (10" x 12")</t>
  </si>
  <si>
    <t>Total Length of FB2 (10" x 12")</t>
  </si>
  <si>
    <t>16mmØ 8" c/c, Bothway</t>
  </si>
  <si>
    <t>3+2 T 16 mm Ø Bottom Bar</t>
  </si>
  <si>
    <t>3+2 T 16 mm Ø Top Bar</t>
  </si>
  <si>
    <t>2T 16mm Ø Bottom Extra</t>
  </si>
  <si>
    <t>2T 12mm Ø Torsion</t>
  </si>
  <si>
    <t>12mm Ø</t>
  </si>
  <si>
    <t>Two Storeyed RCC Building (25' x 35' x (13+12)')</t>
  </si>
  <si>
    <t>Column (Footing to Plinth Level)</t>
  </si>
  <si>
    <t>Column (Plinth Level to 1st Floor Level)</t>
  </si>
  <si>
    <t>Column (1st Floor to R.B Level)</t>
  </si>
  <si>
    <t>Line 1-3 (A-D)</t>
  </si>
  <si>
    <t>Front Verendah</t>
  </si>
  <si>
    <t>Line 3, Verendah</t>
  </si>
  <si>
    <t>Total Length of FB1 (10" x10")-Portico Beam</t>
  </si>
  <si>
    <t>Stair Void</t>
  </si>
  <si>
    <t>Beside Portico Beam (10" Down)</t>
  </si>
  <si>
    <t>Bet; 1&amp;3, A&amp;B</t>
  </si>
  <si>
    <t xml:space="preserve">Total First Floor Slab Volume </t>
  </si>
  <si>
    <t xml:space="preserve">Total Roof Floor Slab Volume </t>
  </si>
  <si>
    <t>Total (1st Floor + Roof) Slab Conc; Volume</t>
  </si>
  <si>
    <t>For 1st Floor Slab Concrete</t>
  </si>
  <si>
    <t>For Roof Slab Concrete</t>
  </si>
  <si>
    <t>Side Form (Around Stair Void)</t>
  </si>
  <si>
    <t>For Roof Slab F/W</t>
  </si>
  <si>
    <t>For First Floor F/W</t>
  </si>
  <si>
    <t>1st Floor Slab F/W</t>
  </si>
  <si>
    <t>Roof Slab F/W</t>
  </si>
  <si>
    <t>Deduction Stair Void</t>
  </si>
  <si>
    <t>10MM Top Main Bar @ 6"c/c</t>
  </si>
  <si>
    <t>10MM Top Bar @ 6"c/c</t>
  </si>
  <si>
    <t>10MM Top&amp;Bot; Main Bar @ 6"c/c</t>
  </si>
  <si>
    <t>10MM Top&amp; Bot; Dist; Bar @ 6"c/c</t>
  </si>
  <si>
    <t>Total Slab Re bar (1st Floor+Roof)</t>
  </si>
  <si>
    <t>Roof Slab Re bar</t>
  </si>
  <si>
    <t>1st Floor Slab Rebar</t>
  </si>
  <si>
    <t xml:space="preserve">Waist </t>
  </si>
  <si>
    <t>LB (10" x 14")</t>
  </si>
  <si>
    <t>Landing Slab</t>
  </si>
  <si>
    <t>20x½</t>
  </si>
  <si>
    <t>( a ) (1:2:4) RCC Stair Work</t>
  </si>
  <si>
    <t>( b ) Stair Formwork</t>
  </si>
  <si>
    <t>Step (Front)</t>
  </si>
  <si>
    <t>Step (Side)</t>
  </si>
  <si>
    <t>( c ) Stair Re Bar Work</t>
  </si>
  <si>
    <t xml:space="preserve">Waist (Ground to Landing) </t>
  </si>
  <si>
    <t>12mm Bottom Main Bar 6"c/c</t>
  </si>
  <si>
    <t>12mm Top Main Bar 6"c/c</t>
  </si>
  <si>
    <t>10mm Top &amp; Bottom  Distribution</t>
  </si>
  <si>
    <t>12mm Top &amp; Bot Main Bar</t>
  </si>
  <si>
    <t>10mm Top &amp; Bottom Dist; Bar</t>
  </si>
  <si>
    <t>4T-16mm Top Bar</t>
  </si>
  <si>
    <t>4T-16mm Bot; Bar</t>
  </si>
  <si>
    <t>10mmØ Stirrup @ 4"~6"c/c</t>
  </si>
  <si>
    <t>12mmØ</t>
  </si>
  <si>
    <t xml:space="preserve">Stair Re bar </t>
  </si>
  <si>
    <t>16mmØ Re bar</t>
  </si>
  <si>
    <t>Line D</t>
  </si>
  <si>
    <t>Line 1</t>
  </si>
  <si>
    <t>Line 3</t>
  </si>
  <si>
    <t>Line 3'</t>
  </si>
  <si>
    <t>D1 (5' 4" x 7' 2")</t>
  </si>
  <si>
    <t>D2 (3' 3" x 7' 2")</t>
  </si>
  <si>
    <t>W1 (2' 2" x 5' 0")</t>
  </si>
  <si>
    <t>W3 (6' 5" x 5' 0")</t>
  </si>
  <si>
    <t>W4 (4' 4" x 2' 4")</t>
  </si>
  <si>
    <t>W3 (2' 2" x 5' 0")</t>
  </si>
  <si>
    <t>P1 (2' 4" x 2' 0")</t>
  </si>
  <si>
    <t>P2 (4' 4" x 5' 0")</t>
  </si>
  <si>
    <t>W2 (4' 4" x 5' 0")</t>
  </si>
  <si>
    <t>First Floor External Wall</t>
  </si>
  <si>
    <t>Ground Floor External Wall</t>
  </si>
  <si>
    <t>Line C &amp; D</t>
  </si>
  <si>
    <t>Y-Dir, Under Stair</t>
  </si>
  <si>
    <t>Y-Dir, Under Landing</t>
  </si>
  <si>
    <t xml:space="preserve">X-Dir, Under Stair </t>
  </si>
  <si>
    <t>Partition for Water Tank</t>
  </si>
  <si>
    <t>Line 2 (A-B)</t>
  </si>
  <si>
    <t>Master Bedroom Partition</t>
  </si>
  <si>
    <t>Bath &amp; WC Partition</t>
  </si>
  <si>
    <t>D2 (7' 2" x3' 3")</t>
  </si>
  <si>
    <t>D3 (7' 2" x 2' 9")</t>
  </si>
  <si>
    <t>D4 (7' 0" x 3' 0")</t>
  </si>
  <si>
    <t>Stiffener</t>
  </si>
  <si>
    <t>Line B,C (2-3)</t>
  </si>
  <si>
    <t>Single Room Partitoin</t>
  </si>
  <si>
    <t xml:space="preserve">Master Bedroom Partition </t>
  </si>
  <si>
    <t>Y-Dir, Bath &amp; WC Partition</t>
  </si>
  <si>
    <t>X-Dir, Bath &amp; WC Partition</t>
  </si>
  <si>
    <t>Ground Floor Internal Walling Work</t>
  </si>
  <si>
    <t>Ground Floor Internal Wall</t>
  </si>
  <si>
    <t>First Floor Internal Wall</t>
  </si>
  <si>
    <t>Total Internal Wall (Ground+First Floor)</t>
  </si>
  <si>
    <t>Ground Floor Stiffener</t>
  </si>
  <si>
    <t>First Floor Stiffener</t>
  </si>
  <si>
    <t xml:space="preserve">4T-10mm Ø M.S Rod </t>
  </si>
  <si>
    <t>D &amp; W @ Ground Floor External Wall</t>
  </si>
  <si>
    <t>D &amp; W @ First Floor External Wall</t>
  </si>
  <si>
    <t>Roofing Work</t>
  </si>
  <si>
    <t>Truss 1</t>
  </si>
  <si>
    <t>Truss 2</t>
  </si>
  <si>
    <t>Truss 4</t>
  </si>
  <si>
    <t>Truss 3</t>
  </si>
  <si>
    <t>Y-Dir Bet; (2&amp;3), 10' L</t>
  </si>
  <si>
    <t>X-Dir Bet; 2&amp;3 (B&amp;C), 7' 8" L</t>
  </si>
  <si>
    <t>X-Dir Bet 1&amp;2 (B&amp;C), 9' 2" L</t>
  </si>
  <si>
    <t>4"x2"x1.4mm thk; Hollow Section</t>
  </si>
  <si>
    <t>Bottom Chord</t>
  </si>
  <si>
    <t>Vertical Strut</t>
  </si>
  <si>
    <t>Inclined Strut</t>
  </si>
  <si>
    <t>Middle Chord</t>
  </si>
  <si>
    <t>Ridge</t>
  </si>
  <si>
    <t>Top Chord</t>
  </si>
  <si>
    <t>Mid Chord</t>
  </si>
  <si>
    <t>Horizontal ခ်ဳပ္တန္း (Mid)</t>
  </si>
  <si>
    <t>Horizontal ခ်ဳပ္တန္း (Top)</t>
  </si>
  <si>
    <t>3"x1.5"x1.2mm thk; Hollow Section</t>
  </si>
  <si>
    <t>Purlin</t>
  </si>
  <si>
    <t>2"x2" Angle Cleat</t>
  </si>
  <si>
    <t>( b ) Amcan Roofing Sheet</t>
  </si>
  <si>
    <t>Portion 2 (Back)</t>
  </si>
  <si>
    <t>Portion 1 (Left &amp; Right)</t>
  </si>
  <si>
    <t>Portion 3</t>
  </si>
  <si>
    <t>Portion 4</t>
  </si>
  <si>
    <t>Portion 5</t>
  </si>
  <si>
    <t>Ridge Cover</t>
  </si>
  <si>
    <t>Valley</t>
  </si>
  <si>
    <t>Sqft</t>
  </si>
  <si>
    <t xml:space="preserve">4"x2"x1.4mm thk; Hollow </t>
  </si>
  <si>
    <t xml:space="preserve">3"x1.5"x1.2mm thk; Hollow </t>
  </si>
  <si>
    <t xml:space="preserve">2"x2" Angle </t>
  </si>
  <si>
    <t xml:space="preserve"> Amcan Roofing Sheet</t>
  </si>
  <si>
    <t>Main Building (At Valley)</t>
  </si>
  <si>
    <t>Stair Room (Valley)</t>
  </si>
  <si>
    <t>Truss 5 (Assume)</t>
  </si>
  <si>
    <t>Labour Charges for SS Roof</t>
  </si>
  <si>
    <t>( a ) Earth Filling Work</t>
  </si>
  <si>
    <t>`</t>
  </si>
  <si>
    <t>Side Verendah</t>
  </si>
  <si>
    <t>Line D (Gable)</t>
  </si>
  <si>
    <t>1x½</t>
  </si>
  <si>
    <t>Line 3 (Gable)</t>
  </si>
  <si>
    <t>Line D' (Gable)</t>
  </si>
  <si>
    <t>Earth Filling Volume</t>
  </si>
  <si>
    <t>D3 (2' 9" x 7' 2")</t>
  </si>
  <si>
    <t>5"x2" Ready PKD Chowket</t>
  </si>
  <si>
    <t>Bracket for Chowket</t>
  </si>
  <si>
    <t>Bracket</t>
  </si>
  <si>
    <t>Remark</t>
  </si>
  <si>
    <t>Premiliminary Cost</t>
  </si>
  <si>
    <t>Transportation Cost (3% of Material)</t>
  </si>
  <si>
    <t>Overhead &amp; Contingency Charges (2%)</t>
  </si>
  <si>
    <t>Supervision Charges (10%)</t>
  </si>
  <si>
    <t>Ko Aung Ko Myo (Aung Myittar (B) 11 Street)</t>
  </si>
  <si>
    <t>Ground Beam Re Bar</t>
  </si>
  <si>
    <t>1st Floor Beam Rebar</t>
  </si>
  <si>
    <t>Roof Beam Re bar</t>
  </si>
  <si>
    <t>Lot</t>
  </si>
  <si>
    <t>Top &amp; Bottom of Window</t>
  </si>
  <si>
    <t>1T 10mm Rebar</t>
  </si>
  <si>
    <t>Back Brick Step</t>
  </si>
  <si>
    <t>Bounder of Window</t>
  </si>
  <si>
    <t>Profit (15%)</t>
  </si>
  <si>
    <t>Skilled</t>
  </si>
  <si>
    <t>Excavation</t>
  </si>
  <si>
    <t>Hardcore</t>
  </si>
  <si>
    <t>Lean</t>
  </si>
  <si>
    <t>9" Brick Wall</t>
  </si>
  <si>
    <t>Re Bar</t>
  </si>
  <si>
    <t>F/W</t>
  </si>
  <si>
    <t>4½ Wall</t>
  </si>
  <si>
    <t>Plaster</t>
  </si>
  <si>
    <t>Topping</t>
  </si>
  <si>
    <t>SS Roof</t>
  </si>
  <si>
    <t>Bill Of Quantity</t>
  </si>
  <si>
    <t>12 mm Ø Re bar</t>
  </si>
  <si>
    <t>10 mm Ø Re bar</t>
  </si>
  <si>
    <t>Hard Core</t>
  </si>
  <si>
    <t>Ridge Covering Work</t>
  </si>
  <si>
    <t>X-Met for Chowket</t>
  </si>
  <si>
    <t>Coal Tar for Chowket</t>
  </si>
  <si>
    <t>Sub Total (M+L)</t>
  </si>
  <si>
    <t>AC (M+L)</t>
  </si>
  <si>
    <t>Sub Total (L)</t>
  </si>
  <si>
    <t>AC (L)</t>
  </si>
  <si>
    <t>Abstract of Costs</t>
  </si>
  <si>
    <t>Workdone(%)</t>
  </si>
  <si>
    <t>M+L</t>
  </si>
  <si>
    <t>Material Cost</t>
  </si>
  <si>
    <t xml:space="preserve">Labour Charges </t>
  </si>
  <si>
    <t>Total</t>
  </si>
  <si>
    <t>W1</t>
  </si>
  <si>
    <t>W2</t>
  </si>
  <si>
    <t>W3</t>
  </si>
  <si>
    <t>W4</t>
  </si>
  <si>
    <t>Glass Panel 1</t>
  </si>
  <si>
    <t>Glass Panel 2</t>
  </si>
  <si>
    <t>Glass Panel 3</t>
  </si>
  <si>
    <t>Up To Plinth Column</t>
  </si>
  <si>
    <t>PB</t>
  </si>
  <si>
    <t xml:space="preserve"> (1:3:6) Footing LeanWork</t>
  </si>
  <si>
    <t xml:space="preserve"> (1:3:6)RW Lean</t>
  </si>
  <si>
    <t>5"x2" Chowket</t>
  </si>
  <si>
    <t>Water Tank</t>
  </si>
  <si>
    <t>Teak Door with Accessories</t>
  </si>
  <si>
    <t>Glass block, IWC Pan &amp; Accessories</t>
  </si>
  <si>
    <t>4 Angle Sheet</t>
  </si>
  <si>
    <t>GI (1' 6" x 1' 6") Manhole Cover</t>
  </si>
  <si>
    <t xml:space="preserve">4" Ø GI Vent Pipe </t>
  </si>
  <si>
    <t>4" Ø PVC Outlet Pipe (T)</t>
  </si>
  <si>
    <t>4" Ø PVC Inlet Pipe (T)</t>
  </si>
  <si>
    <t>5"x2" Ready PKD Chowket for Toilet</t>
  </si>
  <si>
    <t>Set</t>
  </si>
  <si>
    <t>Tiling Work</t>
  </si>
  <si>
    <t>White Cement</t>
  </si>
  <si>
    <t>Kg</t>
  </si>
  <si>
    <t>Portico</t>
  </si>
  <si>
    <t>Front Balcony</t>
  </si>
  <si>
    <t>Side Balcony</t>
  </si>
  <si>
    <t>Roofing Secrew</t>
  </si>
  <si>
    <t>Hard Wood Chowket Work</t>
  </si>
  <si>
    <t>5"x3" Chowket</t>
  </si>
  <si>
    <t>5"x3" Ready PKD Chowket</t>
  </si>
  <si>
    <t>Bath &amp; WC</t>
  </si>
  <si>
    <t>R/Wall Planတြင္မပါ Actual on ground တြင္ထည့္ေပးေသာ Line မ်ား</t>
  </si>
  <si>
    <t>Horizontal Line Bet; A&amp;B</t>
  </si>
  <si>
    <t>Vertical Line Bet; A&amp;B</t>
  </si>
  <si>
    <t>Horizontal Line Bet; B&amp;C,1&amp;2</t>
  </si>
  <si>
    <t>Horizontal Line Bet; B&amp;C, 2&amp;3</t>
  </si>
  <si>
    <t>အေခ်ာထည္လုပ္ငန္း</t>
  </si>
  <si>
    <t>Gypsum Borad Ceiling Work</t>
  </si>
  <si>
    <t>Bath &amp; WC Room</t>
  </si>
  <si>
    <t>Stair Room</t>
  </si>
  <si>
    <t>Painting Work (UPG - Premier)</t>
  </si>
  <si>
    <t>Aluminium Window</t>
  </si>
  <si>
    <t>Teak Door</t>
  </si>
  <si>
    <t>Korea Parquet Flooring Work</t>
  </si>
  <si>
    <t>Hollow Stair Handrail</t>
  </si>
  <si>
    <t>Drain &amp; Apron Work</t>
  </si>
  <si>
    <t>Bath &amp; WC Room (G.F)</t>
  </si>
  <si>
    <t>Bath &amp; WC Room (F.F)</t>
  </si>
  <si>
    <t>Ground Floor (External Wall/Outter Face)</t>
  </si>
  <si>
    <t>1st Floor (External Wall/Outter Face)</t>
  </si>
  <si>
    <t>Gable</t>
  </si>
  <si>
    <t>Plinth</t>
  </si>
  <si>
    <t>Dinning &amp; Kitchen</t>
  </si>
  <si>
    <t>Hall Area</t>
  </si>
  <si>
    <t>Passage</t>
  </si>
  <si>
    <t>Master Bedroom-1 (Portion-1)</t>
  </si>
  <si>
    <t>Master Bedroom-1 (Portion-2)</t>
  </si>
  <si>
    <t>Master Bedroom-1 (Portion-3)</t>
  </si>
  <si>
    <t>Single Bedroom</t>
  </si>
  <si>
    <t>Master Bedroom - 2 (Portion-1)</t>
  </si>
  <si>
    <t>Master Bedroom - 2 (Portion-2)</t>
  </si>
  <si>
    <t>Bath &amp; WC - 3</t>
  </si>
  <si>
    <t>Bath &amp; WC - 2</t>
  </si>
  <si>
    <t>Brick Step (Riser)</t>
  </si>
  <si>
    <t>Under Stair</t>
  </si>
  <si>
    <t>Ground Floor (Bath &amp; WC Room)</t>
  </si>
  <si>
    <t>1st Floor (Bath &amp; WC Room-3)</t>
  </si>
  <si>
    <t>1st Floor (Bath &amp; WC Room-2)</t>
  </si>
  <si>
    <t>1' x 1' Floor Tiling Work</t>
  </si>
  <si>
    <t>Shrine Area (Portion - 1)</t>
  </si>
  <si>
    <t>Shrine Area (Portion - 2)</t>
  </si>
  <si>
    <t>Master Bedroom-3 (Portion-1)</t>
  </si>
  <si>
    <t>Master Bedroom-3 (Portion-2)</t>
  </si>
  <si>
    <t>Master Bedroom-3 (Portion-3)</t>
  </si>
  <si>
    <t>Master Bedroom - 1</t>
  </si>
  <si>
    <t>Shrine Room</t>
  </si>
  <si>
    <t>Master Bedroom 3</t>
  </si>
  <si>
    <t>10'+10"+10"+10"+10' 8"+5'+6"</t>
  </si>
  <si>
    <t>1st Floor Line D</t>
  </si>
  <si>
    <t>1st Floor Line 3</t>
  </si>
  <si>
    <t>1st Floor Line 1</t>
  </si>
  <si>
    <t>Ground Floor (External Wall/Inner Face)</t>
  </si>
  <si>
    <t>1st Floor (External Wall/Inner Face)</t>
  </si>
  <si>
    <t>Partition</t>
  </si>
  <si>
    <t>Deduction (Under Stair)</t>
  </si>
  <si>
    <t>Bath &amp; WC Room (Under Landing)</t>
  </si>
  <si>
    <t>Internal Ceiling</t>
  </si>
  <si>
    <t>Portico Roof Softfit</t>
  </si>
  <si>
    <t>Portico Roof Eave</t>
  </si>
  <si>
    <t>Line D (Eave)</t>
  </si>
  <si>
    <t>Line D (Softfit)</t>
  </si>
  <si>
    <t>Front Balcony Roof Eave (Incline)</t>
  </si>
  <si>
    <t>Front Balcony Roof Softfit (Incline)</t>
  </si>
  <si>
    <t>Front Balcony Roof Eave &amp; Softfit (Y-Dir, Hor)</t>
  </si>
  <si>
    <t>Line 1 (Eave &amp; Softfit)</t>
  </si>
  <si>
    <t>Line A (Eave &amp; Softfit)</t>
  </si>
  <si>
    <t>Line 3 (Eave &amp; Softfit)</t>
  </si>
  <si>
    <t>L-BAR</t>
  </si>
  <si>
    <t>Ground Floor (Hall)</t>
  </si>
  <si>
    <t>Ground Floor (Master Bedroom - 1)</t>
  </si>
  <si>
    <t>Ground Floor (Bath &amp; WC)</t>
  </si>
  <si>
    <t>Ground Floor (Dining &amp; Kitchen)</t>
  </si>
  <si>
    <t>1st Floor (Shrine Hall)</t>
  </si>
  <si>
    <t>1st Floor (Single Bed Room)</t>
  </si>
  <si>
    <t>1st Floor (Master Bedroom 3)</t>
  </si>
  <si>
    <t>1st Floor (Master Bedroom 2)</t>
  </si>
  <si>
    <t>1st Floor (Bath &amp; WC (3))</t>
  </si>
  <si>
    <t>1st Floor (Bath &amp; WC (2))</t>
  </si>
  <si>
    <t>1st Floor (Stair Room)</t>
  </si>
  <si>
    <t>External Ceiling (နံရံကပ္)</t>
  </si>
  <si>
    <t>External Ceiling (Eave အစြန္နား)</t>
  </si>
  <si>
    <t>Balcony Roof</t>
  </si>
  <si>
    <t>For Light Box</t>
  </si>
  <si>
    <t>For Light Box - 30%</t>
  </si>
  <si>
    <t>C-Channel</t>
  </si>
  <si>
    <t>External</t>
  </si>
  <si>
    <t>ဆြဲတန္း (Ground Floor)</t>
  </si>
  <si>
    <t>ဆြဲတန္း (1st Floor)</t>
  </si>
  <si>
    <t>ဆြဲတန္း (External)</t>
  </si>
  <si>
    <t>ငါးရိုး Secrew</t>
  </si>
  <si>
    <t>1" Black Secrew (85%)</t>
  </si>
  <si>
    <t>1½" Black Secrew (15%)</t>
  </si>
  <si>
    <t>¼" သံ Wall Plug</t>
  </si>
  <si>
    <t>1" Concrete Nail</t>
  </si>
  <si>
    <t>Box</t>
  </si>
  <si>
    <t>Room Partition(Under Stair Rm)</t>
  </si>
  <si>
    <t>Bath &amp; WC Partiton</t>
  </si>
  <si>
    <t>Stair (Waist Bottom + Side)</t>
  </si>
  <si>
    <t>Stair (Riser-Side)</t>
  </si>
  <si>
    <t>Landing (Bottom)</t>
  </si>
  <si>
    <t>22x½</t>
  </si>
  <si>
    <t>Bath &amp; WC Room Wall Tile</t>
  </si>
  <si>
    <t>Single Room Partition</t>
  </si>
  <si>
    <t>LineB &amp; C (Stair Room)</t>
  </si>
  <si>
    <t>Master Bedroom-3</t>
  </si>
  <si>
    <t>Deduction D2 (3' 3" x 7' 2")</t>
  </si>
  <si>
    <t>Bath &amp; WC Room Partition</t>
  </si>
  <si>
    <t>Deduction D3 (2' 9" x 7' 2")</t>
  </si>
  <si>
    <t>Deduction Wall Tiling Area</t>
  </si>
  <si>
    <t>Bath &amp; WC Wall Tile Area</t>
  </si>
  <si>
    <t>Bath &amp; WC (Under Landing)</t>
  </si>
  <si>
    <t>Bath &amp; WC Wall Tile (Under Landing)</t>
  </si>
  <si>
    <t>Landing</t>
  </si>
  <si>
    <t>Ceiling White</t>
  </si>
  <si>
    <t>Portico Slab Bottom</t>
  </si>
  <si>
    <t>Front Balcony Slab Bottom</t>
  </si>
  <si>
    <t>1st Floor Balcony Roof Slab (Bottom)</t>
  </si>
  <si>
    <t>( b ) Gypsum Board (Moisture) Ceiling</t>
  </si>
  <si>
    <t>( c ) External (Shera Board Ceiling)</t>
  </si>
  <si>
    <t>( a ) Gypsum Board (Regular) Ceiling</t>
  </si>
  <si>
    <t>Gypsum Borad (Regular)</t>
  </si>
  <si>
    <t>Gypsum Borad (Moisture)</t>
  </si>
  <si>
    <t>C-channel (13')</t>
  </si>
  <si>
    <t>Light Box (ဘယ္နားေတြတပ္ေပးမလဲ/Design Confirmed မျဖစ္ေသး)</t>
  </si>
  <si>
    <t>L-Bar ​အထူ (10')</t>
  </si>
  <si>
    <t>Labour Charges for Ceiling</t>
  </si>
  <si>
    <t>( c ) Ceiling White</t>
  </si>
  <si>
    <t>( d ) Enamel Painting Work</t>
  </si>
  <si>
    <t>Ground+1st+External Ceiling</t>
  </si>
  <si>
    <t>( a ) External Paint (Putty 2, Sealer 2, Paint 2 Coat)</t>
  </si>
  <si>
    <t>( b ) Internal Paint (Putty 2, Sealer 1, Paint 2 Coat)</t>
  </si>
  <si>
    <t>Putty</t>
  </si>
  <si>
    <t>Sealer</t>
  </si>
  <si>
    <t>Sand Paper No.2</t>
  </si>
  <si>
    <t>P 360 ေကာ္ပတ္</t>
  </si>
  <si>
    <t>Doz</t>
  </si>
  <si>
    <t>Roller</t>
  </si>
  <si>
    <t>Lit</t>
  </si>
  <si>
    <t>EC Putty</t>
  </si>
  <si>
    <t>ဇကာတိတ္</t>
  </si>
  <si>
    <t>Labour Charges for Emulsion Painting</t>
  </si>
  <si>
    <t>Under Coat</t>
  </si>
  <si>
    <t>Turpintine</t>
  </si>
  <si>
    <t>Sand Paper 180</t>
  </si>
  <si>
    <t>ဆီေဆး Roller</t>
  </si>
  <si>
    <t>Labour Charges for Enamel Painting</t>
  </si>
  <si>
    <t>Material+Labour</t>
  </si>
  <si>
    <t>Aluminium Door &amp; Window</t>
  </si>
  <si>
    <t>Aluminium Slide Door</t>
  </si>
  <si>
    <t>Aluminium Window (M+L)</t>
  </si>
  <si>
    <t>Aluminium Slide Door (M+L)</t>
  </si>
  <si>
    <t xml:space="preserve">Teak Door </t>
  </si>
  <si>
    <t>Door Lock</t>
  </si>
  <si>
    <t>5" Hinge</t>
  </si>
  <si>
    <t>Tower Bolt</t>
  </si>
  <si>
    <t>5" Handle</t>
  </si>
  <si>
    <t>Labour Charges for Fixing Door</t>
  </si>
  <si>
    <t>1'x1' Floor Tile</t>
  </si>
  <si>
    <t>2'x1' Wall Tile</t>
  </si>
  <si>
    <t>2 Way Corner</t>
  </si>
  <si>
    <t>1 Way Corner</t>
  </si>
  <si>
    <t>Deduction D3 (2' 9"x7' 2")</t>
  </si>
  <si>
    <t>Labour Charges for Tiling Work</t>
  </si>
  <si>
    <t>Skirting</t>
  </si>
  <si>
    <t>Labour Charges for Parquet Flooring</t>
  </si>
  <si>
    <t>Details</t>
  </si>
  <si>
    <t>Vertical Handrail (Floor Level)</t>
  </si>
  <si>
    <t>Unitex</t>
  </si>
  <si>
    <t>OE</t>
  </si>
  <si>
    <t>UPG</t>
  </si>
  <si>
    <t>Good</t>
  </si>
  <si>
    <t>Normal</t>
  </si>
  <si>
    <t>Premium</t>
  </si>
  <si>
    <t>3"x1½" Top Rail</t>
  </si>
  <si>
    <t>1½" x 1½" Hollow</t>
  </si>
  <si>
    <t>Welding Rod (No.12)</t>
  </si>
  <si>
    <t>Pkt</t>
  </si>
  <si>
    <t>Labour Charges for Hollow Stair Handrail</t>
  </si>
  <si>
    <t>Around Building</t>
  </si>
  <si>
    <t>10mm Rebar</t>
  </si>
  <si>
    <t>Shera Board</t>
  </si>
  <si>
    <t>Korea Parquet (Skirting &amp; ေဖာ့လိပ္အပါ)</t>
  </si>
  <si>
    <t>Drain</t>
  </si>
  <si>
    <t>Arpron</t>
  </si>
  <si>
    <t>a. Sand Filling Work</t>
  </si>
  <si>
    <t>b. (1:3:6) Lean Concrete Work</t>
  </si>
  <si>
    <t>c. 4½" Thk; Brick Wall</t>
  </si>
  <si>
    <t>d. Plastering Work (Inner 1'+Top4½"+Outter4½")</t>
  </si>
  <si>
    <t>e. Cover Slab Concrete Work</t>
  </si>
  <si>
    <t>f. Cover Slab Rebar Work</t>
  </si>
  <si>
    <t>3"x1½" Hollow</t>
  </si>
  <si>
    <t xml:space="preserve">Vertical Handrail </t>
  </si>
  <si>
    <t>Horizontal (ေဒါက္)</t>
  </si>
  <si>
    <t xml:space="preserve">Top &amp; Bottom Rail </t>
  </si>
  <si>
    <t>Stair Tiling Work</t>
  </si>
  <si>
    <t>Tread</t>
  </si>
  <si>
    <t>Riser</t>
  </si>
  <si>
    <t>Tread (အနင္းေၾကြျပား)</t>
  </si>
  <si>
    <t>(Remark - 9" Size ကိုက္ပစၥည္းမရပါေသာေၾကာင့္ 9" ျဖတ္ 3" waste ထားရပါမည္) 2'x1' အနင္းေၾကြျပား</t>
  </si>
  <si>
    <t>Riser (အေထာင္ေၾကြျပား)</t>
  </si>
  <si>
    <t>2'x7" အေထာင္ေၾကြျပား</t>
  </si>
  <si>
    <t>2'x1' 0" အနင္းေၾကြျပား</t>
  </si>
  <si>
    <t>2' x 1' Wall Tiling Work</t>
  </si>
  <si>
    <t>Under Kitchen</t>
  </si>
  <si>
    <t>Total Summary</t>
  </si>
  <si>
    <t>Structure Work</t>
  </si>
  <si>
    <t>Finishing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</si>
</sst>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73" formatCode="_(* #,##0_);_(* \(#,##0\);_(* &quot;-&quot;??_);_(@_)"/>
    <numFmt numFmtId="174" formatCode="_(* #,##0.0_);_(* \(#,##0.0\);_(* &quot;-&quot;??_);_(@_)"/>
    <numFmt numFmtId="175" formatCode="_(* #,##0.000_);_(* \(#,##0.000\);_(* &quot;-&quot;??_);_(@_)"/>
    <numFmt numFmtId="183" formatCode="0.000"/>
    <numFmt numFmtId="211" formatCode="0.0%"/>
  </numFmts>
  <fonts count="36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b/>
      <sz val="10"/>
      <name val="Zawgyi-One"/>
      <family val="2"/>
    </font>
    <font>
      <sz val="10"/>
      <name val="Zawgyi-One"/>
      <family val="2"/>
    </font>
    <font>
      <sz val="11"/>
      <name val="Zawgyi-One"/>
      <family val="2"/>
    </font>
    <font>
      <sz val="8"/>
      <name val="Arial"/>
      <family val="2"/>
    </font>
    <font>
      <sz val="11"/>
      <color indexed="8"/>
      <name val="Myanmar2"/>
      <family val="2"/>
    </font>
    <font>
      <sz val="9"/>
      <name val="Zawgyi-One"/>
      <family val="2"/>
    </font>
    <font>
      <sz val="12"/>
      <name val="Zawgyi-One"/>
      <family val="2"/>
    </font>
    <font>
      <sz val="9.5"/>
      <name val="Zawgyi-One"/>
      <family val="2"/>
    </font>
    <font>
      <sz val="8"/>
      <name val="Zawgyi-One"/>
      <family val="2"/>
    </font>
    <font>
      <b/>
      <sz val="9"/>
      <name val="Zawgyi-One"/>
      <family val="2"/>
    </font>
    <font>
      <sz val="11"/>
      <name val="Arial"/>
      <family val="2"/>
    </font>
    <font>
      <b/>
      <u/>
      <sz val="10"/>
      <name val="Zawgyi-One"/>
      <family val="2"/>
    </font>
    <font>
      <u/>
      <sz val="10"/>
      <name val="Arial"/>
      <family val="2"/>
    </font>
    <font>
      <sz val="12"/>
      <name val="Arial"/>
      <family val="2"/>
    </font>
    <font>
      <u/>
      <sz val="11"/>
      <name val="Arial"/>
      <family val="2"/>
    </font>
    <font>
      <b/>
      <sz val="12"/>
      <name val="Times New Roman"/>
      <family val="1"/>
    </font>
    <font>
      <b/>
      <sz val="8"/>
      <name val="Zawgyi-One"/>
      <family val="2"/>
    </font>
    <font>
      <b/>
      <sz val="10"/>
      <name val="Arial"/>
      <family val="2"/>
    </font>
    <font>
      <b/>
      <u/>
      <sz val="9"/>
      <name val="Zawgyi-One"/>
      <family val="2"/>
    </font>
    <font>
      <b/>
      <u/>
      <sz val="10"/>
      <name val="Arial"/>
      <family val="2"/>
    </font>
    <font>
      <u/>
      <sz val="9"/>
      <name val="Zawgyi-One"/>
      <family val="2"/>
    </font>
    <font>
      <sz val="10"/>
      <color rgb="FFFF0000"/>
      <name val="Zawgyi-One"/>
      <family val="2"/>
    </font>
    <font>
      <sz val="9"/>
      <color rgb="FFFF0000"/>
      <name val="Zawgyi-One"/>
      <family val="2"/>
    </font>
    <font>
      <b/>
      <sz val="9"/>
      <color rgb="FFFF0000"/>
      <name val="Zawgyi-One"/>
      <family val="2"/>
    </font>
    <font>
      <sz val="10"/>
      <color rgb="FF00B050"/>
      <name val="Zawgyi-One"/>
      <family val="2"/>
    </font>
    <font>
      <sz val="10"/>
      <color theme="0"/>
      <name val="Zawgyi-One"/>
      <family val="2"/>
    </font>
    <font>
      <sz val="10"/>
      <color theme="0"/>
      <name val="Arial"/>
      <family val="2"/>
    </font>
    <font>
      <b/>
      <sz val="10"/>
      <color theme="0"/>
      <name val="Zawgyi-One"/>
      <family val="2"/>
    </font>
    <font>
      <b/>
      <sz val="10"/>
      <color theme="0"/>
      <name val="Arial"/>
      <family val="2"/>
    </font>
    <font>
      <sz val="10"/>
      <color theme="1"/>
      <name val="Zawgyi-One"/>
      <family val="2"/>
    </font>
    <font>
      <sz val="11"/>
      <color theme="0"/>
      <name val="Zawgyi-One"/>
      <family val="2"/>
    </font>
    <font>
      <sz val="11"/>
      <color rgb="FFFF0000"/>
      <name val="Zawgyi-One"/>
      <family val="2"/>
    </font>
  </fonts>
  <fills count="1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1" fillId="0" borderId="0"/>
    <xf numFmtId="0" fontId="1" fillId="0" borderId="0"/>
    <xf numFmtId="0" fontId="8" fillId="0" borderId="0"/>
    <xf numFmtId="9" fontId="1" fillId="0" borderId="0" applyFont="0" applyFill="0" applyBorder="0" applyAlignment="0" applyProtection="0"/>
  </cellStyleXfs>
  <cellXfs count="538">
    <xf numFmtId="0" fontId="0" fillId="0" borderId="0" xfId="0"/>
    <xf numFmtId="0" fontId="5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43" fontId="5" fillId="0" borderId="0" xfId="1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173" fontId="5" fillId="0" borderId="0" xfId="1" applyNumberFormat="1" applyFont="1" applyFill="1" applyAlignment="1">
      <alignment horizontal="right" vertical="center"/>
    </xf>
    <xf numFmtId="43" fontId="5" fillId="0" borderId="0" xfId="1" applyFont="1" applyFill="1" applyAlignment="1">
      <alignment horizontal="center" vertical="center"/>
    </xf>
    <xf numFmtId="43" fontId="5" fillId="0" borderId="0" xfId="1" applyFont="1" applyFill="1" applyAlignment="1">
      <alignment horizontal="right" vertical="center"/>
    </xf>
    <xf numFmtId="0" fontId="5" fillId="0" borderId="1" xfId="0" applyFont="1" applyFill="1" applyBorder="1" applyAlignment="1">
      <alignment horizontal="center" vertical="center"/>
    </xf>
    <xf numFmtId="43" fontId="5" fillId="0" borderId="1" xfId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right" vertical="center"/>
    </xf>
    <xf numFmtId="173" fontId="5" fillId="0" borderId="1" xfId="1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43" fontId="5" fillId="0" borderId="2" xfId="1" applyFont="1" applyFill="1" applyBorder="1" applyAlignment="1">
      <alignment horizontal="center" vertical="center"/>
    </xf>
    <xf numFmtId="43" fontId="5" fillId="0" borderId="3" xfId="1" applyFont="1" applyFill="1" applyBorder="1" applyAlignment="1">
      <alignment horizontal="center" vertical="center"/>
    </xf>
    <xf numFmtId="43" fontId="5" fillId="0" borderId="0" xfId="0" applyNumberFormat="1" applyFont="1" applyFill="1" applyAlignment="1">
      <alignment vertical="center"/>
    </xf>
    <xf numFmtId="0" fontId="5" fillId="0" borderId="0" xfId="0" applyFont="1" applyFill="1" applyAlignment="1">
      <alignment horizontal="left" vertical="center"/>
    </xf>
    <xf numFmtId="173" fontId="5" fillId="0" borderId="1" xfId="1" applyNumberFormat="1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43" fontId="5" fillId="0" borderId="0" xfId="1" applyFont="1" applyFill="1" applyBorder="1" applyAlignment="1">
      <alignment horizontal="center" vertical="center"/>
    </xf>
    <xf numFmtId="43" fontId="5" fillId="0" borderId="4" xfId="1" applyFont="1" applyFill="1" applyBorder="1" applyAlignment="1">
      <alignment horizontal="center" vertical="center"/>
    </xf>
    <xf numFmtId="2" fontId="5" fillId="0" borderId="1" xfId="0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43" fontId="5" fillId="0" borderId="1" xfId="0" applyNumberFormat="1" applyFont="1" applyFill="1" applyBorder="1" applyAlignment="1">
      <alignment horizontal="center" vertical="center"/>
    </xf>
    <xf numFmtId="43" fontId="5" fillId="0" borderId="3" xfId="1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5" fillId="0" borderId="1" xfId="1" applyNumberFormat="1" applyFont="1" applyFill="1" applyBorder="1" applyAlignment="1">
      <alignment horizontal="right" vertical="center"/>
    </xf>
    <xf numFmtId="0" fontId="4" fillId="0" borderId="0" xfId="0" applyFont="1" applyFill="1" applyAlignment="1"/>
    <xf numFmtId="43" fontId="5" fillId="0" borderId="5" xfId="1" applyFont="1" applyFill="1" applyBorder="1" applyAlignment="1">
      <alignment horizontal="center"/>
    </xf>
    <xf numFmtId="0" fontId="6" fillId="0" borderId="0" xfId="0" applyFont="1" applyFill="1" applyAlignment="1">
      <alignment vertical="center"/>
    </xf>
    <xf numFmtId="0" fontId="5" fillId="0" borderId="0" xfId="0" applyFont="1" applyFill="1" applyBorder="1" applyAlignment="1">
      <alignment horizontal="center"/>
    </xf>
    <xf numFmtId="0" fontId="5" fillId="0" borderId="0" xfId="0" applyFont="1" applyFill="1" applyAlignment="1"/>
    <xf numFmtId="0" fontId="9" fillId="0" borderId="0" xfId="0" applyFont="1" applyFill="1" applyAlignment="1">
      <alignment vertical="center"/>
    </xf>
    <xf numFmtId="43" fontId="5" fillId="0" borderId="1" xfId="1" applyFont="1" applyFill="1" applyBorder="1" applyAlignment="1">
      <alignment vertical="center"/>
    </xf>
    <xf numFmtId="0" fontId="5" fillId="0" borderId="0" xfId="0" applyFont="1" applyFill="1" applyAlignment="1">
      <alignment horizontal="center"/>
    </xf>
    <xf numFmtId="43" fontId="5" fillId="0" borderId="5" xfId="1" applyFont="1" applyFill="1" applyBorder="1" applyAlignment="1">
      <alignment vertical="center"/>
    </xf>
    <xf numFmtId="43" fontId="5" fillId="0" borderId="4" xfId="1" applyFont="1" applyFill="1" applyBorder="1" applyAlignment="1">
      <alignment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left" vertical="center"/>
    </xf>
    <xf numFmtId="0" fontId="5" fillId="0" borderId="4" xfId="0" applyFont="1" applyFill="1" applyBorder="1" applyAlignment="1">
      <alignment horizontal="center" vertical="center"/>
    </xf>
    <xf numFmtId="43" fontId="5" fillId="0" borderId="4" xfId="0" applyNumberFormat="1" applyFont="1" applyFill="1" applyBorder="1" applyAlignment="1">
      <alignment horizontal="center" vertical="center"/>
    </xf>
    <xf numFmtId="43" fontId="11" fillId="0" borderId="1" xfId="0" applyNumberFormat="1" applyFont="1" applyFill="1" applyBorder="1" applyAlignment="1">
      <alignment horizontal="center" vertical="center"/>
    </xf>
    <xf numFmtId="0" fontId="11" fillId="0" borderId="1" xfId="0" applyNumberFormat="1" applyFont="1" applyFill="1" applyBorder="1" applyAlignment="1">
      <alignment horizontal="right" vertical="center"/>
    </xf>
    <xf numFmtId="43" fontId="11" fillId="0" borderId="1" xfId="2" applyFont="1" applyFill="1" applyBorder="1" applyAlignment="1">
      <alignment horizontal="center" vertical="center"/>
    </xf>
    <xf numFmtId="43" fontId="11" fillId="0" borderId="1" xfId="1" applyFont="1" applyFill="1" applyBorder="1" applyAlignment="1">
      <alignment vertical="center"/>
    </xf>
    <xf numFmtId="0" fontId="11" fillId="0" borderId="1" xfId="0" applyNumberFormat="1" applyFont="1" applyFill="1" applyBorder="1" applyAlignment="1">
      <alignment horizontal="center" vertical="center"/>
    </xf>
    <xf numFmtId="43" fontId="6" fillId="0" borderId="0" xfId="1" applyFont="1" applyAlignment="1">
      <alignment vertical="center"/>
    </xf>
    <xf numFmtId="0" fontId="10" fillId="0" borderId="0" xfId="0" applyFont="1"/>
    <xf numFmtId="0" fontId="5" fillId="0" borderId="4" xfId="0" applyFont="1" applyFill="1" applyBorder="1" applyAlignment="1">
      <alignment horizontal="right" vertical="center"/>
    </xf>
    <xf numFmtId="0" fontId="5" fillId="0" borderId="3" xfId="0" applyNumberFormat="1" applyFont="1" applyFill="1" applyBorder="1" applyAlignment="1">
      <alignment horizontal="center" vertical="center"/>
    </xf>
    <xf numFmtId="43" fontId="5" fillId="0" borderId="1" xfId="0" applyNumberFormat="1" applyFont="1" applyFill="1" applyBorder="1" applyAlignment="1">
      <alignment horizontal="right" vertical="center"/>
    </xf>
    <xf numFmtId="43" fontId="11" fillId="0" borderId="1" xfId="1" applyFont="1" applyFill="1" applyBorder="1" applyAlignment="1">
      <alignment horizontal="right" vertical="center"/>
    </xf>
    <xf numFmtId="0" fontId="11" fillId="0" borderId="1" xfId="0" applyNumberFormat="1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 wrapText="1"/>
    </xf>
    <xf numFmtId="0" fontId="5" fillId="0" borderId="4" xfId="0" applyFont="1" applyFill="1" applyBorder="1" applyAlignment="1">
      <alignment horizontal="left" vertical="center"/>
    </xf>
    <xf numFmtId="0" fontId="6" fillId="0" borderId="0" xfId="0" applyFont="1" applyAlignment="1">
      <alignment horizontal="right" vertical="center"/>
    </xf>
    <xf numFmtId="43" fontId="5" fillId="0" borderId="0" xfId="0" applyNumberFormat="1" applyFont="1" applyFill="1" applyAlignment="1"/>
    <xf numFmtId="2" fontId="11" fillId="0" borderId="1" xfId="2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right" vertical="center"/>
    </xf>
    <xf numFmtId="173" fontId="9" fillId="0" borderId="1" xfId="1" applyNumberFormat="1" applyFont="1" applyFill="1" applyBorder="1" applyAlignment="1">
      <alignment horizontal="center" vertical="center"/>
    </xf>
    <xf numFmtId="43" fontId="9" fillId="0" borderId="1" xfId="1" applyFont="1" applyFill="1" applyBorder="1" applyAlignment="1">
      <alignment vertical="center"/>
    </xf>
    <xf numFmtId="43" fontId="11" fillId="0" borderId="1" xfId="0" applyNumberFormat="1" applyFont="1" applyFill="1" applyBorder="1" applyAlignment="1">
      <alignment horizontal="right" vertical="center"/>
    </xf>
    <xf numFmtId="43" fontId="5" fillId="0" borderId="0" xfId="1" applyFont="1" applyFill="1" applyBorder="1" applyAlignment="1">
      <alignment horizontal="center"/>
    </xf>
    <xf numFmtId="0" fontId="5" fillId="0" borderId="0" xfId="0" applyFont="1" applyFill="1" applyBorder="1" applyAlignment="1"/>
    <xf numFmtId="43" fontId="9" fillId="0" borderId="0" xfId="1" applyFont="1" applyFill="1" applyBorder="1" applyAlignment="1">
      <alignment horizontal="center"/>
    </xf>
    <xf numFmtId="0" fontId="9" fillId="0" borderId="0" xfId="0" applyFont="1" applyFill="1" applyBorder="1" applyAlignment="1"/>
    <xf numFmtId="0" fontId="9" fillId="0" borderId="0" xfId="0" applyFont="1" applyFill="1" applyAlignment="1"/>
    <xf numFmtId="0" fontId="9" fillId="0" borderId="1" xfId="0" applyFont="1" applyFill="1" applyBorder="1" applyAlignment="1">
      <alignment horizontal="center"/>
    </xf>
    <xf numFmtId="173" fontId="9" fillId="0" borderId="1" xfId="1" applyNumberFormat="1" applyFont="1" applyFill="1" applyBorder="1" applyAlignment="1">
      <alignment horizontal="center"/>
    </xf>
    <xf numFmtId="43" fontId="9" fillId="0" borderId="1" xfId="1" applyFont="1" applyFill="1" applyBorder="1" applyAlignment="1"/>
    <xf numFmtId="43" fontId="9" fillId="0" borderId="1" xfId="1" applyFont="1" applyFill="1" applyBorder="1" applyAlignment="1">
      <alignment horizontal="center"/>
    </xf>
    <xf numFmtId="174" fontId="9" fillId="0" borderId="1" xfId="1" applyNumberFormat="1" applyFont="1" applyFill="1" applyBorder="1" applyAlignment="1"/>
    <xf numFmtId="43" fontId="12" fillId="0" borderId="1" xfId="1" applyFont="1" applyFill="1" applyBorder="1" applyAlignment="1"/>
    <xf numFmtId="0" fontId="9" fillId="0" borderId="1" xfId="0" applyFont="1" applyFill="1" applyBorder="1" applyAlignment="1"/>
    <xf numFmtId="0" fontId="9" fillId="0" borderId="1" xfId="0" applyFont="1" applyFill="1" applyBorder="1" applyAlignment="1">
      <alignment horizontal="right"/>
    </xf>
    <xf numFmtId="2" fontId="9" fillId="0" borderId="1" xfId="1" applyNumberFormat="1" applyFont="1" applyFill="1" applyBorder="1" applyAlignment="1">
      <alignment horizontal="center"/>
    </xf>
    <xf numFmtId="0" fontId="9" fillId="0" borderId="1" xfId="0" applyFont="1" applyFill="1" applyBorder="1" applyAlignment="1">
      <alignment horizontal="left"/>
    </xf>
    <xf numFmtId="175" fontId="9" fillId="0" borderId="0" xfId="1" applyNumberFormat="1" applyFont="1" applyFill="1" applyBorder="1" applyAlignment="1">
      <alignment horizontal="center"/>
    </xf>
    <xf numFmtId="43" fontId="9" fillId="0" borderId="0" xfId="0" applyNumberFormat="1" applyFont="1" applyFill="1" applyBorder="1" applyAlignment="1"/>
    <xf numFmtId="43" fontId="9" fillId="0" borderId="0" xfId="1" applyFont="1" applyFill="1" applyBorder="1" applyAlignment="1">
      <alignment horizontal="left"/>
    </xf>
    <xf numFmtId="0" fontId="9" fillId="0" borderId="3" xfId="0" applyFont="1" applyFill="1" applyBorder="1" applyAlignment="1">
      <alignment horizontal="center"/>
    </xf>
    <xf numFmtId="0" fontId="9" fillId="0" borderId="3" xfId="0" applyFont="1" applyFill="1" applyBorder="1" applyAlignment="1">
      <alignment horizontal="right"/>
    </xf>
    <xf numFmtId="173" fontId="9" fillId="0" borderId="3" xfId="1" applyNumberFormat="1" applyFont="1" applyFill="1" applyBorder="1" applyAlignment="1">
      <alignment horizontal="center"/>
    </xf>
    <xf numFmtId="43" fontId="9" fillId="0" borderId="3" xfId="1" applyFont="1" applyFill="1" applyBorder="1" applyAlignment="1"/>
    <xf numFmtId="174" fontId="9" fillId="0" borderId="3" xfId="1" applyNumberFormat="1" applyFont="1" applyFill="1" applyBorder="1" applyAlignment="1"/>
    <xf numFmtId="43" fontId="9" fillId="0" borderId="3" xfId="1" applyFont="1" applyFill="1" applyBorder="1" applyAlignment="1">
      <alignment horizontal="center"/>
    </xf>
    <xf numFmtId="174" fontId="12" fillId="0" borderId="1" xfId="1" applyNumberFormat="1" applyFont="1" applyFill="1" applyBorder="1" applyAlignment="1"/>
    <xf numFmtId="2" fontId="12" fillId="0" borderId="1" xfId="1" applyNumberFormat="1" applyFont="1" applyFill="1" applyBorder="1" applyAlignment="1">
      <alignment horizontal="center"/>
    </xf>
    <xf numFmtId="173" fontId="9" fillId="0" borderId="4" xfId="1" applyNumberFormat="1" applyFont="1" applyFill="1" applyBorder="1" applyAlignment="1">
      <alignment horizontal="center"/>
    </xf>
    <xf numFmtId="43" fontId="9" fillId="0" borderId="4" xfId="1" applyFont="1" applyFill="1" applyBorder="1" applyAlignment="1"/>
    <xf numFmtId="0" fontId="9" fillId="0" borderId="3" xfId="0" applyFont="1" applyFill="1" applyBorder="1" applyAlignment="1">
      <alignment horizontal="left"/>
    </xf>
    <xf numFmtId="0" fontId="9" fillId="0" borderId="1" xfId="0" applyFont="1" applyFill="1" applyBorder="1" applyAlignment="1">
      <alignment horizontal="center" vertical="center"/>
    </xf>
    <xf numFmtId="43" fontId="9" fillId="0" borderId="0" xfId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9" fillId="0" borderId="1" xfId="0" applyFont="1" applyFill="1" applyBorder="1" applyAlignment="1">
      <alignment horizontal="left" vertical="center"/>
    </xf>
    <xf numFmtId="43" fontId="9" fillId="0" borderId="1" xfId="1" applyFont="1" applyFill="1" applyBorder="1" applyAlignment="1">
      <alignment horizontal="right" vertical="center"/>
    </xf>
    <xf numFmtId="0" fontId="9" fillId="0" borderId="1" xfId="8" applyFont="1" applyFill="1" applyBorder="1" applyAlignment="1">
      <alignment horizontal="center"/>
    </xf>
    <xf numFmtId="0" fontId="9" fillId="0" borderId="1" xfId="8" applyFont="1" applyFill="1" applyBorder="1" applyAlignment="1">
      <alignment horizontal="right"/>
    </xf>
    <xf numFmtId="0" fontId="9" fillId="0" borderId="1" xfId="8" applyFont="1" applyFill="1" applyBorder="1" applyAlignment="1"/>
    <xf numFmtId="0" fontId="9" fillId="0" borderId="4" xfId="8" applyFont="1" applyFill="1" applyBorder="1" applyAlignment="1">
      <alignment horizontal="center"/>
    </xf>
    <xf numFmtId="0" fontId="9" fillId="0" borderId="4" xfId="8" applyFont="1" applyFill="1" applyBorder="1" applyAlignment="1"/>
    <xf numFmtId="43" fontId="9" fillId="0" borderId="4" xfId="1" applyFont="1" applyFill="1" applyBorder="1" applyAlignment="1">
      <alignment horizontal="center"/>
    </xf>
    <xf numFmtId="0" fontId="5" fillId="0" borderId="5" xfId="8" applyFont="1" applyFill="1" applyBorder="1" applyAlignment="1">
      <alignment horizontal="center"/>
    </xf>
    <xf numFmtId="0" fontId="5" fillId="0" borderId="5" xfId="8" applyFont="1" applyFill="1" applyBorder="1" applyAlignment="1"/>
    <xf numFmtId="173" fontId="5" fillId="0" borderId="5" xfId="1" applyNumberFormat="1" applyFont="1" applyFill="1" applyBorder="1" applyAlignment="1">
      <alignment horizontal="center"/>
    </xf>
    <xf numFmtId="43" fontId="5" fillId="0" borderId="5" xfId="1" applyFont="1" applyFill="1" applyBorder="1" applyAlignment="1"/>
    <xf numFmtId="0" fontId="5" fillId="0" borderId="6" xfId="8" applyFont="1" applyFill="1" applyBorder="1" applyAlignment="1">
      <alignment horizontal="center"/>
    </xf>
    <xf numFmtId="0" fontId="5" fillId="0" borderId="6" xfId="8" applyFont="1" applyFill="1" applyBorder="1" applyAlignment="1"/>
    <xf numFmtId="173" fontId="5" fillId="0" borderId="6" xfId="1" applyNumberFormat="1" applyFont="1" applyFill="1" applyBorder="1" applyAlignment="1">
      <alignment horizontal="center"/>
    </xf>
    <xf numFmtId="43" fontId="5" fillId="0" borderId="6" xfId="1" applyFont="1" applyFill="1" applyBorder="1" applyAlignment="1"/>
    <xf numFmtId="43" fontId="5" fillId="0" borderId="6" xfId="1" applyFont="1" applyFill="1" applyBorder="1" applyAlignment="1">
      <alignment horizontal="center"/>
    </xf>
    <xf numFmtId="173" fontId="5" fillId="0" borderId="0" xfId="1" applyNumberFormat="1" applyFont="1" applyFill="1" applyAlignment="1">
      <alignment horizontal="center"/>
    </xf>
    <xf numFmtId="43" fontId="5" fillId="0" borderId="0" xfId="1" applyFont="1" applyFill="1" applyAlignment="1"/>
    <xf numFmtId="43" fontId="5" fillId="0" borderId="7" xfId="1" applyFont="1" applyFill="1" applyBorder="1" applyAlignment="1"/>
    <xf numFmtId="173" fontId="5" fillId="0" borderId="5" xfId="1" applyNumberFormat="1" applyFont="1" applyFill="1" applyBorder="1" applyAlignment="1">
      <alignment horizontal="center" vertical="center"/>
    </xf>
    <xf numFmtId="173" fontId="5" fillId="0" borderId="3" xfId="1" applyNumberFormat="1" applyFont="1" applyFill="1" applyBorder="1" applyAlignment="1">
      <alignment horizontal="center" vertical="center"/>
    </xf>
    <xf numFmtId="173" fontId="5" fillId="0" borderId="4" xfId="1" applyNumberFormat="1" applyFont="1" applyFill="1" applyBorder="1" applyAlignment="1">
      <alignment horizontal="center" vertical="center"/>
    </xf>
    <xf numFmtId="43" fontId="9" fillId="0" borderId="0" xfId="0" applyNumberFormat="1" applyFont="1" applyFill="1" applyAlignment="1"/>
    <xf numFmtId="43" fontId="9" fillId="2" borderId="1" xfId="1" applyFont="1" applyFill="1" applyBorder="1" applyAlignment="1"/>
    <xf numFmtId="0" fontId="5" fillId="0" borderId="8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173" fontId="13" fillId="0" borderId="1" xfId="1" applyNumberFormat="1" applyFont="1" applyFill="1" applyBorder="1" applyAlignment="1">
      <alignment horizontal="center"/>
    </xf>
    <xf numFmtId="43" fontId="13" fillId="0" borderId="1" xfId="1" applyFont="1" applyFill="1" applyBorder="1" applyAlignment="1"/>
    <xf numFmtId="43" fontId="13" fillId="0" borderId="1" xfId="1" applyFont="1" applyFill="1" applyBorder="1" applyAlignment="1">
      <alignment horizontal="center"/>
    </xf>
    <xf numFmtId="0" fontId="13" fillId="0" borderId="1" xfId="0" applyFont="1" applyFill="1" applyBorder="1" applyAlignment="1">
      <alignment horizontal="right" vertical="center"/>
    </xf>
    <xf numFmtId="173" fontId="13" fillId="0" borderId="1" xfId="1" applyNumberFormat="1" applyFont="1" applyFill="1" applyBorder="1" applyAlignment="1">
      <alignment horizontal="center" vertical="center"/>
    </xf>
    <xf numFmtId="43" fontId="13" fillId="0" borderId="1" xfId="1" applyFont="1" applyFill="1" applyBorder="1" applyAlignment="1">
      <alignment vertical="center"/>
    </xf>
    <xf numFmtId="0" fontId="13" fillId="0" borderId="1" xfId="0" applyFont="1" applyFill="1" applyBorder="1" applyAlignment="1">
      <alignment horizontal="left" vertical="center"/>
    </xf>
    <xf numFmtId="43" fontId="13" fillId="0" borderId="1" xfId="1" applyFont="1" applyFill="1" applyBorder="1" applyAlignment="1">
      <alignment horizontal="center" vertical="center"/>
    </xf>
    <xf numFmtId="43" fontId="5" fillId="0" borderId="4" xfId="0" applyNumberFormat="1" applyFont="1" applyFill="1" applyBorder="1" applyAlignment="1">
      <alignment horizontal="right" vertical="center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43" fontId="6" fillId="0" borderId="2" xfId="0" applyNumberFormat="1" applyFont="1" applyBorder="1" applyAlignment="1">
      <alignment vertical="center"/>
    </xf>
    <xf numFmtId="173" fontId="6" fillId="0" borderId="0" xfId="1" applyNumberFormat="1" applyFont="1" applyFill="1" applyAlignment="1">
      <alignment vertical="center"/>
    </xf>
    <xf numFmtId="43" fontId="6" fillId="0" borderId="0" xfId="1" applyFont="1" applyFill="1" applyAlignment="1">
      <alignment vertical="center"/>
    </xf>
    <xf numFmtId="0" fontId="14" fillId="0" borderId="0" xfId="0" applyFont="1"/>
    <xf numFmtId="43" fontId="14" fillId="0" borderId="0" xfId="1" applyFont="1"/>
    <xf numFmtId="0" fontId="14" fillId="0" borderId="0" xfId="0" applyFont="1" applyFill="1"/>
    <xf numFmtId="0" fontId="13" fillId="0" borderId="1" xfId="0" applyFont="1" applyFill="1" applyBorder="1" applyAlignment="1">
      <alignment horizontal="left"/>
    </xf>
    <xf numFmtId="174" fontId="13" fillId="0" borderId="1" xfId="1" applyNumberFormat="1" applyFont="1" applyFill="1" applyBorder="1" applyAlignment="1"/>
    <xf numFmtId="0" fontId="25" fillId="0" borderId="1" xfId="0" applyFont="1" applyFill="1" applyBorder="1" applyAlignment="1">
      <alignment horizontal="center" vertical="center"/>
    </xf>
    <xf numFmtId="43" fontId="25" fillId="0" borderId="1" xfId="1" applyFont="1" applyFill="1" applyBorder="1" applyAlignment="1">
      <alignment vertical="center"/>
    </xf>
    <xf numFmtId="173" fontId="25" fillId="0" borderId="1" xfId="1" applyNumberFormat="1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right" vertical="center"/>
    </xf>
    <xf numFmtId="0" fontId="25" fillId="0" borderId="1" xfId="0" applyFont="1" applyFill="1" applyBorder="1" applyAlignment="1">
      <alignment horizontal="left" vertical="center"/>
    </xf>
    <xf numFmtId="0" fontId="26" fillId="0" borderId="1" xfId="0" applyFont="1" applyFill="1" applyBorder="1" applyAlignment="1">
      <alignment horizontal="center" vertical="center"/>
    </xf>
    <xf numFmtId="173" fontId="26" fillId="0" borderId="1" xfId="1" applyNumberFormat="1" applyFont="1" applyFill="1" applyBorder="1" applyAlignment="1">
      <alignment horizontal="center" vertical="center"/>
    </xf>
    <xf numFmtId="43" fontId="9" fillId="3" borderId="1" xfId="1" applyFont="1" applyFill="1" applyBorder="1" applyAlignment="1">
      <alignment vertical="center"/>
    </xf>
    <xf numFmtId="0" fontId="5" fillId="0" borderId="0" xfId="0" applyFont="1" applyAlignment="1">
      <alignment horizontal="center"/>
    </xf>
    <xf numFmtId="0" fontId="5" fillId="0" borderId="10" xfId="0" applyFont="1" applyFill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/>
    <xf numFmtId="0" fontId="5" fillId="0" borderId="1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wrapText="1"/>
    </xf>
    <xf numFmtId="9" fontId="5" fillId="0" borderId="1" xfId="0" applyNumberFormat="1" applyFont="1" applyBorder="1"/>
    <xf numFmtId="0" fontId="5" fillId="0" borderId="5" xfId="0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5" fillId="0" borderId="10" xfId="0" applyFont="1" applyBorder="1"/>
    <xf numFmtId="0" fontId="5" fillId="0" borderId="10" xfId="0" applyFont="1" applyBorder="1" applyAlignment="1">
      <alignment horizontal="left" vertical="center"/>
    </xf>
    <xf numFmtId="0" fontId="5" fillId="0" borderId="12" xfId="0" applyFont="1" applyBorder="1"/>
    <xf numFmtId="173" fontId="5" fillId="0" borderId="1" xfId="1" applyNumberFormat="1" applyFont="1" applyBorder="1"/>
    <xf numFmtId="9" fontId="5" fillId="0" borderId="5" xfId="0" applyNumberFormat="1" applyFont="1" applyBorder="1"/>
    <xf numFmtId="173" fontId="5" fillId="0" borderId="5" xfId="1" applyNumberFormat="1" applyFont="1" applyBorder="1"/>
    <xf numFmtId="0" fontId="5" fillId="0" borderId="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/>
    </xf>
    <xf numFmtId="0" fontId="5" fillId="0" borderId="4" xfId="0" applyFont="1" applyBorder="1"/>
    <xf numFmtId="0" fontId="15" fillId="4" borderId="11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15" fillId="4" borderId="4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  <xf numFmtId="9" fontId="5" fillId="4" borderId="3" xfId="0" applyNumberFormat="1" applyFont="1" applyFill="1" applyBorder="1"/>
    <xf numFmtId="173" fontId="5" fillId="4" borderId="3" xfId="0" applyNumberFormat="1" applyFont="1" applyFill="1" applyBorder="1"/>
    <xf numFmtId="0" fontId="5" fillId="0" borderId="0" xfId="0" applyFont="1" applyAlignment="1">
      <alignment horizontal="left"/>
    </xf>
    <xf numFmtId="0" fontId="15" fillId="4" borderId="4" xfId="0" applyFont="1" applyFill="1" applyBorder="1" applyAlignment="1">
      <alignment horizontal="left"/>
    </xf>
    <xf numFmtId="0" fontId="10" fillId="0" borderId="0" xfId="0" applyFont="1" applyAlignment="1">
      <alignment horizontal="center"/>
    </xf>
    <xf numFmtId="0" fontId="16" fillId="0" borderId="0" xfId="0" applyFont="1"/>
    <xf numFmtId="0" fontId="1" fillId="0" borderId="0" xfId="0" applyFont="1"/>
    <xf numFmtId="0" fontId="0" fillId="0" borderId="13" xfId="0" applyBorder="1"/>
    <xf numFmtId="0" fontId="17" fillId="0" borderId="0" xfId="0" applyFont="1"/>
    <xf numFmtId="0" fontId="17" fillId="0" borderId="2" xfId="0" applyFont="1" applyBorder="1" applyAlignment="1">
      <alignment vertical="center"/>
    </xf>
    <xf numFmtId="0" fontId="17" fillId="0" borderId="2" xfId="0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7" fillId="0" borderId="3" xfId="0" applyFont="1" applyBorder="1" applyAlignment="1">
      <alignment horizontal="center"/>
    </xf>
    <xf numFmtId="0" fontId="17" fillId="0" borderId="3" xfId="0" applyFont="1" applyBorder="1"/>
    <xf numFmtId="43" fontId="17" fillId="0" borderId="3" xfId="0" applyNumberFormat="1" applyFont="1" applyBorder="1"/>
    <xf numFmtId="173" fontId="17" fillId="0" borderId="3" xfId="1" applyNumberFormat="1" applyFont="1" applyBorder="1"/>
    <xf numFmtId="0" fontId="17" fillId="0" borderId="1" xfId="0" applyFont="1" applyBorder="1" applyAlignment="1">
      <alignment horizontal="center"/>
    </xf>
    <xf numFmtId="0" fontId="17" fillId="0" borderId="1" xfId="0" applyFont="1" applyBorder="1"/>
    <xf numFmtId="43" fontId="17" fillId="0" borderId="1" xfId="0" applyNumberFormat="1" applyFont="1" applyBorder="1"/>
    <xf numFmtId="173" fontId="17" fillId="0" borderId="1" xfId="1" applyNumberFormat="1" applyFont="1" applyBorder="1"/>
    <xf numFmtId="0" fontId="17" fillId="0" borderId="4" xfId="0" applyFont="1" applyBorder="1"/>
    <xf numFmtId="173" fontId="17" fillId="0" borderId="4" xfId="1" applyNumberFormat="1" applyFont="1" applyBorder="1"/>
    <xf numFmtId="0" fontId="17" fillId="0" borderId="2" xfId="0" applyFont="1" applyBorder="1"/>
    <xf numFmtId="0" fontId="17" fillId="0" borderId="2" xfId="0" applyFont="1" applyBorder="1" applyAlignment="1">
      <alignment horizontal="right"/>
    </xf>
    <xf numFmtId="43" fontId="17" fillId="0" borderId="2" xfId="0" applyNumberFormat="1" applyFont="1" applyBorder="1"/>
    <xf numFmtId="173" fontId="17" fillId="0" borderId="2" xfId="1" applyNumberFormat="1" applyFont="1" applyBorder="1"/>
    <xf numFmtId="0" fontId="18" fillId="0" borderId="0" xfId="0" applyFont="1"/>
    <xf numFmtId="0" fontId="14" fillId="0" borderId="0" xfId="0" applyFont="1" applyAlignment="1">
      <alignment horizontal="center"/>
    </xf>
    <xf numFmtId="173" fontId="14" fillId="0" borderId="0" xfId="1" applyNumberFormat="1" applyFont="1"/>
    <xf numFmtId="173" fontId="14" fillId="0" borderId="0" xfId="0" applyNumberFormat="1" applyFont="1"/>
    <xf numFmtId="0" fontId="14" fillId="0" borderId="14" xfId="0" applyFont="1" applyBorder="1"/>
    <xf numFmtId="2" fontId="14" fillId="0" borderId="0" xfId="0" applyNumberFormat="1" applyFont="1"/>
    <xf numFmtId="2" fontId="14" fillId="0" borderId="14" xfId="0" applyNumberFormat="1" applyFont="1" applyBorder="1"/>
    <xf numFmtId="0" fontId="14" fillId="0" borderId="0" xfId="0" applyFont="1" applyAlignment="1">
      <alignment horizontal="right"/>
    </xf>
    <xf numFmtId="2" fontId="0" fillId="0" borderId="0" xfId="0" applyNumberFormat="1"/>
    <xf numFmtId="173" fontId="17" fillId="0" borderId="0" xfId="0" applyNumberFormat="1" applyFont="1"/>
    <xf numFmtId="183" fontId="0" fillId="0" borderId="0" xfId="0" applyNumberFormat="1"/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11" xfId="0" applyBorder="1"/>
    <xf numFmtId="2" fontId="0" fillId="0" borderId="11" xfId="0" applyNumberFormat="1" applyBorder="1"/>
    <xf numFmtId="0" fontId="0" fillId="0" borderId="1" xfId="0" applyBorder="1" applyAlignment="1">
      <alignment horizontal="center"/>
    </xf>
    <xf numFmtId="0" fontId="0" fillId="0" borderId="1" xfId="0" applyBorder="1"/>
    <xf numFmtId="2" fontId="0" fillId="0" borderId="1" xfId="0" applyNumberFormat="1" applyBorder="1"/>
    <xf numFmtId="0" fontId="0" fillId="0" borderId="5" xfId="0" applyBorder="1" applyAlignment="1">
      <alignment horizontal="center"/>
    </xf>
    <xf numFmtId="0" fontId="0" fillId="0" borderId="5" xfId="0" applyBorder="1"/>
    <xf numFmtId="2" fontId="0" fillId="0" borderId="5" xfId="0" applyNumberFormat="1" applyBorder="1"/>
    <xf numFmtId="2" fontId="0" fillId="3" borderId="5" xfId="0" applyNumberFormat="1" applyFill="1" applyBorder="1"/>
    <xf numFmtId="2" fontId="0" fillId="0" borderId="4" xfId="0" applyNumberFormat="1" applyBorder="1"/>
    <xf numFmtId="0" fontId="0" fillId="0" borderId="3" xfId="0" applyBorder="1" applyAlignment="1">
      <alignment horizontal="center"/>
    </xf>
    <xf numFmtId="0" fontId="0" fillId="0" borderId="3" xfId="0" applyBorder="1"/>
    <xf numFmtId="2" fontId="0" fillId="0" borderId="3" xfId="0" applyNumberFormat="1" applyBorder="1"/>
    <xf numFmtId="0" fontId="1" fillId="0" borderId="1" xfId="0" applyFont="1" applyBorder="1"/>
    <xf numFmtId="173" fontId="17" fillId="0" borderId="0" xfId="1" applyNumberFormat="1" applyFont="1"/>
    <xf numFmtId="0" fontId="17" fillId="0" borderId="5" xfId="0" applyFont="1" applyBorder="1"/>
    <xf numFmtId="0" fontId="17" fillId="0" borderId="0" xfId="0" applyFont="1" applyAlignment="1">
      <alignment horizontal="center"/>
    </xf>
    <xf numFmtId="0" fontId="17" fillId="0" borderId="2" xfId="0" applyFont="1" applyBorder="1" applyAlignment="1">
      <alignment horizontal="center"/>
    </xf>
    <xf numFmtId="0" fontId="17" fillId="0" borderId="0" xfId="0" applyFont="1" applyAlignment="1">
      <alignment horizontal="right"/>
    </xf>
    <xf numFmtId="173" fontId="17" fillId="0" borderId="15" xfId="1" applyNumberFormat="1" applyFont="1" applyBorder="1"/>
    <xf numFmtId="173" fontId="17" fillId="0" borderId="0" xfId="1" applyNumberFormat="1" applyFont="1" applyAlignment="1">
      <alignment horizontal="center"/>
    </xf>
    <xf numFmtId="173" fontId="17" fillId="0" borderId="0" xfId="1" applyNumberFormat="1" applyFont="1" applyBorder="1"/>
    <xf numFmtId="173" fontId="17" fillId="0" borderId="3" xfId="1" applyNumberFormat="1" applyFont="1" applyFill="1" applyBorder="1"/>
    <xf numFmtId="173" fontId="17" fillId="0" borderId="1" xfId="1" applyNumberFormat="1" applyFont="1" applyFill="1" applyBorder="1"/>
    <xf numFmtId="43" fontId="13" fillId="3" borderId="1" xfId="1" applyFont="1" applyFill="1" applyBorder="1" applyAlignment="1">
      <alignment horizontal="right" vertical="center"/>
    </xf>
    <xf numFmtId="0" fontId="25" fillId="0" borderId="1" xfId="0" applyFont="1" applyFill="1" applyBorder="1" applyAlignment="1">
      <alignment vertical="center"/>
    </xf>
    <xf numFmtId="173" fontId="25" fillId="0" borderId="4" xfId="1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right" vertical="center"/>
    </xf>
    <xf numFmtId="43" fontId="9" fillId="0" borderId="1" xfId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center"/>
    </xf>
    <xf numFmtId="0" fontId="11" fillId="5" borderId="1" xfId="0" applyNumberFormat="1" applyFont="1" applyFill="1" applyBorder="1" applyAlignment="1">
      <alignment horizontal="right" vertical="center"/>
    </xf>
    <xf numFmtId="43" fontId="9" fillId="0" borderId="1" xfId="2" applyNumberFormat="1" applyFont="1" applyFill="1" applyBorder="1" applyAlignment="1">
      <alignment horizontal="center" vertical="center"/>
    </xf>
    <xf numFmtId="43" fontId="9" fillId="0" borderId="1" xfId="2" applyNumberFormat="1" applyFont="1" applyFill="1" applyBorder="1" applyAlignment="1">
      <alignment vertical="center"/>
    </xf>
    <xf numFmtId="2" fontId="9" fillId="0" borderId="1" xfId="1" applyNumberFormat="1" applyFont="1" applyFill="1" applyBorder="1" applyAlignment="1">
      <alignment horizontal="center" vertical="center"/>
    </xf>
    <xf numFmtId="0" fontId="9" fillId="0" borderId="1" xfId="7" applyFont="1" applyFill="1" applyBorder="1" applyAlignment="1">
      <alignment horizontal="right" vertical="center"/>
    </xf>
    <xf numFmtId="0" fontId="13" fillId="0" borderId="1" xfId="0" applyFont="1" applyFill="1" applyBorder="1" applyAlignment="1">
      <alignment horizontal="center" vertical="center"/>
    </xf>
    <xf numFmtId="43" fontId="9" fillId="0" borderId="1" xfId="0" applyNumberFormat="1" applyFont="1" applyFill="1" applyBorder="1" applyAlignment="1">
      <alignment horizontal="center" vertical="center"/>
    </xf>
    <xf numFmtId="43" fontId="9" fillId="0" borderId="1" xfId="2" applyFont="1" applyFill="1" applyBorder="1" applyAlignment="1">
      <alignment horizontal="center" vertical="center"/>
    </xf>
    <xf numFmtId="173" fontId="9" fillId="0" borderId="1" xfId="2" applyNumberFormat="1" applyFont="1" applyFill="1" applyBorder="1" applyAlignment="1">
      <alignment horizontal="center" vertical="center"/>
    </xf>
    <xf numFmtId="2" fontId="9" fillId="0" borderId="1" xfId="3" applyNumberFormat="1" applyFont="1" applyFill="1" applyBorder="1" applyAlignment="1">
      <alignment horizontal="center" vertical="center"/>
    </xf>
    <xf numFmtId="43" fontId="9" fillId="0" borderId="1" xfId="3" applyNumberFormat="1" applyFont="1" applyFill="1" applyBorder="1" applyAlignment="1">
      <alignment horizontal="center" vertical="center"/>
    </xf>
    <xf numFmtId="173" fontId="9" fillId="0" borderId="1" xfId="3" applyNumberFormat="1" applyFont="1" applyFill="1" applyBorder="1" applyAlignment="1">
      <alignment vertical="center"/>
    </xf>
    <xf numFmtId="2" fontId="9" fillId="0" borderId="1" xfId="3" applyNumberFormat="1" applyFont="1" applyFill="1" applyBorder="1" applyAlignment="1">
      <alignment horizontal="right" vertical="center"/>
    </xf>
    <xf numFmtId="43" fontId="26" fillId="0" borderId="1" xfId="1" applyFont="1" applyFill="1" applyBorder="1" applyAlignment="1">
      <alignment horizontal="right" vertical="center"/>
    </xf>
    <xf numFmtId="43" fontId="26" fillId="0" borderId="1" xfId="2" applyNumberFormat="1" applyFont="1" applyFill="1" applyBorder="1" applyAlignment="1">
      <alignment horizontal="center" vertical="center"/>
    </xf>
    <xf numFmtId="43" fontId="26" fillId="0" borderId="1" xfId="2" applyNumberFormat="1" applyFont="1" applyFill="1" applyBorder="1" applyAlignment="1">
      <alignment vertical="center"/>
    </xf>
    <xf numFmtId="43" fontId="26" fillId="0" borderId="1" xfId="0" applyNumberFormat="1" applyFont="1" applyFill="1" applyBorder="1" applyAlignment="1">
      <alignment horizontal="center" vertical="center"/>
    </xf>
    <xf numFmtId="43" fontId="26" fillId="0" borderId="1" xfId="2" applyFont="1" applyFill="1" applyBorder="1" applyAlignment="1">
      <alignment horizontal="center" vertical="center"/>
    </xf>
    <xf numFmtId="173" fontId="26" fillId="0" borderId="1" xfId="2" applyNumberFormat="1" applyFont="1" applyFill="1" applyBorder="1" applyAlignment="1">
      <alignment horizontal="center" vertical="center"/>
    </xf>
    <xf numFmtId="43" fontId="26" fillId="0" borderId="1" xfId="3" applyNumberFormat="1" applyFont="1" applyFill="1" applyBorder="1" applyAlignment="1">
      <alignment horizontal="right" vertical="center"/>
    </xf>
    <xf numFmtId="173" fontId="26" fillId="0" borderId="1" xfId="3" applyNumberFormat="1" applyFont="1" applyFill="1" applyBorder="1" applyAlignment="1">
      <alignment vertical="center"/>
    </xf>
    <xf numFmtId="43" fontId="25" fillId="0" borderId="1" xfId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center" vertical="center"/>
    </xf>
    <xf numFmtId="43" fontId="5" fillId="5" borderId="3" xfId="1" applyFont="1" applyFill="1" applyBorder="1" applyAlignment="1">
      <alignment vertical="center"/>
    </xf>
    <xf numFmtId="173" fontId="5" fillId="5" borderId="1" xfId="1" applyNumberFormat="1" applyFont="1" applyFill="1" applyBorder="1" applyAlignment="1">
      <alignment horizontal="center" vertical="center"/>
    </xf>
    <xf numFmtId="43" fontId="5" fillId="5" borderId="1" xfId="1" applyFont="1" applyFill="1" applyBorder="1" applyAlignment="1">
      <alignment horizontal="center" vertical="center"/>
    </xf>
    <xf numFmtId="43" fontId="5" fillId="5" borderId="1" xfId="1" applyFont="1" applyFill="1" applyBorder="1" applyAlignment="1">
      <alignment vertical="center"/>
    </xf>
    <xf numFmtId="43" fontId="11" fillId="5" borderId="1" xfId="2" applyFont="1" applyFill="1" applyBorder="1" applyAlignment="1">
      <alignment horizontal="center" vertical="center"/>
    </xf>
    <xf numFmtId="43" fontId="11" fillId="5" borderId="1" xfId="1" applyFont="1" applyFill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43" fontId="3" fillId="0" borderId="2" xfId="2" applyFont="1" applyBorder="1" applyAlignment="1">
      <alignment vertical="center"/>
    </xf>
    <xf numFmtId="173" fontId="3" fillId="0" borderId="0" xfId="2" applyNumberFormat="1" applyFont="1" applyAlignment="1">
      <alignment vertical="center"/>
    </xf>
    <xf numFmtId="0" fontId="6" fillId="0" borderId="2" xfId="0" applyFont="1" applyBorder="1" applyAlignment="1">
      <alignment vertical="center"/>
    </xf>
    <xf numFmtId="43" fontId="19" fillId="5" borderId="2" xfId="2" applyFont="1" applyFill="1" applyBorder="1" applyAlignment="1">
      <alignment vertical="center"/>
    </xf>
    <xf numFmtId="0" fontId="6" fillId="0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43" fontId="6" fillId="0" borderId="0" xfId="0" applyNumberFormat="1" applyFont="1" applyAlignment="1">
      <alignment horizontal="left" vertical="center"/>
    </xf>
    <xf numFmtId="43" fontId="13" fillId="0" borderId="1" xfId="1" applyNumberFormat="1" applyFont="1" applyFill="1" applyBorder="1" applyAlignment="1"/>
    <xf numFmtId="43" fontId="9" fillId="0" borderId="1" xfId="1" applyFont="1" applyFill="1" applyBorder="1" applyAlignment="1">
      <alignment horizontal="right"/>
    </xf>
    <xf numFmtId="0" fontId="9" fillId="0" borderId="4" xfId="0" applyFont="1" applyFill="1" applyBorder="1" applyAlignment="1">
      <alignment horizontal="center"/>
    </xf>
    <xf numFmtId="2" fontId="9" fillId="0" borderId="4" xfId="1" applyNumberFormat="1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13" fillId="0" borderId="11" xfId="0" applyFont="1" applyFill="1" applyBorder="1" applyAlignment="1">
      <alignment horizontal="left"/>
    </xf>
    <xf numFmtId="173" fontId="13" fillId="0" borderId="11" xfId="1" applyNumberFormat="1" applyFont="1" applyFill="1" applyBorder="1" applyAlignment="1">
      <alignment horizontal="center"/>
    </xf>
    <xf numFmtId="43" fontId="13" fillId="0" borderId="11" xfId="1" applyFont="1" applyFill="1" applyBorder="1" applyAlignment="1"/>
    <xf numFmtId="43" fontId="13" fillId="0" borderId="11" xfId="1" applyFont="1" applyFill="1" applyBorder="1" applyAlignment="1">
      <alignment horizontal="center"/>
    </xf>
    <xf numFmtId="0" fontId="13" fillId="0" borderId="1" xfId="0" applyFont="1" applyFill="1" applyBorder="1" applyAlignment="1"/>
    <xf numFmtId="43" fontId="20" fillId="0" borderId="1" xfId="1" applyFont="1" applyFill="1" applyBorder="1" applyAlignment="1"/>
    <xf numFmtId="43" fontId="9" fillId="0" borderId="1" xfId="0" applyNumberFormat="1" applyFont="1" applyFill="1" applyBorder="1" applyAlignment="1">
      <alignment horizontal="right"/>
    </xf>
    <xf numFmtId="0" fontId="13" fillId="0" borderId="1" xfId="0" applyFont="1" applyFill="1" applyBorder="1" applyAlignment="1">
      <alignment horizontal="right"/>
    </xf>
    <xf numFmtId="0" fontId="13" fillId="0" borderId="1" xfId="0" applyFont="1" applyFill="1" applyBorder="1" applyAlignment="1">
      <alignment horizontal="center"/>
    </xf>
    <xf numFmtId="43" fontId="13" fillId="0" borderId="1" xfId="0" applyNumberFormat="1" applyFont="1" applyFill="1" applyBorder="1" applyAlignment="1">
      <alignment horizontal="right"/>
    </xf>
    <xf numFmtId="174" fontId="9" fillId="0" borderId="1" xfId="1" applyNumberFormat="1" applyFont="1" applyFill="1" applyBorder="1" applyAlignment="1">
      <alignment horizontal="center" vertical="center"/>
    </xf>
    <xf numFmtId="43" fontId="12" fillId="0" borderId="1" xfId="1" applyFont="1" applyFill="1" applyBorder="1" applyAlignment="1">
      <alignment vertical="center"/>
    </xf>
    <xf numFmtId="0" fontId="9" fillId="0" borderId="1" xfId="0" applyFont="1" applyFill="1" applyBorder="1" applyAlignment="1">
      <alignment vertical="center"/>
    </xf>
    <xf numFmtId="174" fontId="9" fillId="0" borderId="1" xfId="1" applyNumberFormat="1" applyFont="1" applyFill="1" applyBorder="1" applyAlignment="1">
      <alignment vertical="center"/>
    </xf>
    <xf numFmtId="0" fontId="9" fillId="0" borderId="4" xfId="8" applyFont="1" applyFill="1" applyBorder="1" applyAlignment="1">
      <alignment horizontal="right"/>
    </xf>
    <xf numFmtId="0" fontId="13" fillId="0" borderId="3" xfId="0" applyFont="1" applyFill="1" applyBorder="1" applyAlignment="1">
      <alignment horizontal="right"/>
    </xf>
    <xf numFmtId="173" fontId="13" fillId="0" borderId="3" xfId="1" applyNumberFormat="1" applyFont="1" applyFill="1" applyBorder="1" applyAlignment="1">
      <alignment horizontal="center"/>
    </xf>
    <xf numFmtId="43" fontId="13" fillId="0" borderId="3" xfId="1" applyFont="1" applyFill="1" applyBorder="1" applyAlignment="1"/>
    <xf numFmtId="174" fontId="13" fillId="0" borderId="3" xfId="1" applyNumberFormat="1" applyFont="1" applyFill="1" applyBorder="1" applyAlignment="1"/>
    <xf numFmtId="174" fontId="13" fillId="0" borderId="3" xfId="1" applyNumberFormat="1" applyFont="1" applyFill="1" applyBorder="1" applyAlignment="1">
      <alignment horizontal="right"/>
    </xf>
    <xf numFmtId="43" fontId="13" fillId="0" borderId="3" xfId="1" applyFont="1" applyFill="1" applyBorder="1" applyAlignment="1">
      <alignment horizontal="left"/>
    </xf>
    <xf numFmtId="43" fontId="13" fillId="0" borderId="1" xfId="1" applyFont="1" applyFill="1" applyBorder="1" applyAlignment="1">
      <alignment horizontal="left"/>
    </xf>
    <xf numFmtId="174" fontId="4" fillId="0" borderId="1" xfId="1" applyNumberFormat="1" applyFont="1" applyFill="1" applyBorder="1" applyAlignment="1"/>
    <xf numFmtId="43" fontId="4" fillId="0" borderId="1" xfId="1" applyFont="1" applyFill="1" applyBorder="1" applyAlignment="1"/>
    <xf numFmtId="2" fontId="4" fillId="0" borderId="1" xfId="1" applyNumberFormat="1" applyFont="1" applyFill="1" applyBorder="1" applyAlignment="1">
      <alignment horizontal="left"/>
    </xf>
    <xf numFmtId="43" fontId="13" fillId="0" borderId="1" xfId="1" applyFont="1" applyFill="1" applyBorder="1" applyAlignment="1">
      <alignment horizontal="right"/>
    </xf>
    <xf numFmtId="2" fontId="13" fillId="0" borderId="1" xfId="1" applyNumberFormat="1" applyFont="1" applyFill="1" applyBorder="1" applyAlignment="1">
      <alignment horizontal="left"/>
    </xf>
    <xf numFmtId="43" fontId="9" fillId="6" borderId="1" xfId="1" applyFont="1" applyFill="1" applyBorder="1" applyAlignment="1">
      <alignment horizontal="center"/>
    </xf>
    <xf numFmtId="0" fontId="4" fillId="0" borderId="1" xfId="0" applyFont="1" applyFill="1" applyBorder="1" applyAlignment="1">
      <alignment horizontal="left" vertical="center"/>
    </xf>
    <xf numFmtId="43" fontId="4" fillId="0" borderId="1" xfId="0" applyNumberFormat="1" applyFont="1" applyFill="1" applyBorder="1" applyAlignment="1">
      <alignment horizontal="center" vertical="center"/>
    </xf>
    <xf numFmtId="43" fontId="9" fillId="0" borderId="1" xfId="1" applyFont="1" applyFill="1" applyBorder="1" applyAlignment="1">
      <alignment horizontal="left"/>
    </xf>
    <xf numFmtId="43" fontId="13" fillId="0" borderId="1" xfId="1" applyFont="1" applyFill="1" applyBorder="1" applyAlignment="1">
      <alignment horizontal="right" vertical="center"/>
    </xf>
    <xf numFmtId="173" fontId="9" fillId="6" borderId="1" xfId="1" applyNumberFormat="1" applyFont="1" applyFill="1" applyBorder="1" applyAlignment="1">
      <alignment horizontal="center"/>
    </xf>
    <xf numFmtId="43" fontId="9" fillId="6" borderId="1" xfId="1" applyFont="1" applyFill="1" applyBorder="1" applyAlignment="1"/>
    <xf numFmtId="0" fontId="9" fillId="6" borderId="1" xfId="0" applyFont="1" applyFill="1" applyBorder="1" applyAlignment="1">
      <alignment horizontal="right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26" fillId="0" borderId="1" xfId="0" applyFont="1" applyFill="1" applyBorder="1" applyAlignment="1">
      <alignment horizontal="right"/>
    </xf>
    <xf numFmtId="173" fontId="26" fillId="0" borderId="1" xfId="1" applyNumberFormat="1" applyFont="1" applyFill="1" applyBorder="1" applyAlignment="1">
      <alignment horizontal="center"/>
    </xf>
    <xf numFmtId="43" fontId="26" fillId="0" borderId="1" xfId="1" applyFont="1" applyFill="1" applyBorder="1" applyAlignment="1"/>
    <xf numFmtId="43" fontId="26" fillId="0" borderId="1" xfId="1" applyFont="1" applyFill="1" applyBorder="1" applyAlignment="1">
      <alignment horizontal="center"/>
    </xf>
    <xf numFmtId="0" fontId="27" fillId="0" borderId="1" xfId="0" applyFont="1" applyFill="1" applyBorder="1" applyAlignment="1">
      <alignment horizontal="right"/>
    </xf>
    <xf numFmtId="43" fontId="27" fillId="0" borderId="1" xfId="0" applyNumberFormat="1" applyFont="1" applyFill="1" applyBorder="1" applyAlignment="1">
      <alignment horizontal="right"/>
    </xf>
    <xf numFmtId="173" fontId="27" fillId="0" borderId="1" xfId="1" applyNumberFormat="1" applyFont="1" applyFill="1" applyBorder="1" applyAlignment="1">
      <alignment horizontal="center"/>
    </xf>
    <xf numFmtId="43" fontId="27" fillId="0" borderId="1" xfId="1" applyFont="1" applyFill="1" applyBorder="1" applyAlignment="1"/>
    <xf numFmtId="0" fontId="9" fillId="6" borderId="1" xfId="0" applyFont="1" applyFill="1" applyBorder="1" applyAlignment="1">
      <alignment horizontal="center"/>
    </xf>
    <xf numFmtId="173" fontId="26" fillId="6" borderId="1" xfId="1" applyNumberFormat="1" applyFont="1" applyFill="1" applyBorder="1" applyAlignment="1">
      <alignment horizontal="center"/>
    </xf>
    <xf numFmtId="43" fontId="26" fillId="6" borderId="1" xfId="1" applyFont="1" applyFill="1" applyBorder="1" applyAlignment="1"/>
    <xf numFmtId="0" fontId="4" fillId="0" borderId="1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right" vertical="center"/>
    </xf>
    <xf numFmtId="0" fontId="19" fillId="7" borderId="2" xfId="0" applyFont="1" applyFill="1" applyBorder="1" applyAlignment="1">
      <alignment horizontal="center" vertical="center"/>
    </xf>
    <xf numFmtId="43" fontId="19" fillId="7" borderId="2" xfId="2" applyFont="1" applyFill="1" applyBorder="1" applyAlignment="1">
      <alignment horizontal="center" vertical="center"/>
    </xf>
    <xf numFmtId="43" fontId="19" fillId="0" borderId="2" xfId="2" applyFont="1" applyBorder="1" applyAlignment="1">
      <alignment vertical="center"/>
    </xf>
    <xf numFmtId="0" fontId="26" fillId="0" borderId="10" xfId="0" applyFont="1" applyFill="1" applyBorder="1" applyAlignment="1">
      <alignment horizontal="center" vertical="center"/>
    </xf>
    <xf numFmtId="0" fontId="25" fillId="0" borderId="18" xfId="0" applyFont="1" applyFill="1" applyBorder="1" applyAlignment="1">
      <alignment horizontal="center" vertical="center"/>
    </xf>
    <xf numFmtId="0" fontId="25" fillId="0" borderId="10" xfId="0" applyFont="1" applyFill="1" applyBorder="1" applyAlignment="1">
      <alignment horizontal="center" vertical="center"/>
    </xf>
    <xf numFmtId="174" fontId="13" fillId="0" borderId="1" xfId="1" applyNumberFormat="1" applyFont="1" applyFill="1" applyBorder="1" applyAlignment="1">
      <alignment horizontal="center"/>
    </xf>
    <xf numFmtId="43" fontId="20" fillId="0" borderId="1" xfId="1" applyFont="1" applyFill="1" applyBorder="1" applyAlignment="1">
      <alignment horizontal="center"/>
    </xf>
    <xf numFmtId="43" fontId="4" fillId="0" borderId="2" xfId="1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left"/>
    </xf>
    <xf numFmtId="173" fontId="9" fillId="8" borderId="1" xfId="1" applyNumberFormat="1" applyFont="1" applyFill="1" applyBorder="1" applyAlignment="1">
      <alignment horizontal="center"/>
    </xf>
    <xf numFmtId="43" fontId="9" fillId="8" borderId="1" xfId="1" applyFont="1" applyFill="1" applyBorder="1" applyAlignment="1"/>
    <xf numFmtId="43" fontId="9" fillId="8" borderId="1" xfId="1" applyFont="1" applyFill="1" applyBorder="1" applyAlignment="1">
      <alignment horizontal="center"/>
    </xf>
    <xf numFmtId="0" fontId="9" fillId="8" borderId="1" xfId="0" applyFont="1" applyFill="1" applyBorder="1" applyAlignment="1">
      <alignment horizontal="right"/>
    </xf>
    <xf numFmtId="9" fontId="9" fillId="8" borderId="1" xfId="1" applyNumberFormat="1" applyFont="1" applyFill="1" applyBorder="1" applyAlignment="1"/>
    <xf numFmtId="0" fontId="3" fillId="0" borderId="0" xfId="0" applyFont="1" applyBorder="1" applyAlignment="1">
      <alignment horizontal="center" vertical="center"/>
    </xf>
    <xf numFmtId="43" fontId="9" fillId="9" borderId="1" xfId="1" applyFont="1" applyFill="1" applyBorder="1" applyAlignment="1"/>
    <xf numFmtId="173" fontId="6" fillId="0" borderId="0" xfId="0" applyNumberFormat="1" applyFont="1" applyAlignment="1">
      <alignment horizontal="right" vertical="center"/>
    </xf>
    <xf numFmtId="173" fontId="0" fillId="0" borderId="0" xfId="0" applyNumberFormat="1"/>
    <xf numFmtId="0" fontId="29" fillId="10" borderId="1" xfId="0" applyFont="1" applyFill="1" applyBorder="1" applyAlignment="1">
      <alignment horizontal="center" vertical="center"/>
    </xf>
    <xf numFmtId="0" fontId="30" fillId="10" borderId="0" xfId="0" applyFont="1" applyFill="1" applyAlignment="1">
      <alignment horizontal="center"/>
    </xf>
    <xf numFmtId="0" fontId="0" fillId="0" borderId="0" xfId="0" applyFill="1"/>
    <xf numFmtId="0" fontId="31" fillId="10" borderId="1" xfId="0" applyFont="1" applyFill="1" applyBorder="1" applyAlignment="1">
      <alignment horizontal="center" vertical="center"/>
    </xf>
    <xf numFmtId="2" fontId="31" fillId="10" borderId="1" xfId="0" applyNumberFormat="1" applyFont="1" applyFill="1" applyBorder="1" applyAlignment="1">
      <alignment horizontal="center" vertical="center"/>
    </xf>
    <xf numFmtId="0" fontId="32" fillId="10" borderId="0" xfId="0" applyFont="1" applyFill="1" applyAlignment="1">
      <alignment horizontal="center"/>
    </xf>
    <xf numFmtId="2" fontId="5" fillId="0" borderId="10" xfId="0" applyNumberFormat="1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43" fontId="5" fillId="0" borderId="10" xfId="0" applyNumberFormat="1" applyFont="1" applyFill="1" applyBorder="1" applyAlignment="1">
      <alignment horizontal="center" vertical="center"/>
    </xf>
    <xf numFmtId="43" fontId="9" fillId="0" borderId="10" xfId="1" applyFont="1" applyFill="1" applyBorder="1" applyAlignment="1">
      <alignment horizontal="center" vertical="center"/>
    </xf>
    <xf numFmtId="43" fontId="26" fillId="0" borderId="10" xfId="1" applyFont="1" applyFill="1" applyBorder="1" applyAlignment="1">
      <alignment horizontal="center" vertical="center"/>
    </xf>
    <xf numFmtId="43" fontId="5" fillId="5" borderId="10" xfId="0" applyNumberFormat="1" applyFont="1" applyFill="1" applyBorder="1" applyAlignment="1">
      <alignment horizontal="center" vertical="center"/>
    </xf>
    <xf numFmtId="43" fontId="9" fillId="0" borderId="10" xfId="2" applyFont="1" applyFill="1" applyBorder="1" applyAlignment="1">
      <alignment horizontal="center" vertical="center"/>
    </xf>
    <xf numFmtId="43" fontId="26" fillId="0" borderId="10" xfId="2" applyFont="1" applyFill="1" applyBorder="1" applyAlignment="1">
      <alignment horizontal="center" vertical="center"/>
    </xf>
    <xf numFmtId="2" fontId="9" fillId="0" borderId="10" xfId="3" applyNumberFormat="1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horizontal="center" vertical="center"/>
    </xf>
    <xf numFmtId="43" fontId="5" fillId="11" borderId="3" xfId="1" applyFont="1" applyFill="1" applyBorder="1" applyAlignment="1">
      <alignment horizontal="center" vertical="center"/>
    </xf>
    <xf numFmtId="0" fontId="5" fillId="11" borderId="3" xfId="0" applyFont="1" applyFill="1" applyBorder="1" applyAlignment="1">
      <alignment vertical="center"/>
    </xf>
    <xf numFmtId="43" fontId="5" fillId="11" borderId="1" xfId="1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vertical="center"/>
    </xf>
    <xf numFmtId="173" fontId="5" fillId="11" borderId="1" xfId="1" applyNumberFormat="1" applyFont="1" applyFill="1" applyBorder="1" applyAlignment="1">
      <alignment vertical="center"/>
    </xf>
    <xf numFmtId="173" fontId="25" fillId="11" borderId="1" xfId="1" applyNumberFormat="1" applyFont="1" applyFill="1" applyBorder="1" applyAlignment="1">
      <alignment horizontal="center" vertical="center"/>
    </xf>
    <xf numFmtId="173" fontId="5" fillId="11" borderId="1" xfId="1" applyNumberFormat="1" applyFont="1" applyFill="1" applyBorder="1" applyAlignment="1">
      <alignment horizontal="center" vertical="center"/>
    </xf>
    <xf numFmtId="43" fontId="4" fillId="11" borderId="1" xfId="1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vertical="center"/>
    </xf>
    <xf numFmtId="43" fontId="5" fillId="11" borderId="1" xfId="0" applyNumberFormat="1" applyFont="1" applyFill="1" applyBorder="1" applyAlignment="1">
      <alignment vertical="center"/>
    </xf>
    <xf numFmtId="43" fontId="9" fillId="11" borderId="1" xfId="2" applyFont="1" applyFill="1" applyBorder="1" applyAlignment="1">
      <alignment horizontal="center" vertical="center"/>
    </xf>
    <xf numFmtId="0" fontId="5" fillId="12" borderId="3" xfId="0" applyFont="1" applyFill="1" applyBorder="1" applyAlignment="1">
      <alignment vertical="center"/>
    </xf>
    <xf numFmtId="43" fontId="5" fillId="12" borderId="1" xfId="0" applyNumberFormat="1" applyFont="1" applyFill="1" applyBorder="1" applyAlignment="1">
      <alignment vertical="center"/>
    </xf>
    <xf numFmtId="0" fontId="5" fillId="12" borderId="1" xfId="0" applyFont="1" applyFill="1" applyBorder="1" applyAlignment="1">
      <alignment vertical="center"/>
    </xf>
    <xf numFmtId="0" fontId="9" fillId="12" borderId="1" xfId="0" applyFont="1" applyFill="1" applyBorder="1" applyAlignment="1">
      <alignment vertical="center"/>
    </xf>
    <xf numFmtId="43" fontId="5" fillId="12" borderId="1" xfId="1" applyFont="1" applyFill="1" applyBorder="1" applyAlignment="1">
      <alignment vertical="center"/>
    </xf>
    <xf numFmtId="0" fontId="5" fillId="6" borderId="21" xfId="0" applyFont="1" applyFill="1" applyBorder="1" applyAlignment="1">
      <alignment vertical="center"/>
    </xf>
    <xf numFmtId="0" fontId="5" fillId="6" borderId="10" xfId="0" applyFont="1" applyFill="1" applyBorder="1" applyAlignment="1">
      <alignment vertical="center"/>
    </xf>
    <xf numFmtId="0" fontId="9" fillId="6" borderId="10" xfId="0" applyFont="1" applyFill="1" applyBorder="1" applyAlignment="1">
      <alignment vertical="center"/>
    </xf>
    <xf numFmtId="0" fontId="5" fillId="11" borderId="4" xfId="0" applyFont="1" applyFill="1" applyBorder="1" applyAlignment="1">
      <alignment vertical="center"/>
    </xf>
    <xf numFmtId="0" fontId="5" fillId="12" borderId="4" xfId="0" applyFont="1" applyFill="1" applyBorder="1" applyAlignment="1">
      <alignment vertical="center"/>
    </xf>
    <xf numFmtId="0" fontId="5" fillId="6" borderId="18" xfId="0" applyFont="1" applyFill="1" applyBorder="1" applyAlignment="1">
      <alignment vertical="center"/>
    </xf>
    <xf numFmtId="43" fontId="4" fillId="11" borderId="2" xfId="1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vertical="center"/>
    </xf>
    <xf numFmtId="43" fontId="4" fillId="12" borderId="2" xfId="1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vertical="center"/>
    </xf>
    <xf numFmtId="9" fontId="4" fillId="6" borderId="2" xfId="10" applyFont="1" applyFill="1" applyBorder="1" applyAlignment="1">
      <alignment horizontal="center" vertical="center"/>
    </xf>
    <xf numFmtId="10" fontId="5" fillId="6" borderId="10" xfId="10" applyNumberFormat="1" applyFont="1" applyFill="1" applyBorder="1" applyAlignment="1">
      <alignment vertical="center"/>
    </xf>
    <xf numFmtId="9" fontId="4" fillId="6" borderId="16" xfId="1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vertical="center"/>
    </xf>
    <xf numFmtId="10" fontId="5" fillId="6" borderId="1" xfId="10" applyNumberFormat="1" applyFont="1" applyFill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0" fontId="9" fillId="6" borderId="1" xfId="0" applyFont="1" applyFill="1" applyBorder="1" applyAlignment="1">
      <alignment vertical="center"/>
    </xf>
    <xf numFmtId="0" fontId="5" fillId="6" borderId="4" xfId="0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5" fillId="0" borderId="3" xfId="0" applyFont="1" applyFill="1" applyBorder="1" applyAlignment="1">
      <alignment horizontal="center" vertical="center"/>
    </xf>
    <xf numFmtId="2" fontId="5" fillId="0" borderId="3" xfId="0" applyNumberFormat="1" applyFont="1" applyFill="1" applyBorder="1" applyAlignment="1">
      <alignment horizontal="center" vertical="center"/>
    </xf>
    <xf numFmtId="0" fontId="29" fillId="13" borderId="1" xfId="0" applyFont="1" applyFill="1" applyBorder="1" applyAlignment="1">
      <alignment horizontal="center" vertical="center"/>
    </xf>
    <xf numFmtId="43" fontId="31" fillId="13" borderId="2" xfId="1" applyFont="1" applyFill="1" applyBorder="1" applyAlignment="1">
      <alignment horizontal="center" vertical="center"/>
    </xf>
    <xf numFmtId="0" fontId="29" fillId="13" borderId="2" xfId="0" applyFont="1" applyFill="1" applyBorder="1" applyAlignment="1">
      <alignment horizontal="center" vertical="center"/>
    </xf>
    <xf numFmtId="43" fontId="31" fillId="13" borderId="2" xfId="1" applyFont="1" applyFill="1" applyBorder="1" applyAlignment="1">
      <alignment horizontal="right" vertical="center"/>
    </xf>
    <xf numFmtId="43" fontId="0" fillId="0" borderId="0" xfId="0" applyNumberFormat="1"/>
    <xf numFmtId="10" fontId="5" fillId="0" borderId="0" xfId="0" applyNumberFormat="1" applyFont="1" applyFill="1" applyAlignment="1">
      <alignment vertical="center"/>
    </xf>
    <xf numFmtId="183" fontId="5" fillId="0" borderId="0" xfId="0" applyNumberFormat="1" applyFont="1" applyFill="1" applyAlignment="1">
      <alignment vertical="center"/>
    </xf>
    <xf numFmtId="211" fontId="5" fillId="0" borderId="0" xfId="10" applyNumberFormat="1" applyFont="1" applyFill="1" applyAlignment="1">
      <alignment vertical="center"/>
    </xf>
    <xf numFmtId="211" fontId="5" fillId="0" borderId="0" xfId="0" applyNumberFormat="1" applyFont="1" applyFill="1" applyAlignment="1">
      <alignment vertical="center"/>
    </xf>
    <xf numFmtId="10" fontId="5" fillId="0" borderId="0" xfId="10" applyNumberFormat="1" applyFont="1" applyFill="1" applyAlignment="1">
      <alignment vertical="center"/>
    </xf>
    <xf numFmtId="43" fontId="21" fillId="0" borderId="0" xfId="0" applyNumberFormat="1" applyFont="1"/>
    <xf numFmtId="0" fontId="5" fillId="0" borderId="0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left" vertical="center"/>
    </xf>
    <xf numFmtId="43" fontId="5" fillId="0" borderId="5" xfId="1" applyFont="1" applyFill="1" applyBorder="1" applyAlignment="1">
      <alignment horizontal="center" vertical="center"/>
    </xf>
    <xf numFmtId="173" fontId="9" fillId="0" borderId="5" xfId="1" applyNumberFormat="1" applyFont="1" applyFill="1" applyBorder="1" applyAlignment="1">
      <alignment horizontal="center"/>
    </xf>
    <xf numFmtId="43" fontId="9" fillId="0" borderId="5" xfId="1" applyFont="1" applyFill="1" applyBorder="1" applyAlignment="1"/>
    <xf numFmtId="0" fontId="24" fillId="0" borderId="1" xfId="0" applyFont="1" applyFill="1" applyBorder="1" applyAlignment="1">
      <alignment horizontal="left"/>
    </xf>
    <xf numFmtId="2" fontId="9" fillId="0" borderId="1" xfId="1" applyNumberFormat="1" applyFont="1" applyFill="1" applyBorder="1" applyAlignment="1"/>
    <xf numFmtId="173" fontId="9" fillId="3" borderId="1" xfId="1" applyNumberFormat="1" applyFont="1" applyFill="1" applyBorder="1" applyAlignment="1">
      <alignment horizontal="center"/>
    </xf>
    <xf numFmtId="0" fontId="22" fillId="0" borderId="1" xfId="0" applyFont="1" applyFill="1" applyBorder="1" applyAlignment="1">
      <alignment horizontal="left"/>
    </xf>
    <xf numFmtId="174" fontId="9" fillId="0" borderId="1" xfId="1" applyNumberFormat="1" applyFont="1" applyFill="1" applyBorder="1" applyAlignment="1">
      <alignment horizontal="center"/>
    </xf>
    <xf numFmtId="43" fontId="4" fillId="12" borderId="2" xfId="1" applyFont="1" applyFill="1" applyBorder="1" applyAlignment="1">
      <alignment horizontal="center" vertical="center"/>
    </xf>
    <xf numFmtId="43" fontId="4" fillId="11" borderId="2" xfId="1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left" vertical="center"/>
    </xf>
    <xf numFmtId="43" fontId="5" fillId="0" borderId="1" xfId="1" applyFont="1" applyFill="1" applyBorder="1" applyAlignment="1">
      <alignment horizontal="right" vertical="center"/>
    </xf>
    <xf numFmtId="0" fontId="33" fillId="0" borderId="1" xfId="0" applyFont="1" applyFill="1" applyBorder="1" applyAlignment="1">
      <alignment horizontal="right" vertical="center"/>
    </xf>
    <xf numFmtId="2" fontId="33" fillId="0" borderId="1" xfId="0" applyNumberFormat="1" applyFont="1" applyFill="1" applyBorder="1" applyAlignment="1">
      <alignment horizontal="center" vertical="center"/>
    </xf>
    <xf numFmtId="43" fontId="33" fillId="0" borderId="1" xfId="4" applyFont="1" applyFill="1" applyBorder="1" applyAlignment="1">
      <alignment vertical="center"/>
    </xf>
    <xf numFmtId="43" fontId="4" fillId="0" borderId="1" xfId="1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left" vertical="center"/>
    </xf>
    <xf numFmtId="43" fontId="4" fillId="0" borderId="4" xfId="0" applyNumberFormat="1" applyFont="1" applyFill="1" applyBorder="1" applyAlignment="1">
      <alignment horizontal="center" vertical="center"/>
    </xf>
    <xf numFmtId="43" fontId="4" fillId="0" borderId="4" xfId="1" applyFont="1" applyFill="1" applyBorder="1" applyAlignment="1">
      <alignment vertical="center"/>
    </xf>
    <xf numFmtId="2" fontId="4" fillId="0" borderId="1" xfId="0" applyNumberFormat="1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center"/>
    </xf>
    <xf numFmtId="0" fontId="23" fillId="0" borderId="0" xfId="0" applyFont="1" applyAlignment="1">
      <alignment horizontal="center"/>
    </xf>
    <xf numFmtId="43" fontId="5" fillId="11" borderId="4" xfId="1" applyFont="1" applyFill="1" applyBorder="1" applyAlignment="1">
      <alignment horizontal="center" vertical="center"/>
    </xf>
    <xf numFmtId="43" fontId="9" fillId="0" borderId="1" xfId="1" applyNumberFormat="1" applyFont="1" applyFill="1" applyBorder="1" applyAlignment="1"/>
    <xf numFmtId="0" fontId="5" fillId="14" borderId="1" xfId="0" applyFont="1" applyFill="1" applyBorder="1" applyAlignment="1">
      <alignment horizontal="right" vertical="center"/>
    </xf>
    <xf numFmtId="0" fontId="5" fillId="14" borderId="1" xfId="0" applyFont="1" applyFill="1" applyBorder="1" applyAlignment="1">
      <alignment horizontal="center" vertical="center"/>
    </xf>
    <xf numFmtId="0" fontId="25" fillId="14" borderId="1" xfId="0" applyFont="1" applyFill="1" applyBorder="1" applyAlignment="1">
      <alignment horizontal="center" vertical="center"/>
    </xf>
    <xf numFmtId="0" fontId="25" fillId="14" borderId="1" xfId="0" applyFont="1" applyFill="1" applyBorder="1" applyAlignment="1">
      <alignment horizontal="left" vertical="center"/>
    </xf>
    <xf numFmtId="2" fontId="5" fillId="14" borderId="1" xfId="0" applyNumberFormat="1" applyFont="1" applyFill="1" applyBorder="1" applyAlignment="1">
      <alignment horizontal="center" vertical="center"/>
    </xf>
    <xf numFmtId="0" fontId="33" fillId="14" borderId="1" xfId="0" applyFont="1" applyFill="1" applyBorder="1" applyAlignment="1">
      <alignment horizontal="right" vertical="center"/>
    </xf>
    <xf numFmtId="2" fontId="33" fillId="14" borderId="1" xfId="0" applyNumberFormat="1" applyFont="1" applyFill="1" applyBorder="1" applyAlignment="1">
      <alignment horizontal="center" vertical="center"/>
    </xf>
    <xf numFmtId="0" fontId="5" fillId="14" borderId="4" xfId="0" applyFont="1" applyFill="1" applyBorder="1" applyAlignment="1">
      <alignment horizontal="right" vertical="center"/>
    </xf>
    <xf numFmtId="0" fontId="5" fillId="14" borderId="4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left" vertical="center"/>
    </xf>
    <xf numFmtId="0" fontId="9" fillId="14" borderId="1" xfId="0" applyFont="1" applyFill="1" applyBorder="1" applyAlignment="1">
      <alignment horizontal="right"/>
    </xf>
    <xf numFmtId="173" fontId="5" fillId="0" borderId="4" xfId="1" applyNumberFormat="1" applyFont="1" applyFill="1" applyBorder="1" applyAlignment="1">
      <alignment vertical="center"/>
    </xf>
    <xf numFmtId="0" fontId="1" fillId="14" borderId="1" xfId="0" applyFont="1" applyFill="1" applyBorder="1" applyAlignment="1">
      <alignment horizontal="right"/>
    </xf>
    <xf numFmtId="43" fontId="5" fillId="14" borderId="4" xfId="0" applyNumberFormat="1" applyFont="1" applyFill="1" applyBorder="1" applyAlignment="1">
      <alignment horizontal="center" vertical="center"/>
    </xf>
    <xf numFmtId="0" fontId="5" fillId="14" borderId="4" xfId="0" applyFont="1" applyFill="1" applyBorder="1" applyAlignment="1">
      <alignment horizontal="left" vertical="center"/>
    </xf>
    <xf numFmtId="173" fontId="25" fillId="0" borderId="1" xfId="1" applyNumberFormat="1" applyFont="1" applyFill="1" applyBorder="1" applyAlignment="1">
      <alignment vertical="center"/>
    </xf>
    <xf numFmtId="0" fontId="1" fillId="0" borderId="0" xfId="0" applyFont="1" applyFill="1" applyAlignment="1">
      <alignment horizontal="right"/>
    </xf>
    <xf numFmtId="0" fontId="33" fillId="0" borderId="1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left"/>
    </xf>
    <xf numFmtId="0" fontId="9" fillId="0" borderId="22" xfId="0" applyFont="1" applyFill="1" applyBorder="1" applyAlignment="1">
      <alignment horizontal="right"/>
    </xf>
    <xf numFmtId="174" fontId="9" fillId="0" borderId="5" xfId="1" applyNumberFormat="1" applyFont="1" applyFill="1" applyBorder="1" applyAlignment="1"/>
    <xf numFmtId="174" fontId="9" fillId="3" borderId="1" xfId="1" applyNumberFormat="1" applyFont="1" applyFill="1" applyBorder="1" applyAlignment="1"/>
    <xf numFmtId="43" fontId="9" fillId="3" borderId="1" xfId="1" applyFont="1" applyFill="1" applyBorder="1" applyAlignment="1"/>
    <xf numFmtId="173" fontId="9" fillId="0" borderId="22" xfId="1" applyNumberFormat="1" applyFont="1" applyFill="1" applyBorder="1" applyAlignment="1">
      <alignment horizontal="center"/>
    </xf>
    <xf numFmtId="43" fontId="9" fillId="0" borderId="22" xfId="1" applyFont="1" applyFill="1" applyBorder="1" applyAlignment="1"/>
    <xf numFmtId="0" fontId="19" fillId="0" borderId="0" xfId="0" applyFont="1" applyFill="1" applyBorder="1" applyAlignment="1">
      <alignment vertical="center"/>
    </xf>
    <xf numFmtId="0" fontId="35" fillId="0" borderId="0" xfId="0" applyFont="1" applyFill="1" applyAlignment="1">
      <alignment vertical="center"/>
    </xf>
    <xf numFmtId="0" fontId="4" fillId="7" borderId="0" xfId="9" applyFont="1" applyFill="1" applyBorder="1" applyAlignment="1">
      <alignment horizontal="center" vertical="center"/>
    </xf>
    <xf numFmtId="0" fontId="4" fillId="7" borderId="14" xfId="9" applyFont="1" applyFill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43" fontId="19" fillId="5" borderId="16" xfId="2" applyFont="1" applyFill="1" applyBorder="1" applyAlignment="1">
      <alignment horizontal="center" vertical="center"/>
    </xf>
    <xf numFmtId="43" fontId="19" fillId="5" borderId="17" xfId="2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4" fillId="6" borderId="17" xfId="0" applyFont="1" applyFill="1" applyBorder="1" applyAlignment="1">
      <alignment horizontal="center" vertical="center"/>
    </xf>
    <xf numFmtId="0" fontId="34" fillId="13" borderId="0" xfId="0" applyFont="1" applyFill="1" applyBorder="1" applyAlignment="1">
      <alignment horizontal="center" vertical="center"/>
    </xf>
    <xf numFmtId="43" fontId="31" fillId="13" borderId="8" xfId="1" applyFont="1" applyFill="1" applyBorder="1" applyAlignment="1">
      <alignment horizontal="center" vertical="center"/>
    </xf>
    <xf numFmtId="43" fontId="31" fillId="13" borderId="9" xfId="1" applyFont="1" applyFill="1" applyBorder="1" applyAlignment="1">
      <alignment horizontal="center" vertical="center"/>
    </xf>
    <xf numFmtId="43" fontId="4" fillId="0" borderId="24" xfId="1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43" fontId="4" fillId="12" borderId="2" xfId="1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  <xf numFmtId="43" fontId="4" fillId="11" borderId="2" xfId="1" applyFont="1" applyFill="1" applyBorder="1" applyAlignment="1">
      <alignment horizontal="center" vertical="center"/>
    </xf>
    <xf numFmtId="0" fontId="31" fillId="13" borderId="25" xfId="0" applyFont="1" applyFill="1" applyBorder="1" applyAlignment="1">
      <alignment horizontal="center" vertical="center"/>
    </xf>
    <xf numFmtId="0" fontId="31" fillId="13" borderId="26" xfId="0" applyFont="1" applyFill="1" applyBorder="1" applyAlignment="1">
      <alignment horizontal="center" vertical="center"/>
    </xf>
    <xf numFmtId="43" fontId="31" fillId="13" borderId="11" xfId="1" applyFont="1" applyFill="1" applyBorder="1" applyAlignment="1">
      <alignment horizontal="center" vertical="center"/>
    </xf>
    <xf numFmtId="43" fontId="31" fillId="13" borderId="1" xfId="1" applyFont="1" applyFill="1" applyBorder="1" applyAlignment="1">
      <alignment horizontal="center" vertical="center"/>
    </xf>
    <xf numFmtId="0" fontId="31" fillId="13" borderId="8" xfId="0" applyFont="1" applyFill="1" applyBorder="1" applyAlignment="1">
      <alignment horizontal="center" vertical="center"/>
    </xf>
    <xf numFmtId="0" fontId="31" fillId="13" borderId="9" xfId="0" applyFont="1" applyFill="1" applyBorder="1" applyAlignment="1">
      <alignment horizontal="center" vertical="center"/>
    </xf>
    <xf numFmtId="173" fontId="31" fillId="13" borderId="8" xfId="1" applyNumberFormat="1" applyFont="1" applyFill="1" applyBorder="1" applyAlignment="1">
      <alignment horizontal="center" vertical="center"/>
    </xf>
    <xf numFmtId="173" fontId="31" fillId="13" borderId="9" xfId="1" applyNumberFormat="1" applyFont="1" applyFill="1" applyBorder="1" applyAlignment="1">
      <alignment horizontal="center" vertical="center"/>
    </xf>
    <xf numFmtId="0" fontId="31" fillId="13" borderId="16" xfId="0" applyFont="1" applyFill="1" applyBorder="1" applyAlignment="1">
      <alignment horizontal="center" vertical="center"/>
    </xf>
    <xf numFmtId="0" fontId="31" fillId="13" borderId="23" xfId="0" applyFont="1" applyFill="1" applyBorder="1" applyAlignment="1">
      <alignment horizontal="center" vertical="center"/>
    </xf>
    <xf numFmtId="0" fontId="31" fillId="13" borderId="17" xfId="0" applyFont="1" applyFill="1" applyBorder="1" applyAlignment="1">
      <alignment horizontal="center" vertical="center"/>
    </xf>
    <xf numFmtId="0" fontId="31" fillId="13" borderId="2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4" fillId="0" borderId="2" xfId="5" applyFont="1" applyFill="1" applyBorder="1" applyAlignment="1">
      <alignment horizontal="center" vertical="center"/>
    </xf>
    <xf numFmtId="0" fontId="4" fillId="0" borderId="16" xfId="5" applyFont="1" applyFill="1" applyBorder="1" applyAlignment="1">
      <alignment horizontal="center" vertical="center"/>
    </xf>
    <xf numFmtId="173" fontId="5" fillId="0" borderId="2" xfId="1" applyNumberFormat="1" applyFont="1" applyFill="1" applyBorder="1" applyAlignment="1">
      <alignment horizontal="center" vertical="center"/>
    </xf>
    <xf numFmtId="43" fontId="5" fillId="0" borderId="2" xfId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/>
    </xf>
    <xf numFmtId="43" fontId="5" fillId="0" borderId="8" xfId="1" applyFont="1" applyFill="1" applyBorder="1" applyAlignment="1">
      <alignment horizontal="center" vertical="center" wrapText="1"/>
    </xf>
    <xf numFmtId="43" fontId="5" fillId="0" borderId="9" xfId="1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29" fillId="13" borderId="0" xfId="0" applyFont="1" applyFill="1" applyBorder="1" applyAlignment="1">
      <alignment horizontal="center" vertical="center"/>
    </xf>
    <xf numFmtId="0" fontId="15" fillId="4" borderId="21" xfId="0" applyFont="1" applyFill="1" applyBorder="1" applyAlignment="1">
      <alignment horizontal="center"/>
    </xf>
    <xf numFmtId="0" fontId="5" fillId="4" borderId="27" xfId="0" applyFont="1" applyFill="1" applyBorder="1" applyAlignment="1">
      <alignment horizontal="center"/>
    </xf>
    <xf numFmtId="0" fontId="5" fillId="4" borderId="18" xfId="0" applyFont="1" applyFill="1" applyBorder="1" applyAlignment="1">
      <alignment horizontal="center" vertical="top" wrapText="1"/>
    </xf>
    <xf numFmtId="0" fontId="5" fillId="4" borderId="28" xfId="0" applyFont="1" applyFill="1" applyBorder="1" applyAlignment="1">
      <alignment horizontal="center" vertical="top" wrapText="1"/>
    </xf>
    <xf numFmtId="0" fontId="5" fillId="4" borderId="24" xfId="0" applyFont="1" applyFill="1" applyBorder="1" applyAlignment="1">
      <alignment horizontal="center" vertical="top" wrapText="1"/>
    </xf>
    <xf numFmtId="0" fontId="5" fillId="4" borderId="7" xfId="0" applyFont="1" applyFill="1" applyBorder="1" applyAlignment="1">
      <alignment horizontal="center" vertical="top" wrapText="1"/>
    </xf>
    <xf numFmtId="0" fontId="5" fillId="4" borderId="19" xfId="0" applyFont="1" applyFill="1" applyBorder="1" applyAlignment="1">
      <alignment horizontal="center" vertical="top" wrapText="1"/>
    </xf>
    <xf numFmtId="0" fontId="5" fillId="4" borderId="29" xfId="0" applyFont="1" applyFill="1" applyBorder="1" applyAlignment="1">
      <alignment horizontal="center" vertical="top" wrapText="1"/>
    </xf>
  </cellXfs>
  <cellStyles count="11">
    <cellStyle name="Comma" xfId="1" builtinId="3"/>
    <cellStyle name="Comma 2" xfId="2" xr:uid="{27D110EB-69C6-499E-A63C-395184902874}"/>
    <cellStyle name="Comma 2 2" xfId="3" xr:uid="{46FE5788-8E00-4ACF-BF07-BB9094FE0CCC}"/>
    <cellStyle name="Comma 3" xfId="4" xr:uid="{69845670-C056-43EE-B02F-0AE87ABA6271}"/>
    <cellStyle name="Normal" xfId="0" builtinId="0"/>
    <cellStyle name="Normal 2" xfId="5" xr:uid="{AA94AF5B-1B1D-4BC6-BB47-9461AC911EDE}"/>
    <cellStyle name="Normal 2 2" xfId="6" xr:uid="{5AA49A2A-9249-4770-9C24-1CC31FFF1E58}"/>
    <cellStyle name="Normal 3" xfId="7" xr:uid="{FB2EF9ED-5902-4CC4-B50A-A735FD6AECA1}"/>
    <cellStyle name="Normal_(30mx24m) Store 1civil work 2" xfId="8" xr:uid="{F41C253C-ED4E-4577-AAF4-1401C20C6EED}"/>
    <cellStyle name="Normal_Police Station (Latest)" xfId="9" xr:uid="{90231B37-27DB-4EBC-842F-A2643C09EC8A}"/>
    <cellStyle name="Percent" xfId="10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454</xdr:row>
      <xdr:rowOff>0</xdr:rowOff>
    </xdr:from>
    <xdr:to>
      <xdr:col>1</xdr:col>
      <xdr:colOff>419100</xdr:colOff>
      <xdr:row>455</xdr:row>
      <xdr:rowOff>19050</xdr:rowOff>
    </xdr:to>
    <xdr:sp macro="" textlink="">
      <xdr:nvSpPr>
        <xdr:cNvPr id="580417" name="Text Box 47">
          <a:extLst>
            <a:ext uri="{FF2B5EF4-FFF2-40B4-BE49-F238E27FC236}">
              <a16:creationId xmlns:a16="http://schemas.microsoft.com/office/drawing/2014/main" id="{B549ACBE-F494-E57A-C624-A4558FEF7E6A}"/>
            </a:ext>
          </a:extLst>
        </xdr:cNvPr>
        <xdr:cNvSpPr txBox="1">
          <a:spLocks noChangeArrowheads="1"/>
        </xdr:cNvSpPr>
      </xdr:nvSpPr>
      <xdr:spPr bwMode="auto">
        <a:xfrm>
          <a:off x="527050" y="113379250"/>
          <a:ext cx="190500" cy="27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457200</xdr:colOff>
      <xdr:row>454</xdr:row>
      <xdr:rowOff>0</xdr:rowOff>
    </xdr:from>
    <xdr:to>
      <xdr:col>1</xdr:col>
      <xdr:colOff>615950</xdr:colOff>
      <xdr:row>455</xdr:row>
      <xdr:rowOff>19050</xdr:rowOff>
    </xdr:to>
    <xdr:sp macro="" textlink="">
      <xdr:nvSpPr>
        <xdr:cNvPr id="580418" name="Text Box 48">
          <a:extLst>
            <a:ext uri="{FF2B5EF4-FFF2-40B4-BE49-F238E27FC236}">
              <a16:creationId xmlns:a16="http://schemas.microsoft.com/office/drawing/2014/main" id="{63F8F3D5-F11B-B2E9-D717-5D5C715ED098}"/>
            </a:ext>
          </a:extLst>
        </xdr:cNvPr>
        <xdr:cNvSpPr txBox="1">
          <a:spLocks noChangeArrowheads="1"/>
        </xdr:cNvSpPr>
      </xdr:nvSpPr>
      <xdr:spPr bwMode="auto">
        <a:xfrm>
          <a:off x="755650" y="113379250"/>
          <a:ext cx="158750" cy="27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228600</xdr:colOff>
      <xdr:row>454</xdr:row>
      <xdr:rowOff>0</xdr:rowOff>
    </xdr:from>
    <xdr:to>
      <xdr:col>1</xdr:col>
      <xdr:colOff>419100</xdr:colOff>
      <xdr:row>455</xdr:row>
      <xdr:rowOff>19050</xdr:rowOff>
    </xdr:to>
    <xdr:sp macro="" textlink="">
      <xdr:nvSpPr>
        <xdr:cNvPr id="580419" name="Text Box 47">
          <a:extLst>
            <a:ext uri="{FF2B5EF4-FFF2-40B4-BE49-F238E27FC236}">
              <a16:creationId xmlns:a16="http://schemas.microsoft.com/office/drawing/2014/main" id="{6E76F378-E0CA-2F51-7E83-B05A1512A819}"/>
            </a:ext>
          </a:extLst>
        </xdr:cNvPr>
        <xdr:cNvSpPr txBox="1">
          <a:spLocks noChangeArrowheads="1"/>
        </xdr:cNvSpPr>
      </xdr:nvSpPr>
      <xdr:spPr bwMode="auto">
        <a:xfrm>
          <a:off x="527050" y="113379250"/>
          <a:ext cx="190500" cy="27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457200</xdr:colOff>
      <xdr:row>454</xdr:row>
      <xdr:rowOff>0</xdr:rowOff>
    </xdr:from>
    <xdr:to>
      <xdr:col>1</xdr:col>
      <xdr:colOff>615950</xdr:colOff>
      <xdr:row>455</xdr:row>
      <xdr:rowOff>19050</xdr:rowOff>
    </xdr:to>
    <xdr:sp macro="" textlink="">
      <xdr:nvSpPr>
        <xdr:cNvPr id="580420" name="Text Box 48">
          <a:extLst>
            <a:ext uri="{FF2B5EF4-FFF2-40B4-BE49-F238E27FC236}">
              <a16:creationId xmlns:a16="http://schemas.microsoft.com/office/drawing/2014/main" id="{FEAA159A-7D40-30BF-C17B-A4D05EB343CE}"/>
            </a:ext>
          </a:extLst>
        </xdr:cNvPr>
        <xdr:cNvSpPr txBox="1">
          <a:spLocks noChangeArrowheads="1"/>
        </xdr:cNvSpPr>
      </xdr:nvSpPr>
      <xdr:spPr bwMode="auto">
        <a:xfrm>
          <a:off x="755650" y="113379250"/>
          <a:ext cx="158750" cy="27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457200</xdr:colOff>
      <xdr:row>354</xdr:row>
      <xdr:rowOff>0</xdr:rowOff>
    </xdr:from>
    <xdr:to>
      <xdr:col>1</xdr:col>
      <xdr:colOff>615950</xdr:colOff>
      <xdr:row>355</xdr:row>
      <xdr:rowOff>31750</xdr:rowOff>
    </xdr:to>
    <xdr:sp macro="" textlink="">
      <xdr:nvSpPr>
        <xdr:cNvPr id="580421" name="Text Box 48">
          <a:extLst>
            <a:ext uri="{FF2B5EF4-FFF2-40B4-BE49-F238E27FC236}">
              <a16:creationId xmlns:a16="http://schemas.microsoft.com/office/drawing/2014/main" id="{90D0D076-CF7C-B99B-171B-490DF99DF8B3}"/>
            </a:ext>
          </a:extLst>
        </xdr:cNvPr>
        <xdr:cNvSpPr txBox="1">
          <a:spLocks noChangeArrowheads="1"/>
        </xdr:cNvSpPr>
      </xdr:nvSpPr>
      <xdr:spPr bwMode="auto">
        <a:xfrm>
          <a:off x="755650" y="87960200"/>
          <a:ext cx="158750" cy="27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457200</xdr:colOff>
      <xdr:row>354</xdr:row>
      <xdr:rowOff>0</xdr:rowOff>
    </xdr:from>
    <xdr:to>
      <xdr:col>1</xdr:col>
      <xdr:colOff>615950</xdr:colOff>
      <xdr:row>355</xdr:row>
      <xdr:rowOff>31750</xdr:rowOff>
    </xdr:to>
    <xdr:sp macro="" textlink="">
      <xdr:nvSpPr>
        <xdr:cNvPr id="580422" name="Text Box 48">
          <a:extLst>
            <a:ext uri="{FF2B5EF4-FFF2-40B4-BE49-F238E27FC236}">
              <a16:creationId xmlns:a16="http://schemas.microsoft.com/office/drawing/2014/main" id="{18839A44-08E6-EB6D-20D0-2C20A28BE177}"/>
            </a:ext>
          </a:extLst>
        </xdr:cNvPr>
        <xdr:cNvSpPr txBox="1">
          <a:spLocks noChangeArrowheads="1"/>
        </xdr:cNvSpPr>
      </xdr:nvSpPr>
      <xdr:spPr bwMode="auto">
        <a:xfrm>
          <a:off x="755650" y="87960200"/>
          <a:ext cx="158750" cy="27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228600</xdr:colOff>
      <xdr:row>454</xdr:row>
      <xdr:rowOff>0</xdr:rowOff>
    </xdr:from>
    <xdr:to>
      <xdr:col>1</xdr:col>
      <xdr:colOff>419100</xdr:colOff>
      <xdr:row>455</xdr:row>
      <xdr:rowOff>19050</xdr:rowOff>
    </xdr:to>
    <xdr:sp macro="" textlink="">
      <xdr:nvSpPr>
        <xdr:cNvPr id="580423" name="Text Box 47">
          <a:extLst>
            <a:ext uri="{FF2B5EF4-FFF2-40B4-BE49-F238E27FC236}">
              <a16:creationId xmlns:a16="http://schemas.microsoft.com/office/drawing/2014/main" id="{0C330A2B-05D7-F34F-3F4C-B44A0D550D49}"/>
            </a:ext>
          </a:extLst>
        </xdr:cNvPr>
        <xdr:cNvSpPr txBox="1">
          <a:spLocks noChangeArrowheads="1"/>
        </xdr:cNvSpPr>
      </xdr:nvSpPr>
      <xdr:spPr bwMode="auto">
        <a:xfrm>
          <a:off x="527050" y="113379250"/>
          <a:ext cx="190500" cy="27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457200</xdr:colOff>
      <xdr:row>454</xdr:row>
      <xdr:rowOff>0</xdr:rowOff>
    </xdr:from>
    <xdr:to>
      <xdr:col>1</xdr:col>
      <xdr:colOff>615950</xdr:colOff>
      <xdr:row>455</xdr:row>
      <xdr:rowOff>19050</xdr:rowOff>
    </xdr:to>
    <xdr:sp macro="" textlink="">
      <xdr:nvSpPr>
        <xdr:cNvPr id="580424" name="Text Box 48">
          <a:extLst>
            <a:ext uri="{FF2B5EF4-FFF2-40B4-BE49-F238E27FC236}">
              <a16:creationId xmlns:a16="http://schemas.microsoft.com/office/drawing/2014/main" id="{65FE8795-A5A4-2181-A41F-00A011DC4DE4}"/>
            </a:ext>
          </a:extLst>
        </xdr:cNvPr>
        <xdr:cNvSpPr txBox="1">
          <a:spLocks noChangeArrowheads="1"/>
        </xdr:cNvSpPr>
      </xdr:nvSpPr>
      <xdr:spPr bwMode="auto">
        <a:xfrm>
          <a:off x="755650" y="113379250"/>
          <a:ext cx="158750" cy="27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228600</xdr:colOff>
      <xdr:row>454</xdr:row>
      <xdr:rowOff>0</xdr:rowOff>
    </xdr:from>
    <xdr:to>
      <xdr:col>1</xdr:col>
      <xdr:colOff>419100</xdr:colOff>
      <xdr:row>455</xdr:row>
      <xdr:rowOff>19050</xdr:rowOff>
    </xdr:to>
    <xdr:sp macro="" textlink="">
      <xdr:nvSpPr>
        <xdr:cNvPr id="580425" name="Text Box 47">
          <a:extLst>
            <a:ext uri="{FF2B5EF4-FFF2-40B4-BE49-F238E27FC236}">
              <a16:creationId xmlns:a16="http://schemas.microsoft.com/office/drawing/2014/main" id="{2676E9FE-B964-025D-97B9-4B21FB4479F0}"/>
            </a:ext>
          </a:extLst>
        </xdr:cNvPr>
        <xdr:cNvSpPr txBox="1">
          <a:spLocks noChangeArrowheads="1"/>
        </xdr:cNvSpPr>
      </xdr:nvSpPr>
      <xdr:spPr bwMode="auto">
        <a:xfrm>
          <a:off x="527050" y="113379250"/>
          <a:ext cx="190500" cy="27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457200</xdr:colOff>
      <xdr:row>454</xdr:row>
      <xdr:rowOff>0</xdr:rowOff>
    </xdr:from>
    <xdr:to>
      <xdr:col>1</xdr:col>
      <xdr:colOff>615950</xdr:colOff>
      <xdr:row>455</xdr:row>
      <xdr:rowOff>19050</xdr:rowOff>
    </xdr:to>
    <xdr:sp macro="" textlink="">
      <xdr:nvSpPr>
        <xdr:cNvPr id="580426" name="Text Box 48">
          <a:extLst>
            <a:ext uri="{FF2B5EF4-FFF2-40B4-BE49-F238E27FC236}">
              <a16:creationId xmlns:a16="http://schemas.microsoft.com/office/drawing/2014/main" id="{1A04F488-557B-89E7-25B4-01184451737F}"/>
            </a:ext>
          </a:extLst>
        </xdr:cNvPr>
        <xdr:cNvSpPr txBox="1">
          <a:spLocks noChangeArrowheads="1"/>
        </xdr:cNvSpPr>
      </xdr:nvSpPr>
      <xdr:spPr bwMode="auto">
        <a:xfrm>
          <a:off x="755650" y="113379250"/>
          <a:ext cx="158750" cy="27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457200</xdr:colOff>
      <xdr:row>517</xdr:row>
      <xdr:rowOff>0</xdr:rowOff>
    </xdr:from>
    <xdr:to>
      <xdr:col>1</xdr:col>
      <xdr:colOff>615950</xdr:colOff>
      <xdr:row>518</xdr:row>
      <xdr:rowOff>19050</xdr:rowOff>
    </xdr:to>
    <xdr:sp macro="" textlink="">
      <xdr:nvSpPr>
        <xdr:cNvPr id="580427" name="Text Box 48">
          <a:extLst>
            <a:ext uri="{FF2B5EF4-FFF2-40B4-BE49-F238E27FC236}">
              <a16:creationId xmlns:a16="http://schemas.microsoft.com/office/drawing/2014/main" id="{474DA0A8-1544-0937-15F2-3AA479CC56D9}"/>
            </a:ext>
          </a:extLst>
        </xdr:cNvPr>
        <xdr:cNvSpPr txBox="1">
          <a:spLocks noChangeArrowheads="1"/>
        </xdr:cNvSpPr>
      </xdr:nvSpPr>
      <xdr:spPr bwMode="auto">
        <a:xfrm>
          <a:off x="755650" y="129108200"/>
          <a:ext cx="158750" cy="27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666750</xdr:colOff>
      <xdr:row>517</xdr:row>
      <xdr:rowOff>0</xdr:rowOff>
    </xdr:from>
    <xdr:to>
      <xdr:col>1</xdr:col>
      <xdr:colOff>946150</xdr:colOff>
      <xdr:row>518</xdr:row>
      <xdr:rowOff>19050</xdr:rowOff>
    </xdr:to>
    <xdr:sp macro="" textlink="">
      <xdr:nvSpPr>
        <xdr:cNvPr id="580428" name="Text Box 50">
          <a:extLst>
            <a:ext uri="{FF2B5EF4-FFF2-40B4-BE49-F238E27FC236}">
              <a16:creationId xmlns:a16="http://schemas.microsoft.com/office/drawing/2014/main" id="{E54140AC-772F-2FD0-4031-36A21B15E32A}"/>
            </a:ext>
          </a:extLst>
        </xdr:cNvPr>
        <xdr:cNvSpPr txBox="1">
          <a:spLocks noChangeArrowheads="1"/>
        </xdr:cNvSpPr>
      </xdr:nvSpPr>
      <xdr:spPr bwMode="auto">
        <a:xfrm>
          <a:off x="965200" y="129108200"/>
          <a:ext cx="279400" cy="27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457200</xdr:colOff>
      <xdr:row>517</xdr:row>
      <xdr:rowOff>0</xdr:rowOff>
    </xdr:from>
    <xdr:to>
      <xdr:col>1</xdr:col>
      <xdr:colOff>615950</xdr:colOff>
      <xdr:row>518</xdr:row>
      <xdr:rowOff>19050</xdr:rowOff>
    </xdr:to>
    <xdr:sp macro="" textlink="">
      <xdr:nvSpPr>
        <xdr:cNvPr id="580429" name="Text Box 48">
          <a:extLst>
            <a:ext uri="{FF2B5EF4-FFF2-40B4-BE49-F238E27FC236}">
              <a16:creationId xmlns:a16="http://schemas.microsoft.com/office/drawing/2014/main" id="{86E1D121-D231-B314-ABF2-C82F2BC494C2}"/>
            </a:ext>
          </a:extLst>
        </xdr:cNvPr>
        <xdr:cNvSpPr txBox="1">
          <a:spLocks noChangeArrowheads="1"/>
        </xdr:cNvSpPr>
      </xdr:nvSpPr>
      <xdr:spPr bwMode="auto">
        <a:xfrm>
          <a:off x="755650" y="129108200"/>
          <a:ext cx="158750" cy="27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666750</xdr:colOff>
      <xdr:row>517</xdr:row>
      <xdr:rowOff>0</xdr:rowOff>
    </xdr:from>
    <xdr:to>
      <xdr:col>1</xdr:col>
      <xdr:colOff>946150</xdr:colOff>
      <xdr:row>518</xdr:row>
      <xdr:rowOff>19050</xdr:rowOff>
    </xdr:to>
    <xdr:sp macro="" textlink="">
      <xdr:nvSpPr>
        <xdr:cNvPr id="580430" name="Text Box 50">
          <a:extLst>
            <a:ext uri="{FF2B5EF4-FFF2-40B4-BE49-F238E27FC236}">
              <a16:creationId xmlns:a16="http://schemas.microsoft.com/office/drawing/2014/main" id="{B40D500A-D7DD-4142-0C4A-5F6596029998}"/>
            </a:ext>
          </a:extLst>
        </xdr:cNvPr>
        <xdr:cNvSpPr txBox="1">
          <a:spLocks noChangeArrowheads="1"/>
        </xdr:cNvSpPr>
      </xdr:nvSpPr>
      <xdr:spPr bwMode="auto">
        <a:xfrm>
          <a:off x="965200" y="129108200"/>
          <a:ext cx="279400" cy="27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876300</xdr:colOff>
      <xdr:row>1161</xdr:row>
      <xdr:rowOff>0</xdr:rowOff>
    </xdr:from>
    <xdr:to>
      <xdr:col>1</xdr:col>
      <xdr:colOff>908050</xdr:colOff>
      <xdr:row>1161</xdr:row>
      <xdr:rowOff>222250</xdr:rowOff>
    </xdr:to>
    <xdr:sp macro="" textlink="">
      <xdr:nvSpPr>
        <xdr:cNvPr id="584087" name="Text Box 11">
          <a:extLst>
            <a:ext uri="{FF2B5EF4-FFF2-40B4-BE49-F238E27FC236}">
              <a16:creationId xmlns:a16="http://schemas.microsoft.com/office/drawing/2014/main" id="{6CD797B9-6333-F62E-B7D0-6ABFE5A42172}"/>
            </a:ext>
          </a:extLst>
        </xdr:cNvPr>
        <xdr:cNvSpPr txBox="1">
          <a:spLocks noChangeArrowheads="1"/>
        </xdr:cNvSpPr>
      </xdr:nvSpPr>
      <xdr:spPr bwMode="auto">
        <a:xfrm>
          <a:off x="1155700" y="267055600"/>
          <a:ext cx="3175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228600</xdr:colOff>
      <xdr:row>1161</xdr:row>
      <xdr:rowOff>0</xdr:rowOff>
    </xdr:from>
    <xdr:to>
      <xdr:col>1</xdr:col>
      <xdr:colOff>419100</xdr:colOff>
      <xdr:row>1162</xdr:row>
      <xdr:rowOff>50800</xdr:rowOff>
    </xdr:to>
    <xdr:sp macro="" textlink="">
      <xdr:nvSpPr>
        <xdr:cNvPr id="584088" name="Text Box 47">
          <a:extLst>
            <a:ext uri="{FF2B5EF4-FFF2-40B4-BE49-F238E27FC236}">
              <a16:creationId xmlns:a16="http://schemas.microsoft.com/office/drawing/2014/main" id="{8674CA03-69D7-C68C-C719-10D1061732B5}"/>
            </a:ext>
          </a:extLst>
        </xdr:cNvPr>
        <xdr:cNvSpPr txBox="1">
          <a:spLocks noChangeArrowheads="1"/>
        </xdr:cNvSpPr>
      </xdr:nvSpPr>
      <xdr:spPr bwMode="auto">
        <a:xfrm>
          <a:off x="508000" y="267055600"/>
          <a:ext cx="1905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1161</xdr:row>
      <xdr:rowOff>0</xdr:rowOff>
    </xdr:from>
    <xdr:to>
      <xdr:col>10</xdr:col>
      <xdr:colOff>158750</xdr:colOff>
      <xdr:row>1162</xdr:row>
      <xdr:rowOff>19050</xdr:rowOff>
    </xdr:to>
    <xdr:sp macro="" textlink="">
      <xdr:nvSpPr>
        <xdr:cNvPr id="584089" name="Text Box 49">
          <a:extLst>
            <a:ext uri="{FF2B5EF4-FFF2-40B4-BE49-F238E27FC236}">
              <a16:creationId xmlns:a16="http://schemas.microsoft.com/office/drawing/2014/main" id="{A359ED75-D2A8-99CD-9A47-12D2C21917F0}"/>
            </a:ext>
          </a:extLst>
        </xdr:cNvPr>
        <xdr:cNvSpPr txBox="1">
          <a:spLocks noChangeArrowheads="1"/>
        </xdr:cNvSpPr>
      </xdr:nvSpPr>
      <xdr:spPr bwMode="auto">
        <a:xfrm>
          <a:off x="7861300" y="267055600"/>
          <a:ext cx="158750" cy="25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450850</xdr:colOff>
      <xdr:row>1161</xdr:row>
      <xdr:rowOff>0</xdr:rowOff>
    </xdr:from>
    <xdr:to>
      <xdr:col>1</xdr:col>
      <xdr:colOff>622300</xdr:colOff>
      <xdr:row>1161</xdr:row>
      <xdr:rowOff>171450</xdr:rowOff>
    </xdr:to>
    <xdr:sp macro="" textlink="">
      <xdr:nvSpPr>
        <xdr:cNvPr id="584090" name="Text Box 8">
          <a:extLst>
            <a:ext uri="{FF2B5EF4-FFF2-40B4-BE49-F238E27FC236}">
              <a16:creationId xmlns:a16="http://schemas.microsoft.com/office/drawing/2014/main" id="{AACFEF57-4BF7-5BF4-72D3-6785E998A48E}"/>
            </a:ext>
          </a:extLst>
        </xdr:cNvPr>
        <xdr:cNvSpPr txBox="1">
          <a:spLocks noChangeArrowheads="1"/>
        </xdr:cNvSpPr>
      </xdr:nvSpPr>
      <xdr:spPr bwMode="auto">
        <a:xfrm>
          <a:off x="730250" y="267055600"/>
          <a:ext cx="1714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660400</xdr:colOff>
      <xdr:row>1161</xdr:row>
      <xdr:rowOff>0</xdr:rowOff>
    </xdr:from>
    <xdr:to>
      <xdr:col>1</xdr:col>
      <xdr:colOff>660400</xdr:colOff>
      <xdr:row>1161</xdr:row>
      <xdr:rowOff>171450</xdr:rowOff>
    </xdr:to>
    <xdr:sp macro="" textlink="">
      <xdr:nvSpPr>
        <xdr:cNvPr id="584091" name="Text Box 9">
          <a:extLst>
            <a:ext uri="{FF2B5EF4-FFF2-40B4-BE49-F238E27FC236}">
              <a16:creationId xmlns:a16="http://schemas.microsoft.com/office/drawing/2014/main" id="{40642085-B4AA-E06F-6E2D-4665EA611C93}"/>
            </a:ext>
          </a:extLst>
        </xdr:cNvPr>
        <xdr:cNvSpPr txBox="1">
          <a:spLocks noChangeArrowheads="1"/>
        </xdr:cNvSpPr>
      </xdr:nvSpPr>
      <xdr:spPr bwMode="auto">
        <a:xfrm>
          <a:off x="939800" y="267055600"/>
          <a:ext cx="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450850</xdr:colOff>
      <xdr:row>1161</xdr:row>
      <xdr:rowOff>0</xdr:rowOff>
    </xdr:from>
    <xdr:to>
      <xdr:col>6</xdr:col>
      <xdr:colOff>609600</xdr:colOff>
      <xdr:row>1161</xdr:row>
      <xdr:rowOff>171450</xdr:rowOff>
    </xdr:to>
    <xdr:sp macro="" textlink="">
      <xdr:nvSpPr>
        <xdr:cNvPr id="584092" name="Text Box 8">
          <a:extLst>
            <a:ext uri="{FF2B5EF4-FFF2-40B4-BE49-F238E27FC236}">
              <a16:creationId xmlns:a16="http://schemas.microsoft.com/office/drawing/2014/main" id="{1E31B9C0-4701-C06F-2493-8D4302B75357}"/>
            </a:ext>
          </a:extLst>
        </xdr:cNvPr>
        <xdr:cNvSpPr txBox="1">
          <a:spLocks noChangeArrowheads="1"/>
        </xdr:cNvSpPr>
      </xdr:nvSpPr>
      <xdr:spPr bwMode="auto">
        <a:xfrm>
          <a:off x="5187950" y="267055600"/>
          <a:ext cx="1587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660400</xdr:colOff>
      <xdr:row>1161</xdr:row>
      <xdr:rowOff>0</xdr:rowOff>
    </xdr:from>
    <xdr:to>
      <xdr:col>7</xdr:col>
      <xdr:colOff>31750</xdr:colOff>
      <xdr:row>1161</xdr:row>
      <xdr:rowOff>171450</xdr:rowOff>
    </xdr:to>
    <xdr:sp macro="" textlink="">
      <xdr:nvSpPr>
        <xdr:cNvPr id="584093" name="Text Box 9">
          <a:extLst>
            <a:ext uri="{FF2B5EF4-FFF2-40B4-BE49-F238E27FC236}">
              <a16:creationId xmlns:a16="http://schemas.microsoft.com/office/drawing/2014/main" id="{381D9A5D-7723-1535-99A1-151FD358DE12}"/>
            </a:ext>
          </a:extLst>
        </xdr:cNvPr>
        <xdr:cNvSpPr txBox="1">
          <a:spLocks noChangeArrowheads="1"/>
        </xdr:cNvSpPr>
      </xdr:nvSpPr>
      <xdr:spPr bwMode="auto">
        <a:xfrm>
          <a:off x="5397500" y="267055600"/>
          <a:ext cx="508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450850</xdr:colOff>
      <xdr:row>1161</xdr:row>
      <xdr:rowOff>0</xdr:rowOff>
    </xdr:from>
    <xdr:to>
      <xdr:col>6</xdr:col>
      <xdr:colOff>609600</xdr:colOff>
      <xdr:row>1161</xdr:row>
      <xdr:rowOff>171450</xdr:rowOff>
    </xdr:to>
    <xdr:sp macro="" textlink="">
      <xdr:nvSpPr>
        <xdr:cNvPr id="584094" name="Text Box 8">
          <a:extLst>
            <a:ext uri="{FF2B5EF4-FFF2-40B4-BE49-F238E27FC236}">
              <a16:creationId xmlns:a16="http://schemas.microsoft.com/office/drawing/2014/main" id="{DD02A698-518E-165F-F87D-572A3BF5945D}"/>
            </a:ext>
          </a:extLst>
        </xdr:cNvPr>
        <xdr:cNvSpPr txBox="1">
          <a:spLocks noChangeArrowheads="1"/>
        </xdr:cNvSpPr>
      </xdr:nvSpPr>
      <xdr:spPr bwMode="auto">
        <a:xfrm>
          <a:off x="5187950" y="267055600"/>
          <a:ext cx="1587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660400</xdr:colOff>
      <xdr:row>1161</xdr:row>
      <xdr:rowOff>0</xdr:rowOff>
    </xdr:from>
    <xdr:to>
      <xdr:col>7</xdr:col>
      <xdr:colOff>31750</xdr:colOff>
      <xdr:row>1161</xdr:row>
      <xdr:rowOff>171450</xdr:rowOff>
    </xdr:to>
    <xdr:sp macro="" textlink="">
      <xdr:nvSpPr>
        <xdr:cNvPr id="584095" name="Text Box 9">
          <a:extLst>
            <a:ext uri="{FF2B5EF4-FFF2-40B4-BE49-F238E27FC236}">
              <a16:creationId xmlns:a16="http://schemas.microsoft.com/office/drawing/2014/main" id="{B0CF26DC-FC90-F52F-4352-5BEF3503CA6D}"/>
            </a:ext>
          </a:extLst>
        </xdr:cNvPr>
        <xdr:cNvSpPr txBox="1">
          <a:spLocks noChangeArrowheads="1"/>
        </xdr:cNvSpPr>
      </xdr:nvSpPr>
      <xdr:spPr bwMode="auto">
        <a:xfrm>
          <a:off x="5397500" y="267055600"/>
          <a:ext cx="508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222250</xdr:colOff>
      <xdr:row>1161</xdr:row>
      <xdr:rowOff>0</xdr:rowOff>
    </xdr:from>
    <xdr:to>
      <xdr:col>1</xdr:col>
      <xdr:colOff>412750</xdr:colOff>
      <xdr:row>1161</xdr:row>
      <xdr:rowOff>165100</xdr:rowOff>
    </xdr:to>
    <xdr:sp macro="" textlink="">
      <xdr:nvSpPr>
        <xdr:cNvPr id="584096" name="Text Box 47">
          <a:extLst>
            <a:ext uri="{FF2B5EF4-FFF2-40B4-BE49-F238E27FC236}">
              <a16:creationId xmlns:a16="http://schemas.microsoft.com/office/drawing/2014/main" id="{C98FEFB2-A777-FE4C-5E1F-D31DDC3AC41D}"/>
            </a:ext>
          </a:extLst>
        </xdr:cNvPr>
        <xdr:cNvSpPr txBox="1">
          <a:spLocks noChangeArrowheads="1"/>
        </xdr:cNvSpPr>
      </xdr:nvSpPr>
      <xdr:spPr bwMode="auto">
        <a:xfrm>
          <a:off x="501650" y="267055600"/>
          <a:ext cx="1905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450850</xdr:colOff>
      <xdr:row>1161</xdr:row>
      <xdr:rowOff>0</xdr:rowOff>
    </xdr:from>
    <xdr:to>
      <xdr:col>1</xdr:col>
      <xdr:colOff>622300</xdr:colOff>
      <xdr:row>1161</xdr:row>
      <xdr:rowOff>165100</xdr:rowOff>
    </xdr:to>
    <xdr:sp macro="" textlink="">
      <xdr:nvSpPr>
        <xdr:cNvPr id="584097" name="Text Box 48">
          <a:extLst>
            <a:ext uri="{FF2B5EF4-FFF2-40B4-BE49-F238E27FC236}">
              <a16:creationId xmlns:a16="http://schemas.microsoft.com/office/drawing/2014/main" id="{CCEE8653-E2DE-2DD6-3002-5C0EA291E110}"/>
            </a:ext>
          </a:extLst>
        </xdr:cNvPr>
        <xdr:cNvSpPr txBox="1">
          <a:spLocks noChangeArrowheads="1"/>
        </xdr:cNvSpPr>
      </xdr:nvSpPr>
      <xdr:spPr bwMode="auto">
        <a:xfrm>
          <a:off x="730250" y="267055600"/>
          <a:ext cx="17145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222250</xdr:colOff>
      <xdr:row>1161</xdr:row>
      <xdr:rowOff>0</xdr:rowOff>
    </xdr:from>
    <xdr:to>
      <xdr:col>1</xdr:col>
      <xdr:colOff>412750</xdr:colOff>
      <xdr:row>1161</xdr:row>
      <xdr:rowOff>165100</xdr:rowOff>
    </xdr:to>
    <xdr:sp macro="" textlink="">
      <xdr:nvSpPr>
        <xdr:cNvPr id="584098" name="Text Box 47">
          <a:extLst>
            <a:ext uri="{FF2B5EF4-FFF2-40B4-BE49-F238E27FC236}">
              <a16:creationId xmlns:a16="http://schemas.microsoft.com/office/drawing/2014/main" id="{3A1F7D79-0FB4-A176-507F-5B5CCB7D120D}"/>
            </a:ext>
          </a:extLst>
        </xdr:cNvPr>
        <xdr:cNvSpPr txBox="1">
          <a:spLocks noChangeArrowheads="1"/>
        </xdr:cNvSpPr>
      </xdr:nvSpPr>
      <xdr:spPr bwMode="auto">
        <a:xfrm>
          <a:off x="501650" y="267055600"/>
          <a:ext cx="1905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450850</xdr:colOff>
      <xdr:row>1161</xdr:row>
      <xdr:rowOff>0</xdr:rowOff>
    </xdr:from>
    <xdr:to>
      <xdr:col>1</xdr:col>
      <xdr:colOff>622300</xdr:colOff>
      <xdr:row>1161</xdr:row>
      <xdr:rowOff>165100</xdr:rowOff>
    </xdr:to>
    <xdr:sp macro="" textlink="">
      <xdr:nvSpPr>
        <xdr:cNvPr id="584099" name="Text Box 48">
          <a:extLst>
            <a:ext uri="{FF2B5EF4-FFF2-40B4-BE49-F238E27FC236}">
              <a16:creationId xmlns:a16="http://schemas.microsoft.com/office/drawing/2014/main" id="{00EE8874-9542-747F-A444-4DB8D1737C40}"/>
            </a:ext>
          </a:extLst>
        </xdr:cNvPr>
        <xdr:cNvSpPr txBox="1">
          <a:spLocks noChangeArrowheads="1"/>
        </xdr:cNvSpPr>
      </xdr:nvSpPr>
      <xdr:spPr bwMode="auto">
        <a:xfrm>
          <a:off x="730250" y="267055600"/>
          <a:ext cx="17145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660400</xdr:colOff>
      <xdr:row>1161</xdr:row>
      <xdr:rowOff>0</xdr:rowOff>
    </xdr:from>
    <xdr:to>
      <xdr:col>1</xdr:col>
      <xdr:colOff>660400</xdr:colOff>
      <xdr:row>1161</xdr:row>
      <xdr:rowOff>184150</xdr:rowOff>
    </xdr:to>
    <xdr:sp macro="" textlink="">
      <xdr:nvSpPr>
        <xdr:cNvPr id="584100" name="Text Box 50">
          <a:extLst>
            <a:ext uri="{FF2B5EF4-FFF2-40B4-BE49-F238E27FC236}">
              <a16:creationId xmlns:a16="http://schemas.microsoft.com/office/drawing/2014/main" id="{98A30733-CCA9-0BA6-E98B-AD4272C0F672}"/>
            </a:ext>
          </a:extLst>
        </xdr:cNvPr>
        <xdr:cNvSpPr txBox="1">
          <a:spLocks noChangeArrowheads="1"/>
        </xdr:cNvSpPr>
      </xdr:nvSpPr>
      <xdr:spPr bwMode="auto">
        <a:xfrm>
          <a:off x="939800" y="26705560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660400</xdr:colOff>
      <xdr:row>1161</xdr:row>
      <xdr:rowOff>0</xdr:rowOff>
    </xdr:from>
    <xdr:to>
      <xdr:col>1</xdr:col>
      <xdr:colOff>660400</xdr:colOff>
      <xdr:row>1161</xdr:row>
      <xdr:rowOff>184150</xdr:rowOff>
    </xdr:to>
    <xdr:sp macro="" textlink="">
      <xdr:nvSpPr>
        <xdr:cNvPr id="584101" name="Text Box 50">
          <a:extLst>
            <a:ext uri="{FF2B5EF4-FFF2-40B4-BE49-F238E27FC236}">
              <a16:creationId xmlns:a16="http://schemas.microsoft.com/office/drawing/2014/main" id="{2A71E545-0A86-4099-BBCA-E3EBDE9DC170}"/>
            </a:ext>
          </a:extLst>
        </xdr:cNvPr>
        <xdr:cNvSpPr txBox="1">
          <a:spLocks noChangeArrowheads="1"/>
        </xdr:cNvSpPr>
      </xdr:nvSpPr>
      <xdr:spPr bwMode="auto">
        <a:xfrm>
          <a:off x="939800" y="26705560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450850</xdr:colOff>
      <xdr:row>1161</xdr:row>
      <xdr:rowOff>0</xdr:rowOff>
    </xdr:from>
    <xdr:to>
      <xdr:col>1</xdr:col>
      <xdr:colOff>622300</xdr:colOff>
      <xdr:row>1161</xdr:row>
      <xdr:rowOff>165100</xdr:rowOff>
    </xdr:to>
    <xdr:sp macro="" textlink="">
      <xdr:nvSpPr>
        <xdr:cNvPr id="584102" name="Text Box 8">
          <a:extLst>
            <a:ext uri="{FF2B5EF4-FFF2-40B4-BE49-F238E27FC236}">
              <a16:creationId xmlns:a16="http://schemas.microsoft.com/office/drawing/2014/main" id="{55E97336-102F-A0D6-979C-ECBB02307369}"/>
            </a:ext>
          </a:extLst>
        </xdr:cNvPr>
        <xdr:cNvSpPr txBox="1">
          <a:spLocks noChangeArrowheads="1"/>
        </xdr:cNvSpPr>
      </xdr:nvSpPr>
      <xdr:spPr bwMode="auto">
        <a:xfrm>
          <a:off x="730250" y="267055600"/>
          <a:ext cx="17145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660400</xdr:colOff>
      <xdr:row>1161</xdr:row>
      <xdr:rowOff>0</xdr:rowOff>
    </xdr:from>
    <xdr:to>
      <xdr:col>1</xdr:col>
      <xdr:colOff>660400</xdr:colOff>
      <xdr:row>1161</xdr:row>
      <xdr:rowOff>165100</xdr:rowOff>
    </xdr:to>
    <xdr:sp macro="" textlink="">
      <xdr:nvSpPr>
        <xdr:cNvPr id="584103" name="Text Box 9">
          <a:extLst>
            <a:ext uri="{FF2B5EF4-FFF2-40B4-BE49-F238E27FC236}">
              <a16:creationId xmlns:a16="http://schemas.microsoft.com/office/drawing/2014/main" id="{14E42E1F-FFF3-A602-DA52-0B371FB725B8}"/>
            </a:ext>
          </a:extLst>
        </xdr:cNvPr>
        <xdr:cNvSpPr txBox="1">
          <a:spLocks noChangeArrowheads="1"/>
        </xdr:cNvSpPr>
      </xdr:nvSpPr>
      <xdr:spPr bwMode="auto">
        <a:xfrm>
          <a:off x="939800" y="267055600"/>
          <a:ext cx="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222250</xdr:colOff>
      <xdr:row>1161</xdr:row>
      <xdr:rowOff>0</xdr:rowOff>
    </xdr:from>
    <xdr:to>
      <xdr:col>1</xdr:col>
      <xdr:colOff>412750</xdr:colOff>
      <xdr:row>1161</xdr:row>
      <xdr:rowOff>165100</xdr:rowOff>
    </xdr:to>
    <xdr:sp macro="" textlink="">
      <xdr:nvSpPr>
        <xdr:cNvPr id="584104" name="Text Box 47">
          <a:extLst>
            <a:ext uri="{FF2B5EF4-FFF2-40B4-BE49-F238E27FC236}">
              <a16:creationId xmlns:a16="http://schemas.microsoft.com/office/drawing/2014/main" id="{DF064652-EE8F-9157-B409-2F4E2EE78EED}"/>
            </a:ext>
          </a:extLst>
        </xdr:cNvPr>
        <xdr:cNvSpPr txBox="1">
          <a:spLocks noChangeArrowheads="1"/>
        </xdr:cNvSpPr>
      </xdr:nvSpPr>
      <xdr:spPr bwMode="auto">
        <a:xfrm>
          <a:off x="501650" y="267055600"/>
          <a:ext cx="1905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450850</xdr:colOff>
      <xdr:row>1161</xdr:row>
      <xdr:rowOff>0</xdr:rowOff>
    </xdr:from>
    <xdr:to>
      <xdr:col>1</xdr:col>
      <xdr:colOff>622300</xdr:colOff>
      <xdr:row>1161</xdr:row>
      <xdr:rowOff>165100</xdr:rowOff>
    </xdr:to>
    <xdr:sp macro="" textlink="">
      <xdr:nvSpPr>
        <xdr:cNvPr id="584105" name="Text Box 48">
          <a:extLst>
            <a:ext uri="{FF2B5EF4-FFF2-40B4-BE49-F238E27FC236}">
              <a16:creationId xmlns:a16="http://schemas.microsoft.com/office/drawing/2014/main" id="{775BA694-BE02-C1DC-BF80-4D8D1D95576C}"/>
            </a:ext>
          </a:extLst>
        </xdr:cNvPr>
        <xdr:cNvSpPr txBox="1">
          <a:spLocks noChangeArrowheads="1"/>
        </xdr:cNvSpPr>
      </xdr:nvSpPr>
      <xdr:spPr bwMode="auto">
        <a:xfrm>
          <a:off x="730250" y="267055600"/>
          <a:ext cx="17145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222250</xdr:colOff>
      <xdr:row>1161</xdr:row>
      <xdr:rowOff>0</xdr:rowOff>
    </xdr:from>
    <xdr:to>
      <xdr:col>1</xdr:col>
      <xdr:colOff>412750</xdr:colOff>
      <xdr:row>1161</xdr:row>
      <xdr:rowOff>165100</xdr:rowOff>
    </xdr:to>
    <xdr:sp macro="" textlink="">
      <xdr:nvSpPr>
        <xdr:cNvPr id="584106" name="Text Box 47">
          <a:extLst>
            <a:ext uri="{FF2B5EF4-FFF2-40B4-BE49-F238E27FC236}">
              <a16:creationId xmlns:a16="http://schemas.microsoft.com/office/drawing/2014/main" id="{808487E6-D74F-9C3B-180F-4A3429075140}"/>
            </a:ext>
          </a:extLst>
        </xdr:cNvPr>
        <xdr:cNvSpPr txBox="1">
          <a:spLocks noChangeArrowheads="1"/>
        </xdr:cNvSpPr>
      </xdr:nvSpPr>
      <xdr:spPr bwMode="auto">
        <a:xfrm>
          <a:off x="501650" y="267055600"/>
          <a:ext cx="1905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450850</xdr:colOff>
      <xdr:row>1161</xdr:row>
      <xdr:rowOff>0</xdr:rowOff>
    </xdr:from>
    <xdr:to>
      <xdr:col>1</xdr:col>
      <xdr:colOff>622300</xdr:colOff>
      <xdr:row>1161</xdr:row>
      <xdr:rowOff>165100</xdr:rowOff>
    </xdr:to>
    <xdr:sp macro="" textlink="">
      <xdr:nvSpPr>
        <xdr:cNvPr id="584107" name="Text Box 48">
          <a:extLst>
            <a:ext uri="{FF2B5EF4-FFF2-40B4-BE49-F238E27FC236}">
              <a16:creationId xmlns:a16="http://schemas.microsoft.com/office/drawing/2014/main" id="{7A75D4BC-8488-CFC1-B3BC-C06B03227EB7}"/>
            </a:ext>
          </a:extLst>
        </xdr:cNvPr>
        <xdr:cNvSpPr txBox="1">
          <a:spLocks noChangeArrowheads="1"/>
        </xdr:cNvSpPr>
      </xdr:nvSpPr>
      <xdr:spPr bwMode="auto">
        <a:xfrm>
          <a:off x="730250" y="267055600"/>
          <a:ext cx="17145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660400</xdr:colOff>
      <xdr:row>1161</xdr:row>
      <xdr:rowOff>0</xdr:rowOff>
    </xdr:from>
    <xdr:to>
      <xdr:col>1</xdr:col>
      <xdr:colOff>660400</xdr:colOff>
      <xdr:row>1161</xdr:row>
      <xdr:rowOff>184150</xdr:rowOff>
    </xdr:to>
    <xdr:sp macro="" textlink="">
      <xdr:nvSpPr>
        <xdr:cNvPr id="584108" name="Text Box 50">
          <a:extLst>
            <a:ext uri="{FF2B5EF4-FFF2-40B4-BE49-F238E27FC236}">
              <a16:creationId xmlns:a16="http://schemas.microsoft.com/office/drawing/2014/main" id="{D64EB4FD-BF6F-77CE-33F9-89F3B565554E}"/>
            </a:ext>
          </a:extLst>
        </xdr:cNvPr>
        <xdr:cNvSpPr txBox="1">
          <a:spLocks noChangeArrowheads="1"/>
        </xdr:cNvSpPr>
      </xdr:nvSpPr>
      <xdr:spPr bwMode="auto">
        <a:xfrm>
          <a:off x="939800" y="26705560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660400</xdr:colOff>
      <xdr:row>1161</xdr:row>
      <xdr:rowOff>0</xdr:rowOff>
    </xdr:from>
    <xdr:to>
      <xdr:col>1</xdr:col>
      <xdr:colOff>660400</xdr:colOff>
      <xdr:row>1161</xdr:row>
      <xdr:rowOff>184150</xdr:rowOff>
    </xdr:to>
    <xdr:sp macro="" textlink="">
      <xdr:nvSpPr>
        <xdr:cNvPr id="584109" name="Text Box 50">
          <a:extLst>
            <a:ext uri="{FF2B5EF4-FFF2-40B4-BE49-F238E27FC236}">
              <a16:creationId xmlns:a16="http://schemas.microsoft.com/office/drawing/2014/main" id="{8EF7077B-D641-A50E-91EF-8D4457513EBD}"/>
            </a:ext>
          </a:extLst>
        </xdr:cNvPr>
        <xdr:cNvSpPr txBox="1">
          <a:spLocks noChangeArrowheads="1"/>
        </xdr:cNvSpPr>
      </xdr:nvSpPr>
      <xdr:spPr bwMode="auto">
        <a:xfrm>
          <a:off x="939800" y="26705560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228600</xdr:colOff>
      <xdr:row>1161</xdr:row>
      <xdr:rowOff>0</xdr:rowOff>
    </xdr:from>
    <xdr:to>
      <xdr:col>1</xdr:col>
      <xdr:colOff>419100</xdr:colOff>
      <xdr:row>1162</xdr:row>
      <xdr:rowOff>50800</xdr:rowOff>
    </xdr:to>
    <xdr:sp macro="" textlink="">
      <xdr:nvSpPr>
        <xdr:cNvPr id="584110" name="Text Box 47">
          <a:extLst>
            <a:ext uri="{FF2B5EF4-FFF2-40B4-BE49-F238E27FC236}">
              <a16:creationId xmlns:a16="http://schemas.microsoft.com/office/drawing/2014/main" id="{FCC454C6-3AD2-117F-8184-10CFD6702B2A}"/>
            </a:ext>
          </a:extLst>
        </xdr:cNvPr>
        <xdr:cNvSpPr txBox="1">
          <a:spLocks noChangeArrowheads="1"/>
        </xdr:cNvSpPr>
      </xdr:nvSpPr>
      <xdr:spPr bwMode="auto">
        <a:xfrm>
          <a:off x="508000" y="267055600"/>
          <a:ext cx="1905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108</xdr:row>
      <xdr:rowOff>0</xdr:rowOff>
    </xdr:from>
    <xdr:to>
      <xdr:col>1</xdr:col>
      <xdr:colOff>419100</xdr:colOff>
      <xdr:row>109</xdr:row>
      <xdr:rowOff>38100</xdr:rowOff>
    </xdr:to>
    <xdr:sp macro="" textlink="">
      <xdr:nvSpPr>
        <xdr:cNvPr id="584890" name="Text Box 47">
          <a:extLst>
            <a:ext uri="{FF2B5EF4-FFF2-40B4-BE49-F238E27FC236}">
              <a16:creationId xmlns:a16="http://schemas.microsoft.com/office/drawing/2014/main" id="{D6CE74C3-C8D0-3965-CF77-7EF152021813}"/>
            </a:ext>
          </a:extLst>
        </xdr:cNvPr>
        <xdr:cNvSpPr txBox="1">
          <a:spLocks noChangeArrowheads="1"/>
        </xdr:cNvSpPr>
      </xdr:nvSpPr>
      <xdr:spPr bwMode="auto">
        <a:xfrm>
          <a:off x="527050" y="26822400"/>
          <a:ext cx="190500" cy="292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457200</xdr:colOff>
      <xdr:row>108</xdr:row>
      <xdr:rowOff>0</xdr:rowOff>
    </xdr:from>
    <xdr:to>
      <xdr:col>1</xdr:col>
      <xdr:colOff>615950</xdr:colOff>
      <xdr:row>109</xdr:row>
      <xdr:rowOff>38100</xdr:rowOff>
    </xdr:to>
    <xdr:sp macro="" textlink="">
      <xdr:nvSpPr>
        <xdr:cNvPr id="584891" name="Text Box 48">
          <a:extLst>
            <a:ext uri="{FF2B5EF4-FFF2-40B4-BE49-F238E27FC236}">
              <a16:creationId xmlns:a16="http://schemas.microsoft.com/office/drawing/2014/main" id="{FC19BE40-0DE2-32F2-A7D7-34A52799B34A}"/>
            </a:ext>
          </a:extLst>
        </xdr:cNvPr>
        <xdr:cNvSpPr txBox="1">
          <a:spLocks noChangeArrowheads="1"/>
        </xdr:cNvSpPr>
      </xdr:nvSpPr>
      <xdr:spPr bwMode="auto">
        <a:xfrm>
          <a:off x="755650" y="26822400"/>
          <a:ext cx="158750" cy="292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228600</xdr:colOff>
      <xdr:row>108</xdr:row>
      <xdr:rowOff>0</xdr:rowOff>
    </xdr:from>
    <xdr:to>
      <xdr:col>1</xdr:col>
      <xdr:colOff>419100</xdr:colOff>
      <xdr:row>109</xdr:row>
      <xdr:rowOff>38100</xdr:rowOff>
    </xdr:to>
    <xdr:sp macro="" textlink="">
      <xdr:nvSpPr>
        <xdr:cNvPr id="584892" name="Text Box 47">
          <a:extLst>
            <a:ext uri="{FF2B5EF4-FFF2-40B4-BE49-F238E27FC236}">
              <a16:creationId xmlns:a16="http://schemas.microsoft.com/office/drawing/2014/main" id="{8B09D9B8-31D4-4093-D717-D4E798A0E75D}"/>
            </a:ext>
          </a:extLst>
        </xdr:cNvPr>
        <xdr:cNvSpPr txBox="1">
          <a:spLocks noChangeArrowheads="1"/>
        </xdr:cNvSpPr>
      </xdr:nvSpPr>
      <xdr:spPr bwMode="auto">
        <a:xfrm>
          <a:off x="527050" y="26822400"/>
          <a:ext cx="190500" cy="292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457200</xdr:colOff>
      <xdr:row>108</xdr:row>
      <xdr:rowOff>0</xdr:rowOff>
    </xdr:from>
    <xdr:to>
      <xdr:col>1</xdr:col>
      <xdr:colOff>615950</xdr:colOff>
      <xdr:row>109</xdr:row>
      <xdr:rowOff>38100</xdr:rowOff>
    </xdr:to>
    <xdr:sp macro="" textlink="">
      <xdr:nvSpPr>
        <xdr:cNvPr id="584893" name="Text Box 48">
          <a:extLst>
            <a:ext uri="{FF2B5EF4-FFF2-40B4-BE49-F238E27FC236}">
              <a16:creationId xmlns:a16="http://schemas.microsoft.com/office/drawing/2014/main" id="{0D541741-4570-7722-8CE7-37828A131F84}"/>
            </a:ext>
          </a:extLst>
        </xdr:cNvPr>
        <xdr:cNvSpPr txBox="1">
          <a:spLocks noChangeArrowheads="1"/>
        </xdr:cNvSpPr>
      </xdr:nvSpPr>
      <xdr:spPr bwMode="auto">
        <a:xfrm>
          <a:off x="755650" y="26822400"/>
          <a:ext cx="158750" cy="292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457200</xdr:colOff>
      <xdr:row>108</xdr:row>
      <xdr:rowOff>0</xdr:rowOff>
    </xdr:from>
    <xdr:to>
      <xdr:col>1</xdr:col>
      <xdr:colOff>615950</xdr:colOff>
      <xdr:row>109</xdr:row>
      <xdr:rowOff>31750</xdr:rowOff>
    </xdr:to>
    <xdr:sp macro="" textlink="">
      <xdr:nvSpPr>
        <xdr:cNvPr id="584894" name="Text Box 48">
          <a:extLst>
            <a:ext uri="{FF2B5EF4-FFF2-40B4-BE49-F238E27FC236}">
              <a16:creationId xmlns:a16="http://schemas.microsoft.com/office/drawing/2014/main" id="{1134C359-C1A9-65D2-B401-4B6B4D5E62CA}"/>
            </a:ext>
          </a:extLst>
        </xdr:cNvPr>
        <xdr:cNvSpPr txBox="1">
          <a:spLocks noChangeArrowheads="1"/>
        </xdr:cNvSpPr>
      </xdr:nvSpPr>
      <xdr:spPr bwMode="auto">
        <a:xfrm>
          <a:off x="755650" y="26822400"/>
          <a:ext cx="15875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457200</xdr:colOff>
      <xdr:row>108</xdr:row>
      <xdr:rowOff>0</xdr:rowOff>
    </xdr:from>
    <xdr:to>
      <xdr:col>1</xdr:col>
      <xdr:colOff>615950</xdr:colOff>
      <xdr:row>109</xdr:row>
      <xdr:rowOff>31750</xdr:rowOff>
    </xdr:to>
    <xdr:sp macro="" textlink="">
      <xdr:nvSpPr>
        <xdr:cNvPr id="584895" name="Text Box 48">
          <a:extLst>
            <a:ext uri="{FF2B5EF4-FFF2-40B4-BE49-F238E27FC236}">
              <a16:creationId xmlns:a16="http://schemas.microsoft.com/office/drawing/2014/main" id="{0CB1BBE3-53F2-F1AA-C20F-65D4CD08E30B}"/>
            </a:ext>
          </a:extLst>
        </xdr:cNvPr>
        <xdr:cNvSpPr txBox="1">
          <a:spLocks noChangeArrowheads="1"/>
        </xdr:cNvSpPr>
      </xdr:nvSpPr>
      <xdr:spPr bwMode="auto">
        <a:xfrm>
          <a:off x="755650" y="26822400"/>
          <a:ext cx="15875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228600</xdr:colOff>
      <xdr:row>108</xdr:row>
      <xdr:rowOff>0</xdr:rowOff>
    </xdr:from>
    <xdr:to>
      <xdr:col>1</xdr:col>
      <xdr:colOff>419100</xdr:colOff>
      <xdr:row>109</xdr:row>
      <xdr:rowOff>38100</xdr:rowOff>
    </xdr:to>
    <xdr:sp macro="" textlink="">
      <xdr:nvSpPr>
        <xdr:cNvPr id="584896" name="Text Box 47">
          <a:extLst>
            <a:ext uri="{FF2B5EF4-FFF2-40B4-BE49-F238E27FC236}">
              <a16:creationId xmlns:a16="http://schemas.microsoft.com/office/drawing/2014/main" id="{D98A9441-874B-EA41-5DA2-25FDCF508506}"/>
            </a:ext>
          </a:extLst>
        </xdr:cNvPr>
        <xdr:cNvSpPr txBox="1">
          <a:spLocks noChangeArrowheads="1"/>
        </xdr:cNvSpPr>
      </xdr:nvSpPr>
      <xdr:spPr bwMode="auto">
        <a:xfrm>
          <a:off x="527050" y="26822400"/>
          <a:ext cx="190500" cy="292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457200</xdr:colOff>
      <xdr:row>108</xdr:row>
      <xdr:rowOff>0</xdr:rowOff>
    </xdr:from>
    <xdr:to>
      <xdr:col>1</xdr:col>
      <xdr:colOff>615950</xdr:colOff>
      <xdr:row>109</xdr:row>
      <xdr:rowOff>38100</xdr:rowOff>
    </xdr:to>
    <xdr:sp macro="" textlink="">
      <xdr:nvSpPr>
        <xdr:cNvPr id="584897" name="Text Box 48">
          <a:extLst>
            <a:ext uri="{FF2B5EF4-FFF2-40B4-BE49-F238E27FC236}">
              <a16:creationId xmlns:a16="http://schemas.microsoft.com/office/drawing/2014/main" id="{8AADE2A2-758B-69BA-DCC4-2D5C9245FFED}"/>
            </a:ext>
          </a:extLst>
        </xdr:cNvPr>
        <xdr:cNvSpPr txBox="1">
          <a:spLocks noChangeArrowheads="1"/>
        </xdr:cNvSpPr>
      </xdr:nvSpPr>
      <xdr:spPr bwMode="auto">
        <a:xfrm>
          <a:off x="755650" y="26822400"/>
          <a:ext cx="158750" cy="292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228600</xdr:colOff>
      <xdr:row>108</xdr:row>
      <xdr:rowOff>0</xdr:rowOff>
    </xdr:from>
    <xdr:to>
      <xdr:col>1</xdr:col>
      <xdr:colOff>419100</xdr:colOff>
      <xdr:row>109</xdr:row>
      <xdr:rowOff>38100</xdr:rowOff>
    </xdr:to>
    <xdr:sp macro="" textlink="">
      <xdr:nvSpPr>
        <xdr:cNvPr id="584898" name="Text Box 47">
          <a:extLst>
            <a:ext uri="{FF2B5EF4-FFF2-40B4-BE49-F238E27FC236}">
              <a16:creationId xmlns:a16="http://schemas.microsoft.com/office/drawing/2014/main" id="{06F88BBF-6046-9075-7600-CE8765337BCB}"/>
            </a:ext>
          </a:extLst>
        </xdr:cNvPr>
        <xdr:cNvSpPr txBox="1">
          <a:spLocks noChangeArrowheads="1"/>
        </xdr:cNvSpPr>
      </xdr:nvSpPr>
      <xdr:spPr bwMode="auto">
        <a:xfrm>
          <a:off x="527050" y="26822400"/>
          <a:ext cx="190500" cy="292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457200</xdr:colOff>
      <xdr:row>108</xdr:row>
      <xdr:rowOff>0</xdr:rowOff>
    </xdr:from>
    <xdr:to>
      <xdr:col>1</xdr:col>
      <xdr:colOff>615950</xdr:colOff>
      <xdr:row>109</xdr:row>
      <xdr:rowOff>38100</xdr:rowOff>
    </xdr:to>
    <xdr:sp macro="" textlink="">
      <xdr:nvSpPr>
        <xdr:cNvPr id="584899" name="Text Box 48">
          <a:extLst>
            <a:ext uri="{FF2B5EF4-FFF2-40B4-BE49-F238E27FC236}">
              <a16:creationId xmlns:a16="http://schemas.microsoft.com/office/drawing/2014/main" id="{67EDFB09-F1E6-57D7-4319-3B91593BAADC}"/>
            </a:ext>
          </a:extLst>
        </xdr:cNvPr>
        <xdr:cNvSpPr txBox="1">
          <a:spLocks noChangeArrowheads="1"/>
        </xdr:cNvSpPr>
      </xdr:nvSpPr>
      <xdr:spPr bwMode="auto">
        <a:xfrm>
          <a:off x="755650" y="26822400"/>
          <a:ext cx="158750" cy="292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457200</xdr:colOff>
      <xdr:row>167</xdr:row>
      <xdr:rowOff>0</xdr:rowOff>
    </xdr:from>
    <xdr:to>
      <xdr:col>1</xdr:col>
      <xdr:colOff>615950</xdr:colOff>
      <xdr:row>168</xdr:row>
      <xdr:rowOff>38100</xdr:rowOff>
    </xdr:to>
    <xdr:sp macro="" textlink="">
      <xdr:nvSpPr>
        <xdr:cNvPr id="584900" name="Text Box 48">
          <a:extLst>
            <a:ext uri="{FF2B5EF4-FFF2-40B4-BE49-F238E27FC236}">
              <a16:creationId xmlns:a16="http://schemas.microsoft.com/office/drawing/2014/main" id="{1E824518-3D2A-7DD4-C27A-460DBF1591A2}"/>
            </a:ext>
          </a:extLst>
        </xdr:cNvPr>
        <xdr:cNvSpPr txBox="1">
          <a:spLocks noChangeArrowheads="1"/>
        </xdr:cNvSpPr>
      </xdr:nvSpPr>
      <xdr:spPr bwMode="auto">
        <a:xfrm>
          <a:off x="755650" y="41605200"/>
          <a:ext cx="158750" cy="292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666750</xdr:colOff>
      <xdr:row>167</xdr:row>
      <xdr:rowOff>0</xdr:rowOff>
    </xdr:from>
    <xdr:to>
      <xdr:col>1</xdr:col>
      <xdr:colOff>946150</xdr:colOff>
      <xdr:row>168</xdr:row>
      <xdr:rowOff>38100</xdr:rowOff>
    </xdr:to>
    <xdr:sp macro="" textlink="">
      <xdr:nvSpPr>
        <xdr:cNvPr id="584901" name="Text Box 50">
          <a:extLst>
            <a:ext uri="{FF2B5EF4-FFF2-40B4-BE49-F238E27FC236}">
              <a16:creationId xmlns:a16="http://schemas.microsoft.com/office/drawing/2014/main" id="{42721C7C-B400-C8D6-7DD2-5A0AF28745B8}"/>
            </a:ext>
          </a:extLst>
        </xdr:cNvPr>
        <xdr:cNvSpPr txBox="1">
          <a:spLocks noChangeArrowheads="1"/>
        </xdr:cNvSpPr>
      </xdr:nvSpPr>
      <xdr:spPr bwMode="auto">
        <a:xfrm>
          <a:off x="965200" y="41605200"/>
          <a:ext cx="279400" cy="292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457200</xdr:colOff>
      <xdr:row>167</xdr:row>
      <xdr:rowOff>0</xdr:rowOff>
    </xdr:from>
    <xdr:to>
      <xdr:col>1</xdr:col>
      <xdr:colOff>615950</xdr:colOff>
      <xdr:row>168</xdr:row>
      <xdr:rowOff>38100</xdr:rowOff>
    </xdr:to>
    <xdr:sp macro="" textlink="">
      <xdr:nvSpPr>
        <xdr:cNvPr id="584902" name="Text Box 48">
          <a:extLst>
            <a:ext uri="{FF2B5EF4-FFF2-40B4-BE49-F238E27FC236}">
              <a16:creationId xmlns:a16="http://schemas.microsoft.com/office/drawing/2014/main" id="{A6691131-B75F-F32D-383E-014974B3278D}"/>
            </a:ext>
          </a:extLst>
        </xdr:cNvPr>
        <xdr:cNvSpPr txBox="1">
          <a:spLocks noChangeArrowheads="1"/>
        </xdr:cNvSpPr>
      </xdr:nvSpPr>
      <xdr:spPr bwMode="auto">
        <a:xfrm>
          <a:off x="755650" y="41605200"/>
          <a:ext cx="158750" cy="292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666750</xdr:colOff>
      <xdr:row>167</xdr:row>
      <xdr:rowOff>0</xdr:rowOff>
    </xdr:from>
    <xdr:to>
      <xdr:col>1</xdr:col>
      <xdr:colOff>946150</xdr:colOff>
      <xdr:row>168</xdr:row>
      <xdr:rowOff>38100</xdr:rowOff>
    </xdr:to>
    <xdr:sp macro="" textlink="">
      <xdr:nvSpPr>
        <xdr:cNvPr id="584903" name="Text Box 50">
          <a:extLst>
            <a:ext uri="{FF2B5EF4-FFF2-40B4-BE49-F238E27FC236}">
              <a16:creationId xmlns:a16="http://schemas.microsoft.com/office/drawing/2014/main" id="{867CEA95-C785-E9B5-B95E-93AE2CE9F212}"/>
            </a:ext>
          </a:extLst>
        </xdr:cNvPr>
        <xdr:cNvSpPr txBox="1">
          <a:spLocks noChangeArrowheads="1"/>
        </xdr:cNvSpPr>
      </xdr:nvSpPr>
      <xdr:spPr bwMode="auto">
        <a:xfrm>
          <a:off x="965200" y="41605200"/>
          <a:ext cx="279400" cy="292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FE76B-8F97-4567-B5A5-FF7A49C0CB57}">
  <sheetPr codeName="Sheet1"/>
  <dimension ref="A1:E105"/>
  <sheetViews>
    <sheetView topLeftCell="A17" zoomScale="160" zoomScaleNormal="160" workbookViewId="0">
      <selection activeCell="A78" sqref="A78"/>
    </sheetView>
  </sheetViews>
  <sheetFormatPr defaultRowHeight="12.5"/>
  <cols>
    <col min="1" max="1" width="30.81640625" bestFit="1" customWidth="1"/>
    <col min="3" max="3" width="10.54296875" bestFit="1" customWidth="1"/>
  </cols>
  <sheetData>
    <row r="1" spans="1:5">
      <c r="A1" s="362" t="s">
        <v>26</v>
      </c>
      <c r="B1" s="362"/>
      <c r="C1" s="363" t="s">
        <v>18</v>
      </c>
    </row>
    <row r="2" spans="1:5">
      <c r="A2" s="12" t="s">
        <v>8</v>
      </c>
      <c r="B2" s="23" t="s">
        <v>9</v>
      </c>
      <c r="C2" s="17">
        <v>24000</v>
      </c>
    </row>
    <row r="3" spans="1:5">
      <c r="A3" s="12" t="s">
        <v>31</v>
      </c>
      <c r="B3" s="8" t="s">
        <v>10</v>
      </c>
      <c r="C3" s="17">
        <v>30000</v>
      </c>
    </row>
    <row r="4" spans="1:5">
      <c r="A4" s="12" t="s">
        <v>11</v>
      </c>
      <c r="B4" s="8" t="s">
        <v>2</v>
      </c>
      <c r="C4" s="17">
        <v>350</v>
      </c>
    </row>
    <row r="5" spans="1:5">
      <c r="A5" s="12" t="s">
        <v>95</v>
      </c>
      <c r="B5" s="8" t="s">
        <v>10</v>
      </c>
      <c r="C5" s="17">
        <v>110000</v>
      </c>
    </row>
    <row r="6" spans="1:5">
      <c r="A6" s="12" t="s">
        <v>670</v>
      </c>
      <c r="B6" s="8" t="s">
        <v>10</v>
      </c>
      <c r="C6" s="17">
        <v>200000</v>
      </c>
      <c r="E6" s="364"/>
    </row>
    <row r="7" spans="1:5">
      <c r="A7" s="12" t="s">
        <v>34</v>
      </c>
      <c r="B7" s="23" t="s">
        <v>28</v>
      </c>
      <c r="C7" s="17">
        <v>20000</v>
      </c>
    </row>
    <row r="8" spans="1:5" ht="13">
      <c r="A8" s="12" t="s">
        <v>62</v>
      </c>
      <c r="B8" s="91" t="s">
        <v>13</v>
      </c>
      <c r="C8" s="17">
        <v>70000</v>
      </c>
      <c r="E8" s="455" t="s">
        <v>885</v>
      </c>
    </row>
    <row r="9" spans="1:5">
      <c r="A9" s="18" t="s">
        <v>53</v>
      </c>
      <c r="B9" s="91" t="s">
        <v>14</v>
      </c>
      <c r="C9" s="17">
        <v>1500000</v>
      </c>
      <c r="E9" s="183" t="s">
        <v>883</v>
      </c>
    </row>
    <row r="10" spans="1:5">
      <c r="A10" s="12" t="s">
        <v>35</v>
      </c>
      <c r="B10" s="91" t="s">
        <v>15</v>
      </c>
      <c r="C10" s="17">
        <f>10000/3.6</f>
        <v>2778</v>
      </c>
      <c r="D10" s="183" t="s">
        <v>887</v>
      </c>
      <c r="E10" s="183" t="s">
        <v>884</v>
      </c>
    </row>
    <row r="11" spans="1:5">
      <c r="A11" s="12" t="s">
        <v>33</v>
      </c>
      <c r="B11" s="91"/>
      <c r="C11" s="17"/>
      <c r="D11" s="183" t="s">
        <v>886</v>
      </c>
      <c r="E11" s="183" t="s">
        <v>888</v>
      </c>
    </row>
    <row r="12" spans="1:5">
      <c r="A12" s="26" t="s">
        <v>404</v>
      </c>
      <c r="B12" s="8" t="s">
        <v>14</v>
      </c>
      <c r="C12" s="17">
        <v>3800000</v>
      </c>
    </row>
    <row r="13" spans="1:5">
      <c r="A13" s="10" t="s">
        <v>669</v>
      </c>
      <c r="B13" s="8" t="s">
        <v>14</v>
      </c>
      <c r="C13" s="17">
        <v>2500000</v>
      </c>
    </row>
    <row r="14" spans="1:5">
      <c r="A14" s="10" t="s">
        <v>668</v>
      </c>
      <c r="B14" s="91" t="s">
        <v>14</v>
      </c>
      <c r="C14" s="17">
        <v>2400000</v>
      </c>
    </row>
    <row r="15" spans="1:5">
      <c r="A15" s="10" t="s">
        <v>549</v>
      </c>
      <c r="B15" s="8" t="s">
        <v>14</v>
      </c>
      <c r="C15" s="17">
        <v>2800000</v>
      </c>
    </row>
    <row r="16" spans="1:5">
      <c r="A16" s="26"/>
      <c r="B16" s="21" t="s">
        <v>14</v>
      </c>
      <c r="C16" s="17"/>
    </row>
    <row r="17" spans="1:5">
      <c r="A17" s="12" t="s">
        <v>32</v>
      </c>
      <c r="B17" s="21" t="s">
        <v>15</v>
      </c>
      <c r="C17" s="17">
        <f>12000/3.6</f>
        <v>3333</v>
      </c>
    </row>
    <row r="18" spans="1:5">
      <c r="A18" s="12" t="s">
        <v>621</v>
      </c>
      <c r="B18" s="8" t="s">
        <v>2</v>
      </c>
      <c r="C18" s="17">
        <v>60000</v>
      </c>
    </row>
    <row r="19" spans="1:5">
      <c r="A19" s="12" t="s">
        <v>622</v>
      </c>
      <c r="B19" s="21" t="s">
        <v>2</v>
      </c>
      <c r="C19" s="17">
        <v>42000</v>
      </c>
      <c r="E19" s="361"/>
    </row>
    <row r="20" spans="1:5">
      <c r="A20" s="12" t="s">
        <v>623</v>
      </c>
      <c r="B20" s="8" t="s">
        <v>2</v>
      </c>
      <c r="C20" s="17">
        <v>40000</v>
      </c>
    </row>
    <row r="21" spans="1:5">
      <c r="A21" s="12" t="s">
        <v>624</v>
      </c>
      <c r="B21" s="23" t="s">
        <v>82</v>
      </c>
      <c r="C21" s="17">
        <v>4000</v>
      </c>
    </row>
    <row r="22" spans="1:5">
      <c r="A22" s="12" t="s">
        <v>618</v>
      </c>
      <c r="B22" s="8" t="s">
        <v>82</v>
      </c>
      <c r="C22" s="17">
        <v>3000</v>
      </c>
    </row>
    <row r="23" spans="1:5">
      <c r="A23" s="12" t="s">
        <v>712</v>
      </c>
      <c r="B23" s="8" t="s">
        <v>2</v>
      </c>
      <c r="C23" s="17">
        <v>100</v>
      </c>
    </row>
    <row r="24" spans="1:5">
      <c r="A24" s="52" t="s">
        <v>715</v>
      </c>
      <c r="B24" s="8" t="s">
        <v>82</v>
      </c>
      <c r="C24" s="17">
        <v>15000</v>
      </c>
    </row>
    <row r="25" spans="1:5">
      <c r="A25" s="52" t="s">
        <v>638</v>
      </c>
      <c r="B25" s="8" t="s">
        <v>82</v>
      </c>
      <c r="C25" s="17">
        <v>12000</v>
      </c>
    </row>
    <row r="26" spans="1:5">
      <c r="A26" s="52" t="s">
        <v>88</v>
      </c>
      <c r="B26" s="8" t="s">
        <v>28</v>
      </c>
      <c r="C26" s="17">
        <v>10000</v>
      </c>
    </row>
    <row r="27" spans="1:5">
      <c r="A27" s="52" t="s">
        <v>639</v>
      </c>
      <c r="B27" s="8" t="s">
        <v>2</v>
      </c>
      <c r="C27" s="17">
        <v>200</v>
      </c>
    </row>
    <row r="28" spans="1:5">
      <c r="A28" s="12" t="s">
        <v>87</v>
      </c>
      <c r="B28" s="8" t="s">
        <v>82</v>
      </c>
      <c r="C28" s="17">
        <v>160</v>
      </c>
    </row>
    <row r="29" spans="1:5">
      <c r="A29" s="54" t="s">
        <v>90</v>
      </c>
      <c r="B29" s="8" t="s">
        <v>2</v>
      </c>
      <c r="C29" s="17">
        <v>2000</v>
      </c>
    </row>
    <row r="30" spans="1:5">
      <c r="A30" s="54" t="s">
        <v>91</v>
      </c>
      <c r="B30" s="39" t="s">
        <v>92</v>
      </c>
      <c r="C30" s="469">
        <v>15000</v>
      </c>
    </row>
    <row r="31" spans="1:5">
      <c r="A31" s="12" t="s">
        <v>700</v>
      </c>
      <c r="B31" s="8" t="s">
        <v>2</v>
      </c>
      <c r="C31" s="17">
        <v>30000</v>
      </c>
    </row>
    <row r="32" spans="1:5">
      <c r="A32" s="12" t="s">
        <v>701</v>
      </c>
      <c r="B32" s="8" t="s">
        <v>2</v>
      </c>
      <c r="C32" s="17">
        <v>10000</v>
      </c>
    </row>
    <row r="33" spans="1:3">
      <c r="A33" s="12" t="s">
        <v>702</v>
      </c>
      <c r="B33" s="8" t="s">
        <v>2</v>
      </c>
      <c r="C33" s="17">
        <v>15000</v>
      </c>
    </row>
    <row r="34" spans="1:3">
      <c r="A34" s="12" t="s">
        <v>703</v>
      </c>
      <c r="B34" s="8" t="s">
        <v>2</v>
      </c>
      <c r="C34" s="17">
        <v>15000</v>
      </c>
    </row>
    <row r="35" spans="1:3">
      <c r="A35" s="52" t="s">
        <v>704</v>
      </c>
      <c r="B35" s="8" t="s">
        <v>82</v>
      </c>
      <c r="C35" s="17"/>
    </row>
    <row r="36" spans="1:3">
      <c r="A36" s="52" t="s">
        <v>698</v>
      </c>
      <c r="B36" s="8" t="s">
        <v>705</v>
      </c>
      <c r="C36" s="17"/>
    </row>
    <row r="37" spans="1:3">
      <c r="A37" s="52" t="s">
        <v>697</v>
      </c>
      <c r="B37" s="8" t="s">
        <v>21</v>
      </c>
      <c r="C37" s="17"/>
    </row>
    <row r="38" spans="1:3">
      <c r="A38" s="52" t="s">
        <v>699</v>
      </c>
      <c r="B38" s="8" t="s">
        <v>82</v>
      </c>
      <c r="C38" s="17">
        <v>4000</v>
      </c>
    </row>
    <row r="39" spans="1:3">
      <c r="A39" s="458" t="s">
        <v>836</v>
      </c>
      <c r="B39" s="459" t="s">
        <v>13</v>
      </c>
      <c r="C39" s="17">
        <v>50000</v>
      </c>
    </row>
    <row r="40" spans="1:3">
      <c r="A40" s="458" t="s">
        <v>837</v>
      </c>
      <c r="B40" s="459" t="s">
        <v>13</v>
      </c>
      <c r="C40" s="17">
        <v>55000</v>
      </c>
    </row>
    <row r="41" spans="1:3">
      <c r="A41" s="458" t="s">
        <v>896</v>
      </c>
      <c r="B41" s="459" t="s">
        <v>13</v>
      </c>
      <c r="C41" s="17">
        <v>72500</v>
      </c>
    </row>
    <row r="42" spans="1:3">
      <c r="A42" s="458" t="s">
        <v>840</v>
      </c>
      <c r="B42" s="459" t="s">
        <v>2</v>
      </c>
      <c r="C42" s="17">
        <v>3300</v>
      </c>
    </row>
    <row r="43" spans="1:3">
      <c r="A43" s="458" t="s">
        <v>838</v>
      </c>
      <c r="B43" s="459" t="s">
        <v>2</v>
      </c>
      <c r="C43" s="17">
        <v>4500</v>
      </c>
    </row>
    <row r="44" spans="1:3">
      <c r="A44" s="458" t="s">
        <v>805</v>
      </c>
      <c r="B44" s="459" t="s">
        <v>2</v>
      </c>
      <c r="C44" s="17"/>
    </row>
    <row r="45" spans="1:3">
      <c r="A45" s="458" t="s">
        <v>806</v>
      </c>
      <c r="B45" s="459" t="s">
        <v>2</v>
      </c>
      <c r="C45" s="17"/>
    </row>
    <row r="46" spans="1:3">
      <c r="A46" s="458" t="s">
        <v>807</v>
      </c>
      <c r="B46" s="459" t="s">
        <v>2</v>
      </c>
      <c r="C46" s="17"/>
    </row>
    <row r="47" spans="1:3">
      <c r="A47" s="458" t="s">
        <v>808</v>
      </c>
      <c r="B47" s="459" t="s">
        <v>2</v>
      </c>
      <c r="C47" s="17"/>
    </row>
    <row r="48" spans="1:3">
      <c r="A48" s="458" t="s">
        <v>809</v>
      </c>
      <c r="B48" s="459" t="s">
        <v>810</v>
      </c>
      <c r="C48" s="17"/>
    </row>
    <row r="49" spans="1:3">
      <c r="A49" s="458" t="s">
        <v>847</v>
      </c>
      <c r="B49" s="462" t="s">
        <v>9</v>
      </c>
      <c r="C49" s="17">
        <v>24000</v>
      </c>
    </row>
    <row r="50" spans="1:3">
      <c r="A50" s="458" t="s">
        <v>848</v>
      </c>
      <c r="B50" s="462" t="s">
        <v>853</v>
      </c>
      <c r="C50" s="17">
        <v>36000</v>
      </c>
    </row>
    <row r="51" spans="1:3">
      <c r="A51" s="458" t="s">
        <v>308</v>
      </c>
      <c r="B51" s="462" t="s">
        <v>853</v>
      </c>
      <c r="C51" s="17">
        <v>31000</v>
      </c>
    </row>
    <row r="52" spans="1:3">
      <c r="A52" s="458" t="s">
        <v>309</v>
      </c>
      <c r="B52" s="462" t="s">
        <v>853</v>
      </c>
      <c r="C52" s="17">
        <v>31000</v>
      </c>
    </row>
    <row r="53" spans="1:3">
      <c r="A53" s="458" t="s">
        <v>829</v>
      </c>
      <c r="B53" s="462" t="s">
        <v>853</v>
      </c>
      <c r="C53" s="17">
        <v>31000</v>
      </c>
    </row>
    <row r="54" spans="1:3">
      <c r="A54" s="458" t="s">
        <v>854</v>
      </c>
      <c r="B54" s="462" t="s">
        <v>9</v>
      </c>
      <c r="C54" s="17">
        <v>55000</v>
      </c>
    </row>
    <row r="55" spans="1:3">
      <c r="A55" s="458" t="s">
        <v>855</v>
      </c>
      <c r="B55" s="462" t="s">
        <v>82</v>
      </c>
      <c r="C55" s="17">
        <v>50</v>
      </c>
    </row>
    <row r="56" spans="1:3">
      <c r="A56" s="463" t="s">
        <v>849</v>
      </c>
      <c r="B56" s="464" t="s">
        <v>2</v>
      </c>
      <c r="C56" s="17">
        <v>300</v>
      </c>
    </row>
    <row r="57" spans="1:3">
      <c r="A57" s="463" t="s">
        <v>850</v>
      </c>
      <c r="B57" s="464" t="s">
        <v>851</v>
      </c>
      <c r="C57" s="17">
        <v>2400</v>
      </c>
    </row>
    <row r="58" spans="1:3">
      <c r="A58" s="463" t="s">
        <v>300</v>
      </c>
      <c r="B58" s="464" t="s">
        <v>2</v>
      </c>
      <c r="C58" s="17">
        <v>700</v>
      </c>
    </row>
    <row r="59" spans="1:3">
      <c r="A59" s="463" t="s">
        <v>301</v>
      </c>
      <c r="B59" s="464" t="s">
        <v>2</v>
      </c>
      <c r="C59" s="17">
        <v>3000</v>
      </c>
    </row>
    <row r="60" spans="1:3">
      <c r="A60" s="463" t="s">
        <v>302</v>
      </c>
      <c r="B60" s="464" t="s">
        <v>2</v>
      </c>
      <c r="C60" s="17">
        <v>500</v>
      </c>
    </row>
    <row r="61" spans="1:3">
      <c r="A61" s="463" t="s">
        <v>303</v>
      </c>
      <c r="B61" s="464" t="s">
        <v>2</v>
      </c>
      <c r="C61" s="17">
        <v>7000</v>
      </c>
    </row>
    <row r="62" spans="1:3">
      <c r="A62" s="463" t="s">
        <v>852</v>
      </c>
      <c r="B62" s="464" t="s">
        <v>2</v>
      </c>
      <c r="C62" s="17">
        <v>1000</v>
      </c>
    </row>
    <row r="63" spans="1:3">
      <c r="A63" s="463" t="s">
        <v>56</v>
      </c>
      <c r="B63" s="464" t="s">
        <v>853</v>
      </c>
      <c r="C63" s="17">
        <v>24000</v>
      </c>
    </row>
    <row r="64" spans="1:3">
      <c r="A64" s="463" t="s">
        <v>857</v>
      </c>
      <c r="B64" s="464" t="s">
        <v>853</v>
      </c>
      <c r="C64" s="17">
        <v>24000</v>
      </c>
    </row>
    <row r="65" spans="1:3">
      <c r="A65" s="463" t="s">
        <v>858</v>
      </c>
      <c r="B65" s="464" t="s">
        <v>28</v>
      </c>
      <c r="C65" s="17">
        <v>4000</v>
      </c>
    </row>
    <row r="66" spans="1:3">
      <c r="A66" s="463" t="s">
        <v>859</v>
      </c>
      <c r="B66" s="464" t="s">
        <v>2</v>
      </c>
      <c r="C66" s="17">
        <v>1800</v>
      </c>
    </row>
    <row r="67" spans="1:3">
      <c r="A67" s="470" t="s">
        <v>305</v>
      </c>
      <c r="B67" s="464" t="s">
        <v>2</v>
      </c>
      <c r="C67" s="17">
        <v>1500</v>
      </c>
    </row>
    <row r="68" spans="1:3">
      <c r="A68" s="470" t="s">
        <v>306</v>
      </c>
      <c r="B68" s="464" t="s">
        <v>2</v>
      </c>
      <c r="C68" s="17">
        <v>1200</v>
      </c>
    </row>
    <row r="69" spans="1:3">
      <c r="A69" s="470" t="s">
        <v>860</v>
      </c>
      <c r="B69" s="464" t="s">
        <v>2</v>
      </c>
      <c r="C69" s="17">
        <v>800</v>
      </c>
    </row>
    <row r="70" spans="1:3">
      <c r="A70" s="458" t="s">
        <v>865</v>
      </c>
      <c r="B70" s="459" t="s">
        <v>21</v>
      </c>
      <c r="C70" s="17">
        <v>42000</v>
      </c>
    </row>
    <row r="71" spans="1:3">
      <c r="A71" s="458" t="s">
        <v>866</v>
      </c>
      <c r="B71" s="459" t="s">
        <v>21</v>
      </c>
      <c r="C71" s="17">
        <v>42000</v>
      </c>
    </row>
    <row r="72" spans="1:3">
      <c r="A72" s="458" t="s">
        <v>867</v>
      </c>
      <c r="B72" s="459" t="s">
        <v>21</v>
      </c>
      <c r="C72" s="17">
        <v>30000</v>
      </c>
    </row>
    <row r="73" spans="1:3">
      <c r="A73" s="458" t="s">
        <v>868</v>
      </c>
      <c r="B73" s="459" t="s">
        <v>705</v>
      </c>
      <c r="C73" s="17">
        <v>30000</v>
      </c>
    </row>
    <row r="74" spans="1:3">
      <c r="A74" s="458" t="s">
        <v>869</v>
      </c>
      <c r="B74" s="459" t="s">
        <v>2</v>
      </c>
      <c r="C74" s="17">
        <v>1500</v>
      </c>
    </row>
    <row r="75" spans="1:3">
      <c r="A75" s="458" t="s">
        <v>870</v>
      </c>
      <c r="B75" s="459" t="s">
        <v>2</v>
      </c>
      <c r="C75" s="473">
        <v>2000</v>
      </c>
    </row>
    <row r="76" spans="1:3">
      <c r="A76" s="458" t="s">
        <v>871</v>
      </c>
      <c r="B76" s="459" t="s">
        <v>2</v>
      </c>
      <c r="C76" s="473">
        <v>2000</v>
      </c>
    </row>
    <row r="77" spans="1:3">
      <c r="A77" s="458" t="s">
        <v>873</v>
      </c>
      <c r="B77" s="459" t="s">
        <v>13</v>
      </c>
      <c r="C77" s="17">
        <v>2700</v>
      </c>
    </row>
    <row r="78" spans="1:3">
      <c r="A78" s="458" t="s">
        <v>874</v>
      </c>
      <c r="B78" s="459" t="s">
        <v>13</v>
      </c>
      <c r="C78" s="473">
        <v>6000</v>
      </c>
    </row>
    <row r="79" spans="1:3">
      <c r="A79" s="468" t="s">
        <v>875</v>
      </c>
      <c r="B79" s="459" t="s">
        <v>2</v>
      </c>
      <c r="C79" s="17">
        <v>5000</v>
      </c>
    </row>
    <row r="80" spans="1:3">
      <c r="A80" s="468" t="s">
        <v>876</v>
      </c>
      <c r="B80" s="459" t="s">
        <v>2</v>
      </c>
      <c r="C80" s="17">
        <v>3500</v>
      </c>
    </row>
    <row r="81" spans="1:3">
      <c r="A81" s="458" t="s">
        <v>707</v>
      </c>
      <c r="B81" s="459" t="s">
        <v>708</v>
      </c>
      <c r="C81" s="17">
        <f>3000*2.2</f>
        <v>6600</v>
      </c>
    </row>
    <row r="82" spans="1:3">
      <c r="A82" s="288" t="s">
        <v>916</v>
      </c>
      <c r="B82" s="8" t="s">
        <v>13</v>
      </c>
      <c r="C82" s="17">
        <v>8000</v>
      </c>
    </row>
    <row r="83" spans="1:3">
      <c r="A83" s="288" t="s">
        <v>917</v>
      </c>
      <c r="B83" s="8" t="s">
        <v>13</v>
      </c>
      <c r="C83" s="17">
        <v>12000</v>
      </c>
    </row>
    <row r="84" spans="1:3">
      <c r="A84" s="48" t="s">
        <v>897</v>
      </c>
      <c r="B84" s="459" t="s">
        <v>12</v>
      </c>
      <c r="C84" s="17">
        <v>500000</v>
      </c>
    </row>
    <row r="85" spans="1:3">
      <c r="A85" s="465" t="s">
        <v>890</v>
      </c>
      <c r="B85" s="466" t="s">
        <v>2</v>
      </c>
      <c r="C85" s="17">
        <v>28000</v>
      </c>
    </row>
    <row r="86" spans="1:3">
      <c r="A86" s="465" t="s">
        <v>891</v>
      </c>
      <c r="B86" s="466" t="s">
        <v>892</v>
      </c>
      <c r="C86" s="17">
        <v>27000</v>
      </c>
    </row>
    <row r="87" spans="1:3">
      <c r="A87" s="12"/>
      <c r="B87" s="8"/>
      <c r="C87" s="17"/>
    </row>
    <row r="88" spans="1:3">
      <c r="A88" s="12"/>
      <c r="B88" s="8"/>
      <c r="C88" s="17"/>
    </row>
    <row r="89" spans="1:3">
      <c r="A89" s="12"/>
      <c r="B89" s="8"/>
      <c r="C89" s="17"/>
    </row>
    <row r="90" spans="1:3">
      <c r="A90" s="219"/>
      <c r="B90" s="219"/>
      <c r="C90" s="219"/>
    </row>
    <row r="92" spans="1:3" ht="13">
      <c r="A92" s="365" t="s">
        <v>22</v>
      </c>
      <c r="B92" s="366"/>
      <c r="C92" s="367" t="s">
        <v>18</v>
      </c>
    </row>
    <row r="93" spans="1:3">
      <c r="A93" s="12" t="s">
        <v>391</v>
      </c>
      <c r="B93" s="8" t="s">
        <v>2</v>
      </c>
      <c r="C93">
        <v>25000</v>
      </c>
    </row>
    <row r="94" spans="1:3">
      <c r="A94" s="12" t="s">
        <v>394</v>
      </c>
      <c r="B94" s="8" t="s">
        <v>2</v>
      </c>
      <c r="C94">
        <v>25000</v>
      </c>
    </row>
    <row r="95" spans="1:3">
      <c r="A95" s="12" t="s">
        <v>396</v>
      </c>
      <c r="B95" s="8" t="s">
        <v>2</v>
      </c>
      <c r="C95">
        <v>25000</v>
      </c>
    </row>
    <row r="96" spans="1:3">
      <c r="A96" s="351" t="s">
        <v>390</v>
      </c>
      <c r="B96" s="8" t="s">
        <v>2</v>
      </c>
      <c r="C96">
        <v>20000</v>
      </c>
    </row>
    <row r="97" spans="1:3">
      <c r="A97" s="94" t="s">
        <v>395</v>
      </c>
      <c r="B97" s="8" t="s">
        <v>2</v>
      </c>
      <c r="C97">
        <v>25000</v>
      </c>
    </row>
    <row r="98" spans="1:3">
      <c r="A98" s="12" t="s">
        <v>628</v>
      </c>
      <c r="B98" s="6" t="s">
        <v>21</v>
      </c>
      <c r="C98">
        <v>2000</v>
      </c>
    </row>
    <row r="99" spans="1:3">
      <c r="A99" s="461" t="s">
        <v>841</v>
      </c>
      <c r="B99" s="460" t="s">
        <v>21</v>
      </c>
      <c r="C99">
        <v>1000</v>
      </c>
    </row>
    <row r="100" spans="1:3">
      <c r="A100" s="461" t="s">
        <v>856</v>
      </c>
      <c r="B100" s="460" t="s">
        <v>21</v>
      </c>
      <c r="C100">
        <v>400</v>
      </c>
    </row>
    <row r="101" spans="1:3">
      <c r="A101" s="467" t="s">
        <v>861</v>
      </c>
      <c r="B101" s="459" t="s">
        <v>21</v>
      </c>
      <c r="C101">
        <v>600</v>
      </c>
    </row>
    <row r="102" spans="1:3">
      <c r="A102" s="467" t="s">
        <v>872</v>
      </c>
      <c r="B102" s="459" t="s">
        <v>21</v>
      </c>
      <c r="C102">
        <v>2500</v>
      </c>
    </row>
    <row r="103" spans="1:3">
      <c r="A103" s="467" t="s">
        <v>878</v>
      </c>
      <c r="B103" s="459" t="s">
        <v>21</v>
      </c>
      <c r="C103">
        <v>850</v>
      </c>
    </row>
    <row r="104" spans="1:3">
      <c r="A104" s="472" t="s">
        <v>880</v>
      </c>
      <c r="B104" s="466" t="s">
        <v>12</v>
      </c>
      <c r="C104">
        <v>150000</v>
      </c>
    </row>
    <row r="105" spans="1:3">
      <c r="A105" s="472" t="s">
        <v>893</v>
      </c>
      <c r="B105" s="471" t="str">
        <f>B99</f>
        <v>Fs</v>
      </c>
      <c r="C105">
        <v>3000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D4FD8-EFA9-4C6D-9EB9-6A0B22986758}">
  <dimension ref="A1:D9"/>
  <sheetViews>
    <sheetView zoomScale="120" zoomScaleNormal="120" workbookViewId="0">
      <selection activeCell="B13" sqref="B13"/>
    </sheetView>
  </sheetViews>
  <sheetFormatPr defaultRowHeight="12.5"/>
  <cols>
    <col min="2" max="2" width="36.7265625" bestFit="1" customWidth="1"/>
    <col min="3" max="3" width="17.54296875" bestFit="1" customWidth="1"/>
  </cols>
  <sheetData>
    <row r="1" spans="1:4" ht="13">
      <c r="A1" s="485" t="str">
        <f>'Detail-Skeleton'!A1</f>
        <v>Ko Aung Ko Myo (Aung Myittar (B) 11 Street)</v>
      </c>
      <c r="B1" s="485"/>
      <c r="C1" s="485"/>
      <c r="D1" s="485"/>
    </row>
    <row r="2" spans="1:4" ht="13">
      <c r="A2" s="485" t="str">
        <f>'Detail-Skeleton'!A2</f>
        <v>Two Storeyed RCC Building (25' x 35' x (13+12)')</v>
      </c>
      <c r="B2" s="485"/>
      <c r="C2" s="485"/>
      <c r="D2" s="485"/>
    </row>
    <row r="3" spans="1:4" ht="13">
      <c r="A3" s="486" t="s">
        <v>920</v>
      </c>
      <c r="B3" s="486"/>
      <c r="C3" s="486"/>
      <c r="D3" s="486"/>
    </row>
    <row r="4" spans="1:4" ht="15">
      <c r="A4" s="342" t="s">
        <v>0</v>
      </c>
      <c r="B4" s="342" t="s">
        <v>47</v>
      </c>
      <c r="C4" s="343" t="s">
        <v>20</v>
      </c>
      <c r="D4" s="343" t="s">
        <v>641</v>
      </c>
    </row>
    <row r="5" spans="1:4" ht="15.5">
      <c r="A5" s="275">
        <v>1</v>
      </c>
      <c r="B5" s="276" t="s">
        <v>921</v>
      </c>
      <c r="C5" s="280">
        <f>'SUM(Structure)'!C14</f>
        <v>179363354.08000001</v>
      </c>
      <c r="D5" s="132"/>
    </row>
    <row r="6" spans="1:4" ht="15.5">
      <c r="A6" s="277">
        <v>2</v>
      </c>
      <c r="B6" s="278" t="s">
        <v>922</v>
      </c>
      <c r="C6" s="280">
        <f>'SUM(Finishing)'!C13</f>
        <v>88916041.180000007</v>
      </c>
      <c r="D6" s="132"/>
    </row>
    <row r="7" spans="1:4" ht="15.5">
      <c r="A7" s="279"/>
      <c r="B7" s="279"/>
      <c r="C7" s="280"/>
      <c r="D7" s="282"/>
    </row>
    <row r="8" spans="1:4" ht="27" customHeight="1">
      <c r="A8" s="487" t="s">
        <v>48</v>
      </c>
      <c r="B8" s="488"/>
      <c r="C8" s="344">
        <f>SUM(C5:C7)</f>
        <v>268279395.25999999</v>
      </c>
      <c r="D8" s="344"/>
    </row>
    <row r="9" spans="1:4" ht="15">
      <c r="B9" s="483" t="s">
        <v>402</v>
      </c>
      <c r="C9" s="430">
        <f>ROUND(C8,-4)</f>
        <v>268280000</v>
      </c>
    </row>
  </sheetData>
  <mergeCells count="4">
    <mergeCell ref="A1:D1"/>
    <mergeCell ref="A2:D2"/>
    <mergeCell ref="A3:D3"/>
    <mergeCell ref="A8:B8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4354E-7203-44EE-B391-6D6E3CBBB5C7}">
  <sheetPr codeName="Sheet4">
    <tabColor rgb="FFFF0000"/>
  </sheetPr>
  <dimension ref="A1:G144"/>
  <sheetViews>
    <sheetView tabSelected="1" zoomScale="130" zoomScaleNormal="130" workbookViewId="0">
      <selection activeCell="E5" sqref="E5"/>
    </sheetView>
  </sheetViews>
  <sheetFormatPr defaultColWidth="9.1796875" defaultRowHeight="14"/>
  <cols>
    <col min="1" max="1" width="5.54296875" style="135" bestFit="1" customWidth="1"/>
    <col min="2" max="2" width="34.453125" style="135" bestFit="1" customWidth="1"/>
    <col min="3" max="3" width="17.7265625" style="135" bestFit="1" customWidth="1"/>
    <col min="4" max="4" width="17.7265625" style="136" bestFit="1" customWidth="1"/>
    <col min="5" max="5" width="29.453125" style="135" bestFit="1" customWidth="1"/>
    <col min="6" max="6" width="12.1796875" style="137" bestFit="1" customWidth="1"/>
    <col min="7" max="7" width="14.54296875" style="137" bestFit="1" customWidth="1"/>
    <col min="8" max="8" width="17.7265625" style="135" bestFit="1" customWidth="1"/>
    <col min="9" max="16384" width="9.1796875" style="135"/>
  </cols>
  <sheetData>
    <row r="1" spans="1:7">
      <c r="A1" s="485" t="str">
        <f>'Detail-Skeleton'!A1</f>
        <v>Ko Aung Ko Myo (Aung Myittar (B) 11 Street)</v>
      </c>
      <c r="B1" s="485"/>
      <c r="C1" s="485"/>
      <c r="D1" s="485"/>
    </row>
    <row r="2" spans="1:7" s="25" customFormat="1">
      <c r="A2" s="485" t="str">
        <f>'Detail-Skeleton'!A2</f>
        <v>Two Storeyed RCC Building (25' x 35' x (13+12)')</v>
      </c>
      <c r="B2" s="485"/>
      <c r="C2" s="485"/>
      <c r="D2" s="485"/>
      <c r="F2" s="134"/>
      <c r="G2" s="29"/>
    </row>
    <row r="3" spans="1:7" s="25" customFormat="1">
      <c r="A3" s="486" t="s">
        <v>403</v>
      </c>
      <c r="B3" s="486"/>
      <c r="C3" s="486"/>
      <c r="D3" s="486"/>
      <c r="F3" s="284"/>
      <c r="G3" s="133"/>
    </row>
    <row r="4" spans="1:7" s="25" customFormat="1" ht="15">
      <c r="A4" s="342" t="s">
        <v>0</v>
      </c>
      <c r="B4" s="342" t="s">
        <v>47</v>
      </c>
      <c r="C4" s="343" t="s">
        <v>20</v>
      </c>
      <c r="D4" s="343" t="s">
        <v>641</v>
      </c>
      <c r="F4" s="285"/>
      <c r="G4" s="46"/>
    </row>
    <row r="5" spans="1:7" s="25" customFormat="1" ht="15.5">
      <c r="A5" s="275">
        <v>1</v>
      </c>
      <c r="B5" s="276" t="s">
        <v>400</v>
      </c>
      <c r="C5" s="280">
        <f>BQ!G555</f>
        <v>104851344.62</v>
      </c>
      <c r="D5" s="132"/>
      <c r="E5" s="484"/>
      <c r="F5" s="285"/>
      <c r="G5" s="46"/>
    </row>
    <row r="6" spans="1:7" s="25" customFormat="1" ht="15.5">
      <c r="A6" s="277">
        <v>2</v>
      </c>
      <c r="B6" s="278" t="s">
        <v>401</v>
      </c>
      <c r="C6" s="280">
        <f>BQ!G563</f>
        <v>45762500</v>
      </c>
      <c r="D6" s="132"/>
      <c r="F6" s="285"/>
      <c r="G6" s="46"/>
    </row>
    <row r="7" spans="1:7" s="25" customFormat="1" ht="15.5">
      <c r="A7" s="279"/>
      <c r="B7" s="279"/>
      <c r="C7" s="280"/>
      <c r="D7" s="282"/>
      <c r="F7" s="285"/>
      <c r="G7" s="46"/>
    </row>
    <row r="8" spans="1:7" s="25" customFormat="1" ht="15">
      <c r="A8" s="487" t="s">
        <v>48</v>
      </c>
      <c r="B8" s="488"/>
      <c r="C8" s="344">
        <f>SUM(C5:C7)</f>
        <v>150613844.62</v>
      </c>
      <c r="D8" s="344"/>
      <c r="F8" s="285"/>
      <c r="G8" s="46"/>
    </row>
    <row r="9" spans="1:7" s="25" customFormat="1" ht="15.5">
      <c r="A9" s="327"/>
      <c r="B9" s="328" t="s">
        <v>643</v>
      </c>
      <c r="C9" s="280">
        <f>C5*0.03</f>
        <v>3145540.34</v>
      </c>
      <c r="D9" s="280"/>
      <c r="F9" s="285"/>
      <c r="G9" s="46"/>
    </row>
    <row r="10" spans="1:7" s="25" customFormat="1" ht="15.5">
      <c r="A10" s="327"/>
      <c r="B10" s="328" t="s">
        <v>642</v>
      </c>
      <c r="C10" s="280">
        <f>C8*0.05</f>
        <v>7530692.2300000004</v>
      </c>
      <c r="D10" s="280"/>
      <c r="F10" s="285"/>
      <c r="G10" s="46"/>
    </row>
    <row r="11" spans="1:7" s="25" customFormat="1" ht="15.5">
      <c r="A11" s="327"/>
      <c r="B11" s="341" t="s">
        <v>644</v>
      </c>
      <c r="C11" s="280">
        <f>C8*0.02</f>
        <v>3012276.89</v>
      </c>
      <c r="D11" s="280"/>
      <c r="F11" s="285"/>
      <c r="G11" s="46"/>
    </row>
    <row r="12" spans="1:7" s="25" customFormat="1" ht="15.5">
      <c r="A12" s="490" t="s">
        <v>645</v>
      </c>
      <c r="B12" s="491"/>
      <c r="C12" s="280">
        <f>ROUND(C8*0.1,-3)</f>
        <v>15061000</v>
      </c>
      <c r="D12" s="280"/>
      <c r="F12" s="285"/>
      <c r="G12" s="46"/>
    </row>
    <row r="13" spans="1:7" s="25" customFormat="1" ht="15.5">
      <c r="A13" s="327"/>
      <c r="B13" s="328" t="s">
        <v>655</v>
      </c>
      <c r="C13" s="280">
        <f>C8*0.15</f>
        <v>22592076.690000001</v>
      </c>
      <c r="D13" s="280"/>
      <c r="F13" s="285"/>
      <c r="G13" s="46"/>
    </row>
    <row r="14" spans="1:7" s="25" customFormat="1" ht="15">
      <c r="A14" s="492" t="s">
        <v>48</v>
      </c>
      <c r="B14" s="493"/>
      <c r="C14" s="283">
        <f>SUM(C8:C12)</f>
        <v>179363354.08000001</v>
      </c>
      <c r="D14" s="283"/>
      <c r="E14" s="55"/>
      <c r="F14" s="285"/>
      <c r="G14" s="46"/>
    </row>
    <row r="15" spans="1:7" s="25" customFormat="1" ht="15.5">
      <c r="A15" s="489" t="s">
        <v>402</v>
      </c>
      <c r="B15" s="489"/>
      <c r="C15" s="281"/>
      <c r="D15" s="46"/>
      <c r="E15" s="55"/>
      <c r="F15" s="286"/>
      <c r="G15" s="46"/>
    </row>
    <row r="16" spans="1:7" s="25" customFormat="1" ht="15.5">
      <c r="A16" s="358"/>
      <c r="B16" s="358"/>
      <c r="C16" s="281"/>
      <c r="D16" s="46"/>
      <c r="E16" s="360"/>
      <c r="F16" s="286"/>
      <c r="G16" s="46"/>
    </row>
    <row r="17" spans="1:7" s="25" customFormat="1" ht="15.5">
      <c r="A17" s="358"/>
      <c r="B17" s="358"/>
      <c r="C17" s="281"/>
      <c r="D17" s="46"/>
      <c r="E17" s="55"/>
      <c r="F17" s="286"/>
      <c r="G17" s="46"/>
    </row>
    <row r="18" spans="1:7" s="25" customFormat="1" ht="15.5">
      <c r="A18" s="358"/>
      <c r="B18" s="358"/>
      <c r="C18" s="281"/>
      <c r="D18" s="46"/>
      <c r="E18" s="55"/>
      <c r="F18" s="286"/>
      <c r="G18" s="46"/>
    </row>
    <row r="19" spans="1:7" s="25" customFormat="1" ht="30" customHeight="1">
      <c r="D19" s="46"/>
      <c r="F19" s="29"/>
      <c r="G19" s="29"/>
    </row>
    <row r="20" spans="1:7" s="25" customFormat="1" ht="30" customHeight="1">
      <c r="D20" s="46"/>
      <c r="F20" s="29"/>
      <c r="G20" s="29"/>
    </row>
    <row r="21" spans="1:7" s="25" customFormat="1" ht="30" customHeight="1">
      <c r="D21" s="46"/>
      <c r="F21" s="29"/>
      <c r="G21" s="29"/>
    </row>
    <row r="22" spans="1:7" s="25" customFormat="1" ht="30" customHeight="1">
      <c r="D22" s="46"/>
      <c r="F22" s="29"/>
      <c r="G22" s="29"/>
    </row>
    <row r="23" spans="1:7" s="25" customFormat="1" ht="30" customHeight="1">
      <c r="D23" s="46"/>
      <c r="F23" s="29"/>
      <c r="G23" s="29"/>
    </row>
    <row r="24" spans="1:7" s="25" customFormat="1" ht="30" customHeight="1">
      <c r="D24" s="46"/>
      <c r="F24" s="29"/>
      <c r="G24" s="29"/>
    </row>
    <row r="25" spans="1:7" s="25" customFormat="1" ht="30" customHeight="1">
      <c r="D25" s="46"/>
      <c r="F25" s="29"/>
      <c r="G25" s="29"/>
    </row>
    <row r="26" spans="1:7" s="25" customFormat="1" ht="30" customHeight="1">
      <c r="D26" s="46"/>
      <c r="F26" s="29"/>
      <c r="G26" s="29"/>
    </row>
    <row r="27" spans="1:7" s="25" customFormat="1" ht="30" customHeight="1">
      <c r="D27" s="46"/>
      <c r="F27" s="29"/>
      <c r="G27" s="29"/>
    </row>
    <row r="28" spans="1:7" s="25" customFormat="1" ht="30" customHeight="1">
      <c r="D28" s="46"/>
      <c r="F28" s="29"/>
      <c r="G28" s="29"/>
    </row>
    <row r="29" spans="1:7" s="25" customFormat="1" ht="30" customHeight="1">
      <c r="D29" s="46"/>
      <c r="F29" s="29"/>
      <c r="G29" s="29"/>
    </row>
    <row r="30" spans="1:7" s="25" customFormat="1" ht="30" customHeight="1">
      <c r="D30" s="46"/>
      <c r="F30" s="29"/>
      <c r="G30" s="29"/>
    </row>
    <row r="31" spans="1:7" s="25" customFormat="1" ht="30" customHeight="1">
      <c r="D31" s="46"/>
      <c r="F31" s="29"/>
      <c r="G31" s="29"/>
    </row>
    <row r="32" spans="1:7" s="25" customFormat="1" ht="30" customHeight="1">
      <c r="D32" s="46"/>
      <c r="F32" s="29"/>
      <c r="G32" s="29"/>
    </row>
    <row r="33" spans="4:7" s="25" customFormat="1" ht="30" customHeight="1">
      <c r="D33" s="46"/>
      <c r="F33" s="29"/>
      <c r="G33" s="29"/>
    </row>
    <row r="34" spans="4:7" s="25" customFormat="1" ht="30" customHeight="1">
      <c r="D34" s="46"/>
      <c r="F34" s="29"/>
      <c r="G34" s="29"/>
    </row>
    <row r="35" spans="4:7" s="25" customFormat="1" ht="30" customHeight="1">
      <c r="D35" s="46"/>
      <c r="F35" s="29"/>
      <c r="G35" s="29"/>
    </row>
    <row r="36" spans="4:7" s="25" customFormat="1" ht="30" customHeight="1">
      <c r="D36" s="46"/>
      <c r="F36" s="29"/>
      <c r="G36" s="29"/>
    </row>
    <row r="37" spans="4:7" s="25" customFormat="1" ht="30" customHeight="1">
      <c r="D37" s="46"/>
      <c r="F37" s="29"/>
      <c r="G37" s="29"/>
    </row>
    <row r="38" spans="4:7" s="25" customFormat="1" ht="30" customHeight="1">
      <c r="D38" s="46"/>
      <c r="F38" s="29"/>
      <c r="G38" s="29"/>
    </row>
    <row r="39" spans="4:7" s="25" customFormat="1" ht="30" customHeight="1">
      <c r="D39" s="46"/>
      <c r="F39" s="29"/>
      <c r="G39" s="29"/>
    </row>
    <row r="40" spans="4:7" s="25" customFormat="1" ht="30" customHeight="1">
      <c r="D40" s="46"/>
      <c r="F40" s="29"/>
      <c r="G40" s="29"/>
    </row>
    <row r="41" spans="4:7" s="25" customFormat="1" ht="30" customHeight="1">
      <c r="D41" s="46"/>
      <c r="F41" s="29"/>
      <c r="G41" s="29"/>
    </row>
    <row r="42" spans="4:7" s="25" customFormat="1" ht="30" customHeight="1">
      <c r="D42" s="46"/>
      <c r="F42" s="29"/>
      <c r="G42" s="29"/>
    </row>
    <row r="43" spans="4:7" s="25" customFormat="1" ht="30" customHeight="1">
      <c r="D43" s="46"/>
      <c r="F43" s="29"/>
      <c r="G43" s="29"/>
    </row>
    <row r="44" spans="4:7" s="25" customFormat="1" ht="30" customHeight="1">
      <c r="D44" s="46"/>
      <c r="F44" s="29"/>
      <c r="G44" s="29"/>
    </row>
    <row r="45" spans="4:7" s="25" customFormat="1" ht="30" customHeight="1">
      <c r="D45" s="46"/>
      <c r="F45" s="29"/>
      <c r="G45" s="29"/>
    </row>
    <row r="46" spans="4:7" s="25" customFormat="1" ht="30" customHeight="1">
      <c r="D46" s="46"/>
      <c r="F46" s="29"/>
      <c r="G46" s="29"/>
    </row>
    <row r="47" spans="4:7" s="25" customFormat="1" ht="30" customHeight="1">
      <c r="D47" s="46"/>
      <c r="F47" s="29"/>
      <c r="G47" s="29"/>
    </row>
    <row r="48" spans="4:7" s="25" customFormat="1" ht="30" customHeight="1">
      <c r="D48" s="46"/>
      <c r="F48" s="29"/>
      <c r="G48" s="29"/>
    </row>
    <row r="49" spans="4:7" s="25" customFormat="1" ht="30" customHeight="1">
      <c r="D49" s="46"/>
      <c r="F49" s="29"/>
      <c r="G49" s="29"/>
    </row>
    <row r="50" spans="4:7" s="25" customFormat="1" ht="30" customHeight="1">
      <c r="D50" s="46"/>
      <c r="F50" s="29"/>
      <c r="G50" s="29"/>
    </row>
    <row r="51" spans="4:7" s="25" customFormat="1" ht="30" customHeight="1">
      <c r="D51" s="46"/>
      <c r="F51" s="29"/>
      <c r="G51" s="29"/>
    </row>
    <row r="52" spans="4:7" s="25" customFormat="1" ht="30" customHeight="1">
      <c r="D52" s="46"/>
      <c r="F52" s="29"/>
      <c r="G52" s="29"/>
    </row>
    <row r="53" spans="4:7" s="25" customFormat="1" ht="30" customHeight="1">
      <c r="D53" s="46"/>
      <c r="F53" s="29"/>
      <c r="G53" s="29"/>
    </row>
    <row r="54" spans="4:7" s="25" customFormat="1" ht="30" customHeight="1">
      <c r="D54" s="46"/>
      <c r="F54" s="29"/>
      <c r="G54" s="29"/>
    </row>
    <row r="55" spans="4:7" s="25" customFormat="1" ht="30" customHeight="1">
      <c r="D55" s="46"/>
      <c r="F55" s="29"/>
      <c r="G55" s="29"/>
    </row>
    <row r="56" spans="4:7" s="25" customFormat="1" ht="30" customHeight="1">
      <c r="D56" s="46"/>
      <c r="F56" s="29"/>
      <c r="G56" s="29"/>
    </row>
    <row r="57" spans="4:7" s="25" customFormat="1" ht="30" customHeight="1">
      <c r="D57" s="46"/>
      <c r="F57" s="29"/>
      <c r="G57" s="29"/>
    </row>
    <row r="58" spans="4:7" s="25" customFormat="1" ht="30" customHeight="1">
      <c r="D58" s="46"/>
      <c r="F58" s="29"/>
      <c r="G58" s="29"/>
    </row>
    <row r="59" spans="4:7" s="25" customFormat="1" ht="30" customHeight="1">
      <c r="D59" s="46"/>
      <c r="F59" s="29"/>
      <c r="G59" s="29"/>
    </row>
    <row r="60" spans="4:7" s="25" customFormat="1" ht="30" customHeight="1">
      <c r="D60" s="46"/>
      <c r="F60" s="29"/>
      <c r="G60" s="29"/>
    </row>
    <row r="61" spans="4:7" s="25" customFormat="1" ht="30" customHeight="1">
      <c r="D61" s="46"/>
      <c r="F61" s="29"/>
      <c r="G61" s="29"/>
    </row>
    <row r="62" spans="4:7" s="25" customFormat="1" ht="30" customHeight="1">
      <c r="D62" s="46"/>
      <c r="F62" s="29"/>
      <c r="G62" s="29"/>
    </row>
    <row r="63" spans="4:7" s="25" customFormat="1" ht="30" customHeight="1">
      <c r="D63" s="46"/>
      <c r="F63" s="29"/>
      <c r="G63" s="29"/>
    </row>
    <row r="64" spans="4:7" s="25" customFormat="1" ht="30" customHeight="1">
      <c r="D64" s="46"/>
      <c r="F64" s="29"/>
      <c r="G64" s="29"/>
    </row>
    <row r="65" spans="4:7" s="25" customFormat="1" ht="30" customHeight="1">
      <c r="D65" s="46"/>
      <c r="F65" s="29"/>
      <c r="G65" s="29"/>
    </row>
    <row r="66" spans="4:7" s="25" customFormat="1" ht="30" customHeight="1">
      <c r="D66" s="46"/>
      <c r="F66" s="29"/>
      <c r="G66" s="29"/>
    </row>
    <row r="67" spans="4:7" s="25" customFormat="1" ht="30" customHeight="1">
      <c r="D67" s="46"/>
      <c r="F67" s="29"/>
      <c r="G67" s="29"/>
    </row>
    <row r="68" spans="4:7" s="25" customFormat="1" ht="30" customHeight="1">
      <c r="D68" s="46"/>
      <c r="F68" s="29"/>
      <c r="G68" s="29"/>
    </row>
    <row r="69" spans="4:7" s="25" customFormat="1" ht="30" customHeight="1">
      <c r="D69" s="46"/>
      <c r="F69" s="29"/>
      <c r="G69" s="29"/>
    </row>
    <row r="70" spans="4:7" s="25" customFormat="1" ht="30" customHeight="1">
      <c r="D70" s="46"/>
      <c r="F70" s="29"/>
      <c r="G70" s="29"/>
    </row>
    <row r="71" spans="4:7" s="25" customFormat="1" ht="30" customHeight="1">
      <c r="D71" s="46"/>
      <c r="F71" s="29"/>
      <c r="G71" s="29"/>
    </row>
    <row r="72" spans="4:7" s="25" customFormat="1" ht="30" customHeight="1">
      <c r="D72" s="46"/>
      <c r="F72" s="29"/>
      <c r="G72" s="29"/>
    </row>
    <row r="73" spans="4:7" s="25" customFormat="1" ht="30" customHeight="1">
      <c r="D73" s="46"/>
      <c r="F73" s="29"/>
      <c r="G73" s="29"/>
    </row>
    <row r="74" spans="4:7" s="25" customFormat="1" ht="30" customHeight="1">
      <c r="D74" s="46"/>
      <c r="F74" s="29"/>
      <c r="G74" s="29"/>
    </row>
    <row r="75" spans="4:7" s="25" customFormat="1" ht="30" customHeight="1">
      <c r="D75" s="46"/>
      <c r="F75" s="29"/>
      <c r="G75" s="29"/>
    </row>
    <row r="76" spans="4:7" s="25" customFormat="1" ht="30" customHeight="1">
      <c r="D76" s="46"/>
      <c r="F76" s="29"/>
      <c r="G76" s="29"/>
    </row>
    <row r="77" spans="4:7" s="25" customFormat="1" ht="30" customHeight="1">
      <c r="D77" s="46"/>
      <c r="F77" s="29"/>
      <c r="G77" s="29"/>
    </row>
    <row r="78" spans="4:7" s="25" customFormat="1" ht="30" customHeight="1">
      <c r="D78" s="46"/>
      <c r="F78" s="29"/>
      <c r="G78" s="29"/>
    </row>
    <row r="79" spans="4:7" s="25" customFormat="1" ht="30" customHeight="1">
      <c r="D79" s="46"/>
      <c r="F79" s="29"/>
      <c r="G79" s="29"/>
    </row>
    <row r="80" spans="4:7" s="25" customFormat="1" ht="30" customHeight="1">
      <c r="D80" s="46"/>
      <c r="F80" s="29"/>
      <c r="G80" s="29"/>
    </row>
    <row r="81" spans="4:7" s="25" customFormat="1" ht="30" customHeight="1">
      <c r="D81" s="46"/>
      <c r="F81" s="29"/>
      <c r="G81" s="29"/>
    </row>
    <row r="82" spans="4:7" s="25" customFormat="1" ht="30" customHeight="1">
      <c r="D82" s="46"/>
      <c r="F82" s="29"/>
      <c r="G82" s="29"/>
    </row>
    <row r="83" spans="4:7" s="25" customFormat="1" ht="30" customHeight="1">
      <c r="D83" s="46"/>
      <c r="F83" s="29"/>
      <c r="G83" s="29"/>
    </row>
    <row r="84" spans="4:7" s="25" customFormat="1" ht="30" customHeight="1">
      <c r="D84" s="46"/>
      <c r="F84" s="29"/>
      <c r="G84" s="29"/>
    </row>
    <row r="85" spans="4:7" s="25" customFormat="1" ht="30" customHeight="1">
      <c r="D85" s="46"/>
      <c r="F85" s="29"/>
      <c r="G85" s="29"/>
    </row>
    <row r="86" spans="4:7" s="25" customFormat="1" ht="30" customHeight="1">
      <c r="D86" s="46"/>
      <c r="F86" s="29"/>
      <c r="G86" s="29"/>
    </row>
    <row r="87" spans="4:7" s="25" customFormat="1" ht="30" customHeight="1">
      <c r="D87" s="46"/>
      <c r="F87" s="29"/>
      <c r="G87" s="29"/>
    </row>
    <row r="88" spans="4:7" s="25" customFormat="1" ht="30" customHeight="1">
      <c r="D88" s="46"/>
      <c r="F88" s="29"/>
      <c r="G88" s="29"/>
    </row>
    <row r="89" spans="4:7" s="25" customFormat="1" ht="30" customHeight="1">
      <c r="D89" s="46"/>
      <c r="F89" s="29"/>
      <c r="G89" s="29"/>
    </row>
    <row r="90" spans="4:7" s="25" customFormat="1" ht="30" customHeight="1">
      <c r="D90" s="46"/>
      <c r="F90" s="29"/>
      <c r="G90" s="29"/>
    </row>
    <row r="91" spans="4:7" s="25" customFormat="1" ht="30" customHeight="1">
      <c r="D91" s="46"/>
      <c r="F91" s="29"/>
      <c r="G91" s="29"/>
    </row>
    <row r="92" spans="4:7" s="25" customFormat="1" ht="30" customHeight="1">
      <c r="D92" s="46"/>
      <c r="F92" s="29"/>
      <c r="G92" s="29"/>
    </row>
    <row r="93" spans="4:7" s="25" customFormat="1" ht="30" customHeight="1">
      <c r="D93" s="46"/>
      <c r="F93" s="29"/>
      <c r="G93" s="29"/>
    </row>
    <row r="94" spans="4:7" s="25" customFormat="1" ht="30" customHeight="1">
      <c r="D94" s="46"/>
      <c r="F94" s="29"/>
      <c r="G94" s="29"/>
    </row>
    <row r="95" spans="4:7" s="25" customFormat="1" ht="30" customHeight="1">
      <c r="D95" s="46"/>
      <c r="F95" s="29"/>
      <c r="G95" s="29"/>
    </row>
    <row r="96" spans="4:7" s="25" customFormat="1" ht="30" customHeight="1">
      <c r="D96" s="46"/>
      <c r="F96" s="29"/>
      <c r="G96" s="29"/>
    </row>
    <row r="97" spans="4:7" s="25" customFormat="1" ht="30" customHeight="1">
      <c r="D97" s="46"/>
      <c r="F97" s="29"/>
      <c r="G97" s="29"/>
    </row>
    <row r="98" spans="4:7" s="25" customFormat="1" ht="30" customHeight="1">
      <c r="D98" s="46"/>
      <c r="F98" s="29"/>
      <c r="G98" s="29"/>
    </row>
    <row r="99" spans="4:7" s="25" customFormat="1" ht="30" customHeight="1">
      <c r="D99" s="46"/>
      <c r="F99" s="29"/>
      <c r="G99" s="29"/>
    </row>
    <row r="100" spans="4:7" s="25" customFormat="1" ht="30" customHeight="1">
      <c r="D100" s="46"/>
      <c r="F100" s="29"/>
      <c r="G100" s="29"/>
    </row>
    <row r="101" spans="4:7" s="25" customFormat="1" ht="30" customHeight="1">
      <c r="D101" s="46"/>
      <c r="F101" s="29"/>
      <c r="G101" s="29"/>
    </row>
    <row r="102" spans="4:7" s="25" customFormat="1" ht="30" customHeight="1">
      <c r="D102" s="46"/>
      <c r="F102" s="29"/>
      <c r="G102" s="29"/>
    </row>
    <row r="103" spans="4:7" s="25" customFormat="1" ht="30" customHeight="1">
      <c r="D103" s="46"/>
      <c r="F103" s="29"/>
      <c r="G103" s="29"/>
    </row>
    <row r="104" spans="4:7" s="25" customFormat="1" ht="30" customHeight="1">
      <c r="D104" s="46"/>
      <c r="F104" s="29"/>
      <c r="G104" s="29"/>
    </row>
    <row r="105" spans="4:7" s="25" customFormat="1" ht="30" customHeight="1">
      <c r="D105" s="46"/>
      <c r="F105" s="29"/>
      <c r="G105" s="29"/>
    </row>
    <row r="106" spans="4:7" s="25" customFormat="1" ht="30" customHeight="1">
      <c r="D106" s="46"/>
      <c r="F106" s="29"/>
      <c r="G106" s="29"/>
    </row>
    <row r="107" spans="4:7" s="25" customFormat="1" ht="30" customHeight="1">
      <c r="D107" s="46"/>
      <c r="F107" s="29"/>
      <c r="G107" s="29"/>
    </row>
    <row r="108" spans="4:7" s="25" customFormat="1" ht="30" customHeight="1">
      <c r="D108" s="46"/>
      <c r="F108" s="29"/>
      <c r="G108" s="29"/>
    </row>
    <row r="109" spans="4:7" s="25" customFormat="1" ht="30" customHeight="1">
      <c r="D109" s="46"/>
      <c r="F109" s="29"/>
      <c r="G109" s="29"/>
    </row>
    <row r="110" spans="4:7" s="25" customFormat="1" ht="30" customHeight="1">
      <c r="D110" s="46"/>
      <c r="F110" s="29"/>
      <c r="G110" s="29"/>
    </row>
    <row r="111" spans="4:7" s="25" customFormat="1" ht="30" customHeight="1">
      <c r="D111" s="46"/>
      <c r="F111" s="29"/>
      <c r="G111" s="29"/>
    </row>
    <row r="112" spans="4:7" s="25" customFormat="1" ht="30" customHeight="1">
      <c r="D112" s="46"/>
      <c r="F112" s="29"/>
      <c r="G112" s="29"/>
    </row>
    <row r="113" spans="4:7" s="25" customFormat="1" ht="30" customHeight="1">
      <c r="D113" s="46"/>
      <c r="F113" s="29"/>
      <c r="G113" s="29"/>
    </row>
    <row r="114" spans="4:7" s="25" customFormat="1" ht="30" customHeight="1">
      <c r="D114" s="46"/>
      <c r="F114" s="29"/>
      <c r="G114" s="29"/>
    </row>
    <row r="115" spans="4:7" s="25" customFormat="1" ht="30" customHeight="1">
      <c r="D115" s="46"/>
      <c r="F115" s="29"/>
      <c r="G115" s="29"/>
    </row>
    <row r="116" spans="4:7" s="25" customFormat="1" ht="30" customHeight="1">
      <c r="D116" s="46"/>
      <c r="F116" s="29"/>
      <c r="G116" s="29"/>
    </row>
    <row r="117" spans="4:7" s="25" customFormat="1" ht="30" customHeight="1">
      <c r="D117" s="46"/>
      <c r="F117" s="29"/>
      <c r="G117" s="29"/>
    </row>
    <row r="118" spans="4:7" s="25" customFormat="1" ht="30" customHeight="1">
      <c r="D118" s="46"/>
      <c r="F118" s="29"/>
      <c r="G118" s="29"/>
    </row>
    <row r="119" spans="4:7" s="25" customFormat="1" ht="30" customHeight="1">
      <c r="D119" s="46"/>
      <c r="F119" s="29"/>
      <c r="G119" s="29"/>
    </row>
    <row r="120" spans="4:7" s="25" customFormat="1" ht="30" customHeight="1">
      <c r="D120" s="46"/>
      <c r="F120" s="29"/>
      <c r="G120" s="29"/>
    </row>
    <row r="121" spans="4:7" s="25" customFormat="1" ht="30" customHeight="1">
      <c r="D121" s="46"/>
      <c r="F121" s="29"/>
      <c r="G121" s="29"/>
    </row>
    <row r="122" spans="4:7" s="25" customFormat="1" ht="30" customHeight="1">
      <c r="D122" s="46"/>
      <c r="F122" s="29"/>
      <c r="G122" s="29"/>
    </row>
    <row r="123" spans="4:7" s="25" customFormat="1" ht="30" customHeight="1">
      <c r="D123" s="46"/>
      <c r="F123" s="29"/>
      <c r="G123" s="29"/>
    </row>
    <row r="124" spans="4:7" s="25" customFormat="1" ht="30" customHeight="1">
      <c r="D124" s="46"/>
      <c r="F124" s="29"/>
      <c r="G124" s="29"/>
    </row>
    <row r="125" spans="4:7" s="25" customFormat="1" ht="30" customHeight="1">
      <c r="D125" s="46"/>
      <c r="F125" s="29"/>
      <c r="G125" s="29"/>
    </row>
    <row r="126" spans="4:7" s="25" customFormat="1" ht="30" customHeight="1">
      <c r="D126" s="46"/>
      <c r="F126" s="29"/>
      <c r="G126" s="29"/>
    </row>
    <row r="127" spans="4:7" s="25" customFormat="1" ht="30" customHeight="1">
      <c r="D127" s="46"/>
      <c r="F127" s="29"/>
      <c r="G127" s="29"/>
    </row>
    <row r="128" spans="4:7" s="25" customFormat="1" ht="30" customHeight="1">
      <c r="D128" s="46"/>
      <c r="F128" s="29"/>
      <c r="G128" s="29"/>
    </row>
    <row r="129" spans="4:7" s="25" customFormat="1" ht="30" customHeight="1">
      <c r="D129" s="46"/>
      <c r="F129" s="29"/>
      <c r="G129" s="29"/>
    </row>
    <row r="130" spans="4:7" s="25" customFormat="1" ht="30" customHeight="1">
      <c r="D130" s="46"/>
      <c r="F130" s="29"/>
      <c r="G130" s="29"/>
    </row>
    <row r="131" spans="4:7" s="25" customFormat="1" ht="30" customHeight="1">
      <c r="D131" s="46"/>
      <c r="F131" s="29"/>
      <c r="G131" s="29"/>
    </row>
    <row r="132" spans="4:7" s="25" customFormat="1" ht="30" customHeight="1">
      <c r="D132" s="46"/>
      <c r="F132" s="29"/>
      <c r="G132" s="29"/>
    </row>
    <row r="133" spans="4:7" s="25" customFormat="1" ht="30" customHeight="1">
      <c r="D133" s="46"/>
      <c r="F133" s="29"/>
      <c r="G133" s="29"/>
    </row>
    <row r="134" spans="4:7" s="25" customFormat="1" ht="30" customHeight="1">
      <c r="D134" s="46"/>
      <c r="F134" s="29"/>
      <c r="G134" s="29"/>
    </row>
    <row r="135" spans="4:7" s="25" customFormat="1" ht="30" customHeight="1">
      <c r="D135" s="46"/>
      <c r="F135" s="29"/>
      <c r="G135" s="29"/>
    </row>
    <row r="136" spans="4:7" s="25" customFormat="1" ht="30" customHeight="1">
      <c r="D136" s="46"/>
      <c r="F136" s="29"/>
      <c r="G136" s="29"/>
    </row>
    <row r="137" spans="4:7" s="25" customFormat="1" ht="30" customHeight="1">
      <c r="D137" s="46"/>
      <c r="F137" s="29"/>
      <c r="G137" s="29"/>
    </row>
    <row r="138" spans="4:7" s="25" customFormat="1" ht="30" customHeight="1">
      <c r="D138" s="46"/>
      <c r="F138" s="29"/>
      <c r="G138" s="29"/>
    </row>
    <row r="139" spans="4:7" s="25" customFormat="1" ht="30" customHeight="1">
      <c r="D139" s="46"/>
      <c r="F139" s="29"/>
      <c r="G139" s="29"/>
    </row>
    <row r="140" spans="4:7" s="25" customFormat="1" ht="30" customHeight="1">
      <c r="D140" s="46"/>
      <c r="F140" s="29"/>
      <c r="G140" s="29"/>
    </row>
    <row r="141" spans="4:7" s="25" customFormat="1" ht="30" customHeight="1">
      <c r="D141" s="46"/>
      <c r="F141" s="29"/>
      <c r="G141" s="29"/>
    </row>
    <row r="142" spans="4:7" s="25" customFormat="1" ht="30" customHeight="1">
      <c r="D142" s="46"/>
      <c r="F142" s="29"/>
      <c r="G142" s="29"/>
    </row>
    <row r="143" spans="4:7" s="25" customFormat="1" ht="30" customHeight="1">
      <c r="D143" s="46"/>
      <c r="F143" s="29"/>
      <c r="G143" s="29"/>
    </row>
    <row r="144" spans="4:7" s="25" customFormat="1" ht="30" customHeight="1">
      <c r="D144" s="46"/>
      <c r="F144" s="29"/>
      <c r="G144" s="29"/>
    </row>
  </sheetData>
  <mergeCells count="7">
    <mergeCell ref="A1:D1"/>
    <mergeCell ref="A8:B8"/>
    <mergeCell ref="A15:B15"/>
    <mergeCell ref="A12:B12"/>
    <mergeCell ref="A14:B14"/>
    <mergeCell ref="A2:D2"/>
    <mergeCell ref="A3:D3"/>
  </mergeCells>
  <printOptions horizontalCentered="1"/>
  <pageMargins left="0.5" right="0.5" top="0.75" bottom="0.5" header="0.5" footer="0.25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24495-FD6D-475C-B5FF-02CE515CACD7}">
  <sheetPr codeName="Sheet6">
    <tabColor rgb="FF002060"/>
  </sheetPr>
  <dimension ref="A1:R564"/>
  <sheetViews>
    <sheetView topLeftCell="A553" zoomScale="140" zoomScaleNormal="140" workbookViewId="0">
      <selection activeCell="E560" sqref="E560"/>
    </sheetView>
  </sheetViews>
  <sheetFormatPr defaultColWidth="9.1796875" defaultRowHeight="12.5"/>
  <cols>
    <col min="1" max="1" width="4.26953125" style="4" customWidth="1"/>
    <col min="2" max="2" width="23.26953125" style="1" customWidth="1"/>
    <col min="3" max="3" width="6.7265625" style="6" customWidth="1"/>
    <col min="4" max="4" width="11.81640625" style="3" customWidth="1"/>
    <col min="5" max="5" width="11.1796875" style="5" customWidth="1"/>
    <col min="6" max="6" width="5.81640625" style="6" customWidth="1"/>
    <col min="7" max="7" width="17.7265625" style="7" bestFit="1" customWidth="1"/>
    <col min="8" max="8" width="18.453125" style="7" bestFit="1" customWidth="1"/>
    <col min="9" max="9" width="12.1796875" style="1" customWidth="1"/>
    <col min="10" max="10" width="16.453125" style="1" bestFit="1" customWidth="1"/>
    <col min="11" max="11" width="7" style="1" bestFit="1" customWidth="1"/>
    <col min="12" max="12" width="7.54296875" style="1" bestFit="1" customWidth="1"/>
    <col min="13" max="16384" width="9.1796875" style="1"/>
  </cols>
  <sheetData>
    <row r="1" spans="1:18" s="2" customFormat="1" ht="25" customHeight="1">
      <c r="A1" s="516" t="str">
        <f>'Detail-Skeleton'!A1</f>
        <v>Ko Aung Ko Myo (Aung Myittar (B) 11 Street)</v>
      </c>
      <c r="B1" s="516"/>
      <c r="C1" s="516"/>
      <c r="D1" s="516"/>
      <c r="E1" s="516"/>
      <c r="F1" s="516"/>
      <c r="G1" s="516"/>
      <c r="H1" s="130"/>
    </row>
    <row r="2" spans="1:18" s="2" customFormat="1" ht="25" customHeight="1">
      <c r="A2" s="516" t="str">
        <f>'Detail-Skeleton'!A2</f>
        <v>Two Storeyed RCC Building (25' x 35' x (13+12)')</v>
      </c>
      <c r="B2" s="516"/>
      <c r="C2" s="516"/>
      <c r="D2" s="516"/>
      <c r="E2" s="516"/>
      <c r="F2" s="516"/>
      <c r="G2" s="516"/>
      <c r="H2" s="130"/>
    </row>
    <row r="3" spans="1:18" ht="25" customHeight="1">
      <c r="A3" s="496" t="s">
        <v>57</v>
      </c>
      <c r="B3" s="496"/>
      <c r="C3" s="496"/>
      <c r="D3" s="496"/>
      <c r="E3" s="496"/>
      <c r="F3" s="496"/>
      <c r="G3" s="496"/>
      <c r="H3" s="496" t="s">
        <v>678</v>
      </c>
      <c r="I3" s="496"/>
      <c r="J3" s="496"/>
      <c r="K3" s="496"/>
      <c r="L3" s="496"/>
      <c r="M3" s="496"/>
    </row>
    <row r="4" spans="1:18" ht="23.25" customHeight="1">
      <c r="A4" s="508" t="s">
        <v>0</v>
      </c>
      <c r="B4" s="508" t="s">
        <v>1</v>
      </c>
      <c r="C4" s="508" t="s">
        <v>16</v>
      </c>
      <c r="D4" s="497" t="s">
        <v>17</v>
      </c>
      <c r="E4" s="510" t="s">
        <v>18</v>
      </c>
      <c r="F4" s="504" t="s">
        <v>19</v>
      </c>
      <c r="G4" s="506" t="s">
        <v>26</v>
      </c>
      <c r="H4" s="503" t="s">
        <v>674</v>
      </c>
      <c r="I4" s="500" t="s">
        <v>675</v>
      </c>
      <c r="J4" s="501" t="s">
        <v>676</v>
      </c>
      <c r="K4" s="502" t="s">
        <v>677</v>
      </c>
      <c r="L4" s="494" t="s">
        <v>679</v>
      </c>
      <c r="M4" s="495"/>
      <c r="O4" s="1" t="s">
        <v>394</v>
      </c>
    </row>
    <row r="5" spans="1:18" ht="17.149999999999999" customHeight="1">
      <c r="A5" s="509"/>
      <c r="B5" s="509"/>
      <c r="C5" s="509"/>
      <c r="D5" s="498"/>
      <c r="E5" s="511"/>
      <c r="F5" s="505"/>
      <c r="G5" s="507"/>
      <c r="H5" s="503"/>
      <c r="I5" s="500"/>
      <c r="J5" s="501"/>
      <c r="K5" s="502"/>
      <c r="L5" s="416" t="s">
        <v>680</v>
      </c>
      <c r="M5" s="416" t="s">
        <v>3</v>
      </c>
    </row>
    <row r="6" spans="1:18" ht="20.149999999999999" customHeight="1">
      <c r="A6" s="8"/>
      <c r="B6" s="8"/>
      <c r="C6" s="8"/>
      <c r="D6" s="33"/>
      <c r="E6" s="11"/>
      <c r="F6" s="149"/>
      <c r="G6" s="9"/>
      <c r="H6" s="381"/>
      <c r="I6" s="382"/>
      <c r="J6" s="393"/>
      <c r="K6" s="393"/>
      <c r="L6" s="398"/>
      <c r="M6" s="411"/>
      <c r="P6" s="1">
        <f>P7/12.92</f>
        <v>0.221199690402477</v>
      </c>
    </row>
    <row r="7" spans="1:18" ht="20.149999999999999" customHeight="1">
      <c r="A7" s="8">
        <f>'Detail-Skeleton'!A7</f>
        <v>1</v>
      </c>
      <c r="B7" s="12" t="str">
        <f>'Detail-Skeleton'!B7</f>
        <v>Site Cleaning Work</v>
      </c>
      <c r="C7" s="23" t="str">
        <f>'Detail-Skeleton'!K8</f>
        <v>%Fs</v>
      </c>
      <c r="D7" s="33">
        <f>'Detail-Skeleton'!J8</f>
        <v>24</v>
      </c>
      <c r="E7" s="11"/>
      <c r="F7" s="149"/>
      <c r="G7" s="9"/>
      <c r="H7" s="383">
        <f>SUM(G7:G9)</f>
        <v>120000</v>
      </c>
      <c r="I7" s="384">
        <f>H7/D7</f>
        <v>5000</v>
      </c>
      <c r="J7" s="394">
        <f>SUM(G7:G9)</f>
        <v>120000</v>
      </c>
      <c r="K7" s="395">
        <f>J7/D7</f>
        <v>5000</v>
      </c>
      <c r="L7" s="409">
        <f>ROUND(H7/$H$519,5)</f>
        <v>8.0000000000000004E-4</v>
      </c>
      <c r="M7" s="412">
        <f>ROUND(J7/$J$519,5)</f>
        <v>2.5999999999999999E-3</v>
      </c>
      <c r="O7" s="425">
        <f>M11+M19+M23+M31+M41+M50+M80+M172</f>
        <v>0.128</v>
      </c>
      <c r="P7" s="1">
        <f>SUM(P8:P16)</f>
        <v>2.8578999999999999</v>
      </c>
      <c r="Q7" s="427">
        <f>SUM(Q8:Q16)</f>
        <v>1.0029999999999999</v>
      </c>
      <c r="R7" s="1">
        <v>550000</v>
      </c>
    </row>
    <row r="8" spans="1:18" ht="20.149999999999999" customHeight="1">
      <c r="A8" s="8"/>
      <c r="B8" s="8" t="s">
        <v>22</v>
      </c>
      <c r="C8" s="8"/>
      <c r="D8" s="33"/>
      <c r="E8" s="11"/>
      <c r="F8" s="149"/>
      <c r="G8" s="9"/>
      <c r="H8" s="383"/>
      <c r="I8" s="384"/>
      <c r="J8" s="395"/>
      <c r="K8" s="395"/>
      <c r="L8" s="399"/>
      <c r="M8" s="413"/>
      <c r="N8" s="1" t="str">
        <f>B11</f>
        <v>Staking Works For Preparation of Foundation</v>
      </c>
      <c r="O8" s="425">
        <f>M11</f>
        <v>1.1000000000000001E-3</v>
      </c>
      <c r="Q8" s="428"/>
    </row>
    <row r="9" spans="1:18" ht="20.149999999999999" customHeight="1">
      <c r="A9" s="8"/>
      <c r="B9" s="143" t="s">
        <v>390</v>
      </c>
      <c r="C9" s="140" t="s">
        <v>2</v>
      </c>
      <c r="D9" s="141">
        <f>D7*0.25</f>
        <v>6</v>
      </c>
      <c r="E9" s="142">
        <f>E560</f>
        <v>20000</v>
      </c>
      <c r="F9" s="347" t="str">
        <f>C9</f>
        <v>No</v>
      </c>
      <c r="G9" s="9">
        <f>E9*D9</f>
        <v>120000</v>
      </c>
      <c r="H9" s="385"/>
      <c r="I9" s="384"/>
      <c r="J9" s="395"/>
      <c r="K9" s="395"/>
      <c r="L9" s="399"/>
      <c r="M9" s="413"/>
      <c r="N9" s="1" t="str">
        <f>B19</f>
        <v>Earth Work in Medium Soil</v>
      </c>
      <c r="O9" s="425">
        <f>M19</f>
        <v>2.5899999999999999E-2</v>
      </c>
      <c r="P9" s="426">
        <f>O9*85</f>
        <v>2.202</v>
      </c>
      <c r="Q9" s="427">
        <f>P9/$P$7</f>
        <v>0.77</v>
      </c>
      <c r="R9" s="1">
        <f>Q9*$R$7</f>
        <v>423500</v>
      </c>
    </row>
    <row r="10" spans="1:18" ht="20.149999999999999" customHeight="1">
      <c r="A10" s="8"/>
      <c r="B10" s="8"/>
      <c r="C10" s="8"/>
      <c r="D10" s="33"/>
      <c r="E10" s="11"/>
      <c r="F10" s="149"/>
      <c r="G10" s="9"/>
      <c r="H10" s="383"/>
      <c r="I10" s="384"/>
      <c r="J10" s="395"/>
      <c r="K10" s="395"/>
      <c r="L10" s="399"/>
      <c r="M10" s="413"/>
      <c r="N10" s="1" t="str">
        <f>B23</f>
        <v xml:space="preserve"> Hard Core Laying with sand Work</v>
      </c>
      <c r="O10" s="425">
        <f>M23</f>
        <v>6.9999999999999999E-4</v>
      </c>
      <c r="P10" s="425">
        <f>O10</f>
        <v>6.9999999999999999E-4</v>
      </c>
      <c r="Q10" s="429">
        <f>P10/$P$7</f>
        <v>2.0000000000000001E-4</v>
      </c>
      <c r="R10" s="1">
        <f>Q10*$R$7</f>
        <v>110</v>
      </c>
    </row>
    <row r="11" spans="1:18" ht="20.149999999999999" customHeight="1">
      <c r="A11" s="8">
        <v>2</v>
      </c>
      <c r="B11" s="12" t="str">
        <f>'Detail-Skeleton'!B11</f>
        <v>Staking Works For Preparation of Foundation</v>
      </c>
      <c r="C11" s="23" t="str">
        <f>'Detail-Skeleton'!K12</f>
        <v>Fs</v>
      </c>
      <c r="D11" s="33">
        <f>'Detail-Skeleton'!J12</f>
        <v>1575</v>
      </c>
      <c r="E11" s="11"/>
      <c r="F11" s="149"/>
      <c r="G11" s="9"/>
      <c r="H11" s="383">
        <f>SUM(G11:G17)</f>
        <v>97266.74</v>
      </c>
      <c r="I11" s="384">
        <f>ROUND(H11/D11,2)</f>
        <v>61.76</v>
      </c>
      <c r="J11" s="394">
        <f>SUM(G16:G17)</f>
        <v>51350</v>
      </c>
      <c r="K11" s="395">
        <f>ROUND(J11/D11,2)</f>
        <v>32.6</v>
      </c>
      <c r="L11" s="409">
        <f>ROUND(H11/$H$519,5)</f>
        <v>6.9999999999999999E-4</v>
      </c>
      <c r="M11" s="412">
        <f>ROUND(J11/$J$519,5)</f>
        <v>1.1000000000000001E-3</v>
      </c>
      <c r="N11" s="1" t="s">
        <v>693</v>
      </c>
      <c r="O11" s="425">
        <f>M31-O12</f>
        <v>5.8999999999999999E-3</v>
      </c>
      <c r="P11" s="425">
        <f>O11</f>
        <v>5.8999999999999999E-3</v>
      </c>
      <c r="Q11" s="429">
        <f>P11</f>
        <v>5.8999999999999999E-3</v>
      </c>
      <c r="R11" s="1">
        <f>Q11*$R$7</f>
        <v>3245</v>
      </c>
    </row>
    <row r="12" spans="1:18" ht="20.149999999999999" customHeight="1">
      <c r="A12" s="8"/>
      <c r="B12" s="251" t="s">
        <v>26</v>
      </c>
      <c r="C12" s="91"/>
      <c r="D12" s="95"/>
      <c r="E12" s="11"/>
      <c r="F12" s="149"/>
      <c r="G12" s="9"/>
      <c r="H12" s="383"/>
      <c r="I12" s="384"/>
      <c r="J12" s="395"/>
      <c r="K12" s="395"/>
      <c r="L12" s="399"/>
      <c r="M12" s="413"/>
      <c r="N12" s="1" t="s">
        <v>694</v>
      </c>
      <c r="O12" s="425">
        <f>0.75/100</f>
        <v>7.4999999999999997E-3</v>
      </c>
      <c r="Q12" s="428"/>
    </row>
    <row r="13" spans="1:18" ht="20.149999999999999" customHeight="1">
      <c r="A13" s="8"/>
      <c r="B13" s="10" t="s">
        <v>53</v>
      </c>
      <c r="C13" s="91" t="s">
        <v>14</v>
      </c>
      <c r="D13" s="95">
        <f>D11/(100*100)*30/50/3</f>
        <v>0.03</v>
      </c>
      <c r="E13" s="11">
        <f>E532</f>
        <v>1500000</v>
      </c>
      <c r="F13" s="149" t="str">
        <f>C13</f>
        <v>Ton</v>
      </c>
      <c r="G13" s="9">
        <f>D13*E13</f>
        <v>45000</v>
      </c>
      <c r="H13" s="383"/>
      <c r="I13" s="384"/>
      <c r="J13" s="395"/>
      <c r="K13" s="395"/>
      <c r="L13" s="399"/>
      <c r="M13" s="413"/>
      <c r="N13" s="1" t="str">
        <f>B41</f>
        <v>Retaining Wall Brick Work with (1:3) Cement Mortor</v>
      </c>
      <c r="O13" s="425">
        <f>M41</f>
        <v>5.21E-2</v>
      </c>
      <c r="Q13" s="428"/>
    </row>
    <row r="14" spans="1:18" ht="20.149999999999999" customHeight="1">
      <c r="A14" s="8"/>
      <c r="B14" s="58" t="s">
        <v>35</v>
      </c>
      <c r="C14" s="91" t="s">
        <v>92</v>
      </c>
      <c r="D14" s="95">
        <f>D11/(100*100)*7.5/3.6</f>
        <v>0.33</v>
      </c>
      <c r="E14" s="11">
        <f>E533</f>
        <v>2778</v>
      </c>
      <c r="F14" s="149" t="str">
        <f>C14</f>
        <v>Viss</v>
      </c>
      <c r="G14" s="9">
        <f>D14*E14</f>
        <v>916.74</v>
      </c>
      <c r="H14" s="383"/>
      <c r="I14" s="384"/>
      <c r="J14" s="395"/>
      <c r="K14" s="395"/>
      <c r="L14" s="399"/>
      <c r="M14" s="413"/>
      <c r="N14" s="1" t="str">
        <f>B49</f>
        <v>Concrete Casting Work for Footing</v>
      </c>
      <c r="O14" s="425">
        <f>M50</f>
        <v>1.5100000000000001E-2</v>
      </c>
      <c r="P14" s="1">
        <f>O14*43</f>
        <v>0.64929999999999999</v>
      </c>
      <c r="Q14" s="429">
        <f>P14/$P$7</f>
        <v>0.22720000000000001</v>
      </c>
      <c r="R14" s="1">
        <f>Q14*$R$7</f>
        <v>124960</v>
      </c>
    </row>
    <row r="15" spans="1:18" ht="20.149999999999999" customHeight="1">
      <c r="A15" s="8"/>
      <c r="B15" s="251" t="s">
        <v>22</v>
      </c>
      <c r="C15" s="91"/>
      <c r="D15" s="95"/>
      <c r="E15" s="11"/>
      <c r="F15" s="149"/>
      <c r="G15" s="9"/>
      <c r="H15" s="383"/>
      <c r="I15" s="384"/>
      <c r="J15" s="395"/>
      <c r="K15" s="395"/>
      <c r="L15" s="399"/>
      <c r="M15" s="413"/>
      <c r="N15" s="1" t="s">
        <v>691</v>
      </c>
      <c r="O15" s="425">
        <f>M80</f>
        <v>7.9000000000000008E-3</v>
      </c>
    </row>
    <row r="16" spans="1:18" ht="20.149999999999999" customHeight="1">
      <c r="A16" s="8"/>
      <c r="B16" s="143" t="s">
        <v>391</v>
      </c>
      <c r="C16" s="140" t="s">
        <v>2</v>
      </c>
      <c r="D16" s="259">
        <f>D11/(100*100)*5</f>
        <v>0.79</v>
      </c>
      <c r="E16" s="142">
        <f>E557</f>
        <v>25000</v>
      </c>
      <c r="F16" s="347" t="str">
        <f>C16</f>
        <v>No</v>
      </c>
      <c r="G16" s="9">
        <f>E16*D16</f>
        <v>19750</v>
      </c>
      <c r="H16" s="386"/>
      <c r="I16" s="384"/>
      <c r="J16" s="395"/>
      <c r="K16" s="395"/>
      <c r="L16" s="399"/>
      <c r="M16" s="413"/>
      <c r="N16" s="1" t="s">
        <v>692</v>
      </c>
      <c r="O16" s="425">
        <f>M172</f>
        <v>1.18E-2</v>
      </c>
    </row>
    <row r="17" spans="1:13" ht="20.149999999999999" customHeight="1">
      <c r="A17" s="8"/>
      <c r="B17" s="143" t="s">
        <v>390</v>
      </c>
      <c r="C17" s="140" t="s">
        <v>2</v>
      </c>
      <c r="D17" s="259">
        <f>D11/(100*100)*10</f>
        <v>1.58</v>
      </c>
      <c r="E17" s="142">
        <f>E560</f>
        <v>20000</v>
      </c>
      <c r="F17" s="347" t="str">
        <f>C17</f>
        <v>No</v>
      </c>
      <c r="G17" s="9">
        <f>E17*D17</f>
        <v>31600</v>
      </c>
      <c r="H17" s="385"/>
      <c r="I17" s="384"/>
      <c r="J17" s="395"/>
      <c r="K17" s="395"/>
      <c r="L17" s="399"/>
      <c r="M17" s="413"/>
    </row>
    <row r="18" spans="1:13" ht="20.149999999999999" customHeight="1">
      <c r="A18" s="8"/>
      <c r="B18" s="8"/>
      <c r="C18" s="8"/>
      <c r="D18" s="33"/>
      <c r="E18" s="11"/>
      <c r="F18" s="149"/>
      <c r="G18" s="9"/>
      <c r="H18" s="383"/>
      <c r="I18" s="384"/>
      <c r="J18" s="395"/>
      <c r="K18" s="395"/>
      <c r="L18" s="399"/>
      <c r="M18" s="413"/>
    </row>
    <row r="19" spans="1:13" ht="20.149999999999999" customHeight="1">
      <c r="A19" s="8">
        <f>'Detail-Skeleton'!A15</f>
        <v>3</v>
      </c>
      <c r="B19" s="12" t="str">
        <f>'Detail-Skeleton'!B15</f>
        <v>Earth Work in Medium Soil</v>
      </c>
      <c r="C19" s="21" t="str">
        <f>'Detail-Skeleton'!K32</f>
        <v>%Fc</v>
      </c>
      <c r="D19" s="33">
        <f>'Detail-Skeleton'!J32</f>
        <v>29.61</v>
      </c>
      <c r="E19" s="11"/>
      <c r="F19" s="149"/>
      <c r="G19" s="9"/>
      <c r="H19" s="383">
        <f>SUM(G19:G21)</f>
        <v>1184400</v>
      </c>
      <c r="I19" s="384"/>
      <c r="J19" s="394">
        <f>SUM(G21)</f>
        <v>1184400</v>
      </c>
      <c r="K19" s="395"/>
      <c r="L19" s="409">
        <f>ROUND(H19/$H$519,5)</f>
        <v>7.9000000000000008E-3</v>
      </c>
      <c r="M19" s="412">
        <f>ROUND(J19/$J$519,5)</f>
        <v>2.5899999999999999E-2</v>
      </c>
    </row>
    <row r="20" spans="1:13" ht="20.149999999999999" customHeight="1">
      <c r="A20" s="8"/>
      <c r="B20" s="8" t="s">
        <v>22</v>
      </c>
      <c r="C20" s="21"/>
      <c r="D20" s="33"/>
      <c r="E20" s="11"/>
      <c r="F20" s="368"/>
      <c r="G20" s="9"/>
      <c r="H20" s="383"/>
      <c r="I20" s="384"/>
      <c r="J20" s="395"/>
      <c r="K20" s="395"/>
      <c r="L20" s="399"/>
      <c r="M20" s="413"/>
    </row>
    <row r="21" spans="1:13" ht="20.149999999999999" customHeight="1">
      <c r="A21" s="8"/>
      <c r="B21" s="143" t="s">
        <v>390</v>
      </c>
      <c r="C21" s="140" t="s">
        <v>2</v>
      </c>
      <c r="D21" s="141">
        <f>D19*2</f>
        <v>59.22</v>
      </c>
      <c r="E21" s="142">
        <f>E560</f>
        <v>20000</v>
      </c>
      <c r="F21" s="347" t="str">
        <f>C21</f>
        <v>No</v>
      </c>
      <c r="G21" s="9">
        <f>E21*D21</f>
        <v>1184400</v>
      </c>
      <c r="H21" s="385"/>
      <c r="I21" s="384"/>
      <c r="J21" s="395"/>
      <c r="K21" s="395"/>
      <c r="L21" s="399"/>
      <c r="M21" s="413"/>
    </row>
    <row r="22" spans="1:13" ht="19" customHeight="1">
      <c r="A22" s="8"/>
      <c r="B22" s="8"/>
      <c r="C22" s="8"/>
      <c r="D22" s="33"/>
      <c r="E22" s="11"/>
      <c r="F22" s="149"/>
      <c r="G22" s="9"/>
      <c r="H22" s="383"/>
      <c r="I22" s="384"/>
      <c r="J22" s="395"/>
      <c r="K22" s="395"/>
      <c r="L22" s="399"/>
      <c r="M22" s="413"/>
    </row>
    <row r="23" spans="1:13" ht="19" customHeight="1">
      <c r="A23" s="8">
        <f>'Detail-Skeleton'!A34</f>
        <v>4</v>
      </c>
      <c r="B23" s="12" t="str">
        <f>'Detail-Skeleton'!B34</f>
        <v xml:space="preserve"> Hard Core Laying with sand Work</v>
      </c>
      <c r="C23" s="23" t="str">
        <f>'Detail-Skeleton'!K41</f>
        <v>%Fc</v>
      </c>
      <c r="D23" s="33">
        <f>'Detail-Skeleton'!J41</f>
        <v>1.47</v>
      </c>
      <c r="E23" s="11"/>
      <c r="F23" s="149"/>
      <c r="G23" s="9"/>
      <c r="H23" s="383">
        <f>SUM(G25:G29)</f>
        <v>338400</v>
      </c>
      <c r="I23" s="384"/>
      <c r="J23" s="394">
        <f>SUM(G28:G29)</f>
        <v>33300</v>
      </c>
      <c r="K23" s="395"/>
      <c r="L23" s="409">
        <f>ROUND(H23/$H$519,5)</f>
        <v>2.3E-3</v>
      </c>
      <c r="M23" s="412">
        <f>ROUND(J23/$J$519,5)</f>
        <v>6.9999999999999999E-4</v>
      </c>
    </row>
    <row r="24" spans="1:13" ht="19" customHeight="1">
      <c r="A24" s="8"/>
      <c r="B24" s="8" t="s">
        <v>26</v>
      </c>
      <c r="C24" s="8"/>
      <c r="D24" s="33"/>
      <c r="E24" s="11"/>
      <c r="F24" s="149"/>
      <c r="G24" s="9"/>
      <c r="H24" s="383"/>
      <c r="I24" s="384"/>
      <c r="J24" s="395"/>
      <c r="K24" s="395"/>
      <c r="L24" s="399"/>
      <c r="M24" s="413"/>
    </row>
    <row r="25" spans="1:13" ht="19" customHeight="1">
      <c r="A25" s="8"/>
      <c r="B25" s="10" t="s">
        <v>670</v>
      </c>
      <c r="C25" s="8" t="s">
        <v>10</v>
      </c>
      <c r="D25" s="33">
        <f>D23</f>
        <v>1.47</v>
      </c>
      <c r="E25" s="11">
        <f>E529</f>
        <v>200000</v>
      </c>
      <c r="F25" s="149" t="str">
        <f>C25</f>
        <v>Sud</v>
      </c>
      <c r="G25" s="9">
        <f>D25*E25</f>
        <v>294000</v>
      </c>
      <c r="H25" s="383"/>
      <c r="I25" s="384"/>
      <c r="J25" s="395"/>
      <c r="K25" s="395"/>
      <c r="L25" s="399"/>
      <c r="M25" s="413"/>
    </row>
    <row r="26" spans="1:13" ht="19" customHeight="1">
      <c r="A26" s="8"/>
      <c r="B26" s="10" t="s">
        <v>31</v>
      </c>
      <c r="C26" s="8" t="s">
        <v>10</v>
      </c>
      <c r="D26" s="33">
        <f>D23*0.25</f>
        <v>0.37</v>
      </c>
      <c r="E26" s="11">
        <f>E526</f>
        <v>30000</v>
      </c>
      <c r="F26" s="149" t="str">
        <f>C26</f>
        <v>Sud</v>
      </c>
      <c r="G26" s="9">
        <f>D26*E26</f>
        <v>11100</v>
      </c>
      <c r="H26" s="383"/>
      <c r="I26" s="384"/>
      <c r="J26" s="395"/>
      <c r="K26" s="395"/>
      <c r="L26" s="399"/>
      <c r="M26" s="413"/>
    </row>
    <row r="27" spans="1:13" ht="19" customHeight="1">
      <c r="A27" s="8"/>
      <c r="B27" s="8" t="s">
        <v>22</v>
      </c>
      <c r="C27" s="8"/>
      <c r="D27" s="33"/>
      <c r="E27" s="11"/>
      <c r="F27" s="149"/>
      <c r="G27" s="9"/>
      <c r="H27" s="383"/>
      <c r="I27" s="384"/>
      <c r="J27" s="395"/>
      <c r="K27" s="395"/>
      <c r="L27" s="399"/>
      <c r="M27" s="413"/>
    </row>
    <row r="28" spans="1:13" ht="19" customHeight="1">
      <c r="A28" s="8"/>
      <c r="B28" s="143" t="s">
        <v>394</v>
      </c>
      <c r="C28" s="140" t="s">
        <v>2</v>
      </c>
      <c r="D28" s="141">
        <f>D23*0.5</f>
        <v>0.74</v>
      </c>
      <c r="E28" s="142">
        <f>E558</f>
        <v>25000</v>
      </c>
      <c r="F28" s="347"/>
      <c r="G28" s="9">
        <f>E28*D28</f>
        <v>18500</v>
      </c>
      <c r="H28" s="387"/>
      <c r="I28" s="384"/>
      <c r="J28" s="395"/>
      <c r="K28" s="395"/>
      <c r="L28" s="399"/>
      <c r="M28" s="413"/>
    </row>
    <row r="29" spans="1:13" ht="19" customHeight="1">
      <c r="A29" s="8"/>
      <c r="B29" s="143" t="s">
        <v>390</v>
      </c>
      <c r="C29" s="140" t="s">
        <v>2</v>
      </c>
      <c r="D29" s="141">
        <f>D23*0.5</f>
        <v>0.74</v>
      </c>
      <c r="E29" s="142">
        <f>E560</f>
        <v>20000</v>
      </c>
      <c r="F29" s="347" t="str">
        <f>C29</f>
        <v>No</v>
      </c>
      <c r="G29" s="9">
        <f>E29*D29</f>
        <v>14800</v>
      </c>
      <c r="H29" s="385"/>
      <c r="I29" s="384"/>
      <c r="J29" s="395"/>
      <c r="K29" s="395"/>
      <c r="L29" s="399"/>
      <c r="M29" s="413"/>
    </row>
    <row r="30" spans="1:13" ht="19" customHeight="1">
      <c r="A30" s="8"/>
      <c r="B30" s="8"/>
      <c r="C30" s="8"/>
      <c r="D30" s="33"/>
      <c r="E30" s="11"/>
      <c r="F30" s="149"/>
      <c r="G30" s="9"/>
      <c r="H30" s="383"/>
      <c r="I30" s="384"/>
      <c r="J30" s="395"/>
      <c r="K30" s="395"/>
      <c r="L30" s="399"/>
      <c r="M30" s="413"/>
    </row>
    <row r="31" spans="1:13" ht="19" customHeight="1">
      <c r="A31" s="8">
        <f>'Detail-Skeleton'!A43</f>
        <v>5</v>
      </c>
      <c r="B31" s="12" t="str">
        <f>'Detail-Skeleton'!B43</f>
        <v xml:space="preserve"> (1:3:6) Lean Conc; Work</v>
      </c>
      <c r="C31" s="21" t="str">
        <f>'Detail-Skeleton'!K67</f>
        <v>%Fc</v>
      </c>
      <c r="D31" s="33">
        <f>'Detail-Skeleton'!J67</f>
        <v>3.9</v>
      </c>
      <c r="E31" s="11"/>
      <c r="F31" s="149"/>
      <c r="G31" s="9"/>
      <c r="H31" s="383">
        <f>SUM(G33:G40)</f>
        <v>2437750</v>
      </c>
      <c r="I31" s="384">
        <f>H31/D31</f>
        <v>625064.10256410297</v>
      </c>
      <c r="J31" s="394">
        <f>SUM(G38:G40)</f>
        <v>614250</v>
      </c>
      <c r="K31" s="395"/>
      <c r="L31" s="409">
        <f>ROUND(H31/$H$519,5)</f>
        <v>1.6199999999999999E-2</v>
      </c>
      <c r="M31" s="412">
        <f>ROUND(J31/$J$519,5)</f>
        <v>1.34E-2</v>
      </c>
    </row>
    <row r="32" spans="1:13" ht="19" customHeight="1">
      <c r="A32" s="8"/>
      <c r="B32" s="8" t="s">
        <v>26</v>
      </c>
      <c r="C32" s="8"/>
      <c r="D32" s="33"/>
      <c r="E32" s="11"/>
      <c r="F32" s="149"/>
      <c r="G32" s="9"/>
      <c r="H32" s="383"/>
      <c r="I32" s="384"/>
      <c r="J32" s="395"/>
      <c r="K32" s="395"/>
      <c r="L32" s="399"/>
      <c r="M32" s="413"/>
    </row>
    <row r="33" spans="1:13" ht="19" customHeight="1">
      <c r="A33" s="8"/>
      <c r="B33" s="243" t="s">
        <v>8</v>
      </c>
      <c r="C33" s="8" t="s">
        <v>9</v>
      </c>
      <c r="D33" s="33">
        <f>ROUNDDOWN(D31*1440/112,0)</f>
        <v>50</v>
      </c>
      <c r="E33" s="11">
        <f>E525</f>
        <v>24000</v>
      </c>
      <c r="F33" s="149" t="str">
        <f>C33</f>
        <v>Bag</v>
      </c>
      <c r="G33" s="9">
        <f>E33*D33</f>
        <v>1200000</v>
      </c>
      <c r="H33" s="383"/>
      <c r="I33" s="384"/>
      <c r="J33" s="395"/>
      <c r="K33" s="395"/>
      <c r="L33" s="399"/>
      <c r="M33" s="413"/>
    </row>
    <row r="34" spans="1:13" ht="19" customHeight="1">
      <c r="A34" s="8"/>
      <c r="B34" s="10" t="s">
        <v>31</v>
      </c>
      <c r="C34" s="8" t="s">
        <v>10</v>
      </c>
      <c r="D34" s="33">
        <f>D31*0.48</f>
        <v>1.87</v>
      </c>
      <c r="E34" s="11">
        <f>E26</f>
        <v>30000</v>
      </c>
      <c r="F34" s="149" t="str">
        <f>C34</f>
        <v>Sud</v>
      </c>
      <c r="G34" s="9">
        <f>E34*D34</f>
        <v>56100</v>
      </c>
      <c r="H34" s="383"/>
      <c r="I34" s="384"/>
      <c r="J34" s="395"/>
      <c r="K34" s="395"/>
      <c r="L34" s="399"/>
      <c r="M34" s="413"/>
    </row>
    <row r="35" spans="1:13" ht="19" customHeight="1">
      <c r="A35" s="8"/>
      <c r="B35" s="10" t="s">
        <v>95</v>
      </c>
      <c r="C35" s="8" t="s">
        <v>10</v>
      </c>
      <c r="D35" s="33">
        <f>D31*0.96</f>
        <v>3.74</v>
      </c>
      <c r="E35" s="11">
        <f>E528</f>
        <v>110000</v>
      </c>
      <c r="F35" s="149" t="str">
        <f>C35</f>
        <v>Sud</v>
      </c>
      <c r="G35" s="9">
        <f>E35*D35</f>
        <v>411400</v>
      </c>
      <c r="H35" s="383"/>
      <c r="I35" s="384"/>
      <c r="J35" s="395"/>
      <c r="K35" s="395"/>
      <c r="L35" s="399"/>
      <c r="M35" s="413"/>
    </row>
    <row r="36" spans="1:13" ht="19" customHeight="1">
      <c r="A36" s="8"/>
      <c r="B36" s="10" t="s">
        <v>34</v>
      </c>
      <c r="C36" s="8" t="s">
        <v>28</v>
      </c>
      <c r="D36" s="33">
        <f>D31*2</f>
        <v>7.8</v>
      </c>
      <c r="E36" s="11">
        <f>E530</f>
        <v>20000</v>
      </c>
      <c r="F36" s="149" t="str">
        <f>C36</f>
        <v>Gal</v>
      </c>
      <c r="G36" s="9">
        <f>E36*D36</f>
        <v>156000</v>
      </c>
      <c r="H36" s="383"/>
      <c r="I36" s="384"/>
      <c r="J36" s="395"/>
      <c r="K36" s="395"/>
      <c r="L36" s="399"/>
      <c r="M36" s="413"/>
    </row>
    <row r="37" spans="1:13" ht="19" customHeight="1">
      <c r="A37" s="39"/>
      <c r="B37" s="91" t="s">
        <v>22</v>
      </c>
      <c r="C37" s="91"/>
      <c r="D37" s="95"/>
      <c r="E37" s="116"/>
      <c r="F37" s="369"/>
      <c r="G37" s="9"/>
      <c r="H37" s="383"/>
      <c r="I37" s="384"/>
      <c r="J37" s="395"/>
      <c r="K37" s="395"/>
      <c r="L37" s="399"/>
      <c r="M37" s="413"/>
    </row>
    <row r="38" spans="1:13" ht="19" customHeight="1">
      <c r="A38" s="39"/>
      <c r="B38" s="143" t="s">
        <v>394</v>
      </c>
      <c r="C38" s="145" t="s">
        <v>2</v>
      </c>
      <c r="D38" s="259">
        <f>D31*1</f>
        <v>3.9</v>
      </c>
      <c r="E38" s="242">
        <f>E558</f>
        <v>25000</v>
      </c>
      <c r="F38" s="346" t="str">
        <f>C38</f>
        <v>No</v>
      </c>
      <c r="G38" s="9">
        <f>E38*D38</f>
        <v>97500</v>
      </c>
      <c r="H38" s="387"/>
      <c r="I38" s="384"/>
      <c r="J38" s="395"/>
      <c r="K38" s="395"/>
      <c r="L38" s="399"/>
      <c r="M38" s="413"/>
    </row>
    <row r="39" spans="1:13" ht="19" customHeight="1">
      <c r="A39" s="39"/>
      <c r="B39" s="143" t="s">
        <v>395</v>
      </c>
      <c r="C39" s="140" t="s">
        <v>2</v>
      </c>
      <c r="D39" s="267">
        <f>D31*0.5</f>
        <v>1.95</v>
      </c>
      <c r="E39" s="242">
        <f>E561</f>
        <v>25000</v>
      </c>
      <c r="F39" s="346" t="str">
        <f>C39</f>
        <v>No</v>
      </c>
      <c r="G39" s="9">
        <f>E39*D39</f>
        <v>48750</v>
      </c>
      <c r="H39" s="387"/>
      <c r="I39" s="384"/>
      <c r="J39" s="395"/>
      <c r="K39" s="395"/>
      <c r="L39" s="399"/>
      <c r="M39" s="413"/>
    </row>
    <row r="40" spans="1:13" ht="19" customHeight="1">
      <c r="A40" s="39"/>
      <c r="B40" s="143" t="s">
        <v>390</v>
      </c>
      <c r="C40" s="140" t="s">
        <v>2</v>
      </c>
      <c r="D40" s="259">
        <f>D31*6</f>
        <v>23.4</v>
      </c>
      <c r="E40" s="242">
        <f>E560</f>
        <v>20000</v>
      </c>
      <c r="F40" s="347" t="str">
        <f>C40</f>
        <v>No</v>
      </c>
      <c r="G40" s="9">
        <f>E40*D40</f>
        <v>468000</v>
      </c>
      <c r="H40" s="385"/>
      <c r="I40" s="384"/>
      <c r="J40" s="395"/>
      <c r="K40" s="395"/>
      <c r="L40" s="399"/>
      <c r="M40" s="413"/>
    </row>
    <row r="41" spans="1:13" ht="25">
      <c r="A41" s="8">
        <f>'Detail-Skeleton'!A69</f>
        <v>6</v>
      </c>
      <c r="B41" s="53" t="str">
        <f>'Detail-Skeleton'!B69</f>
        <v>Retaining Wall Brick Work with (1:3) Cement Mortor</v>
      </c>
      <c r="C41" s="21" t="str">
        <f>'Detail-Skeleton'!K102</f>
        <v>%Fc</v>
      </c>
      <c r="D41" s="33">
        <f>'Detail-Skeleton'!J102</f>
        <v>10.84</v>
      </c>
      <c r="E41" s="11"/>
      <c r="F41" s="149"/>
      <c r="G41" s="9"/>
      <c r="H41" s="383">
        <f>SUM(G43:G48)</f>
        <v>9391300</v>
      </c>
      <c r="I41" s="384">
        <f>H41/D41</f>
        <v>866356.08856088598</v>
      </c>
      <c r="J41" s="394">
        <f>SUM(G47:G48)</f>
        <v>2384800</v>
      </c>
      <c r="K41" s="395"/>
      <c r="L41" s="409">
        <f>ROUND(H41/$H$519,5)</f>
        <v>6.2399999999999997E-2</v>
      </c>
      <c r="M41" s="412">
        <f>ROUND(J41/$J$519,5)</f>
        <v>5.21E-2</v>
      </c>
    </row>
    <row r="42" spans="1:13" ht="18.75" customHeight="1">
      <c r="A42" s="8"/>
      <c r="B42" s="8" t="s">
        <v>26</v>
      </c>
      <c r="C42" s="8"/>
      <c r="D42" s="33"/>
      <c r="E42" s="11"/>
      <c r="F42" s="149"/>
      <c r="G42" s="9"/>
      <c r="H42" s="383"/>
      <c r="I42" s="384"/>
      <c r="J42" s="395"/>
      <c r="K42" s="395"/>
      <c r="L42" s="399"/>
      <c r="M42" s="413"/>
    </row>
    <row r="43" spans="1:13" ht="18.75" customHeight="1">
      <c r="A43" s="8"/>
      <c r="B43" s="243" t="s">
        <v>8</v>
      </c>
      <c r="C43" s="8" t="s">
        <v>9</v>
      </c>
      <c r="D43" s="33">
        <f>ROUNDDOWN(D41*780/112,0)</f>
        <v>75</v>
      </c>
      <c r="E43" s="11">
        <f>E525</f>
        <v>24000</v>
      </c>
      <c r="F43" s="149" t="str">
        <f>C43</f>
        <v>Bag</v>
      </c>
      <c r="G43" s="9">
        <f>E43*D43</f>
        <v>1800000</v>
      </c>
      <c r="H43" s="383"/>
      <c r="I43" s="384"/>
      <c r="J43" s="395"/>
      <c r="K43" s="395"/>
      <c r="L43" s="399"/>
      <c r="M43" s="413"/>
    </row>
    <row r="44" spans="1:13" ht="18.75" customHeight="1">
      <c r="A44" s="8"/>
      <c r="B44" s="10" t="s">
        <v>31</v>
      </c>
      <c r="C44" s="8" t="s">
        <v>10</v>
      </c>
      <c r="D44" s="33">
        <f>D41*0.26</f>
        <v>2.82</v>
      </c>
      <c r="E44" s="11">
        <f>E26</f>
        <v>30000</v>
      </c>
      <c r="F44" s="149" t="str">
        <f>C44</f>
        <v>Sud</v>
      </c>
      <c r="G44" s="9">
        <f>E44*D44</f>
        <v>84600</v>
      </c>
      <c r="H44" s="383"/>
      <c r="I44" s="384"/>
      <c r="J44" s="395"/>
      <c r="K44" s="395"/>
      <c r="L44" s="399"/>
      <c r="M44" s="413"/>
    </row>
    <row r="45" spans="1:13" ht="18.75" customHeight="1">
      <c r="A45" s="8"/>
      <c r="B45" s="10" t="s">
        <v>11</v>
      </c>
      <c r="C45" s="8" t="s">
        <v>2</v>
      </c>
      <c r="D45" s="17">
        <f>D41*1350</f>
        <v>14634</v>
      </c>
      <c r="E45" s="11">
        <f>E527</f>
        <v>350</v>
      </c>
      <c r="F45" s="149" t="str">
        <f>C45</f>
        <v>No</v>
      </c>
      <c r="G45" s="9">
        <f>E45*D45</f>
        <v>5121900</v>
      </c>
      <c r="H45" s="383"/>
      <c r="I45" s="384"/>
      <c r="J45" s="395"/>
      <c r="K45" s="395"/>
      <c r="L45" s="399"/>
      <c r="M45" s="413"/>
    </row>
    <row r="46" spans="1:13" ht="18.75" customHeight="1">
      <c r="A46" s="8"/>
      <c r="B46" s="91" t="s">
        <v>22</v>
      </c>
      <c r="C46" s="91"/>
      <c r="D46" s="95"/>
      <c r="E46" s="11"/>
      <c r="F46" s="149"/>
      <c r="G46" s="9"/>
      <c r="H46" s="383"/>
      <c r="I46" s="384"/>
      <c r="J46" s="395"/>
      <c r="K46" s="395"/>
      <c r="L46" s="399"/>
      <c r="M46" s="413"/>
    </row>
    <row r="47" spans="1:13" ht="18.75" customHeight="1">
      <c r="A47" s="8"/>
      <c r="B47" s="143" t="s">
        <v>394</v>
      </c>
      <c r="C47" s="145" t="s">
        <v>2</v>
      </c>
      <c r="D47" s="259">
        <f>D41*4</f>
        <v>43.36</v>
      </c>
      <c r="E47" s="142">
        <f>E558</f>
        <v>25000</v>
      </c>
      <c r="F47" s="347" t="str">
        <f>C47</f>
        <v>No</v>
      </c>
      <c r="G47" s="9">
        <f>E47*D47</f>
        <v>1084000</v>
      </c>
      <c r="H47" s="387"/>
      <c r="I47" s="384"/>
      <c r="J47" s="395"/>
      <c r="K47" s="395"/>
      <c r="L47" s="399"/>
      <c r="M47" s="413"/>
    </row>
    <row r="48" spans="1:13" ht="18.75" customHeight="1">
      <c r="A48" s="8"/>
      <c r="B48" s="143" t="s">
        <v>390</v>
      </c>
      <c r="C48" s="140" t="s">
        <v>2</v>
      </c>
      <c r="D48" s="259">
        <f>D41*6</f>
        <v>65.040000000000006</v>
      </c>
      <c r="E48" s="142">
        <f>E560</f>
        <v>20000</v>
      </c>
      <c r="F48" s="347" t="str">
        <f>C48</f>
        <v>No</v>
      </c>
      <c r="G48" s="9">
        <f>E48*D48</f>
        <v>1300800</v>
      </c>
      <c r="H48" s="385"/>
      <c r="I48" s="384"/>
      <c r="J48" s="395"/>
      <c r="K48" s="395"/>
      <c r="L48" s="399"/>
      <c r="M48" s="413"/>
    </row>
    <row r="49" spans="1:13" ht="18.75" customHeight="1">
      <c r="A49" s="8">
        <f>'Detail-Skeleton'!A104</f>
        <v>7</v>
      </c>
      <c r="B49" s="12" t="str">
        <f>'Detail-Skeleton'!B104</f>
        <v>Concrete Casting Work for Footing</v>
      </c>
      <c r="C49" s="8"/>
      <c r="D49" s="33"/>
      <c r="E49" s="11"/>
      <c r="F49" s="149"/>
      <c r="G49" s="9"/>
      <c r="H49" s="383"/>
      <c r="I49" s="384"/>
      <c r="J49" s="395"/>
      <c r="K49" s="395"/>
      <c r="L49" s="399"/>
      <c r="M49" s="413"/>
    </row>
    <row r="50" spans="1:13" ht="18.75" customHeight="1">
      <c r="A50" s="8"/>
      <c r="B50" s="12" t="str">
        <f>'Detail-Skeleton'!B105</f>
        <v>( a ) (1:2:4) R.C Conc; Work</v>
      </c>
      <c r="C50" s="21" t="str">
        <f>'Detail-Skeleton'!K111</f>
        <v>%Fc</v>
      </c>
      <c r="D50" s="33">
        <f>'Detail-Skeleton'!J111</f>
        <v>2.85</v>
      </c>
      <c r="E50" s="11"/>
      <c r="F50" s="149"/>
      <c r="G50" s="9"/>
      <c r="H50" s="383">
        <f>SUM(G52:G59)</f>
        <v>2380750</v>
      </c>
      <c r="I50" s="384"/>
      <c r="J50" s="394">
        <f>SUM(G57:G59)</f>
        <v>691250</v>
      </c>
      <c r="K50" s="395"/>
      <c r="L50" s="409">
        <f>ROUND(H50/$H$519,5)</f>
        <v>1.5800000000000002E-2</v>
      </c>
      <c r="M50" s="412">
        <f>ROUND(J50/$J$519,5)</f>
        <v>1.5100000000000001E-2</v>
      </c>
    </row>
    <row r="51" spans="1:13" ht="18.75" customHeight="1">
      <c r="A51" s="8"/>
      <c r="B51" s="8" t="s">
        <v>26</v>
      </c>
      <c r="C51" s="8"/>
      <c r="D51" s="33"/>
      <c r="E51" s="11"/>
      <c r="F51" s="149"/>
      <c r="G51" s="9"/>
      <c r="H51" s="383"/>
      <c r="I51" s="384"/>
      <c r="J51" s="395"/>
      <c r="K51" s="395"/>
      <c r="L51" s="399"/>
      <c r="M51" s="413"/>
    </row>
    <row r="52" spans="1:13" ht="18.75" customHeight="1">
      <c r="A52" s="8"/>
      <c r="B52" s="243" t="s">
        <v>8</v>
      </c>
      <c r="C52" s="8" t="s">
        <v>9</v>
      </c>
      <c r="D52" s="33">
        <f>ROUNDDOWN(D50*2070/112,0)</f>
        <v>52</v>
      </c>
      <c r="E52" s="11">
        <f>E525</f>
        <v>24000</v>
      </c>
      <c r="F52" s="149" t="str">
        <f>C52</f>
        <v>Bag</v>
      </c>
      <c r="G52" s="9">
        <f>E52*D52</f>
        <v>1248000</v>
      </c>
      <c r="H52" s="383"/>
      <c r="I52" s="384"/>
      <c r="J52" s="395"/>
      <c r="K52" s="395"/>
      <c r="L52" s="399"/>
      <c r="M52" s="413"/>
    </row>
    <row r="53" spans="1:13" ht="18.75" customHeight="1">
      <c r="A53" s="8"/>
      <c r="B53" s="10" t="s">
        <v>31</v>
      </c>
      <c r="C53" s="8" t="s">
        <v>10</v>
      </c>
      <c r="D53" s="33">
        <f>D50*0.46</f>
        <v>1.31</v>
      </c>
      <c r="E53" s="11">
        <f>E26</f>
        <v>30000</v>
      </c>
      <c r="F53" s="149" t="str">
        <f>C53</f>
        <v>Sud</v>
      </c>
      <c r="G53" s="9">
        <f>E53*D53</f>
        <v>39300</v>
      </c>
      <c r="H53" s="383"/>
      <c r="I53" s="384"/>
      <c r="J53" s="395"/>
      <c r="K53" s="395"/>
      <c r="L53" s="399"/>
      <c r="M53" s="413"/>
    </row>
    <row r="54" spans="1:13" ht="18.75" customHeight="1">
      <c r="A54" s="8"/>
      <c r="B54" s="10" t="s">
        <v>95</v>
      </c>
      <c r="C54" s="8" t="s">
        <v>10</v>
      </c>
      <c r="D54" s="33">
        <f>D50*0.92</f>
        <v>2.62</v>
      </c>
      <c r="E54" s="11">
        <f>E528</f>
        <v>110000</v>
      </c>
      <c r="F54" s="149" t="str">
        <f>C54</f>
        <v>Sud</v>
      </c>
      <c r="G54" s="9">
        <f>E54*D54</f>
        <v>288200</v>
      </c>
      <c r="H54" s="383"/>
      <c r="I54" s="384"/>
      <c r="J54" s="395"/>
      <c r="K54" s="395"/>
      <c r="L54" s="399"/>
      <c r="M54" s="413"/>
    </row>
    <row r="55" spans="1:13" ht="18.75" customHeight="1">
      <c r="A55" s="8"/>
      <c r="B55" s="10" t="s">
        <v>34</v>
      </c>
      <c r="C55" s="8" t="s">
        <v>28</v>
      </c>
      <c r="D55" s="33">
        <f>D50*2</f>
        <v>5.7</v>
      </c>
      <c r="E55" s="11">
        <f>E530</f>
        <v>20000</v>
      </c>
      <c r="F55" s="149" t="str">
        <f>C55</f>
        <v>Gal</v>
      </c>
      <c r="G55" s="9">
        <f>E55*D55</f>
        <v>114000</v>
      </c>
      <c r="H55" s="383"/>
      <c r="I55" s="384"/>
      <c r="J55" s="395"/>
      <c r="K55" s="395"/>
      <c r="L55" s="399"/>
      <c r="M55" s="413"/>
    </row>
    <row r="56" spans="1:13" ht="18.75" customHeight="1">
      <c r="A56" s="8"/>
      <c r="B56" s="91" t="s">
        <v>22</v>
      </c>
      <c r="C56" s="91"/>
      <c r="D56" s="95"/>
      <c r="E56" s="59"/>
      <c r="F56" s="370"/>
      <c r="G56" s="244"/>
      <c r="H56" s="383"/>
      <c r="I56" s="384"/>
      <c r="J56" s="395"/>
      <c r="K56" s="395"/>
      <c r="L56" s="399"/>
      <c r="M56" s="413"/>
    </row>
    <row r="57" spans="1:13" ht="18.75" customHeight="1">
      <c r="A57" s="8"/>
      <c r="B57" s="143" t="s">
        <v>394</v>
      </c>
      <c r="C57" s="145" t="s">
        <v>2</v>
      </c>
      <c r="D57" s="259">
        <f>D50*2</f>
        <v>5.7</v>
      </c>
      <c r="E57" s="146">
        <f>E558</f>
        <v>25000</v>
      </c>
      <c r="F57" s="345" t="str">
        <f>C57</f>
        <v>No</v>
      </c>
      <c r="G57" s="9">
        <f>E57*D57</f>
        <v>142500</v>
      </c>
      <c r="H57" s="387"/>
      <c r="I57" s="384"/>
      <c r="J57" s="395"/>
      <c r="K57" s="395"/>
      <c r="L57" s="399"/>
      <c r="M57" s="413"/>
    </row>
    <row r="58" spans="1:13" ht="18.75" customHeight="1">
      <c r="A58" s="8"/>
      <c r="B58" s="143" t="s">
        <v>395</v>
      </c>
      <c r="C58" s="140" t="s">
        <v>2</v>
      </c>
      <c r="D58" s="267">
        <f>D50*0.5</f>
        <v>1.43</v>
      </c>
      <c r="E58" s="146">
        <f>E561</f>
        <v>25000</v>
      </c>
      <c r="F58" s="346" t="str">
        <f>C58</f>
        <v>No</v>
      </c>
      <c r="G58" s="9">
        <f>E58*D58</f>
        <v>35750</v>
      </c>
      <c r="H58" s="387"/>
      <c r="I58" s="384"/>
      <c r="J58" s="395"/>
      <c r="K58" s="395"/>
      <c r="L58" s="399"/>
      <c r="M58" s="413"/>
    </row>
    <row r="59" spans="1:13" ht="18.75" customHeight="1">
      <c r="A59" s="8"/>
      <c r="B59" s="143" t="s">
        <v>390</v>
      </c>
      <c r="C59" s="140" t="s">
        <v>2</v>
      </c>
      <c r="D59" s="259">
        <f>D50*9</f>
        <v>25.65</v>
      </c>
      <c r="E59" s="146">
        <f>E560</f>
        <v>20000</v>
      </c>
      <c r="F59" s="347" t="str">
        <f>C59</f>
        <v>No</v>
      </c>
      <c r="G59" s="9">
        <f>E59*D59</f>
        <v>513000</v>
      </c>
      <c r="H59" s="385"/>
      <c r="I59" s="384"/>
      <c r="J59" s="395"/>
      <c r="K59" s="395"/>
      <c r="L59" s="399"/>
      <c r="M59" s="413"/>
    </row>
    <row r="60" spans="1:13" ht="18.75" customHeight="1">
      <c r="A60" s="8"/>
      <c r="B60" s="8"/>
      <c r="C60" s="8"/>
      <c r="D60" s="33"/>
      <c r="E60" s="11"/>
      <c r="F60" s="149"/>
      <c r="G60" s="9"/>
      <c r="H60" s="383"/>
      <c r="I60" s="384"/>
      <c r="J60" s="395"/>
      <c r="K60" s="395"/>
      <c r="L60" s="399"/>
      <c r="M60" s="413"/>
    </row>
    <row r="61" spans="1:13" ht="18.75" customHeight="1">
      <c r="A61" s="8"/>
      <c r="B61" s="12" t="str">
        <f>'Detail-Skeleton'!B113</f>
        <v xml:space="preserve">( b ) Formwork </v>
      </c>
      <c r="C61" s="21" t="str">
        <f>'Detail-Skeleton'!K119</f>
        <v>%Fs</v>
      </c>
      <c r="D61" s="33">
        <f>'Detail-Skeleton'!J119</f>
        <v>2.41</v>
      </c>
      <c r="E61" s="11"/>
      <c r="F61" s="149"/>
      <c r="G61" s="9"/>
      <c r="H61" s="383">
        <f>SUM(G63:G68)</f>
        <v>1379946</v>
      </c>
      <c r="I61" s="384"/>
      <c r="J61" s="394">
        <f>SUM(G67:G68)</f>
        <v>337400</v>
      </c>
      <c r="K61" s="395"/>
      <c r="L61" s="409">
        <f>ROUND(H61/$H$519,5)</f>
        <v>9.1999999999999998E-3</v>
      </c>
      <c r="M61" s="412">
        <f>ROUND(J61/$J$519,5)</f>
        <v>7.4000000000000003E-3</v>
      </c>
    </row>
    <row r="62" spans="1:13" ht="18.75" customHeight="1">
      <c r="A62" s="8"/>
      <c r="B62" s="8" t="s">
        <v>26</v>
      </c>
      <c r="C62" s="8"/>
      <c r="D62" s="33"/>
      <c r="E62" s="11"/>
      <c r="F62" s="149"/>
      <c r="G62" s="9"/>
      <c r="H62" s="383"/>
      <c r="I62" s="384"/>
      <c r="J62" s="395"/>
      <c r="K62" s="395"/>
      <c r="L62" s="399"/>
      <c r="M62" s="413"/>
    </row>
    <row r="63" spans="1:13" ht="18.75" customHeight="1">
      <c r="A63" s="8"/>
      <c r="B63" s="10" t="s">
        <v>53</v>
      </c>
      <c r="C63" s="8" t="s">
        <v>14</v>
      </c>
      <c r="D63" s="33">
        <f>D61*20/50/2</f>
        <v>0.48</v>
      </c>
      <c r="E63" s="11">
        <f>E532</f>
        <v>1500000</v>
      </c>
      <c r="F63" s="149" t="str">
        <f>C63</f>
        <v>Ton</v>
      </c>
      <c r="G63" s="9">
        <f>E63*D63</f>
        <v>720000</v>
      </c>
      <c r="H63" s="383"/>
      <c r="I63" s="384"/>
      <c r="J63" s="395"/>
      <c r="K63" s="395"/>
      <c r="L63" s="399"/>
      <c r="M63" s="413"/>
    </row>
    <row r="64" spans="1:13" ht="18.75" customHeight="1">
      <c r="A64" s="8"/>
      <c r="B64" s="10" t="s">
        <v>62</v>
      </c>
      <c r="C64" s="245" t="s">
        <v>13</v>
      </c>
      <c r="D64" s="33">
        <f>D61/0.32/2*1.15</f>
        <v>4.33</v>
      </c>
      <c r="E64" s="11">
        <f>E531</f>
        <v>70000</v>
      </c>
      <c r="F64" s="149" t="str">
        <f>C64</f>
        <v>Sht</v>
      </c>
      <c r="G64" s="9">
        <f>E64*D64</f>
        <v>303100</v>
      </c>
      <c r="H64" s="383"/>
      <c r="I64" s="384"/>
      <c r="J64" s="395"/>
      <c r="K64" s="395"/>
      <c r="L64" s="399"/>
      <c r="M64" s="413"/>
    </row>
    <row r="65" spans="1:13" ht="18.75" customHeight="1">
      <c r="A65" s="8"/>
      <c r="B65" s="10" t="s">
        <v>35</v>
      </c>
      <c r="C65" s="8" t="s">
        <v>15</v>
      </c>
      <c r="D65" s="33">
        <f>ROUNDDOWN(D61*3,0)</f>
        <v>7</v>
      </c>
      <c r="E65" s="11">
        <f>E533</f>
        <v>2778</v>
      </c>
      <c r="F65" s="149" t="str">
        <f>C65</f>
        <v>Lb</v>
      </c>
      <c r="G65" s="9">
        <f>E65*D65</f>
        <v>19446</v>
      </c>
      <c r="H65" s="383"/>
      <c r="I65" s="384"/>
      <c r="J65" s="395"/>
      <c r="K65" s="395"/>
      <c r="L65" s="399"/>
      <c r="M65" s="413"/>
    </row>
    <row r="66" spans="1:13" ht="18.75" customHeight="1">
      <c r="A66" s="8"/>
      <c r="B66" s="91" t="s">
        <v>22</v>
      </c>
      <c r="C66" s="91"/>
      <c r="D66" s="95"/>
      <c r="E66" s="11"/>
      <c r="F66" s="149"/>
      <c r="G66" s="9"/>
      <c r="H66" s="383"/>
      <c r="I66" s="384"/>
      <c r="J66" s="395"/>
      <c r="K66" s="395"/>
      <c r="L66" s="399"/>
      <c r="M66" s="413"/>
    </row>
    <row r="67" spans="1:13" ht="18.75" customHeight="1">
      <c r="A67" s="8"/>
      <c r="B67" s="143" t="s">
        <v>391</v>
      </c>
      <c r="C67" s="140" t="s">
        <v>2</v>
      </c>
      <c r="D67" s="259">
        <f>D61*4</f>
        <v>9.64</v>
      </c>
      <c r="E67" s="142">
        <f>E557</f>
        <v>25000</v>
      </c>
      <c r="F67" s="347" t="str">
        <f>C67</f>
        <v>No</v>
      </c>
      <c r="G67" s="9">
        <f>E67*D67</f>
        <v>241000</v>
      </c>
      <c r="H67" s="386"/>
      <c r="I67" s="384"/>
      <c r="J67" s="395"/>
      <c r="K67" s="395"/>
      <c r="L67" s="399"/>
      <c r="M67" s="413"/>
    </row>
    <row r="68" spans="1:13" ht="18.75" customHeight="1">
      <c r="A68" s="8"/>
      <c r="B68" s="143" t="s">
        <v>390</v>
      </c>
      <c r="C68" s="140" t="s">
        <v>2</v>
      </c>
      <c r="D68" s="259">
        <f>D61*2</f>
        <v>4.82</v>
      </c>
      <c r="E68" s="142">
        <f>E560</f>
        <v>20000</v>
      </c>
      <c r="F68" s="347" t="str">
        <f>C68</f>
        <v>No</v>
      </c>
      <c r="G68" s="9">
        <f>E68*D68</f>
        <v>96400</v>
      </c>
      <c r="H68" s="385"/>
      <c r="I68" s="384"/>
      <c r="J68" s="395"/>
      <c r="K68" s="395"/>
      <c r="L68" s="399"/>
      <c r="M68" s="413"/>
    </row>
    <row r="69" spans="1:13" ht="20.149999999999999" customHeight="1">
      <c r="A69" s="8"/>
      <c r="B69" s="12" t="str">
        <f>'Detail-Skeleton'!B121</f>
        <v>( c ) Rebar Work</v>
      </c>
      <c r="C69" s="21" t="str">
        <f>'Detail-Skeleton'!K131</f>
        <v>Ton</v>
      </c>
      <c r="D69" s="33">
        <f>'Detail-Skeleton'!J131</f>
        <v>0.5</v>
      </c>
      <c r="E69" s="11"/>
      <c r="F69" s="149"/>
      <c r="G69" s="9"/>
      <c r="H69" s="383">
        <f>SUM(G72:G76)</f>
        <v>1967330</v>
      </c>
      <c r="I69" s="384"/>
      <c r="J69" s="394">
        <f>SUM(G75:G76)</f>
        <v>450000</v>
      </c>
      <c r="K69" s="395"/>
      <c r="L69" s="409">
        <f>ROUND(H69/$H$519,5)</f>
        <v>1.3100000000000001E-2</v>
      </c>
      <c r="M69" s="412">
        <f>ROUND(J69/$J$519,5)</f>
        <v>9.7999999999999997E-3</v>
      </c>
    </row>
    <row r="70" spans="1:13" ht="20.149999999999999" customHeight="1">
      <c r="A70" s="8"/>
      <c r="B70" s="50" t="str">
        <f>'Detail-Skeleton'!H131</f>
        <v>16mmØ</v>
      </c>
      <c r="C70" s="8" t="s">
        <v>14</v>
      </c>
      <c r="D70" s="33">
        <f>'Detail-Skeleton'!I131</f>
        <v>0.5</v>
      </c>
      <c r="E70" s="11"/>
      <c r="F70" s="149"/>
      <c r="G70" s="9"/>
      <c r="H70" s="383"/>
      <c r="I70" s="384"/>
      <c r="J70" s="395"/>
      <c r="K70" s="395"/>
      <c r="L70" s="399"/>
      <c r="M70" s="413"/>
    </row>
    <row r="71" spans="1:13" ht="20.149999999999999" customHeight="1">
      <c r="A71" s="8"/>
      <c r="B71" s="8" t="s">
        <v>26</v>
      </c>
      <c r="C71" s="8"/>
      <c r="D71" s="33"/>
      <c r="E71" s="11"/>
      <c r="F71" s="149"/>
      <c r="G71" s="9"/>
      <c r="H71" s="383"/>
      <c r="I71" s="384"/>
      <c r="J71" s="395"/>
      <c r="K71" s="395"/>
      <c r="L71" s="399"/>
      <c r="M71" s="413"/>
    </row>
    <row r="72" spans="1:13" ht="20.149999999999999" customHeight="1">
      <c r="A72" s="8"/>
      <c r="B72" s="10" t="s">
        <v>549</v>
      </c>
      <c r="C72" s="8" t="s">
        <v>14</v>
      </c>
      <c r="D72" s="33">
        <f>D70*1.05</f>
        <v>0.53</v>
      </c>
      <c r="E72" s="11">
        <f>E538</f>
        <v>2800000</v>
      </c>
      <c r="F72" s="149" t="str">
        <f>C72</f>
        <v>Ton</v>
      </c>
      <c r="G72" s="9">
        <f>E72*D72</f>
        <v>1484000</v>
      </c>
      <c r="H72" s="383"/>
      <c r="I72" s="384"/>
      <c r="J72" s="395"/>
      <c r="K72" s="395"/>
      <c r="L72" s="399"/>
      <c r="M72" s="413"/>
    </row>
    <row r="73" spans="1:13" ht="20.149999999999999" customHeight="1">
      <c r="A73" s="8"/>
      <c r="B73" s="10" t="s">
        <v>32</v>
      </c>
      <c r="C73" s="8" t="s">
        <v>15</v>
      </c>
      <c r="D73" s="33">
        <f>D69*20*1</f>
        <v>10</v>
      </c>
      <c r="E73" s="11">
        <f>E540</f>
        <v>3333</v>
      </c>
      <c r="F73" s="149" t="str">
        <f>C73</f>
        <v>Lb</v>
      </c>
      <c r="G73" s="9">
        <f>E73*D73</f>
        <v>33330</v>
      </c>
      <c r="H73" s="383"/>
      <c r="I73" s="384"/>
      <c r="J73" s="395"/>
      <c r="K73" s="395"/>
      <c r="L73" s="399"/>
      <c r="M73" s="413"/>
    </row>
    <row r="74" spans="1:13" ht="20.149999999999999" customHeight="1">
      <c r="A74" s="39"/>
      <c r="B74" s="91" t="s">
        <v>22</v>
      </c>
      <c r="C74" s="8"/>
      <c r="D74" s="33"/>
      <c r="E74" s="116"/>
      <c r="F74" s="369"/>
      <c r="G74" s="9"/>
      <c r="H74" s="383"/>
      <c r="I74" s="384"/>
      <c r="J74" s="395"/>
      <c r="K74" s="395"/>
      <c r="L74" s="399"/>
      <c r="M74" s="413"/>
    </row>
    <row r="75" spans="1:13" ht="20.149999999999999" customHeight="1">
      <c r="A75" s="39"/>
      <c r="B75" s="143" t="s">
        <v>396</v>
      </c>
      <c r="C75" s="140" t="s">
        <v>2</v>
      </c>
      <c r="D75" s="259">
        <f>D70*20*1</f>
        <v>10</v>
      </c>
      <c r="E75" s="242">
        <f>E559</f>
        <v>25000</v>
      </c>
      <c r="F75" s="346" t="str">
        <f>C75</f>
        <v>No</v>
      </c>
      <c r="G75" s="9">
        <f>E75*D75</f>
        <v>250000</v>
      </c>
      <c r="H75" s="383"/>
      <c r="I75" s="384"/>
      <c r="J75" s="395"/>
      <c r="K75" s="395"/>
      <c r="L75" s="399"/>
      <c r="M75" s="413"/>
    </row>
    <row r="76" spans="1:13" ht="20.149999999999999" customHeight="1">
      <c r="A76" s="39"/>
      <c r="B76" s="143" t="s">
        <v>390</v>
      </c>
      <c r="C76" s="140" t="s">
        <v>2</v>
      </c>
      <c r="D76" s="259">
        <f>D75</f>
        <v>10</v>
      </c>
      <c r="E76" s="242">
        <f>E560</f>
        <v>20000</v>
      </c>
      <c r="F76" s="347" t="str">
        <f>C76</f>
        <v>No</v>
      </c>
      <c r="G76" s="9">
        <f>E76*D76</f>
        <v>200000</v>
      </c>
      <c r="H76" s="385"/>
      <c r="I76" s="384"/>
      <c r="J76" s="395"/>
      <c r="K76" s="395"/>
      <c r="L76" s="399"/>
      <c r="M76" s="413"/>
    </row>
    <row r="77" spans="1:13" ht="20.149999999999999" customHeight="1">
      <c r="A77" s="8"/>
      <c r="B77" s="8"/>
      <c r="C77" s="8"/>
      <c r="D77" s="33"/>
      <c r="E77" s="11"/>
      <c r="F77" s="149"/>
      <c r="G77" s="9"/>
      <c r="H77" s="383"/>
      <c r="I77" s="384"/>
      <c r="J77" s="395"/>
      <c r="K77" s="395"/>
      <c r="L77" s="399"/>
      <c r="M77" s="413"/>
    </row>
    <row r="78" spans="1:13" ht="21" customHeight="1">
      <c r="A78" s="37">
        <f>'Detail-Skeleton'!A132</f>
        <v>8</v>
      </c>
      <c r="B78" s="38" t="str">
        <f>'Detail-Skeleton'!B132</f>
        <v>Concrete Casting Work For Column</v>
      </c>
      <c r="C78" s="37"/>
      <c r="D78" s="24"/>
      <c r="E78" s="115"/>
      <c r="F78" s="371"/>
      <c r="G78" s="9"/>
      <c r="H78" s="383"/>
      <c r="I78" s="384"/>
      <c r="J78" s="395"/>
      <c r="K78" s="395"/>
      <c r="L78" s="399"/>
      <c r="M78" s="413"/>
    </row>
    <row r="79" spans="1:13" ht="21" customHeight="1">
      <c r="A79" s="8"/>
      <c r="B79" s="12" t="str">
        <f>'Detail-Skeleton'!B133</f>
        <v>( a ) (1:2:4) R.C Conc; Work</v>
      </c>
      <c r="C79" s="21" t="str">
        <f>'Detail-Skeleton'!K148</f>
        <v>%Fc</v>
      </c>
      <c r="D79" s="33">
        <f>'Detail-Skeleton'!J148</f>
        <v>4.3499999999999996</v>
      </c>
      <c r="E79" s="11"/>
      <c r="F79" s="149"/>
      <c r="G79" s="9"/>
      <c r="H79" s="383"/>
      <c r="I79" s="384"/>
      <c r="J79" s="395"/>
      <c r="K79" s="395"/>
      <c r="L79" s="399"/>
      <c r="M79" s="413"/>
    </row>
    <row r="80" spans="1:13" ht="21" customHeight="1">
      <c r="A80" s="8"/>
      <c r="B80" s="12" t="s">
        <v>162</v>
      </c>
      <c r="C80" s="21" t="str">
        <f>C79</f>
        <v>%Fc</v>
      </c>
      <c r="D80" s="33">
        <f>'Detail-Skeleton'!J139/100</f>
        <v>1.19</v>
      </c>
      <c r="E80" s="11"/>
      <c r="F80" s="149"/>
      <c r="G80" s="9"/>
      <c r="H80" s="383">
        <f>SUM(G81:G88)</f>
        <v>1048100</v>
      </c>
      <c r="I80" s="384"/>
      <c r="J80" s="394">
        <f>SUM(G86:G88)</f>
        <v>360100</v>
      </c>
      <c r="K80" s="395"/>
      <c r="L80" s="409">
        <f>ROUND(H80/$H$519,5)</f>
        <v>7.0000000000000001E-3</v>
      </c>
      <c r="M80" s="412">
        <f>ROUND(J80/$J$519,5)</f>
        <v>7.9000000000000008E-3</v>
      </c>
    </row>
    <row r="81" spans="1:13" ht="21" customHeight="1">
      <c r="A81" s="8"/>
      <c r="B81" s="243" t="s">
        <v>8</v>
      </c>
      <c r="C81" s="8" t="s">
        <v>9</v>
      </c>
      <c r="D81" s="33">
        <f>ROUNDDOWN(D80*2070/112,0)</f>
        <v>21</v>
      </c>
      <c r="E81" s="11">
        <f>E525</f>
        <v>24000</v>
      </c>
      <c r="F81" s="149" t="str">
        <f>C81</f>
        <v>Bag</v>
      </c>
      <c r="G81" s="9">
        <f>E81*D81</f>
        <v>504000</v>
      </c>
      <c r="H81" s="383"/>
      <c r="I81" s="384"/>
      <c r="J81" s="395"/>
      <c r="K81" s="395"/>
      <c r="L81" s="399"/>
      <c r="M81" s="413"/>
    </row>
    <row r="82" spans="1:13" ht="21" customHeight="1">
      <c r="A82" s="8"/>
      <c r="B82" s="10" t="s">
        <v>31</v>
      </c>
      <c r="C82" s="8" t="s">
        <v>10</v>
      </c>
      <c r="D82" s="33">
        <f>D80*0.46</f>
        <v>0.55000000000000004</v>
      </c>
      <c r="E82" s="11">
        <f>E526</f>
        <v>30000</v>
      </c>
      <c r="F82" s="149" t="str">
        <f>C82</f>
        <v>Sud</v>
      </c>
      <c r="G82" s="9">
        <f>E82*D82</f>
        <v>16500</v>
      </c>
      <c r="H82" s="383"/>
      <c r="I82" s="384"/>
      <c r="J82" s="395"/>
      <c r="K82" s="395"/>
      <c r="L82" s="399"/>
      <c r="M82" s="413"/>
    </row>
    <row r="83" spans="1:13" ht="21" customHeight="1">
      <c r="A83" s="8"/>
      <c r="B83" s="10" t="s">
        <v>95</v>
      </c>
      <c r="C83" s="8" t="s">
        <v>10</v>
      </c>
      <c r="D83" s="33">
        <f>D80*0.92</f>
        <v>1.0900000000000001</v>
      </c>
      <c r="E83" s="11">
        <f>E528</f>
        <v>110000</v>
      </c>
      <c r="F83" s="149" t="str">
        <f>C83</f>
        <v>Sud</v>
      </c>
      <c r="G83" s="9">
        <f>E83*D83</f>
        <v>119900</v>
      </c>
      <c r="H83" s="383"/>
      <c r="I83" s="384"/>
      <c r="J83" s="395"/>
      <c r="K83" s="395"/>
      <c r="L83" s="399"/>
      <c r="M83" s="413"/>
    </row>
    <row r="84" spans="1:13" ht="21" customHeight="1">
      <c r="A84" s="8"/>
      <c r="B84" s="10" t="s">
        <v>34</v>
      </c>
      <c r="C84" s="8" t="s">
        <v>28</v>
      </c>
      <c r="D84" s="33">
        <f>D80*2</f>
        <v>2.38</v>
      </c>
      <c r="E84" s="11">
        <f>E530</f>
        <v>20000</v>
      </c>
      <c r="F84" s="149" t="str">
        <f>C84</f>
        <v>Gal</v>
      </c>
      <c r="G84" s="9">
        <f>E84*D84</f>
        <v>47600</v>
      </c>
      <c r="H84" s="383"/>
      <c r="I84" s="384"/>
      <c r="J84" s="395"/>
      <c r="K84" s="395"/>
      <c r="L84" s="399"/>
      <c r="M84" s="413"/>
    </row>
    <row r="85" spans="1:13" ht="21" customHeight="1">
      <c r="A85" s="8"/>
      <c r="B85" s="91" t="s">
        <v>22</v>
      </c>
      <c r="C85" s="91"/>
      <c r="D85" s="95"/>
      <c r="E85" s="11"/>
      <c r="F85" s="149"/>
      <c r="G85" s="9"/>
      <c r="H85" s="383"/>
      <c r="I85" s="384"/>
      <c r="J85" s="395"/>
      <c r="K85" s="395"/>
      <c r="L85" s="399"/>
      <c r="M85" s="413"/>
    </row>
    <row r="86" spans="1:13" ht="21" customHeight="1">
      <c r="A86" s="8"/>
      <c r="B86" s="143" t="s">
        <v>394</v>
      </c>
      <c r="C86" s="145" t="s">
        <v>2</v>
      </c>
      <c r="D86" s="259">
        <f>D80*2</f>
        <v>2.38</v>
      </c>
      <c r="E86" s="142">
        <f>E558</f>
        <v>25000</v>
      </c>
      <c r="F86" s="345" t="str">
        <f>C86</f>
        <v>No</v>
      </c>
      <c r="G86" s="9">
        <f>E86*D86</f>
        <v>59500</v>
      </c>
      <c r="H86" s="387"/>
      <c r="I86" s="384"/>
      <c r="J86" s="395"/>
      <c r="K86" s="395"/>
      <c r="L86" s="399"/>
      <c r="M86" s="413"/>
    </row>
    <row r="87" spans="1:13" ht="21" customHeight="1">
      <c r="A87" s="8"/>
      <c r="B87" s="143" t="s">
        <v>395</v>
      </c>
      <c r="C87" s="140" t="s">
        <v>2</v>
      </c>
      <c r="D87" s="267">
        <f>D80*0.5</f>
        <v>0.6</v>
      </c>
      <c r="E87" s="142">
        <f>E561</f>
        <v>25000</v>
      </c>
      <c r="F87" s="347" t="str">
        <f>C87</f>
        <v>No</v>
      </c>
      <c r="G87" s="9">
        <f>E87*D87</f>
        <v>15000</v>
      </c>
      <c r="H87" s="387"/>
      <c r="I87" s="384"/>
      <c r="J87" s="395"/>
      <c r="K87" s="395"/>
      <c r="L87" s="399"/>
      <c r="M87" s="413"/>
    </row>
    <row r="88" spans="1:13" ht="21" customHeight="1">
      <c r="A88" s="8"/>
      <c r="B88" s="143" t="s">
        <v>390</v>
      </c>
      <c r="C88" s="140" t="s">
        <v>2</v>
      </c>
      <c r="D88" s="259">
        <f>D80*12</f>
        <v>14.28</v>
      </c>
      <c r="E88" s="142">
        <f>E560</f>
        <v>20000</v>
      </c>
      <c r="F88" s="347" t="str">
        <f>C88</f>
        <v>No</v>
      </c>
      <c r="G88" s="9">
        <f>E88*D88</f>
        <v>285600</v>
      </c>
      <c r="H88" s="385"/>
      <c r="I88" s="384"/>
      <c r="J88" s="395"/>
      <c r="K88" s="395"/>
      <c r="L88" s="399"/>
      <c r="M88" s="413"/>
    </row>
    <row r="89" spans="1:13" ht="21" customHeight="1">
      <c r="A89" s="8"/>
      <c r="B89" s="12" t="s">
        <v>163</v>
      </c>
      <c r="C89" s="21" t="str">
        <f>C79</f>
        <v>%Fc</v>
      </c>
      <c r="D89" s="33">
        <f>'Detail-Skeleton'!J143/100</f>
        <v>1.73</v>
      </c>
      <c r="E89" s="11"/>
      <c r="F89" s="149"/>
      <c r="G89" s="9"/>
      <c r="H89" s="383">
        <f>SUM(G90:G97)</f>
        <v>1535550</v>
      </c>
      <c r="I89" s="384"/>
      <c r="J89" s="394">
        <f>SUM(G95:G97)</f>
        <v>523450</v>
      </c>
      <c r="K89" s="395"/>
      <c r="L89" s="409">
        <f>ROUND(H89/$H$519,5)</f>
        <v>1.0200000000000001E-2</v>
      </c>
      <c r="M89" s="412">
        <f>ROUND(J89/$J$519,5)</f>
        <v>1.14E-2</v>
      </c>
    </row>
    <row r="90" spans="1:13" ht="21" customHeight="1">
      <c r="A90" s="8"/>
      <c r="B90" s="243" t="s">
        <v>8</v>
      </c>
      <c r="C90" s="8" t="s">
        <v>9</v>
      </c>
      <c r="D90" s="33">
        <f>ROUNDDOWN(D89*2070/112,0)</f>
        <v>31</v>
      </c>
      <c r="E90" s="11">
        <f>E525</f>
        <v>24000</v>
      </c>
      <c r="F90" s="149" t="str">
        <f>C90</f>
        <v>Bag</v>
      </c>
      <c r="G90" s="9">
        <f>E90*D90</f>
        <v>744000</v>
      </c>
      <c r="H90" s="383"/>
      <c r="I90" s="384"/>
      <c r="J90" s="395"/>
      <c r="K90" s="395"/>
      <c r="L90" s="399"/>
      <c r="M90" s="413"/>
    </row>
    <row r="91" spans="1:13" ht="21" customHeight="1">
      <c r="A91" s="8"/>
      <c r="B91" s="10" t="s">
        <v>31</v>
      </c>
      <c r="C91" s="8" t="s">
        <v>10</v>
      </c>
      <c r="D91" s="33">
        <f>D89*0.46</f>
        <v>0.8</v>
      </c>
      <c r="E91" s="11">
        <f>E526</f>
        <v>30000</v>
      </c>
      <c r="F91" s="149" t="str">
        <f>C91</f>
        <v>Sud</v>
      </c>
      <c r="G91" s="9">
        <f>E91*D91</f>
        <v>24000</v>
      </c>
      <c r="H91" s="383"/>
      <c r="I91" s="384"/>
      <c r="J91" s="395"/>
      <c r="K91" s="395"/>
      <c r="L91" s="399"/>
      <c r="M91" s="413"/>
    </row>
    <row r="92" spans="1:13" ht="21" customHeight="1">
      <c r="A92" s="8"/>
      <c r="B92" s="10" t="s">
        <v>95</v>
      </c>
      <c r="C92" s="8" t="s">
        <v>10</v>
      </c>
      <c r="D92" s="33">
        <f>D89*0.92</f>
        <v>1.59</v>
      </c>
      <c r="E92" s="11">
        <f>E528</f>
        <v>110000</v>
      </c>
      <c r="F92" s="149" t="str">
        <f>C92</f>
        <v>Sud</v>
      </c>
      <c r="G92" s="9">
        <f>E92*D92</f>
        <v>174900</v>
      </c>
      <c r="H92" s="383"/>
      <c r="I92" s="384"/>
      <c r="J92" s="395"/>
      <c r="K92" s="395"/>
      <c r="L92" s="399"/>
      <c r="M92" s="413"/>
    </row>
    <row r="93" spans="1:13" ht="21" customHeight="1">
      <c r="A93" s="8"/>
      <c r="B93" s="10" t="s">
        <v>34</v>
      </c>
      <c r="C93" s="8" t="s">
        <v>28</v>
      </c>
      <c r="D93" s="33">
        <f>D89*2</f>
        <v>3.46</v>
      </c>
      <c r="E93" s="11">
        <f>E530</f>
        <v>20000</v>
      </c>
      <c r="F93" s="149" t="str">
        <f>C93</f>
        <v>Gal</v>
      </c>
      <c r="G93" s="9">
        <f>E93*D93</f>
        <v>69200</v>
      </c>
      <c r="H93" s="383"/>
      <c r="I93" s="384"/>
      <c r="J93" s="395"/>
      <c r="K93" s="395"/>
      <c r="L93" s="399"/>
      <c r="M93" s="413"/>
    </row>
    <row r="94" spans="1:13" ht="21" customHeight="1">
      <c r="A94" s="8"/>
      <c r="B94" s="91" t="s">
        <v>22</v>
      </c>
      <c r="C94" s="91"/>
      <c r="D94" s="95"/>
      <c r="E94" s="11"/>
      <c r="F94" s="149"/>
      <c r="G94" s="9"/>
      <c r="H94" s="383"/>
      <c r="I94" s="384"/>
      <c r="J94" s="395"/>
      <c r="K94" s="395"/>
      <c r="L94" s="399"/>
      <c r="M94" s="413"/>
    </row>
    <row r="95" spans="1:13" ht="21" customHeight="1">
      <c r="A95" s="8"/>
      <c r="B95" s="143" t="s">
        <v>394</v>
      </c>
      <c r="C95" s="145" t="s">
        <v>2</v>
      </c>
      <c r="D95" s="259">
        <f>D89*2</f>
        <v>3.46</v>
      </c>
      <c r="E95" s="142">
        <f>E558</f>
        <v>25000</v>
      </c>
      <c r="F95" s="345" t="str">
        <f>C95</f>
        <v>No</v>
      </c>
      <c r="G95" s="9">
        <f>E95*D95</f>
        <v>86500</v>
      </c>
      <c r="H95" s="387"/>
      <c r="I95" s="384"/>
      <c r="J95" s="395"/>
      <c r="K95" s="395"/>
      <c r="L95" s="399"/>
      <c r="M95" s="413"/>
    </row>
    <row r="96" spans="1:13" ht="21" customHeight="1">
      <c r="A96" s="8"/>
      <c r="B96" s="143" t="s">
        <v>395</v>
      </c>
      <c r="C96" s="140" t="s">
        <v>2</v>
      </c>
      <c r="D96" s="267">
        <f>D89*0.5</f>
        <v>0.87</v>
      </c>
      <c r="E96" s="142">
        <f>E561</f>
        <v>25000</v>
      </c>
      <c r="F96" s="346" t="str">
        <f>C96</f>
        <v>No</v>
      </c>
      <c r="G96" s="9">
        <f>E96*D96</f>
        <v>21750</v>
      </c>
      <c r="H96" s="387"/>
      <c r="I96" s="384"/>
      <c r="J96" s="395"/>
      <c r="K96" s="395"/>
      <c r="L96" s="399"/>
      <c r="M96" s="413"/>
    </row>
    <row r="97" spans="1:13" ht="21" customHeight="1">
      <c r="A97" s="8"/>
      <c r="B97" s="143" t="s">
        <v>390</v>
      </c>
      <c r="C97" s="140" t="s">
        <v>2</v>
      </c>
      <c r="D97" s="259">
        <f>D89*12</f>
        <v>20.76</v>
      </c>
      <c r="E97" s="142">
        <f>E560</f>
        <v>20000</v>
      </c>
      <c r="F97" s="347" t="str">
        <f>C97</f>
        <v>No</v>
      </c>
      <c r="G97" s="9">
        <f>E97*D97</f>
        <v>415200</v>
      </c>
      <c r="H97" s="385"/>
      <c r="I97" s="384"/>
      <c r="J97" s="395"/>
      <c r="K97" s="395"/>
      <c r="L97" s="399"/>
      <c r="M97" s="413"/>
    </row>
    <row r="98" spans="1:13" ht="21" customHeight="1">
      <c r="A98" s="8"/>
      <c r="B98" s="12" t="s">
        <v>164</v>
      </c>
      <c r="C98" s="21" t="str">
        <f>C79</f>
        <v>%Fc</v>
      </c>
      <c r="D98" s="33">
        <f>'Detail-Skeleton'!J146/100</f>
        <v>1.44</v>
      </c>
      <c r="E98" s="11"/>
      <c r="F98" s="149"/>
      <c r="G98" s="9"/>
      <c r="H98" s="383">
        <f>SUM(G99:G106)</f>
        <v>1282200</v>
      </c>
      <c r="I98" s="384"/>
      <c r="J98" s="394">
        <f>SUM(G104:G106)</f>
        <v>435600</v>
      </c>
      <c r="K98" s="395"/>
      <c r="L98" s="409">
        <f>ROUND(H98/$H$519,5)</f>
        <v>8.5000000000000006E-3</v>
      </c>
      <c r="M98" s="412">
        <f>ROUND(J98/$J$519,5)</f>
        <v>9.4999999999999998E-3</v>
      </c>
    </row>
    <row r="99" spans="1:13" ht="21" customHeight="1">
      <c r="A99" s="8"/>
      <c r="B99" s="243" t="s">
        <v>8</v>
      </c>
      <c r="C99" s="8" t="s">
        <v>9</v>
      </c>
      <c r="D99" s="33">
        <f>ROUNDDOWN(D98*2070/112,0)</f>
        <v>26</v>
      </c>
      <c r="E99" s="11">
        <f>E525</f>
        <v>24000</v>
      </c>
      <c r="F99" s="149" t="str">
        <f>C99</f>
        <v>Bag</v>
      </c>
      <c r="G99" s="9">
        <f>E99*D99</f>
        <v>624000</v>
      </c>
      <c r="H99" s="383"/>
      <c r="I99" s="384"/>
      <c r="J99" s="395"/>
      <c r="K99" s="395"/>
      <c r="L99" s="399"/>
      <c r="M99" s="413"/>
    </row>
    <row r="100" spans="1:13" ht="21" customHeight="1">
      <c r="A100" s="8"/>
      <c r="B100" s="10" t="s">
        <v>31</v>
      </c>
      <c r="C100" s="8" t="s">
        <v>10</v>
      </c>
      <c r="D100" s="33">
        <f>D98*0.46</f>
        <v>0.66</v>
      </c>
      <c r="E100" s="11">
        <f>E526</f>
        <v>30000</v>
      </c>
      <c r="F100" s="149" t="str">
        <f>C100</f>
        <v>Sud</v>
      </c>
      <c r="G100" s="9">
        <f>E100*D100</f>
        <v>19800</v>
      </c>
      <c r="H100" s="383"/>
      <c r="I100" s="384"/>
      <c r="J100" s="395"/>
      <c r="K100" s="395"/>
      <c r="L100" s="399"/>
      <c r="M100" s="413"/>
    </row>
    <row r="101" spans="1:13" ht="21" customHeight="1">
      <c r="A101" s="8"/>
      <c r="B101" s="10" t="s">
        <v>95</v>
      </c>
      <c r="C101" s="8" t="s">
        <v>10</v>
      </c>
      <c r="D101" s="33">
        <f>D98*0.92</f>
        <v>1.32</v>
      </c>
      <c r="E101" s="11">
        <f>E528</f>
        <v>110000</v>
      </c>
      <c r="F101" s="149" t="str">
        <f>C101</f>
        <v>Sud</v>
      </c>
      <c r="G101" s="9">
        <f>E101*D101</f>
        <v>145200</v>
      </c>
      <c r="H101" s="383"/>
      <c r="I101" s="384"/>
      <c r="J101" s="395"/>
      <c r="K101" s="395"/>
      <c r="L101" s="399"/>
      <c r="M101" s="413"/>
    </row>
    <row r="102" spans="1:13" ht="21" customHeight="1">
      <c r="A102" s="8"/>
      <c r="B102" s="10" t="s">
        <v>34</v>
      </c>
      <c r="C102" s="8" t="s">
        <v>28</v>
      </c>
      <c r="D102" s="33">
        <f>D98*2</f>
        <v>2.88</v>
      </c>
      <c r="E102" s="11">
        <f>E530</f>
        <v>20000</v>
      </c>
      <c r="F102" s="149" t="str">
        <f>C102</f>
        <v>Gal</v>
      </c>
      <c r="G102" s="9">
        <f>E102*D102</f>
        <v>57600</v>
      </c>
      <c r="H102" s="383"/>
      <c r="I102" s="384"/>
      <c r="J102" s="395"/>
      <c r="K102" s="395"/>
      <c r="L102" s="399"/>
      <c r="M102" s="413"/>
    </row>
    <row r="103" spans="1:13" ht="21" customHeight="1">
      <c r="A103" s="8"/>
      <c r="B103" s="91" t="s">
        <v>22</v>
      </c>
      <c r="C103" s="91"/>
      <c r="D103" s="95"/>
      <c r="E103" s="11"/>
      <c r="F103" s="149"/>
      <c r="G103" s="9"/>
      <c r="H103" s="383"/>
      <c r="I103" s="384"/>
      <c r="J103" s="395"/>
      <c r="K103" s="395"/>
      <c r="L103" s="399"/>
      <c r="M103" s="413"/>
    </row>
    <row r="104" spans="1:13" ht="21" customHeight="1">
      <c r="A104" s="8"/>
      <c r="B104" s="143" t="s">
        <v>394</v>
      </c>
      <c r="C104" s="145" t="s">
        <v>2</v>
      </c>
      <c r="D104" s="259">
        <f>D98*2</f>
        <v>2.88</v>
      </c>
      <c r="E104" s="142">
        <f>E558</f>
        <v>25000</v>
      </c>
      <c r="F104" s="345" t="str">
        <f>C104</f>
        <v>No</v>
      </c>
      <c r="G104" s="9">
        <f>E104*D104</f>
        <v>72000</v>
      </c>
      <c r="H104" s="387"/>
      <c r="I104" s="384"/>
      <c r="J104" s="395"/>
      <c r="K104" s="395"/>
      <c r="L104" s="399"/>
      <c r="M104" s="413"/>
    </row>
    <row r="105" spans="1:13" ht="21" customHeight="1">
      <c r="A105" s="8"/>
      <c r="B105" s="143" t="s">
        <v>395</v>
      </c>
      <c r="C105" s="140" t="s">
        <v>2</v>
      </c>
      <c r="D105" s="267">
        <f>D98*0.5</f>
        <v>0.72</v>
      </c>
      <c r="E105" s="142">
        <f>E561</f>
        <v>25000</v>
      </c>
      <c r="F105" s="346" t="str">
        <f>C105</f>
        <v>No</v>
      </c>
      <c r="G105" s="9">
        <f>E105*D105</f>
        <v>18000</v>
      </c>
      <c r="H105" s="387"/>
      <c r="I105" s="384"/>
      <c r="J105" s="395"/>
      <c r="K105" s="395"/>
      <c r="L105" s="399"/>
      <c r="M105" s="413"/>
    </row>
    <row r="106" spans="1:13" ht="21" customHeight="1">
      <c r="A106" s="8"/>
      <c r="B106" s="143" t="s">
        <v>390</v>
      </c>
      <c r="C106" s="140" t="s">
        <v>2</v>
      </c>
      <c r="D106" s="259">
        <f>D98*12</f>
        <v>17.28</v>
      </c>
      <c r="E106" s="142">
        <f>E560</f>
        <v>20000</v>
      </c>
      <c r="F106" s="347" t="str">
        <f>C106</f>
        <v>No</v>
      </c>
      <c r="G106" s="9">
        <f>E106*D106</f>
        <v>345600</v>
      </c>
      <c r="H106" s="385"/>
      <c r="I106" s="384"/>
      <c r="J106" s="395"/>
      <c r="K106" s="395"/>
      <c r="L106" s="399"/>
      <c r="M106" s="413"/>
    </row>
    <row r="107" spans="1:13" ht="21" customHeight="1">
      <c r="A107" s="8"/>
      <c r="B107" s="8"/>
      <c r="C107" s="8"/>
      <c r="D107" s="33"/>
      <c r="E107" s="11"/>
      <c r="F107" s="149"/>
      <c r="G107" s="9"/>
      <c r="H107" s="383"/>
      <c r="I107" s="384"/>
      <c r="J107" s="395"/>
      <c r="K107" s="395"/>
      <c r="L107" s="399"/>
      <c r="M107" s="413"/>
    </row>
    <row r="108" spans="1:13" ht="21" customHeight="1">
      <c r="A108" s="8"/>
      <c r="B108" s="12" t="str">
        <f>'Detail-Skeleton'!B150</f>
        <v xml:space="preserve">( b ) Formwork </v>
      </c>
      <c r="C108" s="21" t="str">
        <f>'Detail-Skeleton'!K165</f>
        <v>%Fs</v>
      </c>
      <c r="D108" s="33">
        <f>'Detail-Skeleton'!J165</f>
        <v>17.649999999999999</v>
      </c>
      <c r="E108" s="11"/>
      <c r="F108" s="149"/>
      <c r="G108" s="9"/>
      <c r="H108" s="383"/>
      <c r="I108" s="384"/>
      <c r="J108" s="395"/>
      <c r="K108" s="395"/>
      <c r="L108" s="399"/>
      <c r="M108" s="413"/>
    </row>
    <row r="109" spans="1:13" ht="21" customHeight="1">
      <c r="A109" s="8"/>
      <c r="B109" s="12" t="s">
        <v>162</v>
      </c>
      <c r="C109" s="21" t="str">
        <f>C108</f>
        <v>%Fs</v>
      </c>
      <c r="D109" s="33">
        <f>'Detail-Skeleton'!J156/100</f>
        <v>4.8600000000000003</v>
      </c>
      <c r="E109" s="11"/>
      <c r="F109" s="149"/>
      <c r="G109" s="9"/>
      <c r="H109" s="383">
        <f>SUM(G111:G116)</f>
        <v>2425392</v>
      </c>
      <c r="I109" s="384"/>
      <c r="J109" s="394">
        <f>SUM(G115:G116)</f>
        <v>680400</v>
      </c>
      <c r="K109" s="395"/>
      <c r="L109" s="409">
        <f>ROUND(H109/$H$519,5)</f>
        <v>1.61E-2</v>
      </c>
      <c r="M109" s="412">
        <f>ROUND(J109/$J$519,5)</f>
        <v>1.49E-2</v>
      </c>
    </row>
    <row r="110" spans="1:13" ht="21" customHeight="1">
      <c r="A110" s="8"/>
      <c r="B110" s="8" t="s">
        <v>26</v>
      </c>
      <c r="C110" s="21"/>
      <c r="D110" s="33"/>
      <c r="E110" s="11"/>
      <c r="F110" s="149"/>
      <c r="G110" s="9"/>
      <c r="H110" s="383"/>
      <c r="I110" s="384"/>
      <c r="J110" s="395"/>
      <c r="K110" s="395"/>
      <c r="L110" s="399"/>
      <c r="M110" s="413"/>
    </row>
    <row r="111" spans="1:13" ht="21" customHeight="1">
      <c r="A111" s="8"/>
      <c r="B111" s="10" t="s">
        <v>53</v>
      </c>
      <c r="C111" s="8" t="s">
        <v>14</v>
      </c>
      <c r="D111" s="33">
        <f>D109*15/50/2</f>
        <v>0.73</v>
      </c>
      <c r="E111" s="11">
        <f>E532</f>
        <v>1500000</v>
      </c>
      <c r="F111" s="149" t="str">
        <f>C111</f>
        <v>Ton</v>
      </c>
      <c r="G111" s="9">
        <f>E111*D111</f>
        <v>1095000</v>
      </c>
      <c r="H111" s="383"/>
      <c r="I111" s="384"/>
      <c r="J111" s="395"/>
      <c r="K111" s="395"/>
      <c r="L111" s="399"/>
      <c r="M111" s="413"/>
    </row>
    <row r="112" spans="1:13" ht="21" customHeight="1">
      <c r="A112" s="8"/>
      <c r="B112" s="10" t="s">
        <v>62</v>
      </c>
      <c r="C112" s="245" t="s">
        <v>13</v>
      </c>
      <c r="D112" s="33">
        <f>D109/0.32/2*1.15</f>
        <v>8.73</v>
      </c>
      <c r="E112" s="11">
        <f>E531</f>
        <v>70000</v>
      </c>
      <c r="F112" s="368" t="str">
        <f>C112</f>
        <v>Sht</v>
      </c>
      <c r="G112" s="9">
        <f>E112*D112</f>
        <v>611100</v>
      </c>
      <c r="H112" s="383"/>
      <c r="I112" s="384"/>
      <c r="J112" s="395"/>
      <c r="K112" s="395"/>
      <c r="L112" s="399"/>
      <c r="M112" s="413"/>
    </row>
    <row r="113" spans="1:13" ht="21" customHeight="1">
      <c r="A113" s="8"/>
      <c r="B113" s="10" t="s">
        <v>35</v>
      </c>
      <c r="C113" s="8" t="s">
        <v>15</v>
      </c>
      <c r="D113" s="33">
        <f>ROUNDDOWN(D109*3,0)</f>
        <v>14</v>
      </c>
      <c r="E113" s="11">
        <f>E533</f>
        <v>2778</v>
      </c>
      <c r="F113" s="149" t="str">
        <f>C113</f>
        <v>Lb</v>
      </c>
      <c r="G113" s="9">
        <f>D113*E113</f>
        <v>38892</v>
      </c>
      <c r="H113" s="383"/>
      <c r="I113" s="384"/>
      <c r="J113" s="395"/>
      <c r="K113" s="395"/>
      <c r="L113" s="399"/>
      <c r="M113" s="413"/>
    </row>
    <row r="114" spans="1:13" ht="18.75" customHeight="1">
      <c r="A114" s="8"/>
      <c r="B114" s="91" t="s">
        <v>22</v>
      </c>
      <c r="C114" s="91"/>
      <c r="D114" s="95"/>
      <c r="E114" s="11"/>
      <c r="F114" s="149"/>
      <c r="G114" s="9"/>
      <c r="H114" s="383"/>
      <c r="I114" s="384"/>
      <c r="J114" s="395"/>
      <c r="K114" s="395"/>
      <c r="L114" s="399"/>
      <c r="M114" s="413"/>
    </row>
    <row r="115" spans="1:13" ht="18.75" customHeight="1">
      <c r="A115" s="8"/>
      <c r="B115" s="143" t="s">
        <v>391</v>
      </c>
      <c r="C115" s="140" t="s">
        <v>2</v>
      </c>
      <c r="D115" s="259">
        <f>D109*4</f>
        <v>19.440000000000001</v>
      </c>
      <c r="E115" s="142">
        <f>E557</f>
        <v>25000</v>
      </c>
      <c r="F115" s="347" t="str">
        <f>C115</f>
        <v>No</v>
      </c>
      <c r="G115" s="9">
        <f>E115*D115</f>
        <v>486000</v>
      </c>
      <c r="H115" s="386"/>
      <c r="I115" s="384"/>
      <c r="J115" s="395"/>
      <c r="K115" s="395"/>
      <c r="L115" s="399"/>
      <c r="M115" s="413"/>
    </row>
    <row r="116" spans="1:13" ht="18.75" customHeight="1">
      <c r="A116" s="8"/>
      <c r="B116" s="143" t="s">
        <v>390</v>
      </c>
      <c r="C116" s="140" t="s">
        <v>2</v>
      </c>
      <c r="D116" s="259">
        <f>D109*2</f>
        <v>9.7200000000000006</v>
      </c>
      <c r="E116" s="142">
        <f>E560</f>
        <v>20000</v>
      </c>
      <c r="F116" s="347" t="str">
        <f>C116</f>
        <v>No</v>
      </c>
      <c r="G116" s="9">
        <f>E116*D116</f>
        <v>194400</v>
      </c>
      <c r="H116" s="385"/>
      <c r="I116" s="384"/>
      <c r="J116" s="395"/>
      <c r="K116" s="395"/>
      <c r="L116" s="399"/>
      <c r="M116" s="413"/>
    </row>
    <row r="117" spans="1:13" ht="21" customHeight="1">
      <c r="A117" s="8"/>
      <c r="B117" s="8"/>
      <c r="C117" s="8"/>
      <c r="D117" s="33"/>
      <c r="E117" s="11"/>
      <c r="F117" s="149"/>
      <c r="G117" s="9"/>
      <c r="H117" s="388"/>
      <c r="I117" s="384"/>
      <c r="J117" s="395"/>
      <c r="K117" s="395"/>
      <c r="L117" s="399"/>
      <c r="M117" s="413"/>
    </row>
    <row r="118" spans="1:13" ht="21" customHeight="1">
      <c r="A118" s="8"/>
      <c r="B118" s="12" t="s">
        <v>163</v>
      </c>
      <c r="C118" s="21" t="str">
        <f>C108</f>
        <v>%Fs</v>
      </c>
      <c r="D118" s="33">
        <f>'Detail-Skeleton'!J160/100</f>
        <v>7.04</v>
      </c>
      <c r="E118" s="11"/>
      <c r="F118" s="149"/>
      <c r="G118" s="9"/>
      <c r="H118" s="383">
        <f>SUM(G120:G125)</f>
        <v>3519438</v>
      </c>
      <c r="I118" s="384"/>
      <c r="J118" s="394">
        <f>SUM(G124:G125)</f>
        <v>985600</v>
      </c>
      <c r="K118" s="395"/>
      <c r="L118" s="409">
        <f>ROUND(H118/$H$519,5)</f>
        <v>2.3400000000000001E-2</v>
      </c>
      <c r="M118" s="412">
        <f>ROUND(J118/$J$519,5)</f>
        <v>2.1499999999999998E-2</v>
      </c>
    </row>
    <row r="119" spans="1:13" ht="21" customHeight="1">
      <c r="A119" s="8"/>
      <c r="B119" s="8" t="s">
        <v>26</v>
      </c>
      <c r="C119" s="21"/>
      <c r="D119" s="33"/>
      <c r="E119" s="11"/>
      <c r="F119" s="149"/>
      <c r="G119" s="9"/>
      <c r="H119" s="383"/>
      <c r="I119" s="384"/>
      <c r="J119" s="395"/>
      <c r="K119" s="395"/>
      <c r="L119" s="399"/>
      <c r="M119" s="413"/>
    </row>
    <row r="120" spans="1:13" ht="21" customHeight="1">
      <c r="A120" s="8"/>
      <c r="B120" s="10" t="s">
        <v>53</v>
      </c>
      <c r="C120" s="8" t="s">
        <v>14</v>
      </c>
      <c r="D120" s="33">
        <f>D118*15/50/2</f>
        <v>1.06</v>
      </c>
      <c r="E120" s="11">
        <f>E532</f>
        <v>1500000</v>
      </c>
      <c r="F120" s="149" t="str">
        <f>C120</f>
        <v>Ton</v>
      </c>
      <c r="G120" s="9">
        <f>E120*D120</f>
        <v>1590000</v>
      </c>
      <c r="H120" s="383"/>
      <c r="I120" s="384"/>
      <c r="J120" s="395"/>
      <c r="K120" s="395"/>
      <c r="L120" s="399"/>
      <c r="M120" s="413"/>
    </row>
    <row r="121" spans="1:13" ht="21" customHeight="1">
      <c r="A121" s="8"/>
      <c r="B121" s="10" t="s">
        <v>62</v>
      </c>
      <c r="C121" s="245" t="s">
        <v>13</v>
      </c>
      <c r="D121" s="33">
        <f>D118/0.32/2*1.15</f>
        <v>12.65</v>
      </c>
      <c r="E121" s="11">
        <f>E531</f>
        <v>70000</v>
      </c>
      <c r="F121" s="368" t="str">
        <f>C121</f>
        <v>Sht</v>
      </c>
      <c r="G121" s="9">
        <f>E121*D121</f>
        <v>885500</v>
      </c>
      <c r="H121" s="383"/>
      <c r="I121" s="384"/>
      <c r="J121" s="395"/>
      <c r="K121" s="395"/>
      <c r="L121" s="399"/>
      <c r="M121" s="413"/>
    </row>
    <row r="122" spans="1:13" ht="21" customHeight="1">
      <c r="A122" s="8"/>
      <c r="B122" s="10" t="s">
        <v>35</v>
      </c>
      <c r="C122" s="8" t="s">
        <v>15</v>
      </c>
      <c r="D122" s="33">
        <f>ROUNDDOWN(D118*3,0)</f>
        <v>21</v>
      </c>
      <c r="E122" s="11">
        <f>E533</f>
        <v>2778</v>
      </c>
      <c r="F122" s="149" t="str">
        <f>C122</f>
        <v>Lb</v>
      </c>
      <c r="G122" s="9">
        <f>D122*E122</f>
        <v>58338</v>
      </c>
      <c r="H122" s="383"/>
      <c r="I122" s="384"/>
      <c r="J122" s="395"/>
      <c r="K122" s="395"/>
      <c r="L122" s="399"/>
      <c r="M122" s="413"/>
    </row>
    <row r="123" spans="1:13" ht="18.75" customHeight="1">
      <c r="A123" s="8"/>
      <c r="B123" s="91" t="s">
        <v>22</v>
      </c>
      <c r="C123" s="91"/>
      <c r="D123" s="95"/>
      <c r="E123" s="11"/>
      <c r="F123" s="149"/>
      <c r="G123" s="9"/>
      <c r="H123" s="383"/>
      <c r="I123" s="384"/>
      <c r="J123" s="395"/>
      <c r="K123" s="395"/>
      <c r="L123" s="399"/>
      <c r="M123" s="413"/>
    </row>
    <row r="124" spans="1:13" ht="18.75" customHeight="1">
      <c r="A124" s="8"/>
      <c r="B124" s="143" t="s">
        <v>391</v>
      </c>
      <c r="C124" s="140" t="s">
        <v>2</v>
      </c>
      <c r="D124" s="259">
        <f>D118*4</f>
        <v>28.16</v>
      </c>
      <c r="E124" s="142">
        <f>E557</f>
        <v>25000</v>
      </c>
      <c r="F124" s="347" t="str">
        <f>C124</f>
        <v>No</v>
      </c>
      <c r="G124" s="9">
        <f>E124*D124</f>
        <v>704000</v>
      </c>
      <c r="H124" s="386"/>
      <c r="I124" s="384"/>
      <c r="J124" s="395"/>
      <c r="K124" s="395"/>
      <c r="L124" s="399"/>
      <c r="M124" s="413"/>
    </row>
    <row r="125" spans="1:13" ht="18.75" customHeight="1">
      <c r="A125" s="8"/>
      <c r="B125" s="143" t="s">
        <v>390</v>
      </c>
      <c r="C125" s="140" t="s">
        <v>2</v>
      </c>
      <c r="D125" s="259">
        <f>D118*2</f>
        <v>14.08</v>
      </c>
      <c r="E125" s="142">
        <f>E560</f>
        <v>20000</v>
      </c>
      <c r="F125" s="347" t="str">
        <f>C125</f>
        <v>No</v>
      </c>
      <c r="G125" s="9">
        <f>E125*D125</f>
        <v>281600</v>
      </c>
      <c r="H125" s="385"/>
      <c r="I125" s="384"/>
      <c r="J125" s="395"/>
      <c r="K125" s="395"/>
      <c r="L125" s="399"/>
      <c r="M125" s="413"/>
    </row>
    <row r="126" spans="1:13" ht="21" customHeight="1">
      <c r="A126" s="8"/>
      <c r="B126" s="12"/>
      <c r="C126" s="21"/>
      <c r="D126" s="33"/>
      <c r="E126" s="11"/>
      <c r="F126" s="149"/>
      <c r="G126" s="9"/>
      <c r="H126" s="383"/>
      <c r="I126" s="384"/>
      <c r="J126" s="395"/>
      <c r="K126" s="395"/>
      <c r="L126" s="399"/>
      <c r="M126" s="413"/>
    </row>
    <row r="127" spans="1:13" ht="21" customHeight="1">
      <c r="A127" s="8"/>
      <c r="B127" s="12" t="s">
        <v>164</v>
      </c>
      <c r="C127" s="21" t="str">
        <f>C108</f>
        <v>%Fs</v>
      </c>
      <c r="D127" s="33">
        <f>'Detail-Skeleton'!J163/100</f>
        <v>5.76</v>
      </c>
      <c r="E127" s="11"/>
      <c r="F127" s="149"/>
      <c r="G127" s="9"/>
      <c r="H127" s="383">
        <f>SUM(G129:G134)</f>
        <v>2868126</v>
      </c>
      <c r="I127" s="384"/>
      <c r="J127" s="394">
        <f>SUM(G133:G134)</f>
        <v>806400</v>
      </c>
      <c r="K127" s="395"/>
      <c r="L127" s="409">
        <f>ROUND(H127/$H$519,5)</f>
        <v>1.9E-2</v>
      </c>
      <c r="M127" s="412">
        <f>ROUND(J127/$J$519,5)</f>
        <v>1.7600000000000001E-2</v>
      </c>
    </row>
    <row r="128" spans="1:13" ht="21" customHeight="1">
      <c r="A128" s="8"/>
      <c r="B128" s="8" t="s">
        <v>26</v>
      </c>
      <c r="C128" s="21"/>
      <c r="D128" s="33"/>
      <c r="E128" s="11"/>
      <c r="F128" s="149"/>
      <c r="G128" s="9"/>
      <c r="H128" s="383"/>
      <c r="I128" s="384"/>
      <c r="J128" s="395"/>
      <c r="K128" s="395"/>
      <c r="L128" s="399"/>
      <c r="M128" s="413"/>
    </row>
    <row r="129" spans="1:13" ht="21" customHeight="1">
      <c r="A129" s="8"/>
      <c r="B129" s="10" t="s">
        <v>53</v>
      </c>
      <c r="C129" s="8" t="s">
        <v>14</v>
      </c>
      <c r="D129" s="33">
        <f>D127*15/50/2</f>
        <v>0.86</v>
      </c>
      <c r="E129" s="11">
        <f>E532</f>
        <v>1500000</v>
      </c>
      <c r="F129" s="149" t="str">
        <f>C129</f>
        <v>Ton</v>
      </c>
      <c r="G129" s="9">
        <f>E129*D129</f>
        <v>1290000</v>
      </c>
      <c r="H129" s="383"/>
      <c r="I129" s="384"/>
      <c r="J129" s="395"/>
      <c r="K129" s="395"/>
      <c r="L129" s="399"/>
      <c r="M129" s="413"/>
    </row>
    <row r="130" spans="1:13" ht="21" customHeight="1">
      <c r="A130" s="8"/>
      <c r="B130" s="10" t="s">
        <v>62</v>
      </c>
      <c r="C130" s="245" t="s">
        <v>13</v>
      </c>
      <c r="D130" s="33">
        <f>D127/0.32/2*1.15</f>
        <v>10.35</v>
      </c>
      <c r="E130" s="11">
        <f>E531</f>
        <v>70000</v>
      </c>
      <c r="F130" s="368" t="str">
        <f>C130</f>
        <v>Sht</v>
      </c>
      <c r="G130" s="9">
        <f>E130*D130</f>
        <v>724500</v>
      </c>
      <c r="H130" s="383"/>
      <c r="I130" s="384"/>
      <c r="J130" s="395"/>
      <c r="K130" s="395"/>
      <c r="L130" s="399"/>
      <c r="M130" s="413"/>
    </row>
    <row r="131" spans="1:13" ht="21" customHeight="1">
      <c r="A131" s="8"/>
      <c r="B131" s="10" t="s">
        <v>35</v>
      </c>
      <c r="C131" s="8" t="s">
        <v>15</v>
      </c>
      <c r="D131" s="33">
        <f>ROUNDDOWN(D127*3,0)</f>
        <v>17</v>
      </c>
      <c r="E131" s="11">
        <f>E533</f>
        <v>2778</v>
      </c>
      <c r="F131" s="149" t="str">
        <f>C131</f>
        <v>Lb</v>
      </c>
      <c r="G131" s="9">
        <f>D131*E131</f>
        <v>47226</v>
      </c>
      <c r="H131" s="383"/>
      <c r="I131" s="384"/>
      <c r="J131" s="395"/>
      <c r="K131" s="395"/>
      <c r="L131" s="399"/>
      <c r="M131" s="413"/>
    </row>
    <row r="132" spans="1:13" ht="18.75" customHeight="1">
      <c r="A132" s="8"/>
      <c r="B132" s="91" t="s">
        <v>22</v>
      </c>
      <c r="C132" s="91"/>
      <c r="D132" s="95"/>
      <c r="E132" s="11"/>
      <c r="F132" s="149"/>
      <c r="G132" s="9"/>
      <c r="H132" s="383"/>
      <c r="I132" s="384"/>
      <c r="J132" s="395"/>
      <c r="K132" s="395"/>
      <c r="L132" s="399"/>
      <c r="M132" s="413"/>
    </row>
    <row r="133" spans="1:13" ht="18.75" customHeight="1">
      <c r="A133" s="8"/>
      <c r="B133" s="143" t="s">
        <v>391</v>
      </c>
      <c r="C133" s="140" t="s">
        <v>2</v>
      </c>
      <c r="D133" s="259">
        <f>D127*4</f>
        <v>23.04</v>
      </c>
      <c r="E133" s="142">
        <f>E557</f>
        <v>25000</v>
      </c>
      <c r="F133" s="347" t="str">
        <f>C133</f>
        <v>No</v>
      </c>
      <c r="G133" s="9">
        <f>E133*D133</f>
        <v>576000</v>
      </c>
      <c r="H133" s="386"/>
      <c r="I133" s="384"/>
      <c r="J133" s="395"/>
      <c r="K133" s="395"/>
      <c r="L133" s="399"/>
      <c r="M133" s="413"/>
    </row>
    <row r="134" spans="1:13" ht="18.75" customHeight="1">
      <c r="A134" s="8"/>
      <c r="B134" s="143" t="s">
        <v>390</v>
      </c>
      <c r="C134" s="140" t="s">
        <v>2</v>
      </c>
      <c r="D134" s="259">
        <f>D127*2</f>
        <v>11.52</v>
      </c>
      <c r="E134" s="142">
        <f>E560</f>
        <v>20000</v>
      </c>
      <c r="F134" s="347" t="str">
        <f>C134</f>
        <v>No</v>
      </c>
      <c r="G134" s="9">
        <f>E134*D134</f>
        <v>230400</v>
      </c>
      <c r="H134" s="385"/>
      <c r="I134" s="384"/>
      <c r="J134" s="395"/>
      <c r="K134" s="395"/>
      <c r="L134" s="399"/>
      <c r="M134" s="413"/>
    </row>
    <row r="135" spans="1:13" ht="21" customHeight="1">
      <c r="A135" s="8"/>
      <c r="B135" s="8"/>
      <c r="C135" s="8"/>
      <c r="D135" s="33"/>
      <c r="E135" s="11"/>
      <c r="F135" s="149"/>
      <c r="G135" s="9"/>
      <c r="H135" s="388"/>
      <c r="I135" s="384"/>
      <c r="J135" s="395"/>
      <c r="K135" s="395"/>
      <c r="L135" s="399"/>
      <c r="M135" s="413"/>
    </row>
    <row r="136" spans="1:13" ht="21" customHeight="1">
      <c r="A136" s="8"/>
      <c r="B136" s="320" t="str">
        <f>'Detail-Skeleton'!B167</f>
        <v>( c ) Rebar Work</v>
      </c>
      <c r="C136" s="321" t="s">
        <v>14</v>
      </c>
      <c r="D136" s="33">
        <f>D138+D139+D149+D150+D160+D161</f>
        <v>2.2799999999999998</v>
      </c>
      <c r="E136" s="11"/>
      <c r="F136" s="149"/>
      <c r="G136" s="9"/>
      <c r="H136" s="383"/>
      <c r="I136" s="384"/>
      <c r="J136" s="395"/>
      <c r="K136" s="395"/>
      <c r="L136" s="399"/>
      <c r="M136" s="413"/>
    </row>
    <row r="137" spans="1:13" ht="21" customHeight="1">
      <c r="A137" s="8"/>
      <c r="B137" s="320" t="str">
        <f>'Detail-Skeleton'!B168</f>
        <v>Column (Footing to Plinth Level)</v>
      </c>
      <c r="C137" s="321" t="s">
        <v>14</v>
      </c>
      <c r="D137" s="33">
        <f>D138+D139</f>
        <v>0.71</v>
      </c>
      <c r="E137" s="11"/>
      <c r="F137" s="149"/>
      <c r="G137" s="9"/>
      <c r="H137" s="383">
        <f>SUM(G141:G146)</f>
        <v>2788328.6</v>
      </c>
      <c r="I137" s="384"/>
      <c r="J137" s="394">
        <f>SUM(G145:G146)</f>
        <v>738000</v>
      </c>
      <c r="K137" s="395"/>
      <c r="L137" s="409">
        <f>ROUND(H137/$H$519,5)</f>
        <v>1.8499999999999999E-2</v>
      </c>
      <c r="M137" s="412">
        <f>ROUND(J137/$J$519,5)</f>
        <v>1.61E-2</v>
      </c>
    </row>
    <row r="138" spans="1:13" ht="21" customHeight="1">
      <c r="A138" s="8"/>
      <c r="B138" s="50" t="str">
        <f>'Detail-Skeleton'!I207</f>
        <v>16mm Ø</v>
      </c>
      <c r="C138" s="8" t="s">
        <v>14</v>
      </c>
      <c r="D138" s="33">
        <f>'Detail-Skeleton'!I188</f>
        <v>0.49</v>
      </c>
      <c r="E138" s="11"/>
      <c r="F138" s="149"/>
      <c r="G138" s="9"/>
      <c r="H138" s="383"/>
      <c r="I138" s="384"/>
      <c r="J138" s="394"/>
      <c r="K138" s="395"/>
      <c r="L138" s="399"/>
      <c r="M138" s="413"/>
    </row>
    <row r="139" spans="1:13" ht="21" customHeight="1">
      <c r="A139" s="39"/>
      <c r="B139" s="129" t="str">
        <f>'Detail-Skeleton'!J207</f>
        <v>10mm Ø</v>
      </c>
      <c r="C139" s="39" t="s">
        <v>14</v>
      </c>
      <c r="D139" s="36">
        <f>'Detail-Skeleton'!J188</f>
        <v>0.22</v>
      </c>
      <c r="E139" s="116"/>
      <c r="F139" s="369"/>
      <c r="G139" s="9"/>
      <c r="H139" s="383"/>
      <c r="I139" s="384"/>
      <c r="J139" s="395"/>
      <c r="K139" s="395"/>
      <c r="L139" s="399"/>
      <c r="M139" s="413"/>
    </row>
    <row r="140" spans="1:13" ht="19" customHeight="1">
      <c r="A140" s="8"/>
      <c r="B140" s="8" t="s">
        <v>26</v>
      </c>
      <c r="C140" s="8"/>
      <c r="D140" s="33"/>
      <c r="E140" s="11"/>
      <c r="F140" s="149"/>
      <c r="G140" s="9"/>
      <c r="H140" s="383"/>
      <c r="I140" s="384"/>
      <c r="J140" s="395"/>
      <c r="K140" s="395"/>
      <c r="L140" s="399"/>
      <c r="M140" s="413"/>
    </row>
    <row r="141" spans="1:13" ht="19" customHeight="1">
      <c r="A141" s="8"/>
      <c r="B141" s="10" t="s">
        <v>549</v>
      </c>
      <c r="C141" s="8" t="s">
        <v>14</v>
      </c>
      <c r="D141" s="24">
        <f>D138*1.05</f>
        <v>0.51</v>
      </c>
      <c r="E141" s="11">
        <f>E538</f>
        <v>2800000</v>
      </c>
      <c r="F141" s="149" t="str">
        <f>C141</f>
        <v>Ton</v>
      </c>
      <c r="G141" s="9">
        <f>E141*D141</f>
        <v>1428000</v>
      </c>
      <c r="H141" s="383"/>
      <c r="I141" s="384"/>
      <c r="J141" s="395"/>
      <c r="K141" s="395"/>
      <c r="L141" s="399"/>
      <c r="M141" s="413"/>
    </row>
    <row r="142" spans="1:13" ht="19" customHeight="1">
      <c r="A142" s="8"/>
      <c r="B142" s="243" t="s">
        <v>669</v>
      </c>
      <c r="C142" s="268" t="s">
        <v>14</v>
      </c>
      <c r="D142" s="269">
        <f>D139*1.05</f>
        <v>0.23</v>
      </c>
      <c r="E142" s="270">
        <f>E536</f>
        <v>2500000</v>
      </c>
      <c r="F142" s="372" t="str">
        <f>C142</f>
        <v>Ton</v>
      </c>
      <c r="G142" s="271">
        <f>E142*D142</f>
        <v>575000</v>
      </c>
      <c r="H142" s="383"/>
      <c r="I142" s="384"/>
      <c r="J142" s="395"/>
      <c r="K142" s="395"/>
      <c r="L142" s="399"/>
      <c r="M142" s="413"/>
    </row>
    <row r="143" spans="1:13" ht="19" customHeight="1">
      <c r="A143" s="8"/>
      <c r="B143" s="10" t="s">
        <v>32</v>
      </c>
      <c r="C143" s="8" t="s">
        <v>15</v>
      </c>
      <c r="D143" s="33">
        <f>(D138+D139)*20*1</f>
        <v>14.2</v>
      </c>
      <c r="E143" s="11">
        <f>E540</f>
        <v>3333</v>
      </c>
      <c r="F143" s="149" t="str">
        <f>C143</f>
        <v>Lb</v>
      </c>
      <c r="G143" s="9">
        <f>E143*D143</f>
        <v>47328.6</v>
      </c>
      <c r="H143" s="383"/>
      <c r="I143" s="384"/>
      <c r="J143" s="395"/>
      <c r="K143" s="395"/>
      <c r="L143" s="399"/>
      <c r="M143" s="413"/>
    </row>
    <row r="144" spans="1:13" ht="19" customHeight="1">
      <c r="A144" s="8"/>
      <c r="B144" s="8" t="s">
        <v>22</v>
      </c>
      <c r="C144" s="8"/>
      <c r="D144" s="33"/>
      <c r="E144" s="11"/>
      <c r="F144" s="149"/>
      <c r="G144" s="9"/>
      <c r="H144" s="383"/>
      <c r="I144" s="384"/>
      <c r="J144" s="395"/>
      <c r="K144" s="395"/>
      <c r="L144" s="399"/>
      <c r="M144" s="413"/>
    </row>
    <row r="145" spans="1:13" ht="19" customHeight="1">
      <c r="A145" s="8"/>
      <c r="B145" s="143" t="s">
        <v>396</v>
      </c>
      <c r="C145" s="140" t="s">
        <v>2</v>
      </c>
      <c r="D145" s="259">
        <f>D139*20*1.5+D138*20*1</f>
        <v>16.399999999999999</v>
      </c>
      <c r="E145" s="142">
        <f>E559</f>
        <v>25000</v>
      </c>
      <c r="F145" s="346" t="str">
        <f>C145</f>
        <v>No</v>
      </c>
      <c r="G145" s="9">
        <f>E145*D145</f>
        <v>410000</v>
      </c>
      <c r="H145" s="383"/>
      <c r="I145" s="384"/>
      <c r="J145" s="395"/>
      <c r="K145" s="395"/>
      <c r="L145" s="399"/>
      <c r="M145" s="413"/>
    </row>
    <row r="146" spans="1:13" ht="19" customHeight="1">
      <c r="A146" s="8"/>
      <c r="B146" s="143" t="s">
        <v>390</v>
      </c>
      <c r="C146" s="140" t="s">
        <v>2</v>
      </c>
      <c r="D146" s="259">
        <f>D145</f>
        <v>16.399999999999999</v>
      </c>
      <c r="E146" s="142">
        <f>E560</f>
        <v>20000</v>
      </c>
      <c r="F146" s="347" t="str">
        <f>C146</f>
        <v>No</v>
      </c>
      <c r="G146" s="9">
        <f>E146*D146</f>
        <v>328000</v>
      </c>
      <c r="H146" s="385"/>
      <c r="I146" s="384"/>
      <c r="J146" s="395"/>
      <c r="K146" s="395"/>
      <c r="L146" s="399"/>
      <c r="M146" s="413"/>
    </row>
    <row r="147" spans="1:13" ht="19" customHeight="1">
      <c r="A147" s="8"/>
      <c r="B147" s="8"/>
      <c r="C147" s="8"/>
      <c r="D147" s="33"/>
      <c r="E147" s="11"/>
      <c r="F147" s="149"/>
      <c r="G147" s="9"/>
      <c r="H147" s="388"/>
      <c r="I147" s="384"/>
      <c r="J147" s="395"/>
      <c r="K147" s="395"/>
      <c r="L147" s="399"/>
      <c r="M147" s="413"/>
    </row>
    <row r="148" spans="1:13" ht="19" customHeight="1">
      <c r="A148" s="8"/>
      <c r="B148" s="12" t="str">
        <f>'Detail-Skeleton'!B189</f>
        <v>Column (Plinth Level to 1st Floor Level)</v>
      </c>
      <c r="C148" s="8" t="s">
        <v>14</v>
      </c>
      <c r="D148" s="33">
        <f>D149+D150</f>
        <v>0.91</v>
      </c>
      <c r="E148" s="11"/>
      <c r="F148" s="149"/>
      <c r="G148" s="9"/>
      <c r="H148" s="388">
        <f>SUM(G152:G157)</f>
        <v>3609660.6</v>
      </c>
      <c r="I148" s="384"/>
      <c r="J148" s="394">
        <f>SUM(G156:G157)</f>
        <v>963000</v>
      </c>
      <c r="K148" s="395"/>
      <c r="L148" s="409">
        <f>ROUND(H148/$H$519,5)</f>
        <v>2.4E-2</v>
      </c>
      <c r="M148" s="412">
        <f>ROUND(J148/$J$519,5)</f>
        <v>2.1000000000000001E-2</v>
      </c>
    </row>
    <row r="149" spans="1:13" ht="19" customHeight="1">
      <c r="A149" s="8"/>
      <c r="B149" s="23" t="str">
        <f>'Detail-Skeleton'!I197</f>
        <v>16mm Ø</v>
      </c>
      <c r="C149" s="23" t="str">
        <f>'Detail-Skeleton'!K199</f>
        <v>Ton</v>
      </c>
      <c r="D149" s="33">
        <f>'Detail-Skeleton'!I199</f>
        <v>0.59</v>
      </c>
      <c r="E149" s="11"/>
      <c r="F149" s="149"/>
      <c r="G149" s="9"/>
      <c r="H149" s="388"/>
      <c r="I149" s="384"/>
      <c r="J149" s="395"/>
      <c r="K149" s="395"/>
      <c r="L149" s="399"/>
      <c r="M149" s="413"/>
    </row>
    <row r="150" spans="1:13" ht="19" customHeight="1">
      <c r="A150" s="8"/>
      <c r="B150" s="23" t="str">
        <f>'Detail-Skeleton'!J197</f>
        <v>10mm Ø</v>
      </c>
      <c r="C150" s="23" t="str">
        <f>C149</f>
        <v>Ton</v>
      </c>
      <c r="D150" s="33">
        <f>'Detail-Skeleton'!J199</f>
        <v>0.32</v>
      </c>
      <c r="E150" s="11"/>
      <c r="F150" s="149"/>
      <c r="G150" s="9"/>
      <c r="H150" s="388"/>
      <c r="I150" s="384"/>
      <c r="J150" s="395"/>
      <c r="K150" s="395"/>
      <c r="L150" s="399"/>
      <c r="M150" s="413"/>
    </row>
    <row r="151" spans="1:13" ht="19" customHeight="1">
      <c r="A151" s="8"/>
      <c r="B151" s="8" t="s">
        <v>26</v>
      </c>
      <c r="C151" s="8"/>
      <c r="D151" s="33"/>
      <c r="E151" s="11"/>
      <c r="F151" s="149"/>
      <c r="G151" s="9"/>
      <c r="H151" s="383"/>
      <c r="I151" s="384"/>
      <c r="J151" s="395"/>
      <c r="K151" s="395"/>
      <c r="L151" s="399"/>
      <c r="M151" s="413"/>
    </row>
    <row r="152" spans="1:13" ht="19" customHeight="1">
      <c r="A152" s="8"/>
      <c r="B152" s="10" t="s">
        <v>549</v>
      </c>
      <c r="C152" s="8" t="s">
        <v>14</v>
      </c>
      <c r="D152" s="24">
        <f>D149*1.05</f>
        <v>0.62</v>
      </c>
      <c r="E152" s="11">
        <f>E538</f>
        <v>2800000</v>
      </c>
      <c r="F152" s="149" t="str">
        <f>C152</f>
        <v>Ton</v>
      </c>
      <c r="G152" s="9">
        <f>E152*D152</f>
        <v>1736000</v>
      </c>
      <c r="H152" s="383"/>
      <c r="I152" s="384"/>
      <c r="J152" s="395"/>
      <c r="K152" s="395"/>
      <c r="L152" s="399"/>
      <c r="M152" s="413"/>
    </row>
    <row r="153" spans="1:13" ht="19" customHeight="1">
      <c r="A153" s="8"/>
      <c r="B153" s="243" t="s">
        <v>669</v>
      </c>
      <c r="C153" s="268" t="s">
        <v>14</v>
      </c>
      <c r="D153" s="269">
        <f>D150*1.05</f>
        <v>0.34</v>
      </c>
      <c r="E153" s="270">
        <f>E536</f>
        <v>2500000</v>
      </c>
      <c r="F153" s="372" t="str">
        <f>C153</f>
        <v>Ton</v>
      </c>
      <c r="G153" s="271">
        <f>E153*D153</f>
        <v>850000</v>
      </c>
      <c r="H153" s="383"/>
      <c r="I153" s="384"/>
      <c r="J153" s="395"/>
      <c r="K153" s="395"/>
      <c r="L153" s="399"/>
      <c r="M153" s="413"/>
    </row>
    <row r="154" spans="1:13" ht="19" customHeight="1">
      <c r="A154" s="8"/>
      <c r="B154" s="10" t="s">
        <v>32</v>
      </c>
      <c r="C154" s="8" t="s">
        <v>15</v>
      </c>
      <c r="D154" s="33">
        <f>(D149+D150)*20*1</f>
        <v>18.2</v>
      </c>
      <c r="E154" s="11">
        <f>E540</f>
        <v>3333</v>
      </c>
      <c r="F154" s="149" t="str">
        <f>C154</f>
        <v>Lb</v>
      </c>
      <c r="G154" s="9">
        <f>E154*D154</f>
        <v>60660.6</v>
      </c>
      <c r="H154" s="383"/>
      <c r="I154" s="384"/>
      <c r="J154" s="395"/>
      <c r="K154" s="395"/>
      <c r="L154" s="399"/>
      <c r="M154" s="413"/>
    </row>
    <row r="155" spans="1:13" ht="19" customHeight="1">
      <c r="A155" s="8"/>
      <c r="B155" s="8" t="s">
        <v>22</v>
      </c>
      <c r="C155" s="8"/>
      <c r="D155" s="33"/>
      <c r="E155" s="11"/>
      <c r="F155" s="149"/>
      <c r="G155" s="9"/>
      <c r="H155" s="383"/>
      <c r="I155" s="384"/>
      <c r="J155" s="395"/>
      <c r="K155" s="395"/>
      <c r="L155" s="399"/>
      <c r="M155" s="413"/>
    </row>
    <row r="156" spans="1:13" ht="19" customHeight="1">
      <c r="A156" s="8"/>
      <c r="B156" s="143" t="s">
        <v>396</v>
      </c>
      <c r="C156" s="140" t="s">
        <v>2</v>
      </c>
      <c r="D156" s="259">
        <f>D150*20*1.5+D149*20*1</f>
        <v>21.4</v>
      </c>
      <c r="E156" s="142">
        <f>E559</f>
        <v>25000</v>
      </c>
      <c r="F156" s="346" t="str">
        <f>C156</f>
        <v>No</v>
      </c>
      <c r="G156" s="9">
        <f>E156*D156</f>
        <v>535000</v>
      </c>
      <c r="H156" s="383"/>
      <c r="I156" s="384"/>
      <c r="J156" s="395"/>
      <c r="K156" s="395"/>
      <c r="L156" s="399"/>
      <c r="M156" s="413"/>
    </row>
    <row r="157" spans="1:13" ht="19" customHeight="1">
      <c r="A157" s="8"/>
      <c r="B157" s="143" t="s">
        <v>390</v>
      </c>
      <c r="C157" s="140" t="s">
        <v>2</v>
      </c>
      <c r="D157" s="259">
        <f>D156</f>
        <v>21.4</v>
      </c>
      <c r="E157" s="142">
        <f>E560</f>
        <v>20000</v>
      </c>
      <c r="F157" s="347" t="str">
        <f>C157</f>
        <v>No</v>
      </c>
      <c r="G157" s="9">
        <f>E157*D157</f>
        <v>428000</v>
      </c>
      <c r="H157" s="385"/>
      <c r="I157" s="384"/>
      <c r="J157" s="395"/>
      <c r="K157" s="395"/>
      <c r="L157" s="399"/>
      <c r="M157" s="413"/>
    </row>
    <row r="158" spans="1:13" ht="19" customHeight="1">
      <c r="A158" s="8"/>
      <c r="B158" s="143"/>
      <c r="C158" s="140"/>
      <c r="D158" s="259"/>
      <c r="E158" s="142"/>
      <c r="F158" s="347"/>
      <c r="G158" s="9"/>
      <c r="H158" s="385"/>
      <c r="I158" s="384"/>
      <c r="J158" s="395"/>
      <c r="K158" s="395"/>
      <c r="L158" s="399"/>
      <c r="M158" s="413"/>
    </row>
    <row r="159" spans="1:13" ht="19" customHeight="1">
      <c r="A159" s="8"/>
      <c r="B159" s="8" t="str">
        <f>'Detail-Skeleton'!B200</f>
        <v>Column (1st Floor to R.B Level)</v>
      </c>
      <c r="C159" s="8"/>
      <c r="D159" s="33">
        <f>D160+D161</f>
        <v>0.66</v>
      </c>
      <c r="E159" s="11"/>
      <c r="F159" s="149"/>
      <c r="G159" s="9"/>
      <c r="H159" s="388">
        <f>SUM(G163:G168)</f>
        <v>2605995.6</v>
      </c>
      <c r="I159" s="384"/>
      <c r="J159" s="394">
        <f>SUM(G167:G168)</f>
        <v>711000</v>
      </c>
      <c r="K159" s="395"/>
      <c r="L159" s="409">
        <f>ROUND(H159/$H$519,5)</f>
        <v>1.7299999999999999E-2</v>
      </c>
      <c r="M159" s="412">
        <f>ROUND(J159/$J$519,5)</f>
        <v>1.55E-2</v>
      </c>
    </row>
    <row r="160" spans="1:13" ht="19" customHeight="1">
      <c r="A160" s="8"/>
      <c r="B160" s="23" t="str">
        <f>'Detail-Skeleton'!I204</f>
        <v>16mm Ø</v>
      </c>
      <c r="C160" s="21" t="str">
        <f>'Detail-Skeleton'!K206</f>
        <v>Ton</v>
      </c>
      <c r="D160" s="33">
        <f>'Detail-Skeleton'!I206</f>
        <v>0.4</v>
      </c>
      <c r="E160" s="11"/>
      <c r="F160" s="149"/>
      <c r="G160" s="9"/>
      <c r="H160" s="388"/>
      <c r="I160" s="384"/>
      <c r="J160" s="395"/>
      <c r="K160" s="395"/>
      <c r="L160" s="399"/>
      <c r="M160" s="413"/>
    </row>
    <row r="161" spans="1:13" ht="19" customHeight="1">
      <c r="A161" s="8"/>
      <c r="B161" s="23" t="str">
        <f>'Detail-Skeleton'!J204</f>
        <v>10mm Ø</v>
      </c>
      <c r="C161" s="21" t="str">
        <f>C160</f>
        <v>Ton</v>
      </c>
      <c r="D161" s="33">
        <f>'Detail-Skeleton'!J206</f>
        <v>0.26</v>
      </c>
      <c r="E161" s="11"/>
      <c r="F161" s="149"/>
      <c r="G161" s="9"/>
      <c r="H161" s="388"/>
      <c r="I161" s="384"/>
      <c r="J161" s="395"/>
      <c r="K161" s="395"/>
      <c r="L161" s="399"/>
      <c r="M161" s="413"/>
    </row>
    <row r="162" spans="1:13" ht="19" customHeight="1">
      <c r="A162" s="8"/>
      <c r="B162" s="8" t="s">
        <v>26</v>
      </c>
      <c r="C162" s="8"/>
      <c r="D162" s="33"/>
      <c r="E162" s="11"/>
      <c r="F162" s="149"/>
      <c r="G162" s="9"/>
      <c r="H162" s="383"/>
      <c r="I162" s="384"/>
      <c r="J162" s="395"/>
      <c r="K162" s="395"/>
      <c r="L162" s="399"/>
      <c r="M162" s="413"/>
    </row>
    <row r="163" spans="1:13" ht="19" customHeight="1">
      <c r="A163" s="8"/>
      <c r="B163" s="10" t="s">
        <v>549</v>
      </c>
      <c r="C163" s="8" t="s">
        <v>14</v>
      </c>
      <c r="D163" s="24">
        <f>D160*1.05</f>
        <v>0.42</v>
      </c>
      <c r="E163" s="11">
        <f>E538</f>
        <v>2800000</v>
      </c>
      <c r="F163" s="149" t="str">
        <f>C163</f>
        <v>Ton</v>
      </c>
      <c r="G163" s="9">
        <f>E163*D163</f>
        <v>1176000</v>
      </c>
      <c r="H163" s="383"/>
      <c r="I163" s="384"/>
      <c r="J163" s="395"/>
      <c r="K163" s="395"/>
      <c r="L163" s="399"/>
      <c r="M163" s="413"/>
    </row>
    <row r="164" spans="1:13" ht="19" customHeight="1">
      <c r="A164" s="8"/>
      <c r="B164" s="243" t="s">
        <v>669</v>
      </c>
      <c r="C164" s="268" t="s">
        <v>14</v>
      </c>
      <c r="D164" s="269">
        <f>D161*1.05</f>
        <v>0.27</v>
      </c>
      <c r="E164" s="270">
        <f>E536</f>
        <v>2500000</v>
      </c>
      <c r="F164" s="372" t="str">
        <f>C164</f>
        <v>Ton</v>
      </c>
      <c r="G164" s="271">
        <f>E164*D164</f>
        <v>675000</v>
      </c>
      <c r="H164" s="383"/>
      <c r="I164" s="384"/>
      <c r="J164" s="395"/>
      <c r="K164" s="395"/>
      <c r="L164" s="399"/>
      <c r="M164" s="413"/>
    </row>
    <row r="165" spans="1:13" ht="19" customHeight="1">
      <c r="A165" s="8"/>
      <c r="B165" s="10" t="s">
        <v>32</v>
      </c>
      <c r="C165" s="8" t="s">
        <v>15</v>
      </c>
      <c r="D165" s="33">
        <f>(D160+D161)*20*1</f>
        <v>13.2</v>
      </c>
      <c r="E165" s="11">
        <f>E540</f>
        <v>3333</v>
      </c>
      <c r="F165" s="149" t="str">
        <f>C165</f>
        <v>Lb</v>
      </c>
      <c r="G165" s="9">
        <f>E165*D165</f>
        <v>43995.6</v>
      </c>
      <c r="H165" s="383"/>
      <c r="I165" s="384"/>
      <c r="J165" s="395"/>
      <c r="K165" s="395"/>
      <c r="L165" s="399"/>
      <c r="M165" s="413"/>
    </row>
    <row r="166" spans="1:13" ht="19" customHeight="1">
      <c r="A166" s="8"/>
      <c r="B166" s="8" t="s">
        <v>22</v>
      </c>
      <c r="C166" s="8"/>
      <c r="D166" s="33"/>
      <c r="E166" s="11"/>
      <c r="F166" s="149"/>
      <c r="G166" s="9"/>
      <c r="H166" s="383"/>
      <c r="I166" s="384"/>
      <c r="J166" s="395"/>
      <c r="K166" s="395"/>
      <c r="L166" s="399"/>
      <c r="M166" s="413"/>
    </row>
    <row r="167" spans="1:13" ht="19" customHeight="1">
      <c r="A167" s="8"/>
      <c r="B167" s="143" t="s">
        <v>396</v>
      </c>
      <c r="C167" s="140" t="s">
        <v>2</v>
      </c>
      <c r="D167" s="259">
        <f>D161*20*1.5+D160*20*1</f>
        <v>15.8</v>
      </c>
      <c r="E167" s="142">
        <f>E559</f>
        <v>25000</v>
      </c>
      <c r="F167" s="346" t="str">
        <f>C167</f>
        <v>No</v>
      </c>
      <c r="G167" s="9">
        <f>E167*D167</f>
        <v>395000</v>
      </c>
      <c r="H167" s="383"/>
      <c r="I167" s="384"/>
      <c r="J167" s="395"/>
      <c r="K167" s="395"/>
      <c r="L167" s="399"/>
      <c r="M167" s="413"/>
    </row>
    <row r="168" spans="1:13" ht="19" customHeight="1">
      <c r="A168" s="8"/>
      <c r="B168" s="143" t="s">
        <v>390</v>
      </c>
      <c r="C168" s="140" t="s">
        <v>2</v>
      </c>
      <c r="D168" s="259">
        <f>D167</f>
        <v>15.8</v>
      </c>
      <c r="E168" s="142">
        <f>E560</f>
        <v>20000</v>
      </c>
      <c r="F168" s="347" t="str">
        <f>C168</f>
        <v>No</v>
      </c>
      <c r="G168" s="9">
        <f>E168*D168</f>
        <v>316000</v>
      </c>
      <c r="H168" s="385"/>
      <c r="I168" s="384"/>
      <c r="J168" s="395"/>
      <c r="K168" s="395"/>
      <c r="L168" s="399"/>
      <c r="M168" s="413"/>
    </row>
    <row r="169" spans="1:13" ht="19" customHeight="1">
      <c r="A169" s="8"/>
      <c r="B169" s="8"/>
      <c r="C169" s="8"/>
      <c r="D169" s="33"/>
      <c r="E169" s="11"/>
      <c r="F169" s="149"/>
      <c r="G169" s="9"/>
      <c r="H169" s="388"/>
      <c r="I169" s="384"/>
      <c r="J169" s="395"/>
      <c r="K169" s="395"/>
      <c r="L169" s="399"/>
      <c r="M169" s="413"/>
    </row>
    <row r="170" spans="1:13" ht="19" customHeight="1">
      <c r="A170" s="8">
        <f>'Detail-Skeleton'!A211</f>
        <v>9</v>
      </c>
      <c r="B170" s="12" t="str">
        <f>'Detail-Skeleton'!B211</f>
        <v>R.C Concrete Casting Work Beam</v>
      </c>
      <c r="C170" s="8"/>
      <c r="D170" s="33"/>
      <c r="E170" s="11"/>
      <c r="F170" s="149"/>
      <c r="G170" s="9"/>
      <c r="H170" s="383"/>
      <c r="I170" s="384"/>
      <c r="J170" s="395"/>
      <c r="K170" s="395"/>
      <c r="L170" s="399"/>
      <c r="M170" s="413"/>
    </row>
    <row r="171" spans="1:13" ht="19" customHeight="1">
      <c r="A171" s="8"/>
      <c r="B171" s="12" t="str">
        <f>'Detail-Skeleton'!B212</f>
        <v>( a ) (1:2:4) R.C Conc; Casting Work</v>
      </c>
      <c r="C171" s="21" t="str">
        <f>'Detail-Skeleton'!K292</f>
        <v>%Fc</v>
      </c>
      <c r="D171" s="33">
        <f>'Detail-Skeleton'!J292</f>
        <v>6.92</v>
      </c>
      <c r="E171" s="11"/>
      <c r="F171" s="149"/>
      <c r="G171" s="9"/>
      <c r="H171" s="383"/>
      <c r="I171" s="384"/>
      <c r="J171" s="395"/>
      <c r="K171" s="395"/>
      <c r="L171" s="399"/>
      <c r="M171" s="413"/>
    </row>
    <row r="172" spans="1:13" ht="19" customHeight="1">
      <c r="A172" s="8"/>
      <c r="B172" s="12" t="s">
        <v>150</v>
      </c>
      <c r="C172" s="21" t="str">
        <f>C171</f>
        <v>%Fc</v>
      </c>
      <c r="D172" s="33">
        <f>'Detail-Skeleton'!J232/100</f>
        <v>2.2200000000000002</v>
      </c>
      <c r="E172" s="11"/>
      <c r="F172" s="149"/>
      <c r="G172" s="9"/>
      <c r="H172" s="383">
        <f>SUM(G173:G180)</f>
        <v>1866150</v>
      </c>
      <c r="I172" s="384"/>
      <c r="J172" s="394">
        <f>SUM(G178:G180)</f>
        <v>538350</v>
      </c>
      <c r="K172" s="395"/>
      <c r="L172" s="409">
        <f>ROUND(H172/$H$519,5)</f>
        <v>1.24E-2</v>
      </c>
      <c r="M172" s="412">
        <f>ROUND(J172/$J$519,5)</f>
        <v>1.18E-2</v>
      </c>
    </row>
    <row r="173" spans="1:13" ht="19" customHeight="1">
      <c r="A173" s="8"/>
      <c r="B173" s="243" t="s">
        <v>8</v>
      </c>
      <c r="C173" s="8" t="s">
        <v>9</v>
      </c>
      <c r="D173" s="33">
        <f>ROUNDDOWN(D172*2070/112,0)</f>
        <v>41</v>
      </c>
      <c r="E173" s="11">
        <f>E525</f>
        <v>24000</v>
      </c>
      <c r="F173" s="149" t="str">
        <f>C173</f>
        <v>Bag</v>
      </c>
      <c r="G173" s="9">
        <f>E173*D173</f>
        <v>984000</v>
      </c>
      <c r="H173" s="383"/>
      <c r="I173" s="384"/>
      <c r="J173" s="395"/>
      <c r="K173" s="395"/>
      <c r="L173" s="399"/>
      <c r="M173" s="413"/>
    </row>
    <row r="174" spans="1:13" ht="19" customHeight="1">
      <c r="A174" s="8"/>
      <c r="B174" s="10" t="s">
        <v>31</v>
      </c>
      <c r="C174" s="8" t="s">
        <v>10</v>
      </c>
      <c r="D174" s="33">
        <f>D172*0.46</f>
        <v>1.02</v>
      </c>
      <c r="E174" s="11">
        <f>E526</f>
        <v>30000</v>
      </c>
      <c r="F174" s="149" t="str">
        <f>C174</f>
        <v>Sud</v>
      </c>
      <c r="G174" s="9">
        <f>E174*D174</f>
        <v>30600</v>
      </c>
      <c r="H174" s="383"/>
      <c r="I174" s="384"/>
      <c r="J174" s="395"/>
      <c r="K174" s="395"/>
      <c r="L174" s="399"/>
      <c r="M174" s="413"/>
    </row>
    <row r="175" spans="1:13" ht="19" customHeight="1">
      <c r="A175" s="8"/>
      <c r="B175" s="10" t="s">
        <v>95</v>
      </c>
      <c r="C175" s="8" t="s">
        <v>10</v>
      </c>
      <c r="D175" s="33">
        <f>D172*0.92</f>
        <v>2.04</v>
      </c>
      <c r="E175" s="11">
        <f>E528</f>
        <v>110000</v>
      </c>
      <c r="F175" s="149" t="str">
        <f>C175</f>
        <v>Sud</v>
      </c>
      <c r="G175" s="9">
        <f>E175*D175</f>
        <v>224400</v>
      </c>
      <c r="H175" s="383"/>
      <c r="I175" s="384"/>
      <c r="J175" s="395"/>
      <c r="K175" s="395"/>
      <c r="L175" s="399"/>
      <c r="M175" s="413"/>
    </row>
    <row r="176" spans="1:13" ht="19" customHeight="1">
      <c r="A176" s="8"/>
      <c r="B176" s="10" t="s">
        <v>34</v>
      </c>
      <c r="C176" s="8" t="s">
        <v>28</v>
      </c>
      <c r="D176" s="33">
        <f>D172*2</f>
        <v>4.4400000000000004</v>
      </c>
      <c r="E176" s="11">
        <f>E530</f>
        <v>20000</v>
      </c>
      <c r="F176" s="149" t="str">
        <f>C176</f>
        <v>Gal</v>
      </c>
      <c r="G176" s="9">
        <f>E176*D176</f>
        <v>88800</v>
      </c>
      <c r="H176" s="383"/>
      <c r="I176" s="384"/>
      <c r="J176" s="395"/>
      <c r="K176" s="395"/>
      <c r="L176" s="399"/>
      <c r="M176" s="413"/>
    </row>
    <row r="177" spans="1:13" s="32" customFormat="1" ht="19.5" customHeight="1">
      <c r="A177" s="91"/>
      <c r="B177" s="91" t="s">
        <v>22</v>
      </c>
      <c r="C177" s="91"/>
      <c r="D177" s="95"/>
      <c r="E177" s="59"/>
      <c r="F177" s="370"/>
      <c r="G177" s="244"/>
      <c r="H177" s="389"/>
      <c r="I177" s="390"/>
      <c r="J177" s="396"/>
      <c r="K177" s="396"/>
      <c r="L177" s="400"/>
      <c r="M177" s="414"/>
    </row>
    <row r="178" spans="1:13" s="32" customFormat="1" ht="19.5" customHeight="1">
      <c r="A178" s="91"/>
      <c r="B178" s="143" t="s">
        <v>394</v>
      </c>
      <c r="C178" s="145" t="s">
        <v>2</v>
      </c>
      <c r="D178" s="259">
        <f>D172*2</f>
        <v>4.4400000000000004</v>
      </c>
      <c r="E178" s="146">
        <f>E558</f>
        <v>25000</v>
      </c>
      <c r="F178" s="345" t="str">
        <f>C178</f>
        <v>No</v>
      </c>
      <c r="G178" s="9">
        <f>E178*D178</f>
        <v>111000</v>
      </c>
      <c r="H178" s="387"/>
      <c r="I178" s="390"/>
      <c r="J178" s="396"/>
      <c r="K178" s="396"/>
      <c r="L178" s="400"/>
      <c r="M178" s="414"/>
    </row>
    <row r="179" spans="1:13" s="32" customFormat="1" ht="19.5" customHeight="1">
      <c r="A179" s="91"/>
      <c r="B179" s="143" t="s">
        <v>395</v>
      </c>
      <c r="C179" s="140" t="s">
        <v>2</v>
      </c>
      <c r="D179" s="267">
        <f>D172*0.5</f>
        <v>1.1100000000000001</v>
      </c>
      <c r="E179" s="146">
        <f>E561</f>
        <v>25000</v>
      </c>
      <c r="F179" s="346" t="str">
        <f>C179</f>
        <v>No</v>
      </c>
      <c r="G179" s="9">
        <f>E179*D179</f>
        <v>27750</v>
      </c>
      <c r="H179" s="387"/>
      <c r="I179" s="390"/>
      <c r="J179" s="396"/>
      <c r="K179" s="396"/>
      <c r="L179" s="400"/>
      <c r="M179" s="414"/>
    </row>
    <row r="180" spans="1:13" s="32" customFormat="1" ht="19.5" customHeight="1">
      <c r="A180" s="91"/>
      <c r="B180" s="143" t="s">
        <v>390</v>
      </c>
      <c r="C180" s="140" t="s">
        <v>2</v>
      </c>
      <c r="D180" s="259">
        <f>D172*9</f>
        <v>19.98</v>
      </c>
      <c r="E180" s="146">
        <f>E560</f>
        <v>20000</v>
      </c>
      <c r="F180" s="347" t="str">
        <f>C180</f>
        <v>No</v>
      </c>
      <c r="G180" s="9">
        <f>E180*D180</f>
        <v>399600</v>
      </c>
      <c r="H180" s="385"/>
      <c r="I180" s="390"/>
      <c r="J180" s="396"/>
      <c r="K180" s="396"/>
      <c r="L180" s="400"/>
      <c r="M180" s="414"/>
    </row>
    <row r="181" spans="1:13" ht="19" customHeight="1">
      <c r="A181" s="8"/>
      <c r="B181" s="8"/>
      <c r="C181" s="8"/>
      <c r="D181" s="33"/>
      <c r="E181" s="11"/>
      <c r="F181" s="149"/>
      <c r="G181" s="9"/>
      <c r="H181" s="383"/>
      <c r="I181" s="384"/>
      <c r="J181" s="395"/>
      <c r="K181" s="395"/>
      <c r="L181" s="399"/>
      <c r="M181" s="413"/>
    </row>
    <row r="182" spans="1:13" ht="19" customHeight="1">
      <c r="A182" s="8"/>
      <c r="B182" s="8" t="str">
        <f>'Detail-Skeleton'!B234</f>
        <v>1st Floor Level Beam</v>
      </c>
      <c r="C182" s="8" t="s">
        <v>7</v>
      </c>
      <c r="D182" s="33">
        <f>'Detail-Skeleton'!J265/100</f>
        <v>2.62</v>
      </c>
      <c r="E182" s="11"/>
      <c r="F182" s="149"/>
      <c r="G182" s="9"/>
      <c r="H182" s="383">
        <f>SUM(G183:G190)</f>
        <v>2193550</v>
      </c>
      <c r="I182" s="384"/>
      <c r="J182" s="394">
        <f>SUM(G188:G190)</f>
        <v>635350</v>
      </c>
      <c r="K182" s="395"/>
      <c r="L182" s="409">
        <f>ROUND(H182/$H$519,5)</f>
        <v>1.46E-2</v>
      </c>
      <c r="M182" s="412">
        <f>ROUND(J182/$J$519,5)</f>
        <v>1.3899999999999999E-2</v>
      </c>
    </row>
    <row r="183" spans="1:13" ht="19" customHeight="1">
      <c r="A183" s="8"/>
      <c r="B183" s="243" t="s">
        <v>8</v>
      </c>
      <c r="C183" s="8" t="s">
        <v>9</v>
      </c>
      <c r="D183" s="33">
        <f>ROUNDDOWN(D182*2070/112,0)</f>
        <v>48</v>
      </c>
      <c r="E183" s="11">
        <f>E525</f>
        <v>24000</v>
      </c>
      <c r="F183" s="149" t="str">
        <f>C183</f>
        <v>Bag</v>
      </c>
      <c r="G183" s="9">
        <f>E183*D183</f>
        <v>1152000</v>
      </c>
      <c r="H183" s="383"/>
      <c r="I183" s="384"/>
      <c r="J183" s="395"/>
      <c r="K183" s="395"/>
      <c r="L183" s="399"/>
      <c r="M183" s="413"/>
    </row>
    <row r="184" spans="1:13" ht="19" customHeight="1">
      <c r="A184" s="8"/>
      <c r="B184" s="10" t="s">
        <v>31</v>
      </c>
      <c r="C184" s="8" t="s">
        <v>10</v>
      </c>
      <c r="D184" s="33">
        <f>D182*0.46</f>
        <v>1.21</v>
      </c>
      <c r="E184" s="11">
        <f>E526</f>
        <v>30000</v>
      </c>
      <c r="F184" s="149" t="str">
        <f>C184</f>
        <v>Sud</v>
      </c>
      <c r="G184" s="9">
        <f>E184*D184</f>
        <v>36300</v>
      </c>
      <c r="H184" s="383"/>
      <c r="I184" s="384"/>
      <c r="J184" s="395"/>
      <c r="K184" s="395"/>
      <c r="L184" s="399"/>
      <c r="M184" s="413"/>
    </row>
    <row r="185" spans="1:13" ht="19" customHeight="1">
      <c r="A185" s="8"/>
      <c r="B185" s="10" t="s">
        <v>95</v>
      </c>
      <c r="C185" s="8" t="s">
        <v>10</v>
      </c>
      <c r="D185" s="33">
        <f>D182*0.92</f>
        <v>2.41</v>
      </c>
      <c r="E185" s="11">
        <f>E528</f>
        <v>110000</v>
      </c>
      <c r="F185" s="149" t="str">
        <f>C185</f>
        <v>Sud</v>
      </c>
      <c r="G185" s="9">
        <f>E185*D185</f>
        <v>265100</v>
      </c>
      <c r="H185" s="383"/>
      <c r="I185" s="384"/>
      <c r="J185" s="395"/>
      <c r="K185" s="395"/>
      <c r="L185" s="399"/>
      <c r="M185" s="413"/>
    </row>
    <row r="186" spans="1:13" ht="19" customHeight="1">
      <c r="A186" s="8"/>
      <c r="B186" s="10" t="s">
        <v>34</v>
      </c>
      <c r="C186" s="8" t="s">
        <v>28</v>
      </c>
      <c r="D186" s="33">
        <f>D182*2</f>
        <v>5.24</v>
      </c>
      <c r="E186" s="11">
        <f>E530</f>
        <v>20000</v>
      </c>
      <c r="F186" s="149" t="str">
        <f>C186</f>
        <v>Gal</v>
      </c>
      <c r="G186" s="9">
        <f>E186*D186</f>
        <v>104800</v>
      </c>
      <c r="H186" s="383"/>
      <c r="I186" s="384"/>
      <c r="J186" s="395"/>
      <c r="K186" s="395"/>
      <c r="L186" s="399"/>
      <c r="M186" s="413"/>
    </row>
    <row r="187" spans="1:13" s="32" customFormat="1" ht="19.5" customHeight="1">
      <c r="A187" s="91"/>
      <c r="B187" s="91" t="s">
        <v>22</v>
      </c>
      <c r="C187" s="91"/>
      <c r="D187" s="95"/>
      <c r="E187" s="59"/>
      <c r="F187" s="370"/>
      <c r="G187" s="244"/>
      <c r="H187" s="389"/>
      <c r="I187" s="390"/>
      <c r="J187" s="396"/>
      <c r="K187" s="396"/>
      <c r="L187" s="400"/>
      <c r="M187" s="414"/>
    </row>
    <row r="188" spans="1:13" s="32" customFormat="1" ht="19.5" customHeight="1">
      <c r="A188" s="91"/>
      <c r="B188" s="143" t="s">
        <v>394</v>
      </c>
      <c r="C188" s="145" t="s">
        <v>2</v>
      </c>
      <c r="D188" s="259">
        <f>D182*2</f>
        <v>5.24</v>
      </c>
      <c r="E188" s="146">
        <f>E558</f>
        <v>25000</v>
      </c>
      <c r="F188" s="345" t="str">
        <f>C188</f>
        <v>No</v>
      </c>
      <c r="G188" s="9">
        <f>E188*D188</f>
        <v>131000</v>
      </c>
      <c r="H188" s="387"/>
      <c r="I188" s="390"/>
      <c r="J188" s="396"/>
      <c r="K188" s="396"/>
      <c r="L188" s="400"/>
      <c r="M188" s="414"/>
    </row>
    <row r="189" spans="1:13" s="32" customFormat="1" ht="19.5" customHeight="1">
      <c r="A189" s="91"/>
      <c r="B189" s="143" t="s">
        <v>395</v>
      </c>
      <c r="C189" s="140" t="s">
        <v>2</v>
      </c>
      <c r="D189" s="267">
        <f>D182*0.5</f>
        <v>1.31</v>
      </c>
      <c r="E189" s="146">
        <f>E561</f>
        <v>25000</v>
      </c>
      <c r="F189" s="346" t="str">
        <f>C189</f>
        <v>No</v>
      </c>
      <c r="G189" s="9">
        <f>E189*D189</f>
        <v>32750</v>
      </c>
      <c r="H189" s="387"/>
      <c r="I189" s="390"/>
      <c r="J189" s="396"/>
      <c r="K189" s="396"/>
      <c r="L189" s="400"/>
      <c r="M189" s="414"/>
    </row>
    <row r="190" spans="1:13" s="32" customFormat="1" ht="19.5" customHeight="1">
      <c r="A190" s="91"/>
      <c r="B190" s="143" t="s">
        <v>390</v>
      </c>
      <c r="C190" s="140" t="s">
        <v>2</v>
      </c>
      <c r="D190" s="259">
        <f>D182*9</f>
        <v>23.58</v>
      </c>
      <c r="E190" s="146">
        <f>E560</f>
        <v>20000</v>
      </c>
      <c r="F190" s="347" t="str">
        <f>C190</f>
        <v>No</v>
      </c>
      <c r="G190" s="9">
        <f>E190*D190</f>
        <v>471600</v>
      </c>
      <c r="H190" s="385"/>
      <c r="I190" s="390"/>
      <c r="J190" s="396"/>
      <c r="K190" s="396"/>
      <c r="L190" s="400"/>
      <c r="M190" s="414"/>
    </row>
    <row r="191" spans="1:13" ht="19" customHeight="1">
      <c r="A191" s="8"/>
      <c r="B191" s="8" t="str">
        <f>'Detail-Skeleton'!B267</f>
        <v>Roof Beam</v>
      </c>
      <c r="C191" s="8" t="s">
        <v>7</v>
      </c>
      <c r="D191" s="33">
        <f>'Detail-Skeleton'!J290/100</f>
        <v>2.08</v>
      </c>
      <c r="E191" s="11"/>
      <c r="F191" s="149"/>
      <c r="G191" s="9"/>
      <c r="H191" s="383">
        <f>SUM(G192:G199)</f>
        <v>1738500</v>
      </c>
      <c r="I191" s="384"/>
      <c r="J191" s="394">
        <f>SUM(G197:G199)</f>
        <v>504400</v>
      </c>
      <c r="K191" s="395"/>
      <c r="L191" s="409">
        <f>ROUND(H191/$H$519,5)</f>
        <v>1.15E-2</v>
      </c>
      <c r="M191" s="412">
        <f>ROUND(J191/$J$519,5)</f>
        <v>1.0999999999999999E-2</v>
      </c>
    </row>
    <row r="192" spans="1:13" ht="19" customHeight="1">
      <c r="A192" s="8"/>
      <c r="B192" s="243" t="s">
        <v>8</v>
      </c>
      <c r="C192" s="8" t="s">
        <v>9</v>
      </c>
      <c r="D192" s="33">
        <f>ROUNDDOWN(D191*2070/112,0)</f>
        <v>38</v>
      </c>
      <c r="E192" s="11">
        <f>E525</f>
        <v>24000</v>
      </c>
      <c r="F192" s="149" t="str">
        <f>C192</f>
        <v>Bag</v>
      </c>
      <c r="G192" s="9">
        <f>E192*D192</f>
        <v>912000</v>
      </c>
      <c r="H192" s="383"/>
      <c r="I192" s="384"/>
      <c r="J192" s="395"/>
      <c r="K192" s="395"/>
      <c r="L192" s="399"/>
      <c r="M192" s="413"/>
    </row>
    <row r="193" spans="1:13" ht="19" customHeight="1">
      <c r="A193" s="8"/>
      <c r="B193" s="10" t="s">
        <v>31</v>
      </c>
      <c r="C193" s="8" t="s">
        <v>10</v>
      </c>
      <c r="D193" s="33">
        <f>D191*0.46</f>
        <v>0.96</v>
      </c>
      <c r="E193" s="11">
        <f>E526</f>
        <v>30000</v>
      </c>
      <c r="F193" s="149" t="str">
        <f>C193</f>
        <v>Sud</v>
      </c>
      <c r="G193" s="9">
        <f>E193*D193</f>
        <v>28800</v>
      </c>
      <c r="H193" s="383"/>
      <c r="I193" s="384"/>
      <c r="J193" s="395"/>
      <c r="K193" s="395"/>
      <c r="L193" s="399"/>
      <c r="M193" s="413"/>
    </row>
    <row r="194" spans="1:13" ht="19" customHeight="1">
      <c r="A194" s="8"/>
      <c r="B194" s="10" t="s">
        <v>95</v>
      </c>
      <c r="C194" s="8" t="s">
        <v>10</v>
      </c>
      <c r="D194" s="33">
        <f>D191*0.92</f>
        <v>1.91</v>
      </c>
      <c r="E194" s="11">
        <f>E528</f>
        <v>110000</v>
      </c>
      <c r="F194" s="149" t="str">
        <f>C194</f>
        <v>Sud</v>
      </c>
      <c r="G194" s="9">
        <f>E194*D194</f>
        <v>210100</v>
      </c>
      <c r="H194" s="383"/>
      <c r="I194" s="384"/>
      <c r="J194" s="395"/>
      <c r="K194" s="395"/>
      <c r="L194" s="399"/>
      <c r="M194" s="413"/>
    </row>
    <row r="195" spans="1:13" ht="19" customHeight="1">
      <c r="A195" s="8"/>
      <c r="B195" s="10" t="s">
        <v>34</v>
      </c>
      <c r="C195" s="8" t="s">
        <v>28</v>
      </c>
      <c r="D195" s="33">
        <f>D191*2</f>
        <v>4.16</v>
      </c>
      <c r="E195" s="11">
        <f>E530</f>
        <v>20000</v>
      </c>
      <c r="F195" s="149" t="str">
        <f>C195</f>
        <v>Gal</v>
      </c>
      <c r="G195" s="9">
        <f>E195*D195</f>
        <v>83200</v>
      </c>
      <c r="H195" s="383"/>
      <c r="I195" s="384"/>
      <c r="J195" s="395"/>
      <c r="K195" s="395"/>
      <c r="L195" s="399"/>
      <c r="M195" s="413"/>
    </row>
    <row r="196" spans="1:13" s="32" customFormat="1" ht="19.5" customHeight="1">
      <c r="A196" s="91"/>
      <c r="B196" s="91" t="s">
        <v>22</v>
      </c>
      <c r="C196" s="91"/>
      <c r="D196" s="95"/>
      <c r="E196" s="59"/>
      <c r="F196" s="370"/>
      <c r="G196" s="244"/>
      <c r="H196" s="389"/>
      <c r="I196" s="390"/>
      <c r="J196" s="396"/>
      <c r="K196" s="396"/>
      <c r="L196" s="400"/>
      <c r="M196" s="414"/>
    </row>
    <row r="197" spans="1:13" s="32" customFormat="1" ht="19.5" customHeight="1">
      <c r="A197" s="91"/>
      <c r="B197" s="143" t="s">
        <v>394</v>
      </c>
      <c r="C197" s="145" t="s">
        <v>2</v>
      </c>
      <c r="D197" s="259">
        <f>D191*2</f>
        <v>4.16</v>
      </c>
      <c r="E197" s="146">
        <f>E558</f>
        <v>25000</v>
      </c>
      <c r="F197" s="345" t="str">
        <f>C197</f>
        <v>No</v>
      </c>
      <c r="G197" s="9">
        <f>E197*D197</f>
        <v>104000</v>
      </c>
      <c r="H197" s="387"/>
      <c r="I197" s="390"/>
      <c r="J197" s="396"/>
      <c r="K197" s="396"/>
      <c r="L197" s="400"/>
      <c r="M197" s="414"/>
    </row>
    <row r="198" spans="1:13" s="32" customFormat="1" ht="19.5" customHeight="1">
      <c r="A198" s="91"/>
      <c r="B198" s="143" t="s">
        <v>395</v>
      </c>
      <c r="C198" s="140" t="s">
        <v>2</v>
      </c>
      <c r="D198" s="267">
        <f>D191*0.5</f>
        <v>1.04</v>
      </c>
      <c r="E198" s="146">
        <f>E561</f>
        <v>25000</v>
      </c>
      <c r="F198" s="346" t="str">
        <f>C198</f>
        <v>No</v>
      </c>
      <c r="G198" s="9">
        <f>E198*D198</f>
        <v>26000</v>
      </c>
      <c r="H198" s="387"/>
      <c r="I198" s="390"/>
      <c r="J198" s="396"/>
      <c r="K198" s="396"/>
      <c r="L198" s="400"/>
      <c r="M198" s="414"/>
    </row>
    <row r="199" spans="1:13" s="32" customFormat="1" ht="19.5" customHeight="1">
      <c r="A199" s="91"/>
      <c r="B199" s="143" t="s">
        <v>390</v>
      </c>
      <c r="C199" s="140" t="s">
        <v>2</v>
      </c>
      <c r="D199" s="259">
        <f>D191*9</f>
        <v>18.72</v>
      </c>
      <c r="E199" s="146">
        <f>E560</f>
        <v>20000</v>
      </c>
      <c r="F199" s="347" t="str">
        <f>C199</f>
        <v>No</v>
      </c>
      <c r="G199" s="9">
        <f>E199*D199</f>
        <v>374400</v>
      </c>
      <c r="H199" s="385"/>
      <c r="I199" s="390"/>
      <c r="J199" s="396"/>
      <c r="K199" s="396"/>
      <c r="L199" s="400"/>
      <c r="M199" s="414"/>
    </row>
    <row r="200" spans="1:13" ht="19" customHeight="1">
      <c r="A200" s="8"/>
      <c r="B200" s="12"/>
      <c r="C200" s="21"/>
      <c r="D200" s="33"/>
      <c r="E200" s="11"/>
      <c r="F200" s="149"/>
      <c r="G200" s="9"/>
      <c r="H200" s="383"/>
      <c r="I200" s="384"/>
      <c r="J200" s="395"/>
      <c r="K200" s="395"/>
      <c r="L200" s="399"/>
      <c r="M200" s="413"/>
    </row>
    <row r="201" spans="1:13" ht="19" customHeight="1">
      <c r="A201" s="8"/>
      <c r="B201" s="12" t="str">
        <f>'Detail-Skeleton'!B294</f>
        <v xml:space="preserve">( b ) Formwork </v>
      </c>
      <c r="C201" s="21" t="str">
        <f>'Detail-Skeleton'!K330</f>
        <v>%Fs</v>
      </c>
      <c r="D201" s="33">
        <f>'Detail-Skeleton'!J330</f>
        <v>18.38</v>
      </c>
      <c r="E201" s="11"/>
      <c r="F201" s="149"/>
      <c r="G201" s="9"/>
      <c r="H201" s="383"/>
      <c r="I201" s="384"/>
      <c r="J201" s="395"/>
      <c r="K201" s="395"/>
      <c r="L201" s="399"/>
      <c r="M201" s="413"/>
    </row>
    <row r="202" spans="1:13" ht="19" customHeight="1">
      <c r="A202" s="8"/>
      <c r="B202" s="12" t="s">
        <v>150</v>
      </c>
      <c r="C202" s="21" t="str">
        <f>C201</f>
        <v>%Fs</v>
      </c>
      <c r="D202" s="33">
        <f>'Detail-Skeleton'!J305/100</f>
        <v>5.5</v>
      </c>
      <c r="E202" s="11"/>
      <c r="F202" s="149"/>
      <c r="G202" s="9"/>
      <c r="H202" s="383">
        <f>SUM(G204:G209)</f>
        <v>2751048</v>
      </c>
      <c r="I202" s="384"/>
      <c r="J202" s="394">
        <f>SUM(G208:G209)</f>
        <v>770000</v>
      </c>
      <c r="K202" s="395"/>
      <c r="L202" s="409">
        <f>ROUND(H202/$H$519,5)</f>
        <v>1.83E-2</v>
      </c>
      <c r="M202" s="412">
        <f>ROUND(J202/$J$519,5)</f>
        <v>1.6799999999999999E-2</v>
      </c>
    </row>
    <row r="203" spans="1:13" ht="21" customHeight="1">
      <c r="A203" s="8"/>
      <c r="B203" s="8" t="s">
        <v>26</v>
      </c>
      <c r="C203" s="21"/>
      <c r="D203" s="33"/>
      <c r="E203" s="11"/>
      <c r="F203" s="149"/>
      <c r="G203" s="9"/>
      <c r="H203" s="383"/>
      <c r="I203" s="384"/>
      <c r="J203" s="395"/>
      <c r="K203" s="395"/>
      <c r="L203" s="399"/>
      <c r="M203" s="413"/>
    </row>
    <row r="204" spans="1:13" ht="21" customHeight="1">
      <c r="A204" s="8"/>
      <c r="B204" s="10" t="s">
        <v>53</v>
      </c>
      <c r="C204" s="8" t="s">
        <v>14</v>
      </c>
      <c r="D204" s="33">
        <f>D202*15/50/2</f>
        <v>0.83</v>
      </c>
      <c r="E204" s="11">
        <f>E532</f>
        <v>1500000</v>
      </c>
      <c r="F204" s="149" t="str">
        <f>C204</f>
        <v>Ton</v>
      </c>
      <c r="G204" s="9">
        <f>D204*E204</f>
        <v>1245000</v>
      </c>
      <c r="H204" s="383"/>
      <c r="I204" s="384"/>
      <c r="J204" s="395"/>
      <c r="K204" s="395"/>
      <c r="L204" s="399"/>
      <c r="M204" s="413"/>
    </row>
    <row r="205" spans="1:13" ht="21" customHeight="1">
      <c r="A205" s="8"/>
      <c r="B205" s="10" t="s">
        <v>62</v>
      </c>
      <c r="C205" s="245" t="s">
        <v>13</v>
      </c>
      <c r="D205" s="33">
        <f>D202/0.32/2*1.15</f>
        <v>9.8800000000000008</v>
      </c>
      <c r="E205" s="11">
        <f>E531</f>
        <v>70000</v>
      </c>
      <c r="F205" s="368" t="str">
        <f>C205</f>
        <v>Sht</v>
      </c>
      <c r="G205" s="9">
        <f>D205*E205</f>
        <v>691600</v>
      </c>
      <c r="H205" s="383"/>
      <c r="I205" s="384"/>
      <c r="J205" s="395"/>
      <c r="K205" s="395"/>
      <c r="L205" s="399"/>
      <c r="M205" s="413"/>
    </row>
    <row r="206" spans="1:13" ht="21" customHeight="1">
      <c r="A206" s="8"/>
      <c r="B206" s="10" t="s">
        <v>35</v>
      </c>
      <c r="C206" s="8" t="s">
        <v>15</v>
      </c>
      <c r="D206" s="33">
        <f>ROUNDDOWN(D202*3,0)</f>
        <v>16</v>
      </c>
      <c r="E206" s="11">
        <f>E533</f>
        <v>2778</v>
      </c>
      <c r="F206" s="149" t="str">
        <f>C206</f>
        <v>Lb</v>
      </c>
      <c r="G206" s="9">
        <f>D206*E206</f>
        <v>44448</v>
      </c>
      <c r="H206" s="383"/>
      <c r="I206" s="384"/>
      <c r="J206" s="395"/>
      <c r="K206" s="395"/>
      <c r="L206" s="399"/>
      <c r="M206" s="413"/>
    </row>
    <row r="207" spans="1:13" ht="18.75" customHeight="1">
      <c r="A207" s="8"/>
      <c r="B207" s="91" t="s">
        <v>22</v>
      </c>
      <c r="C207" s="91"/>
      <c r="D207" s="95"/>
      <c r="E207" s="11"/>
      <c r="F207" s="149"/>
      <c r="G207" s="9"/>
      <c r="H207" s="383"/>
      <c r="I207" s="384"/>
      <c r="J207" s="395"/>
      <c r="K207" s="395"/>
      <c r="L207" s="399"/>
      <c r="M207" s="413"/>
    </row>
    <row r="208" spans="1:13" ht="18.75" customHeight="1">
      <c r="A208" s="8"/>
      <c r="B208" s="143" t="s">
        <v>391</v>
      </c>
      <c r="C208" s="140" t="s">
        <v>2</v>
      </c>
      <c r="D208" s="259">
        <f>D202*4</f>
        <v>22</v>
      </c>
      <c r="E208" s="142">
        <f>E557</f>
        <v>25000</v>
      </c>
      <c r="F208" s="347" t="str">
        <f>C208</f>
        <v>No</v>
      </c>
      <c r="G208" s="9">
        <f>E208*D208</f>
        <v>550000</v>
      </c>
      <c r="H208" s="386"/>
      <c r="I208" s="384"/>
      <c r="J208" s="395"/>
      <c r="K208" s="395"/>
      <c r="L208" s="399"/>
      <c r="M208" s="413"/>
    </row>
    <row r="209" spans="1:13" ht="18.75" customHeight="1">
      <c r="A209" s="8"/>
      <c r="B209" s="143" t="s">
        <v>390</v>
      </c>
      <c r="C209" s="140" t="s">
        <v>2</v>
      </c>
      <c r="D209" s="259">
        <f>D202*2</f>
        <v>11</v>
      </c>
      <c r="E209" s="142">
        <f>E560</f>
        <v>20000</v>
      </c>
      <c r="F209" s="347" t="str">
        <f>C209</f>
        <v>No</v>
      </c>
      <c r="G209" s="9">
        <f>E209*D209</f>
        <v>220000</v>
      </c>
      <c r="H209" s="385"/>
      <c r="I209" s="384"/>
      <c r="J209" s="395"/>
      <c r="K209" s="395"/>
      <c r="L209" s="399"/>
      <c r="M209" s="413"/>
    </row>
    <row r="210" spans="1:13" ht="20.149999999999999" customHeight="1">
      <c r="A210" s="37"/>
      <c r="B210" s="37"/>
      <c r="C210" s="37"/>
      <c r="D210" s="24"/>
      <c r="E210" s="115"/>
      <c r="F210" s="371"/>
      <c r="G210" s="9"/>
      <c r="H210" s="383"/>
      <c r="I210" s="384"/>
      <c r="J210" s="395"/>
      <c r="K210" s="395"/>
      <c r="L210" s="399"/>
      <c r="M210" s="413"/>
    </row>
    <row r="211" spans="1:13" ht="19" customHeight="1">
      <c r="A211" s="8"/>
      <c r="B211" s="12" t="s">
        <v>165</v>
      </c>
      <c r="C211" s="21" t="str">
        <f>C201</f>
        <v>%Fs</v>
      </c>
      <c r="D211" s="33">
        <f>'Detail-Skeleton'!J317/100</f>
        <v>5.63</v>
      </c>
      <c r="E211" s="11"/>
      <c r="F211" s="368"/>
      <c r="G211" s="9"/>
      <c r="H211" s="383">
        <f>SUM(G212:G218)</f>
        <v>2801048</v>
      </c>
      <c r="I211" s="384"/>
      <c r="J211" s="394">
        <f>SUM(G217:G218)</f>
        <v>788200</v>
      </c>
      <c r="K211" s="395"/>
      <c r="L211" s="409">
        <f>ROUND(H211/$H$519,5)</f>
        <v>1.8599999999999998E-2</v>
      </c>
      <c r="M211" s="412">
        <f>ROUND(J211/$J$519,5)</f>
        <v>1.72E-2</v>
      </c>
    </row>
    <row r="212" spans="1:13" ht="21" customHeight="1">
      <c r="A212" s="8"/>
      <c r="B212" s="8" t="s">
        <v>26</v>
      </c>
      <c r="C212" s="21"/>
      <c r="D212" s="33"/>
      <c r="E212" s="11"/>
      <c r="F212" s="149"/>
      <c r="G212" s="9"/>
      <c r="H212" s="383"/>
      <c r="I212" s="384"/>
      <c r="J212" s="395"/>
      <c r="K212" s="395"/>
      <c r="L212" s="399"/>
      <c r="M212" s="413"/>
    </row>
    <row r="213" spans="1:13" ht="21" customHeight="1">
      <c r="A213" s="8"/>
      <c r="B213" s="10" t="s">
        <v>53</v>
      </c>
      <c r="C213" s="8" t="s">
        <v>14</v>
      </c>
      <c r="D213" s="33">
        <f>D211*15/50/2</f>
        <v>0.84</v>
      </c>
      <c r="E213" s="11">
        <f>E532</f>
        <v>1500000</v>
      </c>
      <c r="F213" s="149" t="str">
        <f>C213</f>
        <v>Ton</v>
      </c>
      <c r="G213" s="9">
        <f>D213*E213</f>
        <v>1260000</v>
      </c>
      <c r="H213" s="383"/>
      <c r="I213" s="384"/>
      <c r="J213" s="395"/>
      <c r="K213" s="395"/>
      <c r="L213" s="399"/>
      <c r="M213" s="413"/>
    </row>
    <row r="214" spans="1:13" ht="21" customHeight="1">
      <c r="A214" s="8"/>
      <c r="B214" s="10" t="s">
        <v>62</v>
      </c>
      <c r="C214" s="245" t="s">
        <v>13</v>
      </c>
      <c r="D214" s="33">
        <f>D211/0.32/2*1.15</f>
        <v>10.119999999999999</v>
      </c>
      <c r="E214" s="11">
        <f>E531</f>
        <v>70000</v>
      </c>
      <c r="F214" s="368" t="str">
        <f>C214</f>
        <v>Sht</v>
      </c>
      <c r="G214" s="9">
        <f>D214*E214</f>
        <v>708400</v>
      </c>
      <c r="H214" s="383"/>
      <c r="I214" s="384"/>
      <c r="J214" s="395"/>
      <c r="K214" s="395"/>
      <c r="L214" s="399"/>
      <c r="M214" s="413"/>
    </row>
    <row r="215" spans="1:13" ht="21" customHeight="1">
      <c r="A215" s="8"/>
      <c r="B215" s="10" t="s">
        <v>35</v>
      </c>
      <c r="C215" s="8" t="s">
        <v>15</v>
      </c>
      <c r="D215" s="33">
        <f>ROUNDDOWN(D211*3,0)</f>
        <v>16</v>
      </c>
      <c r="E215" s="11">
        <f>E533</f>
        <v>2778</v>
      </c>
      <c r="F215" s="149" t="str">
        <f>C215</f>
        <v>Lb</v>
      </c>
      <c r="G215" s="9">
        <f>D215*E215</f>
        <v>44448</v>
      </c>
      <c r="H215" s="383"/>
      <c r="I215" s="384"/>
      <c r="J215" s="395"/>
      <c r="K215" s="395"/>
      <c r="L215" s="399"/>
      <c r="M215" s="413"/>
    </row>
    <row r="216" spans="1:13" ht="18.75" customHeight="1">
      <c r="A216" s="8"/>
      <c r="B216" s="91" t="s">
        <v>22</v>
      </c>
      <c r="C216" s="91"/>
      <c r="D216" s="95"/>
      <c r="E216" s="11"/>
      <c r="F216" s="149"/>
      <c r="G216" s="9"/>
      <c r="H216" s="383"/>
      <c r="I216" s="384"/>
      <c r="J216" s="395"/>
      <c r="K216" s="395"/>
      <c r="L216" s="399"/>
      <c r="M216" s="413"/>
    </row>
    <row r="217" spans="1:13" ht="18.75" customHeight="1">
      <c r="A217" s="8"/>
      <c r="B217" s="143" t="s">
        <v>391</v>
      </c>
      <c r="C217" s="140" t="s">
        <v>2</v>
      </c>
      <c r="D217" s="259">
        <f>D211*4</f>
        <v>22.52</v>
      </c>
      <c r="E217" s="142">
        <f>E557</f>
        <v>25000</v>
      </c>
      <c r="F217" s="347" t="str">
        <f>C217</f>
        <v>No</v>
      </c>
      <c r="G217" s="9">
        <f>E217*D217</f>
        <v>563000</v>
      </c>
      <c r="H217" s="386"/>
      <c r="I217" s="384"/>
      <c r="J217" s="395"/>
      <c r="K217" s="395"/>
      <c r="L217" s="399"/>
      <c r="M217" s="413"/>
    </row>
    <row r="218" spans="1:13" ht="18.75" customHeight="1">
      <c r="A218" s="8"/>
      <c r="B218" s="143" t="s">
        <v>390</v>
      </c>
      <c r="C218" s="140" t="s">
        <v>2</v>
      </c>
      <c r="D218" s="259">
        <f>D211*2</f>
        <v>11.26</v>
      </c>
      <c r="E218" s="142">
        <f>E560</f>
        <v>20000</v>
      </c>
      <c r="F218" s="347" t="str">
        <f>C218</f>
        <v>No</v>
      </c>
      <c r="G218" s="9">
        <f>E218*D218</f>
        <v>225200</v>
      </c>
      <c r="H218" s="385"/>
      <c r="I218" s="384"/>
      <c r="J218" s="395"/>
      <c r="K218" s="395"/>
      <c r="L218" s="399"/>
      <c r="M218" s="413"/>
    </row>
    <row r="219" spans="1:13" ht="19" customHeight="1">
      <c r="A219" s="8"/>
      <c r="B219" s="12" t="s">
        <v>100</v>
      </c>
      <c r="C219" s="21" t="str">
        <f>C201</f>
        <v>%Fs</v>
      </c>
      <c r="D219" s="33">
        <f>'Detail-Skeleton'!J327/100</f>
        <v>7.24</v>
      </c>
      <c r="E219" s="11"/>
      <c r="F219" s="368"/>
      <c r="G219" s="9"/>
      <c r="H219" s="383">
        <f>SUM(G221:G226)</f>
        <v>3617638</v>
      </c>
      <c r="I219" s="384"/>
      <c r="J219" s="394">
        <f>SUM(G225:G226)</f>
        <v>1013600</v>
      </c>
      <c r="K219" s="395"/>
      <c r="L219" s="409">
        <f>ROUND(H219/$H$519,5)</f>
        <v>2.4E-2</v>
      </c>
      <c r="M219" s="412">
        <f>ROUND(J219/$J$519,5)</f>
        <v>2.2200000000000001E-2</v>
      </c>
    </row>
    <row r="220" spans="1:13" ht="21" customHeight="1">
      <c r="A220" s="8"/>
      <c r="B220" s="8" t="s">
        <v>26</v>
      </c>
      <c r="C220" s="21"/>
      <c r="D220" s="33"/>
      <c r="E220" s="11"/>
      <c r="F220" s="149"/>
      <c r="G220" s="9"/>
      <c r="H220" s="383"/>
      <c r="I220" s="384"/>
      <c r="J220" s="395"/>
      <c r="K220" s="395"/>
      <c r="L220" s="399"/>
      <c r="M220" s="413"/>
    </row>
    <row r="221" spans="1:13" ht="21" customHeight="1">
      <c r="A221" s="8"/>
      <c r="B221" s="10" t="s">
        <v>53</v>
      </c>
      <c r="C221" s="8" t="s">
        <v>14</v>
      </c>
      <c r="D221" s="33">
        <f>D219*15/50/2</f>
        <v>1.0900000000000001</v>
      </c>
      <c r="E221" s="11">
        <f>E532</f>
        <v>1500000</v>
      </c>
      <c r="F221" s="149" t="str">
        <f>C221</f>
        <v>Ton</v>
      </c>
      <c r="G221" s="9">
        <f>D221*E221</f>
        <v>1635000</v>
      </c>
      <c r="H221" s="383"/>
      <c r="I221" s="384"/>
      <c r="J221" s="395"/>
      <c r="K221" s="395"/>
      <c r="L221" s="399"/>
      <c r="M221" s="413"/>
    </row>
    <row r="222" spans="1:13" ht="21" customHeight="1">
      <c r="A222" s="8"/>
      <c r="B222" s="10" t="s">
        <v>62</v>
      </c>
      <c r="C222" s="245" t="s">
        <v>13</v>
      </c>
      <c r="D222" s="33">
        <f>D219/0.32/2*1.15</f>
        <v>13.01</v>
      </c>
      <c r="E222" s="11">
        <f>E531</f>
        <v>70000</v>
      </c>
      <c r="F222" s="368" t="str">
        <f>C222</f>
        <v>Sht</v>
      </c>
      <c r="G222" s="9">
        <f>D222*E222</f>
        <v>910700</v>
      </c>
      <c r="H222" s="383"/>
      <c r="I222" s="384"/>
      <c r="J222" s="395"/>
      <c r="K222" s="395"/>
      <c r="L222" s="399"/>
      <c r="M222" s="413"/>
    </row>
    <row r="223" spans="1:13" ht="21" customHeight="1">
      <c r="A223" s="8"/>
      <c r="B223" s="10" t="s">
        <v>35</v>
      </c>
      <c r="C223" s="8" t="s">
        <v>15</v>
      </c>
      <c r="D223" s="33">
        <f>ROUNDDOWN(D219*3,0)</f>
        <v>21</v>
      </c>
      <c r="E223" s="11">
        <f>E533</f>
        <v>2778</v>
      </c>
      <c r="F223" s="149" t="str">
        <f>C223</f>
        <v>Lb</v>
      </c>
      <c r="G223" s="9">
        <f>D223*E223</f>
        <v>58338</v>
      </c>
      <c r="H223" s="383"/>
      <c r="I223" s="384"/>
      <c r="J223" s="395"/>
      <c r="K223" s="395"/>
      <c r="L223" s="399"/>
      <c r="M223" s="413"/>
    </row>
    <row r="224" spans="1:13" ht="18.75" customHeight="1">
      <c r="A224" s="8"/>
      <c r="B224" s="91" t="s">
        <v>22</v>
      </c>
      <c r="C224" s="91"/>
      <c r="D224" s="95"/>
      <c r="E224" s="11"/>
      <c r="F224" s="149"/>
      <c r="G224" s="9"/>
      <c r="H224" s="383"/>
      <c r="I224" s="384"/>
      <c r="J224" s="395"/>
      <c r="K224" s="395"/>
      <c r="L224" s="399"/>
      <c r="M224" s="413"/>
    </row>
    <row r="225" spans="1:13" ht="18.75" customHeight="1">
      <c r="A225" s="8"/>
      <c r="B225" s="143" t="s">
        <v>391</v>
      </c>
      <c r="C225" s="140" t="s">
        <v>2</v>
      </c>
      <c r="D225" s="259">
        <f>D219*4</f>
        <v>28.96</v>
      </c>
      <c r="E225" s="142">
        <f>E557</f>
        <v>25000</v>
      </c>
      <c r="F225" s="347" t="str">
        <f>C225</f>
        <v>No</v>
      </c>
      <c r="G225" s="9">
        <f>E225*D225</f>
        <v>724000</v>
      </c>
      <c r="H225" s="386"/>
      <c r="I225" s="384"/>
      <c r="J225" s="395"/>
      <c r="K225" s="395"/>
      <c r="L225" s="399"/>
      <c r="M225" s="413"/>
    </row>
    <row r="226" spans="1:13" ht="18.75" customHeight="1">
      <c r="A226" s="8"/>
      <c r="B226" s="143" t="s">
        <v>390</v>
      </c>
      <c r="C226" s="140" t="s">
        <v>2</v>
      </c>
      <c r="D226" s="259">
        <f>D219*2</f>
        <v>14.48</v>
      </c>
      <c r="E226" s="142">
        <f>E560</f>
        <v>20000</v>
      </c>
      <c r="F226" s="347" t="str">
        <f>C226</f>
        <v>No</v>
      </c>
      <c r="G226" s="9">
        <f>E226*D226</f>
        <v>289600</v>
      </c>
      <c r="H226" s="385"/>
      <c r="I226" s="384"/>
      <c r="J226" s="395"/>
      <c r="K226" s="395"/>
      <c r="L226" s="399"/>
      <c r="M226" s="413"/>
    </row>
    <row r="227" spans="1:13" ht="19" customHeight="1">
      <c r="A227" s="37"/>
      <c r="B227" s="38" t="str">
        <f>'Detail-Skeleton'!B332</f>
        <v>( c ) Rebar Work</v>
      </c>
      <c r="C227" s="49" t="s">
        <v>14</v>
      </c>
      <c r="D227" s="24">
        <f>D229+D230+D240+D241+D242+D253+D254</f>
        <v>4.21</v>
      </c>
      <c r="E227" s="115"/>
      <c r="F227" s="371"/>
      <c r="G227" s="9"/>
      <c r="H227" s="383"/>
      <c r="I227" s="384"/>
      <c r="J227" s="395"/>
      <c r="K227" s="395"/>
      <c r="L227" s="399"/>
      <c r="M227" s="413"/>
    </row>
    <row r="228" spans="1:13" ht="19" customHeight="1">
      <c r="A228" s="37"/>
      <c r="B228" s="38" t="s">
        <v>647</v>
      </c>
      <c r="C228" s="49" t="s">
        <v>14</v>
      </c>
      <c r="D228" s="24">
        <f>D229+D230</f>
        <v>1.2</v>
      </c>
      <c r="E228" s="115"/>
      <c r="F228" s="371"/>
      <c r="G228" s="9"/>
      <c r="H228" s="383">
        <f>SUM(G232:G237)</f>
        <v>4380492</v>
      </c>
      <c r="I228" s="384"/>
      <c r="J228" s="394">
        <f>SUM(G236:G237)</f>
        <v>904500</v>
      </c>
      <c r="K228" s="395"/>
      <c r="L228" s="409">
        <f>ROUND(H228/$H$519,5)</f>
        <v>2.9100000000000001E-2</v>
      </c>
      <c r="M228" s="412">
        <f>ROUND(J228/$J$519,5)</f>
        <v>1.9800000000000002E-2</v>
      </c>
    </row>
    <row r="229" spans="1:13" ht="19" customHeight="1">
      <c r="A229" s="8"/>
      <c r="B229" s="50" t="str">
        <f>'Detail-Skeleton'!I656</f>
        <v>10mm Ø</v>
      </c>
      <c r="C229" s="8" t="s">
        <v>14</v>
      </c>
      <c r="D229" s="33">
        <f>'Detail-Skeleton'!I657</f>
        <v>0.42</v>
      </c>
      <c r="E229" s="11"/>
      <c r="F229" s="149"/>
      <c r="G229" s="9"/>
      <c r="H229" s="383"/>
      <c r="I229" s="384"/>
      <c r="J229" s="395"/>
      <c r="K229" s="395"/>
      <c r="L229" s="399"/>
      <c r="M229" s="413"/>
    </row>
    <row r="230" spans="1:13" ht="19" customHeight="1">
      <c r="A230" s="8"/>
      <c r="B230" s="50" t="str">
        <f>'Detail-Skeleton'!H656</f>
        <v>16mm Ø</v>
      </c>
      <c r="C230" s="8" t="s">
        <v>14</v>
      </c>
      <c r="D230" s="33">
        <f>'Detail-Skeleton'!H657</f>
        <v>0.78</v>
      </c>
      <c r="E230" s="11"/>
      <c r="F230" s="149"/>
      <c r="G230" s="9"/>
      <c r="H230" s="383"/>
      <c r="I230" s="384"/>
      <c r="J230" s="395"/>
      <c r="K230" s="395"/>
      <c r="L230" s="399"/>
      <c r="M230" s="413"/>
    </row>
    <row r="231" spans="1:13" ht="19" customHeight="1">
      <c r="A231" s="8"/>
      <c r="B231" s="8" t="s">
        <v>26</v>
      </c>
      <c r="C231" s="8"/>
      <c r="D231" s="33"/>
      <c r="E231" s="11"/>
      <c r="F231" s="149"/>
      <c r="G231" s="9"/>
      <c r="H231" s="383"/>
      <c r="I231" s="384"/>
      <c r="J231" s="395"/>
      <c r="K231" s="395"/>
      <c r="L231" s="399"/>
      <c r="M231" s="413"/>
    </row>
    <row r="232" spans="1:13" ht="19" customHeight="1">
      <c r="A232" s="8"/>
      <c r="B232" s="243" t="s">
        <v>669</v>
      </c>
      <c r="C232" s="268" t="s">
        <v>14</v>
      </c>
      <c r="D232" s="272">
        <f>D229*1.05</f>
        <v>0.44</v>
      </c>
      <c r="E232" s="270">
        <f>E536</f>
        <v>2500000</v>
      </c>
      <c r="F232" s="372" t="str">
        <f>C232</f>
        <v>Ton</v>
      </c>
      <c r="G232" s="271">
        <f>E232*D232</f>
        <v>1100000</v>
      </c>
      <c r="H232" s="383"/>
      <c r="I232" s="384"/>
      <c r="J232" s="395"/>
      <c r="K232" s="395"/>
      <c r="L232" s="399"/>
      <c r="M232" s="413"/>
    </row>
    <row r="233" spans="1:13" ht="19" customHeight="1">
      <c r="A233" s="8"/>
      <c r="B233" s="10" t="s">
        <v>549</v>
      </c>
      <c r="C233" s="8" t="s">
        <v>14</v>
      </c>
      <c r="D233" s="33">
        <f>D230*1.05</f>
        <v>0.82</v>
      </c>
      <c r="E233" s="11">
        <f>E538</f>
        <v>2800000</v>
      </c>
      <c r="F233" s="149" t="str">
        <f>C233</f>
        <v>Ton</v>
      </c>
      <c r="G233" s="9">
        <f>E233*D233</f>
        <v>2296000</v>
      </c>
      <c r="H233" s="383"/>
      <c r="I233" s="384"/>
      <c r="J233" s="395"/>
      <c r="K233" s="395"/>
      <c r="L233" s="399"/>
      <c r="M233" s="413"/>
    </row>
    <row r="234" spans="1:13" ht="19" customHeight="1">
      <c r="A234" s="8"/>
      <c r="B234" s="10" t="s">
        <v>32</v>
      </c>
      <c r="C234" s="8" t="s">
        <v>15</v>
      </c>
      <c r="D234" s="33">
        <f>(D229+D230)*20*1</f>
        <v>24</v>
      </c>
      <c r="E234" s="11">
        <f>E540</f>
        <v>3333</v>
      </c>
      <c r="F234" s="149" t="str">
        <f>C234</f>
        <v>Lb</v>
      </c>
      <c r="G234" s="9">
        <f>E234*D234</f>
        <v>79992</v>
      </c>
      <c r="H234" s="383"/>
      <c r="I234" s="384"/>
      <c r="J234" s="395"/>
      <c r="K234" s="395"/>
      <c r="L234" s="399"/>
      <c r="M234" s="413"/>
    </row>
    <row r="235" spans="1:13" ht="19" customHeight="1">
      <c r="A235" s="8"/>
      <c r="B235" s="8" t="s">
        <v>22</v>
      </c>
      <c r="C235" s="8"/>
      <c r="D235" s="33"/>
      <c r="E235" s="11"/>
      <c r="F235" s="149"/>
      <c r="G235" s="9"/>
      <c r="H235" s="383"/>
      <c r="I235" s="384"/>
      <c r="J235" s="395"/>
      <c r="K235" s="395"/>
      <c r="L235" s="399"/>
      <c r="M235" s="413"/>
    </row>
    <row r="236" spans="1:13" ht="19" customHeight="1">
      <c r="A236" s="8"/>
      <c r="B236" s="143" t="s">
        <v>396</v>
      </c>
      <c r="C236" s="140" t="s">
        <v>2</v>
      </c>
      <c r="D236" s="259">
        <f>D230*20*0.75+D229*20*1</f>
        <v>20.100000000000001</v>
      </c>
      <c r="E236" s="142">
        <f>E559</f>
        <v>25000</v>
      </c>
      <c r="F236" s="346" t="str">
        <f>C236</f>
        <v>No</v>
      </c>
      <c r="G236" s="9">
        <f>E236*D236</f>
        <v>502500</v>
      </c>
      <c r="H236" s="383"/>
      <c r="I236" s="384"/>
      <c r="J236" s="395"/>
      <c r="K236" s="395"/>
      <c r="L236" s="399"/>
      <c r="M236" s="413"/>
    </row>
    <row r="237" spans="1:13" ht="19" customHeight="1">
      <c r="A237" s="8"/>
      <c r="B237" s="143" t="s">
        <v>390</v>
      </c>
      <c r="C237" s="140" t="s">
        <v>2</v>
      </c>
      <c r="D237" s="259">
        <f>D236</f>
        <v>20.100000000000001</v>
      </c>
      <c r="E237" s="142">
        <f>E560</f>
        <v>20000</v>
      </c>
      <c r="F237" s="347" t="str">
        <f>C237</f>
        <v>No</v>
      </c>
      <c r="G237" s="9">
        <f>E237*D237</f>
        <v>402000</v>
      </c>
      <c r="H237" s="385"/>
      <c r="I237" s="384"/>
      <c r="J237" s="395"/>
      <c r="K237" s="395"/>
      <c r="L237" s="399"/>
      <c r="M237" s="413"/>
    </row>
    <row r="238" spans="1:13" ht="19" customHeight="1">
      <c r="A238" s="8"/>
      <c r="B238" s="8"/>
      <c r="C238" s="8"/>
      <c r="D238" s="33"/>
      <c r="E238" s="11"/>
      <c r="F238" s="149"/>
      <c r="G238" s="9"/>
      <c r="H238" s="383"/>
      <c r="I238" s="384"/>
      <c r="J238" s="395"/>
      <c r="K238" s="395"/>
      <c r="L238" s="399"/>
      <c r="M238" s="413"/>
    </row>
    <row r="239" spans="1:13" ht="19" customHeight="1">
      <c r="A239" s="8"/>
      <c r="B239" s="12" t="s">
        <v>648</v>
      </c>
      <c r="C239" s="8" t="s">
        <v>14</v>
      </c>
      <c r="D239" s="33">
        <f>D240+D241+D242</f>
        <v>1.81</v>
      </c>
      <c r="E239" s="11"/>
      <c r="F239" s="149"/>
      <c r="G239" s="9"/>
      <c r="H239" s="383">
        <f>SUM(G244:G250)</f>
        <v>6617904.5999999996</v>
      </c>
      <c r="I239" s="384"/>
      <c r="J239" s="394">
        <f>SUM(G249:G250)</f>
        <v>1334250</v>
      </c>
      <c r="K239" s="395"/>
      <c r="L239" s="409">
        <f>ROUND(H239/$H$519,5)</f>
        <v>4.3900000000000002E-2</v>
      </c>
      <c r="M239" s="412">
        <f>ROUND(J239/$J$519,5)</f>
        <v>2.92E-2</v>
      </c>
    </row>
    <row r="240" spans="1:13" ht="19" customHeight="1">
      <c r="A240" s="8"/>
      <c r="B240" s="23" t="str">
        <f>B229</f>
        <v>10mm Ø</v>
      </c>
      <c r="C240" s="8" t="str">
        <f>C229</f>
        <v>Ton</v>
      </c>
      <c r="D240" s="33">
        <f>'Detail-Skeleton'!I569</f>
        <v>0.49</v>
      </c>
      <c r="E240" s="11"/>
      <c r="F240" s="149"/>
      <c r="G240" s="9"/>
      <c r="H240" s="383"/>
      <c r="I240" s="384"/>
      <c r="J240" s="394"/>
      <c r="K240" s="395"/>
      <c r="L240" s="399"/>
      <c r="M240" s="413"/>
    </row>
    <row r="241" spans="1:13" ht="19" customHeight="1">
      <c r="A241" s="8"/>
      <c r="B241" s="23" t="s">
        <v>499</v>
      </c>
      <c r="C241" s="8" t="s">
        <v>14</v>
      </c>
      <c r="D241" s="33">
        <f>'Detail-Skeleton'!J569</f>
        <v>0.01</v>
      </c>
      <c r="E241" s="11"/>
      <c r="F241" s="149"/>
      <c r="G241" s="9"/>
      <c r="H241" s="383"/>
      <c r="I241" s="384"/>
      <c r="J241" s="395"/>
      <c r="K241" s="395"/>
      <c r="L241" s="399"/>
      <c r="M241" s="413"/>
    </row>
    <row r="242" spans="1:13" ht="19" customHeight="1">
      <c r="A242" s="8"/>
      <c r="B242" s="23" t="str">
        <f>B230</f>
        <v>16mm Ø</v>
      </c>
      <c r="C242" s="8" t="str">
        <f>C230</f>
        <v>Ton</v>
      </c>
      <c r="D242" s="33">
        <f>'Detail-Skeleton'!H569</f>
        <v>1.31</v>
      </c>
      <c r="E242" s="11"/>
      <c r="F242" s="149"/>
      <c r="G242" s="9"/>
      <c r="H242" s="383"/>
      <c r="I242" s="384"/>
      <c r="J242" s="395"/>
      <c r="K242" s="395"/>
      <c r="L242" s="399"/>
      <c r="M242" s="413"/>
    </row>
    <row r="243" spans="1:13" ht="19" customHeight="1">
      <c r="A243" s="8"/>
      <c r="B243" s="8" t="s">
        <v>26</v>
      </c>
      <c r="C243" s="8"/>
      <c r="D243" s="33"/>
      <c r="E243" s="11"/>
      <c r="F243" s="149"/>
      <c r="G243" s="9"/>
      <c r="H243" s="383"/>
      <c r="I243" s="384"/>
      <c r="J243" s="395"/>
      <c r="K243" s="395"/>
      <c r="L243" s="399"/>
      <c r="M243" s="413"/>
    </row>
    <row r="244" spans="1:13" ht="19" customHeight="1">
      <c r="A244" s="8"/>
      <c r="B244" s="243" t="s">
        <v>669</v>
      </c>
      <c r="C244" s="268" t="s">
        <v>14</v>
      </c>
      <c r="D244" s="272">
        <f>D240*1.05</f>
        <v>0.51</v>
      </c>
      <c r="E244" s="270">
        <f>E536</f>
        <v>2500000</v>
      </c>
      <c r="F244" s="372" t="str">
        <f>C244</f>
        <v>Ton</v>
      </c>
      <c r="G244" s="271">
        <f>E244*D244</f>
        <v>1275000</v>
      </c>
      <c r="H244" s="383"/>
      <c r="I244" s="384"/>
      <c r="J244" s="395"/>
      <c r="K244" s="395"/>
      <c r="L244" s="399"/>
      <c r="M244" s="413"/>
    </row>
    <row r="245" spans="1:13" ht="19" customHeight="1">
      <c r="A245" s="8"/>
      <c r="B245" s="243" t="s">
        <v>668</v>
      </c>
      <c r="C245" s="268" t="s">
        <v>14</v>
      </c>
      <c r="D245" s="272">
        <f>D241*1.05</f>
        <v>0.01</v>
      </c>
      <c r="E245" s="270">
        <f>E537</f>
        <v>2400000</v>
      </c>
      <c r="F245" s="372" t="str">
        <f>C245</f>
        <v>Ton</v>
      </c>
      <c r="G245" s="271">
        <f>E245*D245</f>
        <v>24000</v>
      </c>
      <c r="H245" s="383"/>
      <c r="I245" s="384"/>
      <c r="J245" s="395"/>
      <c r="K245" s="395"/>
      <c r="L245" s="399"/>
      <c r="M245" s="413"/>
    </row>
    <row r="246" spans="1:13" ht="19" customHeight="1">
      <c r="A246" s="8"/>
      <c r="B246" s="10" t="s">
        <v>549</v>
      </c>
      <c r="C246" s="8" t="s">
        <v>14</v>
      </c>
      <c r="D246" s="33">
        <f>D242*1.05</f>
        <v>1.38</v>
      </c>
      <c r="E246" s="11">
        <f>E538</f>
        <v>2800000</v>
      </c>
      <c r="F246" s="149" t="str">
        <f>C246</f>
        <v>Ton</v>
      </c>
      <c r="G246" s="9">
        <f>E246*D246</f>
        <v>3864000</v>
      </c>
      <c r="H246" s="383"/>
      <c r="I246" s="384"/>
      <c r="J246" s="395"/>
      <c r="K246" s="395"/>
      <c r="L246" s="399"/>
      <c r="M246" s="413"/>
    </row>
    <row r="247" spans="1:13" ht="19" customHeight="1">
      <c r="A247" s="8"/>
      <c r="B247" s="10" t="s">
        <v>32</v>
      </c>
      <c r="C247" s="8" t="s">
        <v>15</v>
      </c>
      <c r="D247" s="33">
        <f>(D240+D241+D242)*20</f>
        <v>36.200000000000003</v>
      </c>
      <c r="E247" s="11">
        <f>E540</f>
        <v>3333</v>
      </c>
      <c r="F247" s="149" t="str">
        <f>C247</f>
        <v>Lb</v>
      </c>
      <c r="G247" s="9">
        <f>E247*D247</f>
        <v>120654.6</v>
      </c>
      <c r="H247" s="383"/>
      <c r="I247" s="384"/>
      <c r="J247" s="395"/>
      <c r="K247" s="395"/>
      <c r="L247" s="399"/>
      <c r="M247" s="413"/>
    </row>
    <row r="248" spans="1:13" ht="19" customHeight="1">
      <c r="A248" s="8"/>
      <c r="B248" s="8" t="s">
        <v>22</v>
      </c>
      <c r="C248" s="8"/>
      <c r="D248" s="33"/>
      <c r="E248" s="11"/>
      <c r="F248" s="149"/>
      <c r="G248" s="9"/>
      <c r="H248" s="383"/>
      <c r="I248" s="384"/>
      <c r="J248" s="395"/>
      <c r="K248" s="395"/>
      <c r="L248" s="399"/>
      <c r="M248" s="413"/>
    </row>
    <row r="249" spans="1:13" ht="19" customHeight="1">
      <c r="A249" s="8"/>
      <c r="B249" s="143" t="s">
        <v>396</v>
      </c>
      <c r="C249" s="140" t="s">
        <v>2</v>
      </c>
      <c r="D249" s="259">
        <f>D240*20*1+D241*20*1+D242*20*0.75</f>
        <v>29.65</v>
      </c>
      <c r="E249" s="142">
        <f>E559</f>
        <v>25000</v>
      </c>
      <c r="F249" s="346" t="str">
        <f>C249</f>
        <v>No</v>
      </c>
      <c r="G249" s="9">
        <f>E249*D249</f>
        <v>741250</v>
      </c>
      <c r="H249" s="383"/>
      <c r="I249" s="384"/>
      <c r="J249" s="395"/>
      <c r="K249" s="395"/>
      <c r="L249" s="399"/>
      <c r="M249" s="413"/>
    </row>
    <row r="250" spans="1:13" ht="19" customHeight="1">
      <c r="A250" s="8"/>
      <c r="B250" s="143" t="s">
        <v>390</v>
      </c>
      <c r="C250" s="140" t="s">
        <v>2</v>
      </c>
      <c r="D250" s="259">
        <f>D249</f>
        <v>29.65</v>
      </c>
      <c r="E250" s="142">
        <f>E560</f>
        <v>20000</v>
      </c>
      <c r="F250" s="347" t="str">
        <f>C250</f>
        <v>No</v>
      </c>
      <c r="G250" s="9">
        <f>E250*D250</f>
        <v>593000</v>
      </c>
      <c r="H250" s="385"/>
      <c r="I250" s="384"/>
      <c r="J250" s="395"/>
      <c r="K250" s="395"/>
      <c r="L250" s="399"/>
      <c r="M250" s="413"/>
    </row>
    <row r="251" spans="1:13" ht="19" customHeight="1">
      <c r="A251" s="8"/>
      <c r="B251" s="8"/>
      <c r="C251" s="8"/>
      <c r="D251" s="33"/>
      <c r="E251" s="11"/>
      <c r="F251" s="149"/>
      <c r="G251" s="9"/>
      <c r="H251" s="383"/>
      <c r="I251" s="384"/>
      <c r="J251" s="395"/>
      <c r="K251" s="395"/>
      <c r="L251" s="399"/>
      <c r="M251" s="413"/>
    </row>
    <row r="252" spans="1:13" ht="19" customHeight="1">
      <c r="A252" s="8"/>
      <c r="B252" s="12" t="s">
        <v>649</v>
      </c>
      <c r="C252" s="8" t="s">
        <v>14</v>
      </c>
      <c r="D252" s="33">
        <f>D253+D254</f>
        <v>1.2</v>
      </c>
      <c r="E252" s="11"/>
      <c r="F252" s="149"/>
      <c r="G252" s="9"/>
      <c r="H252" s="383">
        <f>SUM(G256:G261)</f>
        <v>4380492</v>
      </c>
      <c r="I252" s="384"/>
      <c r="J252" s="394">
        <f>SUM(G260:G261)</f>
        <v>904500</v>
      </c>
      <c r="K252" s="395"/>
      <c r="L252" s="409">
        <f>ROUND(H252/$H$519,5)</f>
        <v>2.9100000000000001E-2</v>
      </c>
      <c r="M252" s="412">
        <f>ROUND(J252/$J$519,5)</f>
        <v>1.9800000000000002E-2</v>
      </c>
    </row>
    <row r="253" spans="1:13" ht="19" customHeight="1">
      <c r="A253" s="8"/>
      <c r="B253" s="23" t="str">
        <f>B240</f>
        <v>10mm Ø</v>
      </c>
      <c r="C253" s="8" t="str">
        <f>C240</f>
        <v>Ton</v>
      </c>
      <c r="D253" s="33">
        <f>'Detail-Skeleton'!I657</f>
        <v>0.42</v>
      </c>
      <c r="E253" s="11"/>
      <c r="F253" s="149"/>
      <c r="G253" s="9"/>
      <c r="H253" s="383"/>
      <c r="I253" s="384"/>
      <c r="J253" s="395"/>
      <c r="K253" s="395"/>
      <c r="L253" s="399"/>
      <c r="M253" s="413"/>
    </row>
    <row r="254" spans="1:13" ht="19" customHeight="1">
      <c r="A254" s="8"/>
      <c r="B254" s="23" t="str">
        <f>B242</f>
        <v>16mm Ø</v>
      </c>
      <c r="C254" s="8" t="str">
        <f>C242</f>
        <v>Ton</v>
      </c>
      <c r="D254" s="33">
        <f>'Detail-Skeleton'!H657</f>
        <v>0.78</v>
      </c>
      <c r="E254" s="11"/>
      <c r="F254" s="149"/>
      <c r="G254" s="9"/>
      <c r="H254" s="383"/>
      <c r="I254" s="384"/>
      <c r="J254" s="395"/>
      <c r="K254" s="395"/>
      <c r="L254" s="399"/>
      <c r="M254" s="413"/>
    </row>
    <row r="255" spans="1:13" ht="19" customHeight="1">
      <c r="A255" s="8"/>
      <c r="B255" s="8" t="s">
        <v>26</v>
      </c>
      <c r="C255" s="8"/>
      <c r="D255" s="33"/>
      <c r="E255" s="11"/>
      <c r="F255" s="149"/>
      <c r="G255" s="9"/>
      <c r="H255" s="383"/>
      <c r="I255" s="384"/>
      <c r="J255" s="395"/>
      <c r="K255" s="395"/>
      <c r="L255" s="399"/>
      <c r="M255" s="413"/>
    </row>
    <row r="256" spans="1:13" ht="19" customHeight="1">
      <c r="A256" s="8"/>
      <c r="B256" s="243" t="s">
        <v>669</v>
      </c>
      <c r="C256" s="268" t="s">
        <v>14</v>
      </c>
      <c r="D256" s="272">
        <f>D253*1.05</f>
        <v>0.44</v>
      </c>
      <c r="E256" s="270">
        <f>E536</f>
        <v>2500000</v>
      </c>
      <c r="F256" s="372" t="str">
        <f>C256</f>
        <v>Ton</v>
      </c>
      <c r="G256" s="271">
        <f>E256*D256</f>
        <v>1100000</v>
      </c>
      <c r="H256" s="383"/>
      <c r="I256" s="384"/>
      <c r="J256" s="395"/>
      <c r="K256" s="395"/>
      <c r="L256" s="399"/>
      <c r="M256" s="413"/>
    </row>
    <row r="257" spans="1:13" ht="19" customHeight="1">
      <c r="A257" s="8"/>
      <c r="B257" s="10" t="s">
        <v>549</v>
      </c>
      <c r="C257" s="8" t="s">
        <v>14</v>
      </c>
      <c r="D257" s="33">
        <f>D254*1.05</f>
        <v>0.82</v>
      </c>
      <c r="E257" s="11">
        <f>E538</f>
        <v>2800000</v>
      </c>
      <c r="F257" s="149" t="str">
        <f>C257</f>
        <v>Ton</v>
      </c>
      <c r="G257" s="9">
        <f>E257*D257</f>
        <v>2296000</v>
      </c>
      <c r="H257" s="383"/>
      <c r="I257" s="384"/>
      <c r="J257" s="395"/>
      <c r="K257" s="395"/>
      <c r="L257" s="399"/>
      <c r="M257" s="413"/>
    </row>
    <row r="258" spans="1:13" ht="19" customHeight="1">
      <c r="A258" s="8"/>
      <c r="B258" s="10" t="s">
        <v>32</v>
      </c>
      <c r="C258" s="8" t="s">
        <v>15</v>
      </c>
      <c r="D258" s="33">
        <f>(D253+D254)*20</f>
        <v>24</v>
      </c>
      <c r="E258" s="11">
        <f>E540</f>
        <v>3333</v>
      </c>
      <c r="F258" s="149" t="str">
        <f>C258</f>
        <v>Lb</v>
      </c>
      <c r="G258" s="9">
        <f>E258*D258</f>
        <v>79992</v>
      </c>
      <c r="H258" s="383"/>
      <c r="I258" s="384"/>
      <c r="J258" s="395"/>
      <c r="K258" s="395"/>
      <c r="L258" s="399"/>
      <c r="M258" s="413"/>
    </row>
    <row r="259" spans="1:13" ht="19" customHeight="1">
      <c r="A259" s="8"/>
      <c r="B259" s="8" t="s">
        <v>22</v>
      </c>
      <c r="C259" s="8"/>
      <c r="D259" s="33"/>
      <c r="E259" s="11"/>
      <c r="F259" s="149"/>
      <c r="G259" s="9"/>
      <c r="H259" s="383"/>
      <c r="I259" s="384"/>
      <c r="J259" s="395"/>
      <c r="K259" s="395"/>
      <c r="L259" s="399"/>
      <c r="M259" s="413"/>
    </row>
    <row r="260" spans="1:13" ht="19" customHeight="1">
      <c r="A260" s="8"/>
      <c r="B260" s="143" t="s">
        <v>396</v>
      </c>
      <c r="C260" s="140" t="s">
        <v>2</v>
      </c>
      <c r="D260" s="259">
        <f>D254*20*0.75+D253*20*1</f>
        <v>20.100000000000001</v>
      </c>
      <c r="E260" s="142">
        <f>E559</f>
        <v>25000</v>
      </c>
      <c r="F260" s="346" t="str">
        <f>C260</f>
        <v>No</v>
      </c>
      <c r="G260" s="9">
        <f>E260*D260</f>
        <v>502500</v>
      </c>
      <c r="H260" s="383"/>
      <c r="I260" s="384"/>
      <c r="J260" s="395"/>
      <c r="K260" s="395"/>
      <c r="L260" s="399"/>
      <c r="M260" s="413"/>
    </row>
    <row r="261" spans="1:13" ht="19" customHeight="1">
      <c r="A261" s="8"/>
      <c r="B261" s="143" t="s">
        <v>390</v>
      </c>
      <c r="C261" s="140" t="s">
        <v>2</v>
      </c>
      <c r="D261" s="259">
        <f>D260</f>
        <v>20.100000000000001</v>
      </c>
      <c r="E261" s="142">
        <f>E560</f>
        <v>20000</v>
      </c>
      <c r="F261" s="347" t="str">
        <f>C261</f>
        <v>No</v>
      </c>
      <c r="G261" s="9">
        <f>E261*D261</f>
        <v>402000</v>
      </c>
      <c r="H261" s="385"/>
      <c r="I261" s="384"/>
      <c r="J261" s="395"/>
      <c r="K261" s="395"/>
      <c r="L261" s="399"/>
      <c r="M261" s="413"/>
    </row>
    <row r="262" spans="1:13" ht="19" customHeight="1">
      <c r="A262" s="8"/>
      <c r="B262" s="8"/>
      <c r="C262" s="8"/>
      <c r="D262" s="33"/>
      <c r="E262" s="11"/>
      <c r="F262" s="149"/>
      <c r="G262" s="9"/>
      <c r="H262" s="383"/>
      <c r="I262" s="384"/>
      <c r="J262" s="395"/>
      <c r="K262" s="395"/>
      <c r="L262" s="399"/>
      <c r="M262" s="413"/>
    </row>
    <row r="263" spans="1:13" ht="19" customHeight="1">
      <c r="A263" s="8">
        <f>'Detail-Skeleton'!A660</f>
        <v>10</v>
      </c>
      <c r="B263" s="12" t="str">
        <f>'Detail-Skeleton'!B660</f>
        <v>RC Floor Slab Work</v>
      </c>
      <c r="C263" s="8"/>
      <c r="D263" s="33"/>
      <c r="E263" s="11"/>
      <c r="F263" s="149"/>
      <c r="G263" s="9"/>
      <c r="H263" s="383"/>
      <c r="I263" s="384"/>
      <c r="J263" s="395"/>
      <c r="K263" s="395"/>
      <c r="L263" s="399"/>
      <c r="M263" s="413"/>
    </row>
    <row r="264" spans="1:13" ht="19" customHeight="1">
      <c r="A264" s="8"/>
      <c r="B264" s="12" t="str">
        <f>'Detail-Skeleton'!B661</f>
        <v>( a ) (1:2:4) RC Concrete Work</v>
      </c>
      <c r="C264" s="23" t="str">
        <f>'Detail-Skeleton'!K680</f>
        <v>%Fc</v>
      </c>
      <c r="D264" s="33">
        <f>'Detail-Skeleton'!J680</f>
        <v>2.48</v>
      </c>
      <c r="E264" s="11"/>
      <c r="F264" s="149"/>
      <c r="G264" s="9"/>
      <c r="H264" s="383"/>
      <c r="I264" s="384"/>
      <c r="J264" s="395"/>
      <c r="K264" s="395"/>
      <c r="L264" s="399"/>
      <c r="M264" s="413"/>
    </row>
    <row r="265" spans="1:13" ht="19" customHeight="1">
      <c r="A265" s="8"/>
      <c r="B265" s="12" t="str">
        <f>'Detail-Skeleton'!B662</f>
        <v>For 1st Floor Slab Concrete</v>
      </c>
      <c r="C265" s="23" t="s">
        <v>7</v>
      </c>
      <c r="D265" s="33">
        <f>'Detail-Skeleton'!J675/100</f>
        <v>2.2200000000000002</v>
      </c>
      <c r="E265" s="11"/>
      <c r="F265" s="149"/>
      <c r="G265" s="9"/>
      <c r="H265" s="383">
        <f>SUM(G267:G274)</f>
        <v>1866150</v>
      </c>
      <c r="I265" s="384"/>
      <c r="J265" s="394">
        <f>SUM(G272:G274)</f>
        <v>538350</v>
      </c>
      <c r="K265" s="395"/>
      <c r="L265" s="409">
        <f>ROUND(H265/$H$519,5)</f>
        <v>1.24E-2</v>
      </c>
      <c r="M265" s="412">
        <f>ROUND(J265/$J$519,5)</f>
        <v>1.18E-2</v>
      </c>
    </row>
    <row r="266" spans="1:13" ht="19" customHeight="1">
      <c r="A266" s="8"/>
      <c r="B266" s="8" t="s">
        <v>26</v>
      </c>
      <c r="C266" s="23"/>
      <c r="D266" s="33"/>
      <c r="E266" s="11"/>
      <c r="F266" s="149"/>
      <c r="G266" s="9"/>
      <c r="H266" s="383"/>
      <c r="I266" s="384"/>
      <c r="J266" s="395"/>
      <c r="K266" s="395"/>
      <c r="L266" s="399"/>
      <c r="M266" s="413"/>
    </row>
    <row r="267" spans="1:13" ht="19" customHeight="1">
      <c r="A267" s="8"/>
      <c r="B267" s="243" t="s">
        <v>8</v>
      </c>
      <c r="C267" s="8" t="s">
        <v>9</v>
      </c>
      <c r="D267" s="33">
        <f>ROUNDDOWN(D265*2070/112,0)</f>
        <v>41</v>
      </c>
      <c r="E267" s="11">
        <f>E525</f>
        <v>24000</v>
      </c>
      <c r="F267" s="149" t="str">
        <f>C267</f>
        <v>Bag</v>
      </c>
      <c r="G267" s="9">
        <f>E267*D267</f>
        <v>984000</v>
      </c>
      <c r="H267" s="383"/>
      <c r="I267" s="384"/>
      <c r="J267" s="395"/>
      <c r="K267" s="395"/>
      <c r="L267" s="399"/>
      <c r="M267" s="413"/>
    </row>
    <row r="268" spans="1:13" ht="19" customHeight="1">
      <c r="A268" s="8"/>
      <c r="B268" s="10" t="s">
        <v>31</v>
      </c>
      <c r="C268" s="8" t="s">
        <v>10</v>
      </c>
      <c r="D268" s="33">
        <f>D265*0.46</f>
        <v>1.02</v>
      </c>
      <c r="E268" s="11">
        <f>E526</f>
        <v>30000</v>
      </c>
      <c r="F268" s="149" t="str">
        <f>C268</f>
        <v>Sud</v>
      </c>
      <c r="G268" s="9">
        <f>E268*D268</f>
        <v>30600</v>
      </c>
      <c r="H268" s="383"/>
      <c r="I268" s="384"/>
      <c r="J268" s="395"/>
      <c r="K268" s="395"/>
      <c r="L268" s="399"/>
      <c r="M268" s="413"/>
    </row>
    <row r="269" spans="1:13" ht="19" customHeight="1">
      <c r="A269" s="8"/>
      <c r="B269" s="10" t="s">
        <v>95</v>
      </c>
      <c r="C269" s="8" t="s">
        <v>10</v>
      </c>
      <c r="D269" s="33">
        <f>D265*0.92</f>
        <v>2.04</v>
      </c>
      <c r="E269" s="11">
        <f>E528</f>
        <v>110000</v>
      </c>
      <c r="F269" s="149" t="str">
        <f>C269</f>
        <v>Sud</v>
      </c>
      <c r="G269" s="9">
        <f>E269*D269</f>
        <v>224400</v>
      </c>
      <c r="H269" s="383"/>
      <c r="I269" s="384"/>
      <c r="J269" s="395"/>
      <c r="K269" s="395"/>
      <c r="L269" s="399"/>
      <c r="M269" s="413"/>
    </row>
    <row r="270" spans="1:13" ht="19" customHeight="1">
      <c r="A270" s="8"/>
      <c r="B270" s="10" t="s">
        <v>34</v>
      </c>
      <c r="C270" s="8" t="s">
        <v>28</v>
      </c>
      <c r="D270" s="33">
        <f>D265*2</f>
        <v>4.4400000000000004</v>
      </c>
      <c r="E270" s="11">
        <f>E530</f>
        <v>20000</v>
      </c>
      <c r="F270" s="149" t="str">
        <f>C270</f>
        <v>Gal</v>
      </c>
      <c r="G270" s="9">
        <f>E270*D270</f>
        <v>88800</v>
      </c>
      <c r="H270" s="383"/>
      <c r="I270" s="391"/>
      <c r="J270" s="395"/>
      <c r="K270" s="395"/>
      <c r="L270" s="399"/>
      <c r="M270" s="413"/>
    </row>
    <row r="271" spans="1:13" s="32" customFormat="1" ht="19.5" customHeight="1">
      <c r="A271" s="91"/>
      <c r="B271" s="91" t="s">
        <v>22</v>
      </c>
      <c r="C271" s="91"/>
      <c r="D271" s="95"/>
      <c r="E271" s="59"/>
      <c r="F271" s="370"/>
      <c r="G271" s="244"/>
      <c r="H271" s="389"/>
      <c r="I271" s="390"/>
      <c r="J271" s="396"/>
      <c r="K271" s="396"/>
      <c r="L271" s="400"/>
      <c r="M271" s="414"/>
    </row>
    <row r="272" spans="1:13" s="32" customFormat="1" ht="19.5" customHeight="1">
      <c r="A272" s="91"/>
      <c r="B272" s="143" t="s">
        <v>394</v>
      </c>
      <c r="C272" s="145" t="s">
        <v>2</v>
      </c>
      <c r="D272" s="259">
        <f>D265*2</f>
        <v>4.4400000000000004</v>
      </c>
      <c r="E272" s="146">
        <f>E558</f>
        <v>25000</v>
      </c>
      <c r="F272" s="345" t="str">
        <f>C272</f>
        <v>No</v>
      </c>
      <c r="G272" s="9">
        <f>E272*D272</f>
        <v>111000</v>
      </c>
      <c r="H272" s="387"/>
      <c r="I272" s="390"/>
      <c r="J272" s="396"/>
      <c r="K272" s="396"/>
      <c r="L272" s="400"/>
      <c r="M272" s="414"/>
    </row>
    <row r="273" spans="1:13" s="32" customFormat="1" ht="19.5" customHeight="1">
      <c r="A273" s="91"/>
      <c r="B273" s="143" t="s">
        <v>395</v>
      </c>
      <c r="C273" s="140" t="s">
        <v>2</v>
      </c>
      <c r="D273" s="267">
        <f>D265*0.5</f>
        <v>1.1100000000000001</v>
      </c>
      <c r="E273" s="146">
        <f>E561</f>
        <v>25000</v>
      </c>
      <c r="F273" s="346" t="str">
        <f>C273</f>
        <v>No</v>
      </c>
      <c r="G273" s="9">
        <f>E273*D273</f>
        <v>27750</v>
      </c>
      <c r="H273" s="387"/>
      <c r="I273" s="390"/>
      <c r="J273" s="396"/>
      <c r="K273" s="396"/>
      <c r="L273" s="400"/>
      <c r="M273" s="414"/>
    </row>
    <row r="274" spans="1:13" s="32" customFormat="1" ht="19.5" customHeight="1">
      <c r="A274" s="91"/>
      <c r="B274" s="143" t="s">
        <v>390</v>
      </c>
      <c r="C274" s="140" t="s">
        <v>2</v>
      </c>
      <c r="D274" s="259">
        <f>D265*9</f>
        <v>19.98</v>
      </c>
      <c r="E274" s="146">
        <f>E560</f>
        <v>20000</v>
      </c>
      <c r="F274" s="347" t="str">
        <f>C274</f>
        <v>No</v>
      </c>
      <c r="G274" s="9">
        <f>E274*D274</f>
        <v>399600</v>
      </c>
      <c r="H274" s="385"/>
      <c r="I274" s="390"/>
      <c r="J274" s="396"/>
      <c r="K274" s="396"/>
      <c r="L274" s="400"/>
      <c r="M274" s="414"/>
    </row>
    <row r="275" spans="1:13" ht="19" customHeight="1">
      <c r="A275" s="8"/>
      <c r="B275" s="8"/>
      <c r="C275" s="8"/>
      <c r="D275" s="33"/>
      <c r="E275" s="11"/>
      <c r="F275" s="149"/>
      <c r="G275" s="9"/>
      <c r="H275" s="383"/>
      <c r="I275" s="384"/>
      <c r="J275" s="395"/>
      <c r="K275" s="395"/>
      <c r="L275" s="399"/>
      <c r="M275" s="413"/>
    </row>
    <row r="276" spans="1:13" ht="19" customHeight="1">
      <c r="A276" s="8"/>
      <c r="B276" s="12" t="str">
        <f>'Detail-Skeleton'!B676</f>
        <v>For Roof Slab Concrete</v>
      </c>
      <c r="C276" s="23" t="s">
        <v>7</v>
      </c>
      <c r="D276" s="33">
        <f>'Detail-Skeleton'!J678/100</f>
        <v>0.26</v>
      </c>
      <c r="E276" s="11"/>
      <c r="F276" s="149"/>
      <c r="G276" s="9"/>
      <c r="H276" s="383">
        <f>SUM(G278:G285)</f>
        <v>199450</v>
      </c>
      <c r="I276" s="384"/>
      <c r="J276" s="394">
        <f>SUM(G283:G285)</f>
        <v>63050</v>
      </c>
      <c r="K276" s="395"/>
      <c r="L276" s="409">
        <f>ROUND(H276/$H$519,5)</f>
        <v>1.2999999999999999E-3</v>
      </c>
      <c r="M276" s="412">
        <f>ROUND(J276/$J$519,5)</f>
        <v>1.4E-3</v>
      </c>
    </row>
    <row r="277" spans="1:13" ht="19" customHeight="1">
      <c r="A277" s="8"/>
      <c r="B277" s="8" t="s">
        <v>26</v>
      </c>
      <c r="C277" s="23"/>
      <c r="D277" s="33"/>
      <c r="E277" s="11"/>
      <c r="F277" s="149"/>
      <c r="G277" s="9"/>
      <c r="H277" s="383"/>
      <c r="I277" s="384"/>
      <c r="J277" s="395"/>
      <c r="K277" s="395"/>
      <c r="L277" s="399"/>
      <c r="M277" s="413"/>
    </row>
    <row r="278" spans="1:13" ht="19" customHeight="1">
      <c r="A278" s="8"/>
      <c r="B278" s="243" t="s">
        <v>8</v>
      </c>
      <c r="C278" s="8" t="s">
        <v>9</v>
      </c>
      <c r="D278" s="33">
        <f>ROUNDDOWN(D276*2070/112,0)</f>
        <v>4</v>
      </c>
      <c r="E278" s="11">
        <f>E525</f>
        <v>24000</v>
      </c>
      <c r="F278" s="149" t="str">
        <f>C278</f>
        <v>Bag</v>
      </c>
      <c r="G278" s="9">
        <f>E278*D278</f>
        <v>96000</v>
      </c>
      <c r="H278" s="383"/>
      <c r="I278" s="384"/>
      <c r="J278" s="395"/>
      <c r="K278" s="395"/>
      <c r="L278" s="399"/>
      <c r="M278" s="413"/>
    </row>
    <row r="279" spans="1:13" ht="19" customHeight="1">
      <c r="A279" s="8"/>
      <c r="B279" s="10" t="s">
        <v>31</v>
      </c>
      <c r="C279" s="8" t="s">
        <v>10</v>
      </c>
      <c r="D279" s="33">
        <f>D276*0.46</f>
        <v>0.12</v>
      </c>
      <c r="E279" s="11">
        <f>E526</f>
        <v>30000</v>
      </c>
      <c r="F279" s="149" t="str">
        <f>C279</f>
        <v>Sud</v>
      </c>
      <c r="G279" s="9">
        <f>E279*D279</f>
        <v>3600</v>
      </c>
      <c r="H279" s="383"/>
      <c r="I279" s="384"/>
      <c r="J279" s="395"/>
      <c r="K279" s="395"/>
      <c r="L279" s="399"/>
      <c r="M279" s="413"/>
    </row>
    <row r="280" spans="1:13" ht="19" customHeight="1">
      <c r="A280" s="8"/>
      <c r="B280" s="10" t="s">
        <v>95</v>
      </c>
      <c r="C280" s="8" t="s">
        <v>10</v>
      </c>
      <c r="D280" s="33">
        <f>D276*0.92</f>
        <v>0.24</v>
      </c>
      <c r="E280" s="11">
        <f>E528</f>
        <v>110000</v>
      </c>
      <c r="F280" s="149" t="str">
        <f>C280</f>
        <v>Sud</v>
      </c>
      <c r="G280" s="9">
        <f>E280*D280</f>
        <v>26400</v>
      </c>
      <c r="H280" s="383"/>
      <c r="I280" s="384"/>
      <c r="J280" s="395"/>
      <c r="K280" s="395"/>
      <c r="L280" s="399"/>
      <c r="M280" s="413"/>
    </row>
    <row r="281" spans="1:13" ht="19" customHeight="1">
      <c r="A281" s="8"/>
      <c r="B281" s="10" t="s">
        <v>34</v>
      </c>
      <c r="C281" s="8" t="s">
        <v>28</v>
      </c>
      <c r="D281" s="33">
        <f>D276*2</f>
        <v>0.52</v>
      </c>
      <c r="E281" s="11">
        <f>E530</f>
        <v>20000</v>
      </c>
      <c r="F281" s="149" t="str">
        <f>C281</f>
        <v>Gal</v>
      </c>
      <c r="G281" s="9">
        <f>E281*D281</f>
        <v>10400</v>
      </c>
      <c r="H281" s="383"/>
      <c r="I281" s="391"/>
      <c r="J281" s="395"/>
      <c r="K281" s="395"/>
      <c r="L281" s="399"/>
      <c r="M281" s="413"/>
    </row>
    <row r="282" spans="1:13" s="32" customFormat="1" ht="19.5" customHeight="1">
      <c r="A282" s="91"/>
      <c r="B282" s="91" t="s">
        <v>22</v>
      </c>
      <c r="C282" s="91"/>
      <c r="D282" s="95"/>
      <c r="E282" s="59"/>
      <c r="F282" s="370"/>
      <c r="G282" s="244"/>
      <c r="H282" s="389"/>
      <c r="I282" s="390"/>
      <c r="J282" s="396"/>
      <c r="K282" s="396"/>
      <c r="L282" s="400"/>
      <c r="M282" s="414"/>
    </row>
    <row r="283" spans="1:13" s="32" customFormat="1" ht="19.5" customHeight="1">
      <c r="A283" s="91"/>
      <c r="B283" s="143" t="s">
        <v>394</v>
      </c>
      <c r="C283" s="145" t="s">
        <v>2</v>
      </c>
      <c r="D283" s="259">
        <f>D276*2</f>
        <v>0.52</v>
      </c>
      <c r="E283" s="146">
        <f>E558</f>
        <v>25000</v>
      </c>
      <c r="F283" s="345" t="str">
        <f>C283</f>
        <v>No</v>
      </c>
      <c r="G283" s="9">
        <f>E283*D283</f>
        <v>13000</v>
      </c>
      <c r="H283" s="387"/>
      <c r="I283" s="390"/>
      <c r="J283" s="396"/>
      <c r="K283" s="396"/>
      <c r="L283" s="400"/>
      <c r="M283" s="414"/>
    </row>
    <row r="284" spans="1:13" s="32" customFormat="1" ht="19.5" customHeight="1">
      <c r="A284" s="91"/>
      <c r="B284" s="143" t="s">
        <v>395</v>
      </c>
      <c r="C284" s="140" t="s">
        <v>2</v>
      </c>
      <c r="D284" s="267">
        <f>D276*0.5</f>
        <v>0.13</v>
      </c>
      <c r="E284" s="146">
        <f>E561</f>
        <v>25000</v>
      </c>
      <c r="F284" s="346" t="str">
        <f>C284</f>
        <v>No</v>
      </c>
      <c r="G284" s="9">
        <f>E284*D284</f>
        <v>3250</v>
      </c>
      <c r="H284" s="387"/>
      <c r="I284" s="390"/>
      <c r="J284" s="396"/>
      <c r="K284" s="396"/>
      <c r="L284" s="400"/>
      <c r="M284" s="414"/>
    </row>
    <row r="285" spans="1:13" s="32" customFormat="1" ht="19.5" customHeight="1">
      <c r="A285" s="91"/>
      <c r="B285" s="143" t="s">
        <v>390</v>
      </c>
      <c r="C285" s="140" t="s">
        <v>2</v>
      </c>
      <c r="D285" s="259">
        <f>D276*9</f>
        <v>2.34</v>
      </c>
      <c r="E285" s="146">
        <f>E560</f>
        <v>20000</v>
      </c>
      <c r="F285" s="347" t="str">
        <f>C285</f>
        <v>No</v>
      </c>
      <c r="G285" s="9">
        <f>E285*D285</f>
        <v>46800</v>
      </c>
      <c r="H285" s="385"/>
      <c r="I285" s="390"/>
      <c r="J285" s="396"/>
      <c r="K285" s="396"/>
      <c r="L285" s="400"/>
      <c r="M285" s="414"/>
    </row>
    <row r="286" spans="1:13" ht="19" customHeight="1">
      <c r="A286" s="8"/>
      <c r="B286" s="12"/>
      <c r="C286" s="23"/>
      <c r="D286" s="33"/>
      <c r="E286" s="11"/>
      <c r="F286" s="149"/>
      <c r="G286" s="9"/>
      <c r="H286" s="383"/>
      <c r="I286" s="384"/>
      <c r="J286" s="395"/>
      <c r="K286" s="395"/>
      <c r="L286" s="399"/>
      <c r="M286" s="413"/>
    </row>
    <row r="287" spans="1:13" ht="19" customHeight="1">
      <c r="A287" s="8"/>
      <c r="B287" s="12" t="str">
        <f>'Detail-Skeleton'!B682</f>
        <v>( b ) Formwork</v>
      </c>
      <c r="C287" s="23" t="str">
        <f>'Detail-Skeleton'!K701</f>
        <v>%Fs</v>
      </c>
      <c r="D287" s="33">
        <f>'Detail-Skeleton'!J701</f>
        <v>6.74</v>
      </c>
      <c r="E287" s="11"/>
      <c r="F287" s="149"/>
      <c r="G287" s="9"/>
      <c r="H287" s="383"/>
      <c r="I287" s="391"/>
      <c r="J287" s="395"/>
      <c r="K287" s="395"/>
      <c r="L287" s="399"/>
      <c r="M287" s="413"/>
    </row>
    <row r="288" spans="1:13" ht="19" customHeight="1">
      <c r="A288" s="8"/>
      <c r="B288" s="12" t="s">
        <v>519</v>
      </c>
      <c r="C288" s="23" t="str">
        <f>C287</f>
        <v>%Fs</v>
      </c>
      <c r="D288" s="33">
        <f>'Detail-Skeleton'!J696/100</f>
        <v>6.13</v>
      </c>
      <c r="E288" s="11"/>
      <c r="F288" s="149"/>
      <c r="G288" s="9"/>
      <c r="H288" s="383">
        <f>SUM(G290:G295)</f>
        <v>3058904</v>
      </c>
      <c r="I288" s="384"/>
      <c r="J288" s="394">
        <f>SUM(G294:G295)</f>
        <v>858200</v>
      </c>
      <c r="K288" s="395"/>
      <c r="L288" s="409">
        <f>ROUND(H288/$H$519,5)</f>
        <v>2.0299999999999999E-2</v>
      </c>
      <c r="M288" s="412">
        <f>ROUND(J288/$J$519,5)</f>
        <v>1.8800000000000001E-2</v>
      </c>
    </row>
    <row r="289" spans="1:13" ht="21" customHeight="1">
      <c r="A289" s="8"/>
      <c r="B289" s="340" t="s">
        <v>26</v>
      </c>
      <c r="C289" s="21"/>
      <c r="D289" s="33"/>
      <c r="E289" s="11"/>
      <c r="F289" s="149"/>
      <c r="G289" s="9"/>
      <c r="H289" s="383"/>
      <c r="I289" s="384"/>
      <c r="J289" s="395"/>
      <c r="K289" s="395"/>
      <c r="L289" s="399"/>
      <c r="M289" s="413"/>
    </row>
    <row r="290" spans="1:13" ht="21" customHeight="1">
      <c r="A290" s="8"/>
      <c r="B290" s="10" t="s">
        <v>53</v>
      </c>
      <c r="C290" s="8" t="s">
        <v>14</v>
      </c>
      <c r="D290" s="33">
        <f>D288*15/50/2</f>
        <v>0.92</v>
      </c>
      <c r="E290" s="11">
        <f>E532</f>
        <v>1500000</v>
      </c>
      <c r="F290" s="149" t="str">
        <f>C290</f>
        <v>Ton</v>
      </c>
      <c r="G290" s="9">
        <f>D290*E290</f>
        <v>1380000</v>
      </c>
      <c r="H290" s="383"/>
      <c r="I290" s="384"/>
      <c r="J290" s="395"/>
      <c r="K290" s="395"/>
      <c r="L290" s="399"/>
      <c r="M290" s="413"/>
    </row>
    <row r="291" spans="1:13" ht="21" customHeight="1">
      <c r="A291" s="8"/>
      <c r="B291" s="10" t="s">
        <v>62</v>
      </c>
      <c r="C291" s="245" t="s">
        <v>13</v>
      </c>
      <c r="D291" s="33">
        <f>D288/0.32/2*1.15</f>
        <v>11.01</v>
      </c>
      <c r="E291" s="11">
        <f>E531</f>
        <v>70000</v>
      </c>
      <c r="F291" s="368" t="str">
        <f>C291</f>
        <v>Sht</v>
      </c>
      <c r="G291" s="9">
        <f>D291*E291</f>
        <v>770700</v>
      </c>
      <c r="H291" s="383"/>
      <c r="I291" s="384"/>
      <c r="J291" s="395"/>
      <c r="K291" s="395"/>
      <c r="L291" s="399"/>
      <c r="M291" s="413"/>
    </row>
    <row r="292" spans="1:13" ht="21" customHeight="1">
      <c r="A292" s="8"/>
      <c r="B292" s="10" t="s">
        <v>35</v>
      </c>
      <c r="C292" s="8" t="s">
        <v>15</v>
      </c>
      <c r="D292" s="33">
        <f>ROUNDDOWN(D288*3,0)</f>
        <v>18</v>
      </c>
      <c r="E292" s="11">
        <f>E533</f>
        <v>2778</v>
      </c>
      <c r="F292" s="149" t="str">
        <f>C292</f>
        <v>Lb</v>
      </c>
      <c r="G292" s="9">
        <f>D292*E292</f>
        <v>50004</v>
      </c>
      <c r="H292" s="383"/>
      <c r="I292" s="384"/>
      <c r="J292" s="395"/>
      <c r="K292" s="395"/>
      <c r="L292" s="399"/>
      <c r="M292" s="413"/>
    </row>
    <row r="293" spans="1:13" s="32" customFormat="1" ht="19.5" customHeight="1">
      <c r="A293" s="91"/>
      <c r="B293" s="251" t="s">
        <v>22</v>
      </c>
      <c r="C293" s="91"/>
      <c r="D293" s="95"/>
      <c r="E293" s="59"/>
      <c r="F293" s="370"/>
      <c r="G293" s="244"/>
      <c r="H293" s="389"/>
      <c r="I293" s="390"/>
      <c r="J293" s="396"/>
      <c r="K293" s="396"/>
      <c r="L293" s="400"/>
      <c r="M293" s="414"/>
    </row>
    <row r="294" spans="1:13" s="32" customFormat="1" ht="19.5" customHeight="1">
      <c r="A294" s="91"/>
      <c r="B294" s="143" t="s">
        <v>391</v>
      </c>
      <c r="C294" s="140" t="s">
        <v>2</v>
      </c>
      <c r="D294" s="259">
        <f>D288*4</f>
        <v>24.52</v>
      </c>
      <c r="E294" s="146">
        <f>E557</f>
        <v>25000</v>
      </c>
      <c r="F294" s="347" t="str">
        <f>C294</f>
        <v>No</v>
      </c>
      <c r="G294" s="9">
        <f>E294*D294</f>
        <v>613000</v>
      </c>
      <c r="H294" s="386"/>
      <c r="I294" s="390"/>
      <c r="J294" s="396"/>
      <c r="K294" s="396"/>
      <c r="L294" s="400"/>
      <c r="M294" s="414"/>
    </row>
    <row r="295" spans="1:13" s="32" customFormat="1" ht="19.5" customHeight="1">
      <c r="A295" s="91"/>
      <c r="B295" s="143" t="s">
        <v>390</v>
      </c>
      <c r="C295" s="140" t="s">
        <v>2</v>
      </c>
      <c r="D295" s="259">
        <f>D288*2</f>
        <v>12.26</v>
      </c>
      <c r="E295" s="146">
        <f>E560</f>
        <v>20000</v>
      </c>
      <c r="F295" s="347" t="str">
        <f>C295</f>
        <v>No</v>
      </c>
      <c r="G295" s="9">
        <f>E295*D295</f>
        <v>245200</v>
      </c>
      <c r="H295" s="385"/>
      <c r="I295" s="390"/>
      <c r="J295" s="396"/>
      <c r="K295" s="396"/>
      <c r="L295" s="400"/>
      <c r="M295" s="414"/>
    </row>
    <row r="296" spans="1:13" ht="19" customHeight="1">
      <c r="A296" s="8"/>
      <c r="B296" s="12"/>
      <c r="C296" s="23"/>
      <c r="D296" s="33"/>
      <c r="E296" s="11"/>
      <c r="F296" s="149"/>
      <c r="G296" s="9"/>
      <c r="H296" s="383"/>
      <c r="I296" s="384"/>
      <c r="J296" s="395"/>
      <c r="K296" s="395"/>
      <c r="L296" s="399"/>
      <c r="M296" s="413"/>
    </row>
    <row r="297" spans="1:13" ht="19" customHeight="1">
      <c r="A297" s="8"/>
      <c r="B297" s="12" t="s">
        <v>520</v>
      </c>
      <c r="C297" s="23" t="str">
        <f>C287</f>
        <v>%Fs</v>
      </c>
      <c r="D297" s="33">
        <f>'Detail-Skeleton'!J699/100</f>
        <v>0.61</v>
      </c>
      <c r="E297" s="11"/>
      <c r="F297" s="149"/>
      <c r="G297" s="9"/>
      <c r="H297" s="383">
        <f>SUM(G299:G304)</f>
        <v>300178</v>
      </c>
      <c r="I297" s="384"/>
      <c r="J297" s="394">
        <f>SUM(G303:G304)</f>
        <v>85400</v>
      </c>
      <c r="K297" s="395"/>
      <c r="L297" s="409">
        <f>ROUND(H297/$H$519,5)</f>
        <v>2E-3</v>
      </c>
      <c r="M297" s="412">
        <f>ROUND(J297/$J$519,5)</f>
        <v>1.9E-3</v>
      </c>
    </row>
    <row r="298" spans="1:13" ht="21" customHeight="1">
      <c r="A298" s="8"/>
      <c r="B298" s="8" t="s">
        <v>26</v>
      </c>
      <c r="C298" s="21"/>
      <c r="D298" s="33"/>
      <c r="E298" s="11"/>
      <c r="F298" s="149"/>
      <c r="G298" s="9"/>
      <c r="H298" s="383"/>
      <c r="I298" s="384"/>
      <c r="J298" s="395"/>
      <c r="K298" s="395"/>
      <c r="L298" s="399"/>
      <c r="M298" s="413"/>
    </row>
    <row r="299" spans="1:13" ht="21" customHeight="1">
      <c r="A299" s="8"/>
      <c r="B299" s="10" t="s">
        <v>53</v>
      </c>
      <c r="C299" s="8" t="s">
        <v>14</v>
      </c>
      <c r="D299" s="33">
        <f>D297*15/50/2</f>
        <v>0.09</v>
      </c>
      <c r="E299" s="11">
        <f>E532</f>
        <v>1500000</v>
      </c>
      <c r="F299" s="149" t="str">
        <f>C299</f>
        <v>Ton</v>
      </c>
      <c r="G299" s="9">
        <f>D299*E299</f>
        <v>135000</v>
      </c>
      <c r="H299" s="383"/>
      <c r="I299" s="384"/>
      <c r="J299" s="395"/>
      <c r="K299" s="395"/>
      <c r="L299" s="399"/>
      <c r="M299" s="413"/>
    </row>
    <row r="300" spans="1:13" ht="21" customHeight="1">
      <c r="A300" s="8"/>
      <c r="B300" s="10" t="s">
        <v>62</v>
      </c>
      <c r="C300" s="245" t="s">
        <v>13</v>
      </c>
      <c r="D300" s="33">
        <f>D297/0.32/2*1.15</f>
        <v>1.1000000000000001</v>
      </c>
      <c r="E300" s="11">
        <f>E531</f>
        <v>70000</v>
      </c>
      <c r="F300" s="368" t="str">
        <f>C300</f>
        <v>Sht</v>
      </c>
      <c r="G300" s="9">
        <f>D300*E300</f>
        <v>77000</v>
      </c>
      <c r="H300" s="383"/>
      <c r="I300" s="384"/>
      <c r="J300" s="395"/>
      <c r="K300" s="395"/>
      <c r="L300" s="399"/>
      <c r="M300" s="413"/>
    </row>
    <row r="301" spans="1:13" ht="21" customHeight="1">
      <c r="A301" s="8"/>
      <c r="B301" s="10" t="s">
        <v>35</v>
      </c>
      <c r="C301" s="8" t="s">
        <v>15</v>
      </c>
      <c r="D301" s="33">
        <f>ROUNDDOWN(D297*3,0)</f>
        <v>1</v>
      </c>
      <c r="E301" s="11">
        <f>E533</f>
        <v>2778</v>
      </c>
      <c r="F301" s="149" t="str">
        <f>C301</f>
        <v>Lb</v>
      </c>
      <c r="G301" s="9">
        <f>D301*E301</f>
        <v>2778</v>
      </c>
      <c r="H301" s="383"/>
      <c r="I301" s="384"/>
      <c r="J301" s="395"/>
      <c r="K301" s="395"/>
      <c r="L301" s="399"/>
      <c r="M301" s="413"/>
    </row>
    <row r="302" spans="1:13" s="32" customFormat="1" ht="19.5" customHeight="1">
      <c r="A302" s="91"/>
      <c r="B302" s="91" t="s">
        <v>22</v>
      </c>
      <c r="C302" s="91"/>
      <c r="D302" s="95"/>
      <c r="E302" s="59"/>
      <c r="F302" s="370"/>
      <c r="G302" s="244"/>
      <c r="H302" s="389"/>
      <c r="I302" s="390"/>
      <c r="J302" s="396"/>
      <c r="K302" s="396"/>
      <c r="L302" s="400"/>
      <c r="M302" s="414"/>
    </row>
    <row r="303" spans="1:13" s="32" customFormat="1" ht="19.5" customHeight="1">
      <c r="A303" s="91"/>
      <c r="B303" s="143" t="s">
        <v>391</v>
      </c>
      <c r="C303" s="140" t="s">
        <v>2</v>
      </c>
      <c r="D303" s="259">
        <f>D297*4</f>
        <v>2.44</v>
      </c>
      <c r="E303" s="146">
        <f>E557</f>
        <v>25000</v>
      </c>
      <c r="F303" s="347" t="str">
        <f>C303</f>
        <v>No</v>
      </c>
      <c r="G303" s="9">
        <f>E303*D303</f>
        <v>61000</v>
      </c>
      <c r="H303" s="386"/>
      <c r="I303" s="390"/>
      <c r="J303" s="396"/>
      <c r="K303" s="396"/>
      <c r="L303" s="400"/>
      <c r="M303" s="414"/>
    </row>
    <row r="304" spans="1:13" s="32" customFormat="1" ht="19.5" customHeight="1">
      <c r="A304" s="91"/>
      <c r="B304" s="143" t="s">
        <v>390</v>
      </c>
      <c r="C304" s="140" t="s">
        <v>2</v>
      </c>
      <c r="D304" s="259">
        <f>D297*2</f>
        <v>1.22</v>
      </c>
      <c r="E304" s="146">
        <f>E560</f>
        <v>20000</v>
      </c>
      <c r="F304" s="347" t="str">
        <f>C304</f>
        <v>No</v>
      </c>
      <c r="G304" s="9">
        <f>E304*D304</f>
        <v>24400</v>
      </c>
      <c r="H304" s="385"/>
      <c r="I304" s="390"/>
      <c r="J304" s="396"/>
      <c r="K304" s="396"/>
      <c r="L304" s="400"/>
      <c r="M304" s="414"/>
    </row>
    <row r="305" spans="1:13" ht="19" customHeight="1">
      <c r="A305" s="8"/>
      <c r="B305" s="12"/>
      <c r="C305" s="23"/>
      <c r="D305" s="33"/>
      <c r="E305" s="11"/>
      <c r="F305" s="149"/>
      <c r="G305" s="9"/>
      <c r="H305" s="383"/>
      <c r="I305" s="384"/>
      <c r="J305" s="395"/>
      <c r="K305" s="395"/>
      <c r="L305" s="399"/>
      <c r="M305" s="413"/>
    </row>
    <row r="306" spans="1:13" ht="19" customHeight="1">
      <c r="A306" s="8"/>
      <c r="B306" s="12" t="str">
        <f>'Detail-Skeleton'!B703</f>
        <v>( c ) Re bar Work</v>
      </c>
      <c r="C306" s="8"/>
      <c r="D306" s="33"/>
      <c r="E306" s="11"/>
      <c r="F306" s="149"/>
      <c r="G306" s="9"/>
      <c r="H306" s="383"/>
      <c r="I306" s="384"/>
      <c r="J306" s="395"/>
      <c r="K306" s="395"/>
      <c r="L306" s="399"/>
      <c r="M306" s="413"/>
    </row>
    <row r="307" spans="1:13" ht="19" customHeight="1">
      <c r="A307" s="8"/>
      <c r="B307" s="50" t="str">
        <f>'Detail-Skeleton'!I749</f>
        <v>1st Floor Slab Rebar</v>
      </c>
      <c r="C307" s="23" t="s">
        <v>14</v>
      </c>
      <c r="D307" s="33">
        <f>'Detail-Skeleton'!J749</f>
        <v>1.47</v>
      </c>
      <c r="E307" s="11"/>
      <c r="F307" s="149"/>
      <c r="G307" s="9"/>
      <c r="H307" s="383">
        <f>SUM(G309:G313)</f>
        <v>5270990.2</v>
      </c>
      <c r="I307" s="384"/>
      <c r="J307" s="394">
        <f>SUM(G312:G313)</f>
        <v>1323000</v>
      </c>
      <c r="K307" s="395"/>
      <c r="L307" s="409">
        <f>ROUND(H307/$H$519,5)</f>
        <v>3.5000000000000003E-2</v>
      </c>
      <c r="M307" s="412">
        <f>ROUND(J307/$J$519,5)</f>
        <v>2.8899999999999999E-2</v>
      </c>
    </row>
    <row r="308" spans="1:13" ht="19" customHeight="1">
      <c r="A308" s="8"/>
      <c r="B308" s="8" t="s">
        <v>26</v>
      </c>
      <c r="C308" s="8"/>
      <c r="D308" s="33"/>
      <c r="E308" s="11"/>
      <c r="F308" s="149"/>
      <c r="G308" s="9"/>
      <c r="H308" s="383"/>
      <c r="I308" s="384"/>
      <c r="J308" s="395"/>
      <c r="K308" s="395"/>
      <c r="L308" s="399"/>
      <c r="M308" s="413"/>
    </row>
    <row r="309" spans="1:13" ht="19" customHeight="1">
      <c r="A309" s="8"/>
      <c r="B309" s="243" t="s">
        <v>669</v>
      </c>
      <c r="C309" s="268" t="s">
        <v>14</v>
      </c>
      <c r="D309" s="272">
        <f>D307*1.05</f>
        <v>1.54</v>
      </c>
      <c r="E309" s="270">
        <f>E536</f>
        <v>2500000</v>
      </c>
      <c r="F309" s="372" t="str">
        <f>C309</f>
        <v>Ton</v>
      </c>
      <c r="G309" s="271">
        <f>E309*D309</f>
        <v>3850000</v>
      </c>
      <c r="H309" s="383"/>
      <c r="I309" s="384"/>
      <c r="J309" s="395"/>
      <c r="K309" s="395"/>
      <c r="L309" s="399"/>
      <c r="M309" s="413"/>
    </row>
    <row r="310" spans="1:13" ht="19" customHeight="1">
      <c r="A310" s="8"/>
      <c r="B310" s="10" t="s">
        <v>32</v>
      </c>
      <c r="C310" s="8" t="s">
        <v>15</v>
      </c>
      <c r="D310" s="33">
        <f>(D307)*20*1</f>
        <v>29.4</v>
      </c>
      <c r="E310" s="11">
        <f>E540</f>
        <v>3333</v>
      </c>
      <c r="F310" s="149" t="str">
        <f>C310</f>
        <v>Lb</v>
      </c>
      <c r="G310" s="9">
        <f>E310*D310</f>
        <v>97990.2</v>
      </c>
      <c r="H310" s="383"/>
      <c r="I310" s="384"/>
      <c r="J310" s="395"/>
      <c r="K310" s="395"/>
      <c r="L310" s="399"/>
      <c r="M310" s="413"/>
    </row>
    <row r="311" spans="1:13" ht="19" customHeight="1">
      <c r="A311" s="8"/>
      <c r="B311" s="8" t="s">
        <v>22</v>
      </c>
      <c r="C311" s="8"/>
      <c r="D311" s="33"/>
      <c r="E311" s="11"/>
      <c r="F311" s="149"/>
      <c r="G311" s="9"/>
      <c r="H311" s="383"/>
      <c r="I311" s="384"/>
      <c r="J311" s="395"/>
      <c r="K311" s="395"/>
      <c r="L311" s="399"/>
      <c r="M311" s="413"/>
    </row>
    <row r="312" spans="1:13" ht="19" customHeight="1">
      <c r="A312" s="8"/>
      <c r="B312" s="143" t="s">
        <v>396</v>
      </c>
      <c r="C312" s="140" t="s">
        <v>2</v>
      </c>
      <c r="D312" s="259">
        <f>D307*20*1</f>
        <v>29.4</v>
      </c>
      <c r="E312" s="142">
        <f>E559</f>
        <v>25000</v>
      </c>
      <c r="F312" s="346" t="str">
        <f>C312</f>
        <v>No</v>
      </c>
      <c r="G312" s="9">
        <f>E312*D312</f>
        <v>735000</v>
      </c>
      <c r="H312" s="383"/>
      <c r="I312" s="384"/>
      <c r="J312" s="395"/>
      <c r="K312" s="395"/>
      <c r="L312" s="399"/>
      <c r="M312" s="413"/>
    </row>
    <row r="313" spans="1:13" ht="19" customHeight="1">
      <c r="A313" s="8"/>
      <c r="B313" s="143" t="s">
        <v>390</v>
      </c>
      <c r="C313" s="140" t="s">
        <v>2</v>
      </c>
      <c r="D313" s="259">
        <f>D312</f>
        <v>29.4</v>
      </c>
      <c r="E313" s="142">
        <f>E560</f>
        <v>20000</v>
      </c>
      <c r="F313" s="347" t="str">
        <f>C313</f>
        <v>No</v>
      </c>
      <c r="G313" s="9">
        <f>E313*D313</f>
        <v>588000</v>
      </c>
      <c r="H313" s="385"/>
      <c r="I313" s="384"/>
      <c r="J313" s="395"/>
      <c r="K313" s="395"/>
      <c r="L313" s="399"/>
      <c r="M313" s="413"/>
    </row>
    <row r="314" spans="1:13" ht="19" customHeight="1">
      <c r="A314" s="8"/>
      <c r="B314" s="50" t="str">
        <f>'Detail-Skeleton'!I762</f>
        <v>Roof Slab Re bar</v>
      </c>
      <c r="C314" s="8" t="s">
        <v>14</v>
      </c>
      <c r="D314" s="33">
        <f>'Detail-Skeleton'!J762</f>
        <v>0.14000000000000001</v>
      </c>
      <c r="E314" s="11"/>
      <c r="F314" s="149"/>
      <c r="G314" s="9"/>
      <c r="H314" s="383">
        <f>SUM(G316:G320)</f>
        <v>510332.4</v>
      </c>
      <c r="I314" s="384"/>
      <c r="J314" s="394">
        <f>SUM(G319:G320)</f>
        <v>126000</v>
      </c>
      <c r="K314" s="395"/>
      <c r="L314" s="409">
        <f>ROUND(H314/$H$519,5)</f>
        <v>3.3999999999999998E-3</v>
      </c>
      <c r="M314" s="412">
        <f>ROUND(J314/$J$519,5)</f>
        <v>2.8E-3</v>
      </c>
    </row>
    <row r="315" spans="1:13" ht="19" customHeight="1">
      <c r="A315" s="8"/>
      <c r="B315" s="8" t="s">
        <v>26</v>
      </c>
      <c r="C315" s="8"/>
      <c r="D315" s="33"/>
      <c r="E315" s="11"/>
      <c r="F315" s="149"/>
      <c r="G315" s="9"/>
      <c r="H315" s="383"/>
      <c r="I315" s="384"/>
      <c r="J315" s="395"/>
      <c r="K315" s="395"/>
      <c r="L315" s="399"/>
      <c r="M315" s="413"/>
    </row>
    <row r="316" spans="1:13" ht="19" customHeight="1">
      <c r="A316" s="8"/>
      <c r="B316" s="243" t="s">
        <v>669</v>
      </c>
      <c r="C316" s="268" t="s">
        <v>14</v>
      </c>
      <c r="D316" s="272">
        <f>D314*1.05</f>
        <v>0.15</v>
      </c>
      <c r="E316" s="270">
        <f>E536</f>
        <v>2500000</v>
      </c>
      <c r="F316" s="372" t="str">
        <f>C316</f>
        <v>Ton</v>
      </c>
      <c r="G316" s="271">
        <f>E316*D316</f>
        <v>375000</v>
      </c>
      <c r="H316" s="383"/>
      <c r="I316" s="384"/>
      <c r="J316" s="395"/>
      <c r="K316" s="395"/>
      <c r="L316" s="399"/>
      <c r="M316" s="413"/>
    </row>
    <row r="317" spans="1:13" ht="19" customHeight="1">
      <c r="A317" s="8"/>
      <c r="B317" s="10" t="s">
        <v>32</v>
      </c>
      <c r="C317" s="8" t="s">
        <v>15</v>
      </c>
      <c r="D317" s="33">
        <f>(D314)*20*1</f>
        <v>2.8</v>
      </c>
      <c r="E317" s="11">
        <f>E540</f>
        <v>3333</v>
      </c>
      <c r="F317" s="149" t="str">
        <f>C317</f>
        <v>Lb</v>
      </c>
      <c r="G317" s="9">
        <f>E317*D317</f>
        <v>9332.4</v>
      </c>
      <c r="H317" s="383"/>
      <c r="I317" s="384"/>
      <c r="J317" s="395"/>
      <c r="K317" s="395"/>
      <c r="L317" s="399"/>
      <c r="M317" s="413"/>
    </row>
    <row r="318" spans="1:13" ht="19" customHeight="1">
      <c r="A318" s="8"/>
      <c r="B318" s="8" t="s">
        <v>22</v>
      </c>
      <c r="C318" s="8"/>
      <c r="D318" s="33"/>
      <c r="E318" s="11"/>
      <c r="F318" s="149"/>
      <c r="G318" s="9"/>
      <c r="H318" s="383"/>
      <c r="I318" s="384"/>
      <c r="J318" s="395"/>
      <c r="K318" s="395"/>
      <c r="L318" s="399"/>
      <c r="M318" s="413"/>
    </row>
    <row r="319" spans="1:13" ht="19" customHeight="1">
      <c r="A319" s="8"/>
      <c r="B319" s="143" t="s">
        <v>396</v>
      </c>
      <c r="C319" s="140" t="s">
        <v>2</v>
      </c>
      <c r="D319" s="259">
        <f>D314*20*1</f>
        <v>2.8</v>
      </c>
      <c r="E319" s="142">
        <f>E559</f>
        <v>25000</v>
      </c>
      <c r="F319" s="346" t="str">
        <f>C319</f>
        <v>No</v>
      </c>
      <c r="G319" s="9">
        <f>E319*D319</f>
        <v>70000</v>
      </c>
      <c r="H319" s="383"/>
      <c r="I319" s="384"/>
      <c r="J319" s="395"/>
      <c r="K319" s="395"/>
      <c r="L319" s="399"/>
      <c r="M319" s="413"/>
    </row>
    <row r="320" spans="1:13" ht="19" customHeight="1">
      <c r="A320" s="8"/>
      <c r="B320" s="143" t="s">
        <v>390</v>
      </c>
      <c r="C320" s="140" t="s">
        <v>2</v>
      </c>
      <c r="D320" s="259">
        <f>D319</f>
        <v>2.8</v>
      </c>
      <c r="E320" s="142">
        <f>E560</f>
        <v>20000</v>
      </c>
      <c r="F320" s="347" t="str">
        <f>C320</f>
        <v>No</v>
      </c>
      <c r="G320" s="9">
        <f>E320*D320</f>
        <v>56000</v>
      </c>
      <c r="H320" s="385"/>
      <c r="I320" s="384"/>
      <c r="J320" s="395"/>
      <c r="K320" s="395"/>
      <c r="L320" s="399"/>
      <c r="M320" s="413"/>
    </row>
    <row r="321" spans="1:13" ht="19" customHeight="1">
      <c r="A321" s="8"/>
      <c r="B321" s="8"/>
      <c r="C321" s="8"/>
      <c r="D321" s="33"/>
      <c r="E321" s="11"/>
      <c r="F321" s="149"/>
      <c r="G321" s="9"/>
      <c r="H321" s="383"/>
      <c r="I321" s="384"/>
      <c r="J321" s="395"/>
      <c r="K321" s="395"/>
      <c r="L321" s="399"/>
      <c r="M321" s="413"/>
    </row>
    <row r="322" spans="1:13" ht="19" customHeight="1">
      <c r="A322" s="8">
        <f>'Detail-Skeleton'!A765</f>
        <v>11</v>
      </c>
      <c r="B322" s="12" t="str">
        <f>'Detail-Skeleton'!B765</f>
        <v>( a ) (1:2:4) RCC Stair Work</v>
      </c>
      <c r="C322" s="23" t="str">
        <f>'Detail-Skeleton'!K770</f>
        <v>%Fc</v>
      </c>
      <c r="D322" s="33">
        <f>'Detail-Skeleton'!J770</f>
        <v>0.87</v>
      </c>
      <c r="E322" s="11"/>
      <c r="F322" s="149"/>
      <c r="G322" s="9"/>
      <c r="H322" s="383">
        <f>SUM(G324:G331)</f>
        <v>729900</v>
      </c>
      <c r="I322" s="384"/>
      <c r="J322" s="394">
        <f>SUM(G329:G331)</f>
        <v>211100</v>
      </c>
      <c r="K322" s="395"/>
      <c r="L322" s="409">
        <f>ROUND(H322/$H$519,5)</f>
        <v>4.8999999999999998E-3</v>
      </c>
      <c r="M322" s="412">
        <f>ROUND(J322/$J$519,5)</f>
        <v>4.5999999999999999E-3</v>
      </c>
    </row>
    <row r="323" spans="1:13" ht="19" customHeight="1">
      <c r="A323" s="8"/>
      <c r="B323" s="8" t="s">
        <v>26</v>
      </c>
      <c r="C323" s="23"/>
      <c r="D323" s="33"/>
      <c r="E323" s="11"/>
      <c r="F323" s="149"/>
      <c r="G323" s="9"/>
      <c r="H323" s="383"/>
      <c r="I323" s="384"/>
      <c r="J323" s="395"/>
      <c r="K323" s="395"/>
      <c r="L323" s="399"/>
      <c r="M323" s="413"/>
    </row>
    <row r="324" spans="1:13" ht="19" customHeight="1">
      <c r="A324" s="8"/>
      <c r="B324" s="243" t="s">
        <v>8</v>
      </c>
      <c r="C324" s="8" t="s">
        <v>9</v>
      </c>
      <c r="D324" s="33">
        <f>ROUNDDOWN(D322*2070/112,0)</f>
        <v>16</v>
      </c>
      <c r="E324" s="11">
        <f>E525</f>
        <v>24000</v>
      </c>
      <c r="F324" s="149" t="str">
        <f>C324</f>
        <v>Bag</v>
      </c>
      <c r="G324" s="9">
        <f>E324*D324</f>
        <v>384000</v>
      </c>
      <c r="H324" s="383"/>
      <c r="I324" s="384"/>
      <c r="J324" s="395"/>
      <c r="K324" s="395"/>
      <c r="L324" s="399"/>
      <c r="M324" s="413"/>
    </row>
    <row r="325" spans="1:13" ht="19" customHeight="1">
      <c r="A325" s="8"/>
      <c r="B325" s="10" t="s">
        <v>31</v>
      </c>
      <c r="C325" s="8" t="s">
        <v>10</v>
      </c>
      <c r="D325" s="33">
        <f>D322*0.46</f>
        <v>0.4</v>
      </c>
      <c r="E325" s="11">
        <f>E526</f>
        <v>30000</v>
      </c>
      <c r="F325" s="149" t="str">
        <f>C325</f>
        <v>Sud</v>
      </c>
      <c r="G325" s="9">
        <f>E325*D325</f>
        <v>12000</v>
      </c>
      <c r="H325" s="383"/>
      <c r="I325" s="384"/>
      <c r="J325" s="395"/>
      <c r="K325" s="395"/>
      <c r="L325" s="399"/>
      <c r="M325" s="413"/>
    </row>
    <row r="326" spans="1:13" ht="19" customHeight="1">
      <c r="A326" s="8"/>
      <c r="B326" s="10" t="s">
        <v>95</v>
      </c>
      <c r="C326" s="8" t="s">
        <v>10</v>
      </c>
      <c r="D326" s="33">
        <f>D322*0.92</f>
        <v>0.8</v>
      </c>
      <c r="E326" s="11">
        <f>E528</f>
        <v>110000</v>
      </c>
      <c r="F326" s="149" t="str">
        <f>C326</f>
        <v>Sud</v>
      </c>
      <c r="G326" s="9">
        <f>E326*D326</f>
        <v>88000</v>
      </c>
      <c r="H326" s="383"/>
      <c r="I326" s="384"/>
      <c r="J326" s="395"/>
      <c r="K326" s="395"/>
      <c r="L326" s="399"/>
      <c r="M326" s="413"/>
    </row>
    <row r="327" spans="1:13" ht="19" customHeight="1">
      <c r="A327" s="8"/>
      <c r="B327" s="10" t="s">
        <v>34</v>
      </c>
      <c r="C327" s="8" t="s">
        <v>28</v>
      </c>
      <c r="D327" s="33">
        <f>D322*2</f>
        <v>1.74</v>
      </c>
      <c r="E327" s="11">
        <f>E530</f>
        <v>20000</v>
      </c>
      <c r="F327" s="149" t="str">
        <f>C327</f>
        <v>Gal</v>
      </c>
      <c r="G327" s="9">
        <f>E327*D327</f>
        <v>34800</v>
      </c>
      <c r="H327" s="383"/>
      <c r="I327" s="391"/>
      <c r="J327" s="395"/>
      <c r="K327" s="395"/>
      <c r="L327" s="399"/>
      <c r="M327" s="413"/>
    </row>
    <row r="328" spans="1:13" s="32" customFormat="1" ht="19.5" customHeight="1">
      <c r="A328" s="91"/>
      <c r="B328" s="91" t="s">
        <v>22</v>
      </c>
      <c r="C328" s="91"/>
      <c r="D328" s="95"/>
      <c r="E328" s="59"/>
      <c r="F328" s="370"/>
      <c r="G328" s="244"/>
      <c r="H328" s="389"/>
      <c r="I328" s="390"/>
      <c r="J328" s="396"/>
      <c r="K328" s="396"/>
      <c r="L328" s="400"/>
      <c r="M328" s="414"/>
    </row>
    <row r="329" spans="1:13" s="32" customFormat="1" ht="19.5" customHeight="1">
      <c r="A329" s="91"/>
      <c r="B329" s="143" t="s">
        <v>394</v>
      </c>
      <c r="C329" s="145" t="s">
        <v>2</v>
      </c>
      <c r="D329" s="259">
        <f>D322*2</f>
        <v>1.74</v>
      </c>
      <c r="E329" s="146">
        <f>E558</f>
        <v>25000</v>
      </c>
      <c r="F329" s="345" t="str">
        <f>C329</f>
        <v>No</v>
      </c>
      <c r="G329" s="9">
        <f>E329*D329</f>
        <v>43500</v>
      </c>
      <c r="H329" s="387"/>
      <c r="I329" s="390"/>
      <c r="J329" s="396"/>
      <c r="K329" s="396"/>
      <c r="L329" s="400"/>
      <c r="M329" s="414"/>
    </row>
    <row r="330" spans="1:13" s="32" customFormat="1" ht="19.5" customHeight="1">
      <c r="A330" s="91"/>
      <c r="B330" s="143" t="s">
        <v>395</v>
      </c>
      <c r="C330" s="140" t="s">
        <v>2</v>
      </c>
      <c r="D330" s="267">
        <f>D322*0.5</f>
        <v>0.44</v>
      </c>
      <c r="E330" s="146">
        <f>E561</f>
        <v>25000</v>
      </c>
      <c r="F330" s="346" t="str">
        <f>C330</f>
        <v>No</v>
      </c>
      <c r="G330" s="9">
        <f>E330*D330</f>
        <v>11000</v>
      </c>
      <c r="H330" s="387"/>
      <c r="I330" s="390"/>
      <c r="J330" s="396"/>
      <c r="K330" s="396"/>
      <c r="L330" s="400"/>
      <c r="M330" s="414"/>
    </row>
    <row r="331" spans="1:13" s="32" customFormat="1" ht="19.5" customHeight="1">
      <c r="A331" s="91"/>
      <c r="B331" s="143" t="s">
        <v>390</v>
      </c>
      <c r="C331" s="140" t="s">
        <v>2</v>
      </c>
      <c r="D331" s="259">
        <f>D322*9</f>
        <v>7.83</v>
      </c>
      <c r="E331" s="146">
        <f>E560</f>
        <v>20000</v>
      </c>
      <c r="F331" s="347" t="str">
        <f>C331</f>
        <v>No</v>
      </c>
      <c r="G331" s="9">
        <f>E331*D331</f>
        <v>156600</v>
      </c>
      <c r="H331" s="385"/>
      <c r="I331" s="390"/>
      <c r="J331" s="396"/>
      <c r="K331" s="396"/>
      <c r="L331" s="400"/>
      <c r="M331" s="414"/>
    </row>
    <row r="332" spans="1:13" ht="19" customHeight="1">
      <c r="A332" s="8"/>
      <c r="B332" s="8"/>
      <c r="C332" s="8"/>
      <c r="D332" s="33"/>
      <c r="E332" s="11"/>
      <c r="F332" s="149"/>
      <c r="G332" s="9"/>
      <c r="H332" s="383"/>
      <c r="I332" s="384"/>
      <c r="J332" s="395"/>
      <c r="K332" s="395"/>
      <c r="L332" s="399"/>
      <c r="M332" s="413"/>
    </row>
    <row r="333" spans="1:13" ht="19" customHeight="1">
      <c r="A333" s="8"/>
      <c r="B333" s="12" t="str">
        <f>'Detail-Skeleton'!B772</f>
        <v>( b ) Stair Formwork</v>
      </c>
      <c r="C333" s="23" t="str">
        <f>'Detail-Skeleton'!K778</f>
        <v>%Fs</v>
      </c>
      <c r="D333" s="33">
        <f>'Detail-Skeleton'!J778</f>
        <v>2.33</v>
      </c>
      <c r="E333" s="11"/>
      <c r="F333" s="149"/>
      <c r="G333" s="9"/>
      <c r="H333" s="383">
        <f>SUM(G335:G340)</f>
        <v>1161168</v>
      </c>
      <c r="I333" s="384"/>
      <c r="J333" s="394">
        <f>SUM(G339:G340)</f>
        <v>326200</v>
      </c>
      <c r="K333" s="395"/>
      <c r="L333" s="409">
        <f>ROUND(H333/$H$519,5)</f>
        <v>7.7000000000000002E-3</v>
      </c>
      <c r="M333" s="412">
        <f>ROUND(J333/$J$519,5)</f>
        <v>7.1000000000000004E-3</v>
      </c>
    </row>
    <row r="334" spans="1:13" ht="21" customHeight="1">
      <c r="A334" s="8"/>
      <c r="B334" s="8" t="s">
        <v>26</v>
      </c>
      <c r="C334" s="21"/>
      <c r="D334" s="33"/>
      <c r="E334" s="11"/>
      <c r="F334" s="149"/>
      <c r="G334" s="9"/>
      <c r="H334" s="383"/>
      <c r="I334" s="384"/>
      <c r="J334" s="395"/>
      <c r="K334" s="395"/>
      <c r="L334" s="399"/>
      <c r="M334" s="413"/>
    </row>
    <row r="335" spans="1:13" ht="21" customHeight="1">
      <c r="A335" s="8"/>
      <c r="B335" s="10" t="s">
        <v>53</v>
      </c>
      <c r="C335" s="8" t="s">
        <v>14</v>
      </c>
      <c r="D335" s="33">
        <f>D333*15/50/2</f>
        <v>0.35</v>
      </c>
      <c r="E335" s="11">
        <f>E532</f>
        <v>1500000</v>
      </c>
      <c r="F335" s="149" t="str">
        <f>C335</f>
        <v>Ton</v>
      </c>
      <c r="G335" s="9">
        <f>D335*E335</f>
        <v>525000</v>
      </c>
      <c r="H335" s="383"/>
      <c r="I335" s="384"/>
      <c r="J335" s="395"/>
      <c r="K335" s="395"/>
      <c r="L335" s="399"/>
      <c r="M335" s="413"/>
    </row>
    <row r="336" spans="1:13" ht="21" customHeight="1">
      <c r="A336" s="8"/>
      <c r="B336" s="10" t="s">
        <v>62</v>
      </c>
      <c r="C336" s="245" t="s">
        <v>13</v>
      </c>
      <c r="D336" s="33">
        <f>D333/0.32/2*1.15</f>
        <v>4.1900000000000004</v>
      </c>
      <c r="E336" s="11">
        <f>E531</f>
        <v>70000</v>
      </c>
      <c r="F336" s="368" t="str">
        <f>C336</f>
        <v>Sht</v>
      </c>
      <c r="G336" s="9">
        <f>D336*E336</f>
        <v>293300</v>
      </c>
      <c r="H336" s="383"/>
      <c r="I336" s="384"/>
      <c r="J336" s="395"/>
      <c r="K336" s="395"/>
      <c r="L336" s="399"/>
      <c r="M336" s="413"/>
    </row>
    <row r="337" spans="1:13" ht="21" customHeight="1">
      <c r="A337" s="8"/>
      <c r="B337" s="10" t="s">
        <v>35</v>
      </c>
      <c r="C337" s="8" t="s">
        <v>15</v>
      </c>
      <c r="D337" s="33">
        <f>ROUNDDOWN(D333*3,0)</f>
        <v>6</v>
      </c>
      <c r="E337" s="11">
        <f>E533</f>
        <v>2778</v>
      </c>
      <c r="F337" s="149" t="str">
        <f>C337</f>
        <v>Lb</v>
      </c>
      <c r="G337" s="9">
        <f>D337*E337</f>
        <v>16668</v>
      </c>
      <c r="H337" s="383"/>
      <c r="I337" s="384"/>
      <c r="J337" s="395"/>
      <c r="K337" s="395"/>
      <c r="L337" s="399"/>
      <c r="M337" s="413"/>
    </row>
    <row r="338" spans="1:13" s="32" customFormat="1" ht="19.5" customHeight="1">
      <c r="A338" s="91"/>
      <c r="B338" s="91" t="s">
        <v>22</v>
      </c>
      <c r="C338" s="91"/>
      <c r="D338" s="95"/>
      <c r="E338" s="59"/>
      <c r="F338" s="370"/>
      <c r="G338" s="244"/>
      <c r="H338" s="389"/>
      <c r="I338" s="390"/>
      <c r="J338" s="396"/>
      <c r="K338" s="396"/>
      <c r="L338" s="400"/>
      <c r="M338" s="414"/>
    </row>
    <row r="339" spans="1:13" s="32" customFormat="1" ht="19.5" customHeight="1">
      <c r="A339" s="91"/>
      <c r="B339" s="143" t="s">
        <v>391</v>
      </c>
      <c r="C339" s="140" t="s">
        <v>2</v>
      </c>
      <c r="D339" s="259">
        <f>D333*4</f>
        <v>9.32</v>
      </c>
      <c r="E339" s="146">
        <f>E557</f>
        <v>25000</v>
      </c>
      <c r="F339" s="347" t="str">
        <f>C339</f>
        <v>No</v>
      </c>
      <c r="G339" s="9">
        <f>E339*D339</f>
        <v>233000</v>
      </c>
      <c r="H339" s="386"/>
      <c r="I339" s="390"/>
      <c r="J339" s="396"/>
      <c r="K339" s="396"/>
      <c r="L339" s="400"/>
      <c r="M339" s="414"/>
    </row>
    <row r="340" spans="1:13" s="32" customFormat="1" ht="19.5" customHeight="1">
      <c r="A340" s="91"/>
      <c r="B340" s="143" t="s">
        <v>390</v>
      </c>
      <c r="C340" s="140" t="s">
        <v>2</v>
      </c>
      <c r="D340" s="259">
        <f>D333*2</f>
        <v>4.66</v>
      </c>
      <c r="E340" s="146">
        <f>E560</f>
        <v>20000</v>
      </c>
      <c r="F340" s="347" t="str">
        <f>C340</f>
        <v>No</v>
      </c>
      <c r="G340" s="9">
        <f>E340*D340</f>
        <v>93200</v>
      </c>
      <c r="H340" s="385"/>
      <c r="I340" s="390"/>
      <c r="J340" s="396"/>
      <c r="K340" s="396"/>
      <c r="L340" s="400"/>
      <c r="M340" s="414"/>
    </row>
    <row r="341" spans="1:13" ht="19" customHeight="1">
      <c r="A341" s="8"/>
      <c r="B341" s="8"/>
      <c r="C341" s="8"/>
      <c r="D341" s="33"/>
      <c r="E341" s="11"/>
      <c r="F341" s="149"/>
      <c r="G341" s="9"/>
      <c r="H341" s="383"/>
      <c r="I341" s="384"/>
      <c r="J341" s="395"/>
      <c r="K341" s="395"/>
      <c r="L341" s="399"/>
      <c r="M341" s="413"/>
    </row>
    <row r="342" spans="1:13" ht="19" customHeight="1">
      <c r="A342" s="8"/>
      <c r="B342" s="8" t="str">
        <f>'Detail-Skeleton'!B780</f>
        <v>( c ) Stair Re Bar Work</v>
      </c>
      <c r="C342" s="23" t="s">
        <v>14</v>
      </c>
      <c r="D342" s="33">
        <f>D343+D344+D345</f>
        <v>0.36</v>
      </c>
      <c r="E342" s="11"/>
      <c r="F342" s="149"/>
      <c r="G342" s="9"/>
      <c r="H342" s="383">
        <f>SUM(G347:G353)</f>
        <v>1337497.6000000001</v>
      </c>
      <c r="I342" s="384"/>
      <c r="J342" s="394">
        <f>SUM(G352:G353)</f>
        <v>373500</v>
      </c>
      <c r="K342" s="395"/>
      <c r="L342" s="409">
        <f>ROUND(H342/$H$519,5)</f>
        <v>8.8999999999999999E-3</v>
      </c>
      <c r="M342" s="412">
        <f>ROUND(J342/$J$519,5)</f>
        <v>8.2000000000000007E-3</v>
      </c>
    </row>
    <row r="343" spans="1:13" ht="19" customHeight="1">
      <c r="A343" s="8"/>
      <c r="B343" s="23" t="str">
        <f>'Detail-Skeleton'!H800</f>
        <v>16mmØ</v>
      </c>
      <c r="C343" s="8" t="s">
        <v>14</v>
      </c>
      <c r="D343" s="33">
        <f>'Detail-Skeleton'!H801</f>
        <v>0.04</v>
      </c>
      <c r="E343" s="11"/>
      <c r="F343" s="149"/>
      <c r="G343" s="9"/>
      <c r="H343" s="383"/>
      <c r="I343" s="384"/>
      <c r="J343" s="395"/>
      <c r="K343" s="395"/>
      <c r="L343" s="399"/>
      <c r="M343" s="413"/>
    </row>
    <row r="344" spans="1:13" ht="19" customHeight="1">
      <c r="A344" s="8"/>
      <c r="B344" s="23" t="str">
        <f>'Detail-Skeleton'!I800</f>
        <v>12mmØ</v>
      </c>
      <c r="C344" s="8" t="s">
        <v>14</v>
      </c>
      <c r="D344" s="33">
        <f>'Detail-Skeleton'!I801</f>
        <v>0.21</v>
      </c>
      <c r="E344" s="11"/>
      <c r="F344" s="149"/>
      <c r="G344" s="9"/>
      <c r="H344" s="383"/>
      <c r="I344" s="384"/>
      <c r="J344" s="395"/>
      <c r="K344" s="395"/>
      <c r="L344" s="399"/>
      <c r="M344" s="413"/>
    </row>
    <row r="345" spans="1:13" ht="19" customHeight="1">
      <c r="A345" s="8"/>
      <c r="B345" s="23" t="str">
        <f>'Detail-Skeleton'!J800</f>
        <v>10mmØ</v>
      </c>
      <c r="C345" s="8" t="s">
        <v>14</v>
      </c>
      <c r="D345" s="33">
        <f>'Detail-Skeleton'!J801</f>
        <v>0.11</v>
      </c>
      <c r="E345" s="11"/>
      <c r="F345" s="149"/>
      <c r="G345" s="9"/>
      <c r="H345" s="383"/>
      <c r="I345" s="384"/>
      <c r="J345" s="395"/>
      <c r="K345" s="395"/>
      <c r="L345" s="399"/>
      <c r="M345" s="413"/>
    </row>
    <row r="346" spans="1:13" ht="19" customHeight="1">
      <c r="A346" s="8"/>
      <c r="B346" s="8" t="s">
        <v>26</v>
      </c>
      <c r="C346" s="8"/>
      <c r="D346" s="33"/>
      <c r="E346" s="11"/>
      <c r="F346" s="149"/>
      <c r="G346" s="9"/>
      <c r="H346" s="383"/>
      <c r="I346" s="384"/>
      <c r="J346" s="395"/>
      <c r="K346" s="395"/>
      <c r="L346" s="399"/>
      <c r="M346" s="413"/>
    </row>
    <row r="347" spans="1:13" ht="19" customHeight="1">
      <c r="A347" s="8"/>
      <c r="B347" s="10" t="s">
        <v>549</v>
      </c>
      <c r="C347" s="8" t="s">
        <v>14</v>
      </c>
      <c r="D347" s="33">
        <f>D343*1.05</f>
        <v>0.04</v>
      </c>
      <c r="E347" s="11">
        <f>E538</f>
        <v>2800000</v>
      </c>
      <c r="F347" s="149" t="str">
        <f>C347</f>
        <v>Ton</v>
      </c>
      <c r="G347" s="9">
        <f>D347*E347</f>
        <v>112000</v>
      </c>
      <c r="H347" s="383"/>
      <c r="I347" s="384"/>
      <c r="J347" s="395"/>
      <c r="K347" s="395"/>
      <c r="L347" s="399"/>
      <c r="M347" s="413"/>
    </row>
    <row r="348" spans="1:13" ht="19" customHeight="1">
      <c r="A348" s="8"/>
      <c r="B348" s="243" t="s">
        <v>668</v>
      </c>
      <c r="C348" s="8" t="s">
        <v>14</v>
      </c>
      <c r="D348" s="33">
        <f>D344*1.05</f>
        <v>0.22</v>
      </c>
      <c r="E348" s="11">
        <f>E537</f>
        <v>2400000</v>
      </c>
      <c r="F348" s="149" t="str">
        <f>C348</f>
        <v>Ton</v>
      </c>
      <c r="G348" s="9">
        <f>D348*E348</f>
        <v>528000</v>
      </c>
      <c r="H348" s="383"/>
      <c r="I348" s="384"/>
      <c r="J348" s="395"/>
      <c r="K348" s="395"/>
      <c r="L348" s="399"/>
      <c r="M348" s="413"/>
    </row>
    <row r="349" spans="1:13" ht="19" customHeight="1">
      <c r="A349" s="8"/>
      <c r="B349" s="243" t="s">
        <v>669</v>
      </c>
      <c r="C349" s="8" t="s">
        <v>14</v>
      </c>
      <c r="D349" s="33">
        <f>D345*1.05</f>
        <v>0.12</v>
      </c>
      <c r="E349" s="11">
        <f>E536</f>
        <v>2500000</v>
      </c>
      <c r="F349" s="149" t="str">
        <f>C349</f>
        <v>Ton</v>
      </c>
      <c r="G349" s="9">
        <f>D349*E349</f>
        <v>300000</v>
      </c>
      <c r="H349" s="383"/>
      <c r="I349" s="384"/>
      <c r="J349" s="395"/>
      <c r="K349" s="395"/>
      <c r="L349" s="399"/>
      <c r="M349" s="413"/>
    </row>
    <row r="350" spans="1:13" ht="19" customHeight="1">
      <c r="A350" s="8"/>
      <c r="B350" s="10" t="s">
        <v>32</v>
      </c>
      <c r="C350" s="8" t="s">
        <v>15</v>
      </c>
      <c r="D350" s="33">
        <f>D342*20</f>
        <v>7.2</v>
      </c>
      <c r="E350" s="11">
        <f>E540</f>
        <v>3333</v>
      </c>
      <c r="F350" s="149" t="str">
        <f>C350</f>
        <v>Lb</v>
      </c>
      <c r="G350" s="9">
        <f>D350*E350</f>
        <v>23997.599999999999</v>
      </c>
      <c r="H350" s="383"/>
      <c r="I350" s="384"/>
      <c r="J350" s="395"/>
      <c r="K350" s="395"/>
      <c r="L350" s="399"/>
      <c r="M350" s="413"/>
    </row>
    <row r="351" spans="1:13" ht="19" customHeight="1">
      <c r="A351" s="8"/>
      <c r="B351" s="8" t="s">
        <v>22</v>
      </c>
      <c r="C351" s="8"/>
      <c r="D351" s="33"/>
      <c r="E351" s="11"/>
      <c r="F351" s="149"/>
      <c r="G351" s="9"/>
      <c r="H351" s="383"/>
      <c r="I351" s="384"/>
      <c r="J351" s="395"/>
      <c r="K351" s="395"/>
      <c r="L351" s="399"/>
      <c r="M351" s="413"/>
    </row>
    <row r="352" spans="1:13" ht="19" customHeight="1">
      <c r="A352" s="8"/>
      <c r="B352" s="10" t="s">
        <v>396</v>
      </c>
      <c r="C352" s="8" t="s">
        <v>2</v>
      </c>
      <c r="D352" s="33">
        <f>D343*20*1+D344*20*1+D345*20*1.5</f>
        <v>8.3000000000000007</v>
      </c>
      <c r="E352" s="11">
        <f>E559</f>
        <v>25000</v>
      </c>
      <c r="F352" s="149" t="str">
        <f>C352</f>
        <v>No</v>
      </c>
      <c r="G352" s="9">
        <f>E352*D352</f>
        <v>207500</v>
      </c>
      <c r="H352" s="383"/>
      <c r="I352" s="384"/>
      <c r="J352" s="395"/>
      <c r="K352" s="395"/>
      <c r="L352" s="399"/>
      <c r="M352" s="413"/>
    </row>
    <row r="353" spans="1:13" ht="19" customHeight="1">
      <c r="A353" s="8"/>
      <c r="B353" s="10" t="s">
        <v>390</v>
      </c>
      <c r="C353" s="8" t="s">
        <v>2</v>
      </c>
      <c r="D353" s="33">
        <f>D352</f>
        <v>8.3000000000000007</v>
      </c>
      <c r="E353" s="11">
        <f>E560</f>
        <v>20000</v>
      </c>
      <c r="F353" s="149" t="str">
        <f>C353</f>
        <v>No</v>
      </c>
      <c r="G353" s="9">
        <f>E353*D353</f>
        <v>166000</v>
      </c>
      <c r="H353" s="383"/>
      <c r="I353" s="384"/>
      <c r="J353" s="395"/>
      <c r="K353" s="395"/>
      <c r="L353" s="399"/>
      <c r="M353" s="413"/>
    </row>
    <row r="354" spans="1:13" ht="19" customHeight="1">
      <c r="A354" s="8"/>
      <c r="B354" s="8"/>
      <c r="C354" s="8"/>
      <c r="D354" s="33"/>
      <c r="E354" s="11"/>
      <c r="F354" s="149"/>
      <c r="G354" s="9"/>
      <c r="H354" s="383"/>
      <c r="I354" s="384"/>
      <c r="J354" s="395"/>
      <c r="K354" s="395"/>
      <c r="L354" s="399"/>
      <c r="M354" s="413"/>
    </row>
    <row r="355" spans="1:13" ht="19" customHeight="1">
      <c r="A355" s="8">
        <f>'Detail-Skeleton'!A803</f>
        <v>12</v>
      </c>
      <c r="B355" s="12" t="str">
        <f>'Detail-Skeleton'!B803</f>
        <v>( a ) 4½" Thk; Brick Walling Work</v>
      </c>
      <c r="C355" s="23"/>
      <c r="D355" s="33"/>
      <c r="E355" s="11"/>
      <c r="F355" s="149"/>
      <c r="G355" s="9"/>
      <c r="H355" s="383"/>
      <c r="I355" s="384"/>
      <c r="J355" s="395"/>
      <c r="K355" s="395"/>
      <c r="L355" s="399"/>
      <c r="M355" s="413"/>
    </row>
    <row r="356" spans="1:13" ht="20.149999999999999" customHeight="1">
      <c r="A356" s="1"/>
      <c r="B356" s="1" t="str">
        <f>'Detail-Skeleton'!B805</f>
        <v>Ground Floor External Wall</v>
      </c>
      <c r="C356" s="23" t="str">
        <f>'Detail-Skeleton'!K891</f>
        <v>%Fs</v>
      </c>
      <c r="D356" s="33">
        <f>'Detail-Skeleton'!J823</f>
        <v>10.36</v>
      </c>
      <c r="E356" s="11"/>
      <c r="F356" s="149"/>
      <c r="G356" s="9"/>
      <c r="H356" s="383">
        <f>SUM(G358:G364)</f>
        <v>3989100</v>
      </c>
      <c r="I356" s="384">
        <f>H356/D356</f>
        <v>385048.26254826301</v>
      </c>
      <c r="J356" s="394">
        <f>SUM(G363:G364)</f>
        <v>1139600</v>
      </c>
      <c r="K356" s="395"/>
      <c r="L356" s="409">
        <f>ROUND(H356/$H$519,5)</f>
        <v>2.6499999999999999E-2</v>
      </c>
      <c r="M356" s="412">
        <f>ROUND(J356/$J$519,5)</f>
        <v>2.4899999999999999E-2</v>
      </c>
    </row>
    <row r="357" spans="1:13" ht="20.149999999999999" customHeight="1">
      <c r="A357" s="8"/>
      <c r="B357" s="45" t="s">
        <v>26</v>
      </c>
      <c r="C357" s="41"/>
      <c r="D357" s="51"/>
      <c r="E357" s="11"/>
      <c r="F357" s="149"/>
      <c r="G357" s="9"/>
      <c r="H357" s="383"/>
      <c r="I357" s="391"/>
      <c r="J357" s="395"/>
      <c r="K357" s="395"/>
      <c r="L357" s="399"/>
      <c r="M357" s="413"/>
    </row>
    <row r="358" spans="1:13" ht="20.149999999999999" customHeight="1">
      <c r="A358" s="8"/>
      <c r="B358" s="246" t="s">
        <v>8</v>
      </c>
      <c r="C358" s="43" t="s">
        <v>9</v>
      </c>
      <c r="D358" s="44">
        <f>ROUNDDOWN(D356*297/112,0)</f>
        <v>27</v>
      </c>
      <c r="E358" s="11">
        <f>E525</f>
        <v>24000</v>
      </c>
      <c r="F358" s="373" t="str">
        <f>C358</f>
        <v>Bag</v>
      </c>
      <c r="G358" s="9">
        <f>D358*E358</f>
        <v>648000</v>
      </c>
      <c r="H358" s="383"/>
      <c r="I358" s="384"/>
      <c r="J358" s="395"/>
      <c r="K358" s="395"/>
      <c r="L358" s="399"/>
      <c r="M358" s="413"/>
    </row>
    <row r="359" spans="1:13" ht="20.149999999999999" customHeight="1">
      <c r="A359" s="8"/>
      <c r="B359" s="42" t="s">
        <v>31</v>
      </c>
      <c r="C359" s="43" t="s">
        <v>10</v>
      </c>
      <c r="D359" s="44">
        <f>(D356*10/100)</f>
        <v>1.04</v>
      </c>
      <c r="E359" s="11">
        <f>E526</f>
        <v>30000</v>
      </c>
      <c r="F359" s="373" t="str">
        <f>C359</f>
        <v>Sud</v>
      </c>
      <c r="G359" s="9">
        <f>D359*E359</f>
        <v>31200</v>
      </c>
      <c r="H359" s="383"/>
      <c r="I359" s="384"/>
      <c r="J359" s="395"/>
      <c r="K359" s="395"/>
      <c r="L359" s="399"/>
      <c r="M359" s="413"/>
    </row>
    <row r="360" spans="1:13" ht="20.149999999999999" customHeight="1">
      <c r="A360" s="8"/>
      <c r="B360" s="42" t="s">
        <v>11</v>
      </c>
      <c r="C360" s="43" t="s">
        <v>2</v>
      </c>
      <c r="D360" s="44">
        <f>ROUNDDOWN(D356*550,0)</f>
        <v>5698</v>
      </c>
      <c r="E360" s="11">
        <f>E527</f>
        <v>350</v>
      </c>
      <c r="F360" s="373" t="str">
        <f>C360</f>
        <v>No</v>
      </c>
      <c r="G360" s="9">
        <f>D360*E360</f>
        <v>1994300</v>
      </c>
      <c r="H360" s="383"/>
      <c r="I360" s="384"/>
      <c r="J360" s="395"/>
      <c r="K360" s="395"/>
      <c r="L360" s="399"/>
      <c r="M360" s="413"/>
    </row>
    <row r="361" spans="1:13" ht="20.149999999999999" customHeight="1">
      <c r="A361" s="8"/>
      <c r="B361" s="42" t="s">
        <v>86</v>
      </c>
      <c r="C361" s="43" t="s">
        <v>29</v>
      </c>
      <c r="D361" s="44">
        <f>ROUNDDOWN(D356*115,-2)</f>
        <v>1100</v>
      </c>
      <c r="E361" s="11">
        <f>E552</f>
        <v>160</v>
      </c>
      <c r="F361" s="373" t="str">
        <f>C361</f>
        <v>Fr</v>
      </c>
      <c r="G361" s="9">
        <f>D361*E361</f>
        <v>176000</v>
      </c>
      <c r="H361" s="383"/>
      <c r="I361" s="384"/>
      <c r="J361" s="395"/>
      <c r="K361" s="395"/>
      <c r="L361" s="399"/>
      <c r="M361" s="413"/>
    </row>
    <row r="362" spans="1:13" s="32" customFormat="1" ht="20.149999999999999" customHeight="1">
      <c r="A362" s="91"/>
      <c r="B362" s="91" t="s">
        <v>22</v>
      </c>
      <c r="C362" s="247"/>
      <c r="D362" s="248"/>
      <c r="E362" s="59"/>
      <c r="F362" s="374"/>
      <c r="G362" s="249"/>
      <c r="H362" s="390"/>
      <c r="I362" s="390"/>
      <c r="J362" s="396"/>
      <c r="K362" s="396"/>
      <c r="L362" s="400"/>
      <c r="M362" s="414"/>
    </row>
    <row r="363" spans="1:13" s="32" customFormat="1" ht="20.149999999999999" customHeight="1">
      <c r="A363" s="91"/>
      <c r="B363" s="143" t="s">
        <v>394</v>
      </c>
      <c r="C363" s="260" t="s">
        <v>2</v>
      </c>
      <c r="D363" s="261">
        <f>D356*2</f>
        <v>20.72</v>
      </c>
      <c r="E363" s="146">
        <f>E558</f>
        <v>25000</v>
      </c>
      <c r="F363" s="375" t="str">
        <f>C363</f>
        <v>No</v>
      </c>
      <c r="G363" s="9">
        <f>E363*D363</f>
        <v>518000</v>
      </c>
      <c r="H363" s="387"/>
      <c r="I363" s="390"/>
      <c r="J363" s="396"/>
      <c r="K363" s="396"/>
      <c r="L363" s="400"/>
      <c r="M363" s="414"/>
    </row>
    <row r="364" spans="1:13" s="32" customFormat="1" ht="20.149999999999999" customHeight="1">
      <c r="A364" s="91"/>
      <c r="B364" s="143" t="s">
        <v>390</v>
      </c>
      <c r="C364" s="140" t="s">
        <v>2</v>
      </c>
      <c r="D364" s="261">
        <f>D356*3</f>
        <v>31.08</v>
      </c>
      <c r="E364" s="146">
        <f>E560</f>
        <v>20000</v>
      </c>
      <c r="F364" s="347" t="str">
        <f>C364</f>
        <v>No</v>
      </c>
      <c r="G364" s="9">
        <f>E364*D364</f>
        <v>621600</v>
      </c>
      <c r="H364" s="385"/>
      <c r="I364" s="390"/>
      <c r="J364" s="396"/>
      <c r="K364" s="396"/>
      <c r="L364" s="400"/>
      <c r="M364" s="414"/>
    </row>
    <row r="365" spans="1:13" ht="20.149999999999999" customHeight="1">
      <c r="A365" s="8"/>
      <c r="B365" s="42"/>
      <c r="C365" s="43"/>
      <c r="D365" s="44"/>
      <c r="E365" s="11"/>
      <c r="F365" s="149"/>
      <c r="G365" s="9"/>
      <c r="H365" s="383"/>
      <c r="I365" s="384"/>
      <c r="J365" s="395"/>
      <c r="K365" s="395"/>
      <c r="L365" s="399"/>
      <c r="M365" s="413"/>
    </row>
    <row r="366" spans="1:13" ht="20.149999999999999" customHeight="1">
      <c r="A366" s="8"/>
      <c r="B366" s="52" t="str">
        <f>'Detail-Skeleton'!B825</f>
        <v>First Floor External Wall</v>
      </c>
      <c r="C366" s="43" t="str">
        <f>'Detail-Skeleton'!K845</f>
        <v>%Fs</v>
      </c>
      <c r="D366" s="44">
        <f>'Detail-Skeleton'!J845</f>
        <v>11.88</v>
      </c>
      <c r="E366" s="11"/>
      <c r="F366" s="149"/>
      <c r="G366" s="9"/>
      <c r="H366" s="383">
        <f>SUM(G368:G374)</f>
        <v>4581400</v>
      </c>
      <c r="I366" s="384"/>
      <c r="J366" s="394">
        <f>SUM(G373:G374)</f>
        <v>1306800</v>
      </c>
      <c r="K366" s="395"/>
      <c r="L366" s="409">
        <f>ROUND(H366/$H$519,5)</f>
        <v>3.04E-2</v>
      </c>
      <c r="M366" s="412">
        <f>ROUND(J366/$J$519,5)</f>
        <v>2.86E-2</v>
      </c>
    </row>
    <row r="367" spans="1:13" ht="20.149999999999999" customHeight="1">
      <c r="A367" s="8"/>
      <c r="B367" s="45" t="s">
        <v>26</v>
      </c>
      <c r="C367" s="41"/>
      <c r="D367" s="51"/>
      <c r="E367" s="11"/>
      <c r="F367" s="149"/>
      <c r="G367" s="9"/>
      <c r="H367" s="383"/>
      <c r="I367" s="384"/>
      <c r="J367" s="395"/>
      <c r="K367" s="395"/>
      <c r="L367" s="399"/>
      <c r="M367" s="413"/>
    </row>
    <row r="368" spans="1:13" ht="20.149999999999999" customHeight="1">
      <c r="A368" s="8"/>
      <c r="B368" s="246" t="s">
        <v>8</v>
      </c>
      <c r="C368" s="43" t="s">
        <v>9</v>
      </c>
      <c r="D368" s="44">
        <f>ROUNDDOWN(D366*297/112,0)</f>
        <v>31</v>
      </c>
      <c r="E368" s="11">
        <f>E525</f>
        <v>24000</v>
      </c>
      <c r="F368" s="373" t="str">
        <f>C368</f>
        <v>Bag</v>
      </c>
      <c r="G368" s="9">
        <f>D368*E368</f>
        <v>744000</v>
      </c>
      <c r="H368" s="383"/>
      <c r="I368" s="384"/>
      <c r="J368" s="395"/>
      <c r="K368" s="395"/>
      <c r="L368" s="399"/>
      <c r="M368" s="413"/>
    </row>
    <row r="369" spans="1:13" ht="20.149999999999999" customHeight="1">
      <c r="A369" s="8"/>
      <c r="B369" s="42" t="s">
        <v>31</v>
      </c>
      <c r="C369" s="43" t="s">
        <v>10</v>
      </c>
      <c r="D369" s="44">
        <f>(D366*10/100)</f>
        <v>1.19</v>
      </c>
      <c r="E369" s="11">
        <f>E526</f>
        <v>30000</v>
      </c>
      <c r="F369" s="373" t="str">
        <f>C369</f>
        <v>Sud</v>
      </c>
      <c r="G369" s="9">
        <f>D369*E369</f>
        <v>35700</v>
      </c>
      <c r="H369" s="383"/>
      <c r="I369" s="384"/>
      <c r="J369" s="395"/>
      <c r="K369" s="395"/>
      <c r="L369" s="399"/>
      <c r="M369" s="413"/>
    </row>
    <row r="370" spans="1:13" ht="20.149999999999999" customHeight="1">
      <c r="A370" s="8"/>
      <c r="B370" s="42" t="s">
        <v>11</v>
      </c>
      <c r="C370" s="43" t="s">
        <v>2</v>
      </c>
      <c r="D370" s="44">
        <f>ROUNDDOWN(D366*550,0)</f>
        <v>6534</v>
      </c>
      <c r="E370" s="11">
        <f>E527</f>
        <v>350</v>
      </c>
      <c r="F370" s="373" t="str">
        <f>C370</f>
        <v>No</v>
      </c>
      <c r="G370" s="9">
        <f>D370*E370</f>
        <v>2286900</v>
      </c>
      <c r="H370" s="383"/>
      <c r="I370" s="384"/>
      <c r="J370" s="395"/>
      <c r="K370" s="395"/>
      <c r="L370" s="399"/>
      <c r="M370" s="413"/>
    </row>
    <row r="371" spans="1:13" ht="20.149999999999999" customHeight="1">
      <c r="A371" s="8"/>
      <c r="B371" s="42" t="s">
        <v>86</v>
      </c>
      <c r="C371" s="43" t="s">
        <v>29</v>
      </c>
      <c r="D371" s="44">
        <f>ROUNDDOWN(D366*115,-2)</f>
        <v>1300</v>
      </c>
      <c r="E371" s="11">
        <f>E552</f>
        <v>160</v>
      </c>
      <c r="F371" s="373" t="str">
        <f>C371</f>
        <v>Fr</v>
      </c>
      <c r="G371" s="9">
        <f>D371*E371</f>
        <v>208000</v>
      </c>
      <c r="H371" s="383"/>
      <c r="I371" s="384"/>
      <c r="J371" s="395"/>
      <c r="K371" s="395"/>
      <c r="L371" s="399"/>
      <c r="M371" s="413"/>
    </row>
    <row r="372" spans="1:13" s="32" customFormat="1" ht="20.149999999999999" customHeight="1">
      <c r="A372" s="91"/>
      <c r="B372" s="91" t="s">
        <v>22</v>
      </c>
      <c r="C372" s="247"/>
      <c r="D372" s="248"/>
      <c r="E372" s="59"/>
      <c r="F372" s="374"/>
      <c r="G372" s="249"/>
      <c r="H372" s="390"/>
      <c r="I372" s="390"/>
      <c r="J372" s="396"/>
      <c r="K372" s="396"/>
      <c r="L372" s="400"/>
      <c r="M372" s="414"/>
    </row>
    <row r="373" spans="1:13" s="32" customFormat="1" ht="20.149999999999999" customHeight="1">
      <c r="A373" s="91"/>
      <c r="B373" s="143" t="s">
        <v>394</v>
      </c>
      <c r="C373" s="260" t="s">
        <v>2</v>
      </c>
      <c r="D373" s="261">
        <f>D366*2</f>
        <v>23.76</v>
      </c>
      <c r="E373" s="146">
        <f>E558</f>
        <v>25000</v>
      </c>
      <c r="F373" s="375" t="str">
        <f>C373</f>
        <v>No</v>
      </c>
      <c r="G373" s="9">
        <f>E373*D373</f>
        <v>594000</v>
      </c>
      <c r="H373" s="387"/>
      <c r="I373" s="390"/>
      <c r="J373" s="396"/>
      <c r="K373" s="396"/>
      <c r="L373" s="400"/>
      <c r="M373" s="414"/>
    </row>
    <row r="374" spans="1:13" s="32" customFormat="1" ht="20.149999999999999" customHeight="1">
      <c r="A374" s="91"/>
      <c r="B374" s="143" t="s">
        <v>390</v>
      </c>
      <c r="C374" s="140" t="s">
        <v>2</v>
      </c>
      <c r="D374" s="261">
        <f>D366*3</f>
        <v>35.64</v>
      </c>
      <c r="E374" s="146">
        <f>E560</f>
        <v>20000</v>
      </c>
      <c r="F374" s="347" t="str">
        <f>C374</f>
        <v>No</v>
      </c>
      <c r="G374" s="9">
        <f>E374*D374</f>
        <v>712800</v>
      </c>
      <c r="H374" s="385"/>
      <c r="I374" s="390"/>
      <c r="J374" s="396"/>
      <c r="K374" s="396"/>
      <c r="L374" s="400"/>
      <c r="M374" s="414"/>
    </row>
    <row r="375" spans="1:13" ht="20.149999999999999" customHeight="1">
      <c r="A375" s="8"/>
      <c r="B375" s="42"/>
      <c r="C375" s="43"/>
      <c r="D375" s="44"/>
      <c r="E375" s="11"/>
      <c r="F375" s="149"/>
      <c r="G375" s="9"/>
      <c r="H375" s="383"/>
      <c r="I375" s="384"/>
      <c r="J375" s="395"/>
      <c r="K375" s="395"/>
      <c r="L375" s="399"/>
      <c r="M375" s="413"/>
    </row>
    <row r="376" spans="1:13" ht="20.149999999999999" customHeight="1">
      <c r="A376" s="8"/>
      <c r="B376" s="52" t="str">
        <f>'Detail-Skeleton'!B848</f>
        <v>Ground Floor Internal Walling Work</v>
      </c>
      <c r="C376" s="43" t="str">
        <f>'Detail-Skeleton'!K869</f>
        <v>%Fs</v>
      </c>
      <c r="D376" s="44">
        <f>'Detail-Skeleton'!J869</f>
        <v>11.13</v>
      </c>
      <c r="E376" s="11"/>
      <c r="F376" s="149"/>
      <c r="G376" s="9"/>
      <c r="H376" s="383">
        <f>SUM(G378:G384)</f>
        <v>4287950</v>
      </c>
      <c r="I376" s="384"/>
      <c r="J376" s="394">
        <f>SUM(G383:G384)</f>
        <v>1224300</v>
      </c>
      <c r="K376" s="395"/>
      <c r="L376" s="409">
        <f>ROUND(H376/$H$519,5)</f>
        <v>2.8500000000000001E-2</v>
      </c>
      <c r="M376" s="412">
        <f>ROUND(J376/$J$519,5)</f>
        <v>2.6800000000000001E-2</v>
      </c>
    </row>
    <row r="377" spans="1:13" ht="20.149999999999999" customHeight="1">
      <c r="A377" s="8"/>
      <c r="B377" s="45" t="s">
        <v>26</v>
      </c>
      <c r="C377" s="41"/>
      <c r="D377" s="51"/>
      <c r="E377" s="11"/>
      <c r="F377" s="149"/>
      <c r="G377" s="9"/>
      <c r="H377" s="383"/>
      <c r="I377" s="384"/>
      <c r="J377" s="395"/>
      <c r="K377" s="395"/>
      <c r="L377" s="399"/>
      <c r="M377" s="413"/>
    </row>
    <row r="378" spans="1:13" ht="20.149999999999999" customHeight="1">
      <c r="A378" s="8"/>
      <c r="B378" s="246" t="s">
        <v>8</v>
      </c>
      <c r="C378" s="43" t="s">
        <v>9</v>
      </c>
      <c r="D378" s="44">
        <f>ROUNDDOWN(D376*297/112,0)</f>
        <v>29</v>
      </c>
      <c r="E378" s="11">
        <f>E525</f>
        <v>24000</v>
      </c>
      <c r="F378" s="373" t="str">
        <f>C378</f>
        <v>Bag</v>
      </c>
      <c r="G378" s="9">
        <f>D378*E378</f>
        <v>696000</v>
      </c>
      <c r="H378" s="383"/>
      <c r="I378" s="384"/>
      <c r="J378" s="395"/>
      <c r="K378" s="395"/>
      <c r="L378" s="399"/>
      <c r="M378" s="413"/>
    </row>
    <row r="379" spans="1:13" ht="20.149999999999999" customHeight="1">
      <c r="A379" s="8"/>
      <c r="B379" s="42" t="s">
        <v>31</v>
      </c>
      <c r="C379" s="43" t="s">
        <v>10</v>
      </c>
      <c r="D379" s="44">
        <f>(D376*10/100)</f>
        <v>1.1100000000000001</v>
      </c>
      <c r="E379" s="11">
        <f>E526</f>
        <v>30000</v>
      </c>
      <c r="F379" s="373" t="str">
        <f>C379</f>
        <v>Sud</v>
      </c>
      <c r="G379" s="9">
        <f>D379*E379</f>
        <v>33300</v>
      </c>
      <c r="H379" s="383"/>
      <c r="I379" s="384"/>
      <c r="J379" s="395"/>
      <c r="K379" s="395"/>
      <c r="L379" s="399"/>
      <c r="M379" s="413"/>
    </row>
    <row r="380" spans="1:13" ht="20.149999999999999" customHeight="1">
      <c r="A380" s="8"/>
      <c r="B380" s="42" t="s">
        <v>11</v>
      </c>
      <c r="C380" s="43" t="s">
        <v>2</v>
      </c>
      <c r="D380" s="44">
        <f>ROUNDDOWN(D376*550,0)</f>
        <v>6121</v>
      </c>
      <c r="E380" s="11">
        <f>E527</f>
        <v>350</v>
      </c>
      <c r="F380" s="373" t="str">
        <f>C380</f>
        <v>No</v>
      </c>
      <c r="G380" s="9">
        <f>D380*E380</f>
        <v>2142350</v>
      </c>
      <c r="H380" s="383"/>
      <c r="I380" s="384"/>
      <c r="J380" s="395"/>
      <c r="K380" s="395"/>
      <c r="L380" s="399"/>
      <c r="M380" s="413"/>
    </row>
    <row r="381" spans="1:13" ht="20.149999999999999" customHeight="1">
      <c r="A381" s="8"/>
      <c r="B381" s="42" t="s">
        <v>86</v>
      </c>
      <c r="C381" s="43" t="s">
        <v>29</v>
      </c>
      <c r="D381" s="44">
        <f>ROUNDDOWN(D376*115,-2)</f>
        <v>1200</v>
      </c>
      <c r="E381" s="11">
        <f>E552</f>
        <v>160</v>
      </c>
      <c r="F381" s="373" t="str">
        <f>C381</f>
        <v>Fr</v>
      </c>
      <c r="G381" s="9">
        <f>D381*E381</f>
        <v>192000</v>
      </c>
      <c r="H381" s="383"/>
      <c r="I381" s="384"/>
      <c r="J381" s="395"/>
      <c r="K381" s="395"/>
      <c r="L381" s="399"/>
      <c r="M381" s="413"/>
    </row>
    <row r="382" spans="1:13" s="32" customFormat="1" ht="20.149999999999999" customHeight="1">
      <c r="A382" s="91"/>
      <c r="B382" s="91" t="s">
        <v>22</v>
      </c>
      <c r="C382" s="247"/>
      <c r="D382" s="248"/>
      <c r="E382" s="59"/>
      <c r="F382" s="374"/>
      <c r="G382" s="249"/>
      <c r="H382" s="390"/>
      <c r="I382" s="390"/>
      <c r="J382" s="396"/>
      <c r="K382" s="396"/>
      <c r="L382" s="400"/>
      <c r="M382" s="414"/>
    </row>
    <row r="383" spans="1:13" s="32" customFormat="1" ht="20.149999999999999" customHeight="1">
      <c r="A383" s="91"/>
      <c r="B383" s="143" t="s">
        <v>394</v>
      </c>
      <c r="C383" s="260" t="s">
        <v>2</v>
      </c>
      <c r="D383" s="261">
        <f>D376*2</f>
        <v>22.26</v>
      </c>
      <c r="E383" s="146">
        <f>E558</f>
        <v>25000</v>
      </c>
      <c r="F383" s="375" t="str">
        <f>C383</f>
        <v>No</v>
      </c>
      <c r="G383" s="9">
        <f>E383*D383</f>
        <v>556500</v>
      </c>
      <c r="H383" s="387"/>
      <c r="I383" s="390"/>
      <c r="J383" s="396"/>
      <c r="K383" s="396"/>
      <c r="L383" s="400"/>
      <c r="M383" s="414"/>
    </row>
    <row r="384" spans="1:13" s="32" customFormat="1" ht="20.149999999999999" customHeight="1">
      <c r="A384" s="91"/>
      <c r="B384" s="143" t="s">
        <v>390</v>
      </c>
      <c r="C384" s="140" t="s">
        <v>2</v>
      </c>
      <c r="D384" s="261">
        <f>D376*3</f>
        <v>33.39</v>
      </c>
      <c r="E384" s="146">
        <f>E560</f>
        <v>20000</v>
      </c>
      <c r="F384" s="347" t="str">
        <f>C384</f>
        <v>No</v>
      </c>
      <c r="G384" s="9">
        <f>E384*D384</f>
        <v>667800</v>
      </c>
      <c r="H384" s="385"/>
      <c r="I384" s="390"/>
      <c r="J384" s="396"/>
      <c r="K384" s="396"/>
      <c r="L384" s="400"/>
      <c r="M384" s="414"/>
    </row>
    <row r="385" spans="1:13" ht="20.149999999999999" customHeight="1">
      <c r="A385" s="8"/>
      <c r="B385" s="42"/>
      <c r="C385" s="43"/>
      <c r="D385" s="44"/>
      <c r="E385" s="11"/>
      <c r="F385" s="149"/>
      <c r="G385" s="9"/>
      <c r="H385" s="383"/>
      <c r="I385" s="384"/>
      <c r="J385" s="395"/>
      <c r="K385" s="395"/>
      <c r="L385" s="399"/>
      <c r="M385" s="413"/>
    </row>
    <row r="386" spans="1:13" ht="20.149999999999999" customHeight="1">
      <c r="A386" s="8"/>
      <c r="B386" s="52" t="str">
        <f>'Detail-Skeleton'!B871</f>
        <v>First Floor Internal Wall</v>
      </c>
      <c r="C386" s="43" t="str">
        <f>'Detail-Skeleton'!K887</f>
        <v>%Fs</v>
      </c>
      <c r="D386" s="44">
        <f>'Detail-Skeleton'!J887</f>
        <v>8.34</v>
      </c>
      <c r="E386" s="11"/>
      <c r="F386" s="149"/>
      <c r="G386" s="9"/>
      <c r="H386" s="383">
        <f>SUM(G388:G394)</f>
        <v>3219750</v>
      </c>
      <c r="I386" s="384"/>
      <c r="J386" s="394">
        <f>SUM(G393:G394)</f>
        <v>917400</v>
      </c>
      <c r="K386" s="395"/>
      <c r="L386" s="409">
        <f>ROUND(H386/$H$519,5)</f>
        <v>2.1399999999999999E-2</v>
      </c>
      <c r="M386" s="412">
        <f>ROUND(J386/$J$519,5)</f>
        <v>2.01E-2</v>
      </c>
    </row>
    <row r="387" spans="1:13" ht="20.149999999999999" customHeight="1">
      <c r="A387" s="8"/>
      <c r="B387" s="45" t="s">
        <v>26</v>
      </c>
      <c r="C387" s="41"/>
      <c r="D387" s="51"/>
      <c r="E387" s="11"/>
      <c r="F387" s="149"/>
      <c r="G387" s="9"/>
      <c r="H387" s="383"/>
      <c r="I387" s="384"/>
      <c r="J387" s="395"/>
      <c r="K387" s="395"/>
      <c r="L387" s="399"/>
      <c r="M387" s="413"/>
    </row>
    <row r="388" spans="1:13" ht="20.149999999999999" customHeight="1">
      <c r="A388" s="8"/>
      <c r="B388" s="246" t="s">
        <v>8</v>
      </c>
      <c r="C388" s="43" t="s">
        <v>9</v>
      </c>
      <c r="D388" s="44">
        <f>ROUNDDOWN(D386*297/112,0)</f>
        <v>22</v>
      </c>
      <c r="E388" s="11">
        <f>E525</f>
        <v>24000</v>
      </c>
      <c r="F388" s="373" t="str">
        <f>C388</f>
        <v>Bag</v>
      </c>
      <c r="G388" s="9">
        <f>D388*E388</f>
        <v>528000</v>
      </c>
      <c r="H388" s="383"/>
      <c r="I388" s="384"/>
      <c r="J388" s="395"/>
      <c r="K388" s="395"/>
      <c r="L388" s="399"/>
      <c r="M388" s="413"/>
    </row>
    <row r="389" spans="1:13" ht="20.149999999999999" customHeight="1">
      <c r="A389" s="8"/>
      <c r="B389" s="42" t="s">
        <v>31</v>
      </c>
      <c r="C389" s="43" t="s">
        <v>10</v>
      </c>
      <c r="D389" s="44">
        <f>(D386*10/100)</f>
        <v>0.83</v>
      </c>
      <c r="E389" s="11">
        <f>E526</f>
        <v>30000</v>
      </c>
      <c r="F389" s="373" t="str">
        <f>C389</f>
        <v>Sud</v>
      </c>
      <c r="G389" s="9">
        <f>D389*E389</f>
        <v>24900</v>
      </c>
      <c r="H389" s="383"/>
      <c r="I389" s="384"/>
      <c r="J389" s="395"/>
      <c r="K389" s="395"/>
      <c r="L389" s="399"/>
      <c r="M389" s="413"/>
    </row>
    <row r="390" spans="1:13" ht="20.149999999999999" customHeight="1">
      <c r="A390" s="8"/>
      <c r="B390" s="42" t="s">
        <v>11</v>
      </c>
      <c r="C390" s="43" t="s">
        <v>2</v>
      </c>
      <c r="D390" s="44">
        <f>ROUNDDOWN(D386*550,0)</f>
        <v>4587</v>
      </c>
      <c r="E390" s="11">
        <f>E527</f>
        <v>350</v>
      </c>
      <c r="F390" s="373" t="str">
        <f>C390</f>
        <v>No</v>
      </c>
      <c r="G390" s="9">
        <f>D390*E390</f>
        <v>1605450</v>
      </c>
      <c r="H390" s="383"/>
      <c r="I390" s="384"/>
      <c r="J390" s="395"/>
      <c r="K390" s="395"/>
      <c r="L390" s="399"/>
      <c r="M390" s="413"/>
    </row>
    <row r="391" spans="1:13" ht="20.149999999999999" customHeight="1">
      <c r="A391" s="8"/>
      <c r="B391" s="42" t="s">
        <v>86</v>
      </c>
      <c r="C391" s="43" t="s">
        <v>29</v>
      </c>
      <c r="D391" s="44">
        <f>ROUNDDOWN(D386*115,-2)</f>
        <v>900</v>
      </c>
      <c r="E391" s="11">
        <f>E552</f>
        <v>160</v>
      </c>
      <c r="F391" s="373" t="str">
        <f>C391</f>
        <v>Fr</v>
      </c>
      <c r="G391" s="9">
        <f>D391*E391</f>
        <v>144000</v>
      </c>
      <c r="H391" s="383"/>
      <c r="I391" s="384"/>
      <c r="J391" s="395"/>
      <c r="K391" s="395"/>
      <c r="L391" s="399"/>
      <c r="M391" s="413"/>
    </row>
    <row r="392" spans="1:13" s="32" customFormat="1" ht="20.149999999999999" customHeight="1">
      <c r="A392" s="91"/>
      <c r="B392" s="91" t="s">
        <v>22</v>
      </c>
      <c r="C392" s="247"/>
      <c r="D392" s="248"/>
      <c r="E392" s="59"/>
      <c r="F392" s="374"/>
      <c r="G392" s="249"/>
      <c r="H392" s="390"/>
      <c r="I392" s="390"/>
      <c r="J392" s="396"/>
      <c r="K392" s="396"/>
      <c r="L392" s="400"/>
      <c r="M392" s="414"/>
    </row>
    <row r="393" spans="1:13" s="32" customFormat="1" ht="20.149999999999999" customHeight="1">
      <c r="A393" s="91"/>
      <c r="B393" s="143" t="s">
        <v>394</v>
      </c>
      <c r="C393" s="260" t="s">
        <v>2</v>
      </c>
      <c r="D393" s="261">
        <f>D386*2</f>
        <v>16.68</v>
      </c>
      <c r="E393" s="146">
        <f>E558</f>
        <v>25000</v>
      </c>
      <c r="F393" s="375" t="str">
        <f>C393</f>
        <v>No</v>
      </c>
      <c r="G393" s="9">
        <f>E393*D393</f>
        <v>417000</v>
      </c>
      <c r="H393" s="387"/>
      <c r="I393" s="390"/>
      <c r="J393" s="396"/>
      <c r="K393" s="396"/>
      <c r="L393" s="400"/>
      <c r="M393" s="414"/>
    </row>
    <row r="394" spans="1:13" s="32" customFormat="1" ht="20.149999999999999" customHeight="1">
      <c r="A394" s="91"/>
      <c r="B394" s="143" t="s">
        <v>390</v>
      </c>
      <c r="C394" s="140" t="s">
        <v>2</v>
      </c>
      <c r="D394" s="261">
        <f>D386*3</f>
        <v>25.02</v>
      </c>
      <c r="E394" s="146">
        <f>E560</f>
        <v>20000</v>
      </c>
      <c r="F394" s="347" t="str">
        <f>C394</f>
        <v>No</v>
      </c>
      <c r="G394" s="9">
        <f>E394*D394</f>
        <v>500400</v>
      </c>
      <c r="H394" s="385"/>
      <c r="I394" s="390"/>
      <c r="J394" s="396"/>
      <c r="K394" s="396"/>
      <c r="L394" s="400"/>
      <c r="M394" s="414"/>
    </row>
    <row r="395" spans="1:13" ht="20.149999999999999" customHeight="1">
      <c r="A395" s="8"/>
      <c r="B395" s="42"/>
      <c r="C395" s="43"/>
      <c r="D395" s="44"/>
      <c r="E395" s="11"/>
      <c r="F395" s="149"/>
      <c r="G395" s="9"/>
      <c r="H395" s="383"/>
      <c r="I395" s="384"/>
      <c r="J395" s="395"/>
      <c r="K395" s="395"/>
      <c r="L395" s="399"/>
      <c r="M395" s="413"/>
    </row>
    <row r="396" spans="1:13" ht="20.149999999999999" customHeight="1">
      <c r="A396" s="8">
        <f>'Detail-Skeleton'!A893</f>
        <v>13</v>
      </c>
      <c r="B396" s="52" t="str">
        <f>'Detail-Skeleton'!B893</f>
        <v>Lintel &amp; Stiffener Work</v>
      </c>
      <c r="C396" s="43"/>
      <c r="D396" s="44"/>
      <c r="E396" s="11"/>
      <c r="F396" s="149"/>
      <c r="G396" s="9"/>
      <c r="H396" s="383"/>
      <c r="I396" s="384"/>
      <c r="J396" s="395"/>
      <c r="K396" s="395"/>
      <c r="L396" s="399"/>
      <c r="M396" s="413"/>
    </row>
    <row r="397" spans="1:13" ht="20.149999999999999" customHeight="1">
      <c r="A397" s="8"/>
      <c r="B397" s="52" t="str">
        <f>'Detail-Skeleton'!B894</f>
        <v>( a ) (1:2:4) R.C Concrete Work</v>
      </c>
      <c r="C397" s="43" t="str">
        <f>'Detail-Skeleton'!K916</f>
        <v>%Fc</v>
      </c>
      <c r="D397" s="44">
        <f>'Detail-Skeleton'!J916</f>
        <v>1.59</v>
      </c>
      <c r="E397" s="11"/>
      <c r="F397" s="149"/>
      <c r="G397" s="9"/>
      <c r="H397" s="383">
        <f>SUM(G399:G406)</f>
        <v>1423200</v>
      </c>
      <c r="I397" s="384"/>
      <c r="J397" s="394">
        <f>SUM(G404:G406)</f>
        <v>481100</v>
      </c>
      <c r="K397" s="395"/>
      <c r="L397" s="409">
        <f>ROUND(H397/$H$519,5)</f>
        <v>9.4999999999999998E-3</v>
      </c>
      <c r="M397" s="412">
        <f>ROUND(J397/$J$519,5)</f>
        <v>1.0500000000000001E-2</v>
      </c>
    </row>
    <row r="398" spans="1:13" ht="21" customHeight="1">
      <c r="A398" s="8"/>
      <c r="B398" s="8" t="s">
        <v>26</v>
      </c>
      <c r="C398" s="8"/>
      <c r="D398" s="33"/>
      <c r="E398" s="11"/>
      <c r="F398" s="149"/>
      <c r="G398" s="9"/>
      <c r="H398" s="383"/>
      <c r="I398" s="384"/>
      <c r="J398" s="395"/>
      <c r="K398" s="395"/>
      <c r="L398" s="399"/>
      <c r="M398" s="413"/>
    </row>
    <row r="399" spans="1:13" ht="21" customHeight="1">
      <c r="A399" s="8"/>
      <c r="B399" s="243" t="s">
        <v>8</v>
      </c>
      <c r="C399" s="8" t="s">
        <v>9</v>
      </c>
      <c r="D399" s="33">
        <f>ROUNDDOWN(D397*2070/112,0)</f>
        <v>29</v>
      </c>
      <c r="E399" s="11">
        <f>E525</f>
        <v>24000</v>
      </c>
      <c r="F399" s="149" t="str">
        <f>C399</f>
        <v>Bag</v>
      </c>
      <c r="G399" s="9">
        <f>E399*D399</f>
        <v>696000</v>
      </c>
      <c r="H399" s="383"/>
      <c r="I399" s="384"/>
      <c r="J399" s="395"/>
      <c r="K399" s="395"/>
      <c r="L399" s="399"/>
      <c r="M399" s="413"/>
    </row>
    <row r="400" spans="1:13" ht="21" customHeight="1">
      <c r="A400" s="8"/>
      <c r="B400" s="10" t="s">
        <v>31</v>
      </c>
      <c r="C400" s="8" t="s">
        <v>10</v>
      </c>
      <c r="D400" s="33">
        <f>D397*0.46</f>
        <v>0.73</v>
      </c>
      <c r="E400" s="11">
        <f>E526</f>
        <v>30000</v>
      </c>
      <c r="F400" s="149" t="str">
        <f>C400</f>
        <v>Sud</v>
      </c>
      <c r="G400" s="9">
        <f>E400*D400</f>
        <v>21900</v>
      </c>
      <c r="H400" s="383"/>
      <c r="I400" s="384"/>
      <c r="J400" s="395"/>
      <c r="K400" s="395"/>
      <c r="L400" s="399"/>
      <c r="M400" s="413"/>
    </row>
    <row r="401" spans="1:13" ht="21" customHeight="1">
      <c r="A401" s="8"/>
      <c r="B401" s="10" t="s">
        <v>95</v>
      </c>
      <c r="C401" s="8" t="s">
        <v>10</v>
      </c>
      <c r="D401" s="33">
        <f>D397*0.92</f>
        <v>1.46</v>
      </c>
      <c r="E401" s="11">
        <f>E528</f>
        <v>110000</v>
      </c>
      <c r="F401" s="149" t="str">
        <f>C401</f>
        <v>Sud</v>
      </c>
      <c r="G401" s="9">
        <f>E401*D401</f>
        <v>160600</v>
      </c>
      <c r="H401" s="383"/>
      <c r="I401" s="384"/>
      <c r="J401" s="395"/>
      <c r="K401" s="395"/>
      <c r="L401" s="399"/>
      <c r="M401" s="413"/>
    </row>
    <row r="402" spans="1:13" ht="21" customHeight="1">
      <c r="A402" s="8"/>
      <c r="B402" s="10" t="s">
        <v>34</v>
      </c>
      <c r="C402" s="8" t="s">
        <v>28</v>
      </c>
      <c r="D402" s="33">
        <f>D397*2</f>
        <v>3.18</v>
      </c>
      <c r="E402" s="11">
        <f>E530</f>
        <v>20000</v>
      </c>
      <c r="F402" s="149" t="str">
        <f>C402</f>
        <v>Gal</v>
      </c>
      <c r="G402" s="9">
        <f>E402*D402</f>
        <v>63600</v>
      </c>
      <c r="H402" s="383"/>
      <c r="I402" s="384"/>
      <c r="J402" s="395"/>
      <c r="K402" s="395"/>
      <c r="L402" s="399"/>
      <c r="M402" s="413"/>
    </row>
    <row r="403" spans="1:13" s="32" customFormat="1" ht="19.5" customHeight="1">
      <c r="A403" s="91"/>
      <c r="B403" s="91" t="s">
        <v>22</v>
      </c>
      <c r="C403" s="91"/>
      <c r="D403" s="95"/>
      <c r="E403" s="59"/>
      <c r="F403" s="370"/>
      <c r="G403" s="244"/>
      <c r="H403" s="389"/>
      <c r="I403" s="390"/>
      <c r="J403" s="396"/>
      <c r="K403" s="396"/>
      <c r="L403" s="400"/>
      <c r="M403" s="414"/>
    </row>
    <row r="404" spans="1:13" s="32" customFormat="1" ht="19.5" customHeight="1">
      <c r="A404" s="91"/>
      <c r="B404" s="143" t="s">
        <v>394</v>
      </c>
      <c r="C404" s="145" t="s">
        <v>2</v>
      </c>
      <c r="D404" s="259">
        <f>D397*2</f>
        <v>3.18</v>
      </c>
      <c r="E404" s="146">
        <f>E558</f>
        <v>25000</v>
      </c>
      <c r="F404" s="345" t="str">
        <f>C404</f>
        <v>No</v>
      </c>
      <c r="G404" s="9">
        <f>E404*D404</f>
        <v>79500</v>
      </c>
      <c r="H404" s="387"/>
      <c r="I404" s="390"/>
      <c r="J404" s="396"/>
      <c r="K404" s="396"/>
      <c r="L404" s="400"/>
      <c r="M404" s="414"/>
    </row>
    <row r="405" spans="1:13" s="32" customFormat="1" ht="19.5" customHeight="1">
      <c r="A405" s="91"/>
      <c r="B405" s="143" t="s">
        <v>395</v>
      </c>
      <c r="C405" s="140" t="s">
        <v>2</v>
      </c>
      <c r="D405" s="267">
        <f>D397*0.5</f>
        <v>0.8</v>
      </c>
      <c r="E405" s="146">
        <f>E561</f>
        <v>25000</v>
      </c>
      <c r="F405" s="346" t="str">
        <f>C405</f>
        <v>No</v>
      </c>
      <c r="G405" s="9">
        <f>E405*D405</f>
        <v>20000</v>
      </c>
      <c r="H405" s="387"/>
      <c r="I405" s="390"/>
      <c r="J405" s="396"/>
      <c r="K405" s="396"/>
      <c r="L405" s="400"/>
      <c r="M405" s="414"/>
    </row>
    <row r="406" spans="1:13" s="32" customFormat="1" ht="19.5" customHeight="1">
      <c r="A406" s="91"/>
      <c r="B406" s="143" t="s">
        <v>390</v>
      </c>
      <c r="C406" s="140" t="s">
        <v>2</v>
      </c>
      <c r="D406" s="259">
        <f>D397*12</f>
        <v>19.079999999999998</v>
      </c>
      <c r="E406" s="146">
        <f>E560</f>
        <v>20000</v>
      </c>
      <c r="F406" s="347" t="str">
        <f>C406</f>
        <v>No</v>
      </c>
      <c r="G406" s="9">
        <f>E406*D406</f>
        <v>381600</v>
      </c>
      <c r="H406" s="385"/>
      <c r="I406" s="390"/>
      <c r="J406" s="396"/>
      <c r="K406" s="396"/>
      <c r="L406" s="400"/>
      <c r="M406" s="414"/>
    </row>
    <row r="407" spans="1:13" ht="20.149999999999999" customHeight="1">
      <c r="A407" s="8"/>
      <c r="B407" s="42"/>
      <c r="C407" s="43"/>
      <c r="D407" s="44"/>
      <c r="E407" s="11"/>
      <c r="F407" s="149"/>
      <c r="G407" s="9"/>
      <c r="H407" s="383"/>
      <c r="I407" s="384"/>
      <c r="J407" s="395"/>
      <c r="K407" s="395"/>
      <c r="L407" s="399"/>
      <c r="M407" s="413"/>
    </row>
    <row r="408" spans="1:13" ht="20.149999999999999" customHeight="1">
      <c r="A408" s="8"/>
      <c r="B408" s="52" t="str">
        <f>'Detail-Skeleton'!B917</f>
        <v>( b ) Formwork</v>
      </c>
      <c r="C408" s="43" t="str">
        <f>'Detail-Skeleton'!K939</f>
        <v>%Fs</v>
      </c>
      <c r="D408" s="44">
        <f>'Detail-Skeleton'!J939</f>
        <v>8.3800000000000008</v>
      </c>
      <c r="E408" s="11"/>
      <c r="F408" s="149"/>
      <c r="G408" s="9"/>
      <c r="H408" s="383">
        <f>SUM(G410:G415)</f>
        <v>4816850</v>
      </c>
      <c r="I408" s="384"/>
      <c r="J408" s="394">
        <f>SUM(G414:G415)</f>
        <v>1173200</v>
      </c>
      <c r="K408" s="395"/>
      <c r="L408" s="409">
        <f>ROUND(H408/$H$519,5)</f>
        <v>3.2000000000000001E-2</v>
      </c>
      <c r="M408" s="412">
        <f>ROUND(J408/$J$519,5)</f>
        <v>2.5600000000000001E-2</v>
      </c>
    </row>
    <row r="409" spans="1:13" ht="21" customHeight="1">
      <c r="A409" s="8"/>
      <c r="B409" s="8" t="s">
        <v>26</v>
      </c>
      <c r="C409" s="8"/>
      <c r="D409" s="33"/>
      <c r="E409" s="11"/>
      <c r="F409" s="149"/>
      <c r="G409" s="9"/>
      <c r="H409" s="383"/>
      <c r="I409" s="384"/>
      <c r="J409" s="395"/>
      <c r="K409" s="395"/>
      <c r="L409" s="399"/>
      <c r="M409" s="413"/>
    </row>
    <row r="410" spans="1:13" ht="21" customHeight="1">
      <c r="A410" s="8"/>
      <c r="B410" s="10" t="s">
        <v>53</v>
      </c>
      <c r="C410" s="8" t="s">
        <v>14</v>
      </c>
      <c r="D410" s="33">
        <f>D408*20/50/2</f>
        <v>1.68</v>
      </c>
      <c r="E410" s="11">
        <f>E532</f>
        <v>1500000</v>
      </c>
      <c r="F410" s="149" t="str">
        <f>C410</f>
        <v>Ton</v>
      </c>
      <c r="G410" s="9">
        <f>E410*D410</f>
        <v>2520000</v>
      </c>
      <c r="H410" s="383"/>
      <c r="I410" s="384"/>
      <c r="J410" s="395"/>
      <c r="K410" s="395"/>
      <c r="L410" s="399"/>
      <c r="M410" s="413"/>
    </row>
    <row r="411" spans="1:13" ht="21" customHeight="1">
      <c r="A411" s="8"/>
      <c r="B411" s="10" t="s">
        <v>62</v>
      </c>
      <c r="C411" s="245" t="s">
        <v>13</v>
      </c>
      <c r="D411" s="33">
        <f>D408/0.32/2*1.15</f>
        <v>15.06</v>
      </c>
      <c r="E411" s="11">
        <f>E531</f>
        <v>70000</v>
      </c>
      <c r="F411" s="149" t="str">
        <f>C411</f>
        <v>Sht</v>
      </c>
      <c r="G411" s="9">
        <f>E411*D411</f>
        <v>1054200</v>
      </c>
      <c r="H411" s="383"/>
      <c r="I411" s="384"/>
      <c r="J411" s="395"/>
      <c r="K411" s="395"/>
      <c r="L411" s="399"/>
      <c r="M411" s="413"/>
    </row>
    <row r="412" spans="1:13" ht="21" customHeight="1">
      <c r="A412" s="8"/>
      <c r="B412" s="10" t="s">
        <v>35</v>
      </c>
      <c r="C412" s="8" t="s">
        <v>15</v>
      </c>
      <c r="D412" s="33">
        <f>ROUNDDOWN(D408*3,0)</f>
        <v>25</v>
      </c>
      <c r="E412" s="11">
        <f>E533</f>
        <v>2778</v>
      </c>
      <c r="F412" s="149" t="str">
        <f>C412</f>
        <v>Lb</v>
      </c>
      <c r="G412" s="9">
        <f>E412*D412</f>
        <v>69450</v>
      </c>
      <c r="H412" s="383"/>
      <c r="I412" s="384"/>
      <c r="J412" s="395"/>
      <c r="K412" s="395"/>
      <c r="L412" s="399"/>
      <c r="M412" s="413"/>
    </row>
    <row r="413" spans="1:13" s="32" customFormat="1" ht="19.5" customHeight="1">
      <c r="A413" s="91"/>
      <c r="B413" s="91" t="s">
        <v>22</v>
      </c>
      <c r="C413" s="91"/>
      <c r="D413" s="95"/>
      <c r="E413" s="59"/>
      <c r="F413" s="370"/>
      <c r="G413" s="244"/>
      <c r="H413" s="389"/>
      <c r="I413" s="390"/>
      <c r="J413" s="396"/>
      <c r="K413" s="396"/>
      <c r="L413" s="400"/>
      <c r="M413" s="414"/>
    </row>
    <row r="414" spans="1:13" s="32" customFormat="1" ht="19.5" customHeight="1">
      <c r="A414" s="91"/>
      <c r="B414" s="143" t="s">
        <v>391</v>
      </c>
      <c r="C414" s="140" t="s">
        <v>2</v>
      </c>
      <c r="D414" s="259">
        <f>D408*4</f>
        <v>33.520000000000003</v>
      </c>
      <c r="E414" s="146">
        <f>E557</f>
        <v>25000</v>
      </c>
      <c r="F414" s="347" t="str">
        <f>C414</f>
        <v>No</v>
      </c>
      <c r="G414" s="9">
        <f>E414*D414</f>
        <v>838000</v>
      </c>
      <c r="H414" s="386"/>
      <c r="I414" s="390"/>
      <c r="J414" s="396"/>
      <c r="K414" s="396"/>
      <c r="L414" s="400"/>
      <c r="M414" s="414"/>
    </row>
    <row r="415" spans="1:13" s="32" customFormat="1" ht="19.5" customHeight="1">
      <c r="A415" s="91"/>
      <c r="B415" s="143" t="s">
        <v>390</v>
      </c>
      <c r="C415" s="140" t="s">
        <v>2</v>
      </c>
      <c r="D415" s="259">
        <f>D408*2</f>
        <v>16.760000000000002</v>
      </c>
      <c r="E415" s="146">
        <f>E560</f>
        <v>20000</v>
      </c>
      <c r="F415" s="347" t="str">
        <f>C415</f>
        <v>No</v>
      </c>
      <c r="G415" s="9">
        <f>E415*D415</f>
        <v>335200</v>
      </c>
      <c r="H415" s="385"/>
      <c r="I415" s="390"/>
      <c r="J415" s="396"/>
      <c r="K415" s="396"/>
      <c r="L415" s="400"/>
      <c r="M415" s="414"/>
    </row>
    <row r="416" spans="1:13" ht="20.149999999999999" customHeight="1">
      <c r="A416" s="8"/>
      <c r="B416" s="42"/>
      <c r="C416" s="43"/>
      <c r="D416" s="44"/>
      <c r="E416" s="11"/>
      <c r="F416" s="149"/>
      <c r="G416" s="9"/>
      <c r="H416" s="383"/>
      <c r="I416" s="384"/>
      <c r="J416" s="395"/>
      <c r="K416" s="395"/>
      <c r="L416" s="399"/>
      <c r="M416" s="413"/>
    </row>
    <row r="417" spans="1:13" ht="20.149999999999999" customHeight="1">
      <c r="A417" s="8"/>
      <c r="B417" s="52" t="str">
        <f>'Detail-Skeleton'!B941</f>
        <v>( c ) Re Bar Work</v>
      </c>
      <c r="C417" s="43" t="s">
        <v>14</v>
      </c>
      <c r="D417" s="44">
        <f>D418+D419</f>
        <v>0.63</v>
      </c>
      <c r="E417" s="11"/>
      <c r="F417" s="149"/>
      <c r="G417" s="9"/>
      <c r="H417" s="383">
        <f>SUM(G421:G426)</f>
        <v>2776495.8</v>
      </c>
      <c r="I417" s="384"/>
      <c r="J417" s="394">
        <f>SUM(G425:G426)</f>
        <v>850500</v>
      </c>
      <c r="K417" s="395"/>
      <c r="L417" s="409">
        <f>ROUND(H417/$H$519,5)</f>
        <v>1.84E-2</v>
      </c>
      <c r="M417" s="412">
        <f>ROUND(J417/$J$519,5)</f>
        <v>1.8599999999999998E-2</v>
      </c>
    </row>
    <row r="418" spans="1:13" ht="20.149999999999999" customHeight="1">
      <c r="A418" s="8"/>
      <c r="B418" s="61" t="str">
        <f>'Detail-Skeleton'!H999</f>
        <v>10mm Ø</v>
      </c>
      <c r="C418" s="43" t="s">
        <v>14</v>
      </c>
      <c r="D418" s="44">
        <f>'Detail-Skeleton'!H1000</f>
        <v>0.46</v>
      </c>
      <c r="E418" s="11"/>
      <c r="F418" s="149"/>
      <c r="G418" s="9"/>
      <c r="H418" s="383"/>
      <c r="I418" s="384"/>
      <c r="J418" s="395"/>
      <c r="K418" s="395"/>
      <c r="L418" s="399"/>
      <c r="M418" s="413"/>
    </row>
    <row r="419" spans="1:13" ht="20.149999999999999" customHeight="1">
      <c r="A419" s="8"/>
      <c r="B419" s="61" t="str">
        <f>'Detail-Skeleton'!I999</f>
        <v>6.5mmØ</v>
      </c>
      <c r="C419" s="43" t="s">
        <v>14</v>
      </c>
      <c r="D419" s="44">
        <f>'Detail-Skeleton'!I1000</f>
        <v>0.17</v>
      </c>
      <c r="E419" s="11"/>
      <c r="F419" s="149"/>
      <c r="G419" s="9"/>
      <c r="H419" s="383"/>
      <c r="I419" s="384"/>
      <c r="J419" s="395"/>
      <c r="K419" s="395"/>
      <c r="L419" s="399"/>
      <c r="M419" s="413"/>
    </row>
    <row r="420" spans="1:13" ht="20.149999999999999" customHeight="1">
      <c r="A420" s="8"/>
      <c r="B420" s="45" t="s">
        <v>26</v>
      </c>
      <c r="C420" s="43"/>
      <c r="D420" s="44"/>
      <c r="E420" s="11"/>
      <c r="F420" s="149"/>
      <c r="G420" s="9"/>
      <c r="H420" s="383"/>
      <c r="I420" s="384"/>
      <c r="J420" s="395"/>
      <c r="K420" s="395"/>
      <c r="L420" s="399"/>
      <c r="M420" s="413"/>
    </row>
    <row r="421" spans="1:13" ht="20.149999999999999" customHeight="1">
      <c r="A421" s="8"/>
      <c r="B421" s="243" t="s">
        <v>669</v>
      </c>
      <c r="C421" s="273" t="s">
        <v>14</v>
      </c>
      <c r="D421" s="274">
        <f>D418*1.05</f>
        <v>0.48</v>
      </c>
      <c r="E421" s="270">
        <f>E536</f>
        <v>2500000</v>
      </c>
      <c r="F421" s="376" t="str">
        <f>C421</f>
        <v>Ton</v>
      </c>
      <c r="G421" s="271">
        <f>D421*E421</f>
        <v>1200000</v>
      </c>
      <c r="H421" s="383"/>
      <c r="I421" s="384"/>
      <c r="J421" s="395"/>
      <c r="K421" s="395"/>
      <c r="L421" s="399"/>
      <c r="M421" s="413"/>
    </row>
    <row r="422" spans="1:13" ht="20.149999999999999" customHeight="1">
      <c r="A422" s="8"/>
      <c r="B422" s="246" t="s">
        <v>404</v>
      </c>
      <c r="C422" s="273" t="s">
        <v>14</v>
      </c>
      <c r="D422" s="274">
        <f>D419*1.05</f>
        <v>0.18</v>
      </c>
      <c r="E422" s="270">
        <f>E535</f>
        <v>3800000</v>
      </c>
      <c r="F422" s="376" t="str">
        <f>C422</f>
        <v>Ton</v>
      </c>
      <c r="G422" s="271">
        <f>D422*E422</f>
        <v>684000</v>
      </c>
      <c r="H422" s="383"/>
      <c r="I422" s="384"/>
      <c r="J422" s="395"/>
      <c r="K422" s="395"/>
      <c r="L422" s="399"/>
      <c r="M422" s="413"/>
    </row>
    <row r="423" spans="1:13" ht="20.149999999999999" customHeight="1">
      <c r="A423" s="8"/>
      <c r="B423" s="42" t="s">
        <v>32</v>
      </c>
      <c r="C423" s="43" t="s">
        <v>15</v>
      </c>
      <c r="D423" s="44">
        <f>D417*20</f>
        <v>12.6</v>
      </c>
      <c r="E423" s="11">
        <f>E540</f>
        <v>3333</v>
      </c>
      <c r="F423" s="373" t="str">
        <f>C423</f>
        <v>Lb</v>
      </c>
      <c r="G423" s="9">
        <f>D423*E423</f>
        <v>41995.8</v>
      </c>
      <c r="H423" s="383"/>
      <c r="I423" s="384"/>
      <c r="J423" s="395"/>
      <c r="K423" s="395"/>
      <c r="L423" s="399"/>
      <c r="M423" s="413"/>
    </row>
    <row r="424" spans="1:13" ht="19" customHeight="1">
      <c r="A424" s="8"/>
      <c r="B424" s="8" t="s">
        <v>22</v>
      </c>
      <c r="C424" s="8"/>
      <c r="D424" s="33"/>
      <c r="E424" s="11"/>
      <c r="F424" s="149"/>
      <c r="G424" s="9"/>
      <c r="H424" s="383"/>
      <c r="I424" s="384"/>
      <c r="J424" s="395"/>
      <c r="K424" s="395"/>
      <c r="L424" s="399"/>
      <c r="M424" s="413"/>
    </row>
    <row r="425" spans="1:13" ht="19" customHeight="1">
      <c r="A425" s="8"/>
      <c r="B425" s="143" t="s">
        <v>396</v>
      </c>
      <c r="C425" s="140" t="s">
        <v>2</v>
      </c>
      <c r="D425" s="259">
        <f>D418*20*1.5+D419*20*1.5</f>
        <v>18.899999999999999</v>
      </c>
      <c r="E425" s="142">
        <f>E559</f>
        <v>25000</v>
      </c>
      <c r="F425" s="346" t="str">
        <f>C425</f>
        <v>No</v>
      </c>
      <c r="G425" s="9">
        <f>E425*D425</f>
        <v>472500</v>
      </c>
      <c r="H425" s="383"/>
      <c r="I425" s="384"/>
      <c r="J425" s="395"/>
      <c r="K425" s="395"/>
      <c r="L425" s="399"/>
      <c r="M425" s="413"/>
    </row>
    <row r="426" spans="1:13" ht="19" customHeight="1">
      <c r="A426" s="8"/>
      <c r="B426" s="143" t="s">
        <v>390</v>
      </c>
      <c r="C426" s="140" t="s">
        <v>2</v>
      </c>
      <c r="D426" s="259">
        <f>D425</f>
        <v>18.899999999999999</v>
      </c>
      <c r="E426" s="142">
        <f>E560</f>
        <v>20000</v>
      </c>
      <c r="F426" s="347" t="str">
        <f>C426</f>
        <v>No</v>
      </c>
      <c r="G426" s="9">
        <f>E426*D426</f>
        <v>378000</v>
      </c>
      <c r="H426" s="385"/>
      <c r="I426" s="384"/>
      <c r="J426" s="395"/>
      <c r="K426" s="395"/>
      <c r="L426" s="399"/>
      <c r="M426" s="413"/>
    </row>
    <row r="427" spans="1:13" ht="20.149999999999999" customHeight="1">
      <c r="A427" s="8"/>
      <c r="B427" s="42"/>
      <c r="C427" s="43"/>
      <c r="D427" s="44"/>
      <c r="E427" s="11"/>
      <c r="F427" s="149"/>
      <c r="G427" s="9"/>
      <c r="H427" s="383"/>
      <c r="I427" s="384"/>
      <c r="J427" s="395"/>
      <c r="K427" s="395"/>
      <c r="L427" s="399"/>
      <c r="M427" s="413"/>
    </row>
    <row r="428" spans="1:13" ht="20.149999999999999" customHeight="1">
      <c r="A428" s="8">
        <f>'Detail-Skeleton'!A1002</f>
        <v>14</v>
      </c>
      <c r="B428" s="52" t="str">
        <f>'Detail-Skeleton'!B1002</f>
        <v>Hard Wood Chowket Work</v>
      </c>
      <c r="C428" s="43" t="str">
        <f>'Detail-Skeleton'!K1009</f>
        <v>Ft</v>
      </c>
      <c r="D428" s="44">
        <f>D429+D430</f>
        <v>247.92</v>
      </c>
      <c r="E428" s="11"/>
      <c r="F428" s="149"/>
      <c r="G428" s="9"/>
      <c r="H428" s="383">
        <f>SUM(G434:G442)</f>
        <v>3512628.48</v>
      </c>
      <c r="I428" s="384">
        <f>H428/D428</f>
        <v>14168.3949661181</v>
      </c>
      <c r="J428" s="394">
        <f>SUM(G441:G442)</f>
        <v>386400</v>
      </c>
      <c r="K428" s="395"/>
      <c r="L428" s="409">
        <f>ROUND(H428/$H$519,5)</f>
        <v>2.3300000000000001E-2</v>
      </c>
      <c r="M428" s="412">
        <f>ROUND(J428/$J$519,5)</f>
        <v>8.3999999999999995E-3</v>
      </c>
    </row>
    <row r="429" spans="1:13" ht="20.149999999999999" customHeight="1">
      <c r="A429" s="8"/>
      <c r="B429" s="52" t="str">
        <f>'Detail-Skeleton'!B1003</f>
        <v>5"x3" Chowket</v>
      </c>
      <c r="C429" s="43" t="s">
        <v>82</v>
      </c>
      <c r="D429" s="44">
        <f>'Detail-Skeleton'!J1005</f>
        <v>20.84</v>
      </c>
      <c r="E429" s="11"/>
      <c r="F429" s="149"/>
      <c r="G429" s="9"/>
      <c r="H429" s="383"/>
      <c r="I429" s="384"/>
      <c r="J429" s="394"/>
      <c r="K429" s="395"/>
      <c r="L429" s="409"/>
      <c r="M429" s="412"/>
    </row>
    <row r="430" spans="1:13" ht="20.149999999999999" customHeight="1">
      <c r="A430" s="8"/>
      <c r="B430" s="52" t="str">
        <f>'Detail-Skeleton'!B1006</f>
        <v>5"x2" Chowket</v>
      </c>
      <c r="C430" s="43" t="s">
        <v>82</v>
      </c>
      <c r="D430" s="44">
        <f>'Detail-Skeleton'!J1009</f>
        <v>227.08</v>
      </c>
      <c r="E430" s="11"/>
      <c r="F430" s="149"/>
      <c r="G430" s="9"/>
      <c r="H430" s="383"/>
      <c r="I430" s="384"/>
      <c r="J430" s="394"/>
      <c r="K430" s="395"/>
      <c r="L430" s="409"/>
      <c r="M430" s="412"/>
    </row>
    <row r="431" spans="1:13" ht="20.149999999999999" customHeight="1">
      <c r="A431" s="8"/>
      <c r="B431" s="42" t="s">
        <v>672</v>
      </c>
      <c r="C431" s="43" t="str">
        <f>'Detail-Skeleton'!J1011</f>
        <v>Ft</v>
      </c>
      <c r="D431" s="44">
        <f>'Detail-Skeleton'!I1011</f>
        <v>228.75</v>
      </c>
      <c r="E431" s="11"/>
      <c r="F431" s="149"/>
      <c r="G431" s="9"/>
      <c r="H431" s="383"/>
      <c r="I431" s="384"/>
      <c r="J431" s="395"/>
      <c r="K431" s="395"/>
      <c r="L431" s="399"/>
      <c r="M431" s="413"/>
    </row>
    <row r="432" spans="1:13" ht="20.149999999999999" customHeight="1">
      <c r="A432" s="8"/>
      <c r="B432" s="52" t="s">
        <v>673</v>
      </c>
      <c r="C432" s="43" t="str">
        <f>'Detail-Skeleton'!K1012</f>
        <v>%Fs</v>
      </c>
      <c r="D432" s="44">
        <f>'Detail-Skeleton'!J1012</f>
        <v>0.96</v>
      </c>
      <c r="E432" s="11"/>
      <c r="F432" s="149"/>
      <c r="G432" s="9"/>
      <c r="H432" s="383"/>
      <c r="I432" s="384"/>
      <c r="J432" s="395"/>
      <c r="K432" s="395"/>
      <c r="L432" s="399"/>
      <c r="M432" s="413"/>
    </row>
    <row r="433" spans="1:13" ht="20.149999999999999" customHeight="1">
      <c r="A433" s="8"/>
      <c r="B433" s="45" t="s">
        <v>26</v>
      </c>
      <c r="C433" s="43"/>
      <c r="D433" s="44"/>
      <c r="E433" s="11"/>
      <c r="F433" s="149"/>
      <c r="G433" s="9"/>
      <c r="H433" s="383"/>
      <c r="I433" s="384"/>
      <c r="J433" s="395"/>
      <c r="K433" s="395"/>
      <c r="L433" s="399"/>
      <c r="M433" s="413"/>
    </row>
    <row r="434" spans="1:13" ht="20.149999999999999" customHeight="1">
      <c r="A434" s="8"/>
      <c r="B434" s="42" t="s">
        <v>715</v>
      </c>
      <c r="C434" s="43" t="s">
        <v>82</v>
      </c>
      <c r="D434" s="44">
        <f>D429</f>
        <v>20.84</v>
      </c>
      <c r="E434" s="11">
        <f>E548</f>
        <v>15000</v>
      </c>
      <c r="F434" s="368" t="str">
        <f>C434</f>
        <v>Ft</v>
      </c>
      <c r="G434" s="9">
        <f t="shared" ref="G434:G439" si="0">D434*E434</f>
        <v>312600</v>
      </c>
      <c r="H434" s="383"/>
      <c r="I434" s="384"/>
      <c r="J434" s="395"/>
      <c r="K434" s="395"/>
      <c r="L434" s="399"/>
      <c r="M434" s="413"/>
    </row>
    <row r="435" spans="1:13" ht="20.149999999999999" customHeight="1">
      <c r="A435" s="8"/>
      <c r="B435" s="42" t="s">
        <v>638</v>
      </c>
      <c r="C435" s="57" t="s">
        <v>82</v>
      </c>
      <c r="D435" s="51">
        <f>D430</f>
        <v>227.08</v>
      </c>
      <c r="E435" s="11">
        <f>E549</f>
        <v>12000</v>
      </c>
      <c r="F435" s="368" t="str">
        <f>C435</f>
        <v>Ft</v>
      </c>
      <c r="G435" s="9">
        <f t="shared" si="0"/>
        <v>2724960</v>
      </c>
      <c r="H435" s="383"/>
      <c r="I435" s="384"/>
      <c r="J435" s="395"/>
      <c r="K435" s="397"/>
      <c r="L435" s="399"/>
      <c r="M435" s="413"/>
    </row>
    <row r="436" spans="1:13" ht="20.149999999999999" customHeight="1">
      <c r="A436" s="8"/>
      <c r="B436" s="42" t="s">
        <v>88</v>
      </c>
      <c r="C436" s="57" t="s">
        <v>28</v>
      </c>
      <c r="D436" s="51">
        <f>D432*1.25</f>
        <v>1.2</v>
      </c>
      <c r="E436" s="11">
        <f>E550</f>
        <v>10000</v>
      </c>
      <c r="F436" s="368" t="str">
        <f>C436</f>
        <v>Gal</v>
      </c>
      <c r="G436" s="9">
        <f t="shared" si="0"/>
        <v>12000</v>
      </c>
      <c r="H436" s="383"/>
      <c r="I436" s="384"/>
      <c r="J436" s="395"/>
      <c r="K436" s="397"/>
      <c r="L436" s="399"/>
      <c r="M436" s="413"/>
    </row>
    <row r="437" spans="1:13" ht="20.149999999999999" customHeight="1">
      <c r="A437" s="8"/>
      <c r="B437" s="42" t="s">
        <v>35</v>
      </c>
      <c r="C437" s="57" t="s">
        <v>15</v>
      </c>
      <c r="D437" s="51">
        <f>D428/100*2</f>
        <v>4.96</v>
      </c>
      <c r="E437" s="11">
        <f>E533</f>
        <v>2778</v>
      </c>
      <c r="F437" s="368" t="str">
        <f t="shared" ref="F437:F442" si="1">C437</f>
        <v>Lb</v>
      </c>
      <c r="G437" s="9">
        <f t="shared" si="0"/>
        <v>13778.88</v>
      </c>
      <c r="H437" s="383"/>
      <c r="I437" s="384"/>
      <c r="J437" s="395"/>
      <c r="K437" s="397"/>
      <c r="L437" s="399"/>
      <c r="M437" s="413"/>
    </row>
    <row r="438" spans="1:13" ht="20.149999999999999" customHeight="1">
      <c r="A438" s="8"/>
      <c r="B438" s="42" t="s">
        <v>86</v>
      </c>
      <c r="C438" s="57" t="s">
        <v>29</v>
      </c>
      <c r="D438" s="51">
        <f>D431*1.15</f>
        <v>263.06</v>
      </c>
      <c r="E438" s="11">
        <f>E552</f>
        <v>160</v>
      </c>
      <c r="F438" s="368" t="str">
        <f t="shared" si="1"/>
        <v>Fr</v>
      </c>
      <c r="G438" s="9">
        <f t="shared" si="0"/>
        <v>42089.599999999999</v>
      </c>
      <c r="H438" s="383"/>
      <c r="I438" s="384"/>
      <c r="J438" s="395"/>
      <c r="K438" s="397"/>
      <c r="L438" s="399"/>
      <c r="M438" s="413"/>
    </row>
    <row r="439" spans="1:13" ht="20.149999999999999" customHeight="1">
      <c r="A439" s="8"/>
      <c r="B439" s="42" t="s">
        <v>639</v>
      </c>
      <c r="C439" s="57" t="s">
        <v>2</v>
      </c>
      <c r="D439" s="51">
        <f>'Detail-Skeleton'!D1013</f>
        <v>104</v>
      </c>
      <c r="E439" s="11">
        <f>E551</f>
        <v>200</v>
      </c>
      <c r="F439" s="368" t="str">
        <f t="shared" si="1"/>
        <v>No</v>
      </c>
      <c r="G439" s="9">
        <f t="shared" si="0"/>
        <v>20800</v>
      </c>
      <c r="H439" s="383"/>
      <c r="I439" s="384"/>
      <c r="J439" s="395"/>
      <c r="K439" s="397"/>
      <c r="L439" s="399"/>
      <c r="M439" s="413"/>
    </row>
    <row r="440" spans="1:13" ht="20.149999999999999" customHeight="1">
      <c r="A440" s="8"/>
      <c r="B440" s="45" t="s">
        <v>22</v>
      </c>
      <c r="C440" s="57"/>
      <c r="D440" s="51"/>
      <c r="E440" s="11"/>
      <c r="F440" s="368"/>
      <c r="G440" s="9"/>
      <c r="H440" s="383"/>
      <c r="I440" s="384"/>
      <c r="J440" s="395"/>
      <c r="K440" s="397"/>
      <c r="L440" s="399"/>
      <c r="M440" s="413"/>
    </row>
    <row r="441" spans="1:13" ht="20.149999999999999" customHeight="1">
      <c r="A441" s="8"/>
      <c r="B441" s="143" t="s">
        <v>391</v>
      </c>
      <c r="C441" s="57" t="s">
        <v>2</v>
      </c>
      <c r="D441" s="51">
        <f>D428/100*6</f>
        <v>14.88</v>
      </c>
      <c r="E441" s="11">
        <f>E557</f>
        <v>25000</v>
      </c>
      <c r="F441" s="149" t="str">
        <f>C441</f>
        <v>No</v>
      </c>
      <c r="G441" s="9">
        <f>E441*D441</f>
        <v>372000</v>
      </c>
      <c r="H441" s="383"/>
      <c r="I441" s="384"/>
      <c r="J441" s="395"/>
      <c r="K441" s="397"/>
      <c r="L441" s="399"/>
      <c r="M441" s="413"/>
    </row>
    <row r="442" spans="1:13" ht="20.149999999999999" customHeight="1">
      <c r="A442" s="8"/>
      <c r="B442" s="42" t="s">
        <v>390</v>
      </c>
      <c r="C442" s="57" t="s">
        <v>2</v>
      </c>
      <c r="D442" s="51">
        <f>D432*0.75</f>
        <v>0.72</v>
      </c>
      <c r="E442" s="11">
        <f>E560</f>
        <v>20000</v>
      </c>
      <c r="F442" s="368" t="str">
        <f t="shared" si="1"/>
        <v>No</v>
      </c>
      <c r="G442" s="9">
        <f>E442*D442</f>
        <v>14400</v>
      </c>
      <c r="H442" s="383"/>
      <c r="I442" s="384"/>
      <c r="J442" s="395"/>
      <c r="K442" s="397"/>
      <c r="L442" s="399"/>
      <c r="M442" s="413"/>
    </row>
    <row r="443" spans="1:13" ht="20.149999999999999" customHeight="1">
      <c r="A443" s="8"/>
      <c r="B443" s="42"/>
      <c r="C443" s="43"/>
      <c r="D443" s="44"/>
      <c r="E443" s="11"/>
      <c r="F443" s="149"/>
      <c r="G443" s="9"/>
      <c r="H443" s="383"/>
      <c r="I443" s="384"/>
      <c r="J443" s="395"/>
      <c r="K443" s="395"/>
      <c r="L443" s="399"/>
      <c r="M443" s="413"/>
    </row>
    <row r="444" spans="1:13" ht="20.149999999999999" customHeight="1">
      <c r="A444" s="8">
        <f>'Detail-Skeleton'!A1016</f>
        <v>15</v>
      </c>
      <c r="B444" s="12" t="str">
        <f>'Detail-Skeleton'!B1016</f>
        <v>(1:3) Cement Mortar Plastering Work</v>
      </c>
      <c r="C444" s="23" t="str">
        <f>'Detail-Skeleton'!K1061</f>
        <v>Fs</v>
      </c>
      <c r="D444" s="33">
        <f>'Detail-Skeleton'!J1061</f>
        <v>10726.86</v>
      </c>
      <c r="E444" s="11"/>
      <c r="F444" s="149"/>
      <c r="G444" s="9"/>
      <c r="H444" s="383">
        <f>SUM(G449:G453)</f>
        <v>15860200</v>
      </c>
      <c r="I444" s="384">
        <f>H444/D444</f>
        <v>1478.55010692784</v>
      </c>
      <c r="J444" s="394">
        <f>SUM(G452:G453)</f>
        <v>10458700</v>
      </c>
      <c r="K444" s="395"/>
      <c r="L444" s="409">
        <f>ROUND(H444/$H$519,5)</f>
        <v>0.1053</v>
      </c>
      <c r="M444" s="412">
        <f>ROUND(J444/$J$519,5)</f>
        <v>0.22850000000000001</v>
      </c>
    </row>
    <row r="445" spans="1:13" ht="20.149999999999999" customHeight="1">
      <c r="A445" s="8"/>
      <c r="B445" s="94"/>
      <c r="C445" s="8" t="s">
        <v>12</v>
      </c>
      <c r="D445" s="33">
        <f>'Detail-Skeleton'!J1062</f>
        <v>107.27</v>
      </c>
      <c r="E445" s="11"/>
      <c r="F445" s="149"/>
      <c r="G445" s="9"/>
      <c r="H445" s="383"/>
      <c r="I445" s="384"/>
      <c r="J445" s="395"/>
      <c r="K445" s="395"/>
      <c r="L445" s="399"/>
      <c r="M445" s="413"/>
    </row>
    <row r="446" spans="1:13" ht="20.149999999999999" customHeight="1">
      <c r="A446" s="8"/>
      <c r="B446" s="94" t="s">
        <v>397</v>
      </c>
      <c r="C446" s="23" t="str">
        <f>C444</f>
        <v>Fs</v>
      </c>
      <c r="D446" s="33">
        <f>D444/2</f>
        <v>5363.43</v>
      </c>
      <c r="E446" s="11"/>
      <c r="F446" s="149"/>
      <c r="G446" s="9"/>
      <c r="H446" s="383"/>
      <c r="I446" s="384"/>
      <c r="J446" s="395"/>
      <c r="K446" s="395"/>
      <c r="L446" s="399"/>
      <c r="M446" s="413"/>
    </row>
    <row r="447" spans="1:13" ht="20.149999999999999" customHeight="1">
      <c r="A447" s="8"/>
      <c r="B447" s="94" t="s">
        <v>398</v>
      </c>
      <c r="C447" s="23" t="str">
        <f>C444</f>
        <v>Fs</v>
      </c>
      <c r="D447" s="33">
        <f>D444-D446</f>
        <v>5363.43</v>
      </c>
      <c r="E447" s="11"/>
      <c r="F447" s="149"/>
      <c r="G447" s="9"/>
      <c r="H447" s="383"/>
      <c r="I447" s="384"/>
      <c r="J447" s="395"/>
      <c r="K447" s="395"/>
      <c r="L447" s="399"/>
      <c r="M447" s="413"/>
    </row>
    <row r="448" spans="1:13" ht="20.149999999999999" customHeight="1">
      <c r="A448" s="8"/>
      <c r="B448" s="8" t="s">
        <v>26</v>
      </c>
      <c r="C448" s="8"/>
      <c r="D448" s="33"/>
      <c r="E448" s="11"/>
      <c r="F448" s="149"/>
      <c r="G448" s="9"/>
      <c r="H448" s="383"/>
      <c r="I448" s="384"/>
      <c r="J448" s="395"/>
      <c r="K448" s="395"/>
      <c r="L448" s="399"/>
      <c r="M448" s="413"/>
    </row>
    <row r="449" spans="1:13" ht="20.149999999999999" customHeight="1">
      <c r="A449" s="8"/>
      <c r="B449" s="243" t="s">
        <v>8</v>
      </c>
      <c r="C449" s="8" t="s">
        <v>9</v>
      </c>
      <c r="D449" s="33">
        <f>ROUNDDOWN(D445*225/112,0)</f>
        <v>215</v>
      </c>
      <c r="E449" s="11">
        <f>E525</f>
        <v>24000</v>
      </c>
      <c r="F449" s="149" t="str">
        <f>C449</f>
        <v>Bag</v>
      </c>
      <c r="G449" s="9">
        <f>D449*E449</f>
        <v>5160000</v>
      </c>
      <c r="H449" s="383"/>
      <c r="I449" s="384"/>
      <c r="J449" s="395"/>
      <c r="K449" s="395"/>
      <c r="L449" s="399"/>
      <c r="M449" s="413"/>
    </row>
    <row r="450" spans="1:13" ht="20.149999999999999" customHeight="1">
      <c r="A450" s="8"/>
      <c r="B450" s="10" t="s">
        <v>31</v>
      </c>
      <c r="C450" s="8" t="s">
        <v>10</v>
      </c>
      <c r="D450" s="33">
        <f>D445*(0.075)</f>
        <v>8.0500000000000007</v>
      </c>
      <c r="E450" s="11">
        <f>E526</f>
        <v>30000</v>
      </c>
      <c r="F450" s="149" t="str">
        <f>C450</f>
        <v>Sud</v>
      </c>
      <c r="G450" s="9">
        <f>D450*E450</f>
        <v>241500</v>
      </c>
      <c r="H450" s="383"/>
      <c r="I450" s="384"/>
      <c r="J450" s="395"/>
      <c r="K450" s="395"/>
      <c r="L450" s="399"/>
      <c r="M450" s="413"/>
    </row>
    <row r="451" spans="1:13" s="32" customFormat="1" ht="20.149999999999999" customHeight="1">
      <c r="A451" s="91"/>
      <c r="B451" s="91" t="s">
        <v>22</v>
      </c>
      <c r="C451" s="247"/>
      <c r="D451" s="248"/>
      <c r="E451" s="59"/>
      <c r="F451" s="374"/>
      <c r="G451" s="249"/>
      <c r="H451" s="390"/>
      <c r="I451" s="390"/>
      <c r="J451" s="396"/>
      <c r="K451" s="396"/>
      <c r="L451" s="400"/>
      <c r="M451" s="414"/>
    </row>
    <row r="452" spans="1:13" s="32" customFormat="1" ht="20.149999999999999" customHeight="1">
      <c r="A452" s="91"/>
      <c r="B452" s="143" t="s">
        <v>394</v>
      </c>
      <c r="C452" s="260" t="s">
        <v>2</v>
      </c>
      <c r="D452" s="261">
        <f>D446/100*1.5+D447/100*1.5</f>
        <v>160.9</v>
      </c>
      <c r="E452" s="146">
        <f>E558</f>
        <v>25000</v>
      </c>
      <c r="F452" s="375" t="str">
        <f>C452</f>
        <v>No</v>
      </c>
      <c r="G452" s="9">
        <f>D452*E452</f>
        <v>4022500</v>
      </c>
      <c r="H452" s="387"/>
      <c r="I452" s="390"/>
      <c r="J452" s="396"/>
      <c r="K452" s="396"/>
      <c r="L452" s="400"/>
      <c r="M452" s="414"/>
    </row>
    <row r="453" spans="1:13" s="32" customFormat="1" ht="20.149999999999999" customHeight="1">
      <c r="A453" s="91"/>
      <c r="B453" s="143" t="s">
        <v>390</v>
      </c>
      <c r="C453" s="140" t="s">
        <v>2</v>
      </c>
      <c r="D453" s="261">
        <f>D446/100*3+D447/100*3</f>
        <v>321.81</v>
      </c>
      <c r="E453" s="146">
        <f>E560</f>
        <v>20000</v>
      </c>
      <c r="F453" s="347" t="str">
        <f>C453</f>
        <v>No</v>
      </c>
      <c r="G453" s="9">
        <f>D453*E453</f>
        <v>6436200</v>
      </c>
      <c r="H453" s="385"/>
      <c r="I453" s="390"/>
      <c r="J453" s="396"/>
      <c r="K453" s="396"/>
      <c r="L453" s="400"/>
      <c r="M453" s="414"/>
    </row>
    <row r="454" spans="1:13" ht="20.149999999999999" customHeight="1">
      <c r="A454" s="8"/>
      <c r="B454" s="8"/>
      <c r="C454" s="8"/>
      <c r="D454" s="33"/>
      <c r="E454" s="11"/>
      <c r="F454" s="149"/>
      <c r="G454" s="9"/>
      <c r="H454" s="383"/>
      <c r="I454" s="384"/>
      <c r="J454" s="395"/>
      <c r="K454" s="395"/>
      <c r="L454" s="399"/>
      <c r="M454" s="413"/>
    </row>
    <row r="455" spans="1:13" ht="20.149999999999999" customHeight="1">
      <c r="A455" s="340">
        <f>'Detail-Skeleton'!A1064</f>
        <v>16</v>
      </c>
      <c r="B455" s="320" t="str">
        <f>'Detail-Skeleton'!B1064</f>
        <v>Roofing Work</v>
      </c>
      <c r="C455" s="8" t="s">
        <v>650</v>
      </c>
      <c r="D455" s="33">
        <v>1</v>
      </c>
      <c r="E455" s="11"/>
      <c r="F455" s="149"/>
      <c r="G455" s="9"/>
      <c r="H455" s="383">
        <f>SUM(G462:G470)</f>
        <v>14060000</v>
      </c>
      <c r="I455" s="384"/>
      <c r="J455" s="394">
        <f>SUM(G470)</f>
        <v>1750000</v>
      </c>
      <c r="K455" s="395"/>
      <c r="L455" s="409">
        <f>ROUND(H455/$H$519,5)</f>
        <v>9.3399999999999997E-2</v>
      </c>
      <c r="M455" s="412">
        <f>ROUND(J455/$J$519,5)</f>
        <v>3.8199999999999998E-2</v>
      </c>
    </row>
    <row r="456" spans="1:13" ht="20.149999999999999" customHeight="1">
      <c r="A456" s="8"/>
      <c r="B456" s="12" t="str">
        <f>'Detail-Skeleton'!B1065</f>
        <v>4"x2"x1.4mm thk; Hollow Section</v>
      </c>
      <c r="C456" s="8" t="s">
        <v>82</v>
      </c>
      <c r="D456" s="33">
        <f>'Detail-Skeleton'!I1107</f>
        <v>1842.64</v>
      </c>
      <c r="E456" s="11"/>
      <c r="F456" s="149"/>
      <c r="G456" s="9"/>
      <c r="H456" s="383"/>
      <c r="I456" s="384"/>
      <c r="J456" s="395"/>
      <c r="K456" s="395"/>
      <c r="L456" s="399"/>
      <c r="M456" s="413"/>
    </row>
    <row r="457" spans="1:13" ht="20.149999999999999" customHeight="1">
      <c r="A457" s="8"/>
      <c r="B457" s="12" t="str">
        <f>'Detail-Skeleton'!B1111</f>
        <v>3"x1.5"x1.2mm thk; Hollow Section</v>
      </c>
      <c r="C457" s="8" t="s">
        <v>82</v>
      </c>
      <c r="D457" s="33">
        <f>'Detail-Skeleton'!I1122</f>
        <v>919.68</v>
      </c>
      <c r="E457" s="11"/>
      <c r="F457" s="149"/>
      <c r="G457" s="9"/>
      <c r="H457" s="383"/>
      <c r="I457" s="384"/>
      <c r="J457" s="395"/>
      <c r="K457" s="395"/>
      <c r="L457" s="399"/>
      <c r="M457" s="413"/>
    </row>
    <row r="458" spans="1:13" ht="20.149999999999999" customHeight="1">
      <c r="A458" s="8"/>
      <c r="B458" s="12" t="str">
        <f>'Detail-Skeleton'!B1125</f>
        <v>2"x2" Angle Cleat</v>
      </c>
      <c r="C458" s="8" t="s">
        <v>82</v>
      </c>
      <c r="D458" s="33">
        <f>'Detail-Skeleton'!I1126</f>
        <v>32.64</v>
      </c>
      <c r="E458" s="11"/>
      <c r="F458" s="149"/>
      <c r="G458" s="9"/>
      <c r="H458" s="383"/>
      <c r="I458" s="384"/>
      <c r="J458" s="395"/>
      <c r="K458" s="395"/>
      <c r="L458" s="399"/>
      <c r="M458" s="413"/>
    </row>
    <row r="459" spans="1:13" ht="20.149999999999999" customHeight="1">
      <c r="A459" s="8"/>
      <c r="B459" s="12" t="str">
        <f>'Detail-Skeleton'!B1128</f>
        <v>( b ) Amcan Roofing Sheet</v>
      </c>
      <c r="C459" s="23" t="str">
        <f>'Detail-Skeleton'!K1135</f>
        <v>Sqft</v>
      </c>
      <c r="D459" s="33">
        <f>'Detail-Skeleton'!I1135</f>
        <v>1898.24</v>
      </c>
      <c r="E459" s="11"/>
      <c r="F459" s="149"/>
      <c r="G459" s="9"/>
      <c r="H459" s="383"/>
      <c r="I459" s="384"/>
      <c r="J459" s="395"/>
      <c r="K459" s="395"/>
      <c r="L459" s="399"/>
      <c r="M459" s="413"/>
    </row>
    <row r="460" spans="1:13" ht="20.149999999999999" customHeight="1">
      <c r="A460" s="8"/>
      <c r="B460" s="12" t="str">
        <f>'Detail-Skeleton'!B1137</f>
        <v>Ridge Covering Work</v>
      </c>
      <c r="C460" s="23" t="str">
        <f>'Detail-Skeleton'!K1144</f>
        <v>Ft</v>
      </c>
      <c r="D460" s="33">
        <f>'Detail-Skeleton'!I1144</f>
        <v>137.91999999999999</v>
      </c>
      <c r="E460" s="11"/>
      <c r="F460" s="149"/>
      <c r="G460" s="9"/>
      <c r="H460" s="383"/>
      <c r="I460" s="384"/>
      <c r="J460" s="395"/>
      <c r="K460" s="395"/>
      <c r="L460" s="399"/>
      <c r="M460" s="413"/>
    </row>
    <row r="461" spans="1:13" ht="20.149999999999999" customHeight="1">
      <c r="A461" s="8"/>
      <c r="B461" s="8" t="s">
        <v>26</v>
      </c>
      <c r="C461" s="8"/>
      <c r="D461" s="33"/>
      <c r="E461" s="11"/>
      <c r="F461" s="149"/>
      <c r="G461" s="9"/>
      <c r="H461" s="383"/>
      <c r="I461" s="384"/>
      <c r="J461" s="395"/>
      <c r="K461" s="395"/>
      <c r="L461" s="399"/>
      <c r="M461" s="413"/>
    </row>
    <row r="462" spans="1:13" ht="20.149999999999999" customHeight="1">
      <c r="A462" s="8"/>
      <c r="B462" s="10" t="s">
        <v>621</v>
      </c>
      <c r="C462" s="8" t="s">
        <v>2</v>
      </c>
      <c r="D462" s="33">
        <f>ROUND(D456/19.5*1.05,0)</f>
        <v>99</v>
      </c>
      <c r="E462" s="11">
        <f>E541</f>
        <v>60000</v>
      </c>
      <c r="F462" s="149" t="str">
        <f t="shared" ref="F462:F468" si="2">C462</f>
        <v>No</v>
      </c>
      <c r="G462" s="9">
        <f t="shared" ref="G462:G468" si="3">D462*E462</f>
        <v>5940000</v>
      </c>
      <c r="H462" s="383"/>
      <c r="I462" s="384"/>
      <c r="J462" s="395"/>
      <c r="K462" s="395"/>
      <c r="L462" s="399"/>
      <c r="M462" s="413"/>
    </row>
    <row r="463" spans="1:13" ht="20.149999999999999" customHeight="1">
      <c r="A463" s="8"/>
      <c r="B463" s="10" t="s">
        <v>622</v>
      </c>
      <c r="C463" s="8" t="s">
        <v>2</v>
      </c>
      <c r="D463" s="33">
        <f>ROUND(D457/19.5*1.05,0)</f>
        <v>50</v>
      </c>
      <c r="E463" s="11">
        <f>E542</f>
        <v>42000</v>
      </c>
      <c r="F463" s="149" t="str">
        <f t="shared" si="2"/>
        <v>No</v>
      </c>
      <c r="G463" s="9">
        <f t="shared" si="3"/>
        <v>2100000</v>
      </c>
      <c r="H463" s="383"/>
      <c r="I463" s="384"/>
      <c r="J463" s="395"/>
      <c r="K463" s="395"/>
      <c r="L463" s="399"/>
      <c r="M463" s="413"/>
    </row>
    <row r="464" spans="1:13" ht="20.149999999999999" customHeight="1">
      <c r="A464" s="8"/>
      <c r="B464" s="10" t="s">
        <v>623</v>
      </c>
      <c r="C464" s="8" t="s">
        <v>2</v>
      </c>
      <c r="D464" s="33">
        <f>ROUND(D458/19.5*1.05,0)</f>
        <v>2</v>
      </c>
      <c r="E464" s="11">
        <f>E543</f>
        <v>40000</v>
      </c>
      <c r="F464" s="149" t="str">
        <f t="shared" si="2"/>
        <v>No</v>
      </c>
      <c r="G464" s="9">
        <f t="shared" si="3"/>
        <v>80000</v>
      </c>
      <c r="H464" s="383"/>
      <c r="I464" s="384"/>
      <c r="J464" s="395"/>
      <c r="K464" s="395"/>
      <c r="L464" s="399"/>
      <c r="M464" s="413"/>
    </row>
    <row r="465" spans="1:13" ht="20.149999999999999" customHeight="1">
      <c r="A465" s="8"/>
      <c r="B465" s="10" t="s">
        <v>624</v>
      </c>
      <c r="C465" s="8" t="s">
        <v>82</v>
      </c>
      <c r="D465" s="33">
        <f>ROUND(D459/2.5*1.16,0)</f>
        <v>881</v>
      </c>
      <c r="E465" s="11">
        <f>E545</f>
        <v>4000</v>
      </c>
      <c r="F465" s="149" t="str">
        <f t="shared" si="2"/>
        <v>Ft</v>
      </c>
      <c r="G465" s="9">
        <f t="shared" si="3"/>
        <v>3524000</v>
      </c>
      <c r="H465" s="383"/>
      <c r="I465" s="384"/>
      <c r="J465" s="395"/>
      <c r="K465" s="395"/>
      <c r="L465" s="399"/>
      <c r="M465" s="413"/>
    </row>
    <row r="466" spans="1:13" ht="20.149999999999999" customHeight="1">
      <c r="A466" s="8"/>
      <c r="B466" s="10" t="s">
        <v>618</v>
      </c>
      <c r="C466" s="8" t="s">
        <v>82</v>
      </c>
      <c r="D466" s="33">
        <f>ROUND(D460*1.1,0)</f>
        <v>152</v>
      </c>
      <c r="E466" s="11">
        <f>E546</f>
        <v>3000</v>
      </c>
      <c r="F466" s="149" t="str">
        <f t="shared" si="2"/>
        <v>Ft</v>
      </c>
      <c r="G466" s="9">
        <f t="shared" si="3"/>
        <v>456000</v>
      </c>
      <c r="H466" s="383"/>
      <c r="I466" s="384"/>
      <c r="J466" s="395"/>
      <c r="K466" s="395"/>
      <c r="L466" s="399"/>
      <c r="M466" s="413"/>
    </row>
    <row r="467" spans="1:13" ht="20.149999999999999" customHeight="1">
      <c r="A467" s="8"/>
      <c r="B467" s="10" t="s">
        <v>712</v>
      </c>
      <c r="C467" s="8" t="s">
        <v>2</v>
      </c>
      <c r="D467" s="33">
        <f>D463*20*0.75</f>
        <v>750</v>
      </c>
      <c r="E467" s="11">
        <f>E547</f>
        <v>100</v>
      </c>
      <c r="F467" s="149" t="str">
        <f t="shared" si="2"/>
        <v>No</v>
      </c>
      <c r="G467" s="9">
        <f t="shared" si="3"/>
        <v>75000</v>
      </c>
      <c r="H467" s="383"/>
      <c r="I467" s="384"/>
      <c r="J467" s="395"/>
      <c r="K467" s="395"/>
      <c r="L467" s="399"/>
      <c r="M467" s="413"/>
    </row>
    <row r="468" spans="1:13" ht="20.149999999999999" customHeight="1">
      <c r="A468" s="8"/>
      <c r="B468" s="48" t="s">
        <v>891</v>
      </c>
      <c r="C468" s="8" t="s">
        <v>892</v>
      </c>
      <c r="D468" s="33">
        <v>5</v>
      </c>
      <c r="E468" s="11">
        <f>E544</f>
        <v>27000</v>
      </c>
      <c r="F468" s="149" t="str">
        <f t="shared" si="2"/>
        <v>Pkt</v>
      </c>
      <c r="G468" s="9">
        <f t="shared" si="3"/>
        <v>135000</v>
      </c>
      <c r="H468" s="383"/>
      <c r="I468" s="384"/>
      <c r="J468" s="395"/>
      <c r="K468" s="395"/>
      <c r="L468" s="399"/>
      <c r="M468" s="413"/>
    </row>
    <row r="469" spans="1:13" ht="20.149999999999999" customHeight="1">
      <c r="A469" s="8"/>
      <c r="B469" s="8" t="s">
        <v>22</v>
      </c>
      <c r="C469" s="8"/>
      <c r="D469" s="33"/>
      <c r="E469" s="11"/>
      <c r="F469" s="149"/>
      <c r="G469" s="9"/>
      <c r="H469" s="383"/>
      <c r="I469" s="384"/>
      <c r="J469" s="395"/>
      <c r="K469" s="395"/>
      <c r="L469" s="399"/>
      <c r="M469" s="413"/>
    </row>
    <row r="470" spans="1:13" ht="20.149999999999999" customHeight="1">
      <c r="A470" s="8"/>
      <c r="B470" s="8" t="s">
        <v>628</v>
      </c>
      <c r="C470" s="8" t="s">
        <v>21</v>
      </c>
      <c r="D470" s="33">
        <f>25*35</f>
        <v>875</v>
      </c>
      <c r="E470" s="11">
        <f>E562</f>
        <v>2000</v>
      </c>
      <c r="F470" s="149" t="str">
        <f>C470</f>
        <v>Fs</v>
      </c>
      <c r="G470" s="9">
        <f>E470*D470</f>
        <v>1750000</v>
      </c>
      <c r="H470" s="383"/>
      <c r="I470" s="384"/>
      <c r="J470" s="395"/>
      <c r="K470" s="395"/>
      <c r="L470" s="399"/>
      <c r="M470" s="413"/>
    </row>
    <row r="471" spans="1:13" ht="20.149999999999999" customHeight="1">
      <c r="A471" s="8"/>
      <c r="B471" s="8"/>
      <c r="C471" s="8"/>
      <c r="D471" s="33"/>
      <c r="E471" s="11"/>
      <c r="F471" s="149"/>
      <c r="G471" s="9"/>
      <c r="H471" s="383"/>
      <c r="I471" s="384"/>
      <c r="J471" s="395"/>
      <c r="K471" s="395"/>
      <c r="L471" s="399"/>
      <c r="M471" s="413"/>
    </row>
    <row r="472" spans="1:13" ht="20.149999999999999" customHeight="1">
      <c r="A472" s="8">
        <f>'Detail-Skeleton'!A1146</f>
        <v>17</v>
      </c>
      <c r="B472" s="12" t="str">
        <f>'Detail-Skeleton'!B1146</f>
        <v>( a ) Back Filling Work</v>
      </c>
      <c r="C472" s="21" t="str">
        <f>'Detail-Skeleton'!K1158</f>
        <v>%Fc</v>
      </c>
      <c r="D472" s="33">
        <f>'Detail-Skeleton'!J1158</f>
        <v>18.510000000000002</v>
      </c>
      <c r="E472" s="11"/>
      <c r="F472" s="368"/>
      <c r="G472" s="9"/>
      <c r="H472" s="383">
        <f>SUM(G472:G474)</f>
        <v>370200</v>
      </c>
      <c r="I472" s="384"/>
      <c r="J472" s="394">
        <f>SUM(G474)</f>
        <v>370200</v>
      </c>
      <c r="K472" s="395"/>
      <c r="L472" s="409">
        <f>ROUND(H472/$H$519,5)</f>
        <v>2.5000000000000001E-3</v>
      </c>
      <c r="M472" s="412">
        <f>ROUND(J472/$J$519,5)</f>
        <v>8.0999999999999996E-3</v>
      </c>
    </row>
    <row r="473" spans="1:13" ht="20.149999999999999" customHeight="1">
      <c r="A473" s="8"/>
      <c r="B473" s="8" t="s">
        <v>22</v>
      </c>
      <c r="C473" s="8"/>
      <c r="D473" s="33"/>
      <c r="E473" s="11"/>
      <c r="F473" s="149"/>
      <c r="G473" s="9"/>
      <c r="H473" s="383"/>
      <c r="I473" s="384"/>
      <c r="J473" s="395"/>
      <c r="K473" s="395"/>
      <c r="L473" s="399"/>
      <c r="M473" s="413"/>
    </row>
    <row r="474" spans="1:13" ht="20.149999999999999" customHeight="1">
      <c r="A474" s="8"/>
      <c r="B474" s="10" t="s">
        <v>390</v>
      </c>
      <c r="C474" s="8" t="s">
        <v>2</v>
      </c>
      <c r="D474" s="33">
        <f>D472</f>
        <v>18.510000000000002</v>
      </c>
      <c r="E474" s="11">
        <f>E560</f>
        <v>20000</v>
      </c>
      <c r="F474" s="149" t="str">
        <f>C474</f>
        <v>No</v>
      </c>
      <c r="G474" s="9">
        <f>E474*D474</f>
        <v>370200</v>
      </c>
      <c r="H474" s="383"/>
      <c r="I474" s="384"/>
      <c r="J474" s="395"/>
      <c r="K474" s="395"/>
      <c r="L474" s="399"/>
      <c r="M474" s="413"/>
    </row>
    <row r="475" spans="1:13" ht="20.149999999999999" customHeight="1">
      <c r="A475" s="8"/>
      <c r="B475" s="10"/>
      <c r="C475" s="8"/>
      <c r="D475" s="33"/>
      <c r="E475" s="11"/>
      <c r="F475" s="149"/>
      <c r="G475" s="9"/>
      <c r="H475" s="383"/>
      <c r="I475" s="384"/>
      <c r="J475" s="395"/>
      <c r="K475" s="395"/>
      <c r="L475" s="399"/>
      <c r="M475" s="413"/>
    </row>
    <row r="476" spans="1:13" ht="19.5" customHeight="1">
      <c r="A476" s="8">
        <f>'Detail-Skeleton'!A1163</f>
        <v>18</v>
      </c>
      <c r="B476" s="18" t="str">
        <f>'Detail-Skeleton'!B1163</f>
        <v>Flooring Work</v>
      </c>
      <c r="C476" s="8"/>
      <c r="D476" s="33"/>
      <c r="E476" s="11"/>
      <c r="F476" s="149"/>
      <c r="G476" s="9"/>
      <c r="H476" s="383"/>
      <c r="I476" s="384"/>
      <c r="J476" s="395"/>
      <c r="K476" s="395"/>
      <c r="L476" s="399"/>
      <c r="M476" s="413"/>
    </row>
    <row r="477" spans="1:13" ht="19.5" customHeight="1">
      <c r="A477" s="8"/>
      <c r="B477" s="18" t="str">
        <f>'Detail-Skeleton'!B1164</f>
        <v>( a ) Earth Filling Work</v>
      </c>
      <c r="C477" s="21" t="str">
        <f>'Detail-Skeleton'!K1165</f>
        <v>%Fc</v>
      </c>
      <c r="D477" s="33">
        <f>'Detail-Skeleton'!J1165</f>
        <v>11.1</v>
      </c>
      <c r="E477" s="11"/>
      <c r="F477" s="149"/>
      <c r="G477" s="9"/>
      <c r="H477" s="383">
        <f>SUM(G477:G479)</f>
        <v>222000</v>
      </c>
      <c r="I477" s="384"/>
      <c r="J477" s="394">
        <f>SUM(G479)</f>
        <v>222000</v>
      </c>
      <c r="K477" s="395"/>
      <c r="L477" s="409">
        <f>ROUND(H477/$H$519,5)</f>
        <v>1.5E-3</v>
      </c>
      <c r="M477" s="412">
        <f>ROUND(J477/$J$519,5)</f>
        <v>4.8999999999999998E-3</v>
      </c>
    </row>
    <row r="478" spans="1:13" ht="19.5" customHeight="1">
      <c r="A478" s="8"/>
      <c r="B478" s="8" t="s">
        <v>22</v>
      </c>
      <c r="C478" s="8"/>
      <c r="D478" s="33"/>
      <c r="E478" s="11"/>
      <c r="F478" s="149"/>
      <c r="G478" s="9"/>
      <c r="H478" s="383"/>
      <c r="I478" s="384"/>
      <c r="J478" s="395"/>
      <c r="K478" s="395"/>
      <c r="L478" s="399"/>
      <c r="M478" s="413"/>
    </row>
    <row r="479" spans="1:13" ht="19.5" customHeight="1">
      <c r="A479" s="8"/>
      <c r="B479" s="10" t="s">
        <v>390</v>
      </c>
      <c r="C479" s="8" t="s">
        <v>2</v>
      </c>
      <c r="D479" s="33">
        <f>D477</f>
        <v>11.1</v>
      </c>
      <c r="E479" s="11">
        <f>E560</f>
        <v>20000</v>
      </c>
      <c r="F479" s="149" t="str">
        <f>C479</f>
        <v>No</v>
      </c>
      <c r="G479" s="9">
        <f>E479*D479</f>
        <v>222000</v>
      </c>
      <c r="H479" s="383"/>
      <c r="I479" s="384"/>
      <c r="J479" s="395"/>
      <c r="K479" s="395"/>
      <c r="L479" s="399"/>
      <c r="M479" s="413"/>
    </row>
    <row r="480" spans="1:13" ht="19.5" customHeight="1">
      <c r="A480" s="8"/>
      <c r="B480" s="10"/>
      <c r="C480" s="8"/>
      <c r="D480" s="33"/>
      <c r="E480" s="11"/>
      <c r="F480" s="149"/>
      <c r="G480" s="9"/>
      <c r="H480" s="383"/>
      <c r="I480" s="384"/>
      <c r="J480" s="395"/>
      <c r="K480" s="395"/>
      <c r="L480" s="399"/>
      <c r="M480" s="413"/>
    </row>
    <row r="481" spans="1:13" ht="19.5" customHeight="1">
      <c r="A481" s="8"/>
      <c r="B481" s="18" t="str">
        <f>'Detail-Skeleton'!B1167</f>
        <v>( b ) Sand Filling Work for Floor</v>
      </c>
      <c r="C481" s="23" t="str">
        <f>'Detail-Skeleton'!K1179</f>
        <v>Fc</v>
      </c>
      <c r="D481" s="33">
        <f>'Detail-Skeleton'!J1179</f>
        <v>1207.0999999999999</v>
      </c>
      <c r="E481" s="11"/>
      <c r="F481" s="149"/>
      <c r="G481" s="9"/>
      <c r="H481" s="383"/>
      <c r="I481" s="384"/>
      <c r="J481" s="395"/>
      <c r="K481" s="395"/>
      <c r="L481" s="399"/>
      <c r="M481" s="413"/>
    </row>
    <row r="482" spans="1:13" ht="19.5" customHeight="1">
      <c r="A482" s="8"/>
      <c r="B482" s="18"/>
      <c r="C482" s="23" t="s">
        <v>7</v>
      </c>
      <c r="D482" s="33">
        <f>'Detail-Skeleton'!J1180</f>
        <v>12.07</v>
      </c>
      <c r="E482" s="11"/>
      <c r="F482" s="149"/>
      <c r="G482" s="9"/>
      <c r="H482" s="383">
        <f>SUM(G483:G486)</f>
        <v>694100</v>
      </c>
      <c r="I482" s="384">
        <f>H482/D482</f>
        <v>57506.213753106902</v>
      </c>
      <c r="J482" s="394">
        <f>SUM(G486)</f>
        <v>241400</v>
      </c>
      <c r="K482" s="395"/>
      <c r="L482" s="409">
        <f>ROUND(H482/$H$519,5)</f>
        <v>4.5999999999999999E-3</v>
      </c>
      <c r="M482" s="412">
        <f>ROUND(J482/$J$519,5)</f>
        <v>5.3E-3</v>
      </c>
    </row>
    <row r="483" spans="1:13" ht="19.5" customHeight="1">
      <c r="A483" s="8"/>
      <c r="B483" s="8" t="s">
        <v>26</v>
      </c>
      <c r="C483" s="8"/>
      <c r="D483" s="33"/>
      <c r="E483" s="11"/>
      <c r="F483" s="149"/>
      <c r="G483" s="9"/>
      <c r="H483" s="383"/>
      <c r="I483" s="384"/>
      <c r="J483" s="395"/>
      <c r="K483" s="395"/>
      <c r="L483" s="399"/>
      <c r="M483" s="413"/>
    </row>
    <row r="484" spans="1:13" ht="19.5" customHeight="1">
      <c r="A484" s="8"/>
      <c r="B484" s="10" t="s">
        <v>31</v>
      </c>
      <c r="C484" s="8" t="s">
        <v>10</v>
      </c>
      <c r="D484" s="33">
        <f>D482*1.25</f>
        <v>15.09</v>
      </c>
      <c r="E484" s="11">
        <f>E526</f>
        <v>30000</v>
      </c>
      <c r="F484" s="149" t="str">
        <f>C484</f>
        <v>Sud</v>
      </c>
      <c r="G484" s="9">
        <f>E484*D484</f>
        <v>452700</v>
      </c>
      <c r="H484" s="383"/>
      <c r="I484" s="384"/>
      <c r="J484" s="395"/>
      <c r="K484" s="395"/>
      <c r="L484" s="399"/>
      <c r="M484" s="413"/>
    </row>
    <row r="485" spans="1:13" ht="19.5" customHeight="1">
      <c r="A485" s="8"/>
      <c r="B485" s="8" t="s">
        <v>22</v>
      </c>
      <c r="C485" s="8"/>
      <c r="D485" s="33"/>
      <c r="E485" s="11"/>
      <c r="F485" s="149"/>
      <c r="G485" s="9"/>
      <c r="H485" s="383"/>
      <c r="I485" s="384"/>
      <c r="J485" s="395"/>
      <c r="K485" s="395"/>
      <c r="L485" s="399"/>
      <c r="M485" s="413"/>
    </row>
    <row r="486" spans="1:13" ht="19.5" customHeight="1">
      <c r="A486" s="8"/>
      <c r="B486" s="143" t="s">
        <v>390</v>
      </c>
      <c r="C486" s="140" t="s">
        <v>2</v>
      </c>
      <c r="D486" s="141">
        <f>D481*1/100</f>
        <v>12.07</v>
      </c>
      <c r="E486" s="142">
        <f>E560</f>
        <v>20000</v>
      </c>
      <c r="F486" s="347" t="str">
        <f>C486</f>
        <v>No</v>
      </c>
      <c r="G486" s="9">
        <f>E486*D486</f>
        <v>241400</v>
      </c>
      <c r="H486" s="385"/>
      <c r="I486" s="384"/>
      <c r="J486" s="395"/>
      <c r="K486" s="395"/>
      <c r="L486" s="399"/>
      <c r="M486" s="413"/>
    </row>
    <row r="487" spans="1:13" ht="19.5" customHeight="1">
      <c r="A487" s="8"/>
      <c r="B487" s="8"/>
      <c r="C487" s="8"/>
      <c r="D487" s="33"/>
      <c r="E487" s="11"/>
      <c r="F487" s="149"/>
      <c r="G487" s="9"/>
      <c r="H487" s="383"/>
      <c r="I487" s="384"/>
      <c r="J487" s="395"/>
      <c r="K487" s="395"/>
      <c r="L487" s="399"/>
      <c r="M487" s="413"/>
    </row>
    <row r="488" spans="1:13" ht="19.5" customHeight="1">
      <c r="A488" s="8"/>
      <c r="B488" s="18" t="str">
        <f>'Detail-Skeleton'!B1182</f>
        <v>( c ) 4½" thk (1:3:6) Cement Concrete Work</v>
      </c>
      <c r="C488" s="8"/>
      <c r="D488" s="33"/>
      <c r="E488" s="11"/>
      <c r="F488" s="149"/>
      <c r="G488" s="9"/>
      <c r="H488" s="383"/>
      <c r="I488" s="384"/>
      <c r="J488" s="395"/>
      <c r="K488" s="395"/>
      <c r="L488" s="399"/>
      <c r="M488" s="413"/>
    </row>
    <row r="489" spans="1:13" ht="19.5" customHeight="1">
      <c r="A489" s="8"/>
      <c r="B489" s="18"/>
      <c r="C489" s="23" t="str">
        <f>'Detail-Skeleton'!K1193</f>
        <v>Fc</v>
      </c>
      <c r="D489" s="33">
        <f>'Detail-Skeleton'!J1193</f>
        <v>264.91000000000003</v>
      </c>
      <c r="E489" s="11"/>
      <c r="F489" s="149"/>
      <c r="G489" s="9"/>
      <c r="H489" s="383"/>
      <c r="I489" s="384"/>
      <c r="J489" s="395"/>
      <c r="K489" s="395"/>
      <c r="L489" s="399"/>
      <c r="M489" s="413"/>
    </row>
    <row r="490" spans="1:13" ht="19.5" customHeight="1">
      <c r="A490" s="8"/>
      <c r="B490" s="18"/>
      <c r="C490" s="23" t="str">
        <f>'Detail-Skeleton'!K1194</f>
        <v>%Fc</v>
      </c>
      <c r="D490" s="33">
        <f>'Detail-Skeleton'!J1194</f>
        <v>2.65</v>
      </c>
      <c r="E490" s="11"/>
      <c r="F490" s="149"/>
      <c r="G490" s="9"/>
      <c r="H490" s="383">
        <f>SUM(G492:G499)</f>
        <v>1657000</v>
      </c>
      <c r="I490" s="384"/>
      <c r="J490" s="394">
        <f>SUM(G497:G499)</f>
        <v>417500</v>
      </c>
      <c r="K490" s="395"/>
      <c r="L490" s="409">
        <f>ROUND(H490/$H$519,5)</f>
        <v>1.0999999999999999E-2</v>
      </c>
      <c r="M490" s="412">
        <f>ROUND(J490/$J$519,5)</f>
        <v>9.1000000000000004E-3</v>
      </c>
    </row>
    <row r="491" spans="1:13" ht="19.5" customHeight="1">
      <c r="A491" s="8"/>
      <c r="B491" s="8" t="s">
        <v>26</v>
      </c>
      <c r="C491" s="8"/>
      <c r="D491" s="33"/>
      <c r="E491" s="11"/>
      <c r="F491" s="149"/>
      <c r="G491" s="9"/>
      <c r="H491" s="383"/>
      <c r="I491" s="384"/>
      <c r="J491" s="395"/>
      <c r="K491" s="395"/>
      <c r="L491" s="399"/>
      <c r="M491" s="413"/>
    </row>
    <row r="492" spans="1:13" ht="19.5" customHeight="1">
      <c r="A492" s="8"/>
      <c r="B492" s="243" t="s">
        <v>8</v>
      </c>
      <c r="C492" s="8" t="s">
        <v>9</v>
      </c>
      <c r="D492" s="33">
        <f>ROUNDDOWN(D490*1440/112,0)</f>
        <v>34</v>
      </c>
      <c r="E492" s="11">
        <f>E525</f>
        <v>24000</v>
      </c>
      <c r="F492" s="149" t="str">
        <f>C492</f>
        <v>Bag</v>
      </c>
      <c r="G492" s="9">
        <f>E492*D492</f>
        <v>816000</v>
      </c>
      <c r="H492" s="383"/>
      <c r="I492" s="384"/>
      <c r="J492" s="395"/>
      <c r="K492" s="395"/>
      <c r="L492" s="399"/>
      <c r="M492" s="413"/>
    </row>
    <row r="493" spans="1:13" ht="19.5" customHeight="1">
      <c r="A493" s="8"/>
      <c r="B493" s="10" t="s">
        <v>31</v>
      </c>
      <c r="C493" s="8" t="s">
        <v>10</v>
      </c>
      <c r="D493" s="33">
        <f>D490*0.48</f>
        <v>1.27</v>
      </c>
      <c r="E493" s="11">
        <f>E526</f>
        <v>30000</v>
      </c>
      <c r="F493" s="149" t="str">
        <f>C493</f>
        <v>Sud</v>
      </c>
      <c r="G493" s="9">
        <f>E493*D493</f>
        <v>38100</v>
      </c>
      <c r="H493" s="383"/>
      <c r="I493" s="384"/>
      <c r="J493" s="395"/>
      <c r="K493" s="395"/>
      <c r="L493" s="399"/>
      <c r="M493" s="413"/>
    </row>
    <row r="494" spans="1:13" ht="19.5" customHeight="1">
      <c r="A494" s="8"/>
      <c r="B494" s="10" t="s">
        <v>95</v>
      </c>
      <c r="C494" s="8" t="s">
        <v>10</v>
      </c>
      <c r="D494" s="33">
        <f>D490*0.96</f>
        <v>2.54</v>
      </c>
      <c r="E494" s="11">
        <f>E528</f>
        <v>110000</v>
      </c>
      <c r="F494" s="149" t="str">
        <f>C494</f>
        <v>Sud</v>
      </c>
      <c r="G494" s="9">
        <f>E494*D494</f>
        <v>279400</v>
      </c>
      <c r="H494" s="383"/>
      <c r="I494" s="384"/>
      <c r="J494" s="395"/>
      <c r="K494" s="395"/>
      <c r="L494" s="399"/>
      <c r="M494" s="413"/>
    </row>
    <row r="495" spans="1:13" ht="19.5" customHeight="1">
      <c r="A495" s="8"/>
      <c r="B495" s="10" t="s">
        <v>34</v>
      </c>
      <c r="C495" s="8" t="s">
        <v>28</v>
      </c>
      <c r="D495" s="33">
        <f>D490*2</f>
        <v>5.3</v>
      </c>
      <c r="E495" s="11">
        <f>E530</f>
        <v>20000</v>
      </c>
      <c r="F495" s="149" t="str">
        <f>C495</f>
        <v>Gal</v>
      </c>
      <c r="G495" s="9">
        <f>E495*D495</f>
        <v>106000</v>
      </c>
      <c r="H495" s="383"/>
      <c r="I495" s="384"/>
      <c r="J495" s="395"/>
      <c r="K495" s="395"/>
      <c r="L495" s="399"/>
      <c r="M495" s="413"/>
    </row>
    <row r="496" spans="1:13" s="32" customFormat="1" ht="20.149999999999999" customHeight="1">
      <c r="A496" s="91"/>
      <c r="B496" s="91" t="s">
        <v>22</v>
      </c>
      <c r="C496" s="91"/>
      <c r="D496" s="95"/>
      <c r="E496" s="59"/>
      <c r="F496" s="370"/>
      <c r="G496" s="244"/>
      <c r="H496" s="389"/>
      <c r="I496" s="390"/>
      <c r="J496" s="396"/>
      <c r="K496" s="396"/>
      <c r="L496" s="400"/>
      <c r="M496" s="414"/>
    </row>
    <row r="497" spans="1:13" s="32" customFormat="1" ht="20.149999999999999" customHeight="1">
      <c r="A497" s="91"/>
      <c r="B497" s="143" t="s">
        <v>394</v>
      </c>
      <c r="C497" s="145" t="s">
        <v>2</v>
      </c>
      <c r="D497" s="259">
        <f>D490*1</f>
        <v>2.65</v>
      </c>
      <c r="E497" s="146">
        <f>E558</f>
        <v>25000</v>
      </c>
      <c r="F497" s="345" t="str">
        <f>C497</f>
        <v>No</v>
      </c>
      <c r="G497" s="9">
        <f>E497*D497</f>
        <v>66250</v>
      </c>
      <c r="H497" s="387"/>
      <c r="I497" s="390"/>
      <c r="J497" s="396"/>
      <c r="K497" s="396"/>
      <c r="L497" s="400"/>
      <c r="M497" s="414"/>
    </row>
    <row r="498" spans="1:13" s="32" customFormat="1" ht="20.149999999999999" customHeight="1">
      <c r="A498" s="91"/>
      <c r="B498" s="143" t="s">
        <v>395</v>
      </c>
      <c r="C498" s="140" t="s">
        <v>2</v>
      </c>
      <c r="D498" s="267">
        <f>D490*0.5</f>
        <v>1.33</v>
      </c>
      <c r="E498" s="146">
        <f>E561</f>
        <v>25000</v>
      </c>
      <c r="F498" s="346" t="str">
        <f>C498</f>
        <v>No</v>
      </c>
      <c r="G498" s="9">
        <f>E498*D498</f>
        <v>33250</v>
      </c>
      <c r="H498" s="387"/>
      <c r="I498" s="390"/>
      <c r="J498" s="396"/>
      <c r="K498" s="396"/>
      <c r="L498" s="400"/>
      <c r="M498" s="414"/>
    </row>
    <row r="499" spans="1:13" s="32" customFormat="1" ht="20.149999999999999" customHeight="1">
      <c r="A499" s="91"/>
      <c r="B499" s="143" t="s">
        <v>390</v>
      </c>
      <c r="C499" s="140" t="s">
        <v>2</v>
      </c>
      <c r="D499" s="259">
        <f>D490*6</f>
        <v>15.9</v>
      </c>
      <c r="E499" s="146">
        <f>E560</f>
        <v>20000</v>
      </c>
      <c r="F499" s="347" t="str">
        <f>C499</f>
        <v>No</v>
      </c>
      <c r="G499" s="9">
        <f>E499*D499</f>
        <v>318000</v>
      </c>
      <c r="H499" s="385"/>
      <c r="I499" s="390"/>
      <c r="J499" s="396"/>
      <c r="K499" s="396"/>
      <c r="L499" s="400"/>
      <c r="M499" s="414"/>
    </row>
    <row r="500" spans="1:13" ht="19.5" customHeight="1">
      <c r="A500" s="8"/>
      <c r="B500" s="8"/>
      <c r="C500" s="8"/>
      <c r="D500" s="33"/>
      <c r="E500" s="11"/>
      <c r="F500" s="149"/>
      <c r="G500" s="9"/>
      <c r="H500" s="383"/>
      <c r="I500" s="384"/>
      <c r="J500" s="395"/>
      <c r="K500" s="395"/>
      <c r="L500" s="399"/>
      <c r="M500" s="413"/>
    </row>
    <row r="501" spans="1:13" ht="19.5" customHeight="1">
      <c r="A501" s="8"/>
      <c r="B501" s="12" t="str">
        <f>'Detail-Skeleton'!B1196</f>
        <v>( d ) 1½" Thk; (1:2:4) Concrete Topping Work</v>
      </c>
      <c r="C501" s="23" t="str">
        <f>'Detail-Skeleton'!K1208</f>
        <v>%Fs</v>
      </c>
      <c r="D501" s="33">
        <f>'Detail-Skeleton'!J1208</f>
        <v>20.41</v>
      </c>
      <c r="E501" s="11"/>
      <c r="F501" s="149"/>
      <c r="G501" s="9"/>
      <c r="H501" s="383">
        <f>SUM(G503:G508)</f>
        <v>2416750</v>
      </c>
      <c r="I501" s="384"/>
      <c r="J501" s="394">
        <f>SUM(G507:G508)</f>
        <v>995150</v>
      </c>
      <c r="K501" s="395"/>
      <c r="L501" s="409">
        <f>ROUND(H501/$H$519,5)</f>
        <v>1.61E-2</v>
      </c>
      <c r="M501" s="412">
        <f>ROUND(J501/$J$519,5)</f>
        <v>2.18E-2</v>
      </c>
    </row>
    <row r="502" spans="1:13" ht="19" customHeight="1">
      <c r="A502" s="8"/>
      <c r="B502" s="8" t="s">
        <v>26</v>
      </c>
      <c r="C502" s="8"/>
      <c r="D502" s="33"/>
      <c r="E502" s="11"/>
      <c r="F502" s="149"/>
      <c r="G502" s="9"/>
      <c r="H502" s="383"/>
      <c r="I502" s="384"/>
      <c r="J502" s="395"/>
      <c r="K502" s="395"/>
      <c r="L502" s="399"/>
      <c r="M502" s="413"/>
    </row>
    <row r="503" spans="1:13" ht="19" customHeight="1">
      <c r="A503" s="8"/>
      <c r="B503" s="243" t="s">
        <v>8</v>
      </c>
      <c r="C503" s="8" t="s">
        <v>9</v>
      </c>
      <c r="D503" s="33">
        <f>ROUNDDOWN(D501*259/112,0)</f>
        <v>47</v>
      </c>
      <c r="E503" s="11">
        <f>E525</f>
        <v>24000</v>
      </c>
      <c r="F503" s="149" t="str">
        <f>C503</f>
        <v>Bag</v>
      </c>
      <c r="G503" s="9">
        <f>E503*D503</f>
        <v>1128000</v>
      </c>
      <c r="H503" s="383"/>
      <c r="I503" s="384"/>
      <c r="J503" s="395"/>
      <c r="K503" s="395"/>
      <c r="L503" s="399"/>
      <c r="M503" s="413"/>
    </row>
    <row r="504" spans="1:13" ht="19" customHeight="1">
      <c r="A504" s="8"/>
      <c r="B504" s="10" t="s">
        <v>31</v>
      </c>
      <c r="C504" s="8" t="s">
        <v>10</v>
      </c>
      <c r="D504" s="33">
        <f>D501*0.0575</f>
        <v>1.17</v>
      </c>
      <c r="E504" s="11">
        <f>E526</f>
        <v>30000</v>
      </c>
      <c r="F504" s="149" t="str">
        <f>C504</f>
        <v>Sud</v>
      </c>
      <c r="G504" s="9">
        <f>E504*D504</f>
        <v>35100</v>
      </c>
      <c r="H504" s="383"/>
      <c r="I504" s="384"/>
      <c r="J504" s="395"/>
      <c r="K504" s="395"/>
      <c r="L504" s="399"/>
      <c r="M504" s="413"/>
    </row>
    <row r="505" spans="1:13" ht="19" customHeight="1">
      <c r="A505" s="8"/>
      <c r="B505" s="10" t="s">
        <v>95</v>
      </c>
      <c r="C505" s="8" t="s">
        <v>10</v>
      </c>
      <c r="D505" s="33">
        <f>D501*0.115</f>
        <v>2.35</v>
      </c>
      <c r="E505" s="11">
        <f>E528</f>
        <v>110000</v>
      </c>
      <c r="F505" s="149" t="str">
        <f>C505</f>
        <v>Sud</v>
      </c>
      <c r="G505" s="9">
        <f>E505*D505</f>
        <v>258500</v>
      </c>
      <c r="H505" s="383"/>
      <c r="I505" s="384"/>
      <c r="J505" s="395"/>
      <c r="K505" s="395"/>
      <c r="L505" s="399"/>
      <c r="M505" s="413"/>
    </row>
    <row r="506" spans="1:13" s="32" customFormat="1" ht="18" customHeight="1">
      <c r="A506" s="250"/>
      <c r="B506" s="251" t="s">
        <v>22</v>
      </c>
      <c r="C506" s="252"/>
      <c r="D506" s="253"/>
      <c r="E506" s="254"/>
      <c r="F506" s="377"/>
      <c r="G506" s="253"/>
      <c r="H506" s="392"/>
      <c r="I506" s="390"/>
      <c r="J506" s="396"/>
      <c r="K506" s="396"/>
      <c r="L506" s="400"/>
      <c r="M506" s="414"/>
    </row>
    <row r="507" spans="1:13" s="32" customFormat="1" ht="18" customHeight="1">
      <c r="A507" s="250"/>
      <c r="B507" s="143" t="s">
        <v>394</v>
      </c>
      <c r="C507" s="262" t="s">
        <v>2</v>
      </c>
      <c r="D507" s="263">
        <f>D501*(0.75)</f>
        <v>15.31</v>
      </c>
      <c r="E507" s="264">
        <f>E558</f>
        <v>25000</v>
      </c>
      <c r="F507" s="378" t="str">
        <f>C507</f>
        <v>No</v>
      </c>
      <c r="G507" s="9">
        <f>E507*D507</f>
        <v>382750</v>
      </c>
      <c r="H507" s="387"/>
      <c r="I507" s="390"/>
      <c r="J507" s="396"/>
      <c r="K507" s="396"/>
      <c r="L507" s="400"/>
      <c r="M507" s="414"/>
    </row>
    <row r="508" spans="1:13" s="32" customFormat="1" ht="18" customHeight="1">
      <c r="A508" s="250"/>
      <c r="B508" s="143" t="s">
        <v>390</v>
      </c>
      <c r="C508" s="140" t="s">
        <v>2</v>
      </c>
      <c r="D508" s="263">
        <f>D501*1.5</f>
        <v>30.62</v>
      </c>
      <c r="E508" s="264">
        <f>E560</f>
        <v>20000</v>
      </c>
      <c r="F508" s="347" t="str">
        <f>C508</f>
        <v>No</v>
      </c>
      <c r="G508" s="9">
        <f>E508*D508</f>
        <v>612400</v>
      </c>
      <c r="H508" s="385"/>
      <c r="I508" s="390"/>
      <c r="J508" s="396"/>
      <c r="K508" s="396"/>
      <c r="L508" s="400"/>
      <c r="M508" s="414"/>
    </row>
    <row r="509" spans="1:13" ht="19.5" customHeight="1">
      <c r="A509" s="8"/>
      <c r="B509" s="8"/>
      <c r="C509" s="8"/>
      <c r="D509" s="33"/>
      <c r="E509" s="11"/>
      <c r="F509" s="149"/>
      <c r="G509" s="9"/>
      <c r="H509" s="383"/>
      <c r="I509" s="384"/>
      <c r="J509" s="395"/>
      <c r="K509" s="395"/>
      <c r="L509" s="399"/>
      <c r="M509" s="413"/>
    </row>
    <row r="510" spans="1:13" ht="20.149999999999999" customHeight="1">
      <c r="A510" s="39">
        <f>'Detail-Skeleton'!A1210</f>
        <v>19</v>
      </c>
      <c r="B510" s="54" t="str">
        <f>'Detail-Skeleton'!B1210</f>
        <v>Scaffolding Work</v>
      </c>
      <c r="C510" s="40" t="str">
        <f>'Detail-Skeleton'!K1212</f>
        <v>Fs</v>
      </c>
      <c r="D510" s="36">
        <f>'Detail-Skeleton'!J1212</f>
        <v>4480</v>
      </c>
      <c r="E510" s="116"/>
      <c r="F510" s="369"/>
      <c r="G510" s="9"/>
      <c r="H510" s="383">
        <f>SUM(G510:G516)</f>
        <v>964894</v>
      </c>
      <c r="I510" s="384"/>
      <c r="J510" s="394">
        <f>SUM(G516)</f>
        <v>460000</v>
      </c>
      <c r="K510" s="395"/>
      <c r="L510" s="409">
        <f>ROUND(H510/$H$519,5)</f>
        <v>6.4000000000000003E-3</v>
      </c>
      <c r="M510" s="412">
        <f>ROUND(J510/$J$519,5)</f>
        <v>1.01E-2</v>
      </c>
    </row>
    <row r="511" spans="1:13" ht="20.149999999999999" customHeight="1">
      <c r="A511" s="39"/>
      <c r="B511" s="39" t="s">
        <v>26</v>
      </c>
      <c r="C511" s="39"/>
      <c r="D511" s="36"/>
      <c r="E511" s="116"/>
      <c r="F511" s="369"/>
      <c r="G511" s="9"/>
      <c r="H511" s="383"/>
      <c r="I511" s="384"/>
      <c r="J511" s="395"/>
      <c r="K511" s="395"/>
      <c r="L511" s="399"/>
      <c r="M511" s="413"/>
    </row>
    <row r="512" spans="1:13" ht="20.149999999999999" customHeight="1">
      <c r="A512" s="39"/>
      <c r="B512" s="48" t="s">
        <v>90</v>
      </c>
      <c r="C512" s="39" t="s">
        <v>2</v>
      </c>
      <c r="D512" s="36">
        <f>ROUNDDOWN(D510*7/144/2,0)</f>
        <v>108</v>
      </c>
      <c r="E512" s="116">
        <f>E553</f>
        <v>2000</v>
      </c>
      <c r="F512" s="369" t="str">
        <f>C512</f>
        <v>No</v>
      </c>
      <c r="G512" s="9">
        <f>D512*E512</f>
        <v>216000</v>
      </c>
      <c r="H512" s="383"/>
      <c r="I512" s="384"/>
      <c r="J512" s="395"/>
      <c r="K512" s="395"/>
      <c r="L512" s="399"/>
      <c r="M512" s="413"/>
    </row>
    <row r="513" spans="1:13" ht="20.149999999999999" customHeight="1">
      <c r="A513" s="39"/>
      <c r="B513" s="48" t="s">
        <v>91</v>
      </c>
      <c r="C513" s="39" t="s">
        <v>92</v>
      </c>
      <c r="D513" s="36">
        <f>ROUNDDOWN(D510*0.5/144,0)</f>
        <v>15</v>
      </c>
      <c r="E513" s="116">
        <f>E554</f>
        <v>15000</v>
      </c>
      <c r="F513" s="369" t="str">
        <f>C513</f>
        <v>Viss</v>
      </c>
      <c r="G513" s="9">
        <f>D513*E513</f>
        <v>225000</v>
      </c>
      <c r="H513" s="383"/>
      <c r="I513" s="384"/>
      <c r="J513" s="395"/>
      <c r="K513" s="395"/>
      <c r="L513" s="399"/>
      <c r="M513" s="413"/>
    </row>
    <row r="514" spans="1:13" ht="20.149999999999999" customHeight="1">
      <c r="A514" s="39"/>
      <c r="B514" s="48" t="s">
        <v>35</v>
      </c>
      <c r="C514" s="39" t="s">
        <v>15</v>
      </c>
      <c r="D514" s="36">
        <f>ROUNDDOWN(D510*0.75/144,0)</f>
        <v>23</v>
      </c>
      <c r="E514" s="116">
        <f>E533</f>
        <v>2778</v>
      </c>
      <c r="F514" s="369" t="str">
        <f>C514</f>
        <v>Lb</v>
      </c>
      <c r="G514" s="9">
        <f>D514*E514</f>
        <v>63894</v>
      </c>
      <c r="H514" s="383"/>
      <c r="I514" s="384"/>
      <c r="J514" s="395"/>
      <c r="K514" s="395"/>
      <c r="L514" s="399"/>
      <c r="M514" s="413"/>
    </row>
    <row r="515" spans="1:13" s="32" customFormat="1" ht="20.149999999999999" customHeight="1">
      <c r="A515" s="91"/>
      <c r="B515" s="91" t="s">
        <v>22</v>
      </c>
      <c r="C515" s="255"/>
      <c r="D515" s="256"/>
      <c r="E515" s="257"/>
      <c r="F515" s="379"/>
      <c r="G515" s="258"/>
      <c r="H515" s="390"/>
      <c r="I515" s="390"/>
      <c r="J515" s="396"/>
      <c r="K515" s="396"/>
      <c r="L515" s="400"/>
      <c r="M515" s="414"/>
    </row>
    <row r="516" spans="1:13" s="32" customFormat="1" ht="20.149999999999999" customHeight="1">
      <c r="A516" s="91"/>
      <c r="B516" s="143" t="s">
        <v>390</v>
      </c>
      <c r="C516" s="140" t="s">
        <v>2</v>
      </c>
      <c r="D516" s="265">
        <f>ROUND(D510/144*0.75,0)</f>
        <v>23</v>
      </c>
      <c r="E516" s="266">
        <f>E560</f>
        <v>20000</v>
      </c>
      <c r="F516" s="347" t="str">
        <f>C516</f>
        <v>No</v>
      </c>
      <c r="G516" s="9">
        <f>D516*E516</f>
        <v>460000</v>
      </c>
      <c r="H516" s="385"/>
      <c r="I516" s="390"/>
      <c r="J516" s="396"/>
      <c r="K516" s="396"/>
      <c r="L516" s="400"/>
      <c r="M516" s="414"/>
    </row>
    <row r="517" spans="1:13" ht="20.149999999999999" customHeight="1">
      <c r="A517" s="39"/>
      <c r="B517" s="39"/>
      <c r="C517" s="39"/>
      <c r="D517" s="36"/>
      <c r="E517" s="116"/>
      <c r="F517" s="369"/>
      <c r="G517" s="9"/>
      <c r="H517" s="383"/>
      <c r="I517" s="384"/>
      <c r="J517" s="395"/>
      <c r="K517" s="395"/>
      <c r="L517" s="399"/>
      <c r="M517" s="413"/>
    </row>
    <row r="518" spans="1:13" ht="20.149999999999999" customHeight="1">
      <c r="A518" s="22"/>
      <c r="B518" s="22"/>
      <c r="C518" s="22"/>
      <c r="D518" s="35"/>
      <c r="E518" s="114"/>
      <c r="F518" s="380"/>
      <c r="G518" s="20"/>
      <c r="H518" s="401"/>
      <c r="I518" s="401"/>
      <c r="J518" s="402"/>
      <c r="K518" s="402"/>
      <c r="L518" s="403"/>
      <c r="M518" s="415"/>
    </row>
    <row r="519" spans="1:13" ht="25" customHeight="1">
      <c r="A519" s="517" t="s">
        <v>49</v>
      </c>
      <c r="B519" s="517"/>
      <c r="C519" s="517"/>
      <c r="D519" s="517"/>
      <c r="E519" s="517"/>
      <c r="F519" s="518"/>
      <c r="G519" s="350">
        <f>SUM(G6:G518)</f>
        <v>150613844.62</v>
      </c>
      <c r="H519" s="404">
        <f>SUM(H6:H518)</f>
        <v>150613844.62</v>
      </c>
      <c r="I519" s="405"/>
      <c r="J519" s="406">
        <f>SUM(J6:J518)</f>
        <v>45762500</v>
      </c>
      <c r="K519" s="407"/>
      <c r="L519" s="410">
        <f>SUM(L6:L518)</f>
        <v>1</v>
      </c>
      <c r="M519" s="408">
        <f>SUM(M6:M518)</f>
        <v>1</v>
      </c>
    </row>
    <row r="521" spans="1:13" ht="14">
      <c r="A521" s="496" t="s">
        <v>667</v>
      </c>
      <c r="B521" s="496"/>
      <c r="C521" s="496"/>
      <c r="D521" s="496"/>
      <c r="E521" s="496"/>
      <c r="F521" s="496"/>
      <c r="G521" s="496"/>
      <c r="H521" s="131"/>
    </row>
    <row r="522" spans="1:13">
      <c r="A522" s="508" t="s">
        <v>0</v>
      </c>
      <c r="B522" s="508" t="s">
        <v>1</v>
      </c>
      <c r="C522" s="508" t="s">
        <v>16</v>
      </c>
      <c r="D522" s="497" t="s">
        <v>17</v>
      </c>
      <c r="E522" s="510" t="s">
        <v>18</v>
      </c>
      <c r="F522" s="508" t="s">
        <v>19</v>
      </c>
      <c r="G522" s="497" t="s">
        <v>20</v>
      </c>
      <c r="H522" s="499"/>
    </row>
    <row r="523" spans="1:13">
      <c r="A523" s="509"/>
      <c r="B523" s="509"/>
      <c r="C523" s="509"/>
      <c r="D523" s="498"/>
      <c r="E523" s="511"/>
      <c r="F523" s="509"/>
      <c r="G523" s="498"/>
      <c r="H523" s="499"/>
    </row>
    <row r="524" spans="1:13" ht="13">
      <c r="A524" s="8"/>
      <c r="B524" s="417" t="s">
        <v>26</v>
      </c>
      <c r="C524" s="8"/>
      <c r="D524" s="33"/>
      <c r="E524" s="11"/>
      <c r="F524" s="8"/>
      <c r="G524" s="14"/>
      <c r="H524" s="19"/>
    </row>
    <row r="525" spans="1:13">
      <c r="A525" s="8">
        <v>1</v>
      </c>
      <c r="B525" s="144" t="s">
        <v>8</v>
      </c>
      <c r="C525" s="23" t="s">
        <v>9</v>
      </c>
      <c r="D525" s="33">
        <f t="shared" ref="D525:D533" si="4">SUMIF($B$7:$B$517,B525,$D$7:$D$517)</f>
        <v>877</v>
      </c>
      <c r="E525" s="11">
        <f>VLOOKUP(B525,'Material Rate'!A1:C90,3,FALSE)</f>
        <v>24000</v>
      </c>
      <c r="F525" s="23" t="str">
        <f>C525</f>
        <v>Bag</v>
      </c>
      <c r="G525" s="9">
        <f>D525*E525</f>
        <v>21048000</v>
      </c>
      <c r="H525" s="19"/>
      <c r="I525" s="15"/>
    </row>
    <row r="526" spans="1:13">
      <c r="A526" s="8">
        <v>2</v>
      </c>
      <c r="B526" s="144" t="s">
        <v>31</v>
      </c>
      <c r="C526" s="8" t="s">
        <v>10</v>
      </c>
      <c r="D526" s="33">
        <f t="shared" si="4"/>
        <v>43.59</v>
      </c>
      <c r="E526" s="11">
        <f>VLOOKUP(B526,'Material Rate'!A2:C91,3,FALSE)</f>
        <v>30000</v>
      </c>
      <c r="F526" s="23" t="str">
        <f t="shared" ref="F526:F554" si="5">C526</f>
        <v>Sud</v>
      </c>
      <c r="G526" s="9">
        <f t="shared" ref="G526:G533" si="6">D526*E526</f>
        <v>1307700</v>
      </c>
      <c r="H526" s="19"/>
      <c r="I526" s="15"/>
    </row>
    <row r="527" spans="1:13">
      <c r="A527" s="8">
        <v>3</v>
      </c>
      <c r="B527" s="144" t="s">
        <v>11</v>
      </c>
      <c r="C527" s="8" t="s">
        <v>2</v>
      </c>
      <c r="D527" s="33">
        <f t="shared" si="4"/>
        <v>37574</v>
      </c>
      <c r="E527" s="11">
        <f>VLOOKUP(B527,'Material Rate'!A3:C92,3,FALSE)</f>
        <v>350</v>
      </c>
      <c r="F527" s="23" t="str">
        <f t="shared" si="5"/>
        <v>No</v>
      </c>
      <c r="G527" s="9">
        <f t="shared" si="6"/>
        <v>13150900</v>
      </c>
      <c r="H527" s="19"/>
      <c r="I527" s="15"/>
    </row>
    <row r="528" spans="1:13">
      <c r="A528" s="8">
        <v>4</v>
      </c>
      <c r="B528" s="144" t="s">
        <v>95</v>
      </c>
      <c r="C528" s="8" t="s">
        <v>10</v>
      </c>
      <c r="D528" s="33">
        <f t="shared" si="4"/>
        <v>26.15</v>
      </c>
      <c r="E528" s="11">
        <f>VLOOKUP(B528,'Material Rate'!A4:C93,3,FALSE)</f>
        <v>110000</v>
      </c>
      <c r="F528" s="23" t="str">
        <f t="shared" si="5"/>
        <v>Sud</v>
      </c>
      <c r="G528" s="9">
        <f t="shared" si="6"/>
        <v>2876500</v>
      </c>
      <c r="H528" s="19"/>
      <c r="I528" s="15"/>
    </row>
    <row r="529" spans="1:9">
      <c r="A529" s="8">
        <v>5</v>
      </c>
      <c r="B529" s="12" t="s">
        <v>670</v>
      </c>
      <c r="C529" s="8" t="s">
        <v>10</v>
      </c>
      <c r="D529" s="33">
        <f t="shared" si="4"/>
        <v>1.47</v>
      </c>
      <c r="E529" s="11">
        <f>VLOOKUP(B529,'Material Rate'!A5:C94,3,FALSE)</f>
        <v>200000</v>
      </c>
      <c r="F529" s="23" t="str">
        <f t="shared" si="5"/>
        <v>Sud</v>
      </c>
      <c r="G529" s="9">
        <f t="shared" si="6"/>
        <v>294000</v>
      </c>
      <c r="H529" s="19"/>
      <c r="I529" s="15"/>
    </row>
    <row r="530" spans="1:9">
      <c r="A530" s="8">
        <v>6</v>
      </c>
      <c r="B530" s="144" t="s">
        <v>34</v>
      </c>
      <c r="C530" s="23" t="s">
        <v>28</v>
      </c>
      <c r="D530" s="33">
        <f t="shared" si="4"/>
        <v>51.24</v>
      </c>
      <c r="E530" s="11">
        <f>VLOOKUP(B530,'Material Rate'!A6:C95,3,FALSE)</f>
        <v>20000</v>
      </c>
      <c r="F530" s="23" t="str">
        <f t="shared" si="5"/>
        <v>Gal</v>
      </c>
      <c r="G530" s="9">
        <f t="shared" si="6"/>
        <v>1024800</v>
      </c>
      <c r="H530" s="19"/>
      <c r="I530" s="15"/>
    </row>
    <row r="531" spans="1:9">
      <c r="A531" s="8">
        <v>7</v>
      </c>
      <c r="B531" s="144" t="s">
        <v>62</v>
      </c>
      <c r="C531" s="91" t="s">
        <v>13</v>
      </c>
      <c r="D531" s="33">
        <f t="shared" si="4"/>
        <v>100.43</v>
      </c>
      <c r="E531" s="11">
        <f>VLOOKUP(B531,'Material Rate'!A7:C96,3,FALSE)</f>
        <v>70000</v>
      </c>
      <c r="F531" s="23" t="str">
        <f t="shared" si="5"/>
        <v>Sht</v>
      </c>
      <c r="G531" s="9">
        <f t="shared" si="6"/>
        <v>7030100</v>
      </c>
      <c r="H531" s="19"/>
      <c r="I531" s="15"/>
    </row>
    <row r="532" spans="1:9">
      <c r="A532" s="8">
        <v>8</v>
      </c>
      <c r="B532" s="241" t="s">
        <v>53</v>
      </c>
      <c r="C532" s="91" t="s">
        <v>14</v>
      </c>
      <c r="D532" s="33">
        <f t="shared" si="4"/>
        <v>8.9600000000000009</v>
      </c>
      <c r="E532" s="11">
        <f>VLOOKUP(B532,'Material Rate'!A8:C97,3,FALSE)</f>
        <v>1500000</v>
      </c>
      <c r="F532" s="23" t="str">
        <f t="shared" si="5"/>
        <v>Ton</v>
      </c>
      <c r="G532" s="9">
        <f t="shared" si="6"/>
        <v>13440000</v>
      </c>
      <c r="H532" s="19"/>
      <c r="I532" s="15"/>
    </row>
    <row r="533" spans="1:9">
      <c r="A533" s="8">
        <v>9</v>
      </c>
      <c r="B533" s="144" t="s">
        <v>35</v>
      </c>
      <c r="C533" s="91" t="s">
        <v>15</v>
      </c>
      <c r="D533" s="33">
        <f t="shared" si="4"/>
        <v>190.29</v>
      </c>
      <c r="E533" s="11">
        <f>VLOOKUP(B533,'Material Rate'!A9:C98,3,FALSE)</f>
        <v>2778</v>
      </c>
      <c r="F533" s="23" t="str">
        <f t="shared" si="5"/>
        <v>Lb</v>
      </c>
      <c r="G533" s="9">
        <f t="shared" si="6"/>
        <v>528625.62</v>
      </c>
      <c r="H533" s="19"/>
      <c r="I533" s="15"/>
    </row>
    <row r="534" spans="1:9">
      <c r="A534" s="8">
        <v>10</v>
      </c>
      <c r="B534" s="12" t="s">
        <v>33</v>
      </c>
      <c r="C534" s="91"/>
      <c r="D534" s="33"/>
      <c r="E534" s="11"/>
      <c r="F534" s="23"/>
      <c r="G534" s="9"/>
      <c r="H534" s="19"/>
      <c r="I534" s="15"/>
    </row>
    <row r="535" spans="1:9">
      <c r="A535" s="8"/>
      <c r="B535" s="26" t="s">
        <v>404</v>
      </c>
      <c r="C535" s="8" t="s">
        <v>14</v>
      </c>
      <c r="D535" s="33">
        <f>SUMIF($B$7:$B$517,B535,$D$7:$D$517)</f>
        <v>0.18</v>
      </c>
      <c r="E535" s="11">
        <f>VLOOKUP(B535,'Material Rate'!A11:C100,3,FALSE)</f>
        <v>3800000</v>
      </c>
      <c r="F535" s="23" t="str">
        <f t="shared" si="5"/>
        <v>Ton</v>
      </c>
      <c r="G535" s="9">
        <f>D535*E535</f>
        <v>684000</v>
      </c>
      <c r="H535" s="19"/>
      <c r="I535" s="15"/>
    </row>
    <row r="536" spans="1:9">
      <c r="A536" s="8"/>
      <c r="B536" s="10" t="s">
        <v>669</v>
      </c>
      <c r="C536" s="8" t="s">
        <v>14</v>
      </c>
      <c r="D536" s="33">
        <f>SUMIF($B$7:$B$517,B536,$D$7:$D$517)</f>
        <v>4.5199999999999996</v>
      </c>
      <c r="E536" s="11">
        <f>VLOOKUP(B536,'Material Rate'!A12:C114,3,FALSE)</f>
        <v>2500000</v>
      </c>
      <c r="F536" s="23" t="str">
        <f t="shared" si="5"/>
        <v>Ton</v>
      </c>
      <c r="G536" s="9">
        <f>D536*E536</f>
        <v>11300000</v>
      </c>
      <c r="H536" s="19"/>
      <c r="I536" s="15"/>
    </row>
    <row r="537" spans="1:9">
      <c r="A537" s="8"/>
      <c r="B537" s="10" t="s">
        <v>668</v>
      </c>
      <c r="C537" s="91" t="s">
        <v>14</v>
      </c>
      <c r="D537" s="33">
        <f>SUMIF($B$7:$B$517,B537,$D$7:$D$517)</f>
        <v>0.23</v>
      </c>
      <c r="E537" s="11">
        <f>VLOOKUP(B537,'Material Rate'!A13:C115,3,FALSE)</f>
        <v>2400000</v>
      </c>
      <c r="F537" s="23" t="str">
        <f t="shared" si="5"/>
        <v>Ton</v>
      </c>
      <c r="G537" s="9">
        <f>D537*E537</f>
        <v>552000</v>
      </c>
      <c r="H537" s="19"/>
      <c r="I537" s="15"/>
    </row>
    <row r="538" spans="1:9">
      <c r="A538" s="8"/>
      <c r="B538" s="10" t="s">
        <v>549</v>
      </c>
      <c r="C538" s="8" t="s">
        <v>14</v>
      </c>
      <c r="D538" s="33">
        <f>SUMIF($B$7:$B$517,B538,$D$7:$D$517)</f>
        <v>5.14</v>
      </c>
      <c r="E538" s="11">
        <f>VLOOKUP(B538,'Material Rate'!A14:C116,3,FALSE)</f>
        <v>2800000</v>
      </c>
      <c r="F538" s="23" t="str">
        <f t="shared" si="5"/>
        <v>Ton</v>
      </c>
      <c r="G538" s="9">
        <f>D538*E538</f>
        <v>14392000</v>
      </c>
      <c r="H538" s="19"/>
      <c r="I538" s="15"/>
    </row>
    <row r="539" spans="1:9">
      <c r="A539" s="8"/>
      <c r="B539" s="26"/>
      <c r="C539" s="21" t="s">
        <v>14</v>
      </c>
      <c r="D539" s="33">
        <f>SUM(D535:D538)</f>
        <v>10.07</v>
      </c>
      <c r="E539" s="11"/>
      <c r="F539" s="23"/>
      <c r="G539" s="9"/>
      <c r="H539" s="19"/>
      <c r="I539" s="15"/>
    </row>
    <row r="540" spans="1:9">
      <c r="A540" s="8">
        <v>11</v>
      </c>
      <c r="B540" s="144" t="s">
        <v>32</v>
      </c>
      <c r="C540" s="21" t="s">
        <v>15</v>
      </c>
      <c r="D540" s="33">
        <f t="shared" ref="D540:D554" si="7">SUMIF($B$7:$B$517,B540,$D$7:$D$517)</f>
        <v>191.8</v>
      </c>
      <c r="E540" s="11">
        <f>VLOOKUP(B540,'Material Rate'!A16:C118,3,FALSE)</f>
        <v>3333</v>
      </c>
      <c r="F540" s="23" t="str">
        <f t="shared" si="5"/>
        <v>Lb</v>
      </c>
      <c r="G540" s="9">
        <f t="shared" ref="G540:G554" si="8">D540*E540</f>
        <v>639269.4</v>
      </c>
      <c r="H540" s="19"/>
      <c r="I540" s="15"/>
    </row>
    <row r="541" spans="1:9">
      <c r="A541" s="8">
        <v>12</v>
      </c>
      <c r="B541" s="12" t="s">
        <v>621</v>
      </c>
      <c r="C541" s="8" t="s">
        <v>2</v>
      </c>
      <c r="D541" s="33">
        <f t="shared" si="7"/>
        <v>99</v>
      </c>
      <c r="E541" s="11">
        <f>VLOOKUP(B541,'Material Rate'!A17:C119,3,FALSE)</f>
        <v>60000</v>
      </c>
      <c r="F541" s="23" t="str">
        <f t="shared" si="5"/>
        <v>No</v>
      </c>
      <c r="G541" s="9">
        <f t="shared" si="8"/>
        <v>5940000</v>
      </c>
      <c r="H541" s="19"/>
      <c r="I541" s="15"/>
    </row>
    <row r="542" spans="1:9">
      <c r="A542" s="8">
        <v>13</v>
      </c>
      <c r="B542" s="12" t="s">
        <v>622</v>
      </c>
      <c r="C542" s="21" t="s">
        <v>2</v>
      </c>
      <c r="D542" s="33">
        <f t="shared" si="7"/>
        <v>50</v>
      </c>
      <c r="E542" s="11">
        <f>VLOOKUP(B542,'Material Rate'!A18:C120,3,FALSE)</f>
        <v>42000</v>
      </c>
      <c r="F542" s="23" t="str">
        <f t="shared" si="5"/>
        <v>No</v>
      </c>
      <c r="G542" s="9">
        <f t="shared" si="8"/>
        <v>2100000</v>
      </c>
      <c r="H542" s="19"/>
      <c r="I542" s="15"/>
    </row>
    <row r="543" spans="1:9">
      <c r="A543" s="8">
        <v>14</v>
      </c>
      <c r="B543" s="12" t="s">
        <v>623</v>
      </c>
      <c r="C543" s="8" t="s">
        <v>2</v>
      </c>
      <c r="D543" s="33">
        <f t="shared" si="7"/>
        <v>2</v>
      </c>
      <c r="E543" s="11">
        <f>VLOOKUP(B543,'Material Rate'!A19:C121,3,FALSE)</f>
        <v>40000</v>
      </c>
      <c r="F543" s="23" t="str">
        <f t="shared" si="5"/>
        <v>No</v>
      </c>
      <c r="G543" s="9">
        <f t="shared" si="8"/>
        <v>80000</v>
      </c>
      <c r="H543" s="19"/>
      <c r="I543" s="15"/>
    </row>
    <row r="544" spans="1:9">
      <c r="A544" s="8">
        <v>15</v>
      </c>
      <c r="B544" s="54" t="s">
        <v>891</v>
      </c>
      <c r="C544" s="8" t="s">
        <v>892</v>
      </c>
      <c r="D544" s="33">
        <f t="shared" si="7"/>
        <v>5</v>
      </c>
      <c r="E544" s="11">
        <f>VLOOKUP(B544,'Material Rate'!A20:C122,3,FALSE)</f>
        <v>27000</v>
      </c>
      <c r="F544" s="23" t="str">
        <f>C544</f>
        <v>Pkt</v>
      </c>
      <c r="G544" s="9">
        <f>D544*E544</f>
        <v>135000</v>
      </c>
      <c r="H544" s="19"/>
      <c r="I544" s="15"/>
    </row>
    <row r="545" spans="1:9">
      <c r="A545" s="8">
        <v>16</v>
      </c>
      <c r="B545" s="12" t="s">
        <v>624</v>
      </c>
      <c r="C545" s="23" t="s">
        <v>82</v>
      </c>
      <c r="D545" s="33">
        <f t="shared" si="7"/>
        <v>881</v>
      </c>
      <c r="E545" s="11">
        <f>VLOOKUP(B545,'Material Rate'!A20:C122,3,FALSE)</f>
        <v>4000</v>
      </c>
      <c r="F545" s="23" t="str">
        <f t="shared" si="5"/>
        <v>Ft</v>
      </c>
      <c r="G545" s="9">
        <f t="shared" si="8"/>
        <v>3524000</v>
      </c>
      <c r="H545" s="19"/>
      <c r="I545" s="15"/>
    </row>
    <row r="546" spans="1:9">
      <c r="A546" s="8">
        <v>17</v>
      </c>
      <c r="B546" s="12" t="s">
        <v>618</v>
      </c>
      <c r="C546" s="8" t="s">
        <v>82</v>
      </c>
      <c r="D546" s="33">
        <f t="shared" si="7"/>
        <v>152</v>
      </c>
      <c r="E546" s="11">
        <f>VLOOKUP(B546,'Material Rate'!A21:C123,3,FALSE)</f>
        <v>3000</v>
      </c>
      <c r="F546" s="23" t="str">
        <f t="shared" si="5"/>
        <v>Ft</v>
      </c>
      <c r="G546" s="9">
        <f t="shared" si="8"/>
        <v>456000</v>
      </c>
      <c r="H546" s="19"/>
      <c r="I546" s="15"/>
    </row>
    <row r="547" spans="1:9">
      <c r="A547" s="8">
        <v>18</v>
      </c>
      <c r="B547" s="12" t="s">
        <v>712</v>
      </c>
      <c r="C547" s="8" t="s">
        <v>2</v>
      </c>
      <c r="D547" s="33">
        <f t="shared" si="7"/>
        <v>750</v>
      </c>
      <c r="E547" s="11">
        <f>VLOOKUP(B547,'Material Rate'!A22:C124,3,FALSE)</f>
        <v>100</v>
      </c>
      <c r="F547" s="23" t="str">
        <f>C547</f>
        <v>No</v>
      </c>
      <c r="G547" s="9">
        <f t="shared" si="8"/>
        <v>75000</v>
      </c>
      <c r="H547" s="19"/>
      <c r="I547" s="15"/>
    </row>
    <row r="548" spans="1:9">
      <c r="A548" s="8">
        <v>19</v>
      </c>
      <c r="B548" s="52" t="s">
        <v>715</v>
      </c>
      <c r="C548" s="8" t="s">
        <v>82</v>
      </c>
      <c r="D548" s="33">
        <f t="shared" si="7"/>
        <v>20.84</v>
      </c>
      <c r="E548" s="11">
        <f>VLOOKUP(B548,'Material Rate'!A23:C125,3,FALSE)</f>
        <v>15000</v>
      </c>
      <c r="F548" s="23" t="str">
        <f>C548</f>
        <v>Ft</v>
      </c>
      <c r="G548" s="9">
        <f>D548*E548</f>
        <v>312600</v>
      </c>
      <c r="H548" s="19"/>
      <c r="I548" s="15"/>
    </row>
    <row r="549" spans="1:9">
      <c r="A549" s="8">
        <v>20</v>
      </c>
      <c r="B549" s="52" t="s">
        <v>638</v>
      </c>
      <c r="C549" s="8" t="s">
        <v>82</v>
      </c>
      <c r="D549" s="33">
        <f t="shared" si="7"/>
        <v>227.08</v>
      </c>
      <c r="E549" s="11">
        <f>VLOOKUP(B549,'Material Rate'!A22:C124,3,FALSE)</f>
        <v>12000</v>
      </c>
      <c r="F549" s="23" t="str">
        <f t="shared" si="5"/>
        <v>Ft</v>
      </c>
      <c r="G549" s="9">
        <f t="shared" si="8"/>
        <v>2724960</v>
      </c>
      <c r="H549" s="19"/>
      <c r="I549" s="15"/>
    </row>
    <row r="550" spans="1:9">
      <c r="A550" s="8">
        <v>21</v>
      </c>
      <c r="B550" s="52" t="s">
        <v>88</v>
      </c>
      <c r="C550" s="8" t="s">
        <v>28</v>
      </c>
      <c r="D550" s="33">
        <f t="shared" si="7"/>
        <v>1.2</v>
      </c>
      <c r="E550" s="11">
        <f>VLOOKUP(B550,'Material Rate'!A25:C125,3,FALSE)</f>
        <v>10000</v>
      </c>
      <c r="F550" s="23" t="str">
        <f t="shared" si="5"/>
        <v>Gal</v>
      </c>
      <c r="G550" s="9">
        <f t="shared" si="8"/>
        <v>12000</v>
      </c>
      <c r="H550" s="19"/>
      <c r="I550" s="15"/>
    </row>
    <row r="551" spans="1:9">
      <c r="A551" s="8">
        <v>22</v>
      </c>
      <c r="B551" s="52" t="s">
        <v>639</v>
      </c>
      <c r="C551" s="8" t="s">
        <v>2</v>
      </c>
      <c r="D551" s="33">
        <f t="shared" si="7"/>
        <v>104</v>
      </c>
      <c r="E551" s="11">
        <f>VLOOKUP(B551,'Material Rate'!A26:C126,3,FALSE)</f>
        <v>200</v>
      </c>
      <c r="F551" s="23" t="str">
        <f t="shared" si="5"/>
        <v>No</v>
      </c>
      <c r="G551" s="9">
        <f t="shared" si="8"/>
        <v>20800</v>
      </c>
      <c r="H551" s="19"/>
      <c r="I551" s="15"/>
    </row>
    <row r="552" spans="1:9">
      <c r="A552" s="8">
        <v>23</v>
      </c>
      <c r="B552" s="12" t="s">
        <v>87</v>
      </c>
      <c r="C552" s="8" t="s">
        <v>82</v>
      </c>
      <c r="D552" s="33">
        <f t="shared" si="7"/>
        <v>4763.0600000000004</v>
      </c>
      <c r="E552" s="11">
        <f>VLOOKUP(B552,'Material Rate'!A27:C127,3,FALSE)</f>
        <v>160</v>
      </c>
      <c r="F552" s="23" t="str">
        <f t="shared" si="5"/>
        <v>Ft</v>
      </c>
      <c r="G552" s="9">
        <f t="shared" si="8"/>
        <v>762089.6</v>
      </c>
      <c r="H552" s="19"/>
      <c r="I552" s="15"/>
    </row>
    <row r="553" spans="1:9">
      <c r="A553" s="8">
        <v>24</v>
      </c>
      <c r="B553" s="54" t="s">
        <v>90</v>
      </c>
      <c r="C553" s="8" t="s">
        <v>2</v>
      </c>
      <c r="D553" s="33">
        <f t="shared" si="7"/>
        <v>108</v>
      </c>
      <c r="E553" s="11">
        <f>VLOOKUP(B553,'Material Rate'!A28:C128,3,FALSE)</f>
        <v>2000</v>
      </c>
      <c r="F553" s="23" t="str">
        <f t="shared" si="5"/>
        <v>No</v>
      </c>
      <c r="G553" s="9">
        <f t="shared" si="8"/>
        <v>216000</v>
      </c>
      <c r="H553" s="19"/>
      <c r="I553" s="15"/>
    </row>
    <row r="554" spans="1:9">
      <c r="A554" s="8">
        <v>25</v>
      </c>
      <c r="B554" s="54" t="s">
        <v>91</v>
      </c>
      <c r="C554" s="39" t="s">
        <v>92</v>
      </c>
      <c r="D554" s="36">
        <f t="shared" si="7"/>
        <v>15</v>
      </c>
      <c r="E554" s="116">
        <f>VLOOKUP(B554,'Material Rate'!A29:C129,3,FALSE)</f>
        <v>15000</v>
      </c>
      <c r="F554" s="40" t="str">
        <f t="shared" si="5"/>
        <v>Viss</v>
      </c>
      <c r="G554" s="20">
        <f t="shared" si="8"/>
        <v>225000</v>
      </c>
      <c r="H554" s="19"/>
      <c r="I554" s="15"/>
    </row>
    <row r="555" spans="1:9" ht="13">
      <c r="A555" s="8"/>
      <c r="B555" s="512" t="s">
        <v>681</v>
      </c>
      <c r="C555" s="513"/>
      <c r="D555" s="513"/>
      <c r="E555" s="513"/>
      <c r="F555" s="514"/>
      <c r="G555" s="421">
        <f>SUM(G524:G554)</f>
        <v>104851344.62</v>
      </c>
      <c r="H555" s="19"/>
    </row>
    <row r="556" spans="1:9" ht="13">
      <c r="A556" s="8"/>
      <c r="B556" s="418" t="s">
        <v>22</v>
      </c>
      <c r="C556" s="419"/>
      <c r="D556" s="24"/>
      <c r="E556" s="115"/>
      <c r="F556" s="37"/>
      <c r="G556" s="14"/>
      <c r="H556" s="19"/>
    </row>
    <row r="557" spans="1:9">
      <c r="A557" s="8">
        <v>1</v>
      </c>
      <c r="B557" s="12" t="s">
        <v>391</v>
      </c>
      <c r="C557" s="8" t="s">
        <v>2</v>
      </c>
      <c r="D557" s="33">
        <f t="shared" ref="D557:D562" si="9">SUMIF($B$7:$B$517,B557,$D$7:$D$517)</f>
        <v>239.23</v>
      </c>
      <c r="E557" s="11">
        <f>VLOOKUP(B557,'Material Rate'!A92:C99,3,FALSE)</f>
        <v>25000</v>
      </c>
      <c r="F557" s="8" t="str">
        <f t="shared" ref="F557:F562" si="10">C557</f>
        <v>No</v>
      </c>
      <c r="G557" s="9">
        <f t="shared" ref="G557:G562" si="11">D557*E557</f>
        <v>5980750</v>
      </c>
      <c r="H557" s="19"/>
      <c r="I557" s="15"/>
    </row>
    <row r="558" spans="1:9">
      <c r="A558" s="4">
        <v>2</v>
      </c>
      <c r="B558" s="12" t="s">
        <v>394</v>
      </c>
      <c r="C558" s="8" t="s">
        <v>2</v>
      </c>
      <c r="D558" s="33">
        <f t="shared" si="9"/>
        <v>348.42</v>
      </c>
      <c r="E558" s="11">
        <f>VLOOKUP(B558,'Material Rate'!A93:C100,3,FALSE)</f>
        <v>25000</v>
      </c>
      <c r="F558" s="8" t="str">
        <f t="shared" si="10"/>
        <v>No</v>
      </c>
      <c r="G558" s="9">
        <f t="shared" si="11"/>
        <v>8710500</v>
      </c>
      <c r="H558" s="19"/>
      <c r="I558" s="15"/>
    </row>
    <row r="559" spans="1:9">
      <c r="A559" s="8">
        <v>3</v>
      </c>
      <c r="B559" s="12" t="s">
        <v>396</v>
      </c>
      <c r="C559" s="8" t="s">
        <v>2</v>
      </c>
      <c r="D559" s="33">
        <f t="shared" si="9"/>
        <v>192.85</v>
      </c>
      <c r="E559" s="11">
        <f>VLOOKUP(B559,'Material Rate'!A94:C114,3,FALSE)</f>
        <v>25000</v>
      </c>
      <c r="F559" s="8" t="str">
        <f t="shared" si="10"/>
        <v>No</v>
      </c>
      <c r="G559" s="9">
        <f t="shared" si="11"/>
        <v>4821250</v>
      </c>
      <c r="H559" s="19"/>
      <c r="I559" s="15"/>
    </row>
    <row r="560" spans="1:9">
      <c r="A560" s="4">
        <v>4</v>
      </c>
      <c r="B560" s="351" t="s">
        <v>390</v>
      </c>
      <c r="C560" s="8" t="s">
        <v>2</v>
      </c>
      <c r="D560" s="33">
        <f t="shared" si="9"/>
        <v>1208.95</v>
      </c>
      <c r="E560" s="11">
        <f>VLOOKUP(B560,'Material Rate'!A95:C115,3,FALSE)</f>
        <v>20000</v>
      </c>
      <c r="F560" s="8" t="str">
        <f t="shared" si="10"/>
        <v>No</v>
      </c>
      <c r="G560" s="9">
        <f t="shared" si="11"/>
        <v>24179000</v>
      </c>
      <c r="H560" s="19"/>
      <c r="I560" s="15"/>
    </row>
    <row r="561" spans="1:9">
      <c r="A561" s="8">
        <v>5</v>
      </c>
      <c r="B561" s="94" t="s">
        <v>395</v>
      </c>
      <c r="C561" s="8" t="s">
        <v>2</v>
      </c>
      <c r="D561" s="33">
        <f t="shared" si="9"/>
        <v>12.84</v>
      </c>
      <c r="E561" s="11">
        <f>VLOOKUP(B561,'Material Rate'!A96:C116,3,FALSE)</f>
        <v>25000</v>
      </c>
      <c r="F561" s="8" t="str">
        <f t="shared" si="10"/>
        <v>No</v>
      </c>
      <c r="G561" s="9">
        <f t="shared" si="11"/>
        <v>321000</v>
      </c>
      <c r="H561" s="19"/>
      <c r="I561" s="15"/>
    </row>
    <row r="562" spans="1:9">
      <c r="A562" s="4">
        <v>6</v>
      </c>
      <c r="B562" s="54" t="s">
        <v>628</v>
      </c>
      <c r="C562" s="6" t="s">
        <v>21</v>
      </c>
      <c r="D562" s="36">
        <f t="shared" si="9"/>
        <v>875</v>
      </c>
      <c r="E562" s="116">
        <f>VLOOKUP(B562,'Material Rate'!A97:C117,3,FALSE)</f>
        <v>2000</v>
      </c>
      <c r="F562" s="39" t="str">
        <f t="shared" si="10"/>
        <v>Fs</v>
      </c>
      <c r="G562" s="20">
        <f t="shared" si="11"/>
        <v>1750000</v>
      </c>
      <c r="H562" s="19"/>
      <c r="I562" s="15"/>
    </row>
    <row r="563" spans="1:9" ht="13">
      <c r="A563" s="422"/>
      <c r="B563" s="512" t="s">
        <v>682</v>
      </c>
      <c r="C563" s="513"/>
      <c r="D563" s="513"/>
      <c r="E563" s="513"/>
      <c r="F563" s="514"/>
      <c r="G563" s="423">
        <f>SUM(G557:G562)</f>
        <v>45762500</v>
      </c>
    </row>
    <row r="564" spans="1:9" ht="13">
      <c r="A564" s="422"/>
      <c r="B564" s="515" t="s">
        <v>49</v>
      </c>
      <c r="C564" s="515"/>
      <c r="D564" s="515"/>
      <c r="E564" s="515"/>
      <c r="F564" s="515"/>
      <c r="G564" s="423">
        <f>G563+G555</f>
        <v>150613844.62</v>
      </c>
    </row>
  </sheetData>
  <autoFilter ref="A4:G519" xr:uid="{6638A9F3-E63E-449E-8B21-2C75DE969AB7}"/>
  <mergeCells count="29">
    <mergeCell ref="B555:F555"/>
    <mergeCell ref="B563:F563"/>
    <mergeCell ref="B564:F564"/>
    <mergeCell ref="A1:G1"/>
    <mergeCell ref="A2:G2"/>
    <mergeCell ref="A3:G3"/>
    <mergeCell ref="B4:B5"/>
    <mergeCell ref="C4:C5"/>
    <mergeCell ref="A519:F519"/>
    <mergeCell ref="A4:A5"/>
    <mergeCell ref="G4:G5"/>
    <mergeCell ref="A522:A523"/>
    <mergeCell ref="B522:B523"/>
    <mergeCell ref="C522:C523"/>
    <mergeCell ref="D522:D523"/>
    <mergeCell ref="E522:E523"/>
    <mergeCell ref="E4:E5"/>
    <mergeCell ref="F522:F523"/>
    <mergeCell ref="D4:D5"/>
    <mergeCell ref="L4:M4"/>
    <mergeCell ref="H3:M3"/>
    <mergeCell ref="G522:G523"/>
    <mergeCell ref="H522:H523"/>
    <mergeCell ref="I4:I5"/>
    <mergeCell ref="J4:J5"/>
    <mergeCell ref="K4:K5"/>
    <mergeCell ref="H4:H5"/>
    <mergeCell ref="A521:G521"/>
    <mergeCell ref="F4:F5"/>
  </mergeCells>
  <phoneticPr fontId="7" type="noConversion"/>
  <printOptions horizontalCentered="1"/>
  <pageMargins left="0.5" right="0" top="0.75" bottom="0.5" header="0.5" footer="0.25"/>
  <pageSetup paperSize="9" orientation="portrait" horizontalDpi="300" verticalDpi="300" r:id="rId1"/>
  <headerFooter alignWithMargins="0">
    <oddFooter>&amp;R&amp;P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7AF8C-A7FB-45D1-A7B5-714193238207}">
  <sheetPr codeName="Sheet7">
    <tabColor rgb="FF002060"/>
  </sheetPr>
  <dimension ref="A1:IV1215"/>
  <sheetViews>
    <sheetView topLeftCell="A86" zoomScale="130" zoomScaleNormal="130" workbookViewId="0">
      <selection activeCell="G92" sqref="G92"/>
    </sheetView>
  </sheetViews>
  <sheetFormatPr defaultColWidth="9.1796875" defaultRowHeight="12.5"/>
  <cols>
    <col min="1" max="1" width="4" style="34" customWidth="1"/>
    <col min="2" max="2" width="24.453125" style="31" customWidth="1"/>
    <col min="3" max="3" width="8" style="31" customWidth="1"/>
    <col min="4" max="4" width="8" style="111" bestFit="1" customWidth="1"/>
    <col min="5" max="5" width="11.54296875" style="112" bestFit="1" customWidth="1"/>
    <col min="6" max="6" width="11.81640625" style="112" customWidth="1"/>
    <col min="7" max="7" width="9.7265625" style="112" customWidth="1"/>
    <col min="8" max="8" width="11.1796875" style="112" customWidth="1"/>
    <col min="9" max="9" width="11.54296875" style="112" customWidth="1"/>
    <col min="10" max="10" width="12.26953125" style="113" bestFit="1" customWidth="1"/>
    <col min="11" max="11" width="6.26953125" style="62" bestFit="1" customWidth="1"/>
    <col min="12" max="12" width="12" style="62" bestFit="1" customWidth="1"/>
    <col min="13" max="13" width="13.26953125" style="62" bestFit="1" customWidth="1"/>
    <col min="14" max="14" width="6.453125" style="62" customWidth="1"/>
    <col min="15" max="15" width="8.7265625" style="62" customWidth="1"/>
    <col min="16" max="16" width="13.26953125" style="63" bestFit="1" customWidth="1"/>
    <col min="17" max="17" width="8.26953125" style="63" customWidth="1"/>
    <col min="18" max="18" width="11.54296875" style="31" bestFit="1" customWidth="1"/>
    <col min="19" max="16384" width="9.1796875" style="31"/>
  </cols>
  <sheetData>
    <row r="1" spans="1:17" ht="14">
      <c r="A1" s="516" t="s">
        <v>646</v>
      </c>
      <c r="B1" s="516"/>
      <c r="C1" s="516"/>
      <c r="D1" s="516"/>
      <c r="E1" s="516"/>
      <c r="F1" s="516"/>
      <c r="G1" s="516"/>
      <c r="H1" s="516"/>
      <c r="I1" s="516"/>
      <c r="J1" s="516"/>
      <c r="K1" s="516"/>
    </row>
    <row r="2" spans="1:17" s="2" customFormat="1" ht="25" customHeight="1">
      <c r="A2" s="516" t="s">
        <v>500</v>
      </c>
      <c r="B2" s="516"/>
      <c r="C2" s="516"/>
      <c r="D2" s="516"/>
      <c r="E2" s="516"/>
      <c r="F2" s="516"/>
      <c r="G2" s="516"/>
      <c r="H2" s="516"/>
      <c r="I2" s="516"/>
      <c r="J2" s="516"/>
      <c r="K2" s="516"/>
      <c r="L2" s="16"/>
    </row>
    <row r="3" spans="1:17" s="27" customFormat="1" ht="19.899999999999999" customHeight="1">
      <c r="A3" s="524" t="s">
        <v>23</v>
      </c>
      <c r="B3" s="524"/>
      <c r="C3" s="524"/>
      <c r="D3" s="524"/>
      <c r="E3" s="524"/>
      <c r="F3" s="524"/>
      <c r="G3" s="524"/>
      <c r="H3" s="524"/>
      <c r="I3" s="524"/>
      <c r="J3" s="524"/>
      <c r="K3" s="524"/>
      <c r="L3" s="30"/>
      <c r="M3" s="30">
        <f>8*8*7.5*6.25</f>
        <v>3000</v>
      </c>
      <c r="N3" s="30"/>
      <c r="O3" s="30"/>
    </row>
    <row r="4" spans="1:17" ht="17.149999999999999" customHeight="1">
      <c r="A4" s="521" t="s">
        <v>0</v>
      </c>
      <c r="B4" s="522" t="s">
        <v>1</v>
      </c>
      <c r="C4" s="119"/>
      <c r="D4" s="519" t="s">
        <v>30</v>
      </c>
      <c r="E4" s="520" t="s">
        <v>24</v>
      </c>
      <c r="F4" s="520"/>
      <c r="G4" s="520"/>
      <c r="H4" s="520" t="s">
        <v>25</v>
      </c>
      <c r="I4" s="520" t="s">
        <v>6</v>
      </c>
      <c r="J4" s="525" t="s">
        <v>50</v>
      </c>
      <c r="K4" s="520" t="s">
        <v>16</v>
      </c>
    </row>
    <row r="5" spans="1:17" ht="17.149999999999999" customHeight="1">
      <c r="A5" s="521"/>
      <c r="B5" s="523"/>
      <c r="C5" s="120"/>
      <c r="D5" s="519"/>
      <c r="E5" s="13" t="s">
        <v>3</v>
      </c>
      <c r="F5" s="13" t="s">
        <v>4</v>
      </c>
      <c r="G5" s="13" t="s">
        <v>5</v>
      </c>
      <c r="H5" s="520"/>
      <c r="I5" s="520"/>
      <c r="J5" s="526"/>
      <c r="K5" s="520"/>
    </row>
    <row r="6" spans="1:17" s="66" customFormat="1" ht="18.649999999999999" customHeight="1">
      <c r="A6" s="67"/>
      <c r="B6" s="67"/>
      <c r="C6" s="67"/>
      <c r="D6" s="68"/>
      <c r="E6" s="69"/>
      <c r="F6" s="69"/>
      <c r="G6" s="69"/>
      <c r="H6" s="69"/>
      <c r="I6" s="69"/>
      <c r="J6" s="69"/>
      <c r="K6" s="70"/>
      <c r="L6" s="64"/>
      <c r="M6" s="64"/>
      <c r="N6" s="64"/>
      <c r="O6" s="64"/>
      <c r="P6" s="65"/>
      <c r="Q6" s="65"/>
    </row>
    <row r="7" spans="1:17" s="66" customFormat="1" ht="18.649999999999999" customHeight="1">
      <c r="A7" s="67">
        <v>1</v>
      </c>
      <c r="B7" s="76" t="s">
        <v>392</v>
      </c>
      <c r="C7" s="67"/>
      <c r="D7" s="68">
        <v>1</v>
      </c>
      <c r="E7" s="69">
        <v>40</v>
      </c>
      <c r="F7" s="69">
        <v>60</v>
      </c>
      <c r="G7" s="69"/>
      <c r="H7" s="69"/>
      <c r="I7" s="69">
        <f>D7*E7*F7</f>
        <v>2400</v>
      </c>
      <c r="J7" s="69"/>
      <c r="K7" s="70" t="s">
        <v>21</v>
      </c>
      <c r="L7" s="64"/>
      <c r="M7" s="64"/>
      <c r="N7" s="64"/>
      <c r="O7" s="64"/>
      <c r="P7" s="65"/>
      <c r="Q7" s="65"/>
    </row>
    <row r="8" spans="1:17" s="66" customFormat="1" ht="18.649999999999999" customHeight="1">
      <c r="A8" s="67"/>
      <c r="B8" s="67"/>
      <c r="C8" s="67"/>
      <c r="D8" s="68"/>
      <c r="E8" s="69"/>
      <c r="F8" s="69"/>
      <c r="G8" s="69"/>
      <c r="H8" s="69"/>
      <c r="I8" s="69"/>
      <c r="J8" s="69">
        <f>SUM(I7:I8)/100</f>
        <v>24</v>
      </c>
      <c r="K8" s="70" t="s">
        <v>12</v>
      </c>
      <c r="L8" s="64"/>
      <c r="M8" s="64"/>
      <c r="N8" s="64"/>
      <c r="O8" s="64"/>
      <c r="P8" s="65"/>
      <c r="Q8" s="65"/>
    </row>
    <row r="9" spans="1:17" s="66" customFormat="1" ht="18.649999999999999" customHeight="1">
      <c r="A9" s="67"/>
      <c r="B9" s="67"/>
      <c r="C9" s="67"/>
      <c r="D9" s="68"/>
      <c r="E9" s="69"/>
      <c r="F9" s="69"/>
      <c r="G9" s="69"/>
      <c r="H9" s="69"/>
      <c r="I9" s="69"/>
      <c r="J9" s="69"/>
      <c r="K9" s="70"/>
      <c r="L9" s="64"/>
      <c r="M9" s="64"/>
      <c r="N9" s="64"/>
      <c r="O9" s="64"/>
      <c r="P9" s="65"/>
      <c r="Q9" s="65"/>
    </row>
    <row r="10" spans="1:17" s="66" customFormat="1" ht="18.649999999999999" customHeight="1">
      <c r="A10" s="67"/>
      <c r="B10" s="67"/>
      <c r="C10" s="67"/>
      <c r="D10" s="68"/>
      <c r="E10" s="69"/>
      <c r="F10" s="69"/>
      <c r="G10" s="69"/>
      <c r="H10" s="69"/>
      <c r="I10" s="69"/>
      <c r="J10" s="69"/>
      <c r="K10" s="70"/>
      <c r="L10" s="64"/>
      <c r="M10" s="64"/>
      <c r="N10" s="64"/>
      <c r="O10" s="64"/>
      <c r="P10" s="65"/>
      <c r="Q10" s="65"/>
    </row>
    <row r="11" spans="1:17" s="66" customFormat="1" ht="18.649999999999999" customHeight="1">
      <c r="A11" s="67">
        <v>2</v>
      </c>
      <c r="B11" s="94" t="s">
        <v>393</v>
      </c>
      <c r="C11" s="67"/>
      <c r="D11" s="68"/>
      <c r="E11" s="69"/>
      <c r="F11" s="69"/>
      <c r="G11" s="69"/>
      <c r="H11" s="69"/>
      <c r="I11" s="69"/>
      <c r="J11" s="69"/>
      <c r="K11" s="70"/>
      <c r="L11" s="64"/>
      <c r="M11" s="64"/>
      <c r="N11" s="64"/>
      <c r="O11" s="64"/>
      <c r="P11" s="65"/>
      <c r="Q11" s="65"/>
    </row>
    <row r="12" spans="1:17" s="66" customFormat="1" ht="18.649999999999999" customHeight="1">
      <c r="A12" s="67"/>
      <c r="B12" s="67"/>
      <c r="C12" s="67"/>
      <c r="D12" s="68">
        <v>1</v>
      </c>
      <c r="E12" s="69">
        <f>25+10</f>
        <v>35</v>
      </c>
      <c r="F12" s="69">
        <f>35+10</f>
        <v>45</v>
      </c>
      <c r="G12" s="69"/>
      <c r="H12" s="69"/>
      <c r="I12" s="69">
        <f>D12*E12*F12</f>
        <v>1575</v>
      </c>
      <c r="J12" s="69">
        <f>SUM(I12)</f>
        <v>1575</v>
      </c>
      <c r="K12" s="70" t="s">
        <v>21</v>
      </c>
      <c r="L12" s="64"/>
      <c r="M12" s="64"/>
      <c r="N12" s="64"/>
      <c r="O12" s="64"/>
      <c r="P12" s="65"/>
      <c r="Q12" s="65"/>
    </row>
    <row r="13" spans="1:17" s="66" customFormat="1" ht="18.649999999999999" customHeight="1">
      <c r="A13" s="67"/>
      <c r="B13" s="67"/>
      <c r="C13" s="67"/>
      <c r="D13" s="68"/>
      <c r="E13" s="69"/>
      <c r="F13" s="69"/>
      <c r="G13" s="69"/>
      <c r="H13" s="69"/>
      <c r="I13" s="69"/>
      <c r="J13" s="69"/>
      <c r="K13" s="70"/>
      <c r="L13" s="64"/>
      <c r="M13" s="64"/>
      <c r="N13" s="64"/>
      <c r="O13" s="64"/>
      <c r="P13" s="65"/>
      <c r="Q13" s="65"/>
    </row>
    <row r="14" spans="1:17" s="66" customFormat="1" ht="18.649999999999999" customHeight="1">
      <c r="A14" s="67"/>
      <c r="B14" s="67"/>
      <c r="C14" s="67"/>
      <c r="D14" s="68"/>
      <c r="E14" s="69"/>
      <c r="F14" s="69"/>
      <c r="G14" s="69"/>
      <c r="H14" s="69"/>
      <c r="I14" s="69"/>
      <c r="J14" s="69"/>
      <c r="K14" s="70"/>
      <c r="L14" s="64"/>
      <c r="M14" s="64"/>
      <c r="N14" s="64"/>
      <c r="O14" s="64"/>
      <c r="P14" s="65"/>
      <c r="Q14" s="65"/>
    </row>
    <row r="15" spans="1:17" s="66" customFormat="1" ht="18.649999999999999" customHeight="1">
      <c r="A15" s="67">
        <v>3</v>
      </c>
      <c r="B15" s="73" t="s">
        <v>51</v>
      </c>
      <c r="C15" s="73"/>
      <c r="D15" s="68"/>
      <c r="E15" s="69"/>
      <c r="F15" s="69"/>
      <c r="G15" s="69"/>
      <c r="H15" s="69"/>
      <c r="I15" s="69"/>
      <c r="J15" s="69"/>
      <c r="K15" s="70"/>
      <c r="L15" s="64"/>
      <c r="M15" s="64"/>
      <c r="N15" s="64"/>
      <c r="O15" s="64"/>
      <c r="P15" s="65"/>
      <c r="Q15" s="65"/>
    </row>
    <row r="16" spans="1:17" s="66" customFormat="1" ht="18.649999999999999" customHeight="1">
      <c r="A16" s="67"/>
      <c r="B16" s="74" t="s">
        <v>405</v>
      </c>
      <c r="C16" s="74"/>
      <c r="D16" s="68">
        <v>2</v>
      </c>
      <c r="E16" s="69">
        <v>3</v>
      </c>
      <c r="F16" s="69">
        <f>E16</f>
        <v>3</v>
      </c>
      <c r="G16" s="69">
        <f>5.75+1</f>
        <v>6.75</v>
      </c>
      <c r="H16" s="69"/>
      <c r="I16" s="71">
        <f>D16*E16*F16*G16</f>
        <v>121.5</v>
      </c>
      <c r="J16" s="69"/>
      <c r="K16" s="70" t="s">
        <v>27</v>
      </c>
      <c r="L16" s="64"/>
      <c r="M16" s="64"/>
      <c r="N16" s="64"/>
      <c r="O16" s="64"/>
      <c r="P16" s="65"/>
      <c r="Q16" s="65"/>
    </row>
    <row r="17" spans="1:17" s="66" customFormat="1" ht="18.649999999999999" customHeight="1">
      <c r="A17" s="67"/>
      <c r="B17" s="74" t="s">
        <v>406</v>
      </c>
      <c r="C17" s="74"/>
      <c r="D17" s="68">
        <v>4</v>
      </c>
      <c r="E17" s="69">
        <v>4</v>
      </c>
      <c r="F17" s="69">
        <f>E17</f>
        <v>4</v>
      </c>
      <c r="G17" s="69">
        <f>G16</f>
        <v>6.75</v>
      </c>
      <c r="H17" s="69"/>
      <c r="I17" s="71">
        <f>D17*E17*F17*G17</f>
        <v>432</v>
      </c>
      <c r="J17" s="69"/>
      <c r="K17" s="70" t="s">
        <v>27</v>
      </c>
      <c r="L17" s="64"/>
      <c r="M17" s="64"/>
      <c r="N17" s="64"/>
      <c r="O17" s="64"/>
      <c r="P17" s="65"/>
      <c r="Q17" s="65"/>
    </row>
    <row r="18" spans="1:17" s="66" customFormat="1" ht="18.649999999999999" customHeight="1">
      <c r="A18" s="67"/>
      <c r="B18" s="74" t="s">
        <v>407</v>
      </c>
      <c r="C18" s="74"/>
      <c r="D18" s="68">
        <v>7</v>
      </c>
      <c r="E18" s="69">
        <v>5</v>
      </c>
      <c r="F18" s="69">
        <f>E18</f>
        <v>5</v>
      </c>
      <c r="G18" s="69">
        <f>G16</f>
        <v>6.75</v>
      </c>
      <c r="H18" s="69"/>
      <c r="I18" s="71">
        <f>D18*E18*F18*G18</f>
        <v>1181.3</v>
      </c>
      <c r="J18" s="69"/>
      <c r="K18" s="70" t="s">
        <v>27</v>
      </c>
      <c r="L18" s="64"/>
      <c r="M18" s="64"/>
      <c r="N18" s="64"/>
      <c r="O18" s="64"/>
      <c r="P18" s="65"/>
      <c r="Q18" s="65"/>
    </row>
    <row r="19" spans="1:17" s="66" customFormat="1" ht="18.649999999999999" customHeight="1">
      <c r="A19" s="67"/>
      <c r="B19" s="74" t="s">
        <v>408</v>
      </c>
      <c r="C19" s="74"/>
      <c r="D19" s="68">
        <v>1</v>
      </c>
      <c r="E19" s="69">
        <v>6</v>
      </c>
      <c r="F19" s="69">
        <f>E19</f>
        <v>6</v>
      </c>
      <c r="G19" s="69">
        <f>G16</f>
        <v>6.75</v>
      </c>
      <c r="H19" s="69"/>
      <c r="I19" s="71">
        <f>D19*E19*F19*G19</f>
        <v>243</v>
      </c>
      <c r="J19" s="69">
        <f>SUM(I16:I19)</f>
        <v>1977.8</v>
      </c>
      <c r="K19" s="70" t="s">
        <v>27</v>
      </c>
      <c r="L19" s="64"/>
      <c r="M19" s="64"/>
      <c r="N19" s="64"/>
      <c r="O19" s="64"/>
      <c r="P19" s="65"/>
      <c r="Q19" s="65"/>
    </row>
    <row r="20" spans="1:17" s="66" customFormat="1" ht="18.649999999999999" customHeight="1">
      <c r="A20" s="67"/>
      <c r="B20" s="74"/>
      <c r="C20" s="74"/>
      <c r="D20" s="68">
        <f>SUM(D16:D19)</f>
        <v>14</v>
      </c>
      <c r="E20" s="69"/>
      <c r="F20" s="69"/>
      <c r="G20" s="69"/>
      <c r="H20" s="69"/>
      <c r="I20" s="69"/>
      <c r="J20" s="69"/>
      <c r="K20" s="70"/>
      <c r="L20" s="64"/>
      <c r="M20" s="64"/>
      <c r="N20" s="64"/>
      <c r="O20" s="64"/>
      <c r="P20" s="65"/>
      <c r="Q20" s="65"/>
    </row>
    <row r="21" spans="1:17" s="66" customFormat="1" ht="18.649999999999999" customHeight="1">
      <c r="A21" s="67"/>
      <c r="B21" s="73" t="s">
        <v>43</v>
      </c>
      <c r="C21" s="73"/>
      <c r="D21" s="68"/>
      <c r="E21" s="69"/>
      <c r="F21" s="69"/>
      <c r="G21" s="69"/>
      <c r="H21" s="69"/>
      <c r="I21" s="69"/>
      <c r="J21" s="69"/>
      <c r="K21" s="70"/>
      <c r="L21" s="64"/>
      <c r="M21" s="64"/>
      <c r="N21" s="64"/>
      <c r="O21" s="64"/>
      <c r="P21" s="65"/>
      <c r="Q21" s="65"/>
    </row>
    <row r="22" spans="1:17" s="66" customFormat="1" ht="18.649999999999999" customHeight="1">
      <c r="A22" s="67"/>
      <c r="B22" s="74" t="s">
        <v>414</v>
      </c>
      <c r="C22" s="74"/>
      <c r="D22" s="68">
        <v>1</v>
      </c>
      <c r="E22" s="69">
        <f>13.5+11.5-2*E18</f>
        <v>15</v>
      </c>
      <c r="F22" s="69">
        <f>1.67+1</f>
        <v>2.67</v>
      </c>
      <c r="G22" s="69">
        <f>3</f>
        <v>3</v>
      </c>
      <c r="H22" s="69"/>
      <c r="I22" s="69">
        <f t="shared" ref="I22:I30" si="0">D22*E22*F22*G22</f>
        <v>120.15</v>
      </c>
      <c r="J22" s="69"/>
      <c r="K22" s="70" t="s">
        <v>27</v>
      </c>
      <c r="L22" s="64"/>
      <c r="M22" s="64"/>
      <c r="N22" s="64"/>
      <c r="O22" s="64"/>
      <c r="P22" s="65"/>
      <c r="Q22" s="65"/>
    </row>
    <row r="23" spans="1:17" s="66" customFormat="1" ht="18.649999999999999" customHeight="1">
      <c r="A23" s="67"/>
      <c r="B23" s="74" t="s">
        <v>415</v>
      </c>
      <c r="C23" s="74"/>
      <c r="D23" s="68">
        <v>1</v>
      </c>
      <c r="E23" s="69">
        <f>13.5+11.5-1*E18-1*E19</f>
        <v>14</v>
      </c>
      <c r="F23" s="69">
        <f t="shared" ref="F23:G25" si="1">F22</f>
        <v>2.67</v>
      </c>
      <c r="G23" s="69">
        <f t="shared" si="1"/>
        <v>3</v>
      </c>
      <c r="H23" s="69"/>
      <c r="I23" s="69">
        <f t="shared" si="0"/>
        <v>112.14</v>
      </c>
      <c r="J23" s="69"/>
      <c r="K23" s="70" t="s">
        <v>27</v>
      </c>
      <c r="L23" s="64"/>
      <c r="M23" s="64"/>
      <c r="N23" s="64"/>
      <c r="O23" s="64"/>
      <c r="P23" s="65"/>
      <c r="Q23" s="65"/>
    </row>
    <row r="24" spans="1:17" s="66" customFormat="1" ht="18.649999999999999" customHeight="1">
      <c r="A24" s="67"/>
      <c r="B24" s="74" t="s">
        <v>416</v>
      </c>
      <c r="C24" s="74"/>
      <c r="D24" s="68">
        <v>1</v>
      </c>
      <c r="E24" s="69">
        <f>13.5+11.5-1*E17-1*E18</f>
        <v>16</v>
      </c>
      <c r="F24" s="69">
        <f t="shared" si="1"/>
        <v>2.67</v>
      </c>
      <c r="G24" s="69">
        <f t="shared" si="1"/>
        <v>3</v>
      </c>
      <c r="H24" s="69"/>
      <c r="I24" s="69">
        <f t="shared" si="0"/>
        <v>128.16</v>
      </c>
      <c r="J24" s="69"/>
      <c r="K24" s="70" t="s">
        <v>27</v>
      </c>
      <c r="L24" s="64"/>
      <c r="M24" s="64"/>
      <c r="N24" s="64"/>
      <c r="O24" s="64"/>
      <c r="P24" s="65"/>
      <c r="Q24" s="65"/>
    </row>
    <row r="25" spans="1:17" s="66" customFormat="1" ht="18.649999999999999" customHeight="1">
      <c r="A25" s="67"/>
      <c r="B25" s="74" t="s">
        <v>412</v>
      </c>
      <c r="C25" s="74"/>
      <c r="D25" s="68">
        <v>1</v>
      </c>
      <c r="E25" s="69">
        <f>9.83-E16</f>
        <v>6.83</v>
      </c>
      <c r="F25" s="69">
        <f t="shared" si="1"/>
        <v>2.67</v>
      </c>
      <c r="G25" s="69">
        <f t="shared" si="1"/>
        <v>3</v>
      </c>
      <c r="H25" s="69"/>
      <c r="I25" s="69">
        <f t="shared" si="0"/>
        <v>54.71</v>
      </c>
      <c r="J25" s="69"/>
      <c r="K25" s="70" t="s">
        <v>27</v>
      </c>
      <c r="L25" s="64"/>
      <c r="M25" s="64"/>
      <c r="N25" s="64"/>
      <c r="O25" s="64"/>
      <c r="P25" s="65"/>
      <c r="Q25" s="65"/>
    </row>
    <row r="26" spans="1:17" s="66" customFormat="1" ht="18.649999999999999" customHeight="1">
      <c r="A26" s="67"/>
      <c r="B26" s="74" t="s">
        <v>417</v>
      </c>
      <c r="C26" s="74"/>
      <c r="D26" s="68">
        <v>2</v>
      </c>
      <c r="E26" s="69">
        <f>(16+9+10)-1.5*F18-1.5*F17</f>
        <v>21.5</v>
      </c>
      <c r="F26" s="69">
        <f>F22</f>
        <v>2.67</v>
      </c>
      <c r="G26" s="69">
        <f>G22</f>
        <v>3</v>
      </c>
      <c r="H26" s="69"/>
      <c r="I26" s="69">
        <f t="shared" si="0"/>
        <v>344.43</v>
      </c>
      <c r="J26" s="69"/>
      <c r="K26" s="70" t="s">
        <v>27</v>
      </c>
      <c r="L26" s="64"/>
      <c r="M26" s="64"/>
      <c r="N26" s="64"/>
      <c r="O26" s="64"/>
      <c r="P26" s="65"/>
      <c r="Q26" s="65"/>
    </row>
    <row r="27" spans="1:17" s="66" customFormat="1" ht="18.649999999999999" customHeight="1">
      <c r="A27" s="67"/>
      <c r="B27" s="74" t="s">
        <v>418</v>
      </c>
      <c r="C27" s="74"/>
      <c r="D27" s="68">
        <v>1</v>
      </c>
      <c r="E27" s="69">
        <f>(16+9+10)-F18*2-F19</f>
        <v>19</v>
      </c>
      <c r="F27" s="69">
        <f>F26</f>
        <v>2.67</v>
      </c>
      <c r="G27" s="69">
        <f>G26</f>
        <v>3</v>
      </c>
      <c r="H27" s="69"/>
      <c r="I27" s="69">
        <f t="shared" si="0"/>
        <v>152.19</v>
      </c>
      <c r="J27" s="69"/>
      <c r="K27" s="70" t="s">
        <v>27</v>
      </c>
      <c r="L27" s="64"/>
      <c r="M27" s="64"/>
      <c r="N27" s="64"/>
      <c r="O27" s="64"/>
      <c r="P27" s="65"/>
      <c r="Q27" s="65"/>
    </row>
    <row r="28" spans="1:17" s="66" customFormat="1" ht="18.649999999999999" customHeight="1">
      <c r="A28" s="67"/>
      <c r="B28" s="74" t="s">
        <v>411</v>
      </c>
      <c r="C28" s="74"/>
      <c r="D28" s="68">
        <v>2</v>
      </c>
      <c r="E28" s="69"/>
      <c r="F28" s="69">
        <f>F26</f>
        <v>2.67</v>
      </c>
      <c r="G28" s="69">
        <f>G26</f>
        <v>3</v>
      </c>
      <c r="H28" s="69"/>
      <c r="I28" s="69">
        <f t="shared" si="0"/>
        <v>0</v>
      </c>
      <c r="J28" s="69"/>
      <c r="K28" s="70" t="s">
        <v>27</v>
      </c>
      <c r="L28" s="64"/>
      <c r="M28" s="64"/>
      <c r="N28" s="64"/>
      <c r="O28" s="64"/>
      <c r="P28" s="65"/>
      <c r="Q28" s="65"/>
    </row>
    <row r="29" spans="1:17" s="66" customFormat="1" ht="18.649999999999999" customHeight="1">
      <c r="A29" s="67"/>
      <c r="B29" s="74" t="s">
        <v>412</v>
      </c>
      <c r="C29" s="74"/>
      <c r="D29" s="68">
        <v>1</v>
      </c>
      <c r="E29" s="69">
        <f>9.83-E16</f>
        <v>6.83</v>
      </c>
      <c r="F29" s="69">
        <f>F28</f>
        <v>2.67</v>
      </c>
      <c r="G29" s="69">
        <f>G28</f>
        <v>3</v>
      </c>
      <c r="H29" s="69"/>
      <c r="I29" s="69">
        <f t="shared" si="0"/>
        <v>54.71</v>
      </c>
      <c r="J29" s="69"/>
      <c r="K29" s="70" t="s">
        <v>27</v>
      </c>
      <c r="L29" s="64"/>
      <c r="M29" s="64"/>
      <c r="N29" s="64"/>
      <c r="O29" s="64"/>
      <c r="P29" s="65"/>
      <c r="Q29" s="65"/>
    </row>
    <row r="30" spans="1:17" s="66" customFormat="1" ht="18.649999999999999" customHeight="1">
      <c r="A30" s="67"/>
      <c r="B30" s="74" t="s">
        <v>413</v>
      </c>
      <c r="C30" s="74"/>
      <c r="D30" s="68">
        <v>1</v>
      </c>
      <c r="E30" s="69">
        <v>11</v>
      </c>
      <c r="F30" s="69">
        <v>3</v>
      </c>
      <c r="G30" s="69">
        <v>0.5</v>
      </c>
      <c r="H30" s="69"/>
      <c r="I30" s="69">
        <f t="shared" si="0"/>
        <v>16.5</v>
      </c>
      <c r="J30" s="69">
        <f>SUM(I22:I30)</f>
        <v>982.99</v>
      </c>
      <c r="K30" s="70" t="s">
        <v>27</v>
      </c>
      <c r="L30" s="64"/>
      <c r="M30" s="64"/>
      <c r="N30" s="64"/>
      <c r="O30" s="64"/>
      <c r="P30" s="65"/>
      <c r="Q30" s="65"/>
    </row>
    <row r="31" spans="1:17" s="66" customFormat="1" ht="18.649999999999999" customHeight="1">
      <c r="A31" s="67"/>
      <c r="B31" s="74"/>
      <c r="C31" s="74"/>
      <c r="D31" s="68"/>
      <c r="E31" s="69"/>
      <c r="F31" s="69"/>
      <c r="G31" s="69"/>
      <c r="H31" s="69"/>
      <c r="I31" s="69"/>
      <c r="J31" s="72">
        <f>SUM(I16:I31)</f>
        <v>2960.79</v>
      </c>
      <c r="K31" s="75" t="s">
        <v>27</v>
      </c>
      <c r="L31" s="64"/>
      <c r="M31" s="64"/>
      <c r="N31" s="64"/>
      <c r="O31" s="64"/>
      <c r="P31" s="65"/>
      <c r="Q31" s="65"/>
    </row>
    <row r="32" spans="1:17" s="66" customFormat="1" ht="18.649999999999999" customHeight="1">
      <c r="A32" s="67"/>
      <c r="B32" s="67"/>
      <c r="C32" s="67"/>
      <c r="D32" s="68"/>
      <c r="E32" s="69"/>
      <c r="F32" s="69"/>
      <c r="G32" s="69"/>
      <c r="H32" s="69"/>
      <c r="I32" s="69"/>
      <c r="J32" s="69">
        <f>J31/100</f>
        <v>29.61</v>
      </c>
      <c r="K32" s="75" t="s">
        <v>7</v>
      </c>
      <c r="L32" s="64"/>
      <c r="M32" s="64"/>
      <c r="N32" s="64"/>
      <c r="O32" s="64"/>
      <c r="P32" s="65"/>
      <c r="Q32" s="65"/>
    </row>
    <row r="33" spans="1:17" s="66" customFormat="1" ht="18.649999999999999" customHeight="1">
      <c r="A33" s="67"/>
      <c r="B33" s="67"/>
      <c r="C33" s="67"/>
      <c r="D33" s="68"/>
      <c r="E33" s="69"/>
      <c r="F33" s="69"/>
      <c r="G33" s="69"/>
      <c r="H33" s="69"/>
      <c r="I33" s="69"/>
      <c r="J33" s="69"/>
      <c r="K33" s="70"/>
      <c r="L33" s="64"/>
      <c r="M33" s="64"/>
      <c r="N33" s="64"/>
      <c r="O33" s="64"/>
      <c r="P33" s="65"/>
      <c r="Q33" s="65"/>
    </row>
    <row r="34" spans="1:17" s="66" customFormat="1" ht="18.649999999999999" customHeight="1">
      <c r="A34" s="67">
        <v>4</v>
      </c>
      <c r="B34" s="76" t="s">
        <v>151</v>
      </c>
      <c r="C34" s="76"/>
      <c r="D34" s="68"/>
      <c r="E34" s="69"/>
      <c r="F34" s="69"/>
      <c r="G34" s="69"/>
      <c r="H34" s="69"/>
      <c r="I34" s="69"/>
      <c r="J34" s="69"/>
      <c r="K34" s="70"/>
      <c r="L34" s="64"/>
      <c r="M34" s="64"/>
      <c r="N34" s="64"/>
      <c r="O34" s="64"/>
      <c r="P34" s="65"/>
      <c r="Q34" s="65"/>
    </row>
    <row r="35" spans="1:17" s="66" customFormat="1" ht="18.649999999999999" customHeight="1">
      <c r="A35" s="67"/>
      <c r="B35" s="67" t="s">
        <v>69</v>
      </c>
      <c r="C35" s="67"/>
      <c r="D35" s="68"/>
      <c r="E35" s="69"/>
      <c r="F35" s="69"/>
      <c r="G35" s="69"/>
      <c r="H35" s="69"/>
      <c r="I35" s="69"/>
      <c r="J35" s="69"/>
      <c r="K35" s="70"/>
      <c r="L35" s="64"/>
      <c r="M35" s="64"/>
      <c r="N35" s="64"/>
      <c r="O35" s="64"/>
      <c r="P35" s="65"/>
      <c r="Q35" s="65"/>
    </row>
    <row r="36" spans="1:17" s="66" customFormat="1" ht="18.649999999999999" customHeight="1">
      <c r="A36" s="67"/>
      <c r="B36" s="74" t="s">
        <v>405</v>
      </c>
      <c r="C36" s="74"/>
      <c r="D36" s="68">
        <v>2</v>
      </c>
      <c r="E36" s="69">
        <v>3</v>
      </c>
      <c r="F36" s="69">
        <f>E36</f>
        <v>3</v>
      </c>
      <c r="G36" s="69">
        <f>0.5</f>
        <v>0.5</v>
      </c>
      <c r="H36" s="69"/>
      <c r="I36" s="71">
        <f>D36*E36*F36*G36</f>
        <v>9</v>
      </c>
      <c r="J36" s="69"/>
      <c r="K36" s="70" t="s">
        <v>27</v>
      </c>
      <c r="L36" s="64"/>
      <c r="M36" s="64"/>
      <c r="N36" s="64"/>
      <c r="O36" s="64"/>
      <c r="P36" s="65"/>
      <c r="Q36" s="65"/>
    </row>
    <row r="37" spans="1:17" s="66" customFormat="1" ht="18.649999999999999" customHeight="1">
      <c r="A37" s="67"/>
      <c r="B37" s="74" t="s">
        <v>406</v>
      </c>
      <c r="C37" s="74"/>
      <c r="D37" s="68">
        <v>4</v>
      </c>
      <c r="E37" s="69">
        <v>4</v>
      </c>
      <c r="F37" s="69">
        <f>E37</f>
        <v>4</v>
      </c>
      <c r="G37" s="69">
        <v>0.5</v>
      </c>
      <c r="H37" s="69"/>
      <c r="I37" s="71">
        <f>D37*E37*F37*G37</f>
        <v>32</v>
      </c>
      <c r="J37" s="69"/>
      <c r="K37" s="70" t="s">
        <v>27</v>
      </c>
      <c r="L37" s="64"/>
      <c r="M37" s="64"/>
      <c r="N37" s="64"/>
      <c r="O37" s="64"/>
      <c r="P37" s="65"/>
      <c r="Q37" s="65"/>
    </row>
    <row r="38" spans="1:17" s="66" customFormat="1" ht="18.649999999999999" customHeight="1">
      <c r="A38" s="67"/>
      <c r="B38" s="74" t="s">
        <v>407</v>
      </c>
      <c r="C38" s="74"/>
      <c r="D38" s="68">
        <v>7</v>
      </c>
      <c r="E38" s="69">
        <v>5</v>
      </c>
      <c r="F38" s="69">
        <f>E38</f>
        <v>5</v>
      </c>
      <c r="G38" s="69">
        <v>0.5</v>
      </c>
      <c r="H38" s="69"/>
      <c r="I38" s="71">
        <f>D38*E38*F38*G38</f>
        <v>87.5</v>
      </c>
      <c r="J38" s="69"/>
      <c r="K38" s="70" t="s">
        <v>27</v>
      </c>
      <c r="L38" s="64"/>
      <c r="M38" s="64"/>
      <c r="N38" s="64"/>
      <c r="O38" s="64"/>
      <c r="P38" s="65"/>
      <c r="Q38" s="65"/>
    </row>
    <row r="39" spans="1:17" s="66" customFormat="1" ht="18.649999999999999" customHeight="1">
      <c r="A39" s="67"/>
      <c r="B39" s="74" t="s">
        <v>408</v>
      </c>
      <c r="C39" s="74"/>
      <c r="D39" s="68">
        <v>1</v>
      </c>
      <c r="E39" s="69">
        <v>6</v>
      </c>
      <c r="F39" s="69">
        <f>E39</f>
        <v>6</v>
      </c>
      <c r="G39" s="69">
        <v>0.5</v>
      </c>
      <c r="H39" s="69"/>
      <c r="I39" s="71">
        <f>D39*E39*F39*G39</f>
        <v>18</v>
      </c>
      <c r="J39" s="69"/>
      <c r="K39" s="70" t="s">
        <v>27</v>
      </c>
      <c r="L39" s="64"/>
      <c r="M39" s="64"/>
      <c r="N39" s="64"/>
      <c r="O39" s="64"/>
      <c r="P39" s="65"/>
      <c r="Q39" s="65"/>
    </row>
    <row r="40" spans="1:17" s="66" customFormat="1" ht="18.649999999999999" customHeight="1">
      <c r="A40" s="67"/>
      <c r="B40" s="67"/>
      <c r="C40" s="67"/>
      <c r="D40" s="68">
        <f>SUM(D36:D39)</f>
        <v>14</v>
      </c>
      <c r="E40" s="69"/>
      <c r="F40" s="69"/>
      <c r="G40" s="69"/>
      <c r="H40" s="69"/>
      <c r="I40" s="69"/>
      <c r="J40" s="69">
        <f>SUM(I36:I40)</f>
        <v>146.5</v>
      </c>
      <c r="K40" s="70" t="s">
        <v>27</v>
      </c>
      <c r="L40" s="64"/>
      <c r="M40" s="64"/>
      <c r="N40" s="64"/>
      <c r="O40" s="64"/>
      <c r="P40" s="65"/>
      <c r="Q40" s="65"/>
    </row>
    <row r="41" spans="1:17" s="66" customFormat="1" ht="18.649999999999999" customHeight="1">
      <c r="A41" s="67"/>
      <c r="B41" s="67"/>
      <c r="C41" s="67"/>
      <c r="D41" s="68"/>
      <c r="E41" s="69"/>
      <c r="F41" s="69"/>
      <c r="G41" s="69"/>
      <c r="H41" s="69"/>
      <c r="I41" s="69"/>
      <c r="J41" s="69">
        <f>J40/100</f>
        <v>1.47</v>
      </c>
      <c r="K41" s="70" t="s">
        <v>7</v>
      </c>
      <c r="L41" s="64"/>
      <c r="M41" s="64"/>
      <c r="N41" s="64"/>
      <c r="O41" s="64"/>
      <c r="P41" s="65"/>
      <c r="Q41" s="65"/>
    </row>
    <row r="42" spans="1:17" s="66" customFormat="1" ht="18.649999999999999" customHeight="1">
      <c r="A42" s="67"/>
      <c r="B42" s="67"/>
      <c r="C42" s="67"/>
      <c r="D42" s="68"/>
      <c r="E42" s="69"/>
      <c r="F42" s="69"/>
      <c r="G42" s="69"/>
      <c r="H42" s="69"/>
      <c r="I42" s="69"/>
      <c r="J42" s="69"/>
      <c r="K42" s="70"/>
      <c r="L42" s="64"/>
      <c r="M42" s="64"/>
      <c r="N42" s="64"/>
      <c r="O42" s="64"/>
      <c r="P42" s="65"/>
      <c r="Q42" s="65"/>
    </row>
    <row r="43" spans="1:17" s="66" customFormat="1" ht="18.649999999999999" customHeight="1">
      <c r="A43" s="67">
        <v>5</v>
      </c>
      <c r="B43" s="76" t="s">
        <v>70</v>
      </c>
      <c r="C43" s="76"/>
      <c r="D43" s="68"/>
      <c r="E43" s="69"/>
      <c r="F43" s="69"/>
      <c r="G43" s="69"/>
      <c r="H43" s="69"/>
      <c r="I43" s="69"/>
      <c r="J43" s="69"/>
      <c r="K43" s="70"/>
      <c r="L43" s="64"/>
      <c r="M43" s="64"/>
      <c r="N43" s="64"/>
      <c r="O43" s="64"/>
      <c r="P43" s="65"/>
      <c r="Q43" s="65"/>
    </row>
    <row r="44" spans="1:17" s="66" customFormat="1" ht="18.649999999999999" customHeight="1">
      <c r="A44" s="67"/>
      <c r="B44" s="76" t="s">
        <v>69</v>
      </c>
      <c r="C44" s="76"/>
      <c r="D44" s="68"/>
      <c r="E44" s="69"/>
      <c r="F44" s="69"/>
      <c r="G44" s="69"/>
      <c r="H44" s="69"/>
      <c r="I44" s="69"/>
      <c r="J44" s="69"/>
      <c r="K44" s="70"/>
      <c r="L44" s="64"/>
      <c r="M44" s="64"/>
      <c r="N44" s="64"/>
      <c r="O44" s="64"/>
      <c r="P44" s="65"/>
      <c r="Q44" s="65"/>
    </row>
    <row r="45" spans="1:17" s="66" customFormat="1" ht="18.649999999999999" customHeight="1">
      <c r="A45" s="67"/>
      <c r="B45" s="74" t="s">
        <v>405</v>
      </c>
      <c r="C45" s="74"/>
      <c r="D45" s="68">
        <v>2</v>
      </c>
      <c r="E45" s="69">
        <v>3</v>
      </c>
      <c r="F45" s="69">
        <f>E45</f>
        <v>3</v>
      </c>
      <c r="G45" s="69">
        <f>0.25</f>
        <v>0.25</v>
      </c>
      <c r="H45" s="69"/>
      <c r="I45" s="71">
        <f>D45*E45*F45*G45</f>
        <v>4.5</v>
      </c>
      <c r="J45" s="69"/>
      <c r="K45" s="70" t="s">
        <v>27</v>
      </c>
      <c r="L45" s="64"/>
      <c r="M45" s="64"/>
      <c r="N45" s="64"/>
      <c r="O45" s="64"/>
      <c r="P45" s="65"/>
      <c r="Q45" s="65"/>
    </row>
    <row r="46" spans="1:17" s="66" customFormat="1" ht="18.649999999999999" customHeight="1">
      <c r="A46" s="67"/>
      <c r="B46" s="74" t="s">
        <v>406</v>
      </c>
      <c r="C46" s="74"/>
      <c r="D46" s="68">
        <v>4</v>
      </c>
      <c r="E46" s="69">
        <v>4</v>
      </c>
      <c r="F46" s="69">
        <f>E46</f>
        <v>4</v>
      </c>
      <c r="G46" s="69">
        <f>0.25</f>
        <v>0.25</v>
      </c>
      <c r="H46" s="69"/>
      <c r="I46" s="71">
        <f>D46*E46*F46*G46</f>
        <v>16</v>
      </c>
      <c r="J46" s="69"/>
      <c r="K46" s="70" t="s">
        <v>27</v>
      </c>
      <c r="L46" s="64"/>
      <c r="M46" s="64"/>
      <c r="N46" s="64"/>
      <c r="O46" s="64"/>
      <c r="P46" s="65"/>
      <c r="Q46" s="65"/>
    </row>
    <row r="47" spans="1:17" s="66" customFormat="1" ht="18.649999999999999" customHeight="1">
      <c r="A47" s="67"/>
      <c r="B47" s="74" t="s">
        <v>407</v>
      </c>
      <c r="C47" s="74"/>
      <c r="D47" s="68">
        <v>7</v>
      </c>
      <c r="E47" s="69">
        <v>5</v>
      </c>
      <c r="F47" s="69">
        <f>E47</f>
        <v>5</v>
      </c>
      <c r="G47" s="69">
        <f>0.25</f>
        <v>0.25</v>
      </c>
      <c r="H47" s="69"/>
      <c r="I47" s="71">
        <f>D47*E47*F47*G47</f>
        <v>43.8</v>
      </c>
      <c r="J47" s="69"/>
      <c r="K47" s="70" t="s">
        <v>27</v>
      </c>
      <c r="L47" s="64"/>
      <c r="M47" s="64"/>
      <c r="N47" s="64"/>
      <c r="O47" s="64"/>
      <c r="P47" s="65"/>
      <c r="Q47" s="65"/>
    </row>
    <row r="48" spans="1:17" s="66" customFormat="1" ht="18.649999999999999" customHeight="1">
      <c r="A48" s="67"/>
      <c r="B48" s="74" t="s">
        <v>408</v>
      </c>
      <c r="C48" s="74"/>
      <c r="D48" s="68">
        <v>1</v>
      </c>
      <c r="E48" s="69">
        <v>6</v>
      </c>
      <c r="F48" s="69">
        <f>E48</f>
        <v>6</v>
      </c>
      <c r="G48" s="69">
        <f>0.25</f>
        <v>0.25</v>
      </c>
      <c r="H48" s="69"/>
      <c r="I48" s="71">
        <f>D48*E48*F48*G48</f>
        <v>9</v>
      </c>
      <c r="J48" s="69"/>
      <c r="K48" s="70" t="s">
        <v>27</v>
      </c>
      <c r="L48" s="64"/>
      <c r="M48" s="64"/>
      <c r="N48" s="64"/>
      <c r="O48" s="64"/>
      <c r="P48" s="65"/>
      <c r="Q48" s="65"/>
    </row>
    <row r="49" spans="1:17" s="66" customFormat="1" ht="18.649999999999999" customHeight="1">
      <c r="A49" s="67"/>
      <c r="B49" s="74"/>
      <c r="C49" s="74"/>
      <c r="D49" s="68">
        <f>SUM(D45:D48)</f>
        <v>14</v>
      </c>
      <c r="E49" s="69"/>
      <c r="F49" s="69"/>
      <c r="G49" s="69"/>
      <c r="H49" s="69"/>
      <c r="I49" s="69"/>
      <c r="J49" s="69">
        <f>SUM(I45:I49)</f>
        <v>73.3</v>
      </c>
      <c r="K49" s="70" t="s">
        <v>27</v>
      </c>
      <c r="L49" s="64"/>
      <c r="M49" s="64"/>
      <c r="N49" s="64"/>
      <c r="O49" s="64"/>
      <c r="P49" s="65"/>
      <c r="Q49" s="65"/>
    </row>
    <row r="50" spans="1:17" s="66" customFormat="1" ht="18.649999999999999" customHeight="1">
      <c r="A50" s="67"/>
      <c r="B50" s="73" t="str">
        <f>B21</f>
        <v xml:space="preserve">Retaining Wall </v>
      </c>
      <c r="C50" s="73"/>
      <c r="D50" s="68"/>
      <c r="E50" s="69"/>
      <c r="F50" s="69"/>
      <c r="G50" s="69"/>
      <c r="H50" s="69"/>
      <c r="I50" s="69"/>
      <c r="J50" s="69"/>
      <c r="K50" s="70"/>
      <c r="L50" s="64"/>
      <c r="M50" s="64"/>
      <c r="N50" s="64"/>
      <c r="O50" s="64"/>
      <c r="P50" s="65"/>
      <c r="Q50" s="65"/>
    </row>
    <row r="51" spans="1:17" s="66" customFormat="1" ht="18.649999999999999" customHeight="1">
      <c r="A51" s="67"/>
      <c r="B51" s="74" t="s">
        <v>410</v>
      </c>
      <c r="C51" s="74"/>
      <c r="D51" s="68">
        <v>4</v>
      </c>
      <c r="E51" s="69">
        <f>13.5+11.5-0.83*3</f>
        <v>22.51</v>
      </c>
      <c r="F51" s="69">
        <v>2</v>
      </c>
      <c r="G51" s="69">
        <v>0.5</v>
      </c>
      <c r="H51" s="69"/>
      <c r="I51" s="69">
        <f>D51*E51*F51*G51</f>
        <v>90.04</v>
      </c>
      <c r="J51" s="69"/>
      <c r="K51" s="70" t="s">
        <v>27</v>
      </c>
      <c r="L51" s="64"/>
      <c r="M51" s="64"/>
      <c r="N51" s="64"/>
      <c r="O51" s="64"/>
      <c r="P51" s="65"/>
      <c r="Q51" s="65"/>
    </row>
    <row r="52" spans="1:17" s="66" customFormat="1" ht="18.649999999999999" customHeight="1">
      <c r="A52" s="67"/>
      <c r="B52" s="74" t="s">
        <v>409</v>
      </c>
      <c r="C52" s="74"/>
      <c r="D52" s="68">
        <v>3</v>
      </c>
      <c r="E52" s="69">
        <f>35-4*0.83</f>
        <v>31.68</v>
      </c>
      <c r="F52" s="69">
        <f>F51</f>
        <v>2</v>
      </c>
      <c r="G52" s="69">
        <f>G51</f>
        <v>0.5</v>
      </c>
      <c r="H52" s="69"/>
      <c r="I52" s="69">
        <f>D52*E52*F52*G52</f>
        <v>95.04</v>
      </c>
      <c r="J52" s="69"/>
      <c r="K52" s="70" t="s">
        <v>27</v>
      </c>
      <c r="L52" s="64"/>
      <c r="M52" s="64"/>
      <c r="N52" s="64"/>
      <c r="O52" s="64"/>
      <c r="P52" s="65"/>
      <c r="Q52" s="65"/>
    </row>
    <row r="53" spans="1:17" s="66" customFormat="1" ht="18.649999999999999" customHeight="1">
      <c r="A53" s="67"/>
      <c r="B53" s="74" t="s">
        <v>412</v>
      </c>
      <c r="C53" s="74"/>
      <c r="D53" s="68">
        <v>1</v>
      </c>
      <c r="E53" s="69">
        <f>9.83-0.83</f>
        <v>9</v>
      </c>
      <c r="F53" s="69">
        <v>2</v>
      </c>
      <c r="G53" s="69">
        <f>G52</f>
        <v>0.5</v>
      </c>
      <c r="H53" s="69"/>
      <c r="I53" s="69">
        <f>D53*E53*F53*G53</f>
        <v>9</v>
      </c>
      <c r="J53" s="69"/>
      <c r="K53" s="70" t="s">
        <v>27</v>
      </c>
      <c r="L53" s="64"/>
      <c r="M53" s="64"/>
      <c r="N53" s="64"/>
      <c r="O53" s="64"/>
      <c r="P53" s="65"/>
      <c r="Q53" s="65"/>
    </row>
    <row r="54" spans="1:17" s="66" customFormat="1" ht="18.649999999999999" customHeight="1">
      <c r="A54" s="67"/>
      <c r="B54" s="74" t="s">
        <v>411</v>
      </c>
      <c r="C54" s="74"/>
      <c r="D54" s="68">
        <v>2</v>
      </c>
      <c r="E54" s="69">
        <f>4.5-0.83</f>
        <v>3.67</v>
      </c>
      <c r="F54" s="69">
        <v>2</v>
      </c>
      <c r="G54" s="69">
        <f>G53</f>
        <v>0.5</v>
      </c>
      <c r="H54" s="69"/>
      <c r="I54" s="69">
        <f>D54*E54*F54*G54</f>
        <v>7.34</v>
      </c>
      <c r="J54" s="69"/>
      <c r="K54" s="70" t="s">
        <v>27</v>
      </c>
      <c r="L54" s="64"/>
      <c r="M54" s="64"/>
      <c r="N54" s="64"/>
      <c r="O54" s="64"/>
      <c r="P54" s="65"/>
      <c r="Q54" s="65"/>
    </row>
    <row r="55" spans="1:17" s="66" customFormat="1" ht="18.649999999999999" customHeight="1">
      <c r="A55" s="67"/>
      <c r="B55" s="436" t="s">
        <v>717</v>
      </c>
      <c r="C55" s="74"/>
      <c r="D55" s="68"/>
      <c r="E55" s="69"/>
      <c r="F55" s="69"/>
      <c r="G55" s="69"/>
      <c r="H55" s="69"/>
      <c r="I55" s="69"/>
      <c r="J55" s="69"/>
      <c r="K55" s="70"/>
      <c r="L55" s="64"/>
      <c r="M55" s="64"/>
      <c r="N55" s="64"/>
      <c r="O55" s="64"/>
      <c r="P55" s="65"/>
      <c r="Q55" s="65"/>
    </row>
    <row r="56" spans="1:17" s="66" customFormat="1" ht="18.649999999999999" customHeight="1">
      <c r="A56" s="67"/>
      <c r="B56" s="74" t="s">
        <v>718</v>
      </c>
      <c r="C56" s="74"/>
      <c r="D56" s="68">
        <v>2</v>
      </c>
      <c r="E56" s="69">
        <f>13.5-13.5/12</f>
        <v>12.38</v>
      </c>
      <c r="F56" s="69"/>
      <c r="G56" s="69"/>
      <c r="H56" s="69"/>
      <c r="I56" s="69"/>
      <c r="J56" s="69"/>
      <c r="K56" s="70"/>
      <c r="L56" s="64"/>
      <c r="M56" s="64"/>
      <c r="N56" s="64"/>
      <c r="O56" s="64"/>
      <c r="P56" s="65"/>
      <c r="Q56" s="65"/>
    </row>
    <row r="57" spans="1:17" s="66" customFormat="1" ht="18.649999999999999" customHeight="1">
      <c r="A57" s="67"/>
      <c r="B57" s="74" t="s">
        <v>719</v>
      </c>
      <c r="C57" s="74"/>
      <c r="D57" s="68">
        <v>1</v>
      </c>
      <c r="E57" s="69">
        <v>4.58</v>
      </c>
      <c r="F57" s="69"/>
      <c r="G57" s="69"/>
      <c r="H57" s="69"/>
      <c r="I57" s="69"/>
      <c r="J57" s="69"/>
      <c r="K57" s="70"/>
      <c r="L57" s="64"/>
      <c r="M57" s="64"/>
      <c r="N57" s="64"/>
      <c r="O57" s="64"/>
      <c r="P57" s="65"/>
      <c r="Q57" s="65"/>
    </row>
    <row r="58" spans="1:17" s="66" customFormat="1" ht="18.649999999999999" customHeight="1">
      <c r="A58" s="67"/>
      <c r="B58" s="74" t="s">
        <v>719</v>
      </c>
      <c r="C58" s="74"/>
      <c r="D58" s="68">
        <v>1</v>
      </c>
      <c r="E58" s="69">
        <v>3.33</v>
      </c>
      <c r="F58" s="69"/>
      <c r="G58" s="69"/>
      <c r="H58" s="69"/>
      <c r="I58" s="69"/>
      <c r="J58" s="69"/>
      <c r="K58" s="70"/>
      <c r="L58" s="64"/>
      <c r="M58" s="64"/>
      <c r="N58" s="64"/>
      <c r="O58" s="64"/>
      <c r="P58" s="65"/>
      <c r="Q58" s="65"/>
    </row>
    <row r="59" spans="1:17" s="66" customFormat="1" ht="18.649999999999999" customHeight="1">
      <c r="A59" s="67"/>
      <c r="B59" s="74" t="s">
        <v>720</v>
      </c>
      <c r="C59" s="74"/>
      <c r="D59" s="68">
        <v>1</v>
      </c>
      <c r="E59" s="69">
        <v>7.5</v>
      </c>
      <c r="F59" s="69"/>
      <c r="G59" s="69"/>
      <c r="H59" s="69"/>
      <c r="I59" s="69"/>
      <c r="J59" s="69"/>
      <c r="K59" s="70"/>
      <c r="L59" s="64"/>
      <c r="M59" s="64"/>
      <c r="N59" s="64"/>
      <c r="O59" s="64"/>
      <c r="P59" s="65"/>
      <c r="Q59" s="65"/>
    </row>
    <row r="60" spans="1:17" s="66" customFormat="1" ht="18.649999999999999" customHeight="1">
      <c r="A60" s="67"/>
      <c r="B60" s="74" t="s">
        <v>721</v>
      </c>
      <c r="C60" s="74"/>
      <c r="D60" s="68">
        <v>1</v>
      </c>
      <c r="E60" s="69">
        <v>6</v>
      </c>
      <c r="F60" s="69"/>
      <c r="G60" s="69"/>
      <c r="H60" s="69"/>
      <c r="I60" s="69"/>
      <c r="J60" s="69"/>
      <c r="K60" s="70"/>
      <c r="L60" s="64"/>
      <c r="M60" s="64"/>
      <c r="N60" s="64"/>
      <c r="O60" s="64"/>
      <c r="P60" s="65"/>
      <c r="Q60" s="65"/>
    </row>
    <row r="61" spans="1:17" s="66" customFormat="1" ht="18.649999999999999" customHeight="1">
      <c r="A61" s="67"/>
      <c r="B61" s="74" t="s">
        <v>719</v>
      </c>
      <c r="C61" s="74"/>
      <c r="D61" s="434">
        <v>2</v>
      </c>
      <c r="E61" s="435">
        <v>8.33</v>
      </c>
      <c r="F61" s="69"/>
      <c r="G61" s="69"/>
      <c r="H61" s="69"/>
      <c r="I61" s="69"/>
      <c r="J61" s="69"/>
      <c r="K61" s="70"/>
      <c r="L61" s="64"/>
      <c r="M61" s="64"/>
      <c r="N61" s="64"/>
      <c r="O61" s="64"/>
      <c r="P61" s="65"/>
      <c r="Q61" s="65"/>
    </row>
    <row r="62" spans="1:17" s="66" customFormat="1" ht="18.649999999999999" customHeight="1">
      <c r="A62" s="67"/>
      <c r="B62" s="74" t="s">
        <v>919</v>
      </c>
      <c r="C62" s="74"/>
      <c r="D62" s="481">
        <v>1</v>
      </c>
      <c r="E62" s="482">
        <f>16+4*2</f>
        <v>24</v>
      </c>
      <c r="F62" s="69"/>
      <c r="G62" s="69"/>
      <c r="H62" s="69"/>
      <c r="I62" s="69"/>
      <c r="J62" s="69"/>
      <c r="K62" s="70"/>
      <c r="L62" s="64"/>
      <c r="M62" s="64"/>
      <c r="N62" s="64"/>
      <c r="O62" s="64"/>
      <c r="P62" s="65"/>
      <c r="Q62" s="65"/>
    </row>
    <row r="63" spans="1:17" s="66" customFormat="1" ht="18.649999999999999" customHeight="1">
      <c r="A63" s="67"/>
      <c r="B63" s="74"/>
      <c r="C63" s="74"/>
      <c r="D63" s="82">
        <v>1</v>
      </c>
      <c r="E63" s="83">
        <f>D56*E56+D57*E57+D58*E58+D59*E59+D60*E60+D61*E61+D62*E62</f>
        <v>86.83</v>
      </c>
      <c r="F63" s="69">
        <v>2</v>
      </c>
      <c r="G63" s="69">
        <v>0.5</v>
      </c>
      <c r="H63" s="69"/>
      <c r="I63" s="69">
        <f>D63*E63*F63*G63</f>
        <v>86.83</v>
      </c>
      <c r="J63" s="69"/>
      <c r="K63" s="70"/>
      <c r="L63" s="64"/>
      <c r="M63" s="64"/>
      <c r="N63" s="64"/>
      <c r="O63" s="64"/>
      <c r="P63" s="65"/>
      <c r="Q63" s="65"/>
    </row>
    <row r="64" spans="1:17" s="66" customFormat="1" ht="18.649999999999999" customHeight="1">
      <c r="A64" s="67"/>
      <c r="B64" s="74" t="s">
        <v>413</v>
      </c>
      <c r="C64" s="74"/>
      <c r="D64" s="68">
        <v>1</v>
      </c>
      <c r="E64" s="69">
        <v>14</v>
      </c>
      <c r="F64" s="69">
        <v>4</v>
      </c>
      <c r="G64" s="69">
        <v>0.5</v>
      </c>
      <c r="H64" s="69"/>
      <c r="I64" s="69">
        <f>D64*E64*F64*G64</f>
        <v>28</v>
      </c>
      <c r="J64" s="69"/>
      <c r="K64" s="70" t="s">
        <v>27</v>
      </c>
      <c r="L64" s="64"/>
      <c r="M64" s="64"/>
      <c r="N64" s="64"/>
      <c r="O64" s="64"/>
      <c r="P64" s="65"/>
      <c r="Q64" s="65"/>
    </row>
    <row r="65" spans="1:17" s="66" customFormat="1" ht="18.649999999999999" customHeight="1">
      <c r="A65" s="67"/>
      <c r="B65" s="67" t="s">
        <v>58</v>
      </c>
      <c r="C65" s="67"/>
      <c r="D65" s="69" t="s">
        <v>29</v>
      </c>
      <c r="E65" s="118">
        <f>D51*E51+D52*E52+D53*E53+D54*E54</f>
        <v>201.42</v>
      </c>
      <c r="F65" s="69"/>
      <c r="G65" s="69"/>
      <c r="H65" s="69"/>
      <c r="I65" s="69"/>
      <c r="J65" s="69">
        <f>SUM(I51:I65)</f>
        <v>316.25</v>
      </c>
      <c r="K65" s="70" t="s">
        <v>27</v>
      </c>
      <c r="L65" s="64"/>
      <c r="M65" s="64"/>
      <c r="N65" s="64"/>
      <c r="O65" s="64"/>
      <c r="P65" s="65"/>
      <c r="Q65" s="65"/>
    </row>
    <row r="66" spans="1:17" s="66" customFormat="1" ht="18.649999999999999" customHeight="1">
      <c r="A66" s="67"/>
      <c r="F66" s="69"/>
      <c r="G66" s="69"/>
      <c r="H66" s="69"/>
      <c r="I66" s="69"/>
      <c r="J66" s="69">
        <f>J65+J49</f>
        <v>389.55</v>
      </c>
      <c r="K66" s="75" t="s">
        <v>27</v>
      </c>
      <c r="L66" s="64"/>
      <c r="M66" s="64"/>
      <c r="N66" s="64"/>
      <c r="O66" s="64"/>
      <c r="P66" s="65"/>
      <c r="Q66" s="65"/>
    </row>
    <row r="67" spans="1:17" s="66" customFormat="1" ht="18.649999999999999" customHeight="1">
      <c r="A67" s="67"/>
      <c r="B67" s="74"/>
      <c r="C67" s="74"/>
      <c r="D67" s="68"/>
      <c r="E67" s="69"/>
      <c r="F67" s="69"/>
      <c r="G67" s="69"/>
      <c r="H67" s="69"/>
      <c r="I67" s="69"/>
      <c r="J67" s="69">
        <f>J66/100</f>
        <v>3.9</v>
      </c>
      <c r="K67" s="75" t="s">
        <v>7</v>
      </c>
      <c r="L67" s="64"/>
      <c r="M67" s="64"/>
      <c r="N67" s="64"/>
      <c r="O67" s="64"/>
      <c r="P67" s="65"/>
      <c r="Q67" s="65"/>
    </row>
    <row r="68" spans="1:17" s="66" customFormat="1" ht="18.649999999999999" customHeight="1">
      <c r="A68" s="67"/>
      <c r="B68" s="67"/>
      <c r="C68" s="67"/>
      <c r="D68" s="68"/>
      <c r="E68" s="69"/>
      <c r="F68" s="69"/>
      <c r="G68" s="69"/>
      <c r="H68" s="69"/>
      <c r="I68" s="69"/>
      <c r="J68" s="69"/>
      <c r="K68" s="70"/>
      <c r="L68" s="64"/>
      <c r="M68" s="64"/>
      <c r="N68" s="64"/>
      <c r="O68" s="64"/>
      <c r="P68" s="65"/>
      <c r="Q68" s="65"/>
    </row>
    <row r="69" spans="1:17" s="66" customFormat="1" ht="18.649999999999999" customHeight="1">
      <c r="A69" s="67">
        <v>6</v>
      </c>
      <c r="B69" s="76" t="s">
        <v>139</v>
      </c>
      <c r="C69" s="76"/>
      <c r="D69" s="68"/>
      <c r="E69" s="69"/>
      <c r="F69" s="69"/>
      <c r="G69" s="69"/>
      <c r="H69" s="69"/>
      <c r="I69" s="69"/>
      <c r="J69" s="69"/>
      <c r="K69" s="70"/>
      <c r="L69" s="64"/>
      <c r="M69" s="64"/>
      <c r="N69" s="64"/>
      <c r="O69" s="64"/>
      <c r="P69" s="65"/>
      <c r="Q69" s="65"/>
    </row>
    <row r="70" spans="1:17" s="66" customFormat="1" ht="18.649999999999999" customHeight="1">
      <c r="A70" s="67"/>
      <c r="B70" s="67" t="str">
        <f>B50</f>
        <v xml:space="preserve">Retaining Wall </v>
      </c>
      <c r="C70" s="67"/>
      <c r="D70" s="68"/>
      <c r="E70" s="69"/>
      <c r="F70" s="69"/>
      <c r="G70" s="69"/>
      <c r="H70" s="69"/>
      <c r="I70" s="69"/>
      <c r="J70" s="69"/>
      <c r="K70" s="70"/>
      <c r="L70" s="64"/>
      <c r="M70" s="64"/>
      <c r="N70" s="64"/>
      <c r="O70" s="64"/>
      <c r="P70" s="65"/>
      <c r="Q70" s="65"/>
    </row>
    <row r="71" spans="1:17" s="66" customFormat="1" ht="18.649999999999999" customHeight="1">
      <c r="A71" s="67"/>
      <c r="B71" s="74" t="str">
        <f>B51</f>
        <v>Line A,B,C &amp; D</v>
      </c>
      <c r="C71" s="74"/>
      <c r="D71" s="438">
        <f>D51</f>
        <v>4</v>
      </c>
      <c r="E71" s="480">
        <f>E51</f>
        <v>22.51</v>
      </c>
      <c r="F71" s="69"/>
      <c r="G71" s="69"/>
      <c r="H71" s="69"/>
      <c r="I71" s="69"/>
      <c r="J71" s="69"/>
      <c r="K71" s="70"/>
      <c r="L71" s="64"/>
      <c r="M71" s="64"/>
      <c r="N71" s="64"/>
      <c r="O71" s="64"/>
      <c r="P71" s="65"/>
      <c r="Q71" s="65"/>
    </row>
    <row r="72" spans="1:17" s="66" customFormat="1" ht="18.649999999999999" customHeight="1">
      <c r="A72" s="67"/>
      <c r="B72" s="74" t="s">
        <v>146</v>
      </c>
      <c r="C72" s="74"/>
      <c r="D72" s="68">
        <f>D71</f>
        <v>4</v>
      </c>
      <c r="E72" s="69">
        <f>E71</f>
        <v>22.51</v>
      </c>
      <c r="F72" s="69">
        <f>13.5/12</f>
        <v>1.1299999999999999</v>
      </c>
      <c r="G72" s="69">
        <f>0.25</f>
        <v>0.25</v>
      </c>
      <c r="H72" s="69"/>
      <c r="I72" s="69">
        <f>D72*E72*F72*G72</f>
        <v>25.44</v>
      </c>
      <c r="J72" s="69"/>
      <c r="K72" s="70" t="s">
        <v>27</v>
      </c>
      <c r="L72" s="64"/>
      <c r="M72" s="64"/>
      <c r="N72" s="64"/>
      <c r="O72" s="64"/>
      <c r="P72" s="65"/>
      <c r="Q72" s="65"/>
    </row>
    <row r="73" spans="1:17" s="66" customFormat="1" ht="18.649999999999999" customHeight="1">
      <c r="A73" s="67"/>
      <c r="B73" s="74" t="s">
        <v>96</v>
      </c>
      <c r="C73" s="74"/>
      <c r="D73" s="68">
        <f>D71</f>
        <v>4</v>
      </c>
      <c r="E73" s="69">
        <f>E71</f>
        <v>22.51</v>
      </c>
      <c r="F73" s="69">
        <v>0.75</v>
      </c>
      <c r="G73" s="69">
        <v>2.25</v>
      </c>
      <c r="H73" s="69"/>
      <c r="I73" s="69">
        <f>D73*E73*F73*G73</f>
        <v>151.94</v>
      </c>
      <c r="J73" s="69"/>
      <c r="K73" s="70" t="s">
        <v>27</v>
      </c>
      <c r="L73" s="64"/>
      <c r="M73" s="64"/>
      <c r="N73" s="64"/>
      <c r="O73" s="64"/>
      <c r="P73" s="65"/>
      <c r="Q73" s="65"/>
    </row>
    <row r="74" spans="1:17" s="66" customFormat="1" ht="18.649999999999999" customHeight="1">
      <c r="A74" s="67"/>
      <c r="B74" s="74" t="s">
        <v>97</v>
      </c>
      <c r="C74" s="74"/>
      <c r="D74" s="68">
        <f>D73</f>
        <v>4</v>
      </c>
      <c r="E74" s="69">
        <f>E73</f>
        <v>22.51</v>
      </c>
      <c r="F74" s="69">
        <f>0.75</f>
        <v>0.75</v>
      </c>
      <c r="G74" s="69">
        <f>(1.83+2)-1</f>
        <v>2.83</v>
      </c>
      <c r="H74" s="69"/>
      <c r="I74" s="69">
        <f>D74*E74*F74*G74</f>
        <v>191.11</v>
      </c>
      <c r="J74" s="69"/>
      <c r="K74" s="70" t="s">
        <v>27</v>
      </c>
      <c r="L74" s="77"/>
      <c r="M74" s="64"/>
      <c r="N74" s="64"/>
      <c r="O74" s="64"/>
      <c r="P74" s="65"/>
      <c r="Q74" s="65"/>
    </row>
    <row r="75" spans="1:17" s="66" customFormat="1" ht="18.649999999999999" customHeight="1">
      <c r="A75" s="67"/>
      <c r="B75" s="74" t="str">
        <f>B52</f>
        <v>Line 1,2,3</v>
      </c>
      <c r="C75" s="74"/>
      <c r="D75" s="438">
        <f>D52</f>
        <v>3</v>
      </c>
      <c r="E75" s="480">
        <f>E52</f>
        <v>31.68</v>
      </c>
      <c r="F75" s="69"/>
      <c r="G75" s="69"/>
      <c r="H75" s="69"/>
      <c r="I75" s="69"/>
      <c r="J75" s="69"/>
      <c r="K75" s="70"/>
      <c r="L75" s="77"/>
      <c r="M75" s="64"/>
      <c r="N75" s="64"/>
      <c r="O75" s="64"/>
      <c r="P75" s="65"/>
      <c r="Q75" s="65"/>
    </row>
    <row r="76" spans="1:17" s="66" customFormat="1" ht="18.649999999999999" customHeight="1">
      <c r="A76" s="67"/>
      <c r="B76" s="74" t="s">
        <v>145</v>
      </c>
      <c r="C76" s="74"/>
      <c r="D76" s="68">
        <f>D75</f>
        <v>3</v>
      </c>
      <c r="E76" s="69">
        <f>E75</f>
        <v>31.68</v>
      </c>
      <c r="F76" s="69">
        <f>13.5/12</f>
        <v>1.1299999999999999</v>
      </c>
      <c r="G76" s="69">
        <f>0.25</f>
        <v>0.25</v>
      </c>
      <c r="H76" s="69"/>
      <c r="I76" s="69">
        <f>D76*E76*F76*G76</f>
        <v>26.85</v>
      </c>
      <c r="J76" s="69"/>
      <c r="K76" s="70" t="s">
        <v>27</v>
      </c>
      <c r="L76" s="77"/>
      <c r="M76" s="64"/>
      <c r="N76" s="64"/>
      <c r="O76" s="64"/>
      <c r="P76" s="65"/>
      <c r="Q76" s="65"/>
    </row>
    <row r="77" spans="1:17" s="66" customFormat="1" ht="18.649999999999999" customHeight="1">
      <c r="A77" s="67"/>
      <c r="B77" s="74" t="s">
        <v>96</v>
      </c>
      <c r="C77" s="74"/>
      <c r="D77" s="68">
        <f>D75</f>
        <v>3</v>
      </c>
      <c r="E77" s="69">
        <f>E75</f>
        <v>31.68</v>
      </c>
      <c r="F77" s="69">
        <v>0.75</v>
      </c>
      <c r="G77" s="69">
        <f>3-0.5-G76</f>
        <v>2.25</v>
      </c>
      <c r="H77" s="69"/>
      <c r="I77" s="69">
        <f>D77*E77*F77*G77</f>
        <v>160.38</v>
      </c>
      <c r="J77" s="69"/>
      <c r="K77" s="70" t="s">
        <v>27</v>
      </c>
      <c r="L77" s="64"/>
      <c r="M77" s="64"/>
      <c r="N77" s="64"/>
      <c r="O77" s="64"/>
      <c r="P77" s="65"/>
      <c r="Q77" s="65"/>
    </row>
    <row r="78" spans="1:17" s="66" customFormat="1" ht="18.649999999999999" customHeight="1">
      <c r="A78" s="67"/>
      <c r="B78" s="74" t="s">
        <v>97</v>
      </c>
      <c r="C78" s="74"/>
      <c r="D78" s="68">
        <f>D77</f>
        <v>3</v>
      </c>
      <c r="E78" s="69">
        <f>E77</f>
        <v>31.68</v>
      </c>
      <c r="F78" s="69">
        <f>0.75</f>
        <v>0.75</v>
      </c>
      <c r="G78" s="69">
        <f>G74</f>
        <v>2.83</v>
      </c>
      <c r="H78" s="69"/>
      <c r="I78" s="69">
        <f>D78*E78*F78*G78</f>
        <v>201.72</v>
      </c>
      <c r="J78" s="69"/>
      <c r="K78" s="70" t="s">
        <v>27</v>
      </c>
      <c r="L78" s="77"/>
      <c r="M78" s="64">
        <f>I72+I73+I74+I76+I77+I78</f>
        <v>757.44</v>
      </c>
      <c r="N78" s="64"/>
      <c r="O78" s="64"/>
      <c r="P78" s="65"/>
      <c r="Q78" s="65"/>
    </row>
    <row r="79" spans="1:17" s="66" customFormat="1" ht="18.649999999999999" customHeight="1">
      <c r="A79" s="67"/>
      <c r="B79" s="74" t="str">
        <f>B53</f>
        <v>Line D'</v>
      </c>
      <c r="C79" s="74"/>
      <c r="D79" s="438">
        <f>D53</f>
        <v>1</v>
      </c>
      <c r="E79" s="480">
        <f>E53</f>
        <v>9</v>
      </c>
      <c r="F79" s="69"/>
      <c r="G79" s="69"/>
      <c r="H79" s="69"/>
      <c r="I79" s="69"/>
      <c r="J79" s="69"/>
      <c r="K79" s="70"/>
      <c r="L79" s="77"/>
      <c r="M79" s="64"/>
      <c r="N79" s="64"/>
      <c r="O79" s="64"/>
      <c r="P79" s="65"/>
      <c r="Q79" s="65"/>
    </row>
    <row r="80" spans="1:17" s="66" customFormat="1" ht="18.649999999999999" customHeight="1">
      <c r="A80" s="67"/>
      <c r="B80" s="74" t="s">
        <v>145</v>
      </c>
      <c r="C80" s="74"/>
      <c r="D80" s="68">
        <f>D79</f>
        <v>1</v>
      </c>
      <c r="E80" s="69">
        <f>E79</f>
        <v>9</v>
      </c>
      <c r="F80" s="69">
        <f>13.5/12</f>
        <v>1.1299999999999999</v>
      </c>
      <c r="G80" s="69">
        <f>0.25</f>
        <v>0.25</v>
      </c>
      <c r="H80" s="69"/>
      <c r="I80" s="69">
        <f>D80*E80*F80*G80</f>
        <v>2.54</v>
      </c>
      <c r="J80" s="69"/>
      <c r="K80" s="70" t="s">
        <v>27</v>
      </c>
      <c r="L80" s="77"/>
      <c r="M80" s="64"/>
      <c r="N80" s="64"/>
      <c r="O80" s="64"/>
      <c r="P80" s="65"/>
      <c r="Q80" s="65"/>
    </row>
    <row r="81" spans="1:17" s="66" customFormat="1" ht="18.649999999999999" customHeight="1">
      <c r="A81" s="67"/>
      <c r="B81" s="74" t="s">
        <v>96</v>
      </c>
      <c r="C81" s="74"/>
      <c r="D81" s="68">
        <f>D79</f>
        <v>1</v>
      </c>
      <c r="E81" s="69">
        <f>E79</f>
        <v>9</v>
      </c>
      <c r="F81" s="69">
        <v>0.75</v>
      </c>
      <c r="G81" s="69">
        <f>3-0.5-G80</f>
        <v>2.25</v>
      </c>
      <c r="H81" s="69"/>
      <c r="I81" s="69">
        <f>D81*E81*F81*G81</f>
        <v>15.19</v>
      </c>
      <c r="J81" s="69"/>
      <c r="K81" s="70" t="s">
        <v>27</v>
      </c>
      <c r="L81" s="64"/>
      <c r="M81" s="64"/>
      <c r="N81" s="64"/>
      <c r="O81" s="64"/>
      <c r="P81" s="65"/>
      <c r="Q81" s="65"/>
    </row>
    <row r="82" spans="1:17" s="66" customFormat="1" ht="18.649999999999999" customHeight="1">
      <c r="A82" s="67"/>
      <c r="B82" s="74" t="s">
        <v>97</v>
      </c>
      <c r="C82" s="74"/>
      <c r="D82" s="68">
        <f>D81</f>
        <v>1</v>
      </c>
      <c r="E82" s="69">
        <f>E81</f>
        <v>9</v>
      </c>
      <c r="F82" s="69">
        <f>0.75</f>
        <v>0.75</v>
      </c>
      <c r="G82" s="69">
        <f>G74</f>
        <v>2.83</v>
      </c>
      <c r="H82" s="69"/>
      <c r="I82" s="69">
        <f>D82*E82*F82*G82</f>
        <v>19.100000000000001</v>
      </c>
      <c r="J82" s="69"/>
      <c r="K82" s="70" t="s">
        <v>27</v>
      </c>
      <c r="L82" s="77"/>
      <c r="M82" s="64">
        <f>I76+I77+I78+I80+I81+I82</f>
        <v>425.78</v>
      </c>
      <c r="N82" s="64"/>
      <c r="O82" s="64"/>
      <c r="P82" s="65"/>
      <c r="Q82" s="65"/>
    </row>
    <row r="83" spans="1:17" s="66" customFormat="1" ht="18.649999999999999" customHeight="1">
      <c r="A83" s="67"/>
      <c r="B83" s="74" t="str">
        <f>B54</f>
        <v>Line 2' &amp; 3'</v>
      </c>
      <c r="C83" s="74"/>
      <c r="D83" s="438">
        <f>D54</f>
        <v>2</v>
      </c>
      <c r="E83" s="480">
        <f>E54</f>
        <v>3.67</v>
      </c>
      <c r="F83" s="69"/>
      <c r="G83" s="69"/>
      <c r="H83" s="69"/>
      <c r="I83" s="69"/>
      <c r="J83" s="69"/>
      <c r="K83" s="70"/>
      <c r="L83" s="77"/>
      <c r="M83" s="64"/>
      <c r="N83" s="64"/>
      <c r="O83" s="64"/>
      <c r="P83" s="65"/>
      <c r="Q83" s="65"/>
    </row>
    <row r="84" spans="1:17" s="66" customFormat="1" ht="18.649999999999999" customHeight="1">
      <c r="A84" s="67"/>
      <c r="B84" s="74" t="s">
        <v>145</v>
      </c>
      <c r="C84" s="74"/>
      <c r="D84" s="68">
        <f>D83</f>
        <v>2</v>
      </c>
      <c r="E84" s="69">
        <f>E83</f>
        <v>3.67</v>
      </c>
      <c r="F84" s="69">
        <f>13.5/12</f>
        <v>1.1299999999999999</v>
      </c>
      <c r="G84" s="69">
        <f>0.25</f>
        <v>0.25</v>
      </c>
      <c r="H84" s="69"/>
      <c r="I84" s="69">
        <f>D84*E84*F84*G84</f>
        <v>2.0699999999999998</v>
      </c>
      <c r="J84" s="69"/>
      <c r="K84" s="70" t="s">
        <v>27</v>
      </c>
      <c r="L84" s="77"/>
      <c r="M84" s="64"/>
      <c r="N84" s="64"/>
      <c r="O84" s="64"/>
      <c r="P84" s="65"/>
      <c r="Q84" s="65"/>
    </row>
    <row r="85" spans="1:17" s="66" customFormat="1" ht="18.649999999999999" customHeight="1">
      <c r="A85" s="67"/>
      <c r="B85" s="74" t="s">
        <v>96</v>
      </c>
      <c r="C85" s="74"/>
      <c r="D85" s="68">
        <f>D83</f>
        <v>2</v>
      </c>
      <c r="E85" s="69">
        <f>E83</f>
        <v>3.67</v>
      </c>
      <c r="F85" s="69">
        <v>0.75</v>
      </c>
      <c r="G85" s="69">
        <f>3-0.5-G84</f>
        <v>2.25</v>
      </c>
      <c r="H85" s="69"/>
      <c r="I85" s="69">
        <f>D85*E85*F85*G85</f>
        <v>12.39</v>
      </c>
      <c r="J85" s="69"/>
      <c r="K85" s="70" t="s">
        <v>27</v>
      </c>
      <c r="L85" s="64"/>
      <c r="M85" s="64"/>
      <c r="N85" s="64"/>
      <c r="O85" s="64"/>
      <c r="P85" s="65"/>
      <c r="Q85" s="65"/>
    </row>
    <row r="86" spans="1:17" s="66" customFormat="1" ht="18.649999999999999" customHeight="1">
      <c r="A86" s="67"/>
      <c r="B86" s="74" t="s">
        <v>97</v>
      </c>
      <c r="C86" s="74"/>
      <c r="D86" s="68">
        <f>D85</f>
        <v>2</v>
      </c>
      <c r="E86" s="69">
        <f>E85</f>
        <v>3.67</v>
      </c>
      <c r="F86" s="69">
        <f>0.75</f>
        <v>0.75</v>
      </c>
      <c r="G86" s="69">
        <f>G74</f>
        <v>2.83</v>
      </c>
      <c r="H86" s="69"/>
      <c r="I86" s="69">
        <f>D86*E86*F86*G86</f>
        <v>15.58</v>
      </c>
      <c r="J86" s="69"/>
      <c r="K86" s="70" t="s">
        <v>27</v>
      </c>
      <c r="L86" s="77"/>
      <c r="M86" s="64">
        <f>I80+I81+I82+I84+I85+I86</f>
        <v>66.87</v>
      </c>
      <c r="N86" s="64"/>
      <c r="O86" s="64"/>
      <c r="P86" s="65"/>
      <c r="Q86" s="65"/>
    </row>
    <row r="87" spans="1:17" s="66" customFormat="1" ht="18.649999999999999" customHeight="1">
      <c r="A87" s="67"/>
      <c r="B87" s="74"/>
      <c r="C87" s="74"/>
      <c r="D87" s="68"/>
      <c r="E87" s="69"/>
      <c r="F87" s="69"/>
      <c r="G87" s="69"/>
      <c r="H87" s="69"/>
      <c r="I87" s="69"/>
      <c r="J87" s="69"/>
      <c r="K87" s="70"/>
      <c r="L87" s="77"/>
      <c r="M87" s="64"/>
      <c r="N87" s="64"/>
      <c r="O87" s="64"/>
      <c r="P87" s="65"/>
      <c r="Q87" s="65"/>
    </row>
    <row r="88" spans="1:17" s="66" customFormat="1" ht="18.649999999999999" customHeight="1">
      <c r="A88" s="67"/>
      <c r="B88" s="76" t="s">
        <v>717</v>
      </c>
      <c r="C88" s="74"/>
      <c r="D88" s="68"/>
      <c r="E88" s="69"/>
      <c r="F88" s="69"/>
      <c r="G88" s="69"/>
      <c r="H88" s="69"/>
      <c r="I88" s="69"/>
      <c r="J88" s="69"/>
      <c r="K88" s="70"/>
      <c r="L88" s="77"/>
      <c r="M88" s="64"/>
      <c r="N88" s="64"/>
      <c r="O88" s="64"/>
      <c r="P88" s="65"/>
      <c r="Q88" s="65"/>
    </row>
    <row r="89" spans="1:17" s="66" customFormat="1" ht="18.649999999999999" customHeight="1">
      <c r="A89" s="67"/>
      <c r="B89" s="76"/>
      <c r="C89" s="74"/>
      <c r="D89" s="68">
        <f>1</f>
        <v>1</v>
      </c>
      <c r="E89" s="69">
        <f>E63</f>
        <v>86.83</v>
      </c>
      <c r="F89" s="69"/>
      <c r="G89" s="69"/>
      <c r="H89" s="69"/>
      <c r="I89" s="69"/>
      <c r="J89" s="69"/>
      <c r="K89" s="70"/>
      <c r="L89" s="77"/>
      <c r="M89" s="64"/>
      <c r="N89" s="64"/>
      <c r="O89" s="64"/>
      <c r="P89" s="65"/>
      <c r="Q89" s="65"/>
    </row>
    <row r="90" spans="1:17" s="66" customFormat="1" ht="18.649999999999999" customHeight="1">
      <c r="A90" s="67"/>
      <c r="B90" s="74" t="s">
        <v>145</v>
      </c>
      <c r="C90" s="74"/>
      <c r="D90" s="68">
        <f>D63</f>
        <v>1</v>
      </c>
      <c r="E90" s="69">
        <f>E63</f>
        <v>86.83</v>
      </c>
      <c r="F90" s="69">
        <v>1.1299999999999999</v>
      </c>
      <c r="G90" s="69">
        <v>0.25</v>
      </c>
      <c r="H90" s="69"/>
      <c r="I90" s="69">
        <f>D90*E90*F90*G90</f>
        <v>24.53</v>
      </c>
      <c r="J90" s="69"/>
      <c r="K90" s="70" t="s">
        <v>27</v>
      </c>
      <c r="L90" s="77"/>
      <c r="M90" s="64"/>
      <c r="N90" s="64"/>
      <c r="O90" s="64"/>
      <c r="P90" s="65"/>
      <c r="Q90" s="65"/>
    </row>
    <row r="91" spans="1:17" s="66" customFormat="1" ht="18.649999999999999" customHeight="1">
      <c r="A91" s="67"/>
      <c r="B91" s="74"/>
      <c r="C91" s="74"/>
      <c r="D91" s="68">
        <f>D90</f>
        <v>1</v>
      </c>
      <c r="E91" s="69">
        <f>E90</f>
        <v>86.83</v>
      </c>
      <c r="F91" s="69">
        <v>0.75</v>
      </c>
      <c r="G91" s="69">
        <f>2.25*0</f>
        <v>0</v>
      </c>
      <c r="H91" s="69"/>
      <c r="I91" s="69">
        <f>D91*E91*F91*G91</f>
        <v>0</v>
      </c>
      <c r="J91" s="69"/>
      <c r="K91" s="70" t="s">
        <v>27</v>
      </c>
      <c r="L91" s="77"/>
      <c r="M91" s="64"/>
      <c r="N91" s="64"/>
      <c r="O91" s="64"/>
      <c r="P91" s="65"/>
      <c r="Q91" s="65"/>
    </row>
    <row r="92" spans="1:17" s="66" customFormat="1" ht="18.649999999999999" customHeight="1">
      <c r="A92" s="67"/>
      <c r="B92" s="74" t="s">
        <v>97</v>
      </c>
      <c r="C92" s="74"/>
      <c r="D92" s="68">
        <f>D90</f>
        <v>1</v>
      </c>
      <c r="E92" s="69">
        <f>E90</f>
        <v>86.83</v>
      </c>
      <c r="F92" s="69">
        <v>0.75</v>
      </c>
      <c r="G92" s="69">
        <f>G74</f>
        <v>2.83</v>
      </c>
      <c r="H92" s="69"/>
      <c r="I92" s="69">
        <f>D92*E92*F92*G92</f>
        <v>184.3</v>
      </c>
      <c r="J92" s="69"/>
      <c r="K92" s="70" t="s">
        <v>27</v>
      </c>
      <c r="L92" s="77"/>
      <c r="M92" s="64"/>
      <c r="N92" s="64"/>
      <c r="O92" s="64"/>
      <c r="P92" s="65"/>
      <c r="Q92" s="65"/>
    </row>
    <row r="93" spans="1:17" s="66" customFormat="1" ht="18.649999999999999" customHeight="1">
      <c r="A93" s="67"/>
      <c r="B93" s="74" t="str">
        <f>B65</f>
        <v>Total Length</v>
      </c>
      <c r="C93" s="74"/>
      <c r="D93" s="68" t="str">
        <f>D65</f>
        <v>Fr</v>
      </c>
      <c r="E93" s="69">
        <f>D71*E71+D75*E75+D79*E79+D83*E83</f>
        <v>201.42</v>
      </c>
      <c r="F93" s="69"/>
      <c r="G93" s="69"/>
      <c r="H93" s="69"/>
      <c r="I93" s="69"/>
      <c r="J93" s="69"/>
      <c r="K93" s="70"/>
      <c r="L93" s="64">
        <f>SUM(I72:I93)</f>
        <v>1033.1400000000001</v>
      </c>
      <c r="M93" s="64">
        <f>M78*630/100/112</f>
        <v>42.61</v>
      </c>
      <c r="N93" s="64"/>
      <c r="O93" s="64"/>
      <c r="P93" s="65"/>
      <c r="Q93" s="65"/>
    </row>
    <row r="94" spans="1:17" s="66" customFormat="1" ht="18.649999999999999" customHeight="1">
      <c r="A94" s="67"/>
      <c r="B94" s="74" t="s">
        <v>71</v>
      </c>
      <c r="C94" s="74"/>
      <c r="D94" s="68" t="s">
        <v>82</v>
      </c>
      <c r="E94" s="69">
        <f>E93</f>
        <v>201.42</v>
      </c>
      <c r="F94" s="69"/>
      <c r="G94" s="69"/>
      <c r="H94" s="69"/>
      <c r="I94" s="69"/>
      <c r="J94" s="69"/>
      <c r="K94" s="70"/>
      <c r="L94" s="64">
        <f>L93*1350/100</f>
        <v>13947.39</v>
      </c>
      <c r="M94" s="64"/>
      <c r="N94" s="64"/>
      <c r="O94" s="64"/>
      <c r="P94" s="65"/>
      <c r="Q94" s="65"/>
    </row>
    <row r="95" spans="1:17" s="66" customFormat="1" ht="18.649999999999999" customHeight="1">
      <c r="A95" s="67"/>
      <c r="B95" s="74" t="s">
        <v>106</v>
      </c>
      <c r="C95" s="74"/>
      <c r="D95" s="68" t="s">
        <v>82</v>
      </c>
      <c r="E95" s="69">
        <f>E94+D89*E89</f>
        <v>288.25</v>
      </c>
      <c r="F95" s="69"/>
      <c r="G95" s="69"/>
      <c r="H95" s="69"/>
      <c r="I95" s="69"/>
      <c r="J95" s="69"/>
      <c r="K95" s="70"/>
      <c r="L95" s="64"/>
      <c r="M95" s="64"/>
      <c r="N95" s="64"/>
      <c r="O95" s="64"/>
      <c r="P95" s="65"/>
      <c r="Q95" s="65"/>
    </row>
    <row r="96" spans="1:17" s="66" customFormat="1" ht="18.649999999999999" customHeight="1">
      <c r="A96" s="67"/>
      <c r="B96" s="74" t="s">
        <v>104</v>
      </c>
      <c r="C96" s="74"/>
      <c r="D96" s="68">
        <v>1</v>
      </c>
      <c r="E96" s="69">
        <v>9</v>
      </c>
      <c r="F96" s="69">
        <v>3.75</v>
      </c>
      <c r="G96" s="69">
        <v>0.5</v>
      </c>
      <c r="H96" s="69"/>
      <c r="I96" s="69">
        <f>D96*E96*F96*G96</f>
        <v>16.88</v>
      </c>
      <c r="J96" s="69"/>
      <c r="K96" s="70" t="s">
        <v>27</v>
      </c>
      <c r="L96" s="64"/>
      <c r="M96" s="64"/>
      <c r="N96" s="64"/>
      <c r="O96" s="64"/>
      <c r="P96" s="65"/>
      <c r="Q96" s="65"/>
    </row>
    <row r="97" spans="1:17" s="66" customFormat="1" ht="18.649999999999999" customHeight="1">
      <c r="A97" s="67"/>
      <c r="B97" s="74"/>
      <c r="C97" s="74"/>
      <c r="D97" s="68">
        <f>D96</f>
        <v>1</v>
      </c>
      <c r="E97" s="69">
        <f>E96</f>
        <v>9</v>
      </c>
      <c r="F97" s="69">
        <v>3</v>
      </c>
      <c r="G97" s="69">
        <v>0.5</v>
      </c>
      <c r="H97" s="69"/>
      <c r="I97" s="69">
        <f>D97*E97*F97*G97</f>
        <v>13.5</v>
      </c>
      <c r="J97" s="69"/>
      <c r="K97" s="70" t="s">
        <v>27</v>
      </c>
      <c r="L97" s="64"/>
      <c r="M97" s="64"/>
      <c r="N97" s="64"/>
      <c r="O97" s="64"/>
      <c r="P97" s="65"/>
      <c r="Q97" s="65"/>
    </row>
    <row r="98" spans="1:17" s="66" customFormat="1" ht="18.649999999999999" customHeight="1">
      <c r="A98" s="67"/>
      <c r="B98" s="74"/>
      <c r="C98" s="74"/>
      <c r="D98" s="68">
        <f>D96</f>
        <v>1</v>
      </c>
      <c r="E98" s="69">
        <f>E96</f>
        <v>9</v>
      </c>
      <c r="F98" s="69">
        <v>2.25</v>
      </c>
      <c r="G98" s="69">
        <v>0.5</v>
      </c>
      <c r="H98" s="69"/>
      <c r="I98" s="69">
        <f>D98*E98*F98*G98</f>
        <v>10.130000000000001</v>
      </c>
      <c r="J98" s="69"/>
      <c r="K98" s="70" t="s">
        <v>27</v>
      </c>
      <c r="L98" s="64"/>
      <c r="M98" s="64"/>
      <c r="N98" s="64"/>
      <c r="O98" s="64"/>
      <c r="P98" s="65"/>
      <c r="Q98" s="65"/>
    </row>
    <row r="99" spans="1:17" s="66" customFormat="1" ht="18.649999999999999" customHeight="1">
      <c r="A99" s="67"/>
      <c r="B99" s="74"/>
      <c r="C99" s="67"/>
      <c r="D99" s="68">
        <v>1</v>
      </c>
      <c r="E99" s="69">
        <f>E98</f>
        <v>9</v>
      </c>
      <c r="F99" s="69">
        <v>1.5</v>
      </c>
      <c r="G99" s="69">
        <f>G96</f>
        <v>0.5</v>
      </c>
      <c r="H99" s="69"/>
      <c r="I99" s="69">
        <f>D99*E99*F99*G99</f>
        <v>6.75</v>
      </c>
      <c r="J99" s="69"/>
      <c r="K99" s="70" t="s">
        <v>27</v>
      </c>
      <c r="L99" s="64"/>
      <c r="M99" s="64"/>
      <c r="N99" s="64"/>
      <c r="O99" s="64"/>
      <c r="P99" s="65"/>
      <c r="Q99" s="65"/>
    </row>
    <row r="100" spans="1:17" s="66" customFormat="1" ht="18.649999999999999" customHeight="1">
      <c r="A100" s="67"/>
      <c r="B100" s="67"/>
      <c r="C100" s="67"/>
      <c r="D100" s="68">
        <f>D99</f>
        <v>1</v>
      </c>
      <c r="E100" s="69">
        <f>E99</f>
        <v>9</v>
      </c>
      <c r="F100" s="69">
        <v>0.75</v>
      </c>
      <c r="G100" s="69">
        <f>G97</f>
        <v>0.5</v>
      </c>
      <c r="H100" s="69"/>
      <c r="I100" s="69">
        <f>D100*E100*F100*G100</f>
        <v>3.38</v>
      </c>
      <c r="J100" s="69"/>
      <c r="K100" s="70" t="s">
        <v>27</v>
      </c>
      <c r="L100" s="64"/>
      <c r="M100" s="64"/>
      <c r="N100" s="64"/>
      <c r="O100" s="64"/>
      <c r="P100" s="65"/>
      <c r="Q100" s="65"/>
    </row>
    <row r="101" spans="1:17" s="66" customFormat="1" ht="19.399999999999999" customHeight="1">
      <c r="A101" s="67"/>
      <c r="B101" s="74"/>
      <c r="C101" s="74"/>
      <c r="D101" s="68"/>
      <c r="E101" s="69"/>
      <c r="F101" s="69"/>
      <c r="G101" s="69"/>
      <c r="H101" s="69"/>
      <c r="I101" s="69"/>
      <c r="J101" s="69">
        <f>SUM(I72:I101)</f>
        <v>1083.78</v>
      </c>
      <c r="K101" s="75" t="s">
        <v>27</v>
      </c>
      <c r="L101" s="64"/>
      <c r="M101" s="64"/>
      <c r="N101" s="64"/>
      <c r="O101" s="64"/>
      <c r="P101" s="65"/>
      <c r="Q101" s="65"/>
    </row>
    <row r="102" spans="1:17" s="66" customFormat="1" ht="19.399999999999999" customHeight="1">
      <c r="A102" s="67"/>
      <c r="B102" s="74"/>
      <c r="C102" s="74"/>
      <c r="D102" s="68"/>
      <c r="E102" s="69"/>
      <c r="F102" s="69"/>
      <c r="G102" s="69"/>
      <c r="H102" s="69"/>
      <c r="I102" s="69"/>
      <c r="J102" s="69">
        <f>J101/100</f>
        <v>10.84</v>
      </c>
      <c r="K102" s="75" t="s">
        <v>7</v>
      </c>
      <c r="L102" s="64"/>
      <c r="M102" s="64"/>
      <c r="N102" s="64"/>
      <c r="O102" s="64"/>
      <c r="P102" s="65"/>
      <c r="Q102" s="65"/>
    </row>
    <row r="103" spans="1:17" s="66" customFormat="1" ht="19.399999999999999" customHeight="1">
      <c r="A103" s="67"/>
      <c r="B103" s="67"/>
      <c r="C103" s="67"/>
      <c r="D103" s="68"/>
      <c r="E103" s="69"/>
      <c r="F103" s="69"/>
      <c r="G103" s="69"/>
      <c r="H103" s="69"/>
      <c r="I103" s="69"/>
      <c r="J103" s="69"/>
      <c r="K103" s="70"/>
      <c r="L103" s="64"/>
      <c r="M103" s="64"/>
      <c r="N103" s="64"/>
      <c r="O103" s="64"/>
      <c r="P103" s="65"/>
      <c r="Q103" s="65"/>
    </row>
    <row r="104" spans="1:17" s="66" customFormat="1" ht="19.399999999999999" customHeight="1">
      <c r="A104" s="67">
        <v>7</v>
      </c>
      <c r="B104" s="76" t="s">
        <v>52</v>
      </c>
      <c r="C104" s="76"/>
      <c r="D104" s="68"/>
      <c r="E104" s="69"/>
      <c r="F104" s="69"/>
      <c r="G104" s="69"/>
      <c r="H104" s="69"/>
      <c r="I104" s="69"/>
      <c r="J104" s="69"/>
      <c r="K104" s="70"/>
      <c r="L104" s="64"/>
      <c r="M104" s="64"/>
      <c r="N104" s="64"/>
      <c r="O104" s="64"/>
      <c r="P104" s="65"/>
      <c r="Q104" s="65"/>
    </row>
    <row r="105" spans="1:17" s="66" customFormat="1" ht="19.399999999999999" customHeight="1">
      <c r="A105" s="67"/>
      <c r="B105" s="76" t="s">
        <v>98</v>
      </c>
      <c r="C105" s="76"/>
      <c r="D105" s="68"/>
      <c r="E105" s="69"/>
      <c r="F105" s="69"/>
      <c r="G105" s="69"/>
      <c r="H105" s="69"/>
      <c r="I105" s="69"/>
      <c r="J105" s="69"/>
      <c r="K105" s="70"/>
      <c r="L105" s="64"/>
      <c r="M105" s="64"/>
      <c r="N105" s="64"/>
      <c r="O105" s="64"/>
      <c r="P105" s="65"/>
      <c r="Q105" s="65"/>
    </row>
    <row r="106" spans="1:17" s="66" customFormat="1" ht="19.399999999999999" customHeight="1">
      <c r="A106" s="67"/>
      <c r="B106" s="74" t="str">
        <f>B45</f>
        <v>F1 (3' 0" x 3' 0" x 10")</v>
      </c>
      <c r="C106" s="74"/>
      <c r="D106" s="68">
        <f>D45</f>
        <v>2</v>
      </c>
      <c r="E106" s="69">
        <v>3</v>
      </c>
      <c r="F106" s="69">
        <f>E106</f>
        <v>3</v>
      </c>
      <c r="G106" s="69">
        <v>0.83</v>
      </c>
      <c r="H106" s="69"/>
      <c r="I106" s="69">
        <f>D106*E106*F106*G106</f>
        <v>14.94</v>
      </c>
      <c r="J106" s="69"/>
      <c r="K106" s="70" t="s">
        <v>27</v>
      </c>
      <c r="L106" s="64"/>
      <c r="M106" s="64"/>
      <c r="N106" s="64"/>
      <c r="O106" s="64"/>
      <c r="P106" s="65"/>
      <c r="Q106" s="65"/>
    </row>
    <row r="107" spans="1:17" s="66" customFormat="1" ht="19.399999999999999" customHeight="1">
      <c r="A107" s="67"/>
      <c r="B107" s="74" t="str">
        <f>B46</f>
        <v>F2 (4' 0" x 4' 0" x 10")</v>
      </c>
      <c r="C107" s="74"/>
      <c r="D107" s="68">
        <f>D46</f>
        <v>4</v>
      </c>
      <c r="E107" s="69">
        <v>4</v>
      </c>
      <c r="F107" s="69">
        <f>E107</f>
        <v>4</v>
      </c>
      <c r="G107" s="69">
        <v>0.83</v>
      </c>
      <c r="H107" s="69"/>
      <c r="I107" s="69">
        <f>D107*E107*F107*G107</f>
        <v>53.12</v>
      </c>
      <c r="J107" s="69"/>
      <c r="K107" s="70" t="s">
        <v>27</v>
      </c>
      <c r="L107" s="64"/>
      <c r="M107" s="64"/>
      <c r="N107" s="64"/>
      <c r="O107" s="64"/>
      <c r="P107" s="65"/>
      <c r="Q107" s="65"/>
    </row>
    <row r="108" spans="1:17" s="66" customFormat="1" ht="19.399999999999999" customHeight="1">
      <c r="A108" s="67"/>
      <c r="B108" s="74" t="str">
        <f>B47</f>
        <v>F3 (5' 0" x 5' 0" x 12")</v>
      </c>
      <c r="C108" s="74"/>
      <c r="D108" s="68">
        <f>D47</f>
        <v>7</v>
      </c>
      <c r="E108" s="69">
        <v>5</v>
      </c>
      <c r="F108" s="69">
        <f>E108</f>
        <v>5</v>
      </c>
      <c r="G108" s="69">
        <v>1</v>
      </c>
      <c r="H108" s="69"/>
      <c r="I108" s="69">
        <f>D108*E108*F108*G108</f>
        <v>175</v>
      </c>
      <c r="J108" s="69"/>
      <c r="K108" s="70" t="s">
        <v>27</v>
      </c>
      <c r="L108" s="64"/>
      <c r="M108" s="64"/>
      <c r="N108" s="64"/>
      <c r="O108" s="64"/>
      <c r="P108" s="65"/>
      <c r="Q108" s="65"/>
    </row>
    <row r="109" spans="1:17" s="66" customFormat="1" ht="19.399999999999999" customHeight="1">
      <c r="A109" s="67"/>
      <c r="B109" s="74" t="str">
        <f>B48</f>
        <v>F4 (6' 0" x 6' 0" x 14")</v>
      </c>
      <c r="C109" s="74"/>
      <c r="D109" s="68">
        <f>D48</f>
        <v>1</v>
      </c>
      <c r="E109" s="69">
        <v>6</v>
      </c>
      <c r="F109" s="69">
        <f>E109</f>
        <v>6</v>
      </c>
      <c r="G109" s="69">
        <v>1.17</v>
      </c>
      <c r="H109" s="69"/>
      <c r="I109" s="69">
        <f>D109*E109*F109*G109</f>
        <v>42.12</v>
      </c>
      <c r="J109" s="69"/>
      <c r="K109" s="70" t="s">
        <v>27</v>
      </c>
      <c r="L109" s="64"/>
      <c r="M109" s="64"/>
      <c r="N109" s="64"/>
      <c r="O109" s="64"/>
      <c r="P109" s="65"/>
      <c r="Q109" s="65"/>
    </row>
    <row r="110" spans="1:17" s="66" customFormat="1" ht="19.399999999999999" customHeight="1">
      <c r="A110" s="67"/>
      <c r="B110" s="74"/>
      <c r="C110" s="74"/>
      <c r="D110" s="68">
        <f>SUM(D106:D109)</f>
        <v>14</v>
      </c>
      <c r="E110" s="69"/>
      <c r="F110" s="69"/>
      <c r="G110" s="69"/>
      <c r="H110" s="69"/>
      <c r="I110" s="69"/>
      <c r="J110" s="69">
        <f>SUM(I106:I110)</f>
        <v>285.18</v>
      </c>
      <c r="K110" s="75" t="s">
        <v>27</v>
      </c>
      <c r="L110" s="64"/>
      <c r="M110" s="64"/>
      <c r="N110" s="64"/>
      <c r="O110" s="64"/>
      <c r="P110" s="65"/>
      <c r="Q110" s="65"/>
    </row>
    <row r="111" spans="1:17" s="66" customFormat="1" ht="19.399999999999999" customHeight="1">
      <c r="A111" s="67"/>
      <c r="B111" s="74"/>
      <c r="C111" s="74"/>
      <c r="D111" s="68"/>
      <c r="E111" s="69"/>
      <c r="F111" s="69"/>
      <c r="G111" s="69"/>
      <c r="H111" s="69"/>
      <c r="I111" s="69"/>
      <c r="J111" s="69">
        <f>J110/100</f>
        <v>2.85</v>
      </c>
      <c r="K111" s="75" t="s">
        <v>7</v>
      </c>
      <c r="L111" s="64"/>
      <c r="M111" s="64"/>
      <c r="N111" s="64"/>
      <c r="O111" s="64"/>
      <c r="P111" s="65"/>
      <c r="Q111" s="65"/>
    </row>
    <row r="112" spans="1:17" s="66" customFormat="1" ht="19.399999999999999" customHeight="1">
      <c r="A112" s="67"/>
      <c r="B112" s="67"/>
      <c r="C112" s="67"/>
      <c r="D112" s="68"/>
      <c r="E112" s="69"/>
      <c r="F112" s="69"/>
      <c r="G112" s="69"/>
      <c r="H112" s="69"/>
      <c r="I112" s="69"/>
      <c r="J112" s="69"/>
      <c r="K112" s="70"/>
      <c r="L112" s="64"/>
      <c r="M112" s="64"/>
      <c r="N112" s="64"/>
      <c r="O112" s="64"/>
      <c r="P112" s="65"/>
      <c r="Q112" s="65"/>
    </row>
    <row r="113" spans="1:17" s="66" customFormat="1" ht="19.399999999999999" customHeight="1">
      <c r="A113" s="67"/>
      <c r="B113" s="76" t="s">
        <v>84</v>
      </c>
      <c r="C113" s="76"/>
      <c r="D113" s="68"/>
      <c r="E113" s="69"/>
      <c r="F113" s="69"/>
      <c r="G113" s="69"/>
      <c r="H113" s="69"/>
      <c r="I113" s="69"/>
      <c r="J113" s="69"/>
      <c r="K113" s="70"/>
      <c r="L113" s="64"/>
      <c r="M113" s="64"/>
      <c r="N113" s="64"/>
      <c r="O113" s="64"/>
      <c r="P113" s="65"/>
      <c r="Q113" s="65"/>
    </row>
    <row r="114" spans="1:17" s="66" customFormat="1" ht="18.649999999999999" customHeight="1">
      <c r="A114" s="67"/>
      <c r="B114" s="74" t="str">
        <f>B106</f>
        <v>F1 (3' 0" x 3' 0" x 10")</v>
      </c>
      <c r="C114" s="74"/>
      <c r="D114" s="68">
        <f>D106</f>
        <v>2</v>
      </c>
      <c r="E114" s="69">
        <f>E106*2+F106*2</f>
        <v>12</v>
      </c>
      <c r="F114" s="69"/>
      <c r="G114" s="69">
        <f>G106</f>
        <v>0.83</v>
      </c>
      <c r="H114" s="69"/>
      <c r="I114" s="69">
        <f>D114*E114*G114</f>
        <v>19.920000000000002</v>
      </c>
      <c r="J114" s="69"/>
      <c r="K114" s="70" t="s">
        <v>21</v>
      </c>
      <c r="L114" s="64"/>
      <c r="M114" s="64"/>
      <c r="N114" s="64"/>
      <c r="O114" s="64"/>
      <c r="P114" s="65"/>
      <c r="Q114" s="65"/>
    </row>
    <row r="115" spans="1:17" s="66" customFormat="1" ht="18.649999999999999" customHeight="1">
      <c r="A115" s="67"/>
      <c r="B115" s="74" t="str">
        <f>B107</f>
        <v>F2 (4' 0" x 4' 0" x 10")</v>
      </c>
      <c r="C115" s="74"/>
      <c r="D115" s="68">
        <f>D107</f>
        <v>4</v>
      </c>
      <c r="E115" s="69">
        <f>E107*2+F107*2</f>
        <v>16</v>
      </c>
      <c r="F115" s="69"/>
      <c r="G115" s="69">
        <f>G107</f>
        <v>0.83</v>
      </c>
      <c r="H115" s="69"/>
      <c r="I115" s="69">
        <f>D115*E115*G115</f>
        <v>53.12</v>
      </c>
      <c r="J115" s="69"/>
      <c r="K115" s="70" t="s">
        <v>21</v>
      </c>
      <c r="L115" s="64"/>
      <c r="M115" s="64"/>
      <c r="N115" s="64"/>
      <c r="O115" s="64"/>
      <c r="P115" s="65"/>
      <c r="Q115" s="65"/>
    </row>
    <row r="116" spans="1:17" s="66" customFormat="1" ht="18.649999999999999" customHeight="1">
      <c r="A116" s="67"/>
      <c r="B116" s="74" t="str">
        <f>B108</f>
        <v>F3 (5' 0" x 5' 0" x 12")</v>
      </c>
      <c r="C116" s="74"/>
      <c r="D116" s="68">
        <f>D108</f>
        <v>7</v>
      </c>
      <c r="E116" s="69">
        <f>E108*2+F108*2</f>
        <v>20</v>
      </c>
      <c r="F116" s="69"/>
      <c r="G116" s="69">
        <f>G108</f>
        <v>1</v>
      </c>
      <c r="H116" s="69"/>
      <c r="I116" s="69">
        <f>D116*E116*G116</f>
        <v>140</v>
      </c>
      <c r="J116" s="69"/>
      <c r="K116" s="70" t="s">
        <v>21</v>
      </c>
      <c r="L116" s="64"/>
      <c r="M116" s="64"/>
      <c r="N116" s="64"/>
      <c r="O116" s="64"/>
      <c r="P116" s="65"/>
      <c r="Q116" s="65"/>
    </row>
    <row r="117" spans="1:17" s="66" customFormat="1" ht="18.649999999999999" customHeight="1">
      <c r="A117" s="67"/>
      <c r="B117" s="74" t="str">
        <f>B109</f>
        <v>F4 (6' 0" x 6' 0" x 14")</v>
      </c>
      <c r="C117" s="74"/>
      <c r="D117" s="68">
        <f>D109</f>
        <v>1</v>
      </c>
      <c r="E117" s="69">
        <f>E109*2+F109*2</f>
        <v>24</v>
      </c>
      <c r="F117" s="69"/>
      <c r="G117" s="69">
        <f>G109</f>
        <v>1.17</v>
      </c>
      <c r="H117" s="69"/>
      <c r="I117" s="69">
        <f>D117*E117*G117</f>
        <v>28.08</v>
      </c>
      <c r="J117" s="69"/>
      <c r="K117" s="70" t="s">
        <v>21</v>
      </c>
      <c r="L117" s="64"/>
      <c r="M117" s="64"/>
      <c r="N117" s="64"/>
      <c r="O117" s="64"/>
      <c r="P117" s="65"/>
      <c r="Q117" s="65"/>
    </row>
    <row r="118" spans="1:17" s="66" customFormat="1" ht="18.649999999999999" customHeight="1">
      <c r="A118" s="67"/>
      <c r="B118" s="74"/>
      <c r="C118" s="74"/>
      <c r="D118" s="68"/>
      <c r="E118" s="69"/>
      <c r="F118" s="69"/>
      <c r="G118" s="69"/>
      <c r="H118" s="69"/>
      <c r="I118" s="69"/>
      <c r="J118" s="69">
        <f>SUM(I114:I118)</f>
        <v>241.12</v>
      </c>
      <c r="K118" s="75" t="s">
        <v>21</v>
      </c>
      <c r="L118" s="64"/>
      <c r="M118" s="64"/>
      <c r="N118" s="64"/>
      <c r="O118" s="64"/>
      <c r="P118" s="65"/>
      <c r="Q118" s="65"/>
    </row>
    <row r="119" spans="1:17" s="66" customFormat="1" ht="18.649999999999999" customHeight="1">
      <c r="A119" s="67"/>
      <c r="B119" s="74"/>
      <c r="C119" s="74"/>
      <c r="D119" s="68"/>
      <c r="E119" s="69"/>
      <c r="F119" s="69"/>
      <c r="G119" s="69"/>
      <c r="H119" s="69"/>
      <c r="I119" s="69"/>
      <c r="J119" s="69">
        <f>J118/100</f>
        <v>2.41</v>
      </c>
      <c r="K119" s="75" t="s">
        <v>12</v>
      </c>
      <c r="L119" s="64"/>
      <c r="M119" s="64"/>
      <c r="N119" s="64"/>
      <c r="O119" s="64"/>
      <c r="P119" s="65"/>
      <c r="Q119" s="65"/>
    </row>
    <row r="120" spans="1:17" s="66" customFormat="1" ht="18.649999999999999" customHeight="1">
      <c r="A120" s="67"/>
      <c r="B120" s="67"/>
      <c r="C120" s="67"/>
      <c r="D120" s="68"/>
      <c r="E120" s="69"/>
      <c r="F120" s="69"/>
      <c r="G120" s="69"/>
      <c r="H120" s="69"/>
      <c r="I120" s="69"/>
      <c r="J120" s="69"/>
      <c r="K120" s="70"/>
      <c r="L120" s="64"/>
      <c r="M120" s="64"/>
      <c r="N120" s="64"/>
      <c r="O120" s="64"/>
      <c r="P120" s="65"/>
      <c r="Q120" s="65"/>
    </row>
    <row r="121" spans="1:17" s="66" customFormat="1" ht="18.649999999999999" customHeight="1">
      <c r="A121" s="67"/>
      <c r="B121" s="76" t="s">
        <v>36</v>
      </c>
      <c r="C121" s="76"/>
      <c r="D121" s="68"/>
      <c r="E121" s="69"/>
      <c r="F121" s="69"/>
      <c r="G121" s="69"/>
      <c r="H121" s="69"/>
      <c r="I121" s="69" t="s">
        <v>38</v>
      </c>
      <c r="J121" s="69"/>
      <c r="K121" s="70"/>
      <c r="L121" s="64"/>
      <c r="M121" s="64"/>
      <c r="N121" s="64"/>
      <c r="O121" s="64"/>
      <c r="P121" s="65"/>
      <c r="Q121" s="65"/>
    </row>
    <row r="122" spans="1:17" s="66" customFormat="1" ht="18.649999999999999" customHeight="1">
      <c r="A122" s="67"/>
      <c r="B122" s="74" t="str">
        <f>B106</f>
        <v>F1 (3' 0" x 3' 0" x 10")</v>
      </c>
      <c r="C122" s="74"/>
      <c r="D122" s="68">
        <f>D106</f>
        <v>2</v>
      </c>
      <c r="E122" s="69">
        <f>E106</f>
        <v>3</v>
      </c>
      <c r="F122" s="69">
        <f>F106</f>
        <v>3</v>
      </c>
      <c r="G122" s="69">
        <f>G106</f>
        <v>0.83</v>
      </c>
      <c r="H122" s="69"/>
      <c r="I122" s="69"/>
      <c r="J122" s="69"/>
      <c r="K122" s="70"/>
      <c r="L122" s="64"/>
      <c r="M122" s="64"/>
      <c r="N122" s="64"/>
      <c r="O122" s="64"/>
      <c r="P122" s="65"/>
      <c r="Q122" s="65"/>
    </row>
    <row r="123" spans="1:17" s="66" customFormat="1" ht="18.649999999999999" customHeight="1">
      <c r="A123" s="67"/>
      <c r="B123" s="74" t="s">
        <v>494</v>
      </c>
      <c r="C123" s="74"/>
      <c r="D123" s="68">
        <f>D122*ROUND((E122-0.25*2)/0.67+1,0)*2</f>
        <v>20</v>
      </c>
      <c r="E123" s="69">
        <f>E122-0.25*2+18*16/1000*3.281</f>
        <v>3.44</v>
      </c>
      <c r="F123" s="69"/>
      <c r="G123" s="69"/>
      <c r="H123" s="71"/>
      <c r="I123" s="69">
        <f>D123*E123</f>
        <v>68.8</v>
      </c>
      <c r="J123" s="69"/>
      <c r="K123" s="70" t="s">
        <v>29</v>
      </c>
      <c r="L123" s="64"/>
      <c r="M123" s="64"/>
      <c r="N123" s="64"/>
      <c r="O123" s="64"/>
      <c r="P123" s="78"/>
      <c r="Q123" s="78"/>
    </row>
    <row r="124" spans="1:17" s="66" customFormat="1" ht="18.649999999999999" customHeight="1">
      <c r="A124" s="67"/>
      <c r="B124" s="74" t="str">
        <f>B107</f>
        <v>F2 (4' 0" x 4' 0" x 10")</v>
      </c>
      <c r="C124" s="74"/>
      <c r="D124" s="68">
        <f>D107</f>
        <v>4</v>
      </c>
      <c r="E124" s="69">
        <f>E107</f>
        <v>4</v>
      </c>
      <c r="F124" s="69">
        <f>F107</f>
        <v>4</v>
      </c>
      <c r="G124" s="69">
        <f>G107</f>
        <v>0.83</v>
      </c>
      <c r="H124" s="71"/>
      <c r="I124" s="69"/>
      <c r="J124" s="69"/>
      <c r="K124" s="70"/>
      <c r="L124" s="64"/>
      <c r="M124" s="64"/>
      <c r="N124" s="64"/>
      <c r="O124" s="64"/>
      <c r="P124" s="78"/>
      <c r="Q124" s="78"/>
    </row>
    <row r="125" spans="1:17" s="66" customFormat="1" ht="18.649999999999999" customHeight="1">
      <c r="A125" s="67"/>
      <c r="B125" s="74" t="s">
        <v>494</v>
      </c>
      <c r="C125" s="74"/>
      <c r="D125" s="68">
        <f>D124*ROUND((E124-0.25*2)/0.67+1,0)*2</f>
        <v>48</v>
      </c>
      <c r="E125" s="69">
        <f>E124-0.25*2+18*16/1000*3.281</f>
        <v>4.4400000000000004</v>
      </c>
      <c r="F125" s="69"/>
      <c r="G125" s="69"/>
      <c r="H125" s="71"/>
      <c r="I125" s="69">
        <f>D125*E125</f>
        <v>213.12</v>
      </c>
      <c r="J125" s="69"/>
      <c r="K125" s="70" t="s">
        <v>29</v>
      </c>
      <c r="L125" s="64"/>
      <c r="M125" s="64"/>
      <c r="N125" s="64"/>
      <c r="O125" s="64"/>
      <c r="P125" s="78"/>
      <c r="Q125" s="78"/>
    </row>
    <row r="126" spans="1:17" s="66" customFormat="1" ht="18.649999999999999" customHeight="1">
      <c r="A126" s="67"/>
      <c r="B126" s="74" t="str">
        <f>B108</f>
        <v>F3 (5' 0" x 5' 0" x 12")</v>
      </c>
      <c r="C126" s="74"/>
      <c r="D126" s="68">
        <f>D108</f>
        <v>7</v>
      </c>
      <c r="E126" s="69">
        <f>E108</f>
        <v>5</v>
      </c>
      <c r="F126" s="69">
        <f>F108</f>
        <v>5</v>
      </c>
      <c r="G126" s="69">
        <f>G108</f>
        <v>1</v>
      </c>
      <c r="H126" s="71"/>
      <c r="I126" s="69"/>
      <c r="J126" s="69"/>
      <c r="K126" s="70"/>
      <c r="L126" s="64"/>
      <c r="M126" s="64"/>
      <c r="N126" s="64"/>
      <c r="O126" s="64"/>
      <c r="P126" s="78"/>
      <c r="Q126" s="78"/>
    </row>
    <row r="127" spans="1:17" s="66" customFormat="1" ht="18.649999999999999" customHeight="1">
      <c r="A127" s="67"/>
      <c r="B127" s="74" t="s">
        <v>494</v>
      </c>
      <c r="C127" s="74"/>
      <c r="D127" s="68">
        <f>D126*ROUND((E126-0.25*2)/0.67+1,0)*2</f>
        <v>112</v>
      </c>
      <c r="E127" s="69">
        <f>E126-0.25*2+18*16/1000*3.281</f>
        <v>5.44</v>
      </c>
      <c r="F127" s="69"/>
      <c r="G127" s="69"/>
      <c r="H127" s="71"/>
      <c r="I127" s="69">
        <f>D127*E127</f>
        <v>609.28</v>
      </c>
      <c r="J127" s="69"/>
      <c r="K127" s="70" t="s">
        <v>29</v>
      </c>
      <c r="L127" s="64"/>
      <c r="M127" s="64"/>
      <c r="N127" s="64"/>
      <c r="O127" s="64"/>
      <c r="P127" s="78"/>
      <c r="Q127" s="78"/>
    </row>
    <row r="128" spans="1:17" s="66" customFormat="1" ht="18.649999999999999" customHeight="1">
      <c r="A128" s="67"/>
      <c r="B128" s="74" t="str">
        <f>B109</f>
        <v>F4 (6' 0" x 6' 0" x 14")</v>
      </c>
      <c r="C128" s="74"/>
      <c r="D128" s="68">
        <f>D109</f>
        <v>1</v>
      </c>
      <c r="E128" s="69">
        <f>E109</f>
        <v>6</v>
      </c>
      <c r="F128" s="69">
        <f>F109</f>
        <v>6</v>
      </c>
      <c r="G128" s="69">
        <f>G109</f>
        <v>1.17</v>
      </c>
      <c r="H128" s="71"/>
      <c r="I128" s="69"/>
      <c r="J128" s="69"/>
      <c r="K128" s="70"/>
      <c r="L128" s="64"/>
      <c r="M128" s="64"/>
      <c r="N128" s="64"/>
      <c r="O128" s="64"/>
      <c r="P128" s="78"/>
      <c r="Q128" s="78"/>
    </row>
    <row r="129" spans="1:17" s="66" customFormat="1" ht="18.649999999999999" customHeight="1">
      <c r="A129" s="67"/>
      <c r="B129" s="74" t="s">
        <v>147</v>
      </c>
      <c r="C129" s="74"/>
      <c r="D129" s="68">
        <f>D128*ROUND((E128-0.25*2)/0.5+1,0)*2</f>
        <v>24</v>
      </c>
      <c r="E129" s="69">
        <f>E128-0.25*2+18*16/1000*3.281</f>
        <v>6.44</v>
      </c>
      <c r="F129" s="69"/>
      <c r="G129" s="69"/>
      <c r="H129" s="71"/>
      <c r="I129" s="69">
        <f>D129*E129</f>
        <v>154.56</v>
      </c>
      <c r="J129" s="69"/>
      <c r="K129" s="70" t="s">
        <v>29</v>
      </c>
      <c r="L129" s="64"/>
      <c r="M129" s="64"/>
      <c r="N129" s="64"/>
      <c r="O129" s="64"/>
      <c r="P129" s="78"/>
      <c r="Q129" s="78"/>
    </row>
    <row r="130" spans="1:17" s="66" customFormat="1" ht="18.649999999999999" customHeight="1">
      <c r="A130" s="67"/>
      <c r="B130" s="67"/>
      <c r="C130" s="67"/>
      <c r="D130" s="68"/>
      <c r="E130" s="69"/>
      <c r="F130" s="69"/>
      <c r="G130" s="69"/>
      <c r="H130" s="72"/>
      <c r="I130" s="69">
        <f>SUM(I122:I129)</f>
        <v>1045.76</v>
      </c>
      <c r="J130" s="69"/>
      <c r="K130" s="75" t="s">
        <v>29</v>
      </c>
      <c r="L130" s="64">
        <f>I130/39.33*1.05</f>
        <v>27.92</v>
      </c>
      <c r="M130" s="64">
        <f>36+4</f>
        <v>40</v>
      </c>
      <c r="N130" s="64"/>
      <c r="O130" s="64"/>
      <c r="P130" s="65"/>
      <c r="Q130" s="65"/>
    </row>
    <row r="131" spans="1:17" s="66" customFormat="1" ht="18.649999999999999" customHeight="1">
      <c r="A131" s="67"/>
      <c r="B131" s="67"/>
      <c r="C131" s="67"/>
      <c r="D131" s="68"/>
      <c r="E131" s="69"/>
      <c r="F131" s="69"/>
      <c r="G131" s="69"/>
      <c r="H131" s="69" t="s">
        <v>140</v>
      </c>
      <c r="I131" s="69">
        <f>I130/39.5/53</f>
        <v>0.5</v>
      </c>
      <c r="J131" s="69">
        <f>SUM(I131)</f>
        <v>0.5</v>
      </c>
      <c r="K131" s="75" t="s">
        <v>14</v>
      </c>
      <c r="L131" s="64"/>
      <c r="M131" s="64"/>
      <c r="N131" s="64"/>
      <c r="O131" s="64"/>
      <c r="P131" s="65"/>
      <c r="Q131" s="65"/>
    </row>
    <row r="132" spans="1:17" s="66" customFormat="1" ht="18.649999999999999" customHeight="1">
      <c r="A132" s="67">
        <v>8</v>
      </c>
      <c r="B132" s="76" t="s">
        <v>39</v>
      </c>
      <c r="C132" s="76"/>
      <c r="D132" s="68"/>
      <c r="E132" s="69"/>
      <c r="F132" s="69"/>
      <c r="G132" s="69"/>
      <c r="H132" s="69"/>
      <c r="I132" s="69"/>
      <c r="J132" s="69"/>
      <c r="K132" s="70"/>
      <c r="L132" s="64"/>
      <c r="M132" s="64">
        <f>12*18</f>
        <v>216</v>
      </c>
      <c r="N132" s="64"/>
      <c r="O132" s="64"/>
      <c r="P132" s="65"/>
      <c r="Q132" s="65"/>
    </row>
    <row r="133" spans="1:17" s="66" customFormat="1" ht="18.649999999999999" customHeight="1">
      <c r="A133" s="67"/>
      <c r="B133" s="76" t="s">
        <v>98</v>
      </c>
      <c r="C133" s="76"/>
      <c r="D133" s="68"/>
      <c r="E133" s="69"/>
      <c r="F133" s="69"/>
      <c r="G133" s="69"/>
      <c r="H133" s="69"/>
      <c r="I133" s="69"/>
      <c r="J133" s="69"/>
      <c r="K133" s="70"/>
      <c r="L133" s="64"/>
      <c r="M133" s="64"/>
      <c r="N133" s="64"/>
      <c r="O133" s="64"/>
      <c r="P133" s="65"/>
      <c r="Q133" s="65"/>
    </row>
    <row r="134" spans="1:17" s="66" customFormat="1" ht="18.649999999999999" customHeight="1">
      <c r="A134" s="67"/>
      <c r="B134" s="138" t="s">
        <v>501</v>
      </c>
      <c r="C134" s="74"/>
      <c r="D134" s="68"/>
      <c r="E134" s="69"/>
      <c r="F134" s="69"/>
      <c r="G134" s="69"/>
      <c r="H134" s="69"/>
      <c r="I134" s="69"/>
      <c r="J134" s="69"/>
      <c r="K134" s="70"/>
      <c r="L134" s="64"/>
      <c r="M134" s="64"/>
      <c r="N134" s="64"/>
      <c r="O134" s="64"/>
      <c r="P134" s="65"/>
      <c r="Q134" s="65"/>
    </row>
    <row r="135" spans="1:17" s="66" customFormat="1" ht="18.649999999999999" customHeight="1">
      <c r="A135" s="67"/>
      <c r="B135" s="74" t="s">
        <v>419</v>
      </c>
      <c r="C135" s="74"/>
      <c r="D135" s="68">
        <v>4</v>
      </c>
      <c r="E135" s="69">
        <v>1</v>
      </c>
      <c r="F135" s="69">
        <v>1</v>
      </c>
      <c r="G135" s="359">
        <f>6-0.83+1.83+2</f>
        <v>9</v>
      </c>
      <c r="H135" s="69"/>
      <c r="I135" s="69">
        <f>D135*E135*F135*G135</f>
        <v>36</v>
      </c>
      <c r="J135" s="69"/>
      <c r="K135" s="70" t="s">
        <v>27</v>
      </c>
      <c r="L135" s="79"/>
      <c r="M135" s="64">
        <f>4.5</f>
        <v>4.5</v>
      </c>
      <c r="N135" s="64"/>
      <c r="O135" s="64"/>
      <c r="P135" s="65"/>
      <c r="Q135" s="65"/>
    </row>
    <row r="136" spans="1:17" s="66" customFormat="1" ht="18.649999999999999" customHeight="1">
      <c r="A136" s="67"/>
      <c r="B136" s="74" t="s">
        <v>420</v>
      </c>
      <c r="C136" s="74"/>
      <c r="D136" s="68">
        <v>7</v>
      </c>
      <c r="E136" s="69">
        <f>E135</f>
        <v>1</v>
      </c>
      <c r="F136" s="69">
        <f>F135</f>
        <v>1</v>
      </c>
      <c r="G136" s="359">
        <f>6-1+(1.83+2)</f>
        <v>8.83</v>
      </c>
      <c r="H136" s="69"/>
      <c r="I136" s="69">
        <f>D136*E136*F136*G136</f>
        <v>61.81</v>
      </c>
      <c r="J136" s="69"/>
      <c r="K136" s="70" t="s">
        <v>27</v>
      </c>
      <c r="L136" s="79"/>
      <c r="M136" s="64"/>
      <c r="N136" s="64"/>
      <c r="O136" s="64"/>
      <c r="P136" s="65"/>
      <c r="Q136" s="65"/>
    </row>
    <row r="137" spans="1:17" s="66" customFormat="1" ht="18.649999999999999" customHeight="1">
      <c r="A137" s="67"/>
      <c r="B137" s="74" t="s">
        <v>421</v>
      </c>
      <c r="C137" s="74"/>
      <c r="D137" s="68">
        <v>1</v>
      </c>
      <c r="E137" s="69">
        <f>E136</f>
        <v>1</v>
      </c>
      <c r="F137" s="69">
        <f>F136</f>
        <v>1</v>
      </c>
      <c r="G137" s="359">
        <f>6-1.17+(1.83+2)</f>
        <v>8.66</v>
      </c>
      <c r="H137" s="69"/>
      <c r="I137" s="69">
        <f>D137*E137*F137*G137</f>
        <v>8.66</v>
      </c>
      <c r="J137" s="69"/>
      <c r="K137" s="70" t="s">
        <v>27</v>
      </c>
      <c r="L137" s="79"/>
      <c r="M137" s="64"/>
      <c r="N137" s="64"/>
      <c r="O137" s="64"/>
      <c r="P137" s="65"/>
      <c r="Q137" s="65"/>
    </row>
    <row r="138" spans="1:17" s="66" customFormat="1" ht="18.649999999999999" customHeight="1">
      <c r="A138" s="67"/>
      <c r="B138" s="74" t="s">
        <v>422</v>
      </c>
      <c r="C138" s="74"/>
      <c r="D138" s="68">
        <v>2</v>
      </c>
      <c r="E138" s="69">
        <v>0.83</v>
      </c>
      <c r="F138" s="69">
        <v>0.83</v>
      </c>
      <c r="G138" s="359">
        <f>6-0.83+(1.83+2)</f>
        <v>9</v>
      </c>
      <c r="H138" s="69"/>
      <c r="I138" s="69">
        <f>D138*E138*F138*G138</f>
        <v>12.4</v>
      </c>
      <c r="J138" s="69"/>
      <c r="K138" s="70" t="s">
        <v>27</v>
      </c>
      <c r="L138" s="79"/>
      <c r="M138" s="64"/>
      <c r="N138" s="64"/>
      <c r="O138" s="64"/>
      <c r="P138" s="65"/>
      <c r="Q138" s="65"/>
    </row>
    <row r="139" spans="1:17" s="66" customFormat="1" ht="18.649999999999999" customHeight="1">
      <c r="A139" s="67"/>
      <c r="B139" s="74"/>
      <c r="C139" s="74"/>
      <c r="D139" s="68"/>
      <c r="E139" s="69"/>
      <c r="F139" s="69"/>
      <c r="G139" s="69"/>
      <c r="H139" s="69"/>
      <c r="I139" s="69"/>
      <c r="J139" s="69">
        <f>SUM(I135:I139)</f>
        <v>118.87</v>
      </c>
      <c r="K139" s="70" t="s">
        <v>27</v>
      </c>
      <c r="L139" s="79"/>
      <c r="M139" s="64">
        <f>M135/0.42+1</f>
        <v>11.71</v>
      </c>
      <c r="N139" s="64"/>
      <c r="O139" s="64"/>
      <c r="P139" s="65"/>
      <c r="Q139" s="65"/>
    </row>
    <row r="140" spans="1:17" s="66" customFormat="1" ht="18.649999999999999" customHeight="1">
      <c r="A140" s="67"/>
      <c r="B140" s="138" t="s">
        <v>502</v>
      </c>
      <c r="C140" s="74"/>
      <c r="D140" s="68"/>
      <c r="E140" s="69"/>
      <c r="F140" s="69"/>
      <c r="G140" s="69"/>
      <c r="H140" s="69"/>
      <c r="I140" s="69"/>
      <c r="J140" s="69"/>
      <c r="K140" s="70"/>
      <c r="L140" s="79"/>
      <c r="M140" s="64"/>
      <c r="N140" s="64"/>
      <c r="O140" s="64"/>
      <c r="P140" s="65"/>
      <c r="Q140" s="65"/>
    </row>
    <row r="141" spans="1:17" s="66" customFormat="1" ht="18.649999999999999" customHeight="1">
      <c r="A141" s="67"/>
      <c r="B141" s="74" t="s">
        <v>149</v>
      </c>
      <c r="C141" s="74"/>
      <c r="D141" s="68">
        <v>12</v>
      </c>
      <c r="E141" s="69">
        <v>1</v>
      </c>
      <c r="F141" s="69">
        <v>1</v>
      </c>
      <c r="G141" s="69">
        <v>13</v>
      </c>
      <c r="H141" s="69"/>
      <c r="I141" s="69">
        <f>D141*E141*F141*G141</f>
        <v>156</v>
      </c>
      <c r="J141" s="69"/>
      <c r="K141" s="70" t="s">
        <v>27</v>
      </c>
      <c r="L141" s="64"/>
      <c r="M141" s="64"/>
      <c r="N141" s="64"/>
      <c r="O141" s="64"/>
      <c r="P141" s="65"/>
      <c r="Q141" s="65"/>
    </row>
    <row r="142" spans="1:17" s="66" customFormat="1" ht="18.649999999999999" customHeight="1">
      <c r="A142" s="67"/>
      <c r="B142" s="74" t="s">
        <v>423</v>
      </c>
      <c r="C142" s="74"/>
      <c r="D142" s="68">
        <v>2</v>
      </c>
      <c r="E142" s="69">
        <v>0.83</v>
      </c>
      <c r="F142" s="69">
        <v>0.83</v>
      </c>
      <c r="G142" s="69">
        <v>12</v>
      </c>
      <c r="H142" s="69"/>
      <c r="I142" s="69">
        <f>D142*E142*F142*G142</f>
        <v>16.53</v>
      </c>
      <c r="J142" s="69"/>
      <c r="K142" s="70" t="s">
        <v>27</v>
      </c>
      <c r="L142" s="64"/>
      <c r="M142" s="64"/>
      <c r="N142" s="64"/>
      <c r="O142" s="64"/>
      <c r="P142" s="65"/>
      <c r="Q142" s="65"/>
    </row>
    <row r="143" spans="1:17" s="66" customFormat="1" ht="18.649999999999999" customHeight="1">
      <c r="A143" s="67"/>
      <c r="B143" s="74"/>
      <c r="C143" s="74"/>
      <c r="D143" s="68"/>
      <c r="E143" s="69"/>
      <c r="F143" s="69"/>
      <c r="G143" s="69"/>
      <c r="H143" s="69"/>
      <c r="I143" s="69"/>
      <c r="J143" s="69">
        <f>SUM(I141:I143)</f>
        <v>172.53</v>
      </c>
      <c r="K143" s="70" t="s">
        <v>27</v>
      </c>
      <c r="L143" s="64"/>
      <c r="M143" s="64"/>
      <c r="N143" s="64"/>
      <c r="O143" s="64"/>
      <c r="P143" s="65"/>
      <c r="Q143" s="65"/>
    </row>
    <row r="144" spans="1:17" s="66" customFormat="1" ht="18.649999999999999" customHeight="1">
      <c r="A144" s="67"/>
      <c r="B144" s="138" t="s">
        <v>503</v>
      </c>
      <c r="C144" s="74"/>
      <c r="D144" s="68"/>
      <c r="E144" s="69"/>
      <c r="F144" s="69"/>
      <c r="G144" s="71"/>
      <c r="H144" s="69"/>
      <c r="I144" s="69"/>
      <c r="J144" s="69"/>
      <c r="K144" s="70"/>
      <c r="L144" s="64"/>
      <c r="M144" s="64"/>
      <c r="N144" s="64"/>
      <c r="O144" s="64"/>
      <c r="P144" s="65"/>
      <c r="Q144" s="65"/>
    </row>
    <row r="145" spans="1:17" s="66" customFormat="1" ht="18.649999999999999" customHeight="1">
      <c r="A145" s="67"/>
      <c r="B145" s="74" t="s">
        <v>149</v>
      </c>
      <c r="C145" s="74"/>
      <c r="D145" s="68">
        <f>D141</f>
        <v>12</v>
      </c>
      <c r="E145" s="69">
        <f>E141</f>
        <v>1</v>
      </c>
      <c r="F145" s="69">
        <f>F141</f>
        <v>1</v>
      </c>
      <c r="G145" s="69">
        <v>12</v>
      </c>
      <c r="H145" s="69"/>
      <c r="I145" s="69">
        <f>D145*E145*F145*G145</f>
        <v>144</v>
      </c>
      <c r="J145" s="69"/>
      <c r="K145" s="70" t="s">
        <v>27</v>
      </c>
      <c r="L145" s="64"/>
      <c r="M145" s="64"/>
      <c r="N145" s="64"/>
      <c r="O145" s="64"/>
      <c r="P145" s="65"/>
      <c r="Q145" s="65"/>
    </row>
    <row r="146" spans="1:17" s="66" customFormat="1" ht="18.649999999999999" customHeight="1">
      <c r="A146" s="67"/>
      <c r="B146" s="74"/>
      <c r="C146" s="74"/>
      <c r="D146" s="68"/>
      <c r="E146" s="69"/>
      <c r="F146" s="69"/>
      <c r="G146" s="69"/>
      <c r="H146" s="69"/>
      <c r="I146" s="69"/>
      <c r="J146" s="69">
        <f>SUM(I145:I146)</f>
        <v>144</v>
      </c>
      <c r="K146" s="70" t="s">
        <v>27</v>
      </c>
      <c r="L146" s="64"/>
      <c r="M146" s="64"/>
      <c r="N146" s="64"/>
      <c r="O146" s="64"/>
      <c r="P146" s="65"/>
      <c r="Q146" s="65"/>
    </row>
    <row r="147" spans="1:17" s="66" customFormat="1" ht="18.649999999999999" customHeight="1">
      <c r="A147" s="67"/>
      <c r="B147" s="74"/>
      <c r="C147" s="74"/>
      <c r="D147" s="68"/>
      <c r="E147" s="69"/>
      <c r="F147" s="69"/>
      <c r="G147" s="69"/>
      <c r="H147" s="69"/>
      <c r="I147" s="69"/>
      <c r="J147" s="69">
        <f>SUM(I135:I147)</f>
        <v>435.4</v>
      </c>
      <c r="K147" s="75" t="s">
        <v>27</v>
      </c>
      <c r="L147" s="64"/>
      <c r="M147" s="64"/>
      <c r="N147" s="64"/>
      <c r="O147" s="64"/>
      <c r="P147" s="65"/>
      <c r="Q147" s="65"/>
    </row>
    <row r="148" spans="1:17" s="66" customFormat="1" ht="18.649999999999999" customHeight="1">
      <c r="A148" s="67"/>
      <c r="B148" s="76"/>
      <c r="C148" s="76"/>
      <c r="D148" s="68"/>
      <c r="E148" s="69"/>
      <c r="F148" s="69"/>
      <c r="G148" s="69"/>
      <c r="H148" s="69"/>
      <c r="I148" s="69"/>
      <c r="J148" s="69">
        <f>J147/100</f>
        <v>4.3499999999999996</v>
      </c>
      <c r="K148" s="75" t="s">
        <v>7</v>
      </c>
      <c r="L148" s="64"/>
      <c r="M148" s="64"/>
      <c r="N148" s="64"/>
      <c r="O148" s="64"/>
      <c r="P148" s="65"/>
      <c r="Q148" s="65"/>
    </row>
    <row r="149" spans="1:17" s="66" customFormat="1" ht="18.649999999999999" customHeight="1">
      <c r="A149" s="67"/>
      <c r="B149" s="76"/>
      <c r="C149" s="76"/>
      <c r="D149" s="68"/>
      <c r="E149" s="69"/>
      <c r="F149" s="69"/>
      <c r="G149" s="69"/>
      <c r="H149" s="69"/>
      <c r="I149" s="69"/>
      <c r="J149" s="69"/>
      <c r="K149" s="70"/>
      <c r="L149" s="64"/>
      <c r="M149" s="64"/>
      <c r="N149" s="64"/>
      <c r="O149" s="64"/>
      <c r="P149" s="65"/>
      <c r="Q149" s="65"/>
    </row>
    <row r="150" spans="1:17" s="66" customFormat="1" ht="18.649999999999999" customHeight="1">
      <c r="A150" s="67"/>
      <c r="B150" s="76" t="s">
        <v>84</v>
      </c>
      <c r="C150" s="76"/>
      <c r="D150" s="68"/>
      <c r="E150" s="69"/>
      <c r="F150" s="69"/>
      <c r="G150" s="69"/>
      <c r="H150" s="69"/>
      <c r="I150" s="69"/>
      <c r="J150" s="69"/>
      <c r="K150" s="70"/>
      <c r="L150" s="64"/>
      <c r="M150" s="64"/>
      <c r="N150" s="64"/>
      <c r="O150" s="64"/>
      <c r="P150" s="65"/>
      <c r="Q150" s="65"/>
    </row>
    <row r="151" spans="1:17" s="66" customFormat="1" ht="18.649999999999999" customHeight="1">
      <c r="A151" s="67"/>
      <c r="B151" s="76" t="str">
        <f>B134</f>
        <v>Column (Footing to Plinth Level)</v>
      </c>
      <c r="C151" s="76"/>
      <c r="D151" s="68"/>
      <c r="E151" s="69"/>
      <c r="F151" s="69"/>
      <c r="G151" s="69"/>
      <c r="H151" s="69"/>
      <c r="I151" s="69"/>
      <c r="J151" s="69"/>
      <c r="K151" s="70"/>
      <c r="L151" s="64"/>
      <c r="M151" s="64"/>
      <c r="N151" s="64"/>
      <c r="O151" s="64"/>
      <c r="P151" s="65"/>
      <c r="Q151" s="65"/>
    </row>
    <row r="152" spans="1:17" s="66" customFormat="1" ht="18.649999999999999" customHeight="1">
      <c r="A152" s="67"/>
      <c r="B152" s="74" t="str">
        <f>B135</f>
        <v>F2,C1 (12" x 12")</v>
      </c>
      <c r="C152" s="74"/>
      <c r="D152" s="68">
        <f>D135</f>
        <v>4</v>
      </c>
      <c r="E152" s="69">
        <f>E135*2+F135*2</f>
        <v>4</v>
      </c>
      <c r="F152" s="69"/>
      <c r="G152" s="69">
        <f>G135</f>
        <v>9</v>
      </c>
      <c r="H152" s="69"/>
      <c r="I152" s="69">
        <f>G152*E152*D152</f>
        <v>144</v>
      </c>
      <c r="J152" s="69"/>
      <c r="K152" s="70" t="s">
        <v>21</v>
      </c>
      <c r="L152" s="64"/>
      <c r="M152" s="64"/>
      <c r="N152" s="64"/>
      <c r="O152" s="64"/>
      <c r="P152" s="65"/>
      <c r="Q152" s="65"/>
    </row>
    <row r="153" spans="1:17" s="66" customFormat="1" ht="18.649999999999999" customHeight="1">
      <c r="A153" s="67"/>
      <c r="B153" s="74" t="str">
        <f>B136</f>
        <v>F3,C1 (12" x 12")</v>
      </c>
      <c r="C153" s="74"/>
      <c r="D153" s="68">
        <f>D136</f>
        <v>7</v>
      </c>
      <c r="E153" s="69">
        <f>E136*2+F136*2</f>
        <v>4</v>
      </c>
      <c r="F153" s="69"/>
      <c r="G153" s="69">
        <f>G136</f>
        <v>8.83</v>
      </c>
      <c r="H153" s="69"/>
      <c r="I153" s="69">
        <f>G153*E153*D153</f>
        <v>247.24</v>
      </c>
      <c r="J153" s="69"/>
      <c r="K153" s="70" t="s">
        <v>21</v>
      </c>
      <c r="L153" s="64"/>
      <c r="M153" s="64"/>
      <c r="N153" s="64"/>
      <c r="O153" s="64"/>
      <c r="P153" s="65"/>
      <c r="Q153" s="65"/>
    </row>
    <row r="154" spans="1:17" s="66" customFormat="1" ht="18.649999999999999" customHeight="1">
      <c r="A154" s="67"/>
      <c r="B154" s="74" t="str">
        <f>B137</f>
        <v>F4,C1 (12" x 12")</v>
      </c>
      <c r="C154" s="74"/>
      <c r="D154" s="68">
        <f>D137</f>
        <v>1</v>
      </c>
      <c r="E154" s="69">
        <f>E137*2+F137*2</f>
        <v>4</v>
      </c>
      <c r="F154" s="69"/>
      <c r="G154" s="69">
        <f>G137</f>
        <v>8.66</v>
      </c>
      <c r="H154" s="69"/>
      <c r="I154" s="69">
        <f>G154*E154*D154</f>
        <v>34.64</v>
      </c>
      <c r="J154" s="69"/>
      <c r="K154" s="70" t="s">
        <v>21</v>
      </c>
      <c r="L154" s="64"/>
      <c r="M154" s="64"/>
      <c r="N154" s="64"/>
      <c r="O154" s="64"/>
      <c r="P154" s="65"/>
      <c r="Q154" s="65"/>
    </row>
    <row r="155" spans="1:17" s="66" customFormat="1" ht="18.649999999999999" customHeight="1">
      <c r="A155" s="67"/>
      <c r="B155" s="74" t="str">
        <f>B138</f>
        <v>F1,C2 (10" x 10")</v>
      </c>
      <c r="C155" s="74"/>
      <c r="D155" s="68">
        <f>D138</f>
        <v>2</v>
      </c>
      <c r="E155" s="69">
        <f>E138*2+F138*2</f>
        <v>3.32</v>
      </c>
      <c r="F155" s="69"/>
      <c r="G155" s="69">
        <f>G138</f>
        <v>9</v>
      </c>
      <c r="H155" s="69"/>
      <c r="I155" s="69">
        <f>G155*E155*D155</f>
        <v>59.76</v>
      </c>
      <c r="J155" s="69"/>
      <c r="K155" s="70" t="s">
        <v>21</v>
      </c>
      <c r="L155" s="64"/>
      <c r="M155" s="64"/>
      <c r="N155" s="64"/>
      <c r="O155" s="64"/>
      <c r="P155" s="65"/>
      <c r="Q155" s="65"/>
    </row>
    <row r="156" spans="1:17" s="66" customFormat="1" ht="18.649999999999999" customHeight="1">
      <c r="A156" s="67"/>
      <c r="B156" s="74"/>
      <c r="C156" s="74"/>
      <c r="D156" s="68"/>
      <c r="E156" s="69"/>
      <c r="F156" s="69"/>
      <c r="G156" s="69"/>
      <c r="H156" s="69"/>
      <c r="I156" s="69"/>
      <c r="J156" s="69">
        <f>SUM(I152:I156)</f>
        <v>485.64</v>
      </c>
      <c r="K156" s="70" t="s">
        <v>21</v>
      </c>
      <c r="L156" s="64"/>
      <c r="M156" s="64"/>
      <c r="N156" s="64"/>
      <c r="O156" s="64"/>
      <c r="P156" s="65"/>
      <c r="Q156" s="65"/>
    </row>
    <row r="157" spans="1:17" s="66" customFormat="1" ht="18.649999999999999" customHeight="1">
      <c r="A157" s="67"/>
      <c r="B157" s="76" t="str">
        <f>B140</f>
        <v>Column (Plinth Level to 1st Floor Level)</v>
      </c>
      <c r="C157" s="74"/>
      <c r="D157" s="68"/>
      <c r="E157" s="69"/>
      <c r="F157" s="69"/>
      <c r="G157" s="69"/>
      <c r="H157" s="69"/>
      <c r="I157" s="69"/>
      <c r="J157" s="69"/>
      <c r="K157" s="70"/>
      <c r="L157" s="64"/>
      <c r="M157" s="64"/>
      <c r="N157" s="64"/>
      <c r="O157" s="64"/>
      <c r="P157" s="65"/>
      <c r="Q157" s="65"/>
    </row>
    <row r="158" spans="1:17" s="66" customFormat="1" ht="18.649999999999999" customHeight="1">
      <c r="A158" s="67"/>
      <c r="B158" s="74" t="str">
        <f>B141</f>
        <v>C1 (12" x 12")</v>
      </c>
      <c r="C158" s="74"/>
      <c r="D158" s="68">
        <f>D141</f>
        <v>12</v>
      </c>
      <c r="E158" s="69">
        <f>E141*2+F141*2</f>
        <v>4</v>
      </c>
      <c r="F158" s="69"/>
      <c r="G158" s="69">
        <f>G141</f>
        <v>13</v>
      </c>
      <c r="H158" s="69"/>
      <c r="I158" s="69">
        <f>G158*E158*D158</f>
        <v>624</v>
      </c>
      <c r="J158" s="69"/>
      <c r="K158" s="70" t="s">
        <v>21</v>
      </c>
      <c r="L158" s="64"/>
      <c r="M158" s="64"/>
      <c r="N158" s="64"/>
      <c r="O158" s="64"/>
      <c r="P158" s="65"/>
      <c r="Q158" s="65"/>
    </row>
    <row r="159" spans="1:17" s="66" customFormat="1" ht="18.649999999999999" customHeight="1">
      <c r="A159" s="67"/>
      <c r="B159" s="74" t="str">
        <f>B142</f>
        <v>C2 (10" x 10")</v>
      </c>
      <c r="C159" s="74"/>
      <c r="D159" s="68">
        <f>D142</f>
        <v>2</v>
      </c>
      <c r="E159" s="69">
        <f>E142*2+F142*2</f>
        <v>3.32</v>
      </c>
      <c r="F159" s="69"/>
      <c r="G159" s="69">
        <f>G142</f>
        <v>12</v>
      </c>
      <c r="H159" s="69"/>
      <c r="I159" s="69">
        <f>G159*E159*D159</f>
        <v>79.680000000000007</v>
      </c>
      <c r="J159" s="69"/>
      <c r="K159" s="70" t="s">
        <v>21</v>
      </c>
      <c r="L159" s="64"/>
      <c r="M159" s="64">
        <f>6*4</f>
        <v>24</v>
      </c>
      <c r="N159" s="64"/>
      <c r="O159" s="64"/>
      <c r="P159" s="65"/>
      <c r="Q159" s="65"/>
    </row>
    <row r="160" spans="1:17" s="66" customFormat="1" ht="18.649999999999999" customHeight="1">
      <c r="A160" s="67"/>
      <c r="B160" s="74"/>
      <c r="C160" s="74"/>
      <c r="D160" s="68"/>
      <c r="E160" s="69"/>
      <c r="F160" s="69"/>
      <c r="G160" s="69"/>
      <c r="H160" s="69"/>
      <c r="I160" s="69"/>
      <c r="J160" s="69">
        <f>SUM(I158:I160)</f>
        <v>703.68</v>
      </c>
      <c r="K160" s="70" t="s">
        <v>21</v>
      </c>
      <c r="L160" s="64"/>
      <c r="M160" s="64">
        <f>8*7</f>
        <v>56</v>
      </c>
      <c r="N160" s="64"/>
      <c r="O160" s="64"/>
      <c r="P160" s="65"/>
      <c r="Q160" s="65"/>
    </row>
    <row r="161" spans="1:17" s="66" customFormat="1" ht="18.649999999999999" customHeight="1">
      <c r="A161" s="67"/>
      <c r="B161" s="76" t="str">
        <f>B144</f>
        <v>Column (1st Floor to R.B Level)</v>
      </c>
      <c r="C161" s="74"/>
      <c r="D161" s="68"/>
      <c r="E161" s="69"/>
      <c r="F161" s="69"/>
      <c r="G161" s="69"/>
      <c r="H161" s="69"/>
      <c r="I161" s="69"/>
      <c r="J161" s="69"/>
      <c r="K161" s="70"/>
      <c r="L161" s="64"/>
      <c r="M161" s="64">
        <f>14*6</f>
        <v>84</v>
      </c>
      <c r="N161" s="64"/>
      <c r="O161" s="64"/>
      <c r="P161" s="65"/>
      <c r="Q161" s="65"/>
    </row>
    <row r="162" spans="1:17" s="66" customFormat="1" ht="18.649999999999999" customHeight="1">
      <c r="A162" s="67"/>
      <c r="B162" s="74" t="str">
        <f>B145</f>
        <v>C1 (12" x 12")</v>
      </c>
      <c r="C162" s="74"/>
      <c r="D162" s="68">
        <f>D145</f>
        <v>12</v>
      </c>
      <c r="E162" s="69">
        <f>E145*2+F145*2</f>
        <v>4</v>
      </c>
      <c r="F162" s="69"/>
      <c r="G162" s="69">
        <f>G145</f>
        <v>12</v>
      </c>
      <c r="H162" s="69"/>
      <c r="I162" s="69">
        <f>G162*E162*D162</f>
        <v>576</v>
      </c>
      <c r="J162" s="69"/>
      <c r="K162" s="70" t="s">
        <v>21</v>
      </c>
      <c r="L162" s="64"/>
      <c r="M162" s="64">
        <f>15*4</f>
        <v>60</v>
      </c>
      <c r="N162" s="64"/>
      <c r="O162" s="64"/>
      <c r="P162" s="65"/>
      <c r="Q162" s="65"/>
    </row>
    <row r="163" spans="1:17" s="66" customFormat="1" ht="18.649999999999999" customHeight="1">
      <c r="A163" s="67"/>
      <c r="B163" s="74"/>
      <c r="C163" s="74"/>
      <c r="D163" s="68"/>
      <c r="E163" s="69"/>
      <c r="F163" s="69"/>
      <c r="G163" s="69"/>
      <c r="H163" s="69"/>
      <c r="I163" s="69"/>
      <c r="J163" s="69">
        <f>SUM(I162:I163)</f>
        <v>576</v>
      </c>
      <c r="K163" s="70"/>
      <c r="L163" s="64"/>
      <c r="M163" s="64">
        <f>14*4</f>
        <v>56</v>
      </c>
      <c r="N163" s="64"/>
      <c r="O163" s="64"/>
      <c r="P163" s="65"/>
      <c r="Q163" s="65"/>
    </row>
    <row r="164" spans="1:17" s="66" customFormat="1" ht="18.649999999999999" customHeight="1">
      <c r="A164" s="67"/>
      <c r="B164" s="74"/>
      <c r="C164" s="74"/>
      <c r="D164" s="68"/>
      <c r="E164" s="69"/>
      <c r="F164" s="69"/>
      <c r="G164" s="69"/>
      <c r="H164" s="69"/>
      <c r="I164" s="69"/>
      <c r="J164" s="72">
        <f>SUM(I152:I164)</f>
        <v>1765.32</v>
      </c>
      <c r="K164" s="75" t="s">
        <v>21</v>
      </c>
      <c r="L164" s="64"/>
      <c r="M164" s="64">
        <f>SUM(M161:M163)</f>
        <v>200</v>
      </c>
      <c r="N164" s="64"/>
      <c r="O164" s="64"/>
      <c r="P164" s="65"/>
      <c r="Q164" s="65"/>
    </row>
    <row r="165" spans="1:17" s="66" customFormat="1" ht="18.649999999999999" customHeight="1">
      <c r="A165" s="67"/>
      <c r="B165" s="74"/>
      <c r="C165" s="74"/>
      <c r="D165" s="68"/>
      <c r="E165" s="69"/>
      <c r="F165" s="69"/>
      <c r="G165" s="69"/>
      <c r="H165" s="69"/>
      <c r="I165" s="69"/>
      <c r="J165" s="69">
        <f>J164/100</f>
        <v>17.649999999999999</v>
      </c>
      <c r="K165" s="75" t="s">
        <v>12</v>
      </c>
      <c r="L165" s="64"/>
      <c r="M165" s="64"/>
      <c r="N165" s="64"/>
      <c r="O165" s="64"/>
      <c r="P165" s="65"/>
      <c r="Q165" s="65"/>
    </row>
    <row r="166" spans="1:17" s="66" customFormat="1" ht="18.649999999999999" customHeight="1">
      <c r="A166" s="67"/>
      <c r="B166" s="76"/>
      <c r="C166" s="76"/>
      <c r="D166" s="68"/>
      <c r="E166" s="69"/>
      <c r="F166" s="69"/>
      <c r="G166" s="69"/>
      <c r="H166" s="69"/>
      <c r="I166" s="69"/>
      <c r="J166" s="69"/>
      <c r="K166" s="70"/>
      <c r="L166" s="64"/>
      <c r="M166" s="64">
        <f>18</f>
        <v>18</v>
      </c>
      <c r="N166" s="64"/>
      <c r="O166" s="64"/>
      <c r="P166" s="65"/>
      <c r="Q166" s="65"/>
    </row>
    <row r="167" spans="1:17" s="66" customFormat="1" ht="18.649999999999999" customHeight="1">
      <c r="A167" s="67"/>
      <c r="B167" s="138" t="s">
        <v>36</v>
      </c>
      <c r="C167" s="76"/>
      <c r="D167" s="68"/>
      <c r="E167" s="69"/>
      <c r="F167" s="69"/>
      <c r="G167" s="69"/>
      <c r="H167" s="69"/>
      <c r="I167" s="69"/>
      <c r="J167" s="69"/>
      <c r="K167" s="70"/>
      <c r="L167" s="64"/>
      <c r="M167" s="64">
        <f>11*3+4.25</f>
        <v>37.25</v>
      </c>
      <c r="N167" s="64"/>
      <c r="O167" s="64"/>
      <c r="P167" s="65"/>
      <c r="Q167" s="65"/>
    </row>
    <row r="168" spans="1:17" s="66" customFormat="1" ht="18.649999999999999" customHeight="1">
      <c r="A168" s="67"/>
      <c r="B168" s="138" t="str">
        <f>B134</f>
        <v>Column (Footing to Plinth Level)</v>
      </c>
      <c r="C168" s="76"/>
      <c r="D168" s="68"/>
      <c r="E168" s="69"/>
      <c r="F168" s="69"/>
      <c r="G168" s="69"/>
      <c r="H168" s="69"/>
      <c r="I168" s="69" t="s">
        <v>61</v>
      </c>
      <c r="J168" s="70" t="s">
        <v>128</v>
      </c>
      <c r="K168" s="70"/>
      <c r="L168" s="64"/>
      <c r="M168" s="64"/>
      <c r="N168" s="64"/>
      <c r="O168" s="64"/>
      <c r="P168" s="65"/>
      <c r="Q168" s="65"/>
    </row>
    <row r="169" spans="1:17" s="66" customFormat="1" ht="18.649999999999999" customHeight="1">
      <c r="A169" s="80"/>
      <c r="B169" s="81"/>
      <c r="C169" s="81"/>
      <c r="D169" s="82"/>
      <c r="E169" s="83"/>
      <c r="F169" s="83"/>
      <c r="G169" s="83"/>
      <c r="H169" s="84"/>
      <c r="I169" s="83"/>
      <c r="J169" s="83"/>
      <c r="K169" s="85"/>
      <c r="L169" s="64"/>
      <c r="M169" s="64">
        <f>20/53</f>
        <v>0.38</v>
      </c>
      <c r="N169" s="64"/>
      <c r="O169" s="64"/>
      <c r="P169" s="65"/>
      <c r="Q169" s="65"/>
    </row>
    <row r="170" spans="1:17" s="66" customFormat="1" ht="18.649999999999999" customHeight="1">
      <c r="A170" s="67"/>
      <c r="B170" s="138" t="str">
        <f>B135</f>
        <v>F2,C1 (12" x 12")</v>
      </c>
      <c r="C170" s="138"/>
      <c r="D170" s="121">
        <f>D135</f>
        <v>4</v>
      </c>
      <c r="E170" s="122">
        <f>E135</f>
        <v>1</v>
      </c>
      <c r="F170" s="122">
        <f>F135</f>
        <v>1</v>
      </c>
      <c r="G170" s="139">
        <f>G135+1</f>
        <v>10</v>
      </c>
      <c r="H170" s="69"/>
      <c r="I170" s="69"/>
      <c r="J170" s="69"/>
      <c r="K170" s="70"/>
      <c r="L170" s="64"/>
      <c r="M170" s="64">
        <f>19*3</f>
        <v>57</v>
      </c>
      <c r="N170" s="64"/>
      <c r="O170" s="64"/>
      <c r="P170" s="65"/>
      <c r="Q170" s="65"/>
    </row>
    <row r="171" spans="1:17" s="66" customFormat="1" ht="18.649999999999999" customHeight="1">
      <c r="A171" s="67"/>
      <c r="B171" s="74" t="s">
        <v>141</v>
      </c>
      <c r="C171" s="74"/>
      <c r="D171" s="68">
        <f>D170*6</f>
        <v>24</v>
      </c>
      <c r="E171" s="69">
        <f>G170-0.25+15/12</f>
        <v>11</v>
      </c>
      <c r="F171" s="69"/>
      <c r="G171" s="69"/>
      <c r="H171" s="71"/>
      <c r="I171" s="69">
        <f>D171*E171</f>
        <v>264</v>
      </c>
      <c r="J171" s="69"/>
      <c r="K171" s="70"/>
      <c r="L171" s="64"/>
      <c r="M171" s="64">
        <f>39.5-11</f>
        <v>28.5</v>
      </c>
      <c r="N171" s="64"/>
      <c r="O171" s="64"/>
      <c r="P171" s="65"/>
      <c r="Q171" s="65"/>
    </row>
    <row r="172" spans="1:17" s="66" customFormat="1" ht="18.649999999999999" customHeight="1">
      <c r="A172" s="67"/>
      <c r="B172" s="74" t="s">
        <v>37</v>
      </c>
      <c r="C172" s="74"/>
      <c r="D172" s="68">
        <f>D171</f>
        <v>24</v>
      </c>
      <c r="E172" s="69">
        <f>40*16/1000*3.281</f>
        <v>2.1</v>
      </c>
      <c r="F172" s="69"/>
      <c r="G172" s="69"/>
      <c r="H172" s="71"/>
      <c r="I172" s="69">
        <f>D172*E172</f>
        <v>50.4</v>
      </c>
      <c r="J172" s="69"/>
      <c r="K172" s="70"/>
      <c r="L172" s="64"/>
      <c r="M172" s="64"/>
      <c r="N172" s="64"/>
      <c r="O172" s="64"/>
      <c r="P172" s="65"/>
      <c r="Q172" s="65"/>
    </row>
    <row r="173" spans="1:17" s="66" customFormat="1" ht="18.649999999999999" customHeight="1">
      <c r="A173" s="67"/>
      <c r="B173" s="74" t="s">
        <v>383</v>
      </c>
      <c r="C173" s="74"/>
      <c r="D173" s="68">
        <f>D170*ROUND((G170-0.25)/0.4+1,0)</f>
        <v>100</v>
      </c>
      <c r="E173" s="69">
        <f>(E170-0.25+F170-0.25)*2+24*10/1000*3.281</f>
        <v>3.79</v>
      </c>
      <c r="F173" s="69"/>
      <c r="G173" s="69"/>
      <c r="H173" s="71"/>
      <c r="I173" s="69"/>
      <c r="J173" s="69">
        <f>D173*E173</f>
        <v>379</v>
      </c>
      <c r="K173" s="70"/>
      <c r="L173" s="64"/>
      <c r="M173" s="77">
        <f>7.5*5</f>
        <v>37.5</v>
      </c>
      <c r="N173" s="77"/>
      <c r="O173" s="64"/>
      <c r="P173" s="65"/>
      <c r="Q173" s="65"/>
    </row>
    <row r="174" spans="1:17" s="66" customFormat="1" ht="18.649999999999999" customHeight="1">
      <c r="A174" s="80"/>
      <c r="B174" s="138" t="str">
        <f>B136</f>
        <v>F3,C1 (12" x 12")</v>
      </c>
      <c r="C174" s="307"/>
      <c r="D174" s="308">
        <f>D136</f>
        <v>7</v>
      </c>
      <c r="E174" s="309">
        <f>E136</f>
        <v>1</v>
      </c>
      <c r="F174" s="309">
        <f>F136</f>
        <v>1</v>
      </c>
      <c r="G174" s="309">
        <f>G136</f>
        <v>8.83</v>
      </c>
      <c r="H174" s="84"/>
      <c r="I174" s="83"/>
      <c r="J174" s="69"/>
      <c r="K174" s="85"/>
      <c r="L174" s="64"/>
      <c r="M174" s="77">
        <f>39.5-M173</f>
        <v>2</v>
      </c>
      <c r="N174" s="77"/>
      <c r="O174" s="64"/>
      <c r="P174" s="65"/>
      <c r="Q174" s="65"/>
    </row>
    <row r="175" spans="1:17" s="66" customFormat="1" ht="18.649999999999999" customHeight="1">
      <c r="A175" s="67"/>
      <c r="B175" s="74" t="s">
        <v>141</v>
      </c>
      <c r="C175" s="74"/>
      <c r="D175" s="68">
        <f>D174*6</f>
        <v>42</v>
      </c>
      <c r="E175" s="69">
        <f>G174-0.25+15/12</f>
        <v>9.83</v>
      </c>
      <c r="F175" s="69"/>
      <c r="G175" s="69"/>
      <c r="H175" s="71"/>
      <c r="I175" s="69">
        <f>D175*E175</f>
        <v>412.86</v>
      </c>
      <c r="J175" s="69"/>
      <c r="K175" s="70"/>
      <c r="L175" s="64"/>
      <c r="M175" s="64">
        <f>39.5-11</f>
        <v>28.5</v>
      </c>
      <c r="N175" s="64"/>
      <c r="O175" s="64"/>
      <c r="P175" s="65"/>
      <c r="Q175" s="65"/>
    </row>
    <row r="176" spans="1:17" s="66" customFormat="1" ht="18.649999999999999" customHeight="1">
      <c r="A176" s="67"/>
      <c r="B176" s="74" t="s">
        <v>37</v>
      </c>
      <c r="C176" s="74"/>
      <c r="D176" s="68">
        <f>D175</f>
        <v>42</v>
      </c>
      <c r="E176" s="69">
        <f>40*16/1000*3.281</f>
        <v>2.1</v>
      </c>
      <c r="F176" s="69"/>
      <c r="G176" s="69"/>
      <c r="H176" s="71"/>
      <c r="I176" s="69">
        <f>D176*E176</f>
        <v>88.2</v>
      </c>
      <c r="J176" s="69"/>
      <c r="K176" s="70"/>
      <c r="L176" s="64"/>
      <c r="M176" s="64"/>
      <c r="N176" s="64"/>
      <c r="O176" s="64"/>
      <c r="P176" s="65"/>
      <c r="Q176" s="65"/>
    </row>
    <row r="177" spans="1:17" s="66" customFormat="1" ht="18.649999999999999" customHeight="1">
      <c r="A177" s="67"/>
      <c r="B177" s="74" t="s">
        <v>383</v>
      </c>
      <c r="C177" s="74"/>
      <c r="D177" s="68">
        <f>D174*ROUND((G174-0.25)/0.4+1,0)</f>
        <v>154</v>
      </c>
      <c r="E177" s="69">
        <f>(E174-0.25+F174-0.25)*2+24*10/1000*3.281</f>
        <v>3.79</v>
      </c>
      <c r="F177" s="69"/>
      <c r="G177" s="69"/>
      <c r="H177" s="71"/>
      <c r="I177" s="69"/>
      <c r="J177" s="69">
        <f>D177*E177</f>
        <v>583.66</v>
      </c>
      <c r="K177" s="70"/>
      <c r="L177" s="64"/>
      <c r="M177" s="77">
        <f>7.5*5</f>
        <v>37.5</v>
      </c>
      <c r="N177" s="77"/>
      <c r="O177" s="64"/>
      <c r="P177" s="65"/>
      <c r="Q177" s="65"/>
    </row>
    <row r="178" spans="1:17" s="66" customFormat="1" ht="18.649999999999999" customHeight="1">
      <c r="A178" s="80"/>
      <c r="B178" s="138" t="str">
        <f>B137</f>
        <v>F4,C1 (12" x 12")</v>
      </c>
      <c r="C178" s="307"/>
      <c r="D178" s="308">
        <f>D137</f>
        <v>1</v>
      </c>
      <c r="E178" s="309">
        <f>E137</f>
        <v>1</v>
      </c>
      <c r="F178" s="309">
        <f>F137</f>
        <v>1</v>
      </c>
      <c r="G178" s="309">
        <f>G137</f>
        <v>8.66</v>
      </c>
      <c r="H178" s="84"/>
      <c r="I178" s="83"/>
      <c r="J178" s="69"/>
      <c r="K178" s="85"/>
      <c r="L178" s="64"/>
      <c r="M178" s="77"/>
      <c r="N178" s="77"/>
      <c r="O178" s="64"/>
      <c r="P178" s="65"/>
      <c r="Q178" s="65"/>
    </row>
    <row r="179" spans="1:17" s="66" customFormat="1" ht="18.649999999999999" customHeight="1">
      <c r="A179" s="67"/>
      <c r="B179" s="74" t="s">
        <v>141</v>
      </c>
      <c r="C179" s="74"/>
      <c r="D179" s="68">
        <f>D178*6</f>
        <v>6</v>
      </c>
      <c r="E179" s="69">
        <f>G178-0.25+15/12</f>
        <v>9.66</v>
      </c>
      <c r="F179" s="69"/>
      <c r="G179" s="69"/>
      <c r="H179" s="71"/>
      <c r="I179" s="69">
        <f>D179*E179</f>
        <v>57.96</v>
      </c>
      <c r="J179" s="69"/>
      <c r="K179" s="70"/>
      <c r="L179" s="64"/>
      <c r="M179" s="64">
        <f>39.5-11</f>
        <v>28.5</v>
      </c>
      <c r="N179" s="64"/>
      <c r="O179" s="64"/>
      <c r="P179" s="65"/>
      <c r="Q179" s="65"/>
    </row>
    <row r="180" spans="1:17" s="66" customFormat="1" ht="18.649999999999999" customHeight="1">
      <c r="A180" s="67"/>
      <c r="B180" s="74" t="s">
        <v>37</v>
      </c>
      <c r="C180" s="74"/>
      <c r="D180" s="68">
        <f>D179</f>
        <v>6</v>
      </c>
      <c r="E180" s="69">
        <f>40*16/1000*3.281</f>
        <v>2.1</v>
      </c>
      <c r="F180" s="69"/>
      <c r="G180" s="69"/>
      <c r="H180" s="71"/>
      <c r="I180" s="69">
        <f>D180*E180</f>
        <v>12.6</v>
      </c>
      <c r="J180" s="69"/>
      <c r="K180" s="70"/>
      <c r="L180" s="64"/>
      <c r="M180" s="64"/>
      <c r="N180" s="64"/>
      <c r="O180" s="64"/>
      <c r="P180" s="65"/>
      <c r="Q180" s="65"/>
    </row>
    <row r="181" spans="1:17" s="66" customFormat="1" ht="18.649999999999999" customHeight="1">
      <c r="A181" s="67"/>
      <c r="B181" s="74" t="s">
        <v>383</v>
      </c>
      <c r="C181" s="74"/>
      <c r="D181" s="68">
        <f>D178*ROUND((G178-0.25)/0.4+1,0)</f>
        <v>22</v>
      </c>
      <c r="E181" s="69">
        <f>(E178-0.25+F178-0.25)*2+24*10/1000*3.281</f>
        <v>3.79</v>
      </c>
      <c r="F181" s="69"/>
      <c r="G181" s="69"/>
      <c r="H181" s="71"/>
      <c r="I181" s="69"/>
      <c r="J181" s="69">
        <f>D181*E181</f>
        <v>83.38</v>
      </c>
      <c r="K181" s="70"/>
      <c r="L181" s="64"/>
      <c r="M181" s="77">
        <f>7.5*5</f>
        <v>37.5</v>
      </c>
      <c r="N181" s="77"/>
      <c r="O181" s="64"/>
      <c r="P181" s="65"/>
      <c r="Q181" s="65"/>
    </row>
    <row r="182" spans="1:17" s="66" customFormat="1" ht="18.649999999999999" customHeight="1">
      <c r="A182" s="80"/>
      <c r="B182" s="138" t="str">
        <f>B138</f>
        <v>F1,C2 (10" x 10")</v>
      </c>
      <c r="C182" s="307"/>
      <c r="D182" s="308">
        <f>D138</f>
        <v>2</v>
      </c>
      <c r="E182" s="309">
        <f>E138</f>
        <v>0.83</v>
      </c>
      <c r="F182" s="309">
        <f>F138</f>
        <v>0.83</v>
      </c>
      <c r="G182" s="309">
        <f>G138</f>
        <v>9</v>
      </c>
      <c r="H182" s="84"/>
      <c r="I182" s="83"/>
      <c r="J182" s="69"/>
      <c r="K182" s="85"/>
      <c r="L182" s="64"/>
      <c r="M182" s="77"/>
      <c r="N182" s="77"/>
      <c r="O182" s="64"/>
      <c r="P182" s="65"/>
      <c r="Q182" s="65"/>
    </row>
    <row r="183" spans="1:17" s="66" customFormat="1" ht="18.649999999999999" customHeight="1">
      <c r="A183" s="67"/>
      <c r="B183" s="74" t="s">
        <v>141</v>
      </c>
      <c r="C183" s="74"/>
      <c r="D183" s="68">
        <f>D182*6</f>
        <v>12</v>
      </c>
      <c r="E183" s="69">
        <f>G182-0.25+15/12</f>
        <v>10</v>
      </c>
      <c r="F183" s="69"/>
      <c r="G183" s="69"/>
      <c r="H183" s="71"/>
      <c r="I183" s="69">
        <f>D183*E183</f>
        <v>120</v>
      </c>
      <c r="J183" s="69"/>
      <c r="K183" s="70"/>
      <c r="L183" s="64"/>
      <c r="M183" s="64">
        <f>39.5-11</f>
        <v>28.5</v>
      </c>
      <c r="N183" s="64"/>
      <c r="O183" s="64"/>
      <c r="P183" s="65"/>
      <c r="Q183" s="65"/>
    </row>
    <row r="184" spans="1:17" s="66" customFormat="1" ht="18.649999999999999" customHeight="1">
      <c r="A184" s="67"/>
      <c r="B184" s="74" t="s">
        <v>37</v>
      </c>
      <c r="C184" s="74"/>
      <c r="D184" s="68">
        <f>D183</f>
        <v>12</v>
      </c>
      <c r="E184" s="69">
        <f>40*16/1000*3.281</f>
        <v>2.1</v>
      </c>
      <c r="F184" s="69"/>
      <c r="G184" s="69"/>
      <c r="H184" s="71"/>
      <c r="I184" s="69">
        <f>D184*E184</f>
        <v>25.2</v>
      </c>
      <c r="J184" s="69"/>
      <c r="K184" s="70"/>
      <c r="L184" s="64"/>
      <c r="M184" s="64"/>
      <c r="N184" s="64"/>
      <c r="O184" s="64"/>
      <c r="P184" s="65"/>
      <c r="Q184" s="65"/>
    </row>
    <row r="185" spans="1:17" s="66" customFormat="1" ht="18.649999999999999" customHeight="1">
      <c r="A185" s="67"/>
      <c r="B185" s="74" t="s">
        <v>383</v>
      </c>
      <c r="C185" s="74"/>
      <c r="D185" s="68">
        <f>D182*ROUND((G182-0.25)/0.4+1,0)</f>
        <v>46</v>
      </c>
      <c r="E185" s="69">
        <f>(E182-0.25+F182-0.25)*2+24*10/1000*3.281</f>
        <v>3.11</v>
      </c>
      <c r="F185" s="69"/>
      <c r="G185" s="69"/>
      <c r="H185" s="71"/>
      <c r="I185" s="69"/>
      <c r="J185" s="69">
        <f>D185*E185</f>
        <v>143.06</v>
      </c>
      <c r="K185" s="70"/>
      <c r="L185" s="64"/>
      <c r="M185" s="77">
        <f>7.5*5</f>
        <v>37.5</v>
      </c>
      <c r="N185" s="77"/>
      <c r="O185" s="64"/>
      <c r="P185" s="65"/>
      <c r="Q185" s="65"/>
    </row>
    <row r="186" spans="1:17" s="66" customFormat="1" ht="18.649999999999999" customHeight="1">
      <c r="A186" s="80"/>
      <c r="B186" s="74"/>
      <c r="C186" s="81"/>
      <c r="D186" s="82"/>
      <c r="E186" s="83"/>
      <c r="F186" s="83"/>
      <c r="G186" s="83"/>
      <c r="H186" s="310"/>
      <c r="I186" s="309" t="str">
        <f>I168</f>
        <v>16mm Ø</v>
      </c>
      <c r="J186" s="122" t="str">
        <f>J168</f>
        <v>10mm Ø</v>
      </c>
      <c r="K186" s="85"/>
      <c r="L186" s="64"/>
      <c r="M186" s="77"/>
      <c r="N186" s="77"/>
      <c r="O186" s="64"/>
      <c r="P186" s="65"/>
      <c r="Q186" s="65"/>
    </row>
    <row r="187" spans="1:17" s="66" customFormat="1" ht="18.649999999999999" customHeight="1">
      <c r="A187" s="80"/>
      <c r="B187" s="74"/>
      <c r="C187" s="81"/>
      <c r="D187" s="82"/>
      <c r="E187" s="83"/>
      <c r="F187" s="83"/>
      <c r="G187" s="83"/>
      <c r="H187" s="310"/>
      <c r="I187" s="309">
        <f>SUM(I170:I185)</f>
        <v>1031.22</v>
      </c>
      <c r="J187" s="309">
        <f>SUM(J170:J185)</f>
        <v>1189.0999999999999</v>
      </c>
      <c r="K187" s="313" t="s">
        <v>82</v>
      </c>
      <c r="L187" s="64"/>
      <c r="M187" s="77"/>
      <c r="N187" s="77"/>
      <c r="O187" s="64"/>
      <c r="P187" s="65"/>
      <c r="Q187" s="65"/>
    </row>
    <row r="188" spans="1:17" s="66" customFormat="1" ht="18.649999999999999" customHeight="1">
      <c r="A188" s="80"/>
      <c r="B188" s="74"/>
      <c r="C188" s="81"/>
      <c r="D188" s="82"/>
      <c r="E188" s="83"/>
      <c r="F188" s="83"/>
      <c r="G188" s="83"/>
      <c r="H188" s="311" t="s">
        <v>424</v>
      </c>
      <c r="I188" s="309">
        <f>I187/39.33/53</f>
        <v>0.49</v>
      </c>
      <c r="J188" s="122">
        <f>J187/39.33/135</f>
        <v>0.22</v>
      </c>
      <c r="K188" s="312" t="s">
        <v>14</v>
      </c>
      <c r="L188" s="64"/>
      <c r="M188" s="77"/>
      <c r="N188" s="77"/>
      <c r="O188" s="64"/>
      <c r="P188" s="65"/>
      <c r="Q188" s="65"/>
    </row>
    <row r="189" spans="1:17" s="66" customFormat="1" ht="18.649999999999999" customHeight="1">
      <c r="A189" s="67"/>
      <c r="B189" s="138" t="str">
        <f>B140</f>
        <v>Column (Plinth Level to 1st Floor Level)</v>
      </c>
      <c r="C189" s="138"/>
      <c r="D189" s="121"/>
      <c r="E189" s="122"/>
      <c r="F189" s="122"/>
      <c r="G189" s="139"/>
      <c r="H189" s="69"/>
      <c r="I189" s="69"/>
      <c r="J189" s="69"/>
      <c r="K189" s="70"/>
      <c r="L189" s="64"/>
      <c r="M189" s="64">
        <f>29/53</f>
        <v>0.55000000000000004</v>
      </c>
      <c r="N189" s="64"/>
      <c r="O189" s="64"/>
      <c r="P189" s="65"/>
      <c r="Q189" s="65"/>
    </row>
    <row r="190" spans="1:17" s="66" customFormat="1" ht="18.649999999999999" customHeight="1">
      <c r="A190" s="67"/>
      <c r="B190" s="138" t="str">
        <f>B141</f>
        <v>C1 (12" x 12")</v>
      </c>
      <c r="C190" s="138"/>
      <c r="D190" s="121">
        <f>D141</f>
        <v>12</v>
      </c>
      <c r="E190" s="122">
        <f>E141</f>
        <v>1</v>
      </c>
      <c r="F190" s="122">
        <f>F141</f>
        <v>1</v>
      </c>
      <c r="G190" s="139">
        <f>G141</f>
        <v>13</v>
      </c>
      <c r="H190" s="69"/>
      <c r="I190" s="69"/>
      <c r="J190" s="69"/>
      <c r="K190" s="70"/>
      <c r="L190" s="64"/>
      <c r="M190" s="64">
        <f>35/53</f>
        <v>0.66</v>
      </c>
      <c r="N190" s="64"/>
      <c r="O190" s="64"/>
      <c r="P190" s="65"/>
      <c r="Q190" s="65"/>
    </row>
    <row r="191" spans="1:17" s="66" customFormat="1" ht="18.649999999999999" customHeight="1">
      <c r="A191" s="67"/>
      <c r="B191" s="74" t="s">
        <v>141</v>
      </c>
      <c r="C191" s="74"/>
      <c r="D191" s="68">
        <f>D190*6</f>
        <v>72</v>
      </c>
      <c r="E191" s="69">
        <f>G190</f>
        <v>13</v>
      </c>
      <c r="F191" s="69"/>
      <c r="G191" s="69"/>
      <c r="H191" s="71"/>
      <c r="I191" s="69">
        <f>D191*E191</f>
        <v>936</v>
      </c>
      <c r="J191" s="69"/>
      <c r="K191" s="70"/>
      <c r="L191" s="64"/>
      <c r="M191" s="64">
        <f>0.66+0.55</f>
        <v>1.21</v>
      </c>
      <c r="N191" s="64"/>
      <c r="O191" s="64"/>
      <c r="P191" s="65"/>
      <c r="Q191" s="65"/>
    </row>
    <row r="192" spans="1:17" s="66" customFormat="1" ht="18.649999999999999" customHeight="1">
      <c r="A192" s="67"/>
      <c r="B192" s="74" t="s">
        <v>37</v>
      </c>
      <c r="C192" s="74"/>
      <c r="D192" s="68">
        <f>D191</f>
        <v>72</v>
      </c>
      <c r="E192" s="69">
        <f>40*16/1000*3.281</f>
        <v>2.1</v>
      </c>
      <c r="F192" s="69"/>
      <c r="G192" s="69"/>
      <c r="H192" s="71"/>
      <c r="I192" s="69">
        <f>D192*E192</f>
        <v>151.19999999999999</v>
      </c>
      <c r="J192" s="69"/>
      <c r="K192" s="70"/>
      <c r="L192" s="64"/>
      <c r="M192" s="64">
        <f>12+2.08</f>
        <v>14.08</v>
      </c>
      <c r="N192" s="64"/>
      <c r="O192" s="64"/>
      <c r="P192" s="65"/>
      <c r="Q192" s="65"/>
    </row>
    <row r="193" spans="1:17" s="66" customFormat="1" ht="18.649999999999999" customHeight="1">
      <c r="A193" s="67"/>
      <c r="B193" s="74" t="s">
        <v>383</v>
      </c>
      <c r="C193" s="74"/>
      <c r="D193" s="68">
        <f>D190*ROUND((G190-0.25)/0.4+1,0)</f>
        <v>396</v>
      </c>
      <c r="E193" s="69">
        <f>(E190-0.25+F190-0.25)*2+24*10/1000*3.281</f>
        <v>3.79</v>
      </c>
      <c r="F193" s="69"/>
      <c r="G193" s="69"/>
      <c r="H193" s="71"/>
      <c r="I193" s="69"/>
      <c r="J193" s="69">
        <f>D193*E193</f>
        <v>1500.84</v>
      </c>
      <c r="K193" s="70"/>
      <c r="L193" s="64"/>
      <c r="M193" s="77">
        <f>M192*2</f>
        <v>28.16</v>
      </c>
      <c r="N193" s="77"/>
      <c r="O193" s="64"/>
      <c r="P193" s="65"/>
      <c r="Q193" s="65"/>
    </row>
    <row r="194" spans="1:17" s="66" customFormat="1" ht="18.649999999999999" customHeight="1">
      <c r="A194" s="80"/>
      <c r="B194" s="138" t="str">
        <f>B142</f>
        <v>C2 (10" x 10")</v>
      </c>
      <c r="C194" s="307"/>
      <c r="D194" s="308">
        <f>D142</f>
        <v>2</v>
      </c>
      <c r="E194" s="309">
        <f>E142</f>
        <v>0.83</v>
      </c>
      <c r="F194" s="309">
        <f>F142</f>
        <v>0.83</v>
      </c>
      <c r="G194" s="309">
        <f>G142</f>
        <v>12</v>
      </c>
      <c r="H194" s="84"/>
      <c r="I194" s="83"/>
      <c r="J194" s="69"/>
      <c r="K194" s="85"/>
      <c r="L194" s="64"/>
      <c r="M194" s="77">
        <f>39.5-M193</f>
        <v>11.34</v>
      </c>
      <c r="N194" s="77"/>
      <c r="O194" s="64"/>
      <c r="P194" s="65"/>
      <c r="Q194" s="65"/>
    </row>
    <row r="195" spans="1:17" s="66" customFormat="1" ht="18.649999999999999" customHeight="1">
      <c r="A195" s="67"/>
      <c r="B195" s="74" t="s">
        <v>141</v>
      </c>
      <c r="C195" s="74"/>
      <c r="D195" s="68">
        <f>D194*6</f>
        <v>12</v>
      </c>
      <c r="E195" s="69">
        <f>G194</f>
        <v>12</v>
      </c>
      <c r="F195" s="69"/>
      <c r="G195" s="69"/>
      <c r="H195" s="71"/>
      <c r="I195" s="69">
        <f>D195*E195</f>
        <v>144</v>
      </c>
      <c r="J195" s="69"/>
      <c r="K195" s="70"/>
      <c r="L195" s="64"/>
      <c r="M195" s="64">
        <f>0.66+0.55</f>
        <v>1.21</v>
      </c>
      <c r="N195" s="64"/>
      <c r="O195" s="64"/>
      <c r="P195" s="65"/>
      <c r="Q195" s="65"/>
    </row>
    <row r="196" spans="1:17" s="66" customFormat="1" ht="18.649999999999999" customHeight="1">
      <c r="A196" s="67"/>
      <c r="B196" s="74" t="s">
        <v>383</v>
      </c>
      <c r="C196" s="74"/>
      <c r="D196" s="68">
        <f>D194*ROUND((G194-0.25)/0.4+1,0)</f>
        <v>60</v>
      </c>
      <c r="E196" s="69">
        <f>(E194-0.25+F194-0.25)*2+24*10/1000*3.281</f>
        <v>3.11</v>
      </c>
      <c r="F196" s="69"/>
      <c r="G196" s="69"/>
      <c r="H196" s="71"/>
      <c r="I196" s="69"/>
      <c r="J196" s="69">
        <f>D196*E196</f>
        <v>186.6</v>
      </c>
      <c r="K196" s="70"/>
      <c r="L196" s="64"/>
      <c r="M196" s="77" t="e">
        <f>#REF!*2</f>
        <v>#REF!</v>
      </c>
      <c r="N196" s="77"/>
      <c r="O196" s="64"/>
      <c r="P196" s="65"/>
      <c r="Q196" s="65"/>
    </row>
    <row r="197" spans="1:17" s="66" customFormat="1" ht="18.649999999999999" customHeight="1">
      <c r="A197" s="80"/>
      <c r="B197" s="74"/>
      <c r="C197" s="81"/>
      <c r="D197" s="82"/>
      <c r="E197" s="83"/>
      <c r="F197" s="83"/>
      <c r="G197" s="83"/>
      <c r="H197" s="84"/>
      <c r="I197" s="83" t="str">
        <f>I168</f>
        <v>16mm Ø</v>
      </c>
      <c r="J197" s="69" t="str">
        <f>J168</f>
        <v>10mm Ø</v>
      </c>
      <c r="K197" s="85"/>
      <c r="L197" s="64"/>
      <c r="M197" s="77"/>
      <c r="N197" s="77"/>
      <c r="O197" s="64"/>
      <c r="P197" s="65"/>
      <c r="Q197" s="65"/>
    </row>
    <row r="198" spans="1:17" s="66" customFormat="1" ht="18.649999999999999" customHeight="1">
      <c r="A198" s="80"/>
      <c r="B198" s="74"/>
      <c r="C198" s="81"/>
      <c r="D198" s="82"/>
      <c r="E198" s="83"/>
      <c r="F198" s="83"/>
      <c r="G198" s="83"/>
      <c r="H198" s="84"/>
      <c r="I198" s="83">
        <f>SUM(I190:I196)</f>
        <v>1231.2</v>
      </c>
      <c r="J198" s="83">
        <f>SUM(J190:J196)</f>
        <v>1687.44</v>
      </c>
      <c r="K198" s="312" t="s">
        <v>82</v>
      </c>
      <c r="L198" s="64"/>
      <c r="M198" s="77"/>
      <c r="N198" s="77"/>
      <c r="O198" s="64"/>
      <c r="P198" s="65"/>
      <c r="Q198" s="65"/>
    </row>
    <row r="199" spans="1:17" s="66" customFormat="1" ht="18.649999999999999" customHeight="1">
      <c r="A199" s="80"/>
      <c r="B199" s="74"/>
      <c r="C199" s="81"/>
      <c r="D199" s="82"/>
      <c r="E199" s="83"/>
      <c r="F199" s="83"/>
      <c r="G199" s="83"/>
      <c r="H199" s="311" t="s">
        <v>425</v>
      </c>
      <c r="I199" s="309">
        <f>I198/39.33/53</f>
        <v>0.59</v>
      </c>
      <c r="J199" s="122">
        <f>J198/39.33/135</f>
        <v>0.32</v>
      </c>
      <c r="K199" s="312" t="s">
        <v>14</v>
      </c>
      <c r="L199" s="64"/>
      <c r="M199" s="77"/>
      <c r="N199" s="77"/>
      <c r="O199" s="64"/>
      <c r="P199" s="65"/>
      <c r="Q199" s="65"/>
    </row>
    <row r="200" spans="1:17" s="66" customFormat="1" ht="18.649999999999999" customHeight="1">
      <c r="A200" s="67"/>
      <c r="B200" s="138" t="str">
        <f>B144</f>
        <v>Column (1st Floor to R.B Level)</v>
      </c>
      <c r="C200" s="138"/>
      <c r="D200" s="121"/>
      <c r="E200" s="122"/>
      <c r="F200" s="122"/>
      <c r="G200" s="139"/>
      <c r="H200" s="69"/>
      <c r="I200" s="69"/>
      <c r="J200" s="69"/>
      <c r="K200" s="70"/>
      <c r="L200" s="64"/>
      <c r="M200" s="64"/>
      <c r="N200" s="64"/>
      <c r="O200" s="64"/>
      <c r="P200" s="65"/>
      <c r="Q200" s="65"/>
    </row>
    <row r="201" spans="1:17" s="66" customFormat="1" ht="18.649999999999999" customHeight="1">
      <c r="A201" s="67"/>
      <c r="B201" s="138" t="str">
        <f>B145</f>
        <v>C1 (12" x 12")</v>
      </c>
      <c r="C201" s="138"/>
      <c r="D201" s="121">
        <f>D145</f>
        <v>12</v>
      </c>
      <c r="E201" s="122">
        <f>E145</f>
        <v>1</v>
      </c>
      <c r="F201" s="122">
        <f>F145</f>
        <v>1</v>
      </c>
      <c r="G201" s="287">
        <f>G145</f>
        <v>12</v>
      </c>
      <c r="H201" s="69"/>
      <c r="I201" s="69"/>
      <c r="J201" s="69"/>
      <c r="K201" s="70"/>
      <c r="L201" s="64"/>
      <c r="M201" s="64"/>
      <c r="N201" s="64"/>
      <c r="O201" s="64"/>
      <c r="P201" s="65"/>
      <c r="Q201" s="65"/>
    </row>
    <row r="202" spans="1:17" s="66" customFormat="1" ht="18.649999999999999" customHeight="1">
      <c r="A202" s="67"/>
      <c r="B202" s="74" t="s">
        <v>141</v>
      </c>
      <c r="C202" s="74"/>
      <c r="D202" s="68">
        <f>D201*6</f>
        <v>72</v>
      </c>
      <c r="E202" s="69">
        <f>G201</f>
        <v>12</v>
      </c>
      <c r="F202" s="69"/>
      <c r="G202" s="69"/>
      <c r="H202" s="71"/>
      <c r="I202" s="69">
        <f>D202*E202</f>
        <v>864</v>
      </c>
      <c r="J202" s="69"/>
      <c r="K202" s="70"/>
      <c r="L202" s="64"/>
      <c r="M202" s="64"/>
      <c r="N202" s="64"/>
      <c r="O202" s="64"/>
      <c r="P202" s="65"/>
      <c r="Q202" s="65"/>
    </row>
    <row r="203" spans="1:17" s="66" customFormat="1" ht="18.649999999999999" customHeight="1">
      <c r="A203" s="67"/>
      <c r="B203" s="74" t="s">
        <v>383</v>
      </c>
      <c r="C203" s="74"/>
      <c r="D203" s="68">
        <f>D201*ROUND((G201-0.25)/0.4+1,0)</f>
        <v>360</v>
      </c>
      <c r="E203" s="69">
        <f>(E201-0.25+F201-0.25)*2+24*10/1000*3.281</f>
        <v>3.79</v>
      </c>
      <c r="F203" s="69"/>
      <c r="G203" s="69"/>
      <c r="H203" s="71"/>
      <c r="I203" s="69"/>
      <c r="J203" s="69">
        <f>D203*E203</f>
        <v>1364.4</v>
      </c>
      <c r="K203" s="70"/>
      <c r="L203" s="64"/>
      <c r="M203" s="77"/>
      <c r="N203" s="77"/>
      <c r="O203" s="64"/>
      <c r="P203" s="65"/>
      <c r="Q203" s="65"/>
    </row>
    <row r="204" spans="1:17" s="66" customFormat="1" ht="18.649999999999999" customHeight="1">
      <c r="A204" s="80"/>
      <c r="B204" s="81"/>
      <c r="C204" s="81"/>
      <c r="D204" s="82"/>
      <c r="E204" s="83"/>
      <c r="F204" s="83"/>
      <c r="G204" s="83"/>
      <c r="H204" s="84"/>
      <c r="I204" s="83" t="str">
        <f>I168</f>
        <v>16mm Ø</v>
      </c>
      <c r="J204" s="83" t="str">
        <f>J168</f>
        <v>10mm Ø</v>
      </c>
      <c r="K204" s="85"/>
      <c r="L204" s="64"/>
      <c r="M204" s="64"/>
      <c r="N204" s="64"/>
      <c r="O204" s="64"/>
      <c r="P204" s="65"/>
      <c r="Q204" s="65"/>
    </row>
    <row r="205" spans="1:17" s="66" customFormat="1" ht="18.649999999999999" customHeight="1">
      <c r="A205" s="67"/>
      <c r="B205" s="76"/>
      <c r="C205" s="76"/>
      <c r="D205" s="68"/>
      <c r="E205" s="69"/>
      <c r="F205" s="75"/>
      <c r="G205" s="75" t="s">
        <v>82</v>
      </c>
      <c r="H205" s="86"/>
      <c r="I205" s="139">
        <f>SUM(I202:I203)</f>
        <v>864</v>
      </c>
      <c r="J205" s="297">
        <f>SUM(J203)</f>
        <v>1364.4</v>
      </c>
      <c r="K205" s="87"/>
      <c r="L205" s="64"/>
      <c r="M205" s="64"/>
      <c r="N205" s="64"/>
      <c r="O205" s="64"/>
      <c r="P205" s="65"/>
      <c r="Q205" s="65"/>
    </row>
    <row r="206" spans="1:17" s="66" customFormat="1" ht="18.649999999999999" customHeight="1">
      <c r="A206" s="67"/>
      <c r="B206" s="76"/>
      <c r="C206" s="76"/>
      <c r="D206" s="68"/>
      <c r="E206" s="69"/>
      <c r="F206" s="75"/>
      <c r="G206" s="75"/>
      <c r="H206" s="311" t="s">
        <v>426</v>
      </c>
      <c r="I206" s="314">
        <f>I205/39.33/53</f>
        <v>0.4</v>
      </c>
      <c r="J206" s="315">
        <f>J205/39.33/135</f>
        <v>0.26</v>
      </c>
      <c r="K206" s="316" t="s">
        <v>14</v>
      </c>
      <c r="L206" s="64"/>
      <c r="M206" s="64"/>
      <c r="N206" s="64"/>
      <c r="O206" s="64"/>
      <c r="P206" s="65"/>
      <c r="Q206" s="65"/>
    </row>
    <row r="207" spans="1:17" s="66" customFormat="1" ht="18.649999999999999" customHeight="1">
      <c r="A207" s="67"/>
      <c r="B207" s="76"/>
      <c r="C207" s="76"/>
      <c r="D207" s="68"/>
      <c r="E207" s="69"/>
      <c r="F207" s="75"/>
      <c r="G207" s="75"/>
      <c r="H207" s="69"/>
      <c r="I207" s="69" t="str">
        <f>I168</f>
        <v>16mm Ø</v>
      </c>
      <c r="J207" s="69" t="str">
        <f>J168</f>
        <v>10mm Ø</v>
      </c>
      <c r="K207" s="69"/>
      <c r="L207" s="64"/>
      <c r="M207" s="64"/>
      <c r="N207" s="64"/>
      <c r="O207" s="64"/>
      <c r="P207" s="65"/>
      <c r="Q207" s="65"/>
    </row>
    <row r="208" spans="1:17" s="66" customFormat="1" ht="18.649999999999999" customHeight="1">
      <c r="A208" s="67"/>
      <c r="B208" s="76"/>
      <c r="C208" s="76"/>
      <c r="D208" s="68"/>
      <c r="E208" s="69"/>
      <c r="F208" s="75"/>
      <c r="G208" s="75"/>
      <c r="H208" s="317" t="s">
        <v>427</v>
      </c>
      <c r="I208" s="122">
        <f>I206+I199+I188</f>
        <v>1.48</v>
      </c>
      <c r="J208" s="122">
        <f>J206+J199+J188</f>
        <v>0.8</v>
      </c>
      <c r="K208" s="318" t="s">
        <v>14</v>
      </c>
      <c r="L208" s="64"/>
      <c r="M208" s="64"/>
      <c r="N208" s="64"/>
      <c r="O208" s="64"/>
      <c r="P208" s="65"/>
      <c r="Q208" s="65"/>
    </row>
    <row r="209" spans="1:17" s="66" customFormat="1" ht="18.649999999999999" customHeight="1">
      <c r="A209" s="67"/>
      <c r="B209" s="76"/>
      <c r="C209" s="76"/>
      <c r="D209" s="68"/>
      <c r="E209" s="69"/>
      <c r="F209" s="69"/>
      <c r="G209" s="69"/>
      <c r="H209" s="69"/>
      <c r="I209" s="69"/>
      <c r="J209" s="69"/>
      <c r="K209" s="70"/>
      <c r="L209" s="64"/>
      <c r="N209" s="64"/>
      <c r="O209" s="64"/>
      <c r="P209" s="65"/>
      <c r="Q209" s="65"/>
    </row>
    <row r="210" spans="1:17" s="66" customFormat="1" ht="18.649999999999999" customHeight="1">
      <c r="A210" s="67"/>
      <c r="B210" s="76"/>
      <c r="C210" s="76"/>
      <c r="D210" s="68"/>
      <c r="E210" s="69"/>
      <c r="F210" s="69"/>
      <c r="G210" s="69"/>
      <c r="H210" s="69"/>
      <c r="I210" s="69"/>
      <c r="J210" s="69"/>
      <c r="K210" s="70"/>
      <c r="L210" s="64"/>
      <c r="M210" s="64"/>
      <c r="N210" s="64"/>
      <c r="O210" s="64"/>
      <c r="P210" s="65"/>
      <c r="Q210" s="65"/>
    </row>
    <row r="211" spans="1:17" s="66" customFormat="1" ht="18.649999999999999" customHeight="1">
      <c r="A211" s="300">
        <v>9</v>
      </c>
      <c r="B211" s="138" t="s">
        <v>54</v>
      </c>
      <c r="C211" s="76"/>
      <c r="D211" s="68"/>
      <c r="E211" s="69"/>
      <c r="F211" s="69"/>
      <c r="G211" s="69"/>
      <c r="H211" s="69"/>
      <c r="I211" s="69"/>
      <c r="J211" s="69"/>
      <c r="K211" s="70"/>
      <c r="L211" s="64"/>
      <c r="M211" s="64"/>
      <c r="N211" s="64"/>
      <c r="O211" s="64"/>
      <c r="P211" s="65"/>
      <c r="Q211" s="65"/>
    </row>
    <row r="212" spans="1:17" s="66" customFormat="1" ht="18.649999999999999" customHeight="1">
      <c r="A212" s="300"/>
      <c r="B212" s="138" t="s">
        <v>99</v>
      </c>
      <c r="C212" s="76"/>
      <c r="D212" s="68"/>
      <c r="E212" s="69"/>
      <c r="F212" s="69"/>
      <c r="G212" s="69"/>
      <c r="H212" s="69"/>
      <c r="I212" s="69"/>
      <c r="J212" s="69"/>
      <c r="K212" s="70"/>
      <c r="L212" s="64"/>
      <c r="M212" s="64"/>
      <c r="N212" s="64"/>
      <c r="O212" s="64"/>
      <c r="P212" s="65"/>
      <c r="Q212" s="65"/>
    </row>
    <row r="213" spans="1:17" s="66" customFormat="1" ht="18.649999999999999" customHeight="1">
      <c r="A213" s="300"/>
      <c r="B213" s="296" t="s">
        <v>105</v>
      </c>
      <c r="C213" s="73"/>
      <c r="D213" s="68"/>
      <c r="E213" s="69"/>
      <c r="F213" s="69"/>
      <c r="G213" s="69"/>
      <c r="H213" s="69"/>
      <c r="I213" s="69"/>
      <c r="J213" s="69"/>
      <c r="K213" s="70"/>
      <c r="L213" s="64"/>
      <c r="M213" s="64"/>
      <c r="N213" s="64"/>
      <c r="O213" s="64"/>
      <c r="P213" s="65"/>
      <c r="Q213" s="65"/>
    </row>
    <row r="214" spans="1:17" s="66" customFormat="1" ht="18.649999999999999" customHeight="1">
      <c r="A214" s="67"/>
      <c r="B214" s="73" t="s">
        <v>428</v>
      </c>
      <c r="C214" s="73"/>
      <c r="D214" s="68"/>
      <c r="E214" s="69"/>
      <c r="F214" s="69"/>
      <c r="G214" s="69"/>
      <c r="H214" s="69"/>
      <c r="I214" s="69"/>
      <c r="J214" s="69"/>
      <c r="K214" s="70"/>
      <c r="L214" s="64"/>
      <c r="M214" s="64"/>
      <c r="N214" s="64"/>
      <c r="O214" s="64"/>
      <c r="P214" s="65"/>
      <c r="Q214" s="65"/>
    </row>
    <row r="215" spans="1:17" s="66" customFormat="1" ht="18.649999999999999" customHeight="1">
      <c r="A215" s="67"/>
      <c r="B215" s="74" t="s">
        <v>430</v>
      </c>
      <c r="C215" s="74"/>
      <c r="D215" s="68">
        <v>4</v>
      </c>
      <c r="E215" s="69">
        <v>10</v>
      </c>
      <c r="F215" s="69">
        <f>10/12</f>
        <v>0.83</v>
      </c>
      <c r="G215" s="69">
        <f>10/12</f>
        <v>0.83</v>
      </c>
      <c r="H215" s="69"/>
      <c r="I215" s="69">
        <f t="shared" ref="I215:I223" si="2">D215*E215*F215*G215</f>
        <v>27.56</v>
      </c>
      <c r="J215" s="69"/>
      <c r="K215" s="70" t="s">
        <v>27</v>
      </c>
      <c r="L215" s="64"/>
      <c r="M215" s="64"/>
      <c r="N215" s="64"/>
      <c r="O215" s="64"/>
      <c r="P215" s="65"/>
      <c r="Q215" s="65"/>
    </row>
    <row r="216" spans="1:17" s="66" customFormat="1" ht="18.649999999999999" customHeight="1">
      <c r="A216" s="67"/>
      <c r="B216" s="74" t="s">
        <v>429</v>
      </c>
      <c r="C216" s="74"/>
      <c r="D216" s="68">
        <v>3</v>
      </c>
      <c r="E216" s="69">
        <f>19-2.5</f>
        <v>16.5</v>
      </c>
      <c r="F216" s="69">
        <f t="shared" ref="F216:G223" si="3">F215</f>
        <v>0.83</v>
      </c>
      <c r="G216" s="69">
        <f t="shared" si="3"/>
        <v>0.83</v>
      </c>
      <c r="H216" s="69"/>
      <c r="I216" s="69">
        <f t="shared" si="2"/>
        <v>34.1</v>
      </c>
      <c r="J216" s="69"/>
      <c r="K216" s="70" t="s">
        <v>27</v>
      </c>
      <c r="L216" s="64"/>
      <c r="M216" s="64"/>
      <c r="N216" s="64"/>
      <c r="O216" s="64"/>
      <c r="P216" s="65"/>
      <c r="Q216" s="65"/>
    </row>
    <row r="217" spans="1:17" s="66" customFormat="1" ht="18.649999999999999" customHeight="1">
      <c r="A217" s="67"/>
      <c r="B217" s="74" t="s">
        <v>435</v>
      </c>
      <c r="C217" s="74"/>
      <c r="D217" s="68">
        <v>1</v>
      </c>
      <c r="E217" s="69">
        <f>12.5-0.83</f>
        <v>11.67</v>
      </c>
      <c r="F217" s="69">
        <f t="shared" si="3"/>
        <v>0.83</v>
      </c>
      <c r="G217" s="69">
        <f t="shared" si="3"/>
        <v>0.83</v>
      </c>
      <c r="H217" s="69"/>
      <c r="I217" s="69">
        <f t="shared" si="2"/>
        <v>8.0399999999999991</v>
      </c>
      <c r="J217" s="69"/>
      <c r="K217" s="70" t="s">
        <v>27</v>
      </c>
      <c r="L217" s="64"/>
      <c r="M217" s="64"/>
      <c r="N217" s="64"/>
      <c r="O217" s="64"/>
      <c r="P217" s="65"/>
      <c r="Q217" s="65"/>
    </row>
    <row r="218" spans="1:17" s="66" customFormat="1" ht="18.649999999999999" customHeight="1">
      <c r="A218" s="67"/>
      <c r="B218" s="74" t="s">
        <v>436</v>
      </c>
      <c r="C218" s="74"/>
      <c r="D218" s="68">
        <v>1</v>
      </c>
      <c r="E218" s="69">
        <v>4.42</v>
      </c>
      <c r="F218" s="69">
        <f t="shared" si="3"/>
        <v>0.83</v>
      </c>
      <c r="G218" s="69">
        <f t="shared" si="3"/>
        <v>0.83</v>
      </c>
      <c r="H218" s="69"/>
      <c r="I218" s="69">
        <f t="shared" si="2"/>
        <v>3.04</v>
      </c>
      <c r="J218" s="69"/>
      <c r="K218" s="70" t="s">
        <v>27</v>
      </c>
      <c r="L218" s="64"/>
      <c r="M218" s="64"/>
      <c r="N218" s="64"/>
      <c r="O218" s="64"/>
      <c r="P218" s="65"/>
      <c r="Q218" s="65"/>
    </row>
    <row r="219" spans="1:17" s="66" customFormat="1" ht="18.649999999999999" customHeight="1">
      <c r="A219" s="67"/>
      <c r="B219" s="329" t="s">
        <v>596</v>
      </c>
      <c r="C219" s="329"/>
      <c r="D219" s="330">
        <v>1</v>
      </c>
      <c r="E219" s="331">
        <v>8.33</v>
      </c>
      <c r="F219" s="331">
        <f t="shared" ref="F219:G221" si="4">F218</f>
        <v>0.83</v>
      </c>
      <c r="G219" s="331">
        <f t="shared" si="4"/>
        <v>0.83</v>
      </c>
      <c r="H219" s="331"/>
      <c r="I219" s="331">
        <f>D219*E219*F219*G219</f>
        <v>5.74</v>
      </c>
      <c r="J219" s="331"/>
      <c r="K219" s="332" t="s">
        <v>27</v>
      </c>
      <c r="L219" s="64"/>
      <c r="M219" s="64"/>
      <c r="N219" s="64"/>
      <c r="O219" s="64"/>
      <c r="P219" s="65"/>
      <c r="Q219" s="65"/>
    </row>
    <row r="220" spans="1:17" s="66" customFormat="1" ht="18.649999999999999" customHeight="1">
      <c r="A220" s="67"/>
      <c r="B220" s="329" t="s">
        <v>597</v>
      </c>
      <c r="C220" s="329"/>
      <c r="D220" s="330">
        <v>1</v>
      </c>
      <c r="E220" s="331">
        <v>6</v>
      </c>
      <c r="F220" s="331">
        <f t="shared" si="4"/>
        <v>0.83</v>
      </c>
      <c r="G220" s="331">
        <f t="shared" si="4"/>
        <v>0.83</v>
      </c>
      <c r="H220" s="331"/>
      <c r="I220" s="331">
        <f>D220*E220*F220*G220</f>
        <v>4.13</v>
      </c>
      <c r="J220" s="331"/>
      <c r="K220" s="332" t="s">
        <v>27</v>
      </c>
      <c r="L220" s="64"/>
      <c r="M220" s="64"/>
      <c r="N220" s="64"/>
      <c r="O220" s="64"/>
      <c r="P220" s="65"/>
      <c r="Q220" s="65"/>
    </row>
    <row r="221" spans="1:17" s="66" customFormat="1" ht="18.649999999999999" customHeight="1">
      <c r="A221" s="67"/>
      <c r="B221" s="329" t="s">
        <v>598</v>
      </c>
      <c r="C221" s="329"/>
      <c r="D221" s="330">
        <v>1</v>
      </c>
      <c r="E221" s="331">
        <v>7.5</v>
      </c>
      <c r="F221" s="331">
        <f t="shared" si="4"/>
        <v>0.83</v>
      </c>
      <c r="G221" s="331">
        <f t="shared" si="4"/>
        <v>0.83</v>
      </c>
      <c r="H221" s="331"/>
      <c r="I221" s="331">
        <f>D221*E221*F221*G221</f>
        <v>5.17</v>
      </c>
      <c r="J221" s="331"/>
      <c r="K221" s="332" t="s">
        <v>27</v>
      </c>
      <c r="L221" s="64"/>
      <c r="M221" s="64"/>
      <c r="N221" s="64"/>
      <c r="O221" s="64"/>
      <c r="P221" s="65"/>
      <c r="Q221" s="65"/>
    </row>
    <row r="222" spans="1:17" s="66" customFormat="1" ht="18.649999999999999" customHeight="1">
      <c r="A222" s="67"/>
      <c r="B222" s="74" t="s">
        <v>437</v>
      </c>
      <c r="C222" s="74"/>
      <c r="D222" s="68">
        <v>1</v>
      </c>
      <c r="E222" s="69">
        <v>9</v>
      </c>
      <c r="F222" s="69">
        <f>F218</f>
        <v>0.83</v>
      </c>
      <c r="G222" s="69">
        <f>G218</f>
        <v>0.83</v>
      </c>
      <c r="H222" s="69"/>
      <c r="I222" s="69">
        <f t="shared" si="2"/>
        <v>6.2</v>
      </c>
      <c r="J222" s="69"/>
      <c r="K222" s="70" t="s">
        <v>27</v>
      </c>
      <c r="L222" s="64"/>
      <c r="M222" s="64"/>
      <c r="N222" s="64"/>
      <c r="O222" s="64"/>
      <c r="P222" s="65"/>
      <c r="Q222" s="65"/>
    </row>
    <row r="223" spans="1:17" s="66" customFormat="1" ht="18.649999999999999" customHeight="1">
      <c r="A223" s="67"/>
      <c r="B223" s="74" t="s">
        <v>438</v>
      </c>
      <c r="C223" s="74"/>
      <c r="D223" s="68">
        <v>2</v>
      </c>
      <c r="E223" s="69">
        <v>3.67</v>
      </c>
      <c r="F223" s="69">
        <f t="shared" si="3"/>
        <v>0.83</v>
      </c>
      <c r="G223" s="69">
        <f t="shared" si="3"/>
        <v>0.83</v>
      </c>
      <c r="H223" s="69"/>
      <c r="I223" s="69">
        <f t="shared" si="2"/>
        <v>5.0599999999999996</v>
      </c>
      <c r="J223" s="69"/>
      <c r="K223" s="70" t="s">
        <v>27</v>
      </c>
      <c r="L223" s="64"/>
      <c r="M223" s="64"/>
      <c r="N223" s="64"/>
      <c r="O223" s="64"/>
      <c r="P223" s="65"/>
      <c r="Q223" s="65"/>
    </row>
    <row r="224" spans="1:17" s="66" customFormat="1" ht="18.649999999999999" customHeight="1">
      <c r="A224" s="67"/>
      <c r="B224" s="74" t="s">
        <v>431</v>
      </c>
      <c r="C224" s="74"/>
      <c r="D224" s="68" t="s">
        <v>82</v>
      </c>
      <c r="E224" s="69">
        <f>D215*E215+D216*E216+D217*E217+D218*E218+D219*E219+D220*E220+D221*E221+D222*E222+D223*E223</f>
        <v>143.76</v>
      </c>
      <c r="F224" s="69"/>
      <c r="G224" s="69"/>
      <c r="H224" s="69"/>
      <c r="I224" s="69"/>
      <c r="J224" s="69"/>
      <c r="K224" s="70"/>
      <c r="L224" s="64"/>
      <c r="M224" s="64">
        <f>E224+E228+E232</f>
        <v>280.44</v>
      </c>
      <c r="N224" s="64"/>
      <c r="O224" s="64"/>
      <c r="P224" s="65"/>
      <c r="Q224" s="65"/>
    </row>
    <row r="225" spans="1:17" s="66" customFormat="1" ht="18.649999999999999" customHeight="1">
      <c r="A225" s="67"/>
      <c r="B225" s="76" t="s">
        <v>432</v>
      </c>
      <c r="C225" s="76"/>
      <c r="D225" s="68"/>
      <c r="E225" s="69"/>
      <c r="F225" s="69"/>
      <c r="G225" s="69"/>
      <c r="H225" s="69"/>
      <c r="I225" s="69"/>
      <c r="J225" s="69"/>
      <c r="K225" s="70"/>
      <c r="L225" s="64"/>
      <c r="M225" s="64"/>
      <c r="N225" s="64"/>
      <c r="O225" s="64"/>
      <c r="P225" s="65"/>
      <c r="Q225" s="65"/>
    </row>
    <row r="226" spans="1:17" s="66" customFormat="1" ht="18.649999999999999" customHeight="1">
      <c r="A226" s="67"/>
      <c r="B226" s="74" t="s">
        <v>434</v>
      </c>
      <c r="C226" s="74"/>
      <c r="D226" s="68">
        <v>4</v>
      </c>
      <c r="E226" s="69">
        <v>12</v>
      </c>
      <c r="F226" s="69">
        <v>0.83</v>
      </c>
      <c r="G226" s="69">
        <f>1</f>
        <v>1</v>
      </c>
      <c r="H226" s="69"/>
      <c r="I226" s="69">
        <f>D226*E226*F226*G226</f>
        <v>39.840000000000003</v>
      </c>
      <c r="J226" s="69"/>
      <c r="K226" s="70" t="s">
        <v>27</v>
      </c>
      <c r="L226" s="64"/>
      <c r="M226" s="64"/>
      <c r="N226" s="64"/>
      <c r="O226" s="64"/>
      <c r="P226" s="65"/>
      <c r="Q226" s="65"/>
    </row>
    <row r="227" spans="1:17" s="66" customFormat="1" ht="18.649999999999999" customHeight="1">
      <c r="A227" s="67"/>
      <c r="B227" s="74" t="s">
        <v>433</v>
      </c>
      <c r="C227" s="74"/>
      <c r="D227" s="68">
        <v>2</v>
      </c>
      <c r="E227" s="69">
        <v>12.17</v>
      </c>
      <c r="F227" s="69">
        <f>F226</f>
        <v>0.83</v>
      </c>
      <c r="G227" s="69">
        <f>G226</f>
        <v>1</v>
      </c>
      <c r="H227" s="69"/>
      <c r="I227" s="69">
        <f>D227*E227*F227*G227</f>
        <v>20.2</v>
      </c>
      <c r="J227" s="69"/>
      <c r="K227" s="70" t="s">
        <v>27</v>
      </c>
      <c r="L227" s="64"/>
      <c r="M227" s="64"/>
      <c r="N227" s="64"/>
      <c r="O227" s="64"/>
      <c r="P227" s="65"/>
      <c r="Q227" s="65"/>
    </row>
    <row r="228" spans="1:17" s="66" customFormat="1" ht="18.649999999999999" customHeight="1">
      <c r="A228" s="67"/>
      <c r="B228" s="74" t="s">
        <v>492</v>
      </c>
      <c r="C228" s="74"/>
      <c r="D228" s="68" t="s">
        <v>29</v>
      </c>
      <c r="E228" s="69">
        <f>D226*E226+D227*E227</f>
        <v>72.34</v>
      </c>
      <c r="F228" s="69"/>
      <c r="G228" s="69"/>
      <c r="H228" s="69"/>
      <c r="I228" s="69"/>
      <c r="J228" s="69"/>
      <c r="K228" s="70"/>
      <c r="L228" s="64"/>
      <c r="M228" s="64"/>
      <c r="N228" s="64"/>
      <c r="O228" s="64"/>
      <c r="P228" s="65"/>
      <c r="Q228" s="65"/>
    </row>
    <row r="229" spans="1:17" s="66" customFormat="1" ht="18.649999999999999" customHeight="1">
      <c r="A229" s="67"/>
      <c r="B229" s="76" t="s">
        <v>439</v>
      </c>
      <c r="C229" s="76"/>
      <c r="D229" s="68"/>
      <c r="E229" s="69"/>
      <c r="F229" s="69"/>
      <c r="G229" s="69"/>
      <c r="H229" s="69"/>
      <c r="I229" s="69"/>
      <c r="J229" s="69"/>
      <c r="K229" s="70"/>
      <c r="L229" s="64"/>
      <c r="M229" s="64"/>
      <c r="N229" s="64"/>
      <c r="O229" s="64"/>
      <c r="P229" s="65"/>
      <c r="Q229" s="65"/>
    </row>
    <row r="230" spans="1:17" s="66" customFormat="1" ht="18.649999999999999" customHeight="1">
      <c r="A230" s="67"/>
      <c r="B230" s="74" t="s">
        <v>440</v>
      </c>
      <c r="C230" s="74"/>
      <c r="D230" s="68">
        <v>4</v>
      </c>
      <c r="E230" s="69">
        <f>14.5</f>
        <v>14.5</v>
      </c>
      <c r="F230" s="69">
        <v>0.83</v>
      </c>
      <c r="G230" s="69">
        <f>14/12</f>
        <v>1.17</v>
      </c>
      <c r="H230" s="69"/>
      <c r="I230" s="69">
        <f>D230*E230*F230*G230</f>
        <v>56.32</v>
      </c>
      <c r="J230" s="69"/>
      <c r="K230" s="70" t="s">
        <v>27</v>
      </c>
      <c r="L230" s="64"/>
      <c r="M230" s="64"/>
      <c r="N230" s="64"/>
      <c r="O230" s="64"/>
      <c r="P230" s="65"/>
      <c r="Q230" s="65"/>
    </row>
    <row r="231" spans="1:17" s="66" customFormat="1" ht="18.649999999999999" customHeight="1">
      <c r="A231" s="67"/>
      <c r="B231" s="74" t="s">
        <v>441</v>
      </c>
      <c r="C231" s="74"/>
      <c r="D231" s="68">
        <v>2</v>
      </c>
      <c r="E231" s="69">
        <v>3.17</v>
      </c>
      <c r="F231" s="69">
        <f>F230</f>
        <v>0.83</v>
      </c>
      <c r="G231" s="69">
        <f>G230</f>
        <v>1.17</v>
      </c>
      <c r="H231" s="69"/>
      <c r="I231" s="69">
        <f>D231*E231*F231*G231</f>
        <v>6.16</v>
      </c>
      <c r="J231" s="69"/>
      <c r="K231" s="70" t="s">
        <v>27</v>
      </c>
      <c r="L231" s="64"/>
      <c r="M231" s="64"/>
      <c r="N231" s="64"/>
      <c r="O231" s="64"/>
      <c r="P231" s="65"/>
      <c r="Q231" s="65"/>
    </row>
    <row r="232" spans="1:17" s="66" customFormat="1" ht="18.649999999999999" customHeight="1">
      <c r="A232" s="67"/>
      <c r="B232" s="74" t="s">
        <v>442</v>
      </c>
      <c r="C232" s="74"/>
      <c r="D232" s="68" t="s">
        <v>29</v>
      </c>
      <c r="E232" s="69">
        <f>D230*E230+D231*E231</f>
        <v>64.34</v>
      </c>
      <c r="F232" s="69"/>
      <c r="G232" s="69"/>
      <c r="H232" s="69"/>
      <c r="I232" s="288" t="s">
        <v>443</v>
      </c>
      <c r="J232" s="69">
        <f>SUM(I215:I232)</f>
        <v>221.56</v>
      </c>
      <c r="K232" s="70" t="s">
        <v>27</v>
      </c>
      <c r="L232" s="64"/>
      <c r="M232" s="64"/>
      <c r="N232" s="64"/>
      <c r="O232" s="64"/>
      <c r="P232" s="65"/>
      <c r="Q232" s="65"/>
    </row>
    <row r="233" spans="1:17" s="66" customFormat="1" ht="18.649999999999999" customHeight="1">
      <c r="A233" s="67"/>
      <c r="B233" s="74"/>
      <c r="C233" s="74"/>
      <c r="D233" s="68"/>
      <c r="E233" s="69"/>
      <c r="F233" s="69"/>
      <c r="G233" s="69"/>
      <c r="H233" s="69"/>
      <c r="I233" s="69"/>
      <c r="J233" s="69"/>
      <c r="K233" s="70"/>
      <c r="L233" s="64"/>
      <c r="M233" s="64"/>
      <c r="N233" s="64"/>
      <c r="O233" s="64"/>
      <c r="P233" s="65"/>
      <c r="Q233" s="65"/>
    </row>
    <row r="234" spans="1:17" s="66" customFormat="1" ht="18.649999999999999" customHeight="1">
      <c r="A234" s="67"/>
      <c r="B234" s="76" t="s">
        <v>134</v>
      </c>
      <c r="C234" s="76"/>
      <c r="D234" s="68"/>
      <c r="E234" s="69"/>
      <c r="F234" s="69"/>
      <c r="G234" s="69"/>
      <c r="H234" s="69"/>
      <c r="I234" s="69"/>
      <c r="J234" s="69"/>
      <c r="K234" s="70"/>
      <c r="L234" s="64"/>
      <c r="M234" s="64"/>
      <c r="N234" s="64"/>
      <c r="O234" s="64"/>
      <c r="P234" s="65"/>
      <c r="Q234" s="65"/>
    </row>
    <row r="235" spans="1:17" s="66" customFormat="1" ht="18.649999999999999" customHeight="1">
      <c r="A235" s="67"/>
      <c r="B235" s="73" t="s">
        <v>379</v>
      </c>
      <c r="C235" s="73"/>
      <c r="D235" s="68"/>
      <c r="E235" s="69"/>
      <c r="F235" s="69"/>
      <c r="G235" s="69"/>
      <c r="H235" s="69"/>
      <c r="I235" s="69"/>
      <c r="J235" s="69"/>
      <c r="K235" s="70"/>
      <c r="L235" s="64"/>
      <c r="M235" s="64"/>
      <c r="N235" s="64"/>
      <c r="O235" s="64"/>
      <c r="P235" s="65"/>
      <c r="Q235" s="65"/>
    </row>
    <row r="236" spans="1:17" s="66" customFormat="1" ht="18.649999999999999" customHeight="1">
      <c r="A236" s="67"/>
      <c r="B236" s="74" t="s">
        <v>444</v>
      </c>
      <c r="C236" s="74"/>
      <c r="D236" s="68">
        <v>4</v>
      </c>
      <c r="E236" s="69">
        <f>10.17</f>
        <v>10.17</v>
      </c>
      <c r="F236" s="69">
        <f>10/12</f>
        <v>0.83</v>
      </c>
      <c r="G236" s="69">
        <f>10/12</f>
        <v>0.83</v>
      </c>
      <c r="H236" s="69"/>
      <c r="I236" s="69">
        <f t="shared" ref="I236:I241" si="5">D236*E236*F236*G236</f>
        <v>28.02</v>
      </c>
      <c r="J236" s="69"/>
      <c r="K236" s="70" t="s">
        <v>27</v>
      </c>
      <c r="L236" s="64"/>
      <c r="M236" s="64"/>
      <c r="N236" s="64"/>
      <c r="O236" s="64"/>
      <c r="P236" s="65"/>
      <c r="Q236" s="65"/>
    </row>
    <row r="237" spans="1:17" s="66" customFormat="1" ht="18.649999999999999" customHeight="1">
      <c r="A237" s="67"/>
      <c r="B237" s="74" t="s">
        <v>445</v>
      </c>
      <c r="C237" s="74"/>
      <c r="D237" s="68">
        <v>1</v>
      </c>
      <c r="E237" s="69">
        <f>8.5+8</f>
        <v>16.5</v>
      </c>
      <c r="F237" s="69">
        <f t="shared" ref="F237:G241" si="6">F236</f>
        <v>0.83</v>
      </c>
      <c r="G237" s="69">
        <f t="shared" si="6"/>
        <v>0.83</v>
      </c>
      <c r="H237" s="69"/>
      <c r="I237" s="69">
        <f t="shared" si="5"/>
        <v>11.37</v>
      </c>
      <c r="J237" s="69"/>
      <c r="K237" s="70" t="s">
        <v>27</v>
      </c>
      <c r="L237" s="64"/>
      <c r="M237" s="64"/>
      <c r="N237" s="64"/>
      <c r="O237" s="64"/>
      <c r="P237" s="65"/>
      <c r="Q237" s="65"/>
    </row>
    <row r="238" spans="1:17" s="66" customFormat="1" ht="18.649999999999999" customHeight="1">
      <c r="A238" s="67"/>
      <c r="B238" s="74" t="s">
        <v>446</v>
      </c>
      <c r="C238" s="74"/>
      <c r="D238" s="68">
        <v>1</v>
      </c>
      <c r="E238" s="69">
        <f>12.5-0.83</f>
        <v>11.67</v>
      </c>
      <c r="F238" s="69">
        <f t="shared" si="6"/>
        <v>0.83</v>
      </c>
      <c r="G238" s="69">
        <f t="shared" si="6"/>
        <v>0.83</v>
      </c>
      <c r="H238" s="69"/>
      <c r="I238" s="69">
        <f t="shared" si="5"/>
        <v>8.0399999999999991</v>
      </c>
      <c r="J238" s="69"/>
      <c r="K238" s="70" t="s">
        <v>27</v>
      </c>
      <c r="L238" s="64"/>
      <c r="M238" s="64"/>
      <c r="N238" s="64"/>
      <c r="O238" s="64"/>
      <c r="P238" s="65"/>
      <c r="Q238" s="65"/>
    </row>
    <row r="239" spans="1:17" s="66" customFormat="1" ht="18.649999999999999" customHeight="1">
      <c r="A239" s="67"/>
      <c r="B239" s="74" t="s">
        <v>447</v>
      </c>
      <c r="C239" s="74"/>
      <c r="D239" s="68">
        <v>2</v>
      </c>
      <c r="E239" s="69">
        <v>4.42</v>
      </c>
      <c r="F239" s="69">
        <f t="shared" si="6"/>
        <v>0.83</v>
      </c>
      <c r="G239" s="69">
        <f t="shared" si="6"/>
        <v>0.83</v>
      </c>
      <c r="H239" s="69"/>
      <c r="I239" s="69">
        <f t="shared" si="5"/>
        <v>6.09</v>
      </c>
      <c r="J239" s="69"/>
      <c r="K239" s="70" t="s">
        <v>27</v>
      </c>
      <c r="L239" s="64"/>
      <c r="M239" s="64"/>
      <c r="N239" s="64"/>
      <c r="O239" s="64"/>
      <c r="P239" s="65"/>
      <c r="Q239" s="65"/>
    </row>
    <row r="240" spans="1:17" s="66" customFormat="1" ht="18.649999999999999" customHeight="1">
      <c r="A240" s="67"/>
      <c r="B240" s="74" t="s">
        <v>448</v>
      </c>
      <c r="C240" s="74"/>
      <c r="D240" s="68">
        <v>1</v>
      </c>
      <c r="E240" s="69">
        <v>9</v>
      </c>
      <c r="F240" s="69">
        <f t="shared" si="6"/>
        <v>0.83</v>
      </c>
      <c r="G240" s="69">
        <f t="shared" si="6"/>
        <v>0.83</v>
      </c>
      <c r="H240" s="69"/>
      <c r="I240" s="69">
        <f t="shared" si="5"/>
        <v>6.2</v>
      </c>
      <c r="J240" s="69"/>
      <c r="K240" s="70"/>
      <c r="L240" s="64"/>
      <c r="M240" s="64"/>
      <c r="N240" s="64"/>
      <c r="O240" s="64"/>
      <c r="P240" s="65"/>
      <c r="Q240" s="65"/>
    </row>
    <row r="241" spans="1:17" s="66" customFormat="1" ht="18.649999999999999" customHeight="1">
      <c r="A241" s="67"/>
      <c r="B241" s="74" t="s">
        <v>449</v>
      </c>
      <c r="C241" s="74"/>
      <c r="D241" s="68">
        <v>2</v>
      </c>
      <c r="E241" s="69">
        <v>3.67</v>
      </c>
      <c r="F241" s="69">
        <f t="shared" si="6"/>
        <v>0.83</v>
      </c>
      <c r="G241" s="69">
        <f t="shared" si="6"/>
        <v>0.83</v>
      </c>
      <c r="H241" s="69"/>
      <c r="I241" s="69">
        <f t="shared" si="5"/>
        <v>5.0599999999999996</v>
      </c>
      <c r="J241" s="69"/>
      <c r="K241" s="70"/>
      <c r="L241" s="64"/>
      <c r="M241" s="64"/>
      <c r="N241" s="64"/>
      <c r="O241" s="64"/>
      <c r="P241" s="65"/>
      <c r="Q241" s="65"/>
    </row>
    <row r="242" spans="1:17" s="66" customFormat="1" ht="18.649999999999999" customHeight="1">
      <c r="A242" s="67"/>
      <c r="B242" s="74" t="s">
        <v>380</v>
      </c>
      <c r="C242" s="74"/>
      <c r="D242" s="68" t="s">
        <v>82</v>
      </c>
      <c r="E242" s="69">
        <f>D236*E236+D237*E237+D238*E238+D239*E239+D240*E240+D241*E241</f>
        <v>94.03</v>
      </c>
      <c r="F242" s="69"/>
      <c r="G242" s="69"/>
      <c r="H242" s="69"/>
      <c r="I242" s="69"/>
      <c r="J242" s="69"/>
      <c r="K242" s="70"/>
      <c r="L242" s="64"/>
      <c r="M242" s="64"/>
      <c r="N242" s="64"/>
      <c r="O242" s="64"/>
      <c r="P242" s="65"/>
      <c r="Q242" s="65"/>
    </row>
    <row r="243" spans="1:17" s="66" customFormat="1" ht="18.649999999999999" customHeight="1">
      <c r="A243" s="67"/>
      <c r="B243" s="76" t="s">
        <v>452</v>
      </c>
      <c r="C243" s="76"/>
      <c r="D243" s="68"/>
      <c r="E243" s="69"/>
      <c r="F243" s="69"/>
      <c r="G243" s="69"/>
      <c r="H243" s="69"/>
      <c r="I243" s="69"/>
      <c r="J243" s="69"/>
      <c r="K243" s="70"/>
      <c r="L243" s="64"/>
      <c r="M243" s="64"/>
      <c r="N243" s="64"/>
      <c r="O243" s="64"/>
      <c r="P243" s="65"/>
      <c r="Q243" s="65"/>
    </row>
    <row r="244" spans="1:17" s="66" customFormat="1" ht="18.649999999999999" customHeight="1">
      <c r="A244" s="67"/>
      <c r="B244" s="74" t="s">
        <v>450</v>
      </c>
      <c r="C244" s="74"/>
      <c r="D244" s="68">
        <v>3</v>
      </c>
      <c r="E244" s="69">
        <v>12</v>
      </c>
      <c r="F244" s="69">
        <v>0.83</v>
      </c>
      <c r="G244" s="69">
        <f>1</f>
        <v>1</v>
      </c>
      <c r="H244" s="69"/>
      <c r="I244" s="69">
        <f>D244*E244*F244*G244</f>
        <v>29.88</v>
      </c>
      <c r="J244" s="69"/>
      <c r="K244" s="70" t="s">
        <v>27</v>
      </c>
      <c r="L244" s="64"/>
      <c r="M244" s="64"/>
      <c r="N244" s="64"/>
      <c r="O244" s="64"/>
      <c r="P244" s="65"/>
      <c r="Q244" s="65"/>
    </row>
    <row r="245" spans="1:17" s="66" customFormat="1" ht="18.649999999999999" customHeight="1">
      <c r="A245" s="67"/>
      <c r="B245" s="74" t="s">
        <v>451</v>
      </c>
      <c r="C245" s="74"/>
      <c r="D245" s="68">
        <v>2</v>
      </c>
      <c r="E245" s="69">
        <f>12.17</f>
        <v>12.17</v>
      </c>
      <c r="F245" s="69">
        <f>F244</f>
        <v>0.83</v>
      </c>
      <c r="G245" s="69">
        <f>G244</f>
        <v>1</v>
      </c>
      <c r="H245" s="69"/>
      <c r="I245" s="69">
        <f>D245*E245*F245*G245</f>
        <v>20.2</v>
      </c>
      <c r="J245" s="69"/>
      <c r="K245" s="70" t="s">
        <v>27</v>
      </c>
      <c r="L245" s="64"/>
      <c r="M245" s="64"/>
      <c r="N245" s="64"/>
      <c r="O245" s="64"/>
      <c r="P245" s="65"/>
      <c r="Q245" s="65"/>
    </row>
    <row r="246" spans="1:17" s="66" customFormat="1" ht="18.649999999999999" customHeight="1">
      <c r="A246" s="67"/>
      <c r="B246" s="74" t="s">
        <v>453</v>
      </c>
      <c r="C246" s="74"/>
      <c r="D246" s="68">
        <v>1</v>
      </c>
      <c r="E246" s="69">
        <f>19-2.5</f>
        <v>16.5</v>
      </c>
      <c r="F246" s="69">
        <f>F245</f>
        <v>0.83</v>
      </c>
      <c r="G246" s="69">
        <f>G245</f>
        <v>1</v>
      </c>
      <c r="H246" s="69"/>
      <c r="I246" s="69">
        <f>D246*E246*F246*G246</f>
        <v>13.7</v>
      </c>
      <c r="J246" s="69"/>
      <c r="K246" s="70" t="s">
        <v>27</v>
      </c>
      <c r="L246" s="64"/>
      <c r="M246" s="64"/>
      <c r="N246" s="64"/>
      <c r="O246" s="64"/>
      <c r="P246" s="65"/>
      <c r="Q246" s="65"/>
    </row>
    <row r="247" spans="1:17" s="66" customFormat="1" ht="18.649999999999999" customHeight="1">
      <c r="A247" s="67"/>
      <c r="B247" s="74" t="s">
        <v>493</v>
      </c>
      <c r="C247" s="74"/>
      <c r="D247" s="68" t="s">
        <v>82</v>
      </c>
      <c r="E247" s="69">
        <f>D244*E244+D245*E245+D246*E246</f>
        <v>76.84</v>
      </c>
      <c r="F247" s="69"/>
      <c r="G247" s="69"/>
      <c r="H247" s="69"/>
      <c r="I247" s="69"/>
      <c r="J247" s="69"/>
      <c r="K247" s="70" t="s">
        <v>27</v>
      </c>
      <c r="L247" s="64"/>
      <c r="M247" s="64"/>
      <c r="N247" s="64"/>
      <c r="O247" s="64"/>
      <c r="P247" s="65"/>
      <c r="Q247" s="65"/>
    </row>
    <row r="248" spans="1:17" s="66" customFormat="1" ht="18.649999999999999" customHeight="1">
      <c r="A248" s="67"/>
      <c r="B248" s="76" t="s">
        <v>454</v>
      </c>
      <c r="C248" s="76"/>
      <c r="D248" s="68"/>
      <c r="E248" s="69"/>
      <c r="F248" s="69"/>
      <c r="G248" s="69"/>
      <c r="H248" s="69"/>
      <c r="I248" s="69"/>
      <c r="J248" s="69"/>
      <c r="K248" s="70"/>
      <c r="L248" s="64"/>
      <c r="M248" s="64"/>
      <c r="N248" s="64"/>
      <c r="O248" s="64"/>
      <c r="P248" s="65"/>
      <c r="Q248" s="65"/>
    </row>
    <row r="249" spans="1:17" s="66" customFormat="1" ht="18.649999999999999" customHeight="1">
      <c r="A249" s="67"/>
      <c r="B249" s="74" t="s">
        <v>455</v>
      </c>
      <c r="C249" s="74"/>
      <c r="D249" s="68">
        <v>1</v>
      </c>
      <c r="E249" s="69">
        <f>13.5-1.5</f>
        <v>12</v>
      </c>
      <c r="F249" s="69">
        <v>0.83</v>
      </c>
      <c r="G249" s="69">
        <v>1.17</v>
      </c>
      <c r="H249" s="69"/>
      <c r="I249" s="69">
        <f t="shared" ref="I249:I254" si="7">D249*E249*F249*G249</f>
        <v>11.65</v>
      </c>
      <c r="J249" s="69"/>
      <c r="K249" s="70" t="s">
        <v>27</v>
      </c>
      <c r="L249" s="64"/>
      <c r="M249" s="64"/>
      <c r="N249" s="64"/>
      <c r="O249" s="64"/>
      <c r="P249" s="65"/>
      <c r="Q249" s="65"/>
    </row>
    <row r="250" spans="1:17" s="66" customFormat="1" ht="18.649999999999999" customHeight="1">
      <c r="A250" s="67"/>
      <c r="B250" s="74" t="s">
        <v>458</v>
      </c>
      <c r="C250" s="74"/>
      <c r="D250" s="68">
        <v>1</v>
      </c>
      <c r="E250" s="69">
        <f>8.5+8</f>
        <v>16.5</v>
      </c>
      <c r="F250" s="69">
        <f>F249</f>
        <v>0.83</v>
      </c>
      <c r="G250" s="69">
        <f>G249</f>
        <v>1.17</v>
      </c>
      <c r="H250" s="69"/>
      <c r="I250" s="69">
        <f t="shared" si="7"/>
        <v>16.02</v>
      </c>
      <c r="J250" s="69"/>
      <c r="K250" s="70" t="s">
        <v>27</v>
      </c>
      <c r="L250" s="64"/>
      <c r="M250" s="64"/>
      <c r="N250" s="64"/>
      <c r="O250" s="64"/>
      <c r="P250" s="65"/>
      <c r="Q250" s="65"/>
    </row>
    <row r="251" spans="1:17" s="66" customFormat="1" ht="18.649999999999999" customHeight="1">
      <c r="A251" s="67"/>
      <c r="B251" s="74" t="s">
        <v>456</v>
      </c>
      <c r="C251" s="74"/>
      <c r="D251" s="68">
        <v>1</v>
      </c>
      <c r="E251" s="69">
        <f>11.33</f>
        <v>11.33</v>
      </c>
      <c r="F251" s="69">
        <f>F249</f>
        <v>0.83</v>
      </c>
      <c r="G251" s="69">
        <f>G249</f>
        <v>1.17</v>
      </c>
      <c r="H251" s="69"/>
      <c r="I251" s="69">
        <f t="shared" si="7"/>
        <v>11</v>
      </c>
      <c r="J251" s="69"/>
      <c r="K251" s="70" t="s">
        <v>27</v>
      </c>
      <c r="L251" s="64"/>
      <c r="M251" s="64"/>
      <c r="N251" s="64"/>
      <c r="O251" s="64"/>
      <c r="P251" s="65"/>
      <c r="Q251" s="65"/>
    </row>
    <row r="252" spans="1:17" s="66" customFormat="1" ht="18.649999999999999" customHeight="1">
      <c r="A252" s="67"/>
      <c r="B252" s="74" t="s">
        <v>457</v>
      </c>
      <c r="C252" s="74"/>
      <c r="D252" s="68">
        <v>2</v>
      </c>
      <c r="E252" s="69">
        <v>3.5</v>
      </c>
      <c r="F252" s="69">
        <f t="shared" ref="F252:G254" si="8">F251</f>
        <v>0.83</v>
      </c>
      <c r="G252" s="69">
        <f t="shared" si="8"/>
        <v>1.17</v>
      </c>
      <c r="H252" s="69"/>
      <c r="I252" s="69">
        <f t="shared" si="7"/>
        <v>6.8</v>
      </c>
      <c r="J252" s="69"/>
      <c r="K252" s="70" t="s">
        <v>27</v>
      </c>
      <c r="L252" s="64"/>
      <c r="M252" s="64"/>
      <c r="N252" s="64"/>
      <c r="O252" s="64"/>
      <c r="P252" s="65"/>
      <c r="Q252" s="65"/>
    </row>
    <row r="253" spans="1:17" s="66" customFormat="1" ht="18.649999999999999" customHeight="1">
      <c r="A253" s="67"/>
      <c r="B253" s="74" t="s">
        <v>459</v>
      </c>
      <c r="C253" s="74"/>
      <c r="D253" s="68">
        <v>1</v>
      </c>
      <c r="E253" s="69">
        <f>14.67</f>
        <v>14.67</v>
      </c>
      <c r="F253" s="69">
        <f t="shared" si="8"/>
        <v>0.83</v>
      </c>
      <c r="G253" s="69">
        <f t="shared" si="8"/>
        <v>1.17</v>
      </c>
      <c r="H253" s="69"/>
      <c r="I253" s="69">
        <f t="shared" si="7"/>
        <v>14.25</v>
      </c>
      <c r="J253" s="69"/>
      <c r="K253" s="70" t="s">
        <v>27</v>
      </c>
      <c r="L253" s="64"/>
      <c r="M253" s="64"/>
      <c r="N253" s="64"/>
      <c r="O253" s="64"/>
      <c r="P253" s="65"/>
      <c r="Q253" s="65"/>
    </row>
    <row r="254" spans="1:17" s="66" customFormat="1" ht="18.649999999999999" customHeight="1">
      <c r="A254" s="67"/>
      <c r="B254" s="74" t="s">
        <v>441</v>
      </c>
      <c r="C254" s="74"/>
      <c r="D254" s="68">
        <v>2</v>
      </c>
      <c r="E254" s="69">
        <v>4</v>
      </c>
      <c r="F254" s="69">
        <f t="shared" si="8"/>
        <v>0.83</v>
      </c>
      <c r="G254" s="69">
        <f t="shared" si="8"/>
        <v>1.17</v>
      </c>
      <c r="H254" s="69"/>
      <c r="I254" s="69">
        <f t="shared" si="7"/>
        <v>7.77</v>
      </c>
      <c r="J254" s="69"/>
      <c r="K254" s="70" t="s">
        <v>27</v>
      </c>
      <c r="L254" s="64"/>
      <c r="M254" s="64"/>
      <c r="N254" s="64"/>
      <c r="O254" s="64"/>
      <c r="P254" s="65"/>
      <c r="Q254" s="65"/>
    </row>
    <row r="255" spans="1:17" s="66" customFormat="1" ht="18.649999999999999" customHeight="1">
      <c r="A255" s="67"/>
      <c r="B255" s="74" t="s">
        <v>460</v>
      </c>
      <c r="C255" s="74"/>
      <c r="D255" s="68" t="s">
        <v>29</v>
      </c>
      <c r="E255" s="69">
        <f>D249*E249+D250*E250+D251*E251+D252*E252+D253*E253+D254*E254</f>
        <v>69.5</v>
      </c>
      <c r="F255" s="69"/>
      <c r="G255" s="69"/>
      <c r="H255" s="69"/>
      <c r="I255" s="69"/>
      <c r="J255" s="69"/>
      <c r="K255" s="70"/>
      <c r="L255" s="64"/>
      <c r="M255" s="64"/>
      <c r="N255" s="64"/>
      <c r="O255" s="64"/>
      <c r="P255" s="65"/>
      <c r="Q255" s="65"/>
    </row>
    <row r="256" spans="1:17" s="66" customFormat="1" ht="18.649999999999999" customHeight="1">
      <c r="A256" s="67"/>
      <c r="B256" s="76" t="s">
        <v>461</v>
      </c>
      <c r="C256" s="74"/>
      <c r="D256" s="68"/>
      <c r="E256" s="69"/>
      <c r="F256" s="69"/>
      <c r="G256" s="69"/>
      <c r="H256" s="69"/>
      <c r="I256" s="69"/>
      <c r="J256" s="69"/>
      <c r="K256" s="70"/>
      <c r="L256" s="64"/>
      <c r="M256" s="64"/>
      <c r="N256" s="64"/>
      <c r="O256" s="64"/>
      <c r="P256" s="65"/>
      <c r="Q256" s="65"/>
    </row>
    <row r="257" spans="1:17" s="66" customFormat="1" ht="18.649999999999999" customHeight="1">
      <c r="A257" s="67"/>
      <c r="B257" s="74" t="s">
        <v>462</v>
      </c>
      <c r="C257" s="74"/>
      <c r="D257" s="68">
        <v>2</v>
      </c>
      <c r="E257" s="69">
        <f>16-1.5</f>
        <v>14.5</v>
      </c>
      <c r="F257" s="69">
        <v>0.83</v>
      </c>
      <c r="G257" s="69">
        <v>1.33</v>
      </c>
      <c r="H257" s="69"/>
      <c r="I257" s="69">
        <f>D257*E257*F257*G257</f>
        <v>32.01</v>
      </c>
      <c r="J257" s="69"/>
      <c r="K257" s="70" t="s">
        <v>27</v>
      </c>
      <c r="L257" s="64"/>
      <c r="M257" s="64"/>
      <c r="N257" s="64"/>
      <c r="O257" s="64"/>
      <c r="P257" s="65"/>
      <c r="Q257" s="65"/>
    </row>
    <row r="258" spans="1:17" s="66" customFormat="1" ht="18.649999999999999" customHeight="1">
      <c r="A258" s="67"/>
      <c r="B258" s="74" t="s">
        <v>469</v>
      </c>
      <c r="C258" s="74"/>
      <c r="D258" s="68" t="s">
        <v>82</v>
      </c>
      <c r="E258" s="69">
        <f>D257*E257</f>
        <v>29</v>
      </c>
      <c r="F258" s="69"/>
      <c r="G258" s="69"/>
      <c r="H258" s="69"/>
      <c r="I258" s="69"/>
      <c r="J258" s="69"/>
      <c r="K258" s="70"/>
      <c r="L258" s="64"/>
      <c r="M258" s="64"/>
      <c r="N258" s="64"/>
      <c r="O258" s="64"/>
      <c r="P258" s="65"/>
      <c r="Q258" s="65"/>
    </row>
    <row r="259" spans="1:17" s="66" customFormat="1" ht="18.649999999999999" customHeight="1">
      <c r="A259" s="67"/>
      <c r="B259" s="76" t="s">
        <v>463</v>
      </c>
      <c r="C259" s="74"/>
      <c r="D259" s="68"/>
      <c r="E259" s="69"/>
      <c r="F259" s="69"/>
      <c r="G259" s="69"/>
      <c r="H259" s="69"/>
      <c r="I259" s="69"/>
      <c r="J259" s="69"/>
      <c r="K259" s="70"/>
      <c r="L259" s="64"/>
      <c r="M259" s="64"/>
      <c r="N259" s="64"/>
      <c r="O259" s="64"/>
      <c r="P259" s="65"/>
      <c r="Q259" s="65"/>
    </row>
    <row r="260" spans="1:17" s="66" customFormat="1" ht="18.649999999999999" customHeight="1">
      <c r="A260" s="67"/>
      <c r="B260" s="74" t="s">
        <v>464</v>
      </c>
      <c r="C260" s="74"/>
      <c r="D260" s="68">
        <v>1</v>
      </c>
      <c r="E260" s="69">
        <f>11.5-1.5</f>
        <v>10</v>
      </c>
      <c r="F260" s="69">
        <v>1</v>
      </c>
      <c r="G260" s="69">
        <v>1.17</v>
      </c>
      <c r="H260" s="69"/>
      <c r="I260" s="69">
        <f>D260*E260*F260*G260</f>
        <v>11.7</v>
      </c>
      <c r="J260" s="69"/>
      <c r="K260" s="70" t="s">
        <v>27</v>
      </c>
      <c r="L260" s="64"/>
      <c r="M260" s="64"/>
      <c r="N260" s="64"/>
      <c r="O260" s="64"/>
      <c r="P260" s="65"/>
      <c r="Q260" s="65"/>
    </row>
    <row r="261" spans="1:17" s="66" customFormat="1" ht="18.649999999999999" customHeight="1">
      <c r="A261" s="67"/>
      <c r="B261" s="74" t="s">
        <v>468</v>
      </c>
      <c r="C261" s="74"/>
      <c r="D261" s="68" t="s">
        <v>82</v>
      </c>
      <c r="E261" s="69">
        <f>D260*E260</f>
        <v>10</v>
      </c>
      <c r="F261" s="69"/>
      <c r="G261" s="69"/>
      <c r="H261" s="69"/>
      <c r="I261" s="69"/>
      <c r="J261" s="69"/>
      <c r="K261" s="70"/>
      <c r="L261" s="64"/>
      <c r="M261" s="64"/>
      <c r="N261" s="64"/>
      <c r="O261" s="64"/>
      <c r="P261" s="65"/>
      <c r="Q261" s="65"/>
    </row>
    <row r="262" spans="1:17" s="66" customFormat="1" ht="18.649999999999999" customHeight="1">
      <c r="A262" s="67"/>
      <c r="B262" s="76" t="s">
        <v>466</v>
      </c>
      <c r="C262" s="74"/>
      <c r="D262" s="68"/>
      <c r="E262" s="69"/>
      <c r="F262" s="69"/>
      <c r="G262" s="69"/>
      <c r="H262" s="69"/>
      <c r="I262" s="69"/>
      <c r="J262" s="69"/>
      <c r="K262" s="70"/>
      <c r="L262" s="64"/>
      <c r="M262" s="64"/>
      <c r="N262" s="64"/>
      <c r="O262" s="64"/>
      <c r="P262" s="65"/>
      <c r="Q262" s="65"/>
    </row>
    <row r="263" spans="1:17" s="66" customFormat="1" ht="18.649999999999999" customHeight="1">
      <c r="A263" s="67"/>
      <c r="B263" s="74" t="s">
        <v>465</v>
      </c>
      <c r="C263" s="74"/>
      <c r="D263" s="68">
        <v>1</v>
      </c>
      <c r="E263" s="69">
        <f>16-1.5</f>
        <v>14.5</v>
      </c>
      <c r="F263" s="69">
        <v>1</v>
      </c>
      <c r="G263" s="69">
        <v>1.5</v>
      </c>
      <c r="H263" s="69"/>
      <c r="I263" s="69">
        <f>D263*E263*F263*G263</f>
        <v>21.75</v>
      </c>
      <c r="J263" s="69"/>
      <c r="K263" s="70" t="s">
        <v>27</v>
      </c>
      <c r="L263" s="64"/>
      <c r="M263" s="64"/>
      <c r="N263" s="64"/>
      <c r="O263" s="64"/>
      <c r="P263" s="65"/>
      <c r="Q263" s="65"/>
    </row>
    <row r="264" spans="1:17" s="66" customFormat="1" ht="18.649999999999999" customHeight="1">
      <c r="A264" s="67"/>
      <c r="B264" s="74" t="s">
        <v>467</v>
      </c>
      <c r="C264" s="74"/>
      <c r="D264" s="68" t="s">
        <v>82</v>
      </c>
      <c r="E264" s="69">
        <f>D263*E263</f>
        <v>14.5</v>
      </c>
      <c r="F264" s="69"/>
      <c r="G264" s="69"/>
      <c r="H264" s="69"/>
      <c r="I264" s="69"/>
      <c r="J264" s="69"/>
      <c r="K264" s="70"/>
      <c r="L264" s="64"/>
      <c r="M264" s="64"/>
      <c r="N264" s="64"/>
      <c r="O264" s="64"/>
      <c r="P264" s="65"/>
      <c r="Q264" s="65"/>
    </row>
    <row r="265" spans="1:17" s="66" customFormat="1" ht="18.649999999999999" customHeight="1">
      <c r="A265" s="67"/>
      <c r="B265" s="74"/>
      <c r="C265" s="74"/>
      <c r="D265" s="68"/>
      <c r="E265" s="69"/>
      <c r="F265" s="69"/>
      <c r="G265" s="69"/>
      <c r="H265" s="69"/>
      <c r="I265" s="288" t="s">
        <v>470</v>
      </c>
      <c r="J265" s="69">
        <f>SUM(I236:I264)</f>
        <v>261.51</v>
      </c>
      <c r="K265" s="70" t="s">
        <v>27</v>
      </c>
      <c r="L265" s="64"/>
      <c r="M265" s="64"/>
      <c r="N265" s="64"/>
      <c r="O265" s="64"/>
      <c r="P265" s="65"/>
      <c r="Q265" s="65"/>
    </row>
    <row r="266" spans="1:17" s="66" customFormat="1" ht="18.649999999999999" customHeight="1">
      <c r="A266" s="67"/>
      <c r="B266" s="74"/>
      <c r="C266" s="74"/>
      <c r="D266" s="68"/>
      <c r="E266" s="69"/>
      <c r="F266" s="69"/>
      <c r="G266" s="69"/>
      <c r="H266" s="69"/>
      <c r="I266" s="69"/>
      <c r="J266" s="69"/>
      <c r="K266" s="70"/>
      <c r="L266" s="64"/>
      <c r="M266" s="64"/>
      <c r="N266" s="64"/>
      <c r="O266" s="64"/>
      <c r="P266" s="65"/>
      <c r="Q266" s="65"/>
    </row>
    <row r="267" spans="1:17" s="66" customFormat="1" ht="18.649999999999999" customHeight="1">
      <c r="A267" s="67"/>
      <c r="B267" s="76" t="s">
        <v>100</v>
      </c>
      <c r="C267" s="76"/>
      <c r="D267" s="68"/>
      <c r="E267" s="69"/>
      <c r="F267" s="69"/>
      <c r="G267" s="69"/>
      <c r="H267" s="69"/>
      <c r="I267" s="69"/>
      <c r="J267" s="69"/>
      <c r="K267" s="70"/>
      <c r="L267" s="64"/>
      <c r="M267" s="64"/>
      <c r="N267" s="64"/>
      <c r="O267" s="64"/>
      <c r="P267" s="65"/>
      <c r="Q267" s="65"/>
    </row>
    <row r="268" spans="1:17" s="66" customFormat="1" ht="18.649999999999999" customHeight="1">
      <c r="A268" s="67"/>
      <c r="B268" s="73" t="s">
        <v>381</v>
      </c>
      <c r="C268" s="73"/>
      <c r="D268" s="68"/>
      <c r="E268" s="69"/>
      <c r="F268" s="69"/>
      <c r="G268" s="69"/>
      <c r="H268" s="69"/>
      <c r="I268" s="69"/>
      <c r="J268" s="69"/>
      <c r="K268" s="70"/>
      <c r="L268" s="64"/>
      <c r="M268" s="64"/>
      <c r="N268" s="64"/>
      <c r="O268" s="64"/>
      <c r="P268" s="65"/>
      <c r="Q268" s="65"/>
    </row>
    <row r="269" spans="1:17" s="66" customFormat="1" ht="18.649999999999999" customHeight="1">
      <c r="A269" s="67"/>
      <c r="B269" s="73" t="s">
        <v>473</v>
      </c>
      <c r="C269" s="73"/>
      <c r="D269" s="68"/>
      <c r="E269" s="69"/>
      <c r="F269" s="69"/>
      <c r="G269" s="69"/>
      <c r="H269" s="69"/>
      <c r="I269" s="69"/>
      <c r="J269" s="69"/>
      <c r="K269" s="70"/>
      <c r="L269" s="64"/>
      <c r="M269" s="64"/>
      <c r="N269" s="64"/>
      <c r="O269" s="64"/>
      <c r="P269" s="65"/>
      <c r="Q269" s="65"/>
    </row>
    <row r="270" spans="1:17" s="66" customFormat="1" ht="18.649999999999999" customHeight="1">
      <c r="A270" s="67"/>
      <c r="B270" s="74" t="s">
        <v>472</v>
      </c>
      <c r="C270" s="74"/>
      <c r="D270" s="68">
        <v>2</v>
      </c>
      <c r="E270" s="69">
        <v>3.5</v>
      </c>
      <c r="F270" s="69">
        <v>0.83</v>
      </c>
      <c r="G270" s="69">
        <v>0.83</v>
      </c>
      <c r="H270" s="69"/>
      <c r="I270" s="69">
        <f>D270*E270*F270*G270</f>
        <v>4.82</v>
      </c>
      <c r="J270" s="69"/>
      <c r="K270" s="70" t="s">
        <v>27</v>
      </c>
      <c r="L270" s="64"/>
      <c r="M270" s="64"/>
      <c r="N270" s="64"/>
      <c r="O270" s="64"/>
      <c r="P270" s="65"/>
      <c r="Q270" s="65"/>
    </row>
    <row r="271" spans="1:17" s="66" customFormat="1" ht="18.649999999999999" customHeight="1">
      <c r="A271" s="67"/>
      <c r="B271" s="74" t="s">
        <v>471</v>
      </c>
      <c r="C271" s="74"/>
      <c r="D271" s="68">
        <v>1</v>
      </c>
      <c r="E271" s="69">
        <v>7.58</v>
      </c>
      <c r="F271" s="69">
        <f>F270</f>
        <v>0.83</v>
      </c>
      <c r="G271" s="69">
        <f>G270</f>
        <v>0.83</v>
      </c>
      <c r="H271" s="69"/>
      <c r="I271" s="69">
        <f>D271*E271*F271*G271</f>
        <v>5.22</v>
      </c>
      <c r="J271" s="69"/>
      <c r="K271" s="70" t="s">
        <v>27</v>
      </c>
      <c r="L271" s="64"/>
      <c r="M271" s="64"/>
      <c r="N271" s="64"/>
      <c r="O271" s="64"/>
      <c r="P271" s="65"/>
      <c r="Q271" s="65"/>
    </row>
    <row r="272" spans="1:17" s="66" customFormat="1" ht="18.649999999999999" customHeight="1">
      <c r="A272" s="67"/>
      <c r="B272" s="73" t="s">
        <v>476</v>
      </c>
      <c r="C272" s="74"/>
      <c r="D272" s="68"/>
      <c r="E272" s="69"/>
      <c r="F272" s="69"/>
      <c r="G272" s="69"/>
      <c r="H272" s="69"/>
      <c r="I272" s="69"/>
      <c r="J272" s="69"/>
      <c r="K272" s="70"/>
      <c r="L272" s="64"/>
      <c r="M272" s="64"/>
      <c r="N272" s="64"/>
      <c r="O272" s="64"/>
      <c r="P272" s="65"/>
      <c r="Q272" s="65"/>
    </row>
    <row r="273" spans="1:17" s="66" customFormat="1" ht="18.649999999999999" customHeight="1">
      <c r="A273" s="67"/>
      <c r="B273" s="74" t="s">
        <v>478</v>
      </c>
      <c r="C273" s="74"/>
      <c r="D273" s="68">
        <v>2</v>
      </c>
      <c r="E273" s="69">
        <f>10.33</f>
        <v>10.33</v>
      </c>
      <c r="F273" s="69">
        <f>F271</f>
        <v>0.83</v>
      </c>
      <c r="G273" s="69">
        <f>G271</f>
        <v>0.83</v>
      </c>
      <c r="H273" s="69"/>
      <c r="I273" s="69">
        <f>D273*E273*F273*G273</f>
        <v>14.23</v>
      </c>
      <c r="J273" s="69"/>
      <c r="K273" s="70" t="s">
        <v>27</v>
      </c>
      <c r="L273" s="64"/>
      <c r="M273" s="64"/>
      <c r="N273" s="64"/>
      <c r="O273" s="64"/>
      <c r="P273" s="65"/>
      <c r="Q273" s="65"/>
    </row>
    <row r="274" spans="1:17" s="66" customFormat="1" ht="18.649999999999999" customHeight="1">
      <c r="A274" s="67"/>
      <c r="B274" s="74" t="s">
        <v>480</v>
      </c>
      <c r="C274" s="74"/>
      <c r="D274" s="68">
        <v>3</v>
      </c>
      <c r="E274" s="69">
        <f>8.33+8.67</f>
        <v>17</v>
      </c>
      <c r="F274" s="69">
        <f>F273</f>
        <v>0.83</v>
      </c>
      <c r="G274" s="69">
        <f>G273</f>
        <v>0.83</v>
      </c>
      <c r="H274" s="69"/>
      <c r="I274" s="69">
        <f>D274*E274*F274*G274</f>
        <v>35.130000000000003</v>
      </c>
      <c r="J274" s="69"/>
      <c r="K274" s="70" t="s">
        <v>27</v>
      </c>
      <c r="L274" s="64"/>
      <c r="M274" s="64"/>
      <c r="N274" s="64"/>
      <c r="O274" s="64"/>
      <c r="P274" s="65"/>
      <c r="Q274" s="65"/>
    </row>
    <row r="275" spans="1:17" s="66" customFormat="1" ht="18.649999999999999" customHeight="1">
      <c r="A275" s="67"/>
      <c r="B275" s="74" t="s">
        <v>481</v>
      </c>
      <c r="C275" s="74"/>
      <c r="D275" s="68">
        <v>1</v>
      </c>
      <c r="E275" s="69">
        <v>8.33</v>
      </c>
      <c r="F275" s="69">
        <f>F274</f>
        <v>0.83</v>
      </c>
      <c r="G275" s="69">
        <f>G274</f>
        <v>0.83</v>
      </c>
      <c r="H275" s="69"/>
      <c r="I275" s="69">
        <f>D275*E275*F275*G275</f>
        <v>5.74</v>
      </c>
      <c r="J275" s="69"/>
      <c r="K275" s="70" t="s">
        <v>27</v>
      </c>
      <c r="L275" s="64"/>
      <c r="M275" s="64"/>
      <c r="N275" s="64"/>
      <c r="O275" s="64"/>
      <c r="P275" s="65"/>
      <c r="Q275" s="65"/>
    </row>
    <row r="276" spans="1:17" s="66" customFormat="1" ht="18.649999999999999" customHeight="1">
      <c r="A276" s="67"/>
      <c r="B276" s="73" t="s">
        <v>477</v>
      </c>
      <c r="C276" s="74"/>
      <c r="D276" s="68"/>
      <c r="E276" s="69"/>
      <c r="F276" s="69"/>
      <c r="G276" s="69"/>
      <c r="H276" s="69"/>
      <c r="I276" s="69"/>
      <c r="J276" s="69"/>
      <c r="K276" s="70"/>
      <c r="L276" s="64"/>
      <c r="M276" s="64"/>
      <c r="N276" s="64"/>
      <c r="O276" s="64"/>
      <c r="P276" s="65"/>
      <c r="Q276" s="65"/>
    </row>
    <row r="277" spans="1:17" s="66" customFormat="1" ht="18.649999999999999" customHeight="1">
      <c r="A277" s="67"/>
      <c r="B277" s="74" t="s">
        <v>479</v>
      </c>
      <c r="C277" s="74"/>
      <c r="D277" s="68">
        <v>3</v>
      </c>
      <c r="E277" s="69">
        <f>10.33</f>
        <v>10.33</v>
      </c>
      <c r="F277" s="69">
        <f>F273</f>
        <v>0.83</v>
      </c>
      <c r="G277" s="69">
        <f>G273</f>
        <v>0.83</v>
      </c>
      <c r="H277" s="69"/>
      <c r="I277" s="69">
        <f>D277*E277*F277*G277</f>
        <v>21.35</v>
      </c>
      <c r="J277" s="69"/>
      <c r="K277" s="70" t="s">
        <v>27</v>
      </c>
      <c r="L277" s="64"/>
      <c r="M277" s="64"/>
      <c r="N277" s="64"/>
      <c r="O277" s="64"/>
      <c r="P277" s="65"/>
      <c r="Q277" s="65"/>
    </row>
    <row r="278" spans="1:17" s="66" customFormat="1" ht="18.649999999999999" customHeight="1">
      <c r="A278" s="67"/>
      <c r="B278" s="74" t="s">
        <v>483</v>
      </c>
      <c r="C278" s="74"/>
      <c r="D278" s="68">
        <v>2</v>
      </c>
      <c r="E278" s="69">
        <v>4.42</v>
      </c>
      <c r="F278" s="69">
        <f>F277</f>
        <v>0.83</v>
      </c>
      <c r="G278" s="69">
        <f>G277</f>
        <v>0.83</v>
      </c>
      <c r="H278" s="69"/>
      <c r="I278" s="69">
        <f>D278*E278*F278*G278</f>
        <v>6.09</v>
      </c>
      <c r="J278" s="69"/>
      <c r="K278" s="70" t="s">
        <v>27</v>
      </c>
      <c r="L278" s="64"/>
      <c r="M278" s="64"/>
      <c r="N278" s="64"/>
      <c r="O278" s="64"/>
      <c r="P278" s="65"/>
      <c r="Q278" s="65"/>
    </row>
    <row r="279" spans="1:17" s="66" customFormat="1" ht="18.649999999999999" customHeight="1">
      <c r="A279" s="67"/>
      <c r="B279" s="74" t="s">
        <v>482</v>
      </c>
      <c r="C279" s="74"/>
      <c r="D279" s="68">
        <v>1</v>
      </c>
      <c r="E279" s="69">
        <f>3.33</f>
        <v>3.33</v>
      </c>
      <c r="F279" s="69">
        <f>F278</f>
        <v>0.83</v>
      </c>
      <c r="G279" s="69">
        <f>G278</f>
        <v>0.83</v>
      </c>
      <c r="H279" s="69"/>
      <c r="I279" s="69">
        <f>D279*E279*F279*G279</f>
        <v>2.29</v>
      </c>
      <c r="J279" s="69"/>
      <c r="K279" s="70" t="s">
        <v>27</v>
      </c>
      <c r="L279" s="64"/>
      <c r="M279" s="64"/>
      <c r="N279" s="64"/>
      <c r="O279" s="64"/>
      <c r="P279" s="65"/>
      <c r="Q279" s="65"/>
    </row>
    <row r="280" spans="1:17" s="66" customFormat="1" ht="18.649999999999999" customHeight="1">
      <c r="A280" s="67"/>
      <c r="B280" s="74" t="s">
        <v>487</v>
      </c>
      <c r="C280" s="74"/>
      <c r="D280" s="68" t="s">
        <v>154</v>
      </c>
      <c r="E280" s="69">
        <f>D270*E270+D271*E271+D273*E273+D274*E274+D275*E275+D277*E277+D278*E278+D279*E279</f>
        <v>137.72999999999999</v>
      </c>
      <c r="F280" s="69"/>
      <c r="G280" s="69"/>
      <c r="H280" s="69"/>
      <c r="I280" s="69"/>
      <c r="J280" s="69"/>
      <c r="K280" s="70"/>
      <c r="L280" s="64"/>
      <c r="M280" s="64"/>
      <c r="N280" s="64"/>
      <c r="O280" s="64"/>
      <c r="P280" s="65"/>
      <c r="Q280" s="65"/>
    </row>
    <row r="281" spans="1:17" s="66" customFormat="1" ht="18.649999999999999" customHeight="1">
      <c r="A281" s="67"/>
      <c r="B281" s="76" t="s">
        <v>475</v>
      </c>
      <c r="C281" s="76"/>
      <c r="D281" s="68"/>
      <c r="E281" s="69"/>
      <c r="F281" s="69"/>
      <c r="G281" s="69"/>
      <c r="H281" s="69"/>
      <c r="I281" s="69"/>
      <c r="J281" s="69"/>
      <c r="K281" s="70"/>
      <c r="L281" s="64"/>
      <c r="M281" s="64"/>
      <c r="N281" s="64"/>
      <c r="O281" s="64"/>
      <c r="P281" s="65"/>
      <c r="Q281" s="65"/>
    </row>
    <row r="282" spans="1:17" s="66" customFormat="1" ht="18.649999999999999" customHeight="1">
      <c r="A282" s="67"/>
      <c r="B282" s="73" t="s">
        <v>473</v>
      </c>
      <c r="C282" s="76"/>
      <c r="D282" s="68"/>
      <c r="E282" s="69"/>
      <c r="F282" s="69"/>
      <c r="G282" s="69"/>
      <c r="H282" s="69"/>
      <c r="I282" s="69"/>
      <c r="J282" s="69"/>
      <c r="K282" s="70"/>
      <c r="L282" s="64"/>
      <c r="M282" s="64"/>
      <c r="N282" s="64"/>
      <c r="O282" s="64"/>
      <c r="P282" s="65"/>
      <c r="Q282" s="65"/>
    </row>
    <row r="283" spans="1:17" s="66" customFormat="1" ht="18.649999999999999" customHeight="1">
      <c r="A283" s="67"/>
      <c r="B283" s="74" t="s">
        <v>474</v>
      </c>
      <c r="C283" s="74"/>
      <c r="D283" s="68">
        <v>1</v>
      </c>
      <c r="E283" s="69">
        <f>13.5-0.75*1.5</f>
        <v>12.38</v>
      </c>
      <c r="F283" s="69">
        <v>0.83</v>
      </c>
      <c r="G283" s="69">
        <f>1</f>
        <v>1</v>
      </c>
      <c r="H283" s="69"/>
      <c r="I283" s="69">
        <f>D283*E283*F283*G283</f>
        <v>10.28</v>
      </c>
      <c r="J283" s="69"/>
      <c r="K283" s="70" t="s">
        <v>27</v>
      </c>
      <c r="L283" s="64"/>
      <c r="M283" s="64"/>
      <c r="N283" s="64"/>
      <c r="O283" s="64"/>
      <c r="P283" s="65"/>
      <c r="Q283" s="65"/>
    </row>
    <row r="284" spans="1:17" s="66" customFormat="1" ht="18.649999999999999" customHeight="1">
      <c r="A284" s="67"/>
      <c r="B284" s="73" t="s">
        <v>476</v>
      </c>
      <c r="C284" s="74"/>
      <c r="D284" s="68"/>
      <c r="E284" s="69"/>
      <c r="F284" s="69"/>
      <c r="G284" s="69"/>
      <c r="H284" s="69"/>
      <c r="I284" s="69"/>
      <c r="J284" s="69"/>
      <c r="K284" s="70"/>
      <c r="L284" s="64"/>
      <c r="M284" s="64"/>
      <c r="N284" s="64"/>
      <c r="O284" s="64"/>
      <c r="P284" s="65"/>
      <c r="Q284" s="65"/>
    </row>
    <row r="285" spans="1:17" s="66" customFormat="1" ht="18.649999999999999" customHeight="1">
      <c r="A285" s="67"/>
      <c r="B285" s="74" t="s">
        <v>484</v>
      </c>
      <c r="C285" s="74"/>
      <c r="D285" s="68">
        <v>2</v>
      </c>
      <c r="E285" s="69">
        <v>12.17</v>
      </c>
      <c r="F285" s="69">
        <v>0.83</v>
      </c>
      <c r="G285" s="69">
        <v>1</v>
      </c>
      <c r="H285" s="69"/>
      <c r="I285" s="69">
        <f>D285*E285*F285*G285</f>
        <v>20.2</v>
      </c>
      <c r="J285" s="69"/>
      <c r="K285" s="70" t="s">
        <v>27</v>
      </c>
      <c r="L285" s="64"/>
      <c r="M285" s="64"/>
      <c r="N285" s="64"/>
      <c r="O285" s="64"/>
      <c r="P285" s="65"/>
      <c r="Q285" s="65"/>
    </row>
    <row r="286" spans="1:17" s="66" customFormat="1" ht="18.649999999999999" customHeight="1">
      <c r="A286" s="67"/>
      <c r="B286" s="74" t="s">
        <v>485</v>
      </c>
      <c r="C286" s="74"/>
      <c r="D286" s="68">
        <v>4</v>
      </c>
      <c r="E286" s="69">
        <v>12.17</v>
      </c>
      <c r="F286" s="69">
        <v>0.83</v>
      </c>
      <c r="G286" s="69">
        <v>1</v>
      </c>
      <c r="H286" s="69"/>
      <c r="I286" s="69">
        <f>D286*E286*F286*G286</f>
        <v>40.4</v>
      </c>
      <c r="J286" s="69"/>
      <c r="K286" s="70" t="s">
        <v>27</v>
      </c>
      <c r="L286" s="64"/>
      <c r="M286" s="64"/>
      <c r="N286" s="64"/>
      <c r="O286" s="64"/>
      <c r="P286" s="65"/>
      <c r="Q286" s="65"/>
    </row>
    <row r="287" spans="1:17" s="66" customFormat="1" ht="18.649999999999999" customHeight="1">
      <c r="A287" s="67"/>
      <c r="B287" s="74" t="s">
        <v>488</v>
      </c>
      <c r="C287" s="74"/>
      <c r="D287" s="68" t="s">
        <v>154</v>
      </c>
      <c r="E287" s="69">
        <f>D283*E283+D285*E285+D286*E286</f>
        <v>85.4</v>
      </c>
      <c r="F287" s="69"/>
      <c r="G287" s="69"/>
      <c r="H287" s="69"/>
      <c r="I287" s="69"/>
      <c r="J287" s="69"/>
      <c r="K287" s="70"/>
      <c r="L287" s="64"/>
      <c r="M287" s="64"/>
      <c r="N287" s="64"/>
      <c r="O287" s="64"/>
      <c r="P287" s="65"/>
      <c r="Q287" s="65"/>
    </row>
    <row r="288" spans="1:17" s="66" customFormat="1" ht="18.649999999999999" customHeight="1">
      <c r="A288" s="67"/>
      <c r="B288" s="76" t="s">
        <v>486</v>
      </c>
      <c r="C288" s="76"/>
      <c r="D288" s="68"/>
      <c r="E288" s="69"/>
      <c r="F288" s="69"/>
      <c r="G288" s="69"/>
      <c r="H288" s="69"/>
      <c r="I288" s="69"/>
      <c r="J288" s="69"/>
      <c r="K288" s="70"/>
      <c r="L288" s="64"/>
      <c r="M288" s="64"/>
      <c r="N288" s="64"/>
      <c r="O288" s="64"/>
      <c r="P288" s="65"/>
      <c r="Q288" s="65"/>
    </row>
    <row r="289" spans="1:17" s="66" customFormat="1" ht="18.649999999999999" customHeight="1">
      <c r="A289" s="67"/>
      <c r="B289" s="74" t="s">
        <v>490</v>
      </c>
      <c r="C289" s="74"/>
      <c r="D289" s="68">
        <v>3</v>
      </c>
      <c r="E289" s="69">
        <f>14.67</f>
        <v>14.67</v>
      </c>
      <c r="F289" s="69">
        <v>0.83</v>
      </c>
      <c r="G289" s="69">
        <v>1.17</v>
      </c>
      <c r="H289" s="69"/>
      <c r="I289" s="69">
        <f>D289*E289*F289*G289</f>
        <v>42.74</v>
      </c>
      <c r="J289" s="69"/>
      <c r="K289" s="70" t="s">
        <v>27</v>
      </c>
      <c r="L289" s="64"/>
      <c r="M289" s="64"/>
      <c r="N289" s="64"/>
      <c r="O289" s="64"/>
      <c r="P289" s="65"/>
      <c r="Q289" s="65"/>
    </row>
    <row r="290" spans="1:17" s="66" customFormat="1" ht="18.649999999999999" customHeight="1">
      <c r="A290" s="67"/>
      <c r="B290" s="74" t="s">
        <v>489</v>
      </c>
      <c r="C290" s="74"/>
      <c r="D290" s="68" t="s">
        <v>82</v>
      </c>
      <c r="E290" s="69">
        <f>D289*E289</f>
        <v>44.01</v>
      </c>
      <c r="F290" s="69"/>
      <c r="G290" s="69"/>
      <c r="H290" s="69"/>
      <c r="I290" s="288" t="s">
        <v>491</v>
      </c>
      <c r="J290" s="69">
        <f>SUM(I270:I290)</f>
        <v>208.49</v>
      </c>
      <c r="K290" s="70"/>
      <c r="L290" s="64"/>
      <c r="M290" s="64"/>
      <c r="N290" s="64"/>
      <c r="O290" s="64"/>
      <c r="P290" s="65"/>
      <c r="Q290" s="65"/>
    </row>
    <row r="291" spans="1:17" s="66" customFormat="1" ht="18.649999999999999" customHeight="1">
      <c r="A291" s="67"/>
      <c r="B291" s="74"/>
      <c r="C291" s="74"/>
      <c r="D291" s="68"/>
      <c r="E291" s="69"/>
      <c r="F291" s="69"/>
      <c r="G291" s="69"/>
      <c r="H291" s="69"/>
      <c r="I291" s="69"/>
      <c r="J291" s="69">
        <f>SUM(I215:I291)</f>
        <v>691.56</v>
      </c>
      <c r="K291" s="70" t="s">
        <v>27</v>
      </c>
      <c r="L291" s="64"/>
      <c r="M291" s="64"/>
      <c r="N291" s="64"/>
      <c r="O291" s="64"/>
      <c r="P291" s="65"/>
      <c r="Q291" s="65"/>
    </row>
    <row r="292" spans="1:17" s="66" customFormat="1" ht="17.899999999999999" customHeight="1">
      <c r="A292" s="67"/>
      <c r="B292" s="67"/>
      <c r="C292" s="67"/>
      <c r="D292" s="68"/>
      <c r="E292" s="69"/>
      <c r="F292" s="69"/>
      <c r="G292" s="69"/>
      <c r="H292" s="69"/>
      <c r="I292" s="69"/>
      <c r="J292" s="69">
        <f>J291/100</f>
        <v>6.92</v>
      </c>
      <c r="K292" s="75" t="s">
        <v>7</v>
      </c>
      <c r="L292" s="64"/>
      <c r="M292" s="64"/>
      <c r="N292" s="64"/>
      <c r="O292" s="64"/>
      <c r="P292" s="65"/>
      <c r="Q292" s="65"/>
    </row>
    <row r="293" spans="1:17" s="66" customFormat="1" ht="17.899999999999999" customHeight="1">
      <c r="A293" s="67"/>
      <c r="B293" s="67"/>
      <c r="C293" s="67"/>
      <c r="D293" s="68"/>
      <c r="E293" s="69"/>
      <c r="F293" s="69"/>
      <c r="G293" s="69"/>
      <c r="H293" s="69"/>
      <c r="I293" s="69"/>
      <c r="J293" s="69"/>
      <c r="K293" s="75"/>
      <c r="L293" s="64"/>
      <c r="M293" s="64"/>
      <c r="N293" s="64"/>
      <c r="O293" s="64"/>
      <c r="P293" s="65"/>
      <c r="Q293" s="65"/>
    </row>
    <row r="294" spans="1:17" s="66" customFormat="1" ht="18.649999999999999" customHeight="1">
      <c r="A294" s="80"/>
      <c r="B294" s="90" t="s">
        <v>84</v>
      </c>
      <c r="C294" s="90"/>
      <c r="D294" s="82"/>
      <c r="E294" s="83"/>
      <c r="F294" s="83"/>
      <c r="G294" s="83"/>
      <c r="H294" s="83"/>
      <c r="I294" s="83"/>
      <c r="J294" s="83"/>
      <c r="K294" s="85"/>
      <c r="L294" s="64"/>
      <c r="M294" s="64"/>
      <c r="N294" s="64"/>
      <c r="O294" s="64"/>
      <c r="P294" s="65"/>
      <c r="Q294" s="65"/>
    </row>
    <row r="295" spans="1:17" s="66" customFormat="1" ht="18.649999999999999" customHeight="1">
      <c r="A295" s="67"/>
      <c r="B295" s="73" t="str">
        <f>B213</f>
        <v>Plinth Level Beam</v>
      </c>
      <c r="C295" s="73"/>
      <c r="D295" s="68"/>
      <c r="E295" s="69"/>
      <c r="F295" s="69"/>
      <c r="G295" s="69"/>
      <c r="H295" s="69"/>
      <c r="I295" s="69"/>
      <c r="J295" s="69"/>
      <c r="K295" s="70"/>
      <c r="L295" s="64"/>
      <c r="M295" s="64"/>
      <c r="N295" s="64"/>
      <c r="O295" s="64"/>
      <c r="P295" s="65"/>
      <c r="Q295" s="65"/>
    </row>
    <row r="296" spans="1:17" s="66" customFormat="1" ht="18.649999999999999" customHeight="1">
      <c r="A296" s="67"/>
      <c r="B296" s="73" t="str">
        <f>B214</f>
        <v>GB1 (10" x 10")</v>
      </c>
      <c r="C296" s="73"/>
      <c r="D296" s="68"/>
      <c r="E296" s="69"/>
      <c r="F296" s="69"/>
      <c r="G296" s="69"/>
      <c r="H296" s="69"/>
      <c r="I296" s="69"/>
      <c r="J296" s="69"/>
      <c r="K296" s="70"/>
      <c r="L296" s="64"/>
      <c r="M296" s="64"/>
      <c r="N296" s="64"/>
      <c r="O296" s="64"/>
      <c r="P296" s="65"/>
      <c r="Q296" s="65"/>
    </row>
    <row r="297" spans="1:17" s="66" customFormat="1" ht="18.649999999999999" customHeight="1">
      <c r="A297" s="67"/>
      <c r="B297" s="74" t="str">
        <f>B224</f>
        <v>Total Length of GB1 (10" x 10")</v>
      </c>
      <c r="C297" s="74"/>
      <c r="D297" s="68">
        <v>1</v>
      </c>
      <c r="E297" s="69">
        <f>E224</f>
        <v>143.76</v>
      </c>
      <c r="F297" s="69"/>
      <c r="G297" s="69">
        <f>0.83+0.83*2</f>
        <v>2.4900000000000002</v>
      </c>
      <c r="H297" s="69"/>
      <c r="I297" s="69">
        <f>D297*E297*G297</f>
        <v>357.96</v>
      </c>
      <c r="J297" s="69"/>
      <c r="K297" s="70" t="s">
        <v>21</v>
      </c>
      <c r="L297" s="64"/>
      <c r="M297" s="64"/>
      <c r="N297" s="64"/>
      <c r="O297" s="64"/>
      <c r="P297" s="65"/>
      <c r="Q297" s="65"/>
    </row>
    <row r="298" spans="1:17" s="66" customFormat="1" ht="18.649999999999999" customHeight="1">
      <c r="A298" s="67"/>
      <c r="B298" s="76" t="str">
        <f>B225</f>
        <v>GB2 (10"x12")</v>
      </c>
      <c r="C298" s="76"/>
      <c r="D298" s="68"/>
      <c r="E298" s="69"/>
      <c r="F298" s="69"/>
      <c r="G298" s="69"/>
      <c r="H298" s="69"/>
      <c r="I298" s="69"/>
      <c r="J298" s="69"/>
      <c r="K298" s="70"/>
      <c r="L298" s="64"/>
      <c r="M298" s="64"/>
      <c r="N298" s="64"/>
      <c r="O298" s="64"/>
      <c r="P298" s="65"/>
      <c r="Q298" s="65"/>
    </row>
    <row r="299" spans="1:17" s="66" customFormat="1" ht="18.649999999999999" customHeight="1">
      <c r="A299" s="67"/>
      <c r="B299" s="74" t="str">
        <f>B228</f>
        <v>Total Length of GB2 (10" x 12")</v>
      </c>
      <c r="C299" s="74"/>
      <c r="D299" s="68">
        <v>1</v>
      </c>
      <c r="E299" s="69">
        <f>E228</f>
        <v>72.34</v>
      </c>
      <c r="F299" s="69"/>
      <c r="G299" s="69">
        <f>0.83+1*2</f>
        <v>2.83</v>
      </c>
      <c r="H299" s="69"/>
      <c r="I299" s="69">
        <f>D299*E299*G299</f>
        <v>204.72</v>
      </c>
      <c r="J299" s="69"/>
      <c r="K299" s="70" t="s">
        <v>21</v>
      </c>
      <c r="L299" s="64"/>
      <c r="M299" s="64"/>
      <c r="N299" s="64"/>
      <c r="O299" s="64"/>
      <c r="P299" s="65"/>
      <c r="Q299" s="65"/>
    </row>
    <row r="300" spans="1:17" s="66" customFormat="1" ht="18.649999999999999" customHeight="1">
      <c r="A300" s="67"/>
      <c r="B300" s="76" t="str">
        <f>B229</f>
        <v>GB3 (10"x14")</v>
      </c>
      <c r="C300" s="74"/>
      <c r="D300" s="68"/>
      <c r="E300" s="69"/>
      <c r="F300" s="69"/>
      <c r="G300" s="69"/>
      <c r="H300" s="69"/>
      <c r="I300" s="69"/>
      <c r="J300" s="69"/>
      <c r="K300" s="70"/>
      <c r="L300" s="64"/>
      <c r="M300" s="64"/>
      <c r="N300" s="64"/>
      <c r="O300" s="64"/>
      <c r="P300" s="65"/>
      <c r="Q300" s="65"/>
    </row>
    <row r="301" spans="1:17" s="66" customFormat="1" ht="18.649999999999999" customHeight="1">
      <c r="A301" s="67"/>
      <c r="B301" s="74" t="str">
        <f>B232</f>
        <v>Total Length of GB3 (10" x 14")</v>
      </c>
      <c r="C301" s="74"/>
      <c r="D301" s="68">
        <v>1</v>
      </c>
      <c r="E301" s="69">
        <f>E232</f>
        <v>64.34</v>
      </c>
      <c r="F301" s="69"/>
      <c r="G301" s="69">
        <f>0.83+1.17*2</f>
        <v>3.17</v>
      </c>
      <c r="H301" s="69"/>
      <c r="I301" s="69">
        <f>D301*E301*G301</f>
        <v>203.96</v>
      </c>
      <c r="J301" s="69"/>
      <c r="K301" s="70" t="s">
        <v>21</v>
      </c>
      <c r="L301" s="64"/>
      <c r="M301" s="64"/>
      <c r="N301" s="64"/>
      <c r="O301" s="64"/>
      <c r="P301" s="65"/>
      <c r="Q301" s="65"/>
    </row>
    <row r="302" spans="1:17" s="66" customFormat="1" ht="18.649999999999999" customHeight="1">
      <c r="A302" s="67"/>
      <c r="B302" s="67" t="s">
        <v>25</v>
      </c>
      <c r="C302" s="67"/>
      <c r="D302" s="68"/>
      <c r="E302" s="69"/>
      <c r="F302" s="69"/>
      <c r="G302" s="69"/>
      <c r="H302" s="69"/>
      <c r="I302" s="69"/>
      <c r="J302" s="69"/>
      <c r="K302" s="70"/>
      <c r="L302" s="64"/>
      <c r="M302" s="64"/>
      <c r="N302" s="64"/>
      <c r="O302" s="64"/>
      <c r="P302" s="65"/>
      <c r="Q302" s="65"/>
    </row>
    <row r="303" spans="1:17" s="66" customFormat="1" ht="18.649999999999999" customHeight="1">
      <c r="A303" s="67"/>
      <c r="B303" s="74" t="s">
        <v>59</v>
      </c>
      <c r="C303" s="74"/>
      <c r="D303" s="68">
        <v>1</v>
      </c>
      <c r="E303" s="69">
        <f>E95</f>
        <v>288.25</v>
      </c>
      <c r="F303" s="69">
        <v>0.75</v>
      </c>
      <c r="G303" s="69"/>
      <c r="H303" s="69">
        <f>D303*E303*F303</f>
        <v>216.19</v>
      </c>
      <c r="I303" s="69"/>
      <c r="J303" s="69"/>
      <c r="K303" s="70" t="s">
        <v>21</v>
      </c>
      <c r="L303" s="64"/>
      <c r="M303" s="64"/>
      <c r="N303" s="64"/>
      <c r="O303" s="64"/>
      <c r="P303" s="65"/>
      <c r="Q303" s="65"/>
    </row>
    <row r="304" spans="1:17" s="66" customFormat="1" ht="18.649999999999999" customHeight="1">
      <c r="A304" s="67"/>
      <c r="B304" s="74"/>
      <c r="C304" s="74"/>
      <c r="D304" s="68"/>
      <c r="E304" s="69"/>
      <c r="F304" s="69"/>
      <c r="G304" s="69"/>
      <c r="H304" s="69">
        <f>SUM(H297:H303)</f>
        <v>216.19</v>
      </c>
      <c r="I304" s="69">
        <f>SUM(I297:I303)</f>
        <v>766.64</v>
      </c>
      <c r="J304" s="69"/>
      <c r="K304" s="70" t="s">
        <v>21</v>
      </c>
      <c r="L304" s="64"/>
      <c r="M304" s="64"/>
      <c r="N304" s="64"/>
      <c r="O304" s="64"/>
      <c r="P304" s="65"/>
      <c r="Q304" s="65"/>
    </row>
    <row r="305" spans="1:17" s="66" customFormat="1" ht="18.649999999999999" customHeight="1">
      <c r="A305" s="67"/>
      <c r="B305" s="74"/>
      <c r="C305" s="74"/>
      <c r="D305" s="68"/>
      <c r="E305" s="69"/>
      <c r="F305" s="69"/>
      <c r="G305" s="69"/>
      <c r="H305" s="69"/>
      <c r="I305" s="288" t="s">
        <v>63</v>
      </c>
      <c r="J305" s="69">
        <f>I304-H304</f>
        <v>550.45000000000005</v>
      </c>
      <c r="K305" s="70" t="s">
        <v>21</v>
      </c>
      <c r="L305" s="64"/>
      <c r="M305" s="64"/>
      <c r="N305" s="64"/>
      <c r="O305" s="64"/>
      <c r="P305" s="65"/>
      <c r="Q305" s="65"/>
    </row>
    <row r="306" spans="1:17" s="66" customFormat="1" ht="18.649999999999999" customHeight="1">
      <c r="A306" s="67"/>
      <c r="B306" s="76"/>
      <c r="C306" s="76"/>
      <c r="D306" s="68"/>
      <c r="E306" s="69"/>
      <c r="F306" s="69"/>
      <c r="G306" s="69"/>
      <c r="H306" s="69"/>
      <c r="I306" s="69"/>
      <c r="J306" s="69"/>
      <c r="K306" s="70"/>
      <c r="L306" s="64"/>
      <c r="M306" s="64"/>
      <c r="N306" s="64"/>
      <c r="O306" s="64"/>
      <c r="P306" s="65"/>
      <c r="Q306" s="65"/>
    </row>
    <row r="307" spans="1:17" s="66" customFormat="1" ht="18.649999999999999" customHeight="1">
      <c r="A307" s="67"/>
      <c r="B307" s="76" t="str">
        <f>B234</f>
        <v>1st Floor Level Beam</v>
      </c>
      <c r="C307" s="76"/>
      <c r="D307" s="68"/>
      <c r="E307" s="69"/>
      <c r="F307" s="69"/>
      <c r="G307" s="69"/>
      <c r="H307" s="69"/>
      <c r="I307" s="69"/>
      <c r="J307" s="69"/>
      <c r="K307" s="70"/>
      <c r="L307" s="64"/>
      <c r="M307" s="64"/>
      <c r="N307" s="64"/>
      <c r="O307" s="64"/>
      <c r="P307" s="65"/>
      <c r="Q307" s="65"/>
    </row>
    <row r="308" spans="1:17" s="66" customFormat="1" ht="18.649999999999999" customHeight="1">
      <c r="A308" s="67"/>
      <c r="B308" s="76" t="str">
        <f>B235</f>
        <v>FB1 (10" x 10")</v>
      </c>
      <c r="C308" s="76"/>
      <c r="D308" s="68"/>
      <c r="E308" s="69"/>
      <c r="F308" s="69"/>
      <c r="G308" s="69" t="s">
        <v>107</v>
      </c>
      <c r="H308" s="69"/>
      <c r="I308" s="69"/>
      <c r="J308" s="69"/>
      <c r="K308" s="70"/>
      <c r="L308" s="64"/>
      <c r="M308" s="64"/>
      <c r="N308" s="64"/>
      <c r="O308" s="64"/>
      <c r="P308" s="65"/>
      <c r="Q308" s="65"/>
    </row>
    <row r="309" spans="1:17" s="66" customFormat="1" ht="18.649999999999999" customHeight="1">
      <c r="A309" s="67"/>
      <c r="B309" s="74" t="str">
        <f>B242</f>
        <v>Total Length of FB1 (10" x10")</v>
      </c>
      <c r="C309" s="74"/>
      <c r="D309" s="68">
        <v>1</v>
      </c>
      <c r="E309" s="69">
        <f>E242</f>
        <v>94.03</v>
      </c>
      <c r="F309" s="69"/>
      <c r="G309" s="69">
        <f>0.83+(0.83-4/12)*2</f>
        <v>1.82</v>
      </c>
      <c r="H309" s="69"/>
      <c r="I309" s="69">
        <f t="shared" ref="I309:I314" si="9">D309*E309*G309</f>
        <v>171.13</v>
      </c>
      <c r="J309" s="69"/>
      <c r="K309" s="70" t="s">
        <v>21</v>
      </c>
      <c r="L309" s="64"/>
      <c r="M309" s="64"/>
      <c r="N309" s="64"/>
      <c r="O309" s="64"/>
      <c r="P309" s="65"/>
      <c r="Q309" s="65"/>
    </row>
    <row r="310" spans="1:17" s="66" customFormat="1" ht="18.649999999999999" customHeight="1">
      <c r="A310" s="67"/>
      <c r="B310" s="74" t="str">
        <f>B247</f>
        <v>Total Length of FB2 (10" x 12")</v>
      </c>
      <c r="C310" s="74"/>
      <c r="D310" s="68">
        <v>1</v>
      </c>
      <c r="E310" s="69">
        <f>E247</f>
        <v>76.84</v>
      </c>
      <c r="F310" s="69"/>
      <c r="G310" s="69">
        <f>0.83+(1-4/12)*2</f>
        <v>2.16</v>
      </c>
      <c r="H310" s="69"/>
      <c r="I310" s="69">
        <f t="shared" si="9"/>
        <v>165.97</v>
      </c>
      <c r="J310" s="69"/>
      <c r="K310" s="70" t="s">
        <v>21</v>
      </c>
      <c r="L310" s="64"/>
      <c r="M310" s="64"/>
      <c r="N310" s="64"/>
      <c r="O310" s="64"/>
      <c r="P310" s="65"/>
      <c r="Q310" s="65"/>
    </row>
    <row r="311" spans="1:17" s="66" customFormat="1" ht="18.649999999999999" customHeight="1">
      <c r="A311" s="67"/>
      <c r="B311" s="74" t="str">
        <f>B255</f>
        <v>Total Length of FB3 (10" x 14")</v>
      </c>
      <c r="C311" s="74"/>
      <c r="D311" s="68">
        <f>D249</f>
        <v>1</v>
      </c>
      <c r="E311" s="69">
        <f>E249</f>
        <v>12</v>
      </c>
      <c r="F311" s="69"/>
      <c r="G311" s="69">
        <f>0.83+(1.17-4/12)*2</f>
        <v>2.5</v>
      </c>
      <c r="H311" s="69"/>
      <c r="I311" s="69">
        <f t="shared" si="9"/>
        <v>30</v>
      </c>
      <c r="J311" s="69"/>
      <c r="K311" s="70" t="s">
        <v>21</v>
      </c>
      <c r="L311" s="64"/>
      <c r="M311" s="64"/>
      <c r="N311" s="64"/>
      <c r="O311" s="64"/>
      <c r="P311" s="65"/>
      <c r="Q311" s="65"/>
    </row>
    <row r="312" spans="1:17" s="66" customFormat="1" ht="18.649999999999999" customHeight="1">
      <c r="A312" s="67"/>
      <c r="B312" s="74" t="str">
        <f>B258</f>
        <v>Total Length of FB4 (10" x 16")</v>
      </c>
      <c r="C312" s="74"/>
      <c r="D312" s="68">
        <v>1</v>
      </c>
      <c r="E312" s="69">
        <f>E258</f>
        <v>29</v>
      </c>
      <c r="F312" s="69"/>
      <c r="G312" s="69">
        <f>0.83+(1.33-4/12)*2</f>
        <v>2.82</v>
      </c>
      <c r="H312" s="69"/>
      <c r="I312" s="69">
        <f t="shared" si="9"/>
        <v>81.78</v>
      </c>
      <c r="J312" s="69"/>
      <c r="K312" s="70" t="s">
        <v>21</v>
      </c>
      <c r="L312" s="64"/>
      <c r="M312" s="64"/>
      <c r="N312" s="64"/>
      <c r="O312" s="64"/>
      <c r="P312" s="65"/>
      <c r="Q312" s="65"/>
    </row>
    <row r="313" spans="1:17" s="66" customFormat="1" ht="18.649999999999999" customHeight="1">
      <c r="A313" s="67"/>
      <c r="B313" s="74" t="str">
        <f>B261</f>
        <v>Total Length of FB5 (12" x 14")</v>
      </c>
      <c r="C313" s="74"/>
      <c r="D313" s="68">
        <v>1</v>
      </c>
      <c r="E313" s="69">
        <f>E261</f>
        <v>10</v>
      </c>
      <c r="F313" s="69"/>
      <c r="G313" s="69">
        <f>1+(1.17-4/12)*2</f>
        <v>2.67</v>
      </c>
      <c r="H313" s="69"/>
      <c r="I313" s="69">
        <f t="shared" si="9"/>
        <v>26.7</v>
      </c>
      <c r="J313" s="69"/>
      <c r="K313" s="70" t="s">
        <v>21</v>
      </c>
      <c r="L313" s="64"/>
      <c r="M313" s="64"/>
      <c r="N313" s="64"/>
      <c r="O313" s="64"/>
      <c r="P313" s="65"/>
      <c r="Q313" s="65"/>
    </row>
    <row r="314" spans="1:17" s="66" customFormat="1" ht="18.649999999999999" customHeight="1">
      <c r="A314" s="67"/>
      <c r="B314" s="74" t="str">
        <f>B264</f>
        <v>Total Length of FB6 (12" x 18")</v>
      </c>
      <c r="C314" s="74"/>
      <c r="D314" s="68">
        <v>1</v>
      </c>
      <c r="E314" s="69">
        <f>E264</f>
        <v>14.5</v>
      </c>
      <c r="F314" s="69"/>
      <c r="G314" s="69">
        <f>1+(1.5-4/12)*2</f>
        <v>3.33</v>
      </c>
      <c r="H314" s="69"/>
      <c r="I314" s="69">
        <f t="shared" si="9"/>
        <v>48.29</v>
      </c>
      <c r="J314" s="69"/>
      <c r="K314" s="70" t="s">
        <v>21</v>
      </c>
      <c r="L314" s="64"/>
      <c r="M314" s="64"/>
      <c r="N314" s="64"/>
      <c r="O314" s="64"/>
      <c r="P314" s="65"/>
      <c r="Q314" s="65"/>
    </row>
    <row r="315" spans="1:17" s="66" customFormat="1" ht="18.649999999999999" customHeight="1">
      <c r="A315" s="67"/>
      <c r="B315" s="76" t="s">
        <v>161</v>
      </c>
      <c r="C315" s="74"/>
      <c r="D315" s="68">
        <v>1</v>
      </c>
      <c r="E315" s="69">
        <f>25*2+35*2</f>
        <v>120</v>
      </c>
      <c r="F315" s="69"/>
      <c r="G315" s="69">
        <f>4/12</f>
        <v>0.33</v>
      </c>
      <c r="H315" s="69"/>
      <c r="I315" s="69">
        <f>D315*E315*G315</f>
        <v>39.6</v>
      </c>
      <c r="J315" s="69"/>
      <c r="K315" s="70" t="s">
        <v>21</v>
      </c>
      <c r="L315" s="64"/>
      <c r="M315" s="64"/>
      <c r="N315" s="64"/>
      <c r="O315" s="64"/>
      <c r="P315" s="65"/>
      <c r="Q315" s="65"/>
    </row>
    <row r="316" spans="1:17" s="66" customFormat="1" ht="18.649999999999999" customHeight="1">
      <c r="A316" s="67"/>
      <c r="B316" s="74"/>
      <c r="C316" s="74"/>
      <c r="D316" s="68"/>
      <c r="E316" s="69"/>
      <c r="F316" s="69"/>
      <c r="G316" s="69"/>
      <c r="H316" s="69">
        <f>SUM(H309:H315)</f>
        <v>0</v>
      </c>
      <c r="I316" s="69">
        <f>SUM(I309:I315)</f>
        <v>563.47</v>
      </c>
      <c r="J316" s="69"/>
      <c r="K316" s="70" t="s">
        <v>21</v>
      </c>
      <c r="L316" s="64"/>
      <c r="M316" s="64"/>
      <c r="N316" s="64"/>
      <c r="O316" s="64"/>
      <c r="P316" s="65"/>
      <c r="Q316" s="65"/>
    </row>
    <row r="317" spans="1:17" s="66" customFormat="1" ht="18.649999999999999" customHeight="1">
      <c r="A317" s="67"/>
      <c r="B317" s="74"/>
      <c r="C317" s="74"/>
      <c r="D317" s="68"/>
      <c r="E317" s="69"/>
      <c r="F317" s="69"/>
      <c r="G317" s="69"/>
      <c r="H317" s="69"/>
      <c r="I317" s="288" t="s">
        <v>135</v>
      </c>
      <c r="J317" s="69">
        <f>I316-H316</f>
        <v>563.47</v>
      </c>
      <c r="K317" s="70" t="s">
        <v>21</v>
      </c>
      <c r="L317" s="64"/>
      <c r="M317" s="64"/>
      <c r="N317" s="64"/>
      <c r="O317" s="64"/>
      <c r="P317" s="65"/>
      <c r="Q317" s="65"/>
    </row>
    <row r="318" spans="1:17" s="66" customFormat="1" ht="18.649999999999999" customHeight="1">
      <c r="A318" s="67"/>
      <c r="B318" s="74"/>
      <c r="C318" s="74"/>
      <c r="D318" s="68"/>
      <c r="E318" s="69"/>
      <c r="F318" s="69"/>
      <c r="G318" s="69"/>
      <c r="H318" s="69"/>
      <c r="I318" s="69"/>
      <c r="J318" s="69"/>
      <c r="K318" s="70"/>
      <c r="L318" s="64"/>
      <c r="M318" s="64"/>
      <c r="N318" s="64"/>
      <c r="O318" s="64"/>
      <c r="P318" s="65"/>
      <c r="Q318" s="65"/>
    </row>
    <row r="319" spans="1:17" s="66" customFormat="1" ht="18.649999999999999" customHeight="1">
      <c r="A319" s="67"/>
      <c r="B319" s="76" t="str">
        <f>B267</f>
        <v>Roof Beam</v>
      </c>
      <c r="C319" s="76"/>
      <c r="D319" s="68"/>
      <c r="E319" s="69"/>
      <c r="F319" s="69"/>
      <c r="G319" s="69"/>
      <c r="H319" s="69"/>
      <c r="I319" s="69"/>
      <c r="J319" s="69"/>
      <c r="K319" s="70"/>
      <c r="L319" s="64"/>
      <c r="M319" s="64"/>
      <c r="N319" s="64"/>
      <c r="O319" s="64"/>
      <c r="P319" s="65"/>
      <c r="Q319" s="65"/>
    </row>
    <row r="320" spans="1:17" s="66" customFormat="1" ht="18.649999999999999" customHeight="1">
      <c r="A320" s="67"/>
      <c r="B320" s="76" t="str">
        <f>B268</f>
        <v>RB1 (10" x 10")</v>
      </c>
      <c r="C320" s="76"/>
      <c r="D320" s="68"/>
      <c r="E320" s="69"/>
      <c r="F320" s="69"/>
      <c r="G320" s="69"/>
      <c r="H320" s="69"/>
      <c r="I320" s="69"/>
      <c r="J320" s="69"/>
      <c r="K320" s="70"/>
      <c r="L320" s="64"/>
      <c r="M320" s="64"/>
      <c r="N320" s="64"/>
      <c r="O320" s="64"/>
      <c r="P320" s="65"/>
      <c r="Q320" s="65"/>
    </row>
    <row r="321" spans="1:17" s="66" customFormat="1" ht="18.649999999999999" customHeight="1">
      <c r="A321" s="67"/>
      <c r="B321" s="74" t="str">
        <f>B280</f>
        <v>Total Length of RB1(10"x10")</v>
      </c>
      <c r="C321" s="74"/>
      <c r="D321" s="68">
        <v>1</v>
      </c>
      <c r="E321" s="69">
        <f>E280</f>
        <v>137.72999999999999</v>
      </c>
      <c r="F321" s="69"/>
      <c r="G321" s="69">
        <f>0.83+0.83*2</f>
        <v>2.4900000000000002</v>
      </c>
      <c r="H321" s="69"/>
      <c r="I321" s="69">
        <f>D321*E321*G321</f>
        <v>342.95</v>
      </c>
      <c r="J321" s="69"/>
      <c r="K321" s="70" t="s">
        <v>21</v>
      </c>
      <c r="L321" s="64"/>
      <c r="M321" s="64"/>
      <c r="N321" s="64"/>
      <c r="O321" s="64"/>
      <c r="P321" s="65"/>
      <c r="Q321" s="65"/>
    </row>
    <row r="322" spans="1:17" s="66" customFormat="1" ht="18.649999999999999" customHeight="1">
      <c r="A322" s="67"/>
      <c r="B322" s="76" t="str">
        <f>B281</f>
        <v>RB2 (10"x12")</v>
      </c>
      <c r="C322" s="74"/>
      <c r="D322" s="68"/>
      <c r="E322" s="69"/>
      <c r="F322" s="69"/>
      <c r="G322" s="69"/>
      <c r="H322" s="69"/>
      <c r="I322" s="69"/>
      <c r="J322" s="69"/>
      <c r="K322" s="70"/>
      <c r="L322" s="64"/>
      <c r="M322" s="64"/>
      <c r="N322" s="64"/>
      <c r="O322" s="64"/>
      <c r="P322" s="65"/>
      <c r="Q322" s="65"/>
    </row>
    <row r="323" spans="1:17" s="66" customFormat="1" ht="18.649999999999999" customHeight="1">
      <c r="A323" s="67"/>
      <c r="B323" s="74" t="str">
        <f>B287</f>
        <v>Total Length of RB2(10"x12")</v>
      </c>
      <c r="C323" s="74"/>
      <c r="D323" s="68">
        <v>1</v>
      </c>
      <c r="E323" s="69">
        <f>E287</f>
        <v>85.4</v>
      </c>
      <c r="F323" s="69"/>
      <c r="G323" s="69">
        <f>0.83+1*2</f>
        <v>2.83</v>
      </c>
      <c r="H323" s="69"/>
      <c r="I323" s="69">
        <f>D323*E323*G323</f>
        <v>241.68</v>
      </c>
      <c r="J323" s="69"/>
      <c r="K323" s="70" t="s">
        <v>21</v>
      </c>
      <c r="L323" s="64"/>
      <c r="M323" s="64"/>
      <c r="N323" s="64"/>
      <c r="O323" s="64"/>
      <c r="P323" s="65"/>
      <c r="Q323" s="65"/>
    </row>
    <row r="324" spans="1:17" s="66" customFormat="1" ht="18.649999999999999" customHeight="1">
      <c r="A324" s="67"/>
      <c r="B324" s="76" t="str">
        <f>B288</f>
        <v>RB3 (10"x14")</v>
      </c>
      <c r="C324" s="74"/>
      <c r="D324" s="68"/>
      <c r="E324" s="69"/>
      <c r="F324" s="69"/>
      <c r="G324" s="69"/>
      <c r="H324" s="69"/>
      <c r="I324" s="69"/>
      <c r="J324" s="69"/>
      <c r="K324" s="70"/>
      <c r="L324" s="64"/>
      <c r="M324" s="64"/>
      <c r="N324" s="64"/>
      <c r="O324" s="64"/>
      <c r="P324" s="65"/>
      <c r="Q324" s="65"/>
    </row>
    <row r="325" spans="1:17" s="66" customFormat="1" ht="18.649999999999999" customHeight="1">
      <c r="A325" s="67"/>
      <c r="B325" s="74" t="str">
        <f>B290</f>
        <v>Total Length of RB3 (10" x 14")</v>
      </c>
      <c r="C325" s="74"/>
      <c r="D325" s="68">
        <v>1</v>
      </c>
      <c r="E325" s="69">
        <f>E290</f>
        <v>44.01</v>
      </c>
      <c r="F325" s="69"/>
      <c r="G325" s="69">
        <f>0.83+1.17*2</f>
        <v>3.17</v>
      </c>
      <c r="H325" s="69"/>
      <c r="I325" s="69">
        <f>D325*E325*G325</f>
        <v>139.51</v>
      </c>
      <c r="J325" s="69"/>
      <c r="K325" s="70" t="s">
        <v>21</v>
      </c>
      <c r="L325" s="64"/>
      <c r="M325" s="64"/>
      <c r="N325" s="64"/>
      <c r="O325" s="64"/>
      <c r="P325" s="65"/>
      <c r="Q325" s="65"/>
    </row>
    <row r="326" spans="1:17" s="66" customFormat="1" ht="18.649999999999999" customHeight="1">
      <c r="A326" s="67"/>
      <c r="B326" s="74"/>
      <c r="C326" s="74"/>
      <c r="D326" s="68"/>
      <c r="E326" s="69"/>
      <c r="F326" s="69"/>
      <c r="G326" s="69"/>
      <c r="H326" s="69">
        <f>SUM(H321:H325)</f>
        <v>0</v>
      </c>
      <c r="I326" s="69">
        <f>SUM(I321:I325)</f>
        <v>724.14</v>
      </c>
      <c r="J326" s="69"/>
      <c r="K326" s="70"/>
      <c r="L326" s="64"/>
      <c r="M326" s="64"/>
      <c r="N326" s="64"/>
      <c r="O326" s="64"/>
      <c r="P326" s="65"/>
      <c r="Q326" s="65"/>
    </row>
    <row r="327" spans="1:17" s="66" customFormat="1" ht="18.649999999999999" customHeight="1">
      <c r="A327" s="67"/>
      <c r="B327" s="74"/>
      <c r="C327" s="74"/>
      <c r="D327" s="68"/>
      <c r="E327" s="69"/>
      <c r="F327" s="69"/>
      <c r="G327" s="69"/>
      <c r="H327" s="69"/>
      <c r="I327" s="288" t="s">
        <v>66</v>
      </c>
      <c r="J327" s="69">
        <f>I326-H326</f>
        <v>724.14</v>
      </c>
      <c r="K327" s="70" t="s">
        <v>21</v>
      </c>
      <c r="L327" s="64"/>
      <c r="M327" s="64"/>
      <c r="N327" s="64"/>
      <c r="O327" s="64"/>
      <c r="P327" s="65"/>
      <c r="Q327" s="65"/>
    </row>
    <row r="328" spans="1:17" s="66" customFormat="1" ht="18.649999999999999" customHeight="1">
      <c r="A328" s="67"/>
      <c r="B328" s="74"/>
      <c r="C328" s="74"/>
      <c r="D328" s="68"/>
      <c r="E328" s="69"/>
      <c r="F328" s="69"/>
      <c r="G328" s="69"/>
      <c r="H328" s="69"/>
      <c r="I328" s="69"/>
      <c r="J328" s="69"/>
      <c r="K328" s="70"/>
      <c r="L328" s="64"/>
      <c r="M328" s="64"/>
      <c r="N328" s="64"/>
      <c r="O328" s="64"/>
      <c r="P328" s="65"/>
      <c r="Q328" s="65"/>
    </row>
    <row r="329" spans="1:17" s="66" customFormat="1" ht="18.649999999999999" customHeight="1">
      <c r="A329" s="67"/>
      <c r="B329" s="74"/>
      <c r="C329" s="74"/>
      <c r="D329" s="68"/>
      <c r="E329" s="69"/>
      <c r="F329" s="69"/>
      <c r="G329" s="69"/>
      <c r="H329" s="69"/>
      <c r="I329" s="288" t="s">
        <v>64</v>
      </c>
      <c r="J329" s="72">
        <f>SUM(J297:J328)</f>
        <v>1838.06</v>
      </c>
      <c r="K329" s="75" t="s">
        <v>21</v>
      </c>
      <c r="L329" s="64"/>
      <c r="M329" s="64"/>
      <c r="N329" s="64"/>
      <c r="O329" s="64"/>
      <c r="P329" s="65"/>
      <c r="Q329" s="65"/>
    </row>
    <row r="330" spans="1:17" s="66" customFormat="1" ht="18.649999999999999" customHeight="1">
      <c r="A330" s="67"/>
      <c r="B330" s="67"/>
      <c r="C330" s="67"/>
      <c r="D330" s="68"/>
      <c r="E330" s="69"/>
      <c r="F330" s="69"/>
      <c r="G330" s="69"/>
      <c r="H330" s="69"/>
      <c r="I330" s="69"/>
      <c r="J330" s="69">
        <f>J329/100</f>
        <v>18.38</v>
      </c>
      <c r="K330" s="75" t="s">
        <v>12</v>
      </c>
      <c r="L330" s="64"/>
      <c r="M330" s="64"/>
      <c r="N330" s="64"/>
      <c r="O330" s="64"/>
      <c r="P330" s="65"/>
      <c r="Q330" s="65"/>
    </row>
    <row r="331" spans="1:17" s="66" customFormat="1" ht="18.649999999999999" customHeight="1">
      <c r="A331" s="289"/>
      <c r="B331" s="289"/>
      <c r="C331" s="289"/>
      <c r="D331" s="88"/>
      <c r="E331" s="89"/>
      <c r="F331" s="89"/>
      <c r="G331" s="89"/>
      <c r="H331" s="89"/>
      <c r="I331" s="89"/>
      <c r="J331" s="89"/>
      <c r="K331" s="290"/>
      <c r="L331" s="64"/>
      <c r="M331" s="64"/>
      <c r="N331" s="64"/>
      <c r="O331" s="64"/>
      <c r="P331" s="65"/>
      <c r="Q331" s="65"/>
    </row>
    <row r="332" spans="1:17" s="66" customFormat="1" ht="18.649999999999999" customHeight="1">
      <c r="A332" s="291"/>
      <c r="B332" s="292" t="s">
        <v>36</v>
      </c>
      <c r="C332" s="292"/>
      <c r="D332" s="293"/>
      <c r="E332" s="294"/>
      <c r="F332" s="294"/>
      <c r="G332" s="294"/>
      <c r="H332" s="294"/>
      <c r="I332" s="294"/>
      <c r="J332" s="294"/>
      <c r="K332" s="295"/>
      <c r="L332" s="64"/>
      <c r="M332" s="64"/>
      <c r="N332" s="64"/>
      <c r="O332" s="64"/>
      <c r="P332" s="65"/>
      <c r="Q332" s="65"/>
    </row>
    <row r="333" spans="1:17" s="66" customFormat="1" ht="18.649999999999999" customHeight="1">
      <c r="A333" s="67"/>
      <c r="B333" s="296" t="str">
        <f>B213</f>
        <v>Plinth Level Beam</v>
      </c>
      <c r="C333" s="296"/>
      <c r="D333" s="121"/>
      <c r="E333" s="122"/>
      <c r="F333" s="122"/>
      <c r="G333" s="297"/>
      <c r="H333" s="122" t="s">
        <v>61</v>
      </c>
      <c r="I333" s="122" t="s">
        <v>128</v>
      </c>
      <c r="J333" s="122" t="s">
        <v>499</v>
      </c>
      <c r="K333" s="123"/>
      <c r="L333" s="64"/>
      <c r="M333" s="64"/>
      <c r="N333" s="64"/>
      <c r="O333" s="64"/>
      <c r="P333" s="65"/>
      <c r="Q333" s="65"/>
    </row>
    <row r="334" spans="1:17" s="66" customFormat="1" ht="18.649999999999999" customHeight="1">
      <c r="A334" s="67"/>
      <c r="B334" s="296" t="str">
        <f>B214</f>
        <v>GB1 (10" x 10")</v>
      </c>
      <c r="C334" s="296"/>
      <c r="D334" s="121"/>
      <c r="E334" s="122"/>
      <c r="F334" s="122"/>
      <c r="G334" s="122"/>
      <c r="H334" s="122"/>
      <c r="I334" s="122"/>
      <c r="J334" s="122"/>
      <c r="K334" s="123"/>
      <c r="L334" s="64"/>
      <c r="M334" s="64"/>
      <c r="N334" s="64"/>
      <c r="O334" s="64"/>
      <c r="P334" s="65"/>
      <c r="Q334" s="65"/>
    </row>
    <row r="335" spans="1:17" s="66" customFormat="1" ht="18.649999999999999" customHeight="1">
      <c r="A335" s="67"/>
      <c r="B335" s="296" t="str">
        <f>B215</f>
        <v xml:space="preserve">A,B,C,D (2-3) 11' 6" L </v>
      </c>
      <c r="C335" s="296">
        <v>11.5</v>
      </c>
      <c r="D335" s="121">
        <f>D215</f>
        <v>4</v>
      </c>
      <c r="E335" s="122">
        <f>E215</f>
        <v>10</v>
      </c>
      <c r="F335" s="122">
        <f>F215</f>
        <v>0.83</v>
      </c>
      <c r="G335" s="122">
        <f>G215</f>
        <v>0.83</v>
      </c>
      <c r="H335" s="69"/>
      <c r="I335" s="69"/>
      <c r="J335" s="69"/>
      <c r="K335" s="70"/>
      <c r="L335" s="64"/>
      <c r="M335" s="64"/>
      <c r="N335" s="64"/>
      <c r="O335" s="64"/>
      <c r="P335" s="65"/>
      <c r="Q335" s="65"/>
    </row>
    <row r="336" spans="1:17" s="66" customFormat="1" ht="18.649999999999999" customHeight="1">
      <c r="A336" s="67"/>
      <c r="B336" s="74" t="s">
        <v>382</v>
      </c>
      <c r="C336" s="74"/>
      <c r="D336" s="68">
        <f>D335*3</f>
        <v>12</v>
      </c>
      <c r="E336" s="69">
        <f>C335-0.25+(G335-0.25)*2</f>
        <v>12.41</v>
      </c>
      <c r="F336" s="69"/>
      <c r="G336" s="69"/>
      <c r="H336" s="71">
        <f>E336*D336</f>
        <v>148.9</v>
      </c>
      <c r="I336" s="69"/>
      <c r="J336" s="69"/>
      <c r="K336" s="70"/>
      <c r="L336" s="64"/>
      <c r="M336" s="64">
        <f>1667.5/39.5</f>
        <v>42.22</v>
      </c>
      <c r="N336" s="64"/>
      <c r="O336" s="64"/>
      <c r="P336" s="65"/>
      <c r="Q336" s="65"/>
    </row>
    <row r="337" spans="1:17" s="66" customFormat="1" ht="18.649999999999999" customHeight="1">
      <c r="A337" s="67"/>
      <c r="B337" s="74" t="s">
        <v>37</v>
      </c>
      <c r="C337" s="74"/>
      <c r="D337" s="68">
        <f>ROUNDDOWN(E336/40,0)*D336</f>
        <v>0</v>
      </c>
      <c r="E337" s="69">
        <f>40*16/1000*3.281</f>
        <v>2.1</v>
      </c>
      <c r="F337" s="69"/>
      <c r="G337" s="69"/>
      <c r="H337" s="71">
        <f>E337*D337</f>
        <v>0</v>
      </c>
      <c r="I337" s="69"/>
      <c r="J337" s="69"/>
      <c r="K337" s="70"/>
      <c r="L337" s="64"/>
      <c r="M337" s="64"/>
      <c r="N337" s="64"/>
      <c r="O337" s="64"/>
      <c r="P337" s="65"/>
      <c r="Q337" s="65"/>
    </row>
    <row r="338" spans="1:17" s="66" customFormat="1" ht="18.649999999999999" customHeight="1">
      <c r="A338" s="67"/>
      <c r="B338" s="74" t="s">
        <v>108</v>
      </c>
      <c r="C338" s="74"/>
      <c r="D338" s="68">
        <f>D335*3</f>
        <v>12</v>
      </c>
      <c r="E338" s="69">
        <f>C335-0.25+18*16/1000*3.281</f>
        <v>12.19</v>
      </c>
      <c r="F338" s="69"/>
      <c r="G338" s="69"/>
      <c r="H338" s="71">
        <f>E338*D338</f>
        <v>146.30000000000001</v>
      </c>
      <c r="I338" s="69"/>
      <c r="J338" s="69"/>
      <c r="K338" s="70"/>
      <c r="L338" s="64"/>
      <c r="M338" s="64"/>
      <c r="N338" s="64"/>
      <c r="O338" s="64"/>
      <c r="P338" s="78"/>
      <c r="Q338" s="78"/>
    </row>
    <row r="339" spans="1:17" s="66" customFormat="1" ht="18.649999999999999" customHeight="1">
      <c r="A339" s="67"/>
      <c r="B339" s="74" t="s">
        <v>37</v>
      </c>
      <c r="C339" s="74"/>
      <c r="D339" s="68">
        <f>ROUNDDOWN(E338/40,0)*D338</f>
        <v>0</v>
      </c>
      <c r="E339" s="69">
        <f>40*16/1000*3.281</f>
        <v>2.1</v>
      </c>
      <c r="F339" s="69"/>
      <c r="G339" s="69"/>
      <c r="H339" s="71">
        <f>E339*D339</f>
        <v>0</v>
      </c>
      <c r="I339" s="69"/>
      <c r="J339" s="69"/>
      <c r="K339" s="70"/>
      <c r="L339" s="64"/>
      <c r="M339" s="64">
        <f>58+42</f>
        <v>100</v>
      </c>
      <c r="N339" s="64"/>
      <c r="O339" s="64"/>
      <c r="P339" s="78"/>
      <c r="Q339" s="78"/>
    </row>
    <row r="340" spans="1:17" s="66" customFormat="1" ht="18.649999999999999" customHeight="1">
      <c r="A340" s="67"/>
      <c r="B340" s="74" t="s">
        <v>383</v>
      </c>
      <c r="C340" s="298">
        <f>2*G335</f>
        <v>1.66</v>
      </c>
      <c r="D340" s="68">
        <f>D335*ROUND(E335/0.4,0)</f>
        <v>100</v>
      </c>
      <c r="E340" s="69">
        <f>ROUND((F335-0.25+G335-0.25)*2+24*10/1000*3.281,2)</f>
        <v>3.11</v>
      </c>
      <c r="F340" s="69"/>
      <c r="G340" s="69"/>
      <c r="H340" s="69"/>
      <c r="I340" s="69">
        <f>D340*E340</f>
        <v>311</v>
      </c>
      <c r="J340" s="69"/>
      <c r="K340" s="70"/>
      <c r="L340" s="64"/>
      <c r="M340" s="64"/>
      <c r="N340" s="64"/>
      <c r="O340" s="64"/>
      <c r="P340" s="78"/>
      <c r="Q340" s="78"/>
    </row>
    <row r="341" spans="1:17" s="66" customFormat="1" ht="18.649999999999999" customHeight="1">
      <c r="A341" s="67"/>
      <c r="B341" s="74"/>
      <c r="C341" s="74"/>
      <c r="D341" s="68"/>
      <c r="E341" s="69"/>
      <c r="F341" s="69"/>
      <c r="G341" s="69"/>
      <c r="H341" s="69"/>
      <c r="I341" s="69"/>
      <c r="J341" s="69"/>
      <c r="K341" s="70"/>
      <c r="L341" s="64"/>
      <c r="M341" s="64"/>
      <c r="N341" s="64"/>
      <c r="O341" s="64"/>
      <c r="P341" s="78"/>
      <c r="Q341" s="78"/>
    </row>
    <row r="342" spans="1:17" s="66" customFormat="1" ht="18.649999999999999" customHeight="1">
      <c r="A342" s="67"/>
      <c r="B342" s="299" t="str">
        <f>B216</f>
        <v>Line 1,2,3 (B-D), 19' L</v>
      </c>
      <c r="C342" s="299">
        <v>19</v>
      </c>
      <c r="D342" s="121">
        <f>D216</f>
        <v>3</v>
      </c>
      <c r="E342" s="122">
        <f>E216</f>
        <v>16.5</v>
      </c>
      <c r="F342" s="122">
        <f>F216</f>
        <v>0.83</v>
      </c>
      <c r="G342" s="122">
        <f>G216</f>
        <v>0.83</v>
      </c>
      <c r="H342" s="69"/>
      <c r="I342" s="69"/>
      <c r="J342" s="69"/>
      <c r="K342" s="70"/>
      <c r="L342" s="64"/>
      <c r="M342" s="64"/>
      <c r="N342" s="64"/>
      <c r="O342" s="64"/>
      <c r="P342" s="78"/>
      <c r="Q342" s="78"/>
    </row>
    <row r="343" spans="1:17" s="66" customFormat="1" ht="18.649999999999999" customHeight="1">
      <c r="A343" s="67"/>
      <c r="B343" s="74" t="s">
        <v>382</v>
      </c>
      <c r="C343" s="74"/>
      <c r="D343" s="68">
        <f>D342*3</f>
        <v>9</v>
      </c>
      <c r="E343" s="69">
        <f>C342-0.25+(G342-0.25)*2</f>
        <v>19.91</v>
      </c>
      <c r="F343" s="69"/>
      <c r="G343" s="69"/>
      <c r="H343" s="71">
        <f>E343*D343</f>
        <v>179.2</v>
      </c>
      <c r="I343" s="69"/>
      <c r="J343" s="69"/>
      <c r="K343" s="70"/>
      <c r="L343" s="64"/>
      <c r="M343" s="64">
        <f>1667.5/39.5</f>
        <v>42.22</v>
      </c>
      <c r="N343" s="64"/>
      <c r="O343" s="64"/>
      <c r="P343" s="65"/>
      <c r="Q343" s="65"/>
    </row>
    <row r="344" spans="1:17" s="66" customFormat="1" ht="18.649999999999999" customHeight="1">
      <c r="A344" s="67"/>
      <c r="B344" s="74" t="s">
        <v>37</v>
      </c>
      <c r="C344" s="74"/>
      <c r="D344" s="68">
        <f>ROUNDDOWN(E343/40,0)*D343</f>
        <v>0</v>
      </c>
      <c r="E344" s="69">
        <f>40*16/1000*3.281</f>
        <v>2.1</v>
      </c>
      <c r="F344" s="69"/>
      <c r="G344" s="69"/>
      <c r="H344" s="71">
        <f>E344*D344</f>
        <v>0</v>
      </c>
      <c r="I344" s="69"/>
      <c r="J344" s="69"/>
      <c r="K344" s="70"/>
      <c r="L344" s="64"/>
      <c r="M344" s="64"/>
      <c r="N344" s="64"/>
      <c r="O344" s="64"/>
      <c r="P344" s="65"/>
      <c r="Q344" s="65"/>
    </row>
    <row r="345" spans="1:17" s="66" customFormat="1" ht="18.649999999999999" customHeight="1">
      <c r="A345" s="67"/>
      <c r="B345" s="74" t="s">
        <v>108</v>
      </c>
      <c r="C345" s="74"/>
      <c r="D345" s="68">
        <f>D342*3</f>
        <v>9</v>
      </c>
      <c r="E345" s="69">
        <f>C342-0.25+18*16/1000*3.281</f>
        <v>19.690000000000001</v>
      </c>
      <c r="F345" s="69"/>
      <c r="G345" s="69"/>
      <c r="H345" s="71">
        <f>E345*D345</f>
        <v>177.2</v>
      </c>
      <c r="I345" s="69"/>
      <c r="J345" s="69"/>
      <c r="K345" s="70"/>
      <c r="L345" s="64"/>
      <c r="M345" s="64"/>
      <c r="N345" s="64"/>
      <c r="O345" s="64"/>
      <c r="P345" s="78"/>
      <c r="Q345" s="78"/>
    </row>
    <row r="346" spans="1:17" s="66" customFormat="1" ht="18.649999999999999" customHeight="1">
      <c r="A346" s="67"/>
      <c r="B346" s="74" t="s">
        <v>37</v>
      </c>
      <c r="C346" s="74"/>
      <c r="D346" s="68">
        <f>ROUNDDOWN(E345/40,0)*D345</f>
        <v>0</v>
      </c>
      <c r="E346" s="69">
        <f>40*16/1000*3.281</f>
        <v>2.1</v>
      </c>
      <c r="F346" s="69"/>
      <c r="G346" s="69"/>
      <c r="H346" s="71">
        <f>E346*D346</f>
        <v>0</v>
      </c>
      <c r="I346" s="69"/>
      <c r="J346" s="69"/>
      <c r="K346" s="70"/>
      <c r="L346" s="64"/>
      <c r="M346" s="64">
        <f>58+42</f>
        <v>100</v>
      </c>
      <c r="N346" s="64"/>
      <c r="O346" s="64"/>
      <c r="P346" s="78"/>
      <c r="Q346" s="78"/>
    </row>
    <row r="347" spans="1:17" s="66" customFormat="1" ht="18.649999999999999" customHeight="1">
      <c r="A347" s="67"/>
      <c r="B347" s="74" t="s">
        <v>383</v>
      </c>
      <c r="C347" s="298">
        <f>2*G342</f>
        <v>1.66</v>
      </c>
      <c r="D347" s="68">
        <f>D342*ROUND(E342/0.4,0)</f>
        <v>123</v>
      </c>
      <c r="E347" s="69">
        <f>ROUND((F342-0.25+G342-0.25)*2+24*10/1000*3.281,2)</f>
        <v>3.11</v>
      </c>
      <c r="F347" s="69"/>
      <c r="G347" s="69"/>
      <c r="H347" s="69"/>
      <c r="I347" s="69">
        <f>D347*E347</f>
        <v>382.53</v>
      </c>
      <c r="J347" s="69"/>
      <c r="K347" s="70"/>
      <c r="L347" s="64"/>
      <c r="M347" s="64"/>
      <c r="N347" s="64"/>
      <c r="O347" s="64"/>
      <c r="P347" s="78"/>
      <c r="Q347" s="78"/>
    </row>
    <row r="348" spans="1:17" s="66" customFormat="1" ht="18.649999999999999" customHeight="1">
      <c r="A348" s="67"/>
      <c r="B348" s="74"/>
      <c r="C348" s="74"/>
      <c r="D348" s="68"/>
      <c r="E348" s="69"/>
      <c r="F348" s="69"/>
      <c r="G348" s="69"/>
      <c r="H348" s="69"/>
      <c r="I348" s="69"/>
      <c r="J348" s="69"/>
      <c r="K348" s="70"/>
      <c r="L348" s="64"/>
      <c r="M348" s="64"/>
      <c r="N348" s="64"/>
      <c r="O348" s="64"/>
      <c r="P348" s="78"/>
      <c r="Q348" s="78"/>
    </row>
    <row r="349" spans="1:17" s="66" customFormat="1" ht="18.649999999999999" customHeight="1">
      <c r="A349" s="67"/>
      <c r="B349" s="299" t="str">
        <f>B217</f>
        <v>Bet; 1&amp;2, 14' L</v>
      </c>
      <c r="C349" s="299">
        <v>14</v>
      </c>
      <c r="D349" s="121">
        <f>D217</f>
        <v>1</v>
      </c>
      <c r="E349" s="122">
        <f>E217</f>
        <v>11.67</v>
      </c>
      <c r="F349" s="122">
        <f>F217</f>
        <v>0.83</v>
      </c>
      <c r="G349" s="122">
        <f>G217</f>
        <v>0.83</v>
      </c>
      <c r="H349" s="69"/>
      <c r="I349" s="69"/>
      <c r="J349" s="69"/>
      <c r="K349" s="70"/>
      <c r="L349" s="64"/>
      <c r="M349" s="64"/>
      <c r="N349" s="64"/>
      <c r="O349" s="64"/>
      <c r="P349" s="78"/>
      <c r="Q349" s="78"/>
    </row>
    <row r="350" spans="1:17" s="66" customFormat="1" ht="18.649999999999999" customHeight="1">
      <c r="A350" s="67"/>
      <c r="B350" s="74" t="s">
        <v>382</v>
      </c>
      <c r="C350" s="74"/>
      <c r="D350" s="68">
        <f>D349*3</f>
        <v>3</v>
      </c>
      <c r="E350" s="69">
        <f>C349-0.25+(G349-0.25)*2</f>
        <v>14.91</v>
      </c>
      <c r="F350" s="69"/>
      <c r="G350" s="69"/>
      <c r="H350" s="71">
        <f>E350*D350</f>
        <v>44.7</v>
      </c>
      <c r="I350" s="69"/>
      <c r="J350" s="69"/>
      <c r="K350" s="70"/>
      <c r="L350" s="64"/>
      <c r="M350" s="64">
        <f>1667.5/39.5</f>
        <v>42.22</v>
      </c>
      <c r="N350" s="64"/>
      <c r="O350" s="64"/>
      <c r="P350" s="65"/>
      <c r="Q350" s="65"/>
    </row>
    <row r="351" spans="1:17" s="66" customFormat="1" ht="18.649999999999999" customHeight="1">
      <c r="A351" s="67"/>
      <c r="B351" s="74" t="s">
        <v>37</v>
      </c>
      <c r="C351" s="74"/>
      <c r="D351" s="68">
        <f>ROUNDDOWN(E350/40,0)*D350</f>
        <v>0</v>
      </c>
      <c r="E351" s="69">
        <f>40*16/1000*3.281</f>
        <v>2.1</v>
      </c>
      <c r="F351" s="69"/>
      <c r="G351" s="69"/>
      <c r="H351" s="71">
        <f>E351*D351</f>
        <v>0</v>
      </c>
      <c r="I351" s="69"/>
      <c r="J351" s="69"/>
      <c r="K351" s="70"/>
      <c r="L351" s="64"/>
      <c r="M351" s="64"/>
      <c r="N351" s="64"/>
      <c r="O351" s="64"/>
      <c r="P351" s="65"/>
      <c r="Q351" s="65"/>
    </row>
    <row r="352" spans="1:17" s="66" customFormat="1" ht="18.649999999999999" customHeight="1">
      <c r="A352" s="67"/>
      <c r="B352" s="74" t="s">
        <v>108</v>
      </c>
      <c r="C352" s="74"/>
      <c r="D352" s="68">
        <f>D349*3</f>
        <v>3</v>
      </c>
      <c r="E352" s="69">
        <f>C349-0.25+18*16/1000*3.281</f>
        <v>14.69</v>
      </c>
      <c r="F352" s="69"/>
      <c r="G352" s="69"/>
      <c r="H352" s="71">
        <f>E352*D352</f>
        <v>44.1</v>
      </c>
      <c r="I352" s="69"/>
      <c r="J352" s="69"/>
      <c r="K352" s="70"/>
      <c r="L352" s="64"/>
      <c r="M352" s="64"/>
      <c r="N352" s="64"/>
      <c r="O352" s="64"/>
      <c r="P352" s="78"/>
      <c r="Q352" s="78"/>
    </row>
    <row r="353" spans="1:17" s="66" customFormat="1" ht="18.649999999999999" customHeight="1">
      <c r="A353" s="67"/>
      <c r="B353" s="74" t="s">
        <v>37</v>
      </c>
      <c r="C353" s="74"/>
      <c r="D353" s="68">
        <f>ROUNDDOWN(E352/40,0)*D352</f>
        <v>0</v>
      </c>
      <c r="E353" s="69">
        <f>40*16/1000*3.281</f>
        <v>2.1</v>
      </c>
      <c r="F353" s="69"/>
      <c r="G353" s="69"/>
      <c r="H353" s="71">
        <f>E353*D353</f>
        <v>0</v>
      </c>
      <c r="I353" s="69"/>
      <c r="J353" s="69"/>
      <c r="K353" s="70"/>
      <c r="L353" s="64"/>
      <c r="M353" s="64">
        <f>58+42</f>
        <v>100</v>
      </c>
      <c r="N353" s="64"/>
      <c r="O353" s="64"/>
      <c r="P353" s="78"/>
      <c r="Q353" s="78"/>
    </row>
    <row r="354" spans="1:17" s="66" customFormat="1" ht="18.649999999999999" customHeight="1">
      <c r="A354" s="67"/>
      <c r="B354" s="74" t="s">
        <v>383</v>
      </c>
      <c r="C354" s="298">
        <f>2*G349</f>
        <v>1.66</v>
      </c>
      <c r="D354" s="68">
        <f>D349*ROUND(E349/0.4,0)</f>
        <v>29</v>
      </c>
      <c r="E354" s="69">
        <f>ROUND((F349-0.25+G349-0.25)*2+24*10/1000*3.281,2)</f>
        <v>3.11</v>
      </c>
      <c r="F354" s="69"/>
      <c r="G354" s="69"/>
      <c r="H354" s="69"/>
      <c r="I354" s="69">
        <f>D354*E354</f>
        <v>90.19</v>
      </c>
      <c r="J354" s="69"/>
      <c r="K354" s="70"/>
      <c r="L354" s="64"/>
      <c r="M354" s="64"/>
      <c r="N354" s="64"/>
      <c r="O354" s="64"/>
      <c r="P354" s="78"/>
      <c r="Q354" s="78"/>
    </row>
    <row r="355" spans="1:17" s="66" customFormat="1" ht="18.649999999999999" customHeight="1">
      <c r="A355" s="67"/>
      <c r="B355" s="74"/>
      <c r="C355" s="74"/>
      <c r="D355" s="68"/>
      <c r="E355" s="69"/>
      <c r="F355" s="69"/>
      <c r="G355" s="69"/>
      <c r="H355" s="69"/>
      <c r="I355" s="69"/>
      <c r="J355" s="69"/>
      <c r="K355" s="70"/>
      <c r="L355" s="64"/>
      <c r="M355" s="64"/>
      <c r="N355" s="64"/>
      <c r="O355" s="64"/>
      <c r="P355" s="78"/>
      <c r="Q355" s="78"/>
    </row>
    <row r="356" spans="1:17" s="66" customFormat="1" ht="18.649999999999999" customHeight="1">
      <c r="A356" s="67"/>
      <c r="B356" s="299" t="str">
        <f>B218</f>
        <v>Bet; 1&amp;2, 6' L</v>
      </c>
      <c r="C356" s="299">
        <v>6</v>
      </c>
      <c r="D356" s="121">
        <f>D218</f>
        <v>1</v>
      </c>
      <c r="E356" s="122">
        <f>E218</f>
        <v>4.42</v>
      </c>
      <c r="F356" s="122">
        <f>F218</f>
        <v>0.83</v>
      </c>
      <c r="G356" s="122">
        <f>G218</f>
        <v>0.83</v>
      </c>
      <c r="H356" s="69"/>
      <c r="I356" s="69"/>
      <c r="J356" s="69"/>
      <c r="K356" s="70"/>
      <c r="L356" s="64"/>
      <c r="M356" s="64"/>
      <c r="N356" s="64"/>
      <c r="O356" s="64"/>
      <c r="P356" s="78"/>
      <c r="Q356" s="78"/>
    </row>
    <row r="357" spans="1:17" s="66" customFormat="1" ht="18.649999999999999" customHeight="1">
      <c r="A357" s="67"/>
      <c r="B357" s="74" t="s">
        <v>382</v>
      </c>
      <c r="C357" s="74"/>
      <c r="D357" s="68">
        <f>D356*3</f>
        <v>3</v>
      </c>
      <c r="E357" s="69">
        <f>C356-0.25+(G356-0.25)*2</f>
        <v>6.91</v>
      </c>
      <c r="F357" s="69"/>
      <c r="G357" s="69"/>
      <c r="H357" s="71">
        <f>E357*D357</f>
        <v>20.7</v>
      </c>
      <c r="I357" s="69"/>
      <c r="J357" s="69"/>
      <c r="K357" s="70"/>
      <c r="L357" s="64"/>
      <c r="M357" s="64">
        <f>1667.5/39.5</f>
        <v>42.22</v>
      </c>
      <c r="N357" s="64"/>
      <c r="O357" s="64"/>
      <c r="P357" s="65"/>
      <c r="Q357" s="65"/>
    </row>
    <row r="358" spans="1:17" s="66" customFormat="1" ht="18.649999999999999" customHeight="1">
      <c r="A358" s="67"/>
      <c r="B358" s="74" t="s">
        <v>37</v>
      </c>
      <c r="C358" s="74"/>
      <c r="D358" s="68">
        <f>ROUNDDOWN(E357/40,0)*D357</f>
        <v>0</v>
      </c>
      <c r="E358" s="69">
        <f>40*16/1000*3.281</f>
        <v>2.1</v>
      </c>
      <c r="F358" s="69"/>
      <c r="G358" s="69"/>
      <c r="H358" s="71">
        <f>E358*D358</f>
        <v>0</v>
      </c>
      <c r="I358" s="69"/>
      <c r="J358" s="69"/>
      <c r="K358" s="70"/>
      <c r="L358" s="64"/>
      <c r="M358" s="64"/>
      <c r="N358" s="64"/>
      <c r="O358" s="64"/>
      <c r="P358" s="65"/>
      <c r="Q358" s="65"/>
    </row>
    <row r="359" spans="1:17" s="66" customFormat="1" ht="18.649999999999999" customHeight="1">
      <c r="A359" s="67"/>
      <c r="B359" s="74" t="s">
        <v>108</v>
      </c>
      <c r="C359" s="74"/>
      <c r="D359" s="68">
        <f>D356*3</f>
        <v>3</v>
      </c>
      <c r="E359" s="69">
        <f>C356-0.25+18*16/1000*3.281</f>
        <v>6.69</v>
      </c>
      <c r="F359" s="69"/>
      <c r="G359" s="69"/>
      <c r="H359" s="71">
        <f>E359*D359</f>
        <v>20.100000000000001</v>
      </c>
      <c r="I359" s="69"/>
      <c r="J359" s="69"/>
      <c r="K359" s="70"/>
      <c r="L359" s="64"/>
      <c r="M359" s="64"/>
      <c r="N359" s="64"/>
      <c r="O359" s="64"/>
      <c r="P359" s="78"/>
      <c r="Q359" s="78"/>
    </row>
    <row r="360" spans="1:17" s="66" customFormat="1" ht="18.649999999999999" customHeight="1">
      <c r="A360" s="67"/>
      <c r="B360" s="74" t="s">
        <v>37</v>
      </c>
      <c r="C360" s="74"/>
      <c r="D360" s="68">
        <f>ROUNDDOWN(E359/40,0)*D359</f>
        <v>0</v>
      </c>
      <c r="E360" s="69">
        <f>40*16/1000*3.281</f>
        <v>2.1</v>
      </c>
      <c r="F360" s="69"/>
      <c r="G360" s="69"/>
      <c r="H360" s="71">
        <f>E360*D360</f>
        <v>0</v>
      </c>
      <c r="I360" s="69"/>
      <c r="J360" s="69"/>
      <c r="K360" s="70"/>
      <c r="L360" s="64"/>
      <c r="M360" s="64">
        <f>58+42</f>
        <v>100</v>
      </c>
      <c r="N360" s="64"/>
      <c r="O360" s="64"/>
      <c r="P360" s="78"/>
      <c r="Q360" s="78"/>
    </row>
    <row r="361" spans="1:17" s="66" customFormat="1" ht="18.649999999999999" customHeight="1">
      <c r="A361" s="67"/>
      <c r="B361" s="74" t="s">
        <v>383</v>
      </c>
      <c r="C361" s="298">
        <f>2*G356</f>
        <v>1.66</v>
      </c>
      <c r="D361" s="68">
        <f>D356*ROUND(E356/0.4,0)</f>
        <v>11</v>
      </c>
      <c r="E361" s="69">
        <f>ROUND((F356-0.25+G356-0.25)*2+24*10/1000*3.281,2)</f>
        <v>3.11</v>
      </c>
      <c r="F361" s="69"/>
      <c r="G361" s="69"/>
      <c r="H361" s="69"/>
      <c r="I361" s="69">
        <f>D361*E361</f>
        <v>34.21</v>
      </c>
      <c r="J361" s="69"/>
      <c r="K361" s="70"/>
      <c r="L361" s="64"/>
      <c r="M361" s="64"/>
      <c r="N361" s="64"/>
      <c r="O361" s="64"/>
      <c r="P361" s="78"/>
      <c r="Q361" s="78"/>
    </row>
    <row r="362" spans="1:17" s="66" customFormat="1" ht="18.649999999999999" customHeight="1">
      <c r="A362" s="67"/>
      <c r="B362" s="74"/>
      <c r="C362" s="298"/>
      <c r="D362" s="68"/>
      <c r="E362" s="69"/>
      <c r="F362" s="69"/>
      <c r="G362" s="69"/>
      <c r="H362" s="69"/>
      <c r="I362" s="69"/>
      <c r="J362" s="69"/>
      <c r="K362" s="70"/>
      <c r="L362" s="64"/>
      <c r="M362" s="64"/>
      <c r="N362" s="64"/>
      <c r="O362" s="64"/>
      <c r="P362" s="78"/>
      <c r="Q362" s="78"/>
    </row>
    <row r="363" spans="1:17" s="66" customFormat="1" ht="18.649999999999999" customHeight="1">
      <c r="A363" s="67"/>
      <c r="B363" s="333" t="str">
        <f>B219</f>
        <v>Y-Dir Bet; (2&amp;3), 10' L</v>
      </c>
      <c r="C363" s="334">
        <v>10</v>
      </c>
      <c r="D363" s="335">
        <f>D219</f>
        <v>1</v>
      </c>
      <c r="E363" s="336">
        <f>E219</f>
        <v>8.33</v>
      </c>
      <c r="F363" s="336">
        <f>F219</f>
        <v>0.83</v>
      </c>
      <c r="G363" s="336">
        <f>G219</f>
        <v>0.83</v>
      </c>
      <c r="H363" s="69"/>
      <c r="I363" s="69"/>
      <c r="J363" s="69"/>
      <c r="K363" s="70"/>
      <c r="L363" s="64"/>
      <c r="M363" s="64"/>
      <c r="N363" s="64"/>
      <c r="O363" s="64"/>
      <c r="P363" s="78"/>
      <c r="Q363" s="78"/>
    </row>
    <row r="364" spans="1:17" s="66" customFormat="1" ht="18.649999999999999" customHeight="1">
      <c r="A364" s="67"/>
      <c r="B364" s="74" t="s">
        <v>382</v>
      </c>
      <c r="C364" s="74"/>
      <c r="D364" s="68">
        <f>D363*3</f>
        <v>3</v>
      </c>
      <c r="E364" s="69">
        <f>C363-0.25+(G363-0.25)*2</f>
        <v>10.91</v>
      </c>
      <c r="F364" s="69"/>
      <c r="G364" s="69"/>
      <c r="H364" s="71">
        <f>E364*D364</f>
        <v>32.700000000000003</v>
      </c>
      <c r="I364" s="69"/>
      <c r="J364" s="69"/>
      <c r="K364" s="70"/>
      <c r="L364" s="64"/>
      <c r="M364" s="64">
        <f>1667.5/39.5</f>
        <v>42.22</v>
      </c>
      <c r="N364" s="64"/>
      <c r="O364" s="64"/>
      <c r="P364" s="65"/>
      <c r="Q364" s="65"/>
    </row>
    <row r="365" spans="1:17" s="66" customFormat="1" ht="18.649999999999999" customHeight="1">
      <c r="A365" s="67"/>
      <c r="B365" s="74" t="s">
        <v>37</v>
      </c>
      <c r="C365" s="74"/>
      <c r="D365" s="68">
        <f>ROUNDDOWN(E364/40,0)*D364</f>
        <v>0</v>
      </c>
      <c r="E365" s="69">
        <f>40*16/1000*3.281</f>
        <v>2.1</v>
      </c>
      <c r="F365" s="69"/>
      <c r="G365" s="69"/>
      <c r="H365" s="71">
        <f>E365*D365</f>
        <v>0</v>
      </c>
      <c r="I365" s="69"/>
      <c r="J365" s="69"/>
      <c r="K365" s="70"/>
      <c r="L365" s="64"/>
      <c r="M365" s="64"/>
      <c r="N365" s="64"/>
      <c r="O365" s="64"/>
      <c r="P365" s="65"/>
      <c r="Q365" s="65"/>
    </row>
    <row r="366" spans="1:17" s="66" customFormat="1" ht="18.649999999999999" customHeight="1">
      <c r="A366" s="67"/>
      <c r="B366" s="74" t="s">
        <v>108</v>
      </c>
      <c r="C366" s="74"/>
      <c r="D366" s="68">
        <f>D363*3</f>
        <v>3</v>
      </c>
      <c r="E366" s="69">
        <f>C363-0.25+18*16/1000*3.281</f>
        <v>10.69</v>
      </c>
      <c r="F366" s="69"/>
      <c r="G366" s="69"/>
      <c r="H366" s="71">
        <f>E366*D366</f>
        <v>32.1</v>
      </c>
      <c r="I366" s="69"/>
      <c r="J366" s="69"/>
      <c r="K366" s="70"/>
      <c r="L366" s="64"/>
      <c r="M366" s="64"/>
      <c r="N366" s="64"/>
      <c r="O366" s="64"/>
      <c r="P366" s="78"/>
      <c r="Q366" s="78"/>
    </row>
    <row r="367" spans="1:17" s="66" customFormat="1" ht="18.649999999999999" customHeight="1">
      <c r="A367" s="67"/>
      <c r="B367" s="74" t="s">
        <v>37</v>
      </c>
      <c r="C367" s="74"/>
      <c r="D367" s="68">
        <f>ROUNDDOWN(E366/40,0)*D366</f>
        <v>0</v>
      </c>
      <c r="E367" s="69">
        <f>40*16/1000*3.281</f>
        <v>2.1</v>
      </c>
      <c r="F367" s="69"/>
      <c r="G367" s="69"/>
      <c r="H367" s="71">
        <f>E367*D367</f>
        <v>0</v>
      </c>
      <c r="I367" s="69"/>
      <c r="J367" s="69"/>
      <c r="K367" s="70"/>
      <c r="L367" s="64"/>
      <c r="M367" s="64">
        <f>58+42</f>
        <v>100</v>
      </c>
      <c r="N367" s="64"/>
      <c r="O367" s="64"/>
      <c r="P367" s="78"/>
      <c r="Q367" s="78"/>
    </row>
    <row r="368" spans="1:17" s="66" customFormat="1" ht="18.649999999999999" customHeight="1">
      <c r="A368" s="67"/>
      <c r="B368" s="74" t="s">
        <v>383</v>
      </c>
      <c r="C368" s="298">
        <f>2*G363</f>
        <v>1.66</v>
      </c>
      <c r="D368" s="68">
        <f>D363*ROUND(E363/0.4,0)</f>
        <v>21</v>
      </c>
      <c r="E368" s="69">
        <f>ROUND((F363-0.25+G363-0.25)*2+24*10/1000*3.281,2)</f>
        <v>3.11</v>
      </c>
      <c r="F368" s="69"/>
      <c r="G368" s="69"/>
      <c r="H368" s="69"/>
      <c r="I368" s="69">
        <f>D368*E368</f>
        <v>65.31</v>
      </c>
      <c r="J368" s="69"/>
      <c r="K368" s="70"/>
      <c r="L368" s="64"/>
      <c r="M368" s="64"/>
      <c r="N368" s="64"/>
      <c r="O368" s="64"/>
      <c r="P368" s="78"/>
      <c r="Q368" s="78"/>
    </row>
    <row r="369" spans="1:17" s="66" customFormat="1" ht="18.649999999999999" customHeight="1">
      <c r="A369" s="67"/>
      <c r="B369" s="74"/>
      <c r="C369" s="298"/>
      <c r="D369" s="68"/>
      <c r="E369" s="69"/>
      <c r="F369" s="69"/>
      <c r="G369" s="69"/>
      <c r="H369" s="69"/>
      <c r="I369" s="69"/>
      <c r="J369" s="69"/>
      <c r="K369" s="70"/>
      <c r="L369" s="64"/>
      <c r="M369" s="64"/>
      <c r="N369" s="64"/>
      <c r="O369" s="64"/>
      <c r="P369" s="78"/>
      <c r="Q369" s="78"/>
    </row>
    <row r="370" spans="1:17" s="66" customFormat="1" ht="18.649999999999999" customHeight="1">
      <c r="A370" s="67"/>
      <c r="B370" s="333" t="str">
        <f>B220</f>
        <v>X-Dir Bet; 2&amp;3 (B&amp;C), 7' 8" L</v>
      </c>
      <c r="C370" s="334">
        <v>7.67</v>
      </c>
      <c r="D370" s="335">
        <f>D220</f>
        <v>1</v>
      </c>
      <c r="E370" s="336">
        <f>E220</f>
        <v>6</v>
      </c>
      <c r="F370" s="336">
        <f>F220</f>
        <v>0.83</v>
      </c>
      <c r="G370" s="336">
        <f>G220</f>
        <v>0.83</v>
      </c>
      <c r="H370" s="69"/>
      <c r="I370" s="69"/>
      <c r="J370" s="69"/>
      <c r="K370" s="70"/>
      <c r="L370" s="64"/>
      <c r="M370" s="64"/>
      <c r="N370" s="64"/>
      <c r="O370" s="64"/>
      <c r="P370" s="78"/>
      <c r="Q370" s="78"/>
    </row>
    <row r="371" spans="1:17" s="66" customFormat="1" ht="18.649999999999999" customHeight="1">
      <c r="A371" s="67"/>
      <c r="B371" s="74" t="s">
        <v>382</v>
      </c>
      <c r="C371" s="74"/>
      <c r="D371" s="68">
        <f>D370*3</f>
        <v>3</v>
      </c>
      <c r="E371" s="69">
        <f>C370-0.25+(G370-0.25)*2</f>
        <v>8.58</v>
      </c>
      <c r="F371" s="69"/>
      <c r="G371" s="69"/>
      <c r="H371" s="71">
        <f>E371*D371</f>
        <v>25.7</v>
      </c>
      <c r="I371" s="69"/>
      <c r="J371" s="69"/>
      <c r="K371" s="70"/>
      <c r="L371" s="64"/>
      <c r="M371" s="64">
        <f>1667.5/39.5</f>
        <v>42.22</v>
      </c>
      <c r="N371" s="64"/>
      <c r="O371" s="64"/>
      <c r="P371" s="65"/>
      <c r="Q371" s="65"/>
    </row>
    <row r="372" spans="1:17" s="66" customFormat="1" ht="18.649999999999999" customHeight="1">
      <c r="A372" s="67"/>
      <c r="B372" s="74" t="s">
        <v>37</v>
      </c>
      <c r="C372" s="74"/>
      <c r="D372" s="68">
        <f>ROUNDDOWN(E371/40,0)*D371</f>
        <v>0</v>
      </c>
      <c r="E372" s="69">
        <f>40*16/1000*3.281</f>
        <v>2.1</v>
      </c>
      <c r="F372" s="69"/>
      <c r="G372" s="69"/>
      <c r="H372" s="71">
        <f>E372*D372</f>
        <v>0</v>
      </c>
      <c r="I372" s="69"/>
      <c r="J372" s="69"/>
      <c r="K372" s="70"/>
      <c r="L372" s="64"/>
      <c r="M372" s="64"/>
      <c r="N372" s="64"/>
      <c r="O372" s="64"/>
      <c r="P372" s="65"/>
      <c r="Q372" s="65"/>
    </row>
    <row r="373" spans="1:17" s="66" customFormat="1" ht="18.649999999999999" customHeight="1">
      <c r="A373" s="67"/>
      <c r="B373" s="74" t="s">
        <v>108</v>
      </c>
      <c r="C373" s="74"/>
      <c r="D373" s="68">
        <f>D370*3</f>
        <v>3</v>
      </c>
      <c r="E373" s="69">
        <f>C370-0.25+18*16/1000*3.281</f>
        <v>8.36</v>
      </c>
      <c r="F373" s="69"/>
      <c r="G373" s="69"/>
      <c r="H373" s="71">
        <f>E373*D373</f>
        <v>25.1</v>
      </c>
      <c r="I373" s="69"/>
      <c r="J373" s="69"/>
      <c r="K373" s="70"/>
      <c r="L373" s="64"/>
      <c r="M373" s="64"/>
      <c r="N373" s="64"/>
      <c r="O373" s="64"/>
      <c r="P373" s="78"/>
      <c r="Q373" s="78"/>
    </row>
    <row r="374" spans="1:17" s="66" customFormat="1" ht="18.649999999999999" customHeight="1">
      <c r="A374" s="67"/>
      <c r="B374" s="74" t="s">
        <v>37</v>
      </c>
      <c r="C374" s="74"/>
      <c r="D374" s="68">
        <f>ROUNDDOWN(E373/40,0)*D373</f>
        <v>0</v>
      </c>
      <c r="E374" s="69">
        <f>40*16/1000*3.281</f>
        <v>2.1</v>
      </c>
      <c r="F374" s="69"/>
      <c r="G374" s="69"/>
      <c r="H374" s="71">
        <f>E374*D374</f>
        <v>0</v>
      </c>
      <c r="I374" s="69"/>
      <c r="J374" s="69"/>
      <c r="K374" s="70"/>
      <c r="L374" s="64"/>
      <c r="M374" s="64">
        <f>58+42</f>
        <v>100</v>
      </c>
      <c r="N374" s="64"/>
      <c r="O374" s="64"/>
      <c r="P374" s="78"/>
      <c r="Q374" s="78"/>
    </row>
    <row r="375" spans="1:17" s="66" customFormat="1" ht="18.649999999999999" customHeight="1">
      <c r="A375" s="67"/>
      <c r="B375" s="74" t="s">
        <v>383</v>
      </c>
      <c r="C375" s="298">
        <f>2*G370</f>
        <v>1.66</v>
      </c>
      <c r="D375" s="68">
        <f>D370*ROUND(E370/0.4,0)</f>
        <v>15</v>
      </c>
      <c r="E375" s="69">
        <f>ROUND((F370-0.25+G370-0.25)*2+24*10/1000*3.281,2)</f>
        <v>3.11</v>
      </c>
      <c r="F375" s="69"/>
      <c r="G375" s="69"/>
      <c r="H375" s="69"/>
      <c r="I375" s="69">
        <f>D375*E375</f>
        <v>46.65</v>
      </c>
      <c r="J375" s="69"/>
      <c r="K375" s="70"/>
      <c r="L375" s="64"/>
      <c r="M375" s="64"/>
      <c r="N375" s="64"/>
      <c r="O375" s="64"/>
      <c r="P375" s="78"/>
      <c r="Q375" s="78"/>
    </row>
    <row r="376" spans="1:17" s="66" customFormat="1" ht="18.649999999999999" customHeight="1">
      <c r="A376" s="67"/>
      <c r="B376" s="74"/>
      <c r="C376" s="298"/>
      <c r="D376" s="68"/>
      <c r="E376" s="69"/>
      <c r="F376" s="69"/>
      <c r="G376" s="69"/>
      <c r="H376" s="69"/>
      <c r="I376" s="69"/>
      <c r="J376" s="69"/>
      <c r="K376" s="70"/>
      <c r="L376" s="64"/>
      <c r="M376" s="64"/>
      <c r="N376" s="64"/>
      <c r="O376" s="64"/>
      <c r="P376" s="78"/>
      <c r="Q376" s="78"/>
    </row>
    <row r="377" spans="1:17" s="66" customFormat="1" ht="18.649999999999999" customHeight="1">
      <c r="A377" s="67"/>
      <c r="B377" s="333" t="str">
        <f>B221</f>
        <v>X-Dir Bet 1&amp;2 (B&amp;C), 9' 2" L</v>
      </c>
      <c r="C377" s="334">
        <v>9.17</v>
      </c>
      <c r="D377" s="335">
        <f>D221</f>
        <v>1</v>
      </c>
      <c r="E377" s="336">
        <f>E221</f>
        <v>7.5</v>
      </c>
      <c r="F377" s="336">
        <f>F221</f>
        <v>0.83</v>
      </c>
      <c r="G377" s="336">
        <f>G221</f>
        <v>0.83</v>
      </c>
      <c r="H377" s="69"/>
      <c r="I377" s="69"/>
      <c r="J377" s="69"/>
      <c r="K377" s="70"/>
      <c r="L377" s="64"/>
      <c r="M377" s="64"/>
      <c r="N377" s="64"/>
      <c r="O377" s="64"/>
      <c r="P377" s="78"/>
      <c r="Q377" s="78"/>
    </row>
    <row r="378" spans="1:17" s="66" customFormat="1" ht="18.649999999999999" customHeight="1">
      <c r="A378" s="67"/>
      <c r="B378" s="74" t="s">
        <v>382</v>
      </c>
      <c r="C378" s="74"/>
      <c r="D378" s="68">
        <f>D377*3</f>
        <v>3</v>
      </c>
      <c r="E378" s="69">
        <f>C377-0.25+(G377-0.25)*2</f>
        <v>10.08</v>
      </c>
      <c r="F378" s="69"/>
      <c r="G378" s="69"/>
      <c r="H378" s="71">
        <f>E378*D378</f>
        <v>30.2</v>
      </c>
      <c r="I378" s="69"/>
      <c r="J378" s="69"/>
      <c r="K378" s="70"/>
      <c r="L378" s="64"/>
      <c r="M378" s="64">
        <f>1667.5/39.5</f>
        <v>42.22</v>
      </c>
      <c r="N378" s="64"/>
      <c r="O378" s="64"/>
      <c r="P378" s="65"/>
      <c r="Q378" s="65"/>
    </row>
    <row r="379" spans="1:17" s="66" customFormat="1" ht="18.649999999999999" customHeight="1">
      <c r="A379" s="67"/>
      <c r="B379" s="74" t="s">
        <v>37</v>
      </c>
      <c r="C379" s="74"/>
      <c r="D379" s="68">
        <f>ROUNDDOWN(E378/40,0)*D378</f>
        <v>0</v>
      </c>
      <c r="E379" s="69">
        <f>40*16/1000*3.281</f>
        <v>2.1</v>
      </c>
      <c r="F379" s="69"/>
      <c r="G379" s="69"/>
      <c r="H379" s="71">
        <f>E379*D379</f>
        <v>0</v>
      </c>
      <c r="I379" s="69"/>
      <c r="J379" s="69"/>
      <c r="K379" s="70"/>
      <c r="L379" s="64"/>
      <c r="M379" s="64"/>
      <c r="N379" s="64"/>
      <c r="O379" s="64"/>
      <c r="P379" s="65"/>
      <c r="Q379" s="65"/>
    </row>
    <row r="380" spans="1:17" s="66" customFormat="1" ht="18.649999999999999" customHeight="1">
      <c r="A380" s="67"/>
      <c r="B380" s="74" t="s">
        <v>108</v>
      </c>
      <c r="C380" s="74"/>
      <c r="D380" s="68">
        <f>D377*3</f>
        <v>3</v>
      </c>
      <c r="E380" s="69">
        <f>C377-0.25+18*16/1000*3.281</f>
        <v>9.86</v>
      </c>
      <c r="F380" s="69"/>
      <c r="G380" s="69"/>
      <c r="H380" s="71">
        <f>E380*D380</f>
        <v>29.6</v>
      </c>
      <c r="I380" s="69"/>
      <c r="J380" s="69"/>
      <c r="K380" s="70"/>
      <c r="L380" s="64"/>
      <c r="M380" s="64"/>
      <c r="N380" s="64"/>
      <c r="O380" s="64"/>
      <c r="P380" s="78"/>
      <c r="Q380" s="78"/>
    </row>
    <row r="381" spans="1:17" s="66" customFormat="1" ht="18.649999999999999" customHeight="1">
      <c r="A381" s="67"/>
      <c r="B381" s="74" t="s">
        <v>37</v>
      </c>
      <c r="C381" s="74"/>
      <c r="D381" s="68">
        <f>ROUNDDOWN(E380/40,0)*D380</f>
        <v>0</v>
      </c>
      <c r="E381" s="69">
        <f>40*16/1000*3.281</f>
        <v>2.1</v>
      </c>
      <c r="F381" s="69"/>
      <c r="G381" s="69"/>
      <c r="H381" s="71">
        <f>E381*D381</f>
        <v>0</v>
      </c>
      <c r="I381" s="69"/>
      <c r="J381" s="69"/>
      <c r="K381" s="70"/>
      <c r="L381" s="64"/>
      <c r="M381" s="64">
        <f>58+42</f>
        <v>100</v>
      </c>
      <c r="N381" s="64"/>
      <c r="O381" s="64"/>
      <c r="P381" s="78"/>
      <c r="Q381" s="78"/>
    </row>
    <row r="382" spans="1:17" s="66" customFormat="1" ht="18.649999999999999" customHeight="1">
      <c r="A382" s="67"/>
      <c r="B382" s="74" t="s">
        <v>383</v>
      </c>
      <c r="C382" s="298">
        <f>2*G377</f>
        <v>1.66</v>
      </c>
      <c r="D382" s="68">
        <f>D377*ROUND(E377/0.4,0)</f>
        <v>19</v>
      </c>
      <c r="E382" s="69">
        <f>ROUND((F377-0.25+G377-0.25)*2+24*10/1000*3.281,2)</f>
        <v>3.11</v>
      </c>
      <c r="F382" s="69"/>
      <c r="G382" s="69"/>
      <c r="H382" s="69"/>
      <c r="I382" s="69">
        <f>D382*E382</f>
        <v>59.09</v>
      </c>
      <c r="J382" s="69"/>
      <c r="K382" s="70"/>
      <c r="L382" s="64"/>
      <c r="M382" s="64"/>
      <c r="N382" s="64"/>
      <c r="O382" s="64"/>
      <c r="P382" s="78"/>
      <c r="Q382" s="78"/>
    </row>
    <row r="383" spans="1:17" s="66" customFormat="1" ht="18.649999999999999" customHeight="1">
      <c r="A383" s="67"/>
      <c r="B383" s="74"/>
      <c r="C383" s="298"/>
      <c r="D383" s="68"/>
      <c r="E383" s="69"/>
      <c r="F383" s="69"/>
      <c r="G383" s="69"/>
      <c r="H383" s="69"/>
      <c r="I383" s="69"/>
      <c r="J383" s="69"/>
      <c r="K383" s="70"/>
      <c r="L383" s="64"/>
      <c r="M383" s="64"/>
      <c r="N383" s="64"/>
      <c r="O383" s="64"/>
      <c r="P383" s="78"/>
      <c r="Q383" s="78"/>
    </row>
    <row r="384" spans="1:17" s="66" customFormat="1" ht="18.649999999999999" customHeight="1">
      <c r="A384" s="67"/>
      <c r="B384" s="299" t="str">
        <f>B222</f>
        <v>X-Dir, Portico GB, 10' 8" L</v>
      </c>
      <c r="C384" s="299">
        <v>10.67</v>
      </c>
      <c r="D384" s="121">
        <f>D222</f>
        <v>1</v>
      </c>
      <c r="E384" s="122">
        <f>E222</f>
        <v>9</v>
      </c>
      <c r="F384" s="122">
        <f>F222</f>
        <v>0.83</v>
      </c>
      <c r="G384" s="122">
        <f>G222</f>
        <v>0.83</v>
      </c>
      <c r="H384" s="69"/>
      <c r="I384" s="69"/>
      <c r="J384" s="69"/>
      <c r="K384" s="70"/>
      <c r="L384" s="64"/>
      <c r="M384" s="64"/>
      <c r="N384" s="64"/>
      <c r="O384" s="64"/>
      <c r="P384" s="78"/>
      <c r="Q384" s="78"/>
    </row>
    <row r="385" spans="1:17" s="66" customFormat="1" ht="18.649999999999999" customHeight="1">
      <c r="A385" s="67"/>
      <c r="B385" s="74" t="s">
        <v>382</v>
      </c>
      <c r="C385" s="74"/>
      <c r="D385" s="68">
        <f>D384*3</f>
        <v>3</v>
      </c>
      <c r="E385" s="69">
        <f>C384-0.25+(G384-0.25)*2</f>
        <v>11.58</v>
      </c>
      <c r="F385" s="69"/>
      <c r="G385" s="69"/>
      <c r="H385" s="71">
        <f>E385*D385</f>
        <v>34.700000000000003</v>
      </c>
      <c r="I385" s="69"/>
      <c r="J385" s="69"/>
      <c r="K385" s="70"/>
      <c r="L385" s="64"/>
      <c r="M385" s="64">
        <f>1667.5/39.5</f>
        <v>42.22</v>
      </c>
      <c r="N385" s="64"/>
      <c r="O385" s="64"/>
      <c r="P385" s="65"/>
      <c r="Q385" s="65"/>
    </row>
    <row r="386" spans="1:17" s="66" customFormat="1" ht="18.649999999999999" customHeight="1">
      <c r="A386" s="67"/>
      <c r="B386" s="74" t="s">
        <v>37</v>
      </c>
      <c r="C386" s="74"/>
      <c r="D386" s="68">
        <f>ROUNDDOWN(E385/40,0)*D385</f>
        <v>0</v>
      </c>
      <c r="E386" s="69">
        <f>40*16/1000*3.281</f>
        <v>2.1</v>
      </c>
      <c r="F386" s="69"/>
      <c r="G386" s="69"/>
      <c r="H386" s="71">
        <f>E386*D386</f>
        <v>0</v>
      </c>
      <c r="I386" s="69"/>
      <c r="J386" s="69"/>
      <c r="K386" s="70"/>
      <c r="L386" s="64"/>
      <c r="M386" s="64"/>
      <c r="N386" s="64"/>
      <c r="O386" s="64"/>
      <c r="P386" s="65"/>
      <c r="Q386" s="65"/>
    </row>
    <row r="387" spans="1:17" s="66" customFormat="1" ht="18.649999999999999" customHeight="1">
      <c r="A387" s="67"/>
      <c r="B387" s="74" t="s">
        <v>108</v>
      </c>
      <c r="C387" s="74"/>
      <c r="D387" s="68">
        <f>D384*3</f>
        <v>3</v>
      </c>
      <c r="E387" s="69">
        <f>C384-0.25+18*16/1000*3.281</f>
        <v>11.36</v>
      </c>
      <c r="F387" s="69"/>
      <c r="G387" s="69"/>
      <c r="H387" s="71">
        <f>E387*D387</f>
        <v>34.1</v>
      </c>
      <c r="I387" s="69"/>
      <c r="J387" s="69"/>
      <c r="K387" s="70"/>
      <c r="L387" s="64"/>
      <c r="M387" s="64"/>
      <c r="N387" s="64"/>
      <c r="O387" s="64"/>
      <c r="P387" s="78"/>
      <c r="Q387" s="78"/>
    </row>
    <row r="388" spans="1:17" s="66" customFormat="1" ht="18.649999999999999" customHeight="1">
      <c r="A388" s="67"/>
      <c r="B388" s="74" t="s">
        <v>37</v>
      </c>
      <c r="C388" s="74"/>
      <c r="D388" s="68">
        <f>ROUNDDOWN(E387/40,0)*D387</f>
        <v>0</v>
      </c>
      <c r="E388" s="69">
        <f>40*16/1000*3.281</f>
        <v>2.1</v>
      </c>
      <c r="F388" s="69"/>
      <c r="G388" s="69"/>
      <c r="H388" s="71">
        <f>E388*D388</f>
        <v>0</v>
      </c>
      <c r="I388" s="69"/>
      <c r="J388" s="69"/>
      <c r="K388" s="70"/>
      <c r="L388" s="64"/>
      <c r="M388" s="64">
        <f>58+42</f>
        <v>100</v>
      </c>
      <c r="N388" s="64"/>
      <c r="O388" s="64"/>
      <c r="P388" s="78"/>
      <c r="Q388" s="78"/>
    </row>
    <row r="389" spans="1:17" s="66" customFormat="1" ht="18.649999999999999" customHeight="1">
      <c r="A389" s="67"/>
      <c r="B389" s="74" t="s">
        <v>383</v>
      </c>
      <c r="C389" s="298">
        <f>2*G384</f>
        <v>1.66</v>
      </c>
      <c r="D389" s="68">
        <f>D384*ROUND(E384/0.4,0)</f>
        <v>23</v>
      </c>
      <c r="E389" s="69">
        <f>ROUND((F384-0.25+G384-0.25)*2+24*10/1000*3.281,2)</f>
        <v>3.11</v>
      </c>
      <c r="F389" s="69"/>
      <c r="G389" s="69"/>
      <c r="H389" s="69"/>
      <c r="I389" s="69">
        <f>D389*E389</f>
        <v>71.53</v>
      </c>
      <c r="J389" s="69"/>
      <c r="K389" s="70"/>
      <c r="L389" s="64"/>
      <c r="M389" s="64"/>
      <c r="N389" s="64"/>
      <c r="O389" s="64"/>
      <c r="P389" s="78"/>
      <c r="Q389" s="78"/>
    </row>
    <row r="390" spans="1:17" s="66" customFormat="1" ht="18.649999999999999" customHeight="1">
      <c r="A390" s="67"/>
      <c r="B390" s="74"/>
      <c r="C390" s="74"/>
      <c r="D390" s="68"/>
      <c r="E390" s="69"/>
      <c r="F390" s="69"/>
      <c r="G390" s="69"/>
      <c r="H390" s="69"/>
      <c r="I390" s="69"/>
      <c r="J390" s="69"/>
      <c r="K390" s="70"/>
      <c r="L390" s="64"/>
      <c r="M390" s="64"/>
      <c r="N390" s="64"/>
      <c r="O390" s="64"/>
      <c r="P390" s="78"/>
      <c r="Q390" s="78"/>
    </row>
    <row r="391" spans="1:17" s="66" customFormat="1" ht="18.649999999999999" customHeight="1">
      <c r="A391" s="67"/>
      <c r="B391" s="299" t="str">
        <f>B223</f>
        <v>Y-Dir, Portico GB, 5' 4" L</v>
      </c>
      <c r="C391" s="299">
        <v>5.33</v>
      </c>
      <c r="D391" s="121">
        <f>D223</f>
        <v>2</v>
      </c>
      <c r="E391" s="122">
        <f>E223</f>
        <v>3.67</v>
      </c>
      <c r="F391" s="122">
        <f>F223</f>
        <v>0.83</v>
      </c>
      <c r="G391" s="122">
        <f>G223</f>
        <v>0.83</v>
      </c>
      <c r="H391" s="69"/>
      <c r="I391" s="69"/>
      <c r="J391" s="69"/>
      <c r="K391" s="70"/>
      <c r="L391" s="64"/>
      <c r="M391" s="64"/>
      <c r="N391" s="64"/>
      <c r="O391" s="64"/>
      <c r="P391" s="78"/>
      <c r="Q391" s="78"/>
    </row>
    <row r="392" spans="1:17" s="66" customFormat="1" ht="18.649999999999999" customHeight="1">
      <c r="A392" s="67"/>
      <c r="B392" s="74" t="s">
        <v>382</v>
      </c>
      <c r="C392" s="74"/>
      <c r="D392" s="68">
        <f>D391*3</f>
        <v>6</v>
      </c>
      <c r="E392" s="69">
        <f>C391-0.25+(G391-0.25)*2</f>
        <v>6.24</v>
      </c>
      <c r="F392" s="69"/>
      <c r="G392" s="69"/>
      <c r="H392" s="71">
        <f>E392*D392</f>
        <v>37.4</v>
      </c>
      <c r="I392" s="69"/>
      <c r="J392" s="69"/>
      <c r="K392" s="70"/>
      <c r="L392" s="64"/>
      <c r="M392" s="64">
        <f>1667.5/39.5</f>
        <v>42.22</v>
      </c>
      <c r="N392" s="64"/>
      <c r="O392" s="64"/>
      <c r="P392" s="65"/>
      <c r="Q392" s="65"/>
    </row>
    <row r="393" spans="1:17" s="66" customFormat="1" ht="18.649999999999999" customHeight="1">
      <c r="A393" s="67"/>
      <c r="B393" s="74" t="s">
        <v>37</v>
      </c>
      <c r="C393" s="74"/>
      <c r="D393" s="68">
        <f>ROUNDDOWN(E392/40,0)*D392</f>
        <v>0</v>
      </c>
      <c r="E393" s="69">
        <f>40*16/1000*3.281</f>
        <v>2.1</v>
      </c>
      <c r="F393" s="69"/>
      <c r="G393" s="69"/>
      <c r="H393" s="71">
        <f>E393*D393</f>
        <v>0</v>
      </c>
      <c r="I393" s="69"/>
      <c r="J393" s="69"/>
      <c r="K393" s="70"/>
      <c r="L393" s="64"/>
      <c r="M393" s="64"/>
      <c r="N393" s="64"/>
      <c r="O393" s="64"/>
      <c r="P393" s="65"/>
      <c r="Q393" s="65"/>
    </row>
    <row r="394" spans="1:17" s="66" customFormat="1" ht="18.649999999999999" customHeight="1">
      <c r="A394" s="67"/>
      <c r="B394" s="74" t="s">
        <v>108</v>
      </c>
      <c r="C394" s="74"/>
      <c r="D394" s="68">
        <f>D391*3</f>
        <v>6</v>
      </c>
      <c r="E394" s="69">
        <f>C391-0.25+18*16/1000*3.281</f>
        <v>6.02</v>
      </c>
      <c r="F394" s="69"/>
      <c r="G394" s="69"/>
      <c r="H394" s="71">
        <f>E394*D394</f>
        <v>36.1</v>
      </c>
      <c r="I394" s="69"/>
      <c r="J394" s="69"/>
      <c r="K394" s="70"/>
      <c r="L394" s="64"/>
      <c r="M394" s="64"/>
      <c r="N394" s="64"/>
      <c r="O394" s="64"/>
      <c r="P394" s="78"/>
      <c r="Q394" s="78"/>
    </row>
    <row r="395" spans="1:17" s="66" customFormat="1" ht="18.649999999999999" customHeight="1">
      <c r="A395" s="67"/>
      <c r="B395" s="74" t="s">
        <v>37</v>
      </c>
      <c r="C395" s="74"/>
      <c r="D395" s="68">
        <f>ROUNDDOWN(E394/40,0)*D394</f>
        <v>0</v>
      </c>
      <c r="E395" s="69">
        <f>40*16/1000*3.281</f>
        <v>2.1</v>
      </c>
      <c r="F395" s="69"/>
      <c r="G395" s="69"/>
      <c r="H395" s="71">
        <f>E395*D395</f>
        <v>0</v>
      </c>
      <c r="I395" s="69"/>
      <c r="J395" s="69"/>
      <c r="K395" s="70"/>
      <c r="L395" s="64"/>
      <c r="M395" s="64">
        <f>58+42</f>
        <v>100</v>
      </c>
      <c r="N395" s="64"/>
      <c r="O395" s="64"/>
      <c r="P395" s="78"/>
      <c r="Q395" s="78"/>
    </row>
    <row r="396" spans="1:17" s="66" customFormat="1" ht="18.649999999999999" customHeight="1">
      <c r="A396" s="67"/>
      <c r="B396" s="74" t="s">
        <v>383</v>
      </c>
      <c r="C396" s="298">
        <f>2*G391</f>
        <v>1.66</v>
      </c>
      <c r="D396" s="68">
        <f>D391*ROUND(E391/0.4,0)</f>
        <v>18</v>
      </c>
      <c r="E396" s="69">
        <f>ROUND((F391-0.25+G391-0.25)*2+24*10/1000*3.281,2)</f>
        <v>3.11</v>
      </c>
      <c r="F396" s="69"/>
      <c r="G396" s="69"/>
      <c r="H396" s="69"/>
      <c r="I396" s="69">
        <f>D396*E396</f>
        <v>55.98</v>
      </c>
      <c r="J396" s="69"/>
      <c r="K396" s="70"/>
      <c r="L396" s="64"/>
      <c r="M396" s="64"/>
      <c r="N396" s="64"/>
      <c r="O396" s="64"/>
      <c r="P396" s="78"/>
      <c r="Q396" s="78"/>
    </row>
    <row r="397" spans="1:17" s="66" customFormat="1" ht="18.649999999999999" customHeight="1">
      <c r="A397" s="67"/>
      <c r="B397" s="74"/>
      <c r="C397" s="74"/>
      <c r="D397" s="68"/>
      <c r="E397" s="69"/>
      <c r="F397" s="69"/>
      <c r="G397" s="69"/>
      <c r="H397" s="69"/>
      <c r="I397" s="69"/>
      <c r="J397" s="69"/>
      <c r="K397" s="70"/>
      <c r="L397" s="64"/>
      <c r="M397" s="64"/>
      <c r="N397" s="64"/>
      <c r="O397" s="64"/>
      <c r="P397" s="78"/>
      <c r="Q397" s="78"/>
    </row>
    <row r="398" spans="1:17" s="66" customFormat="1" ht="18.649999999999999" customHeight="1">
      <c r="A398" s="67"/>
      <c r="B398" s="138" t="str">
        <f>B225</f>
        <v>GB2 (10"x12")</v>
      </c>
      <c r="C398" s="299"/>
      <c r="D398" s="121"/>
      <c r="E398" s="122"/>
      <c r="F398" s="122"/>
      <c r="G398" s="122"/>
      <c r="H398" s="69"/>
      <c r="I398" s="69"/>
      <c r="J398" s="69"/>
      <c r="K398" s="70"/>
      <c r="L398" s="64"/>
      <c r="M398" s="64"/>
      <c r="N398" s="64"/>
      <c r="O398" s="64"/>
      <c r="P398" s="78"/>
      <c r="Q398" s="78"/>
    </row>
    <row r="399" spans="1:17" s="66" customFormat="1" ht="18.649999999999999" customHeight="1">
      <c r="A399" s="67"/>
      <c r="B399" s="299" t="str">
        <f>B226</f>
        <v>Line A,B,C&amp;D (1-2), 13' 6" L</v>
      </c>
      <c r="C399" s="299">
        <v>13.5</v>
      </c>
      <c r="D399" s="121">
        <f>D226</f>
        <v>4</v>
      </c>
      <c r="E399" s="122">
        <f>E226</f>
        <v>12</v>
      </c>
      <c r="F399" s="122">
        <f>F226</f>
        <v>0.83</v>
      </c>
      <c r="G399" s="122">
        <f>G226</f>
        <v>1</v>
      </c>
      <c r="H399" s="69"/>
      <c r="I399" s="69"/>
      <c r="J399" s="69"/>
      <c r="K399" s="70"/>
      <c r="L399" s="64"/>
      <c r="M399" s="64"/>
      <c r="N399" s="64"/>
      <c r="O399" s="64"/>
      <c r="P399" s="78"/>
      <c r="Q399" s="78"/>
    </row>
    <row r="400" spans="1:17" s="66" customFormat="1" ht="18.649999999999999" customHeight="1">
      <c r="A400" s="67"/>
      <c r="B400" s="74" t="s">
        <v>385</v>
      </c>
      <c r="C400" s="74"/>
      <c r="D400" s="68">
        <f>D399*4</f>
        <v>16</v>
      </c>
      <c r="E400" s="69">
        <f>C399-0.25+(G399-0.25)*2</f>
        <v>14.75</v>
      </c>
      <c r="F400" s="69"/>
      <c r="G400" s="69"/>
      <c r="H400" s="71">
        <f>E400*D400</f>
        <v>236</v>
      </c>
      <c r="I400" s="69"/>
      <c r="J400" s="69"/>
      <c r="K400" s="70"/>
      <c r="L400" s="64"/>
      <c r="M400" s="64"/>
      <c r="N400" s="64"/>
      <c r="O400" s="64"/>
      <c r="P400" s="65"/>
      <c r="Q400" s="65"/>
    </row>
    <row r="401" spans="1:17" s="66" customFormat="1" ht="18.649999999999999" customHeight="1">
      <c r="A401" s="67"/>
      <c r="B401" s="74" t="s">
        <v>37</v>
      </c>
      <c r="C401" s="74"/>
      <c r="D401" s="68">
        <f>ROUNDDOWN(E400/40,0)*D400</f>
        <v>0</v>
      </c>
      <c r="E401" s="69">
        <f>40*16/1000*3.281</f>
        <v>2.1</v>
      </c>
      <c r="F401" s="69"/>
      <c r="G401" s="69"/>
      <c r="H401" s="71">
        <f>E401*D401</f>
        <v>0</v>
      </c>
      <c r="I401" s="69"/>
      <c r="J401" s="69"/>
      <c r="K401" s="70"/>
      <c r="L401" s="64"/>
      <c r="M401" s="64"/>
      <c r="N401" s="64"/>
      <c r="O401" s="64"/>
      <c r="P401" s="65"/>
      <c r="Q401" s="65"/>
    </row>
    <row r="402" spans="1:17" s="66" customFormat="1" ht="18.649999999999999" customHeight="1">
      <c r="A402" s="67"/>
      <c r="B402" s="74" t="s">
        <v>384</v>
      </c>
      <c r="C402" s="74"/>
      <c r="D402" s="68">
        <f>D399*4</f>
        <v>16</v>
      </c>
      <c r="E402" s="69">
        <f>C399-0.25+18*16/1000*3.281</f>
        <v>14.19</v>
      </c>
      <c r="F402" s="69"/>
      <c r="G402" s="69"/>
      <c r="H402" s="71">
        <f>E402*D402</f>
        <v>227</v>
      </c>
      <c r="I402" s="69"/>
      <c r="J402" s="69"/>
      <c r="K402" s="70"/>
      <c r="L402" s="64"/>
      <c r="M402" s="64"/>
      <c r="N402" s="64"/>
      <c r="O402" s="64"/>
      <c r="P402" s="78"/>
      <c r="Q402" s="78"/>
    </row>
    <row r="403" spans="1:17" s="66" customFormat="1" ht="18.649999999999999" customHeight="1">
      <c r="A403" s="67"/>
      <c r="B403" s="74" t="s">
        <v>37</v>
      </c>
      <c r="C403" s="74"/>
      <c r="D403" s="68">
        <f>ROUNDDOWN(E402/40,0)*D402</f>
        <v>0</v>
      </c>
      <c r="E403" s="69">
        <f>40*16/1000*3.281</f>
        <v>2.1</v>
      </c>
      <c r="F403" s="69"/>
      <c r="G403" s="69"/>
      <c r="H403" s="71">
        <f>E403*D403</f>
        <v>0</v>
      </c>
      <c r="I403" s="69"/>
      <c r="J403" s="69"/>
      <c r="K403" s="70"/>
      <c r="L403" s="64"/>
      <c r="M403" s="64"/>
      <c r="N403" s="64"/>
      <c r="O403" s="64"/>
      <c r="P403" s="78"/>
      <c r="Q403" s="78"/>
    </row>
    <row r="404" spans="1:17" s="66" customFormat="1" ht="18.649999999999999" customHeight="1">
      <c r="A404" s="67"/>
      <c r="B404" s="74" t="s">
        <v>383</v>
      </c>
      <c r="C404" s="298">
        <f>2*G399</f>
        <v>2</v>
      </c>
      <c r="D404" s="68">
        <f>D399*ROUND(E399/0.4,0)</f>
        <v>120</v>
      </c>
      <c r="E404" s="69">
        <f>ROUND((F399-0.25+G399-0.25)*2+24*10/1000*3.281,2)</f>
        <v>3.45</v>
      </c>
      <c r="F404" s="69"/>
      <c r="G404" s="69"/>
      <c r="H404" s="69"/>
      <c r="I404" s="69">
        <f>D404*E404</f>
        <v>414</v>
      </c>
      <c r="J404" s="69"/>
      <c r="K404" s="70"/>
      <c r="L404" s="64"/>
      <c r="M404" s="64"/>
      <c r="N404" s="64"/>
      <c r="O404" s="64"/>
      <c r="P404" s="78"/>
      <c r="Q404" s="78"/>
    </row>
    <row r="405" spans="1:17" s="66" customFormat="1" ht="18.649999999999999" customHeight="1">
      <c r="A405" s="67"/>
      <c r="B405" s="74"/>
      <c r="C405" s="74"/>
      <c r="D405" s="68"/>
      <c r="E405" s="69"/>
      <c r="F405" s="69"/>
      <c r="G405" s="69"/>
      <c r="H405" s="69"/>
      <c r="I405" s="69"/>
      <c r="J405" s="69"/>
      <c r="K405" s="70"/>
      <c r="L405" s="64"/>
      <c r="M405" s="64"/>
      <c r="N405" s="64"/>
      <c r="O405" s="64"/>
      <c r="P405" s="78"/>
      <c r="Q405" s="78"/>
    </row>
    <row r="406" spans="1:17" s="66" customFormat="1" ht="18.649999999999999" customHeight="1">
      <c r="A406" s="67"/>
      <c r="B406" s="299" t="str">
        <f>B227</f>
        <v>Line B',B'' (1-2), 13' 6" L</v>
      </c>
      <c r="C406" s="299">
        <v>13.5</v>
      </c>
      <c r="D406" s="121">
        <f>D227</f>
        <v>2</v>
      </c>
      <c r="E406" s="122">
        <f>E227</f>
        <v>12.17</v>
      </c>
      <c r="F406" s="122">
        <f>F227</f>
        <v>0.83</v>
      </c>
      <c r="G406" s="122">
        <f>G227</f>
        <v>1</v>
      </c>
      <c r="H406" s="69"/>
      <c r="I406" s="69"/>
      <c r="J406" s="69"/>
      <c r="K406" s="70"/>
      <c r="L406" s="64"/>
      <c r="M406" s="64"/>
      <c r="N406" s="64"/>
      <c r="O406" s="64"/>
      <c r="P406" s="78"/>
      <c r="Q406" s="78"/>
    </row>
    <row r="407" spans="1:17" s="66" customFormat="1" ht="18.649999999999999" customHeight="1">
      <c r="A407" s="67"/>
      <c r="B407" s="74" t="s">
        <v>385</v>
      </c>
      <c r="C407" s="74"/>
      <c r="D407" s="68">
        <f>D406*4</f>
        <v>8</v>
      </c>
      <c r="E407" s="69">
        <f>C406-0.25+(G406-0.25)*2</f>
        <v>14.75</v>
      </c>
      <c r="F407" s="69"/>
      <c r="G407" s="69"/>
      <c r="H407" s="71">
        <f>E407*D407</f>
        <v>118</v>
      </c>
      <c r="I407" s="69"/>
      <c r="J407" s="69"/>
      <c r="K407" s="70"/>
      <c r="L407" s="64"/>
      <c r="M407" s="64"/>
      <c r="N407" s="64"/>
      <c r="O407" s="64"/>
      <c r="P407" s="65"/>
      <c r="Q407" s="65"/>
    </row>
    <row r="408" spans="1:17" s="66" customFormat="1" ht="18.649999999999999" customHeight="1">
      <c r="A408" s="67"/>
      <c r="B408" s="74" t="s">
        <v>37</v>
      </c>
      <c r="C408" s="74"/>
      <c r="D408" s="68">
        <f>ROUNDDOWN(E407/40,0)*D407</f>
        <v>0</v>
      </c>
      <c r="E408" s="69">
        <f>40*16/1000*3.281</f>
        <v>2.1</v>
      </c>
      <c r="F408" s="69"/>
      <c r="G408" s="69"/>
      <c r="H408" s="71">
        <f>E408*D408</f>
        <v>0</v>
      </c>
      <c r="I408" s="69"/>
      <c r="J408" s="69"/>
      <c r="K408" s="70"/>
      <c r="L408" s="64"/>
      <c r="M408" s="64"/>
      <c r="N408" s="64"/>
      <c r="O408" s="64"/>
      <c r="P408" s="65"/>
      <c r="Q408" s="65"/>
    </row>
    <row r="409" spans="1:17" s="66" customFormat="1" ht="18.649999999999999" customHeight="1">
      <c r="A409" s="67"/>
      <c r="B409" s="74" t="s">
        <v>384</v>
      </c>
      <c r="C409" s="74"/>
      <c r="D409" s="68">
        <f>D406*4</f>
        <v>8</v>
      </c>
      <c r="E409" s="69">
        <f>C406-0.25+18*16/1000*3.281</f>
        <v>14.19</v>
      </c>
      <c r="F409" s="69"/>
      <c r="G409" s="69"/>
      <c r="H409" s="71">
        <f>E409*D409</f>
        <v>113.5</v>
      </c>
      <c r="I409" s="69"/>
      <c r="J409" s="69"/>
      <c r="K409" s="70"/>
      <c r="L409" s="64"/>
      <c r="M409" s="64"/>
      <c r="N409" s="64"/>
      <c r="O409" s="64"/>
      <c r="P409" s="78"/>
      <c r="Q409" s="78"/>
    </row>
    <row r="410" spans="1:17" s="66" customFormat="1" ht="18.649999999999999" customHeight="1">
      <c r="A410" s="67"/>
      <c r="B410" s="74" t="s">
        <v>37</v>
      </c>
      <c r="C410" s="74"/>
      <c r="D410" s="68">
        <f>ROUNDDOWN(E409/40,0)*D409</f>
        <v>0</v>
      </c>
      <c r="E410" s="69">
        <f>40*16/1000*3.281</f>
        <v>2.1</v>
      </c>
      <c r="F410" s="69"/>
      <c r="G410" s="69"/>
      <c r="H410" s="71">
        <f>E410*D410</f>
        <v>0</v>
      </c>
      <c r="I410" s="69"/>
      <c r="J410" s="69"/>
      <c r="K410" s="70"/>
      <c r="L410" s="64"/>
      <c r="M410" s="64"/>
      <c r="N410" s="64"/>
      <c r="O410" s="64"/>
      <c r="P410" s="78"/>
      <c r="Q410" s="78"/>
    </row>
    <row r="411" spans="1:17" s="66" customFormat="1" ht="18.649999999999999" customHeight="1">
      <c r="A411" s="67"/>
      <c r="B411" s="74" t="s">
        <v>383</v>
      </c>
      <c r="C411" s="298">
        <f>2*G406</f>
        <v>2</v>
      </c>
      <c r="D411" s="68">
        <f>D406*ROUND(E406/0.4,0)</f>
        <v>60</v>
      </c>
      <c r="E411" s="69">
        <f>ROUND((F406-0.25+G406-0.25)*2+24*10/1000*3.281,2)</f>
        <v>3.45</v>
      </c>
      <c r="F411" s="69"/>
      <c r="G411" s="69"/>
      <c r="H411" s="69"/>
      <c r="I411" s="69">
        <f>D411*E411</f>
        <v>207</v>
      </c>
      <c r="J411" s="69"/>
      <c r="K411" s="70"/>
      <c r="L411" s="64"/>
      <c r="M411" s="64"/>
      <c r="N411" s="64"/>
      <c r="O411" s="64"/>
      <c r="P411" s="78"/>
      <c r="Q411" s="78"/>
    </row>
    <row r="412" spans="1:17" s="66" customFormat="1" ht="18.649999999999999" customHeight="1">
      <c r="A412" s="67"/>
      <c r="B412" s="74"/>
      <c r="C412" s="74"/>
      <c r="D412" s="68"/>
      <c r="E412" s="69"/>
      <c r="F412" s="69"/>
      <c r="G412" s="69"/>
      <c r="H412" s="69"/>
      <c r="I412" s="69"/>
      <c r="J412" s="69"/>
      <c r="K412" s="70"/>
      <c r="L412" s="64"/>
      <c r="M412" s="64"/>
      <c r="N412" s="64"/>
      <c r="O412" s="64"/>
      <c r="P412" s="78"/>
      <c r="Q412" s="78"/>
    </row>
    <row r="413" spans="1:17" s="66" customFormat="1" ht="18.649999999999999" customHeight="1">
      <c r="A413" s="67"/>
      <c r="B413" s="138" t="str">
        <f>B229</f>
        <v>GB3 (10"x14")</v>
      </c>
      <c r="C413" s="74"/>
      <c r="D413" s="68"/>
      <c r="E413" s="69"/>
      <c r="F413" s="69"/>
      <c r="G413" s="69"/>
      <c r="H413" s="69"/>
      <c r="I413" s="69"/>
      <c r="J413" s="69"/>
      <c r="K413" s="70"/>
      <c r="L413" s="64"/>
      <c r="M413" s="64"/>
      <c r="N413" s="64"/>
      <c r="O413" s="64"/>
      <c r="P413" s="78"/>
      <c r="Q413" s="78"/>
    </row>
    <row r="414" spans="1:17" s="66" customFormat="1" ht="18.649999999999999" customHeight="1">
      <c r="A414" s="67"/>
      <c r="B414" s="299" t="str">
        <f>B230</f>
        <v>1,2,3&amp;3' (A-B), 16' 6" L</v>
      </c>
      <c r="C414" s="299">
        <v>16.5</v>
      </c>
      <c r="D414" s="121">
        <f>D230</f>
        <v>4</v>
      </c>
      <c r="E414" s="122">
        <f>E230</f>
        <v>14.5</v>
      </c>
      <c r="F414" s="122">
        <f>F230</f>
        <v>0.83</v>
      </c>
      <c r="G414" s="122">
        <f>G230</f>
        <v>1.17</v>
      </c>
      <c r="H414" s="69"/>
      <c r="I414" s="69"/>
      <c r="J414" s="69"/>
      <c r="K414" s="70"/>
      <c r="L414" s="64"/>
      <c r="M414" s="64"/>
      <c r="N414" s="64"/>
      <c r="O414" s="64"/>
      <c r="P414" s="78"/>
      <c r="Q414" s="78"/>
    </row>
    <row r="415" spans="1:17" s="66" customFormat="1" ht="18.649999999999999" customHeight="1">
      <c r="A415" s="67"/>
      <c r="B415" s="74" t="s">
        <v>385</v>
      </c>
      <c r="C415" s="74"/>
      <c r="D415" s="68">
        <f>D414*4</f>
        <v>16</v>
      </c>
      <c r="E415" s="69">
        <f>C414-0.25+(G414-0.25)*2</f>
        <v>18.09</v>
      </c>
      <c r="F415" s="69"/>
      <c r="G415" s="69"/>
      <c r="H415" s="71">
        <f>E415*D415</f>
        <v>289.39999999999998</v>
      </c>
      <c r="I415" s="69"/>
      <c r="J415" s="69"/>
      <c r="K415" s="70"/>
      <c r="L415" s="64"/>
      <c r="M415" s="64"/>
      <c r="N415" s="64"/>
      <c r="O415" s="64"/>
      <c r="P415" s="65"/>
      <c r="Q415" s="65"/>
    </row>
    <row r="416" spans="1:17" s="66" customFormat="1" ht="18.649999999999999" customHeight="1">
      <c r="A416" s="67"/>
      <c r="B416" s="74" t="s">
        <v>37</v>
      </c>
      <c r="C416" s="74"/>
      <c r="D416" s="68">
        <f>ROUNDDOWN(E415/40,0)*D415</f>
        <v>0</v>
      </c>
      <c r="E416" s="69">
        <f>40*16/1000*3.281</f>
        <v>2.1</v>
      </c>
      <c r="F416" s="69"/>
      <c r="G416" s="69"/>
      <c r="H416" s="71">
        <f>E416*D416</f>
        <v>0</v>
      </c>
      <c r="I416" s="69"/>
      <c r="J416" s="69"/>
      <c r="K416" s="70"/>
      <c r="L416" s="64"/>
      <c r="M416" s="64"/>
      <c r="N416" s="64"/>
      <c r="O416" s="64"/>
      <c r="P416" s="65"/>
      <c r="Q416" s="65"/>
    </row>
    <row r="417" spans="1:17" s="66" customFormat="1" ht="18.649999999999999" customHeight="1">
      <c r="A417" s="67"/>
      <c r="B417" s="74" t="s">
        <v>241</v>
      </c>
      <c r="C417" s="74"/>
      <c r="D417" s="68">
        <f>D414*2</f>
        <v>8</v>
      </c>
      <c r="E417" s="69">
        <f>E414/3+18*16/1000*3.281*2</f>
        <v>6.72</v>
      </c>
      <c r="F417" s="69"/>
      <c r="G417" s="69"/>
      <c r="H417" s="71">
        <f>E417*D417</f>
        <v>53.8</v>
      </c>
      <c r="I417" s="69"/>
      <c r="J417" s="69"/>
      <c r="K417" s="70"/>
      <c r="L417" s="64"/>
      <c r="M417" s="64"/>
      <c r="N417" s="64"/>
      <c r="O417" s="64"/>
      <c r="P417" s="65"/>
      <c r="Q417" s="65"/>
    </row>
    <row r="418" spans="1:17" s="66" customFormat="1" ht="18.649999999999999" customHeight="1">
      <c r="A418" s="67"/>
      <c r="B418" s="74" t="s">
        <v>384</v>
      </c>
      <c r="C418" s="74"/>
      <c r="D418" s="68">
        <f>D414*4</f>
        <v>16</v>
      </c>
      <c r="E418" s="69">
        <f>C414-0.25+18*16/1000*3.281</f>
        <v>17.190000000000001</v>
      </c>
      <c r="F418" s="69"/>
      <c r="G418" s="69"/>
      <c r="H418" s="71">
        <f>E418*D418</f>
        <v>275</v>
      </c>
      <c r="I418" s="69"/>
      <c r="J418" s="69"/>
      <c r="K418" s="70"/>
      <c r="L418" s="64"/>
      <c r="M418" s="64"/>
      <c r="N418" s="64"/>
      <c r="O418" s="64"/>
      <c r="P418" s="78"/>
      <c r="Q418" s="78"/>
    </row>
    <row r="419" spans="1:17" s="66" customFormat="1" ht="18.649999999999999" customHeight="1">
      <c r="A419" s="67"/>
      <c r="B419" s="74" t="s">
        <v>37</v>
      </c>
      <c r="C419" s="74"/>
      <c r="D419" s="68">
        <f>ROUNDDOWN(E418/40,0)*D418</f>
        <v>0</v>
      </c>
      <c r="E419" s="69">
        <f>40*16/1000*3.281</f>
        <v>2.1</v>
      </c>
      <c r="F419" s="69"/>
      <c r="G419" s="69"/>
      <c r="H419" s="71">
        <f>E419*D419</f>
        <v>0</v>
      </c>
      <c r="I419" s="69"/>
      <c r="J419" s="69"/>
      <c r="K419" s="70"/>
      <c r="L419" s="64"/>
      <c r="M419" s="64"/>
      <c r="N419" s="64"/>
      <c r="O419" s="64"/>
      <c r="P419" s="78"/>
      <c r="Q419" s="78"/>
    </row>
    <row r="420" spans="1:17" s="66" customFormat="1" ht="18.649999999999999" customHeight="1">
      <c r="A420" s="67"/>
      <c r="B420" s="74" t="s">
        <v>383</v>
      </c>
      <c r="C420" s="298">
        <f>2*G414</f>
        <v>2.34</v>
      </c>
      <c r="D420" s="68">
        <f>D414*ROUND(E414/0.375,0)</f>
        <v>156</v>
      </c>
      <c r="E420" s="69">
        <f>ROUND((F414-0.25+G414-0.25)*2+24*10/1000*3.281,2)</f>
        <v>3.79</v>
      </c>
      <c r="F420" s="69"/>
      <c r="G420" s="69"/>
      <c r="H420" s="69"/>
      <c r="I420" s="69">
        <f>D420*E420</f>
        <v>591.24</v>
      </c>
      <c r="J420" s="69"/>
      <c r="K420" s="70"/>
      <c r="L420" s="64"/>
      <c r="M420" s="64"/>
      <c r="N420" s="64"/>
      <c r="O420" s="64"/>
      <c r="P420" s="78"/>
      <c r="Q420" s="78"/>
    </row>
    <row r="421" spans="1:17" s="66" customFormat="1" ht="18.649999999999999" customHeight="1">
      <c r="A421" s="67"/>
      <c r="B421" s="74"/>
      <c r="C421" s="74"/>
      <c r="D421" s="68"/>
      <c r="E421" s="69"/>
      <c r="F421" s="69"/>
      <c r="G421" s="69"/>
      <c r="H421" s="69"/>
      <c r="I421" s="69"/>
      <c r="J421" s="69"/>
      <c r="K421" s="70"/>
      <c r="L421" s="64"/>
      <c r="M421" s="64"/>
      <c r="N421" s="64"/>
      <c r="O421" s="64"/>
      <c r="P421" s="78"/>
      <c r="Q421" s="78"/>
    </row>
    <row r="422" spans="1:17" s="66" customFormat="1" ht="18.649999999999999" customHeight="1">
      <c r="A422" s="67"/>
      <c r="B422" s="299" t="str">
        <f>B231</f>
        <v>X-Dir, 4' L</v>
      </c>
      <c r="C422" s="299">
        <v>4</v>
      </c>
      <c r="D422" s="121">
        <f>D231</f>
        <v>2</v>
      </c>
      <c r="E422" s="122">
        <f>E231</f>
        <v>3.17</v>
      </c>
      <c r="F422" s="122">
        <f>F231</f>
        <v>0.83</v>
      </c>
      <c r="G422" s="122">
        <f>G231</f>
        <v>1.17</v>
      </c>
      <c r="H422" s="69"/>
      <c r="I422" s="69"/>
      <c r="J422" s="69"/>
      <c r="K422" s="70"/>
      <c r="L422" s="64"/>
      <c r="M422" s="64"/>
      <c r="N422" s="64"/>
      <c r="O422" s="64"/>
      <c r="P422" s="78"/>
      <c r="Q422" s="78"/>
    </row>
    <row r="423" spans="1:17" s="66" customFormat="1" ht="18.649999999999999" customHeight="1">
      <c r="A423" s="67"/>
      <c r="B423" s="74" t="s">
        <v>385</v>
      </c>
      <c r="C423" s="74"/>
      <c r="D423" s="68">
        <f>D422*4</f>
        <v>8</v>
      </c>
      <c r="E423" s="69">
        <f>C422-0.25+(G422-0.25)*2</f>
        <v>5.59</v>
      </c>
      <c r="F423" s="69"/>
      <c r="G423" s="69"/>
      <c r="H423" s="71">
        <f>E423*D423</f>
        <v>44.7</v>
      </c>
      <c r="I423" s="69"/>
      <c r="J423" s="69"/>
      <c r="K423" s="70"/>
      <c r="L423" s="64"/>
      <c r="M423" s="64"/>
      <c r="N423" s="64"/>
      <c r="O423" s="64"/>
      <c r="P423" s="65"/>
      <c r="Q423" s="65"/>
    </row>
    <row r="424" spans="1:17" s="66" customFormat="1" ht="18.649999999999999" customHeight="1">
      <c r="A424" s="67"/>
      <c r="B424" s="74" t="s">
        <v>37</v>
      </c>
      <c r="C424" s="74"/>
      <c r="D424" s="68">
        <f>ROUNDDOWN(E423/40,0)*D423</f>
        <v>0</v>
      </c>
      <c r="E424" s="69">
        <f>40*16/1000*3.281</f>
        <v>2.1</v>
      </c>
      <c r="F424" s="69"/>
      <c r="G424" s="69"/>
      <c r="H424" s="71">
        <f>E424*D424</f>
        <v>0</v>
      </c>
      <c r="I424" s="69"/>
      <c r="J424" s="69"/>
      <c r="K424" s="70"/>
      <c r="L424" s="64"/>
      <c r="M424" s="64"/>
      <c r="N424" s="64"/>
      <c r="O424" s="64"/>
      <c r="P424" s="65"/>
      <c r="Q424" s="65"/>
    </row>
    <row r="425" spans="1:17" s="66" customFormat="1" ht="18.649999999999999" customHeight="1">
      <c r="A425" s="67"/>
      <c r="B425" s="74" t="s">
        <v>241</v>
      </c>
      <c r="C425" s="74"/>
      <c r="D425" s="68">
        <f>D422*2</f>
        <v>4</v>
      </c>
      <c r="E425" s="69">
        <f>E422/3+18*16/1000*3.281*2</f>
        <v>2.95</v>
      </c>
      <c r="F425" s="69"/>
      <c r="G425" s="69"/>
      <c r="H425" s="71">
        <f>E425*D425</f>
        <v>11.8</v>
      </c>
      <c r="I425" s="69"/>
      <c r="J425" s="69"/>
      <c r="K425" s="70"/>
      <c r="L425" s="64"/>
      <c r="M425" s="64"/>
      <c r="N425" s="64"/>
      <c r="O425" s="64"/>
      <c r="P425" s="65"/>
      <c r="Q425" s="65"/>
    </row>
    <row r="426" spans="1:17" s="66" customFormat="1" ht="18.649999999999999" customHeight="1">
      <c r="A426" s="67"/>
      <c r="B426" s="74" t="s">
        <v>384</v>
      </c>
      <c r="C426" s="74"/>
      <c r="D426" s="68">
        <f>D422*4</f>
        <v>8</v>
      </c>
      <c r="E426" s="69">
        <f>C422-0.25+18*16/1000*3.281</f>
        <v>4.6900000000000004</v>
      </c>
      <c r="F426" s="69"/>
      <c r="G426" s="69"/>
      <c r="H426" s="71">
        <f>E426*D426</f>
        <v>37.5</v>
      </c>
      <c r="I426" s="69"/>
      <c r="J426" s="69"/>
      <c r="K426" s="70"/>
      <c r="L426" s="64"/>
      <c r="M426" s="64"/>
      <c r="N426" s="64"/>
      <c r="O426" s="64"/>
      <c r="P426" s="78"/>
      <c r="Q426" s="78"/>
    </row>
    <row r="427" spans="1:17" s="66" customFormat="1" ht="18.649999999999999" customHeight="1">
      <c r="A427" s="67"/>
      <c r="B427" s="74" t="s">
        <v>37</v>
      </c>
      <c r="C427" s="74"/>
      <c r="D427" s="68">
        <f>ROUNDDOWN(E426/40,0)*D426</f>
        <v>0</v>
      </c>
      <c r="E427" s="69">
        <f>40*16/1000*3.281</f>
        <v>2.1</v>
      </c>
      <c r="F427" s="69"/>
      <c r="G427" s="69"/>
      <c r="H427" s="71">
        <f>E427*D427</f>
        <v>0</v>
      </c>
      <c r="I427" s="69"/>
      <c r="J427" s="69"/>
      <c r="K427" s="70"/>
      <c r="L427" s="64"/>
      <c r="M427" s="64"/>
      <c r="N427" s="64"/>
      <c r="O427" s="64"/>
      <c r="P427" s="78"/>
      <c r="Q427" s="78"/>
    </row>
    <row r="428" spans="1:17" s="66" customFormat="1" ht="18.649999999999999" customHeight="1">
      <c r="A428" s="67"/>
      <c r="B428" s="74" t="s">
        <v>383</v>
      </c>
      <c r="C428" s="298">
        <f>2*G422</f>
        <v>2.34</v>
      </c>
      <c r="D428" s="68">
        <f>D422*ROUND(E422/0.375,0)</f>
        <v>16</v>
      </c>
      <c r="E428" s="69">
        <f>ROUND((F422-0.25+G422-0.25)*2+24*10/1000*3.281,2)</f>
        <v>3.79</v>
      </c>
      <c r="F428" s="69"/>
      <c r="G428" s="69"/>
      <c r="H428" s="69"/>
      <c r="I428" s="69">
        <f>D428*E428</f>
        <v>60.64</v>
      </c>
      <c r="J428" s="69"/>
      <c r="K428" s="70"/>
      <c r="L428" s="64"/>
      <c r="M428" s="64"/>
      <c r="N428" s="64"/>
      <c r="O428" s="64"/>
      <c r="P428" s="78"/>
      <c r="Q428" s="78"/>
    </row>
    <row r="429" spans="1:17" s="66" customFormat="1" ht="18.649999999999999" customHeight="1">
      <c r="A429" s="67"/>
      <c r="B429" s="74"/>
      <c r="C429" s="298"/>
      <c r="D429" s="68"/>
      <c r="E429" s="69"/>
      <c r="F429" s="69"/>
      <c r="G429" s="123" t="s">
        <v>82</v>
      </c>
      <c r="H429" s="122">
        <f>SUM(H336:H428)</f>
        <v>2505.6</v>
      </c>
      <c r="I429" s="122">
        <f>SUM(I336:I428)</f>
        <v>2389.37</v>
      </c>
      <c r="J429" s="122">
        <f>SUM(J336:J428)</f>
        <v>0</v>
      </c>
      <c r="K429" s="70"/>
      <c r="L429" s="64">
        <f>H429/39.33*1.05</f>
        <v>66.89</v>
      </c>
      <c r="M429" s="64"/>
      <c r="N429" s="64"/>
      <c r="O429" s="64"/>
      <c r="P429" s="78"/>
      <c r="Q429" s="78"/>
    </row>
    <row r="430" spans="1:17" s="66" customFormat="1" ht="18.649999999999999" customHeight="1">
      <c r="A430" s="67"/>
      <c r="B430" s="74"/>
      <c r="C430" s="298"/>
      <c r="D430" s="68"/>
      <c r="E430" s="69"/>
      <c r="F430" s="69"/>
      <c r="G430" s="122"/>
      <c r="H430" s="122" t="str">
        <f>H333</f>
        <v>16mm Ø</v>
      </c>
      <c r="I430" s="122" t="str">
        <f>I333</f>
        <v>10mm Ø</v>
      </c>
      <c r="J430" s="122" t="str">
        <f>J333</f>
        <v>12mm Ø</v>
      </c>
      <c r="K430" s="70"/>
      <c r="L430" s="64"/>
      <c r="M430" s="64"/>
      <c r="N430" s="64"/>
      <c r="O430" s="64"/>
      <c r="P430" s="78"/>
      <c r="Q430" s="78"/>
    </row>
    <row r="431" spans="1:17" s="66" customFormat="1" ht="18.649999999999999" customHeight="1">
      <c r="A431" s="67"/>
      <c r="B431" s="74"/>
      <c r="C431" s="298"/>
      <c r="D431" s="68"/>
      <c r="E431" s="69"/>
      <c r="F431" s="317" t="s">
        <v>647</v>
      </c>
      <c r="G431" s="123" t="s">
        <v>14</v>
      </c>
      <c r="H431" s="122">
        <f>H429/39.33/53</f>
        <v>1.2</v>
      </c>
      <c r="I431" s="122">
        <f>I429/39.33/135</f>
        <v>0.45</v>
      </c>
      <c r="J431" s="122"/>
      <c r="K431" s="70"/>
      <c r="L431" s="64"/>
      <c r="M431" s="64"/>
      <c r="N431" s="64"/>
      <c r="O431" s="64"/>
      <c r="P431" s="78"/>
      <c r="Q431" s="78"/>
    </row>
    <row r="432" spans="1:17" s="66" customFormat="1" ht="18.649999999999999" customHeight="1">
      <c r="A432" s="67"/>
      <c r="B432" s="74"/>
      <c r="C432" s="74"/>
      <c r="D432" s="68"/>
      <c r="E432" s="69"/>
      <c r="F432" s="69"/>
      <c r="G432" s="69"/>
      <c r="H432" s="69"/>
      <c r="I432" s="69"/>
      <c r="J432" s="69"/>
      <c r="K432" s="70"/>
      <c r="L432" s="64"/>
      <c r="M432" s="64"/>
      <c r="N432" s="64"/>
      <c r="O432" s="64"/>
      <c r="P432" s="78"/>
      <c r="Q432" s="78"/>
    </row>
    <row r="433" spans="1:17" s="66" customFormat="1" ht="18.649999999999999" customHeight="1">
      <c r="A433" s="67"/>
      <c r="B433" s="138" t="str">
        <f>B234</f>
        <v>1st Floor Level Beam</v>
      </c>
      <c r="C433" s="299"/>
      <c r="D433" s="121"/>
      <c r="E433" s="122"/>
      <c r="F433" s="122"/>
      <c r="G433" s="122"/>
      <c r="H433" s="69"/>
      <c r="I433" s="69"/>
      <c r="J433" s="69"/>
      <c r="K433" s="70"/>
      <c r="L433" s="64"/>
      <c r="M433" s="64"/>
      <c r="N433" s="64"/>
      <c r="O433" s="64"/>
      <c r="P433" s="78"/>
      <c r="Q433" s="78"/>
    </row>
    <row r="434" spans="1:17" s="66" customFormat="1" ht="18.649999999999999" customHeight="1">
      <c r="A434" s="67"/>
      <c r="B434" s="300" t="str">
        <f>B235</f>
        <v>FB1 (10" x 10")</v>
      </c>
      <c r="C434" s="299"/>
      <c r="D434" s="121"/>
      <c r="E434" s="122"/>
      <c r="F434" s="122"/>
      <c r="G434" s="122"/>
      <c r="H434" s="69"/>
      <c r="I434" s="69"/>
      <c r="J434" s="69"/>
      <c r="K434" s="70"/>
      <c r="L434" s="64"/>
      <c r="M434" s="64"/>
      <c r="N434" s="64"/>
      <c r="O434" s="64"/>
      <c r="P434" s="78"/>
      <c r="Q434" s="78"/>
    </row>
    <row r="435" spans="1:17" s="66" customFormat="1" ht="18.649999999999999" customHeight="1">
      <c r="A435" s="67"/>
      <c r="B435" s="299" t="str">
        <f>B236</f>
        <v>X-Dir Line,(2-3), 11' 6"</v>
      </c>
      <c r="C435" s="299">
        <v>11.5</v>
      </c>
      <c r="D435" s="121">
        <f>D236</f>
        <v>4</v>
      </c>
      <c r="E435" s="122">
        <f>E236</f>
        <v>10.17</v>
      </c>
      <c r="F435" s="122">
        <f>F236</f>
        <v>0.83</v>
      </c>
      <c r="G435" s="122">
        <f>G236</f>
        <v>0.83</v>
      </c>
      <c r="H435" s="69"/>
      <c r="I435" s="69"/>
      <c r="J435" s="69"/>
      <c r="K435" s="70"/>
      <c r="L435" s="64"/>
      <c r="M435" s="64"/>
      <c r="N435" s="64"/>
      <c r="O435" s="64"/>
      <c r="P435" s="78"/>
      <c r="Q435" s="78"/>
    </row>
    <row r="436" spans="1:17" s="66" customFormat="1" ht="18.649999999999999" customHeight="1">
      <c r="A436" s="67"/>
      <c r="B436" s="74" t="s">
        <v>382</v>
      </c>
      <c r="C436" s="74"/>
      <c r="D436" s="68">
        <f>D435*3</f>
        <v>12</v>
      </c>
      <c r="E436" s="69">
        <f>C435-0.25+(G435-0.25)*2</f>
        <v>12.41</v>
      </c>
      <c r="F436" s="69"/>
      <c r="G436" s="69"/>
      <c r="H436" s="71">
        <f>E436*D436</f>
        <v>148.9</v>
      </c>
      <c r="I436" s="69"/>
      <c r="J436" s="69"/>
      <c r="K436" s="70"/>
      <c r="L436" s="64"/>
      <c r="M436" s="64"/>
      <c r="N436" s="64"/>
      <c r="O436" s="64"/>
      <c r="P436" s="65"/>
      <c r="Q436" s="65"/>
    </row>
    <row r="437" spans="1:17" s="66" customFormat="1" ht="18.649999999999999" customHeight="1">
      <c r="A437" s="67"/>
      <c r="B437" s="74" t="s">
        <v>37</v>
      </c>
      <c r="C437" s="74"/>
      <c r="D437" s="68">
        <f>ROUNDDOWN(E436/40,0)*D436</f>
        <v>0</v>
      </c>
      <c r="E437" s="69">
        <f>40*16/1000*3.281</f>
        <v>2.1</v>
      </c>
      <c r="F437" s="69"/>
      <c r="G437" s="69"/>
      <c r="H437" s="71">
        <f>E437*D437</f>
        <v>0</v>
      </c>
      <c r="I437" s="69"/>
      <c r="J437" s="69"/>
      <c r="K437" s="70"/>
      <c r="L437" s="64"/>
      <c r="M437" s="64"/>
      <c r="N437" s="64"/>
      <c r="O437" s="64"/>
      <c r="P437" s="65"/>
      <c r="Q437" s="65"/>
    </row>
    <row r="438" spans="1:17" s="66" customFormat="1" ht="18.649999999999999" customHeight="1">
      <c r="A438" s="67"/>
      <c r="B438" s="74" t="s">
        <v>108</v>
      </c>
      <c r="C438" s="74"/>
      <c r="D438" s="68">
        <f>D435*3</f>
        <v>12</v>
      </c>
      <c r="E438" s="69">
        <f>C435-0.25+18*16/1000*3.281</f>
        <v>12.19</v>
      </c>
      <c r="F438" s="69"/>
      <c r="G438" s="69"/>
      <c r="H438" s="71">
        <f>E438*D438</f>
        <v>146.30000000000001</v>
      </c>
      <c r="I438" s="69"/>
      <c r="J438" s="69"/>
      <c r="K438" s="70"/>
      <c r="L438" s="64"/>
      <c r="M438" s="64"/>
      <c r="N438" s="64"/>
      <c r="O438" s="64"/>
      <c r="P438" s="78"/>
      <c r="Q438" s="78"/>
    </row>
    <row r="439" spans="1:17" s="66" customFormat="1" ht="18.649999999999999" customHeight="1">
      <c r="A439" s="67"/>
      <c r="B439" s="74" t="s">
        <v>37</v>
      </c>
      <c r="C439" s="74"/>
      <c r="D439" s="68">
        <f>ROUNDDOWN(E438/40,0)*D438</f>
        <v>0</v>
      </c>
      <c r="E439" s="69">
        <f>40*16/1000*3.281</f>
        <v>2.1</v>
      </c>
      <c r="F439" s="69"/>
      <c r="G439" s="69"/>
      <c r="H439" s="71">
        <f>E439*D439</f>
        <v>0</v>
      </c>
      <c r="I439" s="69"/>
      <c r="J439" s="69"/>
      <c r="K439" s="70"/>
      <c r="L439" s="64"/>
      <c r="M439" s="64"/>
      <c r="N439" s="64"/>
      <c r="O439" s="64"/>
      <c r="P439" s="78"/>
      <c r="Q439" s="78"/>
    </row>
    <row r="440" spans="1:17" s="66" customFormat="1" ht="18.649999999999999" customHeight="1">
      <c r="A440" s="67"/>
      <c r="B440" s="74" t="s">
        <v>383</v>
      </c>
      <c r="C440" s="298">
        <f>2*G435</f>
        <v>1.66</v>
      </c>
      <c r="D440" s="68">
        <f>D435*ROUND(E435/0.4,0)</f>
        <v>100</v>
      </c>
      <c r="E440" s="69">
        <f>ROUND((F435-0.25+G435-0.25)*2+24*10/1000*3.281,2)</f>
        <v>3.11</v>
      </c>
      <c r="F440" s="69"/>
      <c r="G440" s="69"/>
      <c r="H440" s="69"/>
      <c r="I440" s="69">
        <f>D440*E440</f>
        <v>311</v>
      </c>
      <c r="J440" s="69"/>
      <c r="K440" s="70"/>
      <c r="L440" s="64"/>
      <c r="M440" s="64"/>
      <c r="N440" s="64"/>
      <c r="O440" s="64"/>
      <c r="P440" s="78"/>
      <c r="Q440" s="78"/>
    </row>
    <row r="441" spans="1:17" s="66" customFormat="1" ht="18.649999999999999" customHeight="1">
      <c r="A441" s="67"/>
      <c r="B441" s="74"/>
      <c r="C441" s="74"/>
      <c r="D441" s="68"/>
      <c r="E441" s="69"/>
      <c r="F441" s="69"/>
      <c r="G441" s="69"/>
      <c r="H441" s="69"/>
      <c r="I441" s="69"/>
      <c r="J441" s="69"/>
      <c r="K441" s="70"/>
      <c r="L441" s="64"/>
      <c r="M441" s="64"/>
      <c r="N441" s="64"/>
      <c r="O441" s="64"/>
      <c r="P441" s="78"/>
      <c r="Q441" s="78"/>
    </row>
    <row r="442" spans="1:17" s="66" customFormat="1" ht="18.649999999999999" customHeight="1">
      <c r="A442" s="67"/>
      <c r="B442" s="299" t="str">
        <f>B237</f>
        <v>Line 1 (B-D), 19' L</v>
      </c>
      <c r="C442" s="299">
        <v>19</v>
      </c>
      <c r="D442" s="121">
        <f>D237</f>
        <v>1</v>
      </c>
      <c r="E442" s="122">
        <f>E237</f>
        <v>16.5</v>
      </c>
      <c r="F442" s="122">
        <f>F237</f>
        <v>0.83</v>
      </c>
      <c r="G442" s="122">
        <f>G237</f>
        <v>0.83</v>
      </c>
      <c r="H442" s="69"/>
      <c r="I442" s="69"/>
      <c r="J442" s="69"/>
      <c r="K442" s="70"/>
      <c r="L442" s="64"/>
      <c r="M442" s="64"/>
      <c r="N442" s="64"/>
      <c r="O442" s="64"/>
      <c r="P442" s="78"/>
      <c r="Q442" s="78"/>
    </row>
    <row r="443" spans="1:17" s="66" customFormat="1" ht="18.649999999999999" customHeight="1">
      <c r="A443" s="67"/>
      <c r="B443" s="74" t="s">
        <v>382</v>
      </c>
      <c r="C443" s="74"/>
      <c r="D443" s="68">
        <f>D442*3</f>
        <v>3</v>
      </c>
      <c r="E443" s="69">
        <f>C442-0.25+(G442-0.25)*2</f>
        <v>19.91</v>
      </c>
      <c r="F443" s="69"/>
      <c r="G443" s="69"/>
      <c r="H443" s="71">
        <f>E443*D443</f>
        <v>59.7</v>
      </c>
      <c r="I443" s="69"/>
      <c r="J443" s="69"/>
      <c r="K443" s="70"/>
      <c r="L443" s="64"/>
      <c r="M443" s="64"/>
      <c r="N443" s="64"/>
      <c r="O443" s="64"/>
      <c r="P443" s="65"/>
      <c r="Q443" s="65"/>
    </row>
    <row r="444" spans="1:17" s="66" customFormat="1" ht="18.649999999999999" customHeight="1">
      <c r="A444" s="67"/>
      <c r="B444" s="74" t="s">
        <v>37</v>
      </c>
      <c r="C444" s="74"/>
      <c r="D444" s="68">
        <f>ROUNDDOWN(E443/40,0)*D443</f>
        <v>0</v>
      </c>
      <c r="E444" s="69">
        <f>40*16/1000*3.281</f>
        <v>2.1</v>
      </c>
      <c r="F444" s="69"/>
      <c r="G444" s="69"/>
      <c r="H444" s="71">
        <f>E444*D444</f>
        <v>0</v>
      </c>
      <c r="I444" s="69"/>
      <c r="J444" s="69"/>
      <c r="K444" s="70"/>
      <c r="L444" s="64"/>
      <c r="M444" s="64"/>
      <c r="N444" s="64"/>
      <c r="O444" s="64"/>
      <c r="P444" s="65"/>
      <c r="Q444" s="65"/>
    </row>
    <row r="445" spans="1:17" s="66" customFormat="1" ht="18.649999999999999" customHeight="1">
      <c r="A445" s="67"/>
      <c r="B445" s="74" t="s">
        <v>108</v>
      </c>
      <c r="C445" s="74"/>
      <c r="D445" s="68">
        <f>D442*3</f>
        <v>3</v>
      </c>
      <c r="E445" s="69">
        <f>C442-0.25+18*16/1000*3.281</f>
        <v>19.690000000000001</v>
      </c>
      <c r="F445" s="69"/>
      <c r="G445" s="69"/>
      <c r="H445" s="71">
        <f>E445*D445</f>
        <v>59.1</v>
      </c>
      <c r="I445" s="69"/>
      <c r="J445" s="69"/>
      <c r="K445" s="70"/>
      <c r="L445" s="64"/>
      <c r="M445" s="64"/>
      <c r="N445" s="64"/>
      <c r="O445" s="64"/>
      <c r="P445" s="78"/>
      <c r="Q445" s="78"/>
    </row>
    <row r="446" spans="1:17" s="66" customFormat="1" ht="18.649999999999999" customHeight="1">
      <c r="A446" s="67"/>
      <c r="B446" s="74" t="s">
        <v>37</v>
      </c>
      <c r="C446" s="74"/>
      <c r="D446" s="68">
        <f>ROUNDDOWN(E445/40,0)*D445</f>
        <v>0</v>
      </c>
      <c r="E446" s="69">
        <f>40*16/1000*3.281</f>
        <v>2.1</v>
      </c>
      <c r="F446" s="69"/>
      <c r="G446" s="69"/>
      <c r="H446" s="71">
        <f>E446*D446</f>
        <v>0</v>
      </c>
      <c r="I446" s="69"/>
      <c r="J446" s="69"/>
      <c r="K446" s="70"/>
      <c r="L446" s="64"/>
      <c r="M446" s="64"/>
      <c r="N446" s="64"/>
      <c r="O446" s="64"/>
      <c r="P446" s="78"/>
      <c r="Q446" s="78"/>
    </row>
    <row r="447" spans="1:17" s="66" customFormat="1" ht="18.649999999999999" customHeight="1">
      <c r="A447" s="67"/>
      <c r="B447" s="74" t="s">
        <v>383</v>
      </c>
      <c r="C447" s="298">
        <f>2*G442</f>
        <v>1.66</v>
      </c>
      <c r="D447" s="68">
        <f>D442*ROUND(E442/0.4,0)</f>
        <v>41</v>
      </c>
      <c r="E447" s="69">
        <f>ROUND((F442-0.25+G442-0.25)*2+24*10/1000*3.281,2)</f>
        <v>3.11</v>
      </c>
      <c r="F447" s="69"/>
      <c r="G447" s="69"/>
      <c r="H447" s="69"/>
      <c r="I447" s="69">
        <f>D447*E447</f>
        <v>127.51</v>
      </c>
      <c r="J447" s="69"/>
      <c r="K447" s="70"/>
      <c r="L447" s="64"/>
      <c r="M447" s="64"/>
      <c r="N447" s="64"/>
      <c r="O447" s="64"/>
      <c r="P447" s="78"/>
      <c r="Q447" s="78"/>
    </row>
    <row r="448" spans="1:17" s="66" customFormat="1" ht="18.649999999999999" customHeight="1">
      <c r="A448" s="67"/>
      <c r="B448" s="74"/>
      <c r="C448" s="74"/>
      <c r="D448" s="68"/>
      <c r="E448" s="69"/>
      <c r="F448" s="69"/>
      <c r="G448" s="69"/>
      <c r="H448" s="69"/>
      <c r="I448" s="69"/>
      <c r="J448" s="69"/>
      <c r="K448" s="70"/>
      <c r="L448" s="64"/>
      <c r="M448" s="64"/>
      <c r="N448" s="64"/>
      <c r="O448" s="64"/>
      <c r="P448" s="78"/>
      <c r="Q448" s="78"/>
    </row>
    <row r="449" spans="1:17" s="66" customFormat="1" ht="18.649999999999999" customHeight="1">
      <c r="A449" s="67"/>
      <c r="B449" s="299" t="str">
        <f>B238</f>
        <v>Y-Dir Bet; 1&amp;2, 14' L</v>
      </c>
      <c r="C449" s="299">
        <v>14</v>
      </c>
      <c r="D449" s="121">
        <f>D238</f>
        <v>1</v>
      </c>
      <c r="E449" s="122">
        <f>E238</f>
        <v>11.67</v>
      </c>
      <c r="F449" s="122">
        <f>F238</f>
        <v>0.83</v>
      </c>
      <c r="G449" s="122">
        <f>G238</f>
        <v>0.83</v>
      </c>
      <c r="H449" s="69"/>
      <c r="I449" s="69"/>
      <c r="J449" s="69"/>
      <c r="K449" s="70"/>
      <c r="L449" s="64"/>
      <c r="M449" s="64"/>
      <c r="N449" s="64"/>
      <c r="O449" s="64"/>
      <c r="P449" s="78"/>
      <c r="Q449" s="78"/>
    </row>
    <row r="450" spans="1:17" s="66" customFormat="1" ht="18.649999999999999" customHeight="1">
      <c r="A450" s="67"/>
      <c r="B450" s="74" t="s">
        <v>382</v>
      </c>
      <c r="C450" s="74"/>
      <c r="D450" s="68">
        <f>D449*3</f>
        <v>3</v>
      </c>
      <c r="E450" s="69">
        <f>C449-0.25+(G449-0.25)*2</f>
        <v>14.91</v>
      </c>
      <c r="F450" s="69"/>
      <c r="G450" s="69"/>
      <c r="H450" s="71">
        <f>E450*D450</f>
        <v>44.7</v>
      </c>
      <c r="I450" s="69"/>
      <c r="J450" s="69"/>
      <c r="K450" s="70"/>
      <c r="L450" s="64"/>
      <c r="M450" s="64"/>
      <c r="N450" s="64"/>
      <c r="O450" s="64"/>
      <c r="P450" s="65"/>
      <c r="Q450" s="65"/>
    </row>
    <row r="451" spans="1:17" s="66" customFormat="1" ht="18.649999999999999" customHeight="1">
      <c r="A451" s="67"/>
      <c r="B451" s="74" t="s">
        <v>37</v>
      </c>
      <c r="C451" s="74"/>
      <c r="D451" s="68">
        <f>ROUNDDOWN(E450/40,0)*D450</f>
        <v>0</v>
      </c>
      <c r="E451" s="69">
        <f>40*16/1000*3.281</f>
        <v>2.1</v>
      </c>
      <c r="F451" s="69"/>
      <c r="G451" s="69"/>
      <c r="H451" s="71">
        <f>E451*D451</f>
        <v>0</v>
      </c>
      <c r="I451" s="69"/>
      <c r="J451" s="69"/>
      <c r="K451" s="70"/>
      <c r="L451" s="64"/>
      <c r="M451" s="64"/>
      <c r="N451" s="64"/>
      <c r="O451" s="64"/>
      <c r="P451" s="65"/>
      <c r="Q451" s="65"/>
    </row>
    <row r="452" spans="1:17" s="66" customFormat="1" ht="18.649999999999999" customHeight="1">
      <c r="A452" s="67"/>
      <c r="B452" s="74" t="s">
        <v>108</v>
      </c>
      <c r="C452" s="74"/>
      <c r="D452" s="68">
        <f>D449*3</f>
        <v>3</v>
      </c>
      <c r="E452" s="69">
        <f>C449-0.25+18*16/1000*3.281</f>
        <v>14.69</v>
      </c>
      <c r="F452" s="69"/>
      <c r="G452" s="69"/>
      <c r="H452" s="71">
        <f>E452*D452</f>
        <v>44.1</v>
      </c>
      <c r="I452" s="69"/>
      <c r="J452" s="69"/>
      <c r="K452" s="70"/>
      <c r="L452" s="64"/>
      <c r="M452" s="64"/>
      <c r="N452" s="64"/>
      <c r="O452" s="64"/>
      <c r="P452" s="78"/>
      <c r="Q452" s="78"/>
    </row>
    <row r="453" spans="1:17" s="66" customFormat="1" ht="18.649999999999999" customHeight="1">
      <c r="A453" s="67"/>
      <c r="B453" s="74" t="s">
        <v>37</v>
      </c>
      <c r="C453" s="74"/>
      <c r="D453" s="68">
        <f>ROUNDDOWN(E452/40,0)*D452</f>
        <v>0</v>
      </c>
      <c r="E453" s="69">
        <f>40*16/1000*3.281</f>
        <v>2.1</v>
      </c>
      <c r="F453" s="69"/>
      <c r="G453" s="69"/>
      <c r="H453" s="71">
        <f>E453*D453</f>
        <v>0</v>
      </c>
      <c r="I453" s="69"/>
      <c r="J453" s="69"/>
      <c r="K453" s="70"/>
      <c r="L453" s="64"/>
      <c r="M453" s="64"/>
      <c r="N453" s="64"/>
      <c r="O453" s="64"/>
      <c r="P453" s="78"/>
      <c r="Q453" s="78"/>
    </row>
    <row r="454" spans="1:17" s="66" customFormat="1" ht="18.649999999999999" customHeight="1">
      <c r="A454" s="67"/>
      <c r="B454" s="74" t="s">
        <v>383</v>
      </c>
      <c r="C454" s="298">
        <f>2*G449</f>
        <v>1.66</v>
      </c>
      <c r="D454" s="68">
        <f>D449*ROUND(E449/0.4,0)</f>
        <v>29</v>
      </c>
      <c r="E454" s="69">
        <f>ROUND((F449-0.25+G449-0.25)*2+24*10/1000*3.281,2)</f>
        <v>3.11</v>
      </c>
      <c r="F454" s="69"/>
      <c r="G454" s="69"/>
      <c r="H454" s="69"/>
      <c r="I454" s="69">
        <f>D454*E454</f>
        <v>90.19</v>
      </c>
      <c r="J454" s="69"/>
      <c r="K454" s="70"/>
      <c r="L454" s="64"/>
      <c r="M454" s="64"/>
      <c r="N454" s="64"/>
      <c r="O454" s="64"/>
      <c r="P454" s="78"/>
      <c r="Q454" s="78"/>
    </row>
    <row r="455" spans="1:17" s="66" customFormat="1" ht="18.649999999999999" customHeight="1">
      <c r="A455" s="67"/>
      <c r="B455" s="74"/>
      <c r="C455" s="74"/>
      <c r="D455" s="68"/>
      <c r="E455" s="69"/>
      <c r="F455" s="69"/>
      <c r="G455" s="69"/>
      <c r="H455" s="69"/>
      <c r="I455" s="69"/>
      <c r="J455" s="69"/>
      <c r="K455" s="70"/>
      <c r="L455" s="64"/>
      <c r="M455" s="64"/>
      <c r="N455" s="64"/>
      <c r="O455" s="64"/>
      <c r="P455" s="78"/>
      <c r="Q455" s="78"/>
    </row>
    <row r="456" spans="1:17" s="66" customFormat="1" ht="18.649999999999999" customHeight="1">
      <c r="A456" s="67"/>
      <c r="B456" s="299" t="str">
        <f>B239</f>
        <v>Y-Dir Bet; 1&amp;2, 6' L</v>
      </c>
      <c r="C456" s="299">
        <v>6</v>
      </c>
      <c r="D456" s="121">
        <f>D239</f>
        <v>2</v>
      </c>
      <c r="E456" s="122">
        <f>E239</f>
        <v>4.42</v>
      </c>
      <c r="F456" s="122">
        <f>F239</f>
        <v>0.83</v>
      </c>
      <c r="G456" s="122">
        <f>G239</f>
        <v>0.83</v>
      </c>
      <c r="H456" s="69"/>
      <c r="I456" s="69"/>
      <c r="J456" s="69"/>
      <c r="K456" s="70"/>
      <c r="L456" s="64"/>
      <c r="M456" s="64"/>
      <c r="N456" s="64"/>
      <c r="O456" s="64"/>
      <c r="P456" s="78"/>
      <c r="Q456" s="78"/>
    </row>
    <row r="457" spans="1:17" s="66" customFormat="1" ht="18.649999999999999" customHeight="1">
      <c r="A457" s="67"/>
      <c r="B457" s="74" t="s">
        <v>382</v>
      </c>
      <c r="C457" s="74"/>
      <c r="D457" s="68">
        <f>D456*3</f>
        <v>6</v>
      </c>
      <c r="E457" s="69">
        <f>C456-0.25+(G456-0.25)*2</f>
        <v>6.91</v>
      </c>
      <c r="F457" s="69"/>
      <c r="G457" s="69"/>
      <c r="H457" s="71">
        <f>E457*D457</f>
        <v>41.5</v>
      </c>
      <c r="I457" s="69"/>
      <c r="J457" s="69"/>
      <c r="K457" s="70"/>
      <c r="L457" s="64"/>
      <c r="M457" s="64"/>
      <c r="N457" s="64"/>
      <c r="O457" s="64"/>
      <c r="P457" s="65"/>
      <c r="Q457" s="65"/>
    </row>
    <row r="458" spans="1:17" s="66" customFormat="1" ht="18.649999999999999" customHeight="1">
      <c r="A458" s="67"/>
      <c r="B458" s="74" t="s">
        <v>37</v>
      </c>
      <c r="C458" s="74"/>
      <c r="D458" s="68">
        <f>ROUNDDOWN(E457/40,0)*D457</f>
        <v>0</v>
      </c>
      <c r="E458" s="69">
        <f>40*16/1000*3.281</f>
        <v>2.1</v>
      </c>
      <c r="F458" s="69"/>
      <c r="G458" s="69"/>
      <c r="H458" s="71">
        <f>E458*D458</f>
        <v>0</v>
      </c>
      <c r="I458" s="69"/>
      <c r="J458" s="69"/>
      <c r="K458" s="70"/>
      <c r="L458" s="64"/>
      <c r="M458" s="64"/>
      <c r="N458" s="64"/>
      <c r="O458" s="64"/>
      <c r="P458" s="65"/>
      <c r="Q458" s="65"/>
    </row>
    <row r="459" spans="1:17" s="66" customFormat="1" ht="18.649999999999999" customHeight="1">
      <c r="A459" s="67"/>
      <c r="B459" s="74" t="s">
        <v>108</v>
      </c>
      <c r="C459" s="74"/>
      <c r="D459" s="68">
        <f>D456*3</f>
        <v>6</v>
      </c>
      <c r="E459" s="69">
        <f>C456-0.25+18*16/1000*3.281</f>
        <v>6.69</v>
      </c>
      <c r="F459" s="69"/>
      <c r="G459" s="69"/>
      <c r="H459" s="71">
        <f>E459*D459</f>
        <v>40.1</v>
      </c>
      <c r="I459" s="69"/>
      <c r="J459" s="69"/>
      <c r="K459" s="70"/>
      <c r="L459" s="64"/>
      <c r="M459" s="64"/>
      <c r="N459" s="64"/>
      <c r="O459" s="64"/>
      <c r="P459" s="78"/>
      <c r="Q459" s="78"/>
    </row>
    <row r="460" spans="1:17" s="66" customFormat="1" ht="18.649999999999999" customHeight="1">
      <c r="A460" s="67"/>
      <c r="B460" s="74" t="s">
        <v>37</v>
      </c>
      <c r="C460" s="74"/>
      <c r="D460" s="68">
        <f>ROUNDDOWN(E459/40,0)*D459</f>
        <v>0</v>
      </c>
      <c r="E460" s="69">
        <f>40*16/1000*3.281</f>
        <v>2.1</v>
      </c>
      <c r="F460" s="69"/>
      <c r="G460" s="69"/>
      <c r="H460" s="71">
        <f>E460*D460</f>
        <v>0</v>
      </c>
      <c r="I460" s="69"/>
      <c r="J460" s="69"/>
      <c r="K460" s="70"/>
      <c r="L460" s="64"/>
      <c r="M460" s="64"/>
      <c r="N460" s="64"/>
      <c r="O460" s="64"/>
      <c r="P460" s="78"/>
      <c r="Q460" s="78"/>
    </row>
    <row r="461" spans="1:17" s="66" customFormat="1" ht="18.649999999999999" customHeight="1">
      <c r="A461" s="67"/>
      <c r="B461" s="74" t="s">
        <v>383</v>
      </c>
      <c r="C461" s="298">
        <f>2*G456</f>
        <v>1.66</v>
      </c>
      <c r="D461" s="68">
        <f>D456*ROUND(E456/0.4,0)</f>
        <v>22</v>
      </c>
      <c r="E461" s="69">
        <f>ROUND((F456-0.25+G456-0.25)*2+24*10/1000*3.281,2)</f>
        <v>3.11</v>
      </c>
      <c r="F461" s="69"/>
      <c r="G461" s="69"/>
      <c r="H461" s="69"/>
      <c r="I461" s="69">
        <f>D461*E461</f>
        <v>68.42</v>
      </c>
      <c r="J461" s="69"/>
      <c r="K461" s="70"/>
      <c r="L461" s="64"/>
      <c r="M461" s="64"/>
      <c r="N461" s="64"/>
      <c r="O461" s="64"/>
      <c r="P461" s="78"/>
      <c r="Q461" s="78"/>
    </row>
    <row r="462" spans="1:17" s="66" customFormat="1" ht="18.649999999999999" customHeight="1">
      <c r="A462" s="67"/>
      <c r="B462" s="74"/>
      <c r="C462" s="74"/>
      <c r="D462" s="68"/>
      <c r="E462" s="69"/>
      <c r="F462" s="69"/>
      <c r="G462" s="69"/>
      <c r="H462" s="69"/>
      <c r="I462" s="69"/>
      <c r="J462" s="69"/>
      <c r="K462" s="70"/>
      <c r="L462" s="64"/>
      <c r="M462" s="64"/>
      <c r="N462" s="64"/>
      <c r="O462" s="64"/>
      <c r="P462" s="78"/>
      <c r="Q462" s="78"/>
    </row>
    <row r="463" spans="1:17" s="66" customFormat="1" ht="18.649999999999999" customHeight="1">
      <c r="A463" s="67"/>
      <c r="B463" s="299" t="str">
        <f>B240</f>
        <v>X-Dir, Portico FB1, 10' 8" L</v>
      </c>
      <c r="C463" s="299">
        <v>10.67</v>
      </c>
      <c r="D463" s="121">
        <f>D240</f>
        <v>1</v>
      </c>
      <c r="E463" s="122">
        <f>E240</f>
        <v>9</v>
      </c>
      <c r="F463" s="122">
        <f>F240</f>
        <v>0.83</v>
      </c>
      <c r="G463" s="122">
        <f>G240</f>
        <v>0.83</v>
      </c>
      <c r="H463" s="69"/>
      <c r="I463" s="69"/>
      <c r="J463" s="69"/>
      <c r="K463" s="70"/>
      <c r="L463" s="64"/>
      <c r="M463" s="64"/>
      <c r="N463" s="64"/>
      <c r="O463" s="64"/>
      <c r="P463" s="78"/>
      <c r="Q463" s="78"/>
    </row>
    <row r="464" spans="1:17" s="66" customFormat="1" ht="18.649999999999999" customHeight="1">
      <c r="A464" s="67"/>
      <c r="B464" s="74" t="s">
        <v>382</v>
      </c>
      <c r="C464" s="74"/>
      <c r="D464" s="68">
        <f>D463*3</f>
        <v>3</v>
      </c>
      <c r="E464" s="69">
        <f>C463-0.25+(G463-0.25)*2</f>
        <v>11.58</v>
      </c>
      <c r="F464" s="69"/>
      <c r="G464" s="69"/>
      <c r="H464" s="71">
        <f>E464*D464</f>
        <v>34.700000000000003</v>
      </c>
      <c r="I464" s="69"/>
      <c r="J464" s="69"/>
      <c r="K464" s="70"/>
      <c r="L464" s="64"/>
      <c r="M464" s="64"/>
      <c r="N464" s="64"/>
      <c r="O464" s="64"/>
      <c r="P464" s="65"/>
      <c r="Q464" s="65"/>
    </row>
    <row r="465" spans="1:17" s="66" customFormat="1" ht="18.649999999999999" customHeight="1">
      <c r="A465" s="67"/>
      <c r="B465" s="74" t="s">
        <v>37</v>
      </c>
      <c r="C465" s="74"/>
      <c r="D465" s="68">
        <f>ROUNDDOWN(E464/40,0)*D464</f>
        <v>0</v>
      </c>
      <c r="E465" s="69">
        <f>40*16/1000*3.281</f>
        <v>2.1</v>
      </c>
      <c r="F465" s="69"/>
      <c r="G465" s="69"/>
      <c r="H465" s="71">
        <f>E465*D465</f>
        <v>0</v>
      </c>
      <c r="I465" s="69"/>
      <c r="J465" s="69"/>
      <c r="K465" s="70"/>
      <c r="L465" s="64"/>
      <c r="M465" s="64"/>
      <c r="N465" s="64"/>
      <c r="O465" s="64"/>
      <c r="P465" s="65"/>
      <c r="Q465" s="65"/>
    </row>
    <row r="466" spans="1:17" s="66" customFormat="1" ht="18.649999999999999" customHeight="1">
      <c r="A466" s="67"/>
      <c r="B466" s="74" t="s">
        <v>108</v>
      </c>
      <c r="C466" s="74"/>
      <c r="D466" s="68">
        <f>D463*3</f>
        <v>3</v>
      </c>
      <c r="E466" s="69">
        <f>C463-0.25+18*16/1000*3.281</f>
        <v>11.36</v>
      </c>
      <c r="F466" s="69"/>
      <c r="G466" s="69"/>
      <c r="H466" s="71">
        <f>E466*D466</f>
        <v>34.1</v>
      </c>
      <c r="I466" s="69"/>
      <c r="J466" s="69"/>
      <c r="K466" s="70"/>
      <c r="L466" s="64"/>
      <c r="M466" s="64"/>
      <c r="N466" s="64"/>
      <c r="O466" s="64"/>
      <c r="P466" s="78"/>
      <c r="Q466" s="78"/>
    </row>
    <row r="467" spans="1:17" s="66" customFormat="1" ht="18.649999999999999" customHeight="1">
      <c r="A467" s="67"/>
      <c r="B467" s="74" t="s">
        <v>37</v>
      </c>
      <c r="C467" s="74"/>
      <c r="D467" s="68">
        <f>ROUNDDOWN(E466/40,0)*D466</f>
        <v>0</v>
      </c>
      <c r="E467" s="69">
        <f>40*16/1000*3.281</f>
        <v>2.1</v>
      </c>
      <c r="F467" s="69"/>
      <c r="G467" s="69"/>
      <c r="H467" s="71">
        <f>E467*D467</f>
        <v>0</v>
      </c>
      <c r="I467" s="69"/>
      <c r="J467" s="69"/>
      <c r="K467" s="70"/>
      <c r="L467" s="64"/>
      <c r="M467" s="64"/>
      <c r="N467" s="64"/>
      <c r="O467" s="64"/>
      <c r="P467" s="78"/>
      <c r="Q467" s="78"/>
    </row>
    <row r="468" spans="1:17" s="66" customFormat="1" ht="18.649999999999999" customHeight="1">
      <c r="A468" s="67"/>
      <c r="B468" s="74" t="s">
        <v>383</v>
      </c>
      <c r="C468" s="298">
        <f>2*G463</f>
        <v>1.66</v>
      </c>
      <c r="D468" s="68">
        <f>D463*ROUND(E463/0.4,0)</f>
        <v>23</v>
      </c>
      <c r="E468" s="69">
        <f>ROUND((F463-0.25+G463-0.25)*2+24*10/1000*3.281,2)</f>
        <v>3.11</v>
      </c>
      <c r="F468" s="69"/>
      <c r="G468" s="69"/>
      <c r="H468" s="69"/>
      <c r="I468" s="69">
        <f>D468*E468</f>
        <v>71.53</v>
      </c>
      <c r="J468" s="69"/>
      <c r="K468" s="70"/>
      <c r="L468" s="64"/>
      <c r="M468" s="64"/>
      <c r="N468" s="64"/>
      <c r="O468" s="64"/>
      <c r="P468" s="78"/>
      <c r="Q468" s="78"/>
    </row>
    <row r="469" spans="1:17" s="66" customFormat="1" ht="18.649999999999999" customHeight="1">
      <c r="A469" s="67"/>
      <c r="B469" s="74"/>
      <c r="C469" s="74"/>
      <c r="D469" s="68"/>
      <c r="E469" s="69"/>
      <c r="F469" s="69"/>
      <c r="G469" s="69"/>
      <c r="H469" s="69"/>
      <c r="I469" s="69"/>
      <c r="J469" s="69"/>
      <c r="K469" s="70"/>
      <c r="L469" s="64"/>
      <c r="M469" s="64"/>
      <c r="N469" s="64"/>
      <c r="O469" s="64"/>
      <c r="P469" s="78"/>
      <c r="Q469" s="78"/>
    </row>
    <row r="470" spans="1:17" s="66" customFormat="1" ht="18.649999999999999" customHeight="1">
      <c r="A470" s="67"/>
      <c r="B470" s="299" t="str">
        <f>B241</f>
        <v>Y-Dir, Portico FB1, 5' 4" L</v>
      </c>
      <c r="C470" s="299">
        <v>5.33</v>
      </c>
      <c r="D470" s="121">
        <f>D241</f>
        <v>2</v>
      </c>
      <c r="E470" s="122">
        <f>E241</f>
        <v>3.67</v>
      </c>
      <c r="F470" s="122">
        <f>F241</f>
        <v>0.83</v>
      </c>
      <c r="G470" s="122">
        <f>G241</f>
        <v>0.83</v>
      </c>
      <c r="H470" s="69"/>
      <c r="I470" s="69"/>
      <c r="J470" s="69"/>
      <c r="K470" s="70"/>
      <c r="L470" s="64"/>
      <c r="M470" s="64"/>
      <c r="N470" s="64"/>
      <c r="O470" s="64"/>
      <c r="P470" s="78"/>
      <c r="Q470" s="78"/>
    </row>
    <row r="471" spans="1:17" s="66" customFormat="1" ht="18.649999999999999" customHeight="1">
      <c r="A471" s="67"/>
      <c r="B471" s="74" t="s">
        <v>382</v>
      </c>
      <c r="C471" s="74"/>
      <c r="D471" s="68">
        <f>D470*3</f>
        <v>6</v>
      </c>
      <c r="E471" s="69">
        <f>C470-0.25+(G470-0.25)*2</f>
        <v>6.24</v>
      </c>
      <c r="F471" s="69"/>
      <c r="G471" s="69"/>
      <c r="H471" s="71">
        <f>E471*D471</f>
        <v>37.4</v>
      </c>
      <c r="I471" s="69"/>
      <c r="J471" s="69"/>
      <c r="K471" s="70"/>
      <c r="L471" s="64"/>
      <c r="M471" s="64"/>
      <c r="N471" s="64"/>
      <c r="O471" s="64"/>
      <c r="P471" s="65"/>
      <c r="Q471" s="65"/>
    </row>
    <row r="472" spans="1:17" s="66" customFormat="1" ht="18.649999999999999" customHeight="1">
      <c r="A472" s="67"/>
      <c r="B472" s="74" t="s">
        <v>37</v>
      </c>
      <c r="C472" s="74"/>
      <c r="D472" s="68">
        <f>ROUNDDOWN(E471/40,0)*D471</f>
        <v>0</v>
      </c>
      <c r="E472" s="69">
        <f>40*16/1000*3.281</f>
        <v>2.1</v>
      </c>
      <c r="F472" s="69"/>
      <c r="G472" s="69"/>
      <c r="H472" s="71">
        <f>E472*D472</f>
        <v>0</v>
      </c>
      <c r="I472" s="69"/>
      <c r="J472" s="69"/>
      <c r="K472" s="70"/>
      <c r="L472" s="64"/>
      <c r="M472" s="64"/>
      <c r="N472" s="64"/>
      <c r="O472" s="64"/>
      <c r="P472" s="65"/>
      <c r="Q472" s="65"/>
    </row>
    <row r="473" spans="1:17" s="66" customFormat="1" ht="18.649999999999999" customHeight="1">
      <c r="A473" s="67"/>
      <c r="B473" s="74" t="s">
        <v>108</v>
      </c>
      <c r="C473" s="74"/>
      <c r="D473" s="68">
        <f>D470*3</f>
        <v>6</v>
      </c>
      <c r="E473" s="69">
        <f>C470-0.25+18*16/1000*3.281</f>
        <v>6.02</v>
      </c>
      <c r="F473" s="69"/>
      <c r="G473" s="69"/>
      <c r="H473" s="71">
        <f>E473*D473</f>
        <v>36.1</v>
      </c>
      <c r="I473" s="69"/>
      <c r="J473" s="69"/>
      <c r="K473" s="70"/>
      <c r="L473" s="64"/>
      <c r="M473" s="64"/>
      <c r="N473" s="64"/>
      <c r="O473" s="64"/>
      <c r="P473" s="78"/>
      <c r="Q473" s="78"/>
    </row>
    <row r="474" spans="1:17" s="66" customFormat="1" ht="18.649999999999999" customHeight="1">
      <c r="A474" s="67"/>
      <c r="B474" s="74" t="s">
        <v>37</v>
      </c>
      <c r="C474" s="74"/>
      <c r="D474" s="68">
        <f>ROUNDDOWN(E473/40,0)*D473</f>
        <v>0</v>
      </c>
      <c r="E474" s="69">
        <f>40*16/1000*3.281</f>
        <v>2.1</v>
      </c>
      <c r="F474" s="69"/>
      <c r="G474" s="69"/>
      <c r="H474" s="71">
        <f>E474*D474</f>
        <v>0</v>
      </c>
      <c r="I474" s="69"/>
      <c r="J474" s="69"/>
      <c r="K474" s="70"/>
      <c r="L474" s="64"/>
      <c r="M474" s="64"/>
      <c r="N474" s="64"/>
      <c r="O474" s="64"/>
      <c r="P474" s="78"/>
      <c r="Q474" s="78"/>
    </row>
    <row r="475" spans="1:17" s="66" customFormat="1" ht="18.649999999999999" customHeight="1">
      <c r="A475" s="67"/>
      <c r="B475" s="74" t="s">
        <v>383</v>
      </c>
      <c r="C475" s="298">
        <f>2*G470</f>
        <v>1.66</v>
      </c>
      <c r="D475" s="68">
        <f>D470*ROUND(E470/0.4,0)</f>
        <v>18</v>
      </c>
      <c r="E475" s="69">
        <f>ROUND((F470-0.25+G470-0.25)*2+24*10/1000*3.281,2)</f>
        <v>3.11</v>
      </c>
      <c r="F475" s="69"/>
      <c r="G475" s="69"/>
      <c r="H475" s="69"/>
      <c r="I475" s="69">
        <f>D475*E475</f>
        <v>55.98</v>
      </c>
      <c r="J475" s="69"/>
      <c r="K475" s="70"/>
      <c r="L475" s="64"/>
      <c r="M475" s="64"/>
      <c r="N475" s="64"/>
      <c r="O475" s="64"/>
      <c r="P475" s="78"/>
      <c r="Q475" s="78"/>
    </row>
    <row r="476" spans="1:17" s="66" customFormat="1" ht="18.649999999999999" customHeight="1">
      <c r="A476" s="67"/>
      <c r="B476" s="299"/>
      <c r="C476" s="299"/>
      <c r="D476" s="121"/>
      <c r="E476" s="122"/>
      <c r="F476" s="122"/>
      <c r="G476" s="122"/>
      <c r="H476" s="69"/>
      <c r="I476" s="69"/>
      <c r="J476" s="69"/>
      <c r="K476" s="70"/>
      <c r="L476" s="64"/>
      <c r="M476" s="64"/>
      <c r="N476" s="64"/>
      <c r="O476" s="64"/>
      <c r="P476" s="78"/>
      <c r="Q476" s="78"/>
    </row>
    <row r="477" spans="1:17" s="66" customFormat="1" ht="18.649999999999999" customHeight="1">
      <c r="A477" s="67"/>
      <c r="B477" s="138" t="str">
        <f>B243</f>
        <v>FB2 (10"x12")</v>
      </c>
      <c r="C477" s="299"/>
      <c r="D477" s="121"/>
      <c r="E477" s="122"/>
      <c r="F477" s="122"/>
      <c r="G477" s="122"/>
      <c r="H477" s="69"/>
      <c r="I477" s="69"/>
      <c r="J477" s="69"/>
      <c r="K477" s="70"/>
      <c r="L477" s="64"/>
      <c r="M477" s="64"/>
      <c r="N477" s="64"/>
      <c r="O477" s="64"/>
      <c r="P477" s="78"/>
      <c r="Q477" s="78"/>
    </row>
    <row r="478" spans="1:17" s="66" customFormat="1" ht="18.649999999999999" customHeight="1">
      <c r="A478" s="67"/>
      <c r="B478" s="299" t="str">
        <f>B244</f>
        <v>Line A,B,C (1-2), 13' 6" L</v>
      </c>
      <c r="C478" s="299">
        <v>13.5</v>
      </c>
      <c r="D478" s="121">
        <f>D244</f>
        <v>3</v>
      </c>
      <c r="E478" s="122">
        <f>E244</f>
        <v>12</v>
      </c>
      <c r="F478" s="122">
        <f>F244</f>
        <v>0.83</v>
      </c>
      <c r="G478" s="122">
        <f>G244</f>
        <v>1</v>
      </c>
      <c r="H478" s="69"/>
      <c r="I478" s="69"/>
      <c r="J478" s="69"/>
      <c r="K478" s="70"/>
      <c r="L478" s="64"/>
      <c r="M478" s="64"/>
      <c r="N478" s="64"/>
      <c r="O478" s="64"/>
      <c r="P478" s="78"/>
      <c r="Q478" s="78"/>
    </row>
    <row r="479" spans="1:17" s="66" customFormat="1" ht="18.649999999999999" customHeight="1">
      <c r="A479" s="67"/>
      <c r="B479" s="74" t="s">
        <v>385</v>
      </c>
      <c r="C479" s="74"/>
      <c r="D479" s="68">
        <f>D478*4</f>
        <v>12</v>
      </c>
      <c r="E479" s="69">
        <f>C478-0.25+(G478-0.25)*2</f>
        <v>14.75</v>
      </c>
      <c r="F479" s="69"/>
      <c r="G479" s="69"/>
      <c r="H479" s="71">
        <f>E479*D479</f>
        <v>177</v>
      </c>
      <c r="I479" s="69"/>
      <c r="J479" s="69"/>
      <c r="K479" s="70"/>
      <c r="L479" s="64"/>
      <c r="M479" s="64"/>
      <c r="N479" s="64"/>
      <c r="O479" s="64"/>
      <c r="P479" s="65"/>
      <c r="Q479" s="65"/>
    </row>
    <row r="480" spans="1:17" s="66" customFormat="1" ht="18.649999999999999" customHeight="1">
      <c r="A480" s="67"/>
      <c r="B480" s="74" t="s">
        <v>37</v>
      </c>
      <c r="C480" s="74"/>
      <c r="D480" s="68">
        <f>ROUNDDOWN(E479/40,0)*D479</f>
        <v>0</v>
      </c>
      <c r="E480" s="69">
        <f>40*16/1000*3.281</f>
        <v>2.1</v>
      </c>
      <c r="F480" s="69"/>
      <c r="G480" s="69"/>
      <c r="H480" s="71">
        <f>E480*D480</f>
        <v>0</v>
      </c>
      <c r="I480" s="69"/>
      <c r="J480" s="69"/>
      <c r="K480" s="70"/>
      <c r="L480" s="64"/>
      <c r="M480" s="64"/>
      <c r="N480" s="64"/>
      <c r="O480" s="64"/>
      <c r="P480" s="65"/>
      <c r="Q480" s="65"/>
    </row>
    <row r="481" spans="1:17" s="66" customFormat="1" ht="18.649999999999999" customHeight="1">
      <c r="A481" s="67"/>
      <c r="B481" s="74" t="s">
        <v>384</v>
      </c>
      <c r="C481" s="74"/>
      <c r="D481" s="68">
        <f>D478*4</f>
        <v>12</v>
      </c>
      <c r="E481" s="69">
        <f>C478-0.25+18*16/1000*3.281</f>
        <v>14.19</v>
      </c>
      <c r="F481" s="69"/>
      <c r="G481" s="69"/>
      <c r="H481" s="71">
        <f>E481*D481</f>
        <v>170.3</v>
      </c>
      <c r="I481" s="69"/>
      <c r="J481" s="69"/>
      <c r="K481" s="70"/>
      <c r="L481" s="64"/>
      <c r="M481" s="64"/>
      <c r="N481" s="64"/>
      <c r="O481" s="64"/>
      <c r="P481" s="78"/>
      <c r="Q481" s="78"/>
    </row>
    <row r="482" spans="1:17" s="66" customFormat="1" ht="18.649999999999999" customHeight="1">
      <c r="A482" s="67"/>
      <c r="B482" s="74" t="s">
        <v>37</v>
      </c>
      <c r="C482" s="74"/>
      <c r="D482" s="68">
        <f>ROUNDDOWN(E481/40,0)*D481</f>
        <v>0</v>
      </c>
      <c r="E482" s="69">
        <f>40*16/1000*3.281</f>
        <v>2.1</v>
      </c>
      <c r="F482" s="69"/>
      <c r="G482" s="69"/>
      <c r="H482" s="71">
        <f>E482*D482</f>
        <v>0</v>
      </c>
      <c r="I482" s="69"/>
      <c r="J482" s="69"/>
      <c r="K482" s="70"/>
      <c r="L482" s="64"/>
      <c r="M482" s="64"/>
      <c r="N482" s="64"/>
      <c r="O482" s="64"/>
      <c r="P482" s="78"/>
      <c r="Q482" s="78"/>
    </row>
    <row r="483" spans="1:17" s="66" customFormat="1" ht="18.649999999999999" customHeight="1">
      <c r="A483" s="67"/>
      <c r="B483" s="74" t="s">
        <v>383</v>
      </c>
      <c r="C483" s="298">
        <f>2*G478</f>
        <v>2</v>
      </c>
      <c r="D483" s="68">
        <f>D478*ROUND(E478/0.4,0)</f>
        <v>90</v>
      </c>
      <c r="E483" s="69">
        <f>ROUND((F478-0.25+G478-0.25)*2+24*10/1000*3.281,2)</f>
        <v>3.45</v>
      </c>
      <c r="F483" s="69"/>
      <c r="G483" s="69"/>
      <c r="H483" s="69"/>
      <c r="I483" s="69">
        <f>D483*E483</f>
        <v>310.5</v>
      </c>
      <c r="J483" s="69"/>
      <c r="K483" s="70"/>
      <c r="L483" s="64"/>
      <c r="M483" s="64"/>
      <c r="N483" s="64"/>
      <c r="O483" s="64"/>
      <c r="P483" s="78"/>
      <c r="Q483" s="78"/>
    </row>
    <row r="484" spans="1:17" s="66" customFormat="1" ht="18.649999999999999" customHeight="1">
      <c r="A484" s="67"/>
      <c r="B484" s="74"/>
      <c r="C484" s="74"/>
      <c r="D484" s="68"/>
      <c r="E484" s="69"/>
      <c r="F484" s="69"/>
      <c r="G484" s="69"/>
      <c r="H484" s="69"/>
      <c r="I484" s="69"/>
      <c r="J484" s="69"/>
      <c r="K484" s="70"/>
      <c r="L484" s="64"/>
      <c r="M484" s="64"/>
      <c r="N484" s="64"/>
      <c r="O484" s="64"/>
      <c r="P484" s="78"/>
      <c r="Q484" s="78"/>
    </row>
    <row r="485" spans="1:17" s="66" customFormat="1" ht="18.649999999999999" customHeight="1">
      <c r="A485" s="67"/>
      <c r="B485" s="299" t="str">
        <f>B245</f>
        <v>X-Dir Bet A&amp;B (1-2), 13' 6" L</v>
      </c>
      <c r="C485" s="299">
        <v>13.5</v>
      </c>
      <c r="D485" s="121">
        <f>D245</f>
        <v>2</v>
      </c>
      <c r="E485" s="122">
        <f>E245</f>
        <v>12.17</v>
      </c>
      <c r="F485" s="122">
        <f>F245</f>
        <v>0.83</v>
      </c>
      <c r="G485" s="122">
        <f>G245</f>
        <v>1</v>
      </c>
      <c r="H485" s="69"/>
      <c r="I485" s="69"/>
      <c r="J485" s="69"/>
      <c r="K485" s="70"/>
      <c r="L485" s="64"/>
      <c r="M485" s="64"/>
      <c r="N485" s="64"/>
      <c r="O485" s="64"/>
      <c r="P485" s="78"/>
      <c r="Q485" s="78"/>
    </row>
    <row r="486" spans="1:17" s="66" customFormat="1" ht="18.649999999999999" customHeight="1">
      <c r="A486" s="67"/>
      <c r="B486" s="74" t="s">
        <v>385</v>
      </c>
      <c r="C486" s="74"/>
      <c r="D486" s="68">
        <f>D485*4</f>
        <v>8</v>
      </c>
      <c r="E486" s="69">
        <f>C485-0.25+(G485-0.25)*2</f>
        <v>14.75</v>
      </c>
      <c r="F486" s="69"/>
      <c r="G486" s="69"/>
      <c r="H486" s="71">
        <f>E486*D486</f>
        <v>118</v>
      </c>
      <c r="I486" s="69"/>
      <c r="J486" s="69"/>
      <c r="K486" s="70"/>
      <c r="L486" s="64"/>
      <c r="M486" s="64"/>
      <c r="N486" s="64"/>
      <c r="O486" s="64"/>
      <c r="P486" s="65"/>
      <c r="Q486" s="65"/>
    </row>
    <row r="487" spans="1:17" s="66" customFormat="1" ht="18.649999999999999" customHeight="1">
      <c r="A487" s="67"/>
      <c r="B487" s="74" t="s">
        <v>37</v>
      </c>
      <c r="C487" s="74"/>
      <c r="D487" s="68">
        <f>ROUNDDOWN(E486/40,0)*D486</f>
        <v>0</v>
      </c>
      <c r="E487" s="69">
        <f>40*16/1000*3.281</f>
        <v>2.1</v>
      </c>
      <c r="F487" s="69"/>
      <c r="G487" s="69"/>
      <c r="H487" s="71">
        <f>E487*D487</f>
        <v>0</v>
      </c>
      <c r="I487" s="69"/>
      <c r="J487" s="69"/>
      <c r="K487" s="70"/>
      <c r="L487" s="64"/>
      <c r="M487" s="64"/>
      <c r="N487" s="64"/>
      <c r="O487" s="64"/>
      <c r="P487" s="65"/>
      <c r="Q487" s="65"/>
    </row>
    <row r="488" spans="1:17" s="66" customFormat="1" ht="18.649999999999999" customHeight="1">
      <c r="A488" s="67"/>
      <c r="B488" s="74" t="s">
        <v>384</v>
      </c>
      <c r="C488" s="74"/>
      <c r="D488" s="68">
        <f>D485*4</f>
        <v>8</v>
      </c>
      <c r="E488" s="69">
        <f>C485-0.25+18*16/1000*3.281</f>
        <v>14.19</v>
      </c>
      <c r="F488" s="69"/>
      <c r="G488" s="69"/>
      <c r="H488" s="71">
        <f>E488*D488</f>
        <v>113.5</v>
      </c>
      <c r="I488" s="69"/>
      <c r="J488" s="69"/>
      <c r="K488" s="70"/>
      <c r="L488" s="64"/>
      <c r="M488" s="64"/>
      <c r="N488" s="64"/>
      <c r="O488" s="64"/>
      <c r="P488" s="78"/>
      <c r="Q488" s="78"/>
    </row>
    <row r="489" spans="1:17" s="66" customFormat="1" ht="18.649999999999999" customHeight="1">
      <c r="A489" s="67"/>
      <c r="B489" s="74" t="s">
        <v>37</v>
      </c>
      <c r="C489" s="74"/>
      <c r="D489" s="68">
        <f>ROUNDDOWN(E488/40,0)*D488</f>
        <v>0</v>
      </c>
      <c r="E489" s="69">
        <f>40*16/1000*3.281</f>
        <v>2.1</v>
      </c>
      <c r="F489" s="69"/>
      <c r="G489" s="69"/>
      <c r="H489" s="71">
        <f>E489*D489</f>
        <v>0</v>
      </c>
      <c r="I489" s="69"/>
      <c r="J489" s="69"/>
      <c r="K489" s="70"/>
      <c r="L489" s="64"/>
      <c r="M489" s="64"/>
      <c r="N489" s="64"/>
      <c r="O489" s="64"/>
      <c r="P489" s="78"/>
      <c r="Q489" s="78"/>
    </row>
    <row r="490" spans="1:17" s="66" customFormat="1" ht="18.649999999999999" customHeight="1">
      <c r="A490" s="67"/>
      <c r="B490" s="74" t="s">
        <v>383</v>
      </c>
      <c r="C490" s="298">
        <f>2*G485</f>
        <v>2</v>
      </c>
      <c r="D490" s="68">
        <f>D485*ROUND(E485/0.4,0)</f>
        <v>60</v>
      </c>
      <c r="E490" s="69">
        <f>ROUND((F485-0.25+G485-0.25)*2+24*10/1000*3.281,2)</f>
        <v>3.45</v>
      </c>
      <c r="F490" s="69"/>
      <c r="G490" s="69"/>
      <c r="H490" s="69"/>
      <c r="I490" s="69">
        <f>D490*E490</f>
        <v>207</v>
      </c>
      <c r="J490" s="69"/>
      <c r="K490" s="70"/>
      <c r="L490" s="64"/>
      <c r="M490" s="64"/>
      <c r="N490" s="64"/>
      <c r="O490" s="64"/>
      <c r="P490" s="78"/>
      <c r="Q490" s="78"/>
    </row>
    <row r="491" spans="1:17" s="66" customFormat="1" ht="18.649999999999999" customHeight="1">
      <c r="A491" s="67"/>
      <c r="B491" s="74"/>
      <c r="C491" s="74"/>
      <c r="D491" s="68"/>
      <c r="E491" s="69"/>
      <c r="F491" s="69"/>
      <c r="G491" s="69"/>
      <c r="H491" s="69"/>
      <c r="I491" s="69"/>
      <c r="J491" s="69"/>
      <c r="K491" s="70"/>
      <c r="L491" s="64"/>
      <c r="M491" s="64"/>
      <c r="N491" s="64"/>
      <c r="O491" s="64"/>
      <c r="P491" s="78"/>
      <c r="Q491" s="78"/>
    </row>
    <row r="492" spans="1:17" s="66" customFormat="1" ht="18.649999999999999" customHeight="1">
      <c r="A492" s="67"/>
      <c r="B492" s="299" t="str">
        <f>B246</f>
        <v>Line 3 (B-D), 19' L</v>
      </c>
      <c r="C492" s="299">
        <v>19</v>
      </c>
      <c r="D492" s="121">
        <f>D246</f>
        <v>1</v>
      </c>
      <c r="E492" s="122">
        <f>E246</f>
        <v>16.5</v>
      </c>
      <c r="F492" s="122">
        <f>F246</f>
        <v>0.83</v>
      </c>
      <c r="G492" s="122">
        <f>G246</f>
        <v>1</v>
      </c>
      <c r="H492" s="69"/>
      <c r="I492" s="69"/>
      <c r="J492" s="69"/>
      <c r="K492" s="70"/>
      <c r="L492" s="64"/>
      <c r="M492" s="64"/>
      <c r="N492" s="64"/>
      <c r="O492" s="64"/>
      <c r="P492" s="78"/>
      <c r="Q492" s="78"/>
    </row>
    <row r="493" spans="1:17" s="66" customFormat="1" ht="18.649999999999999" customHeight="1">
      <c r="A493" s="67"/>
      <c r="B493" s="74" t="s">
        <v>385</v>
      </c>
      <c r="C493" s="74"/>
      <c r="D493" s="68">
        <f>D492*4</f>
        <v>4</v>
      </c>
      <c r="E493" s="69">
        <f>C492-0.25+(G492-0.25)*2</f>
        <v>20.25</v>
      </c>
      <c r="F493" s="69"/>
      <c r="G493" s="69"/>
      <c r="H493" s="71">
        <f>E493*D493</f>
        <v>81</v>
      </c>
      <c r="I493" s="69"/>
      <c r="J493" s="69"/>
      <c r="K493" s="70"/>
      <c r="L493" s="64"/>
      <c r="M493" s="64"/>
      <c r="N493" s="64"/>
      <c r="O493" s="64"/>
      <c r="P493" s="65"/>
      <c r="Q493" s="65"/>
    </row>
    <row r="494" spans="1:17" s="66" customFormat="1" ht="18.649999999999999" customHeight="1">
      <c r="A494" s="67"/>
      <c r="B494" s="74" t="s">
        <v>37</v>
      </c>
      <c r="C494" s="74"/>
      <c r="D494" s="68">
        <f>ROUNDDOWN(E493/40,0)*D493</f>
        <v>0</v>
      </c>
      <c r="E494" s="69">
        <f>40*16/1000*3.281</f>
        <v>2.1</v>
      </c>
      <c r="F494" s="69"/>
      <c r="G494" s="69"/>
      <c r="H494" s="71">
        <f>E494*D494</f>
        <v>0</v>
      </c>
      <c r="I494" s="69"/>
      <c r="J494" s="69"/>
      <c r="K494" s="70"/>
      <c r="L494" s="64"/>
      <c r="M494" s="64"/>
      <c r="N494" s="64"/>
      <c r="O494" s="64"/>
      <c r="P494" s="65"/>
      <c r="Q494" s="65"/>
    </row>
    <row r="495" spans="1:17" s="66" customFormat="1" ht="18.649999999999999" customHeight="1">
      <c r="A495" s="67"/>
      <c r="B495" s="74" t="s">
        <v>384</v>
      </c>
      <c r="C495" s="74"/>
      <c r="D495" s="68">
        <f>D492*4</f>
        <v>4</v>
      </c>
      <c r="E495" s="69">
        <f>C492-0.25+18*16/1000*3.281</f>
        <v>19.690000000000001</v>
      </c>
      <c r="F495" s="69"/>
      <c r="G495" s="69"/>
      <c r="H495" s="71">
        <f>E495*D495</f>
        <v>78.8</v>
      </c>
      <c r="I495" s="69"/>
      <c r="J495" s="69"/>
      <c r="K495" s="70"/>
      <c r="L495" s="64"/>
      <c r="M495" s="64"/>
      <c r="N495" s="64"/>
      <c r="O495" s="64"/>
      <c r="P495" s="78"/>
      <c r="Q495" s="78"/>
    </row>
    <row r="496" spans="1:17" s="66" customFormat="1" ht="18.649999999999999" customHeight="1">
      <c r="A496" s="67"/>
      <c r="B496" s="74" t="s">
        <v>37</v>
      </c>
      <c r="C496" s="74"/>
      <c r="D496" s="68">
        <f>ROUNDDOWN(E495/40,0)*D495</f>
        <v>0</v>
      </c>
      <c r="E496" s="69">
        <f>40*16/1000*3.281</f>
        <v>2.1</v>
      </c>
      <c r="F496" s="69"/>
      <c r="G496" s="69"/>
      <c r="H496" s="71">
        <f>E496*D496</f>
        <v>0</v>
      </c>
      <c r="I496" s="69"/>
      <c r="J496" s="69"/>
      <c r="K496" s="70"/>
      <c r="L496" s="64"/>
      <c r="M496" s="64"/>
      <c r="N496" s="64"/>
      <c r="O496" s="64"/>
      <c r="P496" s="78"/>
      <c r="Q496" s="78"/>
    </row>
    <row r="497" spans="1:17" s="66" customFormat="1" ht="18.649999999999999" customHeight="1">
      <c r="A497" s="67"/>
      <c r="B497" s="74" t="s">
        <v>383</v>
      </c>
      <c r="C497" s="298">
        <f>2*G492</f>
        <v>2</v>
      </c>
      <c r="D497" s="68">
        <f>D492*ROUND(E492/0.4,0)</f>
        <v>41</v>
      </c>
      <c r="E497" s="69">
        <f>ROUND((F492-0.25+G492-0.25)*2+24*10/1000*3.281,2)</f>
        <v>3.45</v>
      </c>
      <c r="F497" s="69"/>
      <c r="G497" s="69"/>
      <c r="H497" s="69"/>
      <c r="I497" s="69">
        <f>D497*E497</f>
        <v>141.44999999999999</v>
      </c>
      <c r="J497" s="69"/>
      <c r="K497" s="70"/>
      <c r="L497" s="64"/>
      <c r="M497" s="64"/>
      <c r="N497" s="64"/>
      <c r="O497" s="64"/>
      <c r="P497" s="78"/>
      <c r="Q497" s="78"/>
    </row>
    <row r="498" spans="1:17" s="66" customFormat="1" ht="18.649999999999999" customHeight="1">
      <c r="A498" s="67"/>
      <c r="B498" s="74"/>
      <c r="C498" s="74"/>
      <c r="D498" s="68"/>
      <c r="E498" s="69"/>
      <c r="F498" s="69"/>
      <c r="G498" s="69"/>
      <c r="H498" s="69"/>
      <c r="I498" s="69"/>
      <c r="J498" s="69"/>
      <c r="K498" s="70"/>
      <c r="L498" s="64"/>
      <c r="M498" s="64"/>
      <c r="N498" s="64"/>
      <c r="O498" s="64"/>
      <c r="P498" s="78"/>
      <c r="Q498" s="78"/>
    </row>
    <row r="499" spans="1:17" s="66" customFormat="1" ht="18.649999999999999" customHeight="1">
      <c r="A499" s="67"/>
      <c r="B499" s="138" t="str">
        <f>B248</f>
        <v>FB3 (10"x14")</v>
      </c>
      <c r="C499" s="299"/>
      <c r="D499" s="121"/>
      <c r="E499" s="122"/>
      <c r="F499" s="122"/>
      <c r="G499" s="122"/>
      <c r="H499" s="69"/>
      <c r="I499" s="69"/>
      <c r="J499" s="69"/>
      <c r="K499" s="70"/>
      <c r="L499" s="64"/>
      <c r="M499" s="64"/>
      <c r="N499" s="64"/>
      <c r="O499" s="64"/>
      <c r="P499" s="78"/>
      <c r="Q499" s="78"/>
    </row>
    <row r="500" spans="1:17" s="66" customFormat="1" ht="18.649999999999999" customHeight="1">
      <c r="A500" s="67"/>
      <c r="B500" s="299" t="str">
        <f>B249</f>
        <v xml:space="preserve">Line D (1-2), 13' 6" L </v>
      </c>
      <c r="C500" s="299">
        <v>13.5</v>
      </c>
      <c r="D500" s="121">
        <f>D249</f>
        <v>1</v>
      </c>
      <c r="E500" s="122">
        <f>E249</f>
        <v>12</v>
      </c>
      <c r="F500" s="122">
        <f>F249</f>
        <v>0.83</v>
      </c>
      <c r="G500" s="122">
        <f>G249</f>
        <v>1.17</v>
      </c>
      <c r="H500" s="69"/>
      <c r="I500" s="69"/>
      <c r="J500" s="69"/>
      <c r="K500" s="70"/>
      <c r="L500" s="64"/>
      <c r="M500" s="64"/>
      <c r="N500" s="64"/>
      <c r="O500" s="64"/>
      <c r="P500" s="78"/>
      <c r="Q500" s="78"/>
    </row>
    <row r="501" spans="1:17" s="66" customFormat="1" ht="18.649999999999999" customHeight="1">
      <c r="A501" s="67"/>
      <c r="B501" s="74" t="s">
        <v>385</v>
      </c>
      <c r="C501" s="74"/>
      <c r="D501" s="68">
        <f>D500*4</f>
        <v>4</v>
      </c>
      <c r="E501" s="69">
        <f>C500-0.25+(G500-0.25)*2</f>
        <v>15.09</v>
      </c>
      <c r="F501" s="69"/>
      <c r="G501" s="69"/>
      <c r="H501" s="71">
        <f>E501*D501</f>
        <v>60.4</v>
      </c>
      <c r="I501" s="69"/>
      <c r="J501" s="69"/>
      <c r="K501" s="70"/>
      <c r="L501" s="64"/>
      <c r="M501" s="64"/>
      <c r="N501" s="64"/>
      <c r="O501" s="64"/>
      <c r="P501" s="65"/>
      <c r="Q501" s="65"/>
    </row>
    <row r="502" spans="1:17" s="66" customFormat="1" ht="18.649999999999999" customHeight="1">
      <c r="A502" s="67"/>
      <c r="B502" s="74" t="s">
        <v>37</v>
      </c>
      <c r="C502" s="74"/>
      <c r="D502" s="68">
        <f>ROUNDDOWN(E501/40,0)*D501</f>
        <v>0</v>
      </c>
      <c r="E502" s="69">
        <f>40*16/1000*3.281</f>
        <v>2.1</v>
      </c>
      <c r="F502" s="69"/>
      <c r="G502" s="69"/>
      <c r="H502" s="71">
        <f>E502*D502</f>
        <v>0</v>
      </c>
      <c r="I502" s="69"/>
      <c r="J502" s="69"/>
      <c r="K502" s="70"/>
      <c r="L502" s="64"/>
      <c r="M502" s="64"/>
      <c r="N502" s="64"/>
      <c r="O502" s="64"/>
      <c r="P502" s="65"/>
      <c r="Q502" s="65"/>
    </row>
    <row r="503" spans="1:17" s="66" customFormat="1" ht="18.649999999999999" customHeight="1">
      <c r="A503" s="67"/>
      <c r="B503" s="74" t="s">
        <v>384</v>
      </c>
      <c r="C503" s="74"/>
      <c r="D503" s="68">
        <f>D500*4</f>
        <v>4</v>
      </c>
      <c r="E503" s="69">
        <f>C500-0.25+18*16/1000*3.281</f>
        <v>14.19</v>
      </c>
      <c r="F503" s="69"/>
      <c r="G503" s="69"/>
      <c r="H503" s="71">
        <f>E503*D503</f>
        <v>56.8</v>
      </c>
      <c r="I503" s="69"/>
      <c r="J503" s="69"/>
      <c r="K503" s="70"/>
      <c r="L503" s="64"/>
      <c r="M503" s="64"/>
      <c r="N503" s="64"/>
      <c r="O503" s="64"/>
      <c r="P503" s="78"/>
      <c r="Q503" s="78"/>
    </row>
    <row r="504" spans="1:17" s="66" customFormat="1" ht="18.649999999999999" customHeight="1">
      <c r="A504" s="67"/>
      <c r="B504" s="74" t="s">
        <v>37</v>
      </c>
      <c r="C504" s="74"/>
      <c r="D504" s="68">
        <f>ROUNDDOWN(E503/40,0)*D503</f>
        <v>0</v>
      </c>
      <c r="E504" s="69">
        <f>40*16/1000*3.281</f>
        <v>2.1</v>
      </c>
      <c r="F504" s="69"/>
      <c r="G504" s="69"/>
      <c r="H504" s="71">
        <f>E504*D504</f>
        <v>0</v>
      </c>
      <c r="I504" s="69"/>
      <c r="J504" s="69"/>
      <c r="K504" s="70"/>
      <c r="L504" s="64"/>
      <c r="M504" s="64"/>
      <c r="N504" s="64"/>
      <c r="O504" s="64"/>
      <c r="P504" s="78"/>
      <c r="Q504" s="78"/>
    </row>
    <row r="505" spans="1:17" s="66" customFormat="1" ht="18.649999999999999" customHeight="1">
      <c r="A505" s="67"/>
      <c r="B505" s="74" t="s">
        <v>383</v>
      </c>
      <c r="C505" s="298">
        <f>2*G500</f>
        <v>2.34</v>
      </c>
      <c r="D505" s="68">
        <f>D500*ROUND(E500/0.4,0)</f>
        <v>30</v>
      </c>
      <c r="E505" s="69">
        <f>ROUND((F500-0.25+G500-0.25)*2+24*10/1000*3.281,2)</f>
        <v>3.79</v>
      </c>
      <c r="F505" s="69"/>
      <c r="G505" s="69"/>
      <c r="H505" s="69"/>
      <c r="I505" s="69">
        <f>D505*E505</f>
        <v>113.7</v>
      </c>
      <c r="J505" s="69"/>
      <c r="K505" s="70"/>
      <c r="L505" s="64"/>
      <c r="M505" s="64"/>
      <c r="N505" s="64"/>
      <c r="O505" s="64"/>
      <c r="P505" s="78"/>
      <c r="Q505" s="78"/>
    </row>
    <row r="506" spans="1:17" s="66" customFormat="1" ht="18.649999999999999" customHeight="1">
      <c r="A506" s="67"/>
      <c r="B506" s="74"/>
      <c r="C506" s="298"/>
      <c r="D506" s="68"/>
      <c r="E506" s="69"/>
      <c r="F506" s="69"/>
      <c r="G506" s="69"/>
      <c r="H506" s="69"/>
      <c r="I506" s="69"/>
      <c r="J506" s="69"/>
      <c r="K506" s="70"/>
      <c r="L506" s="64"/>
      <c r="M506" s="64"/>
      <c r="N506" s="64"/>
      <c r="O506" s="64"/>
      <c r="P506" s="78"/>
      <c r="Q506" s="78"/>
    </row>
    <row r="507" spans="1:17" s="66" customFormat="1" ht="18.649999999999999" customHeight="1">
      <c r="A507" s="67"/>
      <c r="B507" s="299" t="str">
        <f>B250</f>
        <v xml:space="preserve">Line 2 (B-D), 19' L </v>
      </c>
      <c r="C507" s="301">
        <v>19</v>
      </c>
      <c r="D507" s="121">
        <f>D250</f>
        <v>1</v>
      </c>
      <c r="E507" s="122">
        <f>E250</f>
        <v>16.5</v>
      </c>
      <c r="F507" s="122">
        <f>F250</f>
        <v>0.83</v>
      </c>
      <c r="G507" s="122">
        <f>G250</f>
        <v>1.17</v>
      </c>
      <c r="H507" s="69"/>
      <c r="I507" s="69"/>
      <c r="J507" s="69"/>
      <c r="K507" s="70"/>
      <c r="L507" s="64"/>
      <c r="M507" s="64"/>
      <c r="N507" s="64"/>
      <c r="O507" s="64"/>
      <c r="P507" s="78"/>
      <c r="Q507" s="78"/>
    </row>
    <row r="508" spans="1:17" s="66" customFormat="1" ht="18.649999999999999" customHeight="1">
      <c r="A508" s="67"/>
      <c r="B508" s="74" t="s">
        <v>385</v>
      </c>
      <c r="C508" s="74"/>
      <c r="D508" s="68">
        <f>D507*4</f>
        <v>4</v>
      </c>
      <c r="E508" s="69">
        <f>C507-0.25+(G507-0.25)*2</f>
        <v>20.59</v>
      </c>
      <c r="F508" s="69"/>
      <c r="G508" s="69"/>
      <c r="H508" s="71">
        <f>E508*D508</f>
        <v>82.4</v>
      </c>
      <c r="I508" s="69"/>
      <c r="J508" s="69"/>
      <c r="K508" s="70"/>
      <c r="L508" s="64"/>
      <c r="M508" s="64"/>
      <c r="N508" s="64"/>
      <c r="O508" s="64"/>
      <c r="P508" s="65"/>
      <c r="Q508" s="65"/>
    </row>
    <row r="509" spans="1:17" s="66" customFormat="1" ht="18.649999999999999" customHeight="1">
      <c r="A509" s="67"/>
      <c r="B509" s="74" t="s">
        <v>37</v>
      </c>
      <c r="C509" s="74"/>
      <c r="D509" s="68">
        <f>ROUNDDOWN(E508/40,0)*D508</f>
        <v>0</v>
      </c>
      <c r="E509" s="69">
        <f>40*16/1000*3.281</f>
        <v>2.1</v>
      </c>
      <c r="F509" s="69"/>
      <c r="G509" s="69"/>
      <c r="H509" s="71">
        <f>E509*D509</f>
        <v>0</v>
      </c>
      <c r="I509" s="69"/>
      <c r="J509" s="69"/>
      <c r="K509" s="70"/>
      <c r="L509" s="64"/>
      <c r="M509" s="64"/>
      <c r="N509" s="64"/>
      <c r="O509" s="64"/>
      <c r="P509" s="65"/>
      <c r="Q509" s="65"/>
    </row>
    <row r="510" spans="1:17" s="66" customFormat="1" ht="18.649999999999999" customHeight="1">
      <c r="A510" s="67"/>
      <c r="B510" s="74" t="s">
        <v>384</v>
      </c>
      <c r="C510" s="74"/>
      <c r="D510" s="68">
        <f>D507*4</f>
        <v>4</v>
      </c>
      <c r="E510" s="69">
        <f>C507-0.25+18*16/1000*3.281</f>
        <v>19.690000000000001</v>
      </c>
      <c r="F510" s="69"/>
      <c r="G510" s="69"/>
      <c r="H510" s="71">
        <f>E510*D510</f>
        <v>78.8</v>
      </c>
      <c r="I510" s="69"/>
      <c r="J510" s="69"/>
      <c r="K510" s="70"/>
      <c r="L510" s="64"/>
      <c r="M510" s="64"/>
      <c r="N510" s="64"/>
      <c r="O510" s="64"/>
      <c r="P510" s="78"/>
      <c r="Q510" s="78"/>
    </row>
    <row r="511" spans="1:17" s="66" customFormat="1" ht="18.649999999999999" customHeight="1">
      <c r="A511" s="67"/>
      <c r="B511" s="74" t="s">
        <v>37</v>
      </c>
      <c r="C511" s="74"/>
      <c r="D511" s="68">
        <f>ROUNDDOWN(E510/40,0)*D510</f>
        <v>0</v>
      </c>
      <c r="E511" s="69">
        <f>40*16/1000*3.281</f>
        <v>2.1</v>
      </c>
      <c r="F511" s="69"/>
      <c r="G511" s="69"/>
      <c r="H511" s="71">
        <f>E511*D511</f>
        <v>0</v>
      </c>
      <c r="I511" s="69"/>
      <c r="J511" s="69"/>
      <c r="K511" s="70"/>
      <c r="L511" s="64"/>
      <c r="M511" s="64"/>
      <c r="N511" s="64"/>
      <c r="O511" s="64"/>
      <c r="P511" s="78"/>
      <c r="Q511" s="78"/>
    </row>
    <row r="512" spans="1:17" s="66" customFormat="1" ht="18.649999999999999" customHeight="1">
      <c r="A512" s="67"/>
      <c r="B512" s="74" t="s">
        <v>383</v>
      </c>
      <c r="C512" s="298">
        <f>2*G507</f>
        <v>2.34</v>
      </c>
      <c r="D512" s="68">
        <f>D507*ROUND(E507/0.4,0)</f>
        <v>41</v>
      </c>
      <c r="E512" s="69">
        <f>ROUND((F507-0.25+G507-0.25)*2+24*10/1000*3.281,2)</f>
        <v>3.79</v>
      </c>
      <c r="F512" s="69"/>
      <c r="G512" s="69"/>
      <c r="H512" s="69"/>
      <c r="I512" s="69">
        <f>D512*E512</f>
        <v>155.38999999999999</v>
      </c>
      <c r="J512" s="69"/>
      <c r="K512" s="70"/>
      <c r="L512" s="64"/>
      <c r="M512" s="64"/>
      <c r="N512" s="64"/>
      <c r="O512" s="64"/>
      <c r="P512" s="78"/>
      <c r="Q512" s="78"/>
    </row>
    <row r="513" spans="1:17" s="66" customFormat="1" ht="18.649999999999999" customHeight="1">
      <c r="A513" s="67"/>
      <c r="B513" s="74"/>
      <c r="C513" s="298"/>
      <c r="D513" s="68"/>
      <c r="E513" s="69"/>
      <c r="F513" s="69"/>
      <c r="G513" s="69"/>
      <c r="H513" s="69"/>
      <c r="I513" s="69"/>
      <c r="J513" s="69"/>
      <c r="K513" s="70"/>
      <c r="L513" s="64"/>
      <c r="M513" s="64"/>
      <c r="N513" s="64"/>
      <c r="O513" s="64"/>
      <c r="P513" s="78"/>
      <c r="Q513" s="78"/>
    </row>
    <row r="514" spans="1:17" s="66" customFormat="1" ht="18.649999999999999" customHeight="1">
      <c r="A514" s="67"/>
      <c r="B514" s="299" t="str">
        <f>B251</f>
        <v>Line D' (Verendah), 13' L</v>
      </c>
      <c r="C514" s="301">
        <v>13</v>
      </c>
      <c r="D514" s="121">
        <f>D251</f>
        <v>1</v>
      </c>
      <c r="E514" s="122">
        <f>E251</f>
        <v>11.33</v>
      </c>
      <c r="F514" s="122">
        <f>F251</f>
        <v>0.83</v>
      </c>
      <c r="G514" s="122">
        <f>G251</f>
        <v>1.17</v>
      </c>
      <c r="H514" s="69"/>
      <c r="I514" s="69"/>
      <c r="J514" s="69"/>
      <c r="K514" s="70"/>
      <c r="L514" s="64"/>
      <c r="M514" s="64"/>
      <c r="N514" s="64"/>
      <c r="O514" s="64"/>
      <c r="P514" s="78"/>
      <c r="Q514" s="78"/>
    </row>
    <row r="515" spans="1:17" s="66" customFormat="1" ht="18.649999999999999" customHeight="1">
      <c r="A515" s="67"/>
      <c r="B515" s="74" t="s">
        <v>385</v>
      </c>
      <c r="C515" s="74"/>
      <c r="D515" s="68">
        <f>D514*4</f>
        <v>4</v>
      </c>
      <c r="E515" s="69">
        <f>C514-0.25+(G514-0.25)*2</f>
        <v>14.59</v>
      </c>
      <c r="F515" s="69"/>
      <c r="G515" s="69"/>
      <c r="H515" s="71">
        <f>E515*D515</f>
        <v>58.4</v>
      </c>
      <c r="I515" s="69"/>
      <c r="J515" s="69"/>
      <c r="K515" s="70"/>
      <c r="L515" s="64"/>
      <c r="M515" s="64"/>
      <c r="N515" s="64"/>
      <c r="O515" s="64"/>
      <c r="P515" s="65"/>
      <c r="Q515" s="65"/>
    </row>
    <row r="516" spans="1:17" s="66" customFormat="1" ht="18.649999999999999" customHeight="1">
      <c r="A516" s="67"/>
      <c r="B516" s="74" t="s">
        <v>37</v>
      </c>
      <c r="C516" s="74"/>
      <c r="D516" s="68">
        <f>ROUNDDOWN(E515/40,0)*D515</f>
        <v>0</v>
      </c>
      <c r="E516" s="69">
        <f>40*16/1000*3.281</f>
        <v>2.1</v>
      </c>
      <c r="F516" s="69"/>
      <c r="G516" s="69"/>
      <c r="H516" s="71">
        <f>E516*D516</f>
        <v>0</v>
      </c>
      <c r="I516" s="69"/>
      <c r="J516" s="69"/>
      <c r="K516" s="70"/>
      <c r="L516" s="64"/>
      <c r="M516" s="64"/>
      <c r="N516" s="64"/>
      <c r="O516" s="64"/>
      <c r="P516" s="65"/>
      <c r="Q516" s="65"/>
    </row>
    <row r="517" spans="1:17" s="66" customFormat="1" ht="18.649999999999999" customHeight="1">
      <c r="A517" s="67"/>
      <c r="B517" s="74" t="s">
        <v>384</v>
      </c>
      <c r="C517" s="74"/>
      <c r="D517" s="68">
        <f>D514*4</f>
        <v>4</v>
      </c>
      <c r="E517" s="69">
        <f>C514-0.25+18*16/1000*3.281</f>
        <v>13.69</v>
      </c>
      <c r="F517" s="69"/>
      <c r="G517" s="69"/>
      <c r="H517" s="71">
        <f>E517*D517</f>
        <v>54.8</v>
      </c>
      <c r="I517" s="69"/>
      <c r="J517" s="69"/>
      <c r="K517" s="70"/>
      <c r="L517" s="64"/>
      <c r="M517" s="64"/>
      <c r="N517" s="64"/>
      <c r="O517" s="64"/>
      <c r="P517" s="78"/>
      <c r="Q517" s="78"/>
    </row>
    <row r="518" spans="1:17" s="66" customFormat="1" ht="18.649999999999999" customHeight="1">
      <c r="A518" s="67"/>
      <c r="B518" s="74" t="s">
        <v>37</v>
      </c>
      <c r="C518" s="74"/>
      <c r="D518" s="68">
        <f>ROUNDDOWN(E517/40,0)*D517</f>
        <v>0</v>
      </c>
      <c r="E518" s="69">
        <f>40*16/1000*3.281</f>
        <v>2.1</v>
      </c>
      <c r="F518" s="69"/>
      <c r="G518" s="69"/>
      <c r="H518" s="71">
        <f>E518*D518</f>
        <v>0</v>
      </c>
      <c r="I518" s="69"/>
      <c r="J518" s="69"/>
      <c r="K518" s="70"/>
      <c r="L518" s="64"/>
      <c r="M518" s="64"/>
      <c r="N518" s="64"/>
      <c r="O518" s="64"/>
      <c r="P518" s="78"/>
      <c r="Q518" s="78"/>
    </row>
    <row r="519" spans="1:17" s="66" customFormat="1" ht="18.649999999999999" customHeight="1">
      <c r="A519" s="67"/>
      <c r="B519" s="74" t="s">
        <v>383</v>
      </c>
      <c r="C519" s="298">
        <f>2*G514</f>
        <v>2.34</v>
      </c>
      <c r="D519" s="68">
        <f>D514*ROUND(E514/0.4,0)</f>
        <v>28</v>
      </c>
      <c r="E519" s="69">
        <f>ROUND((F514-0.25+G514-0.25)*2+24*10/1000*3.281,2)</f>
        <v>3.79</v>
      </c>
      <c r="F519" s="69"/>
      <c r="G519" s="69"/>
      <c r="H519" s="69"/>
      <c r="I519" s="69">
        <f>D519*E519</f>
        <v>106.12</v>
      </c>
      <c r="J519" s="69"/>
      <c r="K519" s="70"/>
      <c r="L519" s="64"/>
      <c r="M519" s="64"/>
      <c r="N519" s="64"/>
      <c r="O519" s="64"/>
      <c r="P519" s="78"/>
      <c r="Q519" s="78"/>
    </row>
    <row r="520" spans="1:17" s="66" customFormat="1" ht="18.649999999999999" customHeight="1">
      <c r="A520" s="67"/>
      <c r="B520" s="74"/>
      <c r="C520" s="298"/>
      <c r="D520" s="68"/>
      <c r="E520" s="69"/>
      <c r="F520" s="69"/>
      <c r="G520" s="69"/>
      <c r="H520" s="69"/>
      <c r="I520" s="69"/>
      <c r="J520" s="69"/>
      <c r="K520" s="70"/>
      <c r="L520" s="64"/>
      <c r="M520" s="64">
        <f>3+1</f>
        <v>4</v>
      </c>
      <c r="N520" s="64"/>
      <c r="O520" s="64"/>
      <c r="P520" s="78"/>
      <c r="Q520" s="78"/>
    </row>
    <row r="521" spans="1:17" s="66" customFormat="1" ht="18.649999999999999" customHeight="1">
      <c r="A521" s="67"/>
      <c r="B521" s="299" t="str">
        <f>B252</f>
        <v>Y-Dir, 3' 6" L</v>
      </c>
      <c r="C521" s="301">
        <v>3.5</v>
      </c>
      <c r="D521" s="121">
        <f>D252</f>
        <v>2</v>
      </c>
      <c r="E521" s="122">
        <f>E252</f>
        <v>3.5</v>
      </c>
      <c r="F521" s="122">
        <f>F252</f>
        <v>0.83</v>
      </c>
      <c r="G521" s="122">
        <f>G252</f>
        <v>1.17</v>
      </c>
      <c r="H521" s="69"/>
      <c r="I521" s="69"/>
      <c r="J521" s="69"/>
      <c r="K521" s="70"/>
      <c r="L521" s="64"/>
      <c r="M521" s="64"/>
      <c r="N521" s="64"/>
      <c r="O521" s="64"/>
      <c r="P521" s="78"/>
      <c r="Q521" s="78"/>
    </row>
    <row r="522" spans="1:17" s="66" customFormat="1" ht="18.649999999999999" customHeight="1">
      <c r="A522" s="67"/>
      <c r="B522" s="74" t="s">
        <v>385</v>
      </c>
      <c r="C522" s="74"/>
      <c r="D522" s="68">
        <f>D521*4</f>
        <v>8</v>
      </c>
      <c r="E522" s="69">
        <f>C521-0.25+(G521-0.25)*2</f>
        <v>5.09</v>
      </c>
      <c r="F522" s="69"/>
      <c r="G522" s="69"/>
      <c r="H522" s="71">
        <f>E522*D522</f>
        <v>40.700000000000003</v>
      </c>
      <c r="I522" s="69"/>
      <c r="J522" s="69"/>
      <c r="K522" s="70"/>
      <c r="L522" s="64"/>
      <c r="M522" s="64"/>
      <c r="N522" s="64"/>
      <c r="O522" s="64"/>
      <c r="P522" s="65"/>
      <c r="Q522" s="65"/>
    </row>
    <row r="523" spans="1:17" s="66" customFormat="1" ht="18.649999999999999" customHeight="1">
      <c r="A523" s="67"/>
      <c r="B523" s="74" t="s">
        <v>37</v>
      </c>
      <c r="C523" s="74"/>
      <c r="D523" s="68">
        <f>ROUNDDOWN(E522/40,0)*D522</f>
        <v>0</v>
      </c>
      <c r="E523" s="69">
        <f>40*16/1000*3.281</f>
        <v>2.1</v>
      </c>
      <c r="F523" s="69"/>
      <c r="G523" s="69"/>
      <c r="H523" s="71">
        <f>E523*D523</f>
        <v>0</v>
      </c>
      <c r="I523" s="69"/>
      <c r="J523" s="69"/>
      <c r="K523" s="70"/>
      <c r="L523" s="64"/>
      <c r="M523" s="64"/>
      <c r="N523" s="64"/>
      <c r="O523" s="64"/>
      <c r="P523" s="65"/>
      <c r="Q523" s="65"/>
    </row>
    <row r="524" spans="1:17" s="66" customFormat="1" ht="18.649999999999999" customHeight="1">
      <c r="A524" s="67"/>
      <c r="B524" s="74" t="s">
        <v>384</v>
      </c>
      <c r="C524" s="74"/>
      <c r="D524" s="68">
        <f>D521*4</f>
        <v>8</v>
      </c>
      <c r="E524" s="69">
        <f>C521-0.25+18*16/1000*3.281</f>
        <v>4.1900000000000004</v>
      </c>
      <c r="F524" s="69"/>
      <c r="G524" s="69"/>
      <c r="H524" s="71">
        <f>E524*D524</f>
        <v>33.5</v>
      </c>
      <c r="I524" s="69"/>
      <c r="J524" s="69"/>
      <c r="K524" s="70"/>
      <c r="L524" s="64"/>
      <c r="M524" s="64"/>
      <c r="N524" s="64"/>
      <c r="O524" s="64"/>
      <c r="P524" s="78"/>
      <c r="Q524" s="78"/>
    </row>
    <row r="525" spans="1:17" s="66" customFormat="1" ht="18.649999999999999" customHeight="1">
      <c r="A525" s="67"/>
      <c r="B525" s="74" t="s">
        <v>37</v>
      </c>
      <c r="C525" s="74"/>
      <c r="D525" s="68">
        <f>ROUNDDOWN(E524/40,0)*D524</f>
        <v>0</v>
      </c>
      <c r="E525" s="69">
        <f>40*16/1000*3.281</f>
        <v>2.1</v>
      </c>
      <c r="F525" s="69"/>
      <c r="G525" s="69"/>
      <c r="H525" s="71">
        <f>E525*D525</f>
        <v>0</v>
      </c>
      <c r="I525" s="69"/>
      <c r="J525" s="69"/>
      <c r="K525" s="70"/>
      <c r="L525" s="64"/>
      <c r="M525" s="64"/>
      <c r="N525" s="64"/>
      <c r="O525" s="64"/>
      <c r="P525" s="78"/>
      <c r="Q525" s="78"/>
    </row>
    <row r="526" spans="1:17" s="66" customFormat="1" ht="18.649999999999999" customHeight="1">
      <c r="A526" s="67"/>
      <c r="B526" s="74" t="s">
        <v>383</v>
      </c>
      <c r="C526" s="298">
        <f>2*G521</f>
        <v>2.34</v>
      </c>
      <c r="D526" s="68">
        <f>D521*ROUND(E521/0.4,0)</f>
        <v>18</v>
      </c>
      <c r="E526" s="69">
        <f>ROUND((F521-0.25+G521-0.25)*2+24*10/1000*3.281,2)</f>
        <v>3.79</v>
      </c>
      <c r="F526" s="69"/>
      <c r="G526" s="69"/>
      <c r="H526" s="69"/>
      <c r="I526" s="69">
        <f>D526*E526</f>
        <v>68.22</v>
      </c>
      <c r="J526" s="69"/>
      <c r="K526" s="70"/>
      <c r="L526" s="64"/>
      <c r="M526" s="64"/>
      <c r="N526" s="64"/>
      <c r="O526" s="64"/>
      <c r="P526" s="78"/>
      <c r="Q526" s="78"/>
    </row>
    <row r="527" spans="1:17" s="66" customFormat="1" ht="18.649999999999999" customHeight="1">
      <c r="A527" s="67"/>
      <c r="B527" s="74"/>
      <c r="C527" s="298"/>
      <c r="D527" s="68"/>
      <c r="E527" s="69"/>
      <c r="F527" s="69"/>
      <c r="G527" s="69"/>
      <c r="H527" s="69"/>
      <c r="I527" s="69"/>
      <c r="J527" s="69"/>
      <c r="K527" s="70"/>
      <c r="L527" s="64"/>
      <c r="M527" s="64"/>
      <c r="N527" s="64"/>
      <c r="O527" s="64"/>
      <c r="P527" s="78"/>
      <c r="Q527" s="78"/>
    </row>
    <row r="528" spans="1:17" s="66" customFormat="1" ht="18.649999999999999" customHeight="1">
      <c r="A528" s="67"/>
      <c r="B528" s="299" t="str">
        <f>B253</f>
        <v>Line 3' (Verendah), 16' L</v>
      </c>
      <c r="C528" s="301">
        <v>16</v>
      </c>
      <c r="D528" s="121">
        <f>D253</f>
        <v>1</v>
      </c>
      <c r="E528" s="122">
        <f>E253</f>
        <v>14.67</v>
      </c>
      <c r="F528" s="122">
        <f>F253</f>
        <v>0.83</v>
      </c>
      <c r="G528" s="122">
        <f>G253</f>
        <v>1.17</v>
      </c>
      <c r="H528" s="69"/>
      <c r="I528" s="69"/>
      <c r="J528" s="69"/>
      <c r="K528" s="70"/>
      <c r="L528" s="64"/>
      <c r="M528" s="64"/>
      <c r="N528" s="64"/>
      <c r="O528" s="64"/>
      <c r="P528" s="78"/>
      <c r="Q528" s="78"/>
    </row>
    <row r="529" spans="1:17" s="66" customFormat="1" ht="18.649999999999999" customHeight="1">
      <c r="A529" s="67"/>
      <c r="B529" s="74" t="s">
        <v>385</v>
      </c>
      <c r="C529" s="74"/>
      <c r="D529" s="68">
        <f>D528*4</f>
        <v>4</v>
      </c>
      <c r="E529" s="69">
        <f>C528-0.25+(G528-0.25)*2</f>
        <v>17.59</v>
      </c>
      <c r="F529" s="69"/>
      <c r="G529" s="69"/>
      <c r="H529" s="71">
        <f>E529*D529</f>
        <v>70.400000000000006</v>
      </c>
      <c r="I529" s="69"/>
      <c r="J529" s="69"/>
      <c r="K529" s="70"/>
      <c r="L529" s="64"/>
      <c r="M529" s="64"/>
      <c r="N529" s="64"/>
      <c r="O529" s="64"/>
      <c r="P529" s="65"/>
      <c r="Q529" s="65"/>
    </row>
    <row r="530" spans="1:17" s="66" customFormat="1" ht="18.649999999999999" customHeight="1">
      <c r="A530" s="67"/>
      <c r="B530" s="74" t="s">
        <v>37</v>
      </c>
      <c r="C530" s="74"/>
      <c r="D530" s="68">
        <f>ROUNDDOWN(E529/40,0)*D529</f>
        <v>0</v>
      </c>
      <c r="E530" s="69">
        <f>40*16/1000*3.281</f>
        <v>2.1</v>
      </c>
      <c r="F530" s="69"/>
      <c r="G530" s="69"/>
      <c r="H530" s="71">
        <f>E530*D530</f>
        <v>0</v>
      </c>
      <c r="I530" s="69"/>
      <c r="J530" s="69"/>
      <c r="K530" s="70"/>
      <c r="L530" s="64"/>
      <c r="M530" s="64"/>
      <c r="N530" s="64"/>
      <c r="O530" s="64"/>
      <c r="P530" s="65"/>
      <c r="Q530" s="65"/>
    </row>
    <row r="531" spans="1:17" s="66" customFormat="1" ht="18.649999999999999" customHeight="1">
      <c r="A531" s="67"/>
      <c r="B531" s="74" t="s">
        <v>384</v>
      </c>
      <c r="C531" s="74"/>
      <c r="D531" s="68">
        <f>D528*4</f>
        <v>4</v>
      </c>
      <c r="E531" s="69">
        <f>C528-0.25+18*16/1000*3.281</f>
        <v>16.690000000000001</v>
      </c>
      <c r="F531" s="69"/>
      <c r="G531" s="69"/>
      <c r="H531" s="71">
        <f>E531*D531</f>
        <v>66.8</v>
      </c>
      <c r="I531" s="69"/>
      <c r="J531" s="69"/>
      <c r="K531" s="70"/>
      <c r="L531" s="64"/>
      <c r="M531" s="64"/>
      <c r="N531" s="64"/>
      <c r="O531" s="64"/>
      <c r="P531" s="78"/>
      <c r="Q531" s="78"/>
    </row>
    <row r="532" spans="1:17" s="66" customFormat="1" ht="18.649999999999999" customHeight="1">
      <c r="A532" s="67"/>
      <c r="B532" s="74" t="s">
        <v>37</v>
      </c>
      <c r="C532" s="74"/>
      <c r="D532" s="68">
        <f>ROUNDDOWN(E531/40,0)*D531</f>
        <v>0</v>
      </c>
      <c r="E532" s="69">
        <f>40*16/1000*3.281</f>
        <v>2.1</v>
      </c>
      <c r="F532" s="69"/>
      <c r="G532" s="69"/>
      <c r="H532" s="71">
        <f>E532*D532</f>
        <v>0</v>
      </c>
      <c r="I532" s="69"/>
      <c r="J532" s="69"/>
      <c r="K532" s="70"/>
      <c r="L532" s="64"/>
      <c r="M532" s="64"/>
      <c r="N532" s="64"/>
      <c r="O532" s="64"/>
      <c r="P532" s="78"/>
      <c r="Q532" s="78"/>
    </row>
    <row r="533" spans="1:17" s="66" customFormat="1" ht="18.649999999999999" customHeight="1">
      <c r="A533" s="67"/>
      <c r="B533" s="74" t="s">
        <v>383</v>
      </c>
      <c r="C533" s="298">
        <f>2*G528</f>
        <v>2.34</v>
      </c>
      <c r="D533" s="68">
        <f>D528*ROUND(E528/0.4,0)</f>
        <v>37</v>
      </c>
      <c r="E533" s="69">
        <f>ROUND((F528-0.25+G528-0.25)*2+24*10/1000*3.281,2)</f>
        <v>3.79</v>
      </c>
      <c r="F533" s="69"/>
      <c r="G533" s="69"/>
      <c r="H533" s="69"/>
      <c r="I533" s="69">
        <f>D533*E533</f>
        <v>140.22999999999999</v>
      </c>
      <c r="J533" s="69"/>
      <c r="K533" s="70"/>
      <c r="L533" s="64"/>
      <c r="M533" s="64"/>
      <c r="N533" s="64"/>
      <c r="O533" s="64"/>
      <c r="P533" s="78"/>
      <c r="Q533" s="78"/>
    </row>
    <row r="534" spans="1:17" s="66" customFormat="1" ht="18.649999999999999" customHeight="1">
      <c r="A534" s="67"/>
      <c r="B534" s="74"/>
      <c r="C534" s="298"/>
      <c r="D534" s="68"/>
      <c r="E534" s="69"/>
      <c r="F534" s="69"/>
      <c r="G534" s="69"/>
      <c r="H534" s="69"/>
      <c r="I534" s="69"/>
      <c r="J534" s="69"/>
      <c r="K534" s="70"/>
      <c r="L534" s="64"/>
      <c r="M534" s="64"/>
      <c r="N534" s="64"/>
      <c r="O534" s="64"/>
      <c r="P534" s="78"/>
      <c r="Q534" s="78"/>
    </row>
    <row r="535" spans="1:17" s="66" customFormat="1" ht="18.649999999999999" customHeight="1">
      <c r="A535" s="67"/>
      <c r="B535" s="299" t="str">
        <f>B254</f>
        <v>X-Dir, 4' L</v>
      </c>
      <c r="C535" s="301">
        <v>4</v>
      </c>
      <c r="D535" s="121">
        <f>D254</f>
        <v>2</v>
      </c>
      <c r="E535" s="122">
        <f>E254</f>
        <v>4</v>
      </c>
      <c r="F535" s="122">
        <f>F254</f>
        <v>0.83</v>
      </c>
      <c r="G535" s="122">
        <f>G254</f>
        <v>1.17</v>
      </c>
      <c r="H535" s="69"/>
      <c r="I535" s="69"/>
      <c r="J535" s="69"/>
      <c r="K535" s="70"/>
      <c r="L535" s="64"/>
      <c r="M535" s="64"/>
      <c r="N535" s="64"/>
      <c r="O535" s="64"/>
      <c r="P535" s="78"/>
      <c r="Q535" s="78"/>
    </row>
    <row r="536" spans="1:17" s="66" customFormat="1" ht="18.649999999999999" customHeight="1">
      <c r="A536" s="67"/>
      <c r="B536" s="74" t="s">
        <v>385</v>
      </c>
      <c r="C536" s="74"/>
      <c r="D536" s="68">
        <f>D535*4</f>
        <v>8</v>
      </c>
      <c r="E536" s="69">
        <f>C535-0.25+(G535-0.25)*2</f>
        <v>5.59</v>
      </c>
      <c r="F536" s="69"/>
      <c r="G536" s="69"/>
      <c r="H536" s="71">
        <f>E536*D536</f>
        <v>44.7</v>
      </c>
      <c r="I536" s="69"/>
      <c r="J536" s="69"/>
      <c r="K536" s="70"/>
      <c r="L536" s="64"/>
      <c r="M536" s="64"/>
      <c r="N536" s="64"/>
      <c r="O536" s="64"/>
      <c r="P536" s="65"/>
      <c r="Q536" s="65"/>
    </row>
    <row r="537" spans="1:17" s="66" customFormat="1" ht="18.649999999999999" customHeight="1">
      <c r="A537" s="67"/>
      <c r="B537" s="74" t="s">
        <v>37</v>
      </c>
      <c r="C537" s="74"/>
      <c r="D537" s="68">
        <f>ROUNDDOWN(E536/40,0)*D536</f>
        <v>0</v>
      </c>
      <c r="E537" s="69">
        <f>40*16/1000*3.281</f>
        <v>2.1</v>
      </c>
      <c r="F537" s="69"/>
      <c r="G537" s="69"/>
      <c r="H537" s="71">
        <f>E537*D537</f>
        <v>0</v>
      </c>
      <c r="I537" s="69"/>
      <c r="J537" s="69"/>
      <c r="K537" s="70"/>
      <c r="L537" s="64"/>
      <c r="M537" s="64"/>
      <c r="N537" s="64"/>
      <c r="O537" s="64"/>
      <c r="P537" s="65"/>
      <c r="Q537" s="65"/>
    </row>
    <row r="538" spans="1:17" s="66" customFormat="1" ht="18.649999999999999" customHeight="1">
      <c r="A538" s="67"/>
      <c r="B538" s="74" t="s">
        <v>384</v>
      </c>
      <c r="C538" s="74"/>
      <c r="D538" s="68">
        <f>D535*4</f>
        <v>8</v>
      </c>
      <c r="E538" s="69">
        <f>C535-0.25+18*16/1000*3.281</f>
        <v>4.6900000000000004</v>
      </c>
      <c r="F538" s="69"/>
      <c r="G538" s="69"/>
      <c r="H538" s="71">
        <f>E538*D538</f>
        <v>37.5</v>
      </c>
      <c r="I538" s="69"/>
      <c r="J538" s="69"/>
      <c r="K538" s="70"/>
      <c r="L538" s="64"/>
      <c r="M538" s="64"/>
      <c r="N538" s="64"/>
      <c r="O538" s="64"/>
      <c r="P538" s="78"/>
      <c r="Q538" s="78"/>
    </row>
    <row r="539" spans="1:17" s="66" customFormat="1" ht="18.649999999999999" customHeight="1">
      <c r="A539" s="67"/>
      <c r="B539" s="74" t="s">
        <v>37</v>
      </c>
      <c r="C539" s="74"/>
      <c r="D539" s="68">
        <f>ROUNDDOWN(E538/40,0)*D538</f>
        <v>0</v>
      </c>
      <c r="E539" s="69">
        <f>40*16/1000*3.281</f>
        <v>2.1</v>
      </c>
      <c r="F539" s="69"/>
      <c r="G539" s="69"/>
      <c r="H539" s="71">
        <f>E539*D539</f>
        <v>0</v>
      </c>
      <c r="I539" s="69"/>
      <c r="J539" s="69"/>
      <c r="K539" s="70"/>
      <c r="L539" s="64"/>
      <c r="M539" s="64"/>
      <c r="N539" s="64"/>
      <c r="O539" s="64"/>
      <c r="P539" s="78"/>
      <c r="Q539" s="78"/>
    </row>
    <row r="540" spans="1:17" s="66" customFormat="1" ht="18.649999999999999" customHeight="1">
      <c r="A540" s="67"/>
      <c r="B540" s="74" t="s">
        <v>383</v>
      </c>
      <c r="C540" s="298">
        <f>2*G535</f>
        <v>2.34</v>
      </c>
      <c r="D540" s="68">
        <f>D535*ROUND(E535/0.4,0)</f>
        <v>20</v>
      </c>
      <c r="E540" s="69">
        <f>ROUND((F535-0.25+G535-0.25)*2+24*10/1000*3.281,2)</f>
        <v>3.79</v>
      </c>
      <c r="F540" s="69"/>
      <c r="G540" s="69"/>
      <c r="H540" s="69"/>
      <c r="I540" s="69">
        <f>D540*E540</f>
        <v>75.8</v>
      </c>
      <c r="J540" s="69"/>
      <c r="K540" s="70"/>
      <c r="L540" s="64"/>
      <c r="M540" s="64"/>
      <c r="N540" s="64"/>
      <c r="O540" s="64"/>
      <c r="P540" s="78"/>
      <c r="Q540" s="78"/>
    </row>
    <row r="541" spans="1:17" s="66" customFormat="1" ht="18.649999999999999" customHeight="1">
      <c r="A541" s="67"/>
      <c r="B541" s="74"/>
      <c r="C541" s="298"/>
      <c r="D541" s="68"/>
      <c r="E541" s="69"/>
      <c r="F541" s="69"/>
      <c r="G541" s="69"/>
      <c r="H541" s="69"/>
      <c r="I541" s="69"/>
      <c r="J541" s="69"/>
      <c r="K541" s="70"/>
      <c r="L541" s="64"/>
      <c r="M541" s="64"/>
      <c r="N541" s="64"/>
      <c r="O541" s="64"/>
      <c r="P541" s="78"/>
      <c r="Q541" s="78"/>
    </row>
    <row r="542" spans="1:17" s="66" customFormat="1" ht="18.649999999999999" customHeight="1">
      <c r="A542" s="67"/>
      <c r="B542" s="138" t="str">
        <f>B256</f>
        <v>FB4 (10"x16")</v>
      </c>
      <c r="C542" s="301"/>
      <c r="D542" s="121"/>
      <c r="E542" s="122"/>
      <c r="F542" s="122"/>
      <c r="G542" s="122"/>
      <c r="H542" s="69"/>
      <c r="I542" s="69"/>
      <c r="J542" s="69"/>
      <c r="K542" s="70"/>
      <c r="L542" s="64"/>
      <c r="M542" s="64"/>
      <c r="N542" s="64"/>
      <c r="O542" s="64"/>
      <c r="P542" s="78"/>
      <c r="Q542" s="78"/>
    </row>
    <row r="543" spans="1:17" s="66" customFormat="1" ht="18.649999999999999" customHeight="1">
      <c r="A543" s="67"/>
      <c r="B543" s="299" t="str">
        <f>B257</f>
        <v>Line 1&amp;3 (A-B), 16' L</v>
      </c>
      <c r="C543" s="301">
        <v>16</v>
      </c>
      <c r="D543" s="121">
        <f>D257</f>
        <v>2</v>
      </c>
      <c r="E543" s="122">
        <f>E257</f>
        <v>14.5</v>
      </c>
      <c r="F543" s="122">
        <f>F257</f>
        <v>0.83</v>
      </c>
      <c r="G543" s="122">
        <f>G257</f>
        <v>1.33</v>
      </c>
      <c r="H543" s="69"/>
      <c r="I543" s="69"/>
      <c r="J543" s="69"/>
      <c r="K543" s="70"/>
      <c r="L543" s="64"/>
      <c r="M543" s="64"/>
      <c r="N543" s="64"/>
      <c r="O543" s="64"/>
      <c r="P543" s="78"/>
      <c r="Q543" s="78"/>
    </row>
    <row r="544" spans="1:17" s="66" customFormat="1" ht="18.649999999999999" customHeight="1">
      <c r="A544" s="67"/>
      <c r="B544" s="74" t="s">
        <v>385</v>
      </c>
      <c r="C544" s="74"/>
      <c r="D544" s="68">
        <f>D543*4</f>
        <v>8</v>
      </c>
      <c r="E544" s="69">
        <f>C543-0.25+(G543-0.25)*2</f>
        <v>17.91</v>
      </c>
      <c r="F544" s="69"/>
      <c r="G544" s="69"/>
      <c r="H544" s="71">
        <f>E544*D544</f>
        <v>143.30000000000001</v>
      </c>
      <c r="I544" s="69"/>
      <c r="J544" s="69"/>
      <c r="K544" s="70"/>
      <c r="L544" s="64"/>
      <c r="M544" s="64"/>
      <c r="N544" s="64"/>
      <c r="O544" s="64"/>
      <c r="P544" s="65"/>
      <c r="Q544" s="65"/>
    </row>
    <row r="545" spans="1:17" s="66" customFormat="1" ht="18.649999999999999" customHeight="1">
      <c r="A545" s="67"/>
      <c r="B545" s="74" t="s">
        <v>37</v>
      </c>
      <c r="C545" s="74"/>
      <c r="D545" s="68">
        <f>ROUNDDOWN(E544/40,0)*D544</f>
        <v>0</v>
      </c>
      <c r="E545" s="69">
        <f>40*16/1000*3.281</f>
        <v>2.1</v>
      </c>
      <c r="F545" s="69"/>
      <c r="G545" s="69"/>
      <c r="H545" s="71">
        <f>E545*D545</f>
        <v>0</v>
      </c>
      <c r="I545" s="69"/>
      <c r="J545" s="69"/>
      <c r="K545" s="70"/>
      <c r="L545" s="64"/>
      <c r="M545" s="64"/>
      <c r="N545" s="64"/>
      <c r="O545" s="64"/>
      <c r="P545" s="65"/>
      <c r="Q545" s="65"/>
    </row>
    <row r="546" spans="1:17" s="66" customFormat="1" ht="18.649999999999999" customHeight="1">
      <c r="A546" s="67"/>
      <c r="B546" s="74" t="s">
        <v>495</v>
      </c>
      <c r="C546" s="74"/>
      <c r="D546" s="68">
        <f>D543*5</f>
        <v>10</v>
      </c>
      <c r="E546" s="69">
        <f>C543-0.25+18*16/1000*3.281</f>
        <v>16.690000000000001</v>
      </c>
      <c r="F546" s="69"/>
      <c r="G546" s="69"/>
      <c r="H546" s="71">
        <f>E546*D546</f>
        <v>166.9</v>
      </c>
      <c r="I546" s="69"/>
      <c r="J546" s="69"/>
      <c r="K546" s="70"/>
      <c r="L546" s="64"/>
      <c r="M546" s="64"/>
      <c r="N546" s="64"/>
      <c r="O546" s="64"/>
      <c r="P546" s="78"/>
      <c r="Q546" s="78"/>
    </row>
    <row r="547" spans="1:17" s="66" customFormat="1" ht="18.649999999999999" customHeight="1">
      <c r="A547" s="67"/>
      <c r="B547" s="74" t="s">
        <v>37</v>
      </c>
      <c r="C547" s="74"/>
      <c r="D547" s="68">
        <f>ROUNDDOWN(E546/40,0)*D546</f>
        <v>0</v>
      </c>
      <c r="E547" s="69">
        <f>40*16/1000*3.281</f>
        <v>2.1</v>
      </c>
      <c r="F547" s="69"/>
      <c r="G547" s="69"/>
      <c r="H547" s="71">
        <f>E547*D547</f>
        <v>0</v>
      </c>
      <c r="I547" s="69"/>
      <c r="J547" s="69"/>
      <c r="K547" s="70"/>
      <c r="L547" s="64"/>
      <c r="M547" s="64"/>
      <c r="N547" s="64"/>
      <c r="O547" s="64"/>
      <c r="P547" s="78"/>
      <c r="Q547" s="78"/>
    </row>
    <row r="548" spans="1:17" s="66" customFormat="1" ht="18.649999999999999" customHeight="1">
      <c r="A548" s="67"/>
      <c r="B548" s="74" t="s">
        <v>383</v>
      </c>
      <c r="C548" s="298">
        <f>2*G543</f>
        <v>2.66</v>
      </c>
      <c r="D548" s="68">
        <f>D543*ROUND(E543/0.4,0)</f>
        <v>72</v>
      </c>
      <c r="E548" s="69">
        <f>ROUND((F543-0.25+G543-0.25)*2+24*10/1000*3.281,2)</f>
        <v>4.1100000000000003</v>
      </c>
      <c r="F548" s="69"/>
      <c r="G548" s="69"/>
      <c r="H548" s="69"/>
      <c r="I548" s="69">
        <f>D548*E548</f>
        <v>295.92</v>
      </c>
      <c r="J548" s="69"/>
      <c r="K548" s="70"/>
      <c r="L548" s="64"/>
      <c r="M548" s="64"/>
      <c r="N548" s="64"/>
      <c r="O548" s="64"/>
      <c r="P548" s="78"/>
      <c r="Q548" s="78"/>
    </row>
    <row r="549" spans="1:17" s="66" customFormat="1" ht="18.649999999999999" customHeight="1">
      <c r="A549" s="67"/>
      <c r="B549" s="74"/>
      <c r="C549" s="298"/>
      <c r="D549" s="68"/>
      <c r="E549" s="69"/>
      <c r="F549" s="69"/>
      <c r="G549" s="69"/>
      <c r="H549" s="69"/>
      <c r="I549" s="69"/>
      <c r="J549" s="69"/>
      <c r="K549" s="70"/>
      <c r="L549" s="64"/>
      <c r="M549" s="64"/>
      <c r="N549" s="64"/>
      <c r="O549" s="64"/>
      <c r="P549" s="78"/>
      <c r="Q549" s="78"/>
    </row>
    <row r="550" spans="1:17" s="66" customFormat="1" ht="18.649999999999999" customHeight="1">
      <c r="A550" s="67"/>
      <c r="B550" s="138" t="str">
        <f>B259</f>
        <v>FB5 (12"x14")</v>
      </c>
      <c r="C550" s="301"/>
      <c r="D550" s="121"/>
      <c r="E550" s="122"/>
      <c r="F550" s="122"/>
      <c r="G550" s="122"/>
      <c r="H550" s="69"/>
      <c r="I550" s="69"/>
      <c r="J550" s="69"/>
      <c r="K550" s="70"/>
      <c r="L550" s="64"/>
      <c r="M550" s="64"/>
      <c r="N550" s="64"/>
      <c r="O550" s="64"/>
      <c r="P550" s="78"/>
      <c r="Q550" s="78"/>
    </row>
    <row r="551" spans="1:17" s="66" customFormat="1" ht="18.649999999999999" customHeight="1">
      <c r="A551" s="67"/>
      <c r="B551" s="299" t="str">
        <f>B260</f>
        <v>Line B (2-3), 11' 6" L</v>
      </c>
      <c r="C551" s="301">
        <v>11.5</v>
      </c>
      <c r="D551" s="121">
        <f>D260</f>
        <v>1</v>
      </c>
      <c r="E551" s="122">
        <f>E260</f>
        <v>10</v>
      </c>
      <c r="F551" s="122">
        <f>F260</f>
        <v>1</v>
      </c>
      <c r="G551" s="122">
        <f>G260</f>
        <v>1.17</v>
      </c>
      <c r="H551" s="69"/>
      <c r="I551" s="69"/>
      <c r="J551" s="69"/>
      <c r="K551" s="70"/>
      <c r="L551" s="64"/>
      <c r="M551" s="64"/>
      <c r="N551" s="64"/>
      <c r="O551" s="64"/>
      <c r="P551" s="78"/>
      <c r="Q551" s="78"/>
    </row>
    <row r="552" spans="1:17" s="66" customFormat="1" ht="18.649999999999999" customHeight="1">
      <c r="A552" s="67"/>
      <c r="B552" s="74" t="s">
        <v>385</v>
      </c>
      <c r="C552" s="74"/>
      <c r="D552" s="68">
        <f>D551*4</f>
        <v>4</v>
      </c>
      <c r="E552" s="69">
        <f>C551-0.25+(G551-0.25)*2</f>
        <v>13.09</v>
      </c>
      <c r="F552" s="69"/>
      <c r="G552" s="69"/>
      <c r="H552" s="71">
        <f>E552*D552</f>
        <v>52.4</v>
      </c>
      <c r="I552" s="69"/>
      <c r="J552" s="69"/>
      <c r="K552" s="70"/>
      <c r="L552" s="64"/>
      <c r="M552" s="64"/>
      <c r="N552" s="64"/>
      <c r="O552" s="64"/>
      <c r="P552" s="65"/>
      <c r="Q552" s="65"/>
    </row>
    <row r="553" spans="1:17" s="66" customFormat="1" ht="18.649999999999999" customHeight="1">
      <c r="A553" s="67"/>
      <c r="B553" s="74" t="s">
        <v>37</v>
      </c>
      <c r="C553" s="74"/>
      <c r="D553" s="68">
        <f>ROUNDDOWN(E552/40,0)*D552</f>
        <v>0</v>
      </c>
      <c r="E553" s="69">
        <f>40*16/1000*3.281</f>
        <v>2.1</v>
      </c>
      <c r="F553" s="69"/>
      <c r="G553" s="69"/>
      <c r="H553" s="71">
        <f>E553*D553</f>
        <v>0</v>
      </c>
      <c r="I553" s="69"/>
      <c r="J553" s="69"/>
      <c r="K553" s="70"/>
      <c r="L553" s="64"/>
      <c r="M553" s="64"/>
      <c r="N553" s="64"/>
      <c r="O553" s="64"/>
      <c r="P553" s="65"/>
      <c r="Q553" s="65"/>
    </row>
    <row r="554" spans="1:17" s="66" customFormat="1" ht="18.649999999999999" customHeight="1">
      <c r="A554" s="67"/>
      <c r="B554" s="74" t="s">
        <v>384</v>
      </c>
      <c r="C554" s="74"/>
      <c r="D554" s="68">
        <f>D551*4</f>
        <v>4</v>
      </c>
      <c r="E554" s="69">
        <f>C551-0.25+18*16/1000*3.281</f>
        <v>12.19</v>
      </c>
      <c r="F554" s="69"/>
      <c r="G554" s="69"/>
      <c r="H554" s="71">
        <f>E554*D554</f>
        <v>48.8</v>
      </c>
      <c r="I554" s="69"/>
      <c r="J554" s="69"/>
      <c r="K554" s="70"/>
      <c r="L554" s="64"/>
      <c r="M554" s="64"/>
      <c r="N554" s="64"/>
      <c r="O554" s="64"/>
      <c r="P554" s="78"/>
      <c r="Q554" s="78"/>
    </row>
    <row r="555" spans="1:17" s="66" customFormat="1" ht="18.649999999999999" customHeight="1">
      <c r="A555" s="67"/>
      <c r="B555" s="74" t="s">
        <v>37</v>
      </c>
      <c r="C555" s="74"/>
      <c r="D555" s="68">
        <f>ROUNDDOWN(E554/40,0)*D554</f>
        <v>0</v>
      </c>
      <c r="E555" s="69">
        <f>40*16/1000*3.281</f>
        <v>2.1</v>
      </c>
      <c r="F555" s="69"/>
      <c r="G555" s="69"/>
      <c r="H555" s="71">
        <f>E555*D555</f>
        <v>0</v>
      </c>
      <c r="I555" s="69"/>
      <c r="J555" s="69"/>
      <c r="K555" s="70"/>
      <c r="L555" s="64"/>
      <c r="M555" s="64"/>
      <c r="N555" s="64"/>
      <c r="O555" s="64"/>
      <c r="P555" s="78"/>
      <c r="Q555" s="78"/>
    </row>
    <row r="556" spans="1:17" s="66" customFormat="1" ht="18.649999999999999" customHeight="1">
      <c r="A556" s="67"/>
      <c r="B556" s="74" t="s">
        <v>383</v>
      </c>
      <c r="C556" s="298">
        <f>2*G551</f>
        <v>2.34</v>
      </c>
      <c r="D556" s="68">
        <f>D551*ROUND(E551/0.4,0)</f>
        <v>25</v>
      </c>
      <c r="E556" s="69">
        <f>ROUND((F551-0.25+G551-0.25)*2+24*10/1000*3.281,2)</f>
        <v>4.13</v>
      </c>
      <c r="F556" s="69"/>
      <c r="G556" s="69"/>
      <c r="H556" s="69"/>
      <c r="I556" s="69">
        <f>D556*E556</f>
        <v>103.25</v>
      </c>
      <c r="J556" s="69"/>
      <c r="K556" s="70"/>
      <c r="L556" s="64"/>
      <c r="M556" s="64"/>
      <c r="N556" s="64"/>
      <c r="O556" s="64"/>
      <c r="P556" s="78"/>
      <c r="Q556" s="78"/>
    </row>
    <row r="557" spans="1:17" s="66" customFormat="1" ht="18.649999999999999" customHeight="1">
      <c r="A557" s="67"/>
      <c r="B557" s="74"/>
      <c r="C557" s="298"/>
      <c r="D557" s="68"/>
      <c r="E557" s="69"/>
      <c r="F557" s="69"/>
      <c r="G557" s="69"/>
      <c r="H557" s="69"/>
      <c r="I557" s="69"/>
      <c r="J557" s="69"/>
      <c r="K557" s="70"/>
      <c r="L557" s="64"/>
      <c r="M557" s="64"/>
      <c r="N557" s="64"/>
      <c r="O557" s="64"/>
      <c r="P557" s="78"/>
      <c r="Q557" s="78"/>
    </row>
    <row r="558" spans="1:17" s="66" customFormat="1" ht="18.649999999999999" customHeight="1">
      <c r="A558" s="67"/>
      <c r="B558" s="138" t="str">
        <f>B262</f>
        <v>FB6 (12"x18")</v>
      </c>
      <c r="C558" s="301"/>
      <c r="D558" s="121"/>
      <c r="E558" s="122"/>
      <c r="F558" s="122"/>
      <c r="G558" s="122"/>
      <c r="H558" s="69"/>
      <c r="I558" s="69"/>
      <c r="J558" s="69"/>
      <c r="K558" s="70"/>
      <c r="L558" s="64"/>
      <c r="M558" s="64"/>
      <c r="N558" s="64"/>
      <c r="O558" s="64"/>
      <c r="P558" s="78"/>
      <c r="Q558" s="78"/>
    </row>
    <row r="559" spans="1:17" s="66" customFormat="1" ht="18.649999999999999" customHeight="1">
      <c r="A559" s="67"/>
      <c r="B559" s="299" t="str">
        <f>B263</f>
        <v>Line 2 (A-B), 16' L</v>
      </c>
      <c r="C559" s="301">
        <v>16</v>
      </c>
      <c r="D559" s="121">
        <f>D263</f>
        <v>1</v>
      </c>
      <c r="E559" s="122">
        <f>E263</f>
        <v>14.5</v>
      </c>
      <c r="F559" s="122">
        <f>F263</f>
        <v>1</v>
      </c>
      <c r="G559" s="122">
        <f>G263</f>
        <v>1.5</v>
      </c>
      <c r="H559" s="69"/>
      <c r="I559" s="69"/>
      <c r="J559" s="69"/>
      <c r="K559" s="70"/>
      <c r="L559" s="64"/>
      <c r="M559" s="64"/>
      <c r="N559" s="64"/>
      <c r="O559" s="64"/>
      <c r="P559" s="78"/>
      <c r="Q559" s="78"/>
    </row>
    <row r="560" spans="1:17" s="66" customFormat="1" ht="18.649999999999999" customHeight="1">
      <c r="A560" s="67"/>
      <c r="B560" s="74" t="s">
        <v>496</v>
      </c>
      <c r="C560" s="74"/>
      <c r="D560" s="68">
        <f>D559*5</f>
        <v>5</v>
      </c>
      <c r="E560" s="69">
        <f>C559-0.25+(G559-0.25)*2</f>
        <v>18.25</v>
      </c>
      <c r="F560" s="69"/>
      <c r="G560" s="69"/>
      <c r="H560" s="71">
        <f>E560*D560</f>
        <v>91.3</v>
      </c>
      <c r="I560" s="69"/>
      <c r="J560" s="69"/>
      <c r="K560" s="70"/>
      <c r="L560" s="64"/>
      <c r="M560" s="64"/>
      <c r="N560" s="64"/>
      <c r="O560" s="64"/>
      <c r="P560" s="65"/>
      <c r="Q560" s="65"/>
    </row>
    <row r="561" spans="1:17" s="66" customFormat="1" ht="18.649999999999999" customHeight="1">
      <c r="A561" s="67"/>
      <c r="B561" s="74" t="s">
        <v>37</v>
      </c>
      <c r="C561" s="74"/>
      <c r="D561" s="68">
        <f>ROUNDDOWN(E560/40,0)*D560</f>
        <v>0</v>
      </c>
      <c r="E561" s="69">
        <f>40*16/1000*3.281</f>
        <v>2.1</v>
      </c>
      <c r="F561" s="69"/>
      <c r="G561" s="69"/>
      <c r="H561" s="71">
        <f>E561*D561</f>
        <v>0</v>
      </c>
      <c r="I561" s="69"/>
      <c r="J561" s="69"/>
      <c r="K561" s="70"/>
      <c r="L561" s="64"/>
      <c r="M561" s="64"/>
      <c r="N561" s="64"/>
      <c r="O561" s="64"/>
      <c r="P561" s="65"/>
      <c r="Q561" s="65"/>
    </row>
    <row r="562" spans="1:17" s="66" customFormat="1" ht="18.649999999999999" customHeight="1">
      <c r="A562" s="67"/>
      <c r="B562" s="74" t="s">
        <v>384</v>
      </c>
      <c r="C562" s="74"/>
      <c r="D562" s="68">
        <f>D559*4</f>
        <v>4</v>
      </c>
      <c r="E562" s="69">
        <f>C559-0.25+18*16/1000*3.281</f>
        <v>16.690000000000001</v>
      </c>
      <c r="F562" s="69"/>
      <c r="G562" s="69"/>
      <c r="H562" s="71">
        <f>E562*D562</f>
        <v>66.8</v>
      </c>
      <c r="I562" s="69"/>
      <c r="J562" s="69"/>
      <c r="K562" s="70"/>
      <c r="L562" s="64"/>
      <c r="M562" s="64"/>
      <c r="N562" s="64"/>
      <c r="O562" s="64"/>
      <c r="P562" s="78"/>
      <c r="Q562" s="78"/>
    </row>
    <row r="563" spans="1:17" s="66" customFormat="1" ht="18.649999999999999" customHeight="1">
      <c r="A563" s="67"/>
      <c r="B563" s="74" t="s">
        <v>37</v>
      </c>
      <c r="C563" s="74"/>
      <c r="D563" s="68">
        <f>ROUNDDOWN(E562/40,0)*D562</f>
        <v>0</v>
      </c>
      <c r="E563" s="69">
        <f>40*16/1000*3.281</f>
        <v>2.1</v>
      </c>
      <c r="F563" s="69"/>
      <c r="G563" s="69"/>
      <c r="H563" s="71">
        <f>E563*D563</f>
        <v>0</v>
      </c>
      <c r="I563" s="69"/>
      <c r="J563" s="69"/>
      <c r="K563" s="70"/>
      <c r="L563" s="64"/>
      <c r="M563" s="64"/>
      <c r="N563" s="64"/>
      <c r="O563" s="64"/>
      <c r="P563" s="78"/>
      <c r="Q563" s="78"/>
    </row>
    <row r="564" spans="1:17" s="66" customFormat="1" ht="18.649999999999999" customHeight="1">
      <c r="A564" s="67"/>
      <c r="B564" s="74" t="s">
        <v>497</v>
      </c>
      <c r="C564" s="74"/>
      <c r="D564" s="68">
        <f>D559*2</f>
        <v>2</v>
      </c>
      <c r="E564" s="69">
        <f>C559/3+18*16/1000*3.281</f>
        <v>6.28</v>
      </c>
      <c r="F564" s="69"/>
      <c r="G564" s="69"/>
      <c r="H564" s="71">
        <f>E564*D564</f>
        <v>12.6</v>
      </c>
      <c r="I564" s="69"/>
      <c r="J564" s="69"/>
      <c r="K564" s="70"/>
      <c r="L564" s="64"/>
      <c r="M564" s="64"/>
      <c r="N564" s="64"/>
      <c r="O564" s="64"/>
      <c r="P564" s="78"/>
      <c r="Q564" s="78"/>
    </row>
    <row r="565" spans="1:17" s="66" customFormat="1" ht="18.649999999999999" customHeight="1">
      <c r="A565" s="67"/>
      <c r="B565" s="74" t="s">
        <v>498</v>
      </c>
      <c r="C565" s="74"/>
      <c r="D565" s="68">
        <f>D559*2</f>
        <v>2</v>
      </c>
      <c r="E565" s="69">
        <f>C559+1-0.25+18*12/1000*3.281</f>
        <v>17.46</v>
      </c>
      <c r="F565" s="69"/>
      <c r="G565" s="69"/>
      <c r="H565" s="71"/>
      <c r="I565" s="69"/>
      <c r="J565" s="69">
        <f>D565*E565</f>
        <v>34.92</v>
      </c>
      <c r="K565" s="70"/>
      <c r="L565" s="64"/>
      <c r="M565" s="64"/>
      <c r="N565" s="64"/>
      <c r="O565" s="64"/>
      <c r="P565" s="78"/>
      <c r="Q565" s="78"/>
    </row>
    <row r="566" spans="1:17" s="66" customFormat="1" ht="18.649999999999999" customHeight="1">
      <c r="A566" s="67"/>
      <c r="B566" s="74" t="s">
        <v>383</v>
      </c>
      <c r="C566" s="298">
        <f>2*G559</f>
        <v>3</v>
      </c>
      <c r="D566" s="68">
        <f>D559*ROUND(E559/0.4,0)</f>
        <v>36</v>
      </c>
      <c r="E566" s="69">
        <f>ROUND((F559-0.25+G559-0.25)*2+24*10/1000*3.281,2)</f>
        <v>4.79</v>
      </c>
      <c r="F566" s="69"/>
      <c r="G566" s="69"/>
      <c r="H566" s="69"/>
      <c r="I566" s="69">
        <f>D566*E566</f>
        <v>172.44</v>
      </c>
      <c r="J566" s="69"/>
      <c r="K566" s="70"/>
      <c r="L566" s="64"/>
      <c r="M566" s="64"/>
      <c r="N566" s="64"/>
      <c r="O566" s="64"/>
      <c r="P566" s="78"/>
      <c r="Q566" s="78"/>
    </row>
    <row r="567" spans="1:17" s="66" customFormat="1" ht="18.649999999999999" customHeight="1">
      <c r="A567" s="67"/>
      <c r="B567" s="74"/>
      <c r="C567" s="298"/>
      <c r="D567" s="68"/>
      <c r="E567" s="69"/>
      <c r="F567" s="69"/>
      <c r="G567" s="123" t="s">
        <v>82</v>
      </c>
      <c r="H567" s="122">
        <f>SUM(H436:H566)</f>
        <v>2732.6</v>
      </c>
      <c r="I567" s="122">
        <f>SUM(I436:I566)</f>
        <v>2614.65</v>
      </c>
      <c r="J567" s="122">
        <f>SUM(J436:J566)</f>
        <v>34.92</v>
      </c>
      <c r="K567" s="70"/>
      <c r="L567" s="64"/>
      <c r="M567" s="64"/>
      <c r="N567" s="64"/>
      <c r="O567" s="64"/>
      <c r="P567" s="78"/>
      <c r="Q567" s="78"/>
    </row>
    <row r="568" spans="1:17" s="66" customFormat="1" ht="18.649999999999999" customHeight="1">
      <c r="A568" s="67"/>
      <c r="B568" s="74"/>
      <c r="C568" s="298"/>
      <c r="D568" s="68"/>
      <c r="E568" s="69"/>
      <c r="F568" s="69"/>
      <c r="G568" s="123" t="s">
        <v>81</v>
      </c>
      <c r="H568" s="122" t="str">
        <f>H333</f>
        <v>16mm Ø</v>
      </c>
      <c r="I568" s="122" t="str">
        <f>I333</f>
        <v>10mm Ø</v>
      </c>
      <c r="J568" s="122" t="str">
        <f>J333</f>
        <v>12mm Ø</v>
      </c>
      <c r="K568" s="70"/>
      <c r="L568" s="64"/>
      <c r="M568" s="64"/>
      <c r="N568" s="64"/>
      <c r="O568" s="64"/>
      <c r="P568" s="78"/>
      <c r="Q568" s="78"/>
    </row>
    <row r="569" spans="1:17" s="66" customFormat="1" ht="18.649999999999999" customHeight="1">
      <c r="A569" s="67"/>
      <c r="B569" s="74"/>
      <c r="C569" s="298"/>
      <c r="D569" s="68"/>
      <c r="E569" s="69"/>
      <c r="F569" s="69"/>
      <c r="G569" s="123" t="s">
        <v>14</v>
      </c>
      <c r="H569" s="122">
        <f>H567/39.33/53</f>
        <v>1.31</v>
      </c>
      <c r="I569" s="122">
        <f>I567/39.33/135</f>
        <v>0.49</v>
      </c>
      <c r="J569" s="122">
        <f>J567/39.33/88</f>
        <v>0.01</v>
      </c>
      <c r="K569" s="70"/>
      <c r="L569" s="64"/>
      <c r="M569" s="64"/>
      <c r="N569" s="64"/>
      <c r="O569" s="64"/>
      <c r="P569" s="78"/>
      <c r="Q569" s="78"/>
    </row>
    <row r="570" spans="1:17" s="66" customFormat="1" ht="18.649999999999999" customHeight="1">
      <c r="A570" s="67"/>
      <c r="B570" s="74"/>
      <c r="C570" s="298"/>
      <c r="D570" s="68"/>
      <c r="E570" s="69"/>
      <c r="F570" s="69"/>
      <c r="G570" s="69"/>
      <c r="H570" s="69"/>
      <c r="I570" s="69"/>
      <c r="J570" s="69"/>
      <c r="K570" s="70"/>
      <c r="L570" s="64"/>
      <c r="M570" s="64"/>
      <c r="N570" s="64"/>
      <c r="O570" s="64"/>
      <c r="P570" s="78"/>
      <c r="Q570" s="78"/>
    </row>
    <row r="571" spans="1:17" s="66" customFormat="1" ht="18.649999999999999" customHeight="1">
      <c r="A571" s="67"/>
      <c r="B571" s="300" t="str">
        <f>B267</f>
        <v>Roof Beam</v>
      </c>
      <c r="C571" s="299"/>
      <c r="D571" s="121"/>
      <c r="E571" s="122"/>
      <c r="F571" s="122"/>
      <c r="G571" s="122"/>
      <c r="H571" s="69"/>
      <c r="I571" s="69"/>
      <c r="J571" s="69"/>
      <c r="K571" s="70"/>
      <c r="L571" s="64"/>
      <c r="M571" s="64"/>
      <c r="N571" s="64"/>
      <c r="O571" s="64"/>
      <c r="P571" s="78"/>
      <c r="Q571" s="78"/>
    </row>
    <row r="572" spans="1:17" s="66" customFormat="1" ht="18.649999999999999" customHeight="1">
      <c r="A572" s="67"/>
      <c r="B572" s="300" t="str">
        <f>B268</f>
        <v>RB1 (10" x 10")</v>
      </c>
      <c r="C572" s="299"/>
      <c r="D572" s="121"/>
      <c r="E572" s="122"/>
      <c r="F572" s="122"/>
      <c r="G572" s="122"/>
      <c r="H572" s="69"/>
      <c r="I572" s="69"/>
      <c r="J572" s="69"/>
      <c r="K572" s="70"/>
      <c r="L572" s="64"/>
      <c r="M572" s="64"/>
      <c r="N572" s="64"/>
      <c r="O572" s="64"/>
      <c r="P572" s="78"/>
      <c r="Q572" s="78"/>
    </row>
    <row r="573" spans="1:17" s="66" customFormat="1" ht="18.649999999999999" customHeight="1">
      <c r="A573" s="67"/>
      <c r="B573" s="300" t="str">
        <f>B269</f>
        <v xml:space="preserve"> +27' 0" Lev;</v>
      </c>
      <c r="C573" s="299"/>
      <c r="D573" s="121"/>
      <c r="E573" s="122"/>
      <c r="F573" s="122"/>
      <c r="G573" s="122"/>
      <c r="H573" s="69"/>
      <c r="I573" s="69"/>
      <c r="J573" s="69"/>
      <c r="K573" s="70"/>
      <c r="L573" s="64"/>
      <c r="M573" s="64"/>
      <c r="N573" s="64"/>
      <c r="O573" s="64"/>
      <c r="P573" s="78"/>
      <c r="Q573" s="78"/>
    </row>
    <row r="574" spans="1:17" s="66" customFormat="1" ht="18.649999999999999" customHeight="1">
      <c r="A574" s="67"/>
      <c r="B574" s="299" t="str">
        <f>B270</f>
        <v>Line D', 3' 6" L</v>
      </c>
      <c r="C574" s="299">
        <v>3.5</v>
      </c>
      <c r="D574" s="121">
        <f>D270</f>
        <v>2</v>
      </c>
      <c r="E574" s="122">
        <f>E270</f>
        <v>3.5</v>
      </c>
      <c r="F574" s="122">
        <f>F270</f>
        <v>0.83</v>
      </c>
      <c r="G574" s="122">
        <f>G270</f>
        <v>0.83</v>
      </c>
      <c r="H574" s="69"/>
      <c r="I574" s="69"/>
      <c r="J574" s="69"/>
      <c r="K574" s="70"/>
      <c r="L574" s="64"/>
      <c r="M574" s="64"/>
      <c r="N574" s="64"/>
      <c r="O574" s="64"/>
      <c r="P574" s="78"/>
      <c r="Q574" s="78"/>
    </row>
    <row r="575" spans="1:17" s="66" customFormat="1" ht="18.649999999999999" customHeight="1">
      <c r="A575" s="67"/>
      <c r="B575" s="74" t="s">
        <v>382</v>
      </c>
      <c r="C575" s="74"/>
      <c r="D575" s="68">
        <f>D574*3</f>
        <v>6</v>
      </c>
      <c r="E575" s="69">
        <f>C574-0.25+(G574-0.25)*2</f>
        <v>4.41</v>
      </c>
      <c r="F575" s="69"/>
      <c r="G575" s="69"/>
      <c r="H575" s="71">
        <f>E575*D575</f>
        <v>26.5</v>
      </c>
      <c r="I575" s="69"/>
      <c r="J575" s="69"/>
      <c r="K575" s="70"/>
      <c r="L575" s="64"/>
      <c r="M575" s="64"/>
      <c r="N575" s="64"/>
      <c r="O575" s="64"/>
      <c r="P575" s="65"/>
      <c r="Q575" s="65"/>
    </row>
    <row r="576" spans="1:17" s="66" customFormat="1" ht="18.649999999999999" customHeight="1">
      <c r="A576" s="67"/>
      <c r="B576" s="74" t="s">
        <v>37</v>
      </c>
      <c r="C576" s="74"/>
      <c r="D576" s="68">
        <f>ROUNDDOWN(E575/40,0)*D575</f>
        <v>0</v>
      </c>
      <c r="E576" s="69">
        <f>40*16/1000*3.281</f>
        <v>2.1</v>
      </c>
      <c r="F576" s="69"/>
      <c r="G576" s="69"/>
      <c r="H576" s="71">
        <f>E576*D576</f>
        <v>0</v>
      </c>
      <c r="I576" s="69"/>
      <c r="J576" s="69"/>
      <c r="K576" s="70"/>
      <c r="L576" s="64"/>
      <c r="M576" s="64"/>
      <c r="N576" s="64"/>
      <c r="O576" s="64"/>
      <c r="P576" s="65"/>
      <c r="Q576" s="65"/>
    </row>
    <row r="577" spans="1:17" s="66" customFormat="1" ht="18.649999999999999" customHeight="1">
      <c r="A577" s="67"/>
      <c r="B577" s="74" t="s">
        <v>108</v>
      </c>
      <c r="C577" s="74"/>
      <c r="D577" s="68">
        <f>D574*3</f>
        <v>6</v>
      </c>
      <c r="E577" s="69">
        <f>C574-0.25+18*16/1000*3.281</f>
        <v>4.1900000000000004</v>
      </c>
      <c r="F577" s="69"/>
      <c r="G577" s="69"/>
      <c r="H577" s="71">
        <f>E577*D577</f>
        <v>25.1</v>
      </c>
      <c r="I577" s="69"/>
      <c r="J577" s="69"/>
      <c r="K577" s="70"/>
      <c r="L577" s="64"/>
      <c r="M577" s="64"/>
      <c r="N577" s="64"/>
      <c r="O577" s="64"/>
      <c r="P577" s="78"/>
      <c r="Q577" s="78"/>
    </row>
    <row r="578" spans="1:17" s="66" customFormat="1" ht="18.649999999999999" customHeight="1">
      <c r="A578" s="67"/>
      <c r="B578" s="74" t="s">
        <v>37</v>
      </c>
      <c r="C578" s="74"/>
      <c r="D578" s="68">
        <f>ROUNDDOWN(E577/40,0)*D577</f>
        <v>0</v>
      </c>
      <c r="E578" s="69">
        <f>40*16/1000*3.281</f>
        <v>2.1</v>
      </c>
      <c r="F578" s="69"/>
      <c r="G578" s="69"/>
      <c r="H578" s="71">
        <f>E578*D578</f>
        <v>0</v>
      </c>
      <c r="I578" s="69"/>
      <c r="J578" s="69"/>
      <c r="K578" s="70"/>
      <c r="L578" s="64"/>
      <c r="M578" s="64"/>
      <c r="N578" s="64"/>
      <c r="O578" s="64"/>
      <c r="P578" s="78"/>
      <c r="Q578" s="78"/>
    </row>
    <row r="579" spans="1:17" s="66" customFormat="1" ht="18.649999999999999" customHeight="1">
      <c r="A579" s="67"/>
      <c r="B579" s="74" t="s">
        <v>383</v>
      </c>
      <c r="C579" s="298">
        <f>2*G574</f>
        <v>1.66</v>
      </c>
      <c r="D579" s="68">
        <f>D574*ROUND(E574/0.4,0)</f>
        <v>18</v>
      </c>
      <c r="E579" s="69">
        <f>ROUND((F574-0.25+G574-0.25)*2+24*10/1000*3.281,2)</f>
        <v>3.11</v>
      </c>
      <c r="F579" s="69"/>
      <c r="G579" s="69"/>
      <c r="H579" s="69"/>
      <c r="I579" s="69">
        <f>D579*E579</f>
        <v>55.98</v>
      </c>
      <c r="J579" s="69"/>
      <c r="K579" s="70"/>
      <c r="L579" s="64"/>
      <c r="M579" s="64"/>
      <c r="N579" s="64"/>
      <c r="O579" s="64"/>
      <c r="P579" s="78"/>
      <c r="Q579" s="78"/>
    </row>
    <row r="580" spans="1:17" s="66" customFormat="1" ht="18.649999999999999" customHeight="1">
      <c r="A580" s="67"/>
      <c r="B580" s="74"/>
      <c r="C580" s="74"/>
      <c r="D580" s="68"/>
      <c r="E580" s="69"/>
      <c r="F580" s="69"/>
      <c r="G580" s="69"/>
      <c r="H580" s="69"/>
      <c r="I580" s="69"/>
      <c r="J580" s="69"/>
      <c r="K580" s="70"/>
      <c r="L580" s="64"/>
      <c r="M580" s="64"/>
      <c r="N580" s="64"/>
      <c r="O580" s="64"/>
      <c r="P580" s="78"/>
      <c r="Q580" s="78"/>
    </row>
    <row r="581" spans="1:17" s="66" customFormat="1" ht="18.649999999999999" customHeight="1">
      <c r="A581" s="67"/>
      <c r="B581" s="299" t="str">
        <f>B271</f>
        <v>Verendah, 9' 3" L</v>
      </c>
      <c r="C581" s="299">
        <v>9.25</v>
      </c>
      <c r="D581" s="121">
        <f>D271</f>
        <v>1</v>
      </c>
      <c r="E581" s="122">
        <f>E271</f>
        <v>7.58</v>
      </c>
      <c r="F581" s="122">
        <f>F271</f>
        <v>0.83</v>
      </c>
      <c r="G581" s="122">
        <f>G271</f>
        <v>0.83</v>
      </c>
      <c r="H581" s="69"/>
      <c r="I581" s="69"/>
      <c r="J581" s="69"/>
      <c r="K581" s="70"/>
      <c r="L581" s="64"/>
      <c r="M581" s="64"/>
      <c r="N581" s="64"/>
      <c r="O581" s="64"/>
      <c r="P581" s="78"/>
      <c r="Q581" s="78"/>
    </row>
    <row r="582" spans="1:17" s="66" customFormat="1" ht="18.649999999999999" customHeight="1">
      <c r="A582" s="67"/>
      <c r="B582" s="74" t="s">
        <v>382</v>
      </c>
      <c r="C582" s="74"/>
      <c r="D582" s="68">
        <f>D581*3</f>
        <v>3</v>
      </c>
      <c r="E582" s="69">
        <f>C581-0.25+(G581-0.25)*2</f>
        <v>10.16</v>
      </c>
      <c r="F582" s="69"/>
      <c r="G582" s="69"/>
      <c r="H582" s="71">
        <f>E582*D582</f>
        <v>30.5</v>
      </c>
      <c r="I582" s="69"/>
      <c r="J582" s="69"/>
      <c r="K582" s="70"/>
      <c r="L582" s="64"/>
      <c r="M582" s="64"/>
      <c r="N582" s="64"/>
      <c r="O582" s="64"/>
      <c r="P582" s="65"/>
      <c r="Q582" s="65"/>
    </row>
    <row r="583" spans="1:17" s="66" customFormat="1" ht="18.649999999999999" customHeight="1">
      <c r="A583" s="67"/>
      <c r="B583" s="74" t="s">
        <v>37</v>
      </c>
      <c r="C583" s="74"/>
      <c r="D583" s="68">
        <f>ROUNDDOWN(E582/40,0)*D582</f>
        <v>0</v>
      </c>
      <c r="E583" s="69">
        <f>40*16/1000*3.281</f>
        <v>2.1</v>
      </c>
      <c r="F583" s="69"/>
      <c r="G583" s="69"/>
      <c r="H583" s="71">
        <f>E583*D583</f>
        <v>0</v>
      </c>
      <c r="I583" s="69"/>
      <c r="J583" s="69"/>
      <c r="K583" s="70"/>
      <c r="L583" s="64"/>
      <c r="M583" s="64"/>
      <c r="N583" s="64"/>
      <c r="O583" s="64"/>
      <c r="P583" s="65"/>
      <c r="Q583" s="65"/>
    </row>
    <row r="584" spans="1:17" s="66" customFormat="1" ht="18.649999999999999" customHeight="1">
      <c r="A584" s="67"/>
      <c r="B584" s="74" t="s">
        <v>108</v>
      </c>
      <c r="C584" s="74"/>
      <c r="D584" s="68">
        <f>D581*3</f>
        <v>3</v>
      </c>
      <c r="E584" s="69">
        <f>C581-0.25+18*16/1000*3.281</f>
        <v>9.94</v>
      </c>
      <c r="F584" s="69"/>
      <c r="G584" s="69"/>
      <c r="H584" s="71">
        <f>E584*D584</f>
        <v>29.8</v>
      </c>
      <c r="I584" s="69"/>
      <c r="J584" s="69"/>
      <c r="K584" s="70"/>
      <c r="L584" s="64"/>
      <c r="M584" s="64"/>
      <c r="N584" s="64"/>
      <c r="O584" s="64"/>
      <c r="P584" s="78"/>
      <c r="Q584" s="78"/>
    </row>
    <row r="585" spans="1:17" s="66" customFormat="1" ht="18.649999999999999" customHeight="1">
      <c r="A585" s="67"/>
      <c r="B585" s="74" t="s">
        <v>37</v>
      </c>
      <c r="C585" s="74"/>
      <c r="D585" s="68">
        <f>ROUNDDOWN(E584/40,0)*D584</f>
        <v>0</v>
      </c>
      <c r="E585" s="69">
        <f>40*16/1000*3.281</f>
        <v>2.1</v>
      </c>
      <c r="F585" s="69"/>
      <c r="G585" s="69"/>
      <c r="H585" s="71">
        <f>E585*D585</f>
        <v>0</v>
      </c>
      <c r="I585" s="69"/>
      <c r="J585" s="69"/>
      <c r="K585" s="70"/>
      <c r="L585" s="64"/>
      <c r="M585" s="64"/>
      <c r="N585" s="64"/>
      <c r="O585" s="64"/>
      <c r="P585" s="78"/>
      <c r="Q585" s="78"/>
    </row>
    <row r="586" spans="1:17" s="66" customFormat="1" ht="18.649999999999999" customHeight="1">
      <c r="A586" s="67"/>
      <c r="B586" s="74" t="s">
        <v>383</v>
      </c>
      <c r="C586" s="298">
        <f>2*G581</f>
        <v>1.66</v>
      </c>
      <c r="D586" s="68">
        <f>D581*ROUND(E581/0.4,0)</f>
        <v>19</v>
      </c>
      <c r="E586" s="69">
        <f>ROUND((F581-0.25+G581-0.25)*2+24*10/1000*3.281,2)</f>
        <v>3.11</v>
      </c>
      <c r="F586" s="69"/>
      <c r="G586" s="69"/>
      <c r="H586" s="69"/>
      <c r="I586" s="69">
        <f>D586*E586</f>
        <v>59.09</v>
      </c>
      <c r="J586" s="69"/>
      <c r="K586" s="70"/>
      <c r="L586" s="64"/>
      <c r="M586" s="64"/>
      <c r="N586" s="64"/>
      <c r="O586" s="64"/>
      <c r="P586" s="78"/>
      <c r="Q586" s="78"/>
    </row>
    <row r="587" spans="1:17" s="66" customFormat="1" ht="18.649999999999999" customHeight="1">
      <c r="A587" s="67"/>
      <c r="B587" s="300" t="str">
        <f>B272</f>
        <v xml:space="preserve"> +28' 0" Lev;</v>
      </c>
      <c r="C587" s="299"/>
      <c r="D587" s="121"/>
      <c r="E587" s="122"/>
      <c r="F587" s="122"/>
      <c r="G587" s="122"/>
      <c r="H587" s="69"/>
      <c r="I587" s="69"/>
      <c r="J587" s="69"/>
      <c r="K587" s="70"/>
      <c r="L587" s="64"/>
      <c r="M587" s="64"/>
      <c r="N587" s="64"/>
      <c r="O587" s="64"/>
      <c r="P587" s="78"/>
      <c r="Q587" s="78"/>
    </row>
    <row r="588" spans="1:17" s="66" customFormat="1" ht="18.649999999999999" customHeight="1">
      <c r="A588" s="67"/>
      <c r="B588" s="300" t="str">
        <f>B273</f>
        <v>Line C,D (2-3), 11' 6" L</v>
      </c>
      <c r="C588" s="299">
        <v>11.5</v>
      </c>
      <c r="D588" s="121">
        <f>D273</f>
        <v>2</v>
      </c>
      <c r="E588" s="122">
        <f>E273</f>
        <v>10.33</v>
      </c>
      <c r="F588" s="122">
        <f>F273</f>
        <v>0.83</v>
      </c>
      <c r="G588" s="122">
        <f>G273</f>
        <v>0.83</v>
      </c>
      <c r="H588" s="69"/>
      <c r="I588" s="69"/>
      <c r="J588" s="69"/>
      <c r="K588" s="70"/>
      <c r="L588" s="64"/>
      <c r="M588" s="64"/>
      <c r="N588" s="64"/>
      <c r="O588" s="64"/>
      <c r="P588" s="78"/>
      <c r="Q588" s="78"/>
    </row>
    <row r="589" spans="1:17" s="66" customFormat="1" ht="18.649999999999999" customHeight="1">
      <c r="A589" s="67"/>
      <c r="B589" s="74" t="s">
        <v>382</v>
      </c>
      <c r="C589" s="74"/>
      <c r="D589" s="68">
        <f>D588*3</f>
        <v>6</v>
      </c>
      <c r="E589" s="69">
        <f>C588-0.25+(G588-0.25)*2</f>
        <v>12.41</v>
      </c>
      <c r="F589" s="69"/>
      <c r="G589" s="69"/>
      <c r="H589" s="71">
        <f>E589*D589</f>
        <v>74.5</v>
      </c>
      <c r="I589" s="69"/>
      <c r="J589" s="69"/>
      <c r="K589" s="70"/>
      <c r="L589" s="64"/>
      <c r="M589" s="64"/>
      <c r="N589" s="64"/>
      <c r="O589" s="64"/>
      <c r="P589" s="65"/>
      <c r="Q589" s="65"/>
    </row>
    <row r="590" spans="1:17" s="66" customFormat="1" ht="18.649999999999999" customHeight="1">
      <c r="A590" s="67"/>
      <c r="B590" s="74" t="s">
        <v>37</v>
      </c>
      <c r="C590" s="74"/>
      <c r="D590" s="68">
        <f>ROUNDDOWN(E589/40,0)*D589</f>
        <v>0</v>
      </c>
      <c r="E590" s="69">
        <f>40*16/1000*3.281</f>
        <v>2.1</v>
      </c>
      <c r="F590" s="69"/>
      <c r="G590" s="69"/>
      <c r="H590" s="71">
        <f>E590*D590</f>
        <v>0</v>
      </c>
      <c r="I590" s="69"/>
      <c r="J590" s="69"/>
      <c r="K590" s="70"/>
      <c r="L590" s="64"/>
      <c r="M590" s="64"/>
      <c r="N590" s="64"/>
      <c r="O590" s="64"/>
      <c r="P590" s="65"/>
      <c r="Q590" s="65"/>
    </row>
    <row r="591" spans="1:17" s="66" customFormat="1" ht="18.649999999999999" customHeight="1">
      <c r="A591" s="67"/>
      <c r="B591" s="74" t="s">
        <v>108</v>
      </c>
      <c r="C591" s="74"/>
      <c r="D591" s="68">
        <f>D588*3</f>
        <v>6</v>
      </c>
      <c r="E591" s="69">
        <f>C588-0.25+18*16/1000*3.281</f>
        <v>12.19</v>
      </c>
      <c r="F591" s="69"/>
      <c r="G591" s="69"/>
      <c r="H591" s="71">
        <f>E591*D591</f>
        <v>73.099999999999994</v>
      </c>
      <c r="I591" s="69"/>
      <c r="J591" s="69"/>
      <c r="K591" s="70"/>
      <c r="L591" s="64"/>
      <c r="M591" s="64"/>
      <c r="N591" s="64"/>
      <c r="O591" s="64"/>
      <c r="P591" s="78"/>
      <c r="Q591" s="78"/>
    </row>
    <row r="592" spans="1:17" s="66" customFormat="1" ht="18.649999999999999" customHeight="1">
      <c r="A592" s="67"/>
      <c r="B592" s="74" t="s">
        <v>37</v>
      </c>
      <c r="C592" s="74"/>
      <c r="D592" s="68">
        <f>ROUNDDOWN(E591/40,0)*D591</f>
        <v>0</v>
      </c>
      <c r="E592" s="69">
        <f>40*16/1000*3.281</f>
        <v>2.1</v>
      </c>
      <c r="F592" s="69"/>
      <c r="G592" s="69"/>
      <c r="H592" s="71">
        <f>E592*D592</f>
        <v>0</v>
      </c>
      <c r="I592" s="69"/>
      <c r="J592" s="69"/>
      <c r="K592" s="70"/>
      <c r="L592" s="64"/>
      <c r="M592" s="64"/>
      <c r="N592" s="64"/>
      <c r="O592" s="64"/>
      <c r="P592" s="78"/>
      <c r="Q592" s="78"/>
    </row>
    <row r="593" spans="1:17" s="66" customFormat="1" ht="18.649999999999999" customHeight="1">
      <c r="A593" s="67"/>
      <c r="B593" s="74" t="s">
        <v>383</v>
      </c>
      <c r="C593" s="298">
        <f>2*G588</f>
        <v>1.66</v>
      </c>
      <c r="D593" s="68">
        <f>D588*ROUND(E588/0.4,0)</f>
        <v>52</v>
      </c>
      <c r="E593" s="69">
        <f>ROUND((F588-0.25+G588-0.25)*2+24*10/1000*3.281,2)</f>
        <v>3.11</v>
      </c>
      <c r="F593" s="69"/>
      <c r="G593" s="69"/>
      <c r="H593" s="69"/>
      <c r="I593" s="69">
        <f>D593*E593</f>
        <v>161.72</v>
      </c>
      <c r="J593" s="69"/>
      <c r="K593" s="70"/>
      <c r="L593" s="64"/>
      <c r="M593" s="64"/>
      <c r="N593" s="64"/>
      <c r="O593" s="64"/>
      <c r="P593" s="78"/>
      <c r="Q593" s="78"/>
    </row>
    <row r="594" spans="1:17" s="66" customFormat="1" ht="18.649999999999999" customHeight="1">
      <c r="A594" s="67"/>
      <c r="B594" s="300" t="str">
        <f>B274</f>
        <v>Line 1, 2, 3 (B-D), 19' L</v>
      </c>
      <c r="C594" s="299">
        <v>19</v>
      </c>
      <c r="D594" s="121">
        <f>D274</f>
        <v>3</v>
      </c>
      <c r="E594" s="122">
        <f>E274</f>
        <v>17</v>
      </c>
      <c r="F594" s="122">
        <f>F274</f>
        <v>0.83</v>
      </c>
      <c r="G594" s="122">
        <f>G274</f>
        <v>0.83</v>
      </c>
      <c r="H594" s="69"/>
      <c r="I594" s="69"/>
      <c r="J594" s="69"/>
      <c r="K594" s="70"/>
      <c r="L594" s="64"/>
      <c r="M594" s="64"/>
      <c r="N594" s="64"/>
      <c r="O594" s="64"/>
      <c r="P594" s="78"/>
      <c r="Q594" s="78"/>
    </row>
    <row r="595" spans="1:17" s="66" customFormat="1" ht="18.649999999999999" customHeight="1">
      <c r="A595" s="67"/>
      <c r="B595" s="74" t="s">
        <v>382</v>
      </c>
      <c r="C595" s="74"/>
      <c r="D595" s="68">
        <f>D594*3</f>
        <v>9</v>
      </c>
      <c r="E595" s="69">
        <f>C594-0.25+(G594-0.25)*2</f>
        <v>19.91</v>
      </c>
      <c r="F595" s="69"/>
      <c r="G595" s="69"/>
      <c r="H595" s="71">
        <f>E595*D595</f>
        <v>179.2</v>
      </c>
      <c r="I595" s="69"/>
      <c r="J595" s="69"/>
      <c r="K595" s="70"/>
      <c r="L595" s="64"/>
      <c r="M595" s="64"/>
      <c r="N595" s="64"/>
      <c r="O595" s="64"/>
      <c r="P595" s="65"/>
      <c r="Q595" s="65"/>
    </row>
    <row r="596" spans="1:17" s="66" customFormat="1" ht="18.649999999999999" customHeight="1">
      <c r="A596" s="67"/>
      <c r="B596" s="74" t="s">
        <v>37</v>
      </c>
      <c r="C596" s="74"/>
      <c r="D596" s="68">
        <f>ROUNDDOWN(E595/40,0)*D595</f>
        <v>0</v>
      </c>
      <c r="E596" s="69">
        <f>40*16/1000*3.281</f>
        <v>2.1</v>
      </c>
      <c r="F596" s="69"/>
      <c r="G596" s="69"/>
      <c r="H596" s="71">
        <f>E596*D596</f>
        <v>0</v>
      </c>
      <c r="I596" s="69"/>
      <c r="J596" s="69"/>
      <c r="K596" s="70"/>
      <c r="L596" s="64"/>
      <c r="M596" s="64"/>
      <c r="N596" s="64"/>
      <c r="O596" s="64"/>
      <c r="P596" s="65"/>
      <c r="Q596" s="65"/>
    </row>
    <row r="597" spans="1:17" s="66" customFormat="1" ht="18.649999999999999" customHeight="1">
      <c r="A597" s="67"/>
      <c r="B597" s="74" t="s">
        <v>108</v>
      </c>
      <c r="C597" s="74"/>
      <c r="D597" s="68">
        <f>D594*3</f>
        <v>9</v>
      </c>
      <c r="E597" s="69">
        <f>C594-0.25+18*16/1000*3.281</f>
        <v>19.690000000000001</v>
      </c>
      <c r="F597" s="69"/>
      <c r="G597" s="69"/>
      <c r="H597" s="71">
        <f>E597*D597</f>
        <v>177.2</v>
      </c>
      <c r="I597" s="69"/>
      <c r="J597" s="69"/>
      <c r="K597" s="70"/>
      <c r="L597" s="64"/>
      <c r="M597" s="64"/>
      <c r="N597" s="64"/>
      <c r="O597" s="64"/>
      <c r="P597" s="78"/>
      <c r="Q597" s="78"/>
    </row>
    <row r="598" spans="1:17" s="66" customFormat="1" ht="18.649999999999999" customHeight="1">
      <c r="A598" s="67"/>
      <c r="B598" s="74" t="s">
        <v>37</v>
      </c>
      <c r="C598" s="74"/>
      <c r="D598" s="68">
        <f>ROUNDDOWN(E597/40,0)*D597</f>
        <v>0</v>
      </c>
      <c r="E598" s="69">
        <f>40*16/1000*3.281</f>
        <v>2.1</v>
      </c>
      <c r="F598" s="69"/>
      <c r="G598" s="69"/>
      <c r="H598" s="71">
        <f>E598*D598</f>
        <v>0</v>
      </c>
      <c r="I598" s="69"/>
      <c r="J598" s="69"/>
      <c r="K598" s="70"/>
      <c r="L598" s="64"/>
      <c r="M598" s="64"/>
      <c r="N598" s="64"/>
      <c r="O598" s="64"/>
      <c r="P598" s="78"/>
      <c r="Q598" s="78"/>
    </row>
    <row r="599" spans="1:17" s="66" customFormat="1" ht="18.649999999999999" customHeight="1">
      <c r="A599" s="67"/>
      <c r="B599" s="74" t="s">
        <v>383</v>
      </c>
      <c r="C599" s="298">
        <f>2*G594</f>
        <v>1.66</v>
      </c>
      <c r="D599" s="68">
        <f>D594*ROUND(E594/0.4,0)</f>
        <v>129</v>
      </c>
      <c r="E599" s="69">
        <f>ROUND((F594-0.25+G594-0.25)*2+24*10/1000*3.281,2)</f>
        <v>3.11</v>
      </c>
      <c r="F599" s="69"/>
      <c r="G599" s="69"/>
      <c r="H599" s="69"/>
      <c r="I599" s="69">
        <f>D599*E599</f>
        <v>401.19</v>
      </c>
      <c r="J599" s="69"/>
      <c r="K599" s="70"/>
      <c r="L599" s="64"/>
      <c r="M599" s="64"/>
      <c r="N599" s="64"/>
      <c r="O599" s="64"/>
      <c r="P599" s="78"/>
      <c r="Q599" s="78"/>
    </row>
    <row r="600" spans="1:17" s="66" customFormat="1" ht="18.649999999999999" customHeight="1">
      <c r="A600" s="67"/>
      <c r="B600" s="300" t="str">
        <f>B275</f>
        <v>Line 1' (B-C), 9' L</v>
      </c>
      <c r="C600" s="299">
        <v>9</v>
      </c>
      <c r="D600" s="121">
        <f>D275</f>
        <v>1</v>
      </c>
      <c r="E600" s="122">
        <f>E275</f>
        <v>8.33</v>
      </c>
      <c r="F600" s="122">
        <f>F275</f>
        <v>0.83</v>
      </c>
      <c r="G600" s="122">
        <f>G275</f>
        <v>0.83</v>
      </c>
      <c r="H600" s="69"/>
      <c r="I600" s="69"/>
      <c r="J600" s="69"/>
      <c r="K600" s="70"/>
      <c r="L600" s="64"/>
      <c r="M600" s="64"/>
      <c r="N600" s="64"/>
      <c r="O600" s="64"/>
      <c r="P600" s="78"/>
      <c r="Q600" s="78"/>
    </row>
    <row r="601" spans="1:17" s="66" customFormat="1" ht="18.649999999999999" customHeight="1">
      <c r="A601" s="67"/>
      <c r="B601" s="74" t="s">
        <v>382</v>
      </c>
      <c r="C601" s="74"/>
      <c r="D601" s="68">
        <f>D600*3</f>
        <v>3</v>
      </c>
      <c r="E601" s="69">
        <f>C600-0.25+(G600-0.25)*2</f>
        <v>9.91</v>
      </c>
      <c r="F601" s="69"/>
      <c r="G601" s="69"/>
      <c r="H601" s="71">
        <f>E601*D601</f>
        <v>29.7</v>
      </c>
      <c r="I601" s="69"/>
      <c r="J601" s="69"/>
      <c r="K601" s="70"/>
      <c r="L601" s="64"/>
      <c r="M601" s="64"/>
      <c r="N601" s="64"/>
      <c r="O601" s="64"/>
      <c r="P601" s="65"/>
      <c r="Q601" s="65"/>
    </row>
    <row r="602" spans="1:17" s="66" customFormat="1" ht="18.649999999999999" customHeight="1">
      <c r="A602" s="67"/>
      <c r="B602" s="74" t="s">
        <v>37</v>
      </c>
      <c r="C602" s="74"/>
      <c r="D602" s="68">
        <f>ROUNDDOWN(E601/40,0)*D601</f>
        <v>0</v>
      </c>
      <c r="E602" s="69">
        <f>40*16/1000*3.281</f>
        <v>2.1</v>
      </c>
      <c r="F602" s="69"/>
      <c r="G602" s="69"/>
      <c r="H602" s="71">
        <f>E602*D602</f>
        <v>0</v>
      </c>
      <c r="I602" s="69"/>
      <c r="J602" s="69"/>
      <c r="K602" s="70"/>
      <c r="L602" s="64"/>
      <c r="M602" s="64"/>
      <c r="N602" s="64"/>
      <c r="O602" s="64"/>
      <c r="P602" s="65"/>
      <c r="Q602" s="65"/>
    </row>
    <row r="603" spans="1:17" s="66" customFormat="1" ht="18.649999999999999" customHeight="1">
      <c r="A603" s="67"/>
      <c r="B603" s="74" t="s">
        <v>108</v>
      </c>
      <c r="C603" s="74"/>
      <c r="D603" s="68">
        <f>D600*3</f>
        <v>3</v>
      </c>
      <c r="E603" s="69">
        <f>C600-0.25+18*16/1000*3.281</f>
        <v>9.69</v>
      </c>
      <c r="F603" s="69"/>
      <c r="G603" s="69"/>
      <c r="H603" s="71">
        <f>E603*D603</f>
        <v>29.1</v>
      </c>
      <c r="I603" s="69"/>
      <c r="J603" s="69"/>
      <c r="K603" s="70"/>
      <c r="L603" s="64"/>
      <c r="M603" s="64"/>
      <c r="N603" s="64"/>
      <c r="O603" s="64"/>
      <c r="P603" s="78"/>
      <c r="Q603" s="78"/>
    </row>
    <row r="604" spans="1:17" s="66" customFormat="1" ht="18.649999999999999" customHeight="1">
      <c r="A604" s="67"/>
      <c r="B604" s="74" t="s">
        <v>37</v>
      </c>
      <c r="C604" s="74"/>
      <c r="D604" s="68">
        <f>ROUNDDOWN(E603/40,0)*D603</f>
        <v>0</v>
      </c>
      <c r="E604" s="69">
        <f>40*16/1000*3.281</f>
        <v>2.1</v>
      </c>
      <c r="F604" s="69"/>
      <c r="G604" s="69"/>
      <c r="H604" s="71">
        <f>E604*D604</f>
        <v>0</v>
      </c>
      <c r="I604" s="69"/>
      <c r="J604" s="69"/>
      <c r="K604" s="70"/>
      <c r="L604" s="64"/>
      <c r="M604" s="64"/>
      <c r="N604" s="64"/>
      <c r="O604" s="64"/>
      <c r="P604" s="78"/>
      <c r="Q604" s="78"/>
    </row>
    <row r="605" spans="1:17" s="66" customFormat="1" ht="18.649999999999999" customHeight="1">
      <c r="A605" s="67"/>
      <c r="B605" s="74" t="s">
        <v>383</v>
      </c>
      <c r="C605" s="298">
        <f>2*G600</f>
        <v>1.66</v>
      </c>
      <c r="D605" s="68">
        <f>D600*ROUND(E600/0.4,0)</f>
        <v>21</v>
      </c>
      <c r="E605" s="69">
        <f>ROUND((F600-0.25+G600-0.25)*2+24*10/1000*3.281,2)</f>
        <v>3.11</v>
      </c>
      <c r="F605" s="69"/>
      <c r="G605" s="69"/>
      <c r="H605" s="69"/>
      <c r="I605" s="69">
        <f>D605*E605</f>
        <v>65.31</v>
      </c>
      <c r="J605" s="69"/>
      <c r="K605" s="70"/>
      <c r="L605" s="64"/>
      <c r="M605" s="64"/>
      <c r="N605" s="64"/>
      <c r="O605" s="64"/>
      <c r="P605" s="78"/>
      <c r="Q605" s="78"/>
    </row>
    <row r="606" spans="1:17" s="66" customFormat="1" ht="18.649999999999999" customHeight="1">
      <c r="A606" s="67"/>
      <c r="B606" s="300" t="str">
        <f>B276</f>
        <v xml:space="preserve"> +28' 11" Lev;</v>
      </c>
      <c r="C606" s="299"/>
      <c r="D606" s="121"/>
      <c r="E606" s="122"/>
      <c r="F606" s="122"/>
      <c r="G606" s="122"/>
      <c r="H606" s="69"/>
      <c r="I606" s="69"/>
      <c r="J606" s="69"/>
      <c r="K606" s="70"/>
      <c r="L606" s="64"/>
      <c r="M606" s="64"/>
      <c r="N606" s="64"/>
      <c r="O606" s="64"/>
      <c r="P606" s="78"/>
      <c r="Q606" s="78"/>
    </row>
    <row r="607" spans="1:17" s="66" customFormat="1" ht="18.649999999999999" customHeight="1">
      <c r="A607" s="67"/>
      <c r="B607" s="300" t="str">
        <f>B277</f>
        <v>Line A, A', B (2-3), 11' 6" L</v>
      </c>
      <c r="C607" s="299">
        <v>11.5</v>
      </c>
      <c r="D607" s="121">
        <f>D277</f>
        <v>3</v>
      </c>
      <c r="E607" s="122">
        <f>E277</f>
        <v>10.33</v>
      </c>
      <c r="F607" s="122">
        <f>F277</f>
        <v>0.83</v>
      </c>
      <c r="G607" s="122">
        <f>G277</f>
        <v>0.83</v>
      </c>
      <c r="H607" s="69"/>
      <c r="I607" s="69"/>
      <c r="J607" s="69"/>
      <c r="K607" s="70"/>
      <c r="L607" s="64"/>
      <c r="M607" s="64"/>
      <c r="N607" s="64"/>
      <c r="O607" s="64"/>
      <c r="P607" s="78"/>
      <c r="Q607" s="78"/>
    </row>
    <row r="608" spans="1:17" s="66" customFormat="1" ht="18.649999999999999" customHeight="1">
      <c r="A608" s="67"/>
      <c r="B608" s="74" t="s">
        <v>382</v>
      </c>
      <c r="C608" s="74"/>
      <c r="D608" s="68">
        <f>D607*3</f>
        <v>9</v>
      </c>
      <c r="E608" s="69">
        <f>C607-0.25+(G607-0.25)*2</f>
        <v>12.41</v>
      </c>
      <c r="F608" s="69"/>
      <c r="G608" s="69"/>
      <c r="H608" s="71">
        <f>E608*D608</f>
        <v>111.7</v>
      </c>
      <c r="I608" s="69"/>
      <c r="J608" s="69"/>
      <c r="K608" s="70"/>
      <c r="L608" s="64"/>
      <c r="M608" s="64"/>
      <c r="N608" s="64"/>
      <c r="O608" s="64"/>
      <c r="P608" s="65"/>
      <c r="Q608" s="65"/>
    </row>
    <row r="609" spans="1:17" s="66" customFormat="1" ht="18.649999999999999" customHeight="1">
      <c r="A609" s="67"/>
      <c r="B609" s="74" t="s">
        <v>37</v>
      </c>
      <c r="C609" s="74"/>
      <c r="D609" s="68">
        <f>ROUNDDOWN(E608/40,0)*D608</f>
        <v>0</v>
      </c>
      <c r="E609" s="69">
        <f>40*16/1000*3.281</f>
        <v>2.1</v>
      </c>
      <c r="F609" s="69"/>
      <c r="G609" s="69"/>
      <c r="H609" s="71">
        <f>E609*D609</f>
        <v>0</v>
      </c>
      <c r="I609" s="69"/>
      <c r="J609" s="69"/>
      <c r="K609" s="70"/>
      <c r="L609" s="64"/>
      <c r="M609" s="64"/>
      <c r="N609" s="64"/>
      <c r="O609" s="64"/>
      <c r="P609" s="65"/>
      <c r="Q609" s="65"/>
    </row>
    <row r="610" spans="1:17" s="66" customFormat="1" ht="18.649999999999999" customHeight="1">
      <c r="A610" s="67"/>
      <c r="B610" s="74" t="s">
        <v>108</v>
      </c>
      <c r="C610" s="74"/>
      <c r="D610" s="68">
        <f>D607*3</f>
        <v>9</v>
      </c>
      <c r="E610" s="69">
        <f>C607-0.25+18*16/1000*3.281</f>
        <v>12.19</v>
      </c>
      <c r="F610" s="69"/>
      <c r="G610" s="69"/>
      <c r="H610" s="71">
        <f>E610*D610</f>
        <v>109.7</v>
      </c>
      <c r="I610" s="69"/>
      <c r="J610" s="69"/>
      <c r="K610" s="70"/>
      <c r="L610" s="64"/>
      <c r="M610" s="64"/>
      <c r="N610" s="64"/>
      <c r="O610" s="64"/>
      <c r="P610" s="78"/>
      <c r="Q610" s="78"/>
    </row>
    <row r="611" spans="1:17" s="66" customFormat="1" ht="18.649999999999999" customHeight="1">
      <c r="A611" s="67"/>
      <c r="B611" s="74" t="s">
        <v>37</v>
      </c>
      <c r="C611" s="74"/>
      <c r="D611" s="68">
        <f>ROUNDDOWN(E610/40,0)*D610</f>
        <v>0</v>
      </c>
      <c r="E611" s="69">
        <f>40*16/1000*3.281</f>
        <v>2.1</v>
      </c>
      <c r="F611" s="69"/>
      <c r="G611" s="69"/>
      <c r="H611" s="71">
        <f>E611*D611</f>
        <v>0</v>
      </c>
      <c r="I611" s="69"/>
      <c r="J611" s="69"/>
      <c r="K611" s="70"/>
      <c r="L611" s="64"/>
      <c r="M611" s="64"/>
      <c r="N611" s="64"/>
      <c r="O611" s="64"/>
      <c r="P611" s="78"/>
      <c r="Q611" s="78"/>
    </row>
    <row r="612" spans="1:17" s="66" customFormat="1" ht="18.649999999999999" customHeight="1">
      <c r="A612" s="67"/>
      <c r="B612" s="74" t="s">
        <v>383</v>
      </c>
      <c r="C612" s="298">
        <f>2*G607</f>
        <v>1.66</v>
      </c>
      <c r="D612" s="68">
        <f>D607*ROUND(E607/0.4,0)</f>
        <v>78</v>
      </c>
      <c r="E612" s="69">
        <f>ROUND((F607-0.25+G607-0.25)*2+24*10/1000*3.281,2)</f>
        <v>3.11</v>
      </c>
      <c r="F612" s="69"/>
      <c r="G612" s="69"/>
      <c r="H612" s="69"/>
      <c r="I612" s="69">
        <f>D612*E612</f>
        <v>242.58</v>
      </c>
      <c r="J612" s="69"/>
      <c r="K612" s="70"/>
      <c r="L612" s="64"/>
      <c r="M612" s="64"/>
      <c r="N612" s="64"/>
      <c r="O612" s="64"/>
      <c r="P612" s="78"/>
      <c r="Q612" s="78"/>
    </row>
    <row r="613" spans="1:17" s="66" customFormat="1" ht="18.649999999999999" customHeight="1">
      <c r="A613" s="67"/>
      <c r="B613" s="300" t="str">
        <f>B278</f>
        <v>Y-Dir Bet;A&amp;B</v>
      </c>
      <c r="C613" s="299">
        <v>6</v>
      </c>
      <c r="D613" s="121">
        <f>D278</f>
        <v>2</v>
      </c>
      <c r="E613" s="122">
        <f>E278</f>
        <v>4.42</v>
      </c>
      <c r="F613" s="122">
        <f>F278</f>
        <v>0.83</v>
      </c>
      <c r="G613" s="122">
        <f>G278</f>
        <v>0.83</v>
      </c>
      <c r="H613" s="69"/>
      <c r="I613" s="69"/>
      <c r="J613" s="69"/>
      <c r="K613" s="70"/>
      <c r="L613" s="64"/>
      <c r="M613" s="64"/>
      <c r="N613" s="64"/>
      <c r="O613" s="64"/>
      <c r="P613" s="78"/>
      <c r="Q613" s="78"/>
    </row>
    <row r="614" spans="1:17" s="66" customFormat="1" ht="18.649999999999999" customHeight="1">
      <c r="A614" s="67"/>
      <c r="B614" s="74" t="s">
        <v>382</v>
      </c>
      <c r="C614" s="74"/>
      <c r="D614" s="68">
        <f>D613*3</f>
        <v>6</v>
      </c>
      <c r="E614" s="69">
        <f>C613-0.25+(G613-0.25)*2</f>
        <v>6.91</v>
      </c>
      <c r="F614" s="69"/>
      <c r="G614" s="69"/>
      <c r="H614" s="71">
        <f>E614*D614</f>
        <v>41.5</v>
      </c>
      <c r="I614" s="69"/>
      <c r="J614" s="69"/>
      <c r="K614" s="70"/>
      <c r="L614" s="64"/>
      <c r="M614" s="64"/>
      <c r="N614" s="64"/>
      <c r="O614" s="64"/>
      <c r="P614" s="65"/>
      <c r="Q614" s="65"/>
    </row>
    <row r="615" spans="1:17" s="66" customFormat="1" ht="18.649999999999999" customHeight="1">
      <c r="A615" s="67"/>
      <c r="B615" s="74" t="s">
        <v>37</v>
      </c>
      <c r="C615" s="74"/>
      <c r="D615" s="68">
        <f>ROUNDDOWN(E614/40,0)*D614</f>
        <v>0</v>
      </c>
      <c r="E615" s="69">
        <f>40*16/1000*3.281</f>
        <v>2.1</v>
      </c>
      <c r="F615" s="69"/>
      <c r="G615" s="69"/>
      <c r="H615" s="71">
        <f>E615*D615</f>
        <v>0</v>
      </c>
      <c r="I615" s="69"/>
      <c r="J615" s="69"/>
      <c r="K615" s="70"/>
      <c r="L615" s="64"/>
      <c r="M615" s="64"/>
      <c r="N615" s="64"/>
      <c r="O615" s="64"/>
      <c r="P615" s="65"/>
      <c r="Q615" s="65"/>
    </row>
    <row r="616" spans="1:17" s="66" customFormat="1" ht="18.649999999999999" customHeight="1">
      <c r="A616" s="67"/>
      <c r="B616" s="74" t="s">
        <v>108</v>
      </c>
      <c r="C616" s="74"/>
      <c r="D616" s="68">
        <f>D613*3</f>
        <v>6</v>
      </c>
      <c r="E616" s="69">
        <f>C613-0.25+18*16/1000*3.281</f>
        <v>6.69</v>
      </c>
      <c r="F616" s="69"/>
      <c r="G616" s="69"/>
      <c r="H616" s="71">
        <f>E616*D616</f>
        <v>40.1</v>
      </c>
      <c r="I616" s="69"/>
      <c r="J616" s="69"/>
      <c r="K616" s="70"/>
      <c r="L616" s="64"/>
      <c r="M616" s="64"/>
      <c r="N616" s="64"/>
      <c r="O616" s="64"/>
      <c r="P616" s="78"/>
      <c r="Q616" s="78"/>
    </row>
    <row r="617" spans="1:17" s="66" customFormat="1" ht="18.649999999999999" customHeight="1">
      <c r="A617" s="67"/>
      <c r="B617" s="74" t="s">
        <v>37</v>
      </c>
      <c r="C617" s="74"/>
      <c r="D617" s="68">
        <f>ROUNDDOWN(E616/40,0)*D616</f>
        <v>0</v>
      </c>
      <c r="E617" s="69">
        <f>40*16/1000*3.281</f>
        <v>2.1</v>
      </c>
      <c r="F617" s="69"/>
      <c r="G617" s="69"/>
      <c r="H617" s="71">
        <f>E617*D617</f>
        <v>0</v>
      </c>
      <c r="I617" s="69"/>
      <c r="J617" s="69"/>
      <c r="K617" s="70"/>
      <c r="L617" s="64"/>
      <c r="M617" s="64"/>
      <c r="N617" s="64"/>
      <c r="O617" s="64"/>
      <c r="P617" s="78"/>
      <c r="Q617" s="78"/>
    </row>
    <row r="618" spans="1:17" s="66" customFormat="1" ht="18.649999999999999" customHeight="1">
      <c r="A618" s="67"/>
      <c r="B618" s="74" t="s">
        <v>383</v>
      </c>
      <c r="C618" s="298">
        <f>2*G613</f>
        <v>1.66</v>
      </c>
      <c r="D618" s="68">
        <f>D613*ROUND(E613/0.4,0)</f>
        <v>22</v>
      </c>
      <c r="E618" s="69">
        <f>ROUND((F613-0.25+G613-0.25)*2+24*10/1000*3.281,2)</f>
        <v>3.11</v>
      </c>
      <c r="F618" s="69"/>
      <c r="G618" s="69"/>
      <c r="H618" s="69"/>
      <c r="I618" s="69">
        <f>D618*E618</f>
        <v>68.42</v>
      </c>
      <c r="J618" s="69"/>
      <c r="K618" s="70"/>
      <c r="L618" s="64"/>
      <c r="M618" s="64"/>
      <c r="N618" s="64"/>
      <c r="O618" s="64"/>
      <c r="P618" s="78"/>
      <c r="Q618" s="78"/>
    </row>
    <row r="619" spans="1:17" s="66" customFormat="1" ht="18.649999999999999" customHeight="1">
      <c r="A619" s="67"/>
      <c r="B619" s="300" t="str">
        <f>B279</f>
        <v>Y-Dir Bet;A&amp;B, 1&amp;2</v>
      </c>
      <c r="C619" s="299">
        <v>5</v>
      </c>
      <c r="D619" s="121">
        <f>D279</f>
        <v>1</v>
      </c>
      <c r="E619" s="122">
        <f>E279</f>
        <v>3.33</v>
      </c>
      <c r="F619" s="122">
        <f>F279</f>
        <v>0.83</v>
      </c>
      <c r="G619" s="122">
        <f>G279</f>
        <v>0.83</v>
      </c>
      <c r="H619" s="69"/>
      <c r="I619" s="69"/>
      <c r="J619" s="69"/>
      <c r="K619" s="70"/>
      <c r="L619" s="64"/>
      <c r="M619" s="64"/>
      <c r="N619" s="64"/>
      <c r="O619" s="64"/>
      <c r="P619" s="78"/>
      <c r="Q619" s="78"/>
    </row>
    <row r="620" spans="1:17" s="66" customFormat="1" ht="18.649999999999999" customHeight="1">
      <c r="A620" s="67"/>
      <c r="B620" s="74" t="s">
        <v>382</v>
      </c>
      <c r="C620" s="74"/>
      <c r="D620" s="68">
        <f>D619*3</f>
        <v>3</v>
      </c>
      <c r="E620" s="69">
        <f>C619-0.25+(G619-0.25)*2</f>
        <v>5.91</v>
      </c>
      <c r="F620" s="69"/>
      <c r="G620" s="69"/>
      <c r="H620" s="71">
        <f>E620*D620</f>
        <v>17.7</v>
      </c>
      <c r="I620" s="69"/>
      <c r="J620" s="69"/>
      <c r="K620" s="70"/>
      <c r="L620" s="64"/>
      <c r="M620" s="64"/>
      <c r="N620" s="64"/>
      <c r="O620" s="64"/>
      <c r="P620" s="65"/>
      <c r="Q620" s="65"/>
    </row>
    <row r="621" spans="1:17" s="66" customFormat="1" ht="18.649999999999999" customHeight="1">
      <c r="A621" s="67"/>
      <c r="B621" s="74" t="s">
        <v>37</v>
      </c>
      <c r="C621" s="74"/>
      <c r="D621" s="68">
        <f>ROUNDDOWN(E620/40,0)*D620</f>
        <v>0</v>
      </c>
      <c r="E621" s="69">
        <f>40*16/1000*3.281</f>
        <v>2.1</v>
      </c>
      <c r="F621" s="69"/>
      <c r="G621" s="69"/>
      <c r="H621" s="71">
        <f>E621*D621</f>
        <v>0</v>
      </c>
      <c r="I621" s="69"/>
      <c r="J621" s="69"/>
      <c r="K621" s="70"/>
      <c r="L621" s="64"/>
      <c r="M621" s="64"/>
      <c r="N621" s="64"/>
      <c r="O621" s="64"/>
      <c r="P621" s="65"/>
      <c r="Q621" s="65"/>
    </row>
    <row r="622" spans="1:17" s="66" customFormat="1" ht="18.649999999999999" customHeight="1">
      <c r="A622" s="67"/>
      <c r="B622" s="74" t="s">
        <v>108</v>
      </c>
      <c r="C622" s="74"/>
      <c r="D622" s="68">
        <f>D619*3</f>
        <v>3</v>
      </c>
      <c r="E622" s="69">
        <f>C619-0.25+18*16/1000*3.281</f>
        <v>5.69</v>
      </c>
      <c r="F622" s="69"/>
      <c r="G622" s="69"/>
      <c r="H622" s="71">
        <f>E622*D622</f>
        <v>17.100000000000001</v>
      </c>
      <c r="I622" s="69"/>
      <c r="J622" s="69"/>
      <c r="K622" s="70"/>
      <c r="L622" s="64"/>
      <c r="M622" s="64"/>
      <c r="N622" s="64"/>
      <c r="O622" s="64"/>
      <c r="P622" s="78"/>
      <c r="Q622" s="78"/>
    </row>
    <row r="623" spans="1:17" s="66" customFormat="1" ht="18.649999999999999" customHeight="1">
      <c r="A623" s="67"/>
      <c r="B623" s="74" t="s">
        <v>37</v>
      </c>
      <c r="C623" s="74"/>
      <c r="D623" s="68">
        <f>ROUNDDOWN(E622/40,0)*D622</f>
        <v>0</v>
      </c>
      <c r="E623" s="69">
        <f>40*16/1000*3.281</f>
        <v>2.1</v>
      </c>
      <c r="F623" s="69"/>
      <c r="G623" s="69"/>
      <c r="H623" s="71">
        <f>E623*D623</f>
        <v>0</v>
      </c>
      <c r="I623" s="69"/>
      <c r="J623" s="69"/>
      <c r="K623" s="70"/>
      <c r="L623" s="64"/>
      <c r="M623" s="64"/>
      <c r="N623" s="64"/>
      <c r="O623" s="64"/>
      <c r="P623" s="78"/>
      <c r="Q623" s="78"/>
    </row>
    <row r="624" spans="1:17" s="66" customFormat="1" ht="18.649999999999999" customHeight="1">
      <c r="A624" s="67"/>
      <c r="B624" s="74" t="s">
        <v>383</v>
      </c>
      <c r="C624" s="298">
        <f>2*G619</f>
        <v>1.66</v>
      </c>
      <c r="D624" s="68">
        <f>D619*ROUND(E619/0.4,0)</f>
        <v>8</v>
      </c>
      <c r="E624" s="69">
        <f>ROUND((F619-0.25+G619-0.25)*2+24*10/1000*3.281,2)</f>
        <v>3.11</v>
      </c>
      <c r="F624" s="69"/>
      <c r="G624" s="69"/>
      <c r="H624" s="69"/>
      <c r="I624" s="69">
        <f>D624*E624</f>
        <v>24.88</v>
      </c>
      <c r="J624" s="69"/>
      <c r="K624" s="70"/>
      <c r="L624" s="64"/>
      <c r="M624" s="64"/>
      <c r="N624" s="64"/>
      <c r="O624" s="64"/>
      <c r="P624" s="78"/>
      <c r="Q624" s="78"/>
    </row>
    <row r="625" spans="1:17" s="66" customFormat="1" ht="18.649999999999999" customHeight="1">
      <c r="A625" s="67"/>
      <c r="B625" s="300"/>
      <c r="C625" s="299"/>
      <c r="D625" s="121"/>
      <c r="E625" s="122"/>
      <c r="F625" s="122"/>
      <c r="G625" s="122"/>
      <c r="H625" s="69"/>
      <c r="I625" s="69"/>
      <c r="J625" s="69"/>
      <c r="K625" s="70"/>
      <c r="L625" s="64"/>
      <c r="M625" s="64"/>
      <c r="N625" s="64"/>
      <c r="O625" s="64"/>
      <c r="P625" s="78"/>
      <c r="Q625" s="78"/>
    </row>
    <row r="626" spans="1:17" s="66" customFormat="1" ht="18.649999999999999" customHeight="1">
      <c r="A626" s="67"/>
      <c r="B626" s="138" t="str">
        <f>B281</f>
        <v>RB2 (10"x12")</v>
      </c>
      <c r="C626" s="74"/>
      <c r="D626" s="68"/>
      <c r="E626" s="69"/>
      <c r="F626" s="69"/>
      <c r="G626" s="69"/>
      <c r="H626" s="69"/>
      <c r="I626" s="69"/>
      <c r="J626" s="69"/>
      <c r="K626" s="70"/>
      <c r="L626" s="64"/>
      <c r="M626" s="64"/>
      <c r="N626" s="64"/>
      <c r="O626" s="64"/>
      <c r="P626" s="78"/>
      <c r="Q626" s="78"/>
    </row>
    <row r="627" spans="1:17" s="66" customFormat="1" ht="18.649999999999999" customHeight="1">
      <c r="A627" s="67"/>
      <c r="B627" s="138" t="str">
        <f>B282</f>
        <v xml:space="preserve"> +27' 0" Lev;</v>
      </c>
      <c r="C627" s="74"/>
      <c r="D627" s="68"/>
      <c r="E627" s="69"/>
      <c r="F627" s="69"/>
      <c r="G627" s="69"/>
      <c r="H627" s="69"/>
      <c r="I627" s="69"/>
      <c r="J627" s="69"/>
      <c r="K627" s="70"/>
      <c r="L627" s="64"/>
      <c r="M627" s="64"/>
      <c r="N627" s="64"/>
      <c r="O627" s="64"/>
      <c r="P627" s="78"/>
      <c r="Q627" s="78"/>
    </row>
    <row r="628" spans="1:17" s="66" customFormat="1" ht="18.649999999999999" customHeight="1">
      <c r="A628" s="67"/>
      <c r="B628" s="299" t="str">
        <f>B283</f>
        <v>Line D, (1-2), 13' 6" L</v>
      </c>
      <c r="C628" s="299">
        <v>13.5</v>
      </c>
      <c r="D628" s="121">
        <f>D283</f>
        <v>1</v>
      </c>
      <c r="E628" s="122">
        <f>E283</f>
        <v>12.38</v>
      </c>
      <c r="F628" s="122">
        <f>F283</f>
        <v>0.83</v>
      </c>
      <c r="G628" s="122">
        <f>G283</f>
        <v>1</v>
      </c>
      <c r="H628" s="69"/>
      <c r="I628" s="69"/>
      <c r="J628" s="69"/>
      <c r="K628" s="70"/>
      <c r="L628" s="64"/>
      <c r="M628" s="64"/>
      <c r="N628" s="64"/>
      <c r="O628" s="64"/>
      <c r="P628" s="78"/>
      <c r="Q628" s="78"/>
    </row>
    <row r="629" spans="1:17" s="66" customFormat="1" ht="18.649999999999999" customHeight="1">
      <c r="A629" s="67"/>
      <c r="B629" s="74" t="s">
        <v>382</v>
      </c>
      <c r="C629" s="74"/>
      <c r="D629" s="68">
        <f>D628*3</f>
        <v>3</v>
      </c>
      <c r="E629" s="69">
        <f>C628-0.25+(G628-0.25)*2</f>
        <v>14.75</v>
      </c>
      <c r="F629" s="69"/>
      <c r="G629" s="69"/>
      <c r="H629" s="71">
        <f>E629*D629</f>
        <v>44.3</v>
      </c>
      <c r="I629" s="69"/>
      <c r="J629" s="69"/>
      <c r="K629" s="70"/>
      <c r="L629" s="64"/>
      <c r="M629" s="64"/>
      <c r="N629" s="64"/>
      <c r="O629" s="64"/>
      <c r="P629" s="65"/>
      <c r="Q629" s="65"/>
    </row>
    <row r="630" spans="1:17" s="66" customFormat="1" ht="18.649999999999999" customHeight="1">
      <c r="A630" s="67"/>
      <c r="B630" s="74" t="s">
        <v>37</v>
      </c>
      <c r="C630" s="74"/>
      <c r="D630" s="68">
        <f>ROUNDDOWN(E629/40,0)*D629</f>
        <v>0</v>
      </c>
      <c r="E630" s="69">
        <f>40*16/1000*3.281</f>
        <v>2.1</v>
      </c>
      <c r="F630" s="69"/>
      <c r="G630" s="69"/>
      <c r="H630" s="71">
        <f>E630*D630</f>
        <v>0</v>
      </c>
      <c r="I630" s="69"/>
      <c r="J630" s="69"/>
      <c r="K630" s="70"/>
      <c r="L630" s="64"/>
      <c r="M630" s="64"/>
      <c r="N630" s="64"/>
      <c r="O630" s="64"/>
      <c r="P630" s="65"/>
      <c r="Q630" s="65"/>
    </row>
    <row r="631" spans="1:17" s="66" customFormat="1" ht="18.649999999999999" customHeight="1">
      <c r="A631" s="67"/>
      <c r="B631" s="74" t="s">
        <v>108</v>
      </c>
      <c r="C631" s="74"/>
      <c r="D631" s="68">
        <f>D628*3</f>
        <v>3</v>
      </c>
      <c r="E631" s="69">
        <f>C628-0.25+18*16/1000*3.281</f>
        <v>14.19</v>
      </c>
      <c r="F631" s="69"/>
      <c r="G631" s="69"/>
      <c r="H631" s="71">
        <f>E631*D631</f>
        <v>42.6</v>
      </c>
      <c r="I631" s="69"/>
      <c r="J631" s="69"/>
      <c r="K631" s="70"/>
      <c r="L631" s="64"/>
      <c r="M631" s="64"/>
      <c r="N631" s="64"/>
      <c r="O631" s="64"/>
      <c r="P631" s="78"/>
      <c r="Q631" s="78"/>
    </row>
    <row r="632" spans="1:17" s="66" customFormat="1" ht="18.649999999999999" customHeight="1">
      <c r="A632" s="67"/>
      <c r="B632" s="74" t="s">
        <v>37</v>
      </c>
      <c r="C632" s="74"/>
      <c r="D632" s="68">
        <f>ROUNDDOWN(E631/40,0)*D631</f>
        <v>0</v>
      </c>
      <c r="E632" s="69">
        <f>40*16/1000*3.281</f>
        <v>2.1</v>
      </c>
      <c r="F632" s="69"/>
      <c r="G632" s="69"/>
      <c r="H632" s="71">
        <f>E632*D632</f>
        <v>0</v>
      </c>
      <c r="I632" s="69"/>
      <c r="J632" s="69"/>
      <c r="K632" s="70"/>
      <c r="L632" s="64"/>
      <c r="M632" s="64"/>
      <c r="N632" s="64"/>
      <c r="O632" s="64"/>
      <c r="P632" s="78"/>
      <c r="Q632" s="78"/>
    </row>
    <row r="633" spans="1:17" s="66" customFormat="1" ht="18.649999999999999" customHeight="1">
      <c r="A633" s="67"/>
      <c r="B633" s="74" t="s">
        <v>383</v>
      </c>
      <c r="C633" s="298">
        <f>2*G628</f>
        <v>2</v>
      </c>
      <c r="D633" s="68">
        <f>D628*ROUND(E628/0.4,0)</f>
        <v>31</v>
      </c>
      <c r="E633" s="69">
        <f>ROUND((F628-0.25+G628-0.25)*2+24*10/1000*3.281,2)</f>
        <v>3.45</v>
      </c>
      <c r="F633" s="69"/>
      <c r="G633" s="69"/>
      <c r="H633" s="69"/>
      <c r="I633" s="69">
        <f>D633*E633</f>
        <v>106.95</v>
      </c>
      <c r="J633" s="69"/>
      <c r="K633" s="70"/>
      <c r="L633" s="64"/>
      <c r="M633" s="64"/>
      <c r="N633" s="64"/>
      <c r="O633" s="64"/>
      <c r="P633" s="78"/>
      <c r="Q633" s="78"/>
    </row>
    <row r="634" spans="1:17" s="66" customFormat="1" ht="18.649999999999999" customHeight="1">
      <c r="A634" s="67"/>
      <c r="B634" s="138" t="str">
        <f>B284</f>
        <v xml:space="preserve"> +28' 0" Lev;</v>
      </c>
      <c r="C634" s="299"/>
      <c r="D634" s="121"/>
      <c r="E634" s="122"/>
      <c r="F634" s="122"/>
      <c r="G634" s="122"/>
      <c r="H634" s="69"/>
      <c r="I634" s="69"/>
      <c r="J634" s="69"/>
      <c r="K634" s="70"/>
      <c r="L634" s="64"/>
      <c r="M634" s="64"/>
      <c r="N634" s="64"/>
      <c r="O634" s="64"/>
      <c r="P634" s="78"/>
      <c r="Q634" s="78"/>
    </row>
    <row r="635" spans="1:17" s="66" customFormat="1" ht="18.649999999999999" customHeight="1">
      <c r="A635" s="67"/>
      <c r="B635" s="299" t="str">
        <f>B285</f>
        <v>Line C,D (1-2), 13' 6" L</v>
      </c>
      <c r="C635" s="299">
        <v>13.5</v>
      </c>
      <c r="D635" s="121">
        <f>D285</f>
        <v>2</v>
      </c>
      <c r="E635" s="122">
        <f>E285</f>
        <v>12.17</v>
      </c>
      <c r="F635" s="122">
        <f>F285</f>
        <v>0.83</v>
      </c>
      <c r="G635" s="122">
        <f>G285</f>
        <v>1</v>
      </c>
      <c r="H635" s="69"/>
      <c r="I635" s="69"/>
      <c r="J635" s="69"/>
      <c r="K635" s="70"/>
      <c r="L635" s="64"/>
      <c r="M635" s="64"/>
      <c r="N635" s="64"/>
      <c r="O635" s="64"/>
      <c r="P635" s="78"/>
      <c r="Q635" s="78"/>
    </row>
    <row r="636" spans="1:17" s="66" customFormat="1" ht="18.649999999999999" customHeight="1">
      <c r="A636" s="67"/>
      <c r="B636" s="74" t="s">
        <v>382</v>
      </c>
      <c r="C636" s="74"/>
      <c r="D636" s="68">
        <f>D635*3</f>
        <v>6</v>
      </c>
      <c r="E636" s="69">
        <f>C635-0.25+(G635-0.25)*2</f>
        <v>14.75</v>
      </c>
      <c r="F636" s="69"/>
      <c r="G636" s="69"/>
      <c r="H636" s="71">
        <f>E636*D636</f>
        <v>88.5</v>
      </c>
      <c r="I636" s="69"/>
      <c r="J636" s="69"/>
      <c r="K636" s="70"/>
      <c r="L636" s="64"/>
      <c r="M636" s="64"/>
      <c r="N636" s="64"/>
      <c r="O636" s="64"/>
      <c r="P636" s="65"/>
      <c r="Q636" s="65"/>
    </row>
    <row r="637" spans="1:17" s="66" customFormat="1" ht="18.649999999999999" customHeight="1">
      <c r="A637" s="67"/>
      <c r="B637" s="74" t="s">
        <v>37</v>
      </c>
      <c r="C637" s="74"/>
      <c r="D637" s="68">
        <f>ROUNDDOWN(E636/40,0)*D636</f>
        <v>0</v>
      </c>
      <c r="E637" s="69">
        <f>40*16/1000*3.281</f>
        <v>2.1</v>
      </c>
      <c r="F637" s="69"/>
      <c r="G637" s="69"/>
      <c r="H637" s="71">
        <f>E637*D637</f>
        <v>0</v>
      </c>
      <c r="I637" s="69"/>
      <c r="J637" s="69"/>
      <c r="K637" s="70"/>
      <c r="L637" s="64"/>
      <c r="M637" s="64"/>
      <c r="N637" s="64"/>
      <c r="O637" s="64"/>
      <c r="P637" s="65"/>
      <c r="Q637" s="65"/>
    </row>
    <row r="638" spans="1:17" s="66" customFormat="1" ht="18.649999999999999" customHeight="1">
      <c r="A638" s="67"/>
      <c r="B638" s="74" t="s">
        <v>108</v>
      </c>
      <c r="C638" s="74"/>
      <c r="D638" s="68">
        <f>D635*3</f>
        <v>6</v>
      </c>
      <c r="E638" s="69">
        <f>C635-0.25+18*16/1000*3.281</f>
        <v>14.19</v>
      </c>
      <c r="F638" s="69"/>
      <c r="G638" s="69"/>
      <c r="H638" s="71">
        <f>E638*D638</f>
        <v>85.1</v>
      </c>
      <c r="I638" s="69"/>
      <c r="J638" s="69"/>
      <c r="K638" s="70"/>
      <c r="L638" s="64"/>
      <c r="M638" s="64"/>
      <c r="N638" s="64"/>
      <c r="O638" s="64"/>
      <c r="P638" s="78"/>
      <c r="Q638" s="78"/>
    </row>
    <row r="639" spans="1:17" s="66" customFormat="1" ht="18.649999999999999" customHeight="1">
      <c r="A639" s="67"/>
      <c r="B639" s="74" t="s">
        <v>37</v>
      </c>
      <c r="C639" s="74"/>
      <c r="D639" s="68">
        <f>ROUNDDOWN(E638/40,0)*D638</f>
        <v>0</v>
      </c>
      <c r="E639" s="69">
        <f>40*16/1000*3.281</f>
        <v>2.1</v>
      </c>
      <c r="F639" s="69"/>
      <c r="G639" s="69"/>
      <c r="H639" s="71">
        <f>E639*D639</f>
        <v>0</v>
      </c>
      <c r="I639" s="69"/>
      <c r="J639" s="69"/>
      <c r="K639" s="70"/>
      <c r="L639" s="64"/>
      <c r="M639" s="64"/>
      <c r="N639" s="64"/>
      <c r="O639" s="64"/>
      <c r="P639" s="78"/>
      <c r="Q639" s="78"/>
    </row>
    <row r="640" spans="1:17" s="66" customFormat="1" ht="18.649999999999999" customHeight="1">
      <c r="A640" s="67"/>
      <c r="B640" s="74" t="s">
        <v>383</v>
      </c>
      <c r="C640" s="298">
        <f>2*G635</f>
        <v>2</v>
      </c>
      <c r="D640" s="68">
        <f>D635*ROUND(E635/0.4,0)</f>
        <v>60</v>
      </c>
      <c r="E640" s="69">
        <f>ROUND((F635-0.25+G635-0.25)*2+24*10/1000*3.281,2)</f>
        <v>3.45</v>
      </c>
      <c r="F640" s="69"/>
      <c r="G640" s="69"/>
      <c r="H640" s="69"/>
      <c r="I640" s="69">
        <f>D640*E640</f>
        <v>207</v>
      </c>
      <c r="J640" s="69"/>
      <c r="K640" s="70"/>
      <c r="L640" s="64"/>
      <c r="M640" s="64"/>
      <c r="N640" s="64"/>
      <c r="O640" s="64"/>
      <c r="P640" s="78"/>
      <c r="Q640" s="78"/>
    </row>
    <row r="641" spans="1:17" s="66" customFormat="1" ht="18.649999999999999" customHeight="1">
      <c r="A641" s="67"/>
      <c r="B641" s="299" t="str">
        <f>B286</f>
        <v>Line A,A',A'',B (1-2), 13' 6" L</v>
      </c>
      <c r="C641" s="299">
        <v>13.5</v>
      </c>
      <c r="D641" s="121">
        <f>D286</f>
        <v>4</v>
      </c>
      <c r="E641" s="122">
        <f>E286</f>
        <v>12.17</v>
      </c>
      <c r="F641" s="122">
        <f>F286</f>
        <v>0.83</v>
      </c>
      <c r="G641" s="122">
        <f>G286</f>
        <v>1</v>
      </c>
      <c r="H641" s="69"/>
      <c r="I641" s="69"/>
      <c r="J641" s="69"/>
      <c r="K641" s="70"/>
      <c r="L641" s="64"/>
      <c r="M641" s="64"/>
      <c r="N641" s="64"/>
      <c r="O641" s="64"/>
      <c r="P641" s="78"/>
      <c r="Q641" s="78"/>
    </row>
    <row r="642" spans="1:17" s="66" customFormat="1" ht="18.649999999999999" customHeight="1">
      <c r="A642" s="67"/>
      <c r="B642" s="74" t="s">
        <v>382</v>
      </c>
      <c r="C642" s="74"/>
      <c r="D642" s="68">
        <f>D641*3</f>
        <v>12</v>
      </c>
      <c r="E642" s="69">
        <f>C641-0.25+(G641-0.25)*2</f>
        <v>14.75</v>
      </c>
      <c r="F642" s="69"/>
      <c r="G642" s="69"/>
      <c r="H642" s="71">
        <f>E642*D642</f>
        <v>177</v>
      </c>
      <c r="I642" s="69"/>
      <c r="J642" s="69"/>
      <c r="K642" s="70"/>
      <c r="L642" s="64"/>
      <c r="M642" s="64"/>
      <c r="N642" s="64"/>
      <c r="O642" s="64"/>
      <c r="P642" s="65"/>
      <c r="Q642" s="65"/>
    </row>
    <row r="643" spans="1:17" s="66" customFormat="1" ht="18.649999999999999" customHeight="1">
      <c r="A643" s="67"/>
      <c r="B643" s="74" t="s">
        <v>37</v>
      </c>
      <c r="C643" s="74"/>
      <c r="D643" s="68">
        <f>ROUNDDOWN(E642/40,0)*D642</f>
        <v>0</v>
      </c>
      <c r="E643" s="69">
        <f>40*16/1000*3.281</f>
        <v>2.1</v>
      </c>
      <c r="F643" s="69"/>
      <c r="G643" s="69"/>
      <c r="H643" s="71">
        <f>E643*D643</f>
        <v>0</v>
      </c>
      <c r="I643" s="69"/>
      <c r="J643" s="69"/>
      <c r="K643" s="70"/>
      <c r="L643" s="64"/>
      <c r="M643" s="64"/>
      <c r="N643" s="64"/>
      <c r="O643" s="64"/>
      <c r="P643" s="65"/>
      <c r="Q643" s="65"/>
    </row>
    <row r="644" spans="1:17" s="66" customFormat="1" ht="18.649999999999999" customHeight="1">
      <c r="A644" s="67"/>
      <c r="B644" s="74" t="s">
        <v>108</v>
      </c>
      <c r="C644" s="74"/>
      <c r="D644" s="68">
        <f>D641*3</f>
        <v>12</v>
      </c>
      <c r="E644" s="69">
        <f>C641-0.25+18*16/1000*3.281</f>
        <v>14.19</v>
      </c>
      <c r="F644" s="69"/>
      <c r="G644" s="69"/>
      <c r="H644" s="71">
        <f>E644*D644</f>
        <v>170.3</v>
      </c>
      <c r="I644" s="69"/>
      <c r="J644" s="69"/>
      <c r="K644" s="70"/>
      <c r="L644" s="64"/>
      <c r="M644" s="64"/>
      <c r="N644" s="64"/>
      <c r="O644" s="64"/>
      <c r="P644" s="78"/>
      <c r="Q644" s="78"/>
    </row>
    <row r="645" spans="1:17" s="66" customFormat="1" ht="18.649999999999999" customHeight="1">
      <c r="A645" s="67"/>
      <c r="B645" s="74" t="s">
        <v>37</v>
      </c>
      <c r="C645" s="74"/>
      <c r="D645" s="68">
        <f>ROUNDDOWN(E644/40,0)*D644</f>
        <v>0</v>
      </c>
      <c r="E645" s="69">
        <f>40*16/1000*3.281</f>
        <v>2.1</v>
      </c>
      <c r="F645" s="69"/>
      <c r="G645" s="69"/>
      <c r="H645" s="71">
        <f>E645*D645</f>
        <v>0</v>
      </c>
      <c r="I645" s="69"/>
      <c r="J645" s="69"/>
      <c r="K645" s="70"/>
      <c r="L645" s="64"/>
      <c r="M645" s="64"/>
      <c r="N645" s="64"/>
      <c r="O645" s="64"/>
      <c r="P645" s="78"/>
      <c r="Q645" s="78"/>
    </row>
    <row r="646" spans="1:17" s="66" customFormat="1" ht="18.649999999999999" customHeight="1">
      <c r="A646" s="67"/>
      <c r="B646" s="74" t="s">
        <v>383</v>
      </c>
      <c r="C646" s="298">
        <f>2*G641</f>
        <v>2</v>
      </c>
      <c r="D646" s="68">
        <f>D641*ROUND(E641/0.4,0)</f>
        <v>120</v>
      </c>
      <c r="E646" s="69">
        <f>ROUND((F641-0.25+G641-0.25)*2+24*10/1000*3.281,2)</f>
        <v>3.45</v>
      </c>
      <c r="F646" s="69"/>
      <c r="G646" s="69"/>
      <c r="H646" s="69"/>
      <c r="I646" s="69">
        <f>D646*E646</f>
        <v>414</v>
      </c>
      <c r="J646" s="69"/>
      <c r="K646" s="70"/>
      <c r="L646" s="64"/>
      <c r="M646" s="64"/>
      <c r="N646" s="64"/>
      <c r="O646" s="64"/>
      <c r="P646" s="78"/>
      <c r="Q646" s="78"/>
    </row>
    <row r="647" spans="1:17" s="66" customFormat="1" ht="18.649999999999999" customHeight="1">
      <c r="A647" s="67"/>
      <c r="B647" s="300" t="str">
        <f>B288</f>
        <v>RB3 (10"x14")</v>
      </c>
      <c r="C647" s="299"/>
      <c r="D647" s="121"/>
      <c r="E647" s="122"/>
      <c r="F647" s="122"/>
      <c r="G647" s="122"/>
      <c r="H647" s="69"/>
      <c r="I647" s="69"/>
      <c r="J647" s="69"/>
      <c r="K647" s="70"/>
      <c r="L647" s="64"/>
      <c r="M647" s="64"/>
      <c r="N647" s="64"/>
      <c r="O647" s="64"/>
      <c r="P647" s="78"/>
      <c r="Q647" s="78"/>
    </row>
    <row r="648" spans="1:17" s="66" customFormat="1" ht="18.649999999999999" customHeight="1">
      <c r="A648" s="67"/>
      <c r="B648" s="299" t="str">
        <f>B289</f>
        <v>Line 1,2,3 (A-B), 16' L</v>
      </c>
      <c r="C648" s="299"/>
      <c r="D648" s="121">
        <f>D289</f>
        <v>3</v>
      </c>
      <c r="E648" s="122">
        <f>E289</f>
        <v>14.67</v>
      </c>
      <c r="F648" s="122">
        <f>F289</f>
        <v>0.83</v>
      </c>
      <c r="G648" s="122">
        <f>G289</f>
        <v>1.17</v>
      </c>
      <c r="H648" s="69"/>
      <c r="I648" s="69"/>
      <c r="J648" s="69"/>
      <c r="K648" s="70"/>
      <c r="L648" s="64"/>
      <c r="M648" s="64"/>
      <c r="N648" s="64"/>
      <c r="O648" s="64"/>
      <c r="P648" s="78"/>
      <c r="Q648" s="78"/>
    </row>
    <row r="649" spans="1:17" s="66" customFormat="1" ht="18.649999999999999" customHeight="1">
      <c r="A649" s="67"/>
      <c r="B649" s="74" t="s">
        <v>382</v>
      </c>
      <c r="C649" s="74"/>
      <c r="D649" s="68">
        <f>D648*3</f>
        <v>9</v>
      </c>
      <c r="E649" s="69">
        <f>C648-0.25+(G648-0.25)*2</f>
        <v>1.59</v>
      </c>
      <c r="F649" s="69"/>
      <c r="G649" s="69"/>
      <c r="H649" s="71">
        <f>E649*D649</f>
        <v>14.3</v>
      </c>
      <c r="I649" s="69"/>
      <c r="J649" s="69"/>
      <c r="K649" s="70"/>
      <c r="L649" s="64"/>
      <c r="M649" s="64"/>
      <c r="N649" s="64"/>
      <c r="O649" s="64"/>
      <c r="P649" s="65"/>
      <c r="Q649" s="65"/>
    </row>
    <row r="650" spans="1:17" s="66" customFormat="1" ht="18.649999999999999" customHeight="1">
      <c r="A650" s="67"/>
      <c r="B650" s="74" t="s">
        <v>37</v>
      </c>
      <c r="C650" s="74"/>
      <c r="D650" s="68">
        <f>ROUNDDOWN(E649/40,0)*D649</f>
        <v>0</v>
      </c>
      <c r="E650" s="69">
        <f>40*16/1000*3.281</f>
        <v>2.1</v>
      </c>
      <c r="F650" s="69"/>
      <c r="G650" s="69"/>
      <c r="H650" s="71">
        <f>E650*D650</f>
        <v>0</v>
      </c>
      <c r="I650" s="69"/>
      <c r="J650" s="69"/>
      <c r="K650" s="70"/>
      <c r="L650" s="64"/>
      <c r="M650" s="64"/>
      <c r="N650" s="64"/>
      <c r="O650" s="64"/>
      <c r="P650" s="65"/>
      <c r="Q650" s="65"/>
    </row>
    <row r="651" spans="1:17" s="66" customFormat="1" ht="18.649999999999999" customHeight="1">
      <c r="A651" s="67"/>
      <c r="B651" s="74" t="s">
        <v>108</v>
      </c>
      <c r="C651" s="74"/>
      <c r="D651" s="68">
        <f>D648*3</f>
        <v>9</v>
      </c>
      <c r="E651" s="69">
        <f>C648-0.25+18*16/1000*3.281</f>
        <v>0.69</v>
      </c>
      <c r="F651" s="69"/>
      <c r="G651" s="69"/>
      <c r="H651" s="71">
        <f>E651*D651</f>
        <v>6.2</v>
      </c>
      <c r="I651" s="69"/>
      <c r="J651" s="69"/>
      <c r="K651" s="70"/>
      <c r="L651" s="64"/>
      <c r="M651" s="64"/>
      <c r="N651" s="64"/>
      <c r="O651" s="64"/>
      <c r="P651" s="78"/>
      <c r="Q651" s="78"/>
    </row>
    <row r="652" spans="1:17" s="66" customFormat="1" ht="18.649999999999999" customHeight="1">
      <c r="A652" s="67"/>
      <c r="B652" s="74" t="s">
        <v>37</v>
      </c>
      <c r="C652" s="74"/>
      <c r="D652" s="68">
        <f>ROUNDDOWN(E651/40,0)*D651</f>
        <v>0</v>
      </c>
      <c r="E652" s="69">
        <f>40*16/1000*3.281</f>
        <v>2.1</v>
      </c>
      <c r="F652" s="69"/>
      <c r="G652" s="69"/>
      <c r="H652" s="71">
        <f>E652*D652</f>
        <v>0</v>
      </c>
      <c r="I652" s="69"/>
      <c r="J652" s="69"/>
      <c r="K652" s="70"/>
      <c r="L652" s="64"/>
      <c r="M652" s="64"/>
      <c r="N652" s="64"/>
      <c r="O652" s="64"/>
      <c r="P652" s="78"/>
      <c r="Q652" s="78"/>
    </row>
    <row r="653" spans="1:17" s="66" customFormat="1" ht="18.649999999999999" customHeight="1">
      <c r="A653" s="67"/>
      <c r="B653" s="74" t="s">
        <v>383</v>
      </c>
      <c r="C653" s="298">
        <f>2*G648</f>
        <v>2.34</v>
      </c>
      <c r="D653" s="68">
        <f>D648*ROUND(E648/0.4,0)</f>
        <v>111</v>
      </c>
      <c r="E653" s="69">
        <f>ROUND((F648-0.25+G648-0.25)*2+24*10/1000*3.281,2)</f>
        <v>3.79</v>
      </c>
      <c r="F653" s="69"/>
      <c r="G653" s="69"/>
      <c r="H653" s="69"/>
      <c r="I653" s="69">
        <f>D653*E653</f>
        <v>420.69</v>
      </c>
      <c r="J653" s="69"/>
      <c r="K653" s="70"/>
      <c r="L653" s="64"/>
      <c r="M653" s="64"/>
      <c r="N653" s="64"/>
      <c r="O653" s="64"/>
      <c r="P653" s="78"/>
      <c r="Q653" s="78"/>
    </row>
    <row r="654" spans="1:17" s="66" customFormat="1" ht="18.649999999999999" customHeight="1">
      <c r="A654" s="67"/>
      <c r="B654" s="74"/>
      <c r="C654" s="298"/>
      <c r="D654" s="68"/>
      <c r="E654" s="69"/>
      <c r="F654" s="69"/>
      <c r="G654" s="69"/>
      <c r="H654" s="69"/>
      <c r="I654" s="69"/>
      <c r="J654" s="69"/>
      <c r="K654" s="70"/>
      <c r="L654" s="64"/>
      <c r="M654" s="64"/>
      <c r="N654" s="64"/>
      <c r="O654" s="64"/>
      <c r="P654" s="78"/>
      <c r="Q654" s="78"/>
    </row>
    <row r="655" spans="1:17" s="66" customFormat="1" ht="18.649999999999999" customHeight="1">
      <c r="A655" s="67"/>
      <c r="B655" s="74"/>
      <c r="C655" s="74"/>
      <c r="D655" s="68"/>
      <c r="E655" s="69"/>
      <c r="F655" s="69"/>
      <c r="G655" s="348" t="s">
        <v>82</v>
      </c>
      <c r="H655" s="139">
        <f>SUM(H574:H654)</f>
        <v>1640.8</v>
      </c>
      <c r="I655" s="139">
        <f>SUM(I574:I654)</f>
        <v>2227.8000000000002</v>
      </c>
      <c r="J655" s="139">
        <f>SUM(J574:J654)</f>
        <v>0</v>
      </c>
      <c r="K655" s="75"/>
      <c r="L655" s="64"/>
      <c r="M655" s="64"/>
      <c r="N655" s="64"/>
      <c r="O655" s="64"/>
      <c r="P655" s="65"/>
      <c r="Q655" s="65"/>
    </row>
    <row r="656" spans="1:17" s="66" customFormat="1" ht="18.649999999999999" customHeight="1">
      <c r="A656" s="67"/>
      <c r="B656" s="74"/>
      <c r="C656" s="74"/>
      <c r="D656" s="68"/>
      <c r="E656" s="69"/>
      <c r="F656" s="69"/>
      <c r="G656" s="349" t="s">
        <v>81</v>
      </c>
      <c r="H656" s="122" t="str">
        <f>H333</f>
        <v>16mm Ø</v>
      </c>
      <c r="I656" s="122" t="str">
        <f>I333</f>
        <v>10mm Ø</v>
      </c>
      <c r="J656" s="122" t="str">
        <f>J333</f>
        <v>12mm Ø</v>
      </c>
      <c r="K656" s="70"/>
      <c r="L656" s="64"/>
      <c r="M656" s="64"/>
      <c r="N656" s="64"/>
      <c r="O656" s="64"/>
      <c r="P656" s="65"/>
      <c r="Q656" s="65"/>
    </row>
    <row r="657" spans="1:18" s="66" customFormat="1" ht="18.649999999999999" customHeight="1">
      <c r="A657" s="67"/>
      <c r="B657" s="74"/>
      <c r="C657" s="74"/>
      <c r="D657" s="68"/>
      <c r="E657" s="69"/>
      <c r="F657" s="69"/>
      <c r="G657" s="123" t="s">
        <v>14</v>
      </c>
      <c r="H657" s="122">
        <f>H655/39.5/53</f>
        <v>0.78</v>
      </c>
      <c r="I657" s="122">
        <f>I655/39.33/135</f>
        <v>0.42</v>
      </c>
      <c r="J657" s="122">
        <f>J655/39.33/88</f>
        <v>0</v>
      </c>
      <c r="K657" s="75"/>
      <c r="L657" s="64"/>
      <c r="M657" s="64"/>
      <c r="N657" s="64"/>
      <c r="O657" s="64"/>
      <c r="P657" s="65"/>
      <c r="Q657" s="65"/>
    </row>
    <row r="658" spans="1:18" s="66" customFormat="1" ht="18.649999999999999" customHeight="1">
      <c r="A658" s="67"/>
      <c r="B658" s="67"/>
      <c r="C658" s="67"/>
      <c r="D658" s="68"/>
      <c r="E658" s="69"/>
      <c r="F658" s="69"/>
      <c r="G658" s="69"/>
      <c r="H658" s="69"/>
      <c r="I658" s="69"/>
      <c r="J658" s="69">
        <f>H657+I657+J657</f>
        <v>1.2</v>
      </c>
      <c r="K658" s="70" t="s">
        <v>14</v>
      </c>
      <c r="L658" s="64"/>
      <c r="M658" s="64"/>
      <c r="N658" s="64"/>
      <c r="O658" s="64"/>
      <c r="P658" s="65"/>
      <c r="Q658" s="65"/>
    </row>
    <row r="659" spans="1:18" s="32" customFormat="1" ht="17.5" customHeight="1">
      <c r="A659" s="91"/>
      <c r="B659" s="58"/>
      <c r="C659" s="58"/>
      <c r="D659" s="59"/>
      <c r="E659" s="60"/>
      <c r="F659" s="60"/>
      <c r="G659" s="60"/>
      <c r="H659" s="60"/>
      <c r="I659" s="60"/>
      <c r="J659" s="60"/>
      <c r="K659" s="70"/>
      <c r="L659" s="92"/>
      <c r="M659" s="92"/>
      <c r="N659" s="92"/>
      <c r="O659" s="92"/>
      <c r="P659" s="92"/>
      <c r="Q659" s="92"/>
      <c r="R659" s="93"/>
    </row>
    <row r="660" spans="1:18" s="32" customFormat="1" ht="17.5" customHeight="1">
      <c r="A660" s="91">
        <v>10</v>
      </c>
      <c r="B660" s="94" t="s">
        <v>109</v>
      </c>
      <c r="C660" s="94"/>
      <c r="D660" s="59"/>
      <c r="E660" s="60"/>
      <c r="F660" s="60"/>
      <c r="G660" s="60"/>
      <c r="H660" s="60"/>
      <c r="I660" s="60"/>
      <c r="J660" s="60"/>
      <c r="K660" s="70"/>
      <c r="L660" s="92"/>
      <c r="M660" s="92"/>
      <c r="N660" s="92"/>
      <c r="O660" s="92"/>
      <c r="P660" s="92"/>
      <c r="Q660" s="92"/>
      <c r="R660" s="93"/>
    </row>
    <row r="661" spans="1:18" s="32" customFormat="1" ht="17.5" customHeight="1">
      <c r="A661" s="91"/>
      <c r="B661" s="94" t="s">
        <v>110</v>
      </c>
      <c r="C661" s="94"/>
      <c r="D661" s="59"/>
      <c r="E661" s="60"/>
      <c r="F661" s="60"/>
      <c r="G661" s="60"/>
      <c r="H661" s="60"/>
      <c r="I661" s="60"/>
      <c r="J661" s="60"/>
      <c r="K661" s="70"/>
      <c r="L661" s="92"/>
      <c r="M661" s="92"/>
      <c r="N661" s="92"/>
      <c r="O661" s="92"/>
      <c r="P661" s="92"/>
      <c r="Q661" s="92"/>
      <c r="R661" s="93"/>
    </row>
    <row r="662" spans="1:18" s="32" customFormat="1" ht="17.5" customHeight="1">
      <c r="A662" s="91"/>
      <c r="B662" s="94" t="s">
        <v>514</v>
      </c>
      <c r="C662" s="94"/>
      <c r="D662" s="59"/>
      <c r="E662" s="60"/>
      <c r="F662" s="60"/>
      <c r="G662" s="60"/>
      <c r="H662" s="60"/>
      <c r="I662" s="60"/>
      <c r="J662" s="60"/>
      <c r="K662" s="70"/>
      <c r="L662" s="92"/>
      <c r="M662" s="92"/>
      <c r="N662" s="92"/>
      <c r="O662" s="92"/>
      <c r="P662" s="92"/>
      <c r="Q662" s="92"/>
      <c r="R662" s="93"/>
    </row>
    <row r="663" spans="1:18" s="32" customFormat="1" ht="17.5" customHeight="1">
      <c r="A663" s="91"/>
      <c r="B663" s="58" t="s">
        <v>504</v>
      </c>
      <c r="C663" s="58"/>
      <c r="D663" s="59">
        <v>1</v>
      </c>
      <c r="E663" s="60">
        <f>13.5+11.5</f>
        <v>25</v>
      </c>
      <c r="F663" s="60">
        <f>10+9+16</f>
        <v>35</v>
      </c>
      <c r="G663" s="60">
        <f>4/12</f>
        <v>0.33</v>
      </c>
      <c r="H663" s="60"/>
      <c r="I663" s="60">
        <f>D663*E663*F663*G663</f>
        <v>288.75</v>
      </c>
      <c r="J663" s="60"/>
      <c r="K663" s="70" t="s">
        <v>27</v>
      </c>
      <c r="L663" s="92"/>
      <c r="M663" s="92"/>
      <c r="N663" s="92"/>
      <c r="O663" s="92"/>
      <c r="P663" s="92"/>
      <c r="Q663" s="92"/>
      <c r="R663" s="93"/>
    </row>
    <row r="664" spans="1:18" s="32" customFormat="1" ht="17.5" customHeight="1">
      <c r="A664" s="91"/>
      <c r="B664" s="58" t="s">
        <v>505</v>
      </c>
      <c r="C664" s="58"/>
      <c r="D664" s="59">
        <v>1</v>
      </c>
      <c r="E664" s="60">
        <v>13</v>
      </c>
      <c r="F664" s="60">
        <v>3.5</v>
      </c>
      <c r="G664" s="60">
        <v>0.33</v>
      </c>
      <c r="H664" s="60"/>
      <c r="I664" s="60">
        <f>D664*E664*F664*G664</f>
        <v>15.02</v>
      </c>
      <c r="J664" s="60"/>
      <c r="K664" s="70" t="s">
        <v>27</v>
      </c>
      <c r="L664" s="92"/>
      <c r="M664" s="92"/>
      <c r="N664" s="92"/>
      <c r="O664" s="92"/>
      <c r="P664" s="92"/>
      <c r="Q664" s="92"/>
      <c r="R664" s="93"/>
    </row>
    <row r="665" spans="1:18" s="32" customFormat="1" ht="17.5" customHeight="1">
      <c r="A665" s="91"/>
      <c r="B665" s="58" t="s">
        <v>506</v>
      </c>
      <c r="C665" s="58"/>
      <c r="D665" s="59">
        <v>1</v>
      </c>
      <c r="E665" s="60">
        <v>4</v>
      </c>
      <c r="F665" s="60">
        <v>16.5</v>
      </c>
      <c r="G665" s="60">
        <v>0.33</v>
      </c>
      <c r="H665" s="60"/>
      <c r="I665" s="60">
        <f>D665*E665*F665*G665</f>
        <v>21.78</v>
      </c>
      <c r="J665" s="60"/>
      <c r="K665" s="70" t="s">
        <v>27</v>
      </c>
      <c r="L665" s="92"/>
      <c r="M665" s="92"/>
      <c r="N665" s="92"/>
      <c r="O665" s="92"/>
      <c r="P665" s="92"/>
      <c r="Q665" s="92"/>
      <c r="R665" s="93"/>
    </row>
    <row r="666" spans="1:18" s="32" customFormat="1" ht="17.5" customHeight="1">
      <c r="A666" s="91"/>
      <c r="B666" s="58" t="s">
        <v>509</v>
      </c>
      <c r="C666" s="58"/>
      <c r="D666" s="59">
        <v>2</v>
      </c>
      <c r="E666" s="60">
        <v>4.5</v>
      </c>
      <c r="F666" s="60">
        <v>0.67</v>
      </c>
      <c r="G666" s="60">
        <v>0.33</v>
      </c>
      <c r="H666" s="60"/>
      <c r="I666" s="60">
        <f>D666*E666*F666*G666</f>
        <v>1.99</v>
      </c>
      <c r="J666" s="60"/>
      <c r="K666" s="70" t="s">
        <v>27</v>
      </c>
      <c r="L666" s="92"/>
      <c r="M666" s="92"/>
      <c r="N666" s="92"/>
      <c r="O666" s="92"/>
      <c r="P666" s="92"/>
      <c r="Q666" s="92"/>
      <c r="R666" s="93"/>
    </row>
    <row r="667" spans="1:18" s="32" customFormat="1" ht="17.5" customHeight="1">
      <c r="A667" s="91"/>
      <c r="B667" s="91" t="s">
        <v>25</v>
      </c>
      <c r="C667" s="58"/>
      <c r="D667" s="59"/>
      <c r="E667" s="60"/>
      <c r="F667" s="60"/>
      <c r="G667" s="60"/>
      <c r="H667" s="60"/>
      <c r="I667" s="60"/>
      <c r="J667" s="60"/>
      <c r="K667" s="70"/>
      <c r="L667" s="92"/>
      <c r="M667" s="92"/>
      <c r="N667" s="92"/>
      <c r="O667" s="92"/>
      <c r="P667" s="92"/>
      <c r="Q667" s="92"/>
      <c r="R667" s="93"/>
    </row>
    <row r="668" spans="1:18" s="32" customFormat="1" ht="17.5" customHeight="1">
      <c r="A668" s="91"/>
      <c r="B668" s="74" t="s">
        <v>507</v>
      </c>
      <c r="C668" s="58"/>
      <c r="D668" s="59">
        <v>1</v>
      </c>
      <c r="E668" s="60">
        <f>E242-D240*E240-D241*E241</f>
        <v>77.69</v>
      </c>
      <c r="F668" s="60">
        <v>0.83</v>
      </c>
      <c r="G668" s="60">
        <f>G663</f>
        <v>0.33</v>
      </c>
      <c r="H668" s="60">
        <f t="shared" ref="H668:H674" si="10">D668*E668*F668*G668</f>
        <v>21.28</v>
      </c>
      <c r="I668" s="60"/>
      <c r="J668" s="60"/>
      <c r="K668" s="70" t="s">
        <v>27</v>
      </c>
      <c r="L668" s="92"/>
      <c r="M668" s="92"/>
      <c r="N668" s="92"/>
      <c r="O668" s="92"/>
      <c r="P668" s="92"/>
      <c r="Q668" s="92"/>
      <c r="R668" s="93"/>
    </row>
    <row r="669" spans="1:18" s="32" customFormat="1" ht="17.5" customHeight="1">
      <c r="A669" s="91"/>
      <c r="B669" s="58" t="str">
        <f>B247</f>
        <v>Total Length of FB2 (10" x 12")</v>
      </c>
      <c r="C669" s="58"/>
      <c r="D669" s="59">
        <v>1</v>
      </c>
      <c r="E669" s="60">
        <f>E247</f>
        <v>76.84</v>
      </c>
      <c r="F669" s="60">
        <v>0.83</v>
      </c>
      <c r="G669" s="60">
        <f>G668</f>
        <v>0.33</v>
      </c>
      <c r="H669" s="60">
        <f t="shared" si="10"/>
        <v>21.05</v>
      </c>
      <c r="I669" s="60"/>
      <c r="J669" s="60"/>
      <c r="K669" s="70" t="s">
        <v>27</v>
      </c>
      <c r="L669" s="92"/>
      <c r="M669" s="92"/>
      <c r="N669" s="92"/>
      <c r="O669" s="92"/>
      <c r="P669" s="92"/>
      <c r="Q669" s="92"/>
      <c r="R669" s="93"/>
    </row>
    <row r="670" spans="1:18" s="32" customFormat="1" ht="17.5" customHeight="1">
      <c r="A670" s="91"/>
      <c r="B670" s="58" t="str">
        <f>B255</f>
        <v>Total Length of FB3 (10" x 14")</v>
      </c>
      <c r="C670" s="58"/>
      <c r="D670" s="59">
        <v>1</v>
      </c>
      <c r="E670" s="60">
        <f>E255</f>
        <v>69.5</v>
      </c>
      <c r="F670" s="60">
        <v>0.83</v>
      </c>
      <c r="G670" s="60">
        <f>G669</f>
        <v>0.33</v>
      </c>
      <c r="H670" s="60">
        <f t="shared" si="10"/>
        <v>19.04</v>
      </c>
      <c r="I670" s="60"/>
      <c r="J670" s="60"/>
      <c r="K670" s="70" t="s">
        <v>27</v>
      </c>
      <c r="L670" s="92"/>
      <c r="M670" s="92"/>
      <c r="N670" s="92"/>
      <c r="O670" s="92"/>
      <c r="P670" s="92"/>
      <c r="Q670" s="92"/>
      <c r="R670" s="93"/>
    </row>
    <row r="671" spans="1:18" s="32" customFormat="1" ht="17.5" customHeight="1">
      <c r="A671" s="91"/>
      <c r="B671" s="58" t="str">
        <f>B258</f>
        <v>Total Length of FB4 (10" x 16")</v>
      </c>
      <c r="C671" s="58"/>
      <c r="D671" s="59">
        <v>1</v>
      </c>
      <c r="E671" s="60">
        <f>E258</f>
        <v>29</v>
      </c>
      <c r="F671" s="60">
        <f>0.83</f>
        <v>0.83</v>
      </c>
      <c r="G671" s="60">
        <v>0.33</v>
      </c>
      <c r="H671" s="60">
        <f t="shared" si="10"/>
        <v>7.94</v>
      </c>
      <c r="I671" s="60"/>
      <c r="J671" s="60"/>
      <c r="K671" s="70" t="s">
        <v>27</v>
      </c>
      <c r="L671" s="92"/>
      <c r="M671" s="92"/>
      <c r="N671" s="92"/>
      <c r="O671" s="92"/>
      <c r="P671" s="92"/>
      <c r="Q671" s="92"/>
      <c r="R671" s="93"/>
    </row>
    <row r="672" spans="1:18" s="32" customFormat="1" ht="17.5" customHeight="1">
      <c r="A672" s="91"/>
      <c r="B672" s="58" t="str">
        <f>B261</f>
        <v>Total Length of FB5 (12" x 14")</v>
      </c>
      <c r="C672" s="58"/>
      <c r="D672" s="59">
        <v>1</v>
      </c>
      <c r="E672" s="60">
        <f>E261</f>
        <v>10</v>
      </c>
      <c r="F672" s="60">
        <v>1</v>
      </c>
      <c r="G672" s="60">
        <v>0.33</v>
      </c>
      <c r="H672" s="60">
        <f t="shared" si="10"/>
        <v>3.3</v>
      </c>
      <c r="I672" s="60"/>
      <c r="J672" s="60"/>
      <c r="K672" s="70" t="s">
        <v>27</v>
      </c>
      <c r="L672" s="92"/>
      <c r="M672" s="92"/>
      <c r="N672" s="92"/>
      <c r="O672" s="92"/>
      <c r="P672" s="92"/>
      <c r="Q672" s="92"/>
      <c r="R672" s="93"/>
    </row>
    <row r="673" spans="1:18" s="32" customFormat="1" ht="17.5" customHeight="1">
      <c r="A673" s="91"/>
      <c r="B673" s="58" t="str">
        <f>B264</f>
        <v>Total Length of FB6 (12" x 18")</v>
      </c>
      <c r="C673" s="58"/>
      <c r="D673" s="59">
        <v>1</v>
      </c>
      <c r="E673" s="60">
        <f>E264</f>
        <v>14.5</v>
      </c>
      <c r="F673" s="60">
        <v>1</v>
      </c>
      <c r="G673" s="60">
        <v>0.33</v>
      </c>
      <c r="H673" s="60">
        <f t="shared" si="10"/>
        <v>4.79</v>
      </c>
      <c r="I673" s="60"/>
      <c r="J673" s="60"/>
      <c r="K673" s="70" t="s">
        <v>27</v>
      </c>
      <c r="L673" s="92"/>
      <c r="M673" s="92"/>
      <c r="N673" s="92"/>
      <c r="O673" s="92"/>
      <c r="P673" s="92"/>
      <c r="Q673" s="92"/>
      <c r="R673" s="93"/>
    </row>
    <row r="674" spans="1:18" s="32" customFormat="1" ht="17.5" customHeight="1">
      <c r="A674" s="91"/>
      <c r="B674" s="58" t="s">
        <v>508</v>
      </c>
      <c r="C674" s="58"/>
      <c r="D674" s="59">
        <v>1</v>
      </c>
      <c r="E674" s="60">
        <f>8.17</f>
        <v>8.17</v>
      </c>
      <c r="F674" s="60">
        <v>10.33</v>
      </c>
      <c r="G674" s="60">
        <f>G673</f>
        <v>0.33</v>
      </c>
      <c r="H674" s="60">
        <f t="shared" si="10"/>
        <v>27.85</v>
      </c>
      <c r="I674" s="60"/>
      <c r="J674" s="60"/>
      <c r="K674" s="70" t="s">
        <v>27</v>
      </c>
      <c r="L674" s="92"/>
      <c r="M674" s="92"/>
      <c r="N674" s="92"/>
      <c r="O674" s="92"/>
      <c r="P674" s="92"/>
      <c r="Q674" s="92"/>
      <c r="R674" s="93"/>
    </row>
    <row r="675" spans="1:18" s="32" customFormat="1" ht="17.5" customHeight="1">
      <c r="A675" s="91"/>
      <c r="B675" s="58"/>
      <c r="C675" s="58"/>
      <c r="D675" s="59"/>
      <c r="E675" s="60"/>
      <c r="F675" s="60"/>
      <c r="G675" s="95" t="s">
        <v>511</v>
      </c>
      <c r="H675" s="60">
        <f>SUM(H663:H674)</f>
        <v>105.25</v>
      </c>
      <c r="I675" s="60">
        <f>SUM(I663:I674)</f>
        <v>327.54000000000002</v>
      </c>
      <c r="J675" s="60">
        <f>I675-H675</f>
        <v>222.29</v>
      </c>
      <c r="K675" s="70" t="s">
        <v>27</v>
      </c>
      <c r="L675" s="92"/>
      <c r="M675" s="92"/>
      <c r="N675" s="92"/>
      <c r="O675" s="92"/>
      <c r="P675" s="92"/>
      <c r="Q675" s="92"/>
      <c r="R675" s="93"/>
    </row>
    <row r="676" spans="1:18" s="32" customFormat="1" ht="17.5" customHeight="1">
      <c r="A676" s="91"/>
      <c r="B676" s="94" t="s">
        <v>515</v>
      </c>
      <c r="C676" s="58"/>
      <c r="D676" s="59"/>
      <c r="E676" s="60"/>
      <c r="F676" s="60"/>
      <c r="G676" s="60"/>
      <c r="H676" s="60"/>
      <c r="I676" s="60"/>
      <c r="J676" s="60"/>
      <c r="K676" s="70"/>
      <c r="L676" s="92"/>
      <c r="M676" s="92"/>
      <c r="N676" s="92"/>
      <c r="O676" s="92"/>
      <c r="P676" s="92"/>
      <c r="Q676" s="92"/>
      <c r="R676" s="93"/>
    </row>
    <row r="677" spans="1:18" s="32" customFormat="1" ht="17.5" customHeight="1">
      <c r="A677" s="91"/>
      <c r="B677" s="58" t="s">
        <v>510</v>
      </c>
      <c r="C677" s="58"/>
      <c r="D677" s="59">
        <v>1</v>
      </c>
      <c r="E677" s="60">
        <f>14.67-0.83</f>
        <v>13.84</v>
      </c>
      <c r="F677" s="60">
        <f>4.42</f>
        <v>4.42</v>
      </c>
      <c r="G677" s="60">
        <f>5/12</f>
        <v>0.42</v>
      </c>
      <c r="H677" s="60"/>
      <c r="I677" s="60">
        <f>D677*E677*F677*G677</f>
        <v>25.69</v>
      </c>
      <c r="J677" s="60"/>
      <c r="K677" s="70" t="s">
        <v>27</v>
      </c>
      <c r="L677" s="92"/>
      <c r="M677" s="92"/>
      <c r="N677" s="92"/>
      <c r="O677" s="92"/>
      <c r="P677" s="92"/>
      <c r="Q677" s="92"/>
      <c r="R677" s="93"/>
    </row>
    <row r="678" spans="1:18" s="32" customFormat="1" ht="17.5" customHeight="1">
      <c r="A678" s="91"/>
      <c r="B678" s="91"/>
      <c r="C678" s="58"/>
      <c r="D678" s="59"/>
      <c r="E678" s="60"/>
      <c r="F678" s="60"/>
      <c r="G678" s="95" t="s">
        <v>512</v>
      </c>
      <c r="H678" s="60">
        <f>SUM(H677)</f>
        <v>0</v>
      </c>
      <c r="I678" s="60">
        <f>SUM(I677)</f>
        <v>25.69</v>
      </c>
      <c r="J678" s="60">
        <f>I678-H678</f>
        <v>25.69</v>
      </c>
      <c r="K678" s="70"/>
      <c r="L678" s="92"/>
      <c r="M678" s="92"/>
      <c r="N678" s="92"/>
      <c r="O678" s="92"/>
      <c r="P678" s="92"/>
      <c r="Q678" s="92"/>
      <c r="R678" s="93"/>
    </row>
    <row r="679" spans="1:18" s="32" customFormat="1" ht="17.5" customHeight="1">
      <c r="A679" s="91"/>
      <c r="B679" s="58"/>
      <c r="C679" s="58"/>
      <c r="D679" s="59"/>
      <c r="E679" s="60"/>
      <c r="F679" s="60"/>
      <c r="G679" s="60"/>
      <c r="H679" s="60"/>
      <c r="I679" s="95" t="s">
        <v>513</v>
      </c>
      <c r="J679" s="60">
        <f>J678+J675</f>
        <v>247.98</v>
      </c>
      <c r="K679" s="70" t="s">
        <v>27</v>
      </c>
      <c r="L679" s="92"/>
      <c r="M679" s="92"/>
      <c r="N679" s="92"/>
      <c r="O679" s="92"/>
      <c r="P679" s="92"/>
      <c r="Q679" s="92"/>
      <c r="R679" s="93"/>
    </row>
    <row r="680" spans="1:18" s="32" customFormat="1" ht="17.5" customHeight="1">
      <c r="A680" s="91"/>
      <c r="B680" s="58"/>
      <c r="C680" s="58"/>
      <c r="D680" s="59"/>
      <c r="E680" s="60"/>
      <c r="F680" s="60"/>
      <c r="G680" s="60"/>
      <c r="H680" s="60"/>
      <c r="I680" s="60"/>
      <c r="J680" s="60">
        <f>J679/100</f>
        <v>2.48</v>
      </c>
      <c r="K680" s="70" t="s">
        <v>7</v>
      </c>
      <c r="L680" s="92"/>
      <c r="M680" s="92"/>
      <c r="N680" s="92"/>
      <c r="O680" s="92"/>
      <c r="P680" s="92"/>
      <c r="Q680" s="92"/>
      <c r="R680" s="93"/>
    </row>
    <row r="681" spans="1:18" s="32" customFormat="1" ht="17.5" customHeight="1">
      <c r="A681" s="91"/>
      <c r="B681" s="58"/>
      <c r="C681" s="58"/>
      <c r="D681" s="59"/>
      <c r="E681" s="60"/>
      <c r="F681" s="60"/>
      <c r="G681" s="60"/>
      <c r="H681" s="60"/>
      <c r="I681" s="60"/>
      <c r="J681" s="60"/>
      <c r="K681" s="70"/>
      <c r="L681" s="92"/>
      <c r="M681" s="92"/>
      <c r="N681" s="92"/>
      <c r="O681" s="92"/>
      <c r="P681" s="92"/>
      <c r="Q681" s="92"/>
      <c r="R681" s="93"/>
    </row>
    <row r="682" spans="1:18" s="32" customFormat="1" ht="17.5" customHeight="1">
      <c r="A682" s="91"/>
      <c r="B682" s="94" t="s">
        <v>79</v>
      </c>
      <c r="C682" s="94"/>
      <c r="D682" s="59"/>
      <c r="E682" s="60"/>
      <c r="F682" s="60"/>
      <c r="G682" s="60"/>
      <c r="H682" s="60"/>
      <c r="I682" s="60"/>
      <c r="J682" s="60"/>
      <c r="K682" s="70"/>
      <c r="L682" s="92"/>
      <c r="M682" s="92"/>
      <c r="N682" s="92"/>
      <c r="O682" s="92"/>
      <c r="P682" s="92"/>
      <c r="Q682" s="92"/>
      <c r="R682" s="93"/>
    </row>
    <row r="683" spans="1:18" s="32" customFormat="1" ht="17.5" customHeight="1">
      <c r="A683" s="91"/>
      <c r="B683" s="94" t="s">
        <v>518</v>
      </c>
      <c r="C683" s="94"/>
      <c r="D683" s="59"/>
      <c r="E683" s="60"/>
      <c r="F683" s="60"/>
      <c r="G683" s="60"/>
      <c r="H683" s="60"/>
      <c r="I683" s="60"/>
      <c r="J683" s="60"/>
      <c r="K683" s="70"/>
      <c r="L683" s="92"/>
      <c r="M683" s="92"/>
      <c r="N683" s="92"/>
      <c r="O683" s="92"/>
      <c r="P683" s="92"/>
      <c r="Q683" s="92"/>
      <c r="R683" s="93"/>
    </row>
    <row r="684" spans="1:18" s="32" customFormat="1" ht="17.5" customHeight="1">
      <c r="A684" s="91"/>
      <c r="B684" s="94" t="s">
        <v>111</v>
      </c>
      <c r="C684" s="94"/>
      <c r="D684" s="59"/>
      <c r="E684" s="60"/>
      <c r="F684" s="60"/>
      <c r="G684" s="60"/>
      <c r="H684" s="60"/>
      <c r="I684" s="60"/>
      <c r="J684" s="60"/>
      <c r="K684" s="70"/>
      <c r="L684" s="92"/>
      <c r="M684" s="92"/>
      <c r="N684" s="92"/>
      <c r="O684" s="92"/>
      <c r="P684" s="92"/>
      <c r="Q684" s="92"/>
      <c r="R684" s="93"/>
    </row>
    <row r="685" spans="1:18" s="32" customFormat="1" ht="17.5" customHeight="1">
      <c r="A685" s="91"/>
      <c r="B685" s="58" t="str">
        <f>B663</f>
        <v>Line 1-3 (A-D)</v>
      </c>
      <c r="C685" s="58"/>
      <c r="D685" s="59">
        <f>D663</f>
        <v>1</v>
      </c>
      <c r="E685" s="60">
        <f>E663</f>
        <v>25</v>
      </c>
      <c r="F685" s="60">
        <f>F663</f>
        <v>35</v>
      </c>
      <c r="G685" s="60"/>
      <c r="H685" s="60"/>
      <c r="I685" s="60">
        <f>D685*E685*F685</f>
        <v>875</v>
      </c>
      <c r="J685" s="60"/>
      <c r="K685" s="70" t="s">
        <v>21</v>
      </c>
      <c r="L685" s="92"/>
      <c r="M685" s="92"/>
      <c r="N685" s="92"/>
      <c r="O685" s="92"/>
      <c r="P685" s="92"/>
      <c r="Q685" s="92"/>
      <c r="R685" s="93"/>
    </row>
    <row r="686" spans="1:18" s="32" customFormat="1" ht="17.5" customHeight="1">
      <c r="A686" s="91"/>
      <c r="B686" s="91" t="s">
        <v>25</v>
      </c>
      <c r="C686" s="91"/>
      <c r="D686" s="59"/>
      <c r="E686" s="60"/>
      <c r="F686" s="60"/>
      <c r="G686" s="60"/>
      <c r="H686" s="60"/>
      <c r="I686" s="60"/>
      <c r="J686" s="60"/>
      <c r="K686" s="70"/>
      <c r="L686" s="92"/>
      <c r="M686" s="92"/>
      <c r="N686" s="92"/>
      <c r="O686" s="92"/>
      <c r="P686" s="92"/>
      <c r="Q686" s="92"/>
      <c r="R686" s="93"/>
    </row>
    <row r="687" spans="1:18" s="32" customFormat="1" ht="17.5" customHeight="1">
      <c r="A687" s="91"/>
      <c r="B687" s="58" t="str">
        <f t="shared" ref="B687:B692" si="11">B668</f>
        <v>Total Length of FB1 (10" x10")-Portico Beam</v>
      </c>
      <c r="C687" s="58"/>
      <c r="D687" s="59">
        <f t="shared" ref="D687:F692" si="12">D668</f>
        <v>1</v>
      </c>
      <c r="E687" s="60">
        <f t="shared" si="12"/>
        <v>77.69</v>
      </c>
      <c r="F687" s="60">
        <f t="shared" si="12"/>
        <v>0.83</v>
      </c>
      <c r="G687" s="60"/>
      <c r="H687" s="60">
        <f t="shared" ref="H687:H692" si="13">D687*E687*F687</f>
        <v>64.48</v>
      </c>
      <c r="I687" s="60"/>
      <c r="J687" s="60"/>
      <c r="K687" s="70" t="s">
        <v>21</v>
      </c>
      <c r="L687" s="92"/>
      <c r="M687" s="92"/>
      <c r="N687" s="92"/>
      <c r="O687" s="92"/>
      <c r="P687" s="92"/>
      <c r="Q687" s="92"/>
      <c r="R687" s="93"/>
    </row>
    <row r="688" spans="1:18" s="32" customFormat="1" ht="17.5" customHeight="1">
      <c r="A688" s="91"/>
      <c r="B688" s="58" t="str">
        <f t="shared" si="11"/>
        <v>Total Length of FB2 (10" x 12")</v>
      </c>
      <c r="C688" s="58"/>
      <c r="D688" s="59">
        <f t="shared" si="12"/>
        <v>1</v>
      </c>
      <c r="E688" s="60">
        <f t="shared" si="12"/>
        <v>76.84</v>
      </c>
      <c r="F688" s="60">
        <f t="shared" si="12"/>
        <v>0.83</v>
      </c>
      <c r="G688" s="60"/>
      <c r="H688" s="60">
        <f t="shared" si="13"/>
        <v>63.78</v>
      </c>
      <c r="I688" s="60"/>
      <c r="J688" s="60"/>
      <c r="K688" s="70" t="s">
        <v>21</v>
      </c>
      <c r="L688" s="92"/>
      <c r="M688" s="92"/>
      <c r="N688" s="92"/>
      <c r="O688" s="92"/>
      <c r="P688" s="92"/>
      <c r="Q688" s="92"/>
      <c r="R688" s="93"/>
    </row>
    <row r="689" spans="1:18" s="32" customFormat="1" ht="17.5" customHeight="1">
      <c r="A689" s="91"/>
      <c r="B689" s="58" t="str">
        <f t="shared" si="11"/>
        <v>Total Length of FB3 (10" x 14")</v>
      </c>
      <c r="C689" s="58"/>
      <c r="D689" s="59">
        <f t="shared" si="12"/>
        <v>1</v>
      </c>
      <c r="E689" s="60">
        <f t="shared" si="12"/>
        <v>69.5</v>
      </c>
      <c r="F689" s="60">
        <f t="shared" si="12"/>
        <v>0.83</v>
      </c>
      <c r="G689" s="60"/>
      <c r="H689" s="60">
        <f t="shared" si="13"/>
        <v>57.69</v>
      </c>
      <c r="I689" s="60"/>
      <c r="J689" s="60"/>
      <c r="K689" s="70" t="s">
        <v>21</v>
      </c>
      <c r="L689" s="92"/>
      <c r="M689" s="92"/>
      <c r="N689" s="92"/>
      <c r="O689" s="92"/>
      <c r="P689" s="92"/>
      <c r="Q689" s="92"/>
      <c r="R689" s="93"/>
    </row>
    <row r="690" spans="1:18" s="32" customFormat="1" ht="17.5" customHeight="1">
      <c r="A690" s="91"/>
      <c r="B690" s="58" t="str">
        <f t="shared" si="11"/>
        <v>Total Length of FB4 (10" x 16")</v>
      </c>
      <c r="C690" s="58"/>
      <c r="D690" s="59">
        <f t="shared" si="12"/>
        <v>1</v>
      </c>
      <c r="E690" s="60">
        <f t="shared" si="12"/>
        <v>29</v>
      </c>
      <c r="F690" s="60">
        <f t="shared" si="12"/>
        <v>0.83</v>
      </c>
      <c r="G690" s="60"/>
      <c r="H690" s="60">
        <f t="shared" si="13"/>
        <v>24.07</v>
      </c>
      <c r="I690" s="60"/>
      <c r="J690" s="60"/>
      <c r="K690" s="70" t="s">
        <v>21</v>
      </c>
      <c r="L690" s="92"/>
      <c r="M690" s="92"/>
      <c r="N690" s="92"/>
      <c r="O690" s="92"/>
      <c r="P690" s="92"/>
      <c r="Q690" s="92"/>
      <c r="R690" s="93"/>
    </row>
    <row r="691" spans="1:18" s="32" customFormat="1" ht="17.5" customHeight="1">
      <c r="A691" s="91"/>
      <c r="B691" s="58" t="str">
        <f t="shared" si="11"/>
        <v>Total Length of FB5 (12" x 14")</v>
      </c>
      <c r="C691" s="58"/>
      <c r="D691" s="59">
        <f t="shared" si="12"/>
        <v>1</v>
      </c>
      <c r="E691" s="60">
        <f t="shared" si="12"/>
        <v>10</v>
      </c>
      <c r="F691" s="60">
        <f t="shared" si="12"/>
        <v>1</v>
      </c>
      <c r="G691" s="60"/>
      <c r="H691" s="60">
        <f t="shared" si="13"/>
        <v>10</v>
      </c>
      <c r="I691" s="60"/>
      <c r="J691" s="60"/>
      <c r="K691" s="70" t="s">
        <v>21</v>
      </c>
      <c r="L691" s="92"/>
      <c r="M691" s="92"/>
      <c r="N691" s="92"/>
      <c r="O691" s="92"/>
      <c r="P691" s="92"/>
      <c r="Q691" s="92"/>
      <c r="R691" s="93"/>
    </row>
    <row r="692" spans="1:18" s="32" customFormat="1" ht="17.5" customHeight="1">
      <c r="A692" s="91"/>
      <c r="B692" s="58" t="str">
        <f t="shared" si="11"/>
        <v>Total Length of FB6 (12" x 18")</v>
      </c>
      <c r="C692" s="58"/>
      <c r="D692" s="59">
        <f t="shared" si="12"/>
        <v>1</v>
      </c>
      <c r="E692" s="60">
        <f t="shared" si="12"/>
        <v>14.5</v>
      </c>
      <c r="F692" s="60">
        <f t="shared" si="12"/>
        <v>1</v>
      </c>
      <c r="G692" s="60"/>
      <c r="H692" s="60">
        <f t="shared" si="13"/>
        <v>14.5</v>
      </c>
      <c r="I692" s="60"/>
      <c r="J692" s="60"/>
      <c r="K692" s="70" t="s">
        <v>21</v>
      </c>
      <c r="L692" s="92"/>
      <c r="M692" s="92"/>
      <c r="N692" s="92"/>
      <c r="O692" s="92"/>
      <c r="P692" s="92"/>
      <c r="Q692" s="92"/>
      <c r="R692" s="93"/>
    </row>
    <row r="693" spans="1:18" s="32" customFormat="1" ht="17.5" customHeight="1">
      <c r="A693" s="91"/>
      <c r="B693" s="94" t="s">
        <v>112</v>
      </c>
      <c r="C693" s="94"/>
      <c r="D693" s="59">
        <f>D685</f>
        <v>1</v>
      </c>
      <c r="E693" s="60">
        <f>38.58*2+29*2</f>
        <v>135.16</v>
      </c>
      <c r="F693" s="60">
        <f>0.33</f>
        <v>0.33</v>
      </c>
      <c r="G693" s="60">
        <v>0.33</v>
      </c>
      <c r="H693" s="60"/>
      <c r="I693" s="60">
        <f>D693*E693*F693</f>
        <v>44.6</v>
      </c>
      <c r="J693" s="60"/>
      <c r="K693" s="70" t="s">
        <v>21</v>
      </c>
      <c r="L693" s="92"/>
      <c r="M693" s="92"/>
      <c r="N693" s="92"/>
      <c r="O693" s="92"/>
      <c r="P693" s="92"/>
      <c r="Q693" s="92"/>
      <c r="R693" s="93"/>
    </row>
    <row r="694" spans="1:18" s="32" customFormat="1" ht="17.5" customHeight="1">
      <c r="A694" s="91"/>
      <c r="B694" s="94" t="s">
        <v>508</v>
      </c>
      <c r="C694" s="94"/>
      <c r="D694" s="59">
        <v>1</v>
      </c>
      <c r="E694" s="60">
        <f>E674</f>
        <v>8.17</v>
      </c>
      <c r="F694" s="60">
        <f>F674</f>
        <v>10.33</v>
      </c>
      <c r="G694" s="60"/>
      <c r="H694" s="60">
        <f>D694*E694*F694</f>
        <v>84.4</v>
      </c>
      <c r="I694" s="60"/>
      <c r="J694" s="60"/>
      <c r="K694" s="70" t="s">
        <v>21</v>
      </c>
      <c r="L694" s="92"/>
      <c r="M694" s="92"/>
      <c r="N694" s="92"/>
      <c r="O694" s="92"/>
      <c r="P694" s="92"/>
      <c r="Q694" s="92"/>
      <c r="R694" s="93"/>
    </row>
    <row r="695" spans="1:18" s="32" customFormat="1" ht="17.5" customHeight="1">
      <c r="A695" s="91"/>
      <c r="B695" s="94" t="s">
        <v>516</v>
      </c>
      <c r="C695" s="94"/>
      <c r="D695" s="59">
        <v>1</v>
      </c>
      <c r="E695" s="60">
        <f>E674*2+F674*2</f>
        <v>37</v>
      </c>
      <c r="F695" s="60"/>
      <c r="G695" s="60">
        <f>0.33</f>
        <v>0.33</v>
      </c>
      <c r="H695" s="60"/>
      <c r="I695" s="60">
        <f>D695*E695*G695</f>
        <v>12.21</v>
      </c>
      <c r="J695" s="60"/>
      <c r="K695" s="70" t="s">
        <v>21</v>
      </c>
      <c r="L695" s="92"/>
      <c r="M695" s="92"/>
      <c r="N695" s="92"/>
      <c r="O695" s="92"/>
      <c r="P695" s="92"/>
      <c r="Q695" s="92"/>
      <c r="R695" s="93"/>
    </row>
    <row r="696" spans="1:18" s="32" customFormat="1" ht="17.5" customHeight="1">
      <c r="A696" s="91"/>
      <c r="B696" s="94"/>
      <c r="C696" s="94"/>
      <c r="D696" s="59"/>
      <c r="E696" s="60"/>
      <c r="F696" s="60"/>
      <c r="G696" s="60"/>
      <c r="H696" s="60">
        <f>SUM(H685:H695)</f>
        <v>318.92</v>
      </c>
      <c r="I696" s="60">
        <f>SUM(I685:I695)</f>
        <v>931.81</v>
      </c>
      <c r="J696" s="60">
        <f>I696-H696</f>
        <v>612.89</v>
      </c>
      <c r="K696" s="70" t="s">
        <v>21</v>
      </c>
      <c r="L696" s="92"/>
      <c r="M696" s="92"/>
      <c r="N696" s="92"/>
      <c r="O696" s="92"/>
      <c r="P696" s="92"/>
      <c r="Q696" s="92"/>
      <c r="R696" s="93"/>
    </row>
    <row r="697" spans="1:18" s="32" customFormat="1" ht="17.5" customHeight="1">
      <c r="A697" s="91"/>
      <c r="B697" s="94" t="s">
        <v>517</v>
      </c>
      <c r="C697" s="58"/>
      <c r="D697" s="59"/>
      <c r="E697" s="60"/>
      <c r="F697" s="60"/>
      <c r="G697" s="60"/>
      <c r="H697" s="60"/>
      <c r="I697" s="60"/>
      <c r="J697" s="60"/>
      <c r="K697" s="70"/>
      <c r="L697" s="92"/>
      <c r="M697" s="92"/>
      <c r="N697" s="92"/>
      <c r="O697" s="92"/>
      <c r="P697" s="92"/>
      <c r="Q697" s="92"/>
      <c r="R697" s="93"/>
    </row>
    <row r="698" spans="1:18" s="32" customFormat="1" ht="17.5" customHeight="1">
      <c r="A698" s="91"/>
      <c r="B698" s="58" t="str">
        <f>B677</f>
        <v>Bet; 1&amp;3, A&amp;B</v>
      </c>
      <c r="C698" s="58"/>
      <c r="D698" s="59">
        <f>D677</f>
        <v>1</v>
      </c>
      <c r="E698" s="60">
        <f>E677</f>
        <v>13.84</v>
      </c>
      <c r="F698" s="60">
        <f>F677</f>
        <v>4.42</v>
      </c>
      <c r="G698" s="60"/>
      <c r="H698" s="60"/>
      <c r="I698" s="60">
        <f>D698*E698*F698</f>
        <v>61.17</v>
      </c>
      <c r="J698" s="60"/>
      <c r="K698" s="70" t="s">
        <v>21</v>
      </c>
      <c r="L698" s="92"/>
      <c r="M698" s="92"/>
      <c r="N698" s="92"/>
      <c r="O698" s="92"/>
      <c r="P698" s="92"/>
      <c r="Q698" s="92"/>
      <c r="R698" s="93"/>
    </row>
    <row r="699" spans="1:18" s="32" customFormat="1" ht="17.5" customHeight="1">
      <c r="A699" s="91"/>
      <c r="B699" s="58"/>
      <c r="C699" s="58"/>
      <c r="D699" s="59"/>
      <c r="E699" s="60"/>
      <c r="F699" s="60"/>
      <c r="G699" s="60"/>
      <c r="H699" s="60">
        <f>SUM(H698)</f>
        <v>0</v>
      </c>
      <c r="I699" s="60">
        <f>SUM(I698)</f>
        <v>61.17</v>
      </c>
      <c r="J699" s="60">
        <f>I699-H699</f>
        <v>61.17</v>
      </c>
      <c r="K699" s="70"/>
      <c r="L699" s="92"/>
      <c r="M699" s="92"/>
      <c r="N699" s="92"/>
      <c r="O699" s="92"/>
      <c r="P699" s="92"/>
      <c r="Q699" s="92"/>
      <c r="R699" s="93"/>
    </row>
    <row r="700" spans="1:18" s="32" customFormat="1" ht="17.5" customHeight="1">
      <c r="A700" s="91"/>
      <c r="B700" s="58"/>
      <c r="C700" s="58"/>
      <c r="D700" s="59"/>
      <c r="E700" s="60"/>
      <c r="F700" s="60"/>
      <c r="G700" s="60"/>
      <c r="H700" s="60"/>
      <c r="I700" s="60"/>
      <c r="J700" s="60">
        <f>J696+J699</f>
        <v>674.06</v>
      </c>
      <c r="K700" s="70" t="s">
        <v>21</v>
      </c>
      <c r="L700" s="92"/>
      <c r="M700" s="92"/>
      <c r="N700" s="92"/>
      <c r="O700" s="92"/>
      <c r="P700" s="92"/>
      <c r="Q700" s="92"/>
      <c r="R700" s="93"/>
    </row>
    <row r="701" spans="1:18" s="32" customFormat="1" ht="17.5" customHeight="1">
      <c r="A701" s="91"/>
      <c r="B701" s="58"/>
      <c r="C701" s="58"/>
      <c r="D701" s="59"/>
      <c r="E701" s="60"/>
      <c r="F701" s="60"/>
      <c r="G701" s="60"/>
      <c r="H701" s="60"/>
      <c r="I701" s="60"/>
      <c r="J701" s="60">
        <f>J700/100</f>
        <v>6.74</v>
      </c>
      <c r="K701" s="70" t="s">
        <v>12</v>
      </c>
      <c r="L701" s="92"/>
      <c r="M701" s="92"/>
      <c r="N701" s="92"/>
      <c r="O701" s="92"/>
      <c r="P701" s="92"/>
      <c r="Q701" s="92"/>
      <c r="R701" s="93"/>
    </row>
    <row r="702" spans="1:18" s="32" customFormat="1" ht="17.5" customHeight="1">
      <c r="A702" s="91"/>
      <c r="B702" s="58"/>
      <c r="C702" s="58"/>
      <c r="D702" s="59"/>
      <c r="E702" s="60"/>
      <c r="F702" s="60"/>
      <c r="G702" s="60"/>
      <c r="H702" s="60"/>
      <c r="I702" s="60"/>
      <c r="J702" s="60"/>
      <c r="K702" s="70"/>
      <c r="L702" s="92"/>
      <c r="M702" s="92"/>
      <c r="N702" s="92"/>
      <c r="O702" s="92"/>
      <c r="P702" s="92"/>
      <c r="Q702" s="92"/>
      <c r="R702" s="93"/>
    </row>
    <row r="703" spans="1:18" s="32" customFormat="1" ht="17.5" customHeight="1">
      <c r="A703" s="91"/>
      <c r="B703" s="127" t="s">
        <v>113</v>
      </c>
      <c r="C703" s="94"/>
      <c r="D703" s="59"/>
      <c r="E703" s="60"/>
      <c r="F703" s="60"/>
      <c r="G703" s="60"/>
      <c r="H703" s="60"/>
      <c r="I703" s="60"/>
      <c r="J703" s="60"/>
      <c r="K703" s="70"/>
      <c r="L703" s="92"/>
      <c r="M703" s="92"/>
      <c r="N703" s="92"/>
      <c r="O703" s="92"/>
      <c r="P703" s="92"/>
      <c r="Q703" s="92"/>
      <c r="R703" s="93"/>
    </row>
    <row r="704" spans="1:18" s="32" customFormat="1" ht="17.5" customHeight="1">
      <c r="A704" s="91"/>
      <c r="B704" s="127" t="s">
        <v>143</v>
      </c>
      <c r="C704" s="94"/>
      <c r="D704" s="59"/>
      <c r="E704" s="60"/>
      <c r="F704" s="60"/>
      <c r="G704" s="60"/>
      <c r="H704" s="60"/>
      <c r="I704" s="60"/>
      <c r="J704" s="60"/>
      <c r="K704" s="70"/>
      <c r="L704" s="92"/>
      <c r="M704" s="92"/>
      <c r="N704" s="92"/>
      <c r="O704" s="92"/>
      <c r="P704" s="92"/>
      <c r="Q704" s="92"/>
      <c r="R704" s="93"/>
    </row>
    <row r="705" spans="1:18" s="32" customFormat="1" ht="17.5" customHeight="1">
      <c r="A705" s="91"/>
      <c r="B705" s="127" t="str">
        <f>B663</f>
        <v>Line 1-3 (A-D)</v>
      </c>
      <c r="C705" s="127"/>
      <c r="D705" s="125">
        <f>D663</f>
        <v>1</v>
      </c>
      <c r="E705" s="126">
        <f>E663</f>
        <v>25</v>
      </c>
      <c r="F705" s="126">
        <f>F663</f>
        <v>35</v>
      </c>
      <c r="G705" s="60"/>
      <c r="H705" s="60" t="s">
        <v>153</v>
      </c>
      <c r="I705" s="128" t="s">
        <v>114</v>
      </c>
      <c r="J705" s="128"/>
      <c r="K705" s="70"/>
      <c r="L705" s="92"/>
      <c r="M705" s="92"/>
      <c r="N705" s="92"/>
      <c r="O705" s="92"/>
      <c r="P705" s="92"/>
      <c r="Q705" s="92"/>
      <c r="R705" s="93"/>
    </row>
    <row r="706" spans="1:18" s="32" customFormat="1" ht="17.5" customHeight="1">
      <c r="A706" s="91"/>
      <c r="B706" s="58" t="s">
        <v>386</v>
      </c>
      <c r="C706" s="58"/>
      <c r="D706" s="59">
        <f>D705*ROUND((E705-1.5*0.83-11.5)/0.5+1,0)+D705*ROUND((11.5-1.5*0.83)/0.5+1,0)</f>
        <v>48</v>
      </c>
      <c r="E706" s="60">
        <f>F705-0.25+18*10/1000*3.281</f>
        <v>35.340000000000003</v>
      </c>
      <c r="F706" s="60"/>
      <c r="G706" s="60"/>
      <c r="H706" s="60"/>
      <c r="I706" s="60">
        <f t="shared" ref="I706:I713" si="14">D706*E706</f>
        <v>1696.32</v>
      </c>
      <c r="J706" s="60"/>
      <c r="K706" s="70"/>
      <c r="L706" s="92"/>
      <c r="M706" s="92"/>
      <c r="N706" s="92"/>
      <c r="O706" s="92"/>
      <c r="P706" s="92"/>
      <c r="Q706" s="92"/>
      <c r="R706" s="93"/>
    </row>
    <row r="707" spans="1:18" s="32" customFormat="1" ht="17.5" customHeight="1">
      <c r="A707" s="91"/>
      <c r="B707" s="58" t="s">
        <v>37</v>
      </c>
      <c r="C707" s="58"/>
      <c r="D707" s="59">
        <f>D706*ROUND(E706/40,0)</f>
        <v>48</v>
      </c>
      <c r="E707" s="60">
        <f>50*10/1000*3.281</f>
        <v>1.64</v>
      </c>
      <c r="F707" s="60"/>
      <c r="G707" s="60"/>
      <c r="H707" s="60"/>
      <c r="I707" s="60">
        <f t="shared" si="14"/>
        <v>78.72</v>
      </c>
      <c r="J707" s="60"/>
      <c r="K707" s="70"/>
      <c r="L707" s="92"/>
      <c r="M707" s="92"/>
      <c r="N707" s="92"/>
      <c r="O707" s="92"/>
      <c r="P707" s="92"/>
      <c r="Q707" s="92"/>
      <c r="R707" s="93"/>
    </row>
    <row r="708" spans="1:18" s="32" customFormat="1" ht="17.5" customHeight="1">
      <c r="A708" s="91"/>
      <c r="B708" s="58" t="s">
        <v>387</v>
      </c>
      <c r="C708" s="58"/>
      <c r="D708" s="59">
        <f>D705*ROUND((10-0.83*1.5)/0.5+1,0)+D705*ROUND((9-0.83)/0.5+1,0)+D705*ROUND((16-0.83*1.5)/0.5+1,0)</f>
        <v>67</v>
      </c>
      <c r="E708" s="60">
        <f>E705-0.25+18*10/1000*3.281</f>
        <v>25.34</v>
      </c>
      <c r="F708" s="60"/>
      <c r="G708" s="60"/>
      <c r="H708" s="60"/>
      <c r="I708" s="60">
        <f t="shared" si="14"/>
        <v>1697.78</v>
      </c>
      <c r="J708" s="60"/>
      <c r="K708" s="70"/>
      <c r="L708" s="92"/>
      <c r="M708" s="92"/>
      <c r="N708" s="92"/>
      <c r="O708" s="92"/>
      <c r="P708" s="92"/>
      <c r="Q708" s="92"/>
      <c r="R708" s="93"/>
    </row>
    <row r="709" spans="1:18" s="32" customFormat="1" ht="17.5" customHeight="1">
      <c r="A709" s="91"/>
      <c r="B709" s="58" t="s">
        <v>37</v>
      </c>
      <c r="C709" s="58"/>
      <c r="D709" s="59">
        <f>D708*ROUND(E708/40,0)</f>
        <v>67</v>
      </c>
      <c r="E709" s="60">
        <f>50*10/1000*3.281</f>
        <v>1.64</v>
      </c>
      <c r="F709" s="60"/>
      <c r="G709" s="60"/>
      <c r="H709" s="60"/>
      <c r="I709" s="60">
        <f t="shared" si="14"/>
        <v>109.88</v>
      </c>
      <c r="J709" s="60"/>
      <c r="K709" s="70"/>
      <c r="L709" s="92"/>
      <c r="M709" s="92"/>
      <c r="N709" s="92"/>
      <c r="O709" s="92"/>
      <c r="P709" s="92"/>
      <c r="Q709" s="92"/>
      <c r="R709" s="93"/>
    </row>
    <row r="710" spans="1:18" s="32" customFormat="1" ht="17.5" customHeight="1">
      <c r="A710" s="91"/>
      <c r="B710" s="58" t="s">
        <v>522</v>
      </c>
      <c r="C710" s="58"/>
      <c r="D710" s="59">
        <f>D705*ROUND((E705-1.5*0.83-11.5)/0.5+1,0)+D705*ROUND((11.5-1.5*0.83)/0.5+1,0)</f>
        <v>48</v>
      </c>
      <c r="E710" s="60">
        <f>F705-0.25+1*2</f>
        <v>36.75</v>
      </c>
      <c r="F710" s="60"/>
      <c r="G710" s="60"/>
      <c r="H710" s="60"/>
      <c r="I710" s="60">
        <f t="shared" si="14"/>
        <v>1764</v>
      </c>
      <c r="J710" s="60"/>
      <c r="K710" s="70"/>
      <c r="L710" s="92"/>
      <c r="M710" s="92"/>
      <c r="N710" s="92"/>
      <c r="O710" s="92"/>
      <c r="P710" s="92"/>
      <c r="Q710" s="92"/>
      <c r="R710" s="93"/>
    </row>
    <row r="711" spans="1:18" s="32" customFormat="1" ht="17.5" customHeight="1">
      <c r="A711" s="91"/>
      <c r="B711" s="58" t="s">
        <v>37</v>
      </c>
      <c r="C711" s="58"/>
      <c r="D711" s="59">
        <f>D710*ROUND(E710/40,0)</f>
        <v>48</v>
      </c>
      <c r="E711" s="60">
        <f>50*10/1000*3.281</f>
        <v>1.64</v>
      </c>
      <c r="F711" s="60"/>
      <c r="G711" s="60"/>
      <c r="H711" s="60"/>
      <c r="I711" s="60">
        <f t="shared" si="14"/>
        <v>78.72</v>
      </c>
      <c r="J711" s="60"/>
      <c r="K711" s="70"/>
      <c r="L711" s="92"/>
      <c r="M711" s="92"/>
      <c r="N711" s="92"/>
      <c r="O711" s="92"/>
      <c r="P711" s="92"/>
      <c r="Q711" s="92"/>
      <c r="R711" s="93"/>
    </row>
    <row r="712" spans="1:18" s="32" customFormat="1" ht="17.5" customHeight="1">
      <c r="A712" s="91"/>
      <c r="B712" s="58" t="s">
        <v>523</v>
      </c>
      <c r="C712" s="58"/>
      <c r="D712" s="59">
        <f>D705*ROUND((10-0.83*1.5)/0.5+1,0)+D705*ROUND((9-0.83)/0.5+1,0)+D705*ROUND((16-0.83*1.5)/0.5+1,0)</f>
        <v>67</v>
      </c>
      <c r="E712" s="60">
        <f>E705-0.25+1*2</f>
        <v>26.75</v>
      </c>
      <c r="F712" s="60"/>
      <c r="G712" s="60"/>
      <c r="H712" s="60"/>
      <c r="I712" s="60">
        <f t="shared" si="14"/>
        <v>1792.25</v>
      </c>
      <c r="J712" s="60"/>
      <c r="K712" s="70"/>
      <c r="L712" s="92"/>
      <c r="M712" s="92"/>
      <c r="N712" s="92"/>
      <c r="O712" s="92"/>
      <c r="P712" s="92"/>
      <c r="Q712" s="92"/>
      <c r="R712" s="93"/>
    </row>
    <row r="713" spans="1:18" s="32" customFormat="1" ht="17.5" customHeight="1">
      <c r="A713" s="91"/>
      <c r="B713" s="58" t="s">
        <v>37</v>
      </c>
      <c r="C713" s="58"/>
      <c r="D713" s="59">
        <f>D712*ROUND(E712/40,0)</f>
        <v>67</v>
      </c>
      <c r="E713" s="60">
        <f>50*10/1000*3.281</f>
        <v>1.64</v>
      </c>
      <c r="F713" s="60"/>
      <c r="G713" s="60"/>
      <c r="H713" s="60"/>
      <c r="I713" s="60">
        <f t="shared" si="14"/>
        <v>109.88</v>
      </c>
      <c r="J713" s="60"/>
      <c r="K713" s="70"/>
      <c r="L713" s="92"/>
      <c r="M713" s="92"/>
      <c r="N713" s="92"/>
      <c r="O713" s="92"/>
      <c r="P713" s="92"/>
      <c r="Q713" s="92"/>
      <c r="R713" s="93"/>
    </row>
    <row r="714" spans="1:18" s="32" customFormat="1" ht="17.5" customHeight="1">
      <c r="A714" s="91"/>
      <c r="B714" s="58"/>
      <c r="C714" s="58"/>
      <c r="D714" s="59"/>
      <c r="E714" s="60"/>
      <c r="F714" s="60"/>
      <c r="G714" s="60"/>
      <c r="H714" s="60"/>
      <c r="I714" s="60"/>
      <c r="J714" s="60"/>
      <c r="K714" s="70"/>
      <c r="L714" s="92"/>
      <c r="M714" s="92"/>
      <c r="N714" s="92"/>
      <c r="O714" s="92"/>
      <c r="P714" s="92"/>
      <c r="Q714" s="92"/>
      <c r="R714" s="93"/>
    </row>
    <row r="715" spans="1:18" s="32" customFormat="1" ht="17.5" customHeight="1">
      <c r="A715" s="91"/>
      <c r="B715" s="124" t="str">
        <f>B664</f>
        <v>Front Verendah</v>
      </c>
      <c r="C715" s="124"/>
      <c r="D715" s="125">
        <f>D664</f>
        <v>1</v>
      </c>
      <c r="E715" s="126">
        <f>E664</f>
        <v>13</v>
      </c>
      <c r="F715" s="126">
        <f>F664</f>
        <v>3.5</v>
      </c>
      <c r="G715" s="126">
        <f>G664</f>
        <v>0.33</v>
      </c>
      <c r="H715" s="60"/>
      <c r="I715" s="60"/>
      <c r="J715" s="60"/>
      <c r="K715" s="70"/>
      <c r="L715" s="92"/>
      <c r="M715" s="92"/>
      <c r="N715" s="92"/>
      <c r="O715" s="92"/>
      <c r="P715" s="92"/>
      <c r="Q715" s="92"/>
      <c r="R715" s="93"/>
    </row>
    <row r="716" spans="1:18" s="32" customFormat="1" ht="17.5" customHeight="1">
      <c r="A716" s="91"/>
      <c r="B716" s="58" t="s">
        <v>386</v>
      </c>
      <c r="C716" s="124"/>
      <c r="D716" s="59">
        <f>D715*ROUND((E715-0.83*2)/0.5+1,0)</f>
        <v>24</v>
      </c>
      <c r="E716" s="60">
        <f>F715+0.83-0.17+18*10/1000*3.281</f>
        <v>4.75</v>
      </c>
      <c r="F716" s="126"/>
      <c r="G716" s="126"/>
      <c r="H716" s="60"/>
      <c r="I716" s="60"/>
      <c r="J716" s="60"/>
      <c r="K716" s="70"/>
      <c r="L716" s="92"/>
      <c r="M716" s="92"/>
      <c r="N716" s="92"/>
      <c r="O716" s="92"/>
      <c r="P716" s="92"/>
      <c r="Q716" s="92"/>
      <c r="R716" s="93"/>
    </row>
    <row r="717" spans="1:18" s="32" customFormat="1" ht="17.5" customHeight="1">
      <c r="A717" s="91"/>
      <c r="B717" s="58" t="s">
        <v>37</v>
      </c>
      <c r="C717" s="58"/>
      <c r="D717" s="59">
        <f>D716*ROUND(E716/40,0)</f>
        <v>0</v>
      </c>
      <c r="E717" s="60">
        <f>50*10/1000*3.281</f>
        <v>1.64</v>
      </c>
      <c r="F717" s="60"/>
      <c r="G717" s="60"/>
      <c r="H717" s="60"/>
      <c r="I717" s="60">
        <f t="shared" ref="I717:I723" si="15">D717*E717</f>
        <v>0</v>
      </c>
      <c r="J717" s="60"/>
      <c r="K717" s="70"/>
      <c r="L717" s="92"/>
      <c r="M717" s="92"/>
      <c r="N717" s="92"/>
      <c r="O717" s="92"/>
      <c r="P717" s="92"/>
      <c r="Q717" s="92"/>
      <c r="R717" s="93"/>
    </row>
    <row r="718" spans="1:18" s="32" customFormat="1" ht="17.5" customHeight="1">
      <c r="A718" s="91"/>
      <c r="B718" s="58" t="s">
        <v>387</v>
      </c>
      <c r="C718" s="58"/>
      <c r="D718" s="59">
        <f>D715*ROUND((F715-0.83)/0.5+1,0)</f>
        <v>6</v>
      </c>
      <c r="E718" s="60">
        <f>13-0.17+18*10/1000*3.281</f>
        <v>13.42</v>
      </c>
      <c r="F718" s="60"/>
      <c r="G718" s="60"/>
      <c r="H718" s="60"/>
      <c r="I718" s="60">
        <f t="shared" si="15"/>
        <v>80.52</v>
      </c>
      <c r="J718" s="60"/>
      <c r="K718" s="70"/>
      <c r="L718" s="92"/>
      <c r="M718" s="92"/>
      <c r="N718" s="92"/>
      <c r="O718" s="92"/>
      <c r="P718" s="92"/>
      <c r="Q718" s="92"/>
      <c r="R718" s="93"/>
    </row>
    <row r="719" spans="1:18" s="32" customFormat="1" ht="17.5" customHeight="1">
      <c r="A719" s="91"/>
      <c r="B719" s="58" t="s">
        <v>37</v>
      </c>
      <c r="C719" s="58"/>
      <c r="D719" s="59">
        <f>D718*ROUND(E718/40,0)</f>
        <v>0</v>
      </c>
      <c r="E719" s="60">
        <f>50*10/1000*3.281</f>
        <v>1.64</v>
      </c>
      <c r="F719" s="60"/>
      <c r="G719" s="60"/>
      <c r="H719" s="60"/>
      <c r="I719" s="60">
        <f t="shared" si="15"/>
        <v>0</v>
      </c>
      <c r="J719" s="60"/>
      <c r="K719" s="70"/>
      <c r="L719" s="92"/>
      <c r="M719" s="92"/>
      <c r="N719" s="92"/>
      <c r="O719" s="92"/>
      <c r="P719" s="92"/>
      <c r="Q719" s="92"/>
      <c r="R719" s="93"/>
    </row>
    <row r="720" spans="1:18" s="32" customFormat="1" ht="17.5" customHeight="1">
      <c r="A720" s="91"/>
      <c r="B720" s="58" t="s">
        <v>522</v>
      </c>
      <c r="C720" s="58"/>
      <c r="D720" s="59">
        <f>D715*ROUND((E715-0.83*2)/0.5+1,0)</f>
        <v>24</v>
      </c>
      <c r="E720" s="60">
        <f>F715+0.83-0.17+18*10/1000*3.281</f>
        <v>4.75</v>
      </c>
      <c r="F720" s="60"/>
      <c r="G720" s="60"/>
      <c r="H720" s="60"/>
      <c r="I720" s="60">
        <f t="shared" si="15"/>
        <v>114</v>
      </c>
      <c r="J720" s="60"/>
      <c r="K720" s="70"/>
      <c r="L720" s="92"/>
      <c r="M720" s="92"/>
      <c r="N720" s="92"/>
      <c r="O720" s="92"/>
      <c r="P720" s="92"/>
      <c r="Q720" s="92"/>
      <c r="R720" s="93"/>
    </row>
    <row r="721" spans="1:18" s="32" customFormat="1" ht="17.5" customHeight="1">
      <c r="A721" s="91"/>
      <c r="B721" s="58" t="s">
        <v>37</v>
      </c>
      <c r="C721" s="58"/>
      <c r="D721" s="59">
        <f>D720*ROUND(E720/40,0)</f>
        <v>0</v>
      </c>
      <c r="E721" s="60">
        <f>50*10/1000*3.281</f>
        <v>1.64</v>
      </c>
      <c r="F721" s="60"/>
      <c r="G721" s="60"/>
      <c r="H721" s="60"/>
      <c r="I721" s="60">
        <f t="shared" si="15"/>
        <v>0</v>
      </c>
      <c r="J721" s="60"/>
      <c r="K721" s="70"/>
      <c r="L721" s="92"/>
      <c r="M721" s="92"/>
      <c r="N721" s="92"/>
      <c r="O721" s="92"/>
      <c r="P721" s="92"/>
      <c r="Q721" s="92"/>
      <c r="R721" s="93"/>
    </row>
    <row r="722" spans="1:18" s="32" customFormat="1" ht="17.5" customHeight="1">
      <c r="A722" s="91"/>
      <c r="B722" s="58" t="s">
        <v>523</v>
      </c>
      <c r="C722" s="58"/>
      <c r="D722" s="59">
        <f>D715*ROUND((F715-0.83)/0.5+1,0)</f>
        <v>6</v>
      </c>
      <c r="E722" s="60">
        <f>E715-0.17+18*10/1000*3.281</f>
        <v>13.42</v>
      </c>
      <c r="F722" s="60"/>
      <c r="G722" s="60"/>
      <c r="H722" s="60"/>
      <c r="I722" s="60">
        <f t="shared" si="15"/>
        <v>80.52</v>
      </c>
      <c r="J722" s="60"/>
      <c r="K722" s="70"/>
      <c r="L722" s="92"/>
      <c r="M722" s="92"/>
      <c r="N722" s="92"/>
      <c r="O722" s="92"/>
      <c r="P722" s="92"/>
      <c r="Q722" s="92"/>
      <c r="R722" s="93"/>
    </row>
    <row r="723" spans="1:18" s="32" customFormat="1" ht="17.5" customHeight="1">
      <c r="A723" s="91"/>
      <c r="B723" s="58" t="s">
        <v>37</v>
      </c>
      <c r="C723" s="58"/>
      <c r="D723" s="59">
        <f>D722*ROUND(E722/40,0)</f>
        <v>0</v>
      </c>
      <c r="E723" s="60">
        <f>50*10/1000*3.281</f>
        <v>1.64</v>
      </c>
      <c r="F723" s="60"/>
      <c r="G723" s="60"/>
      <c r="H723" s="60"/>
      <c r="I723" s="60">
        <f t="shared" si="15"/>
        <v>0</v>
      </c>
      <c r="J723" s="60"/>
      <c r="K723" s="70"/>
      <c r="L723" s="92"/>
      <c r="M723" s="92"/>
      <c r="N723" s="92"/>
      <c r="O723" s="92"/>
      <c r="P723" s="92"/>
      <c r="Q723" s="92"/>
      <c r="R723" s="93"/>
    </row>
    <row r="724" spans="1:18" s="32" customFormat="1" ht="17.5" customHeight="1">
      <c r="A724" s="91"/>
      <c r="B724" s="124"/>
      <c r="C724" s="124"/>
      <c r="D724" s="125"/>
      <c r="E724" s="126"/>
      <c r="F724" s="126"/>
      <c r="G724" s="126"/>
      <c r="H724" s="60"/>
      <c r="I724" s="60"/>
      <c r="J724" s="60"/>
      <c r="K724" s="70"/>
      <c r="L724" s="92"/>
      <c r="M724" s="92"/>
      <c r="N724" s="92"/>
      <c r="O724" s="92"/>
      <c r="P724" s="92"/>
      <c r="Q724" s="92"/>
      <c r="R724" s="93"/>
    </row>
    <row r="725" spans="1:18" s="32" customFormat="1" ht="17.5" customHeight="1">
      <c r="A725" s="91"/>
      <c r="B725" s="124" t="str">
        <f>B665</f>
        <v>Line 3, Verendah</v>
      </c>
      <c r="C725" s="124"/>
      <c r="D725" s="125">
        <f>D665</f>
        <v>1</v>
      </c>
      <c r="E725" s="126">
        <f>E665</f>
        <v>4</v>
      </c>
      <c r="F725" s="126">
        <f>F665</f>
        <v>16.5</v>
      </c>
      <c r="G725" s="126">
        <f>G665</f>
        <v>0.33</v>
      </c>
      <c r="H725" s="60"/>
      <c r="I725" s="60"/>
      <c r="J725" s="60"/>
      <c r="K725" s="70"/>
      <c r="L725" s="92"/>
      <c r="M725" s="92"/>
      <c r="N725" s="92"/>
      <c r="O725" s="92"/>
      <c r="P725" s="92"/>
      <c r="Q725" s="92"/>
      <c r="R725" s="93"/>
    </row>
    <row r="726" spans="1:18" s="32" customFormat="1" ht="17.5" customHeight="1">
      <c r="A726" s="91"/>
      <c r="B726" s="58" t="s">
        <v>386</v>
      </c>
      <c r="C726" s="124"/>
      <c r="D726" s="59">
        <f>D725*ROUND((E725-0.83*2)/0.5+1,0)</f>
        <v>6</v>
      </c>
      <c r="E726" s="60">
        <f>F725+0.83-0.17+18*10/1000*3.281</f>
        <v>17.75</v>
      </c>
      <c r="F726" s="126"/>
      <c r="G726" s="126"/>
      <c r="H726" s="60"/>
      <c r="I726" s="60">
        <f t="shared" ref="I726:I733" si="16">D726*E726</f>
        <v>106.5</v>
      </c>
      <c r="J726" s="60"/>
      <c r="K726" s="70"/>
      <c r="L726" s="92"/>
      <c r="M726" s="92"/>
      <c r="N726" s="92"/>
      <c r="O726" s="92"/>
      <c r="P726" s="92"/>
      <c r="Q726" s="92"/>
      <c r="R726" s="93"/>
    </row>
    <row r="727" spans="1:18" s="32" customFormat="1" ht="17.5" customHeight="1">
      <c r="A727" s="91"/>
      <c r="B727" s="58" t="s">
        <v>37</v>
      </c>
      <c r="C727" s="58"/>
      <c r="D727" s="59">
        <f>D726*ROUND(E726/40,0)</f>
        <v>0</v>
      </c>
      <c r="E727" s="60">
        <f>50*10/1000*3.281</f>
        <v>1.64</v>
      </c>
      <c r="F727" s="60"/>
      <c r="G727" s="60"/>
      <c r="H727" s="60"/>
      <c r="I727" s="60">
        <f t="shared" si="16"/>
        <v>0</v>
      </c>
      <c r="J727" s="60"/>
      <c r="K727" s="70"/>
      <c r="L727" s="92"/>
      <c r="M727" s="92"/>
      <c r="N727" s="92"/>
      <c r="O727" s="92"/>
      <c r="P727" s="92"/>
      <c r="Q727" s="92"/>
      <c r="R727" s="93"/>
    </row>
    <row r="728" spans="1:18" s="32" customFormat="1" ht="17.5" customHeight="1">
      <c r="A728" s="91"/>
      <c r="B728" s="58" t="s">
        <v>387</v>
      </c>
      <c r="C728" s="58"/>
      <c r="D728" s="59">
        <f>D725*ROUND((F725-0.83)/0.5+1,0)</f>
        <v>32</v>
      </c>
      <c r="E728" s="60">
        <f>13-0.17+18*10/1000*3.281</f>
        <v>13.42</v>
      </c>
      <c r="F728" s="60"/>
      <c r="G728" s="60"/>
      <c r="H728" s="60"/>
      <c r="I728" s="60">
        <f t="shared" si="16"/>
        <v>429.44</v>
      </c>
      <c r="J728" s="60"/>
      <c r="K728" s="70"/>
      <c r="L728" s="92"/>
      <c r="M728" s="92"/>
      <c r="N728" s="92"/>
      <c r="O728" s="92"/>
      <c r="P728" s="92"/>
      <c r="Q728" s="92"/>
      <c r="R728" s="93"/>
    </row>
    <row r="729" spans="1:18" s="32" customFormat="1" ht="17.5" customHeight="1">
      <c r="A729" s="91"/>
      <c r="B729" s="58" t="s">
        <v>37</v>
      </c>
      <c r="C729" s="58"/>
      <c r="D729" s="59">
        <f>D728*ROUND(E728/40,0)</f>
        <v>0</v>
      </c>
      <c r="E729" s="60">
        <f>50*10/1000*3.281</f>
        <v>1.64</v>
      </c>
      <c r="F729" s="60"/>
      <c r="G729" s="60"/>
      <c r="H729" s="60"/>
      <c r="I729" s="60">
        <f t="shared" si="16"/>
        <v>0</v>
      </c>
      <c r="J729" s="60"/>
      <c r="K729" s="70"/>
      <c r="L729" s="92"/>
      <c r="M729" s="92"/>
      <c r="N729" s="92"/>
      <c r="O729" s="92"/>
      <c r="P729" s="92"/>
      <c r="Q729" s="92"/>
      <c r="R729" s="93"/>
    </row>
    <row r="730" spans="1:18" s="32" customFormat="1" ht="17.5" customHeight="1">
      <c r="A730" s="91"/>
      <c r="B730" s="58" t="s">
        <v>522</v>
      </c>
      <c r="C730" s="58"/>
      <c r="D730" s="59">
        <f>D725*ROUND((E725-0.83*2)/0.5+1,0)</f>
        <v>6</v>
      </c>
      <c r="E730" s="60">
        <f>F725+0.83-0.17+18*10/1000*3.281</f>
        <v>17.75</v>
      </c>
      <c r="F730" s="60"/>
      <c r="G730" s="60"/>
      <c r="H730" s="60"/>
      <c r="I730" s="60">
        <f t="shared" si="16"/>
        <v>106.5</v>
      </c>
      <c r="J730" s="60"/>
      <c r="K730" s="70"/>
      <c r="L730" s="92"/>
      <c r="M730" s="92"/>
      <c r="N730" s="92"/>
      <c r="O730" s="92"/>
      <c r="P730" s="92"/>
      <c r="Q730" s="92"/>
      <c r="R730" s="93"/>
    </row>
    <row r="731" spans="1:18" s="32" customFormat="1" ht="17.5" customHeight="1">
      <c r="A731" s="91"/>
      <c r="B731" s="58" t="s">
        <v>37</v>
      </c>
      <c r="C731" s="58"/>
      <c r="D731" s="59">
        <f>D730*ROUND(E730/40,0)</f>
        <v>0</v>
      </c>
      <c r="E731" s="60">
        <f>50*10/1000*3.281</f>
        <v>1.64</v>
      </c>
      <c r="F731" s="60"/>
      <c r="G731" s="60"/>
      <c r="H731" s="60"/>
      <c r="I731" s="60">
        <f t="shared" si="16"/>
        <v>0</v>
      </c>
      <c r="J731" s="60"/>
      <c r="K731" s="70"/>
      <c r="L731" s="92"/>
      <c r="M731" s="92"/>
      <c r="N731" s="92"/>
      <c r="O731" s="92"/>
      <c r="P731" s="92"/>
      <c r="Q731" s="92"/>
      <c r="R731" s="93"/>
    </row>
    <row r="732" spans="1:18" s="32" customFormat="1" ht="17.5" customHeight="1">
      <c r="A732" s="91"/>
      <c r="B732" s="58" t="s">
        <v>523</v>
      </c>
      <c r="C732" s="58"/>
      <c r="D732" s="59">
        <f>D725*ROUND((F725-0.83)/0.5+1,0)</f>
        <v>32</v>
      </c>
      <c r="E732" s="60">
        <f>E725-0.17+18*10/1000*3.281</f>
        <v>4.42</v>
      </c>
      <c r="F732" s="60"/>
      <c r="G732" s="60"/>
      <c r="H732" s="60"/>
      <c r="I732" s="60">
        <f t="shared" si="16"/>
        <v>141.44</v>
      </c>
      <c r="J732" s="60"/>
      <c r="K732" s="70"/>
      <c r="L732" s="92"/>
      <c r="M732" s="92"/>
      <c r="N732" s="92"/>
      <c r="O732" s="92"/>
      <c r="P732" s="92"/>
      <c r="Q732" s="92"/>
      <c r="R732" s="93"/>
    </row>
    <row r="733" spans="1:18" s="32" customFormat="1" ht="17.5" customHeight="1">
      <c r="A733" s="91"/>
      <c r="B733" s="58" t="s">
        <v>37</v>
      </c>
      <c r="C733" s="58"/>
      <c r="D733" s="59">
        <f>D732*ROUND(E732/40,0)</f>
        <v>0</v>
      </c>
      <c r="E733" s="60">
        <f>50*10/1000*3.281</f>
        <v>1.64</v>
      </c>
      <c r="F733" s="60"/>
      <c r="G733" s="60"/>
      <c r="H733" s="60"/>
      <c r="I733" s="60">
        <f t="shared" si="16"/>
        <v>0</v>
      </c>
      <c r="J733" s="60"/>
      <c r="K733" s="70"/>
      <c r="L733" s="92"/>
      <c r="M733" s="92"/>
      <c r="N733" s="92"/>
      <c r="O733" s="92"/>
      <c r="P733" s="92"/>
      <c r="Q733" s="92"/>
      <c r="R733" s="93"/>
    </row>
    <row r="734" spans="1:18" s="32" customFormat="1" ht="17.5" customHeight="1">
      <c r="A734" s="91"/>
      <c r="B734" s="124"/>
      <c r="C734" s="124"/>
      <c r="D734" s="125"/>
      <c r="E734" s="126"/>
      <c r="F734" s="126"/>
      <c r="G734" s="126"/>
      <c r="H734" s="60"/>
      <c r="I734" s="60"/>
      <c r="J734" s="60"/>
      <c r="K734" s="70"/>
      <c r="L734" s="92"/>
      <c r="M734" s="92"/>
      <c r="N734" s="92"/>
      <c r="O734" s="92"/>
      <c r="P734" s="92"/>
      <c r="Q734" s="92"/>
      <c r="R734" s="93"/>
    </row>
    <row r="735" spans="1:18" s="32" customFormat="1" ht="17.5" customHeight="1">
      <c r="A735" s="91"/>
      <c r="B735" s="124" t="str">
        <f>B666</f>
        <v>Beside Portico Beam (10" Down)</v>
      </c>
      <c r="C735" s="124"/>
      <c r="D735" s="125">
        <f>D666</f>
        <v>2</v>
      </c>
      <c r="E735" s="126">
        <f>E666</f>
        <v>4.5</v>
      </c>
      <c r="F735" s="126">
        <f>F666</f>
        <v>0.67</v>
      </c>
      <c r="G735" s="126">
        <f>G666</f>
        <v>0.33</v>
      </c>
      <c r="H735" s="60"/>
      <c r="I735" s="60"/>
      <c r="J735" s="60"/>
      <c r="K735" s="70"/>
      <c r="L735" s="92"/>
      <c r="M735" s="92"/>
      <c r="N735" s="92"/>
      <c r="O735" s="92"/>
      <c r="P735" s="92"/>
      <c r="Q735" s="92"/>
      <c r="R735" s="93"/>
    </row>
    <row r="736" spans="1:18" s="32" customFormat="1" ht="17.5" customHeight="1">
      <c r="A736" s="91"/>
      <c r="B736" s="58" t="s">
        <v>386</v>
      </c>
      <c r="C736" s="124"/>
      <c r="D736" s="59">
        <f>D735*ROUND(E735/0.5+1,0)</f>
        <v>20</v>
      </c>
      <c r="E736" s="60">
        <f>F735+0.83-0.25+18*10/1000*3.281</f>
        <v>1.84</v>
      </c>
      <c r="F736" s="126"/>
      <c r="G736" s="126"/>
      <c r="H736" s="60"/>
      <c r="I736" s="60">
        <f t="shared" ref="I736:I743" si="17">D736*E736</f>
        <v>36.799999999999997</v>
      </c>
      <c r="J736" s="60"/>
      <c r="K736" s="70"/>
      <c r="L736" s="92"/>
      <c r="M736" s="92"/>
      <c r="N736" s="92"/>
      <c r="O736" s="92"/>
      <c r="P736" s="92"/>
      <c r="Q736" s="92"/>
      <c r="R736" s="93"/>
    </row>
    <row r="737" spans="1:18" s="32" customFormat="1" ht="17.5" customHeight="1">
      <c r="A737" s="91"/>
      <c r="B737" s="58" t="s">
        <v>37</v>
      </c>
      <c r="C737" s="58"/>
      <c r="D737" s="59">
        <f>D736*ROUND(E736/40,0)</f>
        <v>0</v>
      </c>
      <c r="E737" s="60">
        <f>50*10/1000*3.281</f>
        <v>1.64</v>
      </c>
      <c r="F737" s="60"/>
      <c r="G737" s="60"/>
      <c r="H737" s="60"/>
      <c r="I737" s="60">
        <f t="shared" si="17"/>
        <v>0</v>
      </c>
      <c r="J737" s="60"/>
      <c r="K737" s="70"/>
      <c r="L737" s="92"/>
      <c r="M737" s="92"/>
      <c r="N737" s="92"/>
      <c r="O737" s="92"/>
      <c r="P737" s="92"/>
      <c r="Q737" s="92"/>
      <c r="R737" s="93"/>
    </row>
    <row r="738" spans="1:18" s="32" customFormat="1" ht="17.5" customHeight="1">
      <c r="A738" s="91"/>
      <c r="B738" s="58" t="s">
        <v>387</v>
      </c>
      <c r="C738" s="58"/>
      <c r="D738" s="59">
        <f>D735*ROUND((F735)/0.5+1,0)</f>
        <v>4</v>
      </c>
      <c r="E738" s="60">
        <f>E735-0.25+18*10/1000*3.281</f>
        <v>4.84</v>
      </c>
      <c r="F738" s="60"/>
      <c r="G738" s="60"/>
      <c r="H738" s="60"/>
      <c r="I738" s="60">
        <f t="shared" si="17"/>
        <v>19.36</v>
      </c>
      <c r="J738" s="60"/>
      <c r="K738" s="70"/>
      <c r="L738" s="92"/>
      <c r="M738" s="92"/>
      <c r="N738" s="92"/>
      <c r="O738" s="92"/>
      <c r="P738" s="92"/>
      <c r="Q738" s="92"/>
      <c r="R738" s="93"/>
    </row>
    <row r="739" spans="1:18" s="32" customFormat="1" ht="17.5" customHeight="1">
      <c r="A739" s="91"/>
      <c r="B739" s="58" t="s">
        <v>37</v>
      </c>
      <c r="C739" s="58"/>
      <c r="D739" s="59">
        <f>D738*ROUND(E738/40,0)</f>
        <v>0</v>
      </c>
      <c r="E739" s="60">
        <f>50*10/1000*3.281</f>
        <v>1.64</v>
      </c>
      <c r="F739" s="60"/>
      <c r="G739" s="60"/>
      <c r="H739" s="60"/>
      <c r="I739" s="60">
        <f t="shared" si="17"/>
        <v>0</v>
      </c>
      <c r="J739" s="60"/>
      <c r="K739" s="70"/>
      <c r="L739" s="92"/>
      <c r="M739" s="92"/>
      <c r="N739" s="92"/>
      <c r="O739" s="92"/>
      <c r="P739" s="92"/>
      <c r="Q739" s="92"/>
      <c r="R739" s="93"/>
    </row>
    <row r="740" spans="1:18" s="32" customFormat="1" ht="17.5" customHeight="1">
      <c r="A740" s="91"/>
      <c r="B740" s="58" t="s">
        <v>522</v>
      </c>
      <c r="C740" s="58"/>
      <c r="D740" s="59">
        <f>D735*ROUND(E735/0.5+1,0)</f>
        <v>20</v>
      </c>
      <c r="E740" s="60">
        <f>F735+0.83-0.25+18*10/1000*3.281</f>
        <v>1.84</v>
      </c>
      <c r="F740" s="60"/>
      <c r="G740" s="60"/>
      <c r="H740" s="60"/>
      <c r="I740" s="60">
        <f t="shared" si="17"/>
        <v>36.799999999999997</v>
      </c>
      <c r="J740" s="60"/>
      <c r="K740" s="70"/>
      <c r="L740" s="92"/>
      <c r="M740" s="92"/>
      <c r="N740" s="92"/>
      <c r="O740" s="92"/>
      <c r="P740" s="92"/>
      <c r="Q740" s="92"/>
      <c r="R740" s="93"/>
    </row>
    <row r="741" spans="1:18" s="32" customFormat="1" ht="17.5" customHeight="1">
      <c r="A741" s="91"/>
      <c r="B741" s="58" t="s">
        <v>37</v>
      </c>
      <c r="C741" s="58"/>
      <c r="D741" s="59">
        <f>D740*ROUND(E740/40,0)</f>
        <v>0</v>
      </c>
      <c r="E741" s="60">
        <f>50*10/1000*3.281</f>
        <v>1.64</v>
      </c>
      <c r="F741" s="60"/>
      <c r="G741" s="60"/>
      <c r="H741" s="60"/>
      <c r="I741" s="60">
        <f t="shared" si="17"/>
        <v>0</v>
      </c>
      <c r="J741" s="60"/>
      <c r="K741" s="70"/>
      <c r="L741" s="92"/>
      <c r="M741" s="92"/>
      <c r="N741" s="92"/>
      <c r="O741" s="92"/>
      <c r="P741" s="92"/>
      <c r="Q741" s="92"/>
      <c r="R741" s="93"/>
    </row>
    <row r="742" spans="1:18" s="32" customFormat="1" ht="17.5" customHeight="1">
      <c r="A742" s="91"/>
      <c r="B742" s="58" t="s">
        <v>523</v>
      </c>
      <c r="C742" s="58"/>
      <c r="D742" s="59">
        <f>D735*ROUND((F735)/0.5+1,0)</f>
        <v>4</v>
      </c>
      <c r="E742" s="60">
        <f>E735-0.25+18*10/1000*3.281</f>
        <v>4.84</v>
      </c>
      <c r="F742" s="60"/>
      <c r="G742" s="60"/>
      <c r="H742" s="60"/>
      <c r="I742" s="60">
        <f t="shared" si="17"/>
        <v>19.36</v>
      </c>
      <c r="J742" s="60"/>
      <c r="K742" s="70"/>
      <c r="L742" s="92"/>
      <c r="M742" s="92"/>
      <c r="N742" s="92"/>
      <c r="O742" s="92"/>
      <c r="P742" s="92"/>
      <c r="Q742" s="92"/>
      <c r="R742" s="93"/>
    </row>
    <row r="743" spans="1:18" s="32" customFormat="1" ht="17.5" customHeight="1">
      <c r="A743" s="91"/>
      <c r="B743" s="58" t="s">
        <v>37</v>
      </c>
      <c r="C743" s="58"/>
      <c r="D743" s="59">
        <f>D742*ROUND(E742/40,0)</f>
        <v>0</v>
      </c>
      <c r="E743" s="60">
        <f>50*10/1000*3.281</f>
        <v>1.64</v>
      </c>
      <c r="F743" s="60"/>
      <c r="G743" s="60"/>
      <c r="H743" s="60"/>
      <c r="I743" s="60">
        <f t="shared" si="17"/>
        <v>0</v>
      </c>
      <c r="J743" s="60"/>
      <c r="K743" s="70"/>
      <c r="L743" s="92"/>
      <c r="M743" s="92"/>
      <c r="N743" s="92"/>
      <c r="O743" s="92"/>
      <c r="P743" s="92"/>
      <c r="Q743" s="92"/>
      <c r="R743" s="93"/>
    </row>
    <row r="744" spans="1:18" s="32" customFormat="1" ht="17.5" customHeight="1">
      <c r="A744" s="91"/>
      <c r="B744" s="124"/>
      <c r="C744" s="124"/>
      <c r="D744" s="125"/>
      <c r="E744" s="126"/>
      <c r="F744" s="126"/>
      <c r="G744" s="126"/>
      <c r="H744" s="60"/>
      <c r="I744" s="60"/>
      <c r="J744" s="60"/>
      <c r="K744" s="70"/>
      <c r="L744" s="92"/>
      <c r="M744" s="92"/>
      <c r="N744" s="92"/>
      <c r="O744" s="92"/>
      <c r="P744" s="92"/>
      <c r="Q744" s="92"/>
      <c r="R744" s="93"/>
    </row>
    <row r="745" spans="1:18" s="32" customFormat="1" ht="17.5" customHeight="1">
      <c r="A745" s="91"/>
      <c r="B745" s="251" t="s">
        <v>521</v>
      </c>
      <c r="C745" s="58"/>
      <c r="D745" s="59">
        <f>D674</f>
        <v>1</v>
      </c>
      <c r="E745" s="60">
        <f>E674</f>
        <v>8.17</v>
      </c>
      <c r="F745" s="60">
        <f>F674</f>
        <v>10.33</v>
      </c>
      <c r="G745" s="60"/>
      <c r="H745" s="60"/>
      <c r="I745" s="60"/>
      <c r="J745" s="60"/>
      <c r="K745" s="70"/>
      <c r="L745" s="92"/>
      <c r="M745" s="92"/>
      <c r="N745" s="92"/>
      <c r="O745" s="92"/>
      <c r="P745" s="92"/>
      <c r="Q745" s="92"/>
      <c r="R745" s="93"/>
    </row>
    <row r="746" spans="1:18" s="32" customFormat="1" ht="17.5" customHeight="1">
      <c r="A746" s="91"/>
      <c r="B746" s="58" t="s">
        <v>524</v>
      </c>
      <c r="C746" s="58"/>
      <c r="D746" s="59">
        <f>D745*ROUND(E745/0.5,0)*2</f>
        <v>32</v>
      </c>
      <c r="E746" s="60">
        <f>F745</f>
        <v>10.33</v>
      </c>
      <c r="F746" s="60"/>
      <c r="G746" s="60"/>
      <c r="H746" s="60">
        <f>D746*E746</f>
        <v>330.56</v>
      </c>
      <c r="I746" s="60"/>
      <c r="J746" s="60"/>
      <c r="K746" s="70"/>
      <c r="L746" s="92"/>
      <c r="M746" s="92"/>
      <c r="N746" s="92"/>
      <c r="O746" s="92"/>
      <c r="P746" s="92"/>
      <c r="Q746" s="92"/>
      <c r="R746" s="93"/>
    </row>
    <row r="747" spans="1:18" s="32" customFormat="1" ht="17.5" customHeight="1">
      <c r="A747" s="91"/>
      <c r="B747" s="58" t="s">
        <v>525</v>
      </c>
      <c r="C747" s="58"/>
      <c r="D747" s="59">
        <f>D745*ROUND(F745/0.5,0)*2</f>
        <v>42</v>
      </c>
      <c r="E747" s="60">
        <f>E745</f>
        <v>8.17</v>
      </c>
      <c r="F747" s="60"/>
      <c r="G747" s="60"/>
      <c r="H747" s="60">
        <f>D747*E747</f>
        <v>343.14</v>
      </c>
      <c r="I747" s="60"/>
      <c r="J747" s="60"/>
      <c r="K747" s="70"/>
      <c r="L747" s="92"/>
      <c r="M747" s="92"/>
      <c r="N747" s="92"/>
      <c r="O747" s="92"/>
      <c r="P747" s="92"/>
      <c r="Q747" s="92"/>
      <c r="R747" s="93"/>
    </row>
    <row r="748" spans="1:18" s="32" customFormat="1" ht="17.5" customHeight="1">
      <c r="A748" s="91"/>
      <c r="B748" s="58"/>
      <c r="C748" s="58"/>
      <c r="D748" s="59"/>
      <c r="E748" s="60"/>
      <c r="F748" s="60"/>
      <c r="G748" s="60"/>
      <c r="H748" s="60">
        <f>SUM(H706:H747)</f>
        <v>673.7</v>
      </c>
      <c r="I748" s="60">
        <f>SUM(I706:I747)</f>
        <v>8498.7900000000009</v>
      </c>
      <c r="J748" s="60">
        <f>I748-H748</f>
        <v>7825.09</v>
      </c>
      <c r="K748" s="322" t="s">
        <v>82</v>
      </c>
      <c r="L748" s="92"/>
      <c r="M748" s="92"/>
      <c r="N748" s="92"/>
      <c r="O748" s="92"/>
      <c r="P748" s="92"/>
      <c r="Q748" s="92"/>
      <c r="R748" s="93"/>
    </row>
    <row r="749" spans="1:18" s="32" customFormat="1" ht="17.5" customHeight="1">
      <c r="A749" s="91"/>
      <c r="B749" s="58"/>
      <c r="C749" s="58"/>
      <c r="D749" s="59"/>
      <c r="E749" s="60"/>
      <c r="F749" s="60"/>
      <c r="G749" s="60"/>
      <c r="H749" s="60"/>
      <c r="I749" s="323" t="s">
        <v>528</v>
      </c>
      <c r="J749" s="126">
        <f>J748/39.33/135</f>
        <v>1.47</v>
      </c>
      <c r="K749" s="313" t="s">
        <v>14</v>
      </c>
      <c r="L749" s="92"/>
      <c r="M749" s="92"/>
      <c r="N749" s="92"/>
      <c r="O749" s="92"/>
      <c r="P749" s="92"/>
      <c r="Q749" s="92"/>
      <c r="R749" s="93"/>
    </row>
    <row r="750" spans="1:18" s="32" customFormat="1" ht="17.5" customHeight="1">
      <c r="A750" s="91"/>
      <c r="B750" s="58"/>
      <c r="C750" s="58"/>
      <c r="D750" s="59"/>
      <c r="E750" s="60"/>
      <c r="F750" s="60"/>
      <c r="G750" s="60"/>
      <c r="H750" s="60"/>
      <c r="I750" s="60"/>
      <c r="J750" s="60"/>
      <c r="K750" s="70"/>
      <c r="L750" s="92"/>
      <c r="M750" s="92"/>
      <c r="N750" s="92"/>
      <c r="O750" s="92"/>
      <c r="P750" s="92"/>
      <c r="Q750" s="92"/>
      <c r="R750" s="93"/>
    </row>
    <row r="751" spans="1:18" s="32" customFormat="1" ht="17.5" customHeight="1">
      <c r="A751" s="91"/>
      <c r="B751" s="127" t="s">
        <v>142</v>
      </c>
      <c r="C751" s="58"/>
      <c r="D751" s="59"/>
      <c r="E751" s="60"/>
      <c r="F751" s="60"/>
      <c r="G751" s="60"/>
      <c r="H751" s="60"/>
      <c r="I751" s="60"/>
      <c r="J751" s="60"/>
      <c r="K751" s="70"/>
      <c r="L751" s="92"/>
      <c r="M751" s="92"/>
      <c r="N751" s="92"/>
      <c r="O751" s="92"/>
      <c r="P751" s="92" t="e">
        <f>#REF!*0.668/2240</f>
        <v>#REF!</v>
      </c>
      <c r="Q751" s="92"/>
      <c r="R751" s="93"/>
    </row>
    <row r="752" spans="1:18" s="32" customFormat="1" ht="17.5" customHeight="1">
      <c r="A752" s="91"/>
      <c r="B752" s="124" t="str">
        <f>B677</f>
        <v>Bet; 1&amp;3, A&amp;B</v>
      </c>
      <c r="C752" s="124"/>
      <c r="D752" s="125">
        <f>D677</f>
        <v>1</v>
      </c>
      <c r="E752" s="126">
        <f>E677+0.83*3</f>
        <v>16.329999999999998</v>
      </c>
      <c r="F752" s="126">
        <f>F677+0.83*2</f>
        <v>6.08</v>
      </c>
      <c r="G752" s="60"/>
      <c r="H752" s="60"/>
      <c r="I752" s="60"/>
      <c r="J752" s="60"/>
      <c r="K752" s="70"/>
      <c r="L752" s="92"/>
      <c r="M752" s="92"/>
      <c r="N752" s="92"/>
      <c r="O752" s="92"/>
      <c r="P752" s="92"/>
      <c r="Q752" s="92"/>
      <c r="R752" s="93"/>
    </row>
    <row r="753" spans="1:18" s="32" customFormat="1" ht="17.5" customHeight="1">
      <c r="A753" s="91"/>
      <c r="B753" s="58" t="s">
        <v>386</v>
      </c>
      <c r="C753" s="58"/>
      <c r="D753" s="59">
        <f>D752*ROUND(7.33/0.5+1,0)+D752*ROUND(6.5/0.5+1,0)</f>
        <v>30</v>
      </c>
      <c r="E753" s="60">
        <f>F752-0.25+18*10/1000*3.281</f>
        <v>6.42</v>
      </c>
      <c r="F753" s="60"/>
      <c r="G753" s="60"/>
      <c r="H753" s="60"/>
      <c r="I753" s="60">
        <f t="shared" ref="I753:I760" si="18">D753*E753</f>
        <v>192.6</v>
      </c>
      <c r="J753" s="60"/>
      <c r="K753" s="70"/>
      <c r="L753" s="92"/>
      <c r="M753" s="92"/>
      <c r="N753" s="92"/>
      <c r="O753" s="92"/>
      <c r="P753" s="92"/>
      <c r="Q753" s="92"/>
      <c r="R753" s="93"/>
    </row>
    <row r="754" spans="1:18" s="32" customFormat="1" ht="17.5" customHeight="1">
      <c r="A754" s="91"/>
      <c r="B754" s="58" t="s">
        <v>37</v>
      </c>
      <c r="C754" s="58"/>
      <c r="D754" s="59">
        <f>D753*ROUND(E753/40,0)</f>
        <v>0</v>
      </c>
      <c r="E754" s="60">
        <f>50*10/1000*3.281</f>
        <v>1.64</v>
      </c>
      <c r="F754" s="60"/>
      <c r="G754" s="60"/>
      <c r="H754" s="60"/>
      <c r="I754" s="60">
        <f t="shared" si="18"/>
        <v>0</v>
      </c>
      <c r="J754" s="60"/>
      <c r="K754" s="70"/>
      <c r="L754" s="92"/>
      <c r="M754" s="92"/>
      <c r="N754" s="92"/>
      <c r="O754" s="92"/>
      <c r="P754" s="92"/>
      <c r="Q754" s="92"/>
      <c r="R754" s="93"/>
    </row>
    <row r="755" spans="1:18" s="32" customFormat="1" ht="17.5" customHeight="1">
      <c r="A755" s="91"/>
      <c r="B755" s="58" t="s">
        <v>387</v>
      </c>
      <c r="C755" s="58"/>
      <c r="D755" s="59">
        <f>D752*ROUND((F752-0.83*2)/0.5+1,0)</f>
        <v>10</v>
      </c>
      <c r="E755" s="60">
        <f>E752-0.25+18*10/1000*3.281</f>
        <v>16.670000000000002</v>
      </c>
      <c r="F755" s="60"/>
      <c r="G755" s="60"/>
      <c r="H755" s="60"/>
      <c r="I755" s="60">
        <f t="shared" si="18"/>
        <v>166.7</v>
      </c>
      <c r="J755" s="60"/>
      <c r="K755" s="70"/>
      <c r="L755" s="92"/>
      <c r="M755" s="92"/>
      <c r="N755" s="92"/>
      <c r="O755" s="92"/>
      <c r="P755" s="92"/>
      <c r="Q755" s="92"/>
      <c r="R755" s="93"/>
    </row>
    <row r="756" spans="1:18" s="32" customFormat="1" ht="17.5" customHeight="1">
      <c r="A756" s="91"/>
      <c r="B756" s="58" t="s">
        <v>37</v>
      </c>
      <c r="C756" s="58"/>
      <c r="D756" s="59">
        <f>D755*ROUND(E755/40,0)</f>
        <v>0</v>
      </c>
      <c r="E756" s="60">
        <f>50*10/1000*3.281</f>
        <v>1.64</v>
      </c>
      <c r="F756" s="60"/>
      <c r="G756" s="60"/>
      <c r="H756" s="60"/>
      <c r="I756" s="60">
        <f t="shared" si="18"/>
        <v>0</v>
      </c>
      <c r="J756" s="60"/>
      <c r="K756" s="70"/>
      <c r="L756" s="92"/>
      <c r="M756" s="92"/>
      <c r="N756" s="92"/>
      <c r="O756" s="92"/>
      <c r="P756" s="92"/>
      <c r="Q756" s="92"/>
      <c r="R756" s="93"/>
    </row>
    <row r="757" spans="1:18" s="32" customFormat="1" ht="17.5" customHeight="1">
      <c r="A757" s="91"/>
      <c r="B757" s="58" t="s">
        <v>522</v>
      </c>
      <c r="C757" s="58"/>
      <c r="D757" s="59">
        <f>D752*ROUND(7.33/0.5+1,0)+D752*ROUND(6.5/0.5+1,0)</f>
        <v>30</v>
      </c>
      <c r="E757" s="60">
        <f>F752-0.25+18*10/1000*3.281</f>
        <v>6.42</v>
      </c>
      <c r="F757" s="60"/>
      <c r="G757" s="60"/>
      <c r="H757" s="60"/>
      <c r="I757" s="60">
        <f t="shared" si="18"/>
        <v>192.6</v>
      </c>
      <c r="J757" s="60"/>
      <c r="K757" s="70"/>
      <c r="L757" s="92"/>
      <c r="M757" s="92"/>
      <c r="N757" s="92"/>
      <c r="O757" s="92"/>
      <c r="P757" s="92"/>
      <c r="Q757" s="92"/>
      <c r="R757" s="93"/>
    </row>
    <row r="758" spans="1:18" s="32" customFormat="1" ht="17.5" customHeight="1">
      <c r="A758" s="91"/>
      <c r="B758" s="58" t="s">
        <v>37</v>
      </c>
      <c r="C758" s="58"/>
      <c r="D758" s="59">
        <f>D757*ROUND(E757/40,0)</f>
        <v>0</v>
      </c>
      <c r="E758" s="60">
        <f>50*10/1000*3.281</f>
        <v>1.64</v>
      </c>
      <c r="F758" s="60"/>
      <c r="G758" s="60"/>
      <c r="H758" s="60"/>
      <c r="I758" s="60">
        <f t="shared" si="18"/>
        <v>0</v>
      </c>
      <c r="J758" s="60"/>
      <c r="K758" s="70"/>
      <c r="L758" s="92"/>
      <c r="M758" s="92"/>
      <c r="N758" s="92"/>
      <c r="O758" s="92"/>
      <c r="P758" s="92"/>
      <c r="Q758" s="92"/>
      <c r="R758" s="93"/>
    </row>
    <row r="759" spans="1:18" s="32" customFormat="1" ht="17.5" customHeight="1">
      <c r="A759" s="91"/>
      <c r="B759" s="58" t="s">
        <v>523</v>
      </c>
      <c r="C759" s="58"/>
      <c r="D759" s="59">
        <f>D752*ROUND((F752-0.83*2)/0.5+1,0)</f>
        <v>10</v>
      </c>
      <c r="E759" s="60">
        <f>E752-0.25+18*10/1000*3.281</f>
        <v>16.670000000000002</v>
      </c>
      <c r="F759" s="60"/>
      <c r="G759" s="60"/>
      <c r="H759" s="60"/>
      <c r="I759" s="60">
        <f t="shared" si="18"/>
        <v>166.7</v>
      </c>
      <c r="J759" s="60"/>
      <c r="K759" s="70"/>
      <c r="L759" s="92"/>
      <c r="M759" s="92"/>
      <c r="N759" s="92"/>
      <c r="O759" s="92"/>
      <c r="P759" s="92"/>
      <c r="Q759" s="92"/>
      <c r="R759" s="93"/>
    </row>
    <row r="760" spans="1:18" s="32" customFormat="1" ht="17.5" customHeight="1">
      <c r="A760" s="91"/>
      <c r="B760" s="58" t="s">
        <v>37</v>
      </c>
      <c r="C760" s="58"/>
      <c r="D760" s="59">
        <f>D759*ROUND(E759/40,0)</f>
        <v>0</v>
      </c>
      <c r="E760" s="60">
        <f>50*10/1000*3.281</f>
        <v>1.64</v>
      </c>
      <c r="F760" s="60"/>
      <c r="G760" s="60"/>
      <c r="H760" s="60"/>
      <c r="I760" s="60">
        <f t="shared" si="18"/>
        <v>0</v>
      </c>
      <c r="J760" s="60"/>
      <c r="K760" s="70"/>
      <c r="L760" s="92"/>
      <c r="M760" s="92"/>
      <c r="N760" s="92"/>
      <c r="O760" s="92"/>
      <c r="P760" s="92"/>
      <c r="Q760" s="92"/>
      <c r="R760" s="93"/>
    </row>
    <row r="761" spans="1:18" s="32" customFormat="1" ht="17.5" customHeight="1">
      <c r="A761" s="91"/>
      <c r="B761" s="58"/>
      <c r="C761" s="58"/>
      <c r="D761" s="59"/>
      <c r="E761" s="60"/>
      <c r="F761" s="60"/>
      <c r="G761" s="60"/>
      <c r="H761" s="60">
        <f>SUM(H753:H760)</f>
        <v>0</v>
      </c>
      <c r="I761" s="60">
        <f>SUM(I753:I760)</f>
        <v>718.6</v>
      </c>
      <c r="J761" s="60">
        <f>I761-H761</f>
        <v>718.6</v>
      </c>
      <c r="K761" s="322" t="s">
        <v>82</v>
      </c>
      <c r="L761" s="92"/>
      <c r="M761" s="92"/>
      <c r="N761" s="92"/>
      <c r="O761" s="92"/>
      <c r="P761" s="92"/>
      <c r="Q761" s="92"/>
      <c r="R761" s="93"/>
    </row>
    <row r="762" spans="1:18" s="32" customFormat="1" ht="17.5" customHeight="1">
      <c r="A762" s="91"/>
      <c r="B762" s="58"/>
      <c r="C762" s="58"/>
      <c r="D762" s="59"/>
      <c r="E762" s="60"/>
      <c r="F762" s="60"/>
      <c r="G762" s="60"/>
      <c r="H762" s="60"/>
      <c r="I762" s="323" t="s">
        <v>527</v>
      </c>
      <c r="J762" s="126">
        <f>J761/39.33/135</f>
        <v>0.14000000000000001</v>
      </c>
      <c r="K762" s="313" t="s">
        <v>14</v>
      </c>
      <c r="L762" s="92"/>
      <c r="M762" s="92"/>
      <c r="N762" s="92"/>
      <c r="O762" s="92"/>
      <c r="P762" s="92"/>
      <c r="Q762" s="92"/>
      <c r="R762" s="93"/>
    </row>
    <row r="763" spans="1:18" s="32" customFormat="1" ht="17.5" customHeight="1">
      <c r="A763" s="91"/>
      <c r="B763" s="58"/>
      <c r="C763" s="58"/>
      <c r="D763" s="59"/>
      <c r="E763" s="60"/>
      <c r="F763" s="60"/>
      <c r="G763" s="60"/>
      <c r="H763" s="147"/>
      <c r="I763" s="240" t="s">
        <v>526</v>
      </c>
      <c r="J763" s="126">
        <f>J762+J749</f>
        <v>1.61</v>
      </c>
      <c r="K763" s="313" t="s">
        <v>14</v>
      </c>
      <c r="L763" s="92"/>
      <c r="M763" s="92"/>
      <c r="N763" s="92"/>
      <c r="O763" s="92"/>
      <c r="P763" s="92"/>
      <c r="Q763" s="92"/>
      <c r="R763" s="93"/>
    </row>
    <row r="764" spans="1:18" s="32" customFormat="1" ht="17.5" customHeight="1">
      <c r="A764" s="91"/>
      <c r="B764" s="58"/>
      <c r="C764" s="58"/>
      <c r="D764" s="59"/>
      <c r="E764" s="60"/>
      <c r="F764" s="60"/>
      <c r="G764" s="60"/>
      <c r="H764" s="60"/>
      <c r="I764" s="60"/>
      <c r="J764" s="60"/>
      <c r="K764" s="70"/>
      <c r="L764" s="92"/>
      <c r="M764" s="92"/>
      <c r="N764" s="92"/>
      <c r="O764" s="92"/>
      <c r="P764" s="92"/>
      <c r="Q764" s="92"/>
      <c r="R764" s="93"/>
    </row>
    <row r="765" spans="1:18" s="32" customFormat="1" ht="17.5" customHeight="1">
      <c r="A765" s="91">
        <v>11</v>
      </c>
      <c r="B765" s="94" t="s">
        <v>533</v>
      </c>
      <c r="C765" s="58"/>
      <c r="D765" s="59"/>
      <c r="E765" s="60"/>
      <c r="F765" s="60"/>
      <c r="G765" s="60"/>
      <c r="H765" s="60"/>
      <c r="I765" s="60"/>
      <c r="J765" s="60"/>
      <c r="K765" s="70"/>
      <c r="L765" s="92"/>
      <c r="M765" s="92"/>
      <c r="N765" s="92"/>
      <c r="O765" s="92"/>
      <c r="P765" s="92"/>
      <c r="Q765" s="92"/>
      <c r="R765" s="93"/>
    </row>
    <row r="766" spans="1:18" s="32" customFormat="1" ht="17.5" customHeight="1">
      <c r="A766" s="91"/>
      <c r="B766" s="58" t="s">
        <v>529</v>
      </c>
      <c r="C766" s="58"/>
      <c r="D766" s="59">
        <v>2</v>
      </c>
      <c r="E766" s="60">
        <v>9.67</v>
      </c>
      <c r="F766" s="60">
        <v>4.5</v>
      </c>
      <c r="G766" s="60">
        <v>0.5</v>
      </c>
      <c r="H766" s="60"/>
      <c r="I766" s="60">
        <f>D766*E766*F766*G766</f>
        <v>43.52</v>
      </c>
      <c r="J766" s="60"/>
      <c r="K766" s="322" t="s">
        <v>27</v>
      </c>
      <c r="L766" s="92"/>
      <c r="M766" s="92"/>
      <c r="N766" s="92"/>
      <c r="O766" s="92"/>
      <c r="P766" s="92"/>
      <c r="Q766" s="92"/>
      <c r="R766" s="93"/>
    </row>
    <row r="767" spans="1:18" s="32" customFormat="1" ht="17.5" customHeight="1">
      <c r="A767" s="91"/>
      <c r="B767" s="58" t="s">
        <v>531</v>
      </c>
      <c r="C767" s="58"/>
      <c r="D767" s="59">
        <v>1</v>
      </c>
      <c r="E767" s="60">
        <v>9</v>
      </c>
      <c r="F767" s="60">
        <v>3.67</v>
      </c>
      <c r="G767" s="60">
        <v>0.5</v>
      </c>
      <c r="H767" s="60"/>
      <c r="I767" s="60">
        <f>D767*E767*F767*G767</f>
        <v>16.52</v>
      </c>
      <c r="J767" s="60"/>
      <c r="K767" s="322" t="s">
        <v>27</v>
      </c>
      <c r="L767" s="92"/>
      <c r="M767" s="92"/>
      <c r="N767" s="92"/>
      <c r="O767" s="92"/>
      <c r="P767" s="92"/>
      <c r="Q767" s="92"/>
      <c r="R767" s="93"/>
    </row>
    <row r="768" spans="1:18" s="32" customFormat="1" ht="17.5" customHeight="1">
      <c r="A768" s="91"/>
      <c r="B768" s="58" t="s">
        <v>115</v>
      </c>
      <c r="C768" s="58"/>
      <c r="D768" s="59" t="s">
        <v>532</v>
      </c>
      <c r="E768" s="60">
        <f>4.5</f>
        <v>4.5</v>
      </c>
      <c r="F768" s="60">
        <v>0.75</v>
      </c>
      <c r="G768" s="60">
        <f>7/12</f>
        <v>0.57999999999999996</v>
      </c>
      <c r="H768" s="60"/>
      <c r="I768" s="60">
        <f>20*0.5*E768*F768*G768</f>
        <v>19.579999999999998</v>
      </c>
      <c r="J768" s="60"/>
      <c r="K768" s="322" t="s">
        <v>27</v>
      </c>
      <c r="L768" s="92"/>
      <c r="M768" s="92"/>
      <c r="N768" s="92"/>
      <c r="O768" s="92"/>
      <c r="P768" s="92"/>
      <c r="Q768" s="92"/>
      <c r="R768" s="93"/>
    </row>
    <row r="769" spans="1:18" s="32" customFormat="1" ht="17.5" customHeight="1">
      <c r="A769" s="91"/>
      <c r="B769" s="58" t="s">
        <v>530</v>
      </c>
      <c r="C769" s="58"/>
      <c r="D769" s="59">
        <v>1</v>
      </c>
      <c r="E769" s="60">
        <v>8</v>
      </c>
      <c r="F769" s="60">
        <v>0.83</v>
      </c>
      <c r="G769" s="60">
        <v>1.17</v>
      </c>
      <c r="H769" s="60"/>
      <c r="I769" s="60">
        <f>D769*E769*F769*G769</f>
        <v>7.77</v>
      </c>
      <c r="J769" s="60"/>
      <c r="K769" s="322" t="s">
        <v>27</v>
      </c>
      <c r="L769" s="92"/>
      <c r="M769" s="92"/>
      <c r="N769" s="92"/>
      <c r="O769" s="92"/>
      <c r="P769" s="92"/>
      <c r="Q769" s="92"/>
      <c r="R769" s="93"/>
    </row>
    <row r="770" spans="1:18" s="32" customFormat="1" ht="17.5" customHeight="1">
      <c r="A770" s="91"/>
      <c r="B770" s="58"/>
      <c r="C770" s="58"/>
      <c r="D770" s="59"/>
      <c r="E770" s="60"/>
      <c r="F770" s="60"/>
      <c r="G770" s="60"/>
      <c r="H770" s="60"/>
      <c r="I770" s="60">
        <f>SUM(I766:I769)</f>
        <v>87.39</v>
      </c>
      <c r="J770" s="60">
        <f>I770/100</f>
        <v>0.87</v>
      </c>
      <c r="K770" s="322" t="s">
        <v>7</v>
      </c>
      <c r="L770" s="92"/>
      <c r="M770" s="92"/>
      <c r="N770" s="92"/>
      <c r="O770" s="92"/>
      <c r="P770" s="92"/>
      <c r="Q770" s="92"/>
      <c r="R770" s="93"/>
    </row>
    <row r="771" spans="1:18" s="32" customFormat="1" ht="17.5" customHeight="1">
      <c r="A771" s="91"/>
      <c r="B771" s="58"/>
      <c r="C771" s="58"/>
      <c r="D771" s="59"/>
      <c r="E771" s="60"/>
      <c r="F771" s="60"/>
      <c r="G771" s="60"/>
      <c r="H771" s="60"/>
      <c r="I771" s="60"/>
      <c r="J771" s="60"/>
      <c r="K771" s="70"/>
      <c r="L771" s="92"/>
      <c r="M771" s="92"/>
      <c r="N771" s="92"/>
      <c r="O771" s="92"/>
      <c r="P771" s="92"/>
      <c r="Q771" s="92"/>
      <c r="R771" s="93"/>
    </row>
    <row r="772" spans="1:18" s="32" customFormat="1" ht="17.5" customHeight="1">
      <c r="A772" s="91"/>
      <c r="B772" s="94" t="s">
        <v>534</v>
      </c>
      <c r="C772" s="58"/>
      <c r="D772" s="59"/>
      <c r="E772" s="60"/>
      <c r="F772" s="60"/>
      <c r="G772" s="60"/>
      <c r="H772" s="60"/>
      <c r="I772" s="60"/>
      <c r="J772" s="60"/>
      <c r="K772" s="70"/>
      <c r="L772" s="92"/>
      <c r="M772" s="92"/>
      <c r="N772" s="92"/>
      <c r="O772" s="92"/>
      <c r="P772" s="92"/>
      <c r="Q772" s="92"/>
      <c r="R772" s="93"/>
    </row>
    <row r="773" spans="1:18" s="32" customFormat="1" ht="17.5" customHeight="1">
      <c r="A773" s="91"/>
      <c r="B773" s="58" t="s">
        <v>529</v>
      </c>
      <c r="C773" s="58"/>
      <c r="D773" s="59">
        <f>D766</f>
        <v>2</v>
      </c>
      <c r="E773" s="60">
        <f>E766</f>
        <v>9.67</v>
      </c>
      <c r="F773" s="60">
        <f>F766+G766*2</f>
        <v>5.5</v>
      </c>
      <c r="G773" s="60"/>
      <c r="H773" s="60"/>
      <c r="I773" s="60">
        <f>D773*E773*F773</f>
        <v>106.37</v>
      </c>
      <c r="J773" s="60"/>
      <c r="K773" s="70" t="s">
        <v>21</v>
      </c>
      <c r="L773" s="92"/>
      <c r="M773" s="92"/>
      <c r="N773" s="92"/>
      <c r="O773" s="92"/>
      <c r="P773" s="92"/>
      <c r="Q773" s="92"/>
      <c r="R773" s="93"/>
    </row>
    <row r="774" spans="1:18" s="32" customFormat="1" ht="17.5" customHeight="1">
      <c r="A774" s="91"/>
      <c r="B774" s="58" t="s">
        <v>531</v>
      </c>
      <c r="C774" s="58"/>
      <c r="D774" s="59">
        <f>D767</f>
        <v>1</v>
      </c>
      <c r="E774" s="60">
        <f>E767</f>
        <v>9</v>
      </c>
      <c r="F774" s="60">
        <f>F767+G767*2</f>
        <v>4.67</v>
      </c>
      <c r="G774" s="60"/>
      <c r="H774" s="60"/>
      <c r="I774" s="60">
        <f>D774*E774*F774</f>
        <v>42.03</v>
      </c>
      <c r="J774" s="60"/>
      <c r="K774" s="70" t="s">
        <v>21</v>
      </c>
      <c r="L774" s="92"/>
      <c r="M774" s="92"/>
      <c r="N774" s="92"/>
      <c r="O774" s="92"/>
      <c r="P774" s="92"/>
      <c r="Q774" s="92"/>
      <c r="R774" s="93"/>
    </row>
    <row r="775" spans="1:18" s="32" customFormat="1" ht="17.5" customHeight="1">
      <c r="A775" s="91"/>
      <c r="B775" s="58" t="s">
        <v>535</v>
      </c>
      <c r="C775" s="58"/>
      <c r="D775" s="59">
        <v>20</v>
      </c>
      <c r="E775" s="60">
        <f>E768</f>
        <v>4.5</v>
      </c>
      <c r="F775" s="60"/>
      <c r="G775" s="60">
        <f>G768</f>
        <v>0.57999999999999996</v>
      </c>
      <c r="H775" s="60"/>
      <c r="I775" s="60">
        <f>D775*E775*G775</f>
        <v>52.2</v>
      </c>
      <c r="J775" s="60"/>
      <c r="K775" s="70" t="s">
        <v>21</v>
      </c>
      <c r="L775" s="92"/>
      <c r="M775" s="92"/>
      <c r="N775" s="92"/>
      <c r="O775" s="92"/>
      <c r="P775" s="92"/>
      <c r="Q775" s="92"/>
      <c r="R775" s="93"/>
    </row>
    <row r="776" spans="1:18" s="32" customFormat="1" ht="17.5" customHeight="1">
      <c r="A776" s="91"/>
      <c r="B776" s="58" t="s">
        <v>536</v>
      </c>
      <c r="C776" s="58"/>
      <c r="D776" s="59">
        <f>D773</f>
        <v>2</v>
      </c>
      <c r="E776" s="60">
        <f>E773</f>
        <v>9.67</v>
      </c>
      <c r="F776" s="60"/>
      <c r="G776" s="60">
        <f>G768</f>
        <v>0.57999999999999996</v>
      </c>
      <c r="H776" s="60"/>
      <c r="I776" s="60">
        <f>D776*E776*G776</f>
        <v>11.22</v>
      </c>
      <c r="J776" s="60"/>
      <c r="K776" s="70" t="s">
        <v>21</v>
      </c>
      <c r="L776" s="92"/>
      <c r="M776" s="92"/>
      <c r="N776" s="92"/>
      <c r="O776" s="92"/>
      <c r="P776" s="92"/>
      <c r="Q776" s="92"/>
      <c r="R776" s="93"/>
    </row>
    <row r="777" spans="1:18" s="32" customFormat="1" ht="17.5" customHeight="1">
      <c r="A777" s="91"/>
      <c r="B777" s="58" t="s">
        <v>530</v>
      </c>
      <c r="C777" s="58"/>
      <c r="D777" s="59">
        <f>D769</f>
        <v>1</v>
      </c>
      <c r="E777" s="60">
        <f>E769</f>
        <v>8</v>
      </c>
      <c r="F777" s="60">
        <f>F769+G769*2-G767</f>
        <v>2.67</v>
      </c>
      <c r="G777" s="60"/>
      <c r="H777" s="60"/>
      <c r="I777" s="60">
        <f>D777*E777*F777</f>
        <v>21.36</v>
      </c>
      <c r="J777" s="60"/>
      <c r="K777" s="70" t="s">
        <v>21</v>
      </c>
      <c r="L777" s="92"/>
      <c r="M777" s="92"/>
      <c r="N777" s="92"/>
      <c r="O777" s="92"/>
      <c r="P777" s="92"/>
      <c r="Q777" s="92"/>
      <c r="R777" s="93"/>
    </row>
    <row r="778" spans="1:18" s="32" customFormat="1" ht="17.5" customHeight="1">
      <c r="A778" s="91"/>
      <c r="B778" s="58"/>
      <c r="C778" s="58"/>
      <c r="D778" s="59"/>
      <c r="E778" s="60"/>
      <c r="F778" s="60"/>
      <c r="G778" s="60"/>
      <c r="H778" s="60"/>
      <c r="I778" s="60">
        <f>SUM(I773:I777)</f>
        <v>233.18</v>
      </c>
      <c r="J778" s="60">
        <f>I778/100</f>
        <v>2.33</v>
      </c>
      <c r="K778" s="70" t="s">
        <v>12</v>
      </c>
      <c r="L778" s="92"/>
      <c r="M778" s="92"/>
      <c r="N778" s="92"/>
      <c r="O778" s="92"/>
      <c r="P778" s="92"/>
      <c r="Q778" s="92"/>
      <c r="R778" s="93"/>
    </row>
    <row r="779" spans="1:18" s="32" customFormat="1" ht="17.5" customHeight="1">
      <c r="A779" s="91"/>
      <c r="B779" s="58"/>
      <c r="C779" s="58"/>
      <c r="D779" s="59"/>
      <c r="E779" s="60"/>
      <c r="F779" s="60"/>
      <c r="G779" s="60"/>
      <c r="H779" s="60"/>
      <c r="I779" s="60"/>
      <c r="J779" s="60"/>
      <c r="K779" s="70"/>
      <c r="L779" s="92"/>
      <c r="M779" s="92"/>
      <c r="N779" s="92"/>
      <c r="O779" s="92"/>
      <c r="P779" s="92"/>
      <c r="Q779" s="92"/>
      <c r="R779" s="93"/>
    </row>
    <row r="780" spans="1:18" s="32" customFormat="1" ht="17.5" customHeight="1">
      <c r="A780" s="91"/>
      <c r="B780" s="94" t="s">
        <v>537</v>
      </c>
      <c r="C780" s="58"/>
      <c r="D780" s="59"/>
      <c r="E780" s="60"/>
      <c r="F780" s="60"/>
      <c r="G780" s="60"/>
      <c r="H780" s="60" t="s">
        <v>140</v>
      </c>
      <c r="I780" s="60" t="s">
        <v>547</v>
      </c>
      <c r="J780" s="60" t="s">
        <v>133</v>
      </c>
      <c r="K780" s="70"/>
      <c r="L780" s="92"/>
      <c r="M780" s="92"/>
      <c r="N780" s="92"/>
      <c r="O780" s="92"/>
      <c r="P780" s="92"/>
      <c r="Q780" s="92"/>
      <c r="R780" s="93"/>
    </row>
    <row r="781" spans="1:18" s="32" customFormat="1" ht="17.5" customHeight="1">
      <c r="A781" s="91"/>
      <c r="B781" s="58" t="s">
        <v>538</v>
      </c>
      <c r="C781" s="58"/>
      <c r="D781" s="59">
        <v>1</v>
      </c>
      <c r="E781" s="60">
        <f>E766</f>
        <v>9.67</v>
      </c>
      <c r="F781" s="60">
        <f>F766</f>
        <v>4.5</v>
      </c>
      <c r="G781" s="60">
        <f>G766</f>
        <v>0.5</v>
      </c>
      <c r="H781" s="60"/>
      <c r="I781" s="60"/>
      <c r="J781" s="60"/>
      <c r="K781" s="70"/>
      <c r="L781" s="92"/>
      <c r="M781" s="92"/>
      <c r="N781" s="92"/>
      <c r="O781" s="92"/>
      <c r="P781" s="92"/>
      <c r="Q781" s="92"/>
      <c r="R781" s="93"/>
    </row>
    <row r="782" spans="1:18" s="32" customFormat="1" ht="17.5" customHeight="1">
      <c r="A782" s="91"/>
      <c r="B782" s="58" t="s">
        <v>539</v>
      </c>
      <c r="C782" s="58"/>
      <c r="D782" s="59">
        <f>D781*ROUND((F781-0.25)/0.5+1,0)</f>
        <v>10</v>
      </c>
      <c r="E782" s="60">
        <f>0.5+11+1.67</f>
        <v>13.17</v>
      </c>
      <c r="F782" s="60"/>
      <c r="G782" s="60"/>
      <c r="H782" s="60"/>
      <c r="I782" s="60">
        <f>D782*E782</f>
        <v>131.69999999999999</v>
      </c>
      <c r="J782" s="60"/>
      <c r="K782" s="70"/>
      <c r="L782" s="92"/>
      <c r="M782" s="92"/>
      <c r="N782" s="92"/>
      <c r="O782" s="92"/>
      <c r="P782" s="92"/>
      <c r="Q782" s="92"/>
      <c r="R782" s="93"/>
    </row>
    <row r="783" spans="1:18" s="32" customFormat="1" ht="17.5" customHeight="1">
      <c r="A783" s="91"/>
      <c r="B783" s="58" t="s">
        <v>540</v>
      </c>
      <c r="C783" s="58"/>
      <c r="D783" s="59">
        <f>D781*ROUND((F781-0.25)/0.5+1,0)</f>
        <v>10</v>
      </c>
      <c r="E783" s="60">
        <f>0.5+E781+2.17</f>
        <v>12.34</v>
      </c>
      <c r="F783" s="60"/>
      <c r="G783" s="60"/>
      <c r="H783" s="60"/>
      <c r="I783" s="60">
        <f>D783*E783</f>
        <v>123.4</v>
      </c>
      <c r="J783" s="60"/>
      <c r="K783" s="70"/>
      <c r="L783" s="92"/>
      <c r="M783" s="92"/>
      <c r="N783" s="92"/>
      <c r="O783" s="92"/>
      <c r="P783" s="92"/>
      <c r="Q783" s="92"/>
      <c r="R783" s="93"/>
    </row>
    <row r="784" spans="1:18" s="32" customFormat="1" ht="17.5" customHeight="1">
      <c r="A784" s="91"/>
      <c r="B784" s="58" t="s">
        <v>541</v>
      </c>
      <c r="C784" s="58"/>
      <c r="D784" s="59">
        <f>D781*ROUND(E781/0.5,0)*2</f>
        <v>38</v>
      </c>
      <c r="E784" s="60">
        <f>F781-0.25+18*10/1000*3.281</f>
        <v>4.84</v>
      </c>
      <c r="F784" s="60"/>
      <c r="G784" s="60"/>
      <c r="H784" s="60"/>
      <c r="I784" s="60"/>
      <c r="J784" s="60">
        <f>D784*E784</f>
        <v>183.92</v>
      </c>
      <c r="K784" s="70"/>
      <c r="L784" s="92"/>
      <c r="M784" s="92"/>
      <c r="N784" s="92"/>
      <c r="O784" s="92"/>
      <c r="P784" s="92"/>
      <c r="Q784" s="92"/>
      <c r="R784" s="93"/>
    </row>
    <row r="785" spans="1:18" s="32" customFormat="1" ht="17.5" customHeight="1">
      <c r="A785" s="91"/>
      <c r="B785" s="58"/>
      <c r="C785" s="58"/>
      <c r="D785" s="59"/>
      <c r="E785" s="60"/>
      <c r="F785" s="60"/>
      <c r="G785" s="60"/>
      <c r="H785" s="60"/>
      <c r="I785" s="60"/>
      <c r="J785" s="60"/>
      <c r="K785" s="70"/>
      <c r="L785" s="92"/>
      <c r="M785" s="92"/>
      <c r="N785" s="92"/>
      <c r="O785" s="92"/>
      <c r="P785" s="92"/>
      <c r="Q785" s="92"/>
      <c r="R785" s="93"/>
    </row>
    <row r="786" spans="1:18" s="32" customFormat="1" ht="17.5" customHeight="1">
      <c r="A786" s="91"/>
      <c r="B786" s="58" t="s">
        <v>538</v>
      </c>
      <c r="C786" s="58"/>
      <c r="D786" s="59">
        <f>D781</f>
        <v>1</v>
      </c>
      <c r="E786" s="60">
        <f>E781</f>
        <v>9.67</v>
      </c>
      <c r="F786" s="60">
        <f>F781</f>
        <v>4.5</v>
      </c>
      <c r="G786" s="60">
        <f>G781</f>
        <v>0.5</v>
      </c>
      <c r="H786" s="60"/>
      <c r="I786" s="60"/>
      <c r="J786" s="60"/>
      <c r="K786" s="70"/>
      <c r="L786" s="92"/>
      <c r="M786" s="92"/>
      <c r="N786" s="92"/>
      <c r="O786" s="92"/>
      <c r="P786" s="92"/>
      <c r="Q786" s="92"/>
      <c r="R786" s="93"/>
    </row>
    <row r="787" spans="1:18" s="32" customFormat="1" ht="17.5" customHeight="1">
      <c r="A787" s="91"/>
      <c r="B787" s="58" t="s">
        <v>539</v>
      </c>
      <c r="C787" s="58"/>
      <c r="D787" s="59">
        <f>D786*ROUND((F786-0.25)/0.5+1,0)</f>
        <v>10</v>
      </c>
      <c r="E787" s="60">
        <f>2.17+E786+0.5</f>
        <v>12.34</v>
      </c>
      <c r="F787" s="60"/>
      <c r="G787" s="60"/>
      <c r="H787" s="60"/>
      <c r="I787" s="60">
        <f>D787*E787</f>
        <v>123.4</v>
      </c>
      <c r="J787" s="60"/>
      <c r="K787" s="70"/>
      <c r="L787" s="92"/>
      <c r="M787" s="92"/>
      <c r="N787" s="92"/>
      <c r="O787" s="92"/>
      <c r="P787" s="92"/>
      <c r="Q787" s="92"/>
      <c r="R787" s="93"/>
    </row>
    <row r="788" spans="1:18" s="32" customFormat="1" ht="17.5" customHeight="1">
      <c r="A788" s="91"/>
      <c r="B788" s="58" t="s">
        <v>540</v>
      </c>
      <c r="C788" s="58"/>
      <c r="D788" s="59">
        <f>D786*ROUND((F786-0.25)/0.5+1,0)</f>
        <v>10</v>
      </c>
      <c r="E788" s="60">
        <f>2.17+E786+1.5</f>
        <v>13.34</v>
      </c>
      <c r="F788" s="60"/>
      <c r="G788" s="60"/>
      <c r="H788" s="60"/>
      <c r="I788" s="60">
        <f>D788*E788</f>
        <v>133.4</v>
      </c>
      <c r="J788" s="60"/>
      <c r="K788" s="70"/>
      <c r="L788" s="92"/>
      <c r="M788" s="92"/>
      <c r="N788" s="92"/>
      <c r="O788" s="92"/>
      <c r="P788" s="92"/>
      <c r="Q788" s="92"/>
      <c r="R788" s="93"/>
    </row>
    <row r="789" spans="1:18" s="32" customFormat="1" ht="17.5" customHeight="1">
      <c r="A789" s="91"/>
      <c r="B789" s="58" t="s">
        <v>541</v>
      </c>
      <c r="C789" s="58"/>
      <c r="D789" s="59">
        <f>D786*ROUND(E786/0.5,0)*2</f>
        <v>38</v>
      </c>
      <c r="E789" s="60">
        <f>F786-0.25+18*10/1000*3.281</f>
        <v>4.84</v>
      </c>
      <c r="F789" s="60"/>
      <c r="G789" s="60"/>
      <c r="H789" s="60"/>
      <c r="I789" s="60"/>
      <c r="J789" s="60">
        <f>D789*E789</f>
        <v>183.92</v>
      </c>
      <c r="K789" s="70"/>
      <c r="L789" s="92"/>
      <c r="M789" s="92"/>
      <c r="N789" s="92"/>
      <c r="O789" s="92"/>
      <c r="P789" s="92"/>
      <c r="Q789" s="92"/>
      <c r="R789" s="93"/>
    </row>
    <row r="790" spans="1:18" s="32" customFormat="1" ht="17.5" customHeight="1">
      <c r="A790" s="91"/>
      <c r="B790" s="58"/>
      <c r="C790" s="58"/>
      <c r="D790" s="59"/>
      <c r="E790" s="60"/>
      <c r="F790" s="60"/>
      <c r="G790" s="60"/>
      <c r="H790" s="60"/>
      <c r="I790" s="60"/>
      <c r="J790" s="60"/>
      <c r="K790" s="70"/>
      <c r="L790" s="92"/>
      <c r="M790" s="92"/>
      <c r="N790" s="92"/>
      <c r="O790" s="92"/>
      <c r="P790" s="92"/>
      <c r="Q790" s="92"/>
      <c r="R790" s="93"/>
    </row>
    <row r="791" spans="1:18" s="32" customFormat="1" ht="17.5" customHeight="1">
      <c r="A791" s="91"/>
      <c r="B791" s="58" t="str">
        <f>B774</f>
        <v>Landing Slab</v>
      </c>
      <c r="C791" s="58"/>
      <c r="D791" s="59">
        <f>D767</f>
        <v>1</v>
      </c>
      <c r="E791" s="60">
        <f>E767</f>
        <v>9</v>
      </c>
      <c r="F791" s="60">
        <f>F767</f>
        <v>3.67</v>
      </c>
      <c r="G791" s="60">
        <f>G767</f>
        <v>0.5</v>
      </c>
      <c r="H791" s="60"/>
      <c r="I791" s="60"/>
      <c r="J791" s="60"/>
      <c r="K791" s="70"/>
      <c r="L791" s="92"/>
      <c r="M791" s="92"/>
      <c r="N791" s="92"/>
      <c r="O791" s="92"/>
      <c r="P791" s="92"/>
      <c r="Q791" s="92"/>
      <c r="R791" s="93"/>
    </row>
    <row r="792" spans="1:18" s="32" customFormat="1" ht="17.5" customHeight="1">
      <c r="A792" s="91"/>
      <c r="B792" s="58" t="s">
        <v>542</v>
      </c>
      <c r="C792" s="58"/>
      <c r="D792" s="59">
        <f>D791*ROUND((E791-0.25)/0.5+1,0)*2</f>
        <v>38</v>
      </c>
      <c r="E792" s="60">
        <f>F791+1.58</f>
        <v>5.25</v>
      </c>
      <c r="F792" s="60"/>
      <c r="G792" s="60"/>
      <c r="H792" s="60"/>
      <c r="I792" s="60">
        <f>D792*E792</f>
        <v>199.5</v>
      </c>
      <c r="J792" s="60"/>
      <c r="K792" s="70"/>
      <c r="L792" s="92"/>
      <c r="M792" s="92"/>
      <c r="N792" s="92"/>
      <c r="O792" s="92"/>
      <c r="P792" s="92"/>
      <c r="Q792" s="92"/>
      <c r="R792" s="93"/>
    </row>
    <row r="793" spans="1:18" s="32" customFormat="1" ht="17.5" customHeight="1">
      <c r="A793" s="91"/>
      <c r="B793" s="58" t="s">
        <v>543</v>
      </c>
      <c r="C793" s="58"/>
      <c r="D793" s="59">
        <f>D791*ROUND(F791/0.5,0)*2</f>
        <v>14</v>
      </c>
      <c r="E793" s="60">
        <f>E791-0.25+18*10/1000*3.281</f>
        <v>9.34</v>
      </c>
      <c r="F793" s="60"/>
      <c r="G793" s="60"/>
      <c r="H793" s="60"/>
      <c r="I793" s="60"/>
      <c r="J793" s="60">
        <f>D793*E793</f>
        <v>130.76</v>
      </c>
      <c r="K793" s="70"/>
      <c r="L793" s="92"/>
      <c r="M793" s="92"/>
      <c r="N793" s="92"/>
      <c r="O793" s="92"/>
      <c r="P793" s="92"/>
      <c r="Q793" s="92"/>
      <c r="R793" s="93"/>
    </row>
    <row r="794" spans="1:18" s="32" customFormat="1" ht="17.5" customHeight="1">
      <c r="A794" s="91"/>
      <c r="B794" s="58"/>
      <c r="C794" s="58"/>
      <c r="D794" s="59"/>
      <c r="E794" s="60"/>
      <c r="F794" s="60"/>
      <c r="G794" s="60"/>
      <c r="H794" s="60"/>
      <c r="I794" s="60"/>
      <c r="J794" s="60"/>
      <c r="K794" s="70"/>
      <c r="L794" s="92"/>
      <c r="M794" s="92"/>
      <c r="N794" s="92"/>
      <c r="O794" s="92"/>
      <c r="P794" s="92"/>
      <c r="Q794" s="92"/>
      <c r="R794" s="93"/>
    </row>
    <row r="795" spans="1:18" s="32" customFormat="1" ht="17.5" customHeight="1">
      <c r="A795" s="91"/>
      <c r="B795" s="58" t="str">
        <f>B769</f>
        <v>LB (10" x 14")</v>
      </c>
      <c r="C795" s="58"/>
      <c r="D795" s="59">
        <f>D769</f>
        <v>1</v>
      </c>
      <c r="E795" s="60">
        <f>E769</f>
        <v>8</v>
      </c>
      <c r="F795" s="60">
        <f>F769</f>
        <v>0.83</v>
      </c>
      <c r="G795" s="60">
        <f>G769</f>
        <v>1.17</v>
      </c>
      <c r="H795" s="60"/>
      <c r="I795" s="60"/>
      <c r="J795" s="60"/>
      <c r="K795" s="70"/>
      <c r="L795" s="92"/>
      <c r="M795" s="92"/>
      <c r="N795" s="92"/>
      <c r="O795" s="92"/>
      <c r="P795" s="92"/>
      <c r="Q795" s="92"/>
      <c r="R795" s="93"/>
    </row>
    <row r="796" spans="1:18" s="32" customFormat="1" ht="17.5" customHeight="1">
      <c r="A796" s="91"/>
      <c r="B796" s="58" t="s">
        <v>544</v>
      </c>
      <c r="C796" s="58"/>
      <c r="D796" s="59">
        <f>D795*4</f>
        <v>4</v>
      </c>
      <c r="E796" s="60">
        <f>E795+(0.83-0.17)*2+0.75*2</f>
        <v>10.82</v>
      </c>
      <c r="F796" s="60"/>
      <c r="G796" s="60"/>
      <c r="H796" s="60">
        <f>D796*E796</f>
        <v>43.28</v>
      </c>
      <c r="I796" s="60"/>
      <c r="J796" s="60"/>
      <c r="K796" s="70"/>
      <c r="L796" s="92"/>
      <c r="M796" s="92"/>
      <c r="N796" s="92"/>
      <c r="O796" s="92"/>
      <c r="P796" s="92"/>
      <c r="Q796" s="92"/>
      <c r="R796" s="93"/>
    </row>
    <row r="797" spans="1:18" s="32" customFormat="1" ht="17.5" customHeight="1">
      <c r="A797" s="91"/>
      <c r="B797" s="58" t="s">
        <v>545</v>
      </c>
      <c r="C797" s="58"/>
      <c r="D797" s="59">
        <f>D795*4</f>
        <v>4</v>
      </c>
      <c r="E797" s="60">
        <f>E795+(0.83-0.17)*2+18*10/1000*3.281</f>
        <v>9.91</v>
      </c>
      <c r="F797" s="60"/>
      <c r="G797" s="60"/>
      <c r="H797" s="60">
        <f>D797*E797</f>
        <v>39.64</v>
      </c>
      <c r="I797" s="60"/>
      <c r="J797" s="60"/>
      <c r="K797" s="70"/>
      <c r="L797" s="92"/>
      <c r="M797" s="92"/>
      <c r="N797" s="92"/>
      <c r="O797" s="92"/>
      <c r="P797" s="92"/>
      <c r="Q797" s="92"/>
      <c r="R797" s="93"/>
    </row>
    <row r="798" spans="1:18" s="32" customFormat="1" ht="17.5" customHeight="1">
      <c r="A798" s="91"/>
      <c r="B798" s="58" t="s">
        <v>546</v>
      </c>
      <c r="C798" s="58"/>
      <c r="D798" s="59">
        <f>D795*ROUND(E795/0.4,0)</f>
        <v>20</v>
      </c>
      <c r="E798" s="60">
        <f>ROUND((F795-0.25)*2+(G795-0.25)*2+24*10/1000*3.281,2)</f>
        <v>3.79</v>
      </c>
      <c r="F798" s="60"/>
      <c r="G798" s="60"/>
      <c r="H798" s="60"/>
      <c r="I798" s="60"/>
      <c r="J798" s="60">
        <f>D798*E798</f>
        <v>75.8</v>
      </c>
      <c r="K798" s="70"/>
      <c r="L798" s="92"/>
      <c r="M798" s="92"/>
      <c r="N798" s="92"/>
      <c r="O798" s="92"/>
      <c r="P798" s="92"/>
      <c r="Q798" s="92"/>
      <c r="R798" s="93"/>
    </row>
    <row r="799" spans="1:18" s="32" customFormat="1" ht="17.5" customHeight="1">
      <c r="A799" s="91"/>
      <c r="B799" s="58"/>
      <c r="C799" s="58"/>
      <c r="D799" s="59"/>
      <c r="E799" s="60"/>
      <c r="F799" s="60"/>
      <c r="G799" s="60"/>
      <c r="H799" s="60">
        <f>SUM(H782:H798)</f>
        <v>82.92</v>
      </c>
      <c r="I799" s="60">
        <f>SUM(I782:I798)</f>
        <v>711.4</v>
      </c>
      <c r="J799" s="60">
        <f>SUM(J782:J798)</f>
        <v>574.4</v>
      </c>
      <c r="K799" s="70"/>
      <c r="L799" s="92"/>
      <c r="M799" s="92"/>
      <c r="N799" s="92"/>
      <c r="O799" s="92"/>
      <c r="P799" s="92"/>
      <c r="Q799" s="92"/>
      <c r="R799" s="93"/>
    </row>
    <row r="800" spans="1:18" s="32" customFormat="1" ht="17.5" customHeight="1">
      <c r="A800" s="91"/>
      <c r="B800" s="58"/>
      <c r="C800" s="58"/>
      <c r="D800" s="59"/>
      <c r="E800" s="60"/>
      <c r="F800" s="60"/>
      <c r="G800" s="60"/>
      <c r="H800" s="60" t="str">
        <f>H780</f>
        <v>16mmØ</v>
      </c>
      <c r="I800" s="60" t="str">
        <f>I780</f>
        <v>12mmØ</v>
      </c>
      <c r="J800" s="60" t="str">
        <f>J780</f>
        <v>10mmØ</v>
      </c>
      <c r="K800" s="70"/>
      <c r="L800" s="92"/>
      <c r="M800" s="92"/>
      <c r="N800" s="92"/>
      <c r="O800" s="92"/>
      <c r="P800" s="92"/>
      <c r="Q800" s="92"/>
      <c r="R800" s="93"/>
    </row>
    <row r="801" spans="1:18" s="32" customFormat="1" ht="17.5" customHeight="1">
      <c r="A801" s="91"/>
      <c r="B801" s="58"/>
      <c r="C801" s="58"/>
      <c r="D801" s="59"/>
      <c r="E801" s="60"/>
      <c r="F801" s="60"/>
      <c r="G801" s="323" t="s">
        <v>548</v>
      </c>
      <c r="H801" s="126">
        <f>H799/39.33/53</f>
        <v>0.04</v>
      </c>
      <c r="I801" s="126">
        <f>I799/39.33/88</f>
        <v>0.21</v>
      </c>
      <c r="J801" s="126">
        <f>J799/39.33/135</f>
        <v>0.11</v>
      </c>
      <c r="K801" s="123" t="s">
        <v>14</v>
      </c>
      <c r="L801" s="92"/>
      <c r="M801" s="92"/>
      <c r="N801" s="92"/>
      <c r="O801" s="92"/>
      <c r="P801" s="92"/>
      <c r="Q801" s="92"/>
      <c r="R801" s="93"/>
    </row>
    <row r="802" spans="1:18" s="32" customFormat="1" ht="17.5" customHeight="1">
      <c r="A802" s="91"/>
      <c r="B802" s="58"/>
      <c r="C802" s="58"/>
      <c r="D802" s="59"/>
      <c r="E802" s="60"/>
      <c r="F802" s="60"/>
      <c r="G802" s="60"/>
      <c r="H802" s="60"/>
      <c r="I802" s="60"/>
      <c r="J802" s="60"/>
      <c r="K802" s="70"/>
      <c r="L802" s="92"/>
      <c r="M802" s="92"/>
      <c r="N802" s="92"/>
      <c r="O802" s="92"/>
      <c r="P802" s="92"/>
      <c r="Q802" s="92"/>
      <c r="R802" s="93"/>
    </row>
    <row r="803" spans="1:18" s="32" customFormat="1" ht="17.5" customHeight="1">
      <c r="A803" s="91">
        <v>12</v>
      </c>
      <c r="B803" s="94" t="s">
        <v>78</v>
      </c>
      <c r="C803" s="94"/>
      <c r="D803" s="59"/>
      <c r="E803" s="60"/>
      <c r="F803" s="60"/>
      <c r="G803" s="60"/>
      <c r="H803" s="60"/>
      <c r="I803" s="60"/>
      <c r="J803" s="60"/>
      <c r="K803" s="70"/>
      <c r="L803" s="92"/>
      <c r="M803" s="92"/>
      <c r="N803" s="92"/>
      <c r="O803" s="92"/>
      <c r="P803" s="92"/>
      <c r="Q803" s="92"/>
      <c r="R803" s="93"/>
    </row>
    <row r="804" spans="1:18" s="32" customFormat="1" ht="17.5" customHeight="1">
      <c r="A804" s="91"/>
      <c r="B804" s="91" t="s">
        <v>72</v>
      </c>
      <c r="C804" s="91"/>
      <c r="D804" s="59"/>
      <c r="E804" s="60"/>
      <c r="F804" s="60"/>
      <c r="G804" s="60"/>
      <c r="H804" s="60"/>
      <c r="I804" s="60"/>
      <c r="J804" s="60"/>
      <c r="K804" s="70"/>
      <c r="L804" s="92"/>
      <c r="M804" s="92"/>
      <c r="N804" s="92"/>
      <c r="O804" s="92"/>
      <c r="P804" s="92"/>
      <c r="Q804" s="92"/>
      <c r="R804" s="93"/>
    </row>
    <row r="805" spans="1:18" s="32" customFormat="1" ht="17.5" customHeight="1">
      <c r="A805" s="91"/>
      <c r="B805" s="94" t="s">
        <v>564</v>
      </c>
      <c r="C805" s="94"/>
      <c r="D805" s="59"/>
      <c r="E805" s="60"/>
      <c r="F805" s="60"/>
      <c r="G805" s="244" t="s">
        <v>136</v>
      </c>
      <c r="H805" s="60"/>
      <c r="I805" s="60"/>
      <c r="J805" s="60"/>
      <c r="K805" s="70"/>
      <c r="L805" s="92"/>
      <c r="M805" s="92"/>
      <c r="N805" s="92"/>
      <c r="O805" s="92"/>
      <c r="P805" s="92"/>
      <c r="Q805" s="92"/>
      <c r="R805" s="93"/>
    </row>
    <row r="806" spans="1:18" s="32" customFormat="1" ht="17.5" customHeight="1">
      <c r="A806" s="91"/>
      <c r="B806" s="58" t="s">
        <v>550</v>
      </c>
      <c r="C806" s="58"/>
      <c r="D806" s="59">
        <v>1</v>
      </c>
      <c r="E806" s="60">
        <f>25-3</f>
        <v>22</v>
      </c>
      <c r="F806" s="60"/>
      <c r="G806" s="60">
        <f>13-1</f>
        <v>12</v>
      </c>
      <c r="H806" s="60"/>
      <c r="I806" s="60">
        <f>D806*E806*G806</f>
        <v>264</v>
      </c>
      <c r="J806" s="60"/>
      <c r="K806" s="70" t="s">
        <v>21</v>
      </c>
      <c r="L806" s="92"/>
      <c r="M806" s="92"/>
      <c r="N806" s="92"/>
      <c r="O806" s="92"/>
      <c r="P806" s="92"/>
      <c r="Q806" s="92"/>
      <c r="R806" s="93"/>
    </row>
    <row r="807" spans="1:18" s="32" customFormat="1" ht="17.5" customHeight="1">
      <c r="A807" s="91"/>
      <c r="B807" s="58" t="s">
        <v>414</v>
      </c>
      <c r="C807" s="58"/>
      <c r="D807" s="59">
        <v>1</v>
      </c>
      <c r="E807" s="60">
        <f>29-3</f>
        <v>26</v>
      </c>
      <c r="F807" s="60"/>
      <c r="G807" s="60">
        <f>G806</f>
        <v>12</v>
      </c>
      <c r="H807" s="60"/>
      <c r="I807" s="60">
        <f>D807*E807*G807</f>
        <v>312</v>
      </c>
      <c r="J807" s="60"/>
      <c r="K807" s="70" t="s">
        <v>21</v>
      </c>
      <c r="L807" s="92"/>
      <c r="M807" s="92"/>
      <c r="N807" s="92"/>
      <c r="O807" s="92"/>
      <c r="P807" s="92"/>
      <c r="Q807" s="92"/>
      <c r="R807" s="93"/>
    </row>
    <row r="808" spans="1:18" s="32" customFormat="1" ht="17.5" customHeight="1">
      <c r="A808" s="91"/>
      <c r="B808" s="58" t="s">
        <v>551</v>
      </c>
      <c r="C808" s="58"/>
      <c r="D808" s="59">
        <v>1</v>
      </c>
      <c r="E808" s="60">
        <f>35-4</f>
        <v>31</v>
      </c>
      <c r="F808" s="60"/>
      <c r="G808" s="60">
        <f>G807</f>
        <v>12</v>
      </c>
      <c r="H808" s="60"/>
      <c r="I808" s="60">
        <f>D808*E808*G808</f>
        <v>372</v>
      </c>
      <c r="J808" s="60"/>
      <c r="K808" s="70" t="s">
        <v>21</v>
      </c>
      <c r="L808" s="92"/>
      <c r="M808" s="92"/>
      <c r="N808" s="92"/>
      <c r="O808" s="92"/>
      <c r="P808" s="92"/>
      <c r="Q808" s="92"/>
      <c r="R808" s="93"/>
    </row>
    <row r="809" spans="1:18" s="32" customFormat="1" ht="17.5" customHeight="1">
      <c r="A809" s="91"/>
      <c r="B809" s="58" t="s">
        <v>552</v>
      </c>
      <c r="C809" s="58"/>
      <c r="D809" s="59">
        <v>1</v>
      </c>
      <c r="E809" s="60">
        <f>19-2.5</f>
        <v>16.5</v>
      </c>
      <c r="F809" s="60"/>
      <c r="G809" s="60">
        <f>G808</f>
        <v>12</v>
      </c>
      <c r="H809" s="60"/>
      <c r="I809" s="60">
        <f>D809*E809*G809</f>
        <v>198</v>
      </c>
      <c r="J809" s="60"/>
      <c r="K809" s="70" t="s">
        <v>21</v>
      </c>
      <c r="L809" s="92"/>
      <c r="M809" s="92"/>
      <c r="N809" s="92"/>
      <c r="O809" s="92"/>
      <c r="P809" s="92"/>
      <c r="Q809" s="92"/>
      <c r="R809" s="93"/>
    </row>
    <row r="810" spans="1:18" s="32" customFormat="1" ht="17.5" customHeight="1">
      <c r="A810" s="91"/>
      <c r="B810" s="58" t="s">
        <v>553</v>
      </c>
      <c r="C810" s="58"/>
      <c r="D810" s="59">
        <v>1</v>
      </c>
      <c r="E810" s="60">
        <v>16.5</v>
      </c>
      <c r="F810" s="60"/>
      <c r="G810" s="60">
        <f>G809</f>
        <v>12</v>
      </c>
      <c r="H810" s="60"/>
      <c r="I810" s="60">
        <f>D810*E810*G810</f>
        <v>198</v>
      </c>
      <c r="J810" s="60"/>
      <c r="K810" s="70" t="s">
        <v>21</v>
      </c>
      <c r="L810" s="92"/>
      <c r="M810" s="92"/>
      <c r="N810" s="92"/>
      <c r="O810" s="92"/>
      <c r="P810" s="92"/>
      <c r="Q810" s="92"/>
      <c r="R810" s="93"/>
    </row>
    <row r="811" spans="1:18" s="32" customFormat="1" ht="17.5" customHeight="1">
      <c r="A811" s="91"/>
      <c r="B811" s="58"/>
      <c r="C811" s="58"/>
      <c r="D811" s="59" t="s">
        <v>82</v>
      </c>
      <c r="E811" s="60">
        <f>D806*E806+D807*E807+D808*E808+D809*E809+D810*E810</f>
        <v>112</v>
      </c>
      <c r="F811" s="60"/>
      <c r="G811" s="60"/>
      <c r="H811" s="60"/>
      <c r="I811" s="60"/>
      <c r="J811" s="60"/>
      <c r="K811" s="70"/>
      <c r="L811" s="92"/>
      <c r="M811" s="92"/>
      <c r="N811" s="92"/>
      <c r="O811" s="92"/>
      <c r="P811" s="92"/>
      <c r="Q811" s="92"/>
      <c r="R811" s="93"/>
    </row>
    <row r="812" spans="1:18" s="32" customFormat="1" ht="17.5" customHeight="1">
      <c r="A812" s="91"/>
      <c r="B812" s="91" t="s">
        <v>117</v>
      </c>
      <c r="C812" s="91"/>
      <c r="D812" s="59"/>
      <c r="E812" s="60"/>
      <c r="F812" s="60"/>
      <c r="G812" s="60"/>
      <c r="H812" s="60"/>
      <c r="I812" s="60"/>
      <c r="J812" s="60"/>
      <c r="K812" s="70"/>
      <c r="L812" s="92"/>
      <c r="M812" s="92"/>
      <c r="N812" s="92"/>
      <c r="O812" s="92"/>
      <c r="P812" s="92"/>
      <c r="Q812" s="92"/>
      <c r="R812" s="93"/>
    </row>
    <row r="813" spans="1:18" s="32" customFormat="1" ht="17.5" customHeight="1">
      <c r="A813" s="91"/>
      <c r="B813" s="58" t="s">
        <v>554</v>
      </c>
      <c r="C813" s="58"/>
      <c r="D813" s="59">
        <v>1</v>
      </c>
      <c r="E813" s="60">
        <v>5.33</v>
      </c>
      <c r="F813" s="60"/>
      <c r="G813" s="60">
        <f>7.17</f>
        <v>7.17</v>
      </c>
      <c r="H813" s="60">
        <f t="shared" ref="H813:H818" si="19">D813*E813*G813</f>
        <v>38.22</v>
      </c>
      <c r="I813" s="60"/>
      <c r="J813" s="60"/>
      <c r="K813" s="70" t="s">
        <v>21</v>
      </c>
      <c r="L813" s="92"/>
      <c r="M813" s="92"/>
      <c r="N813" s="92"/>
      <c r="O813" s="92"/>
      <c r="P813" s="92"/>
      <c r="Q813" s="92"/>
      <c r="R813" s="93"/>
    </row>
    <row r="814" spans="1:18" s="32" customFormat="1" ht="17.5" customHeight="1">
      <c r="A814" s="91"/>
      <c r="B814" s="58" t="s">
        <v>555</v>
      </c>
      <c r="C814" s="58"/>
      <c r="D814" s="59">
        <v>1</v>
      </c>
      <c r="E814" s="60">
        <v>3.25</v>
      </c>
      <c r="F814" s="60"/>
      <c r="G814" s="60">
        <f>7.17</f>
        <v>7.17</v>
      </c>
      <c r="H814" s="60">
        <f t="shared" si="19"/>
        <v>23.3</v>
      </c>
      <c r="I814" s="60"/>
      <c r="J814" s="60"/>
      <c r="K814" s="70" t="s">
        <v>21</v>
      </c>
      <c r="L814" s="92"/>
      <c r="M814" s="92"/>
      <c r="N814" s="92"/>
      <c r="O814" s="92"/>
      <c r="P814" s="92"/>
      <c r="Q814" s="92"/>
      <c r="R814" s="93"/>
    </row>
    <row r="815" spans="1:18" s="32" customFormat="1" ht="17.5" customHeight="1">
      <c r="A815" s="91"/>
      <c r="B815" s="58" t="s">
        <v>556</v>
      </c>
      <c r="C815" s="58"/>
      <c r="D815" s="59">
        <v>4</v>
      </c>
      <c r="E815" s="60">
        <v>2.17</v>
      </c>
      <c r="F815" s="60"/>
      <c r="G815" s="60">
        <f>5</f>
        <v>5</v>
      </c>
      <c r="H815" s="60">
        <f t="shared" si="19"/>
        <v>43.4</v>
      </c>
      <c r="I815" s="60"/>
      <c r="J815" s="60"/>
      <c r="K815" s="70" t="s">
        <v>21</v>
      </c>
      <c r="L815" s="92">
        <f>0.676*3.281</f>
        <v>2.2200000000000002</v>
      </c>
      <c r="M815" s="92">
        <f>1.314*3.281</f>
        <v>4.3099999999999996</v>
      </c>
      <c r="N815" s="92"/>
      <c r="O815" s="92"/>
      <c r="P815" s="92"/>
      <c r="Q815" s="92"/>
      <c r="R815" s="93"/>
    </row>
    <row r="816" spans="1:18" s="32" customFormat="1" ht="17.5" customHeight="1">
      <c r="A816" s="91"/>
      <c r="B816" s="58" t="s">
        <v>557</v>
      </c>
      <c r="C816" s="58"/>
      <c r="D816" s="59">
        <v>3</v>
      </c>
      <c r="E816" s="60">
        <v>6.42</v>
      </c>
      <c r="F816" s="60"/>
      <c r="G816" s="60">
        <f>5</f>
        <v>5</v>
      </c>
      <c r="H816" s="60">
        <f t="shared" si="19"/>
        <v>96.3</v>
      </c>
      <c r="I816" s="60"/>
      <c r="J816" s="60"/>
      <c r="K816" s="70" t="s">
        <v>21</v>
      </c>
      <c r="L816" s="92">
        <f>1.952*3.281</f>
        <v>6.4</v>
      </c>
      <c r="M816" s="92"/>
      <c r="N816" s="92"/>
      <c r="O816" s="92"/>
      <c r="P816" s="92"/>
      <c r="Q816" s="92"/>
      <c r="R816" s="93"/>
    </row>
    <row r="817" spans="1:18" s="32" customFormat="1" ht="17.5" customHeight="1">
      <c r="A817" s="91"/>
      <c r="B817" s="58" t="s">
        <v>558</v>
      </c>
      <c r="C817" s="58"/>
      <c r="D817" s="59">
        <f>2</f>
        <v>2</v>
      </c>
      <c r="E817" s="60">
        <v>4.33</v>
      </c>
      <c r="F817" s="60"/>
      <c r="G817" s="60">
        <f>2.33</f>
        <v>2.33</v>
      </c>
      <c r="H817" s="60">
        <f t="shared" si="19"/>
        <v>20.18</v>
      </c>
      <c r="I817" s="60"/>
      <c r="J817" s="60"/>
      <c r="K817" s="70" t="s">
        <v>21</v>
      </c>
      <c r="L817" s="92"/>
      <c r="M817" s="92"/>
      <c r="N817" s="92"/>
      <c r="O817" s="92"/>
      <c r="P817" s="92"/>
      <c r="Q817" s="92"/>
      <c r="R817" s="93"/>
    </row>
    <row r="818" spans="1:18" s="32" customFormat="1" ht="17.5" customHeight="1">
      <c r="A818" s="91"/>
      <c r="B818" s="58" t="s">
        <v>560</v>
      </c>
      <c r="C818" s="58"/>
      <c r="D818" s="59">
        <v>1</v>
      </c>
      <c r="E818" s="60">
        <v>2.33</v>
      </c>
      <c r="F818" s="60"/>
      <c r="G818" s="60">
        <v>2</v>
      </c>
      <c r="H818" s="60">
        <f t="shared" si="19"/>
        <v>4.66</v>
      </c>
      <c r="I818" s="60"/>
      <c r="J818" s="60"/>
      <c r="K818" s="70" t="s">
        <v>21</v>
      </c>
      <c r="L818" s="92"/>
      <c r="M818" s="92"/>
      <c r="N818" s="92"/>
      <c r="O818" s="92"/>
      <c r="P818" s="92"/>
      <c r="Q818" s="92"/>
      <c r="R818" s="93"/>
    </row>
    <row r="819" spans="1:18" s="32" customFormat="1" ht="17.5" customHeight="1">
      <c r="A819" s="91"/>
      <c r="B819" s="91" t="s">
        <v>148</v>
      </c>
      <c r="C819" s="91"/>
      <c r="D819" s="59"/>
      <c r="E819" s="60"/>
      <c r="F819" s="60"/>
      <c r="G819" s="60"/>
      <c r="H819" s="60"/>
      <c r="I819" s="60"/>
      <c r="J819" s="60"/>
      <c r="K819" s="70"/>
      <c r="L819" s="92"/>
      <c r="M819" s="92"/>
      <c r="N819" s="92"/>
      <c r="O819" s="92"/>
      <c r="P819" s="92"/>
      <c r="Q819" s="92"/>
      <c r="R819" s="93"/>
    </row>
    <row r="820" spans="1:18" s="32" customFormat="1" ht="17.5" customHeight="1">
      <c r="A820" s="91"/>
      <c r="B820" s="58" t="s">
        <v>116</v>
      </c>
      <c r="C820" s="58"/>
      <c r="D820" s="59">
        <v>1</v>
      </c>
      <c r="E820" s="60">
        <f>E811</f>
        <v>112</v>
      </c>
      <c r="F820" s="60"/>
      <c r="G820" s="60">
        <f>4.5/12</f>
        <v>0.38</v>
      </c>
      <c r="H820" s="60">
        <f>D820*E820*G820</f>
        <v>42.56</v>
      </c>
      <c r="I820" s="60"/>
      <c r="J820" s="60"/>
      <c r="K820" s="70" t="s">
        <v>21</v>
      </c>
      <c r="L820" s="92"/>
      <c r="M820" s="92">
        <f>SUM(I806:I821)</f>
        <v>1344</v>
      </c>
      <c r="N820" s="92">
        <f>SUM(H806:H821)</f>
        <v>307.92</v>
      </c>
      <c r="O820" s="92"/>
      <c r="P820" s="92"/>
      <c r="Q820" s="92"/>
      <c r="R820" s="93"/>
    </row>
    <row r="821" spans="1:18" s="32" customFormat="1" ht="17.5" customHeight="1">
      <c r="A821" s="91"/>
      <c r="B821" s="58" t="s">
        <v>119</v>
      </c>
      <c r="C821" s="58"/>
      <c r="D821" s="59">
        <v>1</v>
      </c>
      <c r="E821" s="60">
        <f>E820-D813*E813-D814*E814</f>
        <v>103.42</v>
      </c>
      <c r="F821" s="60"/>
      <c r="G821" s="60">
        <f>G820</f>
        <v>0.38</v>
      </c>
      <c r="H821" s="60">
        <f>D821*E821*G821</f>
        <v>39.299999999999997</v>
      </c>
      <c r="I821" s="60"/>
      <c r="J821" s="60"/>
      <c r="K821" s="70" t="s">
        <v>21</v>
      </c>
      <c r="L821" s="92"/>
      <c r="M821" s="92"/>
      <c r="N821" s="92">
        <f>M820-N820</f>
        <v>1036.08</v>
      </c>
      <c r="O821" s="92"/>
      <c r="P821" s="92"/>
      <c r="Q821" s="92"/>
      <c r="R821" s="93"/>
    </row>
    <row r="822" spans="1:18" s="32" customFormat="1" ht="17.5" customHeight="1">
      <c r="A822" s="91"/>
      <c r="B822" s="58"/>
      <c r="C822" s="58"/>
      <c r="D822" s="59"/>
      <c r="E822" s="60"/>
      <c r="F822" s="60"/>
      <c r="G822" s="60"/>
      <c r="H822" s="60">
        <f>SUM(H806:H821)</f>
        <v>307.92</v>
      </c>
      <c r="I822" s="60">
        <f>SUM(I806:I821)</f>
        <v>1344</v>
      </c>
      <c r="J822" s="60">
        <f>I822-H822</f>
        <v>1036.08</v>
      </c>
      <c r="K822" s="70" t="s">
        <v>21</v>
      </c>
      <c r="L822" s="92"/>
      <c r="M822" s="92"/>
      <c r="N822" s="92"/>
      <c r="O822" s="92"/>
      <c r="P822" s="92"/>
      <c r="Q822" s="92"/>
      <c r="R822" s="93"/>
    </row>
    <row r="823" spans="1:18" s="32" customFormat="1" ht="17.5" customHeight="1">
      <c r="A823" s="91"/>
      <c r="B823" s="58"/>
      <c r="C823" s="58"/>
      <c r="D823" s="59"/>
      <c r="E823" s="60"/>
      <c r="F823" s="60"/>
      <c r="G823" s="60"/>
      <c r="H823" s="60"/>
      <c r="I823" s="58" t="s">
        <v>564</v>
      </c>
      <c r="J823" s="60">
        <f>J822/100</f>
        <v>10.36</v>
      </c>
      <c r="K823" s="70" t="s">
        <v>12</v>
      </c>
      <c r="L823" s="92"/>
      <c r="M823" s="92"/>
      <c r="N823" s="92"/>
      <c r="O823" s="92"/>
      <c r="P823" s="92"/>
      <c r="Q823" s="92"/>
      <c r="R823" s="93"/>
    </row>
    <row r="824" spans="1:18" s="32" customFormat="1" ht="17.5" customHeight="1">
      <c r="A824" s="91"/>
      <c r="B824" s="58"/>
      <c r="C824" s="58"/>
      <c r="D824" s="59"/>
      <c r="E824" s="60"/>
      <c r="F824" s="60"/>
      <c r="G824" s="60"/>
      <c r="H824" s="60"/>
      <c r="I824" s="60"/>
      <c r="J824" s="60"/>
      <c r="K824" s="70"/>
      <c r="L824" s="92"/>
      <c r="M824" s="92"/>
      <c r="N824" s="92"/>
      <c r="O824" s="92"/>
      <c r="P824" s="92"/>
      <c r="Q824" s="92"/>
      <c r="R824" s="93"/>
    </row>
    <row r="825" spans="1:18" s="32" customFormat="1" ht="17.5" customHeight="1">
      <c r="A825" s="91"/>
      <c r="B825" s="94" t="s">
        <v>563</v>
      </c>
      <c r="C825" s="94"/>
      <c r="D825" s="59"/>
      <c r="E825" s="60"/>
      <c r="F825" s="60"/>
      <c r="G825" s="60"/>
      <c r="H825" s="60"/>
      <c r="I825" s="60"/>
      <c r="J825" s="60"/>
      <c r="K825" s="70"/>
      <c r="L825" s="92"/>
      <c r="M825" s="92"/>
      <c r="N825" s="92"/>
      <c r="O825" s="92"/>
      <c r="P825" s="92"/>
      <c r="Q825" s="92"/>
      <c r="R825" s="93"/>
    </row>
    <row r="826" spans="1:18" s="32" customFormat="1" ht="17.5" customHeight="1">
      <c r="A826" s="91"/>
      <c r="B826" s="58" t="s">
        <v>550</v>
      </c>
      <c r="C826" s="58"/>
      <c r="D826" s="59">
        <v>1</v>
      </c>
      <c r="E826" s="60">
        <f>25-3*0.83</f>
        <v>22.51</v>
      </c>
      <c r="F826" s="60"/>
      <c r="G826" s="60">
        <f>12-1</f>
        <v>11</v>
      </c>
      <c r="H826" s="60"/>
      <c r="I826" s="60">
        <f>D826*E826*G826</f>
        <v>247.61</v>
      </c>
      <c r="J826" s="60"/>
      <c r="K826" s="70" t="s">
        <v>21</v>
      </c>
      <c r="L826" s="92"/>
      <c r="M826" s="92"/>
      <c r="N826" s="92"/>
      <c r="O826" s="92"/>
      <c r="P826" s="92"/>
      <c r="Q826" s="92"/>
      <c r="R826" s="93"/>
    </row>
    <row r="827" spans="1:18" s="32" customFormat="1" ht="17.5" customHeight="1">
      <c r="A827" s="91"/>
      <c r="B827" s="58" t="s">
        <v>632</v>
      </c>
      <c r="C827" s="58"/>
      <c r="D827" s="59" t="s">
        <v>633</v>
      </c>
      <c r="E827" s="60">
        <v>25</v>
      </c>
      <c r="F827" s="60"/>
      <c r="G827" s="60">
        <v>11</v>
      </c>
      <c r="H827" s="60"/>
      <c r="I827" s="60">
        <f>0.5*E827*G827</f>
        <v>137.5</v>
      </c>
      <c r="J827" s="60"/>
      <c r="K827" s="70"/>
      <c r="L827" s="92"/>
      <c r="M827" s="92"/>
      <c r="N827" s="92"/>
      <c r="O827" s="92"/>
      <c r="P827" s="92"/>
      <c r="Q827" s="92"/>
      <c r="R827" s="93"/>
    </row>
    <row r="828" spans="1:18" s="32" customFormat="1" ht="17.5" customHeight="1">
      <c r="A828" s="91"/>
      <c r="B828" s="58" t="s">
        <v>414</v>
      </c>
      <c r="C828" s="58"/>
      <c r="D828" s="59">
        <v>1</v>
      </c>
      <c r="E828" s="60">
        <f>29-3*0.83</f>
        <v>26.51</v>
      </c>
      <c r="F828" s="60"/>
      <c r="G828" s="60">
        <f>G826</f>
        <v>11</v>
      </c>
      <c r="H828" s="60"/>
      <c r="I828" s="60">
        <f>D828*E828*G828</f>
        <v>291.61</v>
      </c>
      <c r="J828" s="60"/>
      <c r="K828" s="70" t="s">
        <v>21</v>
      </c>
      <c r="L828" s="92"/>
      <c r="M828" s="92"/>
      <c r="N828" s="92"/>
      <c r="O828" s="92"/>
      <c r="P828" s="92"/>
      <c r="Q828" s="92"/>
      <c r="R828" s="93"/>
    </row>
    <row r="829" spans="1:18" s="32" customFormat="1" ht="17.5" customHeight="1">
      <c r="A829" s="91"/>
      <c r="B829" s="58" t="s">
        <v>551</v>
      </c>
      <c r="C829" s="58"/>
      <c r="D829" s="59">
        <v>1</v>
      </c>
      <c r="E829" s="60">
        <f>35-4*0.83</f>
        <v>31.68</v>
      </c>
      <c r="F829" s="60"/>
      <c r="G829" s="60">
        <f>G828</f>
        <v>11</v>
      </c>
      <c r="H829" s="60"/>
      <c r="I829" s="60">
        <f>D829*E829*G829</f>
        <v>348.48</v>
      </c>
      <c r="J829" s="60"/>
      <c r="K829" s="70" t="s">
        <v>21</v>
      </c>
      <c r="L829" s="92"/>
      <c r="M829" s="92"/>
      <c r="N829" s="92"/>
      <c r="O829" s="92"/>
      <c r="P829" s="92"/>
      <c r="Q829" s="92"/>
      <c r="R829" s="93"/>
    </row>
    <row r="830" spans="1:18" s="32" customFormat="1" ht="17.5" customHeight="1">
      <c r="A830" s="91"/>
      <c r="B830" s="58" t="s">
        <v>552</v>
      </c>
      <c r="C830" s="58"/>
      <c r="D830" s="59">
        <v>1</v>
      </c>
      <c r="E830" s="60">
        <f>35-4*0.83</f>
        <v>31.68</v>
      </c>
      <c r="F830" s="60"/>
      <c r="G830" s="60">
        <f>G829</f>
        <v>11</v>
      </c>
      <c r="H830" s="60"/>
      <c r="I830" s="60">
        <f>D830*E830*G830</f>
        <v>348.48</v>
      </c>
      <c r="J830" s="60"/>
      <c r="K830" s="70" t="s">
        <v>21</v>
      </c>
      <c r="L830" s="92"/>
      <c r="M830" s="92"/>
      <c r="N830" s="92"/>
      <c r="O830" s="92"/>
      <c r="P830" s="92"/>
      <c r="Q830" s="92"/>
      <c r="R830" s="93"/>
    </row>
    <row r="831" spans="1:18" s="32" customFormat="1" ht="17.5" customHeight="1">
      <c r="A831" s="91"/>
      <c r="B831" s="58" t="s">
        <v>634</v>
      </c>
      <c r="C831" s="58"/>
      <c r="D831" s="59" t="s">
        <v>633</v>
      </c>
      <c r="E831" s="60">
        <v>16</v>
      </c>
      <c r="F831" s="60"/>
      <c r="G831" s="60">
        <v>11</v>
      </c>
      <c r="H831" s="60"/>
      <c r="I831" s="60">
        <f>0.5*E831*G831</f>
        <v>88</v>
      </c>
      <c r="J831" s="60"/>
      <c r="K831" s="70" t="s">
        <v>21</v>
      </c>
      <c r="L831" s="92"/>
      <c r="M831" s="92"/>
      <c r="N831" s="92"/>
      <c r="O831" s="92"/>
      <c r="P831" s="92"/>
      <c r="Q831" s="92"/>
      <c r="R831" s="93"/>
    </row>
    <row r="832" spans="1:18" s="32" customFormat="1" ht="17.5" customHeight="1">
      <c r="A832" s="91"/>
      <c r="B832" s="58" t="s">
        <v>635</v>
      </c>
      <c r="C832" s="58"/>
      <c r="D832" s="59" t="s">
        <v>633</v>
      </c>
      <c r="E832" s="60">
        <v>9.25</v>
      </c>
      <c r="F832" s="60"/>
      <c r="G832" s="60">
        <v>3.67</v>
      </c>
      <c r="H832" s="60"/>
      <c r="I832" s="60">
        <f>0.5*E832*G832</f>
        <v>16.97</v>
      </c>
      <c r="J832" s="60"/>
      <c r="K832" s="70" t="s">
        <v>21</v>
      </c>
      <c r="L832" s="92"/>
      <c r="M832" s="92"/>
      <c r="N832" s="92"/>
      <c r="O832" s="92"/>
      <c r="P832" s="92"/>
      <c r="Q832" s="92"/>
      <c r="R832" s="93"/>
    </row>
    <row r="833" spans="1:18" s="32" customFormat="1" ht="17.5" customHeight="1">
      <c r="A833" s="91"/>
      <c r="B833" s="58"/>
      <c r="C833" s="58"/>
      <c r="D833" s="59" t="s">
        <v>82</v>
      </c>
      <c r="E833" s="60">
        <f>D826*E826+D828*E828+D829*E829+D830*E830</f>
        <v>112.38</v>
      </c>
      <c r="F833" s="60"/>
      <c r="G833" s="60"/>
      <c r="H833" s="60"/>
      <c r="I833" s="60"/>
      <c r="J833" s="60"/>
      <c r="K833" s="70"/>
      <c r="L833" s="92"/>
      <c r="M833" s="92"/>
      <c r="N833" s="92"/>
      <c r="O833" s="92"/>
      <c r="P833" s="92"/>
      <c r="Q833" s="92"/>
      <c r="R833" s="93"/>
    </row>
    <row r="834" spans="1:18" s="32" customFormat="1" ht="17.5" customHeight="1">
      <c r="A834" s="91"/>
      <c r="B834" s="91" t="s">
        <v>117</v>
      </c>
      <c r="C834" s="91"/>
      <c r="D834" s="59"/>
      <c r="E834" s="60"/>
      <c r="F834" s="60"/>
      <c r="G834" s="60"/>
      <c r="H834" s="60"/>
      <c r="I834" s="60"/>
      <c r="J834" s="60"/>
      <c r="K834" s="70"/>
      <c r="L834" s="92"/>
      <c r="M834" s="92"/>
      <c r="N834" s="92"/>
      <c r="O834" s="92"/>
      <c r="P834" s="92"/>
      <c r="Q834" s="92"/>
      <c r="R834" s="93"/>
    </row>
    <row r="835" spans="1:18" s="32" customFormat="1" ht="17.5" customHeight="1">
      <c r="A835" s="91"/>
      <c r="B835" s="58" t="s">
        <v>555</v>
      </c>
      <c r="C835" s="91"/>
      <c r="D835" s="59">
        <v>2</v>
      </c>
      <c r="E835" s="60">
        <v>3.25</v>
      </c>
      <c r="F835" s="60"/>
      <c r="G835" s="60">
        <v>7.17</v>
      </c>
      <c r="H835" s="60">
        <f t="shared" ref="H835:H840" si="20">D835*E835*G835</f>
        <v>46.61</v>
      </c>
      <c r="I835" s="60"/>
      <c r="J835" s="60"/>
      <c r="K835" s="70" t="s">
        <v>21</v>
      </c>
      <c r="L835" s="92"/>
      <c r="M835" s="92"/>
      <c r="N835" s="92"/>
      <c r="O835" s="92"/>
      <c r="P835" s="92"/>
      <c r="Q835" s="92"/>
      <c r="R835" s="93"/>
    </row>
    <row r="836" spans="1:18" s="32" customFormat="1" ht="17.5" customHeight="1">
      <c r="A836" s="91"/>
      <c r="B836" s="58" t="s">
        <v>556</v>
      </c>
      <c r="C836" s="58"/>
      <c r="D836" s="59">
        <v>6</v>
      </c>
      <c r="E836" s="60">
        <v>2.17</v>
      </c>
      <c r="F836" s="60"/>
      <c r="G836" s="60">
        <v>5</v>
      </c>
      <c r="H836" s="60">
        <f t="shared" si="20"/>
        <v>65.099999999999994</v>
      </c>
      <c r="I836" s="60"/>
      <c r="J836" s="60"/>
      <c r="K836" s="70" t="s">
        <v>21</v>
      </c>
      <c r="L836" s="92"/>
      <c r="M836" s="92"/>
      <c r="N836" s="92"/>
      <c r="O836" s="92"/>
      <c r="P836" s="92"/>
      <c r="Q836" s="92"/>
      <c r="R836" s="93"/>
    </row>
    <row r="837" spans="1:18" s="32" customFormat="1" ht="17.5" customHeight="1">
      <c r="A837" s="91"/>
      <c r="B837" s="58" t="s">
        <v>562</v>
      </c>
      <c r="C837" s="58"/>
      <c r="D837" s="59">
        <v>2</v>
      </c>
      <c r="E837" s="60">
        <v>4.33</v>
      </c>
      <c r="F837" s="60"/>
      <c r="G837" s="60">
        <v>5</v>
      </c>
      <c r="H837" s="60">
        <f t="shared" si="20"/>
        <v>43.3</v>
      </c>
      <c r="I837" s="60"/>
      <c r="J837" s="60"/>
      <c r="K837" s="70" t="s">
        <v>21</v>
      </c>
      <c r="L837" s="92"/>
      <c r="M837" s="92"/>
      <c r="N837" s="92"/>
      <c r="O837" s="92"/>
      <c r="P837" s="92"/>
      <c r="Q837" s="92"/>
      <c r="R837" s="93"/>
    </row>
    <row r="838" spans="1:18" s="32" customFormat="1" ht="17.5" customHeight="1">
      <c r="A838" s="91"/>
      <c r="B838" s="58" t="s">
        <v>559</v>
      </c>
      <c r="C838" s="58"/>
      <c r="D838" s="59">
        <v>2</v>
      </c>
      <c r="E838" s="60">
        <v>2.17</v>
      </c>
      <c r="F838" s="60"/>
      <c r="G838" s="60">
        <v>5</v>
      </c>
      <c r="H838" s="60">
        <f t="shared" si="20"/>
        <v>21.7</v>
      </c>
      <c r="I838" s="60"/>
      <c r="J838" s="60"/>
      <c r="K838" s="70" t="s">
        <v>21</v>
      </c>
      <c r="L838" s="92"/>
      <c r="M838" s="92"/>
      <c r="N838" s="92"/>
      <c r="O838" s="92"/>
      <c r="P838" s="92"/>
      <c r="Q838" s="92"/>
      <c r="R838" s="93"/>
    </row>
    <row r="839" spans="1:18" s="32" customFormat="1" ht="17.5" customHeight="1">
      <c r="A839" s="91"/>
      <c r="B839" s="58" t="s">
        <v>560</v>
      </c>
      <c r="C839" s="58"/>
      <c r="D839" s="59">
        <v>2</v>
      </c>
      <c r="E839" s="60">
        <v>2.33</v>
      </c>
      <c r="F839" s="60"/>
      <c r="G839" s="60">
        <v>2</v>
      </c>
      <c r="H839" s="60">
        <f t="shared" si="20"/>
        <v>9.32</v>
      </c>
      <c r="I839" s="60"/>
      <c r="J839" s="60"/>
      <c r="K839" s="70" t="s">
        <v>21</v>
      </c>
      <c r="L839" s="92"/>
      <c r="M839" s="92"/>
      <c r="N839" s="92"/>
      <c r="O839" s="92"/>
      <c r="P839" s="92"/>
      <c r="Q839" s="92"/>
      <c r="R839" s="93"/>
    </row>
    <row r="840" spans="1:18" s="32" customFormat="1" ht="17.5" customHeight="1">
      <c r="A840" s="91"/>
      <c r="B840" s="58" t="s">
        <v>561</v>
      </c>
      <c r="C840" s="58"/>
      <c r="D840" s="59">
        <v>1</v>
      </c>
      <c r="E840" s="60">
        <v>4.33</v>
      </c>
      <c r="F840" s="60"/>
      <c r="G840" s="60">
        <v>5</v>
      </c>
      <c r="H840" s="60">
        <f t="shared" si="20"/>
        <v>21.65</v>
      </c>
      <c r="I840" s="60"/>
      <c r="J840" s="60"/>
      <c r="K840" s="70" t="s">
        <v>21</v>
      </c>
      <c r="L840" s="92"/>
      <c r="M840" s="92"/>
      <c r="N840" s="92"/>
      <c r="O840" s="92"/>
      <c r="P840" s="92"/>
      <c r="Q840" s="92"/>
      <c r="R840" s="93"/>
    </row>
    <row r="841" spans="1:18" s="32" customFormat="1" ht="17.5" customHeight="1">
      <c r="A841" s="91"/>
      <c r="B841" s="91" t="s">
        <v>148</v>
      </c>
      <c r="C841" s="91"/>
      <c r="D841" s="59"/>
      <c r="E841" s="60"/>
      <c r="F841" s="60"/>
      <c r="G841" s="60"/>
      <c r="H841" s="60"/>
      <c r="I841" s="60"/>
      <c r="J841" s="60"/>
      <c r="K841" s="70"/>
      <c r="L841" s="92"/>
      <c r="M841" s="92"/>
      <c r="N841" s="92"/>
      <c r="O841" s="92"/>
      <c r="P841" s="92"/>
      <c r="Q841" s="92"/>
      <c r="R841" s="93"/>
    </row>
    <row r="842" spans="1:18" s="32" customFormat="1" ht="17.5" customHeight="1">
      <c r="A842" s="91"/>
      <c r="B842" s="58" t="s">
        <v>116</v>
      </c>
      <c r="C842" s="58"/>
      <c r="D842" s="59">
        <v>1</v>
      </c>
      <c r="E842" s="60">
        <f>E833</f>
        <v>112.38</v>
      </c>
      <c r="F842" s="60"/>
      <c r="G842" s="60">
        <f>4.5/12</f>
        <v>0.38</v>
      </c>
      <c r="H842" s="60">
        <f>D842*E842*G842</f>
        <v>42.7</v>
      </c>
      <c r="I842" s="60"/>
      <c r="J842" s="60"/>
      <c r="K842" s="70" t="s">
        <v>21</v>
      </c>
      <c r="L842" s="92"/>
      <c r="M842" s="92"/>
      <c r="N842" s="92"/>
      <c r="O842" s="92"/>
      <c r="P842" s="92"/>
      <c r="Q842" s="92"/>
      <c r="R842" s="93"/>
    </row>
    <row r="843" spans="1:18" s="32" customFormat="1" ht="17.5" customHeight="1">
      <c r="A843" s="91"/>
      <c r="B843" s="58" t="s">
        <v>119</v>
      </c>
      <c r="C843" s="58"/>
      <c r="D843" s="59">
        <v>1</v>
      </c>
      <c r="E843" s="60">
        <f>E842-D835*E835</f>
        <v>105.88</v>
      </c>
      <c r="F843" s="60"/>
      <c r="G843" s="60">
        <f>G842</f>
        <v>0.38</v>
      </c>
      <c r="H843" s="60">
        <f>D843*E843*G843</f>
        <v>40.229999999999997</v>
      </c>
      <c r="I843" s="60"/>
      <c r="J843" s="60"/>
      <c r="K843" s="70" t="s">
        <v>21</v>
      </c>
      <c r="L843" s="92"/>
      <c r="M843" s="92"/>
      <c r="N843" s="92"/>
      <c r="O843" s="92"/>
      <c r="P843" s="92"/>
      <c r="Q843" s="92"/>
      <c r="R843" s="93"/>
    </row>
    <row r="844" spans="1:18" s="32" customFormat="1" ht="17.5" customHeight="1">
      <c r="A844" s="91"/>
      <c r="B844" s="58"/>
      <c r="C844" s="58"/>
      <c r="D844" s="59"/>
      <c r="E844" s="60"/>
      <c r="F844" s="60"/>
      <c r="G844" s="60"/>
      <c r="H844" s="60">
        <f>SUM(H826:H843)</f>
        <v>290.61</v>
      </c>
      <c r="I844" s="60">
        <f>SUM(I826:I843)</f>
        <v>1478.65</v>
      </c>
      <c r="J844" s="60">
        <f>I844-H844</f>
        <v>1188.04</v>
      </c>
      <c r="K844" s="70" t="s">
        <v>21</v>
      </c>
      <c r="L844" s="92"/>
      <c r="M844" s="92"/>
      <c r="N844" s="92"/>
      <c r="O844" s="92"/>
      <c r="P844" s="92"/>
      <c r="Q844" s="92"/>
      <c r="R844" s="93"/>
    </row>
    <row r="845" spans="1:18" s="32" customFormat="1" ht="17.5" customHeight="1">
      <c r="A845" s="91"/>
      <c r="B845" s="58"/>
      <c r="C845" s="58"/>
      <c r="D845" s="59"/>
      <c r="E845" s="60"/>
      <c r="F845" s="60"/>
      <c r="G845" s="60"/>
      <c r="H845" s="60"/>
      <c r="I845" s="58" t="s">
        <v>563</v>
      </c>
      <c r="J845" s="60">
        <f>J844/100</f>
        <v>11.88</v>
      </c>
      <c r="K845" s="70" t="s">
        <v>12</v>
      </c>
      <c r="L845" s="92"/>
      <c r="M845" s="92"/>
      <c r="N845" s="92"/>
      <c r="O845" s="92"/>
      <c r="P845" s="92"/>
      <c r="Q845" s="92"/>
      <c r="R845" s="93"/>
    </row>
    <row r="846" spans="1:18" s="32" customFormat="1" ht="17.5" customHeight="1">
      <c r="A846" s="91"/>
      <c r="B846" s="58"/>
      <c r="C846" s="58"/>
      <c r="D846" s="59"/>
      <c r="E846" s="60"/>
      <c r="F846" s="60"/>
      <c r="G846" s="60"/>
      <c r="H846" s="60"/>
      <c r="I846" s="95" t="s">
        <v>120</v>
      </c>
      <c r="J846" s="60">
        <f>J845+J823</f>
        <v>22.24</v>
      </c>
      <c r="K846" s="70" t="s">
        <v>12</v>
      </c>
      <c r="L846" s="92"/>
      <c r="M846" s="92"/>
      <c r="N846" s="92"/>
      <c r="O846" s="92"/>
      <c r="P846" s="92"/>
      <c r="Q846" s="92"/>
      <c r="R846" s="93"/>
    </row>
    <row r="847" spans="1:18" s="32" customFormat="1" ht="17.5" customHeight="1">
      <c r="A847" s="91"/>
      <c r="B847" s="58"/>
      <c r="C847" s="58"/>
      <c r="D847" s="59"/>
      <c r="E847" s="60"/>
      <c r="F847" s="60"/>
      <c r="G847" s="60"/>
      <c r="H847" s="60"/>
      <c r="I847" s="60"/>
      <c r="J847" s="60"/>
      <c r="K847" s="70"/>
      <c r="L847" s="92"/>
      <c r="M847" s="92"/>
      <c r="N847" s="92"/>
      <c r="O847" s="92"/>
      <c r="P847" s="92"/>
      <c r="Q847" s="92"/>
      <c r="R847" s="93"/>
    </row>
    <row r="848" spans="1:18" s="32" customFormat="1" ht="17.5" customHeight="1">
      <c r="A848" s="91"/>
      <c r="B848" s="91" t="s">
        <v>582</v>
      </c>
      <c r="C848" s="91"/>
      <c r="D848" s="59"/>
      <c r="E848" s="60"/>
      <c r="F848" s="60"/>
      <c r="G848" s="60"/>
      <c r="H848" s="60"/>
      <c r="I848" s="60"/>
      <c r="J848" s="60"/>
      <c r="K848" s="70"/>
      <c r="L848" s="92"/>
      <c r="M848" s="92"/>
      <c r="N848" s="92"/>
      <c r="O848" s="92"/>
      <c r="P848" s="92"/>
      <c r="Q848" s="92"/>
      <c r="R848" s="93"/>
    </row>
    <row r="849" spans="1:18" s="32" customFormat="1" ht="17.5" customHeight="1">
      <c r="A849" s="91"/>
      <c r="B849" s="91" t="s">
        <v>73</v>
      </c>
      <c r="C849" s="91"/>
      <c r="D849" s="59"/>
      <c r="E849" s="60"/>
      <c r="F849" s="60"/>
      <c r="G849" s="60"/>
      <c r="H849" s="60"/>
      <c r="I849" s="60"/>
      <c r="J849" s="60"/>
      <c r="K849" s="70"/>
      <c r="L849" s="92"/>
      <c r="M849" s="92"/>
      <c r="N849" s="92"/>
      <c r="O849" s="92"/>
      <c r="P849" s="92"/>
      <c r="Q849" s="92"/>
      <c r="R849" s="93"/>
    </row>
    <row r="850" spans="1:18" s="32" customFormat="1" ht="17.5" customHeight="1">
      <c r="A850" s="91"/>
      <c r="B850" s="58" t="s">
        <v>565</v>
      </c>
      <c r="C850" s="58"/>
      <c r="D850" s="59">
        <v>2</v>
      </c>
      <c r="E850" s="60">
        <f>11.5-1.5*1</f>
        <v>10</v>
      </c>
      <c r="F850" s="60"/>
      <c r="G850" s="60">
        <f>13-1</f>
        <v>12</v>
      </c>
      <c r="H850" s="60"/>
      <c r="I850" s="60">
        <f t="shared" ref="I850:I858" si="21">D850*E850*G850</f>
        <v>240</v>
      </c>
      <c r="J850" s="60"/>
      <c r="K850" s="70" t="s">
        <v>21</v>
      </c>
      <c r="L850" s="92"/>
      <c r="M850" s="92"/>
      <c r="N850" s="92"/>
      <c r="O850" s="92"/>
      <c r="P850" s="92"/>
      <c r="Q850" s="92"/>
      <c r="R850" s="93"/>
    </row>
    <row r="851" spans="1:18" s="32" customFormat="1" ht="17.5" customHeight="1">
      <c r="A851" s="91"/>
      <c r="B851" s="58" t="s">
        <v>567</v>
      </c>
      <c r="C851" s="58"/>
      <c r="D851" s="59">
        <v>1</v>
      </c>
      <c r="E851" s="60">
        <v>9</v>
      </c>
      <c r="F851" s="60"/>
      <c r="G851" s="60">
        <f>6.5-0.5</f>
        <v>6</v>
      </c>
      <c r="H851" s="60"/>
      <c r="I851" s="60">
        <f t="shared" si="21"/>
        <v>54</v>
      </c>
      <c r="J851" s="60"/>
      <c r="K851" s="70" t="s">
        <v>21</v>
      </c>
      <c r="L851" s="92"/>
      <c r="M851" s="92"/>
      <c r="N851" s="92"/>
      <c r="O851" s="92"/>
      <c r="P851" s="92"/>
      <c r="Q851" s="92"/>
      <c r="R851" s="93"/>
    </row>
    <row r="852" spans="1:18" s="32" customFormat="1" ht="17.5" customHeight="1">
      <c r="A852" s="91"/>
      <c r="B852" s="58" t="s">
        <v>566</v>
      </c>
      <c r="C852" s="58"/>
      <c r="D852" s="59">
        <v>1</v>
      </c>
      <c r="E852" s="60">
        <v>3.5</v>
      </c>
      <c r="F852" s="60"/>
      <c r="G852" s="60">
        <f>13-1</f>
        <v>12</v>
      </c>
      <c r="H852" s="60"/>
      <c r="I852" s="60">
        <f t="shared" si="21"/>
        <v>42</v>
      </c>
      <c r="J852" s="60"/>
      <c r="K852" s="70" t="s">
        <v>21</v>
      </c>
      <c r="L852" s="92"/>
      <c r="M852" s="92"/>
      <c r="N852" s="92"/>
      <c r="O852" s="92"/>
      <c r="P852" s="92"/>
      <c r="Q852" s="92"/>
      <c r="R852" s="93"/>
    </row>
    <row r="853" spans="1:18" s="32" customFormat="1" ht="17.5" customHeight="1">
      <c r="A853" s="91"/>
      <c r="B853" s="58" t="s">
        <v>388</v>
      </c>
      <c r="C853" s="58"/>
      <c r="D853" s="59">
        <v>3</v>
      </c>
      <c r="E853" s="60">
        <v>10</v>
      </c>
      <c r="F853" s="60"/>
      <c r="G853" s="60">
        <f>12-1.17</f>
        <v>10.83</v>
      </c>
      <c r="H853" s="60"/>
      <c r="I853" s="60">
        <f t="shared" si="21"/>
        <v>324.89999999999998</v>
      </c>
      <c r="J853" s="60"/>
      <c r="K853" s="70" t="s">
        <v>21</v>
      </c>
      <c r="L853" s="92"/>
      <c r="M853" s="92"/>
      <c r="N853" s="92"/>
      <c r="O853" s="92"/>
      <c r="P853" s="92"/>
      <c r="Q853" s="92"/>
      <c r="R853" s="93"/>
    </row>
    <row r="854" spans="1:18" s="32" customFormat="1" ht="17.5" customHeight="1">
      <c r="A854" s="91"/>
      <c r="B854" s="58" t="s">
        <v>568</v>
      </c>
      <c r="C854" s="58"/>
      <c r="D854" s="59">
        <v>1</v>
      </c>
      <c r="E854" s="60">
        <v>7.5</v>
      </c>
      <c r="F854" s="60"/>
      <c r="G854" s="60">
        <f>(6.17+12.67)/2</f>
        <v>9.42</v>
      </c>
      <c r="H854" s="60"/>
      <c r="I854" s="60">
        <f t="shared" si="21"/>
        <v>70.650000000000006</v>
      </c>
      <c r="J854" s="60"/>
      <c r="K854" s="70" t="s">
        <v>21</v>
      </c>
      <c r="L854" s="92"/>
      <c r="M854" s="92"/>
      <c r="N854" s="92"/>
      <c r="O854" s="92"/>
      <c r="P854" s="92"/>
      <c r="Q854" s="92"/>
      <c r="R854" s="93"/>
    </row>
    <row r="855" spans="1:18" s="32" customFormat="1" ht="17.5" customHeight="1">
      <c r="A855" s="91"/>
      <c r="B855" s="58" t="s">
        <v>569</v>
      </c>
      <c r="C855" s="58"/>
      <c r="D855" s="59">
        <v>1</v>
      </c>
      <c r="E855" s="60">
        <v>4</v>
      </c>
      <c r="F855" s="60"/>
      <c r="G855" s="60">
        <v>4</v>
      </c>
      <c r="H855" s="60"/>
      <c r="I855" s="60">
        <f t="shared" si="21"/>
        <v>16</v>
      </c>
      <c r="J855" s="60"/>
      <c r="K855" s="70" t="s">
        <v>21</v>
      </c>
      <c r="L855" s="92"/>
      <c r="M855" s="92"/>
      <c r="N855" s="92"/>
      <c r="O855" s="92"/>
      <c r="P855" s="92"/>
      <c r="Q855" s="92"/>
      <c r="R855" s="93"/>
    </row>
    <row r="856" spans="1:18" s="32" customFormat="1" ht="17.5" customHeight="1">
      <c r="A856" s="91"/>
      <c r="B856" s="58" t="s">
        <v>570</v>
      </c>
      <c r="C856" s="58"/>
      <c r="D856" s="59">
        <v>1</v>
      </c>
      <c r="E856" s="60">
        <f>16-1.5</f>
        <v>14.5</v>
      </c>
      <c r="F856" s="60"/>
      <c r="G856" s="60">
        <f>13-1</f>
        <v>12</v>
      </c>
      <c r="H856" s="60"/>
      <c r="I856" s="60">
        <f t="shared" si="21"/>
        <v>174</v>
      </c>
      <c r="J856" s="60"/>
      <c r="K856" s="70" t="s">
        <v>21</v>
      </c>
      <c r="L856" s="92"/>
      <c r="M856" s="92"/>
      <c r="N856" s="92"/>
      <c r="O856" s="92"/>
      <c r="P856" s="92"/>
      <c r="Q856" s="92"/>
      <c r="R856" s="93"/>
    </row>
    <row r="857" spans="1:18" s="32" customFormat="1" ht="17.5" customHeight="1">
      <c r="A857" s="91"/>
      <c r="B857" s="58" t="s">
        <v>571</v>
      </c>
      <c r="C857" s="58"/>
      <c r="D857" s="59">
        <v>1</v>
      </c>
      <c r="E857" s="60">
        <f>8+9+4</f>
        <v>21</v>
      </c>
      <c r="F857" s="60"/>
      <c r="G857" s="60">
        <f>13-1</f>
        <v>12</v>
      </c>
      <c r="H857" s="60"/>
      <c r="I857" s="60">
        <f t="shared" si="21"/>
        <v>252</v>
      </c>
      <c r="J857" s="60"/>
      <c r="K857" s="70" t="s">
        <v>21</v>
      </c>
      <c r="L857" s="92"/>
      <c r="M857" s="92"/>
      <c r="N857" s="92"/>
      <c r="O857" s="92"/>
      <c r="P857" s="92"/>
      <c r="Q857" s="92"/>
      <c r="R857" s="93"/>
    </row>
    <row r="858" spans="1:18" s="32" customFormat="1" ht="17.5" customHeight="1">
      <c r="A858" s="91"/>
      <c r="B858" s="58" t="s">
        <v>572</v>
      </c>
      <c r="C858" s="58"/>
      <c r="D858" s="59">
        <v>1</v>
      </c>
      <c r="E858" s="60">
        <f>8+5.5</f>
        <v>13.5</v>
      </c>
      <c r="F858" s="60"/>
      <c r="G858" s="60">
        <f>13-1</f>
        <v>12</v>
      </c>
      <c r="H858" s="60"/>
      <c r="I858" s="60">
        <f t="shared" si="21"/>
        <v>162</v>
      </c>
      <c r="J858" s="60"/>
      <c r="K858" s="70" t="s">
        <v>21</v>
      </c>
      <c r="L858" s="92"/>
      <c r="M858" s="92"/>
      <c r="N858" s="92"/>
      <c r="O858" s="92"/>
      <c r="P858" s="92"/>
      <c r="Q858" s="92"/>
      <c r="R858" s="93"/>
    </row>
    <row r="859" spans="1:18" s="32" customFormat="1" ht="17.5" customHeight="1">
      <c r="A859" s="91"/>
      <c r="B859" s="58"/>
      <c r="C859" s="58"/>
      <c r="D859" s="59" t="s">
        <v>82</v>
      </c>
      <c r="E859" s="60">
        <f>D850*E850+D851*E851+D852*E852+D853*E853+D854*E854+D855*E855+D856*E856+D857*E857+D858*E858</f>
        <v>123</v>
      </c>
      <c r="F859" s="60"/>
      <c r="G859" s="60"/>
      <c r="H859" s="60"/>
      <c r="I859" s="60"/>
      <c r="J859" s="60"/>
      <c r="K859" s="70"/>
      <c r="L859" s="92"/>
      <c r="M859" s="92"/>
      <c r="N859" s="92"/>
      <c r="O859" s="92"/>
      <c r="P859" s="92"/>
      <c r="Q859" s="92"/>
      <c r="R859" s="93"/>
    </row>
    <row r="860" spans="1:18" s="32" customFormat="1" ht="17.5" customHeight="1">
      <c r="A860" s="91"/>
      <c r="B860" s="91" t="s">
        <v>117</v>
      </c>
      <c r="C860" s="91"/>
      <c r="D860" s="59"/>
      <c r="E860" s="60"/>
      <c r="F860" s="60"/>
      <c r="G860" s="60"/>
      <c r="H860" s="60"/>
      <c r="I860" s="60"/>
      <c r="J860" s="60"/>
      <c r="K860" s="70"/>
      <c r="L860" s="92"/>
      <c r="M860" s="92"/>
      <c r="N860" s="92"/>
      <c r="O860" s="92"/>
      <c r="P860" s="92"/>
      <c r="Q860" s="92"/>
      <c r="R860" s="93"/>
    </row>
    <row r="861" spans="1:18" s="32" customFormat="1" ht="17.5" customHeight="1">
      <c r="A861" s="91"/>
      <c r="B861" s="58" t="s">
        <v>573</v>
      </c>
      <c r="C861" s="58"/>
      <c r="D861" s="59">
        <v>2</v>
      </c>
      <c r="E861" s="60">
        <v>3.25</v>
      </c>
      <c r="F861" s="60"/>
      <c r="G861" s="60">
        <f>7.17</f>
        <v>7.17</v>
      </c>
      <c r="H861" s="60">
        <f>D861*E861*G861</f>
        <v>46.61</v>
      </c>
      <c r="I861" s="60"/>
      <c r="J861" s="60"/>
      <c r="K861" s="70" t="s">
        <v>21</v>
      </c>
      <c r="L861" s="92"/>
      <c r="M861" s="92"/>
      <c r="N861" s="92"/>
      <c r="O861" s="92"/>
      <c r="P861" s="92"/>
      <c r="Q861" s="92"/>
      <c r="R861" s="93"/>
    </row>
    <row r="862" spans="1:18" s="32" customFormat="1" ht="17.5" customHeight="1">
      <c r="A862" s="91"/>
      <c r="B862" s="58" t="s">
        <v>574</v>
      </c>
      <c r="C862" s="58"/>
      <c r="D862" s="59">
        <v>2</v>
      </c>
      <c r="E862" s="60">
        <v>2.75</v>
      </c>
      <c r="F862" s="60"/>
      <c r="G862" s="60">
        <f>7.17</f>
        <v>7.17</v>
      </c>
      <c r="H862" s="60">
        <f>D862*E862*G862</f>
        <v>39.44</v>
      </c>
      <c r="I862" s="60"/>
      <c r="J862" s="60"/>
      <c r="K862" s="70" t="s">
        <v>21</v>
      </c>
      <c r="L862" s="92"/>
      <c r="M862" s="92"/>
      <c r="N862" s="92"/>
      <c r="O862" s="92"/>
      <c r="P862" s="92"/>
      <c r="Q862" s="92"/>
      <c r="R862" s="93"/>
    </row>
    <row r="863" spans="1:18" s="32" customFormat="1" ht="17.5" customHeight="1">
      <c r="A863" s="91"/>
      <c r="B863" s="58" t="s">
        <v>575</v>
      </c>
      <c r="C863" s="58"/>
      <c r="D863" s="59">
        <v>1</v>
      </c>
      <c r="E863" s="60">
        <v>3</v>
      </c>
      <c r="F863" s="60"/>
      <c r="G863" s="60">
        <f>7</f>
        <v>7</v>
      </c>
      <c r="H863" s="60">
        <f>D863*E863*G863</f>
        <v>21</v>
      </c>
      <c r="I863" s="60"/>
      <c r="J863" s="60"/>
      <c r="K863" s="70" t="s">
        <v>21</v>
      </c>
      <c r="L863" s="92"/>
      <c r="M863" s="92"/>
      <c r="N863" s="92"/>
      <c r="O863" s="92"/>
      <c r="P863" s="92"/>
      <c r="Q863" s="92"/>
      <c r="R863" s="93"/>
    </row>
    <row r="864" spans="1:18" s="32" customFormat="1" ht="17.5" customHeight="1">
      <c r="A864" s="91"/>
      <c r="B864" s="91" t="s">
        <v>148</v>
      </c>
      <c r="C864" s="91"/>
      <c r="D864" s="59"/>
      <c r="E864" s="60"/>
      <c r="F864" s="60"/>
      <c r="G864" s="60"/>
      <c r="H864" s="60"/>
      <c r="I864" s="60"/>
      <c r="J864" s="60"/>
      <c r="K864" s="70"/>
      <c r="L864" s="92"/>
      <c r="M864" s="92"/>
      <c r="N864" s="92"/>
      <c r="O864" s="92"/>
      <c r="P864" s="92"/>
      <c r="Q864" s="92"/>
      <c r="R864" s="93"/>
    </row>
    <row r="865" spans="1:18" s="32" customFormat="1" ht="17.5" customHeight="1">
      <c r="A865" s="91"/>
      <c r="B865" s="58" t="s">
        <v>116</v>
      </c>
      <c r="C865" s="58"/>
      <c r="D865" s="59">
        <v>1</v>
      </c>
      <c r="E865" s="60">
        <f>E859</f>
        <v>123</v>
      </c>
      <c r="F865" s="60"/>
      <c r="G865" s="60">
        <f>4.5/12</f>
        <v>0.38</v>
      </c>
      <c r="H865" s="60">
        <f>D865*E865*G865</f>
        <v>46.74</v>
      </c>
      <c r="I865" s="60"/>
      <c r="J865" s="60"/>
      <c r="K865" s="70" t="s">
        <v>21</v>
      </c>
      <c r="L865" s="92"/>
      <c r="M865" s="92"/>
      <c r="N865" s="92"/>
      <c r="O865" s="92"/>
      <c r="P865" s="92"/>
      <c r="Q865" s="92"/>
      <c r="R865" s="93"/>
    </row>
    <row r="866" spans="1:18" s="32" customFormat="1" ht="17.5" customHeight="1">
      <c r="A866" s="91"/>
      <c r="B866" s="58" t="s">
        <v>119</v>
      </c>
      <c r="C866" s="58"/>
      <c r="D866" s="59">
        <v>1</v>
      </c>
      <c r="E866" s="60">
        <f>D865*E865-D861*E861-D862*E862-D863*E863</f>
        <v>108</v>
      </c>
      <c r="F866" s="60"/>
      <c r="G866" s="60">
        <f>G865</f>
        <v>0.38</v>
      </c>
      <c r="H866" s="60">
        <f>D866*E866*G866</f>
        <v>41.04</v>
      </c>
      <c r="I866" s="60"/>
      <c r="J866" s="60"/>
      <c r="K866" s="70" t="s">
        <v>21</v>
      </c>
      <c r="L866" s="92"/>
      <c r="M866" s="92">
        <f>SUM(I850:I866)</f>
        <v>1335.55</v>
      </c>
      <c r="N866" s="92">
        <f>SUM(H850:H866)</f>
        <v>194.83</v>
      </c>
      <c r="O866" s="92"/>
      <c r="P866" s="92"/>
      <c r="Q866" s="92"/>
      <c r="R866" s="93"/>
    </row>
    <row r="867" spans="1:18" s="32" customFormat="1" ht="17.5" customHeight="1">
      <c r="A867" s="91"/>
      <c r="B867" s="58" t="s">
        <v>576</v>
      </c>
      <c r="C867" s="58"/>
      <c r="D867" s="59">
        <v>6</v>
      </c>
      <c r="E867" s="60"/>
      <c r="F867" s="60">
        <f>4.5/12</f>
        <v>0.38</v>
      </c>
      <c r="G867" s="60">
        <f>13-1</f>
        <v>12</v>
      </c>
      <c r="H867" s="60">
        <f>D867*F867*G867</f>
        <v>27.36</v>
      </c>
      <c r="I867" s="60"/>
      <c r="J867" s="60"/>
      <c r="K867" s="70" t="s">
        <v>21</v>
      </c>
      <c r="L867" s="92"/>
      <c r="M867" s="92"/>
      <c r="N867" s="92"/>
      <c r="O867" s="92"/>
      <c r="P867" s="92"/>
      <c r="Q867" s="92"/>
      <c r="R867" s="93"/>
    </row>
    <row r="868" spans="1:18" s="32" customFormat="1" ht="17.5" customHeight="1">
      <c r="A868" s="91"/>
      <c r="B868" s="58"/>
      <c r="C868" s="58"/>
      <c r="D868" s="59"/>
      <c r="E868" s="60"/>
      <c r="F868" s="60"/>
      <c r="G868" s="60"/>
      <c r="H868" s="60">
        <f>SUM(H850:H867)</f>
        <v>222.19</v>
      </c>
      <c r="I868" s="60">
        <f>SUM(I850:I867)</f>
        <v>1335.55</v>
      </c>
      <c r="J868" s="60">
        <f>I868-H868</f>
        <v>1113.3599999999999</v>
      </c>
      <c r="K868" s="70" t="s">
        <v>21</v>
      </c>
      <c r="L868" s="92"/>
      <c r="M868" s="92"/>
      <c r="N868" s="92"/>
      <c r="O868" s="92"/>
      <c r="P868" s="92"/>
      <c r="Q868" s="92"/>
      <c r="R868" s="93"/>
    </row>
    <row r="869" spans="1:18" s="32" customFormat="1" ht="17.5" customHeight="1">
      <c r="A869" s="91"/>
      <c r="B869" s="58"/>
      <c r="C869" s="58"/>
      <c r="D869" s="59"/>
      <c r="E869" s="60"/>
      <c r="F869" s="60"/>
      <c r="G869" s="60"/>
      <c r="H869" s="60"/>
      <c r="I869" s="58" t="s">
        <v>583</v>
      </c>
      <c r="J869" s="60">
        <f>J868/100</f>
        <v>11.13</v>
      </c>
      <c r="K869" s="70" t="s">
        <v>12</v>
      </c>
      <c r="L869" s="92"/>
      <c r="M869" s="92"/>
      <c r="N869" s="92"/>
      <c r="O869" s="92"/>
      <c r="P869" s="92"/>
      <c r="Q869" s="92"/>
      <c r="R869" s="93"/>
    </row>
    <row r="870" spans="1:18" s="32" customFormat="1" ht="17.5" customHeight="1">
      <c r="A870" s="91"/>
      <c r="B870" s="58"/>
      <c r="C870" s="58"/>
      <c r="D870" s="59"/>
      <c r="E870" s="60"/>
      <c r="F870" s="60"/>
      <c r="G870" s="60"/>
      <c r="H870" s="60"/>
      <c r="I870" s="60"/>
      <c r="J870" s="60"/>
      <c r="K870" s="70"/>
      <c r="L870" s="92"/>
      <c r="M870" s="92"/>
      <c r="N870" s="92">
        <f>M866-N866</f>
        <v>1140.72</v>
      </c>
      <c r="O870" s="92"/>
      <c r="P870" s="92"/>
      <c r="Q870" s="92"/>
      <c r="R870" s="93"/>
    </row>
    <row r="871" spans="1:18" s="32" customFormat="1" ht="17.5" customHeight="1">
      <c r="A871" s="91"/>
      <c r="B871" s="91" t="s">
        <v>584</v>
      </c>
      <c r="C871" s="91"/>
      <c r="D871" s="59"/>
      <c r="E871" s="60"/>
      <c r="F871" s="60"/>
      <c r="G871" s="60"/>
      <c r="H871" s="60"/>
      <c r="I871" s="60"/>
      <c r="J871" s="60"/>
      <c r="K871" s="70"/>
      <c r="L871" s="92"/>
      <c r="M871" s="92"/>
      <c r="N871" s="92"/>
      <c r="O871" s="92"/>
      <c r="P871" s="92"/>
      <c r="Q871" s="92"/>
      <c r="R871" s="93"/>
    </row>
    <row r="872" spans="1:18" s="32" customFormat="1" ht="17.5" customHeight="1">
      <c r="A872" s="91"/>
      <c r="B872" s="58" t="s">
        <v>577</v>
      </c>
      <c r="C872" s="58"/>
      <c r="D872" s="59">
        <v>2</v>
      </c>
      <c r="E872" s="60">
        <f>11.5-0.83*1.5</f>
        <v>10.26</v>
      </c>
      <c r="F872" s="60"/>
      <c r="G872" s="60">
        <f t="shared" ref="G872:G877" si="22">12-1</f>
        <v>11</v>
      </c>
      <c r="H872" s="60"/>
      <c r="I872" s="60">
        <f t="shared" ref="I872:I877" si="23">D872*E872*G872</f>
        <v>225.72</v>
      </c>
      <c r="J872" s="60"/>
      <c r="K872" s="70" t="s">
        <v>21</v>
      </c>
      <c r="L872" s="92"/>
      <c r="M872" s="92"/>
      <c r="N872" s="92"/>
      <c r="O872" s="92"/>
      <c r="P872" s="92"/>
      <c r="Q872" s="92"/>
      <c r="R872" s="93"/>
    </row>
    <row r="873" spans="1:18" s="32" customFormat="1" ht="17.5" customHeight="1">
      <c r="A873" s="91"/>
      <c r="B873" s="58" t="s">
        <v>578</v>
      </c>
      <c r="C873" s="58"/>
      <c r="D873" s="59">
        <v>1</v>
      </c>
      <c r="E873" s="60">
        <f>8+8</f>
        <v>16</v>
      </c>
      <c r="F873" s="60"/>
      <c r="G873" s="60">
        <f t="shared" si="22"/>
        <v>11</v>
      </c>
      <c r="H873" s="60"/>
      <c r="I873" s="60">
        <f t="shared" si="23"/>
        <v>176</v>
      </c>
      <c r="J873" s="60"/>
      <c r="K873" s="70" t="s">
        <v>21</v>
      </c>
      <c r="L873" s="92"/>
      <c r="M873" s="92"/>
      <c r="N873" s="92"/>
      <c r="O873" s="92"/>
      <c r="P873" s="92"/>
      <c r="Q873" s="92"/>
      <c r="R873" s="93"/>
    </row>
    <row r="874" spans="1:18" s="32" customFormat="1" ht="17.5" customHeight="1">
      <c r="A874" s="91"/>
      <c r="B874" s="58" t="s">
        <v>579</v>
      </c>
      <c r="C874" s="58"/>
      <c r="D874" s="59">
        <v>1</v>
      </c>
      <c r="E874" s="60">
        <f>8+5+4</f>
        <v>17</v>
      </c>
      <c r="F874" s="60"/>
      <c r="G874" s="60">
        <f t="shared" si="22"/>
        <v>11</v>
      </c>
      <c r="H874" s="60"/>
      <c r="I874" s="60">
        <f t="shared" si="23"/>
        <v>187</v>
      </c>
      <c r="J874" s="60"/>
      <c r="K874" s="70" t="s">
        <v>21</v>
      </c>
      <c r="L874" s="92"/>
      <c r="M874" s="92"/>
      <c r="N874" s="92"/>
      <c r="O874" s="92"/>
      <c r="P874" s="92"/>
      <c r="Q874" s="92"/>
      <c r="R874" s="93"/>
    </row>
    <row r="875" spans="1:18" s="32" customFormat="1" ht="17.5" customHeight="1">
      <c r="A875" s="91"/>
      <c r="B875" s="58" t="s">
        <v>570</v>
      </c>
      <c r="C875" s="58"/>
      <c r="D875" s="59">
        <v>1</v>
      </c>
      <c r="E875" s="60">
        <f>16-0.75*1.5</f>
        <v>14.88</v>
      </c>
      <c r="F875" s="60"/>
      <c r="G875" s="60">
        <f t="shared" si="22"/>
        <v>11</v>
      </c>
      <c r="H875" s="60"/>
      <c r="I875" s="60">
        <f t="shared" si="23"/>
        <v>163.68</v>
      </c>
      <c r="J875" s="60"/>
      <c r="K875" s="70" t="s">
        <v>21</v>
      </c>
      <c r="L875" s="92"/>
      <c r="M875" s="92"/>
      <c r="N875" s="92"/>
      <c r="O875" s="92"/>
      <c r="P875" s="92"/>
      <c r="Q875" s="92"/>
      <c r="R875" s="93"/>
    </row>
    <row r="876" spans="1:18" s="32" customFormat="1" ht="17.5" customHeight="1">
      <c r="A876" s="91"/>
      <c r="B876" s="58" t="s">
        <v>580</v>
      </c>
      <c r="C876" s="58"/>
      <c r="D876" s="59">
        <v>2</v>
      </c>
      <c r="E876" s="60">
        <v>5</v>
      </c>
      <c r="F876" s="60"/>
      <c r="G876" s="60">
        <f t="shared" si="22"/>
        <v>11</v>
      </c>
      <c r="H876" s="60"/>
      <c r="I876" s="60">
        <f t="shared" si="23"/>
        <v>110</v>
      </c>
      <c r="J876" s="60"/>
      <c r="K876" s="70" t="s">
        <v>21</v>
      </c>
      <c r="L876" s="92"/>
      <c r="M876" s="92"/>
      <c r="N876" s="92"/>
      <c r="O876" s="92"/>
      <c r="P876" s="92"/>
      <c r="Q876" s="92"/>
      <c r="R876" s="93"/>
    </row>
    <row r="877" spans="1:18" s="32" customFormat="1" ht="17.5" customHeight="1">
      <c r="A877" s="91"/>
      <c r="B877" s="58" t="s">
        <v>581</v>
      </c>
      <c r="C877" s="58"/>
      <c r="D877" s="59">
        <v>1</v>
      </c>
      <c r="E877" s="60">
        <v>16</v>
      </c>
      <c r="F877" s="60"/>
      <c r="G877" s="60">
        <f t="shared" si="22"/>
        <v>11</v>
      </c>
      <c r="H877" s="60"/>
      <c r="I877" s="60">
        <f t="shared" si="23"/>
        <v>176</v>
      </c>
      <c r="J877" s="60"/>
      <c r="K877" s="70" t="s">
        <v>21</v>
      </c>
      <c r="L877" s="92"/>
      <c r="M877" s="92"/>
      <c r="N877" s="92"/>
      <c r="O877" s="92"/>
      <c r="P877" s="92"/>
      <c r="Q877" s="92"/>
      <c r="R877" s="93"/>
    </row>
    <row r="878" spans="1:18" s="32" customFormat="1" ht="17.5" customHeight="1">
      <c r="A878" s="91"/>
      <c r="B878" s="58"/>
      <c r="C878" s="58"/>
      <c r="D878" s="59"/>
      <c r="E878" s="60">
        <f>D872*E872+D873*E873+D874*E874+D875*E875+D876*E876+D877*E877</f>
        <v>94.4</v>
      </c>
      <c r="F878" s="60"/>
      <c r="G878" s="60"/>
      <c r="H878" s="60"/>
      <c r="I878" s="60"/>
      <c r="J878" s="60"/>
      <c r="K878" s="70"/>
      <c r="L878" s="92"/>
      <c r="M878" s="92"/>
      <c r="N878" s="92"/>
      <c r="O878" s="92"/>
      <c r="P878" s="92"/>
      <c r="Q878" s="92"/>
      <c r="R878" s="93"/>
    </row>
    <row r="879" spans="1:18" s="32" customFormat="1" ht="17.5" customHeight="1">
      <c r="A879" s="91"/>
      <c r="B879" s="91" t="s">
        <v>117</v>
      </c>
      <c r="C879" s="91"/>
      <c r="D879" s="59"/>
      <c r="E879" s="60"/>
      <c r="F879" s="60"/>
      <c r="G879" s="60"/>
      <c r="H879" s="60"/>
      <c r="I879" s="60"/>
      <c r="J879" s="60"/>
      <c r="K879" s="70"/>
      <c r="L879" s="92"/>
      <c r="M879" s="92"/>
      <c r="N879" s="92"/>
      <c r="O879" s="92"/>
      <c r="P879" s="92"/>
      <c r="Q879" s="92"/>
      <c r="R879" s="93"/>
    </row>
    <row r="880" spans="1:18" s="32" customFormat="1" ht="17.5" customHeight="1">
      <c r="A880" s="91"/>
      <c r="B880" s="58" t="s">
        <v>573</v>
      </c>
      <c r="C880" s="58"/>
      <c r="D880" s="59">
        <v>3</v>
      </c>
      <c r="E880" s="60">
        <v>3.25</v>
      </c>
      <c r="F880" s="60"/>
      <c r="G880" s="60">
        <v>7.17</v>
      </c>
      <c r="H880" s="60">
        <f>D880*E880*G880</f>
        <v>69.91</v>
      </c>
      <c r="I880" s="60"/>
      <c r="J880" s="60"/>
      <c r="K880" s="70" t="s">
        <v>21</v>
      </c>
      <c r="L880" s="92"/>
      <c r="M880" s="92"/>
      <c r="N880" s="92"/>
      <c r="O880" s="92"/>
      <c r="P880" s="92"/>
      <c r="Q880" s="92"/>
      <c r="R880" s="93"/>
    </row>
    <row r="881" spans="1:18" s="32" customFormat="1" ht="17.5" customHeight="1">
      <c r="A881" s="91"/>
      <c r="B881" s="58" t="s">
        <v>574</v>
      </c>
      <c r="C881" s="58"/>
      <c r="D881" s="59">
        <v>2</v>
      </c>
      <c r="E881" s="60">
        <v>2.75</v>
      </c>
      <c r="F881" s="60"/>
      <c r="G881" s="60">
        <v>7.17</v>
      </c>
      <c r="H881" s="60">
        <f>D881*E881*G881</f>
        <v>39.44</v>
      </c>
      <c r="I881" s="60"/>
      <c r="J881" s="60"/>
      <c r="K881" s="70" t="s">
        <v>21</v>
      </c>
      <c r="L881" s="92"/>
      <c r="M881" s="92"/>
      <c r="N881" s="92"/>
      <c r="O881" s="92"/>
      <c r="P881" s="92"/>
      <c r="Q881" s="92"/>
      <c r="R881" s="93"/>
    </row>
    <row r="882" spans="1:18" s="32" customFormat="1" ht="17.5" customHeight="1">
      <c r="A882" s="91"/>
      <c r="B882" s="91" t="s">
        <v>118</v>
      </c>
      <c r="C882" s="91"/>
      <c r="D882" s="59"/>
      <c r="E882" s="60"/>
      <c r="F882" s="60"/>
      <c r="G882" s="60"/>
      <c r="H882" s="60"/>
      <c r="I882" s="60"/>
      <c r="J882" s="60"/>
      <c r="K882" s="70"/>
      <c r="L882" s="92"/>
      <c r="M882" s="92"/>
      <c r="N882" s="92"/>
      <c r="O882" s="92"/>
      <c r="P882" s="92"/>
      <c r="Q882" s="92"/>
      <c r="R882" s="93"/>
    </row>
    <row r="883" spans="1:18" s="32" customFormat="1" ht="17.5" customHeight="1">
      <c r="A883" s="91"/>
      <c r="B883" s="58" t="s">
        <v>116</v>
      </c>
      <c r="C883" s="58"/>
      <c r="D883" s="59">
        <v>1</v>
      </c>
      <c r="E883" s="60">
        <f>E878</f>
        <v>94.4</v>
      </c>
      <c r="F883" s="60"/>
      <c r="G883" s="60">
        <f>4.5/12</f>
        <v>0.38</v>
      </c>
      <c r="H883" s="60">
        <f>D883*E883*G883</f>
        <v>35.869999999999997</v>
      </c>
      <c r="I883" s="60"/>
      <c r="J883" s="60"/>
      <c r="K883" s="70" t="s">
        <v>21</v>
      </c>
      <c r="L883" s="92"/>
      <c r="M883" s="92"/>
      <c r="N883" s="92"/>
      <c r="O883" s="92"/>
      <c r="P883" s="92"/>
      <c r="Q883" s="92"/>
      <c r="R883" s="93"/>
    </row>
    <row r="884" spans="1:18" s="32" customFormat="1" ht="17.5" customHeight="1">
      <c r="A884" s="91"/>
      <c r="B884" s="58" t="s">
        <v>119</v>
      </c>
      <c r="C884" s="58"/>
      <c r="D884" s="59">
        <v>1</v>
      </c>
      <c r="E884" s="60">
        <f>D883*E883-D880*E880-D881*E881</f>
        <v>79.150000000000006</v>
      </c>
      <c r="F884" s="60"/>
      <c r="G884" s="60">
        <f>G883</f>
        <v>0.38</v>
      </c>
      <c r="H884" s="60">
        <f>D884*E884*G884</f>
        <v>30.08</v>
      </c>
      <c r="I884" s="60"/>
      <c r="J884" s="60"/>
      <c r="K884" s="70" t="s">
        <v>21</v>
      </c>
      <c r="L884" s="92"/>
      <c r="M884" s="92">
        <f>SUM(I872:I884)</f>
        <v>1038.4000000000001</v>
      </c>
      <c r="N884" s="92">
        <f>SUM(H872:H884)</f>
        <v>175.3</v>
      </c>
      <c r="O884" s="92"/>
      <c r="P884" s="92"/>
      <c r="Q884" s="92"/>
      <c r="R884" s="93"/>
    </row>
    <row r="885" spans="1:18" s="32" customFormat="1" ht="17.5" customHeight="1">
      <c r="A885" s="91"/>
      <c r="B885" s="58" t="s">
        <v>576</v>
      </c>
      <c r="C885" s="58"/>
      <c r="D885" s="59">
        <v>7</v>
      </c>
      <c r="E885" s="60"/>
      <c r="F885" s="60">
        <f>4.5/12</f>
        <v>0.38</v>
      </c>
      <c r="G885" s="60">
        <f>12-1</f>
        <v>11</v>
      </c>
      <c r="H885" s="60">
        <f>D885*F885*G885</f>
        <v>29.26</v>
      </c>
      <c r="I885" s="60"/>
      <c r="J885" s="60"/>
      <c r="K885" s="70"/>
      <c r="L885" s="92"/>
      <c r="M885" s="92"/>
      <c r="N885" s="92"/>
      <c r="O885" s="92"/>
      <c r="P885" s="92"/>
      <c r="Q885" s="92"/>
      <c r="R885" s="93"/>
    </row>
    <row r="886" spans="1:18" s="32" customFormat="1" ht="17.5" customHeight="1">
      <c r="A886" s="91"/>
      <c r="B886" s="58"/>
      <c r="C886" s="58"/>
      <c r="D886" s="59"/>
      <c r="E886" s="60"/>
      <c r="F886" s="60"/>
      <c r="G886" s="60"/>
      <c r="H886" s="60">
        <f>SUM(H872:H885)</f>
        <v>204.56</v>
      </c>
      <c r="I886" s="60">
        <f>SUM(I872:I885)</f>
        <v>1038.4000000000001</v>
      </c>
      <c r="J886" s="60">
        <f>I886-H886</f>
        <v>833.84</v>
      </c>
      <c r="K886" s="70" t="s">
        <v>21</v>
      </c>
      <c r="L886" s="92"/>
      <c r="M886" s="92"/>
      <c r="N886" s="92"/>
      <c r="O886" s="92"/>
      <c r="P886" s="92"/>
      <c r="Q886" s="92"/>
      <c r="R886" s="93"/>
    </row>
    <row r="887" spans="1:18" s="32" customFormat="1" ht="17.5" customHeight="1">
      <c r="A887" s="91"/>
      <c r="B887" s="58"/>
      <c r="C887" s="58"/>
      <c r="D887" s="59"/>
      <c r="E887" s="60"/>
      <c r="F887" s="60"/>
      <c r="G887" s="60"/>
      <c r="H887" s="60"/>
      <c r="I887" s="58" t="s">
        <v>584</v>
      </c>
      <c r="J887" s="60">
        <f>J886/100</f>
        <v>8.34</v>
      </c>
      <c r="K887" s="70" t="s">
        <v>12</v>
      </c>
      <c r="L887" s="92"/>
      <c r="M887" s="92"/>
      <c r="N887" s="92"/>
      <c r="O887" s="92"/>
      <c r="P887" s="92"/>
      <c r="Q887" s="92"/>
      <c r="R887" s="93"/>
    </row>
    <row r="888" spans="1:18" s="32" customFormat="1" ht="17.5" customHeight="1">
      <c r="A888" s="91"/>
      <c r="B888" s="58"/>
      <c r="C888" s="58"/>
      <c r="D888" s="59"/>
      <c r="E888" s="60"/>
      <c r="F888" s="60"/>
      <c r="G888" s="60"/>
      <c r="H888" s="60"/>
      <c r="I888" s="58" t="s">
        <v>585</v>
      </c>
      <c r="J888" s="60">
        <f>J887+J869</f>
        <v>19.47</v>
      </c>
      <c r="K888" s="70"/>
      <c r="L888" s="92"/>
      <c r="M888" s="92"/>
      <c r="N888" s="92"/>
      <c r="O888" s="92"/>
      <c r="P888" s="92"/>
      <c r="Q888" s="92"/>
      <c r="R888" s="93"/>
    </row>
    <row r="889" spans="1:18" s="32" customFormat="1" ht="17.5" customHeight="1">
      <c r="A889" s="91"/>
      <c r="B889" s="58"/>
      <c r="C889" s="58"/>
      <c r="D889" s="59"/>
      <c r="E889" s="60"/>
      <c r="F889" s="60"/>
      <c r="G889" s="60"/>
      <c r="H889" s="60"/>
      <c r="I889" s="60"/>
      <c r="J889" s="60"/>
      <c r="K889" s="70"/>
      <c r="L889" s="92"/>
      <c r="M889" s="92"/>
      <c r="N889" s="92"/>
      <c r="O889" s="92"/>
      <c r="P889" s="92"/>
      <c r="Q889" s="92"/>
      <c r="R889" s="93"/>
    </row>
    <row r="890" spans="1:18" s="32" customFormat="1" ht="17.5" customHeight="1">
      <c r="A890" s="91"/>
      <c r="B890" s="58"/>
      <c r="C890" s="58"/>
      <c r="D890" s="59"/>
      <c r="E890" s="60"/>
      <c r="F890" s="60"/>
      <c r="G890" s="60"/>
      <c r="H890" s="60"/>
      <c r="I890" s="95" t="s">
        <v>85</v>
      </c>
      <c r="J890" s="60">
        <f>J886+J868+J844+J822</f>
        <v>4171.32</v>
      </c>
      <c r="K890" s="70" t="s">
        <v>21</v>
      </c>
      <c r="L890" s="92"/>
      <c r="M890" s="92"/>
      <c r="N890" s="92" t="e">
        <f>#REF!+N870+#REF!+N844+N825</f>
        <v>#REF!</v>
      </c>
      <c r="O890" s="92"/>
      <c r="P890" s="92"/>
      <c r="Q890" s="92"/>
      <c r="R890" s="93"/>
    </row>
    <row r="891" spans="1:18" s="32" customFormat="1" ht="17.5" customHeight="1">
      <c r="A891" s="91"/>
      <c r="B891" s="58"/>
      <c r="C891" s="58"/>
      <c r="D891" s="59"/>
      <c r="E891" s="60"/>
      <c r="F891" s="60"/>
      <c r="G891" s="60"/>
      <c r="H891" s="60"/>
      <c r="I891" s="95"/>
      <c r="J891" s="60">
        <f>J890/100</f>
        <v>41.71</v>
      </c>
      <c r="K891" s="70" t="s">
        <v>12</v>
      </c>
      <c r="L891" s="92"/>
      <c r="M891" s="92"/>
      <c r="N891" s="92"/>
      <c r="O891" s="92"/>
      <c r="P891" s="92"/>
      <c r="Q891" s="92"/>
      <c r="R891" s="93"/>
    </row>
    <row r="892" spans="1:18" s="32" customFormat="1" ht="17.5" customHeight="1">
      <c r="A892" s="91"/>
      <c r="B892" s="58"/>
      <c r="C892" s="58"/>
      <c r="D892" s="59"/>
      <c r="E892" s="60"/>
      <c r="F892" s="60"/>
      <c r="G892" s="60"/>
      <c r="H892" s="60"/>
      <c r="I892" s="60"/>
      <c r="J892" s="60"/>
      <c r="K892" s="70"/>
      <c r="L892" s="92"/>
      <c r="M892" s="92"/>
      <c r="N892" s="92"/>
      <c r="O892" s="92"/>
      <c r="P892" s="92"/>
      <c r="Q892" s="92"/>
      <c r="R892" s="93"/>
    </row>
    <row r="893" spans="1:18" s="32" customFormat="1" ht="17.5" customHeight="1">
      <c r="A893" s="91">
        <v>13</v>
      </c>
      <c r="B893" s="94" t="s">
        <v>76</v>
      </c>
      <c r="C893" s="94"/>
      <c r="D893" s="59"/>
      <c r="E893" s="60"/>
      <c r="F893" s="60"/>
      <c r="G893" s="60"/>
      <c r="H893" s="60"/>
      <c r="I893" s="60"/>
      <c r="J893" s="60"/>
      <c r="K893" s="70"/>
      <c r="L893" s="92"/>
      <c r="M893" s="92"/>
      <c r="N893" s="92"/>
      <c r="O893" s="92"/>
      <c r="P893" s="92"/>
      <c r="Q893" s="92"/>
      <c r="R893" s="93"/>
    </row>
    <row r="894" spans="1:18" s="32" customFormat="1" ht="17.5" customHeight="1">
      <c r="A894" s="91"/>
      <c r="B894" s="94" t="s">
        <v>83</v>
      </c>
      <c r="C894" s="94"/>
      <c r="D894" s="59"/>
      <c r="E894" s="60"/>
      <c r="F894" s="60"/>
      <c r="G894" s="60"/>
      <c r="H894" s="60"/>
      <c r="I894" s="60"/>
      <c r="J894" s="60"/>
      <c r="K894" s="70"/>
      <c r="L894" s="92"/>
      <c r="M894" s="92"/>
      <c r="N894" s="92"/>
      <c r="O894" s="92"/>
      <c r="P894" s="92"/>
      <c r="Q894" s="92"/>
      <c r="R894" s="93"/>
    </row>
    <row r="895" spans="1:18" s="32" customFormat="1" ht="17.5" customHeight="1">
      <c r="A895" s="91"/>
      <c r="B895" s="94" t="s">
        <v>126</v>
      </c>
      <c r="C895" s="94"/>
      <c r="D895" s="59"/>
      <c r="E895" s="60"/>
      <c r="F895" s="60"/>
      <c r="G895" s="60"/>
      <c r="H895" s="60"/>
      <c r="I895" s="60"/>
      <c r="J895" s="60"/>
      <c r="K895" s="70"/>
      <c r="L895" s="92"/>
      <c r="M895" s="92"/>
      <c r="N895" s="92"/>
      <c r="O895" s="92"/>
      <c r="P895" s="92"/>
      <c r="Q895" s="92"/>
      <c r="R895" s="93"/>
    </row>
    <row r="896" spans="1:18" s="32" customFormat="1" ht="17.5" customHeight="1">
      <c r="A896" s="91"/>
      <c r="B896" s="58" t="s">
        <v>122</v>
      </c>
      <c r="C896" s="58"/>
      <c r="D896" s="59">
        <f>D820</f>
        <v>1</v>
      </c>
      <c r="E896" s="60">
        <f>E820</f>
        <v>112</v>
      </c>
      <c r="F896" s="60">
        <f>4.5/12</f>
        <v>0.38</v>
      </c>
      <c r="G896" s="60">
        <f>4.5/12</f>
        <v>0.38</v>
      </c>
      <c r="H896" s="60"/>
      <c r="I896" s="60">
        <f>D896*E896*F896*G896</f>
        <v>16.170000000000002</v>
      </c>
      <c r="J896" s="60"/>
      <c r="K896" s="70" t="s">
        <v>27</v>
      </c>
      <c r="L896" s="92"/>
      <c r="M896" s="92"/>
      <c r="N896" s="92"/>
      <c r="O896" s="92"/>
      <c r="P896" s="92"/>
      <c r="Q896" s="92"/>
      <c r="R896" s="93"/>
    </row>
    <row r="897" spans="1:18" s="32" customFormat="1" ht="17.5" customHeight="1">
      <c r="A897" s="91"/>
      <c r="B897" s="58" t="s">
        <v>123</v>
      </c>
      <c r="C897" s="58"/>
      <c r="D897" s="59">
        <f>D821</f>
        <v>1</v>
      </c>
      <c r="E897" s="60">
        <f>E821</f>
        <v>103.42</v>
      </c>
      <c r="F897" s="60">
        <f t="shared" ref="F897:G899" si="24">4.5/12</f>
        <v>0.38</v>
      </c>
      <c r="G897" s="60">
        <f t="shared" si="24"/>
        <v>0.38</v>
      </c>
      <c r="H897" s="60"/>
      <c r="I897" s="60">
        <f>D897*E897*F897*G897</f>
        <v>14.93</v>
      </c>
      <c r="J897" s="60"/>
      <c r="K897" s="70" t="s">
        <v>27</v>
      </c>
      <c r="L897" s="92"/>
      <c r="M897" s="92"/>
      <c r="N897" s="92"/>
      <c r="O897" s="92"/>
      <c r="P897" s="92"/>
      <c r="Q897" s="92"/>
      <c r="R897" s="93"/>
    </row>
    <row r="898" spans="1:18" s="32" customFormat="1" ht="17.5" customHeight="1">
      <c r="A898" s="91"/>
      <c r="B898" s="58" t="s">
        <v>124</v>
      </c>
      <c r="C898" s="58"/>
      <c r="D898" s="59">
        <f>D842</f>
        <v>1</v>
      </c>
      <c r="E898" s="60">
        <f>E842</f>
        <v>112.38</v>
      </c>
      <c r="F898" s="60">
        <f t="shared" si="24"/>
        <v>0.38</v>
      </c>
      <c r="G898" s="60">
        <f t="shared" si="24"/>
        <v>0.38</v>
      </c>
      <c r="H898" s="60"/>
      <c r="I898" s="60">
        <f>D898*E898*F898*G898</f>
        <v>16.23</v>
      </c>
      <c r="J898" s="60"/>
      <c r="K898" s="70" t="s">
        <v>27</v>
      </c>
      <c r="L898" s="92"/>
      <c r="M898" s="92"/>
      <c r="N898" s="92"/>
      <c r="O898" s="92"/>
      <c r="P898" s="92"/>
      <c r="Q898" s="92"/>
      <c r="R898" s="93"/>
    </row>
    <row r="899" spans="1:18" s="32" customFormat="1" ht="17.5" customHeight="1">
      <c r="A899" s="91"/>
      <c r="B899" s="58" t="s">
        <v>125</v>
      </c>
      <c r="C899" s="58"/>
      <c r="D899" s="59">
        <f>D843</f>
        <v>1</v>
      </c>
      <c r="E899" s="60">
        <f>E843</f>
        <v>105.88</v>
      </c>
      <c r="F899" s="60">
        <f t="shared" si="24"/>
        <v>0.38</v>
      </c>
      <c r="G899" s="60">
        <f t="shared" si="24"/>
        <v>0.38</v>
      </c>
      <c r="H899" s="60"/>
      <c r="I899" s="60">
        <f>D899*E899*F899*G899</f>
        <v>15.29</v>
      </c>
      <c r="J899" s="60"/>
      <c r="K899" s="70" t="s">
        <v>27</v>
      </c>
      <c r="L899" s="92"/>
      <c r="M899" s="92"/>
      <c r="N899" s="92"/>
      <c r="O899" s="92"/>
      <c r="P899" s="92"/>
      <c r="Q899" s="92"/>
      <c r="R899" s="93"/>
    </row>
    <row r="900" spans="1:18" s="32" customFormat="1" ht="17.5" customHeight="1">
      <c r="A900" s="91"/>
      <c r="B900" s="58" t="s">
        <v>651</v>
      </c>
      <c r="C900" s="58"/>
      <c r="D900" s="59"/>
      <c r="E900" s="60"/>
      <c r="F900" s="60"/>
      <c r="G900" s="60"/>
      <c r="H900" s="60"/>
      <c r="I900" s="60"/>
      <c r="J900" s="60"/>
      <c r="K900" s="70"/>
      <c r="L900" s="92"/>
      <c r="M900" s="92"/>
      <c r="N900" s="92"/>
      <c r="O900" s="92"/>
      <c r="P900" s="92"/>
      <c r="Q900" s="92"/>
      <c r="R900" s="93"/>
    </row>
    <row r="901" spans="1:18" s="32" customFormat="1" ht="17.5" customHeight="1">
      <c r="A901" s="91"/>
      <c r="B901" s="58" t="s">
        <v>556</v>
      </c>
      <c r="C901" s="58"/>
      <c r="D901" s="59">
        <f>(D815+D836)*2</f>
        <v>20</v>
      </c>
      <c r="E901" s="60">
        <f>2.17+0.25*2</f>
        <v>2.67</v>
      </c>
      <c r="F901" s="60">
        <f>0.375</f>
        <v>0.38</v>
      </c>
      <c r="G901" s="60">
        <v>0.38</v>
      </c>
      <c r="H901" s="60"/>
      <c r="I901" s="60">
        <f t="shared" ref="I901:I906" si="25">D901*E901*F901*G901</f>
        <v>7.71</v>
      </c>
      <c r="J901" s="60"/>
      <c r="K901" s="70" t="s">
        <v>27</v>
      </c>
      <c r="L901" s="92"/>
      <c r="M901" s="92"/>
      <c r="N901" s="92"/>
      <c r="O901" s="92"/>
      <c r="P901" s="92"/>
      <c r="Q901" s="92"/>
      <c r="R901" s="93"/>
    </row>
    <row r="902" spans="1:18" s="32" customFormat="1" ht="17.5" customHeight="1">
      <c r="A902" s="91"/>
      <c r="B902" s="58" t="s">
        <v>562</v>
      </c>
      <c r="C902" s="58"/>
      <c r="D902" s="59">
        <f>D837*2</f>
        <v>4</v>
      </c>
      <c r="E902" s="60">
        <f>4.33+0.25*2</f>
        <v>4.83</v>
      </c>
      <c r="F902" s="60">
        <f t="shared" ref="F902:G906" si="26">F901</f>
        <v>0.38</v>
      </c>
      <c r="G902" s="60">
        <f t="shared" si="26"/>
        <v>0.38</v>
      </c>
      <c r="H902" s="60"/>
      <c r="I902" s="60">
        <f t="shared" si="25"/>
        <v>2.79</v>
      </c>
      <c r="J902" s="60"/>
      <c r="K902" s="70" t="s">
        <v>27</v>
      </c>
      <c r="L902" s="92"/>
      <c r="M902" s="92"/>
      <c r="N902" s="92"/>
      <c r="O902" s="92"/>
      <c r="P902" s="92"/>
      <c r="Q902" s="92"/>
      <c r="R902" s="93"/>
    </row>
    <row r="903" spans="1:18" s="32" customFormat="1" ht="17.5" customHeight="1">
      <c r="A903" s="91"/>
      <c r="B903" s="58" t="s">
        <v>557</v>
      </c>
      <c r="C903" s="58"/>
      <c r="D903" s="59">
        <f>(D816+D838)*2</f>
        <v>10</v>
      </c>
      <c r="E903" s="60">
        <f>6.42+0.25*2</f>
        <v>6.92</v>
      </c>
      <c r="F903" s="60">
        <f t="shared" si="26"/>
        <v>0.38</v>
      </c>
      <c r="G903" s="60">
        <f t="shared" si="26"/>
        <v>0.38</v>
      </c>
      <c r="H903" s="60"/>
      <c r="I903" s="60">
        <f t="shared" si="25"/>
        <v>9.99</v>
      </c>
      <c r="J903" s="60"/>
      <c r="K903" s="70" t="s">
        <v>27</v>
      </c>
      <c r="L903" s="92"/>
      <c r="M903" s="92"/>
      <c r="N903" s="92"/>
      <c r="O903" s="92"/>
      <c r="P903" s="92"/>
      <c r="Q903" s="92"/>
      <c r="R903" s="93"/>
    </row>
    <row r="904" spans="1:18" s="32" customFormat="1" ht="17.5" customHeight="1">
      <c r="A904" s="91"/>
      <c r="B904" s="58" t="s">
        <v>558</v>
      </c>
      <c r="C904" s="58"/>
      <c r="D904" s="59">
        <f>D817*2</f>
        <v>4</v>
      </c>
      <c r="E904" s="60">
        <f>4.33+0.25*2</f>
        <v>4.83</v>
      </c>
      <c r="F904" s="60">
        <f t="shared" si="26"/>
        <v>0.38</v>
      </c>
      <c r="G904" s="60">
        <f t="shared" si="26"/>
        <v>0.38</v>
      </c>
      <c r="H904" s="60"/>
      <c r="I904" s="60">
        <f t="shared" si="25"/>
        <v>2.79</v>
      </c>
      <c r="J904" s="60"/>
      <c r="K904" s="70" t="s">
        <v>27</v>
      </c>
      <c r="L904" s="92"/>
      <c r="M904" s="92"/>
      <c r="N904" s="92"/>
      <c r="O904" s="92"/>
      <c r="P904" s="92"/>
      <c r="Q904" s="92"/>
      <c r="R904" s="93"/>
    </row>
    <row r="905" spans="1:18" s="32" customFormat="1" ht="17.5" customHeight="1">
      <c r="A905" s="91"/>
      <c r="B905" s="58" t="s">
        <v>560</v>
      </c>
      <c r="C905" s="58"/>
      <c r="D905" s="59">
        <f>(D818+D839)*2</f>
        <v>6</v>
      </c>
      <c r="E905" s="60">
        <f>2.33+0.25*2</f>
        <v>2.83</v>
      </c>
      <c r="F905" s="60">
        <f t="shared" si="26"/>
        <v>0.38</v>
      </c>
      <c r="G905" s="60">
        <f t="shared" si="26"/>
        <v>0.38</v>
      </c>
      <c r="H905" s="60"/>
      <c r="I905" s="60">
        <f t="shared" si="25"/>
        <v>2.4500000000000002</v>
      </c>
      <c r="J905" s="60"/>
      <c r="K905" s="70" t="s">
        <v>27</v>
      </c>
      <c r="L905" s="92"/>
      <c r="M905" s="92"/>
      <c r="N905" s="92"/>
      <c r="O905" s="92"/>
      <c r="P905" s="92"/>
      <c r="Q905" s="92"/>
      <c r="R905" s="93"/>
    </row>
    <row r="906" spans="1:18" s="32" customFormat="1" ht="17.5" customHeight="1">
      <c r="A906" s="91"/>
      <c r="B906" s="58" t="s">
        <v>561</v>
      </c>
      <c r="C906" s="58"/>
      <c r="D906" s="59">
        <f>D840*2</f>
        <v>2</v>
      </c>
      <c r="E906" s="60">
        <f>4.33+0.25*2</f>
        <v>4.83</v>
      </c>
      <c r="F906" s="60">
        <f t="shared" si="26"/>
        <v>0.38</v>
      </c>
      <c r="G906" s="60">
        <f t="shared" si="26"/>
        <v>0.38</v>
      </c>
      <c r="H906" s="60"/>
      <c r="I906" s="60">
        <f t="shared" si="25"/>
        <v>1.39</v>
      </c>
      <c r="J906" s="60"/>
      <c r="K906" s="70" t="s">
        <v>27</v>
      </c>
      <c r="L906" s="92"/>
      <c r="M906" s="92"/>
      <c r="N906" s="92"/>
      <c r="O906" s="92"/>
      <c r="P906" s="92"/>
      <c r="Q906" s="92"/>
      <c r="R906" s="93"/>
    </row>
    <row r="907" spans="1:18" s="32" customFormat="1" ht="17.5" customHeight="1">
      <c r="A907" s="91"/>
      <c r="B907" s="58"/>
      <c r="C907" s="58"/>
      <c r="D907" s="59"/>
      <c r="E907" s="60"/>
      <c r="F907" s="60"/>
      <c r="G907" s="60"/>
      <c r="H907" s="60"/>
      <c r="I907" s="60"/>
      <c r="J907" s="60"/>
      <c r="K907" s="70"/>
      <c r="L907" s="92"/>
      <c r="M907" s="92"/>
      <c r="N907" s="92"/>
      <c r="O907" s="92"/>
      <c r="P907" s="92"/>
      <c r="Q907" s="92"/>
      <c r="R907" s="93"/>
    </row>
    <row r="908" spans="1:18" s="32" customFormat="1" ht="17.5" customHeight="1">
      <c r="A908" s="91"/>
      <c r="B908" s="94" t="s">
        <v>127</v>
      </c>
      <c r="C908" s="94"/>
      <c r="D908" s="59"/>
      <c r="E908" s="60"/>
      <c r="F908" s="60"/>
      <c r="G908" s="60"/>
      <c r="H908" s="60"/>
      <c r="I908" s="60"/>
      <c r="J908" s="60"/>
      <c r="K908" s="70"/>
      <c r="L908" s="92"/>
      <c r="M908" s="92"/>
      <c r="N908" s="92"/>
      <c r="O908" s="92"/>
      <c r="P908" s="92"/>
      <c r="Q908" s="92"/>
      <c r="R908" s="93"/>
    </row>
    <row r="909" spans="1:18" s="32" customFormat="1" ht="17.5" customHeight="1">
      <c r="A909" s="91"/>
      <c r="B909" s="58" t="s">
        <v>122</v>
      </c>
      <c r="C909" s="58"/>
      <c r="D909" s="59">
        <f>D865</f>
        <v>1</v>
      </c>
      <c r="E909" s="60">
        <f>E865</f>
        <v>123</v>
      </c>
      <c r="F909" s="60">
        <f t="shared" ref="F909:G913" si="27">4.5/12</f>
        <v>0.38</v>
      </c>
      <c r="G909" s="60">
        <f t="shared" si="27"/>
        <v>0.38</v>
      </c>
      <c r="H909" s="60"/>
      <c r="I909" s="60">
        <f>D909*E909*F909*G909</f>
        <v>17.760000000000002</v>
      </c>
      <c r="J909" s="60"/>
      <c r="K909" s="70" t="s">
        <v>27</v>
      </c>
      <c r="L909" s="92"/>
      <c r="M909" s="92"/>
      <c r="N909" s="92"/>
      <c r="O909" s="92"/>
      <c r="P909" s="92"/>
      <c r="Q909" s="92"/>
      <c r="R909" s="93"/>
    </row>
    <row r="910" spans="1:18" s="32" customFormat="1" ht="17.5" customHeight="1">
      <c r="A910" s="91"/>
      <c r="B910" s="58" t="s">
        <v>123</v>
      </c>
      <c r="C910" s="58"/>
      <c r="D910" s="59">
        <f>D866</f>
        <v>1</v>
      </c>
      <c r="E910" s="60">
        <f>E866</f>
        <v>108</v>
      </c>
      <c r="F910" s="60">
        <f t="shared" si="27"/>
        <v>0.38</v>
      </c>
      <c r="G910" s="60">
        <f t="shared" si="27"/>
        <v>0.38</v>
      </c>
      <c r="H910" s="60"/>
      <c r="I910" s="60">
        <f>D910*E910*F910*G910</f>
        <v>15.6</v>
      </c>
      <c r="J910" s="60"/>
      <c r="K910" s="70" t="s">
        <v>27</v>
      </c>
      <c r="L910" s="92"/>
      <c r="M910" s="92"/>
      <c r="N910" s="92"/>
      <c r="O910" s="92"/>
      <c r="P910" s="92"/>
      <c r="Q910" s="92"/>
      <c r="R910" s="93"/>
    </row>
    <row r="911" spans="1:18" s="32" customFormat="1" ht="17.5" customHeight="1">
      <c r="A911" s="91"/>
      <c r="B911" s="58" t="s">
        <v>586</v>
      </c>
      <c r="C911" s="58"/>
      <c r="D911" s="59">
        <f>D867</f>
        <v>6</v>
      </c>
      <c r="E911" s="60">
        <f>4.5/12</f>
        <v>0.38</v>
      </c>
      <c r="F911" s="60">
        <f>4.5/12</f>
        <v>0.38</v>
      </c>
      <c r="G911" s="60">
        <f>G867</f>
        <v>12</v>
      </c>
      <c r="H911" s="60"/>
      <c r="I911" s="60"/>
      <c r="J911" s="60"/>
      <c r="K911" s="70"/>
      <c r="L911" s="92"/>
      <c r="M911" s="92"/>
      <c r="N911" s="92"/>
      <c r="O911" s="92"/>
      <c r="P911" s="92"/>
      <c r="Q911" s="92"/>
      <c r="R911" s="93"/>
    </row>
    <row r="912" spans="1:18" s="32" customFormat="1" ht="17.5" customHeight="1">
      <c r="A912" s="91"/>
      <c r="B912" s="58" t="s">
        <v>124</v>
      </c>
      <c r="C912" s="58"/>
      <c r="D912" s="59">
        <f>D883</f>
        <v>1</v>
      </c>
      <c r="E912" s="60">
        <f>E883</f>
        <v>94.4</v>
      </c>
      <c r="F912" s="60">
        <f t="shared" si="27"/>
        <v>0.38</v>
      </c>
      <c r="G912" s="60">
        <f t="shared" si="27"/>
        <v>0.38</v>
      </c>
      <c r="H912" s="60"/>
      <c r="I912" s="60">
        <f>D912*E912*F912*G912</f>
        <v>13.63</v>
      </c>
      <c r="J912" s="60"/>
      <c r="K912" s="70" t="s">
        <v>27</v>
      </c>
      <c r="L912" s="92"/>
      <c r="M912" s="92"/>
      <c r="N912" s="92"/>
      <c r="O912" s="92"/>
      <c r="P912" s="92"/>
      <c r="Q912" s="92"/>
      <c r="R912" s="93"/>
    </row>
    <row r="913" spans="1:18" s="32" customFormat="1" ht="17.5" customHeight="1">
      <c r="A913" s="91"/>
      <c r="B913" s="58" t="s">
        <v>125</v>
      </c>
      <c r="C913" s="58"/>
      <c r="D913" s="59">
        <f>D884</f>
        <v>1</v>
      </c>
      <c r="E913" s="60">
        <f>E884</f>
        <v>79.150000000000006</v>
      </c>
      <c r="F913" s="60">
        <f t="shared" si="27"/>
        <v>0.38</v>
      </c>
      <c r="G913" s="60">
        <f t="shared" si="27"/>
        <v>0.38</v>
      </c>
      <c r="H913" s="60"/>
      <c r="I913" s="60">
        <f>D913*E913*F913*G913</f>
        <v>11.43</v>
      </c>
      <c r="J913" s="60"/>
      <c r="K913" s="70" t="s">
        <v>27</v>
      </c>
      <c r="L913" s="92"/>
      <c r="M913" s="92"/>
      <c r="N913" s="92"/>
      <c r="O913" s="92"/>
      <c r="P913" s="92"/>
      <c r="Q913" s="92"/>
      <c r="R913" s="93"/>
    </row>
    <row r="914" spans="1:18" s="32" customFormat="1" ht="17.5" customHeight="1">
      <c r="A914" s="91"/>
      <c r="B914" s="58" t="s">
        <v>587</v>
      </c>
      <c r="C914" s="58"/>
      <c r="D914" s="59">
        <f>D885</f>
        <v>7</v>
      </c>
      <c r="E914" s="60">
        <f>4.5/12</f>
        <v>0.38</v>
      </c>
      <c r="F914" s="60">
        <f>4.5/12</f>
        <v>0.38</v>
      </c>
      <c r="G914" s="60">
        <f>G885</f>
        <v>11</v>
      </c>
      <c r="H914" s="60"/>
      <c r="I914" s="60">
        <f>D914*E914*F914*G914</f>
        <v>11.12</v>
      </c>
      <c r="J914" s="60"/>
      <c r="K914" s="70"/>
      <c r="L914" s="92"/>
      <c r="M914" s="92"/>
      <c r="N914" s="92"/>
      <c r="O914" s="92"/>
      <c r="P914" s="92"/>
      <c r="Q914" s="92"/>
      <c r="R914" s="93"/>
    </row>
    <row r="915" spans="1:18" s="32" customFormat="1" ht="17.5" customHeight="1">
      <c r="A915" s="91"/>
      <c r="B915" s="58"/>
      <c r="C915" s="58"/>
      <c r="D915" s="59"/>
      <c r="E915" s="60"/>
      <c r="F915" s="60"/>
      <c r="G915" s="60"/>
      <c r="H915" s="60"/>
      <c r="I915" s="60"/>
      <c r="J915" s="60">
        <f>SUM(I896:I915)</f>
        <v>159.28</v>
      </c>
      <c r="K915" s="70" t="s">
        <v>27</v>
      </c>
      <c r="L915" s="92"/>
      <c r="M915" s="92"/>
      <c r="N915" s="92"/>
      <c r="O915" s="92"/>
      <c r="P915" s="92"/>
      <c r="Q915" s="92"/>
      <c r="R915" s="93"/>
    </row>
    <row r="916" spans="1:18" s="32" customFormat="1" ht="17.5" customHeight="1">
      <c r="A916" s="91"/>
      <c r="B916" s="58"/>
      <c r="C916" s="58"/>
      <c r="D916" s="59"/>
      <c r="E916" s="60"/>
      <c r="F916" s="60"/>
      <c r="G916" s="60"/>
      <c r="H916" s="60"/>
      <c r="I916" s="60"/>
      <c r="J916" s="60">
        <f>J915/100</f>
        <v>1.59</v>
      </c>
      <c r="K916" s="70" t="s">
        <v>7</v>
      </c>
      <c r="L916" s="92"/>
      <c r="M916" s="92"/>
      <c r="N916" s="92"/>
      <c r="O916" s="92"/>
      <c r="P916" s="92"/>
      <c r="Q916" s="92"/>
      <c r="R916" s="93"/>
    </row>
    <row r="917" spans="1:18" s="32" customFormat="1" ht="17.5" customHeight="1">
      <c r="A917" s="91"/>
      <c r="B917" s="94" t="s">
        <v>79</v>
      </c>
      <c r="C917" s="94"/>
      <c r="D917" s="59"/>
      <c r="E917" s="60"/>
      <c r="F917" s="60"/>
      <c r="G917" s="60"/>
      <c r="H917" s="60"/>
      <c r="I917" s="60"/>
      <c r="J917" s="60"/>
      <c r="K917" s="70"/>
      <c r="L917" s="92"/>
      <c r="M917" s="92"/>
      <c r="N917" s="92"/>
      <c r="O917" s="92"/>
      <c r="P917" s="92"/>
      <c r="Q917" s="92"/>
      <c r="R917" s="93"/>
    </row>
    <row r="918" spans="1:18" s="32" customFormat="1" ht="17.5" customHeight="1">
      <c r="A918" s="91"/>
      <c r="B918" s="94" t="str">
        <f t="shared" ref="B918:B929" si="28">B895</f>
        <v xml:space="preserve"> Lintel @ External Wall</v>
      </c>
      <c r="C918" s="94"/>
      <c r="D918" s="59"/>
      <c r="E918" s="60"/>
      <c r="F918" s="60"/>
      <c r="G918" s="60"/>
      <c r="H918" s="60"/>
      <c r="I918" s="60"/>
      <c r="J918" s="60"/>
      <c r="K918" s="70"/>
      <c r="L918" s="92"/>
      <c r="M918" s="92"/>
      <c r="N918" s="92"/>
      <c r="O918" s="92"/>
      <c r="P918" s="92"/>
      <c r="Q918" s="92"/>
      <c r="R918" s="93"/>
    </row>
    <row r="919" spans="1:18" s="32" customFormat="1" ht="17.5" customHeight="1">
      <c r="A919" s="91"/>
      <c r="B919" s="58" t="str">
        <f t="shared" si="28"/>
        <v>Ground Floor Lintel</v>
      </c>
      <c r="C919" s="58"/>
      <c r="D919" s="59">
        <f t="shared" ref="D919:E922" si="29">D896</f>
        <v>1</v>
      </c>
      <c r="E919" s="60">
        <f t="shared" si="29"/>
        <v>112</v>
      </c>
      <c r="F919" s="60"/>
      <c r="G919" s="60">
        <f>G896*2</f>
        <v>0.76</v>
      </c>
      <c r="H919" s="60"/>
      <c r="I919" s="60">
        <f>D919*E919*G919</f>
        <v>85.12</v>
      </c>
      <c r="J919" s="60"/>
      <c r="K919" s="70" t="s">
        <v>21</v>
      </c>
      <c r="L919" s="92"/>
      <c r="M919" s="92"/>
      <c r="N919" s="92"/>
      <c r="O919" s="92"/>
      <c r="P919" s="92"/>
      <c r="Q919" s="92"/>
      <c r="R919" s="93"/>
    </row>
    <row r="920" spans="1:18" s="32" customFormat="1" ht="17.5" customHeight="1">
      <c r="A920" s="91"/>
      <c r="B920" s="58" t="str">
        <f t="shared" si="28"/>
        <v>Ground Floor Sill</v>
      </c>
      <c r="C920" s="58"/>
      <c r="D920" s="59">
        <f t="shared" si="29"/>
        <v>1</v>
      </c>
      <c r="E920" s="60">
        <f t="shared" si="29"/>
        <v>103.42</v>
      </c>
      <c r="F920" s="60"/>
      <c r="G920" s="60">
        <f>G897*2</f>
        <v>0.76</v>
      </c>
      <c r="H920" s="60"/>
      <c r="I920" s="60">
        <f>D920*E920*G920</f>
        <v>78.599999999999994</v>
      </c>
      <c r="J920" s="60"/>
      <c r="K920" s="70" t="s">
        <v>21</v>
      </c>
      <c r="L920" s="92"/>
      <c r="M920" s="92"/>
      <c r="N920" s="92"/>
      <c r="O920" s="92"/>
      <c r="P920" s="92"/>
      <c r="Q920" s="92"/>
      <c r="R920" s="93"/>
    </row>
    <row r="921" spans="1:18" s="32" customFormat="1" ht="17.5" customHeight="1">
      <c r="A921" s="91"/>
      <c r="B921" s="58" t="str">
        <f t="shared" si="28"/>
        <v>First Floor Lintel</v>
      </c>
      <c r="C921" s="58"/>
      <c r="D921" s="59">
        <f t="shared" si="29"/>
        <v>1</v>
      </c>
      <c r="E921" s="60">
        <f t="shared" si="29"/>
        <v>112.38</v>
      </c>
      <c r="F921" s="60"/>
      <c r="G921" s="60">
        <f>G898*2</f>
        <v>0.76</v>
      </c>
      <c r="H921" s="60"/>
      <c r="I921" s="60">
        <f>D921*E921*G921</f>
        <v>85.41</v>
      </c>
      <c r="J921" s="60"/>
      <c r="K921" s="70" t="s">
        <v>21</v>
      </c>
      <c r="L921" s="92"/>
      <c r="M921" s="92"/>
      <c r="N921" s="92"/>
      <c r="O921" s="92"/>
      <c r="P921" s="92"/>
      <c r="Q921" s="92"/>
      <c r="R921" s="93"/>
    </row>
    <row r="922" spans="1:18" s="32" customFormat="1" ht="17.5" customHeight="1">
      <c r="A922" s="91"/>
      <c r="B922" s="58" t="str">
        <f t="shared" si="28"/>
        <v>First Floor Sill</v>
      </c>
      <c r="C922" s="58"/>
      <c r="D922" s="59">
        <f t="shared" si="29"/>
        <v>1</v>
      </c>
      <c r="E922" s="60">
        <f t="shared" si="29"/>
        <v>105.88</v>
      </c>
      <c r="F922" s="60"/>
      <c r="G922" s="60">
        <f>G899*2</f>
        <v>0.76</v>
      </c>
      <c r="H922" s="60"/>
      <c r="I922" s="60">
        <f>D922*E922*G922</f>
        <v>80.47</v>
      </c>
      <c r="J922" s="60"/>
      <c r="K922" s="70" t="s">
        <v>21</v>
      </c>
      <c r="L922" s="92"/>
      <c r="M922" s="92"/>
      <c r="N922" s="92"/>
      <c r="O922" s="92"/>
      <c r="P922" s="92"/>
      <c r="Q922" s="92"/>
      <c r="R922" s="93"/>
    </row>
    <row r="923" spans="1:18" s="32" customFormat="1" ht="17.5" customHeight="1">
      <c r="A923" s="91"/>
      <c r="B923" s="58" t="str">
        <f t="shared" si="28"/>
        <v>Top &amp; Bottom of Window</v>
      </c>
      <c r="C923" s="58"/>
      <c r="D923" s="59"/>
      <c r="E923" s="60"/>
      <c r="F923" s="60"/>
      <c r="G923" s="60"/>
      <c r="H923" s="60"/>
      <c r="I923" s="60"/>
      <c r="J923" s="60"/>
      <c r="K923" s="70"/>
      <c r="L923" s="92"/>
      <c r="M923" s="92"/>
      <c r="N923" s="92"/>
      <c r="O923" s="92"/>
      <c r="P923" s="92"/>
      <c r="Q923" s="92"/>
      <c r="R923" s="93"/>
    </row>
    <row r="924" spans="1:18" s="32" customFormat="1" ht="17.5" customHeight="1">
      <c r="A924" s="91"/>
      <c r="B924" s="58" t="str">
        <f t="shared" si="28"/>
        <v>W1 (2' 2" x 5' 0")</v>
      </c>
      <c r="C924" s="58"/>
      <c r="D924" s="59">
        <f t="shared" ref="D924:E929" si="30">D901</f>
        <v>20</v>
      </c>
      <c r="E924" s="60">
        <f t="shared" si="30"/>
        <v>2.67</v>
      </c>
      <c r="F924" s="60"/>
      <c r="G924" s="60">
        <f t="shared" ref="G924:G929" si="31">F901+G901</f>
        <v>0.76</v>
      </c>
      <c r="H924" s="60"/>
      <c r="I924" s="60">
        <f t="shared" ref="I924:I929" si="32">D924*E924*G924</f>
        <v>40.58</v>
      </c>
      <c r="J924" s="60"/>
      <c r="K924" s="70" t="s">
        <v>21</v>
      </c>
      <c r="L924" s="92"/>
      <c r="M924" s="92"/>
      <c r="N924" s="92"/>
      <c r="O924" s="92"/>
      <c r="P924" s="92"/>
      <c r="Q924" s="92"/>
      <c r="R924" s="93"/>
    </row>
    <row r="925" spans="1:18" s="32" customFormat="1" ht="17.5" customHeight="1">
      <c r="A925" s="91"/>
      <c r="B925" s="58" t="str">
        <f t="shared" si="28"/>
        <v>W2 (4' 4" x 5' 0")</v>
      </c>
      <c r="C925" s="58"/>
      <c r="D925" s="59">
        <f t="shared" si="30"/>
        <v>4</v>
      </c>
      <c r="E925" s="60">
        <f t="shared" si="30"/>
        <v>4.83</v>
      </c>
      <c r="F925" s="60"/>
      <c r="G925" s="60">
        <f t="shared" si="31"/>
        <v>0.76</v>
      </c>
      <c r="H925" s="60"/>
      <c r="I925" s="60">
        <f t="shared" si="32"/>
        <v>14.68</v>
      </c>
      <c r="J925" s="60"/>
      <c r="K925" s="70" t="s">
        <v>21</v>
      </c>
      <c r="L925" s="92"/>
      <c r="M925" s="92"/>
      <c r="N925" s="92"/>
      <c r="O925" s="92"/>
      <c r="P925" s="92"/>
      <c r="Q925" s="92"/>
      <c r="R925" s="93"/>
    </row>
    <row r="926" spans="1:18" s="32" customFormat="1" ht="17.5" customHeight="1">
      <c r="A926" s="91"/>
      <c r="B926" s="58" t="str">
        <f t="shared" si="28"/>
        <v>W3 (6' 5" x 5' 0")</v>
      </c>
      <c r="C926" s="58"/>
      <c r="D926" s="59">
        <f t="shared" si="30"/>
        <v>10</v>
      </c>
      <c r="E926" s="60">
        <f t="shared" si="30"/>
        <v>6.92</v>
      </c>
      <c r="F926" s="60"/>
      <c r="G926" s="60">
        <f t="shared" si="31"/>
        <v>0.76</v>
      </c>
      <c r="H926" s="60"/>
      <c r="I926" s="60">
        <f t="shared" si="32"/>
        <v>52.59</v>
      </c>
      <c r="J926" s="60"/>
      <c r="K926" s="70" t="s">
        <v>21</v>
      </c>
      <c r="L926" s="92"/>
      <c r="M926" s="92"/>
      <c r="N926" s="92"/>
      <c r="O926" s="92"/>
      <c r="P926" s="92"/>
      <c r="Q926" s="92"/>
      <c r="R926" s="93"/>
    </row>
    <row r="927" spans="1:18" s="32" customFormat="1" ht="17.5" customHeight="1">
      <c r="A927" s="91"/>
      <c r="B927" s="58" t="str">
        <f t="shared" si="28"/>
        <v>W4 (4' 4" x 2' 4")</v>
      </c>
      <c r="C927" s="58"/>
      <c r="D927" s="59">
        <f t="shared" si="30"/>
        <v>4</v>
      </c>
      <c r="E927" s="60">
        <f t="shared" si="30"/>
        <v>4.83</v>
      </c>
      <c r="F927" s="60"/>
      <c r="G927" s="60">
        <f t="shared" si="31"/>
        <v>0.76</v>
      </c>
      <c r="H927" s="60"/>
      <c r="I927" s="60">
        <f t="shared" si="32"/>
        <v>14.68</v>
      </c>
      <c r="J927" s="60"/>
      <c r="K927" s="70" t="s">
        <v>21</v>
      </c>
      <c r="L927" s="92"/>
      <c r="M927" s="92"/>
      <c r="N927" s="92"/>
      <c r="O927" s="92"/>
      <c r="P927" s="92"/>
      <c r="Q927" s="92"/>
      <c r="R927" s="93"/>
    </row>
    <row r="928" spans="1:18" s="32" customFormat="1" ht="17.5" customHeight="1">
      <c r="A928" s="91"/>
      <c r="B928" s="58" t="str">
        <f t="shared" si="28"/>
        <v>P1 (2' 4" x 2' 0")</v>
      </c>
      <c r="C928" s="58"/>
      <c r="D928" s="59">
        <f t="shared" si="30"/>
        <v>6</v>
      </c>
      <c r="E928" s="60">
        <f t="shared" si="30"/>
        <v>2.83</v>
      </c>
      <c r="F928" s="60"/>
      <c r="G928" s="60">
        <f t="shared" si="31"/>
        <v>0.76</v>
      </c>
      <c r="H928" s="60"/>
      <c r="I928" s="60">
        <f t="shared" si="32"/>
        <v>12.9</v>
      </c>
      <c r="J928" s="60"/>
      <c r="K928" s="70" t="s">
        <v>21</v>
      </c>
      <c r="L928" s="92"/>
      <c r="M928" s="92"/>
      <c r="N928" s="92"/>
      <c r="O928" s="92"/>
      <c r="P928" s="92"/>
      <c r="Q928" s="92"/>
      <c r="R928" s="93"/>
    </row>
    <row r="929" spans="1:18" s="32" customFormat="1" ht="17.5" customHeight="1">
      <c r="A929" s="91"/>
      <c r="B929" s="58" t="str">
        <f t="shared" si="28"/>
        <v>P2 (4' 4" x 5' 0")</v>
      </c>
      <c r="C929" s="58"/>
      <c r="D929" s="59">
        <f t="shared" si="30"/>
        <v>2</v>
      </c>
      <c r="E929" s="60">
        <f t="shared" si="30"/>
        <v>4.83</v>
      </c>
      <c r="F929" s="60"/>
      <c r="G929" s="60">
        <f t="shared" si="31"/>
        <v>0.76</v>
      </c>
      <c r="H929" s="60"/>
      <c r="I929" s="60">
        <f t="shared" si="32"/>
        <v>7.34</v>
      </c>
      <c r="J929" s="60"/>
      <c r="K929" s="70" t="s">
        <v>21</v>
      </c>
      <c r="L929" s="92"/>
      <c r="M929" s="92"/>
      <c r="N929" s="92"/>
      <c r="O929" s="92"/>
      <c r="P929" s="92"/>
      <c r="Q929" s="92"/>
      <c r="R929" s="93"/>
    </row>
    <row r="930" spans="1:18" s="32" customFormat="1" ht="17.5" customHeight="1">
      <c r="A930" s="91"/>
      <c r="B930" s="58"/>
      <c r="C930" s="58"/>
      <c r="D930" s="59"/>
      <c r="E930" s="60"/>
      <c r="F930" s="60"/>
      <c r="G930" s="60"/>
      <c r="H930" s="60"/>
      <c r="I930" s="60"/>
      <c r="J930" s="60"/>
      <c r="K930" s="70"/>
      <c r="L930" s="92"/>
      <c r="M930" s="92"/>
      <c r="N930" s="92"/>
      <c r="O930" s="92"/>
      <c r="P930" s="92"/>
      <c r="Q930" s="92"/>
      <c r="R930" s="93"/>
    </row>
    <row r="931" spans="1:18" s="32" customFormat="1" ht="17.5" customHeight="1">
      <c r="A931" s="91"/>
      <c r="B931" s="94" t="str">
        <f t="shared" ref="B931:B937" si="33">B908</f>
        <v xml:space="preserve"> Lintel @ Internal Wall</v>
      </c>
      <c r="C931" s="94"/>
      <c r="D931" s="59"/>
      <c r="E931" s="60"/>
      <c r="F931" s="60"/>
      <c r="G931" s="60"/>
      <c r="H931" s="60"/>
      <c r="I931" s="60"/>
      <c r="J931" s="60"/>
      <c r="K931" s="70"/>
      <c r="L931" s="92"/>
      <c r="M931" s="92"/>
      <c r="N931" s="92"/>
      <c r="O931" s="92"/>
      <c r="P931" s="92"/>
      <c r="Q931" s="92"/>
      <c r="R931" s="93"/>
    </row>
    <row r="932" spans="1:18" s="32" customFormat="1" ht="17.5" customHeight="1">
      <c r="A932" s="91"/>
      <c r="B932" s="58" t="str">
        <f t="shared" si="33"/>
        <v>Ground Floor Lintel</v>
      </c>
      <c r="C932" s="58"/>
      <c r="D932" s="59">
        <f>D909</f>
        <v>1</v>
      </c>
      <c r="E932" s="60">
        <f>E909</f>
        <v>123</v>
      </c>
      <c r="F932" s="60"/>
      <c r="G932" s="60">
        <f>G909*2</f>
        <v>0.76</v>
      </c>
      <c r="H932" s="60"/>
      <c r="I932" s="60">
        <f>D932*E932*G932</f>
        <v>93.48</v>
      </c>
      <c r="J932" s="60"/>
      <c r="K932" s="70" t="s">
        <v>21</v>
      </c>
      <c r="L932" s="92"/>
      <c r="M932" s="92"/>
      <c r="N932" s="92"/>
      <c r="O932" s="92"/>
      <c r="P932" s="92"/>
      <c r="Q932" s="92"/>
      <c r="R932" s="93"/>
    </row>
    <row r="933" spans="1:18" s="32" customFormat="1" ht="17.5" customHeight="1">
      <c r="A933" s="91"/>
      <c r="B933" s="58" t="str">
        <f t="shared" si="33"/>
        <v>Ground Floor Sill</v>
      </c>
      <c r="C933" s="58"/>
      <c r="D933" s="59">
        <f>D910</f>
        <v>1</v>
      </c>
      <c r="E933" s="60">
        <f>E910</f>
        <v>108</v>
      </c>
      <c r="F933" s="60"/>
      <c r="G933" s="60">
        <f>G910*2</f>
        <v>0.76</v>
      </c>
      <c r="H933" s="60"/>
      <c r="I933" s="60">
        <f>D933*E933*G933</f>
        <v>82.08</v>
      </c>
      <c r="J933" s="60"/>
      <c r="K933" s="70" t="s">
        <v>21</v>
      </c>
      <c r="L933" s="92"/>
      <c r="M933" s="92"/>
      <c r="N933" s="92"/>
      <c r="O933" s="92"/>
      <c r="P933" s="92"/>
      <c r="Q933" s="92"/>
      <c r="R933" s="93"/>
    </row>
    <row r="934" spans="1:18" s="32" customFormat="1" ht="17.5" customHeight="1">
      <c r="A934" s="91"/>
      <c r="B934" s="58" t="str">
        <f t="shared" si="33"/>
        <v>Ground Floor Stiffener</v>
      </c>
      <c r="C934" s="58"/>
      <c r="D934" s="59">
        <f>D911</f>
        <v>6</v>
      </c>
      <c r="E934" s="60">
        <f>E911*2</f>
        <v>0.76</v>
      </c>
      <c r="F934" s="60"/>
      <c r="G934" s="60">
        <f>G911</f>
        <v>12</v>
      </c>
      <c r="H934" s="60"/>
      <c r="I934" s="60"/>
      <c r="J934" s="60"/>
      <c r="K934" s="70"/>
      <c r="L934" s="92"/>
      <c r="M934" s="92"/>
      <c r="N934" s="92"/>
      <c r="O934" s="92"/>
      <c r="P934" s="92"/>
      <c r="Q934" s="92"/>
      <c r="R934" s="93"/>
    </row>
    <row r="935" spans="1:18" s="32" customFormat="1" ht="17.5" customHeight="1">
      <c r="A935" s="91"/>
      <c r="B935" s="58" t="str">
        <f t="shared" si="33"/>
        <v>First Floor Lintel</v>
      </c>
      <c r="C935" s="58"/>
      <c r="D935" s="59">
        <f>D912</f>
        <v>1</v>
      </c>
      <c r="E935" s="60">
        <f>E912</f>
        <v>94.4</v>
      </c>
      <c r="F935" s="60"/>
      <c r="G935" s="60">
        <f>G912*2</f>
        <v>0.76</v>
      </c>
      <c r="H935" s="60"/>
      <c r="I935" s="60">
        <f>D935*E935*G935</f>
        <v>71.739999999999995</v>
      </c>
      <c r="J935" s="60"/>
      <c r="K935" s="70" t="s">
        <v>21</v>
      </c>
      <c r="L935" s="92"/>
      <c r="M935" s="92"/>
      <c r="N935" s="92"/>
      <c r="O935" s="92"/>
      <c r="P935" s="92"/>
      <c r="Q935" s="92"/>
      <c r="R935" s="93"/>
    </row>
    <row r="936" spans="1:18" s="32" customFormat="1" ht="17.5" customHeight="1">
      <c r="A936" s="91"/>
      <c r="B936" s="58" t="str">
        <f t="shared" si="33"/>
        <v>First Floor Sill</v>
      </c>
      <c r="C936" s="58"/>
      <c r="D936" s="59">
        <f>D913</f>
        <v>1</v>
      </c>
      <c r="E936" s="60">
        <f>E913</f>
        <v>79.150000000000006</v>
      </c>
      <c r="F936" s="60"/>
      <c r="G936" s="60">
        <f>G913*2</f>
        <v>0.76</v>
      </c>
      <c r="H936" s="60"/>
      <c r="I936" s="60">
        <f>D936*E936*G936</f>
        <v>60.15</v>
      </c>
      <c r="J936" s="60"/>
      <c r="K936" s="70" t="s">
        <v>21</v>
      </c>
      <c r="L936" s="92"/>
      <c r="M936" s="92"/>
      <c r="N936" s="92"/>
      <c r="O936" s="92"/>
      <c r="P936" s="92"/>
      <c r="Q936" s="92"/>
      <c r="R936" s="93"/>
    </row>
    <row r="937" spans="1:18" s="32" customFormat="1" ht="17.5" customHeight="1">
      <c r="A937" s="91"/>
      <c r="B937" s="58" t="str">
        <f t="shared" si="33"/>
        <v>First Floor Stiffener</v>
      </c>
      <c r="C937" s="58"/>
      <c r="D937" s="59">
        <f>D914</f>
        <v>7</v>
      </c>
      <c r="E937" s="60">
        <f>E914*2</f>
        <v>0.76</v>
      </c>
      <c r="F937" s="60"/>
      <c r="G937" s="60">
        <f>G914</f>
        <v>11</v>
      </c>
      <c r="H937" s="60"/>
      <c r="I937" s="60">
        <f>D937*E937*G937</f>
        <v>58.52</v>
      </c>
      <c r="J937" s="60"/>
      <c r="K937" s="70" t="s">
        <v>21</v>
      </c>
      <c r="L937" s="92"/>
      <c r="M937" s="92"/>
      <c r="N937" s="92"/>
      <c r="O937" s="92"/>
      <c r="P937" s="92"/>
      <c r="Q937" s="92"/>
      <c r="R937" s="93"/>
    </row>
    <row r="938" spans="1:18" s="32" customFormat="1" ht="17.5" customHeight="1">
      <c r="A938" s="91"/>
      <c r="B938" s="58"/>
      <c r="C938" s="58"/>
      <c r="D938" s="59"/>
      <c r="E938" s="60"/>
      <c r="F938" s="60"/>
      <c r="G938" s="60"/>
      <c r="H938" s="60"/>
      <c r="I938" s="60"/>
      <c r="J938" s="60">
        <f>SUM(I919:I938)</f>
        <v>838.34</v>
      </c>
      <c r="K938" s="70" t="s">
        <v>21</v>
      </c>
      <c r="L938" s="92"/>
      <c r="M938" s="92"/>
      <c r="N938" s="92"/>
      <c r="O938" s="92"/>
      <c r="P938" s="92"/>
      <c r="Q938" s="92"/>
      <c r="R938" s="93"/>
    </row>
    <row r="939" spans="1:18" s="32" customFormat="1" ht="17.5" customHeight="1">
      <c r="A939" s="91"/>
      <c r="B939" s="58"/>
      <c r="C939" s="58"/>
      <c r="D939" s="59"/>
      <c r="E939" s="60"/>
      <c r="F939" s="60"/>
      <c r="G939" s="60"/>
      <c r="H939" s="60"/>
      <c r="I939" s="60"/>
      <c r="J939" s="60">
        <f>J938/100</f>
        <v>8.3800000000000008</v>
      </c>
      <c r="K939" s="70" t="s">
        <v>12</v>
      </c>
      <c r="L939" s="92"/>
      <c r="M939" s="92"/>
      <c r="N939" s="92"/>
      <c r="O939" s="92"/>
      <c r="P939" s="92"/>
      <c r="Q939" s="92"/>
      <c r="R939" s="93"/>
    </row>
    <row r="940" spans="1:18" s="32" customFormat="1" ht="17.5" customHeight="1">
      <c r="A940" s="91"/>
      <c r="B940" s="58"/>
      <c r="C940" s="58"/>
      <c r="D940" s="59"/>
      <c r="E940" s="60"/>
      <c r="F940" s="60"/>
      <c r="G940" s="60"/>
      <c r="H940" s="60"/>
      <c r="I940" s="60"/>
      <c r="J940" s="60"/>
      <c r="K940" s="70"/>
      <c r="L940" s="92"/>
      <c r="M940" s="92"/>
      <c r="N940" s="92"/>
      <c r="O940" s="92"/>
      <c r="P940" s="92"/>
      <c r="Q940" s="92"/>
      <c r="R940" s="93"/>
    </row>
    <row r="941" spans="1:18" s="32" customFormat="1" ht="17.5" customHeight="1">
      <c r="A941" s="91"/>
      <c r="B941" s="94" t="s">
        <v>80</v>
      </c>
      <c r="C941" s="94"/>
      <c r="D941" s="59"/>
      <c r="E941" s="60"/>
      <c r="F941" s="60"/>
      <c r="G941" s="60"/>
      <c r="H941" s="60" t="s">
        <v>128</v>
      </c>
      <c r="I941" s="60" t="s">
        <v>67</v>
      </c>
      <c r="J941" s="60"/>
      <c r="K941" s="70"/>
      <c r="L941" s="92"/>
      <c r="M941" s="92"/>
      <c r="N941" s="92"/>
      <c r="O941" s="92"/>
      <c r="P941" s="92"/>
      <c r="Q941" s="92"/>
      <c r="R941" s="93"/>
    </row>
    <row r="942" spans="1:18" s="32" customFormat="1" ht="17.5" customHeight="1">
      <c r="A942" s="91"/>
      <c r="B942" s="94" t="str">
        <f>B895</f>
        <v xml:space="preserve"> Lintel @ External Wall</v>
      </c>
      <c r="C942" s="94"/>
      <c r="D942" s="59"/>
      <c r="E942" s="60"/>
      <c r="F942" s="60"/>
      <c r="G942" s="60"/>
      <c r="H942" s="60"/>
      <c r="I942" s="60"/>
      <c r="J942" s="60"/>
      <c r="K942" s="70"/>
      <c r="L942" s="92"/>
      <c r="M942" s="92"/>
      <c r="N942" s="92"/>
      <c r="O942" s="92"/>
      <c r="P942" s="92"/>
      <c r="Q942" s="92"/>
      <c r="R942" s="93"/>
    </row>
    <row r="943" spans="1:18" s="32" customFormat="1" ht="17.5" customHeight="1">
      <c r="A943" s="91"/>
      <c r="B943" s="58" t="str">
        <f>B896</f>
        <v>Ground Floor Lintel</v>
      </c>
      <c r="C943" s="58"/>
      <c r="D943" s="59">
        <f>D896</f>
        <v>1</v>
      </c>
      <c r="E943" s="60">
        <f>E896</f>
        <v>112</v>
      </c>
      <c r="F943" s="60">
        <f>F896</f>
        <v>0.38</v>
      </c>
      <c r="G943" s="60">
        <f>G896</f>
        <v>0.38</v>
      </c>
      <c r="H943" s="60"/>
      <c r="I943" s="60"/>
      <c r="J943" s="60"/>
      <c r="K943" s="70"/>
      <c r="L943" s="92"/>
      <c r="M943" s="92"/>
      <c r="N943" s="92"/>
      <c r="O943" s="92"/>
      <c r="P943" s="92"/>
      <c r="Q943" s="92"/>
      <c r="R943" s="93"/>
    </row>
    <row r="944" spans="1:18" s="32" customFormat="1" ht="17.5" customHeight="1">
      <c r="A944" s="91"/>
      <c r="B944" s="58" t="s">
        <v>242</v>
      </c>
      <c r="C944" s="58"/>
      <c r="D944" s="59">
        <f>D943*2</f>
        <v>2</v>
      </c>
      <c r="E944" s="60">
        <f>E943</f>
        <v>112</v>
      </c>
      <c r="F944" s="60"/>
      <c r="G944" s="60"/>
      <c r="H944" s="60">
        <f>D944*E944</f>
        <v>224</v>
      </c>
      <c r="I944" s="60"/>
      <c r="J944" s="60"/>
      <c r="K944" s="70"/>
      <c r="L944" s="92"/>
      <c r="M944" s="92"/>
      <c r="N944" s="92"/>
      <c r="O944" s="92"/>
      <c r="P944" s="92"/>
      <c r="Q944" s="92"/>
      <c r="R944" s="93"/>
    </row>
    <row r="945" spans="1:18" s="32" customFormat="1" ht="17.5" customHeight="1">
      <c r="A945" s="91"/>
      <c r="B945" s="58" t="s">
        <v>129</v>
      </c>
      <c r="C945" s="58"/>
      <c r="D945" s="59">
        <f>D943*ROUND(E943/0.5,0)</f>
        <v>224</v>
      </c>
      <c r="E945" s="60">
        <f>(F943-0.17)*2+(G943-0.17)*1+24*6.5/1000*3.281</f>
        <v>1.1399999999999999</v>
      </c>
      <c r="F945" s="60"/>
      <c r="G945" s="60"/>
      <c r="H945" s="60"/>
      <c r="I945" s="60">
        <f>D945*E945</f>
        <v>255.36</v>
      </c>
      <c r="J945" s="60"/>
      <c r="K945" s="70"/>
      <c r="L945" s="92"/>
      <c r="M945" s="92"/>
      <c r="N945" s="92"/>
      <c r="O945" s="92"/>
      <c r="P945" s="92"/>
      <c r="Q945" s="92"/>
      <c r="R945" s="93"/>
    </row>
    <row r="946" spans="1:18" s="32" customFormat="1" ht="17.5" customHeight="1">
      <c r="A946" s="91"/>
      <c r="B946" s="58"/>
      <c r="C946" s="58"/>
      <c r="D946" s="59"/>
      <c r="E946" s="60"/>
      <c r="F946" s="60"/>
      <c r="G946" s="60"/>
      <c r="H946" s="60"/>
      <c r="I946" s="60"/>
      <c r="J946" s="60"/>
      <c r="K946" s="70"/>
      <c r="L946" s="92"/>
      <c r="M946" s="92"/>
      <c r="N946" s="92"/>
      <c r="O946" s="92"/>
      <c r="P946" s="92"/>
      <c r="Q946" s="92"/>
      <c r="R946" s="93"/>
    </row>
    <row r="947" spans="1:18" s="32" customFormat="1" ht="17.5" customHeight="1">
      <c r="A947" s="91"/>
      <c r="B947" s="58" t="str">
        <f>B897</f>
        <v>Ground Floor Sill</v>
      </c>
      <c r="C947" s="58"/>
      <c r="D947" s="59">
        <f>D897</f>
        <v>1</v>
      </c>
      <c r="E947" s="60">
        <f>E897</f>
        <v>103.42</v>
      </c>
      <c r="F947" s="60">
        <f>F897</f>
        <v>0.38</v>
      </c>
      <c r="G947" s="60">
        <f>G897</f>
        <v>0.38</v>
      </c>
      <c r="H947" s="60"/>
      <c r="I947" s="60"/>
      <c r="J947" s="60"/>
      <c r="K947" s="70"/>
      <c r="L947" s="92"/>
      <c r="M947" s="92"/>
      <c r="N947" s="92"/>
      <c r="O947" s="92"/>
      <c r="P947" s="92"/>
      <c r="Q947" s="92"/>
      <c r="R947" s="93"/>
    </row>
    <row r="948" spans="1:18" s="32" customFormat="1" ht="17.5" customHeight="1">
      <c r="A948" s="91"/>
      <c r="B948" s="58" t="s">
        <v>242</v>
      </c>
      <c r="C948" s="58"/>
      <c r="D948" s="59">
        <f>D947*2</f>
        <v>2</v>
      </c>
      <c r="E948" s="60">
        <f>E947</f>
        <v>103.42</v>
      </c>
      <c r="F948" s="60"/>
      <c r="G948" s="60"/>
      <c r="H948" s="60">
        <f>D948*E948</f>
        <v>206.84</v>
      </c>
      <c r="I948" s="60"/>
      <c r="J948" s="60"/>
      <c r="K948" s="70"/>
      <c r="L948" s="92"/>
      <c r="M948" s="92"/>
      <c r="N948" s="92"/>
      <c r="O948" s="92"/>
      <c r="P948" s="92"/>
      <c r="Q948" s="92"/>
      <c r="R948" s="93"/>
    </row>
    <row r="949" spans="1:18" s="32" customFormat="1" ht="17.5" customHeight="1">
      <c r="A949" s="91"/>
      <c r="B949" s="58" t="s">
        <v>129</v>
      </c>
      <c r="C949" s="58"/>
      <c r="D949" s="59">
        <f>D947*ROUND(E947/0.5,0)</f>
        <v>207</v>
      </c>
      <c r="E949" s="60">
        <f>(F947-0.17)*2+(G947-0.17)*1+24*6.5/1000*3.281</f>
        <v>1.1399999999999999</v>
      </c>
      <c r="F949" s="60"/>
      <c r="G949" s="60"/>
      <c r="H949" s="60"/>
      <c r="I949" s="60">
        <f>D949*E949</f>
        <v>235.98</v>
      </c>
      <c r="J949" s="60"/>
      <c r="K949" s="70"/>
      <c r="L949" s="92"/>
      <c r="M949" s="92"/>
      <c r="N949" s="92"/>
      <c r="O949" s="92"/>
      <c r="P949" s="92"/>
      <c r="Q949" s="92"/>
      <c r="R949" s="93"/>
    </row>
    <row r="950" spans="1:18" s="32" customFormat="1" ht="17.5" customHeight="1">
      <c r="A950" s="91"/>
      <c r="B950" s="58"/>
      <c r="C950" s="58"/>
      <c r="D950" s="59"/>
      <c r="E950" s="60"/>
      <c r="F950" s="60"/>
      <c r="G950" s="60"/>
      <c r="H950" s="60"/>
      <c r="I950" s="60"/>
      <c r="J950" s="60"/>
      <c r="K950" s="70"/>
      <c r="L950" s="92"/>
      <c r="M950" s="92"/>
      <c r="N950" s="92"/>
      <c r="O950" s="92"/>
      <c r="P950" s="92"/>
      <c r="Q950" s="92"/>
      <c r="R950" s="93"/>
    </row>
    <row r="951" spans="1:18" s="32" customFormat="1" ht="17.5" customHeight="1">
      <c r="A951" s="91"/>
      <c r="B951" s="58" t="str">
        <f>B898</f>
        <v>First Floor Lintel</v>
      </c>
      <c r="C951" s="58"/>
      <c r="D951" s="59">
        <f>D898</f>
        <v>1</v>
      </c>
      <c r="E951" s="60">
        <f>E898</f>
        <v>112.38</v>
      </c>
      <c r="F951" s="60">
        <f>F898</f>
        <v>0.38</v>
      </c>
      <c r="G951" s="60">
        <f>G898</f>
        <v>0.38</v>
      </c>
      <c r="H951" s="60"/>
      <c r="I951" s="60"/>
      <c r="J951" s="60"/>
      <c r="K951" s="70"/>
      <c r="L951" s="92"/>
      <c r="M951" s="92"/>
      <c r="N951" s="92"/>
      <c r="O951" s="92"/>
      <c r="P951" s="92"/>
      <c r="Q951" s="92"/>
      <c r="R951" s="93"/>
    </row>
    <row r="952" spans="1:18" s="32" customFormat="1" ht="17.5" customHeight="1">
      <c r="A952" s="91"/>
      <c r="B952" s="58" t="s">
        <v>242</v>
      </c>
      <c r="C952" s="58"/>
      <c r="D952" s="59">
        <f>D951*2</f>
        <v>2</v>
      </c>
      <c r="E952" s="60">
        <f>E951</f>
        <v>112.38</v>
      </c>
      <c r="F952" s="60"/>
      <c r="G952" s="60"/>
      <c r="H952" s="60">
        <f>D952*E952</f>
        <v>224.76</v>
      </c>
      <c r="I952" s="60"/>
      <c r="J952" s="60"/>
      <c r="K952" s="70"/>
      <c r="L952" s="92"/>
      <c r="M952" s="92"/>
      <c r="N952" s="92"/>
      <c r="O952" s="92"/>
      <c r="P952" s="92"/>
      <c r="Q952" s="92"/>
      <c r="R952" s="93"/>
    </row>
    <row r="953" spans="1:18" s="32" customFormat="1" ht="17.5" customHeight="1">
      <c r="A953" s="91"/>
      <c r="B953" s="58" t="s">
        <v>129</v>
      </c>
      <c r="C953" s="58"/>
      <c r="D953" s="59">
        <f>D951*ROUND(E951/0.5,0)</f>
        <v>225</v>
      </c>
      <c r="E953" s="60">
        <f>(F951-0.17)*2+(G951-0.17)*1+24*6.5/1000*3.281</f>
        <v>1.1399999999999999</v>
      </c>
      <c r="F953" s="60"/>
      <c r="G953" s="60"/>
      <c r="H953" s="60"/>
      <c r="I953" s="60">
        <f>D953*E953</f>
        <v>256.5</v>
      </c>
      <c r="J953" s="60"/>
      <c r="K953" s="70"/>
      <c r="L953" s="92"/>
      <c r="M953" s="92"/>
      <c r="N953" s="92"/>
      <c r="O953" s="92"/>
      <c r="P953" s="92"/>
      <c r="Q953" s="92"/>
      <c r="R953" s="93"/>
    </row>
    <row r="954" spans="1:18" s="32" customFormat="1" ht="17.5" customHeight="1">
      <c r="A954" s="91"/>
      <c r="B954" s="58"/>
      <c r="C954" s="58"/>
      <c r="D954" s="59"/>
      <c r="E954" s="60"/>
      <c r="F954" s="60"/>
      <c r="G954" s="60"/>
      <c r="H954" s="60"/>
      <c r="I954" s="60"/>
      <c r="J954" s="60"/>
      <c r="K954" s="70"/>
      <c r="L954" s="92"/>
      <c r="M954" s="92"/>
      <c r="N954" s="92"/>
      <c r="O954" s="92"/>
      <c r="P954" s="92"/>
      <c r="Q954" s="92"/>
      <c r="R954" s="93"/>
    </row>
    <row r="955" spans="1:18" s="32" customFormat="1" ht="17.5" customHeight="1">
      <c r="A955" s="91"/>
      <c r="B955" s="58" t="str">
        <f>B899</f>
        <v>First Floor Sill</v>
      </c>
      <c r="C955" s="58"/>
      <c r="D955" s="59">
        <f>D899</f>
        <v>1</v>
      </c>
      <c r="E955" s="60">
        <f>E899</f>
        <v>105.88</v>
      </c>
      <c r="F955" s="60">
        <f>F899</f>
        <v>0.38</v>
      </c>
      <c r="G955" s="60">
        <f>G899</f>
        <v>0.38</v>
      </c>
      <c r="H955" s="60"/>
      <c r="I955" s="60"/>
      <c r="J955" s="60"/>
      <c r="K955" s="70"/>
      <c r="L955" s="92"/>
      <c r="M955" s="92"/>
      <c r="N955" s="92"/>
      <c r="O955" s="92"/>
      <c r="P955" s="92"/>
      <c r="Q955" s="92"/>
      <c r="R955" s="93"/>
    </row>
    <row r="956" spans="1:18" s="32" customFormat="1" ht="17.5" customHeight="1">
      <c r="A956" s="91"/>
      <c r="B956" s="58" t="s">
        <v>242</v>
      </c>
      <c r="C956" s="58"/>
      <c r="D956" s="59">
        <f>D955*2</f>
        <v>2</v>
      </c>
      <c r="E956" s="60">
        <f>E955</f>
        <v>105.88</v>
      </c>
      <c r="F956" s="60"/>
      <c r="G956" s="60"/>
      <c r="H956" s="60">
        <f>D956*E956</f>
        <v>211.76</v>
      </c>
      <c r="I956" s="60"/>
      <c r="J956" s="60"/>
      <c r="K956" s="70"/>
      <c r="L956" s="92"/>
      <c r="M956" s="92"/>
      <c r="N956" s="92"/>
      <c r="O956" s="92"/>
      <c r="P956" s="92"/>
      <c r="Q956" s="92"/>
      <c r="R956" s="93"/>
    </row>
    <row r="957" spans="1:18" s="32" customFormat="1" ht="17.5" customHeight="1">
      <c r="A957" s="91"/>
      <c r="B957" s="58" t="s">
        <v>129</v>
      </c>
      <c r="C957" s="58"/>
      <c r="D957" s="59">
        <f>D955*ROUND(E955/0.5,0)</f>
        <v>212</v>
      </c>
      <c r="E957" s="60">
        <f>(F955-0.17)*2+(G955-0.17)*1+24*6.5/1000*3.281</f>
        <v>1.1399999999999999</v>
      </c>
      <c r="F957" s="60"/>
      <c r="G957" s="60"/>
      <c r="H957" s="60"/>
      <c r="I957" s="60">
        <f>D957*E957</f>
        <v>241.68</v>
      </c>
      <c r="J957" s="60"/>
      <c r="K957" s="70"/>
      <c r="L957" s="92"/>
      <c r="M957" s="92"/>
      <c r="N957" s="92"/>
      <c r="O957" s="92"/>
      <c r="P957" s="92"/>
      <c r="Q957" s="92"/>
      <c r="R957" s="93"/>
    </row>
    <row r="958" spans="1:18" s="32" customFormat="1" ht="17.5" customHeight="1">
      <c r="A958" s="91"/>
      <c r="B958" s="58"/>
      <c r="C958" s="58"/>
      <c r="D958" s="59"/>
      <c r="E958" s="60"/>
      <c r="F958" s="60"/>
      <c r="G958" s="60"/>
      <c r="H958" s="60"/>
      <c r="I958" s="60"/>
      <c r="J958" s="60"/>
      <c r="K958" s="70"/>
      <c r="L958" s="92"/>
      <c r="M958" s="92"/>
      <c r="N958" s="92"/>
      <c r="O958" s="92"/>
      <c r="P958" s="92"/>
      <c r="Q958" s="92"/>
      <c r="R958" s="93"/>
    </row>
    <row r="959" spans="1:18" s="32" customFormat="1" ht="17.5" customHeight="1">
      <c r="A959" s="91"/>
      <c r="B959" s="58" t="str">
        <f>B900</f>
        <v>Top &amp; Bottom of Window</v>
      </c>
      <c r="C959" s="58"/>
      <c r="D959" s="59"/>
      <c r="E959" s="60"/>
      <c r="F959" s="60"/>
      <c r="G959" s="60"/>
      <c r="H959" s="60"/>
      <c r="I959" s="60"/>
      <c r="J959" s="60"/>
      <c r="K959" s="70"/>
      <c r="L959" s="92"/>
      <c r="M959" s="92"/>
      <c r="N959" s="92"/>
      <c r="O959" s="92"/>
      <c r="P959" s="92"/>
      <c r="Q959" s="92"/>
      <c r="R959" s="93"/>
    </row>
    <row r="960" spans="1:18" s="32" customFormat="1" ht="17.5" customHeight="1">
      <c r="A960" s="91"/>
      <c r="B960" s="91" t="str">
        <f>B901</f>
        <v>W1 (2' 2" x 5' 0")</v>
      </c>
      <c r="C960" s="58"/>
      <c r="D960" s="59">
        <f>D901</f>
        <v>20</v>
      </c>
      <c r="E960" s="60">
        <f>E901</f>
        <v>2.67</v>
      </c>
      <c r="F960" s="60">
        <f>F901</f>
        <v>0.38</v>
      </c>
      <c r="G960" s="60">
        <f>G901</f>
        <v>0.38</v>
      </c>
      <c r="H960" s="60"/>
      <c r="I960" s="60"/>
      <c r="J960" s="60"/>
      <c r="K960" s="70"/>
      <c r="L960" s="92"/>
      <c r="M960" s="92"/>
      <c r="N960" s="92"/>
      <c r="O960" s="92"/>
      <c r="P960" s="92"/>
      <c r="Q960" s="92"/>
      <c r="R960" s="93"/>
    </row>
    <row r="961" spans="1:18" s="32" customFormat="1" ht="17.5" customHeight="1">
      <c r="A961" s="91"/>
      <c r="B961" s="58" t="s">
        <v>652</v>
      </c>
      <c r="C961" s="58"/>
      <c r="D961" s="59">
        <f>D960</f>
        <v>20</v>
      </c>
      <c r="E961" s="60">
        <f>E960</f>
        <v>2.67</v>
      </c>
      <c r="F961" s="60"/>
      <c r="G961" s="60"/>
      <c r="H961" s="60">
        <f>D961*E961</f>
        <v>53.4</v>
      </c>
      <c r="I961" s="60"/>
      <c r="J961" s="60"/>
      <c r="K961" s="70" t="s">
        <v>82</v>
      </c>
      <c r="L961" s="92"/>
      <c r="M961" s="92"/>
      <c r="N961" s="92"/>
      <c r="O961" s="92"/>
      <c r="P961" s="92"/>
      <c r="Q961" s="92"/>
      <c r="R961" s="93"/>
    </row>
    <row r="962" spans="1:18" s="32" customFormat="1" ht="17.5" customHeight="1">
      <c r="A962" s="91"/>
      <c r="B962" s="91" t="str">
        <f>B902</f>
        <v>W2 (4' 4" x 5' 0")</v>
      </c>
      <c r="C962" s="58"/>
      <c r="D962" s="59">
        <f>D902</f>
        <v>4</v>
      </c>
      <c r="E962" s="60">
        <f>E902</f>
        <v>4.83</v>
      </c>
      <c r="F962" s="60">
        <f>F902</f>
        <v>0.38</v>
      </c>
      <c r="G962" s="60">
        <f>G902</f>
        <v>0.38</v>
      </c>
      <c r="H962" s="60"/>
      <c r="I962" s="60"/>
      <c r="J962" s="60"/>
      <c r="K962" s="70"/>
      <c r="L962" s="92"/>
      <c r="M962" s="92"/>
      <c r="N962" s="92"/>
      <c r="O962" s="92"/>
      <c r="P962" s="92"/>
      <c r="Q962" s="92"/>
      <c r="R962" s="93"/>
    </row>
    <row r="963" spans="1:18" s="32" customFormat="1" ht="17.5" customHeight="1">
      <c r="A963" s="91"/>
      <c r="B963" s="58" t="s">
        <v>652</v>
      </c>
      <c r="C963" s="58"/>
      <c r="D963" s="59">
        <f>D962</f>
        <v>4</v>
      </c>
      <c r="E963" s="60">
        <f>E962</f>
        <v>4.83</v>
      </c>
      <c r="F963" s="60"/>
      <c r="G963" s="60"/>
      <c r="H963" s="60">
        <f>D963*E963</f>
        <v>19.32</v>
      </c>
      <c r="I963" s="60"/>
      <c r="J963" s="60"/>
      <c r="K963" s="70" t="s">
        <v>82</v>
      </c>
      <c r="L963" s="92"/>
      <c r="M963" s="92"/>
      <c r="N963" s="92"/>
      <c r="O963" s="92"/>
      <c r="P963" s="92"/>
      <c r="Q963" s="92"/>
      <c r="R963" s="93"/>
    </row>
    <row r="964" spans="1:18" s="32" customFormat="1" ht="17.5" customHeight="1">
      <c r="A964" s="91"/>
      <c r="B964" s="91" t="str">
        <f>B903</f>
        <v>W3 (6' 5" x 5' 0")</v>
      </c>
      <c r="C964" s="58"/>
      <c r="D964" s="59">
        <f>D903</f>
        <v>10</v>
      </c>
      <c r="E964" s="60">
        <f>E903</f>
        <v>6.92</v>
      </c>
      <c r="F964" s="60">
        <f>F903</f>
        <v>0.38</v>
      </c>
      <c r="G964" s="60">
        <f>G903</f>
        <v>0.38</v>
      </c>
      <c r="H964" s="60"/>
      <c r="I964" s="60"/>
      <c r="J964" s="60"/>
      <c r="K964" s="70"/>
      <c r="L964" s="92"/>
      <c r="M964" s="92"/>
      <c r="N964" s="92"/>
      <c r="O964" s="92"/>
      <c r="P964" s="92"/>
      <c r="Q964" s="92"/>
      <c r="R964" s="93"/>
    </row>
    <row r="965" spans="1:18" s="32" customFormat="1" ht="17.5" customHeight="1">
      <c r="A965" s="91"/>
      <c r="B965" s="58" t="s">
        <v>652</v>
      </c>
      <c r="C965" s="58"/>
      <c r="D965" s="59">
        <f>D964</f>
        <v>10</v>
      </c>
      <c r="E965" s="60">
        <f>E964</f>
        <v>6.92</v>
      </c>
      <c r="F965" s="60"/>
      <c r="G965" s="60"/>
      <c r="H965" s="60">
        <f>D965*E965</f>
        <v>69.2</v>
      </c>
      <c r="I965" s="60"/>
      <c r="J965" s="60"/>
      <c r="K965" s="70" t="s">
        <v>82</v>
      </c>
      <c r="L965" s="92"/>
      <c r="M965" s="92"/>
      <c r="N965" s="92"/>
      <c r="O965" s="92"/>
      <c r="P965" s="92"/>
      <c r="Q965" s="92"/>
      <c r="R965" s="93"/>
    </row>
    <row r="966" spans="1:18" s="32" customFormat="1" ht="17.5" customHeight="1">
      <c r="A966" s="91"/>
      <c r="B966" s="91" t="str">
        <f>B904</f>
        <v>W4 (4' 4" x 2' 4")</v>
      </c>
      <c r="C966" s="58"/>
      <c r="D966" s="59">
        <f>D904</f>
        <v>4</v>
      </c>
      <c r="E966" s="60">
        <f>E904</f>
        <v>4.83</v>
      </c>
      <c r="F966" s="60">
        <f>F904</f>
        <v>0.38</v>
      </c>
      <c r="G966" s="60">
        <f>G904</f>
        <v>0.38</v>
      </c>
      <c r="H966" s="60"/>
      <c r="I966" s="60"/>
      <c r="J966" s="60"/>
      <c r="K966" s="70"/>
      <c r="L966" s="92"/>
      <c r="M966" s="92"/>
      <c r="N966" s="92"/>
      <c r="O966" s="92"/>
      <c r="P966" s="92"/>
      <c r="Q966" s="92"/>
      <c r="R966" s="93"/>
    </row>
    <row r="967" spans="1:18" s="32" customFormat="1" ht="17.5" customHeight="1">
      <c r="A967" s="91"/>
      <c r="B967" s="58" t="s">
        <v>652</v>
      </c>
      <c r="C967" s="58"/>
      <c r="D967" s="59">
        <f>D966</f>
        <v>4</v>
      </c>
      <c r="E967" s="60">
        <f>E966</f>
        <v>4.83</v>
      </c>
      <c r="F967" s="60"/>
      <c r="G967" s="60"/>
      <c r="H967" s="60">
        <f>D967*E967</f>
        <v>19.32</v>
      </c>
      <c r="I967" s="60"/>
      <c r="J967" s="60"/>
      <c r="K967" s="70" t="s">
        <v>82</v>
      </c>
      <c r="L967" s="92"/>
      <c r="M967" s="92"/>
      <c r="N967" s="92"/>
      <c r="O967" s="92"/>
      <c r="P967" s="92"/>
      <c r="Q967" s="92"/>
      <c r="R967" s="93"/>
    </row>
    <row r="968" spans="1:18" s="32" customFormat="1" ht="17.5" customHeight="1">
      <c r="A968" s="91"/>
      <c r="B968" s="91" t="str">
        <f>B905</f>
        <v>P1 (2' 4" x 2' 0")</v>
      </c>
      <c r="C968" s="58"/>
      <c r="D968" s="59">
        <f>D905</f>
        <v>6</v>
      </c>
      <c r="E968" s="60">
        <f>E905</f>
        <v>2.83</v>
      </c>
      <c r="F968" s="60">
        <f>F905</f>
        <v>0.38</v>
      </c>
      <c r="G968" s="60">
        <f>G905</f>
        <v>0.38</v>
      </c>
      <c r="H968" s="60"/>
      <c r="I968" s="60"/>
      <c r="J968" s="60"/>
      <c r="K968" s="70"/>
      <c r="L968" s="92"/>
      <c r="M968" s="92"/>
      <c r="N968" s="92"/>
      <c r="O968" s="92"/>
      <c r="P968" s="92"/>
      <c r="Q968" s="92"/>
      <c r="R968" s="93"/>
    </row>
    <row r="969" spans="1:18" s="32" customFormat="1" ht="17.5" customHeight="1">
      <c r="A969" s="91"/>
      <c r="B969" s="58" t="s">
        <v>652</v>
      </c>
      <c r="C969" s="58"/>
      <c r="D969" s="59">
        <f>D968</f>
        <v>6</v>
      </c>
      <c r="E969" s="60">
        <f>E968</f>
        <v>2.83</v>
      </c>
      <c r="F969" s="60"/>
      <c r="G969" s="60"/>
      <c r="H969" s="60">
        <f>D969*E969</f>
        <v>16.98</v>
      </c>
      <c r="I969" s="60"/>
      <c r="J969" s="60"/>
      <c r="K969" s="70" t="s">
        <v>82</v>
      </c>
      <c r="L969" s="92"/>
      <c r="M969" s="92"/>
      <c r="N969" s="92"/>
      <c r="O969" s="92"/>
      <c r="P969" s="92"/>
      <c r="Q969" s="92"/>
      <c r="R969" s="93"/>
    </row>
    <row r="970" spans="1:18" s="32" customFormat="1" ht="17.5" customHeight="1">
      <c r="A970" s="91"/>
      <c r="B970" s="91" t="str">
        <f>B906</f>
        <v>P2 (4' 4" x 5' 0")</v>
      </c>
      <c r="C970" s="58"/>
      <c r="D970" s="59">
        <f>D906</f>
        <v>2</v>
      </c>
      <c r="E970" s="60">
        <f>E906</f>
        <v>4.83</v>
      </c>
      <c r="F970" s="60">
        <f>F906</f>
        <v>0.38</v>
      </c>
      <c r="G970" s="60">
        <f>G906</f>
        <v>0.38</v>
      </c>
      <c r="H970" s="60"/>
      <c r="I970" s="60"/>
      <c r="J970" s="60"/>
      <c r="K970" s="70"/>
      <c r="L970" s="92"/>
      <c r="M970" s="92"/>
      <c r="N970" s="92"/>
      <c r="O970" s="92"/>
      <c r="P970" s="92"/>
      <c r="Q970" s="92"/>
      <c r="R970" s="93"/>
    </row>
    <row r="971" spans="1:18" s="32" customFormat="1" ht="17.5" customHeight="1">
      <c r="A971" s="91"/>
      <c r="B971" s="58" t="s">
        <v>652</v>
      </c>
      <c r="C971" s="58"/>
      <c r="D971" s="59">
        <f>D970</f>
        <v>2</v>
      </c>
      <c r="E971" s="60">
        <f>E970</f>
        <v>4.83</v>
      </c>
      <c r="F971" s="60"/>
      <c r="G971" s="60"/>
      <c r="H971" s="60">
        <f>D971*E971</f>
        <v>9.66</v>
      </c>
      <c r="I971" s="60"/>
      <c r="J971" s="60"/>
      <c r="K971" s="70" t="s">
        <v>82</v>
      </c>
      <c r="L971" s="92"/>
      <c r="M971" s="92"/>
      <c r="N971" s="92"/>
      <c r="O971" s="92"/>
      <c r="P971" s="92"/>
      <c r="Q971" s="92"/>
      <c r="R971" s="93"/>
    </row>
    <row r="972" spans="1:18" s="32" customFormat="1" ht="17.5" customHeight="1">
      <c r="A972" s="91"/>
      <c r="B972" s="58"/>
      <c r="C972" s="58"/>
      <c r="D972" s="59"/>
      <c r="E972" s="60"/>
      <c r="F972" s="60"/>
      <c r="G972" s="60"/>
      <c r="H972" s="60"/>
      <c r="I972" s="60"/>
      <c r="J972" s="60"/>
      <c r="K972" s="70"/>
      <c r="L972" s="92"/>
      <c r="M972" s="92"/>
      <c r="N972" s="92"/>
      <c r="O972" s="92"/>
      <c r="P972" s="92"/>
      <c r="Q972" s="92"/>
      <c r="R972" s="93"/>
    </row>
    <row r="973" spans="1:18" s="32" customFormat="1" ht="17.5" customHeight="1">
      <c r="A973" s="91"/>
      <c r="B973" s="94" t="str">
        <f>B908</f>
        <v xml:space="preserve"> Lintel @ Internal Wall</v>
      </c>
      <c r="C973" s="94"/>
      <c r="D973" s="59"/>
      <c r="E973" s="60"/>
      <c r="F973" s="60"/>
      <c r="G973" s="60"/>
      <c r="H973" s="60"/>
      <c r="I973" s="60"/>
      <c r="J973" s="60"/>
      <c r="K973" s="70"/>
      <c r="L973" s="92"/>
      <c r="M973" s="92"/>
      <c r="N973" s="92"/>
      <c r="O973" s="92"/>
      <c r="P973" s="92"/>
      <c r="Q973" s="92"/>
      <c r="R973" s="93"/>
    </row>
    <row r="974" spans="1:18" s="32" customFormat="1" ht="17.5" customHeight="1">
      <c r="A974" s="91"/>
      <c r="B974" s="58" t="str">
        <f>B909</f>
        <v>Ground Floor Lintel</v>
      </c>
      <c r="C974" s="58"/>
      <c r="D974" s="59">
        <f>D909</f>
        <v>1</v>
      </c>
      <c r="E974" s="60">
        <f>E909</f>
        <v>123</v>
      </c>
      <c r="F974" s="60">
        <f>F909</f>
        <v>0.38</v>
      </c>
      <c r="G974" s="60">
        <f>G909</f>
        <v>0.38</v>
      </c>
      <c r="H974" s="60"/>
      <c r="I974" s="60"/>
      <c r="J974" s="60"/>
      <c r="K974" s="70"/>
      <c r="L974" s="92"/>
      <c r="M974" s="92"/>
      <c r="N974" s="92"/>
      <c r="O974" s="92"/>
      <c r="P974" s="92"/>
      <c r="Q974" s="92"/>
      <c r="R974" s="93"/>
    </row>
    <row r="975" spans="1:18" s="32" customFormat="1" ht="17.5" customHeight="1">
      <c r="A975" s="91"/>
      <c r="B975" s="58" t="s">
        <v>242</v>
      </c>
      <c r="C975" s="58"/>
      <c r="D975" s="59">
        <f>D974*2</f>
        <v>2</v>
      </c>
      <c r="E975" s="60">
        <f>E974</f>
        <v>123</v>
      </c>
      <c r="F975" s="60"/>
      <c r="G975" s="60"/>
      <c r="H975" s="60">
        <f>D975*E975</f>
        <v>246</v>
      </c>
      <c r="I975" s="60"/>
      <c r="J975" s="60"/>
      <c r="K975" s="70"/>
      <c r="L975" s="92"/>
      <c r="M975" s="92"/>
      <c r="N975" s="92"/>
      <c r="O975" s="92"/>
      <c r="P975" s="92"/>
      <c r="Q975" s="92"/>
      <c r="R975" s="93"/>
    </row>
    <row r="976" spans="1:18" s="32" customFormat="1" ht="17.5" customHeight="1">
      <c r="A976" s="91"/>
      <c r="B976" s="58" t="s">
        <v>129</v>
      </c>
      <c r="C976" s="58"/>
      <c r="D976" s="59">
        <f>D974*ROUND(E974/0.5,0)</f>
        <v>246</v>
      </c>
      <c r="E976" s="60">
        <f>(F974-0.17)*2+(G974-0.17)*1+24*6.5/1000*3.281</f>
        <v>1.1399999999999999</v>
      </c>
      <c r="F976" s="60"/>
      <c r="G976" s="60"/>
      <c r="H976" s="60"/>
      <c r="I976" s="60">
        <f>D976*E976</f>
        <v>280.44</v>
      </c>
      <c r="J976" s="60"/>
      <c r="K976" s="70"/>
      <c r="L976" s="92"/>
      <c r="M976" s="92"/>
      <c r="N976" s="92"/>
      <c r="O976" s="92"/>
      <c r="P976" s="92"/>
      <c r="Q976" s="92"/>
      <c r="R976" s="93"/>
    </row>
    <row r="977" spans="1:18" s="32" customFormat="1" ht="17.5" customHeight="1">
      <c r="A977" s="91"/>
      <c r="B977" s="58"/>
      <c r="C977" s="58"/>
      <c r="D977" s="59"/>
      <c r="E977" s="60"/>
      <c r="F977" s="60"/>
      <c r="G977" s="60"/>
      <c r="H977" s="60"/>
      <c r="I977" s="60"/>
      <c r="J977" s="60"/>
      <c r="K977" s="70"/>
      <c r="L977" s="92"/>
      <c r="M977" s="92"/>
      <c r="N977" s="92"/>
      <c r="O977" s="92"/>
      <c r="P977" s="92"/>
      <c r="Q977" s="92"/>
      <c r="R977" s="93"/>
    </row>
    <row r="978" spans="1:18" s="32" customFormat="1" ht="17.5" customHeight="1">
      <c r="A978" s="91"/>
      <c r="B978" s="58" t="str">
        <f>B910</f>
        <v>Ground Floor Sill</v>
      </c>
      <c r="C978" s="58"/>
      <c r="D978" s="59">
        <f>D910</f>
        <v>1</v>
      </c>
      <c r="E978" s="60">
        <f>E910</f>
        <v>108</v>
      </c>
      <c r="F978" s="60">
        <f>F910</f>
        <v>0.38</v>
      </c>
      <c r="G978" s="60">
        <f>G910</f>
        <v>0.38</v>
      </c>
      <c r="H978" s="60"/>
      <c r="I978" s="60"/>
      <c r="J978" s="60"/>
      <c r="K978" s="70"/>
      <c r="L978" s="92"/>
      <c r="M978" s="92"/>
      <c r="N978" s="92"/>
      <c r="O978" s="92"/>
      <c r="P978" s="92"/>
      <c r="Q978" s="92"/>
      <c r="R978" s="93"/>
    </row>
    <row r="979" spans="1:18" s="32" customFormat="1" ht="17.5" customHeight="1">
      <c r="A979" s="91"/>
      <c r="B979" s="58" t="s">
        <v>242</v>
      </c>
      <c r="C979" s="58"/>
      <c r="D979" s="59">
        <f>D978*2</f>
        <v>2</v>
      </c>
      <c r="E979" s="60">
        <f>E978</f>
        <v>108</v>
      </c>
      <c r="F979" s="60"/>
      <c r="G979" s="60"/>
      <c r="H979" s="60">
        <f>D979*E979</f>
        <v>216</v>
      </c>
      <c r="I979" s="60"/>
      <c r="J979" s="60"/>
      <c r="K979" s="70"/>
      <c r="L979" s="92"/>
      <c r="M979" s="92"/>
      <c r="N979" s="92"/>
      <c r="O979" s="92"/>
      <c r="P979" s="92"/>
      <c r="Q979" s="92"/>
      <c r="R979" s="93"/>
    </row>
    <row r="980" spans="1:18" s="32" customFormat="1" ht="17.5" customHeight="1">
      <c r="A980" s="91"/>
      <c r="B980" s="58" t="s">
        <v>129</v>
      </c>
      <c r="C980" s="58"/>
      <c r="D980" s="59">
        <f>D978*ROUND(E978/0.5,0)</f>
        <v>216</v>
      </c>
      <c r="E980" s="60">
        <f>(F978-0.17)*2+(G978-0.17)*1+24*6.5/1000*3.281</f>
        <v>1.1399999999999999</v>
      </c>
      <c r="F980" s="60"/>
      <c r="G980" s="60"/>
      <c r="H980" s="60"/>
      <c r="I980" s="60">
        <f>D980*E980</f>
        <v>246.24</v>
      </c>
      <c r="J980" s="60"/>
      <c r="K980" s="70"/>
      <c r="L980" s="92"/>
      <c r="M980" s="92"/>
      <c r="N980" s="92"/>
      <c r="O980" s="92"/>
      <c r="P980" s="92"/>
      <c r="Q980" s="92"/>
      <c r="R980" s="93"/>
    </row>
    <row r="981" spans="1:18" s="32" customFormat="1" ht="17.5" customHeight="1">
      <c r="A981" s="91"/>
      <c r="B981" s="58"/>
      <c r="C981" s="58"/>
      <c r="D981" s="59"/>
      <c r="E981" s="60"/>
      <c r="F981" s="60"/>
      <c r="G981" s="60"/>
      <c r="H981" s="60"/>
      <c r="I981" s="60"/>
      <c r="J981" s="60"/>
      <c r="K981" s="70"/>
      <c r="L981" s="92"/>
      <c r="M981" s="92"/>
      <c r="N981" s="92"/>
      <c r="O981" s="92"/>
      <c r="P981" s="92"/>
      <c r="Q981" s="92"/>
      <c r="R981" s="93"/>
    </row>
    <row r="982" spans="1:18" s="32" customFormat="1" ht="17.5" customHeight="1">
      <c r="A982" s="91"/>
      <c r="B982" s="58" t="str">
        <f>B911</f>
        <v>Ground Floor Stiffener</v>
      </c>
      <c r="C982" s="58"/>
      <c r="D982" s="59">
        <f>D911</f>
        <v>6</v>
      </c>
      <c r="E982" s="60">
        <f>E911</f>
        <v>0.38</v>
      </c>
      <c r="F982" s="60">
        <f>F911</f>
        <v>0.38</v>
      </c>
      <c r="G982" s="60">
        <f>G911</f>
        <v>12</v>
      </c>
      <c r="H982" s="60"/>
      <c r="I982" s="60"/>
      <c r="J982" s="60"/>
      <c r="K982" s="70"/>
      <c r="L982" s="92"/>
      <c r="M982" s="92"/>
      <c r="N982" s="92"/>
      <c r="O982" s="92"/>
      <c r="P982" s="92"/>
      <c r="Q982" s="92"/>
      <c r="R982" s="93"/>
    </row>
    <row r="983" spans="1:18" s="32" customFormat="1" ht="17.5" customHeight="1">
      <c r="A983" s="91"/>
      <c r="B983" s="58" t="s">
        <v>588</v>
      </c>
      <c r="C983" s="58"/>
      <c r="D983" s="59">
        <f>D982*4</f>
        <v>24</v>
      </c>
      <c r="E983" s="60">
        <f>G982</f>
        <v>12</v>
      </c>
      <c r="F983" s="60"/>
      <c r="G983" s="60"/>
      <c r="H983" s="60">
        <f>D983*E983</f>
        <v>288</v>
      </c>
      <c r="I983" s="60"/>
      <c r="J983" s="60"/>
      <c r="K983" s="70"/>
      <c r="L983" s="92"/>
      <c r="M983" s="92"/>
      <c r="N983" s="92"/>
      <c r="O983" s="92"/>
      <c r="P983" s="92"/>
      <c r="Q983" s="92"/>
      <c r="R983" s="93"/>
    </row>
    <row r="984" spans="1:18" s="32" customFormat="1" ht="17.5" customHeight="1">
      <c r="A984" s="91"/>
      <c r="B984" s="58" t="s">
        <v>129</v>
      </c>
      <c r="C984" s="58"/>
      <c r="D984" s="59">
        <f>D982*ROUND(G982/0.5,0)</f>
        <v>144</v>
      </c>
      <c r="E984" s="60">
        <f>ROUND((E982-0.25)*2+(F982-0.25)*2+24*6.5/1000*3.281,2)</f>
        <v>1.03</v>
      </c>
      <c r="F984" s="60"/>
      <c r="G984" s="60"/>
      <c r="H984" s="60"/>
      <c r="I984" s="60">
        <f>D984*E984</f>
        <v>148.32</v>
      </c>
      <c r="J984" s="60"/>
      <c r="K984" s="70"/>
      <c r="L984" s="92"/>
      <c r="M984" s="92"/>
      <c r="N984" s="92"/>
      <c r="O984" s="92"/>
      <c r="P984" s="92"/>
      <c r="Q984" s="92"/>
      <c r="R984" s="93"/>
    </row>
    <row r="985" spans="1:18" s="32" customFormat="1" ht="17.5" customHeight="1">
      <c r="A985" s="91"/>
      <c r="B985" s="58"/>
      <c r="C985" s="58"/>
      <c r="D985" s="59"/>
      <c r="E985" s="60"/>
      <c r="F985" s="60"/>
      <c r="G985" s="60"/>
      <c r="H985" s="60"/>
      <c r="I985" s="60"/>
      <c r="J985" s="60"/>
      <c r="K985" s="70"/>
      <c r="L985" s="92"/>
      <c r="M985" s="92"/>
      <c r="N985" s="92"/>
      <c r="O985" s="92"/>
      <c r="P985" s="92"/>
      <c r="Q985" s="92"/>
      <c r="R985" s="93"/>
    </row>
    <row r="986" spans="1:18" s="32" customFormat="1" ht="17.5" customHeight="1">
      <c r="A986" s="91"/>
      <c r="B986" s="58" t="str">
        <f>B912</f>
        <v>First Floor Lintel</v>
      </c>
      <c r="C986" s="58"/>
      <c r="D986" s="59">
        <f>D912</f>
        <v>1</v>
      </c>
      <c r="E986" s="60">
        <f>E912</f>
        <v>94.4</v>
      </c>
      <c r="F986" s="60">
        <f>F912</f>
        <v>0.38</v>
      </c>
      <c r="G986" s="60">
        <f>G912</f>
        <v>0.38</v>
      </c>
      <c r="H986" s="60"/>
      <c r="I986" s="60"/>
      <c r="J986" s="60"/>
      <c r="K986" s="70"/>
      <c r="L986" s="92"/>
      <c r="M986" s="92"/>
      <c r="N986" s="92"/>
      <c r="O986" s="92"/>
      <c r="P986" s="92"/>
      <c r="Q986" s="92"/>
      <c r="R986" s="93"/>
    </row>
    <row r="987" spans="1:18" s="32" customFormat="1" ht="17.5" customHeight="1">
      <c r="A987" s="91"/>
      <c r="B987" s="58" t="s">
        <v>242</v>
      </c>
      <c r="C987" s="58"/>
      <c r="D987" s="59">
        <f>D986*2</f>
        <v>2</v>
      </c>
      <c r="E987" s="60">
        <f>E986</f>
        <v>94.4</v>
      </c>
      <c r="F987" s="60"/>
      <c r="G987" s="60"/>
      <c r="H987" s="60">
        <f>D987*E987</f>
        <v>188.8</v>
      </c>
      <c r="I987" s="60"/>
      <c r="J987" s="60"/>
      <c r="K987" s="70"/>
      <c r="L987" s="92"/>
      <c r="M987" s="92"/>
      <c r="N987" s="92"/>
      <c r="O987" s="92"/>
      <c r="P987" s="92"/>
      <c r="Q987" s="92"/>
      <c r="R987" s="93"/>
    </row>
    <row r="988" spans="1:18" s="32" customFormat="1" ht="17.5" customHeight="1">
      <c r="A988" s="91"/>
      <c r="B988" s="58" t="s">
        <v>129</v>
      </c>
      <c r="C988" s="58"/>
      <c r="D988" s="59">
        <f>D986*ROUND(E986/0.5,0)</f>
        <v>189</v>
      </c>
      <c r="E988" s="60">
        <f>(F986-0.17)*2+(G986-0.17)*1+24*6.5/1000*3.281</f>
        <v>1.1399999999999999</v>
      </c>
      <c r="F988" s="60"/>
      <c r="G988" s="60"/>
      <c r="H988" s="60"/>
      <c r="I988" s="60">
        <f>D988*E988</f>
        <v>215.46</v>
      </c>
      <c r="J988" s="60"/>
      <c r="K988" s="70"/>
      <c r="L988" s="92"/>
      <c r="M988" s="92"/>
      <c r="N988" s="92"/>
      <c r="O988" s="92"/>
      <c r="P988" s="92"/>
      <c r="Q988" s="92"/>
      <c r="R988" s="93"/>
    </row>
    <row r="989" spans="1:18" s="32" customFormat="1" ht="17.5" customHeight="1">
      <c r="A989" s="91"/>
      <c r="B989" s="58"/>
      <c r="C989" s="58"/>
      <c r="D989" s="59"/>
      <c r="E989" s="60"/>
      <c r="F989" s="60"/>
      <c r="G989" s="60"/>
      <c r="H989" s="60"/>
      <c r="I989" s="60"/>
      <c r="J989" s="60"/>
      <c r="K989" s="70"/>
      <c r="L989" s="92"/>
      <c r="M989" s="92"/>
      <c r="N989" s="92"/>
      <c r="O989" s="92"/>
      <c r="P989" s="92"/>
      <c r="Q989" s="92"/>
      <c r="R989" s="93"/>
    </row>
    <row r="990" spans="1:18" s="32" customFormat="1" ht="17.5" customHeight="1">
      <c r="A990" s="91"/>
      <c r="B990" s="58" t="str">
        <f>B913</f>
        <v>First Floor Sill</v>
      </c>
      <c r="C990" s="58"/>
      <c r="D990" s="59">
        <f>D913</f>
        <v>1</v>
      </c>
      <c r="E990" s="60">
        <f>E913</f>
        <v>79.150000000000006</v>
      </c>
      <c r="F990" s="60">
        <f>F913</f>
        <v>0.38</v>
      </c>
      <c r="G990" s="60">
        <f>G913</f>
        <v>0.38</v>
      </c>
      <c r="H990" s="60"/>
      <c r="I990" s="60"/>
      <c r="J990" s="60"/>
      <c r="K990" s="70"/>
      <c r="L990" s="92"/>
      <c r="M990" s="92"/>
      <c r="N990" s="92"/>
      <c r="O990" s="92"/>
      <c r="P990" s="92"/>
      <c r="Q990" s="92"/>
      <c r="R990" s="93"/>
    </row>
    <row r="991" spans="1:18" s="32" customFormat="1" ht="17.5" customHeight="1">
      <c r="A991" s="91"/>
      <c r="B991" s="58" t="s">
        <v>242</v>
      </c>
      <c r="C991" s="58"/>
      <c r="D991" s="59">
        <f>D990*2</f>
        <v>2</v>
      </c>
      <c r="E991" s="60">
        <f>E990</f>
        <v>79.150000000000006</v>
      </c>
      <c r="F991" s="60"/>
      <c r="G991" s="60"/>
      <c r="H991" s="60">
        <f>D991*E991</f>
        <v>158.30000000000001</v>
      </c>
      <c r="I991" s="60"/>
      <c r="J991" s="60"/>
      <c r="K991" s="70"/>
      <c r="L991" s="92"/>
      <c r="M991" s="92"/>
      <c r="N991" s="92"/>
      <c r="O991" s="92"/>
      <c r="P991" s="92"/>
      <c r="Q991" s="92"/>
      <c r="R991" s="93"/>
    </row>
    <row r="992" spans="1:18" s="32" customFormat="1" ht="17.5" customHeight="1">
      <c r="A992" s="91"/>
      <c r="B992" s="58" t="s">
        <v>129</v>
      </c>
      <c r="C992" s="58"/>
      <c r="D992" s="59">
        <f>D990*ROUND(E990/0.5,0)</f>
        <v>158</v>
      </c>
      <c r="E992" s="60">
        <f>(F990-0.17)*2+(G990-0.17)*1+24*6.5/1000*3.281</f>
        <v>1.1399999999999999</v>
      </c>
      <c r="F992" s="60"/>
      <c r="G992" s="60"/>
      <c r="H992" s="60"/>
      <c r="I992" s="60">
        <f>D992*E992</f>
        <v>180.12</v>
      </c>
      <c r="J992" s="60"/>
      <c r="K992" s="70"/>
      <c r="L992" s="92"/>
      <c r="M992" s="92"/>
      <c r="N992" s="92"/>
      <c r="O992" s="92"/>
      <c r="P992" s="92"/>
      <c r="Q992" s="92"/>
      <c r="R992" s="93"/>
    </row>
    <row r="993" spans="1:256" s="32" customFormat="1" ht="17.5" customHeight="1">
      <c r="A993" s="91"/>
      <c r="B993" s="58"/>
      <c r="C993" s="58"/>
      <c r="D993" s="59"/>
      <c r="E993" s="60"/>
      <c r="F993" s="60"/>
      <c r="G993" s="60"/>
      <c r="H993" s="60"/>
      <c r="I993" s="60"/>
      <c r="J993" s="60"/>
      <c r="K993" s="70"/>
      <c r="L993" s="92"/>
      <c r="M993" s="92"/>
      <c r="N993" s="92"/>
      <c r="O993" s="92"/>
      <c r="P993" s="92"/>
      <c r="Q993" s="92"/>
      <c r="R993" s="93"/>
    </row>
    <row r="994" spans="1:256" s="32" customFormat="1" ht="17.5" customHeight="1">
      <c r="A994" s="91"/>
      <c r="B994" s="58" t="str">
        <f>B914</f>
        <v>First Floor Stiffener</v>
      </c>
      <c r="C994" s="58"/>
      <c r="D994" s="59">
        <f>D914</f>
        <v>7</v>
      </c>
      <c r="E994" s="60">
        <f>E914</f>
        <v>0.38</v>
      </c>
      <c r="F994" s="60">
        <f>F914</f>
        <v>0.38</v>
      </c>
      <c r="G994" s="60">
        <f>G914</f>
        <v>11</v>
      </c>
      <c r="H994" s="60"/>
      <c r="I994" s="60"/>
      <c r="J994" s="60"/>
      <c r="K994" s="70"/>
      <c r="L994" s="92"/>
      <c r="M994" s="92"/>
      <c r="N994" s="92"/>
      <c r="O994" s="92"/>
      <c r="P994" s="92"/>
      <c r="Q994" s="92"/>
      <c r="R994" s="93"/>
    </row>
    <row r="995" spans="1:256" s="32" customFormat="1" ht="17.5" customHeight="1">
      <c r="A995" s="91"/>
      <c r="B995" s="58" t="s">
        <v>588</v>
      </c>
      <c r="C995" s="58"/>
      <c r="D995" s="59">
        <f>D994*4</f>
        <v>28</v>
      </c>
      <c r="E995" s="60">
        <f>G994</f>
        <v>11</v>
      </c>
      <c r="F995" s="60"/>
      <c r="G995" s="60"/>
      <c r="H995" s="60">
        <f>D995*E995</f>
        <v>308</v>
      </c>
      <c r="I995" s="60"/>
      <c r="J995" s="60"/>
      <c r="K995" s="70"/>
      <c r="L995" s="92"/>
      <c r="M995" s="92"/>
      <c r="N995" s="92"/>
      <c r="O995" s="92"/>
      <c r="P995" s="92"/>
      <c r="Q995" s="92"/>
      <c r="R995" s="93"/>
    </row>
    <row r="996" spans="1:256" s="32" customFormat="1" ht="17.5" customHeight="1">
      <c r="A996" s="91"/>
      <c r="B996" s="58" t="s">
        <v>129</v>
      </c>
      <c r="C996" s="58"/>
      <c r="D996" s="59">
        <f>D994*ROUND(G994/0.5,0)</f>
        <v>154</v>
      </c>
      <c r="E996" s="60">
        <f>ROUND((E994-0.25)*2+(F994-0.25)*2+24*6.5/1000*3.281,2)</f>
        <v>1.03</v>
      </c>
      <c r="F996" s="60"/>
      <c r="G996" s="60"/>
      <c r="H996" s="60"/>
      <c r="I996" s="60">
        <f>D996*E996</f>
        <v>158.62</v>
      </c>
      <c r="J996" s="60"/>
      <c r="K996" s="70"/>
      <c r="L996" s="92"/>
      <c r="M996" s="92"/>
      <c r="N996" s="92"/>
      <c r="O996" s="92"/>
      <c r="P996" s="92"/>
      <c r="Q996" s="92"/>
      <c r="R996" s="93"/>
    </row>
    <row r="997" spans="1:256" s="32" customFormat="1" ht="17.5" customHeight="1">
      <c r="A997" s="91"/>
      <c r="B997" s="58"/>
      <c r="C997" s="58"/>
      <c r="D997" s="59"/>
      <c r="E997" s="60"/>
      <c r="F997" s="60"/>
      <c r="G997" s="60"/>
      <c r="H997" s="60"/>
      <c r="I997" s="60"/>
      <c r="J997" s="60"/>
      <c r="K997" s="70"/>
      <c r="L997" s="92"/>
      <c r="M997" s="92"/>
      <c r="N997" s="92"/>
      <c r="O997" s="92"/>
      <c r="P997" s="92"/>
      <c r="Q997" s="92"/>
      <c r="R997" s="93"/>
    </row>
    <row r="998" spans="1:256" s="32" customFormat="1" ht="17.5" customHeight="1">
      <c r="A998" s="91"/>
      <c r="B998" s="58"/>
      <c r="C998" s="58"/>
      <c r="D998" s="59"/>
      <c r="E998" s="60"/>
      <c r="F998" s="60"/>
      <c r="G998" s="60"/>
      <c r="H998" s="60">
        <f>SUM(H944:H997)</f>
        <v>2460.34</v>
      </c>
      <c r="I998" s="60">
        <f>SUM(I944:I997)</f>
        <v>2218.7199999999998</v>
      </c>
      <c r="J998" s="60" t="s">
        <v>82</v>
      </c>
      <c r="K998" s="70"/>
      <c r="L998" s="92"/>
      <c r="M998" s="92"/>
      <c r="N998" s="92"/>
      <c r="O998" s="92"/>
      <c r="P998" s="92"/>
      <c r="Q998" s="92"/>
      <c r="R998" s="93"/>
    </row>
    <row r="999" spans="1:256" s="32" customFormat="1" ht="17.5" customHeight="1">
      <c r="A999" s="91"/>
      <c r="B999" s="58"/>
      <c r="C999" s="58"/>
      <c r="D999" s="59"/>
      <c r="E999" s="60"/>
      <c r="F999" s="60"/>
      <c r="G999" s="60"/>
      <c r="H999" s="60" t="str">
        <f>H941</f>
        <v>10mm Ø</v>
      </c>
      <c r="I999" s="60" t="str">
        <f>I941</f>
        <v>6.5mmØ</v>
      </c>
      <c r="J999" s="60" t="s">
        <v>81</v>
      </c>
      <c r="K999" s="70"/>
      <c r="L999" s="92"/>
      <c r="M999" s="92"/>
      <c r="N999" s="92"/>
      <c r="O999" s="92"/>
      <c r="P999" s="92"/>
      <c r="Q999" s="92"/>
      <c r="R999" s="93"/>
    </row>
    <row r="1000" spans="1:256" s="32" customFormat="1" ht="17.5" customHeight="1">
      <c r="A1000" s="91"/>
      <c r="B1000" s="58"/>
      <c r="C1000" s="58"/>
      <c r="D1000" s="59"/>
      <c r="E1000" s="60"/>
      <c r="F1000" s="60"/>
      <c r="G1000" s="60"/>
      <c r="H1000" s="60">
        <f>H998/39.5/135</f>
        <v>0.46</v>
      </c>
      <c r="I1000" s="60">
        <f>I998*0.167/2240</f>
        <v>0.17</v>
      </c>
      <c r="J1000" s="60" t="s">
        <v>14</v>
      </c>
      <c r="K1000" s="70"/>
      <c r="L1000" s="92"/>
      <c r="M1000" s="92"/>
      <c r="N1000" s="92"/>
      <c r="O1000" s="92"/>
      <c r="P1000" s="92"/>
      <c r="Q1000" s="92"/>
      <c r="R1000" s="93"/>
    </row>
    <row r="1001" spans="1:256" s="32" customFormat="1" ht="17.5" customHeight="1">
      <c r="A1001" s="91"/>
      <c r="B1001" s="58"/>
      <c r="C1001" s="58"/>
      <c r="D1001" s="59"/>
      <c r="E1001" s="60"/>
      <c r="F1001" s="60"/>
      <c r="G1001" s="60"/>
      <c r="H1001" s="60"/>
      <c r="I1001" s="60"/>
      <c r="J1001" s="60"/>
      <c r="K1001" s="70"/>
      <c r="L1001" s="92"/>
      <c r="M1001" s="92"/>
      <c r="N1001" s="92"/>
      <c r="O1001" s="92"/>
      <c r="P1001" s="92"/>
      <c r="Q1001" s="92"/>
      <c r="R1001" s="93"/>
    </row>
    <row r="1002" spans="1:256" s="32" customFormat="1" ht="17.5" customHeight="1">
      <c r="A1002" s="91">
        <v>14</v>
      </c>
      <c r="B1002" s="94" t="s">
        <v>713</v>
      </c>
      <c r="C1002" s="58"/>
      <c r="D1002" s="59"/>
      <c r="E1002" s="60"/>
      <c r="F1002" s="60"/>
      <c r="G1002" s="60"/>
      <c r="H1002" s="60"/>
      <c r="I1002" s="60"/>
      <c r="J1002" s="60"/>
      <c r="K1002" s="70"/>
      <c r="L1002" s="92"/>
      <c r="M1002" s="92"/>
      <c r="N1002" s="92"/>
      <c r="O1002" s="92"/>
      <c r="P1002" s="92"/>
      <c r="Q1002" s="92"/>
      <c r="R1002" s="93"/>
    </row>
    <row r="1003" spans="1:256" s="32" customFormat="1" ht="17.5" customHeight="1">
      <c r="A1003" s="91"/>
      <c r="B1003" s="94" t="s">
        <v>714</v>
      </c>
      <c r="C1003" s="58"/>
      <c r="D1003" s="59"/>
      <c r="E1003" s="60"/>
      <c r="F1003" s="60"/>
      <c r="G1003" s="60"/>
      <c r="H1003" s="60"/>
      <c r="I1003" s="60"/>
      <c r="J1003" s="60"/>
      <c r="K1003" s="70"/>
      <c r="L1003" s="92"/>
      <c r="M1003" s="92"/>
      <c r="N1003" s="92"/>
      <c r="O1003" s="92"/>
      <c r="P1003" s="92"/>
      <c r="Q1003" s="92"/>
      <c r="R1003" s="93"/>
    </row>
    <row r="1004" spans="1:256" s="32" customFormat="1" ht="17.5" customHeight="1">
      <c r="A1004" s="91"/>
      <c r="B1004" s="58" t="s">
        <v>554</v>
      </c>
      <c r="C1004" s="58"/>
      <c r="D1004" s="59">
        <v>1</v>
      </c>
      <c r="E1004" s="60">
        <f>(3.5+1.5+0.5)+(7.17+0.5)*2</f>
        <v>20.84</v>
      </c>
      <c r="F1004" s="60"/>
      <c r="G1004" s="60"/>
      <c r="H1004" s="60"/>
      <c r="I1004" s="60">
        <f>D1004*E1004</f>
        <v>20.84</v>
      </c>
      <c r="J1004" s="60"/>
      <c r="K1004" s="70" t="s">
        <v>82</v>
      </c>
      <c r="L1004" s="92"/>
      <c r="M1004" s="92"/>
      <c r="N1004" s="92"/>
      <c r="O1004" s="92"/>
      <c r="P1004" s="92"/>
      <c r="Q1004" s="92"/>
      <c r="R1004" s="93"/>
      <c r="IV1004" s="32">
        <f>SUM(A1004:IU1004)</f>
        <v>42.68</v>
      </c>
    </row>
    <row r="1005" spans="1:256" s="32" customFormat="1" ht="17.5" customHeight="1">
      <c r="A1005" s="91"/>
      <c r="B1005" s="58"/>
      <c r="C1005" s="58"/>
      <c r="D1005" s="59"/>
      <c r="E1005" s="60"/>
      <c r="F1005" s="60"/>
      <c r="G1005" s="60"/>
      <c r="H1005" s="60"/>
      <c r="I1005" s="60"/>
      <c r="J1005" s="60">
        <f>SUM(I1004:I1005)</f>
        <v>20.84</v>
      </c>
      <c r="K1005" s="70" t="s">
        <v>82</v>
      </c>
      <c r="L1005" s="92"/>
      <c r="M1005" s="92"/>
      <c r="N1005" s="92"/>
      <c r="O1005" s="92"/>
      <c r="P1005" s="92"/>
      <c r="Q1005" s="92"/>
      <c r="R1005" s="93"/>
    </row>
    <row r="1006" spans="1:256" s="32" customFormat="1" ht="17.5" customHeight="1">
      <c r="A1006" s="91"/>
      <c r="B1006" s="94" t="s">
        <v>695</v>
      </c>
      <c r="C1006" s="58"/>
      <c r="D1006" s="59"/>
      <c r="E1006" s="60"/>
      <c r="F1006" s="60"/>
      <c r="G1006" s="60"/>
      <c r="H1006" s="60"/>
      <c r="I1006" s="60"/>
      <c r="J1006" s="60"/>
      <c r="K1006" s="70"/>
      <c r="L1006" s="92"/>
      <c r="M1006" s="92"/>
      <c r="N1006" s="92"/>
      <c r="O1006" s="92"/>
      <c r="P1006" s="92"/>
      <c r="Q1006" s="92"/>
      <c r="R1006" s="93"/>
    </row>
    <row r="1007" spans="1:256" s="32" customFormat="1" ht="17.5" customHeight="1">
      <c r="A1007" s="91"/>
      <c r="B1007" s="58" t="s">
        <v>555</v>
      </c>
      <c r="C1007" s="58"/>
      <c r="D1007" s="59">
        <v>8</v>
      </c>
      <c r="E1007" s="60">
        <f>(3.25+0.5)+(7.17+0.5)*2</f>
        <v>19.09</v>
      </c>
      <c r="F1007" s="60"/>
      <c r="G1007" s="60"/>
      <c r="H1007" s="60"/>
      <c r="I1007" s="60">
        <f>D1007*E1007</f>
        <v>152.72</v>
      </c>
      <c r="J1007" s="60"/>
      <c r="K1007" s="70" t="s">
        <v>82</v>
      </c>
      <c r="L1007" s="92"/>
      <c r="M1007" s="92"/>
      <c r="N1007" s="92"/>
      <c r="O1007" s="92"/>
      <c r="P1007" s="92"/>
      <c r="Q1007" s="92"/>
      <c r="R1007" s="93"/>
    </row>
    <row r="1008" spans="1:256" s="32" customFormat="1" ht="17.5" customHeight="1">
      <c r="A1008" s="91"/>
      <c r="B1008" s="58" t="s">
        <v>637</v>
      </c>
      <c r="C1008" s="58"/>
      <c r="D1008" s="59">
        <v>4</v>
      </c>
      <c r="E1008" s="60">
        <f>(2.75+0.5)+(7.17+0.5)*2</f>
        <v>18.59</v>
      </c>
      <c r="F1008" s="60"/>
      <c r="G1008" s="60"/>
      <c r="H1008" s="60"/>
      <c r="I1008" s="60">
        <f>D1008*E1008</f>
        <v>74.36</v>
      </c>
      <c r="J1008" s="60"/>
      <c r="K1008" s="70" t="s">
        <v>82</v>
      </c>
      <c r="L1008" s="92"/>
      <c r="M1008" s="92"/>
      <c r="N1008" s="92"/>
      <c r="O1008" s="92"/>
      <c r="P1008" s="92"/>
      <c r="Q1008" s="92"/>
      <c r="R1008" s="93"/>
    </row>
    <row r="1009" spans="1:18" s="32" customFormat="1" ht="17.5" customHeight="1">
      <c r="A1009" s="91"/>
      <c r="B1009" s="58"/>
      <c r="C1009" s="58"/>
      <c r="D1009" s="59"/>
      <c r="E1009" s="60"/>
      <c r="F1009" s="60"/>
      <c r="G1009" s="60"/>
      <c r="H1009" s="60"/>
      <c r="I1009" s="60"/>
      <c r="J1009" s="60">
        <f>SUM(I1007:I1009)</f>
        <v>227.08</v>
      </c>
      <c r="K1009" s="70" t="s">
        <v>82</v>
      </c>
      <c r="L1009" s="92"/>
      <c r="M1009" s="92"/>
      <c r="N1009" s="92"/>
      <c r="O1009" s="92"/>
      <c r="P1009" s="92"/>
      <c r="Q1009" s="92"/>
      <c r="R1009" s="93"/>
    </row>
    <row r="1010" spans="1:18" s="32" customFormat="1" ht="17.5" customHeight="1">
      <c r="A1010" s="91"/>
      <c r="B1010" s="58"/>
      <c r="C1010" s="58"/>
      <c r="D1010" s="59"/>
      <c r="E1010" s="60"/>
      <c r="F1010" s="60"/>
      <c r="G1010" s="60"/>
      <c r="H1010" s="60"/>
      <c r="I1010" s="60"/>
      <c r="J1010" s="60"/>
      <c r="K1010" s="70"/>
      <c r="L1010" s="92"/>
      <c r="M1010" s="92"/>
      <c r="N1010" s="92"/>
      <c r="O1010" s="92"/>
      <c r="P1010" s="92"/>
      <c r="Q1010" s="92"/>
      <c r="R1010" s="93"/>
    </row>
    <row r="1011" spans="1:18" s="32" customFormat="1" ht="17.5" customHeight="1">
      <c r="A1011" s="91"/>
      <c r="B1011" s="58" t="s">
        <v>87</v>
      </c>
      <c r="C1011" s="58"/>
      <c r="D1011" s="59"/>
      <c r="E1011" s="60">
        <f>D1004*(5.33+7.17*2)+D1007*(3.25+7.17*2)+D1008*(2.75+7.17*2)</f>
        <v>228.75</v>
      </c>
      <c r="F1011" s="60" t="s">
        <v>82</v>
      </c>
      <c r="G1011" s="60"/>
      <c r="H1011" s="60"/>
      <c r="I1011" s="60">
        <f>E1011</f>
        <v>228.75</v>
      </c>
      <c r="J1011" s="60" t="str">
        <f>F1011</f>
        <v>Ft</v>
      </c>
      <c r="K1011" s="70"/>
      <c r="L1011" s="92"/>
      <c r="M1011" s="92"/>
      <c r="N1011" s="92"/>
      <c r="O1011" s="92"/>
      <c r="P1011" s="92"/>
      <c r="Q1011" s="92"/>
      <c r="R1011" s="93"/>
    </row>
    <row r="1012" spans="1:18" s="32" customFormat="1" ht="17.5" customHeight="1">
      <c r="A1012" s="91"/>
      <c r="B1012" s="58" t="s">
        <v>88</v>
      </c>
      <c r="C1012" s="58"/>
      <c r="D1012" s="59">
        <v>1</v>
      </c>
      <c r="E1012" s="60">
        <f>E1011</f>
        <v>228.75</v>
      </c>
      <c r="F1012" s="60">
        <f>5/12</f>
        <v>0.42</v>
      </c>
      <c r="G1012" s="60"/>
      <c r="H1012" s="60"/>
      <c r="I1012" s="60">
        <f>D1012*E1012*F1012</f>
        <v>96.08</v>
      </c>
      <c r="J1012" s="60">
        <f>I1012/100</f>
        <v>0.96</v>
      </c>
      <c r="K1012" s="70" t="s">
        <v>12</v>
      </c>
      <c r="L1012" s="92"/>
      <c r="M1012" s="92"/>
      <c r="N1012" s="92"/>
      <c r="O1012" s="92"/>
      <c r="P1012" s="92"/>
      <c r="Q1012" s="92"/>
      <c r="R1012" s="93"/>
    </row>
    <row r="1013" spans="1:18" s="32" customFormat="1" ht="17.5" customHeight="1">
      <c r="A1013" s="91"/>
      <c r="B1013" s="58" t="s">
        <v>640</v>
      </c>
      <c r="C1013" s="58"/>
      <c r="D1013" s="59">
        <f>D1004*8+D1007*8+D1008*8</f>
        <v>104</v>
      </c>
      <c r="E1013" s="60" t="s">
        <v>2</v>
      </c>
      <c r="F1013" s="60"/>
      <c r="G1013" s="60"/>
      <c r="H1013" s="60"/>
      <c r="I1013" s="60"/>
      <c r="J1013" s="60"/>
      <c r="K1013" s="70"/>
      <c r="L1013" s="92"/>
      <c r="M1013" s="92"/>
      <c r="N1013" s="92"/>
      <c r="O1013" s="92"/>
      <c r="P1013" s="92"/>
      <c r="Q1013" s="92"/>
      <c r="R1013" s="93"/>
    </row>
    <row r="1014" spans="1:18" s="32" customFormat="1" ht="17.5" customHeight="1">
      <c r="A1014" s="91"/>
      <c r="B1014" s="58"/>
      <c r="C1014" s="58"/>
      <c r="D1014" s="59"/>
      <c r="E1014" s="60"/>
      <c r="F1014" s="60"/>
      <c r="G1014" s="60"/>
      <c r="H1014" s="60"/>
      <c r="I1014" s="60"/>
      <c r="J1014" s="60"/>
      <c r="K1014" s="70"/>
      <c r="L1014" s="92"/>
      <c r="M1014" s="92"/>
      <c r="N1014" s="92"/>
      <c r="O1014" s="92"/>
      <c r="P1014" s="92"/>
      <c r="Q1014" s="92"/>
      <c r="R1014" s="93"/>
    </row>
    <row r="1015" spans="1:18" s="32" customFormat="1" ht="17.5" customHeight="1">
      <c r="A1015" s="91"/>
      <c r="B1015" s="58"/>
      <c r="C1015" s="58"/>
      <c r="D1015" s="59"/>
      <c r="E1015" s="60"/>
      <c r="F1015" s="60"/>
      <c r="G1015" s="60"/>
      <c r="H1015" s="60"/>
      <c r="I1015" s="60"/>
      <c r="J1015" s="60"/>
      <c r="K1015" s="70"/>
      <c r="L1015" s="92"/>
      <c r="M1015" s="92"/>
      <c r="N1015" s="92"/>
      <c r="O1015" s="92"/>
      <c r="P1015" s="92"/>
      <c r="Q1015" s="92"/>
      <c r="R1015" s="93"/>
    </row>
    <row r="1016" spans="1:18" s="66" customFormat="1" ht="18.649999999999999" customHeight="1">
      <c r="A1016" s="67">
        <v>15</v>
      </c>
      <c r="B1016" s="76" t="s">
        <v>138</v>
      </c>
      <c r="C1016" s="76"/>
      <c r="D1016" s="68"/>
      <c r="E1016" s="69"/>
      <c r="F1016" s="69"/>
      <c r="G1016" s="69"/>
      <c r="H1016" s="69"/>
      <c r="I1016" s="69"/>
      <c r="J1016" s="69"/>
      <c r="K1016" s="70"/>
      <c r="L1016" s="64"/>
      <c r="M1016" s="64"/>
      <c r="N1016" s="64"/>
      <c r="O1016" s="64"/>
      <c r="P1016" s="65"/>
      <c r="Q1016" s="65"/>
    </row>
    <row r="1017" spans="1:18" s="66" customFormat="1" ht="18.649999999999999" customHeight="1">
      <c r="A1017" s="67"/>
      <c r="B1017" s="76" t="s">
        <v>74</v>
      </c>
      <c r="C1017" s="76"/>
      <c r="D1017" s="68">
        <v>2</v>
      </c>
      <c r="E1017" s="69">
        <f>I844+I822</f>
        <v>2822.65</v>
      </c>
      <c r="F1017" s="69" t="s">
        <v>21</v>
      </c>
      <c r="G1017" s="69"/>
      <c r="H1017" s="69"/>
      <c r="I1017" s="69">
        <f>D1017*E1017</f>
        <v>5645.3</v>
      </c>
      <c r="J1017" s="69"/>
      <c r="K1017" s="70" t="s">
        <v>21</v>
      </c>
      <c r="L1017" s="64"/>
      <c r="M1017" s="64"/>
      <c r="N1017" s="64"/>
      <c r="O1017" s="64"/>
      <c r="P1017" s="65"/>
      <c r="Q1017" s="65"/>
    </row>
    <row r="1018" spans="1:18" s="66" customFormat="1" ht="18.649999999999999" customHeight="1">
      <c r="A1018" s="67"/>
      <c r="B1018" s="76" t="s">
        <v>130</v>
      </c>
      <c r="C1018" s="76"/>
      <c r="D1018" s="68"/>
      <c r="E1018" s="69"/>
      <c r="F1018" s="69"/>
      <c r="G1018" s="69"/>
      <c r="H1018" s="69"/>
      <c r="I1018" s="69"/>
      <c r="J1018" s="69"/>
      <c r="K1018" s="70"/>
      <c r="L1018" s="64"/>
      <c r="M1018" s="64"/>
      <c r="N1018" s="64"/>
      <c r="O1018" s="64"/>
      <c r="P1018" s="65"/>
      <c r="Q1018" s="65"/>
    </row>
    <row r="1019" spans="1:18" s="66" customFormat="1" ht="18.649999999999999" customHeight="1">
      <c r="A1019" s="67"/>
      <c r="B1019" s="76" t="s">
        <v>589</v>
      </c>
      <c r="C1019" s="76"/>
      <c r="D1019" s="68"/>
      <c r="E1019" s="69"/>
      <c r="F1019" s="69"/>
      <c r="G1019" s="69"/>
      <c r="H1019" s="69"/>
      <c r="I1019" s="69"/>
      <c r="J1019" s="69"/>
      <c r="K1019" s="70"/>
      <c r="L1019" s="64"/>
      <c r="M1019" s="64"/>
      <c r="N1019" s="64"/>
      <c r="O1019" s="64"/>
      <c r="P1019" s="65"/>
      <c r="Q1019" s="65"/>
    </row>
    <row r="1020" spans="1:18" s="66" customFormat="1" ht="18.649999999999999" customHeight="1">
      <c r="A1020" s="67"/>
      <c r="B1020" s="58" t="s">
        <v>554</v>
      </c>
      <c r="C1020" s="74"/>
      <c r="D1020" s="68">
        <f t="shared" ref="D1020:D1025" si="34">D813*2</f>
        <v>2</v>
      </c>
      <c r="E1020" s="69">
        <f t="shared" ref="E1020:E1025" si="35">E813</f>
        <v>5.33</v>
      </c>
      <c r="F1020" s="69"/>
      <c r="G1020" s="69">
        <f t="shared" ref="G1020:G1025" si="36">G813</f>
        <v>7.17</v>
      </c>
      <c r="H1020" s="69">
        <f t="shared" ref="H1020:H1025" si="37">D1020*E1020*G1020</f>
        <v>76.430000000000007</v>
      </c>
      <c r="I1020" s="69"/>
      <c r="J1020" s="69"/>
      <c r="K1020" s="70" t="s">
        <v>21</v>
      </c>
      <c r="L1020" s="64"/>
      <c r="M1020" s="64"/>
      <c r="N1020" s="64"/>
      <c r="O1020" s="64"/>
      <c r="P1020" s="65"/>
      <c r="Q1020" s="65"/>
    </row>
    <row r="1021" spans="1:18" s="66" customFormat="1" ht="18.649999999999999" customHeight="1">
      <c r="A1021" s="67"/>
      <c r="B1021" s="58" t="s">
        <v>555</v>
      </c>
      <c r="C1021" s="74"/>
      <c r="D1021" s="68">
        <f t="shared" si="34"/>
        <v>2</v>
      </c>
      <c r="E1021" s="69">
        <f t="shared" si="35"/>
        <v>3.25</v>
      </c>
      <c r="F1021" s="69"/>
      <c r="G1021" s="69">
        <f t="shared" si="36"/>
        <v>7.17</v>
      </c>
      <c r="H1021" s="69">
        <f t="shared" si="37"/>
        <v>46.61</v>
      </c>
      <c r="I1021" s="69"/>
      <c r="J1021" s="69"/>
      <c r="K1021" s="70" t="s">
        <v>21</v>
      </c>
      <c r="L1021" s="64"/>
      <c r="M1021" s="64"/>
      <c r="N1021" s="64"/>
      <c r="O1021" s="64"/>
      <c r="P1021" s="65"/>
      <c r="Q1021" s="65"/>
    </row>
    <row r="1022" spans="1:18" s="66" customFormat="1" ht="18.649999999999999" customHeight="1">
      <c r="A1022" s="67"/>
      <c r="B1022" s="58" t="s">
        <v>556</v>
      </c>
      <c r="C1022" s="74"/>
      <c r="D1022" s="68">
        <f t="shared" si="34"/>
        <v>8</v>
      </c>
      <c r="E1022" s="69">
        <f t="shared" si="35"/>
        <v>2.17</v>
      </c>
      <c r="F1022" s="69"/>
      <c r="G1022" s="69">
        <f t="shared" si="36"/>
        <v>5</v>
      </c>
      <c r="H1022" s="69">
        <f t="shared" si="37"/>
        <v>86.8</v>
      </c>
      <c r="I1022" s="69"/>
      <c r="J1022" s="69"/>
      <c r="K1022" s="70" t="s">
        <v>21</v>
      </c>
      <c r="L1022" s="64"/>
      <c r="M1022" s="64"/>
      <c r="N1022" s="64"/>
      <c r="O1022" s="64"/>
      <c r="P1022" s="65"/>
      <c r="Q1022" s="65"/>
    </row>
    <row r="1023" spans="1:18" s="66" customFormat="1" ht="18.649999999999999" customHeight="1">
      <c r="A1023" s="67"/>
      <c r="B1023" s="58" t="s">
        <v>557</v>
      </c>
      <c r="C1023" s="74"/>
      <c r="D1023" s="68">
        <f t="shared" si="34"/>
        <v>6</v>
      </c>
      <c r="E1023" s="69">
        <f t="shared" si="35"/>
        <v>6.42</v>
      </c>
      <c r="F1023" s="69"/>
      <c r="G1023" s="69">
        <f t="shared" si="36"/>
        <v>5</v>
      </c>
      <c r="H1023" s="69">
        <f t="shared" si="37"/>
        <v>192.6</v>
      </c>
      <c r="I1023" s="69"/>
      <c r="J1023" s="69"/>
      <c r="K1023" s="70" t="s">
        <v>21</v>
      </c>
      <c r="L1023" s="64"/>
      <c r="M1023" s="64"/>
      <c r="N1023" s="64"/>
      <c r="O1023" s="64"/>
      <c r="P1023" s="65"/>
      <c r="Q1023" s="65"/>
    </row>
    <row r="1024" spans="1:18" s="66" customFormat="1" ht="18.649999999999999" customHeight="1">
      <c r="A1024" s="67"/>
      <c r="B1024" s="58" t="s">
        <v>558</v>
      </c>
      <c r="C1024" s="74"/>
      <c r="D1024" s="68">
        <f t="shared" si="34"/>
        <v>4</v>
      </c>
      <c r="E1024" s="69">
        <f t="shared" si="35"/>
        <v>4.33</v>
      </c>
      <c r="F1024" s="69"/>
      <c r="G1024" s="69">
        <f t="shared" si="36"/>
        <v>2.33</v>
      </c>
      <c r="H1024" s="69">
        <f t="shared" si="37"/>
        <v>40.36</v>
      </c>
      <c r="I1024" s="69"/>
      <c r="J1024" s="69"/>
      <c r="K1024" s="70" t="s">
        <v>21</v>
      </c>
      <c r="L1024" s="64"/>
      <c r="M1024" s="64"/>
      <c r="N1024" s="64"/>
      <c r="O1024" s="64"/>
      <c r="P1024" s="65"/>
      <c r="Q1024" s="65"/>
    </row>
    <row r="1025" spans="1:17" s="66" customFormat="1" ht="18.649999999999999" customHeight="1">
      <c r="A1025" s="67"/>
      <c r="B1025" s="58" t="s">
        <v>560</v>
      </c>
      <c r="C1025" s="74"/>
      <c r="D1025" s="68">
        <f t="shared" si="34"/>
        <v>2</v>
      </c>
      <c r="E1025" s="69">
        <f t="shared" si="35"/>
        <v>2.33</v>
      </c>
      <c r="F1025" s="69"/>
      <c r="G1025" s="69">
        <f t="shared" si="36"/>
        <v>2</v>
      </c>
      <c r="H1025" s="69">
        <f t="shared" si="37"/>
        <v>9.32</v>
      </c>
      <c r="I1025" s="69"/>
      <c r="J1025" s="69"/>
      <c r="K1025" s="70" t="s">
        <v>21</v>
      </c>
      <c r="L1025" s="64"/>
      <c r="M1025" s="64"/>
      <c r="N1025" s="64"/>
      <c r="O1025" s="64"/>
      <c r="P1025" s="65"/>
      <c r="Q1025" s="65"/>
    </row>
    <row r="1026" spans="1:17" s="66" customFormat="1" ht="18.649999999999999" customHeight="1">
      <c r="A1026" s="67"/>
      <c r="B1026" s="76" t="s">
        <v>590</v>
      </c>
      <c r="C1026" s="76"/>
      <c r="D1026" s="68"/>
      <c r="E1026" s="69"/>
      <c r="F1026" s="69"/>
      <c r="G1026" s="69"/>
      <c r="H1026" s="69"/>
      <c r="I1026" s="69"/>
      <c r="J1026" s="69"/>
      <c r="K1026" s="70"/>
      <c r="L1026" s="64"/>
      <c r="M1026" s="64"/>
      <c r="N1026" s="64"/>
      <c r="O1026" s="64"/>
      <c r="P1026" s="65"/>
      <c r="Q1026" s="65"/>
    </row>
    <row r="1027" spans="1:17" s="66" customFormat="1" ht="18.649999999999999" customHeight="1">
      <c r="A1027" s="67"/>
      <c r="B1027" s="58" t="s">
        <v>555</v>
      </c>
      <c r="C1027" s="74"/>
      <c r="D1027" s="68">
        <f t="shared" ref="D1027:D1032" si="38">D835*2</f>
        <v>4</v>
      </c>
      <c r="E1027" s="69">
        <f t="shared" ref="E1027:E1032" si="39">E835</f>
        <v>3.25</v>
      </c>
      <c r="F1027" s="69"/>
      <c r="G1027" s="69">
        <f t="shared" ref="G1027:G1032" si="40">G835</f>
        <v>7.17</v>
      </c>
      <c r="H1027" s="69">
        <f t="shared" ref="H1027:H1032" si="41">D1027*E1027*G1027</f>
        <v>93.21</v>
      </c>
      <c r="I1027" s="69"/>
      <c r="J1027" s="69"/>
      <c r="K1027" s="70" t="s">
        <v>21</v>
      </c>
      <c r="L1027" s="64"/>
      <c r="M1027" s="64"/>
      <c r="N1027" s="64"/>
      <c r="O1027" s="64"/>
      <c r="P1027" s="65"/>
      <c r="Q1027" s="65"/>
    </row>
    <row r="1028" spans="1:17" s="66" customFormat="1" ht="18.649999999999999" customHeight="1">
      <c r="A1028" s="67"/>
      <c r="B1028" s="58" t="s">
        <v>556</v>
      </c>
      <c r="C1028" s="74"/>
      <c r="D1028" s="68">
        <f t="shared" si="38"/>
        <v>12</v>
      </c>
      <c r="E1028" s="69">
        <f t="shared" si="39"/>
        <v>2.17</v>
      </c>
      <c r="F1028" s="69"/>
      <c r="G1028" s="69">
        <f t="shared" si="40"/>
        <v>5</v>
      </c>
      <c r="H1028" s="69">
        <f t="shared" si="41"/>
        <v>130.19999999999999</v>
      </c>
      <c r="I1028" s="69"/>
      <c r="J1028" s="69"/>
      <c r="K1028" s="70" t="s">
        <v>21</v>
      </c>
      <c r="L1028" s="64"/>
      <c r="M1028" s="64"/>
      <c r="N1028" s="64"/>
      <c r="O1028" s="64"/>
      <c r="P1028" s="65"/>
      <c r="Q1028" s="65"/>
    </row>
    <row r="1029" spans="1:17" s="66" customFormat="1" ht="18.649999999999999" customHeight="1">
      <c r="A1029" s="67"/>
      <c r="B1029" s="58" t="s">
        <v>562</v>
      </c>
      <c r="C1029" s="74"/>
      <c r="D1029" s="68">
        <f t="shared" si="38"/>
        <v>4</v>
      </c>
      <c r="E1029" s="69">
        <f t="shared" si="39"/>
        <v>4.33</v>
      </c>
      <c r="F1029" s="69"/>
      <c r="G1029" s="69">
        <f t="shared" si="40"/>
        <v>5</v>
      </c>
      <c r="H1029" s="69">
        <f t="shared" si="41"/>
        <v>86.6</v>
      </c>
      <c r="I1029" s="69"/>
      <c r="J1029" s="69"/>
      <c r="K1029" s="70" t="s">
        <v>21</v>
      </c>
      <c r="L1029" s="64"/>
      <c r="M1029" s="64"/>
      <c r="N1029" s="64"/>
      <c r="O1029" s="64"/>
      <c r="P1029" s="65"/>
      <c r="Q1029" s="65"/>
    </row>
    <row r="1030" spans="1:17" s="66" customFormat="1" ht="18.649999999999999" customHeight="1">
      <c r="A1030" s="67"/>
      <c r="B1030" s="58" t="s">
        <v>559</v>
      </c>
      <c r="C1030" s="74"/>
      <c r="D1030" s="68">
        <f t="shared" si="38"/>
        <v>4</v>
      </c>
      <c r="E1030" s="69">
        <f t="shared" si="39"/>
        <v>2.17</v>
      </c>
      <c r="F1030" s="69"/>
      <c r="G1030" s="69">
        <f t="shared" si="40"/>
        <v>5</v>
      </c>
      <c r="H1030" s="69">
        <f t="shared" si="41"/>
        <v>43.4</v>
      </c>
      <c r="I1030" s="69"/>
      <c r="J1030" s="69"/>
      <c r="K1030" s="70" t="s">
        <v>21</v>
      </c>
      <c r="L1030" s="64"/>
      <c r="M1030" s="64"/>
      <c r="N1030" s="64"/>
      <c r="O1030" s="64"/>
      <c r="P1030" s="65"/>
      <c r="Q1030" s="65"/>
    </row>
    <row r="1031" spans="1:17" s="66" customFormat="1" ht="18.649999999999999" customHeight="1">
      <c r="A1031" s="67"/>
      <c r="B1031" s="58" t="s">
        <v>560</v>
      </c>
      <c r="C1031" s="74"/>
      <c r="D1031" s="68">
        <f t="shared" si="38"/>
        <v>4</v>
      </c>
      <c r="E1031" s="69">
        <f t="shared" si="39"/>
        <v>2.33</v>
      </c>
      <c r="F1031" s="69"/>
      <c r="G1031" s="69">
        <f t="shared" si="40"/>
        <v>2</v>
      </c>
      <c r="H1031" s="69">
        <f t="shared" si="41"/>
        <v>18.64</v>
      </c>
      <c r="I1031" s="69"/>
      <c r="J1031" s="69"/>
      <c r="K1031" s="70" t="s">
        <v>21</v>
      </c>
      <c r="L1031" s="64"/>
      <c r="M1031" s="64"/>
      <c r="N1031" s="64"/>
      <c r="O1031" s="64"/>
      <c r="P1031" s="65"/>
      <c r="Q1031" s="65"/>
    </row>
    <row r="1032" spans="1:17" s="66" customFormat="1" ht="18.649999999999999" customHeight="1">
      <c r="A1032" s="67"/>
      <c r="B1032" s="58" t="s">
        <v>561</v>
      </c>
      <c r="C1032" s="74"/>
      <c r="D1032" s="68">
        <f t="shared" si="38"/>
        <v>2</v>
      </c>
      <c r="E1032" s="69">
        <f t="shared" si="39"/>
        <v>4.33</v>
      </c>
      <c r="F1032" s="69"/>
      <c r="G1032" s="69">
        <f t="shared" si="40"/>
        <v>5</v>
      </c>
      <c r="H1032" s="69">
        <f t="shared" si="41"/>
        <v>43.3</v>
      </c>
      <c r="I1032" s="69"/>
      <c r="J1032" s="69"/>
      <c r="K1032" s="70" t="s">
        <v>21</v>
      </c>
      <c r="L1032" s="64"/>
      <c r="M1032" s="64"/>
      <c r="N1032" s="64"/>
      <c r="O1032" s="64"/>
      <c r="P1032" s="65"/>
      <c r="Q1032" s="65"/>
    </row>
    <row r="1033" spans="1:17" s="66" customFormat="1" ht="18.649999999999999" customHeight="1">
      <c r="A1033" s="67"/>
      <c r="B1033" s="58" t="s">
        <v>654</v>
      </c>
      <c r="C1033" s="74"/>
      <c r="D1033" s="68"/>
      <c r="E1033" s="69"/>
      <c r="F1033" s="69"/>
      <c r="G1033" s="69"/>
      <c r="H1033" s="69"/>
      <c r="I1033" s="69"/>
      <c r="J1033" s="69"/>
      <c r="K1033" s="70"/>
      <c r="L1033" s="64"/>
      <c r="M1033" s="64"/>
      <c r="N1033" s="64"/>
      <c r="O1033" s="64"/>
      <c r="P1033" s="65"/>
      <c r="Q1033" s="65"/>
    </row>
    <row r="1034" spans="1:17" s="66" customFormat="1" ht="18.649999999999999" customHeight="1">
      <c r="A1034" s="67"/>
      <c r="B1034" s="58" t="str">
        <f>B1028</f>
        <v>W1 (2' 2" x 5' 0")</v>
      </c>
      <c r="C1034" s="74"/>
      <c r="D1034" s="68">
        <f>D1028</f>
        <v>12</v>
      </c>
      <c r="E1034" s="69">
        <f>E1028*2+G1028*2</f>
        <v>14.34</v>
      </c>
      <c r="F1034" s="69">
        <f>0.75+0.25+0.375</f>
        <v>1.38</v>
      </c>
      <c r="G1034" s="69"/>
      <c r="H1034" s="69"/>
      <c r="I1034" s="69">
        <f>D1034*E1034*F1034</f>
        <v>237.47</v>
      </c>
      <c r="J1034" s="69"/>
      <c r="K1034" s="70" t="s">
        <v>21</v>
      </c>
      <c r="L1034" s="64"/>
      <c r="M1034" s="64"/>
      <c r="N1034" s="64"/>
      <c r="O1034" s="64"/>
      <c r="P1034" s="65"/>
      <c r="Q1034" s="65"/>
    </row>
    <row r="1035" spans="1:17" s="66" customFormat="1" ht="18.649999999999999" customHeight="1">
      <c r="A1035" s="67"/>
      <c r="B1035" s="58" t="str">
        <f>B1029</f>
        <v>W2 (4' 4" x 5' 0")</v>
      </c>
      <c r="C1035" s="74"/>
      <c r="D1035" s="68">
        <f>D1029</f>
        <v>4</v>
      </c>
      <c r="E1035" s="69">
        <f>E1029*2+G1029*2</f>
        <v>18.66</v>
      </c>
      <c r="F1035" s="69">
        <f>F1034</f>
        <v>1.38</v>
      </c>
      <c r="G1035" s="69"/>
      <c r="H1035" s="69"/>
      <c r="I1035" s="69">
        <f>D1035*E1035*F1035</f>
        <v>103</v>
      </c>
      <c r="J1035" s="69"/>
      <c r="K1035" s="70" t="s">
        <v>21</v>
      </c>
      <c r="L1035" s="64"/>
      <c r="M1035" s="64"/>
      <c r="N1035" s="64"/>
      <c r="O1035" s="64"/>
      <c r="P1035" s="65"/>
      <c r="Q1035" s="65"/>
    </row>
    <row r="1036" spans="1:17" s="66" customFormat="1" ht="18.649999999999999" customHeight="1">
      <c r="A1036" s="67"/>
      <c r="B1036" s="58" t="str">
        <f>B1030</f>
        <v>W3 (2' 2" x 5' 0")</v>
      </c>
      <c r="C1036" s="74"/>
      <c r="D1036" s="68">
        <f>D1030</f>
        <v>4</v>
      </c>
      <c r="E1036" s="69">
        <f>E1030*2+G1030*2</f>
        <v>14.34</v>
      </c>
      <c r="F1036" s="69">
        <f>F1035</f>
        <v>1.38</v>
      </c>
      <c r="G1036" s="69"/>
      <c r="H1036" s="69"/>
      <c r="I1036" s="69">
        <f>D1036*E1036*F1036</f>
        <v>79.16</v>
      </c>
      <c r="J1036" s="69"/>
      <c r="K1036" s="70" t="s">
        <v>21</v>
      </c>
      <c r="L1036" s="64"/>
      <c r="M1036" s="64"/>
      <c r="N1036" s="64"/>
      <c r="O1036" s="64"/>
      <c r="P1036" s="65"/>
      <c r="Q1036" s="65"/>
    </row>
    <row r="1037" spans="1:17" s="66" customFormat="1" ht="18.649999999999999" customHeight="1">
      <c r="A1037" s="67"/>
      <c r="B1037" s="58" t="str">
        <f>B1031</f>
        <v>P1 (2' 4" x 2' 0")</v>
      </c>
      <c r="C1037" s="74"/>
      <c r="D1037" s="68">
        <f>D1031</f>
        <v>4</v>
      </c>
      <c r="E1037" s="69">
        <f>E1031*2+G1031*2</f>
        <v>8.66</v>
      </c>
      <c r="F1037" s="69">
        <f>F1036</f>
        <v>1.38</v>
      </c>
      <c r="G1037" s="69"/>
      <c r="H1037" s="69"/>
      <c r="I1037" s="69">
        <f>D1037*E1037*F1037</f>
        <v>47.8</v>
      </c>
      <c r="J1037" s="69"/>
      <c r="K1037" s="70" t="s">
        <v>21</v>
      </c>
      <c r="L1037" s="64"/>
      <c r="M1037" s="64"/>
      <c r="N1037" s="64"/>
      <c r="O1037" s="64"/>
      <c r="P1037" s="65"/>
      <c r="Q1037" s="65"/>
    </row>
    <row r="1038" spans="1:17" s="66" customFormat="1" ht="18.649999999999999" customHeight="1">
      <c r="A1038" s="67"/>
      <c r="B1038" s="58" t="str">
        <f>B1032</f>
        <v>P2 (4' 4" x 5' 0")</v>
      </c>
      <c r="C1038" s="74"/>
      <c r="D1038" s="68">
        <f>D1032</f>
        <v>2</v>
      </c>
      <c r="E1038" s="69">
        <f>E1032*2+G1032*2</f>
        <v>18.66</v>
      </c>
      <c r="F1038" s="69">
        <f>F1037</f>
        <v>1.38</v>
      </c>
      <c r="G1038" s="69"/>
      <c r="H1038" s="69"/>
      <c r="I1038" s="69">
        <f>D1038*E1038*F1038</f>
        <v>51.5</v>
      </c>
      <c r="J1038" s="69"/>
      <c r="K1038" s="70" t="s">
        <v>21</v>
      </c>
      <c r="L1038" s="64"/>
      <c r="M1038" s="64"/>
      <c r="N1038" s="64"/>
      <c r="O1038" s="64"/>
      <c r="P1038" s="65"/>
      <c r="Q1038" s="65"/>
    </row>
    <row r="1039" spans="1:17" s="66" customFormat="1" ht="18.649999999999999" customHeight="1">
      <c r="A1039" s="67"/>
      <c r="B1039" s="58"/>
      <c r="C1039" s="74"/>
      <c r="D1039" s="68"/>
      <c r="E1039" s="69"/>
      <c r="F1039" s="69"/>
      <c r="G1039" s="69"/>
      <c r="H1039" s="69"/>
      <c r="I1039" s="69"/>
      <c r="J1039" s="69"/>
      <c r="K1039" s="70"/>
      <c r="L1039" s="64"/>
      <c r="M1039" s="64"/>
      <c r="N1039" s="64"/>
      <c r="O1039" s="64"/>
      <c r="P1039" s="65"/>
      <c r="Q1039" s="65"/>
    </row>
    <row r="1040" spans="1:17" s="66" customFormat="1" ht="18.649999999999999" customHeight="1">
      <c r="A1040" s="67"/>
      <c r="B1040" s="76" t="s">
        <v>75</v>
      </c>
      <c r="C1040" s="76"/>
      <c r="D1040" s="68">
        <v>2</v>
      </c>
      <c r="E1040" s="71">
        <f>I886+I868</f>
        <v>2374</v>
      </c>
      <c r="F1040" s="69" t="s">
        <v>21</v>
      </c>
      <c r="G1040" s="69"/>
      <c r="H1040" s="69"/>
      <c r="I1040" s="69">
        <f>D1040*E1040</f>
        <v>4748</v>
      </c>
      <c r="J1040" s="69"/>
      <c r="K1040" s="70" t="s">
        <v>21</v>
      </c>
      <c r="L1040" s="64"/>
      <c r="M1040" s="64"/>
      <c r="N1040" s="64"/>
      <c r="O1040" s="64"/>
      <c r="P1040" s="65"/>
      <c r="Q1040" s="65"/>
    </row>
    <row r="1041" spans="1:17" s="66" customFormat="1" ht="18.649999999999999" customHeight="1">
      <c r="A1041" s="67"/>
      <c r="B1041" s="76" t="s">
        <v>131</v>
      </c>
      <c r="C1041" s="76"/>
      <c r="D1041" s="68"/>
      <c r="E1041" s="71"/>
      <c r="F1041" s="69"/>
      <c r="G1041" s="69"/>
      <c r="H1041" s="69"/>
      <c r="I1041" s="69"/>
      <c r="J1041" s="69"/>
      <c r="K1041" s="70"/>
      <c r="L1041" s="64"/>
      <c r="M1041" s="64"/>
      <c r="N1041" s="64"/>
      <c r="O1041" s="64"/>
      <c r="P1041" s="65"/>
      <c r="Q1041" s="65"/>
    </row>
    <row r="1042" spans="1:17" s="66" customFormat="1" ht="18.649999999999999" customHeight="1">
      <c r="A1042" s="67"/>
      <c r="B1042" s="76" t="str">
        <f>B849</f>
        <v>Ground Floor</v>
      </c>
      <c r="C1042" s="76"/>
      <c r="D1042" s="68"/>
      <c r="E1042" s="71"/>
      <c r="F1042" s="69"/>
      <c r="G1042" s="69"/>
      <c r="H1042" s="69"/>
      <c r="I1042" s="69"/>
      <c r="J1042" s="69"/>
      <c r="K1042" s="70"/>
      <c r="L1042" s="64"/>
      <c r="M1042" s="64"/>
      <c r="N1042" s="64"/>
      <c r="O1042" s="64"/>
      <c r="P1042" s="65"/>
      <c r="Q1042" s="65"/>
    </row>
    <row r="1043" spans="1:17" s="66" customFormat="1" ht="18.649999999999999" customHeight="1">
      <c r="A1043" s="67"/>
      <c r="B1043" s="58" t="s">
        <v>573</v>
      </c>
      <c r="C1043" s="74"/>
      <c r="D1043" s="68">
        <f>D861*2</f>
        <v>4</v>
      </c>
      <c r="E1043" s="69">
        <f>E861</f>
        <v>3.25</v>
      </c>
      <c r="F1043" s="69"/>
      <c r="G1043" s="69">
        <f>G861</f>
        <v>7.17</v>
      </c>
      <c r="H1043" s="69">
        <f>D1043*E1043*G1043</f>
        <v>93.21</v>
      </c>
      <c r="I1043" s="69"/>
      <c r="J1043" s="69"/>
      <c r="K1043" s="70" t="s">
        <v>21</v>
      </c>
      <c r="L1043" s="64"/>
      <c r="M1043" s="64"/>
      <c r="N1043" s="64"/>
      <c r="O1043" s="64"/>
      <c r="P1043" s="65"/>
      <c r="Q1043" s="65"/>
    </row>
    <row r="1044" spans="1:17" s="66" customFormat="1" ht="18.649999999999999" customHeight="1">
      <c r="A1044" s="67"/>
      <c r="B1044" s="58" t="s">
        <v>574</v>
      </c>
      <c r="C1044" s="74"/>
      <c r="D1044" s="68">
        <f>D862*2</f>
        <v>4</v>
      </c>
      <c r="E1044" s="69">
        <f>E862</f>
        <v>2.75</v>
      </c>
      <c r="F1044" s="69"/>
      <c r="G1044" s="69">
        <f>G862</f>
        <v>7.17</v>
      </c>
      <c r="H1044" s="69">
        <f>D1044*E1044*G1044</f>
        <v>78.87</v>
      </c>
      <c r="I1044" s="69"/>
      <c r="J1044" s="69"/>
      <c r="K1044" s="70" t="s">
        <v>21</v>
      </c>
      <c r="L1044" s="64"/>
      <c r="M1044" s="64"/>
      <c r="N1044" s="64"/>
      <c r="O1044" s="64"/>
      <c r="P1044" s="65"/>
      <c r="Q1044" s="65"/>
    </row>
    <row r="1045" spans="1:17" s="66" customFormat="1" ht="18.649999999999999" customHeight="1">
      <c r="A1045" s="67"/>
      <c r="B1045" s="58" t="s">
        <v>575</v>
      </c>
      <c r="C1045" s="74"/>
      <c r="D1045" s="68">
        <f>D863*2</f>
        <v>2</v>
      </c>
      <c r="E1045" s="69">
        <f>E863</f>
        <v>3</v>
      </c>
      <c r="F1045" s="69"/>
      <c r="G1045" s="69">
        <f>G863</f>
        <v>7</v>
      </c>
      <c r="H1045" s="69">
        <f>D1045*E1045*G1045</f>
        <v>42</v>
      </c>
      <c r="I1045" s="69"/>
      <c r="J1045" s="69"/>
      <c r="K1045" s="70" t="s">
        <v>21</v>
      </c>
      <c r="L1045" s="64"/>
      <c r="M1045" s="64"/>
      <c r="N1045" s="64"/>
      <c r="O1045" s="64"/>
      <c r="P1045" s="65"/>
      <c r="Q1045" s="65"/>
    </row>
    <row r="1046" spans="1:17" s="66" customFormat="1" ht="18.649999999999999" customHeight="1">
      <c r="A1046" s="67"/>
      <c r="B1046" s="76" t="str">
        <f>B871</f>
        <v>First Floor Internal Wall</v>
      </c>
      <c r="C1046" s="76"/>
      <c r="D1046" s="68"/>
      <c r="E1046" s="69"/>
      <c r="F1046" s="69"/>
      <c r="G1046" s="69"/>
      <c r="H1046" s="69"/>
      <c r="I1046" s="69"/>
      <c r="J1046" s="69"/>
      <c r="K1046" s="70"/>
      <c r="L1046" s="64"/>
      <c r="M1046" s="64"/>
      <c r="N1046" s="64"/>
      <c r="O1046" s="64"/>
      <c r="P1046" s="65"/>
      <c r="Q1046" s="65"/>
    </row>
    <row r="1047" spans="1:17" s="66" customFormat="1" ht="18.649999999999999" customHeight="1">
      <c r="A1047" s="67"/>
      <c r="B1047" s="74" t="str">
        <f>B880</f>
        <v>D2 (7' 2" x3' 3")</v>
      </c>
      <c r="C1047" s="74"/>
      <c r="D1047" s="68">
        <f>D880*2</f>
        <v>6</v>
      </c>
      <c r="E1047" s="69">
        <f>E880</f>
        <v>3.25</v>
      </c>
      <c r="F1047" s="69"/>
      <c r="G1047" s="69">
        <f>G880</f>
        <v>7.17</v>
      </c>
      <c r="H1047" s="69">
        <f>D1047*E1047*G1047</f>
        <v>139.82</v>
      </c>
      <c r="I1047" s="69"/>
      <c r="J1047" s="69"/>
      <c r="K1047" s="70" t="s">
        <v>21</v>
      </c>
      <c r="L1047" s="64"/>
      <c r="M1047" s="64"/>
      <c r="N1047" s="64"/>
      <c r="O1047" s="64"/>
      <c r="P1047" s="65"/>
      <c r="Q1047" s="65"/>
    </row>
    <row r="1048" spans="1:17" s="66" customFormat="1" ht="18.649999999999999" customHeight="1">
      <c r="A1048" s="67"/>
      <c r="B1048" s="74" t="str">
        <f>B881</f>
        <v>D3 (7' 2" x 2' 9")</v>
      </c>
      <c r="C1048" s="74"/>
      <c r="D1048" s="68">
        <f>D881*2</f>
        <v>4</v>
      </c>
      <c r="E1048" s="69">
        <f>E881</f>
        <v>2.75</v>
      </c>
      <c r="F1048" s="69"/>
      <c r="G1048" s="69">
        <f>G881</f>
        <v>7.17</v>
      </c>
      <c r="H1048" s="69">
        <f>D1048*E1048*G1048</f>
        <v>78.87</v>
      </c>
      <c r="I1048" s="69"/>
      <c r="J1048" s="69"/>
      <c r="K1048" s="70" t="s">
        <v>21</v>
      </c>
      <c r="L1048" s="64"/>
      <c r="M1048" s="64"/>
      <c r="N1048" s="64"/>
      <c r="O1048" s="64"/>
      <c r="P1048" s="65"/>
      <c r="Q1048" s="65"/>
    </row>
    <row r="1049" spans="1:17" s="66" customFormat="1" ht="18.649999999999999" customHeight="1">
      <c r="A1049" s="67"/>
      <c r="B1049" s="74"/>
      <c r="C1049" s="74"/>
      <c r="D1049" s="68"/>
      <c r="E1049" s="69"/>
      <c r="F1049" s="69"/>
      <c r="G1049" s="69"/>
      <c r="H1049" s="69"/>
      <c r="I1049" s="69"/>
      <c r="J1049" s="69"/>
      <c r="K1049" s="70"/>
      <c r="L1049" s="64"/>
      <c r="M1049" s="64"/>
      <c r="N1049" s="64"/>
      <c r="O1049" s="64"/>
      <c r="P1049" s="65"/>
      <c r="Q1049" s="65"/>
    </row>
    <row r="1050" spans="1:17" s="66" customFormat="1" ht="18.649999999999999" customHeight="1">
      <c r="A1050" s="67"/>
      <c r="B1050" s="74" t="s">
        <v>77</v>
      </c>
      <c r="C1050" s="74"/>
      <c r="D1050" s="68">
        <v>1</v>
      </c>
      <c r="E1050" s="69">
        <f>28*2+39.5*2</f>
        <v>135</v>
      </c>
      <c r="F1050" s="69"/>
      <c r="G1050" s="69">
        <v>3</v>
      </c>
      <c r="H1050" s="69"/>
      <c r="I1050" s="69">
        <f>D1050*E1050*G1050</f>
        <v>405</v>
      </c>
      <c r="J1050" s="69"/>
      <c r="K1050" s="70" t="s">
        <v>21</v>
      </c>
      <c r="L1050" s="64"/>
      <c r="M1050" s="64"/>
      <c r="N1050" s="64"/>
      <c r="O1050" s="64"/>
      <c r="P1050" s="65"/>
      <c r="Q1050" s="65"/>
    </row>
    <row r="1051" spans="1:17" s="66" customFormat="1" ht="18.649999999999999" customHeight="1">
      <c r="A1051" s="67"/>
      <c r="B1051" s="74"/>
      <c r="C1051" s="74"/>
      <c r="D1051" s="68"/>
      <c r="E1051" s="69"/>
      <c r="F1051" s="69"/>
      <c r="G1051" s="69"/>
      <c r="H1051" s="69"/>
      <c r="I1051" s="69"/>
      <c r="J1051" s="69"/>
      <c r="K1051" s="70"/>
      <c r="L1051" s="64"/>
      <c r="M1051" s="64"/>
      <c r="N1051" s="64"/>
      <c r="O1051" s="64"/>
      <c r="P1051" s="65"/>
      <c r="Q1051" s="65"/>
    </row>
    <row r="1052" spans="1:17" s="66" customFormat="1" ht="18.649999999999999" customHeight="1">
      <c r="A1052" s="67"/>
      <c r="B1052" s="352" t="s">
        <v>132</v>
      </c>
      <c r="C1052" s="352"/>
      <c r="D1052" s="353"/>
      <c r="E1052" s="354"/>
      <c r="F1052" s="354"/>
      <c r="G1052" s="354"/>
      <c r="H1052" s="354"/>
      <c r="I1052" s="354"/>
      <c r="J1052" s="354"/>
      <c r="K1052" s="355"/>
      <c r="L1052" s="64"/>
      <c r="M1052" s="64"/>
      <c r="N1052" s="64"/>
      <c r="O1052" s="64"/>
      <c r="P1052" s="65"/>
      <c r="Q1052" s="65"/>
    </row>
    <row r="1053" spans="1:17" s="66" customFormat="1" ht="18.649999999999999" customHeight="1">
      <c r="A1053" s="67"/>
      <c r="B1053" s="356" t="s">
        <v>101</v>
      </c>
      <c r="C1053" s="356"/>
      <c r="D1053" s="353">
        <v>4</v>
      </c>
      <c r="E1053" s="354">
        <v>11</v>
      </c>
      <c r="F1053" s="354">
        <v>0.75</v>
      </c>
      <c r="G1053" s="354"/>
      <c r="H1053" s="354"/>
      <c r="I1053" s="354">
        <f>D1053*E1053*F1053</f>
        <v>33</v>
      </c>
      <c r="J1053" s="354"/>
      <c r="K1053" s="355" t="s">
        <v>21</v>
      </c>
      <c r="L1053" s="64"/>
      <c r="M1053" s="64">
        <f>9/12*3</f>
        <v>2.25</v>
      </c>
      <c r="N1053" s="64"/>
      <c r="O1053" s="64"/>
      <c r="P1053" s="65"/>
      <c r="Q1053" s="65"/>
    </row>
    <row r="1054" spans="1:17" s="66" customFormat="1" ht="18.649999999999999" customHeight="1">
      <c r="A1054" s="67"/>
      <c r="B1054" s="356" t="s">
        <v>102</v>
      </c>
      <c r="C1054" s="356"/>
      <c r="D1054" s="353">
        <f>D1053</f>
        <v>4</v>
      </c>
      <c r="E1054" s="354">
        <f>E1053</f>
        <v>11</v>
      </c>
      <c r="F1054" s="354"/>
      <c r="G1054" s="354">
        <v>0.5</v>
      </c>
      <c r="H1054" s="354"/>
      <c r="I1054" s="354">
        <f>D1054*E1054*G1054</f>
        <v>22</v>
      </c>
      <c r="J1054" s="354"/>
      <c r="K1054" s="355" t="s">
        <v>21</v>
      </c>
      <c r="L1054" s="64"/>
      <c r="M1054" s="64"/>
      <c r="N1054" s="64"/>
      <c r="O1054" s="64"/>
      <c r="P1054" s="65"/>
      <c r="Q1054" s="65"/>
    </row>
    <row r="1055" spans="1:17" s="66" customFormat="1" ht="18.649999999999999" customHeight="1">
      <c r="A1055" s="67"/>
      <c r="B1055" s="352" t="s">
        <v>653</v>
      </c>
      <c r="C1055" s="356"/>
      <c r="D1055" s="353"/>
      <c r="E1055" s="354"/>
      <c r="F1055" s="354"/>
      <c r="G1055" s="354"/>
      <c r="H1055" s="354"/>
      <c r="I1055" s="354"/>
      <c r="J1055" s="354"/>
      <c r="K1055" s="355"/>
      <c r="L1055" s="64"/>
      <c r="M1055" s="64"/>
      <c r="N1055" s="64"/>
      <c r="O1055" s="64"/>
      <c r="P1055" s="65"/>
      <c r="Q1055" s="65"/>
    </row>
    <row r="1056" spans="1:17" s="66" customFormat="1" ht="18.649999999999999" customHeight="1">
      <c r="A1056" s="67"/>
      <c r="B1056" s="356" t="s">
        <v>101</v>
      </c>
      <c r="C1056" s="356"/>
      <c r="D1056" s="353">
        <v>4</v>
      </c>
      <c r="E1056" s="354">
        <v>3</v>
      </c>
      <c r="F1056" s="354">
        <f>F1053</f>
        <v>0.75</v>
      </c>
      <c r="G1056" s="354"/>
      <c r="H1056" s="354"/>
      <c r="I1056" s="354">
        <f>D1056*E1056*F1056</f>
        <v>9</v>
      </c>
      <c r="J1056" s="354"/>
      <c r="K1056" s="355" t="s">
        <v>21</v>
      </c>
      <c r="L1056" s="64"/>
      <c r="M1056" s="64"/>
      <c r="N1056" s="64"/>
      <c r="O1056" s="64"/>
      <c r="P1056" s="65"/>
      <c r="Q1056" s="65"/>
    </row>
    <row r="1057" spans="1:17" s="66" customFormat="1" ht="18.649999999999999" customHeight="1">
      <c r="A1057" s="67"/>
      <c r="B1057" s="356" t="s">
        <v>102</v>
      </c>
      <c r="C1057" s="356"/>
      <c r="D1057" s="353">
        <v>4</v>
      </c>
      <c r="E1057" s="354">
        <f>E1056</f>
        <v>3</v>
      </c>
      <c r="F1057" s="354"/>
      <c r="G1057" s="354">
        <f>G1054</f>
        <v>0.5</v>
      </c>
      <c r="H1057" s="354"/>
      <c r="I1057" s="354">
        <f>D1057*E1057*G1057</f>
        <v>6</v>
      </c>
      <c r="J1057" s="354"/>
      <c r="K1057" s="355" t="s">
        <v>21</v>
      </c>
      <c r="L1057" s="64"/>
      <c r="M1057" s="64"/>
      <c r="N1057" s="64"/>
      <c r="O1057" s="64"/>
      <c r="P1057" s="65"/>
      <c r="Q1057" s="65"/>
    </row>
    <row r="1058" spans="1:17" s="66" customFormat="1" ht="18.649999999999999" customHeight="1">
      <c r="A1058" s="67"/>
      <c r="B1058" s="356"/>
      <c r="C1058" s="356"/>
      <c r="D1058" s="353"/>
      <c r="E1058" s="354"/>
      <c r="F1058" s="354"/>
      <c r="G1058" s="354"/>
      <c r="H1058" s="354"/>
      <c r="I1058" s="354"/>
      <c r="J1058" s="354"/>
      <c r="K1058" s="355"/>
      <c r="L1058" s="64"/>
      <c r="M1058" s="64"/>
      <c r="N1058" s="64"/>
      <c r="O1058" s="64"/>
      <c r="P1058" s="65"/>
      <c r="Q1058" s="65"/>
    </row>
    <row r="1059" spans="1:17" s="66" customFormat="1" ht="18.649999999999999" customHeight="1">
      <c r="A1059" s="67"/>
      <c r="B1059" s="356" t="s">
        <v>156</v>
      </c>
      <c r="C1059" s="356"/>
      <c r="D1059" s="353">
        <v>1</v>
      </c>
      <c r="E1059" s="354">
        <f>I162+I159+I158</f>
        <v>1279.68</v>
      </c>
      <c r="F1059" s="354" t="s">
        <v>21</v>
      </c>
      <c r="G1059" s="357">
        <v>0.5</v>
      </c>
      <c r="H1059" s="354"/>
      <c r="I1059" s="354">
        <f>D1059*E1059*G1059</f>
        <v>639.84</v>
      </c>
      <c r="J1059" s="354"/>
      <c r="K1059" s="355" t="s">
        <v>21</v>
      </c>
      <c r="L1059" s="64"/>
      <c r="M1059" s="64">
        <f>0.75*2+1*2</f>
        <v>3.5</v>
      </c>
      <c r="N1059" s="64">
        <f>M1059-2</f>
        <v>1.5</v>
      </c>
      <c r="O1059" s="64"/>
      <c r="P1059" s="65"/>
      <c r="Q1059" s="65"/>
    </row>
    <row r="1060" spans="1:17" s="66" customFormat="1" ht="18.649999999999999" customHeight="1">
      <c r="A1060" s="67"/>
      <c r="B1060" s="76"/>
      <c r="C1060" s="76"/>
      <c r="D1060" s="68"/>
      <c r="E1060" s="69"/>
      <c r="F1060" s="69"/>
      <c r="G1060" s="69"/>
      <c r="H1060" s="69">
        <f>SUM(H1017:H1059)</f>
        <v>1300.24</v>
      </c>
      <c r="I1060" s="71">
        <f>SUM(I1017:I1059)</f>
        <v>12027.1</v>
      </c>
      <c r="J1060" s="69"/>
      <c r="K1060" s="70" t="s">
        <v>21</v>
      </c>
      <c r="L1060" s="64"/>
      <c r="M1060" s="64"/>
      <c r="N1060" s="64"/>
      <c r="O1060" s="64"/>
      <c r="P1060" s="65"/>
      <c r="Q1060" s="65"/>
    </row>
    <row r="1061" spans="1:17" s="66" customFormat="1" ht="17.5" customHeight="1">
      <c r="A1061" s="67"/>
      <c r="B1061" s="58"/>
      <c r="C1061" s="58"/>
      <c r="D1061" s="68"/>
      <c r="E1061" s="69"/>
      <c r="F1061" s="69"/>
      <c r="G1061" s="69"/>
      <c r="H1061" s="69"/>
      <c r="I1061" s="288" t="s">
        <v>65</v>
      </c>
      <c r="J1061" s="69">
        <f>I1060-H1060</f>
        <v>10726.86</v>
      </c>
      <c r="K1061" s="70" t="s">
        <v>21</v>
      </c>
      <c r="L1061" s="64"/>
      <c r="M1061" s="64"/>
      <c r="N1061" s="64"/>
      <c r="O1061" s="64"/>
      <c r="P1061" s="65"/>
      <c r="Q1061" s="65"/>
    </row>
    <row r="1062" spans="1:17" s="66" customFormat="1" ht="17.5" customHeight="1">
      <c r="A1062" s="67"/>
      <c r="B1062" s="74"/>
      <c r="C1062" s="74"/>
      <c r="D1062" s="68"/>
      <c r="E1062" s="69"/>
      <c r="F1062" s="69"/>
      <c r="G1062" s="69"/>
      <c r="H1062" s="69"/>
      <c r="I1062" s="69"/>
      <c r="J1062" s="69">
        <f>J1061/100</f>
        <v>107.27</v>
      </c>
      <c r="K1062" s="70" t="s">
        <v>12</v>
      </c>
      <c r="L1062" s="64"/>
      <c r="M1062" s="64"/>
      <c r="N1062" s="64"/>
      <c r="O1062" s="64"/>
      <c r="P1062" s="65"/>
      <c r="Q1062" s="65"/>
    </row>
    <row r="1063" spans="1:17" s="66" customFormat="1" ht="17.5" customHeight="1">
      <c r="A1063" s="67"/>
      <c r="B1063" s="74"/>
      <c r="C1063" s="74"/>
      <c r="D1063" s="68"/>
      <c r="E1063" s="69"/>
      <c r="F1063" s="69"/>
      <c r="G1063" s="69"/>
      <c r="H1063" s="69"/>
      <c r="I1063" s="69"/>
      <c r="J1063" s="69"/>
      <c r="K1063" s="70"/>
      <c r="L1063" s="64"/>
      <c r="M1063" s="64"/>
      <c r="N1063" s="64"/>
      <c r="O1063" s="64"/>
      <c r="P1063" s="65"/>
      <c r="Q1063" s="65"/>
    </row>
    <row r="1064" spans="1:17" s="66" customFormat="1" ht="17.5" customHeight="1">
      <c r="A1064" s="67">
        <v>16</v>
      </c>
      <c r="B1064" s="76" t="s">
        <v>591</v>
      </c>
      <c r="C1064" s="74"/>
      <c r="D1064" s="68"/>
      <c r="E1064" s="69"/>
      <c r="F1064" s="69"/>
      <c r="G1064" s="69"/>
      <c r="H1064" s="69"/>
      <c r="I1064" s="69"/>
      <c r="J1064" s="69"/>
      <c r="K1064" s="70"/>
      <c r="L1064" s="64"/>
      <c r="M1064" s="64"/>
      <c r="N1064" s="64"/>
      <c r="O1064" s="64"/>
      <c r="P1064" s="65"/>
      <c r="Q1064" s="65"/>
    </row>
    <row r="1065" spans="1:17" s="66" customFormat="1" ht="17.5" customHeight="1">
      <c r="A1065" s="67"/>
      <c r="B1065" s="76" t="s">
        <v>599</v>
      </c>
      <c r="C1065" s="74"/>
      <c r="D1065" s="68"/>
      <c r="E1065" s="69"/>
      <c r="F1065" s="69"/>
      <c r="G1065" s="69"/>
      <c r="H1065" s="69"/>
      <c r="I1065" s="69"/>
      <c r="J1065" s="69"/>
      <c r="K1065" s="70"/>
      <c r="L1065" s="64"/>
      <c r="M1065" s="64"/>
      <c r="N1065" s="64"/>
      <c r="O1065" s="64"/>
      <c r="P1065" s="65"/>
      <c r="Q1065" s="65"/>
    </row>
    <row r="1066" spans="1:17" s="66" customFormat="1" ht="17.5" customHeight="1">
      <c r="A1066" s="67"/>
      <c r="B1066" s="67" t="s">
        <v>592</v>
      </c>
      <c r="C1066" s="74"/>
      <c r="D1066" s="68">
        <v>6</v>
      </c>
      <c r="E1066" s="69"/>
      <c r="F1066" s="69"/>
      <c r="G1066" s="69"/>
      <c r="H1066" s="69"/>
      <c r="I1066" s="69"/>
      <c r="J1066" s="69"/>
      <c r="K1066" s="70"/>
      <c r="L1066" s="64"/>
      <c r="M1066" s="64"/>
      <c r="N1066" s="64"/>
      <c r="O1066" s="64"/>
      <c r="P1066" s="65"/>
      <c r="Q1066" s="65"/>
    </row>
    <row r="1067" spans="1:17" s="66" customFormat="1" ht="17.5" customHeight="1">
      <c r="A1067" s="67"/>
      <c r="B1067" s="74" t="s">
        <v>600</v>
      </c>
      <c r="C1067" s="74"/>
      <c r="D1067" s="68">
        <f>D1066</f>
        <v>6</v>
      </c>
      <c r="E1067" s="69">
        <v>25</v>
      </c>
      <c r="F1067" s="69"/>
      <c r="G1067" s="69"/>
      <c r="H1067" s="69"/>
      <c r="I1067" s="69">
        <f>D1067*E1067</f>
        <v>150</v>
      </c>
      <c r="J1067" s="69"/>
      <c r="K1067" s="70" t="s">
        <v>82</v>
      </c>
      <c r="L1067" s="64"/>
      <c r="M1067" s="64"/>
      <c r="N1067" s="64"/>
      <c r="O1067" s="64"/>
      <c r="P1067" s="65"/>
      <c r="Q1067" s="65"/>
    </row>
    <row r="1068" spans="1:17" s="66" customFormat="1" ht="17.5" customHeight="1">
      <c r="A1068" s="67"/>
      <c r="B1068" s="74" t="s">
        <v>601</v>
      </c>
      <c r="C1068" s="74"/>
      <c r="D1068" s="68">
        <f>D1066</f>
        <v>6</v>
      </c>
      <c r="E1068" s="69">
        <v>10.67</v>
      </c>
      <c r="F1068" s="69"/>
      <c r="G1068" s="69"/>
      <c r="H1068" s="69"/>
      <c r="I1068" s="69">
        <f t="shared" ref="I1068:I1076" si="42">D1068*E1068</f>
        <v>64.02</v>
      </c>
      <c r="J1068" s="69"/>
      <c r="K1068" s="70" t="s">
        <v>82</v>
      </c>
      <c r="L1068" s="64"/>
      <c r="M1068" s="64"/>
      <c r="N1068" s="64"/>
      <c r="O1068" s="64"/>
      <c r="P1068" s="65"/>
      <c r="Q1068" s="65"/>
    </row>
    <row r="1069" spans="1:17" s="66" customFormat="1" ht="17.5" customHeight="1">
      <c r="A1069" s="67"/>
      <c r="B1069" s="74" t="s">
        <v>602</v>
      </c>
      <c r="C1069" s="74"/>
      <c r="D1069" s="68">
        <f>D1066*2</f>
        <v>12</v>
      </c>
      <c r="E1069" s="69">
        <f>7.67</f>
        <v>7.67</v>
      </c>
      <c r="F1069" s="69"/>
      <c r="G1069" s="69"/>
      <c r="H1069" s="69"/>
      <c r="I1069" s="69">
        <f t="shared" si="42"/>
        <v>92.04</v>
      </c>
      <c r="J1069" s="69"/>
      <c r="K1069" s="70" t="s">
        <v>82</v>
      </c>
      <c r="L1069" s="64"/>
      <c r="M1069" s="64"/>
      <c r="N1069" s="64"/>
      <c r="O1069" s="64"/>
      <c r="P1069" s="65"/>
      <c r="Q1069" s="65"/>
    </row>
    <row r="1070" spans="1:17" s="66" customFormat="1" ht="17.5" customHeight="1">
      <c r="A1070" s="67"/>
      <c r="B1070" s="74" t="s">
        <v>601</v>
      </c>
      <c r="C1070" s="74"/>
      <c r="D1070" s="68">
        <v>12</v>
      </c>
      <c r="E1070" s="69">
        <v>7.25</v>
      </c>
      <c r="F1070" s="69"/>
      <c r="G1070" s="69"/>
      <c r="H1070" s="69"/>
      <c r="I1070" s="69">
        <f t="shared" si="42"/>
        <v>87</v>
      </c>
      <c r="J1070" s="69"/>
      <c r="K1070" s="70" t="s">
        <v>82</v>
      </c>
      <c r="L1070" s="64"/>
      <c r="M1070" s="64"/>
      <c r="N1070" s="64"/>
      <c r="O1070" s="64"/>
      <c r="P1070" s="65"/>
      <c r="Q1070" s="65"/>
    </row>
    <row r="1071" spans="1:17" s="66" customFormat="1" ht="17.5" customHeight="1">
      <c r="A1071" s="67"/>
      <c r="B1071" s="74" t="s">
        <v>602</v>
      </c>
      <c r="C1071" s="74"/>
      <c r="D1071" s="68">
        <f>D1066*2</f>
        <v>12</v>
      </c>
      <c r="E1071" s="69">
        <v>4.83</v>
      </c>
      <c r="F1071" s="69"/>
      <c r="G1071" s="69"/>
      <c r="H1071" s="69"/>
      <c r="I1071" s="69">
        <f t="shared" si="42"/>
        <v>57.96</v>
      </c>
      <c r="J1071" s="69"/>
      <c r="K1071" s="70" t="s">
        <v>82</v>
      </c>
      <c r="L1071" s="64"/>
      <c r="M1071" s="64"/>
      <c r="N1071" s="64"/>
      <c r="O1071" s="64"/>
      <c r="P1071" s="65"/>
      <c r="Q1071" s="65"/>
    </row>
    <row r="1072" spans="1:17" s="66" customFormat="1" ht="17.5" customHeight="1">
      <c r="A1072" s="67"/>
      <c r="B1072" s="74" t="s">
        <v>601</v>
      </c>
      <c r="C1072" s="74"/>
      <c r="D1072" s="68">
        <f>D1066*2</f>
        <v>12</v>
      </c>
      <c r="E1072" s="69">
        <v>3.5</v>
      </c>
      <c r="F1072" s="69"/>
      <c r="G1072" s="69"/>
      <c r="H1072" s="69"/>
      <c r="I1072" s="69">
        <f t="shared" si="42"/>
        <v>42</v>
      </c>
      <c r="J1072" s="69"/>
      <c r="K1072" s="70" t="s">
        <v>82</v>
      </c>
      <c r="L1072" s="64"/>
      <c r="M1072" s="64"/>
      <c r="N1072" s="64"/>
      <c r="O1072" s="64"/>
      <c r="P1072" s="65"/>
      <c r="Q1072" s="65"/>
    </row>
    <row r="1073" spans="1:17" s="66" customFormat="1" ht="17.5" customHeight="1">
      <c r="A1073" s="67"/>
      <c r="B1073" s="74" t="s">
        <v>603</v>
      </c>
      <c r="C1073" s="74"/>
      <c r="D1073" s="68">
        <f>D1066</f>
        <v>6</v>
      </c>
      <c r="E1073" s="69">
        <v>8</v>
      </c>
      <c r="F1073" s="69"/>
      <c r="G1073" s="69"/>
      <c r="H1073" s="69"/>
      <c r="I1073" s="69">
        <f t="shared" si="42"/>
        <v>48</v>
      </c>
      <c r="J1073" s="69"/>
      <c r="K1073" s="70" t="s">
        <v>82</v>
      </c>
      <c r="L1073" s="64"/>
      <c r="M1073" s="64"/>
      <c r="N1073" s="64"/>
      <c r="O1073" s="64"/>
      <c r="P1073" s="65"/>
      <c r="Q1073" s="65"/>
    </row>
    <row r="1074" spans="1:17" s="66" customFormat="1" ht="17.5" customHeight="1">
      <c r="A1074" s="67"/>
      <c r="B1074" s="74" t="s">
        <v>607</v>
      </c>
      <c r="C1074" s="74"/>
      <c r="D1074" s="68">
        <v>1</v>
      </c>
      <c r="E1074" s="69">
        <v>25.25</v>
      </c>
      <c r="F1074" s="69"/>
      <c r="G1074" s="69"/>
      <c r="H1074" s="69"/>
      <c r="I1074" s="69">
        <f t="shared" si="42"/>
        <v>25.25</v>
      </c>
      <c r="J1074" s="69"/>
      <c r="K1074" s="70" t="s">
        <v>82</v>
      </c>
      <c r="L1074" s="64"/>
      <c r="M1074" s="64"/>
      <c r="N1074" s="64"/>
      <c r="O1074" s="64"/>
      <c r="P1074" s="65"/>
      <c r="Q1074" s="65"/>
    </row>
    <row r="1075" spans="1:17" s="66" customFormat="1" ht="17.5" customHeight="1">
      <c r="A1075" s="67"/>
      <c r="B1075" s="74" t="s">
        <v>608</v>
      </c>
      <c r="C1075" s="74"/>
      <c r="D1075" s="68">
        <v>1</v>
      </c>
      <c r="E1075" s="69">
        <v>25.25</v>
      </c>
      <c r="F1075" s="69"/>
      <c r="G1075" s="69"/>
      <c r="H1075" s="69"/>
      <c r="I1075" s="69">
        <f t="shared" si="42"/>
        <v>25.25</v>
      </c>
      <c r="J1075" s="69"/>
      <c r="K1075" s="70" t="s">
        <v>82</v>
      </c>
      <c r="L1075" s="64"/>
      <c r="M1075" s="64"/>
      <c r="N1075" s="64"/>
      <c r="O1075" s="64"/>
      <c r="P1075" s="65"/>
      <c r="Q1075" s="65"/>
    </row>
    <row r="1076" spans="1:17" s="66" customFormat="1" ht="17.5" customHeight="1">
      <c r="A1076" s="67"/>
      <c r="B1076" s="74" t="s">
        <v>605</v>
      </c>
      <c r="C1076" s="74"/>
      <c r="D1076" s="68">
        <f>D1066*2</f>
        <v>12</v>
      </c>
      <c r="E1076" s="69">
        <v>19</v>
      </c>
      <c r="F1076" s="69"/>
      <c r="G1076" s="69"/>
      <c r="H1076" s="69"/>
      <c r="I1076" s="69">
        <f t="shared" si="42"/>
        <v>228</v>
      </c>
      <c r="J1076" s="69"/>
      <c r="K1076" s="70" t="s">
        <v>82</v>
      </c>
      <c r="L1076" s="64"/>
      <c r="M1076" s="64"/>
      <c r="N1076" s="64"/>
      <c r="O1076" s="64"/>
      <c r="P1076" s="65"/>
      <c r="Q1076" s="65"/>
    </row>
    <row r="1077" spans="1:17" s="66" customFormat="1" ht="17.5" customHeight="1">
      <c r="A1077" s="67"/>
      <c r="B1077" s="74"/>
      <c r="C1077" s="74"/>
      <c r="D1077" s="68"/>
      <c r="E1077" s="69"/>
      <c r="F1077" s="69"/>
      <c r="G1077" s="69"/>
      <c r="H1077" s="69"/>
      <c r="I1077" s="69"/>
      <c r="J1077" s="69"/>
      <c r="K1077" s="70"/>
      <c r="L1077" s="64"/>
      <c r="M1077" s="64"/>
      <c r="N1077" s="64"/>
      <c r="O1077" s="64"/>
      <c r="P1077" s="65"/>
      <c r="Q1077" s="65"/>
    </row>
    <row r="1078" spans="1:17" s="66" customFormat="1" ht="17.5" customHeight="1">
      <c r="A1078" s="67"/>
      <c r="B1078" s="67" t="s">
        <v>593</v>
      </c>
      <c r="C1078" s="74"/>
      <c r="D1078" s="68">
        <v>6</v>
      </c>
      <c r="E1078" s="69"/>
      <c r="F1078" s="69"/>
      <c r="G1078" s="69"/>
      <c r="H1078" s="69"/>
      <c r="I1078" s="69"/>
      <c r="J1078" s="69"/>
      <c r="K1078" s="70"/>
      <c r="L1078" s="64"/>
      <c r="M1078" s="64"/>
      <c r="N1078" s="64"/>
      <c r="O1078" s="64"/>
      <c r="P1078" s="65"/>
      <c r="Q1078" s="65"/>
    </row>
    <row r="1079" spans="1:17" s="66" customFormat="1" ht="17.5" customHeight="1">
      <c r="A1079" s="67"/>
      <c r="B1079" s="74" t="s">
        <v>600</v>
      </c>
      <c r="C1079" s="74"/>
      <c r="D1079" s="68">
        <f>D1078</f>
        <v>6</v>
      </c>
      <c r="E1079" s="69">
        <v>16</v>
      </c>
      <c r="F1079" s="69"/>
      <c r="G1079" s="69"/>
      <c r="H1079" s="69"/>
      <c r="I1079" s="69">
        <f t="shared" ref="I1079:I1087" si="43">D1079*E1079</f>
        <v>96</v>
      </c>
      <c r="J1079" s="69"/>
      <c r="K1079" s="70" t="s">
        <v>82</v>
      </c>
      <c r="L1079" s="64"/>
      <c r="M1079" s="64"/>
      <c r="N1079" s="64"/>
      <c r="O1079" s="64"/>
      <c r="P1079" s="65"/>
      <c r="Q1079" s="65"/>
    </row>
    <row r="1080" spans="1:17" s="66" customFormat="1" ht="17.5" customHeight="1">
      <c r="A1080" s="67"/>
      <c r="B1080" s="74" t="s">
        <v>601</v>
      </c>
      <c r="C1080" s="74"/>
      <c r="D1080" s="68">
        <f>D1078</f>
        <v>6</v>
      </c>
      <c r="E1080" s="69">
        <v>11.33</v>
      </c>
      <c r="F1080" s="69"/>
      <c r="G1080" s="69"/>
      <c r="H1080" s="69"/>
      <c r="I1080" s="69">
        <f t="shared" si="43"/>
        <v>67.98</v>
      </c>
      <c r="J1080" s="69"/>
      <c r="K1080" s="70" t="s">
        <v>82</v>
      </c>
      <c r="L1080" s="64"/>
      <c r="M1080" s="64"/>
      <c r="N1080" s="64"/>
      <c r="O1080" s="64"/>
      <c r="P1080" s="65"/>
      <c r="Q1080" s="65"/>
    </row>
    <row r="1081" spans="1:17" s="66" customFormat="1" ht="17.5" customHeight="1">
      <c r="A1081" s="67"/>
      <c r="B1081" s="74" t="s">
        <v>602</v>
      </c>
      <c r="C1081" s="74"/>
      <c r="D1081" s="68">
        <f>D1078*2</f>
        <v>12</v>
      </c>
      <c r="E1081" s="69">
        <f>6.42</f>
        <v>6.42</v>
      </c>
      <c r="F1081" s="69"/>
      <c r="G1081" s="69"/>
      <c r="H1081" s="69"/>
      <c r="I1081" s="69">
        <f t="shared" si="43"/>
        <v>77.040000000000006</v>
      </c>
      <c r="J1081" s="69"/>
      <c r="K1081" s="70" t="s">
        <v>82</v>
      </c>
      <c r="L1081" s="64"/>
      <c r="M1081" s="64"/>
      <c r="N1081" s="64"/>
      <c r="O1081" s="64"/>
      <c r="P1081" s="65"/>
      <c r="Q1081" s="65"/>
    </row>
    <row r="1082" spans="1:17" s="66" customFormat="1" ht="17.5" customHeight="1">
      <c r="A1082" s="67"/>
      <c r="B1082" s="74" t="s">
        <v>601</v>
      </c>
      <c r="C1082" s="74"/>
      <c r="D1082" s="68">
        <f>D1078*2</f>
        <v>12</v>
      </c>
      <c r="E1082" s="69">
        <v>5.83</v>
      </c>
      <c r="F1082" s="69"/>
      <c r="G1082" s="69"/>
      <c r="H1082" s="69"/>
      <c r="I1082" s="69">
        <f t="shared" si="43"/>
        <v>69.959999999999994</v>
      </c>
      <c r="J1082" s="69"/>
      <c r="K1082" s="70" t="s">
        <v>82</v>
      </c>
      <c r="L1082" s="64"/>
      <c r="M1082" s="64"/>
      <c r="N1082" s="64"/>
      <c r="O1082" s="64"/>
      <c r="P1082" s="65"/>
      <c r="Q1082" s="65"/>
    </row>
    <row r="1083" spans="1:17" s="66" customFormat="1" ht="17.5" customHeight="1">
      <c r="A1083" s="67"/>
      <c r="B1083" s="74" t="s">
        <v>606</v>
      </c>
      <c r="C1083" s="74"/>
      <c r="D1083" s="68">
        <f>D1078</f>
        <v>6</v>
      </c>
      <c r="E1083" s="69">
        <v>8</v>
      </c>
      <c r="F1083" s="69"/>
      <c r="G1083" s="69"/>
      <c r="H1083" s="69"/>
      <c r="I1083" s="69">
        <f t="shared" si="43"/>
        <v>48</v>
      </c>
      <c r="J1083" s="69"/>
      <c r="K1083" s="70" t="s">
        <v>82</v>
      </c>
      <c r="L1083" s="64"/>
      <c r="M1083" s="64"/>
      <c r="N1083" s="64"/>
      <c r="O1083" s="64"/>
      <c r="P1083" s="65"/>
      <c r="Q1083" s="65"/>
    </row>
    <row r="1084" spans="1:17" s="66" customFormat="1" ht="17.5" customHeight="1">
      <c r="A1084" s="67"/>
      <c r="B1084" s="74" t="s">
        <v>607</v>
      </c>
      <c r="C1084" s="74"/>
      <c r="D1084" s="68">
        <f>D1078</f>
        <v>6</v>
      </c>
      <c r="E1084" s="69">
        <f>24.17</f>
        <v>24.17</v>
      </c>
      <c r="F1084" s="69"/>
      <c r="G1084" s="69"/>
      <c r="H1084" s="69"/>
      <c r="I1084" s="69">
        <f t="shared" si="43"/>
        <v>145.02000000000001</v>
      </c>
      <c r="J1084" s="69"/>
      <c r="K1084" s="70" t="s">
        <v>82</v>
      </c>
      <c r="L1084" s="64"/>
      <c r="M1084" s="64"/>
      <c r="N1084" s="64"/>
      <c r="O1084" s="64"/>
      <c r="P1084" s="65"/>
      <c r="Q1084" s="65"/>
    </row>
    <row r="1085" spans="1:17" s="66" customFormat="1" ht="17.5" customHeight="1">
      <c r="A1085" s="67"/>
      <c r="B1085" s="74" t="s">
        <v>608</v>
      </c>
      <c r="C1085" s="74"/>
      <c r="D1085" s="68">
        <f>D1079</f>
        <v>6</v>
      </c>
      <c r="E1085" s="69">
        <f>24.17</f>
        <v>24.17</v>
      </c>
      <c r="F1085" s="69"/>
      <c r="G1085" s="69"/>
      <c r="H1085" s="69"/>
      <c r="I1085" s="69">
        <f t="shared" si="43"/>
        <v>145.02000000000001</v>
      </c>
      <c r="J1085" s="69"/>
      <c r="K1085" s="70" t="s">
        <v>82</v>
      </c>
      <c r="L1085" s="64"/>
      <c r="M1085" s="64"/>
      <c r="N1085" s="64"/>
      <c r="O1085" s="64"/>
      <c r="P1085" s="65"/>
      <c r="Q1085" s="65"/>
    </row>
    <row r="1086" spans="1:17" s="66" customFormat="1" ht="17.5" customHeight="1">
      <c r="A1086" s="67"/>
      <c r="B1086" s="74" t="s">
        <v>605</v>
      </c>
      <c r="C1086" s="74"/>
      <c r="D1086" s="68">
        <f>D1078*1</f>
        <v>6</v>
      </c>
      <c r="E1086" s="69">
        <v>17.5</v>
      </c>
      <c r="F1086" s="69"/>
      <c r="G1086" s="69"/>
      <c r="H1086" s="69"/>
      <c r="I1086" s="69">
        <f t="shared" si="43"/>
        <v>105</v>
      </c>
      <c r="J1086" s="69"/>
      <c r="K1086" s="70" t="s">
        <v>82</v>
      </c>
      <c r="L1086" s="64"/>
      <c r="M1086" s="64"/>
      <c r="N1086" s="64"/>
      <c r="O1086" s="64"/>
      <c r="P1086" s="65"/>
      <c r="Q1086" s="65"/>
    </row>
    <row r="1087" spans="1:17" s="66" customFormat="1" ht="17.5" customHeight="1">
      <c r="A1087" s="67"/>
      <c r="B1087" s="74"/>
      <c r="C1087" s="74"/>
      <c r="D1087" s="68">
        <f>D1078</f>
        <v>6</v>
      </c>
      <c r="E1087" s="69">
        <v>14.5</v>
      </c>
      <c r="F1087" s="69"/>
      <c r="G1087" s="69"/>
      <c r="H1087" s="69"/>
      <c r="I1087" s="69">
        <f t="shared" si="43"/>
        <v>87</v>
      </c>
      <c r="J1087" s="69"/>
      <c r="K1087" s="70" t="s">
        <v>82</v>
      </c>
      <c r="L1087" s="64"/>
      <c r="M1087" s="64"/>
      <c r="N1087" s="64"/>
      <c r="O1087" s="64"/>
      <c r="P1087" s="65"/>
      <c r="Q1087" s="65"/>
    </row>
    <row r="1088" spans="1:17" s="66" customFormat="1" ht="17.5" customHeight="1">
      <c r="A1088" s="67"/>
      <c r="B1088" s="74"/>
      <c r="C1088" s="74"/>
      <c r="D1088" s="68"/>
      <c r="E1088" s="69"/>
      <c r="F1088" s="69"/>
      <c r="G1088" s="69"/>
      <c r="H1088" s="69"/>
      <c r="I1088" s="69"/>
      <c r="J1088" s="69"/>
      <c r="K1088" s="70"/>
      <c r="L1088" s="64"/>
      <c r="M1088" s="64"/>
      <c r="N1088" s="64"/>
      <c r="O1088" s="64"/>
      <c r="P1088" s="65"/>
      <c r="Q1088" s="65"/>
    </row>
    <row r="1089" spans="1:17" s="66" customFormat="1" ht="17.5" customHeight="1">
      <c r="A1089" s="67"/>
      <c r="B1089" s="67" t="s">
        <v>595</v>
      </c>
      <c r="C1089" s="74"/>
      <c r="D1089" s="68">
        <v>2</v>
      </c>
      <c r="E1089" s="69"/>
      <c r="F1089" s="69"/>
      <c r="G1089" s="69"/>
      <c r="H1089" s="69"/>
      <c r="I1089" s="69"/>
      <c r="J1089" s="69"/>
      <c r="K1089" s="70"/>
      <c r="L1089" s="64"/>
      <c r="M1089" s="64"/>
      <c r="N1089" s="64"/>
      <c r="O1089" s="64"/>
      <c r="P1089" s="65"/>
      <c r="Q1089" s="65"/>
    </row>
    <row r="1090" spans="1:17" s="66" customFormat="1" ht="17.5" customHeight="1">
      <c r="A1090" s="67"/>
      <c r="B1090" s="74" t="s">
        <v>600</v>
      </c>
      <c r="C1090" s="74"/>
      <c r="D1090" s="68">
        <f>D1089</f>
        <v>2</v>
      </c>
      <c r="E1090" s="69">
        <v>9.25</v>
      </c>
      <c r="F1090" s="69"/>
      <c r="G1090" s="69"/>
      <c r="H1090" s="69"/>
      <c r="I1090" s="69">
        <f>D1090*E1090</f>
        <v>18.5</v>
      </c>
      <c r="J1090" s="69"/>
      <c r="K1090" s="70" t="s">
        <v>82</v>
      </c>
      <c r="L1090" s="64"/>
      <c r="M1090" s="64"/>
      <c r="N1090" s="64"/>
      <c r="O1090" s="64"/>
      <c r="P1090" s="65"/>
      <c r="Q1090" s="65"/>
    </row>
    <row r="1091" spans="1:17" s="66" customFormat="1" ht="17.5" customHeight="1">
      <c r="A1091" s="67"/>
      <c r="B1091" s="74" t="s">
        <v>601</v>
      </c>
      <c r="C1091" s="74"/>
      <c r="D1091" s="68">
        <f>D1089</f>
        <v>2</v>
      </c>
      <c r="E1091" s="69">
        <f>3.67</f>
        <v>3.67</v>
      </c>
      <c r="F1091" s="69"/>
      <c r="G1091" s="69"/>
      <c r="H1091" s="69"/>
      <c r="I1091" s="69">
        <f>D1091*E1091</f>
        <v>7.34</v>
      </c>
      <c r="J1091" s="69"/>
      <c r="K1091" s="70" t="s">
        <v>82</v>
      </c>
      <c r="L1091" s="64"/>
      <c r="M1091" s="64"/>
      <c r="N1091" s="64"/>
      <c r="O1091" s="64"/>
      <c r="P1091" s="65"/>
      <c r="Q1091" s="65"/>
    </row>
    <row r="1092" spans="1:17" s="66" customFormat="1" ht="17.5" customHeight="1">
      <c r="A1092" s="67"/>
      <c r="B1092" s="74" t="s">
        <v>605</v>
      </c>
      <c r="C1092" s="74"/>
      <c r="D1092" s="68">
        <f>D1089*2</f>
        <v>4</v>
      </c>
      <c r="E1092" s="69">
        <v>8.33</v>
      </c>
      <c r="F1092" s="69"/>
      <c r="G1092" s="69"/>
      <c r="H1092" s="69"/>
      <c r="I1092" s="69">
        <f>D1092*E1092</f>
        <v>33.32</v>
      </c>
      <c r="J1092" s="69"/>
      <c r="K1092" s="70" t="s">
        <v>82</v>
      </c>
      <c r="L1092" s="64"/>
      <c r="M1092" s="64"/>
      <c r="N1092" s="64"/>
      <c r="O1092" s="64"/>
      <c r="P1092" s="65"/>
      <c r="Q1092" s="65"/>
    </row>
    <row r="1093" spans="1:17" s="66" customFormat="1" ht="17.5" customHeight="1">
      <c r="A1093" s="67"/>
      <c r="B1093" s="74"/>
      <c r="C1093" s="74"/>
      <c r="D1093" s="68"/>
      <c r="E1093" s="69"/>
      <c r="F1093" s="69"/>
      <c r="G1093" s="69"/>
      <c r="H1093" s="69"/>
      <c r="I1093" s="69"/>
      <c r="J1093" s="69"/>
      <c r="K1093" s="70"/>
      <c r="L1093" s="64"/>
      <c r="M1093" s="64"/>
      <c r="N1093" s="64"/>
      <c r="O1093" s="64"/>
      <c r="P1093" s="65"/>
      <c r="Q1093" s="65"/>
    </row>
    <row r="1094" spans="1:17" s="66" customFormat="1" ht="17.5" customHeight="1">
      <c r="A1094" s="67"/>
      <c r="B1094" s="74"/>
      <c r="C1094" s="74"/>
      <c r="D1094" s="68"/>
      <c r="E1094" s="69"/>
      <c r="F1094" s="69"/>
      <c r="G1094" s="69"/>
      <c r="H1094" s="69"/>
      <c r="I1094" s="69"/>
      <c r="J1094" s="69"/>
      <c r="K1094" s="70"/>
      <c r="L1094" s="64"/>
      <c r="M1094" s="64"/>
      <c r="N1094" s="64"/>
      <c r="O1094" s="64"/>
      <c r="P1094" s="65"/>
      <c r="Q1094" s="65"/>
    </row>
    <row r="1095" spans="1:17" s="66" customFormat="1" ht="17.5" customHeight="1">
      <c r="A1095" s="67"/>
      <c r="B1095" s="67" t="s">
        <v>594</v>
      </c>
      <c r="C1095" s="74"/>
      <c r="D1095" s="68">
        <v>2</v>
      </c>
      <c r="E1095" s="69"/>
      <c r="F1095" s="69"/>
      <c r="G1095" s="69"/>
      <c r="H1095" s="69"/>
      <c r="I1095" s="69"/>
      <c r="J1095" s="69"/>
      <c r="K1095" s="70"/>
      <c r="L1095" s="64"/>
      <c r="M1095" s="64"/>
      <c r="N1095" s="64"/>
      <c r="O1095" s="64"/>
      <c r="P1095" s="65"/>
      <c r="Q1095" s="65"/>
    </row>
    <row r="1096" spans="1:17" s="66" customFormat="1" ht="17.5" customHeight="1">
      <c r="A1096" s="67"/>
      <c r="B1096" s="74" t="s">
        <v>600</v>
      </c>
      <c r="C1096" s="74"/>
      <c r="D1096" s="68">
        <f>D1095</f>
        <v>2</v>
      </c>
      <c r="E1096" s="69">
        <v>12</v>
      </c>
      <c r="F1096" s="69"/>
      <c r="G1096" s="69"/>
      <c r="H1096" s="69"/>
      <c r="I1096" s="69">
        <f>D1096*E1096</f>
        <v>24</v>
      </c>
      <c r="J1096" s="69"/>
      <c r="K1096" s="70" t="s">
        <v>82</v>
      </c>
      <c r="L1096" s="64"/>
      <c r="M1096" s="64"/>
      <c r="N1096" s="64"/>
      <c r="O1096" s="64"/>
      <c r="P1096" s="65"/>
      <c r="Q1096" s="65"/>
    </row>
    <row r="1097" spans="1:17" s="66" customFormat="1" ht="17.5" customHeight="1">
      <c r="A1097" s="67"/>
      <c r="B1097" s="74" t="s">
        <v>601</v>
      </c>
      <c r="C1097" s="74"/>
      <c r="D1097" s="68">
        <f>D1095</f>
        <v>2</v>
      </c>
      <c r="E1097" s="69">
        <v>3.83</v>
      </c>
      <c r="F1097" s="69"/>
      <c r="G1097" s="69"/>
      <c r="H1097" s="69"/>
      <c r="I1097" s="69">
        <f>D1097*E1097</f>
        <v>7.66</v>
      </c>
      <c r="J1097" s="69"/>
      <c r="K1097" s="70" t="s">
        <v>82</v>
      </c>
      <c r="L1097" s="64"/>
      <c r="M1097" s="64"/>
      <c r="N1097" s="64"/>
      <c r="O1097" s="64"/>
      <c r="P1097" s="65"/>
      <c r="Q1097" s="65"/>
    </row>
    <row r="1098" spans="1:17" s="66" customFormat="1" ht="17.5" customHeight="1">
      <c r="A1098" s="67"/>
      <c r="B1098" s="74" t="s">
        <v>605</v>
      </c>
      <c r="C1098" s="74"/>
      <c r="D1098" s="68">
        <f>D1095*2</f>
        <v>4</v>
      </c>
      <c r="E1098" s="69">
        <v>6.5</v>
      </c>
      <c r="F1098" s="69"/>
      <c r="G1098" s="69"/>
      <c r="H1098" s="69"/>
      <c r="I1098" s="69">
        <f>D1098*E1098</f>
        <v>26</v>
      </c>
      <c r="J1098" s="69"/>
      <c r="K1098" s="70" t="s">
        <v>82</v>
      </c>
      <c r="L1098" s="64"/>
      <c r="M1098" s="64"/>
      <c r="N1098" s="64"/>
      <c r="O1098" s="64"/>
      <c r="P1098" s="65"/>
      <c r="Q1098" s="65"/>
    </row>
    <row r="1099" spans="1:17" s="66" customFormat="1" ht="17.5" customHeight="1">
      <c r="A1099" s="67"/>
      <c r="B1099" s="74"/>
      <c r="C1099" s="74"/>
      <c r="D1099" s="68"/>
      <c r="E1099" s="69"/>
      <c r="F1099" s="69"/>
      <c r="G1099" s="69"/>
      <c r="H1099" s="69"/>
      <c r="I1099" s="69"/>
      <c r="J1099" s="69"/>
      <c r="K1099" s="70"/>
      <c r="L1099" s="64"/>
      <c r="M1099" s="64"/>
      <c r="N1099" s="64"/>
      <c r="O1099" s="64"/>
      <c r="P1099" s="65"/>
      <c r="Q1099" s="65"/>
    </row>
    <row r="1100" spans="1:17" s="66" customFormat="1" ht="17.5" customHeight="1">
      <c r="A1100" s="67"/>
      <c r="B1100" s="74"/>
      <c r="C1100" s="74"/>
      <c r="D1100" s="68"/>
      <c r="E1100" s="69"/>
      <c r="F1100" s="69"/>
      <c r="G1100" s="69"/>
      <c r="H1100" s="69"/>
      <c r="I1100" s="69"/>
      <c r="J1100" s="69"/>
      <c r="K1100" s="70"/>
      <c r="L1100" s="64"/>
      <c r="M1100" s="64"/>
      <c r="N1100" s="64"/>
      <c r="O1100" s="64"/>
      <c r="P1100" s="65"/>
      <c r="Q1100" s="65"/>
    </row>
    <row r="1101" spans="1:17" s="66" customFormat="1" ht="17.5" customHeight="1">
      <c r="A1101" s="67"/>
      <c r="B1101" s="337" t="s">
        <v>627</v>
      </c>
      <c r="C1101" s="326"/>
      <c r="D1101" s="324">
        <v>2</v>
      </c>
      <c r="E1101" s="325"/>
      <c r="F1101" s="325"/>
      <c r="G1101" s="325"/>
      <c r="H1101" s="325"/>
      <c r="I1101" s="325"/>
      <c r="J1101" s="69"/>
      <c r="K1101" s="70"/>
      <c r="L1101" s="64"/>
      <c r="M1101" s="64"/>
      <c r="N1101" s="64"/>
      <c r="O1101" s="64"/>
      <c r="P1101" s="65"/>
      <c r="Q1101" s="65"/>
    </row>
    <row r="1102" spans="1:17" s="66" customFormat="1" ht="17.5" customHeight="1">
      <c r="A1102" s="67"/>
      <c r="B1102" s="337" t="s">
        <v>600</v>
      </c>
      <c r="C1102" s="326"/>
      <c r="D1102" s="324">
        <f>D1101*1</f>
        <v>2</v>
      </c>
      <c r="E1102" s="325">
        <v>10</v>
      </c>
      <c r="F1102" s="325"/>
      <c r="G1102" s="325"/>
      <c r="H1102" s="325"/>
      <c r="I1102" s="325">
        <f>D1102*E1102</f>
        <v>20</v>
      </c>
      <c r="J1102" s="69"/>
      <c r="K1102" s="70" t="s">
        <v>82</v>
      </c>
      <c r="L1102" s="64"/>
      <c r="M1102" s="64"/>
      <c r="N1102" s="64"/>
      <c r="O1102" s="64"/>
      <c r="P1102" s="65"/>
      <c r="Q1102" s="65"/>
    </row>
    <row r="1103" spans="1:17" s="66" customFormat="1" ht="17.5" customHeight="1">
      <c r="A1103" s="67"/>
      <c r="B1103" s="337" t="s">
        <v>601</v>
      </c>
      <c r="C1103" s="326"/>
      <c r="D1103" s="324">
        <f>D1101*1</f>
        <v>2</v>
      </c>
      <c r="E1103" s="325">
        <v>5</v>
      </c>
      <c r="F1103" s="325"/>
      <c r="G1103" s="325"/>
      <c r="H1103" s="325"/>
      <c r="I1103" s="325">
        <f>D1103*E1103</f>
        <v>10</v>
      </c>
      <c r="J1103" s="69"/>
      <c r="K1103" s="70" t="s">
        <v>82</v>
      </c>
      <c r="L1103" s="64"/>
      <c r="M1103" s="64"/>
      <c r="N1103" s="64"/>
      <c r="O1103" s="64"/>
      <c r="P1103" s="65"/>
      <c r="Q1103" s="65"/>
    </row>
    <row r="1104" spans="1:17" s="66" customFormat="1" ht="17.5" customHeight="1">
      <c r="A1104" s="67"/>
      <c r="B1104" s="337" t="s">
        <v>605</v>
      </c>
      <c r="C1104" s="326"/>
      <c r="D1104" s="324">
        <f>D1101*2</f>
        <v>4</v>
      </c>
      <c r="E1104" s="325">
        <f>SQRT(5^2+5^2)</f>
        <v>7.07</v>
      </c>
      <c r="F1104" s="325"/>
      <c r="G1104" s="325"/>
      <c r="H1104" s="325"/>
      <c r="I1104" s="325">
        <f>D1104*E1104</f>
        <v>28.28</v>
      </c>
      <c r="J1104" s="69"/>
      <c r="K1104" s="70" t="s">
        <v>82</v>
      </c>
      <c r="L1104" s="64"/>
      <c r="M1104" s="64"/>
      <c r="N1104" s="64"/>
      <c r="O1104" s="64"/>
      <c r="P1104" s="65"/>
      <c r="Q1104" s="65"/>
    </row>
    <row r="1105" spans="1:17" s="66" customFormat="1" ht="17.5" customHeight="1">
      <c r="A1105" s="67"/>
      <c r="B1105" s="337" t="s">
        <v>604</v>
      </c>
      <c r="C1105" s="326"/>
      <c r="D1105" s="324">
        <v>1</v>
      </c>
      <c r="E1105" s="325">
        <v>7</v>
      </c>
      <c r="F1105" s="325"/>
      <c r="G1105" s="325"/>
      <c r="H1105" s="325"/>
      <c r="I1105" s="325">
        <f>D1105*E1105</f>
        <v>7</v>
      </c>
      <c r="J1105" s="69"/>
      <c r="K1105" s="70" t="s">
        <v>82</v>
      </c>
      <c r="L1105" s="64"/>
      <c r="M1105" s="64"/>
      <c r="N1105" s="64"/>
      <c r="O1105" s="64"/>
      <c r="P1105" s="65"/>
      <c r="Q1105" s="65"/>
    </row>
    <row r="1106" spans="1:17" s="66" customFormat="1" ht="17.5" customHeight="1">
      <c r="A1106" s="67"/>
      <c r="B1106" s="326"/>
      <c r="C1106" s="326"/>
      <c r="D1106" s="324"/>
      <c r="E1106" s="325"/>
      <c r="F1106" s="325"/>
      <c r="G1106" s="325"/>
      <c r="H1106" s="325"/>
      <c r="I1106" s="325"/>
      <c r="J1106" s="69"/>
      <c r="K1106" s="70"/>
      <c r="L1106" s="64"/>
      <c r="M1106" s="64"/>
      <c r="N1106" s="64"/>
      <c r="O1106" s="64"/>
      <c r="P1106" s="65"/>
      <c r="Q1106" s="65"/>
    </row>
    <row r="1107" spans="1:17" s="66" customFormat="1" ht="17.5" customHeight="1">
      <c r="A1107" s="67"/>
      <c r="B1107" s="74"/>
      <c r="C1107" s="74"/>
      <c r="D1107" s="68"/>
      <c r="E1107" s="69"/>
      <c r="F1107" s="69"/>
      <c r="G1107" s="69"/>
      <c r="H1107" s="69"/>
      <c r="I1107" s="69">
        <f>SUM(I1067:I1106)</f>
        <v>1842.64</v>
      </c>
      <c r="J1107" s="69"/>
      <c r="K1107" s="69">
        <f>SUM(K1067:K1106)</f>
        <v>0</v>
      </c>
      <c r="L1107" s="64"/>
      <c r="M1107" s="64"/>
      <c r="N1107" s="64"/>
      <c r="O1107" s="64"/>
      <c r="P1107" s="65"/>
      <c r="Q1107" s="65"/>
    </row>
    <row r="1108" spans="1:17" s="66" customFormat="1" ht="17.5" customHeight="1">
      <c r="A1108" s="67"/>
      <c r="B1108" s="74"/>
      <c r="C1108" s="74"/>
      <c r="D1108" s="68"/>
      <c r="E1108" s="69"/>
      <c r="F1108" s="69"/>
      <c r="G1108" s="69"/>
      <c r="H1108" s="69"/>
      <c r="I1108" s="74" t="s">
        <v>599</v>
      </c>
      <c r="J1108" s="69">
        <f>I1107/19.5</f>
        <v>94.49</v>
      </c>
      <c r="K1108" s="70" t="s">
        <v>2</v>
      </c>
      <c r="L1108" s="64"/>
      <c r="M1108" s="64"/>
      <c r="N1108" s="64"/>
      <c r="O1108" s="64"/>
      <c r="P1108" s="65"/>
      <c r="Q1108" s="65"/>
    </row>
    <row r="1109" spans="1:17" s="66" customFormat="1" ht="17.5" customHeight="1">
      <c r="A1109" s="67"/>
      <c r="B1109" s="74"/>
      <c r="C1109" s="74"/>
      <c r="D1109" s="68"/>
      <c r="E1109" s="69"/>
      <c r="F1109" s="69"/>
      <c r="G1109" s="69"/>
      <c r="H1109" s="69"/>
      <c r="I1109" s="69"/>
      <c r="J1109" s="69"/>
      <c r="K1109" s="70"/>
      <c r="L1109" s="64"/>
      <c r="M1109" s="64"/>
      <c r="N1109" s="64"/>
      <c r="O1109" s="64"/>
      <c r="P1109" s="65"/>
      <c r="Q1109" s="65"/>
    </row>
    <row r="1110" spans="1:17" s="66" customFormat="1" ht="17.5" customHeight="1">
      <c r="A1110" s="67"/>
      <c r="B1110" s="74"/>
      <c r="C1110" s="74"/>
      <c r="D1110" s="68"/>
      <c r="E1110" s="69"/>
      <c r="F1110" s="69"/>
      <c r="G1110" s="69"/>
      <c r="H1110" s="69"/>
      <c r="I1110" s="69"/>
      <c r="J1110" s="69"/>
      <c r="K1110" s="70"/>
      <c r="L1110" s="64"/>
      <c r="M1110" s="64"/>
      <c r="N1110" s="64"/>
      <c r="O1110" s="64"/>
      <c r="P1110" s="65"/>
      <c r="Q1110" s="65"/>
    </row>
    <row r="1111" spans="1:17" s="66" customFormat="1" ht="17.5" customHeight="1">
      <c r="A1111" s="67"/>
      <c r="B1111" s="76" t="s">
        <v>609</v>
      </c>
      <c r="C1111" s="74"/>
      <c r="D1111" s="68"/>
      <c r="E1111" s="69"/>
      <c r="F1111" s="69"/>
      <c r="G1111" s="69"/>
      <c r="H1111" s="69"/>
      <c r="I1111" s="69"/>
      <c r="J1111" s="69"/>
      <c r="K1111" s="70"/>
      <c r="L1111" s="64"/>
      <c r="M1111" s="64"/>
      <c r="N1111" s="64"/>
      <c r="O1111" s="64"/>
      <c r="P1111" s="65"/>
      <c r="Q1111" s="65"/>
    </row>
    <row r="1112" spans="1:17" s="66" customFormat="1" ht="17.5" customHeight="1">
      <c r="A1112" s="67"/>
      <c r="B1112" s="67" t="s">
        <v>610</v>
      </c>
      <c r="C1112" s="74"/>
      <c r="D1112" s="68"/>
      <c r="E1112" s="69"/>
      <c r="F1112" s="69"/>
      <c r="G1112" s="69"/>
      <c r="H1112" s="69"/>
      <c r="I1112" s="69"/>
      <c r="J1112" s="69"/>
      <c r="K1112" s="70"/>
      <c r="L1112" s="64"/>
      <c r="M1112" s="64"/>
      <c r="N1112" s="64"/>
      <c r="O1112" s="64"/>
      <c r="P1112" s="65"/>
      <c r="Q1112" s="65"/>
    </row>
    <row r="1113" spans="1:17" s="66" customFormat="1" ht="17.5" customHeight="1">
      <c r="A1113" s="67"/>
      <c r="B1113" s="67" t="s">
        <v>592</v>
      </c>
      <c r="C1113" s="74"/>
      <c r="D1113" s="68">
        <f>8*2</f>
        <v>16</v>
      </c>
      <c r="E1113" s="69">
        <f>(27.33+19.17)/2</f>
        <v>23.25</v>
      </c>
      <c r="F1113" s="69"/>
      <c r="G1113" s="69"/>
      <c r="H1113" s="69"/>
      <c r="I1113" s="69">
        <f>D1113*E1113</f>
        <v>372</v>
      </c>
      <c r="J1113" s="69"/>
      <c r="K1113" s="70" t="s">
        <v>82</v>
      </c>
      <c r="L1113" s="64"/>
      <c r="M1113" s="64"/>
      <c r="N1113" s="64"/>
      <c r="O1113" s="64"/>
      <c r="P1113" s="65"/>
      <c r="Q1113" s="65"/>
    </row>
    <row r="1114" spans="1:17" s="66" customFormat="1" ht="17.5" customHeight="1">
      <c r="A1114" s="67"/>
      <c r="B1114" s="67" t="s">
        <v>593</v>
      </c>
      <c r="C1114" s="74"/>
      <c r="D1114" s="68">
        <v>7</v>
      </c>
      <c r="E1114" s="69">
        <v>29</v>
      </c>
      <c r="F1114" s="69"/>
      <c r="G1114" s="69"/>
      <c r="H1114" s="69"/>
      <c r="I1114" s="69">
        <f t="shared" ref="I1114:I1119" si="44">D1114*E1114</f>
        <v>203</v>
      </c>
      <c r="J1114" s="69"/>
      <c r="K1114" s="70" t="s">
        <v>82</v>
      </c>
      <c r="L1114" s="64"/>
      <c r="M1114" s="64"/>
      <c r="N1114" s="64"/>
      <c r="O1114" s="64"/>
      <c r="P1114" s="65"/>
      <c r="Q1114" s="65"/>
    </row>
    <row r="1115" spans="1:17" s="66" customFormat="1" ht="17.5" customHeight="1">
      <c r="A1115" s="67"/>
      <c r="B1115" s="74"/>
      <c r="C1115" s="74"/>
      <c r="D1115" s="68">
        <f>4*2</f>
        <v>8</v>
      </c>
      <c r="E1115" s="69">
        <f>(3.33+12.58)/2</f>
        <v>7.96</v>
      </c>
      <c r="F1115" s="69"/>
      <c r="G1115" s="69"/>
      <c r="H1115" s="69"/>
      <c r="I1115" s="69">
        <f t="shared" si="44"/>
        <v>63.68</v>
      </c>
      <c r="J1115" s="69"/>
      <c r="K1115" s="70" t="s">
        <v>82</v>
      </c>
      <c r="L1115" s="64"/>
      <c r="M1115" s="64"/>
      <c r="N1115" s="64"/>
      <c r="O1115" s="64"/>
      <c r="P1115" s="65"/>
      <c r="Q1115" s="65"/>
    </row>
    <row r="1116" spans="1:17" s="66" customFormat="1" ht="17.5" customHeight="1">
      <c r="A1116" s="67"/>
      <c r="B1116" s="74" t="s">
        <v>625</v>
      </c>
      <c r="C1116" s="74"/>
      <c r="D1116" s="68">
        <v>4</v>
      </c>
      <c r="E1116" s="69">
        <v>22.5</v>
      </c>
      <c r="F1116" s="69"/>
      <c r="G1116" s="69"/>
      <c r="H1116" s="69"/>
      <c r="I1116" s="69">
        <f>D1116*E1116</f>
        <v>90</v>
      </c>
      <c r="J1116" s="69"/>
      <c r="K1116" s="70" t="s">
        <v>82</v>
      </c>
      <c r="L1116" s="64"/>
      <c r="M1116" s="64"/>
      <c r="N1116" s="64"/>
      <c r="O1116" s="64"/>
      <c r="P1116" s="65"/>
      <c r="Q1116" s="65"/>
    </row>
    <row r="1117" spans="1:17" s="66" customFormat="1" ht="17.5" customHeight="1">
      <c r="A1117" s="67"/>
      <c r="B1117" s="74" t="s">
        <v>626</v>
      </c>
      <c r="C1117" s="74"/>
      <c r="D1117" s="68">
        <v>4</v>
      </c>
      <c r="E1117" s="69">
        <v>10</v>
      </c>
      <c r="F1117" s="69"/>
      <c r="G1117" s="69"/>
      <c r="H1117" s="69"/>
      <c r="I1117" s="69">
        <f>D1117*E1117</f>
        <v>40</v>
      </c>
      <c r="J1117" s="69"/>
      <c r="K1117" s="70" t="s">
        <v>82</v>
      </c>
      <c r="L1117" s="64"/>
      <c r="M1117" s="64"/>
      <c r="N1117" s="64"/>
      <c r="O1117" s="64"/>
      <c r="P1117" s="65"/>
      <c r="Q1117" s="65"/>
    </row>
    <row r="1118" spans="1:17" s="66" customFormat="1" ht="17.5" customHeight="1">
      <c r="A1118" s="67"/>
      <c r="B1118" s="67" t="s">
        <v>595</v>
      </c>
      <c r="C1118" s="74"/>
      <c r="D1118" s="68">
        <f>5*2</f>
        <v>10</v>
      </c>
      <c r="E1118" s="69">
        <v>3.5</v>
      </c>
      <c r="F1118" s="69"/>
      <c r="G1118" s="69"/>
      <c r="H1118" s="69"/>
      <c r="I1118" s="69">
        <f t="shared" si="44"/>
        <v>35</v>
      </c>
      <c r="J1118" s="69"/>
      <c r="K1118" s="70" t="s">
        <v>82</v>
      </c>
      <c r="L1118" s="64"/>
      <c r="M1118" s="64"/>
      <c r="N1118" s="64"/>
      <c r="O1118" s="64"/>
      <c r="P1118" s="65"/>
      <c r="Q1118" s="65"/>
    </row>
    <row r="1119" spans="1:17" s="66" customFormat="1" ht="17.5" customHeight="1">
      <c r="A1119" s="67"/>
      <c r="B1119" s="67" t="s">
        <v>594</v>
      </c>
      <c r="C1119" s="74"/>
      <c r="D1119" s="68">
        <f>5*2</f>
        <v>10</v>
      </c>
      <c r="E1119" s="69">
        <v>6</v>
      </c>
      <c r="F1119" s="69"/>
      <c r="G1119" s="69"/>
      <c r="H1119" s="69"/>
      <c r="I1119" s="69">
        <f t="shared" si="44"/>
        <v>60</v>
      </c>
      <c r="J1119" s="69"/>
      <c r="K1119" s="70" t="s">
        <v>82</v>
      </c>
      <c r="L1119" s="64"/>
      <c r="M1119" s="64"/>
      <c r="N1119" s="64"/>
      <c r="O1119" s="64"/>
      <c r="P1119" s="65"/>
      <c r="Q1119" s="65"/>
    </row>
    <row r="1120" spans="1:17" s="66" customFormat="1" ht="17.5" customHeight="1">
      <c r="A1120" s="67"/>
      <c r="B1120" s="337" t="s">
        <v>627</v>
      </c>
      <c r="C1120" s="326"/>
      <c r="D1120" s="324">
        <v>8</v>
      </c>
      <c r="E1120" s="325">
        <v>7</v>
      </c>
      <c r="F1120" s="325"/>
      <c r="G1120" s="325"/>
      <c r="H1120" s="325"/>
      <c r="I1120" s="325">
        <f>D1120*E1120</f>
        <v>56</v>
      </c>
      <c r="J1120" s="69"/>
      <c r="K1120" s="70" t="s">
        <v>82</v>
      </c>
      <c r="L1120" s="64"/>
      <c r="M1120" s="64"/>
      <c r="N1120" s="64"/>
      <c r="O1120" s="64"/>
      <c r="P1120" s="65"/>
      <c r="Q1120" s="65"/>
    </row>
    <row r="1121" spans="1:17" s="66" customFormat="1" ht="17.5" customHeight="1">
      <c r="A1121" s="67"/>
      <c r="B1121" s="67"/>
      <c r="C1121" s="74"/>
      <c r="D1121" s="68"/>
      <c r="E1121" s="69"/>
      <c r="F1121" s="69"/>
      <c r="G1121" s="69"/>
      <c r="H1121" s="69"/>
      <c r="I1121" s="69"/>
      <c r="J1121" s="69"/>
      <c r="K1121" s="70"/>
      <c r="L1121" s="64"/>
      <c r="M1121" s="64"/>
      <c r="N1121" s="64"/>
      <c r="O1121" s="64"/>
      <c r="P1121" s="65"/>
      <c r="Q1121" s="65"/>
    </row>
    <row r="1122" spans="1:17" s="66" customFormat="1" ht="17.5" customHeight="1">
      <c r="A1122" s="67"/>
      <c r="B1122" s="74"/>
      <c r="C1122" s="74"/>
      <c r="D1122" s="68"/>
      <c r="E1122" s="69"/>
      <c r="F1122" s="69"/>
      <c r="G1122" s="69"/>
      <c r="H1122" s="69"/>
      <c r="I1122" s="69">
        <f>SUM(I1113:I1120)</f>
        <v>919.68</v>
      </c>
      <c r="J1122" s="69"/>
      <c r="K1122" s="70" t="s">
        <v>82</v>
      </c>
      <c r="L1122" s="64"/>
      <c r="M1122" s="64"/>
      <c r="N1122" s="64"/>
      <c r="O1122" s="64"/>
      <c r="P1122" s="65"/>
      <c r="Q1122" s="65"/>
    </row>
    <row r="1123" spans="1:17" s="66" customFormat="1" ht="17.5" customHeight="1">
      <c r="A1123" s="67"/>
      <c r="B1123" s="74"/>
      <c r="C1123" s="74"/>
      <c r="D1123" s="68"/>
      <c r="E1123" s="69"/>
      <c r="F1123" s="69"/>
      <c r="G1123" s="69"/>
      <c r="H1123" s="69"/>
      <c r="I1123" s="74" t="s">
        <v>609</v>
      </c>
      <c r="J1123" s="69">
        <f>I1122/19.5</f>
        <v>47.16</v>
      </c>
      <c r="K1123" s="70" t="s">
        <v>2</v>
      </c>
      <c r="L1123" s="64"/>
      <c r="M1123" s="64"/>
      <c r="N1123" s="64"/>
      <c r="O1123" s="64"/>
      <c r="P1123" s="65"/>
      <c r="Q1123" s="65"/>
    </row>
    <row r="1124" spans="1:17" s="66" customFormat="1" ht="17.5" customHeight="1">
      <c r="A1124" s="67"/>
      <c r="B1124" s="74"/>
      <c r="C1124" s="74"/>
      <c r="D1124" s="68"/>
      <c r="E1124" s="69"/>
      <c r="F1124" s="69"/>
      <c r="G1124" s="69"/>
      <c r="H1124" s="69"/>
      <c r="I1124" s="69"/>
      <c r="J1124" s="69"/>
      <c r="K1124" s="70"/>
      <c r="L1124" s="64"/>
      <c r="M1124" s="64"/>
      <c r="N1124" s="64"/>
      <c r="O1124" s="64"/>
      <c r="P1124" s="65"/>
      <c r="Q1124" s="65"/>
    </row>
    <row r="1125" spans="1:17" s="66" customFormat="1" ht="17.5" customHeight="1">
      <c r="A1125" s="67"/>
      <c r="B1125" s="76" t="s">
        <v>611</v>
      </c>
      <c r="C1125" s="74"/>
      <c r="D1125" s="68"/>
      <c r="E1125" s="69"/>
      <c r="F1125" s="69"/>
      <c r="G1125" s="69"/>
      <c r="H1125" s="69"/>
      <c r="I1125" s="69"/>
      <c r="J1125" s="69"/>
      <c r="K1125" s="70"/>
      <c r="L1125" s="64"/>
      <c r="M1125" s="64"/>
      <c r="N1125" s="64"/>
      <c r="O1125" s="64"/>
      <c r="P1125" s="65"/>
      <c r="Q1125" s="65"/>
    </row>
    <row r="1126" spans="1:17" s="66" customFormat="1" ht="17.5" customHeight="1">
      <c r="A1126" s="67"/>
      <c r="B1126" s="74"/>
      <c r="C1126" s="74"/>
      <c r="D1126" s="68">
        <f>16*6+7*6+9*2+20+16</f>
        <v>192</v>
      </c>
      <c r="E1126" s="69">
        <f>2/12</f>
        <v>0.17</v>
      </c>
      <c r="F1126" s="69"/>
      <c r="G1126" s="69"/>
      <c r="H1126" s="69"/>
      <c r="I1126" s="69">
        <f>D1126*E1126</f>
        <v>32.64</v>
      </c>
      <c r="J1126" s="69"/>
      <c r="K1126" s="70" t="s">
        <v>82</v>
      </c>
      <c r="L1126" s="64"/>
      <c r="M1126" s="64"/>
      <c r="N1126" s="64"/>
      <c r="O1126" s="64"/>
      <c r="P1126" s="65"/>
      <c r="Q1126" s="65"/>
    </row>
    <row r="1127" spans="1:17" s="66" customFormat="1" ht="17.5" customHeight="1">
      <c r="A1127" s="67"/>
      <c r="B1127" s="74"/>
      <c r="C1127" s="74"/>
      <c r="D1127" s="68"/>
      <c r="E1127" s="69"/>
      <c r="F1127" s="69"/>
      <c r="G1127" s="69"/>
      <c r="H1127" s="69"/>
      <c r="I1127" s="69"/>
      <c r="J1127" s="69">
        <f>I1126/19.5</f>
        <v>1.67</v>
      </c>
      <c r="K1127" s="70" t="s">
        <v>2</v>
      </c>
      <c r="L1127" s="64"/>
      <c r="M1127" s="64"/>
      <c r="N1127" s="64"/>
      <c r="O1127" s="64"/>
      <c r="P1127" s="65"/>
      <c r="Q1127" s="65"/>
    </row>
    <row r="1128" spans="1:17" s="66" customFormat="1" ht="17.5" customHeight="1">
      <c r="A1128" s="67"/>
      <c r="B1128" s="76" t="s">
        <v>612</v>
      </c>
      <c r="C1128" s="74"/>
      <c r="D1128" s="68"/>
      <c r="E1128" s="69"/>
      <c r="F1128" s="69"/>
      <c r="G1128" s="69"/>
      <c r="H1128" s="69"/>
      <c r="I1128" s="69"/>
      <c r="J1128" s="69"/>
      <c r="K1128" s="70"/>
      <c r="L1128" s="64"/>
      <c r="M1128" s="64"/>
      <c r="N1128" s="64"/>
      <c r="O1128" s="64"/>
      <c r="P1128" s="65"/>
      <c r="Q1128" s="65"/>
    </row>
    <row r="1129" spans="1:17" s="66" customFormat="1" ht="17.5" customHeight="1">
      <c r="A1129" s="67"/>
      <c r="B1129" s="74" t="s">
        <v>614</v>
      </c>
      <c r="C1129" s="74"/>
      <c r="D1129" s="68">
        <v>2</v>
      </c>
      <c r="E1129" s="69">
        <f>(19+27.33)/2</f>
        <v>23.17</v>
      </c>
      <c r="F1129" s="69"/>
      <c r="G1129" s="69">
        <v>19</v>
      </c>
      <c r="H1129" s="69"/>
      <c r="I1129" s="69">
        <f t="shared" ref="I1129:I1134" si="45">D1129*E1129*G1129</f>
        <v>880.46</v>
      </c>
      <c r="J1129" s="69"/>
      <c r="K1129" s="70" t="s">
        <v>620</v>
      </c>
      <c r="L1129" s="64"/>
      <c r="M1129" s="64"/>
      <c r="N1129" s="64"/>
      <c r="O1129" s="64"/>
      <c r="P1129" s="65"/>
      <c r="Q1129" s="65"/>
    </row>
    <row r="1130" spans="1:17" s="66" customFormat="1" ht="17.5" customHeight="1">
      <c r="A1130" s="67"/>
      <c r="B1130" s="74" t="s">
        <v>613</v>
      </c>
      <c r="C1130" s="74"/>
      <c r="D1130" s="68">
        <v>1</v>
      </c>
      <c r="E1130" s="69">
        <v>29</v>
      </c>
      <c r="F1130" s="69"/>
      <c r="G1130" s="69">
        <v>17.579999999999998</v>
      </c>
      <c r="H1130" s="69"/>
      <c r="I1130" s="69">
        <f t="shared" si="45"/>
        <v>509.82</v>
      </c>
      <c r="J1130" s="69"/>
      <c r="K1130" s="70" t="s">
        <v>620</v>
      </c>
      <c r="L1130" s="64"/>
      <c r="M1130" s="64"/>
      <c r="N1130" s="64"/>
      <c r="O1130" s="64"/>
      <c r="P1130" s="65"/>
      <c r="Q1130" s="65"/>
    </row>
    <row r="1131" spans="1:17" s="66" customFormat="1" ht="17.5" customHeight="1">
      <c r="A1131" s="67"/>
      <c r="B1131" s="74"/>
      <c r="C1131" s="74"/>
      <c r="D1131" s="68">
        <v>2</v>
      </c>
      <c r="E1131" s="69">
        <f>12.5</f>
        <v>12.5</v>
      </c>
      <c r="F1131" s="69"/>
      <c r="G1131" s="69">
        <f>(2.5+18)/2</f>
        <v>10.25</v>
      </c>
      <c r="H1131" s="69"/>
      <c r="I1131" s="69">
        <f t="shared" si="45"/>
        <v>256.25</v>
      </c>
      <c r="J1131" s="69"/>
      <c r="K1131" s="70" t="s">
        <v>620</v>
      </c>
      <c r="L1131" s="64"/>
      <c r="M1131" s="64"/>
      <c r="N1131" s="64"/>
      <c r="O1131" s="64"/>
      <c r="P1131" s="65"/>
      <c r="Q1131" s="65"/>
    </row>
    <row r="1132" spans="1:17" s="66" customFormat="1" ht="17.5" customHeight="1">
      <c r="A1132" s="67"/>
      <c r="B1132" s="74" t="s">
        <v>615</v>
      </c>
      <c r="C1132" s="74"/>
      <c r="D1132" s="68">
        <v>2</v>
      </c>
      <c r="E1132" s="69">
        <f>3.5</f>
        <v>3.5</v>
      </c>
      <c r="F1132" s="69"/>
      <c r="G1132" s="69">
        <v>8.5</v>
      </c>
      <c r="H1132" s="69"/>
      <c r="I1132" s="69">
        <f t="shared" si="45"/>
        <v>59.5</v>
      </c>
      <c r="J1132" s="69"/>
      <c r="K1132" s="70" t="s">
        <v>620</v>
      </c>
      <c r="L1132" s="64"/>
      <c r="M1132" s="64"/>
      <c r="N1132" s="64"/>
      <c r="O1132" s="64"/>
      <c r="P1132" s="65"/>
      <c r="Q1132" s="65"/>
    </row>
    <row r="1133" spans="1:17" s="66" customFormat="1" ht="17.5" customHeight="1">
      <c r="A1133" s="67"/>
      <c r="B1133" s="74" t="s">
        <v>616</v>
      </c>
      <c r="C1133" s="74"/>
      <c r="D1133" s="68">
        <v>2</v>
      </c>
      <c r="E1133" s="69">
        <v>6</v>
      </c>
      <c r="F1133" s="69"/>
      <c r="G1133" s="69">
        <f>6.5+1.08</f>
        <v>7.58</v>
      </c>
      <c r="H1133" s="69"/>
      <c r="I1133" s="69">
        <f t="shared" si="45"/>
        <v>90.96</v>
      </c>
      <c r="J1133" s="69"/>
      <c r="K1133" s="70" t="s">
        <v>620</v>
      </c>
      <c r="L1133" s="64"/>
      <c r="M1133" s="64"/>
      <c r="N1133" s="64"/>
      <c r="O1133" s="64"/>
      <c r="P1133" s="65"/>
      <c r="Q1133" s="65"/>
    </row>
    <row r="1134" spans="1:17" s="66" customFormat="1" ht="17.5" customHeight="1">
      <c r="A1134" s="67"/>
      <c r="B1134" s="74" t="s">
        <v>617</v>
      </c>
      <c r="C1134" s="74"/>
      <c r="D1134" s="68">
        <v>2</v>
      </c>
      <c r="E1134" s="69">
        <v>6.75</v>
      </c>
      <c r="F1134" s="69"/>
      <c r="G1134" s="69">
        <f>7.5</f>
        <v>7.5</v>
      </c>
      <c r="H1134" s="69"/>
      <c r="I1134" s="69">
        <f t="shared" si="45"/>
        <v>101.25</v>
      </c>
      <c r="J1134" s="69"/>
      <c r="K1134" s="70" t="s">
        <v>620</v>
      </c>
      <c r="L1134" s="64"/>
      <c r="M1134" s="64"/>
      <c r="N1134" s="64"/>
      <c r="O1134" s="64"/>
      <c r="P1134" s="65"/>
      <c r="Q1134" s="65"/>
    </row>
    <row r="1135" spans="1:17" s="66" customFormat="1" ht="17.5" customHeight="1">
      <c r="A1135" s="67"/>
      <c r="B1135" s="74"/>
      <c r="C1135" s="74"/>
      <c r="D1135" s="68"/>
      <c r="E1135" s="69"/>
      <c r="F1135" s="69"/>
      <c r="G1135" s="69"/>
      <c r="H1135" s="69"/>
      <c r="I1135" s="325">
        <f>SUM(I1129:I1134)</f>
        <v>1898.24</v>
      </c>
      <c r="J1135" s="325"/>
      <c r="K1135" s="319" t="s">
        <v>620</v>
      </c>
      <c r="L1135" s="64"/>
      <c r="M1135" s="64"/>
      <c r="N1135" s="64"/>
      <c r="O1135" s="64"/>
      <c r="P1135" s="65"/>
      <c r="Q1135" s="65"/>
    </row>
    <row r="1136" spans="1:17" s="66" customFormat="1" ht="17.5" customHeight="1">
      <c r="A1136" s="67"/>
      <c r="B1136" s="74"/>
      <c r="C1136" s="74"/>
      <c r="D1136" s="68"/>
      <c r="E1136" s="69"/>
      <c r="F1136" s="69"/>
      <c r="G1136" s="69"/>
      <c r="H1136" s="69"/>
      <c r="I1136" s="69"/>
      <c r="J1136" s="69"/>
      <c r="K1136" s="70"/>
      <c r="L1136" s="64"/>
      <c r="M1136" s="64"/>
      <c r="N1136" s="64"/>
      <c r="O1136" s="64"/>
      <c r="P1136" s="65"/>
      <c r="Q1136" s="65"/>
    </row>
    <row r="1137" spans="1:17" s="66" customFormat="1" ht="17.5" customHeight="1">
      <c r="A1137" s="67"/>
      <c r="B1137" s="76" t="s">
        <v>671</v>
      </c>
      <c r="C1137" s="74"/>
      <c r="D1137" s="68">
        <v>1</v>
      </c>
      <c r="E1137" s="69">
        <f>27.67</f>
        <v>27.67</v>
      </c>
      <c r="F1137" s="69"/>
      <c r="G1137" s="69"/>
      <c r="H1137" s="69"/>
      <c r="I1137" s="69">
        <f>D1137*E1137</f>
        <v>27.67</v>
      </c>
      <c r="J1137" s="69"/>
      <c r="K1137" s="70" t="s">
        <v>82</v>
      </c>
      <c r="L1137" s="64"/>
      <c r="M1137" s="64"/>
      <c r="N1137" s="64"/>
      <c r="O1137" s="64"/>
      <c r="P1137" s="65"/>
      <c r="Q1137" s="65"/>
    </row>
    <row r="1138" spans="1:17" s="66" customFormat="1" ht="17.5" customHeight="1">
      <c r="A1138" s="67"/>
      <c r="B1138" s="74"/>
      <c r="C1138" s="74"/>
      <c r="D1138" s="68">
        <v>1</v>
      </c>
      <c r="E1138" s="69">
        <v>29</v>
      </c>
      <c r="F1138" s="69"/>
      <c r="G1138" s="69"/>
      <c r="H1138" s="69"/>
      <c r="I1138" s="69">
        <f t="shared" ref="I1138:I1143" si="46">D1138*E1138</f>
        <v>29</v>
      </c>
      <c r="J1138" s="69"/>
      <c r="K1138" s="70" t="s">
        <v>82</v>
      </c>
      <c r="L1138" s="64"/>
      <c r="M1138" s="64"/>
      <c r="N1138" s="64"/>
      <c r="O1138" s="64"/>
      <c r="P1138" s="65"/>
      <c r="Q1138" s="65"/>
    </row>
    <row r="1139" spans="1:17" s="66" customFormat="1" ht="17.5" customHeight="1">
      <c r="A1139" s="67"/>
      <c r="B1139" s="74" t="s">
        <v>619</v>
      </c>
      <c r="C1139" s="74"/>
      <c r="D1139" s="68">
        <v>2</v>
      </c>
      <c r="E1139" s="69">
        <v>22.5</v>
      </c>
      <c r="F1139" s="69"/>
      <c r="G1139" s="69"/>
      <c r="H1139" s="69"/>
      <c r="I1139" s="69">
        <f>D1139*E1139</f>
        <v>45</v>
      </c>
      <c r="J1139" s="69"/>
      <c r="K1139" s="70" t="s">
        <v>82</v>
      </c>
      <c r="L1139" s="64"/>
      <c r="M1139" s="64"/>
      <c r="N1139" s="64"/>
      <c r="O1139" s="64"/>
      <c r="P1139" s="65"/>
      <c r="Q1139" s="65"/>
    </row>
    <row r="1140" spans="1:17" s="66" customFormat="1" ht="17.5" customHeight="1">
      <c r="A1140" s="67"/>
      <c r="B1140" s="74"/>
      <c r="C1140" s="74"/>
      <c r="D1140" s="68">
        <v>1</v>
      </c>
      <c r="E1140" s="69">
        <v>3.5</v>
      </c>
      <c r="F1140" s="69"/>
      <c r="G1140" s="69"/>
      <c r="H1140" s="69"/>
      <c r="I1140" s="69">
        <f t="shared" si="46"/>
        <v>3.5</v>
      </c>
      <c r="J1140" s="69"/>
      <c r="K1140" s="70" t="s">
        <v>82</v>
      </c>
      <c r="L1140" s="64"/>
      <c r="M1140" s="64"/>
      <c r="N1140" s="64"/>
      <c r="O1140" s="64"/>
      <c r="P1140" s="65"/>
      <c r="Q1140" s="65"/>
    </row>
    <row r="1141" spans="1:17" s="66" customFormat="1" ht="17.5" customHeight="1">
      <c r="A1141" s="67"/>
      <c r="B1141" s="74"/>
      <c r="C1141" s="74"/>
      <c r="D1141" s="68">
        <v>1</v>
      </c>
      <c r="E1141" s="69">
        <v>6</v>
      </c>
      <c r="F1141" s="69"/>
      <c r="G1141" s="69"/>
      <c r="H1141" s="69"/>
      <c r="I1141" s="69">
        <f t="shared" si="46"/>
        <v>6</v>
      </c>
      <c r="J1141" s="69"/>
      <c r="K1141" s="70" t="s">
        <v>82</v>
      </c>
      <c r="L1141" s="64"/>
      <c r="M1141" s="64"/>
      <c r="N1141" s="64"/>
      <c r="O1141" s="64"/>
      <c r="P1141" s="65"/>
      <c r="Q1141" s="65"/>
    </row>
    <row r="1142" spans="1:17" s="66" customFormat="1" ht="17.5" customHeight="1">
      <c r="A1142" s="67"/>
      <c r="B1142" s="74"/>
      <c r="C1142" s="74"/>
      <c r="D1142" s="338">
        <v>1</v>
      </c>
      <c r="E1142" s="339">
        <v>6.75</v>
      </c>
      <c r="F1142" s="69"/>
      <c r="G1142" s="69"/>
      <c r="H1142" s="69"/>
      <c r="I1142" s="69">
        <f t="shared" si="46"/>
        <v>6.75</v>
      </c>
      <c r="J1142" s="69"/>
      <c r="K1142" s="70" t="s">
        <v>82</v>
      </c>
      <c r="L1142" s="64"/>
      <c r="M1142" s="64"/>
      <c r="N1142" s="64"/>
      <c r="O1142" s="64"/>
      <c r="P1142" s="65"/>
      <c r="Q1142" s="65"/>
    </row>
    <row r="1143" spans="1:17" s="66" customFormat="1" ht="17.5" customHeight="1">
      <c r="A1143" s="67"/>
      <c r="B1143" s="74" t="s">
        <v>619</v>
      </c>
      <c r="C1143" s="74"/>
      <c r="D1143" s="338">
        <v>2</v>
      </c>
      <c r="E1143" s="339">
        <v>10</v>
      </c>
      <c r="F1143" s="69"/>
      <c r="G1143" s="69"/>
      <c r="H1143" s="69"/>
      <c r="I1143" s="69">
        <f t="shared" si="46"/>
        <v>20</v>
      </c>
      <c r="J1143" s="69"/>
      <c r="K1143" s="70" t="s">
        <v>82</v>
      </c>
      <c r="L1143" s="64"/>
      <c r="M1143" s="64"/>
      <c r="N1143" s="64"/>
      <c r="O1143" s="64"/>
      <c r="P1143" s="65"/>
      <c r="Q1143" s="65"/>
    </row>
    <row r="1144" spans="1:17" s="66" customFormat="1" ht="17.5" customHeight="1">
      <c r="A1144" s="67"/>
      <c r="B1144" s="74"/>
      <c r="C1144" s="74"/>
      <c r="D1144" s="68"/>
      <c r="E1144" s="69"/>
      <c r="F1144" s="69"/>
      <c r="G1144" s="69"/>
      <c r="H1144" s="69"/>
      <c r="I1144" s="69">
        <f>SUM(I1137:I1143)</f>
        <v>137.91999999999999</v>
      </c>
      <c r="J1144" s="69"/>
      <c r="K1144" s="70" t="s">
        <v>82</v>
      </c>
      <c r="L1144" s="64"/>
      <c r="M1144" s="64"/>
      <c r="N1144" s="64"/>
      <c r="O1144" s="64"/>
      <c r="P1144" s="65"/>
      <c r="Q1144" s="65"/>
    </row>
    <row r="1145" spans="1:17" s="66" customFormat="1" ht="17.5" customHeight="1">
      <c r="A1145" s="67"/>
      <c r="B1145" s="74"/>
      <c r="C1145" s="74"/>
      <c r="D1145" s="68"/>
      <c r="E1145" s="69"/>
      <c r="F1145" s="69"/>
      <c r="G1145" s="69"/>
      <c r="H1145" s="69"/>
      <c r="I1145" s="69"/>
      <c r="J1145" s="69"/>
      <c r="K1145" s="70"/>
      <c r="L1145" s="64"/>
      <c r="M1145" s="64"/>
      <c r="N1145" s="64"/>
      <c r="O1145" s="64"/>
      <c r="P1145" s="65"/>
      <c r="Q1145" s="65"/>
    </row>
    <row r="1146" spans="1:17" s="66" customFormat="1" ht="17.5" customHeight="1">
      <c r="A1146" s="67">
        <v>17</v>
      </c>
      <c r="B1146" s="76" t="s">
        <v>103</v>
      </c>
      <c r="C1146" s="76"/>
      <c r="D1146" s="68"/>
      <c r="E1146" s="69"/>
      <c r="F1146" s="69"/>
      <c r="G1146" s="69"/>
      <c r="H1146" s="69"/>
      <c r="I1146" s="69"/>
      <c r="J1146" s="69"/>
      <c r="K1146" s="70"/>
      <c r="L1146" s="64"/>
      <c r="M1146" s="64"/>
      <c r="N1146" s="64"/>
      <c r="O1146" s="64"/>
      <c r="P1146" s="65"/>
      <c r="Q1146" s="65"/>
    </row>
    <row r="1147" spans="1:17" s="66" customFormat="1" ht="17.5" customHeight="1">
      <c r="A1147" s="67"/>
      <c r="B1147" s="74" t="s">
        <v>46</v>
      </c>
      <c r="C1147" s="74"/>
      <c r="D1147" s="68"/>
      <c r="E1147" s="69"/>
      <c r="F1147" s="69"/>
      <c r="G1147" s="69"/>
      <c r="H1147" s="69"/>
      <c r="I1147" s="71">
        <f>J31</f>
        <v>2960.8</v>
      </c>
      <c r="J1147" s="69"/>
      <c r="K1147" s="70" t="s">
        <v>27</v>
      </c>
      <c r="L1147" s="64"/>
      <c r="M1147" s="64"/>
      <c r="N1147" s="64"/>
      <c r="O1147" s="64"/>
      <c r="P1147" s="78"/>
      <c r="Q1147" s="65"/>
    </row>
    <row r="1148" spans="1:17" s="66" customFormat="1" ht="17.5" customHeight="1">
      <c r="A1148" s="67"/>
      <c r="B1148" s="67" t="s">
        <v>44</v>
      </c>
      <c r="C1148" s="67"/>
      <c r="D1148" s="68"/>
      <c r="E1148" s="69"/>
      <c r="F1148" s="69"/>
      <c r="G1148" s="69"/>
      <c r="H1148" s="69"/>
      <c r="I1148" s="69"/>
      <c r="J1148" s="69"/>
      <c r="K1148" s="70"/>
      <c r="L1148" s="64"/>
      <c r="M1148" s="64"/>
      <c r="N1148" s="64"/>
      <c r="O1148" s="64"/>
      <c r="P1148" s="65"/>
      <c r="Q1148" s="65"/>
    </row>
    <row r="1149" spans="1:17" s="66" customFormat="1" ht="17.5" customHeight="1">
      <c r="A1149" s="67"/>
      <c r="B1149" s="67" t="str">
        <f>B34</f>
        <v xml:space="preserve"> Hard Core Laying with sand Work</v>
      </c>
      <c r="C1149" s="67"/>
      <c r="D1149" s="68"/>
      <c r="E1149" s="69"/>
      <c r="F1149" s="69"/>
      <c r="G1149" s="69"/>
      <c r="H1149" s="69">
        <f>J40</f>
        <v>146.5</v>
      </c>
      <c r="I1149" s="69"/>
      <c r="J1149" s="69"/>
      <c r="K1149" s="70" t="s">
        <v>27</v>
      </c>
      <c r="L1149" s="64"/>
      <c r="M1149" s="64"/>
      <c r="N1149" s="64"/>
      <c r="O1149" s="64"/>
      <c r="P1149" s="65"/>
      <c r="Q1149" s="65"/>
    </row>
    <row r="1150" spans="1:17" s="66" customFormat="1" ht="17.5" customHeight="1">
      <c r="A1150" s="67"/>
      <c r="B1150" s="74" t="s">
        <v>45</v>
      </c>
      <c r="C1150" s="74"/>
      <c r="D1150" s="68"/>
      <c r="E1150" s="69"/>
      <c r="F1150" s="69"/>
      <c r="G1150" s="69"/>
      <c r="H1150" s="72">
        <f>J66</f>
        <v>389.55</v>
      </c>
      <c r="I1150" s="69"/>
      <c r="J1150" s="69"/>
      <c r="K1150" s="70" t="s">
        <v>27</v>
      </c>
      <c r="L1150" s="64"/>
    </row>
    <row r="1151" spans="1:17" s="66" customFormat="1" ht="17.5" customHeight="1">
      <c r="A1151" s="67"/>
      <c r="B1151" s="67" t="s">
        <v>144</v>
      </c>
      <c r="C1151" s="74"/>
      <c r="D1151" s="68"/>
      <c r="E1151" s="69"/>
      <c r="F1151" s="69"/>
      <c r="G1151" s="69"/>
      <c r="H1151" s="72">
        <f>J110</f>
        <v>285.18</v>
      </c>
      <c r="I1151" s="69"/>
      <c r="J1151" s="69"/>
      <c r="K1151" s="70" t="s">
        <v>27</v>
      </c>
      <c r="L1151" s="64"/>
    </row>
    <row r="1152" spans="1:17" s="66" customFormat="1" ht="17.5" customHeight="1">
      <c r="A1152" s="67"/>
      <c r="B1152" s="67" t="s">
        <v>60</v>
      </c>
      <c r="C1152" s="74"/>
      <c r="D1152" s="68"/>
      <c r="E1152" s="69"/>
      <c r="F1152" s="69"/>
      <c r="G1152" s="69"/>
      <c r="H1152" s="72"/>
      <c r="I1152" s="69"/>
      <c r="J1152" s="69"/>
      <c r="K1152" s="70"/>
      <c r="L1152" s="64"/>
    </row>
    <row r="1153" spans="1:17" s="66" customFormat="1" ht="17.5" customHeight="1">
      <c r="A1153" s="67"/>
      <c r="B1153" s="74" t="s">
        <v>149</v>
      </c>
      <c r="C1153" s="74"/>
      <c r="D1153" s="68">
        <f t="shared" ref="D1153:F1154" si="47">D141</f>
        <v>12</v>
      </c>
      <c r="E1153" s="69">
        <f t="shared" si="47"/>
        <v>1</v>
      </c>
      <c r="F1153" s="69">
        <f t="shared" si="47"/>
        <v>1</v>
      </c>
      <c r="G1153" s="69">
        <f>5-1</f>
        <v>4</v>
      </c>
      <c r="H1153" s="69"/>
      <c r="I1153" s="69"/>
      <c r="J1153" s="69"/>
      <c r="K1153" s="70" t="s">
        <v>27</v>
      </c>
      <c r="L1153" s="64"/>
    </row>
    <row r="1154" spans="1:17" s="66" customFormat="1" ht="17.5" customHeight="1">
      <c r="A1154" s="67"/>
      <c r="B1154" s="74" t="s">
        <v>423</v>
      </c>
      <c r="C1154" s="74"/>
      <c r="D1154" s="68">
        <f t="shared" si="47"/>
        <v>2</v>
      </c>
      <c r="E1154" s="69">
        <f t="shared" si="47"/>
        <v>0.83</v>
      </c>
      <c r="F1154" s="69">
        <f t="shared" si="47"/>
        <v>0.83</v>
      </c>
      <c r="G1154" s="69">
        <f>5-1</f>
        <v>4</v>
      </c>
      <c r="H1154" s="69">
        <f>D1154*E1154*F1154*G1154</f>
        <v>5.51</v>
      </c>
      <c r="I1154" s="69"/>
      <c r="J1154" s="69"/>
      <c r="K1154" s="70" t="s">
        <v>27</v>
      </c>
      <c r="L1154" s="64"/>
    </row>
    <row r="1155" spans="1:17" s="66" customFormat="1" ht="17.5" customHeight="1">
      <c r="A1155" s="67"/>
      <c r="B1155" s="74" t="s">
        <v>42</v>
      </c>
      <c r="C1155" s="74"/>
      <c r="D1155" s="68">
        <v>1</v>
      </c>
      <c r="E1155" s="69">
        <f>E94</f>
        <v>201.42</v>
      </c>
      <c r="F1155" s="69">
        <f>13.5/12</f>
        <v>1.1299999999999999</v>
      </c>
      <c r="G1155" s="69">
        <f>0.25</f>
        <v>0.25</v>
      </c>
      <c r="H1155" s="72">
        <f>D1155*E1155*F1155*G1155</f>
        <v>56.9</v>
      </c>
      <c r="I1155" s="69"/>
      <c r="J1155" s="69"/>
      <c r="K1155" s="70" t="s">
        <v>27</v>
      </c>
      <c r="L1155" s="64"/>
      <c r="M1155" s="117"/>
    </row>
    <row r="1156" spans="1:17" s="66" customFormat="1" ht="17.5" customHeight="1">
      <c r="A1156" s="67"/>
      <c r="B1156" s="74"/>
      <c r="C1156" s="74"/>
      <c r="D1156" s="68">
        <f>D1155</f>
        <v>1</v>
      </c>
      <c r="E1156" s="69">
        <f>E1155</f>
        <v>201.42</v>
      </c>
      <c r="F1156" s="69">
        <f>9/12</f>
        <v>0.75</v>
      </c>
      <c r="G1156" s="69">
        <f>1.5</f>
        <v>1.5</v>
      </c>
      <c r="H1156" s="72">
        <f>D1156*E1156*F1156*G1156</f>
        <v>226.6</v>
      </c>
      <c r="I1156" s="69"/>
      <c r="J1156" s="69"/>
      <c r="K1156" s="70" t="s">
        <v>27</v>
      </c>
      <c r="L1156" s="64"/>
      <c r="M1156" s="117"/>
    </row>
    <row r="1157" spans="1:17" s="66" customFormat="1" ht="17.5" customHeight="1">
      <c r="A1157" s="67"/>
      <c r="B1157" s="67"/>
      <c r="C1157" s="67"/>
      <c r="D1157" s="68"/>
      <c r="E1157" s="69"/>
      <c r="F1157" s="69"/>
      <c r="G1157" s="69"/>
      <c r="H1157" s="72">
        <f>SUM(H1147:H1156)</f>
        <v>1110.24</v>
      </c>
      <c r="I1157" s="72">
        <f>SUM(I1147:I1156)</f>
        <v>2960.8</v>
      </c>
      <c r="J1157" s="69">
        <f>I1157-H1157</f>
        <v>1850.56</v>
      </c>
      <c r="K1157" s="75" t="s">
        <v>27</v>
      </c>
      <c r="L1157" s="64"/>
    </row>
    <row r="1158" spans="1:17" s="66" customFormat="1" ht="17.5" customHeight="1">
      <c r="A1158" s="67"/>
      <c r="B1158" s="67"/>
      <c r="C1158" s="67"/>
      <c r="D1158" s="68"/>
      <c r="E1158" s="69"/>
      <c r="F1158" s="69"/>
      <c r="G1158" s="69"/>
      <c r="H1158" s="69"/>
      <c r="I1158" s="69"/>
      <c r="J1158" s="69">
        <f>J1157/100</f>
        <v>18.510000000000002</v>
      </c>
      <c r="K1158" s="75" t="s">
        <v>7</v>
      </c>
      <c r="L1158" s="64"/>
    </row>
    <row r="1159" spans="1:17" s="66" customFormat="1" ht="18.649999999999999" customHeight="1">
      <c r="A1159" s="67"/>
      <c r="B1159" s="76" t="s">
        <v>40</v>
      </c>
      <c r="C1159" s="76"/>
      <c r="D1159" s="68"/>
      <c r="E1159" s="69"/>
      <c r="F1159" s="69"/>
      <c r="G1159" s="69"/>
      <c r="H1159" s="69"/>
      <c r="I1159" s="69"/>
      <c r="J1159" s="69"/>
      <c r="K1159" s="70"/>
      <c r="L1159" s="64"/>
    </row>
    <row r="1160" spans="1:17" s="66" customFormat="1" ht="18.649999999999999" customHeight="1">
      <c r="A1160" s="67"/>
      <c r="B1160" s="74" t="s">
        <v>41</v>
      </c>
      <c r="C1160" s="74"/>
      <c r="D1160" s="68"/>
      <c r="F1160" s="69"/>
      <c r="G1160" s="69"/>
      <c r="H1160" s="69"/>
      <c r="I1160" s="69">
        <f>H1157</f>
        <v>1110.24</v>
      </c>
      <c r="J1160" s="72">
        <f>SUM(I1160)</f>
        <v>1110.24</v>
      </c>
      <c r="K1160" s="70" t="s">
        <v>27</v>
      </c>
      <c r="L1160" s="64"/>
    </row>
    <row r="1161" spans="1:17" s="66" customFormat="1" ht="18.649999999999999" customHeight="1">
      <c r="A1161" s="67"/>
      <c r="B1161" s="67"/>
      <c r="C1161" s="67"/>
      <c r="D1161" s="68"/>
      <c r="E1161" s="69"/>
      <c r="F1161" s="69"/>
      <c r="G1161" s="69"/>
      <c r="H1161" s="69"/>
      <c r="I1161" s="69"/>
      <c r="J1161" s="69">
        <f>I1160/100*0</f>
        <v>0</v>
      </c>
      <c r="K1161" s="75" t="s">
        <v>7</v>
      </c>
      <c r="L1161" s="64"/>
      <c r="M1161" s="64"/>
      <c r="N1161" s="64"/>
      <c r="O1161" s="64"/>
      <c r="P1161" s="65"/>
      <c r="Q1161" s="65"/>
    </row>
    <row r="1162" spans="1:17" s="66" customFormat="1" ht="18.649999999999999" customHeight="1">
      <c r="A1162" s="96"/>
      <c r="B1162" s="97"/>
      <c r="C1162" s="97"/>
      <c r="D1162" s="68"/>
      <c r="E1162" s="69"/>
      <c r="F1162" s="69"/>
      <c r="G1162" s="69"/>
      <c r="H1162" s="69"/>
      <c r="I1162" s="69"/>
      <c r="J1162" s="69"/>
      <c r="K1162" s="70"/>
    </row>
    <row r="1163" spans="1:17" s="66" customFormat="1" ht="18.649999999999999" customHeight="1">
      <c r="A1163" s="96">
        <v>18</v>
      </c>
      <c r="B1163" s="98" t="s">
        <v>55</v>
      </c>
      <c r="C1163" s="98"/>
      <c r="D1163" s="68"/>
      <c r="E1163" s="69"/>
      <c r="F1163" s="69"/>
      <c r="G1163" s="69"/>
      <c r="H1163" s="69"/>
      <c r="I1163" s="69"/>
      <c r="J1163" s="69"/>
      <c r="K1163" s="70"/>
    </row>
    <row r="1164" spans="1:17" s="66" customFormat="1" ht="18.649999999999999" customHeight="1">
      <c r="A1164" s="96"/>
      <c r="B1164" s="98" t="s">
        <v>629</v>
      </c>
      <c r="C1164" s="98"/>
      <c r="D1164" s="68"/>
      <c r="E1164" s="69"/>
      <c r="F1164" s="69"/>
      <c r="G1164" s="69"/>
      <c r="H1164" s="69"/>
      <c r="I1164" s="69">
        <f>H1157</f>
        <v>1110.24</v>
      </c>
      <c r="J1164" s="69"/>
      <c r="K1164" s="70" t="s">
        <v>27</v>
      </c>
    </row>
    <row r="1165" spans="1:17" s="66" customFormat="1" ht="18.649999999999999" customHeight="1">
      <c r="A1165" s="96"/>
      <c r="B1165" s="98"/>
      <c r="C1165" s="98"/>
      <c r="D1165" s="68"/>
      <c r="E1165" s="69"/>
      <c r="F1165" s="69"/>
      <c r="G1165" s="69"/>
      <c r="H1165" s="69"/>
      <c r="I1165" s="69"/>
      <c r="J1165" s="69">
        <f>I1164/100</f>
        <v>11.1</v>
      </c>
      <c r="K1165" s="75" t="s">
        <v>7</v>
      </c>
    </row>
    <row r="1166" spans="1:17" s="66" customFormat="1" ht="18.649999999999999" customHeight="1">
      <c r="A1166" s="96"/>
      <c r="B1166" s="98"/>
      <c r="C1166" s="98"/>
      <c r="D1166" s="68"/>
      <c r="E1166" s="69"/>
      <c r="F1166" s="69"/>
      <c r="G1166" s="69"/>
      <c r="H1166" s="69"/>
      <c r="I1166" s="69"/>
      <c r="J1166" s="69"/>
      <c r="K1166" s="70"/>
    </row>
    <row r="1167" spans="1:17" s="66" customFormat="1" ht="18.649999999999999" customHeight="1">
      <c r="A1167" s="96"/>
      <c r="B1167" s="98" t="s">
        <v>93</v>
      </c>
      <c r="C1167" s="98"/>
      <c r="D1167" s="68"/>
      <c r="E1167" s="69"/>
      <c r="F1167" s="69"/>
      <c r="G1167" s="69"/>
      <c r="H1167" s="69"/>
      <c r="I1167" s="69"/>
      <c r="J1167" s="69"/>
      <c r="K1167" s="70"/>
    </row>
    <row r="1168" spans="1:17" s="32" customFormat="1" ht="18.649999999999999" customHeight="1">
      <c r="A1168" s="91"/>
      <c r="B1168" s="74"/>
      <c r="C1168" s="74"/>
      <c r="D1168" s="68">
        <v>1</v>
      </c>
      <c r="E1168" s="69">
        <v>25</v>
      </c>
      <c r="F1168" s="69">
        <v>35</v>
      </c>
      <c r="G1168" s="69">
        <f>3-0.5</f>
        <v>2.5</v>
      </c>
      <c r="H1168" s="69"/>
      <c r="I1168" s="69">
        <f>D1168*E1168*F1168*G1168</f>
        <v>2187.5</v>
      </c>
      <c r="J1168" s="69"/>
      <c r="K1168" s="70" t="s">
        <v>27</v>
      </c>
    </row>
    <row r="1169" spans="1:11" s="32" customFormat="1" ht="18.649999999999999" customHeight="1">
      <c r="A1169" s="91"/>
      <c r="B1169" s="74"/>
      <c r="C1169" s="74"/>
      <c r="D1169" s="68">
        <v>1</v>
      </c>
      <c r="E1169" s="69">
        <v>10.67</v>
      </c>
      <c r="F1169" s="69">
        <v>4.5</v>
      </c>
      <c r="G1169" s="69">
        <f>G1168</f>
        <v>2.5</v>
      </c>
      <c r="H1169" s="69"/>
      <c r="I1169" s="69">
        <f>D1169*E1169*F1169*G1169</f>
        <v>120.04</v>
      </c>
      <c r="J1169" s="69"/>
      <c r="K1169" s="70" t="s">
        <v>27</v>
      </c>
    </row>
    <row r="1170" spans="1:11" s="32" customFormat="1" ht="18.649999999999999" customHeight="1">
      <c r="A1170" s="91"/>
      <c r="B1170" s="74"/>
      <c r="C1170" s="74"/>
      <c r="D1170" s="68">
        <v>1</v>
      </c>
      <c r="E1170" s="69">
        <v>4</v>
      </c>
      <c r="F1170" s="69">
        <v>16.5</v>
      </c>
      <c r="G1170" s="69">
        <f>G1169</f>
        <v>2.5</v>
      </c>
      <c r="H1170" s="69"/>
      <c r="I1170" s="69">
        <f>D1170*E1170*F1170*G1170</f>
        <v>165</v>
      </c>
      <c r="J1170" s="69"/>
      <c r="K1170" s="70" t="s">
        <v>27</v>
      </c>
    </row>
    <row r="1171" spans="1:11" s="32" customFormat="1" ht="18.649999999999999" customHeight="1">
      <c r="A1171" s="91"/>
      <c r="B1171" s="91" t="s">
        <v>25</v>
      </c>
      <c r="C1171" s="91"/>
      <c r="D1171" s="59"/>
      <c r="E1171" s="244"/>
      <c r="F1171" s="244"/>
      <c r="G1171" s="244"/>
      <c r="H1171" s="244"/>
      <c r="I1171" s="60"/>
      <c r="J1171" s="60"/>
      <c r="K1171" s="70"/>
    </row>
    <row r="1172" spans="1:11" s="32" customFormat="1" ht="18.649999999999999" customHeight="1">
      <c r="A1172" s="91"/>
      <c r="B1172" s="58" t="s">
        <v>243</v>
      </c>
      <c r="C1172" s="58"/>
      <c r="D1172" s="59">
        <v>10</v>
      </c>
      <c r="E1172" s="244">
        <v>1</v>
      </c>
      <c r="F1172" s="244">
        <v>1</v>
      </c>
      <c r="G1172" s="244">
        <f>G1168</f>
        <v>2.5</v>
      </c>
      <c r="H1172" s="244">
        <f>D1172*E1172*F1172*G1172</f>
        <v>25</v>
      </c>
      <c r="I1172" s="60"/>
      <c r="J1172" s="60"/>
      <c r="K1172" s="70" t="s">
        <v>27</v>
      </c>
    </row>
    <row r="1173" spans="1:11" s="32" customFormat="1" ht="18.649999999999999" customHeight="1">
      <c r="A1173" s="91"/>
      <c r="B1173" s="58" t="s">
        <v>244</v>
      </c>
      <c r="C1173" s="58"/>
      <c r="D1173" s="59">
        <v>2</v>
      </c>
      <c r="E1173" s="244">
        <v>0.83</v>
      </c>
      <c r="F1173" s="244">
        <v>0.83</v>
      </c>
      <c r="G1173" s="244">
        <f>G1172</f>
        <v>2.5</v>
      </c>
      <c r="H1173" s="244">
        <f>D1173*E1173*F1173*G1173</f>
        <v>3.44</v>
      </c>
      <c r="I1173" s="60"/>
      <c r="J1173" s="60"/>
      <c r="K1173" s="70" t="s">
        <v>27</v>
      </c>
    </row>
    <row r="1174" spans="1:11" s="32" customFormat="1" ht="18.649999999999999" customHeight="1">
      <c r="A1174" s="91"/>
      <c r="B1174" s="58" t="str">
        <f>B224</f>
        <v>Total Length of GB1 (10" x 10")</v>
      </c>
      <c r="C1174" s="58"/>
      <c r="D1174" s="59">
        <v>1</v>
      </c>
      <c r="E1174" s="244">
        <f>E224</f>
        <v>143.76</v>
      </c>
      <c r="F1174" s="244">
        <v>1</v>
      </c>
      <c r="G1174" s="244">
        <f>0.83-0.5</f>
        <v>0.33</v>
      </c>
      <c r="H1174" s="244">
        <f>D1174*E1174*F1174*G1174</f>
        <v>47.44</v>
      </c>
      <c r="I1174" s="60"/>
      <c r="J1174" s="60"/>
      <c r="K1174" s="70" t="s">
        <v>27</v>
      </c>
    </row>
    <row r="1175" spans="1:11" s="32" customFormat="1" ht="18.649999999999999" customHeight="1">
      <c r="A1175" s="91"/>
      <c r="B1175" s="58" t="str">
        <f>B228</f>
        <v>Total Length of GB2 (10" x 12")</v>
      </c>
      <c r="C1175" s="58"/>
      <c r="D1175" s="59">
        <v>1</v>
      </c>
      <c r="E1175" s="244">
        <f>E228</f>
        <v>72.34</v>
      </c>
      <c r="F1175" s="244">
        <v>1</v>
      </c>
      <c r="G1175" s="244">
        <f>1-0.5</f>
        <v>0.5</v>
      </c>
      <c r="H1175" s="244">
        <f>D1175*E1175*F1175*G1175</f>
        <v>36.17</v>
      </c>
      <c r="I1175" s="60"/>
      <c r="J1175" s="60"/>
      <c r="K1175" s="70" t="s">
        <v>27</v>
      </c>
    </row>
    <row r="1176" spans="1:11" s="32" customFormat="1" ht="18.649999999999999" customHeight="1">
      <c r="A1176" s="91"/>
      <c r="B1176" s="58" t="s">
        <v>389</v>
      </c>
      <c r="C1176" s="58"/>
      <c r="D1176" s="59">
        <v>1</v>
      </c>
      <c r="E1176" s="244">
        <f>E232</f>
        <v>64.34</v>
      </c>
      <c r="F1176" s="244">
        <v>1</v>
      </c>
      <c r="G1176" s="244">
        <f>1.17-0.5</f>
        <v>0.67</v>
      </c>
      <c r="H1176" s="244">
        <f>D1176*E1176*F1176*G1176</f>
        <v>43.11</v>
      </c>
      <c r="I1176" s="60"/>
      <c r="J1176" s="60"/>
      <c r="K1176" s="70" t="s">
        <v>27</v>
      </c>
    </row>
    <row r="1177" spans="1:11" s="32" customFormat="1" ht="18.649999999999999" customHeight="1">
      <c r="A1177" s="91"/>
      <c r="B1177" s="58" t="s">
        <v>636</v>
      </c>
      <c r="C1177" s="58"/>
      <c r="D1177" s="59"/>
      <c r="E1177" s="244"/>
      <c r="F1177" s="244"/>
      <c r="G1177" s="244"/>
      <c r="H1177" s="244">
        <f>I1164</f>
        <v>1110.24</v>
      </c>
      <c r="I1177" s="60"/>
      <c r="J1177" s="60"/>
      <c r="K1177" s="70"/>
    </row>
    <row r="1178" spans="1:11" s="32" customFormat="1" ht="18.649999999999999" customHeight="1">
      <c r="A1178" s="91"/>
      <c r="B1178" s="58"/>
      <c r="C1178" s="58"/>
      <c r="D1178" s="59"/>
      <c r="E1178" s="244"/>
      <c r="F1178" s="244"/>
      <c r="G1178" s="244"/>
      <c r="H1178" s="302">
        <f>SUM(H1168:H1177)</f>
        <v>1265.4000000000001</v>
      </c>
      <c r="I1178" s="302">
        <f>SUM(I1168:I1177)</f>
        <v>2472.5</v>
      </c>
      <c r="J1178" s="60"/>
      <c r="K1178" s="70" t="s">
        <v>27</v>
      </c>
    </row>
    <row r="1179" spans="1:11" s="32" customFormat="1" ht="18.649999999999999" customHeight="1">
      <c r="A1179" s="91"/>
      <c r="B1179" s="58"/>
      <c r="C1179" s="58"/>
      <c r="D1179" s="59"/>
      <c r="E1179" s="244"/>
      <c r="F1179" s="244"/>
      <c r="G1179" s="244"/>
      <c r="H1179" s="244"/>
      <c r="I1179" s="60"/>
      <c r="J1179" s="303">
        <f>I1178-H1178</f>
        <v>1207.0999999999999</v>
      </c>
      <c r="K1179" s="70" t="s">
        <v>27</v>
      </c>
    </row>
    <row r="1180" spans="1:11" s="32" customFormat="1" ht="18.649999999999999" customHeight="1">
      <c r="A1180" s="91"/>
      <c r="B1180" s="91"/>
      <c r="C1180" s="91"/>
      <c r="D1180" s="59"/>
      <c r="E1180" s="244"/>
      <c r="F1180" s="244"/>
      <c r="G1180" s="244"/>
      <c r="H1180" s="244"/>
      <c r="I1180" s="60"/>
      <c r="J1180" s="60">
        <f>J1179/100</f>
        <v>12.07</v>
      </c>
      <c r="K1180" s="70" t="s">
        <v>7</v>
      </c>
    </row>
    <row r="1181" spans="1:11" s="32" customFormat="1" ht="18.649999999999999" customHeight="1">
      <c r="A1181" s="91"/>
      <c r="B1181" s="91"/>
      <c r="C1181" s="91"/>
      <c r="D1181" s="59"/>
      <c r="E1181" s="244"/>
      <c r="F1181" s="244"/>
      <c r="G1181" s="244"/>
      <c r="H1181" s="244"/>
      <c r="I1181" s="60"/>
      <c r="J1181" s="60"/>
      <c r="K1181" s="70"/>
    </row>
    <row r="1182" spans="1:11" s="32" customFormat="1" ht="19.5" customHeight="1">
      <c r="A1182" s="91"/>
      <c r="B1182" s="304" t="s">
        <v>94</v>
      </c>
      <c r="C1182" s="304"/>
      <c r="D1182" s="59"/>
      <c r="E1182" s="244" t="s">
        <v>630</v>
      </c>
      <c r="F1182" s="244"/>
      <c r="G1182" s="244"/>
      <c r="H1182" s="244"/>
      <c r="I1182" s="60"/>
      <c r="J1182" s="60"/>
      <c r="K1182" s="70"/>
    </row>
    <row r="1183" spans="1:11" s="32" customFormat="1" ht="19.5" customHeight="1">
      <c r="A1183" s="91"/>
      <c r="B1183" s="58"/>
      <c r="C1183" s="58"/>
      <c r="D1183" s="59">
        <f>D1168</f>
        <v>1</v>
      </c>
      <c r="E1183" s="244">
        <v>25</v>
      </c>
      <c r="F1183" s="244">
        <v>35</v>
      </c>
      <c r="G1183" s="244">
        <f>4.5/12</f>
        <v>0.38</v>
      </c>
      <c r="H1183" s="244"/>
      <c r="I1183" s="305">
        <f>D1183*E1183*F1183*G1183</f>
        <v>332.5</v>
      </c>
      <c r="J1183" s="60"/>
      <c r="K1183" s="70" t="s">
        <v>27</v>
      </c>
    </row>
    <row r="1184" spans="1:11" s="32" customFormat="1" ht="19.5" customHeight="1">
      <c r="A1184" s="91"/>
      <c r="B1184" s="58"/>
      <c r="C1184" s="58"/>
      <c r="D1184" s="59">
        <f>D1169</f>
        <v>1</v>
      </c>
      <c r="E1184" s="244">
        <v>10.67</v>
      </c>
      <c r="F1184" s="244">
        <v>4.5</v>
      </c>
      <c r="G1184" s="244">
        <f>4.5/12</f>
        <v>0.38</v>
      </c>
      <c r="H1184" s="244"/>
      <c r="I1184" s="305">
        <f>D1184*E1184*F1184*G1184</f>
        <v>18.2</v>
      </c>
      <c r="J1184" s="60"/>
      <c r="K1184" s="70" t="s">
        <v>27</v>
      </c>
    </row>
    <row r="1185" spans="1:11" s="32" customFormat="1" ht="19.5" customHeight="1">
      <c r="A1185" s="91"/>
      <c r="B1185" s="58"/>
      <c r="C1185" s="58"/>
      <c r="D1185" s="59">
        <v>1</v>
      </c>
      <c r="E1185" s="244">
        <v>4</v>
      </c>
      <c r="F1185" s="244">
        <v>16.5</v>
      </c>
      <c r="G1185" s="244">
        <f>4.5/12</f>
        <v>0.38</v>
      </c>
      <c r="H1185" s="244"/>
      <c r="I1185" s="305">
        <f>D1185*E1185*F1185*G1185</f>
        <v>25.1</v>
      </c>
      <c r="J1185" s="60"/>
      <c r="K1185" s="70" t="s">
        <v>27</v>
      </c>
    </row>
    <row r="1186" spans="1:11" s="32" customFormat="1" ht="19.5" customHeight="1">
      <c r="A1186" s="91"/>
      <c r="B1186" s="91" t="s">
        <v>25</v>
      </c>
      <c r="C1186" s="91"/>
      <c r="D1186" s="59"/>
      <c r="E1186" s="244"/>
      <c r="F1186" s="244"/>
      <c r="G1186" s="244"/>
      <c r="H1186" s="244"/>
      <c r="I1186" s="60"/>
      <c r="J1186" s="60"/>
      <c r="K1186" s="70"/>
    </row>
    <row r="1187" spans="1:11" s="32" customFormat="1" ht="19.5" customHeight="1">
      <c r="A1187" s="91"/>
      <c r="B1187" s="58" t="str">
        <f>B1172</f>
        <v>C1</v>
      </c>
      <c r="C1187" s="58"/>
      <c r="D1187" s="59">
        <f>D1172</f>
        <v>10</v>
      </c>
      <c r="E1187" s="244">
        <f>E1172</f>
        <v>1</v>
      </c>
      <c r="F1187" s="244">
        <f>F1172</f>
        <v>1</v>
      </c>
      <c r="G1187" s="244">
        <f>G1183</f>
        <v>0.38</v>
      </c>
      <c r="H1187" s="244">
        <f>D1187*E1187*F1187*G1187</f>
        <v>3.8</v>
      </c>
      <c r="I1187" s="60"/>
      <c r="J1187" s="60"/>
      <c r="K1187" s="70" t="s">
        <v>27</v>
      </c>
    </row>
    <row r="1188" spans="1:11" s="32" customFormat="1" ht="19.5" customHeight="1">
      <c r="A1188" s="91"/>
      <c r="B1188" s="58" t="s">
        <v>244</v>
      </c>
      <c r="C1188" s="58"/>
      <c r="D1188" s="59">
        <v>2</v>
      </c>
      <c r="E1188" s="244">
        <v>0.83</v>
      </c>
      <c r="F1188" s="244">
        <v>0.83</v>
      </c>
      <c r="G1188" s="244">
        <f>G1187</f>
        <v>0.38</v>
      </c>
      <c r="H1188" s="244">
        <f>D1188*E1188*F1188*G1188</f>
        <v>0.52</v>
      </c>
      <c r="I1188" s="60"/>
      <c r="J1188" s="60"/>
      <c r="K1188" s="70" t="s">
        <v>27</v>
      </c>
    </row>
    <row r="1189" spans="1:11" s="32" customFormat="1" ht="19.5" customHeight="1">
      <c r="A1189" s="91"/>
      <c r="B1189" s="58" t="str">
        <f>B1174</f>
        <v>Total Length of GB1 (10" x 10")</v>
      </c>
      <c r="C1189" s="58"/>
      <c r="D1189" s="59">
        <f t="shared" ref="D1189:F1191" si="48">D1174</f>
        <v>1</v>
      </c>
      <c r="E1189" s="244">
        <f t="shared" si="48"/>
        <v>143.76</v>
      </c>
      <c r="F1189" s="244">
        <f t="shared" si="48"/>
        <v>1</v>
      </c>
      <c r="G1189" s="244">
        <f>G1183</f>
        <v>0.38</v>
      </c>
      <c r="H1189" s="244">
        <f>D1189*E1189*F1189*G1189</f>
        <v>54.63</v>
      </c>
      <c r="I1189" s="60"/>
      <c r="J1189" s="60"/>
      <c r="K1189" s="70" t="s">
        <v>27</v>
      </c>
    </row>
    <row r="1190" spans="1:11" s="32" customFormat="1" ht="19.5" customHeight="1">
      <c r="A1190" s="91"/>
      <c r="B1190" s="58" t="str">
        <f>B1175</f>
        <v>Total Length of GB2 (10" x 12")</v>
      </c>
      <c r="C1190" s="58"/>
      <c r="D1190" s="59">
        <f t="shared" si="48"/>
        <v>1</v>
      </c>
      <c r="E1190" s="244">
        <f t="shared" si="48"/>
        <v>72.34</v>
      </c>
      <c r="F1190" s="244">
        <f t="shared" si="48"/>
        <v>1</v>
      </c>
      <c r="G1190" s="244">
        <f>G1183</f>
        <v>0.38</v>
      </c>
      <c r="H1190" s="244">
        <f>D1190*E1190*F1190*G1190</f>
        <v>27.49</v>
      </c>
      <c r="I1190" s="60"/>
      <c r="J1190" s="60"/>
      <c r="K1190" s="70" t="s">
        <v>27</v>
      </c>
    </row>
    <row r="1191" spans="1:11" s="32" customFormat="1" ht="19.5" customHeight="1">
      <c r="A1191" s="91"/>
      <c r="B1191" s="58" t="str">
        <f>B1176</f>
        <v>Total Length of PB3 (12" x 14")</v>
      </c>
      <c r="C1191" s="58"/>
      <c r="D1191" s="59">
        <f t="shared" si="48"/>
        <v>1</v>
      </c>
      <c r="E1191" s="244">
        <f t="shared" si="48"/>
        <v>64.34</v>
      </c>
      <c r="F1191" s="244">
        <f t="shared" si="48"/>
        <v>1</v>
      </c>
      <c r="G1191" s="244">
        <f>G1190</f>
        <v>0.38</v>
      </c>
      <c r="H1191" s="244">
        <f>D1191*E1191*F1191*G1191</f>
        <v>24.45</v>
      </c>
      <c r="I1191" s="60"/>
      <c r="J1191" s="60"/>
      <c r="K1191" s="70" t="s">
        <v>27</v>
      </c>
    </row>
    <row r="1192" spans="1:11" s="32" customFormat="1" ht="19.5" customHeight="1">
      <c r="A1192" s="91"/>
      <c r="B1192" s="304"/>
      <c r="C1192" s="304"/>
      <c r="D1192" s="59"/>
      <c r="E1192" s="244"/>
      <c r="F1192" s="244"/>
      <c r="G1192" s="244"/>
      <c r="H1192" s="244">
        <f>SUM(H1183:H1191)</f>
        <v>110.89</v>
      </c>
      <c r="I1192" s="244">
        <f>SUM(I1183:I1191)</f>
        <v>375.8</v>
      </c>
      <c r="J1192" s="60"/>
      <c r="K1192" s="70" t="s">
        <v>27</v>
      </c>
    </row>
    <row r="1193" spans="1:11" s="32" customFormat="1" ht="19.5" customHeight="1">
      <c r="A1193" s="91"/>
      <c r="B1193" s="304"/>
      <c r="C1193" s="304"/>
      <c r="D1193" s="59"/>
      <c r="E1193" s="244"/>
      <c r="F1193" s="244"/>
      <c r="G1193" s="244"/>
      <c r="H1193" s="244"/>
      <c r="I1193" s="60"/>
      <c r="J1193" s="60">
        <f>I1192-H1192</f>
        <v>264.91000000000003</v>
      </c>
      <c r="K1193" s="70" t="s">
        <v>27</v>
      </c>
    </row>
    <row r="1194" spans="1:11" s="32" customFormat="1" ht="19.5" customHeight="1">
      <c r="A1194" s="91"/>
      <c r="B1194" s="304"/>
      <c r="C1194" s="304"/>
      <c r="D1194" s="59"/>
      <c r="E1194" s="244"/>
      <c r="F1194" s="244"/>
      <c r="G1194" s="244"/>
      <c r="H1194" s="244"/>
      <c r="I1194" s="60"/>
      <c r="J1194" s="60">
        <f>J1193/100</f>
        <v>2.65</v>
      </c>
      <c r="K1194" s="70" t="s">
        <v>7</v>
      </c>
    </row>
    <row r="1195" spans="1:11" s="66" customFormat="1" ht="19.5" customHeight="1">
      <c r="A1195" s="96"/>
      <c r="B1195" s="98"/>
      <c r="C1195" s="98"/>
      <c r="D1195" s="68"/>
      <c r="E1195" s="69"/>
      <c r="F1195" s="69"/>
      <c r="G1195" s="69"/>
      <c r="H1195" s="69"/>
      <c r="I1195" s="69"/>
      <c r="J1195" s="69"/>
      <c r="K1195" s="70"/>
    </row>
    <row r="1196" spans="1:11" s="66" customFormat="1" ht="19.5" customHeight="1">
      <c r="A1196" s="96"/>
      <c r="B1196" s="98" t="s">
        <v>152</v>
      </c>
      <c r="C1196" s="98"/>
      <c r="D1196" s="68"/>
      <c r="E1196" s="69"/>
      <c r="F1196" s="69"/>
      <c r="G1196" s="69"/>
      <c r="H1196" s="69"/>
      <c r="I1196" s="69"/>
      <c r="J1196" s="69"/>
      <c r="K1196" s="70"/>
    </row>
    <row r="1197" spans="1:11" s="66" customFormat="1" ht="19.5" customHeight="1">
      <c r="A1197" s="96"/>
      <c r="C1197" s="98"/>
      <c r="D1197" s="68"/>
      <c r="E1197" s="69"/>
      <c r="F1197" s="69"/>
      <c r="G1197" s="69"/>
      <c r="H1197" s="69"/>
      <c r="I1197" s="69"/>
      <c r="J1197" s="69"/>
      <c r="K1197" s="70"/>
    </row>
    <row r="1198" spans="1:11" s="66" customFormat="1" ht="19.5" customHeight="1">
      <c r="A1198" s="96"/>
      <c r="B1198" s="96" t="s">
        <v>73</v>
      </c>
      <c r="C1198" s="98"/>
      <c r="D1198" s="68">
        <f>D1183</f>
        <v>1</v>
      </c>
      <c r="E1198" s="69">
        <f>E1183</f>
        <v>25</v>
      </c>
      <c r="F1198" s="69">
        <f>F1183</f>
        <v>35</v>
      </c>
      <c r="G1198" s="69"/>
      <c r="H1198" s="69"/>
      <c r="I1198" s="69">
        <f t="shared" ref="I1198:I1204" si="49">D1198*E1198*F1198</f>
        <v>875</v>
      </c>
      <c r="J1198" s="69"/>
      <c r="K1198" s="70" t="s">
        <v>21</v>
      </c>
    </row>
    <row r="1199" spans="1:11" s="66" customFormat="1" ht="19.5" customHeight="1">
      <c r="A1199" s="96"/>
      <c r="B1199" s="96"/>
      <c r="C1199" s="98"/>
      <c r="D1199" s="68">
        <v>1</v>
      </c>
      <c r="E1199" s="69">
        <v>10.67</v>
      </c>
      <c r="F1199" s="69">
        <v>4.5</v>
      </c>
      <c r="G1199" s="69"/>
      <c r="H1199" s="69"/>
      <c r="I1199" s="69">
        <f t="shared" si="49"/>
        <v>48.02</v>
      </c>
      <c r="J1199" s="69"/>
      <c r="K1199" s="70" t="s">
        <v>21</v>
      </c>
    </row>
    <row r="1200" spans="1:11" s="66" customFormat="1" ht="19.5" customHeight="1">
      <c r="A1200" s="96"/>
      <c r="B1200" s="96"/>
      <c r="C1200" s="98"/>
      <c r="D1200" s="68">
        <v>1</v>
      </c>
      <c r="E1200" s="69">
        <v>4</v>
      </c>
      <c r="F1200" s="69">
        <v>16.5</v>
      </c>
      <c r="G1200" s="69"/>
      <c r="H1200" s="69"/>
      <c r="I1200" s="69">
        <f t="shared" si="49"/>
        <v>66</v>
      </c>
      <c r="J1200" s="69"/>
      <c r="K1200" s="70" t="s">
        <v>21</v>
      </c>
    </row>
    <row r="1201" spans="1:17" s="66" customFormat="1" ht="19.5" customHeight="1">
      <c r="A1201" s="96"/>
      <c r="B1201" s="96" t="s">
        <v>137</v>
      </c>
      <c r="C1201" s="98"/>
      <c r="D1201" s="68">
        <f>D1198</f>
        <v>1</v>
      </c>
      <c r="E1201" s="69">
        <f>E1198</f>
        <v>25</v>
      </c>
      <c r="F1201" s="69">
        <v>35</v>
      </c>
      <c r="G1201" s="69"/>
      <c r="H1201" s="69"/>
      <c r="I1201" s="69">
        <f t="shared" si="49"/>
        <v>875</v>
      </c>
      <c r="J1201" s="69"/>
      <c r="K1201" s="70" t="s">
        <v>21</v>
      </c>
    </row>
    <row r="1202" spans="1:17" s="66" customFormat="1" ht="19.5" customHeight="1">
      <c r="A1202" s="96"/>
      <c r="B1202" s="97" t="s">
        <v>505</v>
      </c>
      <c r="C1202" s="98"/>
      <c r="D1202" s="68">
        <v>1</v>
      </c>
      <c r="E1202" s="69">
        <v>13</v>
      </c>
      <c r="F1202" s="69">
        <v>3.5</v>
      </c>
      <c r="G1202" s="69"/>
      <c r="H1202" s="69"/>
      <c r="I1202" s="69">
        <f t="shared" si="49"/>
        <v>45.5</v>
      </c>
      <c r="J1202" s="69"/>
      <c r="K1202" s="70" t="s">
        <v>21</v>
      </c>
    </row>
    <row r="1203" spans="1:17" s="66" customFormat="1" ht="19.5" customHeight="1">
      <c r="A1203" s="96"/>
      <c r="B1203" s="97" t="s">
        <v>631</v>
      </c>
      <c r="C1203" s="98"/>
      <c r="D1203" s="68">
        <v>1</v>
      </c>
      <c r="E1203" s="69">
        <v>4</v>
      </c>
      <c r="F1203" s="69">
        <v>16.5</v>
      </c>
      <c r="G1203" s="69"/>
      <c r="H1203" s="69"/>
      <c r="I1203" s="69">
        <f t="shared" si="49"/>
        <v>66</v>
      </c>
      <c r="J1203" s="69"/>
      <c r="K1203" s="70" t="s">
        <v>21</v>
      </c>
    </row>
    <row r="1204" spans="1:17" s="66" customFormat="1" ht="19.5" customHeight="1">
      <c r="A1204" s="96"/>
      <c r="B1204" s="96" t="s">
        <v>142</v>
      </c>
      <c r="C1204" s="98"/>
      <c r="D1204" s="68">
        <v>1</v>
      </c>
      <c r="E1204" s="69">
        <v>16.329999999999998</v>
      </c>
      <c r="F1204" s="69">
        <v>4</v>
      </c>
      <c r="G1204" s="69"/>
      <c r="H1204" s="69"/>
      <c r="I1204" s="69">
        <f t="shared" si="49"/>
        <v>65.319999999999993</v>
      </c>
      <c r="J1204" s="69"/>
      <c r="K1204" s="70" t="s">
        <v>21</v>
      </c>
    </row>
    <row r="1205" spans="1:17" s="66" customFormat="1" ht="19.5" customHeight="1">
      <c r="A1205" s="96"/>
      <c r="B1205" s="96"/>
      <c r="C1205" s="98"/>
      <c r="D1205" s="68"/>
      <c r="E1205" s="69"/>
      <c r="F1205" s="69"/>
      <c r="G1205" s="69"/>
      <c r="H1205" s="69"/>
      <c r="I1205" s="69"/>
      <c r="J1205" s="69"/>
      <c r="K1205" s="70"/>
    </row>
    <row r="1206" spans="1:17" s="66" customFormat="1" ht="19.5" customHeight="1">
      <c r="A1206" s="96"/>
      <c r="B1206" s="98"/>
      <c r="C1206" s="98"/>
      <c r="D1206" s="68"/>
      <c r="E1206" s="69"/>
      <c r="F1206" s="69"/>
      <c r="G1206" s="69"/>
      <c r="H1206" s="69">
        <f>SUM(H1198:H1205)</f>
        <v>0</v>
      </c>
      <c r="I1206" s="69">
        <f>SUM(I1198:I1205)</f>
        <v>2040.84</v>
      </c>
      <c r="J1206" s="69"/>
      <c r="K1206" s="70" t="s">
        <v>21</v>
      </c>
    </row>
    <row r="1207" spans="1:17" s="66" customFormat="1" ht="19.5" customHeight="1">
      <c r="A1207" s="96"/>
      <c r="B1207" s="98"/>
      <c r="C1207" s="98"/>
      <c r="D1207" s="68"/>
      <c r="E1207" s="69"/>
      <c r="F1207" s="69"/>
      <c r="G1207" s="69"/>
      <c r="H1207" s="69"/>
      <c r="I1207" s="69"/>
      <c r="J1207" s="69">
        <f>I1206-H1206</f>
        <v>2040.84</v>
      </c>
      <c r="K1207" s="70" t="s">
        <v>21</v>
      </c>
    </row>
    <row r="1208" spans="1:17" s="66" customFormat="1" ht="19.5" customHeight="1">
      <c r="A1208" s="96"/>
      <c r="B1208" s="98"/>
      <c r="C1208" s="98"/>
      <c r="D1208" s="68"/>
      <c r="E1208" s="69"/>
      <c r="F1208" s="69"/>
      <c r="G1208" s="69"/>
      <c r="H1208" s="69"/>
      <c r="I1208" s="69"/>
      <c r="J1208" s="69">
        <f>J1207/100</f>
        <v>20.41</v>
      </c>
      <c r="K1208" s="70" t="s">
        <v>12</v>
      </c>
    </row>
    <row r="1209" spans="1:17" s="66" customFormat="1" ht="18.649999999999999" customHeight="1">
      <c r="A1209" s="96"/>
      <c r="B1209" s="98"/>
      <c r="C1209" s="98"/>
      <c r="D1209" s="68"/>
      <c r="E1209" s="69"/>
      <c r="F1209" s="69"/>
      <c r="G1209" s="69"/>
      <c r="H1209" s="69"/>
      <c r="I1209" s="69"/>
      <c r="J1209" s="69"/>
      <c r="K1209" s="70"/>
    </row>
    <row r="1210" spans="1:17" s="66" customFormat="1" ht="18.649999999999999" customHeight="1">
      <c r="A1210" s="99">
        <v>19</v>
      </c>
      <c r="B1210" s="100" t="s">
        <v>89</v>
      </c>
      <c r="C1210" s="100"/>
      <c r="D1210" s="88"/>
      <c r="E1210" s="89"/>
      <c r="F1210" s="89"/>
      <c r="G1210" s="89"/>
      <c r="H1210" s="89"/>
      <c r="I1210" s="89"/>
      <c r="J1210" s="89"/>
      <c r="K1210" s="101"/>
    </row>
    <row r="1211" spans="1:17" s="66" customFormat="1" ht="18.649999999999999" customHeight="1">
      <c r="A1211" s="99"/>
      <c r="B1211" s="306" t="s">
        <v>68</v>
      </c>
      <c r="C1211" s="306"/>
      <c r="D1211" s="88">
        <v>1</v>
      </c>
      <c r="E1211" s="89">
        <f>35*2+45*2</f>
        <v>160</v>
      </c>
      <c r="F1211" s="89"/>
      <c r="G1211" s="89">
        <f>3+13+12</f>
        <v>28</v>
      </c>
      <c r="H1211" s="89"/>
      <c r="I1211" s="89">
        <f>D1211*E1211*G1211</f>
        <v>4480</v>
      </c>
      <c r="J1211" s="89"/>
      <c r="K1211" s="101" t="s">
        <v>21</v>
      </c>
    </row>
    <row r="1212" spans="1:17" s="66" customFormat="1" ht="18.649999999999999" customHeight="1">
      <c r="A1212" s="99"/>
      <c r="B1212" s="100"/>
      <c r="C1212" s="100"/>
      <c r="D1212" s="88"/>
      <c r="E1212" s="89"/>
      <c r="F1212" s="89"/>
      <c r="G1212" s="89"/>
      <c r="H1212" s="89"/>
      <c r="I1212" s="89"/>
      <c r="J1212" s="89">
        <f>SUM(I1211:I1212)</f>
        <v>4480</v>
      </c>
      <c r="K1212" s="101" t="s">
        <v>21</v>
      </c>
      <c r="L1212" s="117" t="e">
        <f>#REF!*297/100/112</f>
        <v>#REF!</v>
      </c>
    </row>
    <row r="1213" spans="1:17" s="66" customFormat="1" ht="18.649999999999999" customHeight="1">
      <c r="A1213" s="99"/>
      <c r="B1213" s="100"/>
      <c r="C1213" s="100"/>
      <c r="D1213" s="88"/>
      <c r="E1213" s="89"/>
      <c r="F1213" s="89"/>
      <c r="G1213" s="89"/>
      <c r="H1213" s="89"/>
      <c r="I1213" s="89"/>
      <c r="J1213" s="89"/>
      <c r="K1213" s="101"/>
      <c r="L1213" s="117" t="e">
        <f>#REF!*225/100/112</f>
        <v>#REF!</v>
      </c>
    </row>
    <row r="1214" spans="1:17" ht="18.649999999999999" customHeight="1">
      <c r="A1214" s="102"/>
      <c r="B1214" s="103"/>
      <c r="C1214" s="103"/>
      <c r="D1214" s="104"/>
      <c r="E1214" s="105"/>
      <c r="F1214" s="105"/>
      <c r="G1214" s="105"/>
      <c r="H1214" s="105"/>
      <c r="I1214" s="105"/>
      <c r="J1214" s="105"/>
      <c r="K1214" s="28"/>
      <c r="L1214" s="31">
        <f>80*0.375*0.375*2070/100/112</f>
        <v>2.0792410714285698</v>
      </c>
      <c r="M1214" s="31"/>
      <c r="N1214" s="31"/>
      <c r="O1214" s="31"/>
      <c r="P1214" s="31"/>
      <c r="Q1214" s="31"/>
    </row>
    <row r="1215" spans="1:17" ht="19.899999999999999" customHeight="1">
      <c r="A1215" s="106"/>
      <c r="B1215" s="107"/>
      <c r="C1215" s="107"/>
      <c r="D1215" s="108"/>
      <c r="E1215" s="109"/>
      <c r="F1215" s="109"/>
      <c r="G1215" s="109"/>
      <c r="H1215" s="109"/>
      <c r="I1215" s="109"/>
      <c r="J1215" s="109"/>
      <c r="K1215" s="110"/>
      <c r="L1215" s="56"/>
      <c r="M1215" s="31"/>
      <c r="N1215" s="31"/>
      <c r="O1215" s="31"/>
      <c r="P1215" s="31"/>
      <c r="Q1215" s="31"/>
    </row>
  </sheetData>
  <mergeCells count="11">
    <mergeCell ref="I4:I5"/>
    <mergeCell ref="D4:D5"/>
    <mergeCell ref="H4:H5"/>
    <mergeCell ref="K4:K5"/>
    <mergeCell ref="A1:K1"/>
    <mergeCell ref="A4:A5"/>
    <mergeCell ref="B4:B5"/>
    <mergeCell ref="A2:K2"/>
    <mergeCell ref="A3:K3"/>
    <mergeCell ref="J4:J5"/>
    <mergeCell ref="E4:G4"/>
  </mergeCells>
  <phoneticPr fontId="7" type="noConversion"/>
  <printOptions horizontalCentered="1"/>
  <pageMargins left="0.5" right="0" top="0.75" bottom="0.5" header="0.5" footer="0.25"/>
  <pageSetup paperSize="9" orientation="portrait" horizontalDpi="300" verticalDpi="300" r:id="rId1"/>
  <headerFooter alignWithMargins="0">
    <oddFooter>&amp;R&amp;P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8A709-B362-48C3-B44B-90C45F27D9AB}">
  <sheetPr codeName="Sheet8">
    <tabColor rgb="FF00B050"/>
  </sheetPr>
  <dimension ref="A1:G15"/>
  <sheetViews>
    <sheetView topLeftCell="A10" zoomScale="130" zoomScaleNormal="130" workbookViewId="0">
      <selection activeCell="C20" sqref="C20"/>
    </sheetView>
  </sheetViews>
  <sheetFormatPr defaultRowHeight="12.5"/>
  <cols>
    <col min="1" max="1" width="4.54296875" bestFit="1" customWidth="1"/>
    <col min="2" max="2" width="38" bestFit="1" customWidth="1"/>
    <col min="3" max="3" width="17.453125" customWidth="1"/>
    <col min="4" max="4" width="14.54296875" customWidth="1"/>
    <col min="5" max="5" width="14.26953125" customWidth="1"/>
  </cols>
  <sheetData>
    <row r="1" spans="1:7">
      <c r="A1" s="527" t="str">
        <f>'Detail-Skeleton'!A1</f>
        <v>Ko Aung Ko Myo (Aung Myittar (B) 11 Street)</v>
      </c>
      <c r="B1" s="527"/>
      <c r="C1" s="527"/>
      <c r="D1" s="527"/>
      <c r="E1" s="1"/>
      <c r="F1" s="1"/>
      <c r="G1" s="1"/>
    </row>
    <row r="2" spans="1:7">
      <c r="A2" s="528" t="str">
        <f>'Detail-Skeleton'!A2</f>
        <v>Two Storeyed RCC Building (25' x 35' x (13+12)')</v>
      </c>
      <c r="B2" s="528"/>
      <c r="C2" s="528"/>
      <c r="D2" s="528"/>
      <c r="E2" s="1"/>
      <c r="F2" s="1"/>
      <c r="G2" s="1"/>
    </row>
    <row r="3" spans="1:7" ht="15">
      <c r="A3" s="342" t="s">
        <v>0</v>
      </c>
      <c r="B3" s="342" t="s">
        <v>47</v>
      </c>
      <c r="C3" s="343" t="s">
        <v>20</v>
      </c>
      <c r="D3" s="343" t="s">
        <v>641</v>
      </c>
    </row>
    <row r="4" spans="1:7" ht="15.5">
      <c r="A4" s="275">
        <v>1</v>
      </c>
      <c r="B4" s="276" t="s">
        <v>400</v>
      </c>
      <c r="C4" s="280">
        <f>'BQ-Finishing'!G233</f>
        <v>61793438</v>
      </c>
      <c r="D4" s="132"/>
    </row>
    <row r="5" spans="1:7" ht="15.5">
      <c r="A5" s="277">
        <v>2</v>
      </c>
      <c r="B5" s="278" t="s">
        <v>401</v>
      </c>
      <c r="C5" s="280">
        <f>'BQ-Finishing'!G248</f>
        <v>12618934</v>
      </c>
      <c r="D5" s="132"/>
    </row>
    <row r="6" spans="1:7" ht="15.5">
      <c r="A6" s="279"/>
      <c r="B6" s="279"/>
      <c r="C6" s="280"/>
      <c r="D6" s="282"/>
    </row>
    <row r="7" spans="1:7" ht="15">
      <c r="A7" s="487" t="s">
        <v>48</v>
      </c>
      <c r="B7" s="488"/>
      <c r="C7" s="344">
        <f>SUM(C4:C6)</f>
        <v>74412372</v>
      </c>
      <c r="D7" s="344"/>
    </row>
    <row r="8" spans="1:7" ht="15.5">
      <c r="A8" s="327"/>
      <c r="B8" s="328" t="s">
        <v>643</v>
      </c>
      <c r="C8" s="280">
        <f>C4*0.03</f>
        <v>1853803.14</v>
      </c>
      <c r="D8" s="280"/>
    </row>
    <row r="9" spans="1:7" ht="15.5">
      <c r="A9" s="327"/>
      <c r="B9" s="328" t="s">
        <v>642</v>
      </c>
      <c r="C9" s="280">
        <f>C7*0.05</f>
        <v>3720618.6</v>
      </c>
      <c r="D9" s="280"/>
    </row>
    <row r="10" spans="1:7" ht="15.5">
      <c r="A10" s="327"/>
      <c r="B10" s="341" t="s">
        <v>644</v>
      </c>
      <c r="C10" s="280">
        <f>C7*0.02</f>
        <v>1488247.44</v>
      </c>
      <c r="D10" s="280"/>
    </row>
    <row r="11" spans="1:7" ht="15.5">
      <c r="A11" s="490" t="s">
        <v>645</v>
      </c>
      <c r="B11" s="491"/>
      <c r="C11" s="280">
        <f>ROUND(C7*0.1,-3)</f>
        <v>7441000</v>
      </c>
      <c r="D11" s="280"/>
    </row>
    <row r="12" spans="1:7" ht="15.5">
      <c r="A12" s="327"/>
      <c r="B12" s="328" t="s">
        <v>655</v>
      </c>
      <c r="C12" s="280">
        <f>C7*0.15</f>
        <v>11161855.800000001</v>
      </c>
      <c r="D12" s="280"/>
    </row>
    <row r="13" spans="1:7" ht="15">
      <c r="A13" s="492" t="s">
        <v>48</v>
      </c>
      <c r="B13" s="493"/>
      <c r="C13" s="283">
        <f>SUM(C7:C11)</f>
        <v>88916041.180000007</v>
      </c>
      <c r="D13" s="283"/>
    </row>
    <row r="15" spans="1:7">
      <c r="B15" s="183"/>
    </row>
  </sheetData>
  <mergeCells count="5">
    <mergeCell ref="A7:B7"/>
    <mergeCell ref="A11:B11"/>
    <mergeCell ref="A13:B13"/>
    <mergeCell ref="A1:D1"/>
    <mergeCell ref="A2:D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535FA-9FBA-4345-B092-683C55FBD0ED}">
  <sheetPr codeName="Sheet9">
    <tabColor rgb="FF00B050"/>
  </sheetPr>
  <dimension ref="A1:Q249"/>
  <sheetViews>
    <sheetView topLeftCell="A238" zoomScale="120" zoomScaleNormal="120" workbookViewId="0">
      <selection activeCell="B84" sqref="B84"/>
    </sheetView>
  </sheetViews>
  <sheetFormatPr defaultColWidth="9.1796875" defaultRowHeight="12.5"/>
  <cols>
    <col min="1" max="1" width="4.26953125" style="4" customWidth="1"/>
    <col min="2" max="2" width="40.81640625" style="1" customWidth="1"/>
    <col min="3" max="3" width="6.7265625" style="6" customWidth="1"/>
    <col min="4" max="4" width="12.54296875" style="3" bestFit="1" customWidth="1"/>
    <col min="5" max="5" width="11.1796875" style="5" customWidth="1"/>
    <col min="6" max="6" width="5.81640625" style="6" customWidth="1"/>
    <col min="7" max="7" width="18.1796875" style="7" bestFit="1" customWidth="1"/>
    <col min="8" max="8" width="18.7265625" style="7" bestFit="1" customWidth="1"/>
    <col min="9" max="9" width="16.26953125" style="1" customWidth="1"/>
    <col min="10" max="10" width="16.453125" style="1" bestFit="1" customWidth="1"/>
    <col min="11" max="11" width="7" style="1" bestFit="1" customWidth="1"/>
    <col min="12" max="12" width="7.54296875" style="1" bestFit="1" customWidth="1"/>
    <col min="13" max="16384" width="9.1796875" style="1"/>
  </cols>
  <sheetData>
    <row r="1" spans="1:17" s="2" customFormat="1" ht="25" customHeight="1">
      <c r="A1" s="527" t="str">
        <f>'Detail-Skeleton'!A1</f>
        <v>Ko Aung Ko Myo (Aung Myittar (B) 11 Street)</v>
      </c>
      <c r="B1" s="527"/>
      <c r="C1" s="527"/>
      <c r="D1" s="527"/>
      <c r="E1" s="527"/>
      <c r="F1" s="527"/>
      <c r="G1" s="527"/>
      <c r="H1" s="4"/>
    </row>
    <row r="2" spans="1:17" s="2" customFormat="1" ht="25" customHeight="1">
      <c r="A2" s="527" t="str">
        <f>'Detail-Skeleton'!A2</f>
        <v>Two Storeyed RCC Building (25' x 35' x (13+12)')</v>
      </c>
      <c r="B2" s="527"/>
      <c r="C2" s="527"/>
      <c r="D2" s="527"/>
      <c r="E2" s="527"/>
      <c r="F2" s="527"/>
      <c r="G2" s="527"/>
      <c r="H2" s="4"/>
    </row>
    <row r="3" spans="1:17" ht="25" customHeight="1">
      <c r="A3" s="529" t="s">
        <v>57</v>
      </c>
      <c r="B3" s="529"/>
      <c r="C3" s="529"/>
      <c r="D3" s="529"/>
      <c r="E3" s="529"/>
      <c r="F3" s="529"/>
      <c r="G3" s="529"/>
      <c r="H3" s="529" t="s">
        <v>678</v>
      </c>
      <c r="I3" s="529"/>
      <c r="J3" s="529"/>
      <c r="K3" s="529"/>
      <c r="L3" s="529"/>
      <c r="M3" s="529"/>
    </row>
    <row r="4" spans="1:17" ht="23.25" customHeight="1">
      <c r="A4" s="508" t="s">
        <v>0</v>
      </c>
      <c r="B4" s="508" t="s">
        <v>1</v>
      </c>
      <c r="C4" s="508" t="s">
        <v>16</v>
      </c>
      <c r="D4" s="497" t="s">
        <v>17</v>
      </c>
      <c r="E4" s="510" t="s">
        <v>18</v>
      </c>
      <c r="F4" s="504" t="s">
        <v>19</v>
      </c>
      <c r="G4" s="506" t="s">
        <v>26</v>
      </c>
      <c r="H4" s="503" t="s">
        <v>674</v>
      </c>
      <c r="I4" s="500" t="s">
        <v>675</v>
      </c>
      <c r="J4" s="501" t="s">
        <v>676</v>
      </c>
      <c r="K4" s="502" t="s">
        <v>677</v>
      </c>
      <c r="L4" s="494" t="s">
        <v>679</v>
      </c>
      <c r="M4" s="495"/>
    </row>
    <row r="5" spans="1:17" ht="17.149999999999999" customHeight="1">
      <c r="A5" s="509"/>
      <c r="B5" s="509"/>
      <c r="C5" s="509"/>
      <c r="D5" s="498"/>
      <c r="E5" s="511"/>
      <c r="F5" s="505"/>
      <c r="G5" s="507"/>
      <c r="H5" s="503"/>
      <c r="I5" s="500"/>
      <c r="J5" s="501"/>
      <c r="K5" s="502"/>
      <c r="L5" s="416" t="s">
        <v>680</v>
      </c>
      <c r="M5" s="416" t="s">
        <v>3</v>
      </c>
    </row>
    <row r="6" spans="1:17" ht="20.149999999999999" customHeight="1">
      <c r="A6" s="8">
        <f>'Detail-Finishing'!A7</f>
        <v>1</v>
      </c>
      <c r="B6" s="8" t="str">
        <f>'Detail-Finishing'!B7</f>
        <v>Gypsum Borad Ceiling Work</v>
      </c>
      <c r="C6" s="8" t="s">
        <v>21</v>
      </c>
      <c r="D6" s="33">
        <f>D7+D8+D9</f>
        <v>2223.4499999999998</v>
      </c>
      <c r="E6" s="11"/>
      <c r="F6" s="149"/>
      <c r="G6" s="9"/>
      <c r="H6" s="381"/>
      <c r="I6" s="382"/>
      <c r="J6" s="393"/>
      <c r="K6" s="393"/>
      <c r="L6" s="398"/>
      <c r="M6" s="411"/>
    </row>
    <row r="7" spans="1:17" ht="20.149999999999999" customHeight="1">
      <c r="A7" s="8"/>
      <c r="B7" s="12" t="str">
        <f>'Detail-Finishing'!B9</f>
        <v>( a ) Gypsum Board (Regular) Ceiling</v>
      </c>
      <c r="C7" s="23" t="str">
        <f>'Detail-Finishing'!J18</f>
        <v>Fs</v>
      </c>
      <c r="D7" s="33">
        <f>'Detail-Finishing'!I18</f>
        <v>1564.75</v>
      </c>
      <c r="E7" s="11"/>
      <c r="F7" s="149"/>
      <c r="G7" s="9"/>
      <c r="H7" s="383">
        <f>SUM(G7:G7)</f>
        <v>0</v>
      </c>
      <c r="I7" s="384">
        <f>H7/D7</f>
        <v>0</v>
      </c>
      <c r="J7" s="394">
        <f>SUM(G7:G7)</f>
        <v>0</v>
      </c>
      <c r="K7" s="395">
        <f>J7/D7</f>
        <v>0</v>
      </c>
      <c r="L7" s="409">
        <f>ROUND(H7/$H$169,5)</f>
        <v>0</v>
      </c>
      <c r="M7" s="412">
        <f>ROUND(J7/$J$169,5)</f>
        <v>0</v>
      </c>
      <c r="O7" s="425"/>
      <c r="Q7" s="427"/>
    </row>
    <row r="8" spans="1:17" ht="20.149999999999999" customHeight="1">
      <c r="A8" s="8"/>
      <c r="B8" s="12" t="str">
        <f>'Detail-Finishing'!B20</f>
        <v>( b ) Gypsum Board (Moisture) Ceiling</v>
      </c>
      <c r="C8" s="23" t="str">
        <f>'Detail-Skeleton'!K12</f>
        <v>Fs</v>
      </c>
      <c r="D8" s="33">
        <f>'Detail-Finishing'!I24</f>
        <v>124</v>
      </c>
      <c r="E8" s="11"/>
      <c r="F8" s="149"/>
      <c r="G8" s="9"/>
      <c r="H8" s="383">
        <f>SUM(G8:G22)</f>
        <v>8983750</v>
      </c>
      <c r="I8" s="384">
        <f>ROUND(H8/D8,2)</f>
        <v>72449.600000000006</v>
      </c>
      <c r="J8" s="394">
        <f>SUM(G22:G22)</f>
        <v>2223450</v>
      </c>
      <c r="K8" s="395">
        <f>ROUND(J8/D8,2)</f>
        <v>17931.05</v>
      </c>
      <c r="L8" s="409">
        <f>ROUND(H8/$H$169,5)</f>
        <v>0.35270000000000001</v>
      </c>
      <c r="M8" s="412">
        <f>ROUND(J8/$J$169,5)</f>
        <v>0.33040000000000003</v>
      </c>
      <c r="O8" s="425"/>
      <c r="P8" s="425"/>
      <c r="Q8" s="429"/>
    </row>
    <row r="9" spans="1:17" ht="20.149999999999999" customHeight="1">
      <c r="A9" s="8"/>
      <c r="B9" s="12" t="str">
        <f>'Detail-Finishing'!B26</f>
        <v>( c ) External (Shera Board Ceiling)</v>
      </c>
      <c r="C9" s="23" t="str">
        <f>'Detail-Finishing'!J40</f>
        <v>Fs</v>
      </c>
      <c r="D9" s="33">
        <f>'Detail-Finishing'!I40</f>
        <v>534.70000000000005</v>
      </c>
      <c r="E9" s="11"/>
      <c r="F9" s="149"/>
      <c r="G9" s="9"/>
      <c r="H9" s="383"/>
      <c r="I9" s="384"/>
      <c r="J9" s="394"/>
      <c r="K9" s="395"/>
      <c r="L9" s="409"/>
      <c r="M9" s="412"/>
      <c r="O9" s="425"/>
      <c r="P9" s="425"/>
      <c r="Q9" s="429"/>
    </row>
    <row r="10" spans="1:17" ht="20.149999999999999" customHeight="1">
      <c r="A10" s="8"/>
      <c r="B10" s="340" t="s">
        <v>26</v>
      </c>
      <c r="C10" s="8"/>
      <c r="D10" s="444"/>
      <c r="E10" s="11"/>
      <c r="F10" s="149"/>
      <c r="G10" s="9"/>
      <c r="H10" s="383"/>
      <c r="I10" s="384"/>
      <c r="J10" s="395"/>
      <c r="K10" s="395"/>
      <c r="L10" s="399"/>
      <c r="M10" s="413"/>
      <c r="O10" s="425"/>
      <c r="Q10" s="428"/>
    </row>
    <row r="11" spans="1:17" ht="20.149999999999999" customHeight="1">
      <c r="A11" s="8"/>
      <c r="B11" s="10" t="s">
        <v>836</v>
      </c>
      <c r="C11" s="8" t="s">
        <v>13</v>
      </c>
      <c r="D11" s="444">
        <f>ROUND(D7/32*1.15,0)</f>
        <v>56</v>
      </c>
      <c r="E11" s="11">
        <f>VLOOKUP(B11,'Material Rate'!A$1:C91,3,FALSE)</f>
        <v>50000</v>
      </c>
      <c r="F11" s="149" t="str">
        <f>C11</f>
        <v>Sht</v>
      </c>
      <c r="G11" s="9">
        <f t="shared" ref="G11:G20" si="0">E11*D11</f>
        <v>2800000</v>
      </c>
      <c r="H11" s="383"/>
      <c r="I11" s="384"/>
      <c r="J11" s="395"/>
      <c r="K11" s="395"/>
      <c r="L11" s="399"/>
      <c r="M11" s="413"/>
      <c r="O11" s="425"/>
      <c r="Q11" s="428"/>
    </row>
    <row r="12" spans="1:17" ht="20.149999999999999" customHeight="1">
      <c r="A12" s="8"/>
      <c r="B12" s="10" t="s">
        <v>837</v>
      </c>
      <c r="C12" s="8" t="s">
        <v>13</v>
      </c>
      <c r="D12" s="444">
        <f>ROUND(D8/32*1.15,0)</f>
        <v>4</v>
      </c>
      <c r="E12" s="11">
        <f>VLOOKUP(B12,'Material Rate'!A$1:C92,3,FALSE)</f>
        <v>55000</v>
      </c>
      <c r="F12" s="149" t="str">
        <f t="shared" ref="F12:F20" si="1">C12</f>
        <v>Sht</v>
      </c>
      <c r="G12" s="9">
        <f t="shared" si="0"/>
        <v>220000</v>
      </c>
      <c r="H12" s="383"/>
      <c r="I12" s="384"/>
      <c r="J12" s="395"/>
      <c r="K12" s="395"/>
      <c r="L12" s="399"/>
      <c r="M12" s="413"/>
      <c r="O12" s="425"/>
      <c r="Q12" s="428"/>
    </row>
    <row r="13" spans="1:17" ht="20.149999999999999" customHeight="1">
      <c r="A13" s="8"/>
      <c r="B13" s="10" t="s">
        <v>896</v>
      </c>
      <c r="C13" s="8" t="s">
        <v>13</v>
      </c>
      <c r="D13" s="444">
        <f>ROUND(D9/32*1.15,0)</f>
        <v>19</v>
      </c>
      <c r="E13" s="11">
        <f>VLOOKUP(B13,'Material Rate'!A$1:C93,3,FALSE)</f>
        <v>72500</v>
      </c>
      <c r="F13" s="149" t="str">
        <f t="shared" si="1"/>
        <v>Sht</v>
      </c>
      <c r="G13" s="9">
        <f t="shared" si="0"/>
        <v>1377500</v>
      </c>
      <c r="H13" s="383"/>
      <c r="I13" s="384"/>
      <c r="J13" s="395"/>
      <c r="K13" s="395"/>
      <c r="L13" s="399"/>
      <c r="M13" s="413"/>
      <c r="O13" s="425"/>
      <c r="Q13" s="428"/>
    </row>
    <row r="14" spans="1:17" ht="20.149999999999999" customHeight="1">
      <c r="A14" s="8"/>
      <c r="B14" s="10" t="s">
        <v>840</v>
      </c>
      <c r="C14" s="8" t="s">
        <v>2</v>
      </c>
      <c r="D14" s="444">
        <f>ROUND('Detail-Finishing'!H59/10,0)</f>
        <v>116</v>
      </c>
      <c r="E14" s="11">
        <f>VLOOKUP(B14,'Material Rate'!A$1:C94,3,FALSE)</f>
        <v>3300</v>
      </c>
      <c r="F14" s="149" t="str">
        <f t="shared" si="1"/>
        <v>No</v>
      </c>
      <c r="G14" s="9">
        <f t="shared" si="0"/>
        <v>382800</v>
      </c>
      <c r="H14" s="383"/>
      <c r="I14" s="384"/>
      <c r="J14" s="395"/>
      <c r="K14" s="395"/>
      <c r="L14" s="399"/>
      <c r="M14" s="413"/>
      <c r="O14" s="425"/>
      <c r="Q14" s="428"/>
    </row>
    <row r="15" spans="1:17" ht="20.149999999999999" customHeight="1">
      <c r="A15" s="8"/>
      <c r="B15" s="10" t="s">
        <v>838</v>
      </c>
      <c r="C15" s="8" t="s">
        <v>2</v>
      </c>
      <c r="D15" s="444">
        <f>ROUND('Detail-Finishing'!H77/13,0)</f>
        <v>440</v>
      </c>
      <c r="E15" s="11">
        <f>VLOOKUP(B15,'Material Rate'!A$1:C95,3,FALSE)</f>
        <v>4500</v>
      </c>
      <c r="F15" s="149" t="str">
        <f t="shared" si="1"/>
        <v>No</v>
      </c>
      <c r="G15" s="9">
        <f t="shared" si="0"/>
        <v>1980000</v>
      </c>
      <c r="H15" s="383"/>
      <c r="I15" s="384"/>
      <c r="J15" s="395"/>
      <c r="K15" s="395"/>
      <c r="L15" s="399"/>
      <c r="M15" s="413"/>
      <c r="O15" s="425"/>
      <c r="Q15" s="428"/>
    </row>
    <row r="16" spans="1:17" ht="20.149999999999999" customHeight="1">
      <c r="A16" s="8"/>
      <c r="B16" s="10" t="s">
        <v>805</v>
      </c>
      <c r="C16" s="8" t="s">
        <v>2</v>
      </c>
      <c r="D16" s="444">
        <f>'Detail-Finishing'!C79</f>
        <v>408</v>
      </c>
      <c r="E16" s="11">
        <f>VLOOKUP(B16,'Material Rate'!A$1:C96,3,FALSE)</f>
        <v>0</v>
      </c>
      <c r="F16" s="149" t="str">
        <f t="shared" si="1"/>
        <v>No</v>
      </c>
      <c r="G16" s="9">
        <f t="shared" si="0"/>
        <v>0</v>
      </c>
      <c r="H16" s="383"/>
      <c r="I16" s="384"/>
      <c r="J16" s="395"/>
      <c r="K16" s="395"/>
      <c r="L16" s="399"/>
      <c r="M16" s="413"/>
      <c r="O16" s="425"/>
      <c r="Q16" s="428"/>
    </row>
    <row r="17" spans="1:17" ht="20.149999999999999" customHeight="1">
      <c r="A17" s="8"/>
      <c r="B17" s="10" t="s">
        <v>806</v>
      </c>
      <c r="C17" s="8" t="s">
        <v>2</v>
      </c>
      <c r="D17" s="444">
        <f>'Detail-Finishing'!C80</f>
        <v>1750</v>
      </c>
      <c r="E17" s="11">
        <f>VLOOKUP(B17,'Material Rate'!A$1:C97,3,FALSE)</f>
        <v>0</v>
      </c>
      <c r="F17" s="149" t="str">
        <f t="shared" si="1"/>
        <v>No</v>
      </c>
      <c r="G17" s="9">
        <f t="shared" si="0"/>
        <v>0</v>
      </c>
      <c r="H17" s="383"/>
      <c r="I17" s="384"/>
      <c r="J17" s="395"/>
      <c r="K17" s="395"/>
      <c r="L17" s="399"/>
      <c r="M17" s="413"/>
      <c r="O17" s="425"/>
      <c r="Q17" s="428"/>
    </row>
    <row r="18" spans="1:17" ht="20.149999999999999" customHeight="1">
      <c r="A18" s="8"/>
      <c r="B18" s="10" t="s">
        <v>807</v>
      </c>
      <c r="C18" s="8" t="s">
        <v>2</v>
      </c>
      <c r="D18" s="444">
        <f>'Detail-Finishing'!C81</f>
        <v>250</v>
      </c>
      <c r="E18" s="11">
        <f>VLOOKUP(B18,'Material Rate'!A$1:C98,3,FALSE)</f>
        <v>0</v>
      </c>
      <c r="F18" s="149" t="str">
        <f t="shared" si="1"/>
        <v>No</v>
      </c>
      <c r="G18" s="9">
        <f t="shared" si="0"/>
        <v>0</v>
      </c>
      <c r="H18" s="383"/>
      <c r="I18" s="384"/>
      <c r="J18" s="395"/>
      <c r="K18" s="395"/>
      <c r="L18" s="399"/>
      <c r="M18" s="413"/>
      <c r="O18" s="425"/>
      <c r="Q18" s="428"/>
    </row>
    <row r="19" spans="1:17" ht="20.149999999999999" customHeight="1">
      <c r="A19" s="8"/>
      <c r="B19" s="10" t="s">
        <v>808</v>
      </c>
      <c r="C19" s="8" t="s">
        <v>2</v>
      </c>
      <c r="D19" s="444">
        <f>'Detail-Finishing'!C82</f>
        <v>250</v>
      </c>
      <c r="E19" s="11">
        <f>VLOOKUP(B19,'Material Rate'!A$1:C99,3,FALSE)</f>
        <v>0</v>
      </c>
      <c r="F19" s="149" t="str">
        <f t="shared" si="1"/>
        <v>No</v>
      </c>
      <c r="G19" s="9">
        <f t="shared" si="0"/>
        <v>0</v>
      </c>
      <c r="H19" s="383"/>
      <c r="I19" s="384"/>
      <c r="J19" s="395"/>
      <c r="K19" s="395"/>
      <c r="L19" s="399"/>
      <c r="M19" s="413"/>
      <c r="O19" s="425"/>
      <c r="Q19" s="428"/>
    </row>
    <row r="20" spans="1:17" ht="20.149999999999999" customHeight="1">
      <c r="A20" s="8"/>
      <c r="B20" s="10" t="s">
        <v>809</v>
      </c>
      <c r="C20" s="8" t="s">
        <v>810</v>
      </c>
      <c r="D20" s="444">
        <f>'Detail-Finishing'!C83</f>
        <v>3</v>
      </c>
      <c r="E20" s="11">
        <f>VLOOKUP(B20,'Material Rate'!A$1:C105,3,FALSE)</f>
        <v>0</v>
      </c>
      <c r="F20" s="149" t="str">
        <f t="shared" si="1"/>
        <v>Box</v>
      </c>
      <c r="G20" s="9">
        <f t="shared" si="0"/>
        <v>0</v>
      </c>
      <c r="H20" s="383"/>
      <c r="I20" s="384"/>
      <c r="J20" s="395"/>
      <c r="K20" s="395"/>
      <c r="L20" s="399"/>
      <c r="M20" s="413"/>
      <c r="O20" s="425"/>
      <c r="Q20" s="429"/>
    </row>
    <row r="21" spans="1:17" ht="20.149999999999999" customHeight="1">
      <c r="A21" s="8"/>
      <c r="B21" s="340" t="s">
        <v>22</v>
      </c>
      <c r="C21" s="8"/>
      <c r="D21" s="444"/>
      <c r="E21" s="11"/>
      <c r="F21" s="149"/>
      <c r="G21" s="9"/>
      <c r="H21" s="383"/>
      <c r="I21" s="384"/>
      <c r="J21" s="395"/>
      <c r="K21" s="395"/>
      <c r="L21" s="399"/>
      <c r="M21" s="413"/>
      <c r="O21" s="425"/>
    </row>
    <row r="22" spans="1:17" ht="20.149999999999999" customHeight="1">
      <c r="A22" s="8"/>
      <c r="B22" s="143" t="s">
        <v>841</v>
      </c>
      <c r="C22" s="140" t="s">
        <v>21</v>
      </c>
      <c r="D22" s="267">
        <f>D6</f>
        <v>2223.4499999999998</v>
      </c>
      <c r="E22" s="11">
        <f>VLOOKUP(B22,'Material Rate'!A$1:C107,3,FALSE)</f>
        <v>1000</v>
      </c>
      <c r="F22" s="347" t="str">
        <f>C22</f>
        <v>Fs</v>
      </c>
      <c r="G22" s="9">
        <f>E22*D22</f>
        <v>2223450</v>
      </c>
      <c r="H22" s="386"/>
      <c r="I22" s="384"/>
      <c r="J22" s="395"/>
      <c r="K22" s="395"/>
      <c r="L22" s="399"/>
      <c r="M22" s="413"/>
      <c r="O22" s="425"/>
    </row>
    <row r="23" spans="1:17" ht="20.149999999999999" customHeight="1">
      <c r="A23" s="8"/>
      <c r="B23" s="8"/>
      <c r="C23" s="8"/>
      <c r="D23" s="33"/>
      <c r="E23" s="11"/>
      <c r="F23" s="149"/>
      <c r="G23" s="9"/>
      <c r="H23" s="383"/>
      <c r="I23" s="384"/>
      <c r="J23" s="395"/>
      <c r="K23" s="395"/>
      <c r="L23" s="399"/>
      <c r="M23" s="413"/>
    </row>
    <row r="24" spans="1:17" ht="20.149999999999999" customHeight="1">
      <c r="A24" s="340">
        <f>'Detail-Finishing'!A85</f>
        <v>2</v>
      </c>
      <c r="B24" s="320" t="str">
        <f>'Detail-Finishing'!B85</f>
        <v>Painting Work (UPG - Premier)</v>
      </c>
      <c r="C24" s="453" t="str">
        <f>'Detail-Finishing'!J40</f>
        <v>Fs</v>
      </c>
      <c r="D24" s="448">
        <f>D25+D26+D27</f>
        <v>11266.94</v>
      </c>
      <c r="E24" s="11"/>
      <c r="F24" s="149"/>
      <c r="G24" s="9"/>
      <c r="H24" s="383">
        <f>SUM(G24:G45)</f>
        <v>16491376</v>
      </c>
      <c r="I24" s="384"/>
      <c r="J24" s="394">
        <f>SUM(G45)</f>
        <v>4506776</v>
      </c>
      <c r="K24" s="395"/>
      <c r="L24" s="409">
        <f>ROUND(H24/$H$169,5)</f>
        <v>0.64739999999999998</v>
      </c>
      <c r="M24" s="412">
        <f>ROUND(J24/$J$169,5)</f>
        <v>0.66959999999999997</v>
      </c>
    </row>
    <row r="25" spans="1:17" ht="20.149999999999999" customHeight="1">
      <c r="A25" s="340"/>
      <c r="B25" s="320" t="str">
        <f>'Detail-Finishing'!B86</f>
        <v>( a ) External Paint (Putty 2, Sealer 2, Paint 2 Coat)</v>
      </c>
      <c r="C25" s="453" t="s">
        <v>21</v>
      </c>
      <c r="D25" s="448">
        <f>'Detail-Finishing'!I114</f>
        <v>3279.29</v>
      </c>
      <c r="E25" s="11"/>
      <c r="F25" s="149"/>
      <c r="G25" s="9"/>
      <c r="H25" s="383"/>
      <c r="I25" s="384"/>
      <c r="J25" s="394"/>
      <c r="K25" s="395"/>
      <c r="L25" s="409"/>
      <c r="M25" s="412"/>
    </row>
    <row r="26" spans="1:17" ht="20.149999999999999" customHeight="1">
      <c r="A26" s="340"/>
      <c r="B26" s="320" t="str">
        <f>'Detail-Finishing'!B116</f>
        <v>( b ) Internal Paint (Putty 2, Sealer 1, Paint 2 Coat)</v>
      </c>
      <c r="C26" s="453" t="s">
        <v>21</v>
      </c>
      <c r="D26" s="448">
        <f>'Detail-Finishing'!I167</f>
        <v>5614.32</v>
      </c>
      <c r="E26" s="11"/>
      <c r="F26" s="149"/>
      <c r="G26" s="9"/>
      <c r="H26" s="383"/>
      <c r="I26" s="384"/>
      <c r="J26" s="394"/>
      <c r="K26" s="395"/>
      <c r="L26" s="409"/>
      <c r="M26" s="412"/>
    </row>
    <row r="27" spans="1:17" ht="20.149999999999999" customHeight="1">
      <c r="A27" s="340"/>
      <c r="B27" s="320" t="str">
        <f>'Detail-Finishing'!B169</f>
        <v>( c ) Ceiling White</v>
      </c>
      <c r="C27" s="453" t="s">
        <v>21</v>
      </c>
      <c r="D27" s="448">
        <f>'Detail-Finishing'!I174</f>
        <v>2373.33</v>
      </c>
      <c r="E27" s="11"/>
      <c r="F27" s="149"/>
      <c r="G27" s="9"/>
      <c r="H27" s="383"/>
      <c r="I27" s="384"/>
      <c r="J27" s="394"/>
      <c r="K27" s="395"/>
      <c r="L27" s="409"/>
      <c r="M27" s="412"/>
    </row>
    <row r="28" spans="1:17" ht="20.149999999999999" customHeight="1">
      <c r="A28" s="340"/>
      <c r="B28" s="340" t="s">
        <v>26</v>
      </c>
      <c r="C28" s="453"/>
      <c r="D28" s="448"/>
      <c r="E28" s="11"/>
      <c r="F28" s="149"/>
      <c r="G28" s="9"/>
      <c r="H28" s="383"/>
      <c r="I28" s="384"/>
      <c r="J28" s="394"/>
      <c r="K28" s="395"/>
      <c r="L28" s="409"/>
      <c r="M28" s="412"/>
    </row>
    <row r="29" spans="1:17" ht="20.149999999999999" customHeight="1">
      <c r="A29" s="8"/>
      <c r="B29" s="10" t="s">
        <v>847</v>
      </c>
      <c r="C29" s="21" t="s">
        <v>9</v>
      </c>
      <c r="D29" s="33">
        <f>ROUND((D25+D26)*0.6/100,0)</f>
        <v>53</v>
      </c>
      <c r="E29" s="11">
        <f t="shared" ref="E29:E34" si="2">E193</f>
        <v>24000</v>
      </c>
      <c r="F29" s="368" t="str">
        <f>C29</f>
        <v>Bag</v>
      </c>
      <c r="G29" s="9">
        <f t="shared" ref="G29:G42" si="3">E29*D29</f>
        <v>1272000</v>
      </c>
      <c r="H29" s="383"/>
      <c r="I29" s="384"/>
      <c r="J29" s="394"/>
      <c r="K29" s="395"/>
      <c r="L29" s="409"/>
      <c r="M29" s="412"/>
    </row>
    <row r="30" spans="1:17" ht="20.149999999999999" customHeight="1">
      <c r="A30" s="8"/>
      <c r="B30" s="10" t="s">
        <v>848</v>
      </c>
      <c r="C30" s="21" t="s">
        <v>853</v>
      </c>
      <c r="D30" s="33">
        <f>ROUND((D25*1.5)+(D26*0.8),0)/100</f>
        <v>94.1</v>
      </c>
      <c r="E30" s="11">
        <f t="shared" si="2"/>
        <v>36000</v>
      </c>
      <c r="F30" s="368" t="str">
        <f t="shared" ref="F30:F42" si="4">C30</f>
        <v>Lit</v>
      </c>
      <c r="G30" s="9">
        <f t="shared" si="3"/>
        <v>3387600</v>
      </c>
      <c r="H30" s="383"/>
      <c r="I30" s="384"/>
      <c r="J30" s="394"/>
      <c r="K30" s="395"/>
      <c r="L30" s="409"/>
      <c r="M30" s="412"/>
    </row>
    <row r="31" spans="1:17" ht="20.149999999999999" customHeight="1">
      <c r="A31" s="8"/>
      <c r="B31" s="10" t="s">
        <v>308</v>
      </c>
      <c r="C31" s="21" t="s">
        <v>853</v>
      </c>
      <c r="D31" s="33">
        <f>ROUND(D25*2/100,0)</f>
        <v>66</v>
      </c>
      <c r="E31" s="11">
        <f t="shared" si="2"/>
        <v>31000</v>
      </c>
      <c r="F31" s="368" t="str">
        <f t="shared" si="4"/>
        <v>Lit</v>
      </c>
      <c r="G31" s="9">
        <f t="shared" si="3"/>
        <v>2046000</v>
      </c>
      <c r="H31" s="383"/>
      <c r="I31" s="384"/>
      <c r="J31" s="394"/>
      <c r="K31" s="395"/>
      <c r="L31" s="409"/>
      <c r="M31" s="412"/>
    </row>
    <row r="32" spans="1:17" ht="20.149999999999999" customHeight="1">
      <c r="A32" s="8"/>
      <c r="B32" s="10" t="s">
        <v>309</v>
      </c>
      <c r="C32" s="21" t="s">
        <v>853</v>
      </c>
      <c r="D32" s="33">
        <f>ROUND(D26*2/100,0)</f>
        <v>112</v>
      </c>
      <c r="E32" s="11">
        <f t="shared" si="2"/>
        <v>31000</v>
      </c>
      <c r="F32" s="368" t="str">
        <f t="shared" si="4"/>
        <v>Lit</v>
      </c>
      <c r="G32" s="9">
        <f t="shared" si="3"/>
        <v>3472000</v>
      </c>
      <c r="H32" s="383"/>
      <c r="I32" s="384"/>
      <c r="J32" s="394"/>
      <c r="K32" s="395"/>
      <c r="L32" s="409"/>
      <c r="M32" s="412"/>
    </row>
    <row r="33" spans="1:13" ht="20.149999999999999" customHeight="1">
      <c r="A33" s="8"/>
      <c r="B33" s="10" t="s">
        <v>829</v>
      </c>
      <c r="C33" s="21" t="s">
        <v>853</v>
      </c>
      <c r="D33" s="33">
        <f>ROUND(D27*2/100,0)</f>
        <v>47</v>
      </c>
      <c r="E33" s="11">
        <f t="shared" si="2"/>
        <v>31000</v>
      </c>
      <c r="F33" s="368" t="str">
        <f t="shared" si="4"/>
        <v>Lit</v>
      </c>
      <c r="G33" s="9">
        <f t="shared" si="3"/>
        <v>1457000</v>
      </c>
      <c r="H33" s="383"/>
      <c r="I33" s="384"/>
      <c r="J33" s="394"/>
      <c r="K33" s="395"/>
      <c r="L33" s="409"/>
      <c r="M33" s="412"/>
    </row>
    <row r="34" spans="1:13" ht="20.149999999999999" customHeight="1">
      <c r="A34" s="8"/>
      <c r="B34" s="10" t="s">
        <v>854</v>
      </c>
      <c r="C34" s="21" t="s">
        <v>9</v>
      </c>
      <c r="D34" s="33">
        <f>ROUND(D27*1/750,0)</f>
        <v>3</v>
      </c>
      <c r="E34" s="11">
        <f t="shared" si="2"/>
        <v>55000</v>
      </c>
      <c r="F34" s="368" t="str">
        <f t="shared" si="4"/>
        <v>Bag</v>
      </c>
      <c r="G34" s="9">
        <f t="shared" si="3"/>
        <v>165000</v>
      </c>
      <c r="H34" s="383"/>
      <c r="I34" s="384"/>
      <c r="J34" s="394"/>
      <c r="K34" s="395"/>
      <c r="L34" s="409"/>
      <c r="M34" s="412"/>
    </row>
    <row r="35" spans="1:13" ht="20.149999999999999" customHeight="1">
      <c r="A35" s="8"/>
      <c r="B35" s="10" t="s">
        <v>855</v>
      </c>
      <c r="C35" s="21" t="s">
        <v>82</v>
      </c>
      <c r="D35" s="33">
        <f>(D11+D12+D13)*12</f>
        <v>948</v>
      </c>
      <c r="E35" s="11">
        <f>VLOOKUP(B35,'Material Rate'!A$1:C120,3,FALSE)</f>
        <v>50</v>
      </c>
      <c r="F35" s="368" t="str">
        <f t="shared" si="4"/>
        <v>Ft</v>
      </c>
      <c r="G35" s="9">
        <f t="shared" si="3"/>
        <v>47400</v>
      </c>
      <c r="H35" s="383"/>
      <c r="I35" s="384"/>
      <c r="J35" s="394"/>
      <c r="K35" s="395"/>
      <c r="L35" s="409"/>
      <c r="M35" s="412"/>
    </row>
    <row r="36" spans="1:13" ht="20.149999999999999" customHeight="1">
      <c r="A36" s="8"/>
      <c r="B36" s="445" t="s">
        <v>849</v>
      </c>
      <c r="C36" s="446" t="s">
        <v>2</v>
      </c>
      <c r="D36" s="33">
        <f>ROUND((D25+D26)*0.5/100,0)</f>
        <v>44</v>
      </c>
      <c r="E36" s="11">
        <f t="shared" ref="E36:E42" si="5">E200</f>
        <v>300</v>
      </c>
      <c r="F36" s="368" t="str">
        <f t="shared" si="4"/>
        <v>No</v>
      </c>
      <c r="G36" s="9">
        <f t="shared" si="3"/>
        <v>13200</v>
      </c>
      <c r="H36" s="383"/>
      <c r="I36" s="384"/>
      <c r="J36" s="394"/>
      <c r="K36" s="395"/>
      <c r="L36" s="409"/>
      <c r="M36" s="412"/>
    </row>
    <row r="37" spans="1:13" ht="20.149999999999999" customHeight="1">
      <c r="A37" s="8"/>
      <c r="B37" s="445" t="s">
        <v>850</v>
      </c>
      <c r="C37" s="446" t="s">
        <v>851</v>
      </c>
      <c r="D37" s="33">
        <f>ROUND((D25+D26)*0.1/100,0)</f>
        <v>9</v>
      </c>
      <c r="E37" s="11">
        <f t="shared" si="5"/>
        <v>2400</v>
      </c>
      <c r="F37" s="368" t="str">
        <f t="shared" si="4"/>
        <v>Doz</v>
      </c>
      <c r="G37" s="9">
        <f t="shared" si="3"/>
        <v>21600</v>
      </c>
      <c r="H37" s="383"/>
      <c r="I37" s="384"/>
      <c r="J37" s="394"/>
      <c r="K37" s="395"/>
      <c r="L37" s="409"/>
      <c r="M37" s="412"/>
    </row>
    <row r="38" spans="1:13" ht="20.149999999999999" customHeight="1">
      <c r="A38" s="8"/>
      <c r="B38" s="445" t="s">
        <v>300</v>
      </c>
      <c r="C38" s="446" t="s">
        <v>2</v>
      </c>
      <c r="D38" s="33">
        <f>ROUND((D25+D26)*4/100/100,0)</f>
        <v>4</v>
      </c>
      <c r="E38" s="11">
        <f t="shared" si="5"/>
        <v>700</v>
      </c>
      <c r="F38" s="368" t="str">
        <f t="shared" si="4"/>
        <v>No</v>
      </c>
      <c r="G38" s="9">
        <f t="shared" si="3"/>
        <v>2800</v>
      </c>
      <c r="H38" s="383"/>
      <c r="I38" s="384"/>
      <c r="J38" s="394"/>
      <c r="K38" s="395"/>
      <c r="L38" s="409"/>
      <c r="M38" s="412"/>
    </row>
    <row r="39" spans="1:13" ht="20.149999999999999" customHeight="1">
      <c r="A39" s="8"/>
      <c r="B39" s="445" t="s">
        <v>301</v>
      </c>
      <c r="C39" s="446" t="s">
        <v>2</v>
      </c>
      <c r="D39" s="33">
        <v>4</v>
      </c>
      <c r="E39" s="11">
        <f t="shared" si="5"/>
        <v>3000</v>
      </c>
      <c r="F39" s="368" t="str">
        <f t="shared" si="4"/>
        <v>No</v>
      </c>
      <c r="G39" s="9">
        <f t="shared" si="3"/>
        <v>12000</v>
      </c>
      <c r="H39" s="383"/>
      <c r="I39" s="384"/>
      <c r="J39" s="394"/>
      <c r="K39" s="395"/>
      <c r="L39" s="409"/>
      <c r="M39" s="412"/>
    </row>
    <row r="40" spans="1:13" ht="20.149999999999999" customHeight="1">
      <c r="A40" s="8"/>
      <c r="B40" s="445" t="s">
        <v>302</v>
      </c>
      <c r="C40" s="446" t="s">
        <v>2</v>
      </c>
      <c r="D40" s="33">
        <f>ROUND((D25+D26)*0.25/100,0)</f>
        <v>22</v>
      </c>
      <c r="E40" s="11">
        <f t="shared" si="5"/>
        <v>500</v>
      </c>
      <c r="F40" s="368" t="str">
        <f t="shared" si="4"/>
        <v>No</v>
      </c>
      <c r="G40" s="9">
        <f t="shared" si="3"/>
        <v>11000</v>
      </c>
      <c r="H40" s="383"/>
      <c r="I40" s="384"/>
      <c r="J40" s="394"/>
      <c r="K40" s="395"/>
      <c r="L40" s="409"/>
      <c r="M40" s="412"/>
    </row>
    <row r="41" spans="1:13" ht="20.149999999999999" customHeight="1">
      <c r="A41" s="8"/>
      <c r="B41" s="445" t="s">
        <v>303</v>
      </c>
      <c r="C41" s="446" t="s">
        <v>2</v>
      </c>
      <c r="D41" s="33">
        <v>7</v>
      </c>
      <c r="E41" s="11">
        <f t="shared" si="5"/>
        <v>7000</v>
      </c>
      <c r="F41" s="368" t="str">
        <f t="shared" si="4"/>
        <v>No</v>
      </c>
      <c r="G41" s="9">
        <f t="shared" si="3"/>
        <v>49000</v>
      </c>
      <c r="H41" s="383"/>
      <c r="I41" s="384"/>
      <c r="J41" s="394"/>
      <c r="K41" s="395"/>
      <c r="L41" s="409"/>
      <c r="M41" s="412"/>
    </row>
    <row r="42" spans="1:13" ht="20.149999999999999" customHeight="1">
      <c r="A42" s="8"/>
      <c r="B42" s="445" t="s">
        <v>852</v>
      </c>
      <c r="C42" s="446" t="s">
        <v>2</v>
      </c>
      <c r="D42" s="33">
        <f>ROUND(D24*0.25/100,0)</f>
        <v>28</v>
      </c>
      <c r="E42" s="11">
        <f t="shared" si="5"/>
        <v>1000</v>
      </c>
      <c r="F42" s="368" t="str">
        <f t="shared" si="4"/>
        <v>No</v>
      </c>
      <c r="G42" s="9">
        <f t="shared" si="3"/>
        <v>28000</v>
      </c>
      <c r="H42" s="383"/>
      <c r="I42" s="384"/>
      <c r="J42" s="394"/>
      <c r="K42" s="395"/>
      <c r="L42" s="409"/>
      <c r="M42" s="412"/>
    </row>
    <row r="43" spans="1:13" ht="20.149999999999999" customHeight="1">
      <c r="A43" s="8"/>
      <c r="B43" s="12"/>
      <c r="C43" s="21"/>
      <c r="D43" s="33"/>
      <c r="E43" s="11"/>
      <c r="F43" s="149"/>
      <c r="G43" s="9"/>
      <c r="H43" s="383"/>
      <c r="I43" s="384"/>
      <c r="J43" s="394"/>
      <c r="K43" s="395"/>
      <c r="L43" s="409"/>
      <c r="M43" s="412"/>
    </row>
    <row r="44" spans="1:13" ht="20.149999999999999" customHeight="1">
      <c r="A44" s="8"/>
      <c r="B44" s="8" t="s">
        <v>22</v>
      </c>
      <c r="C44" s="21"/>
      <c r="D44" s="33"/>
      <c r="E44" s="11"/>
      <c r="F44" s="368"/>
      <c r="G44" s="9"/>
      <c r="H44" s="383"/>
      <c r="I44" s="384"/>
      <c r="J44" s="395"/>
      <c r="K44" s="395"/>
      <c r="L44" s="399"/>
      <c r="M44" s="413"/>
    </row>
    <row r="45" spans="1:13" ht="20.149999999999999" customHeight="1">
      <c r="A45" s="8"/>
      <c r="B45" s="143" t="s">
        <v>856</v>
      </c>
      <c r="C45" s="140" t="s">
        <v>21</v>
      </c>
      <c r="D45" s="141">
        <f>D24</f>
        <v>11266.94</v>
      </c>
      <c r="E45" s="11">
        <f>VLOOKUP(B45,'Material Rate'!A$1:C130,3,FALSE)</f>
        <v>400</v>
      </c>
      <c r="F45" s="347" t="str">
        <f>C45</f>
        <v>Fs</v>
      </c>
      <c r="G45" s="9">
        <f>E45*D45</f>
        <v>4506776</v>
      </c>
      <c r="H45" s="385"/>
      <c r="I45" s="384"/>
      <c r="J45" s="395"/>
      <c r="K45" s="395"/>
      <c r="L45" s="399"/>
      <c r="M45" s="413"/>
    </row>
    <row r="46" spans="1:13" ht="19" customHeight="1">
      <c r="A46" s="8"/>
      <c r="B46" s="8"/>
      <c r="C46" s="8"/>
      <c r="D46" s="33"/>
      <c r="E46" s="11"/>
      <c r="F46" s="149"/>
      <c r="G46" s="9"/>
      <c r="H46" s="383"/>
      <c r="I46" s="384"/>
      <c r="J46" s="395"/>
      <c r="K46" s="395"/>
      <c r="L46" s="399"/>
      <c r="M46" s="413"/>
    </row>
    <row r="47" spans="1:13" ht="19" customHeight="1">
      <c r="A47" s="8"/>
      <c r="B47" s="320" t="str">
        <f>'Detail-Finishing'!B176</f>
        <v>( d ) Enamel Painting Work</v>
      </c>
      <c r="C47" s="321" t="str">
        <f>'Detail-Finishing'!J182</f>
        <v>Fs</v>
      </c>
      <c r="D47" s="448">
        <f>'Detail-Finishing'!I182</f>
        <v>963.98</v>
      </c>
      <c r="E47" s="11"/>
      <c r="F47" s="149"/>
      <c r="G47" s="9"/>
      <c r="H47" s="383"/>
      <c r="I47" s="384"/>
      <c r="J47" s="395"/>
      <c r="K47" s="395"/>
      <c r="L47" s="399"/>
      <c r="M47" s="413"/>
    </row>
    <row r="48" spans="1:13" ht="19" customHeight="1">
      <c r="A48" s="8"/>
      <c r="B48" s="8" t="s">
        <v>26</v>
      </c>
      <c r="C48" s="8"/>
      <c r="D48" s="33"/>
      <c r="E48" s="11"/>
      <c r="F48" s="149"/>
      <c r="G48" s="9"/>
      <c r="H48" s="383"/>
      <c r="I48" s="384"/>
      <c r="J48" s="395"/>
      <c r="K48" s="395"/>
      <c r="L48" s="399"/>
      <c r="M48" s="413"/>
    </row>
    <row r="49" spans="1:13" ht="19" customHeight="1">
      <c r="A49" s="8"/>
      <c r="B49" s="445" t="s">
        <v>56</v>
      </c>
      <c r="C49" s="446" t="s">
        <v>853</v>
      </c>
      <c r="D49" s="447">
        <f>ROUND(D47*1.5/100,0)*2</f>
        <v>28</v>
      </c>
      <c r="E49" s="11">
        <f>E207</f>
        <v>24000</v>
      </c>
      <c r="F49" s="347" t="str">
        <f t="shared" ref="F49:F56" si="6">C49</f>
        <v>Lit</v>
      </c>
      <c r="G49" s="9">
        <f t="shared" ref="G49:G56" si="7">E49*D49</f>
        <v>672000</v>
      </c>
      <c r="H49" s="383"/>
      <c r="I49" s="384"/>
      <c r="J49" s="395"/>
      <c r="K49" s="395"/>
      <c r="L49" s="399"/>
      <c r="M49" s="413"/>
    </row>
    <row r="50" spans="1:13" ht="19" customHeight="1">
      <c r="A50" s="8"/>
      <c r="B50" s="445" t="s">
        <v>857</v>
      </c>
      <c r="C50" s="446" t="s">
        <v>853</v>
      </c>
      <c r="D50" s="447">
        <f>ROUND(D47*1.5/100,0)</f>
        <v>14</v>
      </c>
      <c r="E50" s="11">
        <f>E208</f>
        <v>24000</v>
      </c>
      <c r="F50" s="347" t="str">
        <f t="shared" si="6"/>
        <v>Lit</v>
      </c>
      <c r="G50" s="9">
        <f t="shared" si="7"/>
        <v>336000</v>
      </c>
      <c r="H50" s="383"/>
      <c r="I50" s="384"/>
      <c r="J50" s="395"/>
      <c r="K50" s="395"/>
      <c r="L50" s="399"/>
      <c r="M50" s="413"/>
    </row>
    <row r="51" spans="1:13" ht="19" customHeight="1">
      <c r="A51" s="8"/>
      <c r="B51" s="445" t="s">
        <v>858</v>
      </c>
      <c r="C51" s="446" t="s">
        <v>28</v>
      </c>
      <c r="D51" s="447">
        <f>ROUND(D47*3/100/4.5,0)</f>
        <v>6</v>
      </c>
      <c r="E51" s="11">
        <f>VLOOKUP(B51,'Material Rate'!A$1:C136,3,FALSE)</f>
        <v>4000</v>
      </c>
      <c r="F51" s="347" t="str">
        <f t="shared" si="6"/>
        <v>Gal</v>
      </c>
      <c r="G51" s="9">
        <f t="shared" si="7"/>
        <v>24000</v>
      </c>
      <c r="H51" s="383"/>
      <c r="I51" s="384"/>
      <c r="J51" s="395"/>
      <c r="K51" s="395"/>
      <c r="L51" s="399"/>
      <c r="M51" s="413"/>
    </row>
    <row r="52" spans="1:13" ht="19" customHeight="1">
      <c r="A52" s="8"/>
      <c r="B52" s="445" t="s">
        <v>859</v>
      </c>
      <c r="C52" s="446" t="s">
        <v>2</v>
      </c>
      <c r="D52" s="447">
        <f>ROUND(D47*5/100,0)</f>
        <v>48</v>
      </c>
      <c r="E52" s="11">
        <f>E210</f>
        <v>1800</v>
      </c>
      <c r="F52" s="347" t="str">
        <f t="shared" si="6"/>
        <v>No</v>
      </c>
      <c r="G52" s="9">
        <f t="shared" si="7"/>
        <v>86400</v>
      </c>
      <c r="H52" s="383"/>
      <c r="I52" s="384"/>
      <c r="J52" s="395"/>
      <c r="K52" s="395"/>
      <c r="L52" s="399"/>
      <c r="M52" s="413"/>
    </row>
    <row r="53" spans="1:13" ht="19" customHeight="1">
      <c r="A53" s="8"/>
      <c r="B53" s="474" t="s">
        <v>305</v>
      </c>
      <c r="C53" s="446" t="s">
        <v>2</v>
      </c>
      <c r="D53" s="447">
        <f>ROUND(D47*1/100,0)</f>
        <v>10</v>
      </c>
      <c r="E53" s="11">
        <f>VLOOKUP(B53,'Material Rate'!A$1:C138,3,FALSE)</f>
        <v>1500</v>
      </c>
      <c r="F53" s="347" t="str">
        <f t="shared" si="6"/>
        <v>No</v>
      </c>
      <c r="G53" s="9">
        <f t="shared" si="7"/>
        <v>15000</v>
      </c>
      <c r="H53" s="383"/>
      <c r="I53" s="384"/>
      <c r="J53" s="395"/>
      <c r="K53" s="395"/>
      <c r="L53" s="399"/>
      <c r="M53" s="413"/>
    </row>
    <row r="54" spans="1:13" ht="19" customHeight="1">
      <c r="A54" s="8"/>
      <c r="B54" s="474" t="s">
        <v>306</v>
      </c>
      <c r="C54" s="446" t="s">
        <v>2</v>
      </c>
      <c r="D54" s="447">
        <f>ROUND(D47*1/100,0)</f>
        <v>10</v>
      </c>
      <c r="E54" s="11">
        <f>VLOOKUP(B54,'Material Rate'!A$1:C139,3,FALSE)</f>
        <v>1200</v>
      </c>
      <c r="F54" s="347" t="str">
        <f t="shared" si="6"/>
        <v>No</v>
      </c>
      <c r="G54" s="9">
        <f t="shared" si="7"/>
        <v>12000</v>
      </c>
      <c r="H54" s="383"/>
      <c r="I54" s="384"/>
      <c r="J54" s="395"/>
      <c r="K54" s="395"/>
      <c r="L54" s="399"/>
      <c r="M54" s="413"/>
    </row>
    <row r="55" spans="1:13" ht="19" customHeight="1">
      <c r="A55" s="8"/>
      <c r="B55" s="474" t="s">
        <v>303</v>
      </c>
      <c r="C55" s="446" t="s">
        <v>2</v>
      </c>
      <c r="D55" s="447">
        <v>2</v>
      </c>
      <c r="E55" s="11">
        <f>E205</f>
        <v>7000</v>
      </c>
      <c r="F55" s="347" t="str">
        <f t="shared" si="6"/>
        <v>No</v>
      </c>
      <c r="G55" s="9">
        <f t="shared" si="7"/>
        <v>14000</v>
      </c>
      <c r="H55" s="383"/>
      <c r="I55" s="384"/>
      <c r="J55" s="395"/>
      <c r="K55" s="395"/>
      <c r="L55" s="399"/>
      <c r="M55" s="413"/>
    </row>
    <row r="56" spans="1:13" ht="19" customHeight="1">
      <c r="A56" s="8"/>
      <c r="B56" s="474" t="s">
        <v>860</v>
      </c>
      <c r="C56" s="446" t="s">
        <v>2</v>
      </c>
      <c r="D56" s="447">
        <f>ROUND(D47*5/100,0)</f>
        <v>48</v>
      </c>
      <c r="E56" s="11">
        <f>VLOOKUP(B56,'Material Rate'!A$1:C141,3,FALSE)</f>
        <v>800</v>
      </c>
      <c r="F56" s="347" t="str">
        <f t="shared" si="6"/>
        <v>No</v>
      </c>
      <c r="G56" s="9">
        <f t="shared" si="7"/>
        <v>38400</v>
      </c>
      <c r="H56" s="383"/>
      <c r="I56" s="384"/>
      <c r="J56" s="395"/>
      <c r="K56" s="395"/>
      <c r="L56" s="399"/>
      <c r="M56" s="413"/>
    </row>
    <row r="57" spans="1:13" ht="19" customHeight="1">
      <c r="A57" s="8"/>
      <c r="B57" s="8" t="s">
        <v>22</v>
      </c>
      <c r="C57" s="8"/>
      <c r="D57" s="33"/>
      <c r="E57" s="11"/>
      <c r="F57" s="149"/>
      <c r="G57" s="9"/>
      <c r="H57" s="383"/>
      <c r="I57" s="384"/>
      <c r="J57" s="395"/>
      <c r="K57" s="395"/>
      <c r="L57" s="399"/>
      <c r="M57" s="413"/>
    </row>
    <row r="58" spans="1:13" ht="19" customHeight="1">
      <c r="A58" s="8"/>
      <c r="B58" s="8" t="s">
        <v>861</v>
      </c>
      <c r="C58" s="8" t="s">
        <v>21</v>
      </c>
      <c r="D58" s="33">
        <f>D47</f>
        <v>963.98</v>
      </c>
      <c r="E58" s="11">
        <f>VLOOKUP(B58,'Material Rate'!A$1:C143,3,FALSE)</f>
        <v>600</v>
      </c>
      <c r="F58" s="347" t="str">
        <f>C58</f>
        <v>Fs</v>
      </c>
      <c r="G58" s="9">
        <f>E58*D58</f>
        <v>578388</v>
      </c>
      <c r="H58" s="383"/>
      <c r="I58" s="384"/>
      <c r="J58" s="395"/>
      <c r="K58" s="395"/>
      <c r="L58" s="399"/>
      <c r="M58" s="413"/>
    </row>
    <row r="59" spans="1:13" ht="19" customHeight="1">
      <c r="A59" s="8"/>
      <c r="B59" s="8"/>
      <c r="C59" s="8"/>
      <c r="D59" s="33"/>
      <c r="E59" s="11"/>
      <c r="F59" s="149"/>
      <c r="G59" s="9"/>
      <c r="H59" s="383"/>
      <c r="I59" s="384"/>
      <c r="J59" s="395"/>
      <c r="K59" s="395"/>
      <c r="L59" s="399"/>
      <c r="M59" s="413"/>
    </row>
    <row r="60" spans="1:13" ht="19" customHeight="1">
      <c r="A60" s="340">
        <f>'Detail-Finishing'!A184</f>
        <v>3</v>
      </c>
      <c r="B60" s="320" t="str">
        <f>'Detail-Finishing'!B184</f>
        <v>Aluminium Door &amp; Window</v>
      </c>
      <c r="C60" s="321" t="str">
        <f>'Detail-Finishing'!J193</f>
        <v>Fs</v>
      </c>
      <c r="D60" s="448">
        <f>'Detail-Finishing'!I193</f>
        <v>422.2</v>
      </c>
      <c r="E60" s="11"/>
      <c r="F60" s="149"/>
      <c r="G60" s="9"/>
      <c r="H60" s="383"/>
      <c r="I60" s="384"/>
      <c r="J60" s="395"/>
      <c r="K60" s="395"/>
      <c r="L60" s="399"/>
      <c r="M60" s="413"/>
    </row>
    <row r="61" spans="1:13" ht="19" customHeight="1">
      <c r="A61" s="8"/>
      <c r="B61" s="340" t="s">
        <v>862</v>
      </c>
      <c r="C61" s="8"/>
      <c r="D61" s="33"/>
      <c r="E61" s="11"/>
      <c r="F61" s="149"/>
      <c r="G61" s="9"/>
      <c r="H61" s="383"/>
      <c r="I61" s="384"/>
      <c r="J61" s="395"/>
      <c r="K61" s="395"/>
      <c r="L61" s="399"/>
      <c r="M61" s="413"/>
    </row>
    <row r="62" spans="1:13" ht="19" customHeight="1">
      <c r="A62" s="8"/>
      <c r="B62" s="10" t="s">
        <v>865</v>
      </c>
      <c r="C62" s="8" t="s">
        <v>21</v>
      </c>
      <c r="D62" s="33">
        <f>'Detail-Finishing'!I193</f>
        <v>422.2</v>
      </c>
      <c r="E62" s="11">
        <f>VLOOKUP(B62,'Material Rate'!A$1:C147,3,FALSE)</f>
        <v>42000</v>
      </c>
      <c r="F62" s="347" t="str">
        <f>C62</f>
        <v>Fs</v>
      </c>
      <c r="G62" s="9">
        <f>E62*D62</f>
        <v>17732400</v>
      </c>
      <c r="H62" s="383"/>
      <c r="I62" s="384"/>
      <c r="J62" s="395"/>
      <c r="K62" s="395"/>
      <c r="L62" s="399"/>
      <c r="M62" s="413"/>
    </row>
    <row r="63" spans="1:13" ht="19" customHeight="1">
      <c r="A63" s="8"/>
      <c r="B63" s="10" t="s">
        <v>866</v>
      </c>
      <c r="C63" s="8" t="s">
        <v>21</v>
      </c>
      <c r="D63" s="33">
        <f>'Detail-Finishing'!I196</f>
        <v>21</v>
      </c>
      <c r="E63" s="11">
        <f>VLOOKUP(B63,'Material Rate'!A$1:C148,3,FALSE)</f>
        <v>42000</v>
      </c>
      <c r="F63" s="347" t="str">
        <f>C63</f>
        <v>Fs</v>
      </c>
      <c r="G63" s="9">
        <f>E63*D63</f>
        <v>882000</v>
      </c>
      <c r="H63" s="383"/>
      <c r="I63" s="384"/>
      <c r="J63" s="395"/>
      <c r="K63" s="395"/>
      <c r="L63" s="399"/>
      <c r="M63" s="413"/>
    </row>
    <row r="64" spans="1:13" ht="19" customHeight="1">
      <c r="A64" s="8"/>
      <c r="B64" s="8"/>
      <c r="C64" s="8"/>
      <c r="D64" s="33"/>
      <c r="E64" s="11"/>
      <c r="F64" s="149"/>
      <c r="G64" s="9"/>
      <c r="H64" s="383"/>
      <c r="I64" s="384"/>
      <c r="J64" s="395"/>
      <c r="K64" s="395"/>
      <c r="L64" s="399"/>
      <c r="M64" s="413"/>
    </row>
    <row r="65" spans="1:13" ht="19" customHeight="1">
      <c r="A65" s="8"/>
      <c r="B65" s="8"/>
      <c r="C65" s="8"/>
      <c r="D65" s="33"/>
      <c r="E65" s="11"/>
      <c r="F65" s="149"/>
      <c r="G65" s="9"/>
      <c r="H65" s="383"/>
      <c r="I65" s="384"/>
      <c r="J65" s="395"/>
      <c r="K65" s="395"/>
      <c r="L65" s="399"/>
      <c r="M65" s="413"/>
    </row>
    <row r="66" spans="1:13" ht="19" customHeight="1">
      <c r="A66" s="340">
        <f>'Detail-Finishing'!A198</f>
        <v>4</v>
      </c>
      <c r="B66" s="320" t="str">
        <f>'Detail-Finishing'!B198</f>
        <v>Teak Door</v>
      </c>
      <c r="C66" s="321" t="str">
        <f>'Detail-Finishing'!J202</f>
        <v>Fs</v>
      </c>
      <c r="D66" s="448">
        <f>'Detail-Finishing'!I202</f>
        <v>273</v>
      </c>
      <c r="E66" s="11"/>
      <c r="F66" s="149"/>
      <c r="G66" s="9"/>
      <c r="H66" s="383"/>
      <c r="I66" s="384"/>
      <c r="J66" s="395"/>
      <c r="K66" s="395"/>
      <c r="L66" s="399"/>
      <c r="M66" s="413"/>
    </row>
    <row r="67" spans="1:13" ht="19" customHeight="1">
      <c r="A67" s="8"/>
      <c r="B67" s="58" t="s">
        <v>554</v>
      </c>
      <c r="C67" s="23" t="s">
        <v>2</v>
      </c>
      <c r="D67" s="33">
        <f>'Detail-Finishing'!C199</f>
        <v>1</v>
      </c>
      <c r="E67" s="11"/>
      <c r="F67" s="149"/>
      <c r="G67" s="9"/>
      <c r="H67" s="383"/>
      <c r="I67" s="384"/>
      <c r="J67" s="395"/>
      <c r="K67" s="395"/>
      <c r="L67" s="399"/>
      <c r="M67" s="413"/>
    </row>
    <row r="68" spans="1:13" ht="19" customHeight="1">
      <c r="A68" s="8"/>
      <c r="B68" s="58" t="s">
        <v>555</v>
      </c>
      <c r="C68" s="23" t="s">
        <v>2</v>
      </c>
      <c r="D68" s="33">
        <f>'Detail-Finishing'!C200</f>
        <v>8</v>
      </c>
      <c r="E68" s="11"/>
      <c r="F68" s="149"/>
      <c r="G68" s="9"/>
      <c r="H68" s="383"/>
      <c r="I68" s="384"/>
      <c r="J68" s="395"/>
      <c r="K68" s="395"/>
      <c r="L68" s="399"/>
      <c r="M68" s="413"/>
    </row>
    <row r="69" spans="1:13" ht="19" customHeight="1">
      <c r="A69" s="8"/>
      <c r="B69" s="58" t="s">
        <v>637</v>
      </c>
      <c r="C69" s="23" t="s">
        <v>2</v>
      </c>
      <c r="D69" s="33">
        <f>'Detail-Finishing'!C201</f>
        <v>4</v>
      </c>
      <c r="E69" s="11"/>
      <c r="F69" s="149"/>
      <c r="G69" s="9"/>
      <c r="H69" s="383"/>
      <c r="I69" s="384"/>
      <c r="J69" s="395"/>
      <c r="K69" s="395"/>
      <c r="L69" s="399"/>
      <c r="M69" s="413"/>
    </row>
    <row r="70" spans="1:13" ht="19" customHeight="1">
      <c r="A70" s="8"/>
      <c r="B70" s="340" t="s">
        <v>26</v>
      </c>
      <c r="C70" s="23"/>
      <c r="D70" s="33"/>
      <c r="E70" s="11"/>
      <c r="F70" s="149"/>
      <c r="G70" s="9"/>
      <c r="H70" s="383"/>
      <c r="I70" s="384"/>
      <c r="J70" s="395"/>
      <c r="K70" s="395"/>
      <c r="L70" s="399"/>
      <c r="M70" s="413"/>
    </row>
    <row r="71" spans="1:13" ht="19" customHeight="1">
      <c r="A71" s="8"/>
      <c r="B71" s="10" t="s">
        <v>867</v>
      </c>
      <c r="C71" s="8" t="s">
        <v>21</v>
      </c>
      <c r="D71" s="33">
        <f>D66</f>
        <v>273</v>
      </c>
      <c r="E71" s="11">
        <f>VLOOKUP(B71,'Material Rate'!A$1:C156,3,FALSE)</f>
        <v>30000</v>
      </c>
      <c r="F71" s="347" t="str">
        <f>C71</f>
        <v>Fs</v>
      </c>
      <c r="G71" s="9">
        <f>E71*D71</f>
        <v>8190000</v>
      </c>
      <c r="H71" s="383"/>
      <c r="I71" s="384"/>
      <c r="J71" s="395"/>
      <c r="K71" s="395"/>
      <c r="L71" s="399"/>
      <c r="M71" s="413"/>
    </row>
    <row r="72" spans="1:13" ht="19" customHeight="1">
      <c r="A72" s="8"/>
      <c r="B72" s="10" t="s">
        <v>868</v>
      </c>
      <c r="C72" s="8" t="s">
        <v>705</v>
      </c>
      <c r="D72" s="33">
        <f>D67+D68</f>
        <v>9</v>
      </c>
      <c r="E72" s="11">
        <f>VLOOKUP(B72,'Material Rate'!A$1:C157,3,FALSE)</f>
        <v>30000</v>
      </c>
      <c r="F72" s="347" t="str">
        <f>C72</f>
        <v>Set</v>
      </c>
      <c r="G72" s="9">
        <f>E72*D72</f>
        <v>270000</v>
      </c>
      <c r="H72" s="383"/>
      <c r="I72" s="384"/>
      <c r="J72" s="395"/>
      <c r="K72" s="395"/>
      <c r="L72" s="399"/>
      <c r="M72" s="413"/>
    </row>
    <row r="73" spans="1:13" ht="19" customHeight="1">
      <c r="A73" s="8"/>
      <c r="B73" s="10" t="s">
        <v>869</v>
      </c>
      <c r="C73" s="8" t="s">
        <v>2</v>
      </c>
      <c r="D73" s="33">
        <f>D67*4+D68*4+D69*8</f>
        <v>68</v>
      </c>
      <c r="E73" s="11">
        <f>VLOOKUP(B73,'Material Rate'!A$1:C158,3,FALSE)</f>
        <v>1500</v>
      </c>
      <c r="F73" s="347" t="str">
        <f>C73</f>
        <v>No</v>
      </c>
      <c r="G73" s="9">
        <f>E73*D73</f>
        <v>102000</v>
      </c>
      <c r="H73" s="383"/>
      <c r="I73" s="384"/>
      <c r="J73" s="395"/>
      <c r="K73" s="395"/>
      <c r="L73" s="399"/>
      <c r="M73" s="413"/>
    </row>
    <row r="74" spans="1:13" ht="19" customHeight="1">
      <c r="A74" s="8"/>
      <c r="B74" s="10" t="s">
        <v>870</v>
      </c>
      <c r="C74" s="8" t="s">
        <v>2</v>
      </c>
      <c r="D74" s="33">
        <f>D69*2</f>
        <v>8</v>
      </c>
      <c r="E74" s="11">
        <f>VLOOKUP(B74,'Material Rate'!A$1:C159,3,FALSE)</f>
        <v>2000</v>
      </c>
      <c r="F74" s="347" t="str">
        <f>C74</f>
        <v>No</v>
      </c>
      <c r="G74" s="9">
        <f>E74*D74</f>
        <v>16000</v>
      </c>
      <c r="H74" s="383"/>
      <c r="I74" s="384"/>
      <c r="J74" s="395"/>
      <c r="K74" s="395"/>
      <c r="L74" s="399"/>
      <c r="M74" s="413"/>
    </row>
    <row r="75" spans="1:13" ht="19" customHeight="1">
      <c r="A75" s="8"/>
      <c r="B75" s="10" t="s">
        <v>871</v>
      </c>
      <c r="C75" s="8" t="s">
        <v>2</v>
      </c>
      <c r="D75" s="33">
        <f>D69*2</f>
        <v>8</v>
      </c>
      <c r="E75" s="11">
        <f>VLOOKUP(B75,'Material Rate'!A$1:C160,3,FALSE)</f>
        <v>2000</v>
      </c>
      <c r="F75" s="347" t="str">
        <f>C75</f>
        <v>No</v>
      </c>
      <c r="G75" s="9">
        <f>E75*D75</f>
        <v>16000</v>
      </c>
      <c r="H75" s="383"/>
      <c r="I75" s="384"/>
      <c r="J75" s="395"/>
      <c r="K75" s="395"/>
      <c r="L75" s="399"/>
      <c r="M75" s="413"/>
    </row>
    <row r="76" spans="1:13" ht="19" customHeight="1">
      <c r="A76" s="8"/>
      <c r="B76" s="8" t="s">
        <v>22</v>
      </c>
      <c r="C76" s="8"/>
      <c r="D76" s="33"/>
      <c r="E76" s="11"/>
      <c r="F76" s="149"/>
      <c r="G76" s="9"/>
      <c r="H76" s="383"/>
      <c r="I76" s="384"/>
      <c r="J76" s="395"/>
      <c r="K76" s="395"/>
      <c r="L76" s="399"/>
      <c r="M76" s="413"/>
    </row>
    <row r="77" spans="1:13" ht="19" customHeight="1">
      <c r="A77" s="8"/>
      <c r="B77" s="10" t="s">
        <v>872</v>
      </c>
      <c r="C77" s="8" t="s">
        <v>21</v>
      </c>
      <c r="D77" s="33">
        <f>D66</f>
        <v>273</v>
      </c>
      <c r="E77" s="11">
        <f>VLOOKUP(B77,'Material Rate'!A$1:C162,3,FALSE)</f>
        <v>2500</v>
      </c>
      <c r="F77" s="347" t="str">
        <f>C77</f>
        <v>Fs</v>
      </c>
      <c r="G77" s="9">
        <f>E77*D77</f>
        <v>682500</v>
      </c>
      <c r="H77" s="383"/>
      <c r="I77" s="384"/>
      <c r="J77" s="395"/>
      <c r="K77" s="395"/>
      <c r="L77" s="399"/>
      <c r="M77" s="413"/>
    </row>
    <row r="78" spans="1:13" ht="19" customHeight="1">
      <c r="A78" s="8"/>
      <c r="B78" s="8"/>
      <c r="C78" s="8"/>
      <c r="D78" s="33"/>
      <c r="E78" s="11"/>
      <c r="F78" s="149"/>
      <c r="G78" s="9"/>
      <c r="H78" s="383"/>
      <c r="I78" s="384"/>
      <c r="J78" s="395"/>
      <c r="K78" s="395"/>
      <c r="L78" s="399"/>
      <c r="M78" s="413"/>
    </row>
    <row r="79" spans="1:13" ht="19" customHeight="1">
      <c r="A79" s="340">
        <f>'Detail-Finishing'!A204</f>
        <v>5</v>
      </c>
      <c r="B79" s="320" t="str">
        <f>'Detail-Finishing'!B204</f>
        <v>Tiling Work</v>
      </c>
      <c r="C79" s="8"/>
      <c r="D79" s="33"/>
      <c r="E79" s="11"/>
      <c r="F79" s="149"/>
      <c r="G79" s="9"/>
      <c r="H79" s="383"/>
      <c r="I79" s="384"/>
      <c r="J79" s="395"/>
      <c r="K79" s="395"/>
      <c r="L79" s="399"/>
      <c r="M79" s="413"/>
    </row>
    <row r="80" spans="1:13" ht="19" customHeight="1">
      <c r="A80" s="8"/>
      <c r="B80" s="12" t="str">
        <f>'Detail-Finishing'!B205</f>
        <v>1' x 1' Floor Tiling Work</v>
      </c>
      <c r="C80" s="23" t="str">
        <f>'Detail-Finishing'!J223</f>
        <v>Fs</v>
      </c>
      <c r="D80" s="33">
        <f>'Detail-Finishing'!I223</f>
        <v>770.8</v>
      </c>
      <c r="E80" s="11"/>
      <c r="F80" s="149"/>
      <c r="G80" s="9"/>
      <c r="H80" s="383"/>
      <c r="I80" s="384"/>
      <c r="J80" s="395"/>
      <c r="K80" s="395"/>
      <c r="L80" s="399"/>
      <c r="M80" s="413"/>
    </row>
    <row r="81" spans="1:13" ht="19" customHeight="1">
      <c r="A81" s="8"/>
      <c r="B81" s="12" t="str">
        <f>'Detail-Finishing'!B225</f>
        <v>2' x 1' Wall Tiling Work</v>
      </c>
      <c r="C81" s="23" t="str">
        <f>'Detail-Finishing'!J233</f>
        <v>Fs</v>
      </c>
      <c r="D81" s="33">
        <f>'Detail-Finishing'!I233</f>
        <v>430</v>
      </c>
      <c r="E81" s="11"/>
      <c r="F81" s="149"/>
      <c r="G81" s="9"/>
      <c r="H81" s="383"/>
      <c r="I81" s="384"/>
      <c r="J81" s="395"/>
      <c r="K81" s="395"/>
      <c r="L81" s="399"/>
      <c r="M81" s="413"/>
    </row>
    <row r="82" spans="1:13" ht="19" customHeight="1">
      <c r="A82" s="8"/>
      <c r="B82" s="12" t="str">
        <f>'Detail-Finishing'!B238</f>
        <v>Stair Tiling Work</v>
      </c>
      <c r="C82" s="23" t="s">
        <v>21</v>
      </c>
      <c r="D82" s="33">
        <f>'Detail-Finishing'!H242</f>
        <v>165.4</v>
      </c>
      <c r="E82" s="11"/>
      <c r="F82" s="149"/>
      <c r="G82" s="9"/>
      <c r="H82" s="383"/>
      <c r="I82" s="384"/>
      <c r="J82" s="395"/>
      <c r="K82" s="395"/>
      <c r="L82" s="399"/>
      <c r="M82" s="413"/>
    </row>
    <row r="83" spans="1:13" ht="19" customHeight="1">
      <c r="A83" s="8"/>
      <c r="B83" s="340" t="s">
        <v>26</v>
      </c>
      <c r="C83" s="8"/>
      <c r="D83" s="33"/>
      <c r="E83" s="11"/>
      <c r="F83" s="149"/>
      <c r="G83" s="9"/>
      <c r="H83" s="383"/>
      <c r="I83" s="384"/>
      <c r="J83" s="395"/>
      <c r="K83" s="395"/>
      <c r="L83" s="399"/>
      <c r="M83" s="413"/>
    </row>
    <row r="84" spans="1:13" ht="19" customHeight="1">
      <c r="A84" s="8"/>
      <c r="B84" s="10" t="s">
        <v>873</v>
      </c>
      <c r="C84" s="8" t="s">
        <v>13</v>
      </c>
      <c r="D84" s="33">
        <f>ROUND(D80/1*1.05,0)</f>
        <v>809</v>
      </c>
      <c r="E84" s="11">
        <f>VLOOKUP(B84,'Material Rate'!A$1:C168,3,FALSE)</f>
        <v>2700</v>
      </c>
      <c r="F84" s="347" t="str">
        <f t="shared" ref="F84:F91" si="8">C84</f>
        <v>Sht</v>
      </c>
      <c r="G84" s="9">
        <f t="shared" ref="G84:G91" si="9">E84*D84</f>
        <v>2184300</v>
      </c>
      <c r="H84" s="383"/>
      <c r="I84" s="384"/>
      <c r="J84" s="395"/>
      <c r="K84" s="395"/>
      <c r="L84" s="399"/>
      <c r="M84" s="413"/>
    </row>
    <row r="85" spans="1:13" ht="19" customHeight="1">
      <c r="A85" s="8"/>
      <c r="B85" s="10" t="s">
        <v>874</v>
      </c>
      <c r="C85" s="8" t="s">
        <v>13</v>
      </c>
      <c r="D85" s="33">
        <f>ROUND(D81/2*1.05,0)</f>
        <v>226</v>
      </c>
      <c r="E85" s="11">
        <f>VLOOKUP(B85,'Material Rate'!A$1:C169,3,FALSE)</f>
        <v>6000</v>
      </c>
      <c r="F85" s="347" t="str">
        <f t="shared" si="8"/>
        <v>Sht</v>
      </c>
      <c r="G85" s="9">
        <f t="shared" si="9"/>
        <v>1356000</v>
      </c>
      <c r="H85" s="383"/>
      <c r="I85" s="384"/>
      <c r="J85" s="395"/>
      <c r="K85" s="395"/>
      <c r="L85" s="399"/>
      <c r="M85" s="413"/>
    </row>
    <row r="86" spans="1:13" ht="19" customHeight="1">
      <c r="A86" s="8"/>
      <c r="B86" s="74" t="s">
        <v>875</v>
      </c>
      <c r="C86" s="8" t="s">
        <v>2</v>
      </c>
      <c r="D86" s="33">
        <f>ROUND('Detail-Finishing'!H235/6*1.1,0)</f>
        <v>1</v>
      </c>
      <c r="E86" s="11">
        <f>VLOOKUP(B86,'Material Rate'!A$1:C170,3,FALSE)</f>
        <v>5000</v>
      </c>
      <c r="F86" s="347" t="str">
        <f t="shared" si="8"/>
        <v>No</v>
      </c>
      <c r="G86" s="9">
        <f t="shared" si="9"/>
        <v>5000</v>
      </c>
      <c r="H86" s="383"/>
      <c r="I86" s="384"/>
      <c r="J86" s="395"/>
      <c r="K86" s="395"/>
      <c r="L86" s="399"/>
      <c r="M86" s="413"/>
    </row>
    <row r="87" spans="1:13" ht="19" customHeight="1">
      <c r="A87" s="8"/>
      <c r="B87" s="74" t="s">
        <v>876</v>
      </c>
      <c r="C87" s="8" t="s">
        <v>2</v>
      </c>
      <c r="D87" s="33">
        <f>ROUND('Detail-Finishing'!H236/6*1.1,0)</f>
        <v>28</v>
      </c>
      <c r="E87" s="11">
        <f>VLOOKUP(B87,'Material Rate'!A$1:C171,3,FALSE)</f>
        <v>3500</v>
      </c>
      <c r="F87" s="347" t="str">
        <f t="shared" si="8"/>
        <v>No</v>
      </c>
      <c r="G87" s="9">
        <f t="shared" si="9"/>
        <v>98000</v>
      </c>
      <c r="H87" s="383"/>
      <c r="I87" s="384"/>
      <c r="J87" s="395"/>
      <c r="K87" s="395"/>
      <c r="L87" s="399"/>
      <c r="M87" s="413"/>
    </row>
    <row r="88" spans="1:13" ht="19" customHeight="1">
      <c r="A88" s="8"/>
      <c r="B88" s="10" t="s">
        <v>707</v>
      </c>
      <c r="C88" s="8" t="s">
        <v>708</v>
      </c>
      <c r="D88" s="33">
        <f>(D80+D81+D82)*5/100</f>
        <v>68.31</v>
      </c>
      <c r="E88" s="11">
        <f>VLOOKUP(B88,'Material Rate'!A$1:C172,3,FALSE)</f>
        <v>6600</v>
      </c>
      <c r="F88" s="347" t="str">
        <f t="shared" si="8"/>
        <v>Kg</v>
      </c>
      <c r="G88" s="9">
        <f t="shared" si="9"/>
        <v>450846</v>
      </c>
      <c r="H88" s="383"/>
      <c r="I88" s="384"/>
      <c r="J88" s="395"/>
      <c r="K88" s="395"/>
      <c r="L88" s="399"/>
      <c r="M88" s="413"/>
    </row>
    <row r="89" spans="1:13" ht="19" customHeight="1">
      <c r="A89" s="8"/>
      <c r="B89" s="10" t="s">
        <v>8</v>
      </c>
      <c r="C89" s="8" t="s">
        <v>9</v>
      </c>
      <c r="D89" s="33">
        <f>(D80+D81+D82)*3/100</f>
        <v>40.99</v>
      </c>
      <c r="E89" s="11">
        <f>VLOOKUP(B89,'Material Rate'!A$1:C173,3,FALSE)</f>
        <v>24000</v>
      </c>
      <c r="F89" s="347" t="str">
        <f t="shared" si="8"/>
        <v>Bag</v>
      </c>
      <c r="G89" s="9">
        <f t="shared" si="9"/>
        <v>983760</v>
      </c>
      <c r="H89" s="383"/>
      <c r="I89" s="384"/>
      <c r="J89" s="395"/>
      <c r="K89" s="395"/>
      <c r="L89" s="399"/>
      <c r="M89" s="413"/>
    </row>
    <row r="90" spans="1:13" ht="19" customHeight="1">
      <c r="A90" s="8"/>
      <c r="B90" s="288" t="s">
        <v>916</v>
      </c>
      <c r="C90" s="8" t="s">
        <v>13</v>
      </c>
      <c r="D90" s="33">
        <f>'Detail-Finishing'!H247</f>
        <v>50</v>
      </c>
      <c r="E90" s="11">
        <f>VLOOKUP(B90,'Material Rate'!A$1:C174,3,FALSE)</f>
        <v>8000</v>
      </c>
      <c r="F90" s="347" t="str">
        <f t="shared" si="8"/>
        <v>Sht</v>
      </c>
      <c r="G90" s="9">
        <f t="shared" si="9"/>
        <v>400000</v>
      </c>
      <c r="H90" s="383"/>
      <c r="I90" s="384"/>
      <c r="J90" s="395"/>
      <c r="K90" s="395"/>
      <c r="L90" s="399"/>
      <c r="M90" s="413"/>
    </row>
    <row r="91" spans="1:13" ht="19" customHeight="1">
      <c r="A91" s="8"/>
      <c r="B91" s="288" t="s">
        <v>917</v>
      </c>
      <c r="C91" s="8" t="s">
        <v>13</v>
      </c>
      <c r="D91" s="33">
        <f>'Detail-Finishing'!H245+'Detail-Finishing'!H249</f>
        <v>66</v>
      </c>
      <c r="E91" s="11">
        <f>VLOOKUP(B91,'Material Rate'!A$1:C175,3,FALSE)</f>
        <v>12000</v>
      </c>
      <c r="F91" s="347" t="str">
        <f t="shared" si="8"/>
        <v>Sht</v>
      </c>
      <c r="G91" s="9">
        <f t="shared" si="9"/>
        <v>792000</v>
      </c>
      <c r="H91" s="383"/>
      <c r="I91" s="384"/>
      <c r="J91" s="395"/>
      <c r="K91" s="395"/>
      <c r="L91" s="399"/>
      <c r="M91" s="413"/>
    </row>
    <row r="92" spans="1:13" ht="19" customHeight="1">
      <c r="A92" s="8"/>
      <c r="B92" s="340" t="s">
        <v>22</v>
      </c>
      <c r="C92" s="8"/>
      <c r="D92" s="33"/>
      <c r="E92" s="11"/>
      <c r="F92" s="149"/>
      <c r="G92" s="9"/>
      <c r="H92" s="383"/>
      <c r="I92" s="384"/>
      <c r="J92" s="395"/>
      <c r="K92" s="395"/>
      <c r="L92" s="399"/>
      <c r="M92" s="413"/>
    </row>
    <row r="93" spans="1:13" ht="19" customHeight="1">
      <c r="A93" s="8"/>
      <c r="B93" s="10" t="s">
        <v>878</v>
      </c>
      <c r="C93" s="8" t="s">
        <v>21</v>
      </c>
      <c r="D93" s="33">
        <f>D80+D81+D82</f>
        <v>1366.2</v>
      </c>
      <c r="E93" s="11">
        <f>VLOOKUP(B93,'Material Rate'!A$1:C174,3,FALSE)</f>
        <v>850</v>
      </c>
      <c r="F93" s="347" t="str">
        <f>C93</f>
        <v>Fs</v>
      </c>
      <c r="G93" s="9">
        <f>E93*D93</f>
        <v>1161270</v>
      </c>
      <c r="H93" s="383"/>
      <c r="I93" s="384"/>
      <c r="J93" s="395"/>
      <c r="K93" s="395"/>
      <c r="L93" s="399"/>
      <c r="M93" s="413"/>
    </row>
    <row r="94" spans="1:13" ht="19" customHeight="1">
      <c r="A94" s="8"/>
      <c r="B94" s="8"/>
      <c r="C94" s="8"/>
      <c r="D94" s="33"/>
      <c r="E94" s="11"/>
      <c r="F94" s="149"/>
      <c r="G94" s="9"/>
      <c r="H94" s="383"/>
      <c r="I94" s="384"/>
      <c r="J94" s="395"/>
      <c r="K94" s="395"/>
      <c r="L94" s="399"/>
      <c r="M94" s="413"/>
    </row>
    <row r="95" spans="1:13" ht="19" customHeight="1">
      <c r="A95" s="8"/>
      <c r="B95" s="8"/>
      <c r="C95" s="8"/>
      <c r="D95" s="33"/>
      <c r="E95" s="11"/>
      <c r="F95" s="149"/>
      <c r="G95" s="9"/>
      <c r="H95" s="383"/>
      <c r="I95" s="384"/>
      <c r="J95" s="395"/>
      <c r="K95" s="395"/>
      <c r="L95" s="399"/>
      <c r="M95" s="413"/>
    </row>
    <row r="96" spans="1:13" ht="19" customHeight="1">
      <c r="A96" s="340">
        <f>'Detail-Finishing'!A251</f>
        <v>6</v>
      </c>
      <c r="B96" s="320" t="str">
        <f>'Detail-Finishing'!B251</f>
        <v>Korea Parquet Flooring Work</v>
      </c>
      <c r="C96" s="321" t="s">
        <v>12</v>
      </c>
      <c r="D96" s="448">
        <f>'Detail-Finishing'!I266/100</f>
        <v>8.86</v>
      </c>
      <c r="E96" s="11"/>
      <c r="F96" s="149"/>
      <c r="G96" s="9"/>
      <c r="H96" s="383"/>
      <c r="I96" s="384"/>
      <c r="J96" s="395"/>
      <c r="K96" s="395"/>
      <c r="L96" s="399"/>
      <c r="M96" s="413"/>
    </row>
    <row r="97" spans="1:13" ht="19" customHeight="1">
      <c r="A97" s="39"/>
      <c r="B97" s="449" t="s">
        <v>26</v>
      </c>
      <c r="C97" s="39"/>
      <c r="D97" s="36"/>
      <c r="E97" s="116"/>
      <c r="F97" s="369"/>
      <c r="G97" s="9"/>
      <c r="H97" s="383"/>
      <c r="I97" s="384"/>
      <c r="J97" s="395"/>
      <c r="K97" s="395"/>
      <c r="L97" s="399"/>
      <c r="M97" s="413"/>
    </row>
    <row r="98" spans="1:13" ht="19" customHeight="1">
      <c r="A98" s="39"/>
      <c r="B98" s="48" t="s">
        <v>897</v>
      </c>
      <c r="C98" s="39" t="s">
        <v>12</v>
      </c>
      <c r="D98" s="36">
        <f>D96</f>
        <v>8.86</v>
      </c>
      <c r="E98" s="11">
        <f>VLOOKUP(B98,'Material Rate'!A$1:C180,3,FALSE)</f>
        <v>500000</v>
      </c>
      <c r="F98" s="347" t="str">
        <f>C98</f>
        <v>%Fs</v>
      </c>
      <c r="G98" s="9">
        <f>E98*D98</f>
        <v>4430000</v>
      </c>
      <c r="H98" s="383"/>
      <c r="I98" s="384"/>
      <c r="J98" s="395"/>
      <c r="K98" s="395"/>
      <c r="L98" s="399"/>
      <c r="M98" s="413"/>
    </row>
    <row r="99" spans="1:13" ht="19" customHeight="1">
      <c r="A99" s="39"/>
      <c r="B99" s="449" t="s">
        <v>22</v>
      </c>
      <c r="C99" s="39"/>
      <c r="D99" s="36"/>
      <c r="E99" s="116"/>
      <c r="F99" s="369"/>
      <c r="G99" s="9"/>
      <c r="H99" s="383"/>
      <c r="I99" s="384"/>
      <c r="J99" s="395"/>
      <c r="K99" s="395"/>
      <c r="L99" s="399"/>
      <c r="M99" s="413"/>
    </row>
    <row r="100" spans="1:13" ht="19" customHeight="1">
      <c r="A100" s="39"/>
      <c r="B100" s="48" t="s">
        <v>880</v>
      </c>
      <c r="C100" s="39" t="s">
        <v>12</v>
      </c>
      <c r="D100" s="36">
        <f>D96</f>
        <v>8.86</v>
      </c>
      <c r="E100" s="11">
        <f>VLOOKUP(B100,'Material Rate'!A$1:C183,3,FALSE)</f>
        <v>150000</v>
      </c>
      <c r="F100" s="347" t="str">
        <f>C100</f>
        <v>%Fs</v>
      </c>
      <c r="G100" s="9">
        <f>E100*D100</f>
        <v>1329000</v>
      </c>
      <c r="H100" s="383"/>
      <c r="I100" s="384"/>
      <c r="J100" s="395"/>
      <c r="K100" s="395"/>
      <c r="L100" s="399"/>
      <c r="M100" s="413"/>
    </row>
    <row r="101" spans="1:13" ht="19" customHeight="1">
      <c r="A101" s="39"/>
      <c r="B101" s="39"/>
      <c r="C101" s="39"/>
      <c r="D101" s="36"/>
      <c r="E101" s="116"/>
      <c r="F101" s="369"/>
      <c r="G101" s="9"/>
      <c r="H101" s="383"/>
      <c r="I101" s="384"/>
      <c r="J101" s="395"/>
      <c r="K101" s="395"/>
      <c r="L101" s="399"/>
      <c r="M101" s="413"/>
    </row>
    <row r="102" spans="1:13" ht="19" customHeight="1">
      <c r="A102" s="449">
        <f>'Detail-Finishing'!A276</f>
        <v>7</v>
      </c>
      <c r="B102" s="450" t="str">
        <f>'Detail-Finishing'!B276</f>
        <v>Hollow Stair Handrail</v>
      </c>
      <c r="C102" s="451" t="str">
        <f>'Detail-Finishing'!J277</f>
        <v>Fs</v>
      </c>
      <c r="D102" s="452">
        <f>'Detail-Finishing'!H277</f>
        <v>86</v>
      </c>
      <c r="E102" s="116"/>
      <c r="F102" s="369"/>
      <c r="G102" s="9"/>
      <c r="H102" s="383"/>
      <c r="I102" s="384"/>
      <c r="J102" s="395"/>
      <c r="K102" s="395"/>
      <c r="L102" s="399"/>
      <c r="M102" s="413"/>
    </row>
    <row r="103" spans="1:13" ht="19" customHeight="1">
      <c r="A103" s="39"/>
      <c r="B103" s="449" t="s">
        <v>26</v>
      </c>
      <c r="C103" s="39"/>
      <c r="D103" s="36"/>
      <c r="E103" s="116"/>
      <c r="F103" s="369"/>
      <c r="G103" s="9"/>
      <c r="H103" s="383"/>
      <c r="I103" s="384"/>
      <c r="J103" s="395"/>
      <c r="K103" s="395"/>
      <c r="L103" s="399"/>
      <c r="M103" s="413"/>
    </row>
    <row r="104" spans="1:13" ht="19" customHeight="1">
      <c r="A104" s="39"/>
      <c r="B104" s="10" t="s">
        <v>622</v>
      </c>
      <c r="C104" s="39" t="s">
        <v>2</v>
      </c>
      <c r="D104" s="36">
        <f>ROUND('Detail-Finishing'!I282/19.5,0)</f>
        <v>1</v>
      </c>
      <c r="E104" s="11">
        <f>VLOOKUP(B104,'Material Rate'!A$1:C187,3,FALSE)</f>
        <v>42000</v>
      </c>
      <c r="F104" s="347" t="str">
        <f>C104</f>
        <v>No</v>
      </c>
      <c r="G104" s="9">
        <f>E104*D104</f>
        <v>42000</v>
      </c>
      <c r="H104" s="383"/>
      <c r="I104" s="384"/>
      <c r="J104" s="395"/>
      <c r="K104" s="395"/>
      <c r="L104" s="399"/>
      <c r="M104" s="413"/>
    </row>
    <row r="105" spans="1:13" ht="19" customHeight="1">
      <c r="A105" s="39"/>
      <c r="B105" s="48" t="s">
        <v>890</v>
      </c>
      <c r="C105" s="39" t="s">
        <v>2</v>
      </c>
      <c r="D105" s="36">
        <f>ROUND('Detail-Finishing'!I288/19.5,0)</f>
        <v>10</v>
      </c>
      <c r="E105" s="11">
        <f>VLOOKUP(B105,'Material Rate'!A$1:C188,3,FALSE)</f>
        <v>28000</v>
      </c>
      <c r="F105" s="347" t="str">
        <f>C105</f>
        <v>No</v>
      </c>
      <c r="G105" s="9">
        <f>E105*D105</f>
        <v>280000</v>
      </c>
      <c r="H105" s="383"/>
      <c r="I105" s="384"/>
      <c r="J105" s="395"/>
      <c r="K105" s="395"/>
      <c r="L105" s="399"/>
      <c r="M105" s="413"/>
    </row>
    <row r="106" spans="1:13" ht="19" customHeight="1">
      <c r="A106" s="39"/>
      <c r="B106" s="48" t="s">
        <v>891</v>
      </c>
      <c r="C106" s="39" t="s">
        <v>892</v>
      </c>
      <c r="D106" s="36">
        <v>1</v>
      </c>
      <c r="E106" s="11">
        <f>VLOOKUP(B106,'Material Rate'!A$1:C189,3,FALSE)</f>
        <v>27000</v>
      </c>
      <c r="F106" s="347" t="str">
        <f>C106</f>
        <v>Pkt</v>
      </c>
      <c r="G106" s="9">
        <f>E106*D106</f>
        <v>27000</v>
      </c>
      <c r="H106" s="383"/>
      <c r="I106" s="384"/>
      <c r="J106" s="395"/>
      <c r="K106" s="395"/>
      <c r="L106" s="399"/>
      <c r="M106" s="413"/>
    </row>
    <row r="107" spans="1:13" ht="19" customHeight="1">
      <c r="A107" s="39"/>
      <c r="B107" s="449" t="s">
        <v>22</v>
      </c>
      <c r="C107" s="39"/>
      <c r="D107" s="36"/>
      <c r="E107" s="116"/>
      <c r="F107" s="369"/>
      <c r="G107" s="9"/>
      <c r="H107" s="383"/>
      <c r="I107" s="384"/>
      <c r="J107" s="395"/>
      <c r="K107" s="395"/>
      <c r="L107" s="399"/>
      <c r="M107" s="413"/>
    </row>
    <row r="108" spans="1:13" ht="19" customHeight="1">
      <c r="A108" s="39"/>
      <c r="B108" s="48" t="s">
        <v>893</v>
      </c>
      <c r="C108" s="40" t="str">
        <f>C102</f>
        <v>Fs</v>
      </c>
      <c r="D108" s="36">
        <f>D102</f>
        <v>86</v>
      </c>
      <c r="E108" s="11">
        <f>VLOOKUP(B108,'Material Rate'!A$1:C191,3,FALSE)</f>
        <v>3000</v>
      </c>
      <c r="F108" s="347" t="str">
        <f>C108</f>
        <v>Fs</v>
      </c>
      <c r="G108" s="9">
        <f>E108*D108</f>
        <v>258000</v>
      </c>
      <c r="H108" s="383"/>
      <c r="I108" s="384"/>
      <c r="J108" s="395"/>
      <c r="K108" s="395"/>
      <c r="L108" s="399"/>
      <c r="M108" s="413"/>
    </row>
    <row r="109" spans="1:13" ht="20.149999999999999" customHeight="1">
      <c r="A109" s="39"/>
      <c r="B109" s="39"/>
      <c r="C109" s="39"/>
      <c r="D109" s="36"/>
      <c r="E109" s="116"/>
      <c r="F109" s="369"/>
      <c r="G109" s="9"/>
      <c r="H109" s="383"/>
      <c r="I109" s="384"/>
      <c r="J109" s="395"/>
      <c r="K109" s="395"/>
      <c r="L109" s="399"/>
      <c r="M109" s="413"/>
    </row>
    <row r="110" spans="1:13" ht="20.149999999999999" customHeight="1">
      <c r="A110" s="449">
        <f>'Detail-Finishing'!A290</f>
        <v>8</v>
      </c>
      <c r="B110" s="450" t="str">
        <f>'Detail-Finishing'!B290</f>
        <v>Drain &amp; Apron Work</v>
      </c>
      <c r="C110" s="39"/>
      <c r="D110" s="36"/>
      <c r="E110" s="116"/>
      <c r="F110" s="369"/>
      <c r="G110" s="20"/>
      <c r="H110" s="456"/>
      <c r="I110" s="401"/>
      <c r="J110" s="402"/>
      <c r="K110" s="402"/>
      <c r="L110" s="403"/>
      <c r="M110" s="415"/>
    </row>
    <row r="111" spans="1:13" ht="20.149999999999999" customHeight="1">
      <c r="A111" s="449"/>
      <c r="B111" s="450" t="str">
        <f>'Detail-Finishing'!B292</f>
        <v>a. Sand Filling Work</v>
      </c>
      <c r="C111" s="39" t="s">
        <v>7</v>
      </c>
      <c r="D111" s="36">
        <f>'Detail-Finishing'!I293/100</f>
        <v>6.75</v>
      </c>
      <c r="E111" s="116"/>
      <c r="F111" s="369"/>
      <c r="G111" s="20"/>
      <c r="H111" s="456"/>
      <c r="I111" s="401"/>
      <c r="J111" s="402"/>
      <c r="K111" s="402"/>
      <c r="L111" s="403"/>
      <c r="M111" s="415"/>
    </row>
    <row r="112" spans="1:13" ht="20.149999999999999" customHeight="1">
      <c r="A112" s="449"/>
      <c r="B112" s="449" t="s">
        <v>26</v>
      </c>
      <c r="C112" s="39"/>
      <c r="D112" s="36"/>
      <c r="E112" s="116"/>
      <c r="F112" s="369"/>
      <c r="G112" s="20"/>
      <c r="H112" s="456"/>
      <c r="I112" s="401"/>
      <c r="J112" s="402"/>
      <c r="K112" s="402"/>
      <c r="L112" s="403"/>
      <c r="M112" s="415"/>
    </row>
    <row r="113" spans="1:13" ht="20.149999999999999" customHeight="1">
      <c r="A113" s="449"/>
      <c r="B113" s="10" t="s">
        <v>31</v>
      </c>
      <c r="C113" s="8" t="s">
        <v>10</v>
      </c>
      <c r="D113" s="36">
        <f>D111*1.25</f>
        <v>8.44</v>
      </c>
      <c r="E113" s="11">
        <f>VLOOKUP(B113,'Material Rate'!A$1:C196,3,FALSE)</f>
        <v>30000</v>
      </c>
      <c r="F113" s="369"/>
      <c r="G113" s="9">
        <f>E113*D113</f>
        <v>253200</v>
      </c>
      <c r="H113" s="456"/>
      <c r="I113" s="401"/>
      <c r="J113" s="402"/>
      <c r="K113" s="402"/>
      <c r="L113" s="403"/>
      <c r="M113" s="415"/>
    </row>
    <row r="114" spans="1:13" ht="20.149999999999999" customHeight="1">
      <c r="A114" s="449"/>
      <c r="B114" s="449" t="s">
        <v>22</v>
      </c>
      <c r="C114" s="39"/>
      <c r="D114" s="36"/>
      <c r="E114" s="116"/>
      <c r="F114" s="369"/>
      <c r="G114" s="20"/>
      <c r="H114" s="456"/>
      <c r="I114" s="401"/>
      <c r="J114" s="402"/>
      <c r="K114" s="402"/>
      <c r="L114" s="403"/>
      <c r="M114" s="415"/>
    </row>
    <row r="115" spans="1:13" ht="20.149999999999999" customHeight="1">
      <c r="A115" s="449"/>
      <c r="B115" s="48" t="s">
        <v>390</v>
      </c>
      <c r="C115" s="39" t="s">
        <v>2</v>
      </c>
      <c r="D115" s="36">
        <f>D111</f>
        <v>6.75</v>
      </c>
      <c r="E115" s="11">
        <f>VLOOKUP(B115,'Material Rate'!A$1:C198,3,FALSE)</f>
        <v>20000</v>
      </c>
      <c r="F115" s="369"/>
      <c r="G115" s="9">
        <f>E115*D115</f>
        <v>135000</v>
      </c>
      <c r="H115" s="456"/>
      <c r="I115" s="401"/>
      <c r="J115" s="402"/>
      <c r="K115" s="402"/>
      <c r="L115" s="403"/>
      <c r="M115" s="415"/>
    </row>
    <row r="116" spans="1:13" ht="20.149999999999999" customHeight="1">
      <c r="A116" s="449"/>
      <c r="B116" s="450"/>
      <c r="C116" s="39"/>
      <c r="D116" s="36"/>
      <c r="E116" s="116"/>
      <c r="F116" s="369"/>
      <c r="G116" s="20"/>
      <c r="H116" s="456"/>
      <c r="I116" s="401"/>
      <c r="J116" s="402"/>
      <c r="K116" s="402"/>
      <c r="L116" s="403"/>
      <c r="M116" s="415"/>
    </row>
    <row r="117" spans="1:13" ht="20.149999999999999" customHeight="1">
      <c r="A117" s="449"/>
      <c r="B117" s="450"/>
      <c r="C117" s="39"/>
      <c r="D117" s="36"/>
      <c r="E117" s="116"/>
      <c r="F117" s="369"/>
      <c r="G117" s="20"/>
      <c r="H117" s="456"/>
      <c r="I117" s="401"/>
      <c r="J117" s="402"/>
      <c r="K117" s="402"/>
      <c r="L117" s="403"/>
      <c r="M117" s="415"/>
    </row>
    <row r="118" spans="1:13" ht="20.149999999999999" customHeight="1">
      <c r="A118" s="39"/>
      <c r="B118" s="54" t="str">
        <f>'Detail-Finishing'!B295</f>
        <v>b. (1:3:6) Lean Concrete Work</v>
      </c>
      <c r="C118" s="40" t="s">
        <v>7</v>
      </c>
      <c r="D118" s="36">
        <f>'Detail-Finishing'!I297/100</f>
        <v>3</v>
      </c>
      <c r="E118" s="116"/>
      <c r="F118" s="369"/>
      <c r="G118" s="20"/>
      <c r="H118" s="456"/>
      <c r="I118" s="401"/>
      <c r="J118" s="402"/>
      <c r="K118" s="402"/>
      <c r="L118" s="403"/>
      <c r="M118" s="415"/>
    </row>
    <row r="119" spans="1:13" ht="19" customHeight="1">
      <c r="A119" s="8"/>
      <c r="B119" s="8" t="s">
        <v>26</v>
      </c>
      <c r="C119" s="8"/>
      <c r="D119" s="33"/>
      <c r="E119" s="11"/>
      <c r="F119" s="149"/>
      <c r="G119" s="9"/>
      <c r="H119" s="383"/>
      <c r="I119" s="384"/>
      <c r="J119" s="395"/>
      <c r="K119" s="395"/>
      <c r="L119" s="399"/>
      <c r="M119" s="413"/>
    </row>
    <row r="120" spans="1:13" ht="19" customHeight="1">
      <c r="A120" s="8"/>
      <c r="B120" s="10" t="s">
        <v>8</v>
      </c>
      <c r="C120" s="8" t="s">
        <v>9</v>
      </c>
      <c r="D120" s="33">
        <f>ROUNDDOWN(D118*1440/112,0)</f>
        <v>38</v>
      </c>
      <c r="E120" s="11">
        <f>E176</f>
        <v>24000</v>
      </c>
      <c r="F120" s="347" t="str">
        <f>C120</f>
        <v>Bag</v>
      </c>
      <c r="G120" s="9">
        <f>E120*D120</f>
        <v>912000</v>
      </c>
      <c r="H120" s="383"/>
      <c r="I120" s="384"/>
      <c r="J120" s="395"/>
      <c r="K120" s="395"/>
      <c r="L120" s="399"/>
      <c r="M120" s="413"/>
    </row>
    <row r="121" spans="1:13" ht="19" customHeight="1">
      <c r="A121" s="8"/>
      <c r="B121" s="10" t="s">
        <v>31</v>
      </c>
      <c r="C121" s="8" t="s">
        <v>10</v>
      </c>
      <c r="D121" s="33">
        <f>D118*0.48</f>
        <v>1.44</v>
      </c>
      <c r="E121" s="11">
        <f>E177</f>
        <v>30000</v>
      </c>
      <c r="F121" s="347" t="str">
        <f>C121</f>
        <v>Sud</v>
      </c>
      <c r="G121" s="9">
        <f>E121*D121</f>
        <v>43200</v>
      </c>
      <c r="H121" s="383"/>
      <c r="I121" s="384"/>
      <c r="J121" s="395"/>
      <c r="K121" s="395"/>
      <c r="L121" s="399"/>
      <c r="M121" s="413"/>
    </row>
    <row r="122" spans="1:13" ht="19" customHeight="1">
      <c r="A122" s="8"/>
      <c r="B122" s="10" t="s">
        <v>95</v>
      </c>
      <c r="C122" s="8" t="s">
        <v>10</v>
      </c>
      <c r="D122" s="33">
        <f>D118*0.96</f>
        <v>2.88</v>
      </c>
      <c r="E122" s="11">
        <f>VLOOKUP(B122,'Material Rate'!A$1:C198,3,FALSE)</f>
        <v>110000</v>
      </c>
      <c r="F122" s="347" t="str">
        <f>C122</f>
        <v>Sud</v>
      </c>
      <c r="G122" s="9">
        <f>E122*D122</f>
        <v>316800</v>
      </c>
      <c r="H122" s="383"/>
      <c r="I122" s="384"/>
      <c r="J122" s="395"/>
      <c r="K122" s="395"/>
      <c r="L122" s="399"/>
      <c r="M122" s="413"/>
    </row>
    <row r="123" spans="1:13" ht="19" customHeight="1">
      <c r="A123" s="8"/>
      <c r="B123" s="10" t="s">
        <v>34</v>
      </c>
      <c r="C123" s="8" t="s">
        <v>28</v>
      </c>
      <c r="D123" s="33">
        <f>D118*2</f>
        <v>6</v>
      </c>
      <c r="E123" s="11">
        <f>VLOOKUP(B123,'Material Rate'!A$1:C199,3,FALSE)</f>
        <v>20000</v>
      </c>
      <c r="F123" s="347" t="str">
        <f>C123</f>
        <v>Gal</v>
      </c>
      <c r="G123" s="9">
        <f>E123*D123</f>
        <v>120000</v>
      </c>
      <c r="H123" s="383"/>
      <c r="I123" s="384"/>
      <c r="J123" s="395"/>
      <c r="K123" s="395"/>
      <c r="L123" s="399"/>
      <c r="M123" s="413"/>
    </row>
    <row r="124" spans="1:13" ht="19" customHeight="1">
      <c r="A124" s="39"/>
      <c r="B124" s="91" t="s">
        <v>22</v>
      </c>
      <c r="C124" s="91"/>
      <c r="D124" s="95"/>
      <c r="E124" s="116"/>
      <c r="F124" s="369"/>
      <c r="G124" s="9"/>
      <c r="H124" s="383"/>
      <c r="I124" s="384"/>
      <c r="J124" s="395"/>
      <c r="K124" s="395"/>
      <c r="L124" s="399"/>
      <c r="M124" s="413"/>
    </row>
    <row r="125" spans="1:13" ht="19" customHeight="1">
      <c r="A125" s="39"/>
      <c r="B125" s="143" t="s">
        <v>394</v>
      </c>
      <c r="C125" s="145" t="s">
        <v>2</v>
      </c>
      <c r="D125" s="259">
        <f>D118*1</f>
        <v>3</v>
      </c>
      <c r="E125" s="11">
        <f>VLOOKUP(B125,'Material Rate'!A$1:C201,3,FALSE)</f>
        <v>25000</v>
      </c>
      <c r="F125" s="347" t="str">
        <f>C125</f>
        <v>No</v>
      </c>
      <c r="G125" s="9">
        <f>E125*D125</f>
        <v>75000</v>
      </c>
      <c r="H125" s="387"/>
      <c r="I125" s="384"/>
      <c r="J125" s="395"/>
      <c r="K125" s="395"/>
      <c r="L125" s="399"/>
      <c r="M125" s="413"/>
    </row>
    <row r="126" spans="1:13" ht="19" customHeight="1">
      <c r="A126" s="39"/>
      <c r="B126" s="143" t="s">
        <v>395</v>
      </c>
      <c r="C126" s="140" t="s">
        <v>2</v>
      </c>
      <c r="D126" s="267">
        <f>D118*0.5</f>
        <v>1.5</v>
      </c>
      <c r="E126" s="11">
        <f>VLOOKUP(B126,'Material Rate'!A$1:C202,3,FALSE)</f>
        <v>25000</v>
      </c>
      <c r="F126" s="347" t="str">
        <f>C126</f>
        <v>No</v>
      </c>
      <c r="G126" s="9">
        <f>E126*D126</f>
        <v>37500</v>
      </c>
      <c r="H126" s="387"/>
      <c r="I126" s="384"/>
      <c r="J126" s="395"/>
      <c r="K126" s="395"/>
      <c r="L126" s="399"/>
      <c r="M126" s="413"/>
    </row>
    <row r="127" spans="1:13" ht="19" customHeight="1">
      <c r="A127" s="39"/>
      <c r="B127" s="143" t="s">
        <v>390</v>
      </c>
      <c r="C127" s="140" t="s">
        <v>2</v>
      </c>
      <c r="D127" s="259">
        <f>D118*6</f>
        <v>18</v>
      </c>
      <c r="E127" s="11">
        <f>VLOOKUP(B127,'Material Rate'!A$1:C203,3,FALSE)</f>
        <v>20000</v>
      </c>
      <c r="F127" s="347" t="str">
        <f>C127</f>
        <v>No</v>
      </c>
      <c r="G127" s="9">
        <f>E127*D127</f>
        <v>360000</v>
      </c>
      <c r="H127" s="385"/>
      <c r="I127" s="384"/>
      <c r="J127" s="395"/>
      <c r="K127" s="395"/>
      <c r="L127" s="399"/>
      <c r="M127" s="413"/>
    </row>
    <row r="128" spans="1:13" ht="20.149999999999999" customHeight="1">
      <c r="A128" s="39"/>
      <c r="B128" s="39"/>
      <c r="C128" s="40"/>
      <c r="D128" s="36"/>
      <c r="E128" s="116"/>
      <c r="F128" s="369"/>
      <c r="G128" s="20"/>
      <c r="H128" s="456"/>
      <c r="I128" s="401"/>
      <c r="J128" s="402"/>
      <c r="K128" s="402"/>
      <c r="L128" s="403"/>
      <c r="M128" s="415"/>
    </row>
    <row r="129" spans="1:13" ht="20.149999999999999" customHeight="1">
      <c r="A129" s="39"/>
      <c r="B129" s="54" t="str">
        <f>'Detail-Finishing'!B299</f>
        <v>c. 4½" Thk; Brick Wall</v>
      </c>
      <c r="C129" s="40" t="s">
        <v>12</v>
      </c>
      <c r="D129" s="36">
        <f>'Detail-Finishing'!H299/100</f>
        <v>3</v>
      </c>
      <c r="E129" s="116"/>
      <c r="F129" s="369"/>
      <c r="G129" s="20"/>
      <c r="H129" s="456"/>
      <c r="I129" s="401"/>
      <c r="J129" s="402"/>
      <c r="K129" s="402"/>
      <c r="L129" s="403"/>
      <c r="M129" s="415"/>
    </row>
    <row r="130" spans="1:13" ht="20.149999999999999" customHeight="1">
      <c r="A130" s="8"/>
      <c r="B130" s="45" t="s">
        <v>26</v>
      </c>
      <c r="C130" s="41"/>
      <c r="D130" s="51"/>
      <c r="E130" s="11"/>
      <c r="F130" s="149"/>
      <c r="G130" s="9"/>
      <c r="H130" s="383"/>
      <c r="I130" s="391"/>
      <c r="J130" s="395"/>
      <c r="K130" s="395"/>
      <c r="L130" s="399"/>
      <c r="M130" s="413"/>
    </row>
    <row r="131" spans="1:13" ht="20.149999999999999" customHeight="1">
      <c r="A131" s="8"/>
      <c r="B131" s="42" t="s">
        <v>8</v>
      </c>
      <c r="C131" s="43" t="s">
        <v>9</v>
      </c>
      <c r="D131" s="44">
        <f>ROUNDDOWN(D129*297/112,0)</f>
        <v>7</v>
      </c>
      <c r="E131" s="11">
        <f>E176</f>
        <v>24000</v>
      </c>
      <c r="F131" s="347" t="str">
        <f>C131</f>
        <v>Bag</v>
      </c>
      <c r="G131" s="9">
        <f>E131*D131</f>
        <v>168000</v>
      </c>
      <c r="H131" s="383"/>
      <c r="I131" s="384"/>
      <c r="J131" s="395"/>
      <c r="K131" s="395"/>
      <c r="L131" s="399"/>
      <c r="M131" s="413"/>
    </row>
    <row r="132" spans="1:13" ht="20.149999999999999" customHeight="1">
      <c r="A132" s="8"/>
      <c r="B132" s="42" t="s">
        <v>31</v>
      </c>
      <c r="C132" s="43" t="s">
        <v>10</v>
      </c>
      <c r="D132" s="44">
        <f>(D129*10/100)</f>
        <v>0.3</v>
      </c>
      <c r="E132" s="11">
        <f>E177</f>
        <v>30000</v>
      </c>
      <c r="F132" s="347" t="str">
        <f>C132</f>
        <v>Sud</v>
      </c>
      <c r="G132" s="9">
        <f>E132*D132</f>
        <v>9000</v>
      </c>
      <c r="H132" s="383"/>
      <c r="I132" s="384"/>
      <c r="J132" s="395"/>
      <c r="K132" s="395"/>
      <c r="L132" s="399"/>
      <c r="M132" s="413"/>
    </row>
    <row r="133" spans="1:13" ht="20.149999999999999" customHeight="1">
      <c r="A133" s="8"/>
      <c r="B133" s="42" t="s">
        <v>11</v>
      </c>
      <c r="C133" s="43" t="s">
        <v>2</v>
      </c>
      <c r="D133" s="44">
        <f>ROUNDDOWN(D129*550,0)</f>
        <v>1650</v>
      </c>
      <c r="E133" s="11">
        <f>E178</f>
        <v>350</v>
      </c>
      <c r="F133" s="347" t="str">
        <f>C133</f>
        <v>No</v>
      </c>
      <c r="G133" s="9">
        <f>E133*D133</f>
        <v>577500</v>
      </c>
      <c r="H133" s="383"/>
      <c r="I133" s="384"/>
      <c r="J133" s="395"/>
      <c r="K133" s="395"/>
      <c r="L133" s="399"/>
      <c r="M133" s="413"/>
    </row>
    <row r="134" spans="1:13" s="32" customFormat="1" ht="20.149999999999999" customHeight="1">
      <c r="A134" s="91"/>
      <c r="B134" s="91" t="s">
        <v>22</v>
      </c>
      <c r="C134" s="247"/>
      <c r="D134" s="248"/>
      <c r="E134" s="59"/>
      <c r="F134" s="374"/>
      <c r="G134" s="249"/>
      <c r="H134" s="390"/>
      <c r="I134" s="390"/>
      <c r="J134" s="396"/>
      <c r="K134" s="396"/>
      <c r="L134" s="400"/>
      <c r="M134" s="414"/>
    </row>
    <row r="135" spans="1:13" s="32" customFormat="1" ht="20.149999999999999" customHeight="1">
      <c r="A135" s="91"/>
      <c r="B135" s="143" t="s">
        <v>394</v>
      </c>
      <c r="C135" s="260" t="s">
        <v>2</v>
      </c>
      <c r="D135" s="261">
        <f>D129*2</f>
        <v>6</v>
      </c>
      <c r="E135" s="11">
        <f>VLOOKUP(B135,'Material Rate'!A$1:C212,3,FALSE)</f>
        <v>25000</v>
      </c>
      <c r="F135" s="347" t="str">
        <f>C135</f>
        <v>No</v>
      </c>
      <c r="G135" s="9">
        <f>E135*D135</f>
        <v>150000</v>
      </c>
      <c r="H135" s="387"/>
      <c r="I135" s="390"/>
      <c r="J135" s="396"/>
      <c r="K135" s="396"/>
      <c r="L135" s="400"/>
      <c r="M135" s="414"/>
    </row>
    <row r="136" spans="1:13" s="32" customFormat="1" ht="20.149999999999999" customHeight="1">
      <c r="A136" s="91"/>
      <c r="B136" s="143" t="s">
        <v>390</v>
      </c>
      <c r="C136" s="140" t="s">
        <v>2</v>
      </c>
      <c r="D136" s="261">
        <f>D129*3</f>
        <v>9</v>
      </c>
      <c r="E136" s="11">
        <f>VLOOKUP(B136,'Material Rate'!A$1:C213,3,FALSE)</f>
        <v>20000</v>
      </c>
      <c r="F136" s="347" t="str">
        <f>C136</f>
        <v>No</v>
      </c>
      <c r="G136" s="9">
        <f>E136*D136</f>
        <v>180000</v>
      </c>
      <c r="H136" s="385"/>
      <c r="I136" s="390"/>
      <c r="J136" s="396"/>
      <c r="K136" s="396"/>
      <c r="L136" s="400"/>
      <c r="M136" s="414"/>
    </row>
    <row r="137" spans="1:13" ht="20.149999999999999" customHeight="1">
      <c r="A137" s="8"/>
      <c r="B137" s="42"/>
      <c r="C137" s="43"/>
      <c r="D137" s="44"/>
      <c r="E137" s="11"/>
      <c r="F137" s="149"/>
      <c r="G137" s="9"/>
      <c r="H137" s="383"/>
      <c r="I137" s="384"/>
      <c r="J137" s="395"/>
      <c r="K137" s="395"/>
      <c r="L137" s="399"/>
      <c r="M137" s="413"/>
    </row>
    <row r="138" spans="1:13" ht="20.149999999999999" customHeight="1">
      <c r="A138" s="39"/>
      <c r="B138" s="39"/>
      <c r="C138" s="39"/>
      <c r="D138" s="36"/>
      <c r="E138" s="116"/>
      <c r="F138" s="369"/>
      <c r="G138" s="20"/>
      <c r="H138" s="456"/>
      <c r="I138" s="401"/>
      <c r="J138" s="402"/>
      <c r="K138" s="402"/>
      <c r="L138" s="403"/>
      <c r="M138" s="415"/>
    </row>
    <row r="139" spans="1:13" ht="20.149999999999999" customHeight="1">
      <c r="A139" s="39"/>
      <c r="B139" s="39" t="str">
        <f>'Detail-Finishing'!B301</f>
        <v>d. Plastering Work (Inner 1'+Top4½"+Outter4½")</v>
      </c>
      <c r="C139" s="40" t="str">
        <f>'Detail-Finishing'!J301</f>
        <v>Fs</v>
      </c>
      <c r="D139" s="36">
        <f>'Detail-Finishing'!H301</f>
        <v>525</v>
      </c>
      <c r="E139" s="116"/>
      <c r="F139" s="369"/>
      <c r="G139" s="20"/>
      <c r="H139" s="456"/>
      <c r="I139" s="401"/>
      <c r="J139" s="402"/>
      <c r="K139" s="402"/>
      <c r="L139" s="403"/>
      <c r="M139" s="415"/>
    </row>
    <row r="140" spans="1:13" ht="20.149999999999999" customHeight="1">
      <c r="A140" s="39"/>
      <c r="B140" s="39" t="s">
        <v>26</v>
      </c>
      <c r="C140" s="40"/>
      <c r="D140" s="36"/>
      <c r="E140" s="116"/>
      <c r="F140" s="369"/>
      <c r="G140" s="20"/>
      <c r="H140" s="456"/>
      <c r="I140" s="401"/>
      <c r="J140" s="402"/>
      <c r="K140" s="402"/>
      <c r="L140" s="403"/>
      <c r="M140" s="415"/>
    </row>
    <row r="141" spans="1:13" ht="20.149999999999999" customHeight="1">
      <c r="A141" s="39"/>
      <c r="B141" s="10" t="s">
        <v>8</v>
      </c>
      <c r="C141" s="8" t="s">
        <v>9</v>
      </c>
      <c r="D141" s="33">
        <f>D139*225/100/112</f>
        <v>10.55</v>
      </c>
      <c r="E141" s="11">
        <f>E176</f>
        <v>24000</v>
      </c>
      <c r="F141" s="347" t="str">
        <f>C141</f>
        <v>Bag</v>
      </c>
      <c r="G141" s="9">
        <f>E141*D141</f>
        <v>253200</v>
      </c>
      <c r="H141" s="456"/>
      <c r="I141" s="401"/>
      <c r="J141" s="402"/>
      <c r="K141" s="402"/>
      <c r="L141" s="403"/>
      <c r="M141" s="415"/>
    </row>
    <row r="142" spans="1:13" ht="20.149999999999999" customHeight="1">
      <c r="A142" s="39"/>
      <c r="B142" s="10" t="s">
        <v>31</v>
      </c>
      <c r="C142" s="8" t="s">
        <v>10</v>
      </c>
      <c r="D142" s="33">
        <f>D139*0.075/100</f>
        <v>0.39</v>
      </c>
      <c r="E142" s="11">
        <f>E177</f>
        <v>30000</v>
      </c>
      <c r="F142" s="347" t="str">
        <f>C142</f>
        <v>Sud</v>
      </c>
      <c r="G142" s="9">
        <f>E142*D142</f>
        <v>11700</v>
      </c>
      <c r="H142" s="456"/>
      <c r="I142" s="401"/>
      <c r="J142" s="402"/>
      <c r="K142" s="402"/>
      <c r="L142" s="403"/>
      <c r="M142" s="415"/>
    </row>
    <row r="143" spans="1:13" ht="20.149999999999999" customHeight="1">
      <c r="A143" s="39"/>
      <c r="B143" s="91" t="s">
        <v>22</v>
      </c>
      <c r="C143" s="39"/>
      <c r="D143" s="36"/>
      <c r="E143" s="116"/>
      <c r="F143" s="369"/>
      <c r="G143" s="20"/>
      <c r="H143" s="456"/>
      <c r="I143" s="401"/>
      <c r="J143" s="402"/>
      <c r="K143" s="402"/>
      <c r="L143" s="403"/>
      <c r="M143" s="415"/>
    </row>
    <row r="144" spans="1:13" ht="20.149999999999999" customHeight="1">
      <c r="A144" s="39"/>
      <c r="B144" s="48" t="s">
        <v>394</v>
      </c>
      <c r="C144" s="39" t="s">
        <v>2</v>
      </c>
      <c r="D144" s="36">
        <f>D139*1.5/100</f>
        <v>7.88</v>
      </c>
      <c r="E144" s="11">
        <f>VLOOKUP(B144,'Material Rate'!A$1:C221,3,FALSE)</f>
        <v>25000</v>
      </c>
      <c r="F144" s="347" t="str">
        <f>C144</f>
        <v>No</v>
      </c>
      <c r="G144" s="9">
        <f>E144*D144</f>
        <v>197000</v>
      </c>
      <c r="H144" s="456"/>
      <c r="I144" s="401"/>
      <c r="J144" s="402"/>
      <c r="K144" s="402"/>
      <c r="L144" s="403"/>
      <c r="M144" s="415"/>
    </row>
    <row r="145" spans="1:13" ht="20.149999999999999" customHeight="1">
      <c r="A145" s="39"/>
      <c r="B145" s="48" t="s">
        <v>390</v>
      </c>
      <c r="C145" s="39" t="s">
        <v>2</v>
      </c>
      <c r="D145" s="36">
        <f>D139*3/100</f>
        <v>15.75</v>
      </c>
      <c r="E145" s="11">
        <f>VLOOKUP(B145,'Material Rate'!A$1:C222,3,FALSE)</f>
        <v>20000</v>
      </c>
      <c r="F145" s="347" t="str">
        <f>C145</f>
        <v>No</v>
      </c>
      <c r="G145" s="9">
        <f>E145*D145</f>
        <v>315000</v>
      </c>
      <c r="H145" s="456"/>
      <c r="I145" s="401"/>
      <c r="J145" s="402"/>
      <c r="K145" s="402"/>
      <c r="L145" s="403"/>
      <c r="M145" s="415"/>
    </row>
    <row r="146" spans="1:13" ht="20.149999999999999" customHeight="1">
      <c r="A146" s="39"/>
      <c r="B146" s="39"/>
      <c r="C146" s="39"/>
      <c r="D146" s="36"/>
      <c r="E146" s="116"/>
      <c r="F146" s="369"/>
      <c r="G146" s="20"/>
      <c r="H146" s="456"/>
      <c r="I146" s="401"/>
      <c r="J146" s="402"/>
      <c r="K146" s="402"/>
      <c r="L146" s="403"/>
      <c r="M146" s="415"/>
    </row>
    <row r="147" spans="1:13" ht="20.149999999999999" customHeight="1">
      <c r="A147" s="39"/>
      <c r="B147" s="54" t="str">
        <f>'Detail-Finishing'!B303</f>
        <v>e. Cover Slab Concrete Work</v>
      </c>
      <c r="C147" s="40" t="s">
        <v>7</v>
      </c>
      <c r="D147" s="36">
        <f>'Detail-Finishing'!H303/100</f>
        <v>0.66</v>
      </c>
      <c r="E147" s="116"/>
      <c r="F147" s="369"/>
      <c r="G147" s="20"/>
      <c r="H147" s="456"/>
      <c r="I147" s="401"/>
      <c r="J147" s="402"/>
      <c r="K147" s="402"/>
      <c r="L147" s="403"/>
      <c r="M147" s="415"/>
    </row>
    <row r="148" spans="1:13" ht="20.149999999999999" customHeight="1">
      <c r="A148" s="39"/>
      <c r="B148" s="39" t="s">
        <v>26</v>
      </c>
      <c r="C148" s="40"/>
      <c r="D148" s="36"/>
      <c r="E148" s="116"/>
      <c r="F148" s="369"/>
      <c r="G148" s="20"/>
      <c r="H148" s="456"/>
      <c r="I148" s="401"/>
      <c r="J148" s="402"/>
      <c r="K148" s="402"/>
      <c r="L148" s="403"/>
      <c r="M148" s="415"/>
    </row>
    <row r="149" spans="1:13" ht="19" customHeight="1">
      <c r="A149" s="8"/>
      <c r="B149" s="10" t="s">
        <v>8</v>
      </c>
      <c r="C149" s="8" t="s">
        <v>9</v>
      </c>
      <c r="D149" s="33">
        <f>ROUNDDOWN(D147*2070/112,0)</f>
        <v>12</v>
      </c>
      <c r="E149" s="11">
        <f>E176</f>
        <v>24000</v>
      </c>
      <c r="F149" s="347" t="str">
        <f>C149</f>
        <v>Bag</v>
      </c>
      <c r="G149" s="9">
        <f>E149*D149</f>
        <v>288000</v>
      </c>
      <c r="H149" s="383"/>
      <c r="I149" s="384"/>
      <c r="J149" s="395"/>
      <c r="K149" s="395"/>
      <c r="L149" s="399"/>
      <c r="M149" s="413"/>
    </row>
    <row r="150" spans="1:13" ht="19" customHeight="1">
      <c r="A150" s="8"/>
      <c r="B150" s="10" t="s">
        <v>31</v>
      </c>
      <c r="C150" s="8" t="s">
        <v>10</v>
      </c>
      <c r="D150" s="33">
        <f>D147*0.46</f>
        <v>0.3</v>
      </c>
      <c r="E150" s="11">
        <f>E177</f>
        <v>30000</v>
      </c>
      <c r="F150" s="347" t="str">
        <f>C150</f>
        <v>Sud</v>
      </c>
      <c r="G150" s="9">
        <f>E150*D150</f>
        <v>9000</v>
      </c>
      <c r="H150" s="383"/>
      <c r="I150" s="384"/>
      <c r="J150" s="395"/>
      <c r="K150" s="395"/>
      <c r="L150" s="399"/>
      <c r="M150" s="413"/>
    </row>
    <row r="151" spans="1:13" ht="19" customHeight="1">
      <c r="A151" s="8"/>
      <c r="B151" s="10" t="s">
        <v>95</v>
      </c>
      <c r="C151" s="8" t="s">
        <v>10</v>
      </c>
      <c r="D151" s="33">
        <f>D147*0.92</f>
        <v>0.61</v>
      </c>
      <c r="E151" s="11">
        <f>VLOOKUP(B151,'Material Rate'!A$1:C228,3,FALSE)</f>
        <v>110000</v>
      </c>
      <c r="F151" s="347" t="str">
        <f>C151</f>
        <v>Sud</v>
      </c>
      <c r="G151" s="9">
        <f>E151*D151</f>
        <v>67100</v>
      </c>
      <c r="H151" s="383"/>
      <c r="I151" s="384"/>
      <c r="J151" s="395"/>
      <c r="K151" s="395"/>
      <c r="L151" s="399"/>
      <c r="M151" s="413"/>
    </row>
    <row r="152" spans="1:13" ht="19" customHeight="1">
      <c r="A152" s="8"/>
      <c r="B152" s="10" t="s">
        <v>34</v>
      </c>
      <c r="C152" s="8" t="s">
        <v>28</v>
      </c>
      <c r="D152" s="33">
        <f>D147*2</f>
        <v>1.32</v>
      </c>
      <c r="E152" s="11">
        <f>VLOOKUP(B152,'Material Rate'!A$1:C229,3,FALSE)</f>
        <v>20000</v>
      </c>
      <c r="F152" s="347" t="str">
        <f>C152</f>
        <v>Gal</v>
      </c>
      <c r="G152" s="9">
        <f>E152*D152</f>
        <v>26400</v>
      </c>
      <c r="H152" s="383"/>
      <c r="I152" s="384"/>
      <c r="J152" s="395"/>
      <c r="K152" s="395"/>
      <c r="L152" s="399"/>
      <c r="M152" s="413"/>
    </row>
    <row r="153" spans="1:13" s="32" customFormat="1" ht="19.5" customHeight="1">
      <c r="A153" s="91"/>
      <c r="B153" s="91" t="s">
        <v>22</v>
      </c>
      <c r="C153" s="91"/>
      <c r="D153" s="95"/>
      <c r="E153" s="59"/>
      <c r="F153" s="370"/>
      <c r="G153" s="244"/>
      <c r="H153" s="389"/>
      <c r="I153" s="390"/>
      <c r="J153" s="396"/>
      <c r="K153" s="396"/>
      <c r="L153" s="400"/>
      <c r="M153" s="414"/>
    </row>
    <row r="154" spans="1:13" s="32" customFormat="1" ht="19.5" customHeight="1">
      <c r="A154" s="91"/>
      <c r="B154" s="143" t="s">
        <v>394</v>
      </c>
      <c r="C154" s="145" t="s">
        <v>2</v>
      </c>
      <c r="D154" s="259">
        <f>D147*2</f>
        <v>1.32</v>
      </c>
      <c r="E154" s="11">
        <f>VLOOKUP(B154,'Material Rate'!A$1:C231,3,FALSE)</f>
        <v>25000</v>
      </c>
      <c r="F154" s="347" t="str">
        <f>C154</f>
        <v>No</v>
      </c>
      <c r="G154" s="9">
        <f>E154*D154</f>
        <v>33000</v>
      </c>
      <c r="H154" s="387"/>
      <c r="I154" s="390"/>
      <c r="J154" s="396"/>
      <c r="K154" s="396"/>
      <c r="L154" s="400"/>
      <c r="M154" s="414"/>
    </row>
    <row r="155" spans="1:13" s="32" customFormat="1" ht="19.5" customHeight="1">
      <c r="A155" s="91"/>
      <c r="B155" s="143" t="s">
        <v>395</v>
      </c>
      <c r="C155" s="140" t="s">
        <v>2</v>
      </c>
      <c r="D155" s="267">
        <f>D147*0.5</f>
        <v>0.33</v>
      </c>
      <c r="E155" s="11">
        <f>VLOOKUP(B155,'Material Rate'!A$1:C232,3,FALSE)</f>
        <v>25000</v>
      </c>
      <c r="F155" s="347" t="str">
        <f>C155</f>
        <v>No</v>
      </c>
      <c r="G155" s="9">
        <f>E155*D155</f>
        <v>8250</v>
      </c>
      <c r="H155" s="387"/>
      <c r="I155" s="390"/>
      <c r="J155" s="396"/>
      <c r="K155" s="396"/>
      <c r="L155" s="400"/>
      <c r="M155" s="414"/>
    </row>
    <row r="156" spans="1:13" s="32" customFormat="1" ht="19.5" customHeight="1">
      <c r="A156" s="91"/>
      <c r="B156" s="143" t="s">
        <v>390</v>
      </c>
      <c r="C156" s="140" t="s">
        <v>2</v>
      </c>
      <c r="D156" s="259">
        <f>D147*9</f>
        <v>5.94</v>
      </c>
      <c r="E156" s="11">
        <f>VLOOKUP(B156,'Material Rate'!A$1:C233,3,FALSE)</f>
        <v>20000</v>
      </c>
      <c r="F156" s="347" t="str">
        <f>C156</f>
        <v>No</v>
      </c>
      <c r="G156" s="9">
        <f>E156*D156</f>
        <v>118800</v>
      </c>
      <c r="H156" s="385"/>
      <c r="I156" s="390"/>
      <c r="J156" s="396"/>
      <c r="K156" s="396"/>
      <c r="L156" s="400"/>
      <c r="M156" s="414"/>
    </row>
    <row r="157" spans="1:13" ht="19" customHeight="1">
      <c r="A157" s="8"/>
      <c r="B157" s="8"/>
      <c r="C157" s="8"/>
      <c r="D157" s="33"/>
      <c r="E157" s="11"/>
      <c r="F157" s="149"/>
      <c r="G157" s="9"/>
      <c r="H157" s="383"/>
      <c r="I157" s="384"/>
      <c r="J157" s="395"/>
      <c r="K157" s="395"/>
      <c r="L157" s="399"/>
      <c r="M157" s="413"/>
    </row>
    <row r="158" spans="1:13" ht="20.149999999999999" customHeight="1">
      <c r="A158" s="39"/>
      <c r="B158" s="39"/>
      <c r="C158" s="39"/>
      <c r="D158" s="36"/>
      <c r="E158" s="116"/>
      <c r="F158" s="369"/>
      <c r="G158" s="20"/>
      <c r="H158" s="456"/>
      <c r="I158" s="401"/>
      <c r="J158" s="402"/>
      <c r="K158" s="402"/>
      <c r="L158" s="403"/>
      <c r="M158" s="415"/>
    </row>
    <row r="159" spans="1:13" ht="20.149999999999999" customHeight="1">
      <c r="A159" s="39"/>
      <c r="B159" s="54" t="str">
        <f>'Detail-Finishing'!B305</f>
        <v>f. Cover Slab Rebar Work</v>
      </c>
      <c r="C159" s="40" t="str">
        <f>'Detail-Finishing'!J309</f>
        <v>Ton</v>
      </c>
      <c r="D159" s="36">
        <f>'Detail-Finishing'!H309</f>
        <v>0.2</v>
      </c>
      <c r="E159" s="116"/>
      <c r="F159" s="369"/>
      <c r="G159" s="20"/>
      <c r="H159" s="456"/>
      <c r="I159" s="401"/>
      <c r="J159" s="402"/>
      <c r="K159" s="402"/>
      <c r="L159" s="403"/>
      <c r="M159" s="415"/>
    </row>
    <row r="160" spans="1:13" ht="20.149999999999999" customHeight="1">
      <c r="A160" s="39"/>
      <c r="B160" s="39" t="s">
        <v>26</v>
      </c>
      <c r="C160" s="39"/>
      <c r="D160" s="36"/>
      <c r="E160" s="116"/>
      <c r="F160" s="369"/>
      <c r="G160" s="20"/>
      <c r="H160" s="456"/>
      <c r="I160" s="401"/>
      <c r="J160" s="402"/>
      <c r="K160" s="402"/>
      <c r="L160" s="403"/>
      <c r="M160" s="415"/>
    </row>
    <row r="161" spans="1:13" ht="20.149999999999999" customHeight="1">
      <c r="A161" s="39"/>
      <c r="B161" s="10" t="s">
        <v>669</v>
      </c>
      <c r="C161" s="43" t="s">
        <v>14</v>
      </c>
      <c r="D161" s="44">
        <f>D159*1.05</f>
        <v>0.21</v>
      </c>
      <c r="E161" s="11">
        <f>VLOOKUP(B161,'Material Rate'!A$1:C238,3,FALSE)</f>
        <v>2500000</v>
      </c>
      <c r="F161" s="347" t="str">
        <f>C161</f>
        <v>Ton</v>
      </c>
      <c r="G161" s="9">
        <f>E161*D161</f>
        <v>525000</v>
      </c>
      <c r="H161" s="456"/>
      <c r="I161" s="401"/>
      <c r="J161" s="402"/>
      <c r="K161" s="402"/>
      <c r="L161" s="403"/>
      <c r="M161" s="415"/>
    </row>
    <row r="162" spans="1:13" ht="20.149999999999999" customHeight="1">
      <c r="A162" s="39"/>
      <c r="B162" s="42" t="s">
        <v>32</v>
      </c>
      <c r="C162" s="43" t="s">
        <v>15</v>
      </c>
      <c r="D162" s="44">
        <f>D159*20*1</f>
        <v>4</v>
      </c>
      <c r="E162" s="11">
        <f>VLOOKUP(B162,'Material Rate'!A$1:C239,3,FALSE)</f>
        <v>3333</v>
      </c>
      <c r="F162" s="347" t="str">
        <f>C162</f>
        <v>Lb</v>
      </c>
      <c r="G162" s="9">
        <f>E162*D162</f>
        <v>13332</v>
      </c>
      <c r="H162" s="456"/>
      <c r="I162" s="401"/>
      <c r="J162" s="402"/>
      <c r="K162" s="402"/>
      <c r="L162" s="403"/>
      <c r="M162" s="415"/>
    </row>
    <row r="163" spans="1:13" ht="20.149999999999999" customHeight="1">
      <c r="A163" s="39"/>
      <c r="B163" s="8" t="s">
        <v>22</v>
      </c>
      <c r="C163" s="8"/>
      <c r="D163" s="33"/>
      <c r="E163" s="11"/>
      <c r="F163" s="149"/>
      <c r="G163" s="9"/>
      <c r="H163" s="456"/>
      <c r="I163" s="401"/>
      <c r="J163" s="402"/>
      <c r="K163" s="402"/>
      <c r="L163" s="403"/>
      <c r="M163" s="415"/>
    </row>
    <row r="164" spans="1:13" ht="20.149999999999999" customHeight="1">
      <c r="A164" s="39"/>
      <c r="B164" s="143" t="s">
        <v>396</v>
      </c>
      <c r="C164" s="140" t="s">
        <v>2</v>
      </c>
      <c r="D164" s="259">
        <f>D159*20*1.5</f>
        <v>6</v>
      </c>
      <c r="E164" s="11">
        <f>VLOOKUP(B164,'Material Rate'!A$1:C241,3,FALSE)</f>
        <v>25000</v>
      </c>
      <c r="F164" s="347" t="str">
        <f>C164</f>
        <v>No</v>
      </c>
      <c r="G164" s="9">
        <f>E164*D164</f>
        <v>150000</v>
      </c>
      <c r="H164" s="456"/>
      <c r="I164" s="401"/>
      <c r="J164" s="402"/>
      <c r="K164" s="402"/>
      <c r="L164" s="403"/>
      <c r="M164" s="415"/>
    </row>
    <row r="165" spans="1:13" ht="20.149999999999999" customHeight="1">
      <c r="A165" s="39"/>
      <c r="B165" s="143" t="s">
        <v>390</v>
      </c>
      <c r="C165" s="140" t="s">
        <v>2</v>
      </c>
      <c r="D165" s="259">
        <f>D164</f>
        <v>6</v>
      </c>
      <c r="E165" s="11">
        <f>VLOOKUP(B165,'Material Rate'!A$1:C242,3,FALSE)</f>
        <v>20000</v>
      </c>
      <c r="F165" s="347" t="str">
        <f>C165</f>
        <v>No</v>
      </c>
      <c r="G165" s="9">
        <f>E165*D165</f>
        <v>120000</v>
      </c>
      <c r="H165" s="456"/>
      <c r="I165" s="401"/>
      <c r="J165" s="402"/>
      <c r="K165" s="402"/>
      <c r="L165" s="403"/>
      <c r="M165" s="415"/>
    </row>
    <row r="166" spans="1:13" ht="20.149999999999999" customHeight="1">
      <c r="A166" s="39"/>
      <c r="B166" s="39"/>
      <c r="C166" s="39"/>
      <c r="D166" s="36"/>
      <c r="E166" s="116"/>
      <c r="F166" s="369"/>
      <c r="G166" s="20"/>
      <c r="H166" s="456"/>
      <c r="I166" s="401"/>
      <c r="J166" s="402"/>
      <c r="K166" s="402"/>
      <c r="L166" s="403"/>
      <c r="M166" s="415"/>
    </row>
    <row r="167" spans="1:13" ht="20.149999999999999" customHeight="1">
      <c r="A167" s="39"/>
      <c r="B167" s="39"/>
      <c r="C167" s="39"/>
      <c r="D167" s="36"/>
      <c r="E167" s="116"/>
      <c r="F167" s="369"/>
      <c r="G167" s="20"/>
      <c r="H167" s="456"/>
      <c r="I167" s="401"/>
      <c r="J167" s="402"/>
      <c r="K167" s="402"/>
      <c r="L167" s="403"/>
      <c r="M167" s="415"/>
    </row>
    <row r="168" spans="1:13" ht="20.149999999999999" customHeight="1">
      <c r="A168" s="22"/>
      <c r="B168" s="22"/>
      <c r="C168" s="22"/>
      <c r="D168" s="35"/>
      <c r="E168" s="114"/>
      <c r="F168" s="380"/>
      <c r="G168" s="20"/>
      <c r="H168" s="401"/>
      <c r="I168" s="401"/>
      <c r="J168" s="402"/>
      <c r="K168" s="402"/>
      <c r="L168" s="403"/>
      <c r="M168" s="415"/>
    </row>
    <row r="169" spans="1:13" ht="25" customHeight="1">
      <c r="A169" s="517" t="s">
        <v>49</v>
      </c>
      <c r="B169" s="517"/>
      <c r="C169" s="517"/>
      <c r="D169" s="517"/>
      <c r="E169" s="517"/>
      <c r="F169" s="518"/>
      <c r="G169" s="350">
        <f>SUM(G6:G168)</f>
        <v>74412372</v>
      </c>
      <c r="H169" s="442">
        <f>SUM(H6:H168)</f>
        <v>25475126</v>
      </c>
      <c r="I169" s="405"/>
      <c r="J169" s="441">
        <f>SUM(J6:J168)</f>
        <v>6730226</v>
      </c>
      <c r="K169" s="407"/>
      <c r="L169" s="410">
        <f>SUM(L6:L168)</f>
        <v>1</v>
      </c>
      <c r="M169" s="408">
        <f>SUM(M6:M168)</f>
        <v>1</v>
      </c>
    </row>
    <row r="172" spans="1:13">
      <c r="A172" s="529" t="s">
        <v>667</v>
      </c>
      <c r="B172" s="529"/>
      <c r="C172" s="529"/>
      <c r="D172" s="529"/>
      <c r="E172" s="529"/>
      <c r="F172" s="529"/>
      <c r="G172" s="529"/>
      <c r="H172" s="431"/>
    </row>
    <row r="173" spans="1:13">
      <c r="A173" s="508" t="s">
        <v>0</v>
      </c>
      <c r="B173" s="508" t="s">
        <v>1</v>
      </c>
      <c r="C173" s="508" t="s">
        <v>16</v>
      </c>
      <c r="D173" s="497" t="s">
        <v>17</v>
      </c>
      <c r="E173" s="510" t="s">
        <v>18</v>
      </c>
      <c r="F173" s="508" t="s">
        <v>19</v>
      </c>
      <c r="G173" s="497" t="s">
        <v>20</v>
      </c>
      <c r="H173" s="499">
        <f>G169-G233-G248</f>
        <v>0</v>
      </c>
    </row>
    <row r="174" spans="1:13">
      <c r="A174" s="509"/>
      <c r="B174" s="509"/>
      <c r="C174" s="509"/>
      <c r="D174" s="498"/>
      <c r="E174" s="511"/>
      <c r="F174" s="509"/>
      <c r="G174" s="498"/>
      <c r="H174" s="499"/>
    </row>
    <row r="175" spans="1:13" ht="13">
      <c r="A175" s="8"/>
      <c r="B175" s="417" t="s">
        <v>26</v>
      </c>
      <c r="C175" s="8"/>
      <c r="D175" s="33"/>
      <c r="E175" s="11"/>
      <c r="F175" s="8"/>
      <c r="G175" s="14"/>
      <c r="H175" s="19"/>
    </row>
    <row r="176" spans="1:13">
      <c r="A176" s="8">
        <v>1</v>
      </c>
      <c r="B176" s="12" t="s">
        <v>8</v>
      </c>
      <c r="C176" s="23" t="s">
        <v>9</v>
      </c>
      <c r="D176" s="33">
        <f t="shared" ref="D176:D207" si="10">SUMIF($B$7:$B$168,B176,$D$7:$D$168)</f>
        <v>108.54</v>
      </c>
      <c r="E176" s="11">
        <f>VLOOKUP(B176,'Material Rate'!A$1:C90,3,FALSE)</f>
        <v>24000</v>
      </c>
      <c r="F176" s="23" t="str">
        <f>C176</f>
        <v>Bag</v>
      </c>
      <c r="G176" s="9">
        <f t="shared" ref="G176:G182" si="11">D176*E176</f>
        <v>2604960</v>
      </c>
      <c r="H176" s="19"/>
      <c r="I176" s="15"/>
      <c r="J176" s="15"/>
    </row>
    <row r="177" spans="1:9">
      <c r="A177" s="8">
        <v>2</v>
      </c>
      <c r="B177" s="12" t="s">
        <v>31</v>
      </c>
      <c r="C177" s="8" t="s">
        <v>10</v>
      </c>
      <c r="D177" s="33">
        <f t="shared" si="10"/>
        <v>10.87</v>
      </c>
      <c r="E177" s="11">
        <f>VLOOKUP(B177,'Material Rate'!A$1:C91,3,FALSE)</f>
        <v>30000</v>
      </c>
      <c r="F177" s="23" t="str">
        <f t="shared" ref="F177:F182" si="12">C177</f>
        <v>Sud</v>
      </c>
      <c r="G177" s="9">
        <f t="shared" si="11"/>
        <v>326100</v>
      </c>
      <c r="H177" s="19"/>
      <c r="I177" s="15"/>
    </row>
    <row r="178" spans="1:9">
      <c r="A178" s="8">
        <v>3</v>
      </c>
      <c r="B178" s="12" t="s">
        <v>11</v>
      </c>
      <c r="C178" s="8" t="s">
        <v>2</v>
      </c>
      <c r="D178" s="33">
        <f t="shared" si="10"/>
        <v>1650</v>
      </c>
      <c r="E178" s="11">
        <f>VLOOKUP(B178,'Material Rate'!A$1:C92,3,FALSE)</f>
        <v>350</v>
      </c>
      <c r="F178" s="23" t="str">
        <f t="shared" si="12"/>
        <v>No</v>
      </c>
      <c r="G178" s="9">
        <f t="shared" si="11"/>
        <v>577500</v>
      </c>
      <c r="H178" s="19"/>
      <c r="I178" s="15"/>
    </row>
    <row r="179" spans="1:9">
      <c r="A179" s="8">
        <v>4</v>
      </c>
      <c r="B179" s="12" t="s">
        <v>95</v>
      </c>
      <c r="C179" s="8" t="s">
        <v>10</v>
      </c>
      <c r="D179" s="33">
        <f t="shared" si="10"/>
        <v>3.49</v>
      </c>
      <c r="E179" s="11">
        <f>VLOOKUP(B179,'Material Rate'!A$1:C93,3,FALSE)</f>
        <v>110000</v>
      </c>
      <c r="F179" s="23" t="str">
        <f t="shared" si="12"/>
        <v>Sud</v>
      </c>
      <c r="G179" s="9">
        <f t="shared" si="11"/>
        <v>383900</v>
      </c>
      <c r="H179" s="19"/>
      <c r="I179" s="15"/>
    </row>
    <row r="180" spans="1:9">
      <c r="A180" s="8">
        <v>6</v>
      </c>
      <c r="B180" s="12" t="s">
        <v>34</v>
      </c>
      <c r="C180" s="23" t="s">
        <v>28</v>
      </c>
      <c r="D180" s="33">
        <f t="shared" si="10"/>
        <v>7.32</v>
      </c>
      <c r="E180" s="11">
        <f>VLOOKUP(B180,'Material Rate'!A$1:C94,3,FALSE)</f>
        <v>20000</v>
      </c>
      <c r="F180" s="23" t="str">
        <f t="shared" si="12"/>
        <v>Gal</v>
      </c>
      <c r="G180" s="9">
        <f t="shared" si="11"/>
        <v>146400</v>
      </c>
      <c r="H180" s="19"/>
      <c r="I180" s="15"/>
    </row>
    <row r="181" spans="1:9">
      <c r="A181" s="8">
        <v>10</v>
      </c>
      <c r="B181" s="12" t="s">
        <v>669</v>
      </c>
      <c r="C181" s="8" t="s">
        <v>14</v>
      </c>
      <c r="D181" s="33">
        <f t="shared" si="10"/>
        <v>0.21</v>
      </c>
      <c r="E181" s="11">
        <f>VLOOKUP(B181,'Material Rate'!A$1:C97,3,FALSE)</f>
        <v>2500000</v>
      </c>
      <c r="F181" s="23" t="str">
        <f t="shared" si="12"/>
        <v>Ton</v>
      </c>
      <c r="G181" s="9">
        <f t="shared" si="11"/>
        <v>525000</v>
      </c>
      <c r="H181" s="19">
        <f>H173</f>
        <v>0</v>
      </c>
      <c r="I181" s="15"/>
    </row>
    <row r="182" spans="1:9">
      <c r="A182" s="8">
        <v>11</v>
      </c>
      <c r="B182" s="12" t="s">
        <v>32</v>
      </c>
      <c r="C182" s="21" t="s">
        <v>15</v>
      </c>
      <c r="D182" s="33">
        <f t="shared" si="10"/>
        <v>4</v>
      </c>
      <c r="E182" s="11">
        <f>VLOOKUP(B182,'Material Rate'!A$1:C101,3,FALSE)</f>
        <v>3333</v>
      </c>
      <c r="F182" s="23" t="str">
        <f t="shared" si="12"/>
        <v>Lb</v>
      </c>
      <c r="G182" s="9">
        <f t="shared" si="11"/>
        <v>13332</v>
      </c>
      <c r="H182" s="19"/>
      <c r="I182" s="15"/>
    </row>
    <row r="183" spans="1:9">
      <c r="A183" s="8">
        <v>14</v>
      </c>
      <c r="B183" s="12" t="s">
        <v>836</v>
      </c>
      <c r="C183" s="8" t="s">
        <v>13</v>
      </c>
      <c r="D183" s="33">
        <f t="shared" si="10"/>
        <v>56</v>
      </c>
      <c r="E183" s="11">
        <f>VLOOKUP(B183,'Material Rate'!A$1:C102,3,FALSE)</f>
        <v>50000</v>
      </c>
      <c r="F183" s="23" t="str">
        <f t="shared" ref="F183:F231" si="13">C183</f>
        <v>Sht</v>
      </c>
      <c r="G183" s="9">
        <f t="shared" ref="G183:G231" si="14">D183*E183</f>
        <v>2800000</v>
      </c>
      <c r="H183" s="19"/>
      <c r="I183" s="15"/>
    </row>
    <row r="184" spans="1:9">
      <c r="A184" s="8">
        <v>15</v>
      </c>
      <c r="B184" s="12" t="s">
        <v>837</v>
      </c>
      <c r="C184" s="8" t="s">
        <v>13</v>
      </c>
      <c r="D184" s="33">
        <f t="shared" si="10"/>
        <v>4</v>
      </c>
      <c r="E184" s="11">
        <f>VLOOKUP(B184,'Material Rate'!A$1:C103,3,FALSE)</f>
        <v>55000</v>
      </c>
      <c r="F184" s="23" t="str">
        <f t="shared" si="13"/>
        <v>Sht</v>
      </c>
      <c r="G184" s="9">
        <f t="shared" si="14"/>
        <v>220000</v>
      </c>
      <c r="H184" s="19"/>
      <c r="I184" s="15"/>
    </row>
    <row r="185" spans="1:9">
      <c r="A185" s="8">
        <v>16</v>
      </c>
      <c r="B185" s="12" t="s">
        <v>896</v>
      </c>
      <c r="C185" s="8" t="s">
        <v>13</v>
      </c>
      <c r="D185" s="33">
        <f t="shared" si="10"/>
        <v>19</v>
      </c>
      <c r="E185" s="11">
        <f>VLOOKUP(B185,'Material Rate'!A$1:C104,3,FALSE)</f>
        <v>72500</v>
      </c>
      <c r="F185" s="23" t="str">
        <f t="shared" si="13"/>
        <v>Sht</v>
      </c>
      <c r="G185" s="9">
        <f t="shared" si="14"/>
        <v>1377500</v>
      </c>
      <c r="H185" s="19"/>
      <c r="I185" s="15"/>
    </row>
    <row r="186" spans="1:9">
      <c r="A186" s="8">
        <v>17</v>
      </c>
      <c r="B186" s="12" t="s">
        <v>840</v>
      </c>
      <c r="C186" s="8" t="s">
        <v>2</v>
      </c>
      <c r="D186" s="33">
        <f t="shared" si="10"/>
        <v>116</v>
      </c>
      <c r="E186" s="11">
        <f>VLOOKUP(B186,'Material Rate'!A$1:C105,3,FALSE)</f>
        <v>3300</v>
      </c>
      <c r="F186" s="23" t="str">
        <f t="shared" si="13"/>
        <v>No</v>
      </c>
      <c r="G186" s="9">
        <f t="shared" si="14"/>
        <v>382800</v>
      </c>
      <c r="H186" s="19"/>
      <c r="I186" s="15"/>
    </row>
    <row r="187" spans="1:9">
      <c r="A187" s="8">
        <v>18</v>
      </c>
      <c r="B187" s="12" t="s">
        <v>838</v>
      </c>
      <c r="C187" s="8" t="s">
        <v>2</v>
      </c>
      <c r="D187" s="33">
        <f t="shared" si="10"/>
        <v>440</v>
      </c>
      <c r="E187" s="11">
        <f>VLOOKUP(B187,'Material Rate'!A$1:C106,3,FALSE)</f>
        <v>4500</v>
      </c>
      <c r="F187" s="23" t="str">
        <f t="shared" si="13"/>
        <v>No</v>
      </c>
      <c r="G187" s="9">
        <f t="shared" si="14"/>
        <v>1980000</v>
      </c>
      <c r="H187" s="19"/>
      <c r="I187" s="15"/>
    </row>
    <row r="188" spans="1:9">
      <c r="A188" s="8">
        <v>19</v>
      </c>
      <c r="B188" s="12" t="s">
        <v>805</v>
      </c>
      <c r="C188" s="8" t="s">
        <v>2</v>
      </c>
      <c r="D188" s="33">
        <f t="shared" si="10"/>
        <v>408</v>
      </c>
      <c r="E188" s="11">
        <f>VLOOKUP(B188,'Material Rate'!A$1:C107,3,FALSE)</f>
        <v>0</v>
      </c>
      <c r="F188" s="23" t="str">
        <f t="shared" si="13"/>
        <v>No</v>
      </c>
      <c r="G188" s="9">
        <f t="shared" si="14"/>
        <v>0</v>
      </c>
      <c r="H188" s="19">
        <f>H181</f>
        <v>0</v>
      </c>
      <c r="I188" s="15"/>
    </row>
    <row r="189" spans="1:9">
      <c r="A189" s="8">
        <v>20</v>
      </c>
      <c r="B189" s="12" t="s">
        <v>806</v>
      </c>
      <c r="C189" s="8" t="s">
        <v>2</v>
      </c>
      <c r="D189" s="33">
        <f t="shared" si="10"/>
        <v>1750</v>
      </c>
      <c r="E189" s="11">
        <f>VLOOKUP(B189,'Material Rate'!A$1:C108,3,FALSE)</f>
        <v>0</v>
      </c>
      <c r="F189" s="23" t="str">
        <f t="shared" si="13"/>
        <v>No</v>
      </c>
      <c r="G189" s="9">
        <f t="shared" si="14"/>
        <v>0</v>
      </c>
      <c r="H189" s="19"/>
      <c r="I189" s="15"/>
    </row>
    <row r="190" spans="1:9">
      <c r="A190" s="8">
        <v>21</v>
      </c>
      <c r="B190" s="12" t="s">
        <v>807</v>
      </c>
      <c r="C190" s="8" t="s">
        <v>2</v>
      </c>
      <c r="D190" s="33">
        <f t="shared" si="10"/>
        <v>250</v>
      </c>
      <c r="E190" s="11">
        <f>VLOOKUP(B190,'Material Rate'!A$1:C109,3,FALSE)</f>
        <v>0</v>
      </c>
      <c r="F190" s="23" t="str">
        <f t="shared" si="13"/>
        <v>No</v>
      </c>
      <c r="G190" s="9">
        <f t="shared" si="14"/>
        <v>0</v>
      </c>
      <c r="H190" s="19"/>
      <c r="I190" s="15"/>
    </row>
    <row r="191" spans="1:9">
      <c r="A191" s="8">
        <v>22</v>
      </c>
      <c r="B191" s="12" t="s">
        <v>808</v>
      </c>
      <c r="C191" s="8" t="s">
        <v>2</v>
      </c>
      <c r="D191" s="33">
        <f t="shared" si="10"/>
        <v>250</v>
      </c>
      <c r="E191" s="11">
        <f>VLOOKUP(B191,'Material Rate'!A$1:C110,3,FALSE)</f>
        <v>0</v>
      </c>
      <c r="F191" s="23" t="str">
        <f t="shared" si="13"/>
        <v>No</v>
      </c>
      <c r="G191" s="9">
        <f t="shared" si="14"/>
        <v>0</v>
      </c>
      <c r="H191" s="19"/>
      <c r="I191" s="15"/>
    </row>
    <row r="192" spans="1:9">
      <c r="A192" s="8">
        <v>23</v>
      </c>
      <c r="B192" s="12" t="s">
        <v>809</v>
      </c>
      <c r="C192" s="8" t="s">
        <v>810</v>
      </c>
      <c r="D192" s="33">
        <f t="shared" si="10"/>
        <v>3</v>
      </c>
      <c r="E192" s="11">
        <f>VLOOKUP(B192,'Material Rate'!A$1:C111,3,FALSE)</f>
        <v>0</v>
      </c>
      <c r="F192" s="23" t="str">
        <f t="shared" si="13"/>
        <v>Box</v>
      </c>
      <c r="G192" s="9">
        <f t="shared" si="14"/>
        <v>0</v>
      </c>
      <c r="H192" s="19"/>
      <c r="I192" s="15"/>
    </row>
    <row r="193" spans="1:9">
      <c r="A193" s="8">
        <v>24</v>
      </c>
      <c r="B193" s="12" t="s">
        <v>847</v>
      </c>
      <c r="C193" s="21" t="s">
        <v>9</v>
      </c>
      <c r="D193" s="33">
        <f t="shared" si="10"/>
        <v>53</v>
      </c>
      <c r="E193" s="11">
        <f>VLOOKUP(B193,'Material Rate'!A$1:C112,3,FALSE)</f>
        <v>24000</v>
      </c>
      <c r="F193" s="23" t="str">
        <f t="shared" si="13"/>
        <v>Bag</v>
      </c>
      <c r="G193" s="9">
        <f t="shared" si="14"/>
        <v>1272000</v>
      </c>
      <c r="H193" s="19"/>
      <c r="I193" s="15"/>
    </row>
    <row r="194" spans="1:9">
      <c r="A194" s="8">
        <v>25</v>
      </c>
      <c r="B194" s="12" t="s">
        <v>848</v>
      </c>
      <c r="C194" s="21" t="s">
        <v>853</v>
      </c>
      <c r="D194" s="33">
        <f t="shared" si="10"/>
        <v>94.1</v>
      </c>
      <c r="E194" s="11">
        <f>VLOOKUP(B194,'Material Rate'!A$1:C113,3,FALSE)</f>
        <v>36000</v>
      </c>
      <c r="F194" s="23" t="str">
        <f t="shared" si="13"/>
        <v>Lit</v>
      </c>
      <c r="G194" s="9">
        <f t="shared" si="14"/>
        <v>3387600</v>
      </c>
      <c r="H194" s="19"/>
      <c r="I194" s="15"/>
    </row>
    <row r="195" spans="1:9">
      <c r="A195" s="8">
        <v>26</v>
      </c>
      <c r="B195" s="12" t="s">
        <v>308</v>
      </c>
      <c r="C195" s="21" t="s">
        <v>853</v>
      </c>
      <c r="D195" s="33">
        <f t="shared" si="10"/>
        <v>66</v>
      </c>
      <c r="E195" s="11">
        <f>VLOOKUP(B195,'Material Rate'!A$1:C114,3,FALSE)</f>
        <v>31000</v>
      </c>
      <c r="F195" s="23" t="str">
        <f t="shared" si="13"/>
        <v>Lit</v>
      </c>
      <c r="G195" s="9">
        <f t="shared" si="14"/>
        <v>2046000</v>
      </c>
      <c r="H195" s="19">
        <f>H188</f>
        <v>0</v>
      </c>
      <c r="I195" s="15"/>
    </row>
    <row r="196" spans="1:9">
      <c r="A196" s="8">
        <v>27</v>
      </c>
      <c r="B196" s="12" t="s">
        <v>309</v>
      </c>
      <c r="C196" s="21" t="s">
        <v>853</v>
      </c>
      <c r="D196" s="33">
        <f t="shared" si="10"/>
        <v>112</v>
      </c>
      <c r="E196" s="11">
        <f>VLOOKUP(B196,'Material Rate'!A$1:C115,3,FALSE)</f>
        <v>31000</v>
      </c>
      <c r="F196" s="23" t="str">
        <f t="shared" si="13"/>
        <v>Lit</v>
      </c>
      <c r="G196" s="9">
        <f t="shared" si="14"/>
        <v>3472000</v>
      </c>
      <c r="H196" s="19"/>
      <c r="I196" s="15"/>
    </row>
    <row r="197" spans="1:9">
      <c r="A197" s="8">
        <v>28</v>
      </c>
      <c r="B197" s="12" t="s">
        <v>829</v>
      </c>
      <c r="C197" s="21" t="s">
        <v>853</v>
      </c>
      <c r="D197" s="33">
        <f t="shared" si="10"/>
        <v>47</v>
      </c>
      <c r="E197" s="11">
        <f>VLOOKUP(B197,'Material Rate'!A$1:C116,3,FALSE)</f>
        <v>31000</v>
      </c>
      <c r="F197" s="23" t="str">
        <f t="shared" si="13"/>
        <v>Lit</v>
      </c>
      <c r="G197" s="9">
        <f t="shared" si="14"/>
        <v>1457000</v>
      </c>
      <c r="H197" s="19"/>
      <c r="I197" s="15"/>
    </row>
    <row r="198" spans="1:9">
      <c r="A198" s="8">
        <v>29</v>
      </c>
      <c r="B198" s="12" t="s">
        <v>854</v>
      </c>
      <c r="C198" s="21" t="s">
        <v>9</v>
      </c>
      <c r="D198" s="33">
        <f t="shared" si="10"/>
        <v>3</v>
      </c>
      <c r="E198" s="11">
        <f>VLOOKUP(B198,'Material Rate'!A$1:C117,3,FALSE)</f>
        <v>55000</v>
      </c>
      <c r="F198" s="23" t="str">
        <f t="shared" si="13"/>
        <v>Bag</v>
      </c>
      <c r="G198" s="9">
        <f t="shared" si="14"/>
        <v>165000</v>
      </c>
      <c r="H198" s="19"/>
      <c r="I198" s="15"/>
    </row>
    <row r="199" spans="1:9">
      <c r="A199" s="8">
        <v>30</v>
      </c>
      <c r="B199" s="12" t="s">
        <v>855</v>
      </c>
      <c r="C199" s="21" t="s">
        <v>82</v>
      </c>
      <c r="D199" s="33">
        <f t="shared" si="10"/>
        <v>948</v>
      </c>
      <c r="E199" s="11">
        <f>VLOOKUP(B199,'Material Rate'!A$1:C118,3,FALSE)</f>
        <v>50</v>
      </c>
      <c r="F199" s="23" t="str">
        <f t="shared" si="13"/>
        <v>Ft</v>
      </c>
      <c r="G199" s="9">
        <f t="shared" si="14"/>
        <v>47400</v>
      </c>
      <c r="H199" s="19"/>
      <c r="I199" s="15"/>
    </row>
    <row r="200" spans="1:9">
      <c r="A200" s="8">
        <v>31</v>
      </c>
      <c r="B200" s="475" t="s">
        <v>849</v>
      </c>
      <c r="C200" s="446" t="s">
        <v>2</v>
      </c>
      <c r="D200" s="33">
        <f t="shared" si="10"/>
        <v>44</v>
      </c>
      <c r="E200" s="11">
        <f>VLOOKUP(B200,'Material Rate'!A$1:C119,3,FALSE)</f>
        <v>300</v>
      </c>
      <c r="F200" s="23" t="str">
        <f t="shared" si="13"/>
        <v>No</v>
      </c>
      <c r="G200" s="9">
        <f t="shared" si="14"/>
        <v>13200</v>
      </c>
      <c r="H200" s="19"/>
      <c r="I200" s="15"/>
    </row>
    <row r="201" spans="1:9">
      <c r="A201" s="8">
        <v>32</v>
      </c>
      <c r="B201" s="475" t="s">
        <v>850</v>
      </c>
      <c r="C201" s="446" t="s">
        <v>851</v>
      </c>
      <c r="D201" s="33">
        <f t="shared" si="10"/>
        <v>9</v>
      </c>
      <c r="E201" s="11">
        <f>VLOOKUP(B201,'Material Rate'!A$1:C120,3,FALSE)</f>
        <v>2400</v>
      </c>
      <c r="F201" s="23" t="str">
        <f t="shared" si="13"/>
        <v>Doz</v>
      </c>
      <c r="G201" s="9">
        <f t="shared" si="14"/>
        <v>21600</v>
      </c>
      <c r="H201" s="19"/>
      <c r="I201" s="15"/>
    </row>
    <row r="202" spans="1:9">
      <c r="A202" s="8">
        <v>33</v>
      </c>
      <c r="B202" s="475" t="s">
        <v>300</v>
      </c>
      <c r="C202" s="446" t="s">
        <v>2</v>
      </c>
      <c r="D202" s="33">
        <f t="shared" si="10"/>
        <v>4</v>
      </c>
      <c r="E202" s="11">
        <f>VLOOKUP(B202,'Material Rate'!A$1:C121,3,FALSE)</f>
        <v>700</v>
      </c>
      <c r="F202" s="23" t="str">
        <f t="shared" si="13"/>
        <v>No</v>
      </c>
      <c r="G202" s="9">
        <f t="shared" si="14"/>
        <v>2800</v>
      </c>
      <c r="H202" s="19"/>
      <c r="I202" s="15"/>
    </row>
    <row r="203" spans="1:9">
      <c r="A203" s="8">
        <v>34</v>
      </c>
      <c r="B203" s="475" t="s">
        <v>301</v>
      </c>
      <c r="C203" s="446" t="s">
        <v>2</v>
      </c>
      <c r="D203" s="33">
        <f t="shared" si="10"/>
        <v>4</v>
      </c>
      <c r="E203" s="11">
        <f>VLOOKUP(B203,'Material Rate'!A$1:C122,3,FALSE)</f>
        <v>3000</v>
      </c>
      <c r="F203" s="23" t="str">
        <f t="shared" si="13"/>
        <v>No</v>
      </c>
      <c r="G203" s="9">
        <f t="shared" si="14"/>
        <v>12000</v>
      </c>
      <c r="H203" s="19"/>
      <c r="I203" s="15"/>
    </row>
    <row r="204" spans="1:9">
      <c r="A204" s="8">
        <v>35</v>
      </c>
      <c r="B204" s="475" t="s">
        <v>302</v>
      </c>
      <c r="C204" s="446" t="s">
        <v>2</v>
      </c>
      <c r="D204" s="33">
        <f t="shared" si="10"/>
        <v>22</v>
      </c>
      <c r="E204" s="11">
        <f>VLOOKUP(B204,'Material Rate'!A$1:C123,3,FALSE)</f>
        <v>500</v>
      </c>
      <c r="F204" s="23" t="str">
        <f t="shared" si="13"/>
        <v>No</v>
      </c>
      <c r="G204" s="9">
        <f t="shared" si="14"/>
        <v>11000</v>
      </c>
      <c r="H204" s="19"/>
      <c r="I204" s="15"/>
    </row>
    <row r="205" spans="1:9">
      <c r="A205" s="8">
        <v>36</v>
      </c>
      <c r="B205" s="475" t="s">
        <v>303</v>
      </c>
      <c r="C205" s="446" t="s">
        <v>2</v>
      </c>
      <c r="D205" s="33">
        <f t="shared" si="10"/>
        <v>9</v>
      </c>
      <c r="E205" s="11">
        <f>VLOOKUP(B205,'Material Rate'!A$1:C124,3,FALSE)</f>
        <v>7000</v>
      </c>
      <c r="F205" s="23" t="str">
        <f t="shared" si="13"/>
        <v>No</v>
      </c>
      <c r="G205" s="9">
        <f t="shared" si="14"/>
        <v>63000</v>
      </c>
      <c r="H205" s="19"/>
      <c r="I205" s="15"/>
    </row>
    <row r="206" spans="1:9">
      <c r="A206" s="8">
        <v>37</v>
      </c>
      <c r="B206" s="475" t="s">
        <v>852</v>
      </c>
      <c r="C206" s="446" t="s">
        <v>2</v>
      </c>
      <c r="D206" s="33">
        <f t="shared" si="10"/>
        <v>28</v>
      </c>
      <c r="E206" s="11">
        <f>VLOOKUP(B206,'Material Rate'!A$1:C125,3,FALSE)</f>
        <v>1000</v>
      </c>
      <c r="F206" s="23" t="str">
        <f t="shared" si="13"/>
        <v>No</v>
      </c>
      <c r="G206" s="9">
        <f t="shared" si="14"/>
        <v>28000</v>
      </c>
      <c r="H206" s="19"/>
      <c r="I206" s="15"/>
    </row>
    <row r="207" spans="1:9">
      <c r="A207" s="8">
        <v>38</v>
      </c>
      <c r="B207" s="475" t="s">
        <v>56</v>
      </c>
      <c r="C207" s="446" t="s">
        <v>853</v>
      </c>
      <c r="D207" s="33">
        <f t="shared" si="10"/>
        <v>28</v>
      </c>
      <c r="E207" s="11">
        <f>VLOOKUP(B207,'Material Rate'!A$1:C126,3,FALSE)</f>
        <v>24000</v>
      </c>
      <c r="F207" s="23" t="str">
        <f t="shared" si="13"/>
        <v>Lit</v>
      </c>
      <c r="G207" s="9">
        <f t="shared" si="14"/>
        <v>672000</v>
      </c>
      <c r="H207" s="19"/>
      <c r="I207" s="15"/>
    </row>
    <row r="208" spans="1:9">
      <c r="A208" s="8">
        <v>39</v>
      </c>
      <c r="B208" s="475" t="s">
        <v>857</v>
      </c>
      <c r="C208" s="446" t="s">
        <v>853</v>
      </c>
      <c r="D208" s="33">
        <f t="shared" ref="D208:D231" si="15">SUMIF($B$7:$B$168,B208,$D$7:$D$168)</f>
        <v>14</v>
      </c>
      <c r="E208" s="11">
        <f>VLOOKUP(B208,'Material Rate'!A$1:C127,3,FALSE)</f>
        <v>24000</v>
      </c>
      <c r="F208" s="23" t="str">
        <f t="shared" si="13"/>
        <v>Lit</v>
      </c>
      <c r="G208" s="9">
        <f t="shared" si="14"/>
        <v>336000</v>
      </c>
      <c r="H208" s="19"/>
      <c r="I208" s="15"/>
    </row>
    <row r="209" spans="1:9">
      <c r="A209" s="8">
        <v>40</v>
      </c>
      <c r="B209" s="475" t="s">
        <v>858</v>
      </c>
      <c r="C209" s="446" t="s">
        <v>28</v>
      </c>
      <c r="D209" s="33">
        <f t="shared" si="15"/>
        <v>6</v>
      </c>
      <c r="E209" s="11">
        <f>VLOOKUP(B209,'Material Rate'!A$1:C128,3,FALSE)</f>
        <v>4000</v>
      </c>
      <c r="F209" s="23" t="str">
        <f t="shared" si="13"/>
        <v>Gal</v>
      </c>
      <c r="G209" s="9">
        <f t="shared" si="14"/>
        <v>24000</v>
      </c>
      <c r="H209" s="19"/>
      <c r="I209" s="15"/>
    </row>
    <row r="210" spans="1:9">
      <c r="A210" s="8">
        <v>41</v>
      </c>
      <c r="B210" s="475" t="s">
        <v>859</v>
      </c>
      <c r="C210" s="446" t="s">
        <v>2</v>
      </c>
      <c r="D210" s="33">
        <f t="shared" si="15"/>
        <v>48</v>
      </c>
      <c r="E210" s="11">
        <f>VLOOKUP(B210,'Material Rate'!A$1:C129,3,FALSE)</f>
        <v>1800</v>
      </c>
      <c r="F210" s="23" t="str">
        <f t="shared" si="13"/>
        <v>No</v>
      </c>
      <c r="G210" s="9">
        <f t="shared" si="14"/>
        <v>86400</v>
      </c>
      <c r="H210" s="19"/>
      <c r="I210" s="15"/>
    </row>
    <row r="211" spans="1:9">
      <c r="A211" s="8">
        <v>42</v>
      </c>
      <c r="B211" s="476" t="s">
        <v>305</v>
      </c>
      <c r="C211" s="446" t="s">
        <v>2</v>
      </c>
      <c r="D211" s="33">
        <f t="shared" si="15"/>
        <v>10</v>
      </c>
      <c r="E211" s="11">
        <f>VLOOKUP(B211,'Material Rate'!A$1:C130,3,FALSE)</f>
        <v>1500</v>
      </c>
      <c r="F211" s="23" t="str">
        <f t="shared" si="13"/>
        <v>No</v>
      </c>
      <c r="G211" s="9">
        <f t="shared" si="14"/>
        <v>15000</v>
      </c>
      <c r="H211" s="19"/>
      <c r="I211" s="15"/>
    </row>
    <row r="212" spans="1:9">
      <c r="A212" s="8">
        <v>43</v>
      </c>
      <c r="B212" s="476" t="s">
        <v>306</v>
      </c>
      <c r="C212" s="446" t="s">
        <v>2</v>
      </c>
      <c r="D212" s="33">
        <f t="shared" si="15"/>
        <v>10</v>
      </c>
      <c r="E212" s="11">
        <f>VLOOKUP(B212,'Material Rate'!A$1:C131,3,FALSE)</f>
        <v>1200</v>
      </c>
      <c r="F212" s="23" t="str">
        <f t="shared" si="13"/>
        <v>No</v>
      </c>
      <c r="G212" s="9">
        <f t="shared" si="14"/>
        <v>12000</v>
      </c>
      <c r="H212" s="19"/>
      <c r="I212" s="15"/>
    </row>
    <row r="213" spans="1:9">
      <c r="A213" s="8">
        <v>45</v>
      </c>
      <c r="B213" s="476" t="s">
        <v>860</v>
      </c>
      <c r="C213" s="446" t="s">
        <v>2</v>
      </c>
      <c r="D213" s="33">
        <f t="shared" si="15"/>
        <v>48</v>
      </c>
      <c r="E213" s="11">
        <f>VLOOKUP(B213,'Material Rate'!A$1:C132,3,FALSE)</f>
        <v>800</v>
      </c>
      <c r="F213" s="23" t="str">
        <f t="shared" si="13"/>
        <v>No</v>
      </c>
      <c r="G213" s="9">
        <f t="shared" si="14"/>
        <v>38400</v>
      </c>
      <c r="H213" s="19"/>
      <c r="I213" s="15"/>
    </row>
    <row r="214" spans="1:9">
      <c r="A214" s="8">
        <v>46</v>
      </c>
      <c r="B214" s="12" t="s">
        <v>865</v>
      </c>
      <c r="C214" s="8" t="s">
        <v>21</v>
      </c>
      <c r="D214" s="33">
        <f t="shared" si="15"/>
        <v>422.2</v>
      </c>
      <c r="E214" s="11">
        <f>VLOOKUP(B214,'Material Rate'!A$1:C133,3,FALSE)</f>
        <v>42000</v>
      </c>
      <c r="F214" s="23" t="str">
        <f t="shared" si="13"/>
        <v>Fs</v>
      </c>
      <c r="G214" s="9">
        <f t="shared" si="14"/>
        <v>17732400</v>
      </c>
      <c r="H214" s="19"/>
      <c r="I214" s="15"/>
    </row>
    <row r="215" spans="1:9">
      <c r="A215" s="8">
        <v>47</v>
      </c>
      <c r="B215" s="12" t="s">
        <v>866</v>
      </c>
      <c r="C215" s="8" t="s">
        <v>21</v>
      </c>
      <c r="D215" s="33">
        <f t="shared" si="15"/>
        <v>21</v>
      </c>
      <c r="E215" s="11">
        <f>VLOOKUP(B215,'Material Rate'!A$1:C134,3,FALSE)</f>
        <v>42000</v>
      </c>
      <c r="F215" s="23" t="str">
        <f t="shared" si="13"/>
        <v>Fs</v>
      </c>
      <c r="G215" s="9">
        <f t="shared" si="14"/>
        <v>882000</v>
      </c>
      <c r="H215" s="19"/>
      <c r="I215" s="15"/>
    </row>
    <row r="216" spans="1:9">
      <c r="A216" s="8">
        <v>48</v>
      </c>
      <c r="B216" s="12" t="s">
        <v>867</v>
      </c>
      <c r="C216" s="8" t="s">
        <v>21</v>
      </c>
      <c r="D216" s="33">
        <f t="shared" si="15"/>
        <v>273</v>
      </c>
      <c r="E216" s="11">
        <f>VLOOKUP(B216,'Material Rate'!A$1:C135,3,FALSE)</f>
        <v>30000</v>
      </c>
      <c r="F216" s="23" t="str">
        <f t="shared" si="13"/>
        <v>Fs</v>
      </c>
      <c r="G216" s="9">
        <f t="shared" si="14"/>
        <v>8190000</v>
      </c>
      <c r="H216" s="19"/>
      <c r="I216" s="15"/>
    </row>
    <row r="217" spans="1:9">
      <c r="A217" s="8">
        <v>49</v>
      </c>
      <c r="B217" s="12" t="s">
        <v>868</v>
      </c>
      <c r="C217" s="8" t="s">
        <v>705</v>
      </c>
      <c r="D217" s="33">
        <f t="shared" si="15"/>
        <v>9</v>
      </c>
      <c r="E217" s="11">
        <f>VLOOKUP(B217,'Material Rate'!A$1:C136,3,FALSE)</f>
        <v>30000</v>
      </c>
      <c r="F217" s="23" t="str">
        <f t="shared" si="13"/>
        <v>Set</v>
      </c>
      <c r="G217" s="9">
        <f t="shared" si="14"/>
        <v>270000</v>
      </c>
      <c r="H217" s="19"/>
      <c r="I217" s="15"/>
    </row>
    <row r="218" spans="1:9">
      <c r="A218" s="8">
        <v>50</v>
      </c>
      <c r="B218" s="12" t="s">
        <v>869</v>
      </c>
      <c r="C218" s="8" t="s">
        <v>2</v>
      </c>
      <c r="D218" s="33">
        <f t="shared" si="15"/>
        <v>68</v>
      </c>
      <c r="E218" s="11">
        <f>VLOOKUP(B218,'Material Rate'!A$1:C137,3,FALSE)</f>
        <v>1500</v>
      </c>
      <c r="F218" s="23" t="str">
        <f t="shared" si="13"/>
        <v>No</v>
      </c>
      <c r="G218" s="9">
        <f t="shared" si="14"/>
        <v>102000</v>
      </c>
      <c r="H218" s="19"/>
      <c r="I218" s="15"/>
    </row>
    <row r="219" spans="1:9">
      <c r="A219" s="8">
        <v>51</v>
      </c>
      <c r="B219" s="12" t="s">
        <v>870</v>
      </c>
      <c r="C219" s="8" t="s">
        <v>2</v>
      </c>
      <c r="D219" s="33">
        <f t="shared" si="15"/>
        <v>8</v>
      </c>
      <c r="E219" s="11">
        <f>VLOOKUP(B219,'Material Rate'!A$1:C138,3,FALSE)</f>
        <v>2000</v>
      </c>
      <c r="F219" s="23" t="str">
        <f t="shared" si="13"/>
        <v>No</v>
      </c>
      <c r="G219" s="9">
        <f t="shared" si="14"/>
        <v>16000</v>
      </c>
      <c r="H219" s="19"/>
      <c r="I219" s="15"/>
    </row>
    <row r="220" spans="1:9">
      <c r="A220" s="8">
        <v>52</v>
      </c>
      <c r="B220" s="12" t="s">
        <v>871</v>
      </c>
      <c r="C220" s="8" t="s">
        <v>2</v>
      </c>
      <c r="D220" s="33">
        <f t="shared" si="15"/>
        <v>8</v>
      </c>
      <c r="E220" s="11">
        <f>VLOOKUP(B220,'Material Rate'!A$1:C139,3,FALSE)</f>
        <v>2000</v>
      </c>
      <c r="F220" s="23" t="str">
        <f t="shared" si="13"/>
        <v>No</v>
      </c>
      <c r="G220" s="9">
        <f t="shared" si="14"/>
        <v>16000</v>
      </c>
      <c r="H220" s="19"/>
      <c r="I220" s="15"/>
    </row>
    <row r="221" spans="1:9">
      <c r="A221" s="8">
        <v>53</v>
      </c>
      <c r="B221" s="12" t="s">
        <v>873</v>
      </c>
      <c r="C221" s="8" t="s">
        <v>13</v>
      </c>
      <c r="D221" s="33">
        <f t="shared" si="15"/>
        <v>809</v>
      </c>
      <c r="E221" s="11">
        <f>VLOOKUP(B221,'Material Rate'!A$1:C140,3,FALSE)</f>
        <v>2700</v>
      </c>
      <c r="F221" s="23" t="str">
        <f t="shared" si="13"/>
        <v>Sht</v>
      </c>
      <c r="G221" s="9">
        <f t="shared" si="14"/>
        <v>2184300</v>
      </c>
      <c r="H221" s="19"/>
      <c r="I221" s="15"/>
    </row>
    <row r="222" spans="1:9">
      <c r="A222" s="8">
        <v>54</v>
      </c>
      <c r="B222" s="12" t="s">
        <v>874</v>
      </c>
      <c r="C222" s="8" t="s">
        <v>13</v>
      </c>
      <c r="D222" s="33">
        <f t="shared" si="15"/>
        <v>226</v>
      </c>
      <c r="E222" s="11">
        <f>VLOOKUP(B222,'Material Rate'!A$1:C141,3,FALSE)</f>
        <v>6000</v>
      </c>
      <c r="F222" s="23" t="str">
        <f t="shared" si="13"/>
        <v>Sht</v>
      </c>
      <c r="G222" s="9">
        <f t="shared" si="14"/>
        <v>1356000</v>
      </c>
      <c r="H222" s="19"/>
      <c r="I222" s="15"/>
    </row>
    <row r="223" spans="1:9">
      <c r="A223" s="8">
        <v>55</v>
      </c>
      <c r="B223" s="76" t="s">
        <v>875</v>
      </c>
      <c r="C223" s="8" t="s">
        <v>2</v>
      </c>
      <c r="D223" s="33">
        <f t="shared" si="15"/>
        <v>1</v>
      </c>
      <c r="E223" s="11">
        <f>VLOOKUP(B223,'Material Rate'!A$1:C142,3,FALSE)</f>
        <v>5000</v>
      </c>
      <c r="F223" s="23" t="str">
        <f t="shared" si="13"/>
        <v>No</v>
      </c>
      <c r="G223" s="9">
        <f t="shared" si="14"/>
        <v>5000</v>
      </c>
      <c r="H223" s="19"/>
      <c r="I223" s="15"/>
    </row>
    <row r="224" spans="1:9">
      <c r="A224" s="8">
        <v>56</v>
      </c>
      <c r="B224" s="76" t="s">
        <v>876</v>
      </c>
      <c r="C224" s="8" t="s">
        <v>2</v>
      </c>
      <c r="D224" s="33">
        <f t="shared" si="15"/>
        <v>28</v>
      </c>
      <c r="E224" s="11">
        <f>VLOOKUP(B224,'Material Rate'!A$1:C143,3,FALSE)</f>
        <v>3500</v>
      </c>
      <c r="F224" s="23" t="str">
        <f t="shared" si="13"/>
        <v>No</v>
      </c>
      <c r="G224" s="9">
        <f t="shared" si="14"/>
        <v>98000</v>
      </c>
      <c r="H224" s="19"/>
      <c r="I224" s="15"/>
    </row>
    <row r="225" spans="1:9">
      <c r="A225" s="8">
        <v>57</v>
      </c>
      <c r="B225" s="12" t="s">
        <v>707</v>
      </c>
      <c r="C225" s="8" t="s">
        <v>708</v>
      </c>
      <c r="D225" s="33">
        <f t="shared" si="15"/>
        <v>68.31</v>
      </c>
      <c r="E225" s="11">
        <f>VLOOKUP(B225,'Material Rate'!A$1:C144,3,FALSE)</f>
        <v>6600</v>
      </c>
      <c r="F225" s="23" t="str">
        <f t="shared" si="13"/>
        <v>Kg</v>
      </c>
      <c r="G225" s="9">
        <f t="shared" si="14"/>
        <v>450846</v>
      </c>
      <c r="H225" s="19"/>
      <c r="I225" s="15"/>
    </row>
    <row r="226" spans="1:9">
      <c r="A226" s="8"/>
      <c r="B226" s="322" t="s">
        <v>916</v>
      </c>
      <c r="C226" s="8" t="s">
        <v>13</v>
      </c>
      <c r="D226" s="33">
        <f>SUMIF($B$7:$B$168,B226,$D$7:$D$168)</f>
        <v>50</v>
      </c>
      <c r="E226" s="11">
        <f>VLOOKUP(B226,'Material Rate'!A$1:C145,3,FALSE)</f>
        <v>8000</v>
      </c>
      <c r="F226" s="23" t="str">
        <f>C226</f>
        <v>Sht</v>
      </c>
      <c r="G226" s="9">
        <f>D226*E226</f>
        <v>400000</v>
      </c>
      <c r="H226" s="19"/>
      <c r="I226" s="15"/>
    </row>
    <row r="227" spans="1:9">
      <c r="A227" s="8"/>
      <c r="B227" s="322" t="s">
        <v>917</v>
      </c>
      <c r="C227" s="8" t="s">
        <v>13</v>
      </c>
      <c r="D227" s="33">
        <f>SUMIF($B$7:$B$168,B227,$D$7:$D$168)</f>
        <v>66</v>
      </c>
      <c r="E227" s="11">
        <f>VLOOKUP(B227,'Material Rate'!A$1:C146,3,FALSE)</f>
        <v>12000</v>
      </c>
      <c r="F227" s="23" t="str">
        <f>C227</f>
        <v>Sht</v>
      </c>
      <c r="G227" s="9">
        <f>D227*E227</f>
        <v>792000</v>
      </c>
      <c r="H227" s="19"/>
      <c r="I227" s="15"/>
    </row>
    <row r="228" spans="1:9">
      <c r="A228" s="8">
        <v>58</v>
      </c>
      <c r="B228" s="54" t="s">
        <v>897</v>
      </c>
      <c r="C228" s="39" t="s">
        <v>12</v>
      </c>
      <c r="D228" s="33">
        <f t="shared" si="15"/>
        <v>8.86</v>
      </c>
      <c r="E228" s="11">
        <f>VLOOKUP(B228,'Material Rate'!A$1:C145,3,FALSE)</f>
        <v>500000</v>
      </c>
      <c r="F228" s="23" t="str">
        <f t="shared" si="13"/>
        <v>%Fs</v>
      </c>
      <c r="G228" s="9">
        <f t="shared" si="14"/>
        <v>4430000</v>
      </c>
      <c r="H228" s="19"/>
      <c r="I228" s="15"/>
    </row>
    <row r="229" spans="1:9">
      <c r="A229" s="8">
        <v>60</v>
      </c>
      <c r="B229" s="12" t="s">
        <v>622</v>
      </c>
      <c r="C229" s="39" t="s">
        <v>2</v>
      </c>
      <c r="D229" s="33">
        <f t="shared" si="15"/>
        <v>1</v>
      </c>
      <c r="E229" s="11">
        <f>VLOOKUP(B229,'Material Rate'!A$1:C147,3,FALSE)</f>
        <v>42000</v>
      </c>
      <c r="F229" s="23" t="str">
        <f t="shared" si="13"/>
        <v>No</v>
      </c>
      <c r="G229" s="9">
        <f t="shared" si="14"/>
        <v>42000</v>
      </c>
      <c r="H229" s="19"/>
      <c r="I229" s="15"/>
    </row>
    <row r="230" spans="1:9">
      <c r="A230" s="8">
        <v>61</v>
      </c>
      <c r="B230" s="54" t="s">
        <v>890</v>
      </c>
      <c r="C230" s="39" t="s">
        <v>2</v>
      </c>
      <c r="D230" s="33">
        <f t="shared" si="15"/>
        <v>10</v>
      </c>
      <c r="E230" s="11">
        <f>VLOOKUP(B230,'Material Rate'!A$1:C148,3,FALSE)</f>
        <v>28000</v>
      </c>
      <c r="F230" s="23" t="str">
        <f t="shared" si="13"/>
        <v>No</v>
      </c>
      <c r="G230" s="9">
        <f t="shared" si="14"/>
        <v>280000</v>
      </c>
      <c r="H230" s="19"/>
      <c r="I230" s="15"/>
    </row>
    <row r="231" spans="1:9">
      <c r="A231" s="8">
        <v>62</v>
      </c>
      <c r="B231" s="54" t="s">
        <v>891</v>
      </c>
      <c r="C231" s="39" t="s">
        <v>892</v>
      </c>
      <c r="D231" s="33">
        <f t="shared" si="15"/>
        <v>1</v>
      </c>
      <c r="E231" s="11">
        <f>VLOOKUP(B231,'Material Rate'!A$1:C149,3,FALSE)</f>
        <v>27000</v>
      </c>
      <c r="F231" s="23" t="str">
        <f t="shared" si="13"/>
        <v>Pkt</v>
      </c>
      <c r="G231" s="9">
        <f t="shared" si="14"/>
        <v>27000</v>
      </c>
      <c r="H231" s="19"/>
      <c r="I231" s="15"/>
    </row>
    <row r="232" spans="1:9">
      <c r="A232" s="8"/>
      <c r="B232" s="12"/>
      <c r="C232" s="21"/>
      <c r="D232" s="33"/>
      <c r="E232" s="11"/>
      <c r="F232" s="23"/>
      <c r="G232" s="9"/>
      <c r="H232" s="19"/>
      <c r="I232" s="15"/>
    </row>
    <row r="233" spans="1:9" ht="13">
      <c r="A233" s="420"/>
      <c r="B233" s="512" t="s">
        <v>681</v>
      </c>
      <c r="C233" s="513"/>
      <c r="D233" s="513"/>
      <c r="E233" s="513"/>
      <c r="F233" s="514"/>
      <c r="G233" s="421">
        <f>SUM(G175:G232)</f>
        <v>61793438</v>
      </c>
      <c r="H233" s="19"/>
    </row>
    <row r="234" spans="1:9" ht="13">
      <c r="A234" s="8"/>
      <c r="B234" s="418" t="s">
        <v>22</v>
      </c>
      <c r="C234" s="419"/>
      <c r="D234" s="24"/>
      <c r="E234" s="115"/>
      <c r="F234" s="37"/>
      <c r="G234" s="14"/>
      <c r="H234" s="19"/>
    </row>
    <row r="235" spans="1:9">
      <c r="A235" s="4">
        <v>1</v>
      </c>
      <c r="B235" s="12" t="s">
        <v>394</v>
      </c>
      <c r="C235" s="8" t="s">
        <v>2</v>
      </c>
      <c r="D235" s="33">
        <f t="shared" ref="D235:D245" si="16">SUMIF($B$7:$B$168,B235,$D$7:$D$168)</f>
        <v>18.2</v>
      </c>
      <c r="E235" s="11">
        <f>VLOOKUP(B235,'Material Rate'!A93:C100,3,FALSE)</f>
        <v>25000</v>
      </c>
      <c r="F235" s="8" t="str">
        <f>C235</f>
        <v>No</v>
      </c>
      <c r="G235" s="9">
        <f>D235*E235</f>
        <v>455000</v>
      </c>
      <c r="H235" s="19"/>
      <c r="I235" s="15"/>
    </row>
    <row r="236" spans="1:9">
      <c r="A236" s="8">
        <v>2</v>
      </c>
      <c r="B236" s="12" t="s">
        <v>396</v>
      </c>
      <c r="C236" s="8" t="s">
        <v>2</v>
      </c>
      <c r="D236" s="33">
        <f t="shared" si="16"/>
        <v>6</v>
      </c>
      <c r="E236" s="11">
        <f>VLOOKUP(B236,'Material Rate'!A94:C114,3,FALSE)</f>
        <v>25000</v>
      </c>
      <c r="F236" s="8" t="str">
        <f>C236</f>
        <v>No</v>
      </c>
      <c r="G236" s="9">
        <f>D236*E236</f>
        <v>150000</v>
      </c>
      <c r="H236" s="19"/>
      <c r="I236" s="15"/>
    </row>
    <row r="237" spans="1:9">
      <c r="A237" s="4">
        <v>3</v>
      </c>
      <c r="B237" s="12" t="s">
        <v>390</v>
      </c>
      <c r="C237" s="8" t="s">
        <v>2</v>
      </c>
      <c r="D237" s="33">
        <f t="shared" si="16"/>
        <v>61.44</v>
      </c>
      <c r="E237" s="11">
        <f>VLOOKUP(B237,'Material Rate'!A95:C115,3,FALSE)</f>
        <v>20000</v>
      </c>
      <c r="F237" s="8" t="str">
        <f>C237</f>
        <v>No</v>
      </c>
      <c r="G237" s="9">
        <f>D237*E237</f>
        <v>1228800</v>
      </c>
      <c r="H237" s="19"/>
      <c r="I237" s="15"/>
    </row>
    <row r="238" spans="1:9">
      <c r="A238" s="8">
        <v>4</v>
      </c>
      <c r="B238" s="12" t="s">
        <v>395</v>
      </c>
      <c r="C238" s="8" t="s">
        <v>2</v>
      </c>
      <c r="D238" s="33">
        <f t="shared" si="16"/>
        <v>1.83</v>
      </c>
      <c r="E238" s="11">
        <f>VLOOKUP(B238,'Material Rate'!A96:C116,3,FALSE)</f>
        <v>25000</v>
      </c>
      <c r="F238" s="8" t="str">
        <f>C238</f>
        <v>No</v>
      </c>
      <c r="G238" s="9">
        <f>D238*E238</f>
        <v>45750</v>
      </c>
      <c r="H238" s="19"/>
      <c r="I238" s="15"/>
    </row>
    <row r="239" spans="1:9">
      <c r="A239" s="4">
        <v>5</v>
      </c>
      <c r="B239" s="12" t="s">
        <v>841</v>
      </c>
      <c r="C239" s="8" t="s">
        <v>21</v>
      </c>
      <c r="D239" s="33">
        <f t="shared" si="16"/>
        <v>2223.4499999999998</v>
      </c>
      <c r="E239" s="11">
        <f>VLOOKUP(B239,'Material Rate'!A98:C118,3,FALSE)</f>
        <v>1000</v>
      </c>
      <c r="F239" s="8" t="str">
        <f t="shared" ref="F239:F245" si="17">C239</f>
        <v>Fs</v>
      </c>
      <c r="G239" s="9">
        <f t="shared" ref="G239:G245" si="18">D239*E239</f>
        <v>2223450</v>
      </c>
      <c r="H239" s="19"/>
      <c r="I239" s="15"/>
    </row>
    <row r="240" spans="1:9">
      <c r="A240" s="8">
        <v>6</v>
      </c>
      <c r="B240" s="12" t="s">
        <v>856</v>
      </c>
      <c r="C240" s="8" t="s">
        <v>21</v>
      </c>
      <c r="D240" s="33">
        <f t="shared" si="16"/>
        <v>11266.94</v>
      </c>
      <c r="E240" s="11">
        <f>VLOOKUP(B240,'Material Rate'!A99:C119,3,FALSE)</f>
        <v>400</v>
      </c>
      <c r="F240" s="8" t="str">
        <f t="shared" si="17"/>
        <v>Fs</v>
      </c>
      <c r="G240" s="9">
        <f t="shared" si="18"/>
        <v>4506776</v>
      </c>
      <c r="H240" s="19"/>
      <c r="I240" s="15"/>
    </row>
    <row r="241" spans="1:9">
      <c r="A241" s="4">
        <v>7</v>
      </c>
      <c r="B241" s="12" t="s">
        <v>861</v>
      </c>
      <c r="C241" s="8" t="s">
        <v>21</v>
      </c>
      <c r="D241" s="33">
        <f t="shared" si="16"/>
        <v>963.98</v>
      </c>
      <c r="E241" s="11">
        <f>VLOOKUP(B241,'Material Rate'!A100:C120,3,FALSE)</f>
        <v>600</v>
      </c>
      <c r="F241" s="8" t="str">
        <f t="shared" si="17"/>
        <v>Fs</v>
      </c>
      <c r="G241" s="9">
        <f t="shared" si="18"/>
        <v>578388</v>
      </c>
      <c r="H241" s="19"/>
      <c r="I241" s="15"/>
    </row>
    <row r="242" spans="1:9">
      <c r="A242" s="8">
        <v>8</v>
      </c>
      <c r="B242" s="12" t="s">
        <v>872</v>
      </c>
      <c r="C242" s="8" t="s">
        <v>21</v>
      </c>
      <c r="D242" s="33">
        <f t="shared" si="16"/>
        <v>273</v>
      </c>
      <c r="E242" s="11">
        <f>VLOOKUP(B242,'Material Rate'!A101:C121,3,FALSE)</f>
        <v>2500</v>
      </c>
      <c r="F242" s="8" t="str">
        <f t="shared" si="17"/>
        <v>Fs</v>
      </c>
      <c r="G242" s="9">
        <f t="shared" si="18"/>
        <v>682500</v>
      </c>
      <c r="H242" s="19"/>
      <c r="I242" s="15"/>
    </row>
    <row r="243" spans="1:9">
      <c r="A243" s="4">
        <v>9</v>
      </c>
      <c r="B243" s="12" t="s">
        <v>878</v>
      </c>
      <c r="C243" s="8" t="s">
        <v>21</v>
      </c>
      <c r="D243" s="33">
        <f t="shared" si="16"/>
        <v>1366.2</v>
      </c>
      <c r="E243" s="11">
        <f>VLOOKUP(B243,'Material Rate'!A102:C122,3,FALSE)</f>
        <v>850</v>
      </c>
      <c r="F243" s="8" t="str">
        <f t="shared" si="17"/>
        <v>Fs</v>
      </c>
      <c r="G243" s="9">
        <f t="shared" si="18"/>
        <v>1161270</v>
      </c>
      <c r="H243" s="19"/>
      <c r="I243" s="15"/>
    </row>
    <row r="244" spans="1:9">
      <c r="A244" s="8">
        <v>10</v>
      </c>
      <c r="B244" s="54" t="s">
        <v>880</v>
      </c>
      <c r="C244" s="39" t="s">
        <v>12</v>
      </c>
      <c r="D244" s="33">
        <f t="shared" si="16"/>
        <v>8.86</v>
      </c>
      <c r="E244" s="11">
        <f>VLOOKUP(B244,'Material Rate'!A103:C123,3,FALSE)</f>
        <v>150000</v>
      </c>
      <c r="F244" s="8" t="str">
        <f t="shared" si="17"/>
        <v>%Fs</v>
      </c>
      <c r="G244" s="9">
        <f t="shared" si="18"/>
        <v>1329000</v>
      </c>
      <c r="H244" s="19"/>
      <c r="I244" s="15"/>
    </row>
    <row r="245" spans="1:9">
      <c r="A245" s="4">
        <v>11</v>
      </c>
      <c r="B245" s="54" t="s">
        <v>893</v>
      </c>
      <c r="C245" s="40" t="str">
        <f>C239</f>
        <v>Fs</v>
      </c>
      <c r="D245" s="33">
        <f t="shared" si="16"/>
        <v>86</v>
      </c>
      <c r="E245" s="11">
        <f>VLOOKUP(B245,'Material Rate'!A104:C124,3,FALSE)</f>
        <v>3000</v>
      </c>
      <c r="F245" s="8" t="str">
        <f t="shared" si="17"/>
        <v>Fs</v>
      </c>
      <c r="G245" s="9">
        <f t="shared" si="18"/>
        <v>258000</v>
      </c>
      <c r="H245" s="19"/>
      <c r="I245" s="15"/>
    </row>
    <row r="246" spans="1:9">
      <c r="A246" s="149"/>
      <c r="B246" s="48"/>
      <c r="C246" s="39"/>
      <c r="D246" s="36"/>
      <c r="E246" s="116"/>
      <c r="F246" s="39"/>
      <c r="G246" s="20"/>
      <c r="H246" s="19"/>
      <c r="I246" s="15"/>
    </row>
    <row r="247" spans="1:9">
      <c r="A247" s="22"/>
      <c r="B247" s="432"/>
      <c r="C247" s="433"/>
      <c r="D247" s="35"/>
      <c r="E247" s="114"/>
      <c r="F247" s="22"/>
      <c r="G247" s="433"/>
      <c r="H247" s="19"/>
      <c r="I247" s="15"/>
    </row>
    <row r="248" spans="1:9" ht="13">
      <c r="A248" s="422"/>
      <c r="B248" s="512" t="s">
        <v>682</v>
      </c>
      <c r="C248" s="513"/>
      <c r="D248" s="513"/>
      <c r="E248" s="513"/>
      <c r="F248" s="514"/>
      <c r="G248" s="423">
        <f>SUM(G235:G247)</f>
        <v>12618934</v>
      </c>
    </row>
    <row r="249" spans="1:9" ht="13">
      <c r="A249" s="422"/>
      <c r="B249" s="515" t="s">
        <v>49</v>
      </c>
      <c r="C249" s="515"/>
      <c r="D249" s="515"/>
      <c r="E249" s="515"/>
      <c r="F249" s="515"/>
      <c r="G249" s="423">
        <f>G248+G233</f>
        <v>74412372</v>
      </c>
    </row>
  </sheetData>
  <autoFilter ref="A4:G169" xr:uid="{3B336100-FAF3-4E89-8022-CA877F320F7A}"/>
  <mergeCells count="29">
    <mergeCell ref="B233:F233"/>
    <mergeCell ref="B248:F248"/>
    <mergeCell ref="B249:F249"/>
    <mergeCell ref="A2:G2"/>
    <mergeCell ref="A169:F169"/>
    <mergeCell ref="A172:G172"/>
    <mergeCell ref="A173:A174"/>
    <mergeCell ref="B173:B174"/>
    <mergeCell ref="C173:C174"/>
    <mergeCell ref="D173:D174"/>
    <mergeCell ref="E173:E174"/>
    <mergeCell ref="F173:F174"/>
    <mergeCell ref="G173:G174"/>
    <mergeCell ref="G4:G5"/>
    <mergeCell ref="H4:H5"/>
    <mergeCell ref="D4:D5"/>
    <mergeCell ref="E4:E5"/>
    <mergeCell ref="F4:F5"/>
    <mergeCell ref="H173:H174"/>
    <mergeCell ref="I4:I5"/>
    <mergeCell ref="J4:J5"/>
    <mergeCell ref="K4:K5"/>
    <mergeCell ref="L4:M4"/>
    <mergeCell ref="A1:G1"/>
    <mergeCell ref="A3:G3"/>
    <mergeCell ref="H3:M3"/>
    <mergeCell ref="A4:A5"/>
    <mergeCell ref="B4:B5"/>
    <mergeCell ref="C4:C5"/>
  </mergeCells>
  <pageMargins left="0.7" right="0.7" top="0.75" bottom="0.75" header="0.3" footer="0.3"/>
  <pageSetup paperSize="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F0333-549D-424A-83E4-CFDED6BEDACD}">
  <sheetPr codeName="Sheet10">
    <tabColor rgb="FF00B050"/>
  </sheetPr>
  <dimension ref="A1:L311"/>
  <sheetViews>
    <sheetView topLeftCell="A289" zoomScale="140" zoomScaleNormal="140" workbookViewId="0">
      <selection activeCell="B10" sqref="B10"/>
    </sheetView>
  </sheetViews>
  <sheetFormatPr defaultRowHeight="12.5"/>
  <cols>
    <col min="1" max="1" width="4.7265625" bestFit="1" customWidth="1"/>
    <col min="2" max="2" width="38.1796875" customWidth="1"/>
    <col min="3" max="3" width="7" bestFit="1" customWidth="1"/>
    <col min="4" max="4" width="9.54296875" bestFit="1" customWidth="1"/>
    <col min="8" max="8" width="11" bestFit="1" customWidth="1"/>
    <col min="9" max="9" width="9.54296875" bestFit="1" customWidth="1"/>
    <col min="10" max="10" width="5.7265625" bestFit="1" customWidth="1"/>
    <col min="11" max="11" width="10" bestFit="1" customWidth="1"/>
    <col min="12" max="12" width="13.81640625" bestFit="1" customWidth="1"/>
  </cols>
  <sheetData>
    <row r="1" spans="1:10" ht="14">
      <c r="A1" s="516" t="s">
        <v>646</v>
      </c>
      <c r="B1" s="516"/>
      <c r="C1" s="516"/>
      <c r="D1" s="516"/>
      <c r="E1" s="516"/>
      <c r="F1" s="516"/>
      <c r="G1" s="516"/>
      <c r="H1" s="516"/>
      <c r="I1" s="516"/>
      <c r="J1" s="516"/>
    </row>
    <row r="2" spans="1:10" ht="14">
      <c r="A2" s="516" t="s">
        <v>500</v>
      </c>
      <c r="B2" s="516"/>
      <c r="C2" s="516"/>
      <c r="D2" s="516"/>
      <c r="E2" s="516"/>
      <c r="F2" s="516"/>
      <c r="G2" s="516"/>
      <c r="H2" s="516"/>
      <c r="I2" s="516"/>
      <c r="J2" s="516"/>
    </row>
    <row r="3" spans="1:10" ht="14">
      <c r="A3" s="516" t="s">
        <v>722</v>
      </c>
      <c r="B3" s="516"/>
      <c r="C3" s="516"/>
      <c r="D3" s="516"/>
      <c r="E3" s="516"/>
      <c r="F3" s="516"/>
      <c r="G3" s="516"/>
      <c r="H3" s="516"/>
      <c r="I3" s="516"/>
      <c r="J3" s="516"/>
    </row>
    <row r="4" spans="1:10" ht="14">
      <c r="A4" s="524" t="s">
        <v>23</v>
      </c>
      <c r="B4" s="524"/>
      <c r="C4" s="524"/>
      <c r="D4" s="524"/>
      <c r="E4" s="524"/>
      <c r="F4" s="524"/>
      <c r="G4" s="524"/>
      <c r="H4" s="524"/>
      <c r="I4" s="524"/>
      <c r="J4" s="524"/>
    </row>
    <row r="5" spans="1:10">
      <c r="A5" s="521" t="s">
        <v>0</v>
      </c>
      <c r="B5" s="522" t="s">
        <v>1</v>
      </c>
      <c r="C5" s="519" t="s">
        <v>30</v>
      </c>
      <c r="D5" s="520" t="s">
        <v>24</v>
      </c>
      <c r="E5" s="520"/>
      <c r="F5" s="520"/>
      <c r="G5" s="520" t="s">
        <v>25</v>
      </c>
      <c r="H5" s="520" t="s">
        <v>6</v>
      </c>
      <c r="I5" s="525" t="s">
        <v>50</v>
      </c>
      <c r="J5" s="520" t="s">
        <v>16</v>
      </c>
    </row>
    <row r="6" spans="1:10">
      <c r="A6" s="521"/>
      <c r="B6" s="523"/>
      <c r="C6" s="519"/>
      <c r="D6" s="13" t="s">
        <v>3</v>
      </c>
      <c r="E6" s="13" t="s">
        <v>4</v>
      </c>
      <c r="F6" s="13" t="s">
        <v>5</v>
      </c>
      <c r="G6" s="520"/>
      <c r="H6" s="520"/>
      <c r="I6" s="526"/>
      <c r="J6" s="520"/>
    </row>
    <row r="7" spans="1:10">
      <c r="A7" s="300">
        <v>1</v>
      </c>
      <c r="B7" s="138" t="s">
        <v>723</v>
      </c>
      <c r="C7" s="68"/>
      <c r="D7" s="69"/>
      <c r="E7" s="69"/>
      <c r="F7" s="69"/>
      <c r="G7" s="69"/>
      <c r="H7" s="69"/>
      <c r="I7" s="69"/>
      <c r="J7" s="70"/>
    </row>
    <row r="8" spans="1:10">
      <c r="A8" s="300"/>
      <c r="B8" s="138" t="s">
        <v>772</v>
      </c>
      <c r="C8" s="68"/>
      <c r="D8" s="69"/>
      <c r="E8" s="69"/>
      <c r="F8" s="69"/>
      <c r="G8" s="69"/>
      <c r="H8" s="69"/>
      <c r="I8" s="69"/>
      <c r="J8" s="70"/>
    </row>
    <row r="9" spans="1:10">
      <c r="A9" s="67"/>
      <c r="B9" s="436" t="s">
        <v>835</v>
      </c>
      <c r="C9" s="68"/>
      <c r="D9" s="69"/>
      <c r="E9" s="69"/>
      <c r="F9" s="69"/>
      <c r="G9" s="69"/>
      <c r="H9" s="69"/>
      <c r="I9" s="69"/>
      <c r="J9" s="70"/>
    </row>
    <row r="10" spans="1:10">
      <c r="A10" s="67"/>
      <c r="B10" s="76" t="s">
        <v>73</v>
      </c>
      <c r="C10" s="68">
        <v>1</v>
      </c>
      <c r="D10" s="69">
        <v>25</v>
      </c>
      <c r="E10" s="69">
        <v>35</v>
      </c>
      <c r="F10" s="69"/>
      <c r="G10" s="69"/>
      <c r="H10" s="69">
        <f>C10*D10*E10</f>
        <v>875</v>
      </c>
      <c r="I10" s="69"/>
      <c r="J10" s="70" t="s">
        <v>21</v>
      </c>
    </row>
    <row r="11" spans="1:10">
      <c r="A11" s="67"/>
      <c r="B11" s="76"/>
      <c r="C11" s="68">
        <v>1</v>
      </c>
      <c r="D11" s="69">
        <v>3</v>
      </c>
      <c r="E11" s="69">
        <v>16</v>
      </c>
      <c r="F11" s="69"/>
      <c r="G11" s="69"/>
      <c r="H11" s="69">
        <f>C11*D11*E11</f>
        <v>48</v>
      </c>
      <c r="I11" s="69"/>
      <c r="J11" s="70" t="s">
        <v>21</v>
      </c>
    </row>
    <row r="12" spans="1:10">
      <c r="A12" s="67"/>
      <c r="B12" s="67" t="s">
        <v>25</v>
      </c>
      <c r="C12" s="68"/>
      <c r="D12" s="69"/>
      <c r="E12" s="69"/>
      <c r="F12" s="69"/>
      <c r="G12" s="69"/>
      <c r="H12" s="69"/>
      <c r="I12" s="69"/>
      <c r="J12" s="70"/>
    </row>
    <row r="13" spans="1:10">
      <c r="A13" s="67"/>
      <c r="B13" s="67" t="s">
        <v>724</v>
      </c>
      <c r="C13" s="68">
        <v>1</v>
      </c>
      <c r="D13" s="69">
        <v>8</v>
      </c>
      <c r="E13" s="69">
        <v>5.5</v>
      </c>
      <c r="F13" s="69"/>
      <c r="G13" s="69">
        <f>C13*D13*E13</f>
        <v>44</v>
      </c>
      <c r="H13" s="69"/>
      <c r="I13" s="69"/>
      <c r="J13" s="70" t="s">
        <v>21</v>
      </c>
    </row>
    <row r="14" spans="1:10">
      <c r="A14" s="67"/>
      <c r="B14" s="67" t="s">
        <v>725</v>
      </c>
      <c r="C14" s="68">
        <v>1</v>
      </c>
      <c r="D14" s="69">
        <v>11.5</v>
      </c>
      <c r="E14" s="69">
        <v>9.5</v>
      </c>
      <c r="F14" s="69"/>
      <c r="G14" s="69">
        <f>C14*D14*E14</f>
        <v>109.25</v>
      </c>
      <c r="H14" s="69"/>
      <c r="I14" s="69"/>
      <c r="J14" s="70" t="s">
        <v>21</v>
      </c>
    </row>
    <row r="15" spans="1:10">
      <c r="A15" s="67"/>
      <c r="B15" s="94" t="s">
        <v>137</v>
      </c>
      <c r="C15" s="68">
        <v>1</v>
      </c>
      <c r="D15" s="69">
        <v>25</v>
      </c>
      <c r="E15" s="69">
        <v>35</v>
      </c>
      <c r="F15" s="69"/>
      <c r="G15" s="69"/>
      <c r="H15" s="69">
        <f>C15*D15*E15</f>
        <v>875</v>
      </c>
      <c r="I15" s="69"/>
      <c r="J15" s="70" t="s">
        <v>21</v>
      </c>
    </row>
    <row r="16" spans="1:10">
      <c r="A16" s="67"/>
      <c r="B16" s="67" t="s">
        <v>25</v>
      </c>
      <c r="C16" s="68"/>
      <c r="D16" s="69"/>
      <c r="E16" s="69"/>
      <c r="F16" s="69"/>
      <c r="G16" s="69"/>
      <c r="H16" s="69"/>
      <c r="I16" s="69"/>
      <c r="J16" s="70"/>
    </row>
    <row r="17" spans="1:10">
      <c r="A17" s="67"/>
      <c r="B17" s="67" t="s">
        <v>724</v>
      </c>
      <c r="C17" s="68">
        <v>1</v>
      </c>
      <c r="D17" s="69">
        <v>16</v>
      </c>
      <c r="E17" s="69">
        <v>5</v>
      </c>
      <c r="F17" s="69"/>
      <c r="G17" s="69">
        <f>C17*D17*E17</f>
        <v>80</v>
      </c>
      <c r="H17" s="69"/>
      <c r="I17" s="69"/>
      <c r="J17" s="70" t="s">
        <v>21</v>
      </c>
    </row>
    <row r="18" spans="1:10">
      <c r="A18" s="67"/>
      <c r="B18" s="94"/>
      <c r="C18" s="68"/>
      <c r="D18" s="69"/>
      <c r="E18" s="69"/>
      <c r="F18" s="69"/>
      <c r="G18" s="69">
        <f>SUM(G10:G17)</f>
        <v>233.25</v>
      </c>
      <c r="H18" s="69">
        <f>SUM(H10:H17)</f>
        <v>1798</v>
      </c>
      <c r="I18" s="69">
        <f>H18-G18</f>
        <v>1564.75</v>
      </c>
      <c r="J18" s="70" t="s">
        <v>21</v>
      </c>
    </row>
    <row r="19" spans="1:10">
      <c r="A19" s="67"/>
      <c r="B19" s="94"/>
      <c r="C19" s="68"/>
      <c r="D19" s="69"/>
      <c r="E19" s="69"/>
      <c r="F19" s="69"/>
      <c r="G19" s="69"/>
      <c r="H19" s="69"/>
      <c r="I19" s="69"/>
      <c r="J19" s="70"/>
    </row>
    <row r="20" spans="1:10">
      <c r="A20" s="67"/>
      <c r="B20" s="443" t="s">
        <v>833</v>
      </c>
      <c r="C20" s="68"/>
      <c r="D20" s="69"/>
      <c r="E20" s="69"/>
      <c r="F20" s="69"/>
      <c r="G20" s="69"/>
      <c r="H20" s="69"/>
      <c r="I20" s="69"/>
      <c r="J20" s="70"/>
    </row>
    <row r="21" spans="1:10">
      <c r="A21" s="67"/>
      <c r="B21" s="74" t="s">
        <v>732</v>
      </c>
      <c r="C21" s="68">
        <v>1</v>
      </c>
      <c r="D21" s="69">
        <v>8</v>
      </c>
      <c r="E21" s="69">
        <v>5.5</v>
      </c>
      <c r="F21" s="69"/>
      <c r="G21" s="69"/>
      <c r="H21" s="69">
        <f>C21*D21*E21</f>
        <v>44</v>
      </c>
      <c r="I21" s="69"/>
      <c r="J21" s="70" t="s">
        <v>21</v>
      </c>
    </row>
    <row r="22" spans="1:10">
      <c r="A22" s="67"/>
      <c r="B22" s="74" t="s">
        <v>733</v>
      </c>
      <c r="C22" s="68">
        <v>1</v>
      </c>
      <c r="D22" s="69">
        <v>16</v>
      </c>
      <c r="E22" s="69">
        <v>5</v>
      </c>
      <c r="F22" s="69"/>
      <c r="G22" s="69"/>
      <c r="H22" s="69">
        <f>C22*D22*E22</f>
        <v>80</v>
      </c>
      <c r="I22" s="69"/>
      <c r="J22" s="70" t="s">
        <v>21</v>
      </c>
    </row>
    <row r="23" spans="1:10">
      <c r="A23" s="67"/>
      <c r="B23" s="74" t="s">
        <v>771</v>
      </c>
      <c r="C23" s="68"/>
      <c r="D23" s="69"/>
      <c r="E23" s="69"/>
      <c r="F23" s="69"/>
      <c r="G23" s="69"/>
      <c r="H23" s="69"/>
      <c r="I23" s="69"/>
      <c r="J23" s="70" t="s">
        <v>21</v>
      </c>
    </row>
    <row r="24" spans="1:10">
      <c r="A24" s="67"/>
      <c r="B24" s="94"/>
      <c r="C24" s="68"/>
      <c r="D24" s="69"/>
      <c r="E24" s="69"/>
      <c r="F24" s="69"/>
      <c r="G24" s="69"/>
      <c r="H24" s="69"/>
      <c r="I24" s="69">
        <f>SUM(H21:H24)</f>
        <v>124</v>
      </c>
      <c r="J24" s="70" t="s">
        <v>21</v>
      </c>
    </row>
    <row r="25" spans="1:10">
      <c r="A25" s="67"/>
      <c r="B25" s="94"/>
      <c r="C25" s="68"/>
      <c r="D25" s="69"/>
      <c r="E25" s="69"/>
      <c r="F25" s="69"/>
      <c r="G25" s="69"/>
      <c r="H25" s="69"/>
      <c r="I25" s="69"/>
      <c r="J25" s="70"/>
    </row>
    <row r="26" spans="1:10">
      <c r="A26" s="67"/>
      <c r="B26" s="443" t="s">
        <v>834</v>
      </c>
      <c r="C26" s="68"/>
      <c r="D26" s="69"/>
      <c r="E26" s="69"/>
      <c r="F26" s="69"/>
      <c r="G26" s="69"/>
      <c r="H26" s="69"/>
      <c r="I26" s="69"/>
      <c r="J26" s="70"/>
    </row>
    <row r="27" spans="1:10">
      <c r="A27" s="67"/>
      <c r="B27" s="94" t="s">
        <v>774</v>
      </c>
      <c r="C27" s="68">
        <v>2</v>
      </c>
      <c r="D27" s="69">
        <v>5.33</v>
      </c>
      <c r="E27" s="69"/>
      <c r="F27" s="69">
        <v>0.67</v>
      </c>
      <c r="G27" s="69"/>
      <c r="H27" s="69">
        <f>C27*D27*F27</f>
        <v>7.14</v>
      </c>
      <c r="I27" s="69"/>
      <c r="J27" s="70" t="s">
        <v>21</v>
      </c>
    </row>
    <row r="28" spans="1:10">
      <c r="A28" s="67"/>
      <c r="B28" s="94" t="s">
        <v>773</v>
      </c>
      <c r="C28" s="68">
        <v>2</v>
      </c>
      <c r="D28" s="69">
        <v>5.33</v>
      </c>
      <c r="E28" s="69"/>
      <c r="F28" s="69">
        <v>1</v>
      </c>
      <c r="G28" s="69"/>
      <c r="H28" s="69">
        <f t="shared" ref="H28:H39" si="0">C28*D28*F28</f>
        <v>10.66</v>
      </c>
      <c r="I28" s="69"/>
      <c r="J28" s="70" t="s">
        <v>21</v>
      </c>
    </row>
    <row r="29" spans="1:10">
      <c r="A29" s="67"/>
      <c r="B29" s="94" t="s">
        <v>777</v>
      </c>
      <c r="C29" s="68">
        <v>2</v>
      </c>
      <c r="D29" s="69">
        <v>8.67</v>
      </c>
      <c r="E29" s="69"/>
      <c r="F29" s="69">
        <v>0.67</v>
      </c>
      <c r="G29" s="69"/>
      <c r="H29" s="69">
        <f t="shared" si="0"/>
        <v>11.62</v>
      </c>
      <c r="I29" s="69"/>
      <c r="J29" s="70" t="s">
        <v>21</v>
      </c>
    </row>
    <row r="30" spans="1:10">
      <c r="A30" s="67"/>
      <c r="B30" s="94" t="s">
        <v>778</v>
      </c>
      <c r="C30" s="68">
        <v>2</v>
      </c>
      <c r="D30" s="69">
        <v>8.67</v>
      </c>
      <c r="E30" s="69"/>
      <c r="F30" s="69">
        <v>1</v>
      </c>
      <c r="G30" s="69"/>
      <c r="H30" s="69">
        <f t="shared" si="0"/>
        <v>17.34</v>
      </c>
      <c r="I30" s="69"/>
      <c r="J30" s="70" t="s">
        <v>21</v>
      </c>
    </row>
    <row r="31" spans="1:10">
      <c r="A31" s="67"/>
      <c r="B31" s="94" t="s">
        <v>779</v>
      </c>
      <c r="C31" s="68">
        <v>2</v>
      </c>
      <c r="D31" s="69">
        <v>3.5</v>
      </c>
      <c r="E31" s="69"/>
      <c r="F31" s="69">
        <v>2.5</v>
      </c>
      <c r="G31" s="69"/>
      <c r="H31" s="69">
        <f t="shared" si="0"/>
        <v>17.5</v>
      </c>
      <c r="I31" s="69"/>
      <c r="J31" s="70" t="s">
        <v>21</v>
      </c>
    </row>
    <row r="32" spans="1:10">
      <c r="A32" s="67"/>
      <c r="B32" s="94" t="s">
        <v>775</v>
      </c>
      <c r="C32" s="68">
        <v>2</v>
      </c>
      <c r="D32" s="69">
        <v>18</v>
      </c>
      <c r="E32" s="69"/>
      <c r="F32" s="69">
        <v>0.67</v>
      </c>
      <c r="G32" s="69"/>
      <c r="H32" s="69">
        <f t="shared" si="0"/>
        <v>24.12</v>
      </c>
      <c r="I32" s="69"/>
      <c r="J32" s="70" t="s">
        <v>21</v>
      </c>
    </row>
    <row r="33" spans="1:12">
      <c r="A33" s="67"/>
      <c r="B33" s="94" t="s">
        <v>776</v>
      </c>
      <c r="C33" s="68">
        <v>2</v>
      </c>
      <c r="D33" s="69">
        <v>18</v>
      </c>
      <c r="E33" s="69"/>
      <c r="F33" s="69">
        <v>2</v>
      </c>
      <c r="G33" s="69"/>
      <c r="H33" s="69">
        <f t="shared" si="0"/>
        <v>72</v>
      </c>
      <c r="I33" s="69"/>
      <c r="J33" s="70" t="s">
        <v>21</v>
      </c>
    </row>
    <row r="34" spans="1:12">
      <c r="A34" s="67"/>
      <c r="B34" s="94" t="s">
        <v>780</v>
      </c>
      <c r="C34" s="68">
        <v>1</v>
      </c>
      <c r="D34" s="69">
        <v>17.829999999999998</v>
      </c>
      <c r="E34" s="69"/>
      <c r="F34" s="69">
        <f>1.33+1</f>
        <v>2.33</v>
      </c>
      <c r="G34" s="69"/>
      <c r="H34" s="69">
        <f t="shared" si="0"/>
        <v>41.54</v>
      </c>
      <c r="I34" s="69"/>
      <c r="J34" s="70" t="s">
        <v>21</v>
      </c>
    </row>
    <row r="35" spans="1:12">
      <c r="A35" s="67"/>
      <c r="B35" s="94" t="s">
        <v>780</v>
      </c>
      <c r="C35" s="68">
        <v>2</v>
      </c>
      <c r="D35" s="69">
        <v>16.5</v>
      </c>
      <c r="E35" s="69"/>
      <c r="F35" s="69">
        <f>1+2</f>
        <v>3</v>
      </c>
      <c r="G35" s="69"/>
      <c r="H35" s="69">
        <f t="shared" si="0"/>
        <v>99</v>
      </c>
      <c r="I35" s="69"/>
      <c r="J35" s="70" t="s">
        <v>21</v>
      </c>
    </row>
    <row r="36" spans="1:12">
      <c r="A36" s="67"/>
      <c r="B36" s="94" t="s">
        <v>781</v>
      </c>
      <c r="C36" s="68">
        <v>1</v>
      </c>
      <c r="D36" s="69">
        <v>25</v>
      </c>
      <c r="E36" s="69"/>
      <c r="F36" s="69">
        <f>0.83+2.17</f>
        <v>3</v>
      </c>
      <c r="G36" s="69"/>
      <c r="H36" s="69">
        <f t="shared" si="0"/>
        <v>75</v>
      </c>
      <c r="I36" s="69"/>
      <c r="J36" s="70" t="s">
        <v>21</v>
      </c>
    </row>
    <row r="37" spans="1:12">
      <c r="A37" s="67"/>
      <c r="B37" s="94" t="s">
        <v>782</v>
      </c>
      <c r="C37" s="68">
        <v>1</v>
      </c>
      <c r="D37" s="69">
        <v>17.829999999999998</v>
      </c>
      <c r="E37" s="69"/>
      <c r="F37" s="69">
        <f>1.33+1</f>
        <v>2.33</v>
      </c>
      <c r="G37" s="69"/>
      <c r="H37" s="69">
        <f t="shared" si="0"/>
        <v>41.54</v>
      </c>
      <c r="I37" s="69"/>
      <c r="J37" s="70" t="s">
        <v>21</v>
      </c>
    </row>
    <row r="38" spans="1:12">
      <c r="A38" s="67"/>
      <c r="B38" s="94" t="s">
        <v>782</v>
      </c>
      <c r="C38" s="68">
        <v>2</v>
      </c>
      <c r="D38" s="69">
        <v>16.5</v>
      </c>
      <c r="E38" s="69"/>
      <c r="F38" s="69">
        <f>1+2</f>
        <v>3</v>
      </c>
      <c r="G38" s="69"/>
      <c r="H38" s="69">
        <f t="shared" si="0"/>
        <v>99</v>
      </c>
      <c r="I38" s="69"/>
      <c r="J38" s="70" t="s">
        <v>21</v>
      </c>
    </row>
    <row r="39" spans="1:12">
      <c r="A39" s="67"/>
      <c r="B39" s="94" t="s">
        <v>782</v>
      </c>
      <c r="C39" s="68">
        <v>2</v>
      </c>
      <c r="D39" s="69">
        <v>6.08</v>
      </c>
      <c r="E39" s="69"/>
      <c r="F39" s="69">
        <v>1.5</v>
      </c>
      <c r="G39" s="69"/>
      <c r="H39" s="69">
        <f t="shared" si="0"/>
        <v>18.239999999999998</v>
      </c>
      <c r="I39" s="69"/>
      <c r="J39" s="70" t="s">
        <v>21</v>
      </c>
    </row>
    <row r="40" spans="1:12">
      <c r="A40" s="67"/>
      <c r="B40" s="94"/>
      <c r="C40" s="68"/>
      <c r="D40" s="69"/>
      <c r="E40" s="69"/>
      <c r="F40" s="69"/>
      <c r="G40" s="69"/>
      <c r="H40" s="69"/>
      <c r="I40" s="69">
        <f>SUM(H26:H40)</f>
        <v>534.70000000000005</v>
      </c>
      <c r="J40" s="70" t="s">
        <v>21</v>
      </c>
    </row>
    <row r="41" spans="1:12">
      <c r="A41" s="67"/>
      <c r="B41" s="94"/>
      <c r="C41" s="68"/>
      <c r="D41" s="69"/>
      <c r="E41" s="69"/>
      <c r="F41" s="69"/>
      <c r="G41" s="69"/>
      <c r="H41" s="69"/>
      <c r="I41" s="69"/>
      <c r="J41" s="70"/>
    </row>
    <row r="42" spans="1:12">
      <c r="A42" s="67"/>
      <c r="B42" s="94" t="s">
        <v>783</v>
      </c>
      <c r="C42" s="68"/>
      <c r="D42" s="69"/>
      <c r="E42" s="69"/>
      <c r="F42" s="69"/>
      <c r="G42" s="69"/>
      <c r="H42" s="69"/>
      <c r="I42" s="69"/>
      <c r="J42" s="70"/>
    </row>
    <row r="43" spans="1:12">
      <c r="A43" s="67"/>
      <c r="B43" s="94" t="s">
        <v>784</v>
      </c>
      <c r="C43" s="68">
        <v>1</v>
      </c>
      <c r="D43" s="69">
        <f>22.5*2+24*2</f>
        <v>93</v>
      </c>
      <c r="E43" s="69"/>
      <c r="F43" s="69"/>
      <c r="G43" s="69"/>
      <c r="H43" s="69">
        <f>C43*D43</f>
        <v>93</v>
      </c>
      <c r="I43" s="69"/>
      <c r="J43" s="70" t="s">
        <v>82</v>
      </c>
    </row>
    <row r="44" spans="1:12">
      <c r="A44" s="67"/>
      <c r="B44" s="94" t="s">
        <v>785</v>
      </c>
      <c r="C44" s="68">
        <v>1</v>
      </c>
      <c r="D44" s="69">
        <f>19.5*2+12.5*2</f>
        <v>64</v>
      </c>
      <c r="E44" s="69"/>
      <c r="F44" s="69"/>
      <c r="G44" s="69"/>
      <c r="H44" s="69">
        <f t="shared" ref="H44:H56" si="1">C44*D44</f>
        <v>64</v>
      </c>
      <c r="I44" s="69"/>
      <c r="J44" s="70" t="s">
        <v>82</v>
      </c>
    </row>
    <row r="45" spans="1:12">
      <c r="A45" s="67"/>
      <c r="B45" s="94" t="s">
        <v>786</v>
      </c>
      <c r="C45" s="68">
        <v>1</v>
      </c>
      <c r="D45" s="69">
        <f>5.5*2+8*2</f>
        <v>27</v>
      </c>
      <c r="E45" s="69"/>
      <c r="F45" s="69"/>
      <c r="G45" s="69"/>
      <c r="H45" s="69">
        <f t="shared" si="1"/>
        <v>27</v>
      </c>
      <c r="I45" s="69"/>
      <c r="J45" s="70" t="s">
        <v>82</v>
      </c>
    </row>
    <row r="46" spans="1:12">
      <c r="A46" s="67"/>
      <c r="B46" s="94" t="s">
        <v>787</v>
      </c>
      <c r="C46" s="68">
        <v>1</v>
      </c>
      <c r="D46" s="69">
        <f>14*2+15*2</f>
        <v>58</v>
      </c>
      <c r="E46" s="69"/>
      <c r="F46" s="69"/>
      <c r="G46" s="69"/>
      <c r="H46" s="69">
        <f t="shared" si="1"/>
        <v>58</v>
      </c>
      <c r="I46" s="69"/>
      <c r="J46" s="70" t="s">
        <v>82</v>
      </c>
      <c r="L46">
        <f>75000/2</f>
        <v>37500</v>
      </c>
    </row>
    <row r="47" spans="1:12">
      <c r="A47" s="67"/>
      <c r="B47" s="94" t="s">
        <v>788</v>
      </c>
      <c r="C47" s="68">
        <v>1</v>
      </c>
      <c r="D47" s="69">
        <f>22.5*2+24*2-9</f>
        <v>84</v>
      </c>
      <c r="E47" s="69"/>
      <c r="F47" s="69"/>
      <c r="G47" s="69"/>
      <c r="H47" s="69">
        <f t="shared" si="1"/>
        <v>84</v>
      </c>
      <c r="I47" s="69"/>
      <c r="J47" s="70" t="s">
        <v>82</v>
      </c>
    </row>
    <row r="48" spans="1:12">
      <c r="A48" s="67"/>
      <c r="B48" s="94" t="s">
        <v>789</v>
      </c>
      <c r="C48" s="68">
        <v>1</v>
      </c>
      <c r="D48" s="69">
        <f>8*2+8*2</f>
        <v>32</v>
      </c>
      <c r="E48" s="69"/>
      <c r="F48" s="69"/>
      <c r="G48" s="69"/>
      <c r="H48" s="69">
        <f t="shared" si="1"/>
        <v>32</v>
      </c>
      <c r="I48" s="69"/>
      <c r="J48" s="70" t="s">
        <v>82</v>
      </c>
    </row>
    <row r="49" spans="1:10">
      <c r="A49" s="67"/>
      <c r="B49" s="94" t="s">
        <v>790</v>
      </c>
      <c r="C49" s="68">
        <v>1</v>
      </c>
      <c r="D49" s="69">
        <f>16*2+12.5*2</f>
        <v>57</v>
      </c>
      <c r="E49" s="69"/>
      <c r="F49" s="69"/>
      <c r="G49" s="69"/>
      <c r="H49" s="69">
        <f t="shared" si="1"/>
        <v>57</v>
      </c>
      <c r="I49" s="69"/>
      <c r="J49" s="70" t="s">
        <v>82</v>
      </c>
    </row>
    <row r="50" spans="1:10">
      <c r="A50" s="67"/>
      <c r="B50" s="94" t="s">
        <v>792</v>
      </c>
      <c r="C50" s="68">
        <v>1</v>
      </c>
      <c r="D50" s="69">
        <f>7.5*2+5*2</f>
        <v>25</v>
      </c>
      <c r="E50" s="69"/>
      <c r="F50" s="69"/>
      <c r="G50" s="69"/>
      <c r="H50" s="69">
        <f t="shared" si="1"/>
        <v>25</v>
      </c>
      <c r="I50" s="69"/>
      <c r="J50" s="70" t="s">
        <v>82</v>
      </c>
    </row>
    <row r="51" spans="1:10">
      <c r="A51" s="67"/>
      <c r="B51" s="94" t="s">
        <v>791</v>
      </c>
      <c r="C51" s="68">
        <v>1</v>
      </c>
      <c r="D51" s="69">
        <f>16*2+11.5*2</f>
        <v>55</v>
      </c>
      <c r="E51" s="69"/>
      <c r="F51" s="69"/>
      <c r="G51" s="69"/>
      <c r="H51" s="69">
        <f t="shared" si="1"/>
        <v>55</v>
      </c>
      <c r="I51" s="69"/>
      <c r="J51" s="70" t="s">
        <v>82</v>
      </c>
    </row>
    <row r="52" spans="1:10">
      <c r="A52" s="67"/>
      <c r="B52" s="94" t="s">
        <v>793</v>
      </c>
      <c r="C52" s="68">
        <v>1</v>
      </c>
      <c r="D52" s="69">
        <f>7.5*2+5*2</f>
        <v>25</v>
      </c>
      <c r="E52" s="69"/>
      <c r="F52" s="69"/>
      <c r="G52" s="69"/>
      <c r="H52" s="69">
        <f t="shared" si="1"/>
        <v>25</v>
      </c>
      <c r="I52" s="69"/>
      <c r="J52" s="70" t="s">
        <v>82</v>
      </c>
    </row>
    <row r="53" spans="1:10">
      <c r="A53" s="67"/>
      <c r="B53" s="94" t="s">
        <v>794</v>
      </c>
      <c r="C53" s="68">
        <v>1</v>
      </c>
      <c r="D53" s="69">
        <f>11.5*2+9</f>
        <v>32</v>
      </c>
      <c r="E53" s="69"/>
      <c r="F53" s="69"/>
      <c r="G53" s="69"/>
      <c r="H53" s="69">
        <f t="shared" si="1"/>
        <v>32</v>
      </c>
      <c r="I53" s="69"/>
      <c r="J53" s="70" t="s">
        <v>82</v>
      </c>
    </row>
    <row r="54" spans="1:10">
      <c r="A54" s="67"/>
      <c r="B54" s="94" t="s">
        <v>795</v>
      </c>
      <c r="C54" s="68">
        <v>1</v>
      </c>
      <c r="D54" s="69">
        <f>25*2+35*2</f>
        <v>120</v>
      </c>
      <c r="E54" s="69"/>
      <c r="F54" s="69"/>
      <c r="G54" s="69"/>
      <c r="H54" s="69">
        <f t="shared" si="1"/>
        <v>120</v>
      </c>
      <c r="I54" s="69"/>
      <c r="J54" s="70" t="s">
        <v>82</v>
      </c>
    </row>
    <row r="55" spans="1:10">
      <c r="A55" s="67"/>
      <c r="B55" s="94" t="s">
        <v>796</v>
      </c>
      <c r="C55" s="68">
        <v>1</v>
      </c>
      <c r="D55" s="69">
        <f>18*2+19.83+18*2+29+16.5*2+19.83</f>
        <v>173.66</v>
      </c>
      <c r="E55" s="69"/>
      <c r="F55" s="69"/>
      <c r="G55" s="69"/>
      <c r="H55" s="69">
        <f t="shared" si="1"/>
        <v>173.66</v>
      </c>
      <c r="I55" s="69"/>
      <c r="J55" s="70" t="s">
        <v>82</v>
      </c>
    </row>
    <row r="56" spans="1:10">
      <c r="A56" s="67"/>
      <c r="B56" s="94" t="s">
        <v>797</v>
      </c>
      <c r="C56" s="68">
        <v>1</v>
      </c>
      <c r="D56" s="69">
        <f>(8.67*2+3.5*2)*2</f>
        <v>48.68</v>
      </c>
      <c r="E56" s="69"/>
      <c r="F56" s="69"/>
      <c r="G56" s="69"/>
      <c r="H56" s="69">
        <f t="shared" si="1"/>
        <v>48.68</v>
      </c>
      <c r="I56" s="69"/>
      <c r="J56" s="70" t="s">
        <v>82</v>
      </c>
    </row>
    <row r="57" spans="1:10">
      <c r="A57" s="67"/>
      <c r="B57" s="94"/>
      <c r="C57" s="68"/>
      <c r="D57" s="69"/>
      <c r="E57" s="69"/>
      <c r="F57" s="69"/>
      <c r="G57" s="69" t="s">
        <v>683</v>
      </c>
      <c r="H57" s="69">
        <f>SUM(H43:H56)</f>
        <v>894.34</v>
      </c>
      <c r="I57" s="69"/>
      <c r="J57" s="70" t="s">
        <v>82</v>
      </c>
    </row>
    <row r="58" spans="1:10">
      <c r="A58" s="67"/>
      <c r="B58" s="94" t="s">
        <v>798</v>
      </c>
      <c r="C58" s="68"/>
      <c r="D58" s="69"/>
      <c r="E58" s="69"/>
      <c r="F58" s="69"/>
      <c r="G58" s="58" t="s">
        <v>799</v>
      </c>
      <c r="H58" s="69">
        <f>H57*0.3</f>
        <v>268.3</v>
      </c>
      <c r="I58" s="69"/>
      <c r="J58" s="70" t="s">
        <v>82</v>
      </c>
    </row>
    <row r="59" spans="1:10">
      <c r="A59" s="67"/>
      <c r="B59" s="94"/>
      <c r="C59" s="68"/>
      <c r="D59" s="69"/>
      <c r="E59" s="69"/>
      <c r="F59" s="69"/>
      <c r="G59" s="69"/>
      <c r="H59" s="69">
        <f>H58+H57</f>
        <v>1162.6400000000001</v>
      </c>
      <c r="I59" s="69"/>
      <c r="J59" s="70" t="s">
        <v>82</v>
      </c>
    </row>
    <row r="60" spans="1:10">
      <c r="A60" s="67"/>
      <c r="B60" s="94"/>
      <c r="C60" s="68"/>
      <c r="D60" s="69"/>
      <c r="E60" s="69"/>
      <c r="F60" s="69"/>
      <c r="G60" s="69"/>
      <c r="H60" s="69"/>
      <c r="I60" s="69"/>
      <c r="J60" s="70"/>
    </row>
    <row r="61" spans="1:10">
      <c r="A61" s="67"/>
      <c r="B61" s="94" t="s">
        <v>800</v>
      </c>
      <c r="C61" s="68"/>
      <c r="D61" s="69">
        <v>25</v>
      </c>
      <c r="E61" s="69">
        <v>35</v>
      </c>
      <c r="F61" s="69"/>
      <c r="G61" s="69"/>
      <c r="H61" s="69"/>
      <c r="I61" s="69"/>
      <c r="J61" s="70"/>
    </row>
    <row r="62" spans="1:10">
      <c r="A62" s="67"/>
      <c r="B62" s="94" t="s">
        <v>73</v>
      </c>
      <c r="C62" s="68">
        <f>ROUND(D61/2,0)</f>
        <v>13</v>
      </c>
      <c r="D62" s="69">
        <f>E61</f>
        <v>35</v>
      </c>
      <c r="E62" s="69"/>
      <c r="F62" s="69"/>
      <c r="G62" s="69"/>
      <c r="H62" s="69">
        <f>C62*D62</f>
        <v>455</v>
      </c>
      <c r="I62" s="69"/>
      <c r="J62" s="70" t="s">
        <v>82</v>
      </c>
    </row>
    <row r="63" spans="1:10">
      <c r="A63" s="67"/>
      <c r="B63" s="94"/>
      <c r="C63" s="68">
        <f>ROUND(E61/2,0)</f>
        <v>18</v>
      </c>
      <c r="D63" s="69">
        <f>D61</f>
        <v>25</v>
      </c>
      <c r="E63" s="69"/>
      <c r="F63" s="69"/>
      <c r="G63" s="69"/>
      <c r="H63" s="69">
        <f>C63*D63</f>
        <v>450</v>
      </c>
      <c r="I63" s="69"/>
      <c r="J63" s="70" t="s">
        <v>82</v>
      </c>
    </row>
    <row r="64" spans="1:10">
      <c r="A64" s="67"/>
      <c r="B64" s="94"/>
      <c r="C64" s="68"/>
      <c r="D64" s="69">
        <v>3</v>
      </c>
      <c r="E64" s="69">
        <v>16</v>
      </c>
      <c r="F64" s="69"/>
      <c r="G64" s="69"/>
      <c r="H64" s="69"/>
      <c r="I64" s="69"/>
      <c r="J64" s="70"/>
    </row>
    <row r="65" spans="1:12">
      <c r="A65" s="67"/>
      <c r="B65" s="94"/>
      <c r="C65" s="68">
        <f>ROUND(D64/2,0)</f>
        <v>2</v>
      </c>
      <c r="D65" s="69">
        <f>E64</f>
        <v>16</v>
      </c>
      <c r="E65" s="69"/>
      <c r="F65" s="69"/>
      <c r="G65" s="69"/>
      <c r="H65" s="69">
        <f>C65*D65</f>
        <v>32</v>
      </c>
      <c r="I65" s="69"/>
      <c r="J65" s="70" t="s">
        <v>82</v>
      </c>
    </row>
    <row r="66" spans="1:12">
      <c r="A66" s="67"/>
      <c r="B66" s="94"/>
      <c r="C66" s="68">
        <f>ROUND(E64/2,0)</f>
        <v>8</v>
      </c>
      <c r="D66" s="69">
        <f>D64</f>
        <v>3</v>
      </c>
      <c r="E66" s="69"/>
      <c r="F66" s="69"/>
      <c r="G66" s="69"/>
      <c r="H66" s="69">
        <f>C66*D66</f>
        <v>24</v>
      </c>
      <c r="I66" s="69"/>
      <c r="J66" s="70" t="s">
        <v>82</v>
      </c>
    </row>
    <row r="67" spans="1:12">
      <c r="A67" s="67"/>
      <c r="B67" s="94" t="s">
        <v>137</v>
      </c>
      <c r="C67" s="68"/>
      <c r="D67" s="69">
        <v>25</v>
      </c>
      <c r="E67" s="69">
        <v>35</v>
      </c>
      <c r="F67" s="69"/>
      <c r="G67" s="69"/>
      <c r="H67" s="69"/>
      <c r="I67" s="69"/>
      <c r="J67" s="70"/>
    </row>
    <row r="68" spans="1:12">
      <c r="A68" s="67"/>
      <c r="B68" s="94"/>
      <c r="C68" s="68">
        <f>ROUND(D67/2,0)</f>
        <v>13</v>
      </c>
      <c r="D68" s="69">
        <f>E67</f>
        <v>35</v>
      </c>
      <c r="E68" s="69"/>
      <c r="F68" s="69"/>
      <c r="G68" s="69"/>
      <c r="H68" s="69">
        <f>C68*D68</f>
        <v>455</v>
      </c>
      <c r="I68" s="69"/>
      <c r="J68" s="70" t="s">
        <v>82</v>
      </c>
    </row>
    <row r="69" spans="1:12">
      <c r="A69" s="67"/>
      <c r="B69" s="94"/>
      <c r="C69" s="68">
        <f>ROUND(E67/2,0)</f>
        <v>18</v>
      </c>
      <c r="D69" s="69">
        <f>D67</f>
        <v>25</v>
      </c>
      <c r="E69" s="69"/>
      <c r="F69" s="69"/>
      <c r="G69" s="69"/>
      <c r="H69" s="69">
        <f>C69*D69</f>
        <v>450</v>
      </c>
      <c r="I69" s="69"/>
      <c r="J69" s="70" t="s">
        <v>82</v>
      </c>
    </row>
    <row r="70" spans="1:12">
      <c r="A70" s="67"/>
      <c r="B70" s="94" t="s">
        <v>801</v>
      </c>
      <c r="C70" s="68"/>
      <c r="D70" s="69">
        <f>18*2+19.83+18*2+29+16.5*2+19.83</f>
        <v>173.66</v>
      </c>
      <c r="E70" s="69"/>
      <c r="F70" s="69"/>
      <c r="G70" s="69"/>
      <c r="H70" s="69"/>
      <c r="I70" s="69"/>
      <c r="J70" s="70"/>
    </row>
    <row r="71" spans="1:12">
      <c r="A71" s="67"/>
      <c r="B71" s="94"/>
      <c r="C71" s="68">
        <v>1</v>
      </c>
      <c r="D71" s="69">
        <f>D70</f>
        <v>173.66</v>
      </c>
      <c r="E71" s="69"/>
      <c r="F71" s="69"/>
      <c r="G71" s="69"/>
      <c r="H71" s="69">
        <f t="shared" ref="H71:H76" si="2">C71*D71</f>
        <v>173.66</v>
      </c>
      <c r="I71" s="69"/>
      <c r="J71" s="70" t="s">
        <v>82</v>
      </c>
    </row>
    <row r="72" spans="1:12">
      <c r="A72" s="67"/>
      <c r="B72" s="94"/>
      <c r="C72" s="68">
        <f>C71*ROUND(D71/2,0)</f>
        <v>87</v>
      </c>
      <c r="D72" s="69">
        <v>2</v>
      </c>
      <c r="E72" s="69"/>
      <c r="F72" s="69"/>
      <c r="G72" s="69"/>
      <c r="H72" s="69">
        <f t="shared" si="2"/>
        <v>174</v>
      </c>
      <c r="I72" s="69"/>
      <c r="J72" s="70" t="s">
        <v>82</v>
      </c>
    </row>
    <row r="73" spans="1:12">
      <c r="A73" s="67"/>
      <c r="B73" s="94" t="s">
        <v>802</v>
      </c>
      <c r="C73" s="68">
        <f>C62*C63+C65*C66</f>
        <v>250</v>
      </c>
      <c r="D73" s="69">
        <v>3</v>
      </c>
      <c r="E73" s="69"/>
      <c r="F73" s="69"/>
      <c r="G73" s="69"/>
      <c r="H73" s="69">
        <f t="shared" si="2"/>
        <v>750</v>
      </c>
      <c r="I73" s="69"/>
      <c r="J73" s="70" t="s">
        <v>82</v>
      </c>
    </row>
    <row r="74" spans="1:12">
      <c r="A74" s="67"/>
      <c r="B74" s="94" t="s">
        <v>803</v>
      </c>
      <c r="C74" s="68">
        <f>C68*C69</f>
        <v>234</v>
      </c>
      <c r="D74" s="69">
        <v>10</v>
      </c>
      <c r="E74" s="69"/>
      <c r="F74" s="69"/>
      <c r="G74" s="69"/>
      <c r="H74" s="69">
        <f t="shared" si="2"/>
        <v>2340</v>
      </c>
      <c r="I74" s="69"/>
      <c r="J74" s="70" t="s">
        <v>82</v>
      </c>
    </row>
    <row r="75" spans="1:12">
      <c r="A75" s="67"/>
      <c r="B75" s="94" t="s">
        <v>804</v>
      </c>
      <c r="C75" s="68">
        <f>C72*2</f>
        <v>174</v>
      </c>
      <c r="D75" s="69">
        <v>1</v>
      </c>
      <c r="E75" s="69"/>
      <c r="F75" s="69"/>
      <c r="G75" s="69"/>
      <c r="H75" s="69">
        <f t="shared" si="2"/>
        <v>174</v>
      </c>
      <c r="I75" s="69"/>
      <c r="J75" s="70" t="s">
        <v>82</v>
      </c>
    </row>
    <row r="76" spans="1:12">
      <c r="A76" s="67"/>
      <c r="B76" s="94" t="s">
        <v>839</v>
      </c>
      <c r="C76" s="68">
        <v>5</v>
      </c>
      <c r="D76" s="69">
        <f>(8+4+8+4)*2</f>
        <v>48</v>
      </c>
      <c r="E76" s="69"/>
      <c r="F76" s="69"/>
      <c r="G76" s="69"/>
      <c r="H76" s="69">
        <f t="shared" si="2"/>
        <v>240</v>
      </c>
      <c r="I76" s="69"/>
      <c r="J76" s="70" t="s">
        <v>82</v>
      </c>
      <c r="K76" s="424"/>
    </row>
    <row r="77" spans="1:12">
      <c r="A77" s="67"/>
      <c r="B77" s="94"/>
      <c r="C77" s="68"/>
      <c r="D77" s="69"/>
      <c r="E77" s="69"/>
      <c r="F77" s="69"/>
      <c r="G77" s="69"/>
      <c r="H77" s="122">
        <f>SUM(H62:H76)</f>
        <v>5717.66</v>
      </c>
      <c r="I77" s="122"/>
      <c r="J77" s="123" t="s">
        <v>82</v>
      </c>
      <c r="K77" s="424"/>
      <c r="L77" s="424"/>
    </row>
    <row r="78" spans="1:12">
      <c r="A78" s="67"/>
      <c r="B78" s="94"/>
      <c r="C78" s="68"/>
      <c r="D78" s="69"/>
      <c r="E78" s="69"/>
      <c r="F78" s="69"/>
      <c r="G78" s="69"/>
      <c r="H78" s="122"/>
      <c r="I78" s="122"/>
      <c r="J78" s="123"/>
      <c r="K78" s="424"/>
      <c r="L78" s="424"/>
    </row>
    <row r="79" spans="1:12">
      <c r="A79" s="67"/>
      <c r="B79" s="94" t="s">
        <v>805</v>
      </c>
      <c r="C79" s="68">
        <f>C74+C75</f>
        <v>408</v>
      </c>
      <c r="D79" s="69" t="s">
        <v>2</v>
      </c>
      <c r="E79" s="69"/>
      <c r="F79" s="69"/>
      <c r="G79" s="69"/>
      <c r="H79" s="122"/>
      <c r="I79" s="122"/>
      <c r="J79" s="123"/>
      <c r="K79" s="424"/>
      <c r="L79" s="424"/>
    </row>
    <row r="80" spans="1:12">
      <c r="A80" s="67"/>
      <c r="B80" s="94" t="s">
        <v>806</v>
      </c>
      <c r="C80" s="68">
        <f>(35/2*25+25/2*35)/0.5</f>
        <v>1750</v>
      </c>
      <c r="D80" s="69" t="s">
        <v>2</v>
      </c>
      <c r="E80" s="69"/>
      <c r="F80" s="69"/>
      <c r="G80" s="69"/>
      <c r="H80" s="122"/>
      <c r="I80" s="122"/>
      <c r="J80" s="123"/>
      <c r="K80" s="424"/>
      <c r="L80" s="424"/>
    </row>
    <row r="81" spans="1:12">
      <c r="A81" s="67"/>
      <c r="B81" s="94" t="s">
        <v>807</v>
      </c>
      <c r="C81" s="68">
        <f>C73</f>
        <v>250</v>
      </c>
      <c r="D81" s="69" t="s">
        <v>2</v>
      </c>
      <c r="E81" s="69"/>
      <c r="F81" s="69"/>
      <c r="G81" s="69"/>
      <c r="H81" s="122"/>
      <c r="I81" s="122"/>
      <c r="J81" s="123"/>
      <c r="K81" s="424"/>
      <c r="L81" s="424"/>
    </row>
    <row r="82" spans="1:12">
      <c r="A82" s="67"/>
      <c r="B82" s="94" t="s">
        <v>808</v>
      </c>
      <c r="C82" s="68">
        <f>C81</f>
        <v>250</v>
      </c>
      <c r="D82" s="69" t="s">
        <v>2</v>
      </c>
      <c r="E82" s="69"/>
      <c r="F82" s="69"/>
      <c r="G82" s="69"/>
      <c r="H82" s="122"/>
      <c r="I82" s="122"/>
      <c r="J82" s="123"/>
      <c r="K82" s="424"/>
      <c r="L82" s="424"/>
    </row>
    <row r="83" spans="1:12">
      <c r="A83" s="67"/>
      <c r="B83" s="94" t="s">
        <v>809</v>
      </c>
      <c r="C83" s="68">
        <v>3</v>
      </c>
      <c r="D83" s="69" t="s">
        <v>810</v>
      </c>
      <c r="E83" s="69"/>
      <c r="F83" s="69"/>
      <c r="G83" s="69"/>
      <c r="H83" s="122"/>
      <c r="I83" s="122"/>
      <c r="J83" s="123"/>
      <c r="K83" s="424"/>
      <c r="L83" s="424"/>
    </row>
    <row r="84" spans="1:12">
      <c r="A84" s="67"/>
      <c r="B84" s="94"/>
      <c r="C84" s="68"/>
      <c r="D84" s="69"/>
      <c r="E84" s="69"/>
      <c r="F84" s="69"/>
      <c r="G84" s="69"/>
      <c r="H84" s="122"/>
      <c r="I84" s="122"/>
      <c r="J84" s="123"/>
      <c r="K84" s="424"/>
      <c r="L84" s="424"/>
    </row>
    <row r="85" spans="1:12">
      <c r="A85" s="300">
        <v>2</v>
      </c>
      <c r="B85" s="138" t="s">
        <v>726</v>
      </c>
      <c r="C85" s="68"/>
      <c r="D85" s="69"/>
      <c r="E85" s="69"/>
      <c r="F85" s="69"/>
      <c r="G85" s="69"/>
      <c r="H85" s="69"/>
      <c r="I85" s="69"/>
      <c r="J85" s="70"/>
    </row>
    <row r="86" spans="1:12">
      <c r="A86" s="67"/>
      <c r="B86" s="138" t="s">
        <v>845</v>
      </c>
      <c r="C86" s="68"/>
      <c r="D86" s="69"/>
      <c r="E86" s="69"/>
      <c r="F86" s="69"/>
      <c r="G86" s="69"/>
      <c r="H86" s="69"/>
      <c r="I86" s="69"/>
      <c r="J86" s="70"/>
    </row>
    <row r="87" spans="1:12">
      <c r="A87" s="67"/>
      <c r="B87" s="67" t="s">
        <v>737</v>
      </c>
      <c r="C87" s="68">
        <v>2</v>
      </c>
      <c r="D87" s="69">
        <v>28</v>
      </c>
      <c r="E87" s="69"/>
      <c r="F87" s="69">
        <v>2</v>
      </c>
      <c r="G87" s="69"/>
      <c r="H87" s="69">
        <f>C87*D87*F87</f>
        <v>112</v>
      </c>
      <c r="I87" s="69"/>
      <c r="J87" s="70" t="s">
        <v>21</v>
      </c>
    </row>
    <row r="88" spans="1:12">
      <c r="A88" s="67"/>
      <c r="B88" s="67"/>
      <c r="C88" s="68">
        <v>2</v>
      </c>
      <c r="D88" s="69">
        <v>35</v>
      </c>
      <c r="E88" s="69"/>
      <c r="F88" s="69">
        <v>2</v>
      </c>
      <c r="G88" s="69"/>
      <c r="H88" s="69">
        <f>C88*D88*F88</f>
        <v>140</v>
      </c>
      <c r="I88" s="69"/>
      <c r="J88" s="70" t="s">
        <v>21</v>
      </c>
    </row>
    <row r="89" spans="1:12">
      <c r="A89" s="67"/>
      <c r="B89" s="74" t="s">
        <v>734</v>
      </c>
      <c r="C89" s="68">
        <v>2</v>
      </c>
      <c r="D89" s="69">
        <v>28</v>
      </c>
      <c r="E89" s="69"/>
      <c r="F89" s="69">
        <v>13</v>
      </c>
      <c r="G89" s="69"/>
      <c r="H89" s="69">
        <f>C89*D89*F89</f>
        <v>728</v>
      </c>
      <c r="I89" s="69"/>
      <c r="J89" s="70" t="s">
        <v>21</v>
      </c>
    </row>
    <row r="90" spans="1:12">
      <c r="A90" s="67"/>
      <c r="B90" s="67"/>
      <c r="C90" s="68">
        <v>2</v>
      </c>
      <c r="D90" s="69">
        <v>35</v>
      </c>
      <c r="E90" s="69"/>
      <c r="F90" s="69">
        <v>13</v>
      </c>
      <c r="G90" s="69"/>
      <c r="H90" s="69">
        <f>C90*D90*F90</f>
        <v>910</v>
      </c>
      <c r="I90" s="69"/>
      <c r="J90" s="70" t="s">
        <v>21</v>
      </c>
    </row>
    <row r="91" spans="1:12">
      <c r="A91" s="67"/>
      <c r="B91" s="67" t="s">
        <v>25</v>
      </c>
      <c r="C91" s="68"/>
      <c r="D91" s="69"/>
      <c r="E91" s="69"/>
      <c r="F91" s="69"/>
      <c r="G91" s="69"/>
      <c r="H91" s="69"/>
      <c r="I91" s="69"/>
      <c r="J91" s="70"/>
    </row>
    <row r="92" spans="1:12">
      <c r="A92" s="67"/>
      <c r="B92" s="58" t="s">
        <v>554</v>
      </c>
      <c r="C92" s="59">
        <v>1</v>
      </c>
      <c r="D92" s="60">
        <v>5.33</v>
      </c>
      <c r="E92" s="60"/>
      <c r="F92" s="60">
        <f>7.17</f>
        <v>7.17</v>
      </c>
      <c r="G92" s="60">
        <f t="shared" ref="G92:G97" si="3">C92*D92*F92</f>
        <v>38.22</v>
      </c>
      <c r="H92" s="60"/>
      <c r="I92" s="60"/>
      <c r="J92" s="70" t="s">
        <v>21</v>
      </c>
    </row>
    <row r="93" spans="1:12">
      <c r="A93" s="67"/>
      <c r="B93" s="58" t="s">
        <v>555</v>
      </c>
      <c r="C93" s="59">
        <v>1</v>
      </c>
      <c r="D93" s="60">
        <v>3.25</v>
      </c>
      <c r="E93" s="60"/>
      <c r="F93" s="60">
        <f>7.17</f>
        <v>7.17</v>
      </c>
      <c r="G93" s="60">
        <f t="shared" si="3"/>
        <v>23.3</v>
      </c>
      <c r="H93" s="60"/>
      <c r="I93" s="60"/>
      <c r="J93" s="70" t="s">
        <v>21</v>
      </c>
    </row>
    <row r="94" spans="1:12">
      <c r="A94" s="67"/>
      <c r="B94" s="58" t="s">
        <v>556</v>
      </c>
      <c r="C94" s="59">
        <v>4</v>
      </c>
      <c r="D94" s="60">
        <v>2.17</v>
      </c>
      <c r="E94" s="60"/>
      <c r="F94" s="60">
        <f>5</f>
        <v>5</v>
      </c>
      <c r="G94" s="60">
        <f t="shared" si="3"/>
        <v>43.4</v>
      </c>
      <c r="H94" s="60"/>
      <c r="I94" s="60"/>
      <c r="J94" s="70" t="s">
        <v>21</v>
      </c>
    </row>
    <row r="95" spans="1:12">
      <c r="A95" s="67"/>
      <c r="B95" s="58" t="s">
        <v>557</v>
      </c>
      <c r="C95" s="59">
        <v>3</v>
      </c>
      <c r="D95" s="60">
        <v>6.42</v>
      </c>
      <c r="E95" s="60"/>
      <c r="F95" s="60">
        <f>5</f>
        <v>5</v>
      </c>
      <c r="G95" s="60">
        <f t="shared" si="3"/>
        <v>96.3</v>
      </c>
      <c r="H95" s="60"/>
      <c r="I95" s="60"/>
      <c r="J95" s="70" t="s">
        <v>21</v>
      </c>
    </row>
    <row r="96" spans="1:12">
      <c r="A96" s="67"/>
      <c r="B96" s="58" t="s">
        <v>558</v>
      </c>
      <c r="C96" s="59">
        <f>2</f>
        <v>2</v>
      </c>
      <c r="D96" s="60">
        <v>4.33</v>
      </c>
      <c r="E96" s="60"/>
      <c r="F96" s="60">
        <f>2.33</f>
        <v>2.33</v>
      </c>
      <c r="G96" s="60">
        <f t="shared" si="3"/>
        <v>20.18</v>
      </c>
      <c r="H96" s="60"/>
      <c r="I96" s="60"/>
      <c r="J96" s="70" t="s">
        <v>21</v>
      </c>
    </row>
    <row r="97" spans="1:10">
      <c r="A97" s="67"/>
      <c r="B97" s="58" t="s">
        <v>560</v>
      </c>
      <c r="C97" s="59">
        <v>1</v>
      </c>
      <c r="D97" s="60">
        <v>2.33</v>
      </c>
      <c r="E97" s="60"/>
      <c r="F97" s="60">
        <v>2</v>
      </c>
      <c r="G97" s="60">
        <f t="shared" si="3"/>
        <v>4.66</v>
      </c>
      <c r="H97" s="60"/>
      <c r="I97" s="60"/>
      <c r="J97" s="70" t="s">
        <v>21</v>
      </c>
    </row>
    <row r="98" spans="1:10">
      <c r="A98" s="67"/>
      <c r="B98" s="67"/>
      <c r="C98" s="68"/>
      <c r="D98" s="69"/>
      <c r="E98" s="69"/>
      <c r="F98" s="69"/>
      <c r="G98" s="69"/>
      <c r="H98" s="69"/>
      <c r="I98" s="69"/>
      <c r="J98" s="70"/>
    </row>
    <row r="99" spans="1:10">
      <c r="A99" s="67"/>
      <c r="B99" s="67" t="s">
        <v>735</v>
      </c>
      <c r="C99" s="68">
        <v>2</v>
      </c>
      <c r="D99" s="69">
        <v>25</v>
      </c>
      <c r="E99" s="69"/>
      <c r="F99" s="69">
        <v>12</v>
      </c>
      <c r="G99" s="69"/>
      <c r="H99" s="69">
        <f>C99*D99*F99</f>
        <v>600</v>
      </c>
      <c r="I99" s="69"/>
      <c r="J99" s="70" t="s">
        <v>21</v>
      </c>
    </row>
    <row r="100" spans="1:10">
      <c r="A100" s="67"/>
      <c r="B100" s="67"/>
      <c r="C100" s="68">
        <v>2</v>
      </c>
      <c r="D100" s="69">
        <v>35</v>
      </c>
      <c r="E100" s="69"/>
      <c r="F100" s="69">
        <v>12</v>
      </c>
      <c r="G100" s="69"/>
      <c r="H100" s="69">
        <f>C100*D100*F100</f>
        <v>840</v>
      </c>
      <c r="I100" s="69"/>
      <c r="J100" s="70" t="s">
        <v>21</v>
      </c>
    </row>
    <row r="101" spans="1:10">
      <c r="A101" s="67"/>
      <c r="B101" s="67" t="s">
        <v>25</v>
      </c>
      <c r="C101" s="68"/>
      <c r="D101" s="69"/>
      <c r="E101" s="69"/>
      <c r="F101" s="69"/>
      <c r="G101" s="69"/>
      <c r="H101" s="69"/>
      <c r="I101" s="69"/>
      <c r="J101" s="70"/>
    </row>
    <row r="102" spans="1:10">
      <c r="A102" s="67"/>
      <c r="B102" s="58" t="s">
        <v>555</v>
      </c>
      <c r="C102" s="59">
        <v>2</v>
      </c>
      <c r="D102" s="60">
        <v>3.25</v>
      </c>
      <c r="E102" s="60"/>
      <c r="F102" s="60">
        <v>7.17</v>
      </c>
      <c r="G102" s="60">
        <f t="shared" ref="G102:G107" si="4">C102*D102*F102</f>
        <v>46.61</v>
      </c>
      <c r="H102" s="60"/>
      <c r="I102" s="60"/>
      <c r="J102" s="70" t="s">
        <v>21</v>
      </c>
    </row>
    <row r="103" spans="1:10">
      <c r="A103" s="67"/>
      <c r="B103" s="58" t="s">
        <v>556</v>
      </c>
      <c r="C103" s="59">
        <v>6</v>
      </c>
      <c r="D103" s="60">
        <v>2.17</v>
      </c>
      <c r="E103" s="60"/>
      <c r="F103" s="60">
        <v>5</v>
      </c>
      <c r="G103" s="60">
        <f t="shared" si="4"/>
        <v>65.099999999999994</v>
      </c>
      <c r="H103" s="60"/>
      <c r="I103" s="60"/>
      <c r="J103" s="70" t="s">
        <v>21</v>
      </c>
    </row>
    <row r="104" spans="1:10">
      <c r="A104" s="67"/>
      <c r="B104" s="58" t="s">
        <v>562</v>
      </c>
      <c r="C104" s="59">
        <v>2</v>
      </c>
      <c r="D104" s="60">
        <v>4.33</v>
      </c>
      <c r="E104" s="60"/>
      <c r="F104" s="60">
        <v>5</v>
      </c>
      <c r="G104" s="60">
        <f t="shared" si="4"/>
        <v>43.3</v>
      </c>
      <c r="H104" s="60"/>
      <c r="I104" s="60"/>
      <c r="J104" s="70" t="s">
        <v>21</v>
      </c>
    </row>
    <row r="105" spans="1:10">
      <c r="A105" s="67"/>
      <c r="B105" s="58" t="s">
        <v>559</v>
      </c>
      <c r="C105" s="59">
        <v>2</v>
      </c>
      <c r="D105" s="60">
        <v>2.17</v>
      </c>
      <c r="E105" s="60"/>
      <c r="F105" s="60">
        <v>5</v>
      </c>
      <c r="G105" s="60">
        <f t="shared" si="4"/>
        <v>21.7</v>
      </c>
      <c r="H105" s="60"/>
      <c r="I105" s="60"/>
      <c r="J105" s="70" t="s">
        <v>21</v>
      </c>
    </row>
    <row r="106" spans="1:10">
      <c r="A106" s="67"/>
      <c r="B106" s="58" t="s">
        <v>560</v>
      </c>
      <c r="C106" s="59">
        <v>2</v>
      </c>
      <c r="D106" s="60">
        <v>2.33</v>
      </c>
      <c r="E106" s="60"/>
      <c r="F106" s="60">
        <v>2</v>
      </c>
      <c r="G106" s="60">
        <f t="shared" si="4"/>
        <v>9.32</v>
      </c>
      <c r="H106" s="60"/>
      <c r="I106" s="60"/>
      <c r="J106" s="70" t="s">
        <v>21</v>
      </c>
    </row>
    <row r="107" spans="1:10">
      <c r="A107" s="67"/>
      <c r="B107" s="58" t="s">
        <v>561</v>
      </c>
      <c r="C107" s="59">
        <v>1</v>
      </c>
      <c r="D107" s="60">
        <v>4.33</v>
      </c>
      <c r="E107" s="60"/>
      <c r="F107" s="60">
        <v>5</v>
      </c>
      <c r="G107" s="60">
        <f t="shared" si="4"/>
        <v>21.65</v>
      </c>
      <c r="H107" s="60"/>
      <c r="I107" s="60"/>
      <c r="J107" s="70" t="s">
        <v>21</v>
      </c>
    </row>
    <row r="108" spans="1:10">
      <c r="A108" s="67"/>
      <c r="B108" s="67" t="s">
        <v>736</v>
      </c>
      <c r="C108" s="68"/>
      <c r="D108" s="69"/>
      <c r="E108" s="69"/>
      <c r="F108" s="69"/>
      <c r="G108" s="69"/>
      <c r="H108" s="69"/>
      <c r="I108" s="69"/>
      <c r="J108" s="70"/>
    </row>
    <row r="109" spans="1:10">
      <c r="A109" s="67"/>
      <c r="B109" s="74" t="s">
        <v>709</v>
      </c>
      <c r="C109" s="440">
        <v>0.5</v>
      </c>
      <c r="D109" s="69">
        <v>9.25</v>
      </c>
      <c r="E109" s="69"/>
      <c r="F109" s="69">
        <v>4</v>
      </c>
      <c r="G109" s="69"/>
      <c r="H109" s="69">
        <f>C109*D109*F109</f>
        <v>18.5</v>
      </c>
      <c r="I109" s="69"/>
      <c r="J109" s="70" t="s">
        <v>21</v>
      </c>
    </row>
    <row r="110" spans="1:10">
      <c r="A110" s="67"/>
      <c r="B110" s="74" t="s">
        <v>764</v>
      </c>
      <c r="C110" s="440">
        <f>0.5</f>
        <v>0.5</v>
      </c>
      <c r="D110" s="69">
        <v>25</v>
      </c>
      <c r="E110" s="69"/>
      <c r="F110" s="69">
        <v>11</v>
      </c>
      <c r="G110" s="69"/>
      <c r="H110" s="69">
        <f>C110*D110*F110</f>
        <v>137.5</v>
      </c>
      <c r="I110" s="69"/>
      <c r="J110" s="70" t="s">
        <v>21</v>
      </c>
    </row>
    <row r="111" spans="1:10">
      <c r="A111" s="67"/>
      <c r="B111" s="74" t="s">
        <v>765</v>
      </c>
      <c r="C111" s="440">
        <v>0.5</v>
      </c>
      <c r="D111" s="69">
        <v>16.579999999999998</v>
      </c>
      <c r="E111" s="69"/>
      <c r="F111" s="69">
        <v>12.83</v>
      </c>
      <c r="G111" s="69"/>
      <c r="H111" s="69">
        <f>C111*D111*F111</f>
        <v>106.36</v>
      </c>
      <c r="I111" s="69"/>
      <c r="J111" s="70" t="s">
        <v>21</v>
      </c>
    </row>
    <row r="112" spans="1:10">
      <c r="A112" s="67"/>
      <c r="B112" s="74"/>
      <c r="C112" s="440">
        <v>0.5</v>
      </c>
      <c r="D112" s="69">
        <v>7.33</v>
      </c>
      <c r="E112" s="69"/>
      <c r="F112" s="69">
        <v>4.92</v>
      </c>
      <c r="G112" s="69"/>
      <c r="H112" s="69">
        <f>C112*D112*F112</f>
        <v>18.03</v>
      </c>
      <c r="I112" s="69"/>
      <c r="J112" s="70" t="s">
        <v>21</v>
      </c>
    </row>
    <row r="113" spans="1:10">
      <c r="A113" s="67"/>
      <c r="B113" s="74" t="s">
        <v>766</v>
      </c>
      <c r="C113" s="440">
        <v>0.5</v>
      </c>
      <c r="D113" s="69">
        <v>16</v>
      </c>
      <c r="E113" s="69"/>
      <c r="F113" s="69">
        <v>12.83</v>
      </c>
      <c r="G113" s="69"/>
      <c r="H113" s="69">
        <f>C113*D113*F113</f>
        <v>102.64</v>
      </c>
      <c r="I113" s="69"/>
      <c r="J113" s="70" t="s">
        <v>21</v>
      </c>
    </row>
    <row r="114" spans="1:10">
      <c r="A114" s="67"/>
      <c r="B114" s="74"/>
      <c r="C114" s="440"/>
      <c r="D114" s="69"/>
      <c r="E114" s="69"/>
      <c r="F114" s="69"/>
      <c r="G114" s="69">
        <f>SUM(G87:G113)</f>
        <v>433.74</v>
      </c>
      <c r="H114" s="69">
        <f>SUM(H87:H113)</f>
        <v>3713.03</v>
      </c>
      <c r="I114" s="69">
        <f>H114-G114</f>
        <v>3279.29</v>
      </c>
      <c r="J114" s="70" t="s">
        <v>21</v>
      </c>
    </row>
    <row r="115" spans="1:10">
      <c r="A115" s="67"/>
      <c r="B115" s="67"/>
      <c r="C115" s="68"/>
      <c r="D115" s="69"/>
      <c r="E115" s="69"/>
      <c r="F115" s="69"/>
      <c r="G115" s="69"/>
      <c r="H115" s="69"/>
      <c r="I115" s="69"/>
      <c r="J115" s="70"/>
    </row>
    <row r="116" spans="1:10">
      <c r="A116" s="67"/>
      <c r="B116" s="138" t="s">
        <v>846</v>
      </c>
      <c r="C116" s="68"/>
      <c r="D116" s="69"/>
      <c r="E116" s="69"/>
      <c r="F116" s="69"/>
      <c r="G116" s="69"/>
      <c r="H116" s="69"/>
      <c r="I116" s="69"/>
      <c r="J116" s="70"/>
    </row>
    <row r="117" spans="1:10">
      <c r="A117" s="67"/>
      <c r="B117" s="67" t="s">
        <v>73</v>
      </c>
      <c r="C117" s="68"/>
      <c r="D117" s="69"/>
      <c r="E117" s="69"/>
      <c r="F117" s="69"/>
      <c r="G117" s="69"/>
      <c r="H117" s="69"/>
      <c r="I117" s="69"/>
      <c r="J117" s="70"/>
    </row>
    <row r="118" spans="1:10">
      <c r="A118" s="67"/>
      <c r="B118" s="74" t="s">
        <v>767</v>
      </c>
      <c r="C118" s="68">
        <v>2</v>
      </c>
      <c r="D118" s="69">
        <v>28</v>
      </c>
      <c r="E118" s="69"/>
      <c r="F118" s="69">
        <v>13</v>
      </c>
      <c r="G118" s="69"/>
      <c r="H118" s="69">
        <f>C118*D118*F118</f>
        <v>728</v>
      </c>
      <c r="I118" s="69"/>
      <c r="J118" s="70" t="s">
        <v>21</v>
      </c>
    </row>
    <row r="119" spans="1:10">
      <c r="A119" s="67"/>
      <c r="B119" s="67"/>
      <c r="C119" s="68">
        <v>2</v>
      </c>
      <c r="D119" s="69">
        <v>35</v>
      </c>
      <c r="E119" s="69"/>
      <c r="F119" s="69">
        <v>13</v>
      </c>
      <c r="G119" s="69"/>
      <c r="H119" s="69">
        <f>C119*D119*F119</f>
        <v>910</v>
      </c>
      <c r="I119" s="69"/>
      <c r="J119" s="70" t="s">
        <v>21</v>
      </c>
    </row>
    <row r="120" spans="1:10">
      <c r="A120" s="67"/>
      <c r="B120" s="67" t="s">
        <v>25</v>
      </c>
      <c r="C120" s="68"/>
      <c r="D120" s="69"/>
      <c r="E120" s="69"/>
      <c r="F120" s="69"/>
      <c r="G120" s="69"/>
      <c r="H120" s="69"/>
      <c r="I120" s="69"/>
      <c r="J120" s="70"/>
    </row>
    <row r="121" spans="1:10">
      <c r="A121" s="67"/>
      <c r="B121" s="58" t="s">
        <v>554</v>
      </c>
      <c r="C121" s="59">
        <v>1</v>
      </c>
      <c r="D121" s="60">
        <v>5.33</v>
      </c>
      <c r="E121" s="60"/>
      <c r="F121" s="60">
        <f>7.17</f>
        <v>7.17</v>
      </c>
      <c r="G121" s="60">
        <f t="shared" ref="G121:G126" si="5">C121*D121*F121</f>
        <v>38.22</v>
      </c>
      <c r="H121" s="60"/>
      <c r="I121" s="60"/>
      <c r="J121" s="70" t="s">
        <v>21</v>
      </c>
    </row>
    <row r="122" spans="1:10">
      <c r="A122" s="67"/>
      <c r="B122" s="58" t="s">
        <v>555</v>
      </c>
      <c r="C122" s="59">
        <v>1</v>
      </c>
      <c r="D122" s="60">
        <v>3.25</v>
      </c>
      <c r="E122" s="60"/>
      <c r="F122" s="60">
        <f>7.17</f>
        <v>7.17</v>
      </c>
      <c r="G122" s="60">
        <f t="shared" si="5"/>
        <v>23.3</v>
      </c>
      <c r="H122" s="60"/>
      <c r="I122" s="60"/>
      <c r="J122" s="70" t="s">
        <v>21</v>
      </c>
    </row>
    <row r="123" spans="1:10">
      <c r="A123" s="67"/>
      <c r="B123" s="58" t="s">
        <v>556</v>
      </c>
      <c r="C123" s="59">
        <v>4</v>
      </c>
      <c r="D123" s="60">
        <v>2.17</v>
      </c>
      <c r="E123" s="60"/>
      <c r="F123" s="60">
        <f>5</f>
        <v>5</v>
      </c>
      <c r="G123" s="60">
        <f t="shared" si="5"/>
        <v>43.4</v>
      </c>
      <c r="H123" s="60"/>
      <c r="I123" s="60"/>
      <c r="J123" s="70" t="s">
        <v>21</v>
      </c>
    </row>
    <row r="124" spans="1:10">
      <c r="A124" s="67"/>
      <c r="B124" s="58" t="s">
        <v>557</v>
      </c>
      <c r="C124" s="59">
        <v>3</v>
      </c>
      <c r="D124" s="60">
        <v>6.42</v>
      </c>
      <c r="E124" s="60"/>
      <c r="F124" s="60">
        <f>5</f>
        <v>5</v>
      </c>
      <c r="G124" s="60">
        <f t="shared" si="5"/>
        <v>96.3</v>
      </c>
      <c r="H124" s="60"/>
      <c r="I124" s="60"/>
      <c r="J124" s="70" t="s">
        <v>21</v>
      </c>
    </row>
    <row r="125" spans="1:10">
      <c r="A125" s="67"/>
      <c r="B125" s="58" t="s">
        <v>558</v>
      </c>
      <c r="C125" s="59">
        <f>2</f>
        <v>2</v>
      </c>
      <c r="D125" s="60">
        <v>4.33</v>
      </c>
      <c r="E125" s="60"/>
      <c r="F125" s="60">
        <f>2.33</f>
        <v>2.33</v>
      </c>
      <c r="G125" s="60">
        <f t="shared" si="5"/>
        <v>20.18</v>
      </c>
      <c r="H125" s="60"/>
      <c r="I125" s="60"/>
      <c r="J125" s="70" t="s">
        <v>21</v>
      </c>
    </row>
    <row r="126" spans="1:10">
      <c r="A126" s="67"/>
      <c r="B126" s="58" t="s">
        <v>560</v>
      </c>
      <c r="C126" s="59">
        <v>1</v>
      </c>
      <c r="D126" s="60">
        <v>2.33</v>
      </c>
      <c r="E126" s="60"/>
      <c r="F126" s="60">
        <v>2</v>
      </c>
      <c r="G126" s="60">
        <f t="shared" si="5"/>
        <v>4.66</v>
      </c>
      <c r="H126" s="60"/>
      <c r="I126" s="60"/>
      <c r="J126" s="70" t="s">
        <v>21</v>
      </c>
    </row>
    <row r="127" spans="1:10">
      <c r="A127" s="67"/>
      <c r="B127" s="58" t="s">
        <v>825</v>
      </c>
      <c r="C127" s="59">
        <v>1</v>
      </c>
      <c r="D127" s="60">
        <v>8</v>
      </c>
      <c r="E127" s="60"/>
      <c r="F127" s="60">
        <v>5</v>
      </c>
      <c r="G127" s="60">
        <f>C127*D127*F127</f>
        <v>40</v>
      </c>
      <c r="H127" s="60"/>
      <c r="I127" s="60"/>
      <c r="J127" s="70" t="s">
        <v>21</v>
      </c>
    </row>
    <row r="128" spans="1:10">
      <c r="A128" s="67"/>
      <c r="B128" s="67" t="s">
        <v>769</v>
      </c>
      <c r="C128" s="68"/>
      <c r="D128" s="69"/>
      <c r="E128" s="69"/>
      <c r="F128" s="69"/>
      <c r="G128" s="69"/>
      <c r="H128" s="69"/>
      <c r="I128" s="69"/>
      <c r="J128" s="70"/>
    </row>
    <row r="129" spans="1:10">
      <c r="A129" s="67"/>
      <c r="B129" s="67" t="s">
        <v>416</v>
      </c>
      <c r="C129" s="68">
        <v>2</v>
      </c>
      <c r="D129" s="69">
        <v>11.5</v>
      </c>
      <c r="E129" s="69"/>
      <c r="F129" s="69">
        <v>12</v>
      </c>
      <c r="G129" s="69"/>
      <c r="H129" s="69">
        <f t="shared" ref="H129:H139" si="6">C129*D129*F129</f>
        <v>276</v>
      </c>
      <c r="I129" s="69"/>
      <c r="J129" s="70" t="s">
        <v>21</v>
      </c>
    </row>
    <row r="130" spans="1:10">
      <c r="A130" s="67"/>
      <c r="B130" s="74" t="s">
        <v>770</v>
      </c>
      <c r="C130" s="440">
        <v>0.5</v>
      </c>
      <c r="D130" s="69">
        <v>7.83</v>
      </c>
      <c r="E130" s="69"/>
      <c r="F130" s="69">
        <v>6.17</v>
      </c>
      <c r="G130" s="69"/>
      <c r="H130" s="69">
        <f t="shared" si="6"/>
        <v>24.16</v>
      </c>
      <c r="I130" s="69"/>
      <c r="J130" s="70" t="s">
        <v>21</v>
      </c>
    </row>
    <row r="131" spans="1:10">
      <c r="A131" s="67"/>
      <c r="B131" s="74" t="s">
        <v>696</v>
      </c>
      <c r="C131" s="440">
        <v>1</v>
      </c>
      <c r="D131" s="69">
        <v>4</v>
      </c>
      <c r="E131" s="69"/>
      <c r="F131" s="69">
        <v>4</v>
      </c>
      <c r="G131" s="69"/>
      <c r="H131" s="69">
        <f t="shared" si="6"/>
        <v>16</v>
      </c>
      <c r="I131" s="69"/>
      <c r="J131" s="70" t="s">
        <v>21</v>
      </c>
    </row>
    <row r="132" spans="1:10">
      <c r="A132" s="67"/>
      <c r="B132" s="74" t="s">
        <v>811</v>
      </c>
      <c r="C132" s="440">
        <v>2</v>
      </c>
      <c r="D132" s="69">
        <v>7.5</v>
      </c>
      <c r="E132" s="69"/>
      <c r="F132" s="69">
        <f>(6+12)/2</f>
        <v>9</v>
      </c>
      <c r="G132" s="69"/>
      <c r="H132" s="69">
        <f t="shared" si="6"/>
        <v>135</v>
      </c>
      <c r="I132" s="69"/>
      <c r="J132" s="70" t="s">
        <v>21</v>
      </c>
    </row>
    <row r="133" spans="1:10">
      <c r="A133" s="67"/>
      <c r="B133" s="74"/>
      <c r="C133" s="440">
        <v>2</v>
      </c>
      <c r="D133" s="69">
        <v>4</v>
      </c>
      <c r="E133" s="69"/>
      <c r="F133" s="69">
        <v>6</v>
      </c>
      <c r="G133" s="69"/>
      <c r="H133" s="69">
        <f t="shared" si="6"/>
        <v>48</v>
      </c>
      <c r="I133" s="69"/>
      <c r="J133" s="70" t="s">
        <v>21</v>
      </c>
    </row>
    <row r="134" spans="1:10">
      <c r="A134" s="67"/>
      <c r="B134" s="74" t="s">
        <v>415</v>
      </c>
      <c r="C134" s="440">
        <v>2</v>
      </c>
      <c r="D134" s="69">
        <v>10</v>
      </c>
      <c r="E134" s="69"/>
      <c r="F134" s="69">
        <v>12</v>
      </c>
      <c r="G134" s="69"/>
      <c r="H134" s="69">
        <f t="shared" si="6"/>
        <v>240</v>
      </c>
      <c r="I134" s="69"/>
      <c r="J134" s="70" t="s">
        <v>21</v>
      </c>
    </row>
    <row r="135" spans="1:10">
      <c r="A135" s="67"/>
      <c r="B135" s="74" t="s">
        <v>418</v>
      </c>
      <c r="C135" s="440">
        <v>2</v>
      </c>
      <c r="D135" s="69">
        <v>20</v>
      </c>
      <c r="E135" s="69"/>
      <c r="F135" s="69">
        <v>12</v>
      </c>
      <c r="G135" s="69"/>
      <c r="H135" s="69">
        <f t="shared" si="6"/>
        <v>480</v>
      </c>
      <c r="I135" s="69"/>
      <c r="J135" s="70" t="s">
        <v>21</v>
      </c>
    </row>
    <row r="136" spans="1:10">
      <c r="A136" s="67"/>
      <c r="B136" s="74" t="s">
        <v>571</v>
      </c>
      <c r="C136" s="440">
        <v>2</v>
      </c>
      <c r="D136" s="69">
        <f>8+9+4</f>
        <v>21</v>
      </c>
      <c r="E136" s="69"/>
      <c r="F136" s="69">
        <v>12</v>
      </c>
      <c r="G136" s="69"/>
      <c r="H136" s="69">
        <f t="shared" si="6"/>
        <v>504</v>
      </c>
      <c r="I136" s="69"/>
      <c r="J136" s="70" t="s">
        <v>21</v>
      </c>
    </row>
    <row r="137" spans="1:10">
      <c r="A137" s="67"/>
      <c r="B137" s="74" t="s">
        <v>812</v>
      </c>
      <c r="C137" s="440">
        <v>2</v>
      </c>
      <c r="D137" s="69">
        <f>8+5.5</f>
        <v>13.5</v>
      </c>
      <c r="E137" s="69"/>
      <c r="F137" s="69">
        <v>12</v>
      </c>
      <c r="G137" s="69"/>
      <c r="H137" s="69">
        <f t="shared" si="6"/>
        <v>324</v>
      </c>
      <c r="I137" s="69"/>
      <c r="J137" s="70" t="s">
        <v>21</v>
      </c>
    </row>
    <row r="138" spans="1:10">
      <c r="A138" s="67"/>
      <c r="B138" s="74" t="s">
        <v>813</v>
      </c>
      <c r="C138" s="440">
        <v>1</v>
      </c>
      <c r="D138" s="69">
        <v>10</v>
      </c>
      <c r="E138" s="69"/>
      <c r="F138" s="69">
        <f>4.5+0.58*2</f>
        <v>5.66</v>
      </c>
      <c r="G138" s="69"/>
      <c r="H138" s="69">
        <f t="shared" si="6"/>
        <v>56.6</v>
      </c>
      <c r="I138" s="69"/>
      <c r="J138" s="70" t="s">
        <v>21</v>
      </c>
    </row>
    <row r="139" spans="1:10">
      <c r="A139" s="67"/>
      <c r="B139" s="74" t="s">
        <v>815</v>
      </c>
      <c r="C139" s="440">
        <v>1</v>
      </c>
      <c r="D139" s="69">
        <v>9</v>
      </c>
      <c r="E139" s="69"/>
      <c r="F139" s="69">
        <v>4</v>
      </c>
      <c r="G139" s="69"/>
      <c r="H139" s="69">
        <f t="shared" si="6"/>
        <v>36</v>
      </c>
      <c r="I139" s="69"/>
      <c r="J139" s="70" t="s">
        <v>21</v>
      </c>
    </row>
    <row r="140" spans="1:10">
      <c r="A140" s="67"/>
      <c r="B140" s="74" t="s">
        <v>814</v>
      </c>
      <c r="C140" s="440" t="s">
        <v>816</v>
      </c>
      <c r="D140" s="69">
        <f>0.75</f>
        <v>0.75</v>
      </c>
      <c r="E140" s="69"/>
      <c r="F140" s="69">
        <f>0.58</f>
        <v>0.57999999999999996</v>
      </c>
      <c r="G140" s="69"/>
      <c r="H140" s="69">
        <f>22*0.5*D140*F140</f>
        <v>4.79</v>
      </c>
      <c r="I140" s="69"/>
      <c r="J140" s="70" t="s">
        <v>21</v>
      </c>
    </row>
    <row r="141" spans="1:10">
      <c r="A141" s="67"/>
      <c r="B141" s="67" t="s">
        <v>25</v>
      </c>
      <c r="C141" s="440"/>
      <c r="D141" s="69"/>
      <c r="E141" s="69"/>
      <c r="F141" s="69"/>
      <c r="G141" s="69"/>
      <c r="H141" s="69"/>
      <c r="I141" s="69"/>
      <c r="J141" s="70"/>
    </row>
    <row r="142" spans="1:10">
      <c r="A142" s="67"/>
      <c r="B142" s="58" t="s">
        <v>573</v>
      </c>
      <c r="C142" s="59">
        <f>2*2</f>
        <v>4</v>
      </c>
      <c r="D142" s="69">
        <v>3.25</v>
      </c>
      <c r="E142" s="69"/>
      <c r="F142" s="69">
        <v>7.17</v>
      </c>
      <c r="G142" s="69">
        <f>C142*D142*F142</f>
        <v>93.21</v>
      </c>
      <c r="H142" s="69"/>
      <c r="I142" s="69"/>
      <c r="J142" s="70" t="s">
        <v>21</v>
      </c>
    </row>
    <row r="143" spans="1:10">
      <c r="A143" s="67"/>
      <c r="B143" s="58" t="s">
        <v>574</v>
      </c>
      <c r="C143" s="59">
        <f>2*2</f>
        <v>4</v>
      </c>
      <c r="D143" s="69">
        <v>2.75</v>
      </c>
      <c r="E143" s="69"/>
      <c r="F143" s="69">
        <v>7.17</v>
      </c>
      <c r="G143" s="69">
        <f>C143*D143*F143</f>
        <v>78.87</v>
      </c>
      <c r="H143" s="69"/>
      <c r="I143" s="69"/>
      <c r="J143" s="70" t="s">
        <v>21</v>
      </c>
    </row>
    <row r="144" spans="1:10">
      <c r="A144" s="67"/>
      <c r="B144" s="58" t="s">
        <v>575</v>
      </c>
      <c r="C144" s="59">
        <f>2*1</f>
        <v>2</v>
      </c>
      <c r="D144" s="69">
        <v>3</v>
      </c>
      <c r="E144" s="69"/>
      <c r="F144" s="69">
        <v>7</v>
      </c>
      <c r="G144" s="69">
        <f>C144*D144*F144</f>
        <v>42</v>
      </c>
      <c r="H144" s="69"/>
      <c r="I144" s="69"/>
      <c r="J144" s="70" t="s">
        <v>21</v>
      </c>
    </row>
    <row r="145" spans="1:10">
      <c r="A145" s="67"/>
      <c r="B145" s="74" t="s">
        <v>817</v>
      </c>
      <c r="C145" s="440">
        <v>1</v>
      </c>
      <c r="D145" s="69">
        <f>8*1+5.5*2-2.75</f>
        <v>16.25</v>
      </c>
      <c r="E145" s="69"/>
      <c r="F145" s="69">
        <v>5</v>
      </c>
      <c r="G145" s="69">
        <f>C145*D145*F145</f>
        <v>81.25</v>
      </c>
      <c r="H145" s="69"/>
      <c r="I145" s="69"/>
      <c r="J145" s="70" t="s">
        <v>21</v>
      </c>
    </row>
    <row r="146" spans="1:10">
      <c r="A146" s="67"/>
      <c r="B146" s="74" t="s">
        <v>827</v>
      </c>
      <c r="C146" s="440">
        <v>1</v>
      </c>
      <c r="D146" s="69">
        <f>9*2+4*2</f>
        <v>26</v>
      </c>
      <c r="E146" s="69"/>
      <c r="F146" s="69">
        <v>5</v>
      </c>
      <c r="G146" s="69">
        <f>C146*D146*F146</f>
        <v>130</v>
      </c>
      <c r="H146" s="69"/>
      <c r="I146" s="69"/>
      <c r="J146" s="70" t="s">
        <v>21</v>
      </c>
    </row>
    <row r="147" spans="1:10">
      <c r="A147" s="67"/>
      <c r="B147" s="67"/>
      <c r="C147" s="68"/>
      <c r="D147" s="69"/>
      <c r="E147" s="69"/>
      <c r="F147" s="69"/>
      <c r="G147" s="69"/>
      <c r="H147" s="69"/>
      <c r="I147" s="69"/>
      <c r="J147" s="70"/>
    </row>
    <row r="148" spans="1:10">
      <c r="A148" s="67"/>
      <c r="B148" s="67" t="s">
        <v>768</v>
      </c>
      <c r="C148" s="68">
        <v>2</v>
      </c>
      <c r="D148" s="69">
        <v>25</v>
      </c>
      <c r="E148" s="69"/>
      <c r="F148" s="69">
        <v>12</v>
      </c>
      <c r="G148" s="69"/>
      <c r="H148" s="69">
        <f>C148*D148*F148</f>
        <v>600</v>
      </c>
      <c r="I148" s="69"/>
      <c r="J148" s="70" t="s">
        <v>21</v>
      </c>
    </row>
    <row r="149" spans="1:10">
      <c r="A149" s="67"/>
      <c r="B149" s="67"/>
      <c r="C149" s="68">
        <v>2</v>
      </c>
      <c r="D149" s="69">
        <v>35</v>
      </c>
      <c r="E149" s="69"/>
      <c r="F149" s="69">
        <v>12</v>
      </c>
      <c r="G149" s="69"/>
      <c r="H149" s="69">
        <f>C149*D149*F149</f>
        <v>840</v>
      </c>
      <c r="I149" s="69"/>
      <c r="J149" s="70" t="s">
        <v>21</v>
      </c>
    </row>
    <row r="150" spans="1:10">
      <c r="A150" s="67"/>
      <c r="B150" s="67" t="s">
        <v>25</v>
      </c>
      <c r="C150" s="68"/>
      <c r="D150" s="69"/>
      <c r="E150" s="69"/>
      <c r="F150" s="69"/>
      <c r="G150" s="69"/>
      <c r="H150" s="69"/>
      <c r="I150" s="69"/>
      <c r="J150" s="70"/>
    </row>
    <row r="151" spans="1:10">
      <c r="A151" s="67"/>
      <c r="B151" s="58" t="s">
        <v>555</v>
      </c>
      <c r="C151" s="59">
        <v>2</v>
      </c>
      <c r="D151" s="60">
        <v>3.25</v>
      </c>
      <c r="E151" s="60"/>
      <c r="F151" s="60">
        <v>7.17</v>
      </c>
      <c r="G151" s="60">
        <f t="shared" ref="G151:G157" si="7">C151*D151*F151</f>
        <v>46.61</v>
      </c>
      <c r="H151" s="60"/>
      <c r="I151" s="60"/>
      <c r="J151" s="70" t="s">
        <v>21</v>
      </c>
    </row>
    <row r="152" spans="1:10">
      <c r="A152" s="67"/>
      <c r="B152" s="58" t="s">
        <v>556</v>
      </c>
      <c r="C152" s="59">
        <v>6</v>
      </c>
      <c r="D152" s="60">
        <v>2.17</v>
      </c>
      <c r="E152" s="60"/>
      <c r="F152" s="60">
        <v>5</v>
      </c>
      <c r="G152" s="60">
        <f t="shared" si="7"/>
        <v>65.099999999999994</v>
      </c>
      <c r="H152" s="60"/>
      <c r="I152" s="60"/>
      <c r="J152" s="70" t="s">
        <v>21</v>
      </c>
    </row>
    <row r="153" spans="1:10">
      <c r="A153" s="67"/>
      <c r="B153" s="58" t="s">
        <v>562</v>
      </c>
      <c r="C153" s="59">
        <v>2</v>
      </c>
      <c r="D153" s="60">
        <v>4.33</v>
      </c>
      <c r="E153" s="60"/>
      <c r="F153" s="60">
        <v>5</v>
      </c>
      <c r="G153" s="60">
        <f t="shared" si="7"/>
        <v>43.3</v>
      </c>
      <c r="H153" s="60"/>
      <c r="I153" s="60"/>
      <c r="J153" s="70" t="s">
        <v>21</v>
      </c>
    </row>
    <row r="154" spans="1:10">
      <c r="A154" s="67"/>
      <c r="B154" s="58" t="s">
        <v>559</v>
      </c>
      <c r="C154" s="59">
        <v>2</v>
      </c>
      <c r="D154" s="60">
        <v>2.17</v>
      </c>
      <c r="E154" s="60"/>
      <c r="F154" s="60">
        <v>5</v>
      </c>
      <c r="G154" s="60">
        <f t="shared" si="7"/>
        <v>21.7</v>
      </c>
      <c r="H154" s="60"/>
      <c r="I154" s="60"/>
      <c r="J154" s="70" t="s">
        <v>21</v>
      </c>
    </row>
    <row r="155" spans="1:10">
      <c r="A155" s="67"/>
      <c r="B155" s="58" t="s">
        <v>560</v>
      </c>
      <c r="C155" s="59">
        <v>2</v>
      </c>
      <c r="D155" s="60">
        <v>2.33</v>
      </c>
      <c r="E155" s="60"/>
      <c r="F155" s="60">
        <v>2</v>
      </c>
      <c r="G155" s="60">
        <f t="shared" si="7"/>
        <v>9.32</v>
      </c>
      <c r="H155" s="60"/>
      <c r="I155" s="60"/>
      <c r="J155" s="70" t="s">
        <v>21</v>
      </c>
    </row>
    <row r="156" spans="1:10">
      <c r="A156" s="67"/>
      <c r="B156" s="58" t="s">
        <v>561</v>
      </c>
      <c r="C156" s="59">
        <v>1</v>
      </c>
      <c r="D156" s="60">
        <v>4.33</v>
      </c>
      <c r="E156" s="60"/>
      <c r="F156" s="60">
        <v>5</v>
      </c>
      <c r="G156" s="60">
        <f t="shared" si="7"/>
        <v>21.65</v>
      </c>
      <c r="H156" s="60"/>
      <c r="I156" s="60"/>
      <c r="J156" s="70" t="s">
        <v>21</v>
      </c>
    </row>
    <row r="157" spans="1:10">
      <c r="A157" s="67"/>
      <c r="B157" s="58" t="s">
        <v>825</v>
      </c>
      <c r="C157" s="59">
        <v>1</v>
      </c>
      <c r="D157" s="60">
        <v>16</v>
      </c>
      <c r="E157" s="60"/>
      <c r="F157" s="60">
        <v>5</v>
      </c>
      <c r="G157" s="60">
        <f t="shared" si="7"/>
        <v>80</v>
      </c>
      <c r="H157" s="60"/>
      <c r="I157" s="60"/>
      <c r="J157" s="70" t="s">
        <v>21</v>
      </c>
    </row>
    <row r="158" spans="1:10">
      <c r="A158" s="67"/>
      <c r="B158" s="67" t="s">
        <v>769</v>
      </c>
      <c r="C158" s="68"/>
      <c r="D158" s="69"/>
      <c r="E158" s="69"/>
      <c r="F158" s="69"/>
      <c r="G158" s="69"/>
      <c r="H158" s="69"/>
      <c r="I158" s="69"/>
      <c r="J158" s="70"/>
    </row>
    <row r="159" spans="1:10">
      <c r="A159" s="67"/>
      <c r="B159" s="67" t="s">
        <v>819</v>
      </c>
      <c r="C159" s="68">
        <v>4</v>
      </c>
      <c r="D159" s="69">
        <v>12</v>
      </c>
      <c r="E159" s="69"/>
      <c r="F159" s="69">
        <v>11</v>
      </c>
      <c r="G159" s="60"/>
      <c r="H159" s="60">
        <f>C159*D159*F159</f>
        <v>528</v>
      </c>
      <c r="I159" s="60"/>
      <c r="J159" s="70" t="s">
        <v>21</v>
      </c>
    </row>
    <row r="160" spans="1:10">
      <c r="A160" s="67"/>
      <c r="B160" s="67" t="s">
        <v>818</v>
      </c>
      <c r="C160" s="68">
        <v>2</v>
      </c>
      <c r="D160" s="69">
        <f>16</f>
        <v>16</v>
      </c>
      <c r="E160" s="69"/>
      <c r="F160" s="69">
        <v>11</v>
      </c>
      <c r="G160" s="60"/>
      <c r="H160" s="60">
        <f>C160*D160*F160</f>
        <v>352</v>
      </c>
      <c r="I160" s="60"/>
      <c r="J160" s="70" t="s">
        <v>21</v>
      </c>
    </row>
    <row r="161" spans="1:10">
      <c r="A161" s="67"/>
      <c r="B161" s="67" t="s">
        <v>821</v>
      </c>
      <c r="C161" s="68">
        <v>2</v>
      </c>
      <c r="D161" s="69">
        <v>3.25</v>
      </c>
      <c r="E161" s="69"/>
      <c r="F161" s="69">
        <v>7.17</v>
      </c>
      <c r="G161" s="69">
        <f>C161*D161*F161</f>
        <v>46.61</v>
      </c>
      <c r="H161" s="69"/>
      <c r="I161" s="69"/>
      <c r="J161" s="70" t="s">
        <v>21</v>
      </c>
    </row>
    <row r="162" spans="1:10">
      <c r="A162" s="67"/>
      <c r="B162" s="67" t="s">
        <v>820</v>
      </c>
      <c r="C162" s="68">
        <v>2</v>
      </c>
      <c r="D162" s="69">
        <f>16+4</f>
        <v>20</v>
      </c>
      <c r="E162" s="69"/>
      <c r="F162" s="69">
        <v>11</v>
      </c>
      <c r="G162" s="69"/>
      <c r="H162" s="60">
        <f>C162*D162*F162</f>
        <v>440</v>
      </c>
      <c r="I162" s="60"/>
      <c r="J162" s="70" t="s">
        <v>21</v>
      </c>
    </row>
    <row r="163" spans="1:10">
      <c r="A163" s="67"/>
      <c r="B163" s="67" t="s">
        <v>821</v>
      </c>
      <c r="C163" s="68">
        <v>2</v>
      </c>
      <c r="D163" s="69">
        <v>3.25</v>
      </c>
      <c r="E163" s="69"/>
      <c r="F163" s="69">
        <v>7.17</v>
      </c>
      <c r="G163" s="69">
        <f>C163*D163*F163</f>
        <v>46.61</v>
      </c>
      <c r="H163" s="69"/>
      <c r="I163" s="69"/>
      <c r="J163" s="70" t="s">
        <v>21</v>
      </c>
    </row>
    <row r="164" spans="1:10">
      <c r="A164" s="67"/>
      <c r="B164" s="67" t="s">
        <v>822</v>
      </c>
      <c r="C164" s="68">
        <v>1</v>
      </c>
      <c r="D164" s="69">
        <f>16+5*2</f>
        <v>26</v>
      </c>
      <c r="E164" s="69"/>
      <c r="F164" s="69">
        <v>11</v>
      </c>
      <c r="G164" s="69"/>
      <c r="H164" s="60">
        <f>C164*D164*F164</f>
        <v>286</v>
      </c>
      <c r="I164" s="60"/>
      <c r="J164" s="70" t="s">
        <v>21</v>
      </c>
    </row>
    <row r="165" spans="1:10">
      <c r="A165" s="67"/>
      <c r="B165" s="67" t="s">
        <v>823</v>
      </c>
      <c r="C165" s="68">
        <v>2</v>
      </c>
      <c r="D165" s="69">
        <v>2.75</v>
      </c>
      <c r="E165" s="69"/>
      <c r="F165" s="69">
        <v>7.17</v>
      </c>
      <c r="G165" s="69">
        <f>C165*D165*F165</f>
        <v>39.44</v>
      </c>
      <c r="H165" s="69"/>
      <c r="I165" s="69"/>
      <c r="J165" s="70" t="s">
        <v>21</v>
      </c>
    </row>
    <row r="166" spans="1:10">
      <c r="A166" s="67"/>
      <c r="B166" s="67" t="s">
        <v>824</v>
      </c>
      <c r="C166" s="68">
        <v>1</v>
      </c>
      <c r="D166" s="69">
        <f>16+5*2-2.75*2</f>
        <v>20.5</v>
      </c>
      <c r="E166" s="69"/>
      <c r="F166" s="69">
        <v>5</v>
      </c>
      <c r="G166" s="69">
        <f>C166*D166*F166</f>
        <v>102.5</v>
      </c>
      <c r="H166" s="69"/>
      <c r="I166" s="69"/>
      <c r="J166" s="70" t="s">
        <v>21</v>
      </c>
    </row>
    <row r="167" spans="1:10">
      <c r="A167" s="67"/>
      <c r="B167" s="67"/>
      <c r="C167" s="68"/>
      <c r="D167" s="69"/>
      <c r="E167" s="69"/>
      <c r="F167" s="69"/>
      <c r="G167" s="69">
        <f>SUM(G118:G166)</f>
        <v>1214.23</v>
      </c>
      <c r="H167" s="69">
        <f>SUM(H118:H166)</f>
        <v>6828.55</v>
      </c>
      <c r="I167" s="69">
        <f>H167-G167</f>
        <v>5614.32</v>
      </c>
      <c r="J167" s="70" t="s">
        <v>21</v>
      </c>
    </row>
    <row r="168" spans="1:10">
      <c r="A168" s="67"/>
      <c r="B168" s="67"/>
      <c r="C168" s="68"/>
      <c r="D168" s="69"/>
      <c r="E168" s="69"/>
      <c r="F168" s="69"/>
      <c r="G168" s="69"/>
      <c r="H168" s="69"/>
      <c r="I168" s="69"/>
      <c r="J168" s="70"/>
    </row>
    <row r="169" spans="1:10">
      <c r="A169" s="67"/>
      <c r="B169" s="138" t="s">
        <v>842</v>
      </c>
      <c r="C169" s="68"/>
      <c r="D169" s="69"/>
      <c r="E169" s="69"/>
      <c r="F169" s="69"/>
      <c r="G169" s="69"/>
      <c r="H169" s="69"/>
      <c r="I169" s="69"/>
      <c r="J169" s="70"/>
    </row>
    <row r="170" spans="1:10">
      <c r="A170" s="67"/>
      <c r="B170" s="67" t="s">
        <v>844</v>
      </c>
      <c r="C170" s="68">
        <v>1</v>
      </c>
      <c r="D170" s="69">
        <f>I18+I24+I40</f>
        <v>2223.4499999999998</v>
      </c>
      <c r="E170" s="69" t="s">
        <v>21</v>
      </c>
      <c r="F170" s="69"/>
      <c r="G170" s="69"/>
      <c r="H170" s="69">
        <f>C170*D170</f>
        <v>2223.4499999999998</v>
      </c>
      <c r="I170" s="69"/>
      <c r="J170" s="70" t="s">
        <v>21</v>
      </c>
    </row>
    <row r="171" spans="1:10">
      <c r="A171" s="67"/>
      <c r="B171" s="67" t="s">
        <v>830</v>
      </c>
      <c r="C171" s="68">
        <v>1</v>
      </c>
      <c r="D171" s="69">
        <v>12</v>
      </c>
      <c r="E171" s="69">
        <v>6</v>
      </c>
      <c r="F171" s="69"/>
      <c r="G171" s="69"/>
      <c r="H171" s="69">
        <f>C171*D171*E171</f>
        <v>72</v>
      </c>
      <c r="I171" s="69"/>
      <c r="J171" s="70" t="s">
        <v>21</v>
      </c>
    </row>
    <row r="172" spans="1:10">
      <c r="A172" s="67"/>
      <c r="B172" s="67" t="s">
        <v>831</v>
      </c>
      <c r="C172" s="68">
        <v>1</v>
      </c>
      <c r="D172" s="69">
        <v>13</v>
      </c>
      <c r="E172" s="69">
        <v>3.5</v>
      </c>
      <c r="F172" s="69"/>
      <c r="G172" s="69"/>
      <c r="H172" s="69">
        <f>C172*D172*E172</f>
        <v>45.5</v>
      </c>
      <c r="I172" s="69"/>
      <c r="J172" s="70" t="s">
        <v>21</v>
      </c>
    </row>
    <row r="173" spans="1:10">
      <c r="A173" s="67"/>
      <c r="B173" s="67" t="s">
        <v>832</v>
      </c>
      <c r="C173" s="68">
        <v>1</v>
      </c>
      <c r="D173" s="69">
        <v>9.25</v>
      </c>
      <c r="E173" s="69">
        <v>3.5</v>
      </c>
      <c r="F173" s="69"/>
      <c r="G173" s="69"/>
      <c r="H173" s="69">
        <f>C173*D173*E173</f>
        <v>32.380000000000003</v>
      </c>
      <c r="I173" s="69"/>
      <c r="J173" s="70" t="s">
        <v>21</v>
      </c>
    </row>
    <row r="174" spans="1:10">
      <c r="A174" s="67"/>
      <c r="B174" s="67"/>
      <c r="C174" s="68"/>
      <c r="D174" s="69"/>
      <c r="E174" s="69"/>
      <c r="F174" s="69"/>
      <c r="G174" s="69"/>
      <c r="H174" s="69"/>
      <c r="I174" s="69">
        <f>SUM(H169:H174)</f>
        <v>2373.33</v>
      </c>
      <c r="J174" s="70" t="s">
        <v>21</v>
      </c>
    </row>
    <row r="175" spans="1:10">
      <c r="A175" s="67"/>
      <c r="B175" s="67"/>
      <c r="C175" s="68"/>
      <c r="D175" s="69"/>
      <c r="E175" s="69"/>
      <c r="F175" s="69"/>
      <c r="G175" s="69"/>
      <c r="H175" s="69"/>
      <c r="I175" s="69"/>
      <c r="J175" s="70"/>
    </row>
    <row r="176" spans="1:10">
      <c r="A176" s="67"/>
      <c r="B176" s="138" t="s">
        <v>843</v>
      </c>
      <c r="C176" s="68"/>
      <c r="D176" s="69"/>
      <c r="E176" s="69"/>
      <c r="F176" s="69"/>
      <c r="G176" s="69"/>
      <c r="H176" s="69"/>
      <c r="I176" s="69"/>
      <c r="J176" s="70"/>
    </row>
    <row r="177" spans="1:10">
      <c r="A177" s="67"/>
      <c r="B177" s="67" t="s">
        <v>714</v>
      </c>
      <c r="C177" s="68">
        <v>1</v>
      </c>
      <c r="D177" s="69">
        <f>'Detail-Skeleton'!J1005</f>
        <v>20.84</v>
      </c>
      <c r="E177" s="69">
        <f>(5+3+3)/12</f>
        <v>0.92</v>
      </c>
      <c r="F177" s="69"/>
      <c r="G177" s="69"/>
      <c r="H177" s="69">
        <f>C177*D177*E177</f>
        <v>19.170000000000002</v>
      </c>
      <c r="I177" s="69"/>
      <c r="J177" s="70" t="s">
        <v>21</v>
      </c>
    </row>
    <row r="178" spans="1:10">
      <c r="A178" s="67"/>
      <c r="B178" s="67" t="s">
        <v>695</v>
      </c>
      <c r="C178" s="68">
        <v>1</v>
      </c>
      <c r="D178" s="69">
        <f>'Detail-Skeleton'!J1009</f>
        <v>227.08</v>
      </c>
      <c r="E178" s="69">
        <f>(5+2+2)/12</f>
        <v>0.75</v>
      </c>
      <c r="F178" s="69"/>
      <c r="G178" s="69"/>
      <c r="H178" s="69">
        <f>C178*D178*E178</f>
        <v>170.31</v>
      </c>
      <c r="I178" s="69"/>
      <c r="J178" s="70" t="s">
        <v>21</v>
      </c>
    </row>
    <row r="179" spans="1:10">
      <c r="A179" s="67"/>
      <c r="B179" s="67" t="s">
        <v>728</v>
      </c>
      <c r="C179" s="68">
        <v>2</v>
      </c>
      <c r="D179" s="69">
        <f>I202</f>
        <v>273</v>
      </c>
      <c r="E179" s="69" t="s">
        <v>21</v>
      </c>
      <c r="F179" s="69"/>
      <c r="G179" s="69"/>
      <c r="H179" s="69">
        <f>C179*D179</f>
        <v>546</v>
      </c>
      <c r="I179" s="69"/>
      <c r="J179" s="70" t="s">
        <v>21</v>
      </c>
    </row>
    <row r="180" spans="1:10">
      <c r="A180" s="67"/>
      <c r="B180" s="67" t="s">
        <v>906</v>
      </c>
      <c r="C180" s="68">
        <v>1</v>
      </c>
      <c r="D180" s="69">
        <f>I282</f>
        <v>28.7</v>
      </c>
      <c r="E180" s="69"/>
      <c r="F180" s="69">
        <f>(3+1.5+3+1.5)/12</f>
        <v>0.75</v>
      </c>
      <c r="G180" s="69"/>
      <c r="H180" s="69">
        <f>C180*D180</f>
        <v>28.7</v>
      </c>
      <c r="I180" s="69"/>
      <c r="J180" s="70" t="s">
        <v>21</v>
      </c>
    </row>
    <row r="181" spans="1:10">
      <c r="A181" s="67"/>
      <c r="B181" s="67" t="s">
        <v>890</v>
      </c>
      <c r="C181" s="68">
        <v>1</v>
      </c>
      <c r="D181" s="69">
        <f>I288</f>
        <v>199.8</v>
      </c>
      <c r="E181" s="69"/>
      <c r="F181" s="69">
        <f>1.5*4/12</f>
        <v>0.5</v>
      </c>
      <c r="G181" s="69"/>
      <c r="H181" s="69">
        <f>C181*D181</f>
        <v>199.8</v>
      </c>
      <c r="I181" s="69"/>
      <c r="J181" s="70" t="s">
        <v>21</v>
      </c>
    </row>
    <row r="182" spans="1:10">
      <c r="A182" s="67"/>
      <c r="B182" s="67"/>
      <c r="C182" s="68"/>
      <c r="D182" s="69"/>
      <c r="E182" s="69"/>
      <c r="F182" s="69"/>
      <c r="G182" s="69"/>
      <c r="H182" s="69"/>
      <c r="I182" s="69">
        <f>SUM(H177:H182)</f>
        <v>963.98</v>
      </c>
      <c r="J182" s="70" t="s">
        <v>21</v>
      </c>
    </row>
    <row r="183" spans="1:10">
      <c r="A183" s="67"/>
      <c r="B183" s="67"/>
      <c r="C183" s="68"/>
      <c r="D183" s="69"/>
      <c r="E183" s="69"/>
      <c r="F183" s="69"/>
      <c r="G183" s="69"/>
      <c r="H183" s="69"/>
      <c r="I183" s="69"/>
      <c r="J183" s="70"/>
    </row>
    <row r="184" spans="1:10">
      <c r="A184" s="300">
        <v>3</v>
      </c>
      <c r="B184" s="138" t="s">
        <v>863</v>
      </c>
      <c r="C184" s="68"/>
      <c r="D184" s="69"/>
      <c r="E184" s="69"/>
      <c r="F184" s="69"/>
      <c r="G184" s="69"/>
      <c r="H184" s="71"/>
      <c r="I184" s="69"/>
      <c r="J184" s="70"/>
    </row>
    <row r="185" spans="1:10">
      <c r="A185" s="300"/>
      <c r="B185" s="90" t="s">
        <v>727</v>
      </c>
      <c r="C185" s="68"/>
      <c r="D185" s="83"/>
      <c r="E185" s="69"/>
      <c r="F185" s="83"/>
      <c r="G185" s="69"/>
      <c r="H185" s="71"/>
      <c r="I185" s="69"/>
      <c r="J185" s="70"/>
    </row>
    <row r="186" spans="1:10">
      <c r="A186" s="67"/>
      <c r="B186" s="227" t="s">
        <v>684</v>
      </c>
      <c r="C186" s="438">
        <v>10</v>
      </c>
      <c r="D186" s="228">
        <f>676/1000*3.281</f>
        <v>2.2200000000000002</v>
      </c>
      <c r="E186" s="437"/>
      <c r="F186" s="228">
        <f>1500/1000*3.281</f>
        <v>4.92</v>
      </c>
      <c r="G186" s="69"/>
      <c r="H186" s="71">
        <f>C186*D186*F186</f>
        <v>109.2</v>
      </c>
      <c r="I186" s="69"/>
      <c r="J186" s="70" t="s">
        <v>21</v>
      </c>
    </row>
    <row r="187" spans="1:10">
      <c r="A187" s="67"/>
      <c r="B187" s="219" t="s">
        <v>685</v>
      </c>
      <c r="C187" s="438">
        <v>2</v>
      </c>
      <c r="D187" s="220">
        <f>1314/1000*3.281</f>
        <v>4.3099999999999996</v>
      </c>
      <c r="E187" s="437"/>
      <c r="F187" s="220">
        <f>1500/1000*3.281</f>
        <v>4.92</v>
      </c>
      <c r="G187" s="69"/>
      <c r="H187" s="71">
        <f t="shared" ref="H187:H192" si="8">C187*D187*F187</f>
        <v>42.4</v>
      </c>
      <c r="I187" s="69"/>
      <c r="J187" s="70" t="s">
        <v>21</v>
      </c>
    </row>
    <row r="188" spans="1:10">
      <c r="A188" s="67"/>
      <c r="B188" s="219" t="s">
        <v>686</v>
      </c>
      <c r="C188" s="438">
        <v>6</v>
      </c>
      <c r="D188" s="220">
        <f>1952/1000*3.281</f>
        <v>6.4</v>
      </c>
      <c r="E188" s="437"/>
      <c r="F188" s="220">
        <f>1500/1000*3.281</f>
        <v>4.92</v>
      </c>
      <c r="G188" s="69"/>
      <c r="H188" s="71">
        <f t="shared" si="8"/>
        <v>188.9</v>
      </c>
      <c r="I188" s="69"/>
      <c r="J188" s="70" t="s">
        <v>21</v>
      </c>
    </row>
    <row r="189" spans="1:10">
      <c r="A189" s="67"/>
      <c r="B189" s="219" t="s">
        <v>687</v>
      </c>
      <c r="C189" s="438">
        <v>1</v>
      </c>
      <c r="D189" s="220">
        <f>700/1000*3.281</f>
        <v>2.2999999999999998</v>
      </c>
      <c r="E189" s="437"/>
      <c r="F189" s="220">
        <f>1300/1000*3.281</f>
        <v>4.2699999999999996</v>
      </c>
      <c r="G189" s="69"/>
      <c r="H189" s="71">
        <f t="shared" si="8"/>
        <v>9.8000000000000007</v>
      </c>
      <c r="I189" s="69"/>
      <c r="J189" s="70" t="s">
        <v>21</v>
      </c>
    </row>
    <row r="190" spans="1:10">
      <c r="A190" s="67"/>
      <c r="B190" s="219" t="s">
        <v>688</v>
      </c>
      <c r="C190" s="68">
        <v>0</v>
      </c>
      <c r="D190" s="220">
        <f>676/1000*3.281</f>
        <v>2.2200000000000002</v>
      </c>
      <c r="E190" s="437"/>
      <c r="F190" s="220">
        <f>676/1000*3.281</f>
        <v>2.2200000000000002</v>
      </c>
      <c r="G190" s="69"/>
      <c r="H190" s="71">
        <f t="shared" si="8"/>
        <v>0</v>
      </c>
      <c r="I190" s="69"/>
      <c r="J190" s="70" t="s">
        <v>21</v>
      </c>
    </row>
    <row r="191" spans="1:10">
      <c r="A191" s="67"/>
      <c r="B191" s="219" t="s">
        <v>689</v>
      </c>
      <c r="C191" s="438">
        <v>2</v>
      </c>
      <c r="D191" s="220">
        <f>1314/1000*3.281</f>
        <v>4.3099999999999996</v>
      </c>
      <c r="E191" s="437"/>
      <c r="F191" s="220">
        <f>1500/1000*3.281</f>
        <v>4.92</v>
      </c>
      <c r="G191" s="69"/>
      <c r="H191" s="71">
        <f t="shared" si="8"/>
        <v>42.4</v>
      </c>
      <c r="I191" s="69"/>
      <c r="J191" s="70" t="s">
        <v>21</v>
      </c>
    </row>
    <row r="192" spans="1:10">
      <c r="A192" s="67"/>
      <c r="B192" s="219" t="s">
        <v>690</v>
      </c>
      <c r="C192" s="438">
        <v>3</v>
      </c>
      <c r="D192" s="220">
        <f>700/1000*3.281</f>
        <v>2.2999999999999998</v>
      </c>
      <c r="E192" s="437"/>
      <c r="F192" s="220">
        <f>1300/1000*3.281</f>
        <v>4.2699999999999996</v>
      </c>
      <c r="G192" s="69"/>
      <c r="H192" s="71">
        <f t="shared" si="8"/>
        <v>29.5</v>
      </c>
      <c r="I192" s="69"/>
      <c r="J192" s="70" t="s">
        <v>21</v>
      </c>
    </row>
    <row r="193" spans="1:10">
      <c r="A193" s="67"/>
      <c r="B193" s="219"/>
      <c r="C193" s="68"/>
      <c r="D193" s="69"/>
      <c r="E193" s="69"/>
      <c r="F193" s="69"/>
      <c r="G193" s="69"/>
      <c r="H193" s="139"/>
      <c r="I193" s="122">
        <f>SUM(H186:H193)</f>
        <v>422.2</v>
      </c>
      <c r="J193" s="123" t="s">
        <v>21</v>
      </c>
    </row>
    <row r="194" spans="1:10">
      <c r="A194" s="67"/>
      <c r="B194" s="229" t="s">
        <v>864</v>
      </c>
      <c r="C194" s="68"/>
      <c r="D194" s="69"/>
      <c r="E194" s="69"/>
      <c r="F194" s="69"/>
      <c r="G194" s="69"/>
      <c r="H194" s="139"/>
      <c r="I194" s="122"/>
      <c r="J194" s="123"/>
    </row>
    <row r="195" spans="1:10">
      <c r="A195" s="67"/>
      <c r="B195" s="94" t="s">
        <v>575</v>
      </c>
      <c r="C195" s="59">
        <v>1</v>
      </c>
      <c r="D195" s="69">
        <v>3</v>
      </c>
      <c r="E195" s="69"/>
      <c r="F195" s="69">
        <v>7</v>
      </c>
      <c r="G195" s="69"/>
      <c r="H195" s="71">
        <f>C195*D195*F195</f>
        <v>21</v>
      </c>
      <c r="I195" s="69"/>
      <c r="J195" s="70" t="s">
        <v>21</v>
      </c>
    </row>
    <row r="196" spans="1:10">
      <c r="A196" s="67"/>
      <c r="B196" s="219"/>
      <c r="C196" s="68"/>
      <c r="D196" s="69"/>
      <c r="E196" s="69"/>
      <c r="F196" s="69"/>
      <c r="G196" s="69"/>
      <c r="H196" s="71"/>
      <c r="I196" s="122">
        <f>SUM(H195:H196)</f>
        <v>21</v>
      </c>
      <c r="J196" s="123" t="s">
        <v>21</v>
      </c>
    </row>
    <row r="197" spans="1:10">
      <c r="A197" s="67"/>
      <c r="B197" s="219"/>
      <c r="C197" s="68"/>
      <c r="D197" s="69"/>
      <c r="E197" s="69"/>
      <c r="F197" s="69"/>
      <c r="G197" s="69"/>
      <c r="H197" s="71"/>
      <c r="I197" s="69"/>
      <c r="J197" s="70"/>
    </row>
    <row r="198" spans="1:10">
      <c r="A198" s="300">
        <v>4</v>
      </c>
      <c r="B198" s="138" t="s">
        <v>728</v>
      </c>
      <c r="C198" s="68"/>
      <c r="D198" s="69"/>
      <c r="E198" s="69"/>
      <c r="F198" s="69"/>
      <c r="G198" s="69"/>
      <c r="H198" s="71"/>
      <c r="I198" s="69"/>
      <c r="J198" s="70"/>
    </row>
    <row r="199" spans="1:10">
      <c r="A199" s="67"/>
      <c r="B199" s="58" t="s">
        <v>554</v>
      </c>
      <c r="C199" s="68">
        <v>1</v>
      </c>
      <c r="D199" s="69">
        <v>5</v>
      </c>
      <c r="E199" s="69"/>
      <c r="F199" s="69">
        <v>7</v>
      </c>
      <c r="G199" s="69"/>
      <c r="H199" s="71">
        <f>C199*D199*F199</f>
        <v>35</v>
      </c>
      <c r="I199" s="69"/>
      <c r="J199" s="70" t="s">
        <v>21</v>
      </c>
    </row>
    <row r="200" spans="1:10">
      <c r="A200" s="67"/>
      <c r="B200" s="58" t="s">
        <v>555</v>
      </c>
      <c r="C200" s="59">
        <v>8</v>
      </c>
      <c r="D200" s="69">
        <v>3</v>
      </c>
      <c r="E200" s="69"/>
      <c r="F200" s="69">
        <v>7</v>
      </c>
      <c r="G200" s="69"/>
      <c r="H200" s="71">
        <f>C200*D200*F200</f>
        <v>168</v>
      </c>
      <c r="I200" s="69"/>
      <c r="J200" s="70" t="s">
        <v>21</v>
      </c>
    </row>
    <row r="201" spans="1:10">
      <c r="A201" s="67"/>
      <c r="B201" s="58" t="s">
        <v>637</v>
      </c>
      <c r="C201" s="59">
        <f>2+2</f>
        <v>4</v>
      </c>
      <c r="D201" s="69">
        <v>2.5</v>
      </c>
      <c r="E201" s="69"/>
      <c r="F201" s="69">
        <v>7</v>
      </c>
      <c r="G201" s="69"/>
      <c r="H201" s="71">
        <f>C201*D201*F201</f>
        <v>70</v>
      </c>
      <c r="I201" s="69"/>
      <c r="J201" s="70" t="s">
        <v>21</v>
      </c>
    </row>
    <row r="202" spans="1:10">
      <c r="A202" s="67"/>
      <c r="B202" s="58"/>
      <c r="C202" s="68"/>
      <c r="D202" s="69"/>
      <c r="E202" s="69"/>
      <c r="F202" s="69"/>
      <c r="G202" s="69"/>
      <c r="H202" s="139"/>
      <c r="I202" s="122">
        <f>SUM(H199:H202)</f>
        <v>273</v>
      </c>
      <c r="J202" s="123" t="s">
        <v>21</v>
      </c>
    </row>
    <row r="203" spans="1:10">
      <c r="A203" s="67"/>
      <c r="B203" s="58"/>
      <c r="C203" s="68"/>
      <c r="D203" s="69"/>
      <c r="E203" s="69"/>
      <c r="F203" s="69"/>
      <c r="G203" s="69"/>
      <c r="H203" s="71"/>
      <c r="I203" s="69"/>
      <c r="J203" s="70"/>
    </row>
    <row r="204" spans="1:10">
      <c r="A204" s="300">
        <v>5</v>
      </c>
      <c r="B204" s="138" t="s">
        <v>706</v>
      </c>
      <c r="C204" s="68"/>
      <c r="D204" s="69"/>
      <c r="E204" s="69"/>
      <c r="F204" s="69"/>
      <c r="G204" s="69"/>
      <c r="H204" s="71"/>
      <c r="I204" s="69"/>
      <c r="J204" s="70"/>
    </row>
    <row r="205" spans="1:10">
      <c r="A205" s="67"/>
      <c r="B205" s="138" t="s">
        <v>754</v>
      </c>
      <c r="C205" s="68"/>
      <c r="D205" s="69"/>
      <c r="E205" s="69"/>
      <c r="F205" s="69"/>
      <c r="G205" s="69"/>
      <c r="H205" s="71"/>
      <c r="I205" s="69"/>
      <c r="J205" s="70"/>
    </row>
    <row r="206" spans="1:10">
      <c r="A206" s="67"/>
      <c r="B206" s="138" t="s">
        <v>73</v>
      </c>
      <c r="C206" s="68"/>
      <c r="D206" s="69"/>
      <c r="E206" s="69"/>
      <c r="F206" s="69"/>
      <c r="G206" s="69"/>
      <c r="H206" s="71"/>
      <c r="I206" s="69"/>
      <c r="J206" s="70"/>
    </row>
    <row r="207" spans="1:10">
      <c r="A207" s="67"/>
      <c r="B207" s="74" t="s">
        <v>738</v>
      </c>
      <c r="C207" s="68">
        <v>1</v>
      </c>
      <c r="D207" s="69">
        <f>11.5+2.5</f>
        <v>14</v>
      </c>
      <c r="E207" s="69"/>
      <c r="F207" s="69">
        <f>16</f>
        <v>16</v>
      </c>
      <c r="G207" s="69"/>
      <c r="H207" s="71">
        <f t="shared" ref="H207:H213" si="9">C207*D207*F207</f>
        <v>224</v>
      </c>
      <c r="I207" s="69"/>
      <c r="J207" s="70" t="s">
        <v>21</v>
      </c>
    </row>
    <row r="208" spans="1:10">
      <c r="A208" s="67"/>
      <c r="B208" s="74" t="s">
        <v>716</v>
      </c>
      <c r="C208" s="68">
        <v>1</v>
      </c>
      <c r="D208" s="69">
        <v>7.5</v>
      </c>
      <c r="E208" s="69"/>
      <c r="F208" s="69">
        <v>5</v>
      </c>
      <c r="G208" s="69"/>
      <c r="H208" s="71">
        <f t="shared" si="9"/>
        <v>37.5</v>
      </c>
      <c r="I208" s="69"/>
      <c r="J208" s="70" t="s">
        <v>21</v>
      </c>
    </row>
    <row r="209" spans="1:11">
      <c r="A209" s="67"/>
      <c r="B209" s="74" t="s">
        <v>725</v>
      </c>
      <c r="C209" s="68">
        <v>1</v>
      </c>
      <c r="D209" s="69">
        <v>7.5</v>
      </c>
      <c r="E209" s="69"/>
      <c r="F209" s="69">
        <v>4</v>
      </c>
      <c r="G209" s="69"/>
      <c r="H209" s="71">
        <f t="shared" si="9"/>
        <v>30</v>
      </c>
      <c r="I209" s="69"/>
      <c r="J209" s="70" t="s">
        <v>21</v>
      </c>
    </row>
    <row r="210" spans="1:11">
      <c r="A210" s="67"/>
      <c r="B210" s="74" t="s">
        <v>826</v>
      </c>
      <c r="C210" s="68">
        <v>1</v>
      </c>
      <c r="D210" s="69">
        <v>4</v>
      </c>
      <c r="E210" s="69"/>
      <c r="F210" s="69">
        <v>6</v>
      </c>
      <c r="G210" s="69"/>
      <c r="H210" s="71">
        <f t="shared" si="9"/>
        <v>24</v>
      </c>
      <c r="I210" s="69"/>
      <c r="J210" s="70" t="s">
        <v>21</v>
      </c>
    </row>
    <row r="211" spans="1:11">
      <c r="A211" s="67"/>
      <c r="B211" s="74" t="s">
        <v>709</v>
      </c>
      <c r="C211" s="68">
        <v>1</v>
      </c>
      <c r="D211" s="69">
        <v>12</v>
      </c>
      <c r="E211" s="69"/>
      <c r="F211" s="69">
        <v>4.5</v>
      </c>
      <c r="G211" s="69"/>
      <c r="H211" s="71">
        <f t="shared" si="9"/>
        <v>54</v>
      </c>
      <c r="I211" s="69"/>
      <c r="J211" s="70" t="s">
        <v>21</v>
      </c>
    </row>
    <row r="212" spans="1:11">
      <c r="A212" s="67"/>
      <c r="B212" s="74" t="s">
        <v>101</v>
      </c>
      <c r="C212" s="68">
        <v>1</v>
      </c>
      <c r="D212" s="69">
        <v>9</v>
      </c>
      <c r="E212" s="69"/>
      <c r="F212" s="69">
        <v>1.5</v>
      </c>
      <c r="G212" s="69"/>
      <c r="H212" s="71">
        <f t="shared" si="9"/>
        <v>13.5</v>
      </c>
      <c r="I212" s="69"/>
      <c r="J212" s="70" t="s">
        <v>21</v>
      </c>
    </row>
    <row r="213" spans="1:11">
      <c r="A213" s="67"/>
      <c r="B213" s="74" t="s">
        <v>749</v>
      </c>
      <c r="C213" s="68">
        <v>1</v>
      </c>
      <c r="D213" s="69">
        <v>9</v>
      </c>
      <c r="E213" s="69"/>
      <c r="F213" s="69">
        <v>2</v>
      </c>
      <c r="G213" s="69"/>
      <c r="H213" s="71">
        <f t="shared" si="9"/>
        <v>18</v>
      </c>
      <c r="I213" s="69"/>
      <c r="J213" s="70" t="s">
        <v>21</v>
      </c>
    </row>
    <row r="214" spans="1:11">
      <c r="A214" s="67"/>
      <c r="B214" s="74"/>
      <c r="C214" s="68"/>
      <c r="D214" s="69"/>
      <c r="E214" s="69"/>
      <c r="F214" s="69"/>
      <c r="G214" s="69"/>
      <c r="H214" s="71"/>
      <c r="I214" s="69"/>
      <c r="J214" s="70"/>
    </row>
    <row r="215" spans="1:11">
      <c r="A215" s="67"/>
      <c r="B215" s="138" t="s">
        <v>137</v>
      </c>
      <c r="C215" s="68"/>
      <c r="D215" s="69"/>
      <c r="E215" s="69"/>
      <c r="F215" s="69"/>
      <c r="G215" s="69"/>
      <c r="H215" s="71"/>
      <c r="I215" s="69"/>
      <c r="J215" s="70"/>
    </row>
    <row r="216" spans="1:11">
      <c r="A216" s="67"/>
      <c r="B216" s="74" t="s">
        <v>744</v>
      </c>
      <c r="C216" s="68">
        <v>1</v>
      </c>
      <c r="D216" s="69">
        <v>8</v>
      </c>
      <c r="E216" s="69"/>
      <c r="F216" s="69">
        <v>8</v>
      </c>
      <c r="G216" s="69"/>
      <c r="H216" s="71">
        <f t="shared" ref="H216:H222" si="10">C216*D216*F216</f>
        <v>64</v>
      </c>
      <c r="I216" s="69"/>
      <c r="J216" s="70" t="s">
        <v>21</v>
      </c>
      <c r="K216">
        <f>185*4</f>
        <v>740</v>
      </c>
    </row>
    <row r="217" spans="1:11">
      <c r="A217" s="67"/>
      <c r="B217" s="74" t="s">
        <v>745</v>
      </c>
      <c r="C217" s="68">
        <v>1</v>
      </c>
      <c r="D217" s="69">
        <v>11</v>
      </c>
      <c r="E217" s="69"/>
      <c r="F217" s="69">
        <v>9.5</v>
      </c>
      <c r="G217" s="69"/>
      <c r="H217" s="71">
        <f t="shared" si="10"/>
        <v>104.5</v>
      </c>
      <c r="I217" s="69"/>
      <c r="J217" s="70" t="s">
        <v>21</v>
      </c>
    </row>
    <row r="218" spans="1:11">
      <c r="A218" s="67"/>
      <c r="B218" s="74" t="s">
        <v>746</v>
      </c>
      <c r="C218" s="68">
        <v>1</v>
      </c>
      <c r="D218" s="69">
        <v>3.5</v>
      </c>
      <c r="E218" s="69"/>
      <c r="F218" s="69">
        <v>5.5</v>
      </c>
      <c r="G218" s="69"/>
      <c r="H218" s="71">
        <f t="shared" si="10"/>
        <v>19.3</v>
      </c>
      <c r="I218" s="69"/>
      <c r="J218" s="70" t="s">
        <v>21</v>
      </c>
    </row>
    <row r="219" spans="1:11">
      <c r="A219" s="67"/>
      <c r="B219" s="74" t="s">
        <v>747</v>
      </c>
      <c r="C219" s="68">
        <v>1</v>
      </c>
      <c r="D219" s="69">
        <v>7.5</v>
      </c>
      <c r="E219" s="69"/>
      <c r="F219" s="69">
        <v>5</v>
      </c>
      <c r="G219" s="69"/>
      <c r="H219" s="71">
        <f t="shared" si="10"/>
        <v>37.5</v>
      </c>
      <c r="I219" s="69"/>
      <c r="J219" s="70" t="s">
        <v>21</v>
      </c>
    </row>
    <row r="220" spans="1:11">
      <c r="A220" s="67"/>
      <c r="B220" s="74" t="s">
        <v>748</v>
      </c>
      <c r="C220" s="68">
        <v>1</v>
      </c>
      <c r="D220" s="69">
        <v>7</v>
      </c>
      <c r="E220" s="69"/>
      <c r="F220" s="69">
        <v>5</v>
      </c>
      <c r="G220" s="69"/>
      <c r="H220" s="71">
        <f t="shared" si="10"/>
        <v>35</v>
      </c>
      <c r="I220" s="69"/>
      <c r="J220" s="70" t="s">
        <v>21</v>
      </c>
    </row>
    <row r="221" spans="1:11">
      <c r="A221" s="67"/>
      <c r="B221" s="74" t="s">
        <v>710</v>
      </c>
      <c r="C221" s="68">
        <v>1</v>
      </c>
      <c r="D221" s="69">
        <v>13</v>
      </c>
      <c r="E221" s="69"/>
      <c r="F221" s="69">
        <v>3.5</v>
      </c>
      <c r="G221" s="69"/>
      <c r="H221" s="71">
        <f t="shared" si="10"/>
        <v>45.5</v>
      </c>
      <c r="I221" s="69"/>
      <c r="J221" s="70" t="s">
        <v>21</v>
      </c>
    </row>
    <row r="222" spans="1:11">
      <c r="A222" s="67"/>
      <c r="B222" s="74" t="s">
        <v>711</v>
      </c>
      <c r="C222" s="68">
        <v>1</v>
      </c>
      <c r="D222" s="69">
        <v>4</v>
      </c>
      <c r="E222" s="69"/>
      <c r="F222" s="69">
        <v>16</v>
      </c>
      <c r="G222" s="69"/>
      <c r="H222" s="71">
        <f t="shared" si="10"/>
        <v>64</v>
      </c>
      <c r="I222" s="69"/>
      <c r="J222" s="70" t="s">
        <v>21</v>
      </c>
    </row>
    <row r="223" spans="1:11">
      <c r="A223" s="67"/>
      <c r="B223" s="74"/>
      <c r="C223" s="68"/>
      <c r="D223" s="69"/>
      <c r="E223" s="69"/>
      <c r="F223" s="69"/>
      <c r="G223" s="69"/>
      <c r="H223" s="71"/>
      <c r="I223" s="69">
        <f>SUM(H206:H223)</f>
        <v>770.8</v>
      </c>
      <c r="J223" s="70" t="s">
        <v>21</v>
      </c>
    </row>
    <row r="224" spans="1:11">
      <c r="A224" s="67"/>
      <c r="B224" s="74"/>
      <c r="C224" s="68"/>
      <c r="D224" s="69"/>
      <c r="E224" s="69"/>
      <c r="F224" s="69"/>
      <c r="G224" s="69"/>
      <c r="H224" s="71"/>
      <c r="I224" s="69"/>
      <c r="J224" s="70"/>
    </row>
    <row r="225" spans="1:10">
      <c r="A225" s="67"/>
      <c r="B225" s="138" t="s">
        <v>918</v>
      </c>
      <c r="C225" s="68"/>
      <c r="D225" s="69"/>
      <c r="E225" s="69"/>
      <c r="F225" s="69"/>
      <c r="G225" s="69"/>
      <c r="H225" s="71"/>
      <c r="I225" s="69"/>
      <c r="J225" s="70"/>
    </row>
    <row r="226" spans="1:10">
      <c r="A226" s="67"/>
      <c r="B226" s="74" t="s">
        <v>751</v>
      </c>
      <c r="C226" s="68">
        <v>1</v>
      </c>
      <c r="D226" s="69">
        <f>8*2+5*2</f>
        <v>26</v>
      </c>
      <c r="E226" s="69"/>
      <c r="F226" s="69">
        <f>5</f>
        <v>5</v>
      </c>
      <c r="G226" s="69"/>
      <c r="H226" s="71">
        <f>C226*D226*F226</f>
        <v>130</v>
      </c>
      <c r="I226" s="69"/>
      <c r="J226" s="70" t="s">
        <v>21</v>
      </c>
    </row>
    <row r="227" spans="1:10">
      <c r="A227" s="67"/>
      <c r="B227" s="74" t="s">
        <v>877</v>
      </c>
      <c r="C227" s="68">
        <v>1</v>
      </c>
      <c r="D227" s="69">
        <v>2.75</v>
      </c>
      <c r="E227" s="69"/>
      <c r="F227" s="69">
        <v>5</v>
      </c>
      <c r="G227" s="69">
        <f>C227*D227*F227</f>
        <v>13.75</v>
      </c>
      <c r="H227" s="71"/>
      <c r="I227" s="69"/>
      <c r="J227" s="70" t="s">
        <v>21</v>
      </c>
    </row>
    <row r="228" spans="1:10">
      <c r="A228" s="67"/>
      <c r="B228" s="74" t="s">
        <v>826</v>
      </c>
      <c r="C228" s="68">
        <v>1</v>
      </c>
      <c r="D228" s="69">
        <f>7*2+4*2</f>
        <v>22</v>
      </c>
      <c r="E228" s="69"/>
      <c r="F228" s="69">
        <v>5</v>
      </c>
      <c r="G228" s="69"/>
      <c r="H228" s="71">
        <f>C228*D228*F228</f>
        <v>110</v>
      </c>
      <c r="I228" s="69"/>
      <c r="J228" s="70" t="s">
        <v>21</v>
      </c>
    </row>
    <row r="229" spans="1:10">
      <c r="A229" s="67"/>
      <c r="B229" s="74" t="s">
        <v>877</v>
      </c>
      <c r="C229" s="68">
        <v>1</v>
      </c>
      <c r="D229" s="69">
        <f>2.75</f>
        <v>2.75</v>
      </c>
      <c r="E229" s="69"/>
      <c r="F229" s="69">
        <v>5</v>
      </c>
      <c r="G229" s="69">
        <f>C229*D229*F229</f>
        <v>13.75</v>
      </c>
      <c r="H229" s="71"/>
      <c r="I229" s="69"/>
      <c r="J229" s="70" t="s">
        <v>21</v>
      </c>
    </row>
    <row r="230" spans="1:10">
      <c r="A230" s="67"/>
      <c r="B230" s="74" t="s">
        <v>752</v>
      </c>
      <c r="C230" s="68">
        <v>1</v>
      </c>
      <c r="D230" s="69">
        <f>7.5*2+5*2</f>
        <v>25</v>
      </c>
      <c r="E230" s="69"/>
      <c r="F230" s="69">
        <f>5</f>
        <v>5</v>
      </c>
      <c r="G230" s="69"/>
      <c r="H230" s="71">
        <f>C230*D230*F230</f>
        <v>125</v>
      </c>
      <c r="I230" s="69"/>
      <c r="J230" s="70" t="s">
        <v>21</v>
      </c>
    </row>
    <row r="231" spans="1:10">
      <c r="A231" s="67"/>
      <c r="B231" s="74" t="s">
        <v>753</v>
      </c>
      <c r="C231" s="68">
        <v>1</v>
      </c>
      <c r="D231" s="69">
        <f>7*2+5*2</f>
        <v>24</v>
      </c>
      <c r="E231" s="69"/>
      <c r="F231" s="69">
        <v>5</v>
      </c>
      <c r="G231" s="69"/>
      <c r="H231" s="71">
        <f>C231*D231*F231</f>
        <v>120</v>
      </c>
      <c r="I231" s="69"/>
      <c r="J231" s="70" t="s">
        <v>21</v>
      </c>
    </row>
    <row r="232" spans="1:10">
      <c r="A232" s="67"/>
      <c r="B232" s="74" t="s">
        <v>877</v>
      </c>
      <c r="C232" s="68">
        <v>2</v>
      </c>
      <c r="D232" s="69">
        <v>2.75</v>
      </c>
      <c r="E232" s="69"/>
      <c r="F232" s="69">
        <v>5</v>
      </c>
      <c r="G232" s="69">
        <f>C232*D232*F232</f>
        <v>27.5</v>
      </c>
      <c r="H232" s="71"/>
      <c r="I232" s="69"/>
      <c r="J232" s="70" t="s">
        <v>21</v>
      </c>
    </row>
    <row r="233" spans="1:10">
      <c r="A233" s="67"/>
      <c r="B233" s="74"/>
      <c r="C233" s="68"/>
      <c r="D233" s="69"/>
      <c r="E233" s="69"/>
      <c r="F233" s="69"/>
      <c r="G233" s="71">
        <f>SUM(G226:G232)</f>
        <v>55</v>
      </c>
      <c r="H233" s="71">
        <f>SUM(H226:H232)</f>
        <v>485</v>
      </c>
      <c r="I233" s="69">
        <f>H233-G233</f>
        <v>430</v>
      </c>
      <c r="J233" s="70" t="s">
        <v>21</v>
      </c>
    </row>
    <row r="234" spans="1:10">
      <c r="A234" s="67"/>
      <c r="B234" s="74"/>
      <c r="C234" s="68"/>
      <c r="D234" s="69"/>
      <c r="E234" s="69"/>
      <c r="F234" s="69"/>
      <c r="G234" s="69"/>
      <c r="H234" s="71"/>
      <c r="I234" s="69"/>
      <c r="J234" s="70"/>
    </row>
    <row r="235" spans="1:10">
      <c r="A235" s="67"/>
      <c r="B235" s="74" t="s">
        <v>875</v>
      </c>
      <c r="C235" s="68">
        <v>1</v>
      </c>
      <c r="D235" s="69">
        <v>5</v>
      </c>
      <c r="E235" s="69"/>
      <c r="F235" s="69"/>
      <c r="G235" s="69"/>
      <c r="H235" s="71">
        <f>C235*D235</f>
        <v>5</v>
      </c>
      <c r="I235" s="69"/>
      <c r="J235" s="70" t="s">
        <v>82</v>
      </c>
    </row>
    <row r="236" spans="1:10">
      <c r="A236" s="67"/>
      <c r="B236" s="74" t="s">
        <v>876</v>
      </c>
      <c r="C236" s="68">
        <v>1</v>
      </c>
      <c r="D236" s="69">
        <f>(8*2+5*2+10+3)+(4*2+6*2+3+5*2)+(16*2+5*4+2*(5*2+3))</f>
        <v>150</v>
      </c>
      <c r="E236" s="69"/>
      <c r="F236" s="69"/>
      <c r="G236" s="69"/>
      <c r="H236" s="71">
        <f>C236*D236</f>
        <v>150</v>
      </c>
      <c r="I236" s="69"/>
      <c r="J236" s="70" t="s">
        <v>82</v>
      </c>
    </row>
    <row r="237" spans="1:10">
      <c r="A237" s="67"/>
      <c r="B237" s="74"/>
      <c r="C237" s="68"/>
      <c r="D237" s="69"/>
      <c r="E237" s="69"/>
      <c r="F237" s="69"/>
      <c r="G237" s="69"/>
      <c r="H237" s="71"/>
      <c r="I237" s="69"/>
      <c r="J237" s="70"/>
    </row>
    <row r="238" spans="1:10">
      <c r="A238" s="67"/>
      <c r="B238" s="76" t="s">
        <v>910</v>
      </c>
      <c r="C238" s="68"/>
      <c r="D238" s="69"/>
      <c r="E238" s="69"/>
      <c r="F238" s="69"/>
      <c r="G238" s="69"/>
      <c r="H238" s="71"/>
      <c r="I238" s="69"/>
      <c r="J238" s="70"/>
    </row>
    <row r="239" spans="1:10">
      <c r="A239" s="67"/>
      <c r="B239" s="74" t="s">
        <v>911</v>
      </c>
      <c r="C239" s="68">
        <v>20</v>
      </c>
      <c r="D239" s="69">
        <v>4.5</v>
      </c>
      <c r="E239" s="69">
        <v>0.75</v>
      </c>
      <c r="F239" s="69"/>
      <c r="G239" s="69"/>
      <c r="H239" s="71">
        <f>C239*D239*E239</f>
        <v>67.5</v>
      </c>
      <c r="I239" s="69"/>
      <c r="J239" s="70" t="s">
        <v>21</v>
      </c>
    </row>
    <row r="240" spans="1:10">
      <c r="A240" s="67"/>
      <c r="B240" s="74" t="s">
        <v>912</v>
      </c>
      <c r="C240" s="68">
        <v>22</v>
      </c>
      <c r="D240" s="69">
        <v>4.5</v>
      </c>
      <c r="E240" s="69">
        <v>0.57999999999999996</v>
      </c>
      <c r="F240" s="69"/>
      <c r="G240" s="69"/>
      <c r="H240" s="71">
        <f>C240*D240*E240</f>
        <v>57.4</v>
      </c>
      <c r="I240" s="69"/>
      <c r="J240" s="70" t="s">
        <v>21</v>
      </c>
    </row>
    <row r="241" spans="1:10">
      <c r="A241" s="67"/>
      <c r="B241" s="74" t="s">
        <v>828</v>
      </c>
      <c r="C241" s="68">
        <v>1</v>
      </c>
      <c r="D241" s="69">
        <v>9</v>
      </c>
      <c r="E241" s="69">
        <v>4.5</v>
      </c>
      <c r="F241" s="69"/>
      <c r="G241" s="69"/>
      <c r="H241" s="478">
        <f>C241*D241*E241</f>
        <v>40.5</v>
      </c>
      <c r="I241" s="69"/>
      <c r="J241" s="70" t="s">
        <v>21</v>
      </c>
    </row>
    <row r="242" spans="1:10">
      <c r="A242" s="67"/>
      <c r="B242" s="76"/>
      <c r="C242" s="68"/>
      <c r="D242" s="69"/>
      <c r="E242" s="69"/>
      <c r="F242" s="69"/>
      <c r="G242" s="69"/>
      <c r="H242" s="84">
        <f>SUM(H239:H241)</f>
        <v>165.4</v>
      </c>
      <c r="I242" s="69"/>
      <c r="J242" s="70" t="s">
        <v>21</v>
      </c>
    </row>
    <row r="243" spans="1:10">
      <c r="A243" s="67"/>
      <c r="B243" s="76"/>
      <c r="C243" s="68"/>
      <c r="D243" s="69"/>
      <c r="E243" s="69"/>
      <c r="F243" s="69"/>
      <c r="G243" s="69"/>
      <c r="H243" s="71"/>
      <c r="I243" s="69"/>
      <c r="J243" s="70"/>
    </row>
    <row r="244" spans="1:10">
      <c r="A244" s="67"/>
      <c r="B244" s="74" t="s">
        <v>913</v>
      </c>
      <c r="C244" s="68">
        <f>C239</f>
        <v>20</v>
      </c>
      <c r="D244" s="69">
        <f>D239</f>
        <v>4.5</v>
      </c>
      <c r="E244" s="69"/>
      <c r="F244" s="69"/>
      <c r="G244" s="69"/>
      <c r="H244" s="71">
        <f>C244*D244</f>
        <v>90</v>
      </c>
      <c r="I244" s="69"/>
      <c r="J244" s="70" t="s">
        <v>82</v>
      </c>
    </row>
    <row r="245" spans="1:10">
      <c r="A245" s="67"/>
      <c r="B245" s="74"/>
      <c r="C245" s="68"/>
      <c r="D245" s="69"/>
      <c r="E245" s="69"/>
      <c r="F245" s="69"/>
      <c r="G245" s="288" t="s">
        <v>914</v>
      </c>
      <c r="H245" s="479">
        <f>H244/2</f>
        <v>45</v>
      </c>
      <c r="I245" s="480" t="s">
        <v>13</v>
      </c>
      <c r="J245" s="70"/>
    </row>
    <row r="246" spans="1:10">
      <c r="A246" s="67"/>
      <c r="B246" s="74" t="s">
        <v>915</v>
      </c>
      <c r="C246" s="68">
        <f>C240</f>
        <v>22</v>
      </c>
      <c r="D246" s="69">
        <f>D240</f>
        <v>4.5</v>
      </c>
      <c r="E246" s="69"/>
      <c r="F246" s="69"/>
      <c r="G246" s="69"/>
      <c r="H246" s="71">
        <f>C246*D246</f>
        <v>99</v>
      </c>
      <c r="I246" s="69"/>
      <c r="J246" s="70" t="s">
        <v>82</v>
      </c>
    </row>
    <row r="247" spans="1:10">
      <c r="A247" s="67"/>
      <c r="B247" s="74"/>
      <c r="C247" s="68"/>
      <c r="D247" s="69"/>
      <c r="E247" s="69"/>
      <c r="F247" s="69"/>
      <c r="G247" s="288" t="s">
        <v>916</v>
      </c>
      <c r="H247" s="479">
        <f>ROUNDUP(H246/2,0)</f>
        <v>50</v>
      </c>
      <c r="I247" s="480" t="s">
        <v>13</v>
      </c>
      <c r="J247" s="70"/>
    </row>
    <row r="248" spans="1:10">
      <c r="A248" s="67"/>
      <c r="B248" s="74" t="s">
        <v>828</v>
      </c>
      <c r="C248" s="68">
        <f>C241</f>
        <v>1</v>
      </c>
      <c r="D248" s="69">
        <f>D241</f>
        <v>9</v>
      </c>
      <c r="E248" s="69">
        <v>4.5</v>
      </c>
      <c r="F248" s="69"/>
      <c r="G248" s="69"/>
      <c r="H248" s="71">
        <f>C248*D248*E248</f>
        <v>40.5</v>
      </c>
      <c r="I248" s="69"/>
      <c r="J248" s="70" t="s">
        <v>21</v>
      </c>
    </row>
    <row r="249" spans="1:10">
      <c r="A249" s="67"/>
      <c r="B249" s="74"/>
      <c r="C249" s="68"/>
      <c r="D249" s="69"/>
      <c r="E249" s="69"/>
      <c r="F249" s="69"/>
      <c r="G249" s="288" t="s">
        <v>917</v>
      </c>
      <c r="H249" s="479">
        <f>ROUNDUP(H248/2/1,0)</f>
        <v>21</v>
      </c>
      <c r="I249" s="480" t="s">
        <v>13</v>
      </c>
      <c r="J249" s="70"/>
    </row>
    <row r="250" spans="1:10">
      <c r="A250" s="67"/>
      <c r="B250" s="74"/>
      <c r="C250" s="68"/>
      <c r="D250" s="69"/>
      <c r="E250" s="69"/>
      <c r="F250" s="69"/>
      <c r="G250" s="69"/>
      <c r="H250" s="71"/>
      <c r="I250" s="69"/>
      <c r="J250" s="70"/>
    </row>
    <row r="251" spans="1:10">
      <c r="A251" s="300">
        <v>6</v>
      </c>
      <c r="B251" s="138" t="s">
        <v>729</v>
      </c>
      <c r="C251" s="68"/>
      <c r="D251" s="69"/>
      <c r="E251" s="69"/>
      <c r="F251" s="69"/>
      <c r="G251" s="69"/>
      <c r="H251" s="71"/>
      <c r="I251" s="69"/>
      <c r="J251" s="70"/>
    </row>
    <row r="252" spans="1:10">
      <c r="A252" s="67"/>
      <c r="B252" s="76" t="s">
        <v>73</v>
      </c>
      <c r="C252" s="68"/>
      <c r="D252" s="69"/>
      <c r="E252" s="69"/>
      <c r="F252" s="69"/>
      <c r="G252" s="69"/>
      <c r="H252" s="71"/>
      <c r="I252" s="69"/>
      <c r="J252" s="70"/>
    </row>
    <row r="253" spans="1:10">
      <c r="A253" s="67"/>
      <c r="B253" s="74" t="s">
        <v>739</v>
      </c>
      <c r="C253" s="68">
        <v>1</v>
      </c>
      <c r="D253" s="69">
        <v>24</v>
      </c>
      <c r="E253" s="69"/>
      <c r="F253" s="69">
        <v>9</v>
      </c>
      <c r="G253" s="69"/>
      <c r="H253" s="71">
        <f t="shared" ref="H253:H259" si="11">C253*D253*F253</f>
        <v>216</v>
      </c>
      <c r="I253" s="69"/>
      <c r="J253" s="70" t="s">
        <v>21</v>
      </c>
    </row>
    <row r="254" spans="1:10">
      <c r="A254" s="67"/>
      <c r="B254" s="74" t="s">
        <v>739</v>
      </c>
      <c r="C254" s="68">
        <v>1</v>
      </c>
      <c r="D254" s="69">
        <v>8.5</v>
      </c>
      <c r="E254" s="69"/>
      <c r="F254" s="69">
        <v>5</v>
      </c>
      <c r="G254" s="69"/>
      <c r="H254" s="71">
        <f t="shared" si="11"/>
        <v>42.5</v>
      </c>
      <c r="I254" s="69"/>
      <c r="J254" s="70" t="s">
        <v>21</v>
      </c>
    </row>
    <row r="255" spans="1:10">
      <c r="A255" s="67"/>
      <c r="B255" s="74" t="s">
        <v>740</v>
      </c>
      <c r="C255" s="68">
        <v>1</v>
      </c>
      <c r="D255" s="69">
        <v>8.5</v>
      </c>
      <c r="E255" s="69"/>
      <c r="F255" s="69">
        <v>4</v>
      </c>
      <c r="G255" s="69"/>
      <c r="H255" s="71">
        <f t="shared" si="11"/>
        <v>34</v>
      </c>
      <c r="I255" s="69"/>
      <c r="J255" s="70" t="s">
        <v>21</v>
      </c>
    </row>
    <row r="256" spans="1:10">
      <c r="A256" s="67"/>
      <c r="B256" s="74" t="s">
        <v>750</v>
      </c>
      <c r="C256" s="68">
        <v>1</v>
      </c>
      <c r="D256" s="69">
        <v>7</v>
      </c>
      <c r="E256" s="69"/>
      <c r="F256" s="69">
        <v>4</v>
      </c>
      <c r="G256" s="69"/>
      <c r="H256" s="71">
        <f t="shared" si="11"/>
        <v>28</v>
      </c>
      <c r="I256" s="69"/>
      <c r="J256" s="70" t="s">
        <v>21</v>
      </c>
    </row>
    <row r="257" spans="1:11">
      <c r="A257" s="67"/>
      <c r="B257" s="74" t="s">
        <v>741</v>
      </c>
      <c r="C257" s="68">
        <v>1</v>
      </c>
      <c r="D257" s="69">
        <v>8.5</v>
      </c>
      <c r="E257" s="69"/>
      <c r="F257" s="69">
        <v>8</v>
      </c>
      <c r="G257" s="69"/>
      <c r="H257" s="71">
        <f t="shared" si="11"/>
        <v>68</v>
      </c>
      <c r="I257" s="69"/>
      <c r="J257" s="70" t="s">
        <v>21</v>
      </c>
    </row>
    <row r="258" spans="1:11">
      <c r="A258" s="67"/>
      <c r="B258" s="74" t="s">
        <v>742</v>
      </c>
      <c r="C258" s="68">
        <v>1</v>
      </c>
      <c r="D258" s="69">
        <v>12.5</v>
      </c>
      <c r="E258" s="69"/>
      <c r="F258" s="69">
        <v>5.5</v>
      </c>
      <c r="G258" s="69"/>
      <c r="H258" s="71">
        <f t="shared" si="11"/>
        <v>68.8</v>
      </c>
      <c r="I258" s="69"/>
      <c r="J258" s="70" t="s">
        <v>21</v>
      </c>
    </row>
    <row r="259" spans="1:11">
      <c r="A259" s="67"/>
      <c r="B259" s="74" t="s">
        <v>743</v>
      </c>
      <c r="C259" s="68">
        <v>1</v>
      </c>
      <c r="D259" s="69">
        <v>4.5</v>
      </c>
      <c r="E259" s="69"/>
      <c r="F259" s="69">
        <v>5.5</v>
      </c>
      <c r="G259" s="69"/>
      <c r="H259" s="71">
        <f t="shared" si="11"/>
        <v>24.8</v>
      </c>
      <c r="I259" s="69"/>
      <c r="J259" s="70" t="s">
        <v>21</v>
      </c>
    </row>
    <row r="260" spans="1:11">
      <c r="A260" s="67"/>
      <c r="B260" s="76" t="s">
        <v>137</v>
      </c>
      <c r="C260" s="68"/>
      <c r="D260" s="69"/>
      <c r="E260" s="69"/>
      <c r="F260" s="69"/>
      <c r="G260" s="69"/>
      <c r="H260" s="71"/>
      <c r="I260" s="69"/>
      <c r="J260" s="70"/>
    </row>
    <row r="261" spans="1:11">
      <c r="A261" s="67"/>
      <c r="B261" s="74" t="s">
        <v>755</v>
      </c>
      <c r="C261" s="68">
        <v>1</v>
      </c>
      <c r="D261" s="69">
        <v>9</v>
      </c>
      <c r="E261" s="69"/>
      <c r="F261" s="69">
        <v>24</v>
      </c>
      <c r="G261" s="69"/>
      <c r="H261" s="71">
        <f>C261*D261*F261</f>
        <v>216</v>
      </c>
      <c r="I261" s="69"/>
      <c r="J261" s="70" t="s">
        <v>21</v>
      </c>
    </row>
    <row r="262" spans="1:11">
      <c r="A262" s="67"/>
      <c r="B262" s="74" t="s">
        <v>756</v>
      </c>
      <c r="C262" s="68">
        <v>1</v>
      </c>
      <c r="D262" s="69">
        <v>4</v>
      </c>
      <c r="E262" s="69"/>
      <c r="F262" s="69">
        <v>13.5</v>
      </c>
      <c r="G262" s="69"/>
      <c r="H262" s="71">
        <f>C262*D262*F262</f>
        <v>54</v>
      </c>
      <c r="I262" s="69"/>
      <c r="J262" s="70" t="s">
        <v>21</v>
      </c>
    </row>
    <row r="263" spans="1:11">
      <c r="A263" s="67"/>
      <c r="B263" s="74" t="s">
        <v>757</v>
      </c>
      <c r="C263" s="68">
        <v>1</v>
      </c>
      <c r="D263" s="69">
        <v>8</v>
      </c>
      <c r="E263" s="69"/>
      <c r="F263" s="69">
        <v>5</v>
      </c>
      <c r="G263" s="69"/>
      <c r="H263" s="71">
        <f>C263*D263*F263</f>
        <v>40</v>
      </c>
      <c r="I263" s="69"/>
      <c r="J263" s="70" t="s">
        <v>21</v>
      </c>
    </row>
    <row r="264" spans="1:11">
      <c r="A264" s="67"/>
      <c r="B264" s="74" t="s">
        <v>758</v>
      </c>
      <c r="C264" s="68">
        <v>1</v>
      </c>
      <c r="D264" s="69">
        <v>12.5</v>
      </c>
      <c r="E264" s="69"/>
      <c r="F264" s="69">
        <v>5.5</v>
      </c>
      <c r="G264" s="69"/>
      <c r="H264" s="71">
        <f>C264*D264*F264</f>
        <v>68.8</v>
      </c>
      <c r="I264" s="69"/>
      <c r="J264" s="70" t="s">
        <v>21</v>
      </c>
    </row>
    <row r="265" spans="1:11">
      <c r="A265" s="67"/>
      <c r="B265" s="74" t="s">
        <v>759</v>
      </c>
      <c r="C265" s="68">
        <v>1</v>
      </c>
      <c r="D265" s="69">
        <v>4.5</v>
      </c>
      <c r="E265" s="69"/>
      <c r="F265" s="69">
        <v>5.5</v>
      </c>
      <c r="G265" s="69"/>
      <c r="H265" s="71">
        <f>C265*D265*F265</f>
        <v>24.8</v>
      </c>
      <c r="I265" s="69"/>
      <c r="J265" s="70" t="s">
        <v>21</v>
      </c>
    </row>
    <row r="266" spans="1:11">
      <c r="A266" s="67"/>
      <c r="B266" s="74"/>
      <c r="C266" s="68"/>
      <c r="D266" s="69"/>
      <c r="E266" s="69"/>
      <c r="F266" s="69"/>
      <c r="G266" s="69"/>
      <c r="H266" s="71"/>
      <c r="I266" s="69">
        <f>SUM(H253:H266)</f>
        <v>885.7</v>
      </c>
      <c r="J266" s="70" t="s">
        <v>21</v>
      </c>
      <c r="K266" s="424"/>
    </row>
    <row r="267" spans="1:11">
      <c r="A267" s="67"/>
      <c r="B267" s="439" t="s">
        <v>879</v>
      </c>
      <c r="C267" s="68"/>
      <c r="D267" s="69"/>
      <c r="E267" s="69"/>
      <c r="F267" s="69"/>
      <c r="G267" s="69"/>
      <c r="H267" s="71"/>
      <c r="I267" s="69"/>
      <c r="J267" s="70"/>
    </row>
    <row r="268" spans="1:11">
      <c r="A268" s="67"/>
      <c r="B268" s="76" t="s">
        <v>73</v>
      </c>
      <c r="C268" s="68"/>
      <c r="D268" s="69"/>
      <c r="E268" s="69"/>
      <c r="F268" s="69"/>
      <c r="G268" s="69"/>
      <c r="H268" s="71"/>
      <c r="I268" s="69"/>
      <c r="J268" s="70"/>
    </row>
    <row r="269" spans="1:11">
      <c r="A269" s="67"/>
      <c r="B269" s="74" t="s">
        <v>739</v>
      </c>
      <c r="C269" s="68">
        <v>1</v>
      </c>
      <c r="D269" s="69">
        <f>24*2+22.5*2+7.5*2</f>
        <v>108</v>
      </c>
      <c r="E269" s="69"/>
      <c r="F269" s="69"/>
      <c r="G269" s="69"/>
      <c r="H269" s="71">
        <f>C269*D269</f>
        <v>108</v>
      </c>
      <c r="I269" s="69"/>
      <c r="J269" s="70" t="s">
        <v>82</v>
      </c>
    </row>
    <row r="270" spans="1:11">
      <c r="A270" s="67"/>
      <c r="B270" s="74" t="s">
        <v>760</v>
      </c>
      <c r="C270" s="68">
        <v>1</v>
      </c>
      <c r="D270" s="69">
        <f>12.5*2+19.5*2</f>
        <v>64</v>
      </c>
      <c r="E270" s="69"/>
      <c r="F270" s="69"/>
      <c r="G270" s="69"/>
      <c r="H270" s="71">
        <f>C270*D270</f>
        <v>64</v>
      </c>
      <c r="I270" s="69"/>
      <c r="J270" s="70" t="s">
        <v>82</v>
      </c>
    </row>
    <row r="271" spans="1:11">
      <c r="A271" s="67"/>
      <c r="B271" s="76" t="s">
        <v>137</v>
      </c>
      <c r="C271" s="68"/>
      <c r="D271" s="69"/>
      <c r="E271" s="69"/>
      <c r="F271" s="69"/>
      <c r="G271" s="69"/>
      <c r="H271" s="71"/>
      <c r="I271" s="69"/>
      <c r="J271" s="70"/>
    </row>
    <row r="272" spans="1:11">
      <c r="A272" s="67"/>
      <c r="B272" s="74" t="s">
        <v>761</v>
      </c>
      <c r="C272" s="68">
        <v>1</v>
      </c>
      <c r="D272" s="69">
        <f>24*2+22.5*2</f>
        <v>93</v>
      </c>
      <c r="E272" s="69"/>
      <c r="F272" s="69"/>
      <c r="G272" s="69"/>
      <c r="H272" s="71">
        <f>C272*D272</f>
        <v>93</v>
      </c>
      <c r="I272" s="69"/>
      <c r="J272" s="70" t="s">
        <v>82</v>
      </c>
    </row>
    <row r="273" spans="1:10">
      <c r="A273" s="67"/>
      <c r="B273" s="74" t="s">
        <v>762</v>
      </c>
      <c r="C273" s="68">
        <v>1</v>
      </c>
      <c r="D273" s="69">
        <f>16*2+12.5*2</f>
        <v>57</v>
      </c>
      <c r="E273" s="69"/>
      <c r="F273" s="69"/>
      <c r="G273" s="69"/>
      <c r="H273" s="71">
        <f>C273*D273</f>
        <v>57</v>
      </c>
      <c r="I273" s="69"/>
      <c r="J273" s="70" t="s">
        <v>82</v>
      </c>
    </row>
    <row r="274" spans="1:10">
      <c r="A274" s="67"/>
      <c r="B274" s="74"/>
      <c r="C274" s="68"/>
      <c r="D274" s="69"/>
      <c r="E274" s="69"/>
      <c r="F274" s="69"/>
      <c r="G274" s="69"/>
      <c r="H274" s="71"/>
      <c r="I274" s="69">
        <f>SUM(H269:H274)</f>
        <v>322</v>
      </c>
      <c r="J274" s="70" t="s">
        <v>82</v>
      </c>
    </row>
    <row r="275" spans="1:10">
      <c r="A275" s="67"/>
      <c r="B275" s="74"/>
      <c r="C275" s="68"/>
      <c r="D275" s="69"/>
      <c r="E275" s="69"/>
      <c r="F275" s="69"/>
      <c r="G275" s="69"/>
      <c r="H275" s="71"/>
      <c r="I275" s="69"/>
      <c r="J275" s="70"/>
    </row>
    <row r="276" spans="1:10">
      <c r="A276" s="300">
        <v>7</v>
      </c>
      <c r="B276" s="138" t="s">
        <v>730</v>
      </c>
      <c r="C276" s="68"/>
      <c r="D276" s="69"/>
      <c r="E276" s="69"/>
      <c r="F276" s="69"/>
      <c r="G276" s="69"/>
      <c r="H276" s="71"/>
      <c r="I276" s="69"/>
      <c r="J276" s="70"/>
    </row>
    <row r="277" spans="1:10">
      <c r="A277" s="67"/>
      <c r="B277" s="74" t="s">
        <v>763</v>
      </c>
      <c r="C277" s="68">
        <v>1</v>
      </c>
      <c r="D277" s="69">
        <f>10+30/12+10.67+5+0.5</f>
        <v>28.67</v>
      </c>
      <c r="E277" s="69"/>
      <c r="F277" s="69">
        <v>3</v>
      </c>
      <c r="G277" s="69"/>
      <c r="H277" s="71">
        <f>C277*D277*F277</f>
        <v>86</v>
      </c>
      <c r="I277" s="69"/>
      <c r="J277" s="70" t="s">
        <v>21</v>
      </c>
    </row>
    <row r="278" spans="1:10">
      <c r="A278" s="67"/>
      <c r="B278" s="74"/>
      <c r="C278" s="68"/>
      <c r="D278" s="69"/>
      <c r="E278" s="69"/>
      <c r="F278" s="69"/>
      <c r="G278" s="69"/>
      <c r="H278" s="71"/>
      <c r="I278" s="69"/>
      <c r="J278" s="70"/>
    </row>
    <row r="279" spans="1:10">
      <c r="A279" s="67"/>
      <c r="B279" s="454" t="s">
        <v>881</v>
      </c>
      <c r="C279" s="68"/>
      <c r="D279" s="69"/>
      <c r="E279" s="69"/>
      <c r="F279" s="69"/>
      <c r="G279" s="69"/>
      <c r="H279" s="71"/>
      <c r="I279" s="69"/>
      <c r="J279" s="70"/>
    </row>
    <row r="280" spans="1:10">
      <c r="A280" s="67"/>
      <c r="B280" s="67" t="s">
        <v>906</v>
      </c>
      <c r="C280" s="68"/>
      <c r="D280" s="69"/>
      <c r="E280" s="69"/>
      <c r="F280" s="69"/>
      <c r="G280" s="69"/>
      <c r="H280" s="71"/>
      <c r="I280" s="69"/>
      <c r="J280" s="70"/>
    </row>
    <row r="281" spans="1:10">
      <c r="A281" s="67"/>
      <c r="B281" s="74" t="s">
        <v>889</v>
      </c>
      <c r="C281" s="68">
        <v>1</v>
      </c>
      <c r="D281" s="69">
        <f>10+30/12+10.67+5+0.5</f>
        <v>28.67</v>
      </c>
      <c r="E281" s="69"/>
      <c r="F281" s="69"/>
      <c r="G281" s="69"/>
      <c r="H281" s="71">
        <f>C281*D281</f>
        <v>28.7</v>
      </c>
      <c r="I281" s="69"/>
      <c r="J281" s="70" t="s">
        <v>154</v>
      </c>
    </row>
    <row r="282" spans="1:10">
      <c r="A282" s="67"/>
      <c r="B282" s="74"/>
      <c r="C282" s="68"/>
      <c r="D282" s="69"/>
      <c r="E282" s="69"/>
      <c r="F282" s="69"/>
      <c r="G282" s="69"/>
      <c r="H282" s="71"/>
      <c r="I282" s="122">
        <f>SUM(H281:H282)</f>
        <v>28.7</v>
      </c>
      <c r="J282" s="123" t="s">
        <v>154</v>
      </c>
    </row>
    <row r="283" spans="1:10">
      <c r="A283" s="67"/>
      <c r="B283" s="67" t="s">
        <v>890</v>
      </c>
      <c r="C283" s="68"/>
      <c r="D283" s="69"/>
      <c r="E283" s="69"/>
      <c r="F283" s="69"/>
      <c r="G283" s="69"/>
      <c r="H283" s="71"/>
      <c r="I283" s="69"/>
      <c r="J283" s="70"/>
    </row>
    <row r="284" spans="1:10">
      <c r="A284" s="67"/>
      <c r="B284" s="74" t="s">
        <v>909</v>
      </c>
      <c r="C284" s="68">
        <v>2</v>
      </c>
      <c r="D284" s="69">
        <f>10+30/12+10.67+5+0.5</f>
        <v>28.67</v>
      </c>
      <c r="E284" s="69"/>
      <c r="F284" s="69"/>
      <c r="G284" s="69"/>
      <c r="H284" s="71">
        <f>C284*D284</f>
        <v>57.3</v>
      </c>
      <c r="I284" s="69"/>
      <c r="J284" s="70" t="s">
        <v>154</v>
      </c>
    </row>
    <row r="285" spans="1:10">
      <c r="A285" s="67"/>
      <c r="B285" s="74" t="s">
        <v>907</v>
      </c>
      <c r="C285" s="68">
        <f>16+16</f>
        <v>32</v>
      </c>
      <c r="D285" s="69">
        <v>3</v>
      </c>
      <c r="E285" s="69"/>
      <c r="F285" s="69"/>
      <c r="G285" s="69"/>
      <c r="H285" s="71">
        <f>C285*D285</f>
        <v>96</v>
      </c>
      <c r="I285" s="69"/>
      <c r="J285" s="70" t="s">
        <v>154</v>
      </c>
    </row>
    <row r="286" spans="1:10">
      <c r="A286" s="67"/>
      <c r="B286" s="74" t="s">
        <v>882</v>
      </c>
      <c r="C286" s="68">
        <f>4.5/0.5</f>
        <v>9</v>
      </c>
      <c r="D286" s="69">
        <v>3</v>
      </c>
      <c r="E286" s="69"/>
      <c r="F286" s="69"/>
      <c r="G286" s="69"/>
      <c r="H286" s="71">
        <f>C286*D286</f>
        <v>27</v>
      </c>
      <c r="I286" s="69"/>
      <c r="J286" s="70" t="s">
        <v>154</v>
      </c>
    </row>
    <row r="287" spans="1:10">
      <c r="A287" s="67"/>
      <c r="B287" s="74" t="s">
        <v>908</v>
      </c>
      <c r="C287" s="68">
        <f>1</f>
        <v>1</v>
      </c>
      <c r="D287" s="69">
        <f>7.5+7.5+4.5</f>
        <v>19.5</v>
      </c>
      <c r="E287" s="69"/>
      <c r="F287" s="69"/>
      <c r="G287" s="69"/>
      <c r="H287" s="71">
        <f>C287*D287</f>
        <v>19.5</v>
      </c>
      <c r="I287" s="69"/>
      <c r="J287" s="70" t="s">
        <v>154</v>
      </c>
    </row>
    <row r="288" spans="1:10">
      <c r="A288" s="67"/>
      <c r="B288" s="74"/>
      <c r="C288" s="68"/>
      <c r="D288" s="69"/>
      <c r="E288" s="69"/>
      <c r="F288" s="69"/>
      <c r="G288" s="69"/>
      <c r="H288" s="71"/>
      <c r="I288" s="122">
        <f>SUM(H284:H288)</f>
        <v>199.8</v>
      </c>
      <c r="J288" s="123" t="s">
        <v>154</v>
      </c>
    </row>
    <row r="289" spans="1:10">
      <c r="A289" s="67"/>
      <c r="B289" s="74"/>
      <c r="C289" s="68"/>
      <c r="D289" s="69"/>
      <c r="E289" s="69"/>
      <c r="F289" s="69"/>
      <c r="G289" s="69"/>
      <c r="H289" s="71"/>
      <c r="I289" s="69"/>
      <c r="J289" s="70"/>
    </row>
    <row r="290" spans="1:10">
      <c r="A290" s="300">
        <v>8</v>
      </c>
      <c r="B290" s="138" t="s">
        <v>731</v>
      </c>
      <c r="C290" s="68"/>
      <c r="D290" s="69"/>
      <c r="E290" s="69"/>
      <c r="F290" s="69"/>
      <c r="G290" s="69"/>
      <c r="H290" s="71"/>
      <c r="I290" s="69"/>
      <c r="J290" s="70"/>
    </row>
    <row r="291" spans="1:10">
      <c r="A291" s="67"/>
      <c r="B291" s="74" t="s">
        <v>894</v>
      </c>
      <c r="C291" s="68"/>
      <c r="D291" s="69">
        <f>(28+6)*2+(35+6)*2</f>
        <v>150</v>
      </c>
      <c r="E291" s="69"/>
      <c r="F291" s="69"/>
      <c r="G291" s="69"/>
      <c r="H291" s="71"/>
      <c r="I291" s="69"/>
      <c r="J291" s="70"/>
    </row>
    <row r="292" spans="1:10">
      <c r="A292" s="67"/>
      <c r="B292" s="76" t="s">
        <v>900</v>
      </c>
      <c r="C292" s="68">
        <v>1</v>
      </c>
      <c r="D292" s="69">
        <v>150</v>
      </c>
      <c r="E292" s="69">
        <v>3</v>
      </c>
      <c r="F292" s="69">
        <v>1.5</v>
      </c>
      <c r="G292" s="69"/>
      <c r="H292" s="71">
        <f>C292*D292*E292*F292</f>
        <v>675</v>
      </c>
      <c r="I292" s="69"/>
      <c r="J292" s="70" t="s">
        <v>27</v>
      </c>
    </row>
    <row r="293" spans="1:10">
      <c r="A293" s="67"/>
      <c r="B293" s="74"/>
      <c r="C293" s="68"/>
      <c r="D293" s="69"/>
      <c r="E293" s="69"/>
      <c r="F293" s="69"/>
      <c r="G293" s="69"/>
      <c r="H293" s="71"/>
      <c r="I293" s="69">
        <f>SUM(H292:H293)</f>
        <v>675</v>
      </c>
      <c r="J293" s="70" t="s">
        <v>27</v>
      </c>
    </row>
    <row r="294" spans="1:10">
      <c r="A294" s="67"/>
      <c r="B294" s="74"/>
      <c r="C294" s="68"/>
      <c r="D294" s="69"/>
      <c r="E294" s="69"/>
      <c r="F294" s="69"/>
      <c r="G294" s="69"/>
      <c r="H294" s="71"/>
      <c r="I294" s="69"/>
      <c r="J294" s="70"/>
    </row>
    <row r="295" spans="1:10">
      <c r="A295" s="67"/>
      <c r="B295" s="76" t="s">
        <v>901</v>
      </c>
      <c r="C295" s="68"/>
      <c r="D295" s="69"/>
      <c r="E295" s="69"/>
      <c r="F295" s="69"/>
      <c r="G295" s="69"/>
      <c r="H295" s="71"/>
      <c r="I295" s="69"/>
      <c r="J295" s="70"/>
    </row>
    <row r="296" spans="1:10">
      <c r="A296" s="67"/>
      <c r="B296" s="477" t="s">
        <v>899</v>
      </c>
      <c r="C296" s="68">
        <v>1</v>
      </c>
      <c r="D296" s="69">
        <v>150</v>
      </c>
      <c r="E296" s="69">
        <v>2</v>
      </c>
      <c r="F296" s="69">
        <v>0.5</v>
      </c>
      <c r="G296" s="69"/>
      <c r="H296" s="71">
        <f>C296*D296*E296*F296</f>
        <v>150</v>
      </c>
      <c r="I296" s="69"/>
      <c r="J296" s="70" t="s">
        <v>27</v>
      </c>
    </row>
    <row r="297" spans="1:10">
      <c r="A297" s="67"/>
      <c r="B297" s="477" t="s">
        <v>898</v>
      </c>
      <c r="C297" s="68">
        <v>1</v>
      </c>
      <c r="D297" s="69">
        <f>D291</f>
        <v>150</v>
      </c>
      <c r="E297" s="69">
        <v>2</v>
      </c>
      <c r="F297" s="69">
        <f>0.5</f>
        <v>0.5</v>
      </c>
      <c r="G297" s="69"/>
      <c r="H297" s="71">
        <f>C297*D297*E297*F297</f>
        <v>150</v>
      </c>
      <c r="I297" s="69">
        <f>SUM(H296:H297)</f>
        <v>300</v>
      </c>
      <c r="J297" s="70" t="s">
        <v>27</v>
      </c>
    </row>
    <row r="298" spans="1:10">
      <c r="A298" s="67"/>
      <c r="B298" s="74"/>
      <c r="C298" s="68"/>
      <c r="D298" s="69"/>
      <c r="E298" s="69"/>
      <c r="F298" s="69"/>
      <c r="G298" s="69"/>
      <c r="H298" s="71"/>
      <c r="I298" s="69"/>
      <c r="J298" s="70"/>
    </row>
    <row r="299" spans="1:10">
      <c r="A299" s="67"/>
      <c r="B299" s="76" t="s">
        <v>902</v>
      </c>
      <c r="C299" s="68">
        <v>2</v>
      </c>
      <c r="D299" s="69">
        <f>D291</f>
        <v>150</v>
      </c>
      <c r="E299" s="69"/>
      <c r="F299" s="69">
        <v>1</v>
      </c>
      <c r="G299" s="69"/>
      <c r="H299" s="71">
        <f>C299*D299*F299</f>
        <v>300</v>
      </c>
      <c r="I299" s="69"/>
      <c r="J299" s="70" t="s">
        <v>21</v>
      </c>
    </row>
    <row r="300" spans="1:10">
      <c r="A300" s="67"/>
      <c r="B300" s="74"/>
      <c r="C300" s="68"/>
      <c r="D300" s="69"/>
      <c r="E300" s="69"/>
      <c r="F300" s="69"/>
      <c r="G300" s="69"/>
      <c r="H300" s="71"/>
      <c r="I300" s="69"/>
      <c r="J300" s="70"/>
    </row>
    <row r="301" spans="1:10">
      <c r="A301" s="67"/>
      <c r="B301" s="76" t="s">
        <v>903</v>
      </c>
      <c r="C301" s="68">
        <v>2</v>
      </c>
      <c r="D301" s="69">
        <f>D299</f>
        <v>150</v>
      </c>
      <c r="E301" s="69"/>
      <c r="F301" s="69">
        <f>1+0.375+0.375</f>
        <v>1.75</v>
      </c>
      <c r="G301" s="69"/>
      <c r="H301" s="71">
        <f>C301*D301*F301</f>
        <v>525</v>
      </c>
      <c r="I301" s="69"/>
      <c r="J301" s="70" t="s">
        <v>21</v>
      </c>
    </row>
    <row r="302" spans="1:10">
      <c r="A302" s="67"/>
      <c r="B302" s="74"/>
      <c r="C302" s="68"/>
      <c r="D302" s="69"/>
      <c r="E302" s="69"/>
      <c r="F302" s="69"/>
      <c r="G302" s="69"/>
      <c r="H302" s="71"/>
      <c r="I302" s="69"/>
      <c r="J302" s="70"/>
    </row>
    <row r="303" spans="1:10">
      <c r="A303" s="67"/>
      <c r="B303" s="76" t="s">
        <v>904</v>
      </c>
      <c r="C303" s="68">
        <v>1</v>
      </c>
      <c r="D303" s="69">
        <f>D291</f>
        <v>150</v>
      </c>
      <c r="E303" s="69">
        <v>1.75</v>
      </c>
      <c r="F303" s="69">
        <v>0.25</v>
      </c>
      <c r="G303" s="69"/>
      <c r="H303" s="71">
        <f>C303*D303*E303*F303</f>
        <v>65.599999999999994</v>
      </c>
      <c r="I303" s="69"/>
      <c r="J303" s="70" t="s">
        <v>27</v>
      </c>
    </row>
    <row r="304" spans="1:10">
      <c r="A304" s="67"/>
      <c r="B304" s="76"/>
      <c r="C304" s="68"/>
      <c r="D304" s="69"/>
      <c r="E304" s="69"/>
      <c r="F304" s="69"/>
      <c r="G304" s="69"/>
      <c r="H304" s="71"/>
      <c r="I304" s="69"/>
      <c r="J304" s="70"/>
    </row>
    <row r="305" spans="1:10">
      <c r="A305" s="67"/>
      <c r="B305" s="76" t="s">
        <v>905</v>
      </c>
      <c r="C305" s="68"/>
      <c r="D305" s="69"/>
      <c r="E305" s="69"/>
      <c r="F305" s="69"/>
      <c r="G305" s="69"/>
      <c r="H305" s="71"/>
      <c r="I305" s="69"/>
      <c r="J305" s="70"/>
    </row>
    <row r="306" spans="1:10">
      <c r="A306" s="67"/>
      <c r="B306" s="74" t="s">
        <v>895</v>
      </c>
      <c r="C306" s="68">
        <f>C303*ROUND(D303/0.5+1,0)</f>
        <v>301</v>
      </c>
      <c r="D306" s="69">
        <f>E303-0.25</f>
        <v>1.5</v>
      </c>
      <c r="E306" s="69"/>
      <c r="F306" s="69"/>
      <c r="G306" s="69"/>
      <c r="H306" s="71">
        <f>C306*D306</f>
        <v>451.5</v>
      </c>
      <c r="I306" s="69"/>
      <c r="J306" s="70" t="s">
        <v>82</v>
      </c>
    </row>
    <row r="307" spans="1:10">
      <c r="A307" s="67"/>
      <c r="B307" s="74"/>
      <c r="C307" s="68">
        <f>C303*ROUND((E303-0.25)/0.5+1,0)</f>
        <v>4</v>
      </c>
      <c r="D307" s="69">
        <f>D303</f>
        <v>150</v>
      </c>
      <c r="E307" s="69"/>
      <c r="F307" s="69"/>
      <c r="G307" s="69"/>
      <c r="H307" s="71">
        <f>C307*D307</f>
        <v>600</v>
      </c>
      <c r="I307" s="69"/>
      <c r="J307" s="70" t="s">
        <v>82</v>
      </c>
    </row>
    <row r="308" spans="1:10">
      <c r="A308" s="67"/>
      <c r="B308" s="74"/>
      <c r="C308" s="68"/>
      <c r="D308" s="69"/>
      <c r="E308" s="69"/>
      <c r="F308" s="69"/>
      <c r="G308" s="69"/>
      <c r="H308" s="71">
        <f>SUM(H306:H307)</f>
        <v>1051.5</v>
      </c>
      <c r="I308" s="69"/>
      <c r="J308" s="70" t="s">
        <v>82</v>
      </c>
    </row>
    <row r="309" spans="1:10">
      <c r="A309" s="67"/>
      <c r="B309" s="74"/>
      <c r="C309" s="68"/>
      <c r="D309" s="69"/>
      <c r="E309" s="69"/>
      <c r="F309" s="69"/>
      <c r="G309" s="69"/>
      <c r="H309" s="457">
        <f>H308/39.33/135</f>
        <v>0.2</v>
      </c>
      <c r="I309" s="69"/>
      <c r="J309" s="70" t="s">
        <v>14</v>
      </c>
    </row>
    <row r="310" spans="1:10">
      <c r="A310" s="67"/>
      <c r="B310" s="74"/>
      <c r="C310" s="68"/>
      <c r="D310" s="69"/>
      <c r="E310" s="69"/>
      <c r="F310" s="69"/>
      <c r="G310" s="69"/>
      <c r="H310" s="457"/>
      <c r="I310" s="69"/>
      <c r="J310" s="70"/>
    </row>
    <row r="311" spans="1:10">
      <c r="A311" s="67"/>
      <c r="B311" s="74"/>
      <c r="C311" s="68"/>
      <c r="D311" s="69"/>
      <c r="E311" s="69"/>
      <c r="F311" s="69"/>
      <c r="G311" s="69"/>
      <c r="H311" s="69"/>
      <c r="I311" s="69"/>
      <c r="J311" s="70"/>
    </row>
  </sheetData>
  <mergeCells count="12">
    <mergeCell ref="H5:H6"/>
    <mergeCell ref="I5:I6"/>
    <mergeCell ref="J5:J6"/>
    <mergeCell ref="A3:J3"/>
    <mergeCell ref="A1:J1"/>
    <mergeCell ref="A2:J2"/>
    <mergeCell ref="A4:J4"/>
    <mergeCell ref="A5:A6"/>
    <mergeCell ref="B5:B6"/>
    <mergeCell ref="C5:C6"/>
    <mergeCell ref="D5:F5"/>
    <mergeCell ref="G5:G6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8C6EC-D0E3-47A8-B099-A9765D18C16A}">
  <sheetPr codeName="Sheet14"/>
  <dimension ref="B1:H22"/>
  <sheetViews>
    <sheetView zoomScale="160" zoomScaleNormal="160" workbookViewId="0">
      <selection activeCell="D7" sqref="D7"/>
    </sheetView>
  </sheetViews>
  <sheetFormatPr defaultRowHeight="12.5"/>
  <sheetData>
    <row r="1" spans="2:8">
      <c r="B1" t="s">
        <v>656</v>
      </c>
      <c r="C1">
        <v>23000</v>
      </c>
    </row>
    <row r="2" spans="2:8">
      <c r="B2" t="s">
        <v>390</v>
      </c>
      <c r="C2">
        <v>15000</v>
      </c>
    </row>
    <row r="4" spans="2:8">
      <c r="B4" t="s">
        <v>657</v>
      </c>
      <c r="D4">
        <v>2</v>
      </c>
      <c r="E4">
        <f>$C$2</f>
        <v>15000</v>
      </c>
      <c r="F4">
        <f>D4*E4</f>
        <v>30000</v>
      </c>
      <c r="H4">
        <f>SUM(F4)</f>
        <v>30000</v>
      </c>
    </row>
    <row r="5" spans="2:8">
      <c r="B5" t="s">
        <v>658</v>
      </c>
      <c r="D5">
        <v>1</v>
      </c>
      <c r="E5">
        <f>$C$2</f>
        <v>15000</v>
      </c>
      <c r="F5">
        <f t="shared" ref="F5:F21" si="0">D5*E5</f>
        <v>15000</v>
      </c>
      <c r="H5">
        <f>SUM(F5)</f>
        <v>15000</v>
      </c>
    </row>
    <row r="6" spans="2:8">
      <c r="B6" t="s">
        <v>659</v>
      </c>
      <c r="D6">
        <v>1</v>
      </c>
      <c r="E6">
        <f>$C$1</f>
        <v>23000</v>
      </c>
      <c r="F6">
        <f t="shared" si="0"/>
        <v>23000</v>
      </c>
      <c r="H6">
        <f>SUM(F6:F7)</f>
        <v>113000</v>
      </c>
    </row>
    <row r="7" spans="2:8">
      <c r="D7">
        <v>6</v>
      </c>
      <c r="E7">
        <f>$C$2</f>
        <v>15000</v>
      </c>
      <c r="F7">
        <f t="shared" si="0"/>
        <v>90000</v>
      </c>
    </row>
    <row r="8" spans="2:8">
      <c r="B8" t="s">
        <v>660</v>
      </c>
      <c r="D8">
        <v>4</v>
      </c>
      <c r="E8">
        <f>$C$1</f>
        <v>23000</v>
      </c>
      <c r="F8">
        <f t="shared" si="0"/>
        <v>92000</v>
      </c>
      <c r="H8">
        <f>SUM(F8:F9)*0.8</f>
        <v>145600</v>
      </c>
    </row>
    <row r="9" spans="2:8">
      <c r="D9">
        <v>6</v>
      </c>
      <c r="E9">
        <f>$C$2</f>
        <v>15000</v>
      </c>
      <c r="F9">
        <f t="shared" si="0"/>
        <v>90000</v>
      </c>
    </row>
    <row r="10" spans="2:8">
      <c r="B10" t="s">
        <v>254</v>
      </c>
      <c r="D10">
        <v>1</v>
      </c>
      <c r="E10">
        <f>$C$1</f>
        <v>23000</v>
      </c>
      <c r="F10">
        <f t="shared" si="0"/>
        <v>23000</v>
      </c>
      <c r="H10">
        <f>SUM(F10:F11)</f>
        <v>143000</v>
      </c>
    </row>
    <row r="11" spans="2:8">
      <c r="D11">
        <v>8</v>
      </c>
      <c r="E11">
        <f>$C$2</f>
        <v>15000</v>
      </c>
      <c r="F11">
        <f t="shared" si="0"/>
        <v>120000</v>
      </c>
    </row>
    <row r="12" spans="2:8">
      <c r="B12" t="s">
        <v>661</v>
      </c>
      <c r="D12">
        <f>20*0.75*0.5</f>
        <v>7.5</v>
      </c>
      <c r="E12">
        <f>$C$1</f>
        <v>23000</v>
      </c>
      <c r="F12">
        <f t="shared" si="0"/>
        <v>172500</v>
      </c>
      <c r="H12">
        <f>SUM(F12:F13)*0.8</f>
        <v>228000</v>
      </c>
    </row>
    <row r="13" spans="2:8">
      <c r="D13">
        <f>D12</f>
        <v>7.5</v>
      </c>
      <c r="E13">
        <f>$C$2</f>
        <v>15000</v>
      </c>
      <c r="F13">
        <f t="shared" si="0"/>
        <v>112500</v>
      </c>
    </row>
    <row r="14" spans="2:8">
      <c r="B14" t="s">
        <v>662</v>
      </c>
      <c r="D14">
        <v>2</v>
      </c>
      <c r="E14">
        <f>$C$1</f>
        <v>23000</v>
      </c>
      <c r="F14">
        <f t="shared" si="0"/>
        <v>46000</v>
      </c>
      <c r="H14">
        <f>SUM(F14:F15)</f>
        <v>68500</v>
      </c>
    </row>
    <row r="15" spans="2:8">
      <c r="D15">
        <v>1.5</v>
      </c>
      <c r="E15">
        <f>$C$2</f>
        <v>15000</v>
      </c>
      <c r="F15">
        <f t="shared" si="0"/>
        <v>22500</v>
      </c>
    </row>
    <row r="16" spans="2:8">
      <c r="B16" t="s">
        <v>663</v>
      </c>
      <c r="D16">
        <v>2</v>
      </c>
      <c r="E16">
        <f>$C$1</f>
        <v>23000</v>
      </c>
      <c r="F16">
        <f t="shared" si="0"/>
        <v>46000</v>
      </c>
      <c r="H16">
        <f>SUM(F16:F17)</f>
        <v>91000</v>
      </c>
    </row>
    <row r="17" spans="2:8">
      <c r="D17">
        <v>3</v>
      </c>
      <c r="E17">
        <f>$C$2</f>
        <v>15000</v>
      </c>
      <c r="F17">
        <f t="shared" si="0"/>
        <v>45000</v>
      </c>
    </row>
    <row r="18" spans="2:8">
      <c r="B18" t="s">
        <v>664</v>
      </c>
      <c r="D18">
        <v>1</v>
      </c>
      <c r="E18">
        <f>$C$1</f>
        <v>23000</v>
      </c>
      <c r="F18">
        <f t="shared" si="0"/>
        <v>23000</v>
      </c>
      <c r="H18">
        <f>SUM(F18:F19)</f>
        <v>53000</v>
      </c>
    </row>
    <row r="19" spans="2:8">
      <c r="D19">
        <v>2</v>
      </c>
      <c r="E19">
        <f>$C$2</f>
        <v>15000</v>
      </c>
      <c r="F19">
        <f t="shared" si="0"/>
        <v>30000</v>
      </c>
    </row>
    <row r="20" spans="2:8">
      <c r="B20" t="s">
        <v>665</v>
      </c>
      <c r="D20">
        <v>0.75</v>
      </c>
      <c r="E20">
        <f>$C$1</f>
        <v>23000</v>
      </c>
      <c r="F20">
        <f t="shared" si="0"/>
        <v>17250</v>
      </c>
      <c r="H20">
        <f>SUM(F20:F21)</f>
        <v>39750</v>
      </c>
    </row>
    <row r="21" spans="2:8">
      <c r="D21">
        <v>1.5</v>
      </c>
      <c r="E21">
        <f>$C$2</f>
        <v>15000</v>
      </c>
      <c r="F21">
        <f t="shared" si="0"/>
        <v>22500</v>
      </c>
    </row>
    <row r="22" spans="2:8">
      <c r="B22" t="s">
        <v>666</v>
      </c>
      <c r="H22">
        <v>1775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EA121-73BA-4B24-B8EA-3E6709683909}">
  <sheetPr codeName="Sheet25"/>
  <dimension ref="A1:G55"/>
  <sheetViews>
    <sheetView zoomScale="120" zoomScaleNormal="120" workbookViewId="0">
      <selection activeCell="G9" sqref="G9"/>
    </sheetView>
  </sheetViews>
  <sheetFormatPr defaultColWidth="9.1796875" defaultRowHeight="25" customHeight="1"/>
  <cols>
    <col min="1" max="1" width="5.1796875" style="148" customWidth="1"/>
    <col min="2" max="2" width="53.1796875" style="150" customWidth="1"/>
    <col min="3" max="3" width="18.1796875" style="150" customWidth="1"/>
    <col min="4" max="4" width="18.453125" style="150" customWidth="1"/>
    <col min="5" max="6" width="9.1796875" style="150"/>
    <col min="7" max="7" width="14.1796875" style="150" customWidth="1"/>
    <col min="8" max="16384" width="9.1796875" style="150"/>
  </cols>
  <sheetData>
    <row r="1" spans="1:4" ht="25" customHeight="1">
      <c r="A1" s="179" t="s">
        <v>245</v>
      </c>
    </row>
    <row r="2" spans="1:4" ht="20.149999999999999" customHeight="1">
      <c r="A2" s="173" t="s">
        <v>185</v>
      </c>
      <c r="B2" s="169" t="s">
        <v>198</v>
      </c>
      <c r="C2" s="530" t="s">
        <v>178</v>
      </c>
      <c r="D2" s="531"/>
    </row>
    <row r="3" spans="1:4" ht="20.149999999999999" customHeight="1">
      <c r="A3" s="157">
        <v>1</v>
      </c>
      <c r="B3" s="153" t="s">
        <v>259</v>
      </c>
      <c r="C3" s="160"/>
      <c r="D3" s="162"/>
    </row>
    <row r="4" spans="1:4" ht="20.149999999999999" customHeight="1">
      <c r="A4" s="157">
        <v>2</v>
      </c>
      <c r="B4" s="153" t="s">
        <v>174</v>
      </c>
      <c r="C4" s="160"/>
      <c r="D4" s="162"/>
    </row>
    <row r="5" spans="1:4" ht="20.149999999999999" customHeight="1">
      <c r="A5" s="157">
        <v>3</v>
      </c>
      <c r="B5" s="153" t="s">
        <v>175</v>
      </c>
      <c r="C5" s="160" t="s">
        <v>197</v>
      </c>
      <c r="D5" s="162"/>
    </row>
    <row r="6" spans="1:4" ht="20.149999999999999" customHeight="1">
      <c r="A6" s="157">
        <v>4</v>
      </c>
      <c r="B6" s="153" t="s">
        <v>176</v>
      </c>
      <c r="C6" s="160" t="s">
        <v>196</v>
      </c>
      <c r="D6" s="162"/>
    </row>
    <row r="7" spans="1:4" ht="20.149999999999999" customHeight="1">
      <c r="A7" s="157">
        <v>5</v>
      </c>
      <c r="B7" s="153" t="s">
        <v>240</v>
      </c>
      <c r="C7" s="160" t="s">
        <v>247</v>
      </c>
      <c r="D7" s="162"/>
    </row>
    <row r="8" spans="1:4" ht="20.149999999999999" customHeight="1">
      <c r="A8" s="157">
        <v>7</v>
      </c>
      <c r="B8" s="153" t="s">
        <v>204</v>
      </c>
      <c r="C8" s="160" t="s">
        <v>246</v>
      </c>
      <c r="D8" s="162"/>
    </row>
    <row r="9" spans="1:4" ht="39.75" customHeight="1">
      <c r="A9" s="158">
        <v>8</v>
      </c>
      <c r="B9" s="154" t="s">
        <v>179</v>
      </c>
      <c r="C9" s="161" t="s">
        <v>195</v>
      </c>
      <c r="D9" s="162"/>
    </row>
    <row r="10" spans="1:4" ht="20.149999999999999" customHeight="1">
      <c r="A10" s="158">
        <v>9</v>
      </c>
      <c r="B10" s="166" t="s">
        <v>189</v>
      </c>
      <c r="C10" s="161"/>
      <c r="D10" s="162"/>
    </row>
    <row r="11" spans="1:4" ht="20.149999999999999" customHeight="1">
      <c r="A11" s="157">
        <v>10</v>
      </c>
      <c r="B11" s="153" t="s">
        <v>181</v>
      </c>
      <c r="C11" s="160"/>
      <c r="D11" s="162"/>
    </row>
    <row r="12" spans="1:4" ht="20.149999999999999" customHeight="1">
      <c r="A12" s="157"/>
      <c r="B12" s="153"/>
      <c r="C12" s="160"/>
      <c r="D12" s="162"/>
    </row>
    <row r="13" spans="1:4" ht="20.149999999999999" customHeight="1">
      <c r="A13" s="174" t="s">
        <v>4</v>
      </c>
      <c r="B13" s="170" t="s">
        <v>250</v>
      </c>
      <c r="C13" s="172"/>
      <c r="D13" s="172"/>
    </row>
    <row r="14" spans="1:4" ht="20.149999999999999" customHeight="1">
      <c r="A14" s="157"/>
      <c r="B14" s="153" t="s">
        <v>251</v>
      </c>
      <c r="C14" s="160" t="s">
        <v>252</v>
      </c>
      <c r="D14" s="162"/>
    </row>
    <row r="15" spans="1:4" ht="20.149999999999999" customHeight="1">
      <c r="A15" s="157"/>
      <c r="B15" s="153" t="s">
        <v>8</v>
      </c>
      <c r="C15" s="160" t="s">
        <v>253</v>
      </c>
      <c r="D15" s="162"/>
    </row>
    <row r="16" spans="1:4" ht="20.149999999999999" customHeight="1">
      <c r="A16" s="157"/>
      <c r="B16" s="153" t="s">
        <v>254</v>
      </c>
      <c r="C16" s="160" t="s">
        <v>255</v>
      </c>
      <c r="D16" s="162"/>
    </row>
    <row r="17" spans="1:7" ht="20.149999999999999" customHeight="1">
      <c r="A17" s="157"/>
      <c r="B17" s="153"/>
      <c r="C17" s="160"/>
      <c r="D17" s="162"/>
    </row>
    <row r="18" spans="1:7" ht="20.149999999999999" customHeight="1">
      <c r="A18" s="174" t="s">
        <v>192</v>
      </c>
      <c r="B18" s="170" t="s">
        <v>173</v>
      </c>
      <c r="C18" s="172" t="s">
        <v>182</v>
      </c>
      <c r="D18" s="172" t="s">
        <v>183</v>
      </c>
    </row>
    <row r="19" spans="1:7" ht="20.149999999999999" customHeight="1">
      <c r="A19" s="157">
        <v>1</v>
      </c>
      <c r="B19" s="153" t="s">
        <v>249</v>
      </c>
      <c r="C19" s="155">
        <v>0.3</v>
      </c>
      <c r="D19" s="163">
        <f>530*100000*0.3</f>
        <v>15900000</v>
      </c>
    </row>
    <row r="20" spans="1:7" ht="20.149999999999999" customHeight="1">
      <c r="A20" s="157">
        <v>2</v>
      </c>
      <c r="B20" s="153" t="s">
        <v>170</v>
      </c>
      <c r="C20" s="155">
        <v>0.2</v>
      </c>
      <c r="D20" s="163">
        <f>530*100000*0.2</f>
        <v>10600000</v>
      </c>
    </row>
    <row r="21" spans="1:7" ht="20.149999999999999" customHeight="1">
      <c r="A21" s="157">
        <v>3</v>
      </c>
      <c r="B21" s="153" t="s">
        <v>171</v>
      </c>
      <c r="C21" s="155">
        <v>0.2</v>
      </c>
      <c r="D21" s="163">
        <f>530*100000*0.2</f>
        <v>10600000</v>
      </c>
    </row>
    <row r="22" spans="1:7" ht="20.149999999999999" customHeight="1">
      <c r="A22" s="157">
        <v>4</v>
      </c>
      <c r="B22" s="153" t="s">
        <v>172</v>
      </c>
      <c r="C22" s="155">
        <v>0.2</v>
      </c>
      <c r="D22" s="163">
        <f>530*100000*0.2</f>
        <v>10600000</v>
      </c>
      <c r="G22" s="150">
        <f>265-180</f>
        <v>85</v>
      </c>
    </row>
    <row r="23" spans="1:7" ht="20.149999999999999" customHeight="1">
      <c r="A23" s="157">
        <v>5</v>
      </c>
      <c r="B23" s="153" t="s">
        <v>257</v>
      </c>
      <c r="C23" s="155">
        <v>0.05</v>
      </c>
      <c r="D23" s="163">
        <f>530*100000*0.05</f>
        <v>2650000</v>
      </c>
    </row>
    <row r="24" spans="1:7" ht="20.149999999999999" customHeight="1">
      <c r="A24" s="157">
        <v>6</v>
      </c>
      <c r="B24" s="153" t="s">
        <v>258</v>
      </c>
      <c r="C24" s="164">
        <v>0.05</v>
      </c>
      <c r="D24" s="165">
        <f>530*100000*0.05</f>
        <v>2650000</v>
      </c>
    </row>
    <row r="25" spans="1:7" ht="20.149999999999999" customHeight="1">
      <c r="A25" s="157"/>
      <c r="B25" s="176" t="s">
        <v>184</v>
      </c>
      <c r="C25" s="177">
        <f>SUM(C19:C24)</f>
        <v>1</v>
      </c>
      <c r="D25" s="178">
        <f>SUM(D19:D24)</f>
        <v>53000000</v>
      </c>
    </row>
    <row r="26" spans="1:7" ht="20.149999999999999" customHeight="1">
      <c r="A26" s="157"/>
      <c r="B26" s="153"/>
      <c r="C26" s="153"/>
      <c r="D26" s="153"/>
    </row>
    <row r="27" spans="1:7" ht="20.149999999999999" customHeight="1">
      <c r="A27" s="175" t="s">
        <v>193</v>
      </c>
      <c r="B27" s="180" t="s">
        <v>256</v>
      </c>
      <c r="C27" s="180"/>
      <c r="D27" s="180"/>
    </row>
    <row r="28" spans="1:7" ht="20.149999999999999" customHeight="1">
      <c r="A28" s="167">
        <v>1</v>
      </c>
      <c r="B28" s="168" t="s">
        <v>201</v>
      </c>
      <c r="C28" s="532" t="s">
        <v>248</v>
      </c>
      <c r="D28" s="533"/>
    </row>
    <row r="29" spans="1:7" ht="20.149999999999999" customHeight="1">
      <c r="A29" s="167">
        <v>2</v>
      </c>
      <c r="B29" s="168" t="s">
        <v>202</v>
      </c>
      <c r="C29" s="534"/>
      <c r="D29" s="535"/>
    </row>
    <row r="30" spans="1:7" ht="20.149999999999999" customHeight="1">
      <c r="A30" s="167">
        <v>3</v>
      </c>
      <c r="B30" s="168" t="s">
        <v>203</v>
      </c>
      <c r="C30" s="534"/>
      <c r="D30" s="535"/>
    </row>
    <row r="31" spans="1:7" ht="20.149999999999999" customHeight="1">
      <c r="A31" s="167">
        <v>4</v>
      </c>
      <c r="B31" s="168" t="s">
        <v>205</v>
      </c>
      <c r="C31" s="536"/>
      <c r="D31" s="537"/>
    </row>
    <row r="32" spans="1:7" ht="20.149999999999999" customHeight="1">
      <c r="A32" s="159"/>
      <c r="B32" s="156"/>
      <c r="C32" s="156"/>
      <c r="D32" s="156"/>
    </row>
    <row r="35" spans="1:3" ht="25" customHeight="1">
      <c r="A35" s="152" t="s">
        <v>239</v>
      </c>
      <c r="B35" s="173" t="s">
        <v>236</v>
      </c>
      <c r="C35" s="151"/>
    </row>
    <row r="36" spans="1:3" ht="25" customHeight="1">
      <c r="A36" s="157"/>
      <c r="B36" s="153" t="s">
        <v>206</v>
      </c>
      <c r="C36" s="157" t="s">
        <v>238</v>
      </c>
    </row>
    <row r="37" spans="1:3" ht="25" customHeight="1">
      <c r="A37" s="157">
        <v>1</v>
      </c>
      <c r="B37" s="153" t="s">
        <v>180</v>
      </c>
      <c r="C37" s="153" t="s">
        <v>225</v>
      </c>
    </row>
    <row r="38" spans="1:3" ht="25" customHeight="1">
      <c r="A38" s="157">
        <v>2</v>
      </c>
      <c r="B38" s="153" t="s">
        <v>207</v>
      </c>
      <c r="C38" s="153" t="s">
        <v>224</v>
      </c>
    </row>
    <row r="39" spans="1:3" ht="25" customHeight="1">
      <c r="A39" s="157">
        <v>3</v>
      </c>
      <c r="B39" s="153" t="s">
        <v>208</v>
      </c>
      <c r="C39" s="153" t="s">
        <v>226</v>
      </c>
    </row>
    <row r="40" spans="1:3" ht="25" customHeight="1">
      <c r="A40" s="157">
        <v>4</v>
      </c>
      <c r="B40" s="153" t="s">
        <v>209</v>
      </c>
      <c r="C40" s="153" t="s">
        <v>227</v>
      </c>
    </row>
    <row r="41" spans="1:3" ht="25" customHeight="1">
      <c r="A41" s="157"/>
      <c r="B41" s="153" t="s">
        <v>210</v>
      </c>
      <c r="C41" s="153"/>
    </row>
    <row r="42" spans="1:3" ht="25" customHeight="1">
      <c r="A42" s="157">
        <v>5</v>
      </c>
      <c r="B42" s="153" t="s">
        <v>237</v>
      </c>
      <c r="C42" s="153" t="s">
        <v>228</v>
      </c>
    </row>
    <row r="43" spans="1:3" ht="25" customHeight="1">
      <c r="A43" s="157">
        <v>6</v>
      </c>
      <c r="B43" s="153" t="s">
        <v>211</v>
      </c>
      <c r="C43" s="153" t="s">
        <v>229</v>
      </c>
    </row>
    <row r="44" spans="1:3" ht="25" customHeight="1">
      <c r="A44" s="157">
        <v>7</v>
      </c>
      <c r="B44" s="153" t="s">
        <v>212</v>
      </c>
      <c r="C44" s="153" t="s">
        <v>230</v>
      </c>
    </row>
    <row r="45" spans="1:3" ht="25" customHeight="1">
      <c r="A45" s="157">
        <v>8</v>
      </c>
      <c r="B45" s="153" t="s">
        <v>213</v>
      </c>
      <c r="C45" s="153" t="s">
        <v>231</v>
      </c>
    </row>
    <row r="46" spans="1:3" ht="25" customHeight="1">
      <c r="A46" s="157"/>
      <c r="B46" s="172" t="s">
        <v>214</v>
      </c>
      <c r="C46" s="153"/>
    </row>
    <row r="47" spans="1:3" ht="25" customHeight="1">
      <c r="A47" s="157">
        <v>9</v>
      </c>
      <c r="B47" s="153" t="s">
        <v>215</v>
      </c>
      <c r="C47" s="153" t="s">
        <v>232</v>
      </c>
    </row>
    <row r="48" spans="1:3" ht="25" customHeight="1">
      <c r="A48" s="157">
        <v>10</v>
      </c>
      <c r="B48" s="153" t="s">
        <v>216</v>
      </c>
      <c r="C48" s="153" t="s">
        <v>232</v>
      </c>
    </row>
    <row r="49" spans="1:3" ht="25" customHeight="1">
      <c r="A49" s="157">
        <v>11</v>
      </c>
      <c r="B49" s="153" t="s">
        <v>217</v>
      </c>
      <c r="C49" s="153" t="s">
        <v>232</v>
      </c>
    </row>
    <row r="50" spans="1:3" ht="25" customHeight="1">
      <c r="A50" s="157">
        <v>12</v>
      </c>
      <c r="B50" s="153" t="s">
        <v>218</v>
      </c>
      <c r="C50" s="153" t="s">
        <v>232</v>
      </c>
    </row>
    <row r="51" spans="1:3" ht="25" customHeight="1">
      <c r="A51" s="157">
        <v>13</v>
      </c>
      <c r="B51" s="153" t="s">
        <v>219</v>
      </c>
      <c r="C51" s="153" t="s">
        <v>232</v>
      </c>
    </row>
    <row r="52" spans="1:3" ht="25" customHeight="1">
      <c r="A52" s="157">
        <v>14</v>
      </c>
      <c r="B52" s="153" t="s">
        <v>220</v>
      </c>
      <c r="C52" s="153" t="s">
        <v>232</v>
      </c>
    </row>
    <row r="53" spans="1:3" ht="25" customHeight="1">
      <c r="A53" s="157">
        <v>15</v>
      </c>
      <c r="B53" s="153" t="s">
        <v>221</v>
      </c>
      <c r="C53" s="153" t="s">
        <v>233</v>
      </c>
    </row>
    <row r="54" spans="1:3" ht="25" customHeight="1">
      <c r="A54" s="157">
        <v>16</v>
      </c>
      <c r="B54" s="153" t="s">
        <v>222</v>
      </c>
      <c r="C54" s="153" t="s">
        <v>234</v>
      </c>
    </row>
    <row r="55" spans="1:3" ht="25" customHeight="1">
      <c r="A55" s="159">
        <v>17</v>
      </c>
      <c r="B55" s="156" t="s">
        <v>223</v>
      </c>
      <c r="C55" s="156" t="s">
        <v>235</v>
      </c>
    </row>
  </sheetData>
  <mergeCells count="2">
    <mergeCell ref="C2:D2"/>
    <mergeCell ref="C28:D31"/>
  </mergeCells>
  <pageMargins left="0.75" right="0.25" top="0.5" bottom="0.2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0CA37-9780-48D0-9844-1DCA7E129ABE}">
  <sheetPr codeName="Sheet26"/>
  <dimension ref="B2:C16"/>
  <sheetViews>
    <sheetView zoomScale="120" zoomScaleNormal="120" workbookViewId="0">
      <selection activeCell="G9" sqref="G9"/>
    </sheetView>
  </sheetViews>
  <sheetFormatPr defaultColWidth="9.1796875" defaultRowHeight="15.5"/>
  <cols>
    <col min="1" max="2" width="9.1796875" style="47"/>
    <col min="3" max="3" width="59.7265625" style="47" customWidth="1"/>
    <col min="4" max="16384" width="9.1796875" style="47"/>
  </cols>
  <sheetData>
    <row r="2" spans="2:3">
      <c r="B2" s="47" t="s">
        <v>260</v>
      </c>
    </row>
    <row r="3" spans="2:3">
      <c r="B3" s="181">
        <v>1</v>
      </c>
      <c r="C3" s="47" t="s">
        <v>261</v>
      </c>
    </row>
    <row r="4" spans="2:3">
      <c r="B4" s="181">
        <v>2</v>
      </c>
      <c r="C4" s="47" t="s">
        <v>262</v>
      </c>
    </row>
    <row r="5" spans="2:3">
      <c r="B5" s="181">
        <v>3</v>
      </c>
      <c r="C5" s="47" t="s">
        <v>263</v>
      </c>
    </row>
    <row r="6" spans="2:3">
      <c r="B6" s="181">
        <v>4</v>
      </c>
      <c r="C6" s="47" t="s">
        <v>267</v>
      </c>
    </row>
    <row r="7" spans="2:3">
      <c r="B7" s="181">
        <v>5</v>
      </c>
      <c r="C7" s="47" t="s">
        <v>264</v>
      </c>
    </row>
    <row r="8" spans="2:3">
      <c r="B8" s="181">
        <v>6</v>
      </c>
      <c r="C8" s="47" t="s">
        <v>265</v>
      </c>
    </row>
    <row r="9" spans="2:3">
      <c r="B9" s="181">
        <v>7</v>
      </c>
      <c r="C9" s="47" t="s">
        <v>266</v>
      </c>
    </row>
    <row r="10" spans="2:3">
      <c r="B10" s="181">
        <v>8</v>
      </c>
      <c r="C10" s="47" t="s">
        <v>274</v>
      </c>
    </row>
    <row r="11" spans="2:3">
      <c r="B11" s="181">
        <v>9</v>
      </c>
      <c r="C11" s="47" t="s">
        <v>268</v>
      </c>
    </row>
    <row r="12" spans="2:3">
      <c r="B12" s="181">
        <v>10</v>
      </c>
      <c r="C12" s="47" t="s">
        <v>269</v>
      </c>
    </row>
    <row r="13" spans="2:3">
      <c r="B13" s="181">
        <v>11</v>
      </c>
      <c r="C13" s="47" t="s">
        <v>270</v>
      </c>
    </row>
    <row r="14" spans="2:3">
      <c r="B14" s="181">
        <v>12</v>
      </c>
      <c r="C14" s="47" t="s">
        <v>271</v>
      </c>
    </row>
    <row r="15" spans="2:3">
      <c r="B15" s="181">
        <v>13</v>
      </c>
      <c r="C15" s="47" t="s">
        <v>272</v>
      </c>
    </row>
    <row r="16" spans="2:3">
      <c r="B16" s="181">
        <v>14</v>
      </c>
      <c r="C16" s="47" t="s">
        <v>273</v>
      </c>
    </row>
  </sheetData>
  <pageMargins left="0.7" right="0.7" top="0.75" bottom="0.75" header="0.3" footer="0.3"/>
  <pageSetup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6DD17-F8F4-4C2B-A087-C11CAF2D30B2}">
  <sheetPr codeName="Sheet27"/>
  <dimension ref="A1:D56"/>
  <sheetViews>
    <sheetView zoomScale="120" zoomScaleNormal="120" workbookViewId="0">
      <selection activeCell="G9" sqref="G9"/>
    </sheetView>
  </sheetViews>
  <sheetFormatPr defaultColWidth="9.1796875" defaultRowHeight="25" customHeight="1"/>
  <cols>
    <col min="1" max="1" width="5.1796875" style="148" customWidth="1"/>
    <col min="2" max="2" width="53.1796875" style="150" customWidth="1"/>
    <col min="3" max="3" width="18.1796875" style="150" customWidth="1"/>
    <col min="4" max="4" width="18.453125" style="150" customWidth="1"/>
    <col min="5" max="16384" width="9.1796875" style="150"/>
  </cols>
  <sheetData>
    <row r="1" spans="1:4" ht="25" customHeight="1">
      <c r="A1" s="179" t="s">
        <v>245</v>
      </c>
    </row>
    <row r="2" spans="1:4" ht="20.149999999999999" customHeight="1">
      <c r="A2" s="173" t="s">
        <v>185</v>
      </c>
      <c r="B2" s="169" t="s">
        <v>198</v>
      </c>
      <c r="C2" s="530" t="s">
        <v>178</v>
      </c>
      <c r="D2" s="531"/>
    </row>
    <row r="3" spans="1:4" ht="20.149999999999999" customHeight="1">
      <c r="A3" s="157">
        <v>1</v>
      </c>
      <c r="B3" s="153" t="s">
        <v>399</v>
      </c>
      <c r="C3" s="160"/>
      <c r="D3" s="162"/>
    </row>
    <row r="4" spans="1:4" ht="20.149999999999999" customHeight="1">
      <c r="A4" s="157">
        <v>2</v>
      </c>
      <c r="B4" s="153" t="s">
        <v>174</v>
      </c>
      <c r="C4" s="160"/>
      <c r="D4" s="162"/>
    </row>
    <row r="5" spans="1:4" ht="20.149999999999999" customHeight="1">
      <c r="A5" s="157">
        <v>3</v>
      </c>
      <c r="B5" s="153" t="s">
        <v>175</v>
      </c>
      <c r="C5" s="160" t="s">
        <v>197</v>
      </c>
      <c r="D5" s="162"/>
    </row>
    <row r="6" spans="1:4" ht="20.149999999999999" customHeight="1">
      <c r="A6" s="157">
        <v>4</v>
      </c>
      <c r="B6" s="153" t="s">
        <v>176</v>
      </c>
      <c r="C6" s="160" t="s">
        <v>196</v>
      </c>
      <c r="D6" s="162"/>
    </row>
    <row r="7" spans="1:4" ht="20.149999999999999" customHeight="1">
      <c r="A7" s="157">
        <v>5</v>
      </c>
      <c r="B7" s="153" t="s">
        <v>240</v>
      </c>
      <c r="C7" s="160" t="s">
        <v>247</v>
      </c>
      <c r="D7" s="162"/>
    </row>
    <row r="8" spans="1:4" ht="20.149999999999999" customHeight="1">
      <c r="A8" s="157">
        <v>7</v>
      </c>
      <c r="B8" s="153" t="s">
        <v>204</v>
      </c>
      <c r="C8" s="160" t="s">
        <v>246</v>
      </c>
      <c r="D8" s="162"/>
    </row>
    <row r="9" spans="1:4" ht="39.75" customHeight="1">
      <c r="A9" s="158">
        <v>8</v>
      </c>
      <c r="B9" s="154" t="s">
        <v>179</v>
      </c>
      <c r="C9" s="161" t="s">
        <v>195</v>
      </c>
      <c r="D9" s="162"/>
    </row>
    <row r="10" spans="1:4" ht="20.149999999999999" customHeight="1">
      <c r="A10" s="158">
        <v>9</v>
      </c>
      <c r="B10" s="166" t="s">
        <v>189</v>
      </c>
      <c r="C10" s="161"/>
      <c r="D10" s="162"/>
    </row>
    <row r="11" spans="1:4" ht="20.149999999999999" customHeight="1">
      <c r="A11" s="157">
        <v>10</v>
      </c>
      <c r="B11" s="153" t="s">
        <v>181</v>
      </c>
      <c r="C11" s="160"/>
      <c r="D11" s="162"/>
    </row>
    <row r="12" spans="1:4" ht="20.149999999999999" customHeight="1">
      <c r="A12" s="157"/>
      <c r="B12" s="153"/>
      <c r="C12" s="160"/>
      <c r="D12" s="162"/>
    </row>
    <row r="13" spans="1:4" ht="20.149999999999999" customHeight="1">
      <c r="A13" s="174" t="s">
        <v>4</v>
      </c>
      <c r="B13" s="170" t="s">
        <v>173</v>
      </c>
      <c r="C13" s="172" t="s">
        <v>182</v>
      </c>
      <c r="D13" s="172" t="s">
        <v>183</v>
      </c>
    </row>
    <row r="14" spans="1:4" ht="20.149999999999999" customHeight="1">
      <c r="A14" s="157">
        <v>1</v>
      </c>
      <c r="B14" s="153" t="s">
        <v>169</v>
      </c>
      <c r="C14" s="155">
        <v>0.3</v>
      </c>
      <c r="D14" s="163">
        <f>530*100000*0.3</f>
        <v>15900000</v>
      </c>
    </row>
    <row r="15" spans="1:4" ht="20.149999999999999" customHeight="1">
      <c r="A15" s="157">
        <v>2</v>
      </c>
      <c r="B15" s="153" t="s">
        <v>170</v>
      </c>
      <c r="C15" s="155">
        <v>0.2</v>
      </c>
      <c r="D15" s="163">
        <f>530*100000*0.2</f>
        <v>10600000</v>
      </c>
    </row>
    <row r="16" spans="1:4" ht="20.149999999999999" customHeight="1">
      <c r="A16" s="157">
        <v>3</v>
      </c>
      <c r="B16" s="153" t="s">
        <v>171</v>
      </c>
      <c r="C16" s="155">
        <v>0.2</v>
      </c>
      <c r="D16" s="163">
        <f>530*100000*0.2</f>
        <v>10600000</v>
      </c>
    </row>
    <row r="17" spans="1:4" ht="20.149999999999999" customHeight="1">
      <c r="A17" s="157">
        <v>4</v>
      </c>
      <c r="B17" s="153" t="s">
        <v>172</v>
      </c>
      <c r="C17" s="155">
        <v>0.2</v>
      </c>
      <c r="D17" s="163">
        <f>530*100000*0.2</f>
        <v>10600000</v>
      </c>
    </row>
    <row r="18" spans="1:4" ht="20.149999999999999" customHeight="1">
      <c r="A18" s="157">
        <v>5</v>
      </c>
      <c r="B18" s="153" t="s">
        <v>177</v>
      </c>
      <c r="C18" s="164">
        <v>0.1</v>
      </c>
      <c r="D18" s="165">
        <f>530*100000*0.1</f>
        <v>5300000</v>
      </c>
    </row>
    <row r="19" spans="1:4" ht="20.149999999999999" customHeight="1">
      <c r="A19" s="157"/>
      <c r="B19" s="176" t="s">
        <v>184</v>
      </c>
      <c r="C19" s="177">
        <f>SUM(C14:C18)</f>
        <v>1</v>
      </c>
      <c r="D19" s="178">
        <f>SUM(D14:D18)</f>
        <v>53000000</v>
      </c>
    </row>
    <row r="20" spans="1:4" ht="20.149999999999999" customHeight="1">
      <c r="A20" s="157"/>
      <c r="B20" s="153"/>
      <c r="C20" s="153"/>
      <c r="D20" s="153"/>
    </row>
    <row r="21" spans="1:4" ht="20.149999999999999" customHeight="1">
      <c r="A21" s="174" t="s">
        <v>192</v>
      </c>
      <c r="B21" s="170" t="s">
        <v>187</v>
      </c>
      <c r="C21" s="153"/>
      <c r="D21" s="153"/>
    </row>
    <row r="22" spans="1:4" ht="20.149999999999999" customHeight="1">
      <c r="A22" s="157">
        <v>1</v>
      </c>
      <c r="B22" s="153" t="s">
        <v>191</v>
      </c>
      <c r="C22" s="153"/>
      <c r="D22" s="153"/>
    </row>
    <row r="23" spans="1:4" ht="20.149999999999999" customHeight="1">
      <c r="A23" s="157">
        <v>2</v>
      </c>
      <c r="B23" s="153" t="s">
        <v>194</v>
      </c>
      <c r="C23" s="153"/>
      <c r="D23" s="153"/>
    </row>
    <row r="24" spans="1:4" ht="20.149999999999999" customHeight="1">
      <c r="A24" s="157"/>
      <c r="B24" s="153"/>
      <c r="C24" s="153"/>
      <c r="D24" s="153"/>
    </row>
    <row r="25" spans="1:4" ht="20.149999999999999" customHeight="1">
      <c r="A25" s="174" t="s">
        <v>193</v>
      </c>
      <c r="B25" s="170" t="s">
        <v>188</v>
      </c>
      <c r="C25" s="153"/>
      <c r="D25" s="153"/>
    </row>
    <row r="26" spans="1:4" ht="20.149999999999999" customHeight="1">
      <c r="A26" s="157">
        <v>1</v>
      </c>
      <c r="B26" s="153" t="s">
        <v>186</v>
      </c>
      <c r="C26" s="153"/>
      <c r="D26" s="153"/>
    </row>
    <row r="27" spans="1:4" ht="20.149999999999999" customHeight="1">
      <c r="A27" s="157">
        <v>2</v>
      </c>
      <c r="B27" s="153" t="s">
        <v>190</v>
      </c>
      <c r="C27" s="153"/>
      <c r="D27" s="153"/>
    </row>
    <row r="28" spans="1:4" ht="20.149999999999999" customHeight="1">
      <c r="A28" s="157"/>
      <c r="B28" s="153"/>
      <c r="C28" s="153"/>
      <c r="D28" s="153"/>
    </row>
    <row r="29" spans="1:4" ht="20.149999999999999" customHeight="1">
      <c r="A29" s="175" t="s">
        <v>199</v>
      </c>
      <c r="B29" s="171" t="s">
        <v>200</v>
      </c>
      <c r="C29" s="168"/>
      <c r="D29" s="168"/>
    </row>
    <row r="30" spans="1:4" ht="20.149999999999999" customHeight="1">
      <c r="A30" s="167">
        <v>1</v>
      </c>
      <c r="B30" s="168" t="s">
        <v>201</v>
      </c>
      <c r="C30" s="532" t="s">
        <v>248</v>
      </c>
      <c r="D30" s="533"/>
    </row>
    <row r="31" spans="1:4" ht="20.149999999999999" customHeight="1">
      <c r="A31" s="167">
        <v>2</v>
      </c>
      <c r="B31" s="168" t="s">
        <v>202</v>
      </c>
      <c r="C31" s="534"/>
      <c r="D31" s="535"/>
    </row>
    <row r="32" spans="1:4" ht="20.149999999999999" customHeight="1">
      <c r="A32" s="167">
        <v>3</v>
      </c>
      <c r="B32" s="168" t="s">
        <v>203</v>
      </c>
      <c r="C32" s="534"/>
      <c r="D32" s="535"/>
    </row>
    <row r="33" spans="1:4" ht="20.149999999999999" customHeight="1">
      <c r="A33" s="167">
        <v>4</v>
      </c>
      <c r="B33" s="168" t="s">
        <v>205</v>
      </c>
      <c r="C33" s="536"/>
      <c r="D33" s="537"/>
    </row>
    <row r="34" spans="1:4" ht="20.149999999999999" customHeight="1">
      <c r="A34" s="159"/>
      <c r="B34" s="156"/>
      <c r="C34" s="156"/>
      <c r="D34" s="156"/>
    </row>
    <row r="36" spans="1:4" ht="25" customHeight="1">
      <c r="A36" s="152" t="s">
        <v>239</v>
      </c>
      <c r="B36" s="173" t="s">
        <v>236</v>
      </c>
      <c r="C36" s="151"/>
    </row>
    <row r="37" spans="1:4" ht="25" customHeight="1">
      <c r="A37" s="157"/>
      <c r="B37" s="153" t="s">
        <v>206</v>
      </c>
      <c r="C37" s="157" t="s">
        <v>238</v>
      </c>
    </row>
    <row r="38" spans="1:4" ht="25" customHeight="1">
      <c r="A38" s="157">
        <v>1</v>
      </c>
      <c r="B38" s="153" t="s">
        <v>180</v>
      </c>
      <c r="C38" s="153" t="s">
        <v>225</v>
      </c>
    </row>
    <row r="39" spans="1:4" ht="25" customHeight="1">
      <c r="A39" s="157">
        <v>2</v>
      </c>
      <c r="B39" s="153" t="s">
        <v>207</v>
      </c>
      <c r="C39" s="153" t="s">
        <v>224</v>
      </c>
    </row>
    <row r="40" spans="1:4" ht="25" customHeight="1">
      <c r="A40" s="157">
        <v>3</v>
      </c>
      <c r="B40" s="153" t="s">
        <v>208</v>
      </c>
      <c r="C40" s="153" t="s">
        <v>226</v>
      </c>
    </row>
    <row r="41" spans="1:4" ht="25" customHeight="1">
      <c r="A41" s="157">
        <v>4</v>
      </c>
      <c r="B41" s="153" t="s">
        <v>209</v>
      </c>
      <c r="C41" s="153" t="s">
        <v>227</v>
      </c>
    </row>
    <row r="42" spans="1:4" ht="25" customHeight="1">
      <c r="A42" s="157"/>
      <c r="B42" s="153" t="s">
        <v>210</v>
      </c>
      <c r="C42" s="153"/>
    </row>
    <row r="43" spans="1:4" ht="25" customHeight="1">
      <c r="A43" s="157">
        <v>5</v>
      </c>
      <c r="B43" s="153" t="s">
        <v>237</v>
      </c>
      <c r="C43" s="153" t="s">
        <v>228</v>
      </c>
    </row>
    <row r="44" spans="1:4" ht="25" customHeight="1">
      <c r="A44" s="157">
        <v>6</v>
      </c>
      <c r="B44" s="153" t="s">
        <v>211</v>
      </c>
      <c r="C44" s="153" t="s">
        <v>229</v>
      </c>
    </row>
    <row r="45" spans="1:4" ht="25" customHeight="1">
      <c r="A45" s="157">
        <v>7</v>
      </c>
      <c r="B45" s="153" t="s">
        <v>212</v>
      </c>
      <c r="C45" s="153" t="s">
        <v>230</v>
      </c>
    </row>
    <row r="46" spans="1:4" ht="25" customHeight="1">
      <c r="A46" s="157">
        <v>8</v>
      </c>
      <c r="B46" s="153" t="s">
        <v>213</v>
      </c>
      <c r="C46" s="153" t="s">
        <v>231</v>
      </c>
    </row>
    <row r="47" spans="1:4" ht="25" customHeight="1">
      <c r="A47" s="157"/>
      <c r="B47" s="172" t="s">
        <v>214</v>
      </c>
      <c r="C47" s="153"/>
    </row>
    <row r="48" spans="1:4" ht="25" customHeight="1">
      <c r="A48" s="157">
        <v>9</v>
      </c>
      <c r="B48" s="153" t="s">
        <v>215</v>
      </c>
      <c r="C48" s="153" t="s">
        <v>232</v>
      </c>
    </row>
    <row r="49" spans="1:3" ht="25" customHeight="1">
      <c r="A49" s="157">
        <v>10</v>
      </c>
      <c r="B49" s="153" t="s">
        <v>216</v>
      </c>
      <c r="C49" s="153" t="s">
        <v>232</v>
      </c>
    </row>
    <row r="50" spans="1:3" ht="25" customHeight="1">
      <c r="A50" s="157">
        <v>11</v>
      </c>
      <c r="B50" s="153" t="s">
        <v>217</v>
      </c>
      <c r="C50" s="153" t="s">
        <v>232</v>
      </c>
    </row>
    <row r="51" spans="1:3" ht="25" customHeight="1">
      <c r="A51" s="157">
        <v>12</v>
      </c>
      <c r="B51" s="153" t="s">
        <v>218</v>
      </c>
      <c r="C51" s="153" t="s">
        <v>232</v>
      </c>
    </row>
    <row r="52" spans="1:3" ht="25" customHeight="1">
      <c r="A52" s="157">
        <v>13</v>
      </c>
      <c r="B52" s="153" t="s">
        <v>219</v>
      </c>
      <c r="C52" s="153" t="s">
        <v>232</v>
      </c>
    </row>
    <row r="53" spans="1:3" ht="25" customHeight="1">
      <c r="A53" s="157">
        <v>14</v>
      </c>
      <c r="B53" s="153" t="s">
        <v>220</v>
      </c>
      <c r="C53" s="153" t="s">
        <v>232</v>
      </c>
    </row>
    <row r="54" spans="1:3" ht="25" customHeight="1">
      <c r="A54" s="157">
        <v>15</v>
      </c>
      <c r="B54" s="153" t="s">
        <v>221</v>
      </c>
      <c r="C54" s="153" t="s">
        <v>233</v>
      </c>
    </row>
    <row r="55" spans="1:3" ht="25" customHeight="1">
      <c r="A55" s="157">
        <v>16</v>
      </c>
      <c r="B55" s="153" t="s">
        <v>222</v>
      </c>
      <c r="C55" s="153" t="s">
        <v>234</v>
      </c>
    </row>
    <row r="56" spans="1:3" ht="25" customHeight="1">
      <c r="A56" s="159">
        <v>17</v>
      </c>
      <c r="B56" s="156" t="s">
        <v>223</v>
      </c>
      <c r="C56" s="156" t="s">
        <v>235</v>
      </c>
    </row>
  </sheetData>
  <mergeCells count="2">
    <mergeCell ref="C2:D2"/>
    <mergeCell ref="C30:D33"/>
  </mergeCells>
  <pageMargins left="0.75" right="0.25" top="0.5" bottom="0.2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AF34E-29E3-431F-AD88-B9B24D663BB0}">
  <sheetPr codeName="Sheet28"/>
  <dimension ref="A2:J36"/>
  <sheetViews>
    <sheetView zoomScale="140" zoomScaleNormal="140" workbookViewId="0">
      <selection activeCell="G9" sqref="G9"/>
    </sheetView>
  </sheetViews>
  <sheetFormatPr defaultColWidth="9.1796875" defaultRowHeight="15.5"/>
  <cols>
    <col min="1" max="1" width="3.7265625" style="185" bestFit="1" customWidth="1"/>
    <col min="2" max="2" width="55.1796875" style="185" customWidth="1"/>
    <col min="3" max="3" width="15.26953125" style="185" hidden="1" customWidth="1"/>
    <col min="4" max="5" width="16.26953125" style="185" bestFit="1" customWidth="1"/>
    <col min="6" max="6" width="12.81640625" style="185" hidden="1" customWidth="1"/>
    <col min="7" max="7" width="0.1796875" style="185" hidden="1" customWidth="1"/>
    <col min="8" max="8" width="12.81640625" style="185" bestFit="1" customWidth="1"/>
    <col min="9" max="9" width="14.7265625" style="185" bestFit="1" customWidth="1"/>
    <col min="10" max="10" width="11.7265625" style="185" customWidth="1"/>
    <col min="11" max="16384" width="9.1796875" style="185"/>
  </cols>
  <sheetData>
    <row r="2" spans="1:10">
      <c r="B2" s="185" t="s">
        <v>372</v>
      </c>
      <c r="E2" s="232" t="s">
        <v>373</v>
      </c>
    </row>
    <row r="3" spans="1:10" s="188" customFormat="1" ht="32.25" customHeight="1">
      <c r="A3" s="186" t="s">
        <v>239</v>
      </c>
      <c r="B3" s="187" t="s">
        <v>321</v>
      </c>
      <c r="C3" s="186"/>
      <c r="D3" s="187" t="s">
        <v>322</v>
      </c>
      <c r="E3" s="187" t="s">
        <v>374</v>
      </c>
      <c r="F3" s="188" t="s">
        <v>339</v>
      </c>
      <c r="H3" s="188" t="s">
        <v>364</v>
      </c>
    </row>
    <row r="4" spans="1:10">
      <c r="A4" s="189">
        <v>1</v>
      </c>
      <c r="B4" s="190" t="s">
        <v>281</v>
      </c>
      <c r="C4" s="191" t="e">
        <f>#REF!</f>
        <v>#REF!</v>
      </c>
      <c r="D4" s="192">
        <f>1800000</f>
        <v>1800000</v>
      </c>
      <c r="E4" s="192">
        <f>500000+500000+800000</f>
        <v>1800000</v>
      </c>
      <c r="F4" s="212">
        <f t="shared" ref="F4:F9" si="0">D4-E4</f>
        <v>0</v>
      </c>
      <c r="H4" s="185" t="s">
        <v>367</v>
      </c>
    </row>
    <row r="5" spans="1:10">
      <c r="A5" s="193">
        <v>2</v>
      </c>
      <c r="B5" s="194" t="s">
        <v>282</v>
      </c>
      <c r="C5" s="195" t="e">
        <f>#REF!</f>
        <v>#REF!</v>
      </c>
      <c r="D5" s="196">
        <f>2000000</f>
        <v>2000000</v>
      </c>
      <c r="E5" s="196">
        <f>500000+1000000+500000</f>
        <v>2000000</v>
      </c>
      <c r="F5" s="212">
        <f t="shared" si="0"/>
        <v>0</v>
      </c>
      <c r="H5" s="185" t="s">
        <v>367</v>
      </c>
    </row>
    <row r="6" spans="1:10">
      <c r="A6" s="193">
        <v>3</v>
      </c>
      <c r="B6" s="194" t="s">
        <v>283</v>
      </c>
      <c r="C6" s="195" t="e">
        <f>#REF!</f>
        <v>#REF!</v>
      </c>
      <c r="D6" s="196">
        <f>2000000</f>
        <v>2000000</v>
      </c>
      <c r="E6" s="196">
        <f>1000000+1000000</f>
        <v>2000000</v>
      </c>
      <c r="F6" s="212">
        <f t="shared" si="0"/>
        <v>0</v>
      </c>
      <c r="H6" s="185" t="s">
        <v>367</v>
      </c>
    </row>
    <row r="7" spans="1:10">
      <c r="A7" s="193">
        <v>4</v>
      </c>
      <c r="B7" s="194" t="s">
        <v>320</v>
      </c>
      <c r="C7" s="195" t="e">
        <f>#REF!</f>
        <v>#REF!</v>
      </c>
      <c r="D7" s="196">
        <f>2000000</f>
        <v>2000000</v>
      </c>
      <c r="E7" s="196">
        <f>500000+1000000</f>
        <v>1500000</v>
      </c>
      <c r="F7" s="212">
        <f t="shared" si="0"/>
        <v>500000</v>
      </c>
      <c r="H7" s="185" t="s">
        <v>367</v>
      </c>
    </row>
    <row r="8" spans="1:10">
      <c r="A8" s="193">
        <v>5</v>
      </c>
      <c r="B8" s="194" t="s">
        <v>323</v>
      </c>
      <c r="C8" s="195" t="e">
        <f>#REF!</f>
        <v>#REF!</v>
      </c>
      <c r="D8" s="196">
        <f>1814000</f>
        <v>1814000</v>
      </c>
      <c r="E8" s="239">
        <f>500000+800000+500000</f>
        <v>1800000</v>
      </c>
      <c r="F8" s="212">
        <f t="shared" si="0"/>
        <v>14000</v>
      </c>
      <c r="H8" s="185" t="s">
        <v>363</v>
      </c>
      <c r="I8" s="212" t="s">
        <v>373</v>
      </c>
      <c r="J8" s="185" t="s">
        <v>378</v>
      </c>
    </row>
    <row r="9" spans="1:10">
      <c r="A9" s="197"/>
      <c r="B9" s="197"/>
      <c r="C9" s="197"/>
      <c r="D9" s="198"/>
      <c r="E9" s="231"/>
      <c r="F9" s="212">
        <f t="shared" si="0"/>
        <v>0</v>
      </c>
    </row>
    <row r="10" spans="1:10">
      <c r="A10" s="199"/>
      <c r="B10" s="200" t="s">
        <v>184</v>
      </c>
      <c r="C10" s="201" t="e">
        <f>SUM(C4:C9)</f>
        <v>#REF!</v>
      </c>
      <c r="D10" s="202">
        <f>SUM(D4:D9)</f>
        <v>9614000</v>
      </c>
      <c r="E10" s="202">
        <f>SUM(E4:E9)</f>
        <v>9100000</v>
      </c>
      <c r="F10" s="202">
        <f>SUM(F4:F9)</f>
        <v>514000</v>
      </c>
      <c r="G10" s="185">
        <f>23*44*2.5*3800</f>
        <v>9614000</v>
      </c>
      <c r="I10" s="212">
        <f>D10-E10</f>
        <v>514000</v>
      </c>
    </row>
    <row r="12" spans="1:10">
      <c r="B12" s="185" t="s">
        <v>366</v>
      </c>
    </row>
    <row r="13" spans="1:10">
      <c r="A13" s="199" t="s">
        <v>239</v>
      </c>
      <c r="B13" s="187" t="s">
        <v>321</v>
      </c>
      <c r="C13" s="199"/>
      <c r="D13" s="233" t="s">
        <v>371</v>
      </c>
      <c r="E13" s="187" t="s">
        <v>374</v>
      </c>
      <c r="H13" s="185" t="s">
        <v>364</v>
      </c>
    </row>
    <row r="14" spans="1:10">
      <c r="A14" s="189">
        <v>1</v>
      </c>
      <c r="B14" s="190" t="s">
        <v>369</v>
      </c>
      <c r="C14" s="190"/>
      <c r="D14" s="192">
        <v>500000</v>
      </c>
      <c r="E14" s="238">
        <v>500000</v>
      </c>
      <c r="H14" s="185" t="s">
        <v>363</v>
      </c>
    </row>
    <row r="15" spans="1:10">
      <c r="A15" s="193">
        <v>2</v>
      </c>
      <c r="B15" s="194" t="s">
        <v>365</v>
      </c>
      <c r="C15" s="194"/>
      <c r="D15" s="196">
        <v>60000</v>
      </c>
      <c r="E15" s="196">
        <v>60000</v>
      </c>
      <c r="H15" s="185" t="s">
        <v>367</v>
      </c>
    </row>
    <row r="16" spans="1:10">
      <c r="A16" s="193">
        <v>3</v>
      </c>
      <c r="B16" s="194" t="s">
        <v>370</v>
      </c>
      <c r="C16" s="194"/>
      <c r="D16" s="196">
        <v>190000</v>
      </c>
      <c r="E16" s="196">
        <v>100000</v>
      </c>
      <c r="H16" s="185" t="s">
        <v>373</v>
      </c>
    </row>
    <row r="17" spans="1:9">
      <c r="A17" s="193">
        <v>4</v>
      </c>
      <c r="B17" s="194" t="s">
        <v>368</v>
      </c>
      <c r="C17" s="194"/>
      <c r="D17" s="196">
        <v>100000</v>
      </c>
      <c r="E17" s="196">
        <v>100000</v>
      </c>
      <c r="H17" s="185" t="s">
        <v>373</v>
      </c>
    </row>
    <row r="18" spans="1:9">
      <c r="A18" s="197"/>
      <c r="B18" s="197"/>
      <c r="C18" s="197"/>
      <c r="D18" s="198"/>
      <c r="E18" s="198"/>
    </row>
    <row r="19" spans="1:9">
      <c r="A19" s="199"/>
      <c r="B19" s="200" t="s">
        <v>184</v>
      </c>
      <c r="C19" s="199"/>
      <c r="D19" s="202">
        <f>SUM(D14:D18)</f>
        <v>850000</v>
      </c>
      <c r="E19" s="202">
        <f>SUM(E14:E18)</f>
        <v>760000</v>
      </c>
      <c r="I19" s="212">
        <f>D19-E19</f>
        <v>90000</v>
      </c>
    </row>
    <row r="20" spans="1:9">
      <c r="D20" s="230"/>
      <c r="E20" s="230"/>
    </row>
    <row r="21" spans="1:9">
      <c r="D21" s="230"/>
      <c r="E21" s="236"/>
    </row>
    <row r="22" spans="1:9" ht="16" thickBot="1">
      <c r="B22" s="234" t="s">
        <v>184</v>
      </c>
      <c r="D22" s="235">
        <f>D19+D10</f>
        <v>10464000</v>
      </c>
      <c r="E22" s="230"/>
      <c r="H22" s="212"/>
      <c r="I22" s="212"/>
    </row>
    <row r="23" spans="1:9" ht="16" thickTop="1">
      <c r="B23" s="234"/>
      <c r="D23" s="237"/>
      <c r="E23" s="230"/>
      <c r="H23" s="212"/>
      <c r="I23" s="212"/>
    </row>
    <row r="24" spans="1:9">
      <c r="B24" s="234" t="s">
        <v>375</v>
      </c>
      <c r="D24" s="230">
        <f>E19+E10-1000000</f>
        <v>8860000</v>
      </c>
      <c r="E24" s="230"/>
    </row>
    <row r="25" spans="1:9">
      <c r="B25" s="234" t="s">
        <v>376</v>
      </c>
      <c r="D25" s="230">
        <f>1000000</f>
        <v>1000000</v>
      </c>
      <c r="E25" s="230"/>
    </row>
    <row r="26" spans="1:9">
      <c r="B26" s="234" t="s">
        <v>377</v>
      </c>
      <c r="D26" s="230">
        <f>D22-D24-D25</f>
        <v>604000</v>
      </c>
      <c r="E26" s="230"/>
    </row>
    <row r="27" spans="1:9">
      <c r="B27" s="234"/>
      <c r="D27" s="230"/>
      <c r="E27" s="230"/>
    </row>
    <row r="28" spans="1:9">
      <c r="D28" s="230"/>
      <c r="E28" s="230"/>
      <c r="I28" s="212"/>
    </row>
    <row r="29" spans="1:9">
      <c r="B29" s="185">
        <f>113</f>
        <v>113</v>
      </c>
      <c r="D29" s="230"/>
      <c r="E29" s="230"/>
      <c r="I29" s="212"/>
    </row>
    <row r="30" spans="1:9">
      <c r="B30" s="185">
        <v>21</v>
      </c>
      <c r="D30" s="230"/>
      <c r="E30" s="230"/>
    </row>
    <row r="31" spans="1:9">
      <c r="B31" s="185">
        <f>4000*90/100000</f>
        <v>3.6</v>
      </c>
      <c r="D31" s="230"/>
      <c r="E31" s="230"/>
    </row>
    <row r="32" spans="1:9">
      <c r="B32" s="185">
        <f>3.5</f>
        <v>3.5</v>
      </c>
    </row>
    <row r="33" spans="2:2">
      <c r="B33" s="185">
        <f>6.5</f>
        <v>6.5</v>
      </c>
    </row>
    <row r="34" spans="2:2">
      <c r="B34" s="185">
        <v>0.5</v>
      </c>
    </row>
    <row r="35" spans="2:2">
      <c r="B35" s="185">
        <f>360*250/100000</f>
        <v>0.9</v>
      </c>
    </row>
    <row r="36" spans="2:2">
      <c r="B36" s="185">
        <f>B29-B30-B31-B32-B33-B34-B35</f>
        <v>77</v>
      </c>
    </row>
  </sheetData>
  <pageMargins left="0.5" right="0.2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232FC-95EF-460B-9800-7FBF47FD47AE}">
  <sheetPr codeName="Sheet29"/>
  <dimension ref="A1:N156"/>
  <sheetViews>
    <sheetView zoomScale="120" zoomScaleNormal="120" workbookViewId="0">
      <selection activeCell="G9" sqref="G9"/>
    </sheetView>
  </sheetViews>
  <sheetFormatPr defaultRowHeight="12.5"/>
  <cols>
    <col min="2" max="2" width="15.7265625" customWidth="1"/>
    <col min="3" max="3" width="5.26953125" customWidth="1"/>
    <col min="4" max="4" width="5.453125" customWidth="1"/>
    <col min="5" max="5" width="6.453125" customWidth="1"/>
    <col min="9" max="9" width="10.26953125" bestFit="1" customWidth="1"/>
  </cols>
  <sheetData>
    <row r="1" spans="1:11">
      <c r="B1" s="182" t="s">
        <v>280</v>
      </c>
      <c r="C1" s="182"/>
    </row>
    <row r="2" spans="1:11">
      <c r="B2" s="182"/>
      <c r="C2" s="182"/>
    </row>
    <row r="3" spans="1:11">
      <c r="A3">
        <v>1</v>
      </c>
      <c r="B3" t="s">
        <v>243</v>
      </c>
      <c r="D3">
        <v>216</v>
      </c>
      <c r="E3" t="s">
        <v>278</v>
      </c>
    </row>
    <row r="5" spans="1:11">
      <c r="A5">
        <v>2</v>
      </c>
      <c r="B5" t="s">
        <v>244</v>
      </c>
      <c r="D5">
        <v>24</v>
      </c>
      <c r="E5" t="s">
        <v>278</v>
      </c>
    </row>
    <row r="7" spans="1:11">
      <c r="A7">
        <v>3</v>
      </c>
      <c r="B7" t="s">
        <v>275</v>
      </c>
      <c r="D7">
        <v>90</v>
      </c>
      <c r="E7" t="s">
        <v>278</v>
      </c>
    </row>
    <row r="9" spans="1:11">
      <c r="A9">
        <v>4</v>
      </c>
      <c r="B9" t="s">
        <v>276</v>
      </c>
      <c r="D9">
        <v>209</v>
      </c>
      <c r="E9" t="s">
        <v>278</v>
      </c>
    </row>
    <row r="11" spans="1:11">
      <c r="A11">
        <v>5</v>
      </c>
      <c r="B11" t="s">
        <v>277</v>
      </c>
      <c r="D11">
        <v>364</v>
      </c>
      <c r="E11" t="s">
        <v>278</v>
      </c>
    </row>
    <row r="13" spans="1:11">
      <c r="B13" s="183" t="s">
        <v>279</v>
      </c>
    </row>
    <row r="14" spans="1:11">
      <c r="B14" s="183" t="s">
        <v>243</v>
      </c>
      <c r="D14">
        <f>18*27</f>
        <v>486</v>
      </c>
      <c r="E14" s="183" t="s">
        <v>278</v>
      </c>
      <c r="K14">
        <f>216+486+450</f>
        <v>1152</v>
      </c>
    </row>
    <row r="15" spans="1:11">
      <c r="K15">
        <f>24+90+54+90+50+90</f>
        <v>398</v>
      </c>
    </row>
    <row r="16" spans="1:11">
      <c r="B16" s="183" t="s">
        <v>244</v>
      </c>
      <c r="D16">
        <f>2*27</f>
        <v>54</v>
      </c>
      <c r="E16" s="183" t="s">
        <v>278</v>
      </c>
      <c r="K16">
        <f>209*3</f>
        <v>627</v>
      </c>
    </row>
    <row r="17" spans="2:11">
      <c r="B17" s="183" t="s">
        <v>287</v>
      </c>
      <c r="K17">
        <f>364*3</f>
        <v>1092</v>
      </c>
    </row>
    <row r="18" spans="2:11">
      <c r="B18" t="s">
        <v>284</v>
      </c>
    </row>
    <row r="20" spans="2:11">
      <c r="B20" t="s">
        <v>285</v>
      </c>
    </row>
    <row r="22" spans="2:11">
      <c r="B22" t="s">
        <v>286</v>
      </c>
    </row>
    <row r="23" spans="2:11">
      <c r="B23" t="s">
        <v>288</v>
      </c>
    </row>
    <row r="24" spans="2:11">
      <c r="B24" t="s">
        <v>243</v>
      </c>
    </row>
    <row r="26" spans="2:11">
      <c r="B26" t="s">
        <v>244</v>
      </c>
    </row>
    <row r="28" spans="2:11">
      <c r="B28" t="s">
        <v>289</v>
      </c>
    </row>
    <row r="29" spans="2:11">
      <c r="B29" t="s">
        <v>158</v>
      </c>
    </row>
    <row r="31" spans="2:11">
      <c r="B31" t="s">
        <v>159</v>
      </c>
    </row>
    <row r="33" spans="1:13">
      <c r="B33" t="s">
        <v>160</v>
      </c>
    </row>
    <row r="36" spans="1:13" ht="21" customHeight="1">
      <c r="A36" s="135"/>
      <c r="B36" s="203" t="s">
        <v>331</v>
      </c>
      <c r="C36" s="135"/>
      <c r="D36" s="135"/>
      <c r="E36" s="135"/>
      <c r="F36" s="135"/>
      <c r="G36" s="135"/>
      <c r="H36" s="135"/>
      <c r="I36" s="135"/>
      <c r="J36" s="135"/>
    </row>
    <row r="37" spans="1:13" ht="21" customHeight="1">
      <c r="A37" s="204">
        <v>1</v>
      </c>
      <c r="B37" s="135" t="s">
        <v>338</v>
      </c>
      <c r="C37" s="135"/>
      <c r="D37" s="135"/>
      <c r="E37" s="135"/>
      <c r="F37" s="135"/>
      <c r="G37" s="135"/>
      <c r="H37" s="135"/>
      <c r="I37" s="135"/>
      <c r="J37" s="135"/>
    </row>
    <row r="38" spans="1:13" ht="21" customHeight="1">
      <c r="A38" s="204"/>
      <c r="B38" s="135" t="s">
        <v>332</v>
      </c>
      <c r="C38" s="135"/>
      <c r="D38" s="135"/>
      <c r="E38" s="135"/>
      <c r="F38" s="135"/>
      <c r="G38" s="135"/>
      <c r="H38" s="135"/>
      <c r="I38" s="135"/>
      <c r="J38" s="135"/>
    </row>
    <row r="39" spans="1:13" ht="21" customHeight="1">
      <c r="A39" s="204"/>
      <c r="B39" s="135"/>
      <c r="C39" s="135">
        <v>10</v>
      </c>
      <c r="D39" s="135">
        <v>2</v>
      </c>
      <c r="E39" s="135"/>
      <c r="F39" s="208">
        <v>1</v>
      </c>
      <c r="G39" s="208">
        <v>4.5</v>
      </c>
      <c r="H39" s="135"/>
      <c r="I39" s="135">
        <f>C39*D39*F39*G39</f>
        <v>90</v>
      </c>
      <c r="J39" s="135" t="s">
        <v>324</v>
      </c>
      <c r="M39">
        <f>I39/4</f>
        <v>22.5</v>
      </c>
    </row>
    <row r="40" spans="1:13" ht="21" customHeight="1">
      <c r="A40" s="204"/>
      <c r="B40" s="135"/>
      <c r="C40" s="135">
        <v>10</v>
      </c>
      <c r="D40" s="135">
        <v>2</v>
      </c>
      <c r="E40" s="135"/>
      <c r="F40" s="208">
        <f>1+2/12</f>
        <v>1.17</v>
      </c>
      <c r="G40" s="208">
        <v>4</v>
      </c>
      <c r="H40" s="135"/>
      <c r="I40" s="208">
        <f>C40*D40*F40*G40</f>
        <v>93.6</v>
      </c>
      <c r="J40" s="135" t="s">
        <v>324</v>
      </c>
      <c r="L40">
        <f>I40/4</f>
        <v>23.4</v>
      </c>
    </row>
    <row r="41" spans="1:13" ht="21" customHeight="1">
      <c r="A41" s="204"/>
      <c r="B41" s="135" t="s">
        <v>333</v>
      </c>
      <c r="C41" s="135"/>
      <c r="D41" s="135"/>
      <c r="E41" s="135"/>
      <c r="F41" s="135"/>
      <c r="G41" s="208"/>
      <c r="H41" s="135"/>
      <c r="I41" s="135"/>
      <c r="J41" s="135"/>
    </row>
    <row r="42" spans="1:13" ht="21" customHeight="1">
      <c r="A42" s="204"/>
      <c r="B42" s="135"/>
      <c r="C42" s="135">
        <v>10</v>
      </c>
      <c r="D42" s="135">
        <v>2</v>
      </c>
      <c r="E42" s="135"/>
      <c r="F42" s="208">
        <v>1</v>
      </c>
      <c r="G42" s="208">
        <v>6</v>
      </c>
      <c r="H42" s="135"/>
      <c r="I42" s="135">
        <f>C42*D42*F42*G42</f>
        <v>120</v>
      </c>
      <c r="J42" s="135" t="s">
        <v>324</v>
      </c>
      <c r="M42">
        <f>I42/4</f>
        <v>30</v>
      </c>
    </row>
    <row r="43" spans="1:13" ht="21" customHeight="1">
      <c r="A43" s="204"/>
      <c r="B43" s="135"/>
      <c r="C43" s="135">
        <v>10</v>
      </c>
      <c r="D43" s="135">
        <v>2</v>
      </c>
      <c r="E43" s="135"/>
      <c r="F43" s="208">
        <f>1+2/12</f>
        <v>1.17</v>
      </c>
      <c r="G43" s="208">
        <v>6.5</v>
      </c>
      <c r="H43" s="135"/>
      <c r="I43" s="209">
        <f>C43*D43*F43*G43</f>
        <v>152.1</v>
      </c>
      <c r="J43" s="207" t="s">
        <v>324</v>
      </c>
      <c r="L43">
        <f>I43/4</f>
        <v>38.024999999999999</v>
      </c>
    </row>
    <row r="44" spans="1:13" ht="21" customHeight="1">
      <c r="A44" s="204"/>
      <c r="B44" s="135"/>
      <c r="C44" s="135"/>
      <c r="D44" s="135"/>
      <c r="E44" s="135"/>
      <c r="F44" s="135"/>
      <c r="G44" s="135"/>
      <c r="H44" s="135"/>
      <c r="I44" s="208">
        <f>SUM(I39:I43)</f>
        <v>455.7</v>
      </c>
      <c r="J44" s="135" t="s">
        <v>324</v>
      </c>
      <c r="M44">
        <f>L43+M42+23+24</f>
        <v>115.02500000000001</v>
      </c>
    </row>
    <row r="45" spans="1:13" ht="21" customHeight="1">
      <c r="A45" s="204"/>
      <c r="B45" s="135"/>
      <c r="C45" s="135"/>
      <c r="D45" s="135"/>
      <c r="E45" s="135"/>
      <c r="F45" s="135"/>
      <c r="G45" s="135"/>
      <c r="H45" s="135" t="s">
        <v>325</v>
      </c>
      <c r="I45" s="135">
        <f>ROUNDUP(I44/4,0)+2</f>
        <v>116</v>
      </c>
      <c r="J45" s="135" t="s">
        <v>82</v>
      </c>
    </row>
    <row r="46" spans="1:13" ht="21" customHeight="1">
      <c r="A46" s="204"/>
      <c r="B46" s="135"/>
      <c r="C46" s="135"/>
      <c r="D46" s="135"/>
      <c r="E46" s="135"/>
      <c r="F46" s="135"/>
      <c r="G46" s="135"/>
      <c r="H46" s="135"/>
      <c r="I46" s="135">
        <v>1450</v>
      </c>
      <c r="J46" s="135" t="s">
        <v>327</v>
      </c>
    </row>
    <row r="47" spans="1:13" ht="21" customHeight="1">
      <c r="A47" s="204"/>
      <c r="B47" s="135"/>
      <c r="C47" s="135"/>
      <c r="D47" s="135"/>
      <c r="E47" s="135"/>
      <c r="F47" s="135"/>
      <c r="G47" s="135"/>
      <c r="H47" s="135"/>
      <c r="I47" s="205">
        <f>I45*I46</f>
        <v>168200</v>
      </c>
      <c r="J47" s="135" t="s">
        <v>328</v>
      </c>
    </row>
    <row r="48" spans="1:13" ht="21" customHeight="1">
      <c r="A48" s="204">
        <v>2</v>
      </c>
      <c r="B48" s="135" t="s">
        <v>326</v>
      </c>
      <c r="C48" s="135"/>
      <c r="D48" s="135"/>
      <c r="E48" s="135"/>
      <c r="F48" s="135"/>
      <c r="G48" s="135"/>
      <c r="H48" s="135"/>
      <c r="I48" s="135"/>
      <c r="J48" s="135"/>
    </row>
    <row r="49" spans="1:14" ht="21" customHeight="1">
      <c r="A49" s="135"/>
      <c r="B49" s="135" t="s">
        <v>334</v>
      </c>
      <c r="C49" s="135"/>
      <c r="D49" s="135"/>
      <c r="E49" s="135"/>
      <c r="F49" s="135"/>
      <c r="G49" s="135"/>
      <c r="H49" s="135"/>
      <c r="I49" s="135"/>
      <c r="J49" s="135"/>
    </row>
    <row r="50" spans="1:14" ht="21" customHeight="1">
      <c r="A50" s="135"/>
      <c r="B50" s="135"/>
      <c r="C50" s="135">
        <v>10</v>
      </c>
      <c r="D50" s="135">
        <v>2</v>
      </c>
      <c r="E50" s="135">
        <v>2</v>
      </c>
      <c r="F50" s="135"/>
      <c r="G50" s="208">
        <v>4</v>
      </c>
      <c r="H50" s="135"/>
      <c r="I50" s="135">
        <f>C50*D50*E50*G50</f>
        <v>160</v>
      </c>
      <c r="J50" s="135" t="s">
        <v>82</v>
      </c>
    </row>
    <row r="51" spans="1:14" ht="21" customHeight="1">
      <c r="A51" s="135"/>
      <c r="B51" s="135"/>
      <c r="C51" s="135">
        <v>10</v>
      </c>
      <c r="D51" s="135">
        <v>2</v>
      </c>
      <c r="E51" s="135">
        <v>2</v>
      </c>
      <c r="F51" s="135"/>
      <c r="G51" s="208">
        <v>4.5</v>
      </c>
      <c r="H51" s="135"/>
      <c r="I51" s="135">
        <f>C51*D51*E51*G51</f>
        <v>180</v>
      </c>
      <c r="J51" s="135" t="s">
        <v>82</v>
      </c>
    </row>
    <row r="52" spans="1:14" ht="21" customHeight="1">
      <c r="A52" s="135"/>
      <c r="B52" s="135" t="s">
        <v>155</v>
      </c>
      <c r="C52" s="135">
        <v>10</v>
      </c>
      <c r="D52" s="135">
        <v>2</v>
      </c>
      <c r="E52" s="135">
        <v>4</v>
      </c>
      <c r="F52" s="135"/>
      <c r="G52" s="208">
        <f>8/12</f>
        <v>0.67</v>
      </c>
      <c r="H52" s="135"/>
      <c r="I52" s="135">
        <f>C52*D52*E52*G52</f>
        <v>53.6</v>
      </c>
      <c r="J52" s="135" t="s">
        <v>82</v>
      </c>
      <c r="L52" s="211">
        <f>I52+I53+I57+I58</f>
        <v>270</v>
      </c>
      <c r="N52">
        <f>C52*D52*E52</f>
        <v>80</v>
      </c>
    </row>
    <row r="53" spans="1:14" ht="21" customHeight="1">
      <c r="A53" s="135"/>
      <c r="B53" s="135"/>
      <c r="C53" s="135">
        <v>10</v>
      </c>
      <c r="D53" s="135">
        <v>2</v>
      </c>
      <c r="E53" s="135">
        <v>4</v>
      </c>
      <c r="F53" s="135"/>
      <c r="G53" s="208">
        <f>10/12</f>
        <v>0.83</v>
      </c>
      <c r="H53" s="135"/>
      <c r="I53" s="135">
        <f>C53*D53*E53*G53</f>
        <v>66.400000000000006</v>
      </c>
      <c r="J53" s="135" t="s">
        <v>82</v>
      </c>
      <c r="L53">
        <f>L52/19.5</f>
        <v>13.846153846153801</v>
      </c>
      <c r="N53">
        <f>C53*D53*E53</f>
        <v>80</v>
      </c>
    </row>
    <row r="54" spans="1:14" ht="21" customHeight="1">
      <c r="A54" s="135"/>
      <c r="B54" s="135" t="s">
        <v>333</v>
      </c>
      <c r="C54" s="135"/>
      <c r="D54" s="135"/>
      <c r="E54" s="135"/>
      <c r="F54" s="135"/>
      <c r="G54" s="135"/>
      <c r="H54" s="135"/>
      <c r="I54" s="135"/>
      <c r="J54" s="135"/>
      <c r="L54">
        <f>14*1200</f>
        <v>16800</v>
      </c>
    </row>
    <row r="55" spans="1:14" ht="21" customHeight="1">
      <c r="A55" s="135"/>
      <c r="B55" s="135"/>
      <c r="C55" s="135">
        <v>10</v>
      </c>
      <c r="D55" s="135">
        <v>2</v>
      </c>
      <c r="E55" s="135">
        <v>2</v>
      </c>
      <c r="F55" s="135"/>
      <c r="G55" s="208">
        <v>6</v>
      </c>
      <c r="H55" s="135"/>
      <c r="I55" s="135">
        <f>C55*D55*E55*G55</f>
        <v>240</v>
      </c>
      <c r="J55" s="135" t="s">
        <v>82</v>
      </c>
    </row>
    <row r="56" spans="1:14" ht="21" customHeight="1">
      <c r="A56" s="135"/>
      <c r="B56" s="135"/>
      <c r="C56" s="135">
        <v>10</v>
      </c>
      <c r="D56" s="135">
        <v>2</v>
      </c>
      <c r="E56" s="135">
        <v>2</v>
      </c>
      <c r="F56" s="135"/>
      <c r="G56" s="208">
        <v>6.5</v>
      </c>
      <c r="H56" s="135"/>
      <c r="I56" s="135">
        <f>C56*D56*E56*G56</f>
        <v>260</v>
      </c>
      <c r="J56" s="135" t="s">
        <v>82</v>
      </c>
    </row>
    <row r="57" spans="1:14" ht="21" customHeight="1">
      <c r="A57" s="135"/>
      <c r="B57" s="135" t="s">
        <v>155</v>
      </c>
      <c r="C57" s="135">
        <v>10</v>
      </c>
      <c r="D57" s="135">
        <v>2</v>
      </c>
      <c r="E57" s="135">
        <v>5</v>
      </c>
      <c r="F57" s="135"/>
      <c r="G57" s="208">
        <f>8/12</f>
        <v>0.67</v>
      </c>
      <c r="H57" s="135"/>
      <c r="I57" s="208">
        <f>C57*D57*E57*G57</f>
        <v>67</v>
      </c>
      <c r="J57" s="135" t="s">
        <v>82</v>
      </c>
      <c r="N57">
        <f>C57*D57*E57</f>
        <v>100</v>
      </c>
    </row>
    <row r="58" spans="1:14" ht="21" customHeight="1">
      <c r="A58" s="135"/>
      <c r="B58" s="135"/>
      <c r="C58" s="135">
        <v>10</v>
      </c>
      <c r="D58" s="135">
        <v>2</v>
      </c>
      <c r="E58" s="135">
        <v>5</v>
      </c>
      <c r="F58" s="135"/>
      <c r="G58" s="208">
        <f>10/12</f>
        <v>0.83</v>
      </c>
      <c r="H58" s="135"/>
      <c r="I58" s="209">
        <f>C58*D58*E58*G58</f>
        <v>83</v>
      </c>
      <c r="J58" s="207" t="s">
        <v>82</v>
      </c>
      <c r="N58">
        <f>C58*D58*E58</f>
        <v>100</v>
      </c>
    </row>
    <row r="59" spans="1:14" ht="21" customHeight="1">
      <c r="A59" s="135"/>
      <c r="B59" s="135"/>
      <c r="C59" s="135"/>
      <c r="D59" s="135"/>
      <c r="E59" s="135"/>
      <c r="F59" s="135"/>
      <c r="G59" s="135"/>
      <c r="H59" s="135"/>
      <c r="I59" s="135">
        <f>SUM(I50:I58)</f>
        <v>1110</v>
      </c>
      <c r="J59" s="135" t="s">
        <v>82</v>
      </c>
    </row>
    <row r="60" spans="1:14" ht="21" customHeight="1">
      <c r="A60" s="135"/>
      <c r="B60" s="135"/>
      <c r="C60" s="135"/>
      <c r="D60" s="135"/>
      <c r="E60" s="135"/>
      <c r="F60" s="135"/>
      <c r="G60" s="135"/>
      <c r="H60" s="135"/>
      <c r="I60" s="135">
        <f>ROUNDUP(I59/19.5,0)</f>
        <v>57</v>
      </c>
      <c r="J60" s="135" t="s">
        <v>2</v>
      </c>
    </row>
    <row r="61" spans="1:14" ht="21" customHeight="1">
      <c r="A61" s="135"/>
      <c r="B61" s="135"/>
      <c r="C61" s="135"/>
      <c r="D61" s="135"/>
      <c r="E61" s="135"/>
      <c r="F61" s="135"/>
      <c r="G61" s="135"/>
      <c r="H61" s="135"/>
      <c r="I61" s="135">
        <f>7900</f>
        <v>7900</v>
      </c>
      <c r="J61" s="135" t="s">
        <v>329</v>
      </c>
    </row>
    <row r="62" spans="1:14" ht="21" customHeight="1">
      <c r="A62" s="135"/>
      <c r="B62" s="135"/>
      <c r="C62" s="135"/>
      <c r="D62" s="135"/>
      <c r="E62" s="135"/>
      <c r="F62" s="135"/>
      <c r="G62" s="135"/>
      <c r="H62" s="135"/>
      <c r="I62" s="205">
        <f>I60*I61</f>
        <v>450300</v>
      </c>
      <c r="J62" s="135" t="s">
        <v>328</v>
      </c>
      <c r="N62">
        <f>180*2</f>
        <v>360</v>
      </c>
    </row>
    <row r="63" spans="1:14" ht="21" customHeight="1">
      <c r="A63" s="135"/>
      <c r="B63" s="135"/>
      <c r="C63" s="135"/>
      <c r="D63" s="135"/>
      <c r="E63" s="135"/>
      <c r="F63" s="135"/>
      <c r="G63" s="135"/>
      <c r="H63" s="135"/>
      <c r="I63" s="135"/>
      <c r="J63" s="135"/>
      <c r="N63">
        <f>180*2</f>
        <v>360</v>
      </c>
    </row>
    <row r="64" spans="1:14" ht="21" customHeight="1">
      <c r="A64" s="135"/>
      <c r="B64" s="135"/>
      <c r="C64" s="135"/>
      <c r="D64" s="135"/>
      <c r="E64" s="135"/>
      <c r="F64" s="135"/>
      <c r="G64" s="135"/>
      <c r="H64" s="210" t="s">
        <v>330</v>
      </c>
      <c r="I64" s="206">
        <f>I62+I47</f>
        <v>618500</v>
      </c>
      <c r="J64" s="135" t="s">
        <v>328</v>
      </c>
    </row>
    <row r="65" spans="1:14" ht="21" customHeight="1">
      <c r="A65" s="135"/>
      <c r="B65" s="135"/>
      <c r="C65" s="135"/>
      <c r="D65" s="135"/>
      <c r="E65" s="135"/>
      <c r="F65" s="135"/>
      <c r="G65" s="135"/>
      <c r="H65" s="210" t="s">
        <v>337</v>
      </c>
      <c r="I65" s="135">
        <v>450</v>
      </c>
      <c r="J65" s="135" t="s">
        <v>82</v>
      </c>
    </row>
    <row r="66" spans="1:14" ht="21" customHeight="1">
      <c r="A66" s="135"/>
      <c r="B66" s="135"/>
      <c r="C66" s="135"/>
      <c r="D66" s="135"/>
      <c r="E66" s="135"/>
      <c r="F66" s="135"/>
      <c r="G66" s="135"/>
      <c r="H66" s="210" t="s">
        <v>335</v>
      </c>
      <c r="I66">
        <f>25*4*10+28*4*10</f>
        <v>2120</v>
      </c>
      <c r="J66" s="135" t="s">
        <v>2</v>
      </c>
    </row>
    <row r="67" spans="1:14" ht="21" customHeight="1">
      <c r="H67" s="210" t="s">
        <v>336</v>
      </c>
    </row>
    <row r="69" spans="1:14">
      <c r="B69" s="183" t="s">
        <v>342</v>
      </c>
    </row>
    <row r="70" spans="1:14">
      <c r="B70" s="183" t="s">
        <v>340</v>
      </c>
      <c r="C70">
        <v>25</v>
      </c>
      <c r="D70">
        <v>11</v>
      </c>
      <c r="E70">
        <v>3</v>
      </c>
      <c r="I70">
        <f>C70*D70*E70</f>
        <v>825</v>
      </c>
      <c r="J70" s="183" t="s">
        <v>82</v>
      </c>
      <c r="K70">
        <f>C70*D70</f>
        <v>275</v>
      </c>
      <c r="L70">
        <f>K70/6</f>
        <v>45.8333333333333</v>
      </c>
      <c r="N70">
        <f>50*2700</f>
        <v>135000</v>
      </c>
    </row>
    <row r="71" spans="1:14">
      <c r="B71" s="183"/>
      <c r="I71" s="211">
        <f>I70/19</f>
        <v>43.42</v>
      </c>
      <c r="J71" s="183" t="s">
        <v>2</v>
      </c>
      <c r="K71" s="183"/>
      <c r="N71">
        <f>90*1600</f>
        <v>144000</v>
      </c>
    </row>
    <row r="72" spans="1:14">
      <c r="N72">
        <f>25*3*4*500</f>
        <v>150000</v>
      </c>
    </row>
    <row r="73" spans="1:14">
      <c r="B73" s="183" t="s">
        <v>341</v>
      </c>
      <c r="C73">
        <v>25</v>
      </c>
      <c r="D73">
        <v>6</v>
      </c>
      <c r="E73">
        <v>4</v>
      </c>
      <c r="I73">
        <f>C73*D73*E73</f>
        <v>600</v>
      </c>
      <c r="J73" s="183" t="s">
        <v>82</v>
      </c>
      <c r="N73">
        <f>SUM(N70:N72)</f>
        <v>429000</v>
      </c>
    </row>
    <row r="74" spans="1:14">
      <c r="C74">
        <v>25</v>
      </c>
      <c r="D74">
        <v>2</v>
      </c>
      <c r="E74">
        <v>3</v>
      </c>
      <c r="I74">
        <f>C74*D74*E74</f>
        <v>150</v>
      </c>
      <c r="J74" s="183" t="s">
        <v>82</v>
      </c>
    </row>
    <row r="75" spans="1:14">
      <c r="I75">
        <f>SUM(I73:I74)</f>
        <v>750</v>
      </c>
      <c r="J75" s="183" t="s">
        <v>82</v>
      </c>
    </row>
    <row r="76" spans="1:14">
      <c r="I76" s="211">
        <f>I75/9</f>
        <v>83.33</v>
      </c>
      <c r="J76" s="183" t="s">
        <v>92</v>
      </c>
    </row>
    <row r="79" spans="1:14">
      <c r="B79" t="s">
        <v>167</v>
      </c>
    </row>
    <row r="80" spans="1:14">
      <c r="B80" t="s">
        <v>166</v>
      </c>
      <c r="C80">
        <f>32+30</f>
        <v>62</v>
      </c>
      <c r="D80">
        <v>1</v>
      </c>
    </row>
    <row r="81" spans="2:12">
      <c r="B81" t="s">
        <v>343</v>
      </c>
      <c r="C81">
        <v>4</v>
      </c>
      <c r="D81">
        <v>22</v>
      </c>
      <c r="H81">
        <f>C81*D81</f>
        <v>88</v>
      </c>
    </row>
    <row r="82" spans="2:12">
      <c r="C82">
        <v>5</v>
      </c>
      <c r="D82">
        <v>9</v>
      </c>
      <c r="H82">
        <f>C82*D82</f>
        <v>45</v>
      </c>
      <c r="L82">
        <f>12.5/3</f>
        <v>4.1666666666666696</v>
      </c>
    </row>
    <row r="83" spans="2:12">
      <c r="C83">
        <v>7</v>
      </c>
      <c r="D83">
        <v>1</v>
      </c>
      <c r="H83">
        <f>C83*D83</f>
        <v>7</v>
      </c>
    </row>
    <row r="85" spans="2:12">
      <c r="B85" t="s">
        <v>344</v>
      </c>
      <c r="C85">
        <v>6</v>
      </c>
      <c r="D85">
        <v>12</v>
      </c>
      <c r="H85">
        <f>C85*D85</f>
        <v>72</v>
      </c>
    </row>
    <row r="86" spans="2:12">
      <c r="C86">
        <v>4</v>
      </c>
      <c r="D86">
        <v>3</v>
      </c>
      <c r="H86">
        <f>C86*D86</f>
        <v>12</v>
      </c>
    </row>
    <row r="87" spans="2:12">
      <c r="C87">
        <v>2</v>
      </c>
      <c r="D87">
        <v>1</v>
      </c>
      <c r="H87">
        <f>C87*D87</f>
        <v>2</v>
      </c>
    </row>
    <row r="88" spans="2:12">
      <c r="H88">
        <f>SUM(H81:H87)</f>
        <v>226</v>
      </c>
    </row>
    <row r="89" spans="2:12">
      <c r="K89">
        <f>238*42*50</f>
        <v>499800</v>
      </c>
    </row>
    <row r="90" spans="2:12">
      <c r="B90" t="s">
        <v>347</v>
      </c>
    </row>
    <row r="91" spans="2:12">
      <c r="B91" t="s">
        <v>345</v>
      </c>
      <c r="C91">
        <f>H88</f>
        <v>226</v>
      </c>
      <c r="D91">
        <v>2</v>
      </c>
      <c r="E91">
        <v>2.5</v>
      </c>
      <c r="H91">
        <f>C91*D91*E91</f>
        <v>1130</v>
      </c>
    </row>
    <row r="92" spans="2:12">
      <c r="B92" t="s">
        <v>346</v>
      </c>
      <c r="C92">
        <f>H88</f>
        <v>226</v>
      </c>
      <c r="D92">
        <v>1</v>
      </c>
      <c r="E92">
        <v>1.5</v>
      </c>
      <c r="H92">
        <f>C92*D92*E92</f>
        <v>339</v>
      </c>
    </row>
    <row r="93" spans="2:12">
      <c r="H93">
        <f>SUM(H91:H92)</f>
        <v>1469</v>
      </c>
    </row>
    <row r="94" spans="2:12">
      <c r="H94">
        <f>H93*3*1/144/50</f>
        <v>0.61208333333333298</v>
      </c>
      <c r="I94" t="s">
        <v>14</v>
      </c>
      <c r="J94">
        <f>820000</f>
        <v>820000</v>
      </c>
      <c r="K94">
        <f>H94*J94</f>
        <v>501908.33333333302</v>
      </c>
    </row>
    <row r="95" spans="2:12">
      <c r="H95">
        <f>H88</f>
        <v>226</v>
      </c>
      <c r="I95" t="s">
        <v>2</v>
      </c>
      <c r="J95">
        <v>2500</v>
      </c>
      <c r="K95">
        <f>H95*J95</f>
        <v>565000</v>
      </c>
    </row>
    <row r="96" spans="2:12">
      <c r="K96">
        <f>SUM(K94:K95)</f>
        <v>1066908.33333333</v>
      </c>
    </row>
    <row r="99" spans="2:12">
      <c r="B99" s="183" t="s">
        <v>348</v>
      </c>
    </row>
    <row r="100" spans="2:12">
      <c r="C100">
        <v>6</v>
      </c>
      <c r="D100">
        <v>2</v>
      </c>
      <c r="E100">
        <v>13</v>
      </c>
      <c r="H100">
        <f>C100*D100*E100</f>
        <v>156</v>
      </c>
    </row>
    <row r="101" spans="2:12">
      <c r="C101">
        <v>4</v>
      </c>
      <c r="D101">
        <v>3</v>
      </c>
      <c r="E101">
        <v>3.5</v>
      </c>
      <c r="H101">
        <f>C101*D101*E101</f>
        <v>42</v>
      </c>
    </row>
    <row r="102" spans="2:12">
      <c r="C102">
        <v>1</v>
      </c>
      <c r="D102">
        <v>1</v>
      </c>
      <c r="E102">
        <v>3.5</v>
      </c>
      <c r="H102">
        <f>C102*D102*E102</f>
        <v>3.5</v>
      </c>
    </row>
    <row r="103" spans="2:12">
      <c r="H103">
        <f>SUM(H100:H102)</f>
        <v>201.5</v>
      </c>
      <c r="I103" s="213">
        <f>H103*4*2/144/50</f>
        <v>0.224</v>
      </c>
    </row>
    <row r="104" spans="2:12">
      <c r="I104" s="213"/>
    </row>
    <row r="105" spans="2:12">
      <c r="B105" s="183" t="s">
        <v>349</v>
      </c>
      <c r="I105" s="213"/>
    </row>
    <row r="106" spans="2:12">
      <c r="C106">
        <v>6</v>
      </c>
      <c r="D106">
        <v>13</v>
      </c>
      <c r="E106">
        <v>9</v>
      </c>
      <c r="H106">
        <f>C106*D106*E106</f>
        <v>702</v>
      </c>
      <c r="I106" s="213"/>
      <c r="K106">
        <f>C106*D106</f>
        <v>78</v>
      </c>
    </row>
    <row r="107" spans="2:12">
      <c r="C107">
        <v>2</v>
      </c>
      <c r="D107">
        <v>4</v>
      </c>
      <c r="E107">
        <v>13</v>
      </c>
      <c r="H107">
        <f>C107*D107*E107</f>
        <v>104</v>
      </c>
      <c r="I107" s="213"/>
    </row>
    <row r="108" spans="2:12">
      <c r="C108">
        <v>2</v>
      </c>
      <c r="D108">
        <v>4</v>
      </c>
      <c r="E108">
        <v>9</v>
      </c>
      <c r="H108">
        <f>C108*D108*E108</f>
        <v>72</v>
      </c>
      <c r="I108" s="213"/>
      <c r="K108">
        <f>C108*D108</f>
        <v>8</v>
      </c>
    </row>
    <row r="109" spans="2:12">
      <c r="C109">
        <v>1</v>
      </c>
      <c r="D109">
        <v>4</v>
      </c>
      <c r="E109">
        <v>3.5</v>
      </c>
      <c r="H109">
        <f>C109*D109*E109</f>
        <v>14</v>
      </c>
      <c r="I109" s="213"/>
    </row>
    <row r="110" spans="2:12">
      <c r="B110" s="183" t="s">
        <v>350</v>
      </c>
      <c r="C110">
        <v>1</v>
      </c>
      <c r="D110">
        <v>250</v>
      </c>
      <c r="E110">
        <v>3</v>
      </c>
      <c r="H110">
        <f>C110*D110*E110*0</f>
        <v>0</v>
      </c>
      <c r="I110" s="213"/>
      <c r="L110">
        <f>H110*3*2/144/50</f>
        <v>0</v>
      </c>
    </row>
    <row r="111" spans="2:12">
      <c r="H111">
        <f>SUM(H106:H110)</f>
        <v>892</v>
      </c>
      <c r="I111" s="213">
        <f>H111*3*2/144/50</f>
        <v>0.74299999999999999</v>
      </c>
    </row>
    <row r="114" spans="2:12">
      <c r="B114" s="183" t="s">
        <v>347</v>
      </c>
      <c r="C114">
        <v>1</v>
      </c>
      <c r="D114" s="183" t="s">
        <v>14</v>
      </c>
    </row>
    <row r="115" spans="2:12">
      <c r="B115" s="183" t="s">
        <v>349</v>
      </c>
      <c r="C115">
        <v>1</v>
      </c>
      <c r="D115" s="183" t="s">
        <v>14</v>
      </c>
    </row>
    <row r="116" spans="2:12">
      <c r="B116" s="183" t="s">
        <v>348</v>
      </c>
      <c r="C116">
        <v>0.25</v>
      </c>
      <c r="D116" s="183" t="s">
        <v>14</v>
      </c>
    </row>
    <row r="117" spans="2:12">
      <c r="C117">
        <f>SUM(C114:C116)</f>
        <v>2.25</v>
      </c>
      <c r="F117">
        <f>800000</f>
        <v>800000</v>
      </c>
      <c r="H117">
        <f>C117*F117</f>
        <v>1800000</v>
      </c>
    </row>
    <row r="118" spans="2:12">
      <c r="B118" s="183" t="s">
        <v>352</v>
      </c>
      <c r="C118">
        <f>750*3*2/144/50</f>
        <v>0.625</v>
      </c>
      <c r="D118" s="183" t="s">
        <v>14</v>
      </c>
      <c r="F118">
        <v>500000</v>
      </c>
      <c r="H118">
        <f>C118*F118</f>
        <v>312500</v>
      </c>
    </row>
    <row r="120" spans="2:12">
      <c r="B120" s="183" t="s">
        <v>351</v>
      </c>
      <c r="C120">
        <v>65</v>
      </c>
      <c r="D120" s="183" t="s">
        <v>2</v>
      </c>
      <c r="F120">
        <v>2500</v>
      </c>
      <c r="H120">
        <f>C120*F120</f>
        <v>162500</v>
      </c>
      <c r="K120">
        <f>309+283</f>
        <v>592</v>
      </c>
    </row>
    <row r="121" spans="2:12">
      <c r="B121" s="183" t="s">
        <v>90</v>
      </c>
      <c r="C121">
        <v>70</v>
      </c>
      <c r="D121" s="183"/>
      <c r="F121">
        <v>400</v>
      </c>
      <c r="H121">
        <f>C121*F121</f>
        <v>28000</v>
      </c>
    </row>
    <row r="123" spans="2:12">
      <c r="H123">
        <f>SUM(H117:H122)</f>
        <v>2303000</v>
      </c>
    </row>
    <row r="126" spans="2:12">
      <c r="L126">
        <v>33</v>
      </c>
    </row>
    <row r="127" spans="2:12">
      <c r="B127">
        <f>290*3</f>
        <v>870</v>
      </c>
    </row>
    <row r="128" spans="2:12">
      <c r="B128">
        <f>3.5*14</f>
        <v>49</v>
      </c>
    </row>
    <row r="129" spans="2:14">
      <c r="B129">
        <f>SUM(B127:B128)</f>
        <v>919</v>
      </c>
    </row>
    <row r="130" spans="2:14">
      <c r="B130">
        <f>B129-K120</f>
        <v>327</v>
      </c>
      <c r="H130">
        <f>13/0.75</f>
        <v>17.3333333333333</v>
      </c>
      <c r="K130">
        <f>13/(9.5/12)</f>
        <v>16.421052631578899</v>
      </c>
    </row>
    <row r="131" spans="2:14">
      <c r="N131">
        <f>3.25+1.25*3</f>
        <v>7</v>
      </c>
    </row>
    <row r="132" spans="2:14">
      <c r="B132">
        <f>9*85*6/144/50</f>
        <v>0.63749999999999996</v>
      </c>
    </row>
    <row r="133" spans="2:14">
      <c r="B133">
        <f>13*8*6/144/50</f>
        <v>8.6666666666666697E-2</v>
      </c>
      <c r="H133">
        <f>12/17</f>
        <v>0.70588235294117696</v>
      </c>
      <c r="I133">
        <f>H133*12</f>
        <v>8.4705882352941195</v>
      </c>
      <c r="N133">
        <f>N131*2500</f>
        <v>17500</v>
      </c>
    </row>
    <row r="134" spans="2:14">
      <c r="B134">
        <f>3*290*6/144/50</f>
        <v>0.72499999999999998</v>
      </c>
    </row>
    <row r="135" spans="2:14">
      <c r="B135">
        <f>3.5*14*6/144/50</f>
        <v>4.0833333333333298E-2</v>
      </c>
    </row>
    <row r="136" spans="2:14">
      <c r="B136">
        <f>13*12*8/144/50</f>
        <v>0.17333333333333301</v>
      </c>
    </row>
    <row r="137" spans="2:14">
      <c r="B137">
        <f>3.5*13*8/144/50</f>
        <v>5.0555555555555597E-2</v>
      </c>
    </row>
    <row r="138" spans="2:14">
      <c r="B138">
        <f>290*3</f>
        <v>870</v>
      </c>
    </row>
    <row r="139" spans="2:14">
      <c r="B139">
        <f>3.5*14</f>
        <v>49</v>
      </c>
    </row>
    <row r="140" spans="2:14">
      <c r="B140">
        <f>13*8</f>
        <v>104</v>
      </c>
    </row>
    <row r="141" spans="2:14">
      <c r="B141">
        <f>9*85</f>
        <v>765</v>
      </c>
    </row>
    <row r="142" spans="2:14">
      <c r="B142">
        <f>13*12</f>
        <v>156</v>
      </c>
    </row>
    <row r="143" spans="2:14">
      <c r="B143">
        <f>3.5*13</f>
        <v>45.5</v>
      </c>
    </row>
    <row r="146" spans="2:12">
      <c r="B146" t="s">
        <v>353</v>
      </c>
      <c r="C146">
        <v>2</v>
      </c>
      <c r="D146">
        <v>17</v>
      </c>
      <c r="F146">
        <f>C146*D146</f>
        <v>34</v>
      </c>
    </row>
    <row r="147" spans="2:12">
      <c r="C147">
        <v>33</v>
      </c>
      <c r="D147">
        <v>1</v>
      </c>
      <c r="F147">
        <f t="shared" ref="F147:F155" si="0">C147*D147</f>
        <v>33</v>
      </c>
    </row>
    <row r="148" spans="2:12">
      <c r="C148">
        <v>2</v>
      </c>
      <c r="D148">
        <v>9</v>
      </c>
      <c r="F148">
        <f t="shared" si="0"/>
        <v>18</v>
      </c>
    </row>
    <row r="149" spans="2:12">
      <c r="C149">
        <v>2</v>
      </c>
      <c r="D149">
        <v>13</v>
      </c>
      <c r="F149">
        <f t="shared" si="0"/>
        <v>26</v>
      </c>
    </row>
    <row r="150" spans="2:12">
      <c r="C150">
        <v>31</v>
      </c>
      <c r="D150">
        <v>1.5</v>
      </c>
      <c r="F150">
        <f t="shared" si="0"/>
        <v>46.5</v>
      </c>
      <c r="G150">
        <f>SUM(F146:F150)</f>
        <v>157.5</v>
      </c>
      <c r="H150">
        <f>G150/19</f>
        <v>8.2894736842105292</v>
      </c>
      <c r="I150">
        <v>9</v>
      </c>
      <c r="J150">
        <v>5000</v>
      </c>
      <c r="L150">
        <f>I150*J150</f>
        <v>45000</v>
      </c>
    </row>
    <row r="152" spans="2:12">
      <c r="B152" t="s">
        <v>354</v>
      </c>
      <c r="C152">
        <v>5</v>
      </c>
      <c r="D152">
        <v>3</v>
      </c>
      <c r="F152">
        <f t="shared" si="0"/>
        <v>15</v>
      </c>
    </row>
    <row r="153" spans="2:12">
      <c r="C153">
        <v>1</v>
      </c>
      <c r="D153">
        <v>17</v>
      </c>
      <c r="F153">
        <f t="shared" si="0"/>
        <v>17</v>
      </c>
    </row>
    <row r="154" spans="2:12">
      <c r="C154">
        <v>1</v>
      </c>
      <c r="D154">
        <v>9</v>
      </c>
      <c r="F154">
        <f t="shared" si="0"/>
        <v>9</v>
      </c>
    </row>
    <row r="155" spans="2:12">
      <c r="C155">
        <v>1</v>
      </c>
      <c r="D155">
        <v>13</v>
      </c>
      <c r="F155">
        <f t="shared" si="0"/>
        <v>13</v>
      </c>
      <c r="G155">
        <f>SUM(F152:F155)</f>
        <v>54</v>
      </c>
      <c r="H155">
        <f>G155/19</f>
        <v>2.8421052631578898</v>
      </c>
      <c r="I155">
        <v>3</v>
      </c>
      <c r="J155">
        <f>9000</f>
        <v>9000</v>
      </c>
      <c r="L155">
        <f>I155*J155</f>
        <v>27000</v>
      </c>
    </row>
    <row r="156" spans="2:12">
      <c r="L156">
        <f>L155+L150</f>
        <v>72000</v>
      </c>
    </row>
  </sheetData>
  <pageMargins left="0.5" right="0.5" top="0.5" bottom="0.2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01389-3EBD-431A-9E4A-14E9BC76E7E9}">
  <sheetPr codeName="Sheet30"/>
  <dimension ref="B2:K45"/>
  <sheetViews>
    <sheetView topLeftCell="A28" zoomScale="140" zoomScaleNormal="140" workbookViewId="0">
      <selection activeCell="L31" sqref="L31:L33"/>
    </sheetView>
  </sheetViews>
  <sheetFormatPr defaultRowHeight="12.5"/>
  <cols>
    <col min="2" max="2" width="19.54296875" bestFit="1" customWidth="1"/>
    <col min="7" max="7" width="10.453125" customWidth="1"/>
  </cols>
  <sheetData>
    <row r="2" spans="2:11">
      <c r="B2" t="s">
        <v>308</v>
      </c>
      <c r="C2" t="s">
        <v>10</v>
      </c>
      <c r="D2">
        <f>65*2</f>
        <v>130</v>
      </c>
    </row>
    <row r="3" spans="2:11">
      <c r="B3" t="s">
        <v>309</v>
      </c>
      <c r="C3" t="s">
        <v>10</v>
      </c>
      <c r="D3">
        <f>365*2</f>
        <v>730</v>
      </c>
    </row>
    <row r="4" spans="2:11">
      <c r="B4" t="s">
        <v>56</v>
      </c>
      <c r="C4" t="s">
        <v>10</v>
      </c>
      <c r="D4">
        <f>26*2</f>
        <v>52</v>
      </c>
      <c r="I4" t="s">
        <v>26</v>
      </c>
      <c r="J4" t="s">
        <v>22</v>
      </c>
    </row>
    <row r="5" spans="2:11" ht="13" thickBot="1"/>
    <row r="6" spans="2:11" ht="13" thickBot="1">
      <c r="B6" t="s">
        <v>310</v>
      </c>
      <c r="C6" t="s">
        <v>10</v>
      </c>
      <c r="D6">
        <f>100*3*5.5/100</f>
        <v>16.5</v>
      </c>
      <c r="E6" s="184">
        <f>G6/D6</f>
        <v>2812.1212121212102</v>
      </c>
      <c r="G6" s="184">
        <f>SUM(G7)</f>
        <v>46400</v>
      </c>
      <c r="I6">
        <f>ROUNDUP(E6,-2)</f>
        <v>2900</v>
      </c>
      <c r="J6">
        <v>5000</v>
      </c>
      <c r="K6">
        <f>SUM(I6:J6)</f>
        <v>7900</v>
      </c>
    </row>
    <row r="7" spans="2:11">
      <c r="B7" t="s">
        <v>295</v>
      </c>
      <c r="D7">
        <v>4</v>
      </c>
      <c r="E7">
        <v>11600</v>
      </c>
      <c r="G7">
        <f>D7*E7</f>
        <v>46400</v>
      </c>
    </row>
    <row r="8" spans="2:11" ht="13" thickBot="1"/>
    <row r="9" spans="2:11" ht="13" thickBot="1">
      <c r="B9" t="s">
        <v>314</v>
      </c>
      <c r="C9" t="s">
        <v>10</v>
      </c>
      <c r="D9">
        <f>D2+D3</f>
        <v>860</v>
      </c>
      <c r="E9" s="184">
        <f>G9/D9</f>
        <v>2583.2558139534899</v>
      </c>
      <c r="G9" s="184">
        <f>SUM(G10:G14)</f>
        <v>2221600</v>
      </c>
      <c r="I9">
        <f>ROUNDUP(E9,-2)</f>
        <v>2600</v>
      </c>
      <c r="J9">
        <v>6500</v>
      </c>
      <c r="K9">
        <f>SUM(I9:J9)</f>
        <v>9100</v>
      </c>
    </row>
    <row r="10" spans="2:11">
      <c r="B10" t="s">
        <v>313</v>
      </c>
      <c r="D10">
        <v>250</v>
      </c>
      <c r="E10">
        <v>8400</v>
      </c>
      <c r="G10">
        <f>D10*E10</f>
        <v>2100000</v>
      </c>
    </row>
    <row r="11" spans="2:11">
      <c r="B11" t="s">
        <v>299</v>
      </c>
      <c r="D11">
        <v>423</v>
      </c>
      <c r="E11">
        <v>200</v>
      </c>
      <c r="G11">
        <f>D11*E11</f>
        <v>84600</v>
      </c>
    </row>
    <row r="12" spans="2:11">
      <c r="B12" t="s">
        <v>300</v>
      </c>
      <c r="D12">
        <v>20</v>
      </c>
      <c r="E12">
        <v>1000</v>
      </c>
      <c r="G12">
        <f>D12*E12</f>
        <v>20000</v>
      </c>
    </row>
    <row r="13" spans="2:11">
      <c r="B13" t="s">
        <v>301</v>
      </c>
      <c r="D13">
        <v>2</v>
      </c>
      <c r="E13">
        <v>1000</v>
      </c>
      <c r="G13">
        <f>D13*E13</f>
        <v>2000</v>
      </c>
    </row>
    <row r="14" spans="2:11">
      <c r="B14" t="s">
        <v>302</v>
      </c>
      <c r="D14">
        <v>50</v>
      </c>
      <c r="E14">
        <v>300</v>
      </c>
      <c r="G14">
        <f>D14*E14</f>
        <v>15000</v>
      </c>
    </row>
    <row r="16" spans="2:11" ht="13" thickBot="1"/>
    <row r="17" spans="2:11" ht="13" thickBot="1">
      <c r="B17" t="s">
        <v>311</v>
      </c>
      <c r="C17" t="s">
        <v>10</v>
      </c>
      <c r="D17">
        <f>D3</f>
        <v>730</v>
      </c>
      <c r="E17" s="184">
        <f>G17/D17</f>
        <v>2880.7534246575301</v>
      </c>
      <c r="G17" s="184">
        <f>SUM(G18:G22)</f>
        <v>2102950</v>
      </c>
      <c r="I17">
        <f>ROUNDUP(E17,-2)</f>
        <v>2900</v>
      </c>
      <c r="J17">
        <v>3500</v>
      </c>
      <c r="K17">
        <f>SUM(I17:J17)</f>
        <v>6400</v>
      </c>
    </row>
    <row r="18" spans="2:11">
      <c r="B18" t="s">
        <v>290</v>
      </c>
      <c r="D18">
        <v>23</v>
      </c>
      <c r="E18">
        <f>30900</f>
        <v>30900</v>
      </c>
      <c r="G18">
        <f>D18*E18</f>
        <v>710700</v>
      </c>
    </row>
    <row r="19" spans="2:11">
      <c r="B19" t="s">
        <v>291</v>
      </c>
      <c r="D19">
        <v>42</v>
      </c>
      <c r="E19">
        <f>30900</f>
        <v>30900</v>
      </c>
      <c r="G19">
        <f t="shared" ref="G19:G39" si="0">D19*E19</f>
        <v>1297800</v>
      </c>
    </row>
    <row r="20" spans="2:11">
      <c r="B20" t="s">
        <v>292</v>
      </c>
      <c r="D20">
        <v>1.5</v>
      </c>
      <c r="E20">
        <v>47300</v>
      </c>
      <c r="G20">
        <f t="shared" si="0"/>
        <v>70950</v>
      </c>
    </row>
    <row r="21" spans="2:11">
      <c r="B21" t="s">
        <v>303</v>
      </c>
      <c r="D21">
        <f>ROUND(D17/50,0)</f>
        <v>15</v>
      </c>
      <c r="E21">
        <v>1300</v>
      </c>
      <c r="G21">
        <f t="shared" si="0"/>
        <v>19500</v>
      </c>
    </row>
    <row r="22" spans="2:11">
      <c r="B22" t="s">
        <v>304</v>
      </c>
      <c r="D22">
        <v>2</v>
      </c>
      <c r="E22">
        <v>2000</v>
      </c>
      <c r="G22">
        <f t="shared" si="0"/>
        <v>4000</v>
      </c>
    </row>
    <row r="23" spans="2:11" ht="13" thickBot="1"/>
    <row r="24" spans="2:11" ht="13" thickBot="1">
      <c r="B24" t="s">
        <v>312</v>
      </c>
      <c r="C24" t="s">
        <v>10</v>
      </c>
      <c r="D24">
        <f>D2</f>
        <v>130</v>
      </c>
      <c r="E24" s="184">
        <f>G24/D24</f>
        <v>5206.5384615384601</v>
      </c>
      <c r="G24" s="184">
        <f>SUM(G25:G28)</f>
        <v>676850</v>
      </c>
      <c r="I24">
        <f>ROUNDUP(E24,-2)</f>
        <v>5300</v>
      </c>
      <c r="J24">
        <v>3500</v>
      </c>
      <c r="K24">
        <f>SUM(I24:J24)</f>
        <v>8800</v>
      </c>
    </row>
    <row r="25" spans="2:11">
      <c r="B25" t="s">
        <v>294</v>
      </c>
      <c r="D25">
        <v>10</v>
      </c>
      <c r="E25">
        <v>60000</v>
      </c>
      <c r="G25">
        <f>D25*E25</f>
        <v>600000</v>
      </c>
    </row>
    <row r="26" spans="2:11">
      <c r="B26" t="s">
        <v>292</v>
      </c>
      <c r="D26">
        <v>1.5</v>
      </c>
      <c r="E26">
        <v>47300</v>
      </c>
      <c r="G26">
        <f>D26*E26</f>
        <v>70950</v>
      </c>
    </row>
    <row r="27" spans="2:11">
      <c r="B27" t="s">
        <v>303</v>
      </c>
      <c r="D27">
        <f>ROUND(D24/50,0)</f>
        <v>3</v>
      </c>
      <c r="E27">
        <v>1300</v>
      </c>
      <c r="G27">
        <f>D27*E27</f>
        <v>3900</v>
      </c>
    </row>
    <row r="28" spans="2:11">
      <c r="B28" t="s">
        <v>304</v>
      </c>
      <c r="D28">
        <v>1</v>
      </c>
      <c r="E28">
        <v>2000</v>
      </c>
      <c r="G28">
        <f>D28*E28</f>
        <v>2000</v>
      </c>
    </row>
    <row r="29" spans="2:11" ht="13" thickBot="1"/>
    <row r="30" spans="2:11" ht="13" thickBot="1">
      <c r="B30" t="s">
        <v>56</v>
      </c>
      <c r="C30" t="s">
        <v>10</v>
      </c>
      <c r="D30">
        <f>D4</f>
        <v>52</v>
      </c>
      <c r="E30" s="184">
        <f>G30/D30</f>
        <v>14133.6538461538</v>
      </c>
      <c r="G30" s="184">
        <f>SUM(G31:G39)</f>
        <v>734950</v>
      </c>
      <c r="I30">
        <f>ROUNDUP(E30,-2)</f>
        <v>14200</v>
      </c>
      <c r="J30">
        <v>20000</v>
      </c>
      <c r="K30">
        <f>SUM(I30:J30)</f>
        <v>34200</v>
      </c>
    </row>
    <row r="31" spans="2:11">
      <c r="B31" t="s">
        <v>293</v>
      </c>
      <c r="D31">
        <v>4</v>
      </c>
      <c r="E31">
        <v>93500</v>
      </c>
      <c r="G31">
        <f t="shared" si="0"/>
        <v>374000</v>
      </c>
    </row>
    <row r="32" spans="2:11">
      <c r="B32" t="s">
        <v>296</v>
      </c>
      <c r="D32">
        <v>4</v>
      </c>
      <c r="E32">
        <v>63400</v>
      </c>
      <c r="G32">
        <f t="shared" si="0"/>
        <v>253600</v>
      </c>
    </row>
    <row r="33" spans="2:11">
      <c r="B33" t="s">
        <v>297</v>
      </c>
      <c r="D33">
        <v>8</v>
      </c>
      <c r="E33">
        <v>6000</v>
      </c>
      <c r="G33">
        <f t="shared" si="0"/>
        <v>48000</v>
      </c>
    </row>
    <row r="34" spans="2:11">
      <c r="B34" t="s">
        <v>298</v>
      </c>
      <c r="D34">
        <v>200</v>
      </c>
      <c r="E34">
        <v>200</v>
      </c>
      <c r="G34">
        <f t="shared" si="0"/>
        <v>40000</v>
      </c>
    </row>
    <row r="35" spans="2:11">
      <c r="B35" t="s">
        <v>305</v>
      </c>
      <c r="D35">
        <v>40</v>
      </c>
      <c r="E35">
        <v>300</v>
      </c>
      <c r="G35">
        <f>D35*E35</f>
        <v>12000</v>
      </c>
    </row>
    <row r="36" spans="2:11">
      <c r="B36" t="s">
        <v>306</v>
      </c>
      <c r="D36">
        <v>10</v>
      </c>
      <c r="E36">
        <v>200</v>
      </c>
      <c r="G36">
        <f>D36*E36</f>
        <v>2000</v>
      </c>
    </row>
    <row r="37" spans="2:11">
      <c r="B37" t="s">
        <v>307</v>
      </c>
      <c r="D37">
        <v>5</v>
      </c>
      <c r="E37">
        <v>150</v>
      </c>
      <c r="G37">
        <f>D37*E37</f>
        <v>750</v>
      </c>
    </row>
    <row r="38" spans="2:11">
      <c r="B38" t="s">
        <v>303</v>
      </c>
      <c r="D38">
        <v>2</v>
      </c>
      <c r="E38">
        <v>1300</v>
      </c>
      <c r="G38">
        <f t="shared" si="0"/>
        <v>2600</v>
      </c>
    </row>
    <row r="39" spans="2:11">
      <c r="B39" t="s">
        <v>304</v>
      </c>
      <c r="D39">
        <v>1</v>
      </c>
      <c r="E39">
        <v>2000</v>
      </c>
      <c r="G39">
        <f t="shared" si="0"/>
        <v>2000</v>
      </c>
    </row>
    <row r="41" spans="2:11">
      <c r="C41" t="s">
        <v>318</v>
      </c>
      <c r="D41" t="s">
        <v>319</v>
      </c>
    </row>
    <row r="42" spans="2:11">
      <c r="B42" t="s">
        <v>315</v>
      </c>
      <c r="C42">
        <f>I9+I17</f>
        <v>5500</v>
      </c>
      <c r="D42">
        <f>J9+J17</f>
        <v>10000</v>
      </c>
      <c r="F42">
        <f>SUM(C42:E42)</f>
        <v>15500</v>
      </c>
    </row>
    <row r="43" spans="2:11">
      <c r="B43" t="s">
        <v>316</v>
      </c>
      <c r="C43">
        <f>I9+I24</f>
        <v>7900</v>
      </c>
      <c r="D43">
        <f>J9+J24</f>
        <v>10000</v>
      </c>
      <c r="F43">
        <f>SUM(C43:E43)</f>
        <v>17900</v>
      </c>
      <c r="I43">
        <v>86</v>
      </c>
      <c r="K43">
        <f>C43*I43</f>
        <v>679400</v>
      </c>
    </row>
    <row r="44" spans="2:11">
      <c r="B44" t="s">
        <v>317</v>
      </c>
      <c r="C44">
        <f>I30</f>
        <v>14200</v>
      </c>
      <c r="D44">
        <f>J30</f>
        <v>20000</v>
      </c>
      <c r="F44">
        <f>SUM(C44:E44)</f>
        <v>34200</v>
      </c>
      <c r="I44">
        <v>15</v>
      </c>
      <c r="K44">
        <f>C44*I44</f>
        <v>213000</v>
      </c>
    </row>
    <row r="45" spans="2:11">
      <c r="K45">
        <f>SUM(K43:K44)</f>
        <v>892400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51A14-3B96-4396-A45D-43AD93724E87}">
  <sheetPr codeName="Sheet31"/>
  <dimension ref="A2:L51"/>
  <sheetViews>
    <sheetView zoomScale="120" zoomScaleNormal="120" workbookViewId="0">
      <selection activeCell="A2" sqref="A2:L43"/>
    </sheetView>
  </sheetViews>
  <sheetFormatPr defaultRowHeight="12.5"/>
  <cols>
    <col min="1" max="1" width="6.81640625" style="214" customWidth="1"/>
    <col min="2" max="2" width="16.453125" bestFit="1" customWidth="1"/>
    <col min="3" max="3" width="6" customWidth="1"/>
    <col min="4" max="4" width="7.7265625" customWidth="1"/>
    <col min="5" max="5" width="6.54296875" customWidth="1"/>
    <col min="6" max="6" width="7" customWidth="1"/>
    <col min="7" max="7" width="5.7265625" customWidth="1"/>
    <col min="8" max="8" width="7.453125" customWidth="1"/>
    <col min="9" max="9" width="6.26953125" customWidth="1"/>
    <col min="11" max="11" width="7.26953125" customWidth="1"/>
  </cols>
  <sheetData>
    <row r="2" spans="1:12" ht="16" customHeight="1">
      <c r="A2" s="215">
        <v>1</v>
      </c>
      <c r="B2" s="216" t="s">
        <v>157</v>
      </c>
      <c r="C2" s="216">
        <v>4</v>
      </c>
      <c r="D2" s="216">
        <v>1</v>
      </c>
      <c r="E2" s="216">
        <v>1</v>
      </c>
      <c r="F2" s="217">
        <f>14/12</f>
        <v>1.17</v>
      </c>
      <c r="G2" s="216"/>
      <c r="H2" s="216">
        <f t="shared" ref="H2:H36" si="0">C2*D2*E2*F2</f>
        <v>4.68</v>
      </c>
      <c r="I2" s="216"/>
      <c r="J2" s="217">
        <f t="shared" ref="J2:J10" si="1">H2/3.281/3.281/3.281</f>
        <v>0.13</v>
      </c>
      <c r="K2" s="216" t="s">
        <v>168</v>
      </c>
      <c r="L2" s="217">
        <f>J2</f>
        <v>0.13</v>
      </c>
    </row>
    <row r="3" spans="1:12" ht="16" customHeight="1">
      <c r="A3" s="218"/>
      <c r="B3" s="219" t="s">
        <v>355</v>
      </c>
      <c r="C3" s="219">
        <v>1</v>
      </c>
      <c r="D3" s="219">
        <v>8</v>
      </c>
      <c r="E3" s="219">
        <v>0.75</v>
      </c>
      <c r="F3" s="219">
        <v>1</v>
      </c>
      <c r="G3" s="219"/>
      <c r="H3" s="219">
        <f t="shared" si="0"/>
        <v>6</v>
      </c>
      <c r="I3" s="219"/>
      <c r="J3" s="220">
        <f t="shared" si="1"/>
        <v>0.17</v>
      </c>
      <c r="K3" s="219" t="s">
        <v>168</v>
      </c>
      <c r="L3" s="220">
        <f>L2+J3</f>
        <v>0.3</v>
      </c>
    </row>
    <row r="4" spans="1:12" ht="16" customHeight="1">
      <c r="A4" s="218"/>
      <c r="B4" s="219"/>
      <c r="C4" s="219">
        <v>1</v>
      </c>
      <c r="D4" s="219">
        <v>3.5</v>
      </c>
      <c r="E4" s="219">
        <v>0.75</v>
      </c>
      <c r="F4" s="219">
        <v>0.75</v>
      </c>
      <c r="G4" s="219"/>
      <c r="H4" s="220">
        <f t="shared" si="0"/>
        <v>1.97</v>
      </c>
      <c r="I4" s="219"/>
      <c r="J4" s="220">
        <f t="shared" si="1"/>
        <v>0.06</v>
      </c>
      <c r="K4" s="219" t="s">
        <v>168</v>
      </c>
      <c r="L4" s="220">
        <f t="shared" ref="L4:L10" si="2">L3+J4</f>
        <v>0.36</v>
      </c>
    </row>
    <row r="5" spans="1:12" ht="16" customHeight="1">
      <c r="A5" s="218"/>
      <c r="B5" s="219"/>
      <c r="C5" s="219">
        <v>1</v>
      </c>
      <c r="D5" s="219">
        <v>8</v>
      </c>
      <c r="E5" s="219">
        <v>0.75</v>
      </c>
      <c r="F5" s="219">
        <v>1</v>
      </c>
      <c r="G5" s="219"/>
      <c r="H5" s="220">
        <f t="shared" si="0"/>
        <v>6</v>
      </c>
      <c r="I5" s="219"/>
      <c r="J5" s="220">
        <f t="shared" si="1"/>
        <v>0.17</v>
      </c>
      <c r="K5" s="219" t="s">
        <v>168</v>
      </c>
      <c r="L5" s="220">
        <f t="shared" si="2"/>
        <v>0.53</v>
      </c>
    </row>
    <row r="6" spans="1:12" ht="16" customHeight="1">
      <c r="A6" s="218"/>
      <c r="B6" s="219" t="s">
        <v>344</v>
      </c>
      <c r="C6" s="219">
        <v>1</v>
      </c>
      <c r="D6" s="219">
        <f>12.5</f>
        <v>12.5</v>
      </c>
      <c r="E6" s="219">
        <v>8.5</v>
      </c>
      <c r="F6" s="219">
        <v>0.33</v>
      </c>
      <c r="G6" s="219"/>
      <c r="H6" s="220">
        <f t="shared" si="0"/>
        <v>35.06</v>
      </c>
      <c r="I6" s="219"/>
      <c r="J6" s="220">
        <f t="shared" si="1"/>
        <v>0.99</v>
      </c>
      <c r="K6" s="219" t="s">
        <v>168</v>
      </c>
      <c r="L6" s="220">
        <f t="shared" si="2"/>
        <v>1.52</v>
      </c>
    </row>
    <row r="7" spans="1:12" ht="16" customHeight="1">
      <c r="A7" s="218"/>
      <c r="B7" s="219"/>
      <c r="C7" s="219">
        <v>1</v>
      </c>
      <c r="D7" s="219">
        <v>12.5</v>
      </c>
      <c r="E7" s="219">
        <v>3.5</v>
      </c>
      <c r="F7" s="219">
        <v>0.33</v>
      </c>
      <c r="G7" s="219"/>
      <c r="H7" s="220">
        <f t="shared" si="0"/>
        <v>14.44</v>
      </c>
      <c r="I7" s="219"/>
      <c r="J7" s="220">
        <f t="shared" si="1"/>
        <v>0.41</v>
      </c>
      <c r="K7" s="219" t="s">
        <v>168</v>
      </c>
      <c r="L7" s="220">
        <f t="shared" si="2"/>
        <v>1.93</v>
      </c>
    </row>
    <row r="8" spans="1:12" ht="16" customHeight="1">
      <c r="A8" s="218"/>
      <c r="B8" s="219"/>
      <c r="C8" s="219">
        <v>1</v>
      </c>
      <c r="D8" s="219">
        <v>12.5</v>
      </c>
      <c r="E8" s="219">
        <v>8.5</v>
      </c>
      <c r="F8" s="219">
        <v>0.33</v>
      </c>
      <c r="G8" s="219"/>
      <c r="H8" s="220">
        <f t="shared" si="0"/>
        <v>35.06</v>
      </c>
      <c r="I8" s="219"/>
      <c r="J8" s="220">
        <f t="shared" si="1"/>
        <v>0.99</v>
      </c>
      <c r="K8" s="219" t="s">
        <v>168</v>
      </c>
      <c r="L8" s="220">
        <f t="shared" si="2"/>
        <v>2.92</v>
      </c>
    </row>
    <row r="9" spans="1:12" ht="16" customHeight="1">
      <c r="A9" s="221"/>
      <c r="B9" s="222" t="s">
        <v>356</v>
      </c>
      <c r="C9" s="222">
        <v>4</v>
      </c>
      <c r="D9" s="222">
        <v>12</v>
      </c>
      <c r="E9" s="222">
        <v>0.75</v>
      </c>
      <c r="F9" s="223">
        <f>14/12</f>
        <v>1.17</v>
      </c>
      <c r="G9" s="222"/>
      <c r="H9" s="222">
        <f t="shared" si="0"/>
        <v>42.12</v>
      </c>
      <c r="I9" s="222"/>
      <c r="J9" s="223">
        <f t="shared" si="1"/>
        <v>1.19</v>
      </c>
      <c r="K9" s="224">
        <f>SUM(J2:J9)</f>
        <v>4.1100000000000003</v>
      </c>
      <c r="L9" s="225">
        <f t="shared" si="2"/>
        <v>4.1100000000000003</v>
      </c>
    </row>
    <row r="10" spans="1:12" ht="16" customHeight="1">
      <c r="A10" s="226">
        <v>2</v>
      </c>
      <c r="B10" s="227" t="s">
        <v>157</v>
      </c>
      <c r="C10" s="227">
        <v>4</v>
      </c>
      <c r="D10" s="227">
        <v>1</v>
      </c>
      <c r="E10" s="227">
        <v>1</v>
      </c>
      <c r="F10" s="228">
        <f>14/12</f>
        <v>1.17</v>
      </c>
      <c r="G10" s="227"/>
      <c r="H10" s="227">
        <f t="shared" si="0"/>
        <v>4.68</v>
      </c>
      <c r="I10" s="227"/>
      <c r="J10" s="228">
        <f t="shared" si="1"/>
        <v>0.13</v>
      </c>
      <c r="K10" s="227" t="s">
        <v>168</v>
      </c>
      <c r="L10" s="228">
        <f t="shared" si="2"/>
        <v>4.24</v>
      </c>
    </row>
    <row r="11" spans="1:12" ht="16" customHeight="1">
      <c r="A11" s="218"/>
      <c r="B11" s="219" t="s">
        <v>357</v>
      </c>
      <c r="C11" s="219">
        <v>1</v>
      </c>
      <c r="D11" s="219">
        <v>8</v>
      </c>
      <c r="E11" s="219">
        <v>0.75</v>
      </c>
      <c r="F11" s="219">
        <v>1</v>
      </c>
      <c r="G11" s="219"/>
      <c r="H11" s="219">
        <f t="shared" si="0"/>
        <v>6</v>
      </c>
      <c r="I11" s="219"/>
      <c r="J11" s="220">
        <f t="shared" ref="J11:J16" si="3">H11/3.281/3.281/3.281</f>
        <v>0.17</v>
      </c>
      <c r="K11" s="219" t="s">
        <v>168</v>
      </c>
      <c r="L11" s="220">
        <f>L10+J11</f>
        <v>4.41</v>
      </c>
    </row>
    <row r="12" spans="1:12" ht="16" customHeight="1">
      <c r="A12" s="218"/>
      <c r="B12" s="219"/>
      <c r="C12" s="219">
        <v>1</v>
      </c>
      <c r="D12" s="219">
        <v>3.5</v>
      </c>
      <c r="E12" s="219">
        <v>0.75</v>
      </c>
      <c r="F12" s="219">
        <v>0.75</v>
      </c>
      <c r="G12" s="219"/>
      <c r="H12" s="220">
        <f t="shared" si="0"/>
        <v>1.97</v>
      </c>
      <c r="I12" s="219"/>
      <c r="J12" s="220">
        <f t="shared" si="3"/>
        <v>0.06</v>
      </c>
      <c r="K12" s="219" t="s">
        <v>168</v>
      </c>
      <c r="L12" s="220">
        <f t="shared" ref="L12:L43" si="4">L11+J12</f>
        <v>4.47</v>
      </c>
    </row>
    <row r="13" spans="1:12" ht="16" customHeight="1">
      <c r="A13" s="218"/>
      <c r="B13" s="219"/>
      <c r="C13" s="219">
        <v>1</v>
      </c>
      <c r="D13" s="219">
        <v>8</v>
      </c>
      <c r="E13" s="219">
        <v>0.75</v>
      </c>
      <c r="F13" s="219">
        <v>1</v>
      </c>
      <c r="G13" s="219"/>
      <c r="H13" s="220">
        <f t="shared" si="0"/>
        <v>6</v>
      </c>
      <c r="I13" s="219"/>
      <c r="J13" s="220">
        <f t="shared" si="3"/>
        <v>0.17</v>
      </c>
      <c r="K13" s="219" t="s">
        <v>168</v>
      </c>
      <c r="L13" s="220">
        <f t="shared" si="4"/>
        <v>4.6399999999999997</v>
      </c>
    </row>
    <row r="14" spans="1:12" ht="16" customHeight="1">
      <c r="A14" s="218"/>
      <c r="B14" s="219" t="s">
        <v>344</v>
      </c>
      <c r="C14" s="219">
        <v>1</v>
      </c>
      <c r="D14" s="219">
        <f>12.25</f>
        <v>12.25</v>
      </c>
      <c r="E14" s="219">
        <v>8.5</v>
      </c>
      <c r="F14" s="219">
        <v>0.33</v>
      </c>
      <c r="G14" s="219"/>
      <c r="H14" s="220">
        <f t="shared" si="0"/>
        <v>34.36</v>
      </c>
      <c r="I14" s="219"/>
      <c r="J14" s="220">
        <f t="shared" si="3"/>
        <v>0.97</v>
      </c>
      <c r="K14" s="219" t="s">
        <v>168</v>
      </c>
      <c r="L14" s="220">
        <f t="shared" si="4"/>
        <v>5.61</v>
      </c>
    </row>
    <row r="15" spans="1:12" ht="16" customHeight="1">
      <c r="A15" s="218"/>
      <c r="B15" s="219"/>
      <c r="C15" s="219">
        <v>1</v>
      </c>
      <c r="D15" s="219">
        <v>12.25</v>
      </c>
      <c r="E15" s="219">
        <v>3.5</v>
      </c>
      <c r="F15" s="219">
        <v>0.33</v>
      </c>
      <c r="G15" s="219"/>
      <c r="H15" s="220">
        <f t="shared" si="0"/>
        <v>14.15</v>
      </c>
      <c r="I15" s="219"/>
      <c r="J15" s="220">
        <f t="shared" si="3"/>
        <v>0.4</v>
      </c>
      <c r="K15" s="219" t="s">
        <v>168</v>
      </c>
      <c r="L15" s="220">
        <f t="shared" si="4"/>
        <v>6.01</v>
      </c>
    </row>
    <row r="16" spans="1:12" ht="16" customHeight="1">
      <c r="A16" s="218"/>
      <c r="B16" s="219"/>
      <c r="C16" s="219">
        <v>1</v>
      </c>
      <c r="D16" s="219">
        <v>12.25</v>
      </c>
      <c r="E16" s="219">
        <v>8.5</v>
      </c>
      <c r="F16" s="219">
        <v>0.33</v>
      </c>
      <c r="G16" s="219"/>
      <c r="H16" s="220">
        <f t="shared" si="0"/>
        <v>34.36</v>
      </c>
      <c r="I16" s="219"/>
      <c r="J16" s="220">
        <f t="shared" si="3"/>
        <v>0.97</v>
      </c>
      <c r="K16" s="219" t="s">
        <v>168</v>
      </c>
      <c r="L16" s="220">
        <f t="shared" si="4"/>
        <v>6.98</v>
      </c>
    </row>
    <row r="17" spans="1:12" ht="16" customHeight="1">
      <c r="A17" s="221"/>
      <c r="B17" s="222" t="s">
        <v>356</v>
      </c>
      <c r="C17" s="222">
        <v>4</v>
      </c>
      <c r="D17" s="222">
        <v>12</v>
      </c>
      <c r="E17" s="222">
        <v>0.75</v>
      </c>
      <c r="F17" s="223">
        <f>14/12</f>
        <v>1.17</v>
      </c>
      <c r="G17" s="222"/>
      <c r="H17" s="222">
        <f t="shared" si="0"/>
        <v>42.12</v>
      </c>
      <c r="I17" s="222"/>
      <c r="J17" s="223">
        <f>H17/3.281/3.281/3.281</f>
        <v>1.19</v>
      </c>
      <c r="K17" s="224">
        <f>SUM(J10:J17)</f>
        <v>4.0599999999999996</v>
      </c>
      <c r="L17" s="225">
        <f t="shared" si="4"/>
        <v>8.17</v>
      </c>
    </row>
    <row r="18" spans="1:12" ht="16" customHeight="1">
      <c r="A18" s="226">
        <v>3</v>
      </c>
      <c r="B18" s="227" t="s">
        <v>157</v>
      </c>
      <c r="C18" s="227">
        <v>4</v>
      </c>
      <c r="D18" s="227">
        <v>1</v>
      </c>
      <c r="E18" s="227">
        <v>1</v>
      </c>
      <c r="F18" s="228">
        <f>14/12</f>
        <v>1.17</v>
      </c>
      <c r="G18" s="227"/>
      <c r="H18" s="227">
        <f t="shared" si="0"/>
        <v>4.68</v>
      </c>
      <c r="I18" s="227"/>
      <c r="J18" s="228">
        <f>H18/3.281/3.281/3.281</f>
        <v>0.13</v>
      </c>
      <c r="K18" s="227" t="s">
        <v>168</v>
      </c>
      <c r="L18" s="228">
        <f t="shared" si="4"/>
        <v>8.3000000000000007</v>
      </c>
    </row>
    <row r="19" spans="1:12" ht="16" customHeight="1">
      <c r="A19" s="218"/>
      <c r="B19" s="219" t="s">
        <v>358</v>
      </c>
      <c r="C19" s="219">
        <v>1</v>
      </c>
      <c r="D19" s="219">
        <v>8</v>
      </c>
      <c r="E19" s="219">
        <v>0.75</v>
      </c>
      <c r="F19" s="219">
        <v>1</v>
      </c>
      <c r="G19" s="219"/>
      <c r="H19" s="219">
        <f t="shared" si="0"/>
        <v>6</v>
      </c>
      <c r="I19" s="219"/>
      <c r="J19" s="220">
        <f t="shared" ref="J19:J24" si="5">H19/3.281/3.281/3.281</f>
        <v>0.17</v>
      </c>
      <c r="K19" s="219" t="s">
        <v>168</v>
      </c>
      <c r="L19" s="220">
        <f t="shared" si="4"/>
        <v>8.4700000000000006</v>
      </c>
    </row>
    <row r="20" spans="1:12" ht="16" customHeight="1">
      <c r="A20" s="218"/>
      <c r="B20" s="219"/>
      <c r="C20" s="219">
        <v>1</v>
      </c>
      <c r="D20" s="219">
        <v>3.5</v>
      </c>
      <c r="E20" s="219">
        <v>0.75</v>
      </c>
      <c r="F20" s="219">
        <v>0.75</v>
      </c>
      <c r="G20" s="219"/>
      <c r="H20" s="220">
        <f t="shared" si="0"/>
        <v>1.97</v>
      </c>
      <c r="I20" s="219"/>
      <c r="J20" s="220">
        <f t="shared" si="5"/>
        <v>0.06</v>
      </c>
      <c r="K20" s="219" t="s">
        <v>168</v>
      </c>
      <c r="L20" s="220">
        <f t="shared" si="4"/>
        <v>8.5299999999999994</v>
      </c>
    </row>
    <row r="21" spans="1:12" ht="16" customHeight="1">
      <c r="A21" s="218"/>
      <c r="B21" s="219"/>
      <c r="C21" s="219">
        <v>1</v>
      </c>
      <c r="D21" s="219">
        <v>8</v>
      </c>
      <c r="E21" s="219">
        <v>0.75</v>
      </c>
      <c r="F21" s="219">
        <v>1</v>
      </c>
      <c r="G21" s="219"/>
      <c r="H21" s="220">
        <f t="shared" si="0"/>
        <v>6</v>
      </c>
      <c r="I21" s="219"/>
      <c r="J21" s="220">
        <f t="shared" si="5"/>
        <v>0.17</v>
      </c>
      <c r="K21" s="219" t="s">
        <v>168</v>
      </c>
      <c r="L21" s="220">
        <f t="shared" si="4"/>
        <v>8.6999999999999993</v>
      </c>
    </row>
    <row r="22" spans="1:12" ht="16" customHeight="1">
      <c r="A22" s="218"/>
      <c r="B22" s="219" t="s">
        <v>344</v>
      </c>
      <c r="C22" s="219">
        <v>1</v>
      </c>
      <c r="D22" s="219">
        <f>3.5</f>
        <v>3.5</v>
      </c>
      <c r="E22" s="219">
        <v>8.5</v>
      </c>
      <c r="F22" s="219">
        <v>0.33</v>
      </c>
      <c r="G22" s="219"/>
      <c r="H22" s="220">
        <f t="shared" si="0"/>
        <v>9.82</v>
      </c>
      <c r="I22" s="219"/>
      <c r="J22" s="220">
        <f t="shared" si="5"/>
        <v>0.28000000000000003</v>
      </c>
      <c r="K22" s="219" t="s">
        <v>168</v>
      </c>
      <c r="L22" s="220">
        <f t="shared" si="4"/>
        <v>8.98</v>
      </c>
    </row>
    <row r="23" spans="1:12" ht="16" customHeight="1">
      <c r="A23" s="218"/>
      <c r="B23" s="219"/>
      <c r="C23" s="219">
        <v>1</v>
      </c>
      <c r="D23" s="219">
        <v>3.5</v>
      </c>
      <c r="E23" s="219">
        <v>3.5</v>
      </c>
      <c r="F23" s="219">
        <v>0.33</v>
      </c>
      <c r="G23" s="219"/>
      <c r="H23" s="220">
        <f t="shared" si="0"/>
        <v>4.04</v>
      </c>
      <c r="I23" s="219"/>
      <c r="J23" s="220">
        <f t="shared" si="5"/>
        <v>0.11</v>
      </c>
      <c r="K23" s="219" t="s">
        <v>168</v>
      </c>
      <c r="L23" s="220">
        <f t="shared" si="4"/>
        <v>9.09</v>
      </c>
    </row>
    <row r="24" spans="1:12" ht="16" customHeight="1">
      <c r="A24" s="218"/>
      <c r="B24" s="219"/>
      <c r="C24" s="219">
        <v>1</v>
      </c>
      <c r="D24" s="219">
        <v>3.5</v>
      </c>
      <c r="E24" s="219">
        <v>8.5</v>
      </c>
      <c r="F24" s="219">
        <v>0.33</v>
      </c>
      <c r="G24" s="219"/>
      <c r="H24" s="220">
        <f t="shared" si="0"/>
        <v>9.82</v>
      </c>
      <c r="I24" s="219"/>
      <c r="J24" s="220">
        <f t="shared" si="5"/>
        <v>0.28000000000000003</v>
      </c>
      <c r="K24" s="219" t="s">
        <v>168</v>
      </c>
      <c r="L24" s="220">
        <f t="shared" si="4"/>
        <v>9.3699999999999992</v>
      </c>
    </row>
    <row r="25" spans="1:12" ht="16" customHeight="1">
      <c r="A25" s="221"/>
      <c r="B25" s="222" t="s">
        <v>356</v>
      </c>
      <c r="C25" s="222">
        <v>4</v>
      </c>
      <c r="D25" s="222">
        <v>3.5</v>
      </c>
      <c r="E25" s="222">
        <v>0.75</v>
      </c>
      <c r="F25" s="223">
        <v>0.75</v>
      </c>
      <c r="G25" s="222"/>
      <c r="H25" s="222">
        <f t="shared" si="0"/>
        <v>7.875</v>
      </c>
      <c r="I25" s="222"/>
      <c r="J25" s="223">
        <f t="shared" ref="J25:J36" si="6">H25/3.281/3.281/3.281</f>
        <v>0.22</v>
      </c>
      <c r="K25" s="224">
        <f>SUM(J18:J25)</f>
        <v>1.42</v>
      </c>
      <c r="L25" s="225">
        <f t="shared" si="4"/>
        <v>9.59</v>
      </c>
    </row>
    <row r="26" spans="1:12" ht="16" customHeight="1">
      <c r="A26" s="226">
        <v>4</v>
      </c>
      <c r="B26" s="227" t="s">
        <v>157</v>
      </c>
      <c r="C26" s="227">
        <v>4</v>
      </c>
      <c r="D26" s="227">
        <v>1</v>
      </c>
      <c r="E26" s="227">
        <v>1</v>
      </c>
      <c r="F26" s="228">
        <f>14/12</f>
        <v>1.17</v>
      </c>
      <c r="G26" s="227"/>
      <c r="H26" s="227">
        <f t="shared" si="0"/>
        <v>4.68</v>
      </c>
      <c r="I26" s="227"/>
      <c r="J26" s="228">
        <f t="shared" si="6"/>
        <v>0.13</v>
      </c>
      <c r="K26" s="227" t="s">
        <v>168</v>
      </c>
      <c r="L26" s="228">
        <f t="shared" si="4"/>
        <v>9.7200000000000006</v>
      </c>
    </row>
    <row r="27" spans="1:12" ht="16" customHeight="1">
      <c r="A27" s="218"/>
      <c r="B27" s="219" t="s">
        <v>359</v>
      </c>
      <c r="C27" s="219">
        <v>1</v>
      </c>
      <c r="D27" s="219">
        <v>8</v>
      </c>
      <c r="E27" s="219">
        <v>0.75</v>
      </c>
      <c r="F27" s="219">
        <v>1</v>
      </c>
      <c r="G27" s="219"/>
      <c r="H27" s="219">
        <f t="shared" si="0"/>
        <v>6</v>
      </c>
      <c r="I27" s="219"/>
      <c r="J27" s="220">
        <f t="shared" si="6"/>
        <v>0.17</v>
      </c>
      <c r="K27" s="219" t="s">
        <v>168</v>
      </c>
      <c r="L27" s="220">
        <f t="shared" si="4"/>
        <v>9.89</v>
      </c>
    </row>
    <row r="28" spans="1:12" ht="16" customHeight="1">
      <c r="A28" s="218"/>
      <c r="B28" s="219"/>
      <c r="C28" s="219">
        <v>1</v>
      </c>
      <c r="D28" s="219">
        <v>3.25</v>
      </c>
      <c r="E28" s="219">
        <v>0.75</v>
      </c>
      <c r="F28" s="219">
        <v>1</v>
      </c>
      <c r="G28" s="219"/>
      <c r="H28" s="220">
        <f t="shared" si="0"/>
        <v>2.44</v>
      </c>
      <c r="I28" s="219"/>
      <c r="J28" s="220">
        <f t="shared" si="6"/>
        <v>7.0000000000000007E-2</v>
      </c>
      <c r="K28" s="219" t="s">
        <v>168</v>
      </c>
      <c r="L28" s="220">
        <f t="shared" si="4"/>
        <v>9.9600000000000009</v>
      </c>
    </row>
    <row r="29" spans="1:12" ht="16" customHeight="1">
      <c r="A29" s="218"/>
      <c r="B29" s="219"/>
      <c r="C29" s="219">
        <v>1</v>
      </c>
      <c r="D29" s="219">
        <v>9</v>
      </c>
      <c r="E29" s="219">
        <v>0.75</v>
      </c>
      <c r="F29" s="219">
        <v>1</v>
      </c>
      <c r="G29" s="219"/>
      <c r="H29" s="220">
        <f t="shared" si="0"/>
        <v>6.75</v>
      </c>
      <c r="I29" s="219"/>
      <c r="J29" s="220">
        <f t="shared" si="6"/>
        <v>0.19</v>
      </c>
      <c r="K29" s="219" t="s">
        <v>168</v>
      </c>
      <c r="L29" s="220">
        <f t="shared" si="4"/>
        <v>10.15</v>
      </c>
    </row>
    <row r="30" spans="1:12" ht="16" customHeight="1">
      <c r="A30" s="218"/>
      <c r="B30" s="219" t="s">
        <v>344</v>
      </c>
      <c r="C30" s="219">
        <v>1</v>
      </c>
      <c r="D30" s="219">
        <v>13</v>
      </c>
      <c r="E30" s="219">
        <v>8.5</v>
      </c>
      <c r="F30" s="219">
        <v>0.33</v>
      </c>
      <c r="G30" s="219"/>
      <c r="H30" s="220">
        <f t="shared" si="0"/>
        <v>36.47</v>
      </c>
      <c r="I30" s="219"/>
      <c r="J30" s="220">
        <f t="shared" si="6"/>
        <v>1.03</v>
      </c>
      <c r="K30" s="219" t="s">
        <v>168</v>
      </c>
      <c r="L30" s="220">
        <f t="shared" si="4"/>
        <v>11.18</v>
      </c>
    </row>
    <row r="31" spans="1:12" ht="16" customHeight="1">
      <c r="A31" s="218"/>
      <c r="B31" s="219"/>
      <c r="C31" s="219">
        <v>1</v>
      </c>
      <c r="D31" s="219">
        <v>13</v>
      </c>
      <c r="E31" s="219">
        <v>9.25</v>
      </c>
      <c r="F31" s="219">
        <v>0.33</v>
      </c>
      <c r="G31" s="219"/>
      <c r="H31" s="220">
        <f t="shared" si="0"/>
        <v>39.68</v>
      </c>
      <c r="I31" s="219"/>
      <c r="J31" s="220">
        <f t="shared" si="6"/>
        <v>1.1200000000000001</v>
      </c>
      <c r="K31" s="219" t="s">
        <v>168</v>
      </c>
      <c r="L31" s="220">
        <f t="shared" si="4"/>
        <v>12.3</v>
      </c>
    </row>
    <row r="32" spans="1:12" ht="16" customHeight="1">
      <c r="A32" s="221"/>
      <c r="B32" s="222" t="s">
        <v>356</v>
      </c>
      <c r="C32" s="222">
        <v>4</v>
      </c>
      <c r="D32" s="222">
        <v>12.5</v>
      </c>
      <c r="E32" s="222">
        <v>0.75</v>
      </c>
      <c r="F32" s="223">
        <f>14/12</f>
        <v>1.17</v>
      </c>
      <c r="G32" s="222"/>
      <c r="H32" s="222">
        <f t="shared" si="0"/>
        <v>43.875</v>
      </c>
      <c r="I32" s="222"/>
      <c r="J32" s="223">
        <f t="shared" si="6"/>
        <v>1.24</v>
      </c>
      <c r="K32" s="224">
        <f>SUM(J26:J32)</f>
        <v>3.95</v>
      </c>
      <c r="L32" s="225">
        <f t="shared" si="4"/>
        <v>13.54</v>
      </c>
    </row>
    <row r="33" spans="1:12" ht="16" customHeight="1">
      <c r="A33" s="226">
        <v>5</v>
      </c>
      <c r="B33" s="227" t="s">
        <v>157</v>
      </c>
      <c r="C33" s="227">
        <v>4</v>
      </c>
      <c r="D33" s="227">
        <v>1</v>
      </c>
      <c r="E33" s="227">
        <v>1</v>
      </c>
      <c r="F33" s="228">
        <f>14/12</f>
        <v>1.17</v>
      </c>
      <c r="G33" s="227"/>
      <c r="H33" s="227">
        <f t="shared" si="0"/>
        <v>4.68</v>
      </c>
      <c r="I33" s="227"/>
      <c r="J33" s="228">
        <f t="shared" si="6"/>
        <v>0.13</v>
      </c>
      <c r="K33" s="227" t="s">
        <v>168</v>
      </c>
      <c r="L33" s="228">
        <f t="shared" si="4"/>
        <v>13.67</v>
      </c>
    </row>
    <row r="34" spans="1:12" ht="16" customHeight="1">
      <c r="A34" s="218"/>
      <c r="B34" s="229" t="s">
        <v>362</v>
      </c>
      <c r="C34" s="219">
        <v>1</v>
      </c>
      <c r="D34" s="219">
        <v>8</v>
      </c>
      <c r="E34" s="219">
        <v>0.75</v>
      </c>
      <c r="F34" s="219">
        <v>1</v>
      </c>
      <c r="G34" s="219"/>
      <c r="H34" s="219">
        <f t="shared" si="0"/>
        <v>6</v>
      </c>
      <c r="I34" s="219"/>
      <c r="J34" s="220">
        <f t="shared" si="6"/>
        <v>0.17</v>
      </c>
      <c r="K34" s="219" t="s">
        <v>168</v>
      </c>
      <c r="L34" s="220">
        <f t="shared" si="4"/>
        <v>13.84</v>
      </c>
    </row>
    <row r="35" spans="1:12" ht="16" customHeight="1">
      <c r="A35" s="218"/>
      <c r="B35" s="219"/>
      <c r="C35" s="219">
        <v>1</v>
      </c>
      <c r="D35" s="219">
        <v>3.25</v>
      </c>
      <c r="E35" s="219">
        <v>0.75</v>
      </c>
      <c r="F35" s="219">
        <v>0.75</v>
      </c>
      <c r="G35" s="219"/>
      <c r="H35" s="220">
        <f t="shared" si="0"/>
        <v>1.83</v>
      </c>
      <c r="I35" s="219"/>
      <c r="J35" s="220">
        <f t="shared" si="6"/>
        <v>0.05</v>
      </c>
      <c r="K35" s="219" t="s">
        <v>168</v>
      </c>
      <c r="L35" s="220">
        <f t="shared" si="4"/>
        <v>13.89</v>
      </c>
    </row>
    <row r="36" spans="1:12" ht="16" customHeight="1">
      <c r="A36" s="221"/>
      <c r="B36" s="222"/>
      <c r="C36" s="222">
        <v>1</v>
      </c>
      <c r="D36" s="222">
        <v>9</v>
      </c>
      <c r="E36" s="222">
        <v>0.75</v>
      </c>
      <c r="F36" s="222">
        <v>1</v>
      </c>
      <c r="G36" s="222"/>
      <c r="H36" s="223">
        <f t="shared" si="0"/>
        <v>6.75</v>
      </c>
      <c r="I36" s="222"/>
      <c r="J36" s="223">
        <f t="shared" si="6"/>
        <v>0.19</v>
      </c>
      <c r="K36" s="224">
        <f>SUM(J33:J36)</f>
        <v>0.54</v>
      </c>
      <c r="L36" s="225">
        <f t="shared" si="4"/>
        <v>14.08</v>
      </c>
    </row>
    <row r="37" spans="1:12" ht="16" customHeight="1">
      <c r="A37" s="226">
        <v>6</v>
      </c>
      <c r="B37" s="227" t="s">
        <v>121</v>
      </c>
      <c r="C37" s="227"/>
      <c r="D37" s="227"/>
      <c r="E37" s="227"/>
      <c r="F37" s="227"/>
      <c r="G37" s="227"/>
      <c r="H37" s="227"/>
      <c r="I37" s="227"/>
      <c r="J37" s="227"/>
      <c r="K37" s="228"/>
      <c r="L37" s="228">
        <f t="shared" si="4"/>
        <v>14.08</v>
      </c>
    </row>
    <row r="38" spans="1:12" ht="16" customHeight="1">
      <c r="A38" s="218"/>
      <c r="B38" s="219" t="s">
        <v>157</v>
      </c>
      <c r="C38" s="219">
        <v>1</v>
      </c>
      <c r="D38" s="219">
        <v>0.75</v>
      </c>
      <c r="E38" s="219">
        <v>0.75</v>
      </c>
      <c r="F38" s="219">
        <v>4.5</v>
      </c>
      <c r="G38" s="219"/>
      <c r="H38" s="220">
        <f t="shared" ref="H38:H43" si="7">C38*D38*E38*F38</f>
        <v>2.5299999999999998</v>
      </c>
      <c r="I38" s="219"/>
      <c r="J38" s="220">
        <f t="shared" ref="J38:J43" si="8">H38/3.281/3.281/3.281</f>
        <v>7.0000000000000007E-2</v>
      </c>
      <c r="K38" s="219" t="s">
        <v>168</v>
      </c>
      <c r="L38" s="220">
        <f t="shared" si="4"/>
        <v>14.15</v>
      </c>
    </row>
    <row r="39" spans="1:12" ht="16" customHeight="1">
      <c r="A39" s="218"/>
      <c r="B39" s="219" t="s">
        <v>360</v>
      </c>
      <c r="C39" s="219">
        <v>1</v>
      </c>
      <c r="D39" s="219">
        <v>2.75</v>
      </c>
      <c r="E39" s="219">
        <v>0.75</v>
      </c>
      <c r="F39" s="219">
        <v>1</v>
      </c>
      <c r="G39" s="219"/>
      <c r="H39" s="220">
        <f t="shared" si="7"/>
        <v>2.06</v>
      </c>
      <c r="I39" s="219"/>
      <c r="J39" s="220">
        <f t="shared" si="8"/>
        <v>0.06</v>
      </c>
      <c r="K39" s="219" t="s">
        <v>168</v>
      </c>
      <c r="L39" s="220">
        <f t="shared" si="4"/>
        <v>14.21</v>
      </c>
    </row>
    <row r="40" spans="1:12" ht="16" customHeight="1">
      <c r="A40" s="218"/>
      <c r="B40" s="219" t="s">
        <v>361</v>
      </c>
      <c r="C40" s="219">
        <v>1</v>
      </c>
      <c r="D40" s="219">
        <v>16.5</v>
      </c>
      <c r="E40" s="219">
        <v>2.75</v>
      </c>
      <c r="F40" s="219">
        <v>0.42</v>
      </c>
      <c r="G40" s="219"/>
      <c r="H40" s="220">
        <f t="shared" si="7"/>
        <v>19.059999999999999</v>
      </c>
      <c r="I40" s="219"/>
      <c r="J40" s="220">
        <f t="shared" si="8"/>
        <v>0.54</v>
      </c>
      <c r="K40" s="219" t="s">
        <v>168</v>
      </c>
      <c r="L40" s="220">
        <f t="shared" si="4"/>
        <v>14.75</v>
      </c>
    </row>
    <row r="41" spans="1:12" ht="16" customHeight="1">
      <c r="A41" s="218"/>
      <c r="B41" s="219" t="s">
        <v>115</v>
      </c>
      <c r="C41" s="219">
        <v>1</v>
      </c>
      <c r="D41" s="219">
        <v>0.75</v>
      </c>
      <c r="E41" s="219">
        <f>2.75</f>
        <v>2.75</v>
      </c>
      <c r="F41" s="219">
        <f>6/12</f>
        <v>0.5</v>
      </c>
      <c r="G41" s="219"/>
      <c r="H41" s="220">
        <f t="shared" si="7"/>
        <v>1.03</v>
      </c>
      <c r="I41" s="219"/>
      <c r="J41" s="220">
        <f t="shared" si="8"/>
        <v>0.03</v>
      </c>
      <c r="K41" s="219" t="s">
        <v>168</v>
      </c>
      <c r="L41" s="220">
        <f t="shared" si="4"/>
        <v>14.78</v>
      </c>
    </row>
    <row r="42" spans="1:12" ht="16" customHeight="1">
      <c r="A42" s="218"/>
      <c r="B42" s="219"/>
      <c r="C42" s="219">
        <f>17*0.5</f>
        <v>8.5</v>
      </c>
      <c r="D42" s="219">
        <v>0.75</v>
      </c>
      <c r="E42" s="219">
        <f>2.75</f>
        <v>2.75</v>
      </c>
      <c r="F42" s="219">
        <f>7/12</f>
        <v>0.58333333333333304</v>
      </c>
      <c r="G42" s="219"/>
      <c r="H42" s="220">
        <f t="shared" si="7"/>
        <v>10.23</v>
      </c>
      <c r="I42" s="219"/>
      <c r="J42" s="220">
        <f t="shared" si="8"/>
        <v>0.28999999999999998</v>
      </c>
      <c r="K42" s="219" t="s">
        <v>168</v>
      </c>
      <c r="L42" s="220">
        <f t="shared" si="4"/>
        <v>15.07</v>
      </c>
    </row>
    <row r="43" spans="1:12" ht="16" customHeight="1">
      <c r="A43" s="221"/>
      <c r="B43" s="222"/>
      <c r="C43" s="222">
        <v>1</v>
      </c>
      <c r="D43" s="222">
        <v>0.25</v>
      </c>
      <c r="E43" s="222">
        <v>2.75</v>
      </c>
      <c r="F43" s="222">
        <f>7/12</f>
        <v>0.58333333333333304</v>
      </c>
      <c r="G43" s="222"/>
      <c r="H43" s="223">
        <f t="shared" si="7"/>
        <v>0.4</v>
      </c>
      <c r="I43" s="222"/>
      <c r="J43" s="223">
        <f t="shared" si="8"/>
        <v>0.01</v>
      </c>
      <c r="K43" s="224">
        <f>SUM(J38:J43)</f>
        <v>1</v>
      </c>
      <c r="L43" s="223">
        <f t="shared" si="4"/>
        <v>15.08</v>
      </c>
    </row>
    <row r="44" spans="1:12" ht="16" customHeight="1"/>
    <row r="46" spans="1:12">
      <c r="K46" s="211">
        <f>K43+K36+K32+K25+K17+K9</f>
        <v>15.08</v>
      </c>
    </row>
    <row r="48" spans="1:12">
      <c r="C48">
        <v>1</v>
      </c>
      <c r="D48">
        <v>5</v>
      </c>
      <c r="E48">
        <v>5</v>
      </c>
      <c r="F48">
        <v>0.25</v>
      </c>
      <c r="H48">
        <f>C48*D48*E48*F48</f>
        <v>6.25</v>
      </c>
      <c r="J48" s="211">
        <f>H48/3.281/3.281/3.281</f>
        <v>0.18</v>
      </c>
      <c r="K48" t="s">
        <v>168</v>
      </c>
    </row>
    <row r="51" spans="2:2">
      <c r="B51">
        <f>150</f>
        <v>150</v>
      </c>
    </row>
  </sheetData>
  <pageMargins left="0.5" right="0.25" top="0.25" bottom="0.2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2</vt:i4>
      </vt:variant>
    </vt:vector>
  </HeadingPairs>
  <TitlesOfParts>
    <vt:vector size="18" baseType="lpstr">
      <vt:lpstr>Material Rate</vt:lpstr>
      <vt:lpstr>ALL SUM</vt:lpstr>
      <vt:lpstr>SUM(Structure)</vt:lpstr>
      <vt:lpstr>BQ</vt:lpstr>
      <vt:lpstr>Detail-Skeleton</vt:lpstr>
      <vt:lpstr>SUM(Finishing)</vt:lpstr>
      <vt:lpstr>BQ-Finishing</vt:lpstr>
      <vt:lpstr>Detail-Finishing</vt:lpstr>
      <vt:lpstr>L-Rate</vt:lpstr>
      <vt:lpstr>Sheet2 (2)</vt:lpstr>
      <vt:lpstr>Sheet1</vt:lpstr>
      <vt:lpstr>Sheet2</vt:lpstr>
      <vt:lpstr>Lab</vt:lpstr>
      <vt:lpstr>Sheet4</vt:lpstr>
      <vt:lpstr>Paint Survey</vt:lpstr>
      <vt:lpstr>Slab Concrete</vt:lpstr>
      <vt:lpstr>BQ!Print_Titles</vt:lpstr>
      <vt:lpstr>'Detail-Skeleton'!Print_Titles</vt:lpstr>
    </vt:vector>
  </TitlesOfParts>
  <Company>Decent CompuTronics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 Kyaw Thu</dc:creator>
  <cp:lastModifiedBy>Nay Chi Nway</cp:lastModifiedBy>
  <cp:lastPrinted>2026-06-20T10:02:07Z</cp:lastPrinted>
  <dcterms:created xsi:type="dcterms:W3CDTF">2002-10-26T05:08:08Z</dcterms:created>
  <dcterms:modified xsi:type="dcterms:W3CDTF">2026-06-24T10:18:45Z</dcterms:modified>
</cp:coreProperties>
</file>
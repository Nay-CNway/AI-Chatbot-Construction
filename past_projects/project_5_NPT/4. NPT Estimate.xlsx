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ych\Downloads\Telegram Desktop\NPT Document\"/>
    </mc:Choice>
  </mc:AlternateContent>
  <xr:revisionPtr revIDLastSave="0" documentId="8_{557CA9DD-FFF7-45B5-AB5B-A50161507168}" xr6:coauthVersionLast="47" xr6:coauthVersionMax="47" xr10:uidLastSave="{00000000-0000-0000-0000-000000000000}"/>
  <bookViews>
    <workbookView xWindow="-110" yWindow="-110" windowWidth="25820" windowHeight="15500" tabRatio="796" activeTab="1" xr2:uid="{B415CE38-5E20-479A-BA6C-7943AEE8F67E}"/>
  </bookViews>
  <sheets>
    <sheet name="Rate" sheetId="26" r:id="rId1"/>
    <sheet name="SUM" sheetId="15" r:id="rId2"/>
    <sheet name="BQ " sheetId="14" r:id="rId3"/>
    <sheet name="ABS(M+L)" sheetId="8" r:id="rId4"/>
    <sheet name="Buil" sheetId="7" r:id="rId5"/>
    <sheet name="Detail" sheetId="13" r:id="rId6"/>
    <sheet name="T W Rate" sheetId="22" state="hidden" r:id="rId7"/>
    <sheet name="Roof" sheetId="17" state="hidden" r:id="rId8"/>
    <sheet name="POL Roof" sheetId="18" state="hidden" r:id="rId9"/>
    <sheet name="Sheet1" sheetId="16" state="hidden" r:id="rId10"/>
  </sheets>
  <externalReferences>
    <externalReference r:id="rId11"/>
  </externalReferences>
  <definedNames>
    <definedName name="_xlnm._FilterDatabase" localSheetId="4" hidden="1">Buil!$A$4:$G$326</definedName>
    <definedName name="_xlnm._FilterDatabase" localSheetId="5" hidden="1">Detail!$A$308:$I$481</definedName>
    <definedName name="_xlnm.Print_Titles" localSheetId="3">'ABS(M+L)'!$1:$5</definedName>
    <definedName name="_xlnm.Print_Titles" localSheetId="2">'BQ '!$1:$5</definedName>
    <definedName name="_xlnm.Print_Titles" localSheetId="4">Buil!$1:$6</definedName>
    <definedName name="_xlnm.Print_Titles" localSheetId="5">Detail!$1:$5</definedName>
  </definedNames>
  <calcPr calcId="191029" fullCalcOnLoad="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4" l="1"/>
  <c r="E8" i="14"/>
  <c r="E9" i="14"/>
  <c r="E10" i="14"/>
  <c r="E11" i="14"/>
  <c r="E41" i="7" s="1"/>
  <c r="E64" i="7" s="1"/>
  <c r="E12" i="14"/>
  <c r="E30" i="7"/>
  <c r="E13" i="14"/>
  <c r="F254" i="7"/>
  <c r="F29" i="14"/>
  <c r="E29" i="14"/>
  <c r="E254" i="7" s="1"/>
  <c r="H615" i="13"/>
  <c r="H616" i="13" s="1"/>
  <c r="D254" i="7" s="1"/>
  <c r="J484" i="13"/>
  <c r="J192" i="13"/>
  <c r="J186" i="13"/>
  <c r="F229" i="7"/>
  <c r="F37" i="14"/>
  <c r="E37" i="14"/>
  <c r="E229" i="7" s="1"/>
  <c r="D475" i="13"/>
  <c r="D473" i="13"/>
  <c r="D468" i="13"/>
  <c r="D466" i="13"/>
  <c r="D461" i="13"/>
  <c r="D459" i="13"/>
  <c r="D453" i="13"/>
  <c r="D451" i="13"/>
  <c r="D446" i="13"/>
  <c r="D444" i="13"/>
  <c r="D439" i="13"/>
  <c r="D437" i="13"/>
  <c r="D432" i="13"/>
  <c r="D430" i="13"/>
  <c r="D425" i="13"/>
  <c r="D423" i="13"/>
  <c r="D418" i="13"/>
  <c r="D416" i="13"/>
  <c r="D411" i="13"/>
  <c r="D409" i="13"/>
  <c r="D404" i="13"/>
  <c r="D402" i="13"/>
  <c r="D397" i="13"/>
  <c r="D395" i="13"/>
  <c r="D377" i="13"/>
  <c r="D375" i="13"/>
  <c r="C373" i="13"/>
  <c r="C374" i="13"/>
  <c r="B373" i="13"/>
  <c r="C282" i="13"/>
  <c r="B282" i="13"/>
  <c r="D243" i="13"/>
  <c r="D282" i="13"/>
  <c r="F20" i="14"/>
  <c r="E20" i="14"/>
  <c r="F19" i="14"/>
  <c r="E19" i="14"/>
  <c r="G148" i="7"/>
  <c r="F148" i="7"/>
  <c r="G147" i="7"/>
  <c r="F147" i="7"/>
  <c r="F14" i="14"/>
  <c r="E14" i="14"/>
  <c r="G99" i="7"/>
  <c r="F99" i="7"/>
  <c r="E15" i="14"/>
  <c r="E135" i="7" s="1"/>
  <c r="F15" i="14"/>
  <c r="F135" i="7"/>
  <c r="F34" i="14"/>
  <c r="E34" i="14"/>
  <c r="E259" i="7" s="1"/>
  <c r="F259" i="7"/>
  <c r="F10" i="14"/>
  <c r="E172" i="7"/>
  <c r="E42" i="14"/>
  <c r="E315" i="7" s="1"/>
  <c r="E41" i="14"/>
  <c r="E314" i="7" s="1"/>
  <c r="E40" i="14"/>
  <c r="E232" i="7"/>
  <c r="E39" i="14"/>
  <c r="E231" i="7" s="1"/>
  <c r="E38" i="14"/>
  <c r="E230" i="7"/>
  <c r="E36" i="14"/>
  <c r="E267" i="7" s="1"/>
  <c r="E35" i="14"/>
  <c r="E260" i="7" s="1"/>
  <c r="G260" i="7"/>
  <c r="E33" i="14"/>
  <c r="E258" i="7"/>
  <c r="E32" i="14"/>
  <c r="E257" i="7"/>
  <c r="E31" i="14"/>
  <c r="E256" i="7" s="1"/>
  <c r="E30" i="14"/>
  <c r="E255" i="7" s="1"/>
  <c r="E28" i="14"/>
  <c r="E240" i="7" s="1"/>
  <c r="E27" i="14"/>
  <c r="E239" i="7"/>
  <c r="E26" i="14"/>
  <c r="E86" i="7"/>
  <c r="E24" i="14"/>
  <c r="E85" i="7" s="1"/>
  <c r="E121" i="7" s="1"/>
  <c r="E23" i="14"/>
  <c r="E120" i="7"/>
  <c r="E159" i="7" s="1"/>
  <c r="E22" i="14"/>
  <c r="E207" i="7" s="1"/>
  <c r="E18" i="14"/>
  <c r="E15" i="7"/>
  <c r="E17" i="14"/>
  <c r="E14" i="7" s="1"/>
  <c r="E16" i="14"/>
  <c r="E75" i="7"/>
  <c r="E194" i="7" s="1"/>
  <c r="E42" i="7"/>
  <c r="E134" i="7"/>
  <c r="E184" i="7" s="1"/>
  <c r="E171" i="7"/>
  <c r="E182" i="7"/>
  <c r="E181" i="7"/>
  <c r="C192" i="13"/>
  <c r="G192" i="13" s="1"/>
  <c r="C191" i="13"/>
  <c r="G191" i="13" s="1"/>
  <c r="K183" i="13"/>
  <c r="K182" i="13"/>
  <c r="K181" i="13"/>
  <c r="J183" i="13"/>
  <c r="J184" i="13" s="1"/>
  <c r="J182" i="13"/>
  <c r="J181" i="13"/>
  <c r="J197" i="13"/>
  <c r="J196" i="13"/>
  <c r="J195" i="13"/>
  <c r="J194" i="13"/>
  <c r="J198" i="13" s="1"/>
  <c r="J199" i="13" s="1"/>
  <c r="J187" i="13"/>
  <c r="J188" i="13" s="1"/>
  <c r="E47" i="13"/>
  <c r="E46" i="13"/>
  <c r="E144" i="13"/>
  <c r="D145" i="13" s="1"/>
  <c r="E45" i="13"/>
  <c r="E12" i="17"/>
  <c r="A2" i="13"/>
  <c r="A1" i="13"/>
  <c r="A2" i="7"/>
  <c r="A1" i="7"/>
  <c r="A2" i="8"/>
  <c r="A1" i="8"/>
  <c r="F30" i="8"/>
  <c r="F34" i="7"/>
  <c r="F33" i="7"/>
  <c r="E34" i="7"/>
  <c r="E33" i="7"/>
  <c r="F12" i="14"/>
  <c r="E20" i="22"/>
  <c r="F20" i="22"/>
  <c r="E18" i="22"/>
  <c r="E16" i="22"/>
  <c r="F16" i="22" s="1"/>
  <c r="H16" i="22" s="1"/>
  <c r="E14" i="22"/>
  <c r="E12" i="22"/>
  <c r="E10" i="22"/>
  <c r="F10" i="22"/>
  <c r="E8" i="22"/>
  <c r="E6" i="22"/>
  <c r="F6" i="22"/>
  <c r="E21" i="22"/>
  <c r="F21" i="22" s="1"/>
  <c r="E19" i="22"/>
  <c r="E17" i="22"/>
  <c r="F17" i="22"/>
  <c r="E15" i="22"/>
  <c r="E13" i="22"/>
  <c r="E11" i="22"/>
  <c r="E9" i="22"/>
  <c r="F9" i="22"/>
  <c r="E7" i="22"/>
  <c r="F7" i="22" s="1"/>
  <c r="E5" i="22"/>
  <c r="F5" i="22"/>
  <c r="H5" i="22" s="1"/>
  <c r="E4" i="22"/>
  <c r="F19" i="22"/>
  <c r="F18" i="22"/>
  <c r="H18" i="22" s="1"/>
  <c r="F15" i="22"/>
  <c r="F11" i="22"/>
  <c r="F8" i="22"/>
  <c r="H8" i="22" s="1"/>
  <c r="F4" i="22"/>
  <c r="H4" i="22" s="1"/>
  <c r="D14" i="22"/>
  <c r="D12" i="22"/>
  <c r="D13" i="22" s="1"/>
  <c r="H381" i="13"/>
  <c r="G381" i="13"/>
  <c r="F106" i="13"/>
  <c r="F107" i="13" s="1"/>
  <c r="I14" i="7"/>
  <c r="J18" i="7"/>
  <c r="I13" i="7"/>
  <c r="C38" i="8"/>
  <c r="F38" i="8"/>
  <c r="D38" i="8"/>
  <c r="C37" i="8"/>
  <c r="F37" i="8" s="1"/>
  <c r="D37" i="8"/>
  <c r="C36" i="8"/>
  <c r="F36" i="8"/>
  <c r="D36" i="8"/>
  <c r="B236" i="7"/>
  <c r="D33" i="8" s="1"/>
  <c r="H68" i="17"/>
  <c r="D68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J6" i="18"/>
  <c r="J5" i="18"/>
  <c r="J4" i="18"/>
  <c r="P610" i="13"/>
  <c r="N608" i="13"/>
  <c r="N606" i="13"/>
  <c r="H7" i="17"/>
  <c r="J7" i="17"/>
  <c r="J9" i="17"/>
  <c r="H9" i="17" s="1"/>
  <c r="J8" i="17"/>
  <c r="H17" i="18"/>
  <c r="H14" i="18"/>
  <c r="D17" i="18"/>
  <c r="C17" i="18"/>
  <c r="D16" i="18"/>
  <c r="D15" i="18"/>
  <c r="C15" i="18"/>
  <c r="D14" i="18"/>
  <c r="C14" i="18"/>
  <c r="D13" i="18"/>
  <c r="C13" i="18"/>
  <c r="H13" i="18" s="1"/>
  <c r="D12" i="18"/>
  <c r="C12" i="18"/>
  <c r="H7" i="18"/>
  <c r="H6" i="18"/>
  <c r="H4" i="18"/>
  <c r="H3" i="18"/>
  <c r="H5" i="18"/>
  <c r="D2" i="18"/>
  <c r="H2" i="18" s="1"/>
  <c r="I290" i="7"/>
  <c r="I291" i="7"/>
  <c r="I132" i="7"/>
  <c r="I130" i="7"/>
  <c r="I131" i="7"/>
  <c r="E4" i="17"/>
  <c r="F40" i="14"/>
  <c r="F39" i="14"/>
  <c r="F38" i="14"/>
  <c r="E234" i="7"/>
  <c r="F231" i="7"/>
  <c r="D225" i="7"/>
  <c r="F230" i="7"/>
  <c r="F234" i="7"/>
  <c r="F232" i="7"/>
  <c r="C224" i="7"/>
  <c r="C32" i="8"/>
  <c r="F32" i="8" s="1"/>
  <c r="B224" i="7"/>
  <c r="D32" i="8" s="1"/>
  <c r="A224" i="7"/>
  <c r="A32" i="8"/>
  <c r="D600" i="13"/>
  <c r="H600" i="13" s="1"/>
  <c r="D599" i="13"/>
  <c r="D597" i="13"/>
  <c r="H597" i="13" s="1"/>
  <c r="C600" i="13"/>
  <c r="C599" i="13"/>
  <c r="E318" i="7"/>
  <c r="E309" i="7"/>
  <c r="E243" i="7"/>
  <c r="E221" i="7"/>
  <c r="E211" i="7"/>
  <c r="E198" i="7"/>
  <c r="E188" i="7"/>
  <c r="E175" i="7"/>
  <c r="E187" i="7"/>
  <c r="E197" i="7"/>
  <c r="E308" i="7"/>
  <c r="E296" i="7"/>
  <c r="E220" i="7"/>
  <c r="E186" i="7"/>
  <c r="E174" i="7"/>
  <c r="E137" i="7"/>
  <c r="E101" i="7"/>
  <c r="E67" i="7"/>
  <c r="E55" i="7"/>
  <c r="E44" i="7"/>
  <c r="F42" i="14"/>
  <c r="F41" i="14"/>
  <c r="F211" i="7"/>
  <c r="F210" i="7"/>
  <c r="F208" i="7"/>
  <c r="D208" i="7"/>
  <c r="F207" i="7"/>
  <c r="F206" i="7"/>
  <c r="F198" i="7"/>
  <c r="F197" i="7"/>
  <c r="F195" i="7"/>
  <c r="F194" i="7"/>
  <c r="F193" i="7"/>
  <c r="F188" i="7"/>
  <c r="F187" i="7"/>
  <c r="F186" i="7"/>
  <c r="F184" i="7"/>
  <c r="F183" i="7"/>
  <c r="F182" i="7"/>
  <c r="F181" i="7"/>
  <c r="C202" i="7"/>
  <c r="C203" i="7"/>
  <c r="B203" i="7"/>
  <c r="B202" i="7"/>
  <c r="B201" i="7"/>
  <c r="D30" i="8" s="1"/>
  <c r="C191" i="7"/>
  <c r="C29" i="8" s="1"/>
  <c r="F29" i="8" s="1"/>
  <c r="D29" i="8"/>
  <c r="C179" i="7"/>
  <c r="C28" i="8" s="1"/>
  <c r="F28" i="8" s="1"/>
  <c r="B179" i="7"/>
  <c r="B178" i="7"/>
  <c r="D27" i="8"/>
  <c r="A178" i="7"/>
  <c r="A27" i="8"/>
  <c r="E563" i="13"/>
  <c r="D565" i="13" s="1"/>
  <c r="E559" i="13"/>
  <c r="D561" i="13"/>
  <c r="E555" i="13"/>
  <c r="D557" i="13" s="1"/>
  <c r="H557" i="13" s="1"/>
  <c r="E551" i="13"/>
  <c r="D553" i="13"/>
  <c r="E547" i="13"/>
  <c r="D549" i="13" s="1"/>
  <c r="F533" i="13"/>
  <c r="F563" i="13" s="1"/>
  <c r="D533" i="13"/>
  <c r="D542" i="13"/>
  <c r="C533" i="13"/>
  <c r="C532" i="13"/>
  <c r="C531" i="13"/>
  <c r="B533" i="13"/>
  <c r="B532" i="13"/>
  <c r="B559" i="13" s="1"/>
  <c r="B531" i="13"/>
  <c r="B540" i="13" s="1"/>
  <c r="F529" i="13"/>
  <c r="F530" i="13"/>
  <c r="F539" i="13"/>
  <c r="C530" i="13"/>
  <c r="C529" i="13"/>
  <c r="C547" i="13"/>
  <c r="B530" i="13"/>
  <c r="B529" i="13"/>
  <c r="F309" i="7"/>
  <c r="F308" i="7"/>
  <c r="F306" i="7"/>
  <c r="F305" i="7"/>
  <c r="F304" i="7"/>
  <c r="F318" i="7"/>
  <c r="F316" i="7"/>
  <c r="F315" i="7"/>
  <c r="F314" i="7"/>
  <c r="C312" i="7"/>
  <c r="C44" i="8"/>
  <c r="F44" i="8"/>
  <c r="F175" i="7"/>
  <c r="F174" i="7"/>
  <c r="F172" i="7"/>
  <c r="F171" i="7"/>
  <c r="F170" i="7"/>
  <c r="F169" i="7"/>
  <c r="B312" i="7"/>
  <c r="D44" i="8" s="1"/>
  <c r="A312" i="7"/>
  <c r="A44" i="8"/>
  <c r="C301" i="7"/>
  <c r="C42" i="8" s="1"/>
  <c r="F42" i="8" s="1"/>
  <c r="B301" i="7"/>
  <c r="D42" i="8"/>
  <c r="F221" i="7"/>
  <c r="F220" i="7"/>
  <c r="F218" i="7"/>
  <c r="F217" i="7"/>
  <c r="C214" i="7"/>
  <c r="C31" i="8" s="1"/>
  <c r="F31" i="8" s="1"/>
  <c r="B214" i="7"/>
  <c r="D31" i="8" s="1"/>
  <c r="A214" i="7"/>
  <c r="A31" i="8" s="1"/>
  <c r="C166" i="7"/>
  <c r="C26" i="8" s="1"/>
  <c r="B166" i="7"/>
  <c r="D26" i="8"/>
  <c r="A166" i="7"/>
  <c r="A26" i="8"/>
  <c r="F795" i="13"/>
  <c r="D795" i="13"/>
  <c r="H795" i="13" s="1"/>
  <c r="G791" i="13"/>
  <c r="B785" i="13"/>
  <c r="F590" i="13"/>
  <c r="D590" i="13"/>
  <c r="H590" i="13" s="1"/>
  <c r="D589" i="13"/>
  <c r="H589" i="13" s="1"/>
  <c r="F587" i="13"/>
  <c r="D587" i="13"/>
  <c r="B587" i="13"/>
  <c r="B586" i="13"/>
  <c r="B585" i="13"/>
  <c r="B584" i="13"/>
  <c r="B583" i="13"/>
  <c r="F582" i="13"/>
  <c r="D582" i="13"/>
  <c r="C582" i="13"/>
  <c r="G582" i="13" s="1"/>
  <c r="F581" i="13"/>
  <c r="D581" i="13"/>
  <c r="G581" i="13" s="1"/>
  <c r="C581" i="13"/>
  <c r="F580" i="13"/>
  <c r="D580" i="13"/>
  <c r="C580" i="13"/>
  <c r="C579" i="13"/>
  <c r="G579" i="13" s="1"/>
  <c r="C578" i="13"/>
  <c r="G578" i="13" s="1"/>
  <c r="C577" i="13"/>
  <c r="G577" i="13"/>
  <c r="C576" i="13"/>
  <c r="G576" i="13"/>
  <c r="C575" i="13"/>
  <c r="G575" i="13"/>
  <c r="C574" i="13"/>
  <c r="G574" i="13"/>
  <c r="C573" i="13"/>
  <c r="G573" i="13"/>
  <c r="C572" i="13"/>
  <c r="G572" i="13"/>
  <c r="D727" i="13"/>
  <c r="H727" i="13" s="1"/>
  <c r="C33" i="14"/>
  <c r="C32" i="14"/>
  <c r="F32" i="14"/>
  <c r="C31" i="14"/>
  <c r="C8" i="17"/>
  <c r="B246" i="7"/>
  <c r="B245" i="7"/>
  <c r="D35" i="8"/>
  <c r="B237" i="7"/>
  <c r="D34" i="8"/>
  <c r="F258" i="7"/>
  <c r="F257" i="7"/>
  <c r="F256" i="7"/>
  <c r="G523" i="13"/>
  <c r="H513" i="13"/>
  <c r="H512" i="13"/>
  <c r="H508" i="13"/>
  <c r="H507" i="13"/>
  <c r="H506" i="13"/>
  <c r="H505" i="13"/>
  <c r="F501" i="13"/>
  <c r="F502" i="13"/>
  <c r="F584" i="13" s="1"/>
  <c r="F522" i="13"/>
  <c r="F586" i="13" s="1"/>
  <c r="F521" i="13"/>
  <c r="F585" i="13"/>
  <c r="G520" i="13"/>
  <c r="F519" i="13"/>
  <c r="G519" i="13"/>
  <c r="G518" i="13"/>
  <c r="G517" i="13"/>
  <c r="G516" i="13"/>
  <c r="D514" i="13"/>
  <c r="H514" i="13"/>
  <c r="D511" i="13"/>
  <c r="H511" i="13"/>
  <c r="D510" i="13"/>
  <c r="H510" i="13" s="1"/>
  <c r="D509" i="13"/>
  <c r="G500" i="13"/>
  <c r="G499" i="13"/>
  <c r="G498" i="13"/>
  <c r="G497" i="13"/>
  <c r="G496" i="13"/>
  <c r="G495" i="13"/>
  <c r="G494" i="13"/>
  <c r="D492" i="13"/>
  <c r="D490" i="13"/>
  <c r="D489" i="13"/>
  <c r="D488" i="13"/>
  <c r="D487" i="13"/>
  <c r="D486" i="13"/>
  <c r="D485" i="13"/>
  <c r="H485" i="13" s="1"/>
  <c r="F485" i="13"/>
  <c r="F486" i="13"/>
  <c r="F487" i="13" s="1"/>
  <c r="D723" i="13"/>
  <c r="D732" i="13" s="1"/>
  <c r="H732" i="13" s="1"/>
  <c r="H733" i="13" s="1"/>
  <c r="D726" i="13"/>
  <c r="H726" i="13"/>
  <c r="B248" i="7"/>
  <c r="C247" i="7"/>
  <c r="B247" i="7"/>
  <c r="C246" i="7"/>
  <c r="C255" i="7"/>
  <c r="F31" i="7"/>
  <c r="F30" i="7"/>
  <c r="F774" i="13"/>
  <c r="E774" i="13"/>
  <c r="E788" i="13" s="1"/>
  <c r="D774" i="13"/>
  <c r="D788" i="13" s="1"/>
  <c r="C774" i="13"/>
  <c r="H774" i="13" s="1"/>
  <c r="C788" i="13"/>
  <c r="H788" i="13" s="1"/>
  <c r="F773" i="13"/>
  <c r="E773" i="13"/>
  <c r="E787" i="13"/>
  <c r="D773" i="13"/>
  <c r="D787" i="13"/>
  <c r="C773" i="13"/>
  <c r="F772" i="13"/>
  <c r="E772" i="13"/>
  <c r="E786" i="13"/>
  <c r="D772" i="13"/>
  <c r="D786" i="13" s="1"/>
  <c r="C772" i="13"/>
  <c r="F759" i="13"/>
  <c r="D758" i="13"/>
  <c r="D771" i="13"/>
  <c r="D785" i="13" s="1"/>
  <c r="G224" i="13"/>
  <c r="H224" i="13"/>
  <c r="D221" i="13"/>
  <c r="D216" i="13"/>
  <c r="D211" i="13"/>
  <c r="D206" i="13"/>
  <c r="D201" i="13"/>
  <c r="D196" i="13"/>
  <c r="F219" i="13"/>
  <c r="D220" i="13"/>
  <c r="E219" i="13"/>
  <c r="D219" i="13"/>
  <c r="C219" i="13"/>
  <c r="C222" i="13" s="1"/>
  <c r="B219" i="13"/>
  <c r="F214" i="13"/>
  <c r="C217" i="13" s="1"/>
  <c r="E214" i="13"/>
  <c r="D217" i="13" s="1"/>
  <c r="G217" i="13" s="1"/>
  <c r="D214" i="13"/>
  <c r="C214" i="13"/>
  <c r="B214" i="13"/>
  <c r="B209" i="13"/>
  <c r="B204" i="13"/>
  <c r="B199" i="13"/>
  <c r="F209" i="13"/>
  <c r="D210" i="13" s="1"/>
  <c r="E209" i="13"/>
  <c r="D209" i="13"/>
  <c r="D212" i="13" s="1"/>
  <c r="C209" i="13"/>
  <c r="C210" i="13" s="1"/>
  <c r="C211" i="13"/>
  <c r="H211" i="13" s="1"/>
  <c r="F204" i="13"/>
  <c r="E204" i="13"/>
  <c r="D204" i="13"/>
  <c r="D207" i="13" s="1"/>
  <c r="C204" i="13"/>
  <c r="F199" i="13"/>
  <c r="D200" i="13"/>
  <c r="E199" i="13"/>
  <c r="D199" i="13"/>
  <c r="D202" i="13" s="1"/>
  <c r="G202" i="13" s="1"/>
  <c r="C199" i="13"/>
  <c r="C200" i="13"/>
  <c r="F194" i="13"/>
  <c r="D195" i="13"/>
  <c r="H195" i="13" s="1"/>
  <c r="E194" i="13"/>
  <c r="D194" i="13"/>
  <c r="F180" i="13"/>
  <c r="D180" i="13"/>
  <c r="C180" i="13"/>
  <c r="B180" i="13"/>
  <c r="F179" i="13"/>
  <c r="H179" i="13" s="1"/>
  <c r="D179" i="13"/>
  <c r="C179" i="13"/>
  <c r="B179" i="13"/>
  <c r="F178" i="13"/>
  <c r="D178" i="13"/>
  <c r="C178" i="13"/>
  <c r="B178" i="13"/>
  <c r="F177" i="13"/>
  <c r="D177" i="13"/>
  <c r="C177" i="13"/>
  <c r="B177" i="13"/>
  <c r="F176" i="13"/>
  <c r="D176" i="13"/>
  <c r="C176" i="13"/>
  <c r="B176" i="13"/>
  <c r="H165" i="13"/>
  <c r="H164" i="13"/>
  <c r="H163" i="13"/>
  <c r="H162" i="13"/>
  <c r="H161" i="13"/>
  <c r="C732" i="13"/>
  <c r="H718" i="13"/>
  <c r="H719" i="13"/>
  <c r="H717" i="13"/>
  <c r="H716" i="13"/>
  <c r="H715" i="13"/>
  <c r="H714" i="13"/>
  <c r="H713" i="13"/>
  <c r="H712" i="13"/>
  <c r="H720" i="13" s="1"/>
  <c r="D265" i="7" s="1"/>
  <c r="C707" i="13"/>
  <c r="D707" i="13"/>
  <c r="C701" i="13"/>
  <c r="H701" i="13"/>
  <c r="C700" i="13"/>
  <c r="H700" i="13"/>
  <c r="D698" i="13"/>
  <c r="H698" i="13" s="1"/>
  <c r="D699" i="13"/>
  <c r="C699" i="13"/>
  <c r="C697" i="13"/>
  <c r="H697" i="13" s="1"/>
  <c r="H684" i="13"/>
  <c r="D695" i="13"/>
  <c r="H695" i="13" s="1"/>
  <c r="D694" i="13"/>
  <c r="H694" i="13"/>
  <c r="D693" i="13"/>
  <c r="H693" i="13" s="1"/>
  <c r="D692" i="13"/>
  <c r="H692" i="13"/>
  <c r="D691" i="13"/>
  <c r="H691" i="13"/>
  <c r="D690" i="13"/>
  <c r="H690" i="13"/>
  <c r="D689" i="13"/>
  <c r="H689" i="13"/>
  <c r="D688" i="13"/>
  <c r="H688" i="13"/>
  <c r="D687" i="13"/>
  <c r="H687" i="13" s="1"/>
  <c r="D686" i="13"/>
  <c r="H686" i="13"/>
  <c r="D685" i="13"/>
  <c r="H685" i="13" s="1"/>
  <c r="H679" i="13"/>
  <c r="H678" i="13"/>
  <c r="H677" i="13"/>
  <c r="H676" i="13"/>
  <c r="H674" i="13"/>
  <c r="H673" i="13"/>
  <c r="H672" i="13"/>
  <c r="H671" i="13"/>
  <c r="H670" i="13"/>
  <c r="H669" i="13"/>
  <c r="H666" i="13"/>
  <c r="H652" i="13"/>
  <c r="H653" i="13"/>
  <c r="H665" i="13"/>
  <c r="H664" i="13"/>
  <c r="H667" i="13"/>
  <c r="H663" i="13"/>
  <c r="H662" i="13"/>
  <c r="H661" i="13"/>
  <c r="H660" i="13"/>
  <c r="H659" i="13"/>
  <c r="H658" i="13"/>
  <c r="H656" i="13"/>
  <c r="H655" i="13"/>
  <c r="H654" i="13"/>
  <c r="H651" i="13"/>
  <c r="H650" i="13"/>
  <c r="H649" i="13"/>
  <c r="H648" i="13"/>
  <c r="H647" i="13"/>
  <c r="H645" i="13"/>
  <c r="H643" i="13"/>
  <c r="H644" i="13"/>
  <c r="H635" i="13"/>
  <c r="H634" i="13"/>
  <c r="H631" i="13"/>
  <c r="H630" i="13"/>
  <c r="D633" i="13"/>
  <c r="H633" i="13" s="1"/>
  <c r="D632" i="13"/>
  <c r="H632" i="13" s="1"/>
  <c r="H628" i="13"/>
  <c r="H627" i="13"/>
  <c r="H626" i="13"/>
  <c r="D622" i="13"/>
  <c r="H622" i="13" s="1"/>
  <c r="D621" i="13"/>
  <c r="H621" i="13" s="1"/>
  <c r="D619" i="13"/>
  <c r="H619" i="13"/>
  <c r="H610" i="13"/>
  <c r="H609" i="13"/>
  <c r="D608" i="13"/>
  <c r="H608" i="13"/>
  <c r="H611" i="13" s="1"/>
  <c r="D237" i="7" s="1"/>
  <c r="H607" i="13"/>
  <c r="D606" i="13"/>
  <c r="H606" i="13" s="1"/>
  <c r="B59" i="7"/>
  <c r="A59" i="7"/>
  <c r="A12" i="8" s="1"/>
  <c r="C28" i="7"/>
  <c r="B28" i="7"/>
  <c r="A28" i="7"/>
  <c r="A9" i="8" s="1"/>
  <c r="H28" i="16"/>
  <c r="H27" i="16"/>
  <c r="H26" i="16"/>
  <c r="H25" i="16"/>
  <c r="H24" i="16"/>
  <c r="H23" i="16"/>
  <c r="H22" i="16"/>
  <c r="H21" i="16"/>
  <c r="H20" i="16"/>
  <c r="H29" i="16" s="1"/>
  <c r="K29" i="16"/>
  <c r="B3" i="16"/>
  <c r="B2" i="16"/>
  <c r="H17" i="16"/>
  <c r="H14" i="16"/>
  <c r="H13" i="16"/>
  <c r="H12" i="16"/>
  <c r="H11" i="16"/>
  <c r="H10" i="16"/>
  <c r="H9" i="16"/>
  <c r="H8" i="16"/>
  <c r="H7" i="16"/>
  <c r="H15" i="16" s="1"/>
  <c r="E147" i="13"/>
  <c r="D148" i="13"/>
  <c r="D147" i="13"/>
  <c r="B131" i="13"/>
  <c r="B137" i="13"/>
  <c r="B147" i="13" s="1"/>
  <c r="F136" i="13"/>
  <c r="D144" i="13"/>
  <c r="B130" i="13"/>
  <c r="B136" i="13" s="1"/>
  <c r="B144" i="13" s="1"/>
  <c r="F141" i="13"/>
  <c r="D141" i="13"/>
  <c r="B129" i="13"/>
  <c r="B135" i="13" s="1"/>
  <c r="H478" i="13"/>
  <c r="G478" i="13"/>
  <c r="D390" i="13"/>
  <c r="D388" i="13"/>
  <c r="D371" i="13"/>
  <c r="D369" i="13"/>
  <c r="D365" i="13"/>
  <c r="D363" i="13"/>
  <c r="D358" i="13"/>
  <c r="G358" i="13" s="1"/>
  <c r="D356" i="13"/>
  <c r="D350" i="13"/>
  <c r="D348" i="13"/>
  <c r="D343" i="13"/>
  <c r="D341" i="13"/>
  <c r="D336" i="13"/>
  <c r="D334" i="13"/>
  <c r="D329" i="13"/>
  <c r="D327" i="13"/>
  <c r="D322" i="13"/>
  <c r="D320" i="13"/>
  <c r="C471" i="13"/>
  <c r="C472" i="13" s="1"/>
  <c r="B471" i="13"/>
  <c r="C464" i="13"/>
  <c r="C467" i="13"/>
  <c r="C468" i="13" s="1"/>
  <c r="G468" i="13" s="1"/>
  <c r="B464" i="13"/>
  <c r="F457" i="13"/>
  <c r="C457" i="13"/>
  <c r="C458" i="13" s="1"/>
  <c r="C460" i="13"/>
  <c r="B457" i="13"/>
  <c r="B456" i="13"/>
  <c r="C449" i="13"/>
  <c r="B449" i="13"/>
  <c r="C442" i="13"/>
  <c r="B442" i="13"/>
  <c r="D435" i="13"/>
  <c r="D438" i="13"/>
  <c r="G438" i="13" s="1"/>
  <c r="C435" i="13"/>
  <c r="C438" i="13"/>
  <c r="B435" i="13"/>
  <c r="D428" i="13"/>
  <c r="C428" i="13"/>
  <c r="B428" i="13"/>
  <c r="C421" i="13"/>
  <c r="C424" i="13"/>
  <c r="B421" i="13"/>
  <c r="C414" i="13"/>
  <c r="B414" i="13"/>
  <c r="C407" i="13"/>
  <c r="C408" i="13"/>
  <c r="B407" i="13"/>
  <c r="D400" i="13"/>
  <c r="D403" i="13"/>
  <c r="C400" i="13"/>
  <c r="B400" i="13"/>
  <c r="C393" i="13"/>
  <c r="C394" i="13"/>
  <c r="B393" i="13"/>
  <c r="F386" i="13"/>
  <c r="C386" i="13"/>
  <c r="C387" i="13" s="1"/>
  <c r="B386" i="13"/>
  <c r="B385" i="13"/>
  <c r="B384" i="13"/>
  <c r="C367" i="13"/>
  <c r="C368" i="13"/>
  <c r="B367" i="13"/>
  <c r="C361" i="13"/>
  <c r="C362" i="13"/>
  <c r="B361" i="13"/>
  <c r="F354" i="13"/>
  <c r="D359" i="13" s="1"/>
  <c r="E354" i="13"/>
  <c r="C354" i="13"/>
  <c r="C357" i="13"/>
  <c r="B354" i="13"/>
  <c r="F353" i="13"/>
  <c r="E353" i="13"/>
  <c r="D353" i="13"/>
  <c r="C353" i="13"/>
  <c r="B353" i="13"/>
  <c r="F346" i="13"/>
  <c r="E346" i="13"/>
  <c r="D351" i="13" s="1"/>
  <c r="D346" i="13"/>
  <c r="C348" i="13" s="1"/>
  <c r="G348" i="13" s="1"/>
  <c r="C346" i="13"/>
  <c r="C349" i="13"/>
  <c r="B346" i="13"/>
  <c r="F339" i="13"/>
  <c r="E339" i="13"/>
  <c r="C339" i="13"/>
  <c r="C342" i="13"/>
  <c r="B339" i="13"/>
  <c r="C332" i="13"/>
  <c r="C335" i="13"/>
  <c r="B332" i="13"/>
  <c r="F325" i="13"/>
  <c r="E325" i="13"/>
  <c r="D330" i="13" s="1"/>
  <c r="C325" i="13"/>
  <c r="C328" i="13" s="1"/>
  <c r="C326" i="13"/>
  <c r="B325" i="13"/>
  <c r="C318" i="13"/>
  <c r="C323" i="13" s="1"/>
  <c r="C319" i="13"/>
  <c r="B318" i="13"/>
  <c r="B311" i="13"/>
  <c r="B310" i="13"/>
  <c r="C301" i="13"/>
  <c r="B301" i="13"/>
  <c r="C300" i="13"/>
  <c r="B300" i="13"/>
  <c r="C299" i="13"/>
  <c r="B299" i="13"/>
  <c r="F298" i="13"/>
  <c r="D298" i="13"/>
  <c r="C298" i="13"/>
  <c r="B298" i="13"/>
  <c r="C297" i="13"/>
  <c r="B297" i="13"/>
  <c r="C296" i="13"/>
  <c r="B296" i="13"/>
  <c r="D295" i="13"/>
  <c r="C295" i="13"/>
  <c r="B295" i="13"/>
  <c r="D294" i="13"/>
  <c r="C294" i="13"/>
  <c r="B294" i="13"/>
  <c r="C293" i="13"/>
  <c r="B293" i="13"/>
  <c r="C292" i="13"/>
  <c r="B292" i="13"/>
  <c r="C291" i="13"/>
  <c r="B291" i="13"/>
  <c r="D290" i="13"/>
  <c r="C290" i="13"/>
  <c r="B290" i="13"/>
  <c r="C289" i="13"/>
  <c r="B289" i="13"/>
  <c r="C288" i="13"/>
  <c r="B288" i="13"/>
  <c r="B287" i="13"/>
  <c r="B286" i="13"/>
  <c r="C283" i="13"/>
  <c r="C281" i="13"/>
  <c r="B281" i="13"/>
  <c r="C280" i="13"/>
  <c r="B280" i="13"/>
  <c r="F279" i="13"/>
  <c r="C279" i="13"/>
  <c r="B279" i="13"/>
  <c r="B278" i="13"/>
  <c r="C277" i="13"/>
  <c r="F276" i="13"/>
  <c r="D276" i="13"/>
  <c r="C276" i="13"/>
  <c r="F275" i="13"/>
  <c r="C275" i="13"/>
  <c r="B275" i="13"/>
  <c r="C274" i="13"/>
  <c r="B274" i="13"/>
  <c r="F273" i="13"/>
  <c r="C273" i="13"/>
  <c r="H273" i="13" s="1"/>
  <c r="B273" i="13"/>
  <c r="C272" i="13"/>
  <c r="B272" i="13"/>
  <c r="C271" i="13"/>
  <c r="H271" i="13" s="1"/>
  <c r="B271" i="13"/>
  <c r="B270" i="13"/>
  <c r="D261" i="13"/>
  <c r="F260" i="13"/>
  <c r="D260" i="13"/>
  <c r="D464" i="13"/>
  <c r="D465" i="13" s="1"/>
  <c r="E259" i="13"/>
  <c r="E457" i="13" s="1"/>
  <c r="D462" i="13" s="1"/>
  <c r="D259" i="13"/>
  <c r="D299" i="13"/>
  <c r="F248" i="13"/>
  <c r="F249" i="13"/>
  <c r="E247" i="13"/>
  <c r="F288" i="13" s="1"/>
  <c r="E386" i="13"/>
  <c r="D391" i="13" s="1"/>
  <c r="G264" i="13"/>
  <c r="D256" i="13"/>
  <c r="D255" i="13"/>
  <c r="D296" i="13" s="1"/>
  <c r="D252" i="13"/>
  <c r="D421" i="13"/>
  <c r="D251" i="13"/>
  <c r="D414" i="13"/>
  <c r="D250" i="13"/>
  <c r="D248" i="13"/>
  <c r="D289" i="13" s="1"/>
  <c r="D393" i="13"/>
  <c r="D247" i="13"/>
  <c r="D242" i="13"/>
  <c r="D241" i="13"/>
  <c r="D280" i="13" s="1"/>
  <c r="D240" i="13"/>
  <c r="H240" i="13"/>
  <c r="H237" i="13"/>
  <c r="D236" i="13"/>
  <c r="D275" i="13" s="1"/>
  <c r="D339" i="13"/>
  <c r="C341" i="13" s="1"/>
  <c r="F235" i="13"/>
  <c r="F332" i="13"/>
  <c r="E235" i="13"/>
  <c r="D235" i="13"/>
  <c r="D332" i="13"/>
  <c r="C336" i="13" s="1"/>
  <c r="G336" i="13" s="1"/>
  <c r="D234" i="13"/>
  <c r="D273" i="13" s="1"/>
  <c r="E233" i="13"/>
  <c r="E318" i="13"/>
  <c r="D323" i="13" s="1"/>
  <c r="D232" i="13"/>
  <c r="D271" i="13" s="1"/>
  <c r="D311" i="13"/>
  <c r="F232" i="13"/>
  <c r="F311" i="13" s="1"/>
  <c r="C194" i="13"/>
  <c r="C195" i="13"/>
  <c r="C196" i="13" s="1"/>
  <c r="H196" i="13" s="1"/>
  <c r="B194" i="13"/>
  <c r="B193" i="13"/>
  <c r="D188" i="13"/>
  <c r="F186" i="13"/>
  <c r="D187" i="13"/>
  <c r="B186" i="13"/>
  <c r="F175" i="13"/>
  <c r="H175" i="13" s="1"/>
  <c r="D175" i="13"/>
  <c r="C175" i="13"/>
  <c r="B175" i="13"/>
  <c r="F173" i="13"/>
  <c r="B173" i="13"/>
  <c r="B172" i="13"/>
  <c r="B171" i="13"/>
  <c r="B170" i="13"/>
  <c r="D120" i="13"/>
  <c r="D118" i="13"/>
  <c r="D117" i="13"/>
  <c r="D116" i="13"/>
  <c r="D115" i="13"/>
  <c r="D114" i="13"/>
  <c r="D113" i="13"/>
  <c r="D112" i="13"/>
  <c r="D122" i="13" s="1"/>
  <c r="D763" i="13" s="1"/>
  <c r="G763" i="13" s="1"/>
  <c r="D111" i="13"/>
  <c r="D110" i="13"/>
  <c r="D109" i="13"/>
  <c r="D108" i="13"/>
  <c r="E107" i="13"/>
  <c r="E108" i="13" s="1"/>
  <c r="D107" i="13"/>
  <c r="D106" i="13"/>
  <c r="D102" i="13"/>
  <c r="D100" i="13"/>
  <c r="D99" i="13"/>
  <c r="D98" i="13"/>
  <c r="D97" i="13"/>
  <c r="D96" i="13"/>
  <c r="D95" i="13"/>
  <c r="D94" i="13"/>
  <c r="D93" i="13"/>
  <c r="D92" i="13"/>
  <c r="D91" i="13"/>
  <c r="D90" i="13"/>
  <c r="F89" i="13"/>
  <c r="E89" i="13"/>
  <c r="E90" i="13"/>
  <c r="D89" i="13"/>
  <c r="H89" i="13" s="1"/>
  <c r="D88" i="13"/>
  <c r="H88" i="13"/>
  <c r="E71" i="13"/>
  <c r="E72" i="13"/>
  <c r="E73" i="13"/>
  <c r="D85" i="13"/>
  <c r="D83" i="13"/>
  <c r="D82" i="13"/>
  <c r="D81" i="13"/>
  <c r="D80" i="13"/>
  <c r="D79" i="13"/>
  <c r="D78" i="13"/>
  <c r="D77" i="13"/>
  <c r="D76" i="13"/>
  <c r="D75" i="13"/>
  <c r="D74" i="13"/>
  <c r="D73" i="13"/>
  <c r="F72" i="13"/>
  <c r="F73" i="13"/>
  <c r="F74" i="13" s="1"/>
  <c r="F75" i="13" s="1"/>
  <c r="F76" i="13" s="1"/>
  <c r="F77" i="13" s="1"/>
  <c r="F78" i="13" s="1"/>
  <c r="F79" i="13" s="1"/>
  <c r="F80" i="13" s="1"/>
  <c r="F81" i="13"/>
  <c r="D72" i="13"/>
  <c r="D71" i="13"/>
  <c r="H71" i="13" s="1"/>
  <c r="D64" i="13"/>
  <c r="D62" i="13"/>
  <c r="D61" i="13"/>
  <c r="D59" i="13"/>
  <c r="D58" i="13"/>
  <c r="D57" i="13"/>
  <c r="D56" i="13"/>
  <c r="D55" i="13"/>
  <c r="D54" i="13"/>
  <c r="D53" i="13"/>
  <c r="D52" i="13"/>
  <c r="D51" i="13"/>
  <c r="D50" i="13"/>
  <c r="H50" i="13"/>
  <c r="D60" i="13"/>
  <c r="F51" i="13"/>
  <c r="F52" i="13" s="1"/>
  <c r="F60" i="13" s="1"/>
  <c r="F61" i="13" s="1"/>
  <c r="F62" i="13" s="1"/>
  <c r="E51" i="13"/>
  <c r="E52" i="13" s="1"/>
  <c r="C40" i="13"/>
  <c r="C41" i="13" s="1"/>
  <c r="C39" i="13"/>
  <c r="H39" i="13"/>
  <c r="C38" i="13"/>
  <c r="H38" i="13"/>
  <c r="D32" i="13"/>
  <c r="D28" i="13"/>
  <c r="G34" i="13"/>
  <c r="D27" i="13"/>
  <c r="D26" i="13"/>
  <c r="D25" i="13"/>
  <c r="D24" i="13"/>
  <c r="D23" i="13"/>
  <c r="D22" i="13"/>
  <c r="D21" i="13"/>
  <c r="K17" i="13"/>
  <c r="D20" i="13"/>
  <c r="F19" i="13"/>
  <c r="E19" i="13"/>
  <c r="E20" i="13" s="1"/>
  <c r="D19" i="13"/>
  <c r="H19" i="13" s="1"/>
  <c r="D18" i="13"/>
  <c r="H18" i="13" s="1"/>
  <c r="F13" i="13"/>
  <c r="H13" i="13" s="1"/>
  <c r="C16" i="13"/>
  <c r="E9" i="13"/>
  <c r="D9" i="13"/>
  <c r="E6" i="13"/>
  <c r="D6" i="13"/>
  <c r="H6" i="13" s="1"/>
  <c r="J6" i="7"/>
  <c r="I5" i="7"/>
  <c r="J5" i="7"/>
  <c r="I7" i="7"/>
  <c r="K13" i="13"/>
  <c r="H642" i="13"/>
  <c r="H641" i="13"/>
  <c r="H640" i="13"/>
  <c r="H624" i="13"/>
  <c r="H623" i="13"/>
  <c r="H620" i="13"/>
  <c r="H636" i="13" s="1"/>
  <c r="I637" i="13" s="1"/>
  <c r="D246" i="7" s="1"/>
  <c r="D255" i="7" s="1"/>
  <c r="G255" i="7" s="1"/>
  <c r="A321" i="7"/>
  <c r="A46" i="8" s="1"/>
  <c r="C41" i="8"/>
  <c r="F41" i="8" s="1"/>
  <c r="D41" i="8"/>
  <c r="D40" i="8"/>
  <c r="C35" i="8"/>
  <c r="F35" i="8" s="1"/>
  <c r="C34" i="8"/>
  <c r="F34" i="8" s="1"/>
  <c r="A236" i="7"/>
  <c r="A33" i="8"/>
  <c r="F765" i="13"/>
  <c r="C765" i="13"/>
  <c r="C777" i="13" s="1"/>
  <c r="F763" i="13"/>
  <c r="E262" i="7"/>
  <c r="E18" i="7"/>
  <c r="E78" i="7" s="1"/>
  <c r="E150" i="7"/>
  <c r="E45" i="7"/>
  <c r="E102" i="7"/>
  <c r="E323" i="7"/>
  <c r="C15" i="17"/>
  <c r="C36" i="14"/>
  <c r="F36" i="14" s="1"/>
  <c r="E263" i="7"/>
  <c r="C35" i="14"/>
  <c r="C11" i="17" s="1"/>
  <c r="C28" i="14"/>
  <c r="F28" i="14" s="1"/>
  <c r="C27" i="14"/>
  <c r="C5" i="17" s="1"/>
  <c r="A281" i="7"/>
  <c r="A39" i="8" s="1"/>
  <c r="F771" i="13"/>
  <c r="F779" i="13" s="1"/>
  <c r="F780" i="13"/>
  <c r="C771" i="13"/>
  <c r="H771" i="13" s="1"/>
  <c r="E771" i="13"/>
  <c r="E785" i="13"/>
  <c r="A271" i="7"/>
  <c r="A37" i="8"/>
  <c r="F269" i="7"/>
  <c r="F267" i="7"/>
  <c r="F263" i="7"/>
  <c r="F262" i="7"/>
  <c r="F260" i="7"/>
  <c r="F243" i="7"/>
  <c r="F242" i="7"/>
  <c r="F240" i="7"/>
  <c r="F239" i="7"/>
  <c r="H711" i="13"/>
  <c r="H625" i="13"/>
  <c r="L618" i="13"/>
  <c r="A127" i="7"/>
  <c r="A22" i="8"/>
  <c r="A92" i="7"/>
  <c r="A17" i="8"/>
  <c r="D315" i="13"/>
  <c r="D313" i="13"/>
  <c r="E241" i="13"/>
  <c r="D233" i="13"/>
  <c r="A49" i="7"/>
  <c r="A11" i="8" s="1"/>
  <c r="A37" i="7"/>
  <c r="A10" i="8"/>
  <c r="A23" i="7"/>
  <c r="A8" i="8" s="1"/>
  <c r="A12" i="7"/>
  <c r="A7" i="7"/>
  <c r="C158" i="13"/>
  <c r="C173" i="13"/>
  <c r="C186" i="13"/>
  <c r="C47" i="13"/>
  <c r="C46" i="13"/>
  <c r="C130" i="13" s="1"/>
  <c r="C45" i="13"/>
  <c r="L13" i="13"/>
  <c r="C9" i="13"/>
  <c r="C171" i="13"/>
  <c r="E311" i="13"/>
  <c r="C311" i="13"/>
  <c r="C314" i="13" s="1"/>
  <c r="E9" i="7"/>
  <c r="E17" i="7"/>
  <c r="F51" i="14"/>
  <c r="F50" i="14"/>
  <c r="F49" i="14"/>
  <c r="F48" i="14"/>
  <c r="F47" i="14"/>
  <c r="F46" i="14"/>
  <c r="F26" i="14"/>
  <c r="F24" i="14"/>
  <c r="F23" i="14"/>
  <c r="F22" i="14"/>
  <c r="F18" i="14"/>
  <c r="F17" i="14"/>
  <c r="F16" i="14"/>
  <c r="F13" i="14"/>
  <c r="F11" i="14"/>
  <c r="F9" i="14"/>
  <c r="F8" i="14"/>
  <c r="F7" i="14"/>
  <c r="F159" i="7"/>
  <c r="F160" i="7"/>
  <c r="F46" i="8"/>
  <c r="F40" i="8"/>
  <c r="F25" i="8"/>
  <c r="F24" i="8"/>
  <c r="F23" i="8"/>
  <c r="F20" i="8"/>
  <c r="F19" i="8"/>
  <c r="F18" i="8"/>
  <c r="F15" i="8"/>
  <c r="F14" i="8"/>
  <c r="F13" i="8"/>
  <c r="F11" i="8"/>
  <c r="F323" i="7"/>
  <c r="F298" i="7"/>
  <c r="F297" i="7"/>
  <c r="F296" i="7"/>
  <c r="F294" i="7"/>
  <c r="F293" i="7"/>
  <c r="F292" i="7"/>
  <c r="F291" i="7"/>
  <c r="F286" i="7"/>
  <c r="F284" i="7"/>
  <c r="F278" i="7"/>
  <c r="F273" i="7"/>
  <c r="F164" i="7"/>
  <c r="F163" i="7"/>
  <c r="F161" i="7"/>
  <c r="F151" i="7"/>
  <c r="F150" i="7"/>
  <c r="F146" i="7"/>
  <c r="F145" i="7"/>
  <c r="F144" i="7"/>
  <c r="F139" i="7"/>
  <c r="F138" i="7"/>
  <c r="F137" i="7"/>
  <c r="F134" i="7"/>
  <c r="F133" i="7"/>
  <c r="F132" i="7"/>
  <c r="F131" i="7"/>
  <c r="F120" i="7"/>
  <c r="F125" i="7"/>
  <c r="F124" i="7"/>
  <c r="F122" i="7"/>
  <c r="F121" i="7"/>
  <c r="F113" i="7"/>
  <c r="F112" i="7"/>
  <c r="F110" i="7"/>
  <c r="F109" i="7"/>
  <c r="F108" i="7"/>
  <c r="F103" i="7"/>
  <c r="F102" i="7"/>
  <c r="F101" i="7"/>
  <c r="F98" i="7"/>
  <c r="F97" i="7"/>
  <c r="F96" i="7"/>
  <c r="F95" i="7"/>
  <c r="F89" i="7"/>
  <c r="F88" i="7"/>
  <c r="F86" i="7"/>
  <c r="F85" i="7"/>
  <c r="F79" i="7"/>
  <c r="F78" i="7"/>
  <c r="F76" i="7"/>
  <c r="F75" i="7"/>
  <c r="F74" i="7"/>
  <c r="F69" i="7"/>
  <c r="F68" i="7"/>
  <c r="F67" i="7"/>
  <c r="F65" i="7"/>
  <c r="F64" i="7"/>
  <c r="F63" i="7"/>
  <c r="F62" i="7"/>
  <c r="F56" i="7"/>
  <c r="F55" i="7"/>
  <c r="F53" i="7"/>
  <c r="F52" i="7"/>
  <c r="F51" i="7"/>
  <c r="F41" i="7"/>
  <c r="F42" i="7"/>
  <c r="F46" i="7"/>
  <c r="F45" i="7"/>
  <c r="F44" i="7"/>
  <c r="F40" i="7"/>
  <c r="F39" i="7"/>
  <c r="F25" i="7"/>
  <c r="F19" i="7"/>
  <c r="F18" i="7"/>
  <c r="F17" i="7"/>
  <c r="F15" i="7"/>
  <c r="F14" i="7"/>
  <c r="F9" i="7"/>
  <c r="F10" i="8"/>
  <c r="F8" i="8"/>
  <c r="F7" i="8"/>
  <c r="F6" i="8"/>
  <c r="H15" i="13"/>
  <c r="D158" i="13"/>
  <c r="D173" i="13" s="1"/>
  <c r="H173" i="13" s="1"/>
  <c r="H14" i="13"/>
  <c r="D765" i="13"/>
  <c r="G765" i="13" s="1"/>
  <c r="D777" i="13"/>
  <c r="H160" i="13"/>
  <c r="E158" i="13"/>
  <c r="E765" i="13"/>
  <c r="G65" i="13"/>
  <c r="C156" i="13"/>
  <c r="F171" i="13"/>
  <c r="D171" i="13"/>
  <c r="H155" i="13"/>
  <c r="J155" i="13" s="1"/>
  <c r="E186" i="13"/>
  <c r="D186" i="13"/>
  <c r="G123" i="13"/>
  <c r="F241" i="13"/>
  <c r="F361" i="13" s="1"/>
  <c r="F137" i="13"/>
  <c r="F147" i="13"/>
  <c r="F144" i="13"/>
  <c r="F135" i="13"/>
  <c r="B35" i="8"/>
  <c r="D262" i="7"/>
  <c r="G262" i="7"/>
  <c r="D263" i="7"/>
  <c r="G263" i="7" s="1"/>
  <c r="E210" i="7"/>
  <c r="E88" i="7"/>
  <c r="E124" i="7"/>
  <c r="E269" i="7"/>
  <c r="E242" i="7"/>
  <c r="F777" i="13"/>
  <c r="I382" i="7"/>
  <c r="H20" i="22"/>
  <c r="F12" i="22"/>
  <c r="F14" i="22"/>
  <c r="H14" i="22"/>
  <c r="H10" i="22"/>
  <c r="F13" i="22"/>
  <c r="F10" i="17"/>
  <c r="F8" i="17"/>
  <c r="F5" i="17"/>
  <c r="F9" i="17"/>
  <c r="F12" i="17"/>
  <c r="D137" i="13"/>
  <c r="D136" i="13"/>
  <c r="E141" i="13"/>
  <c r="D142" i="13"/>
  <c r="D135" i="13"/>
  <c r="I15" i="7"/>
  <c r="D13" i="17"/>
  <c r="G13" i="17"/>
  <c r="D15" i="17"/>
  <c r="G15" i="17" s="1"/>
  <c r="D16" i="17"/>
  <c r="G16" i="17" s="1"/>
  <c r="C14" i="17"/>
  <c r="D14" i="17"/>
  <c r="G14" i="17"/>
  <c r="C16" i="17"/>
  <c r="C13" i="17"/>
  <c r="C422" i="13"/>
  <c r="C425" i="13"/>
  <c r="C389" i="13"/>
  <c r="C410" i="13"/>
  <c r="C396" i="13"/>
  <c r="D424" i="13"/>
  <c r="G424" i="13"/>
  <c r="D467" i="13"/>
  <c r="C426" i="13"/>
  <c r="C450" i="13"/>
  <c r="C452" i="13"/>
  <c r="C415" i="13"/>
  <c r="C417" i="13"/>
  <c r="C474" i="13"/>
  <c r="C475" i="13" s="1"/>
  <c r="G475" i="13" s="1"/>
  <c r="C401" i="13"/>
  <c r="C403" i="13"/>
  <c r="C404" i="13"/>
  <c r="G404" i="13"/>
  <c r="G425" i="13"/>
  <c r="C443" i="13"/>
  <c r="C445" i="13"/>
  <c r="C205" i="13"/>
  <c r="C206" i="13"/>
  <c r="H206" i="13"/>
  <c r="H234" i="13"/>
  <c r="F393" i="13"/>
  <c r="D394" i="13"/>
  <c r="G394" i="13" s="1"/>
  <c r="D222" i="13"/>
  <c r="G222" i="13" s="1"/>
  <c r="D292" i="13"/>
  <c r="D300" i="13"/>
  <c r="D293" i="13"/>
  <c r="D314" i="13"/>
  <c r="G314" i="13" s="1"/>
  <c r="H707" i="13"/>
  <c r="H708" i="13" s="1"/>
  <c r="D249" i="7" s="1"/>
  <c r="D258" i="7" s="1"/>
  <c r="G258" i="7" s="1"/>
  <c r="H699" i="13"/>
  <c r="C197" i="13"/>
  <c r="D325" i="13"/>
  <c r="E260" i="13"/>
  <c r="F300" i="13" s="1"/>
  <c r="H587" i="13"/>
  <c r="H723" i="13"/>
  <c r="H724" i="13" s="1"/>
  <c r="F583" i="13"/>
  <c r="H106" i="13"/>
  <c r="H758" i="13"/>
  <c r="D344" i="13"/>
  <c r="F299" i="13"/>
  <c r="C727" i="13"/>
  <c r="H171" i="13"/>
  <c r="F551" i="13"/>
  <c r="F547" i="13"/>
  <c r="C321" i="13"/>
  <c r="D373" i="13"/>
  <c r="F531" i="13"/>
  <c r="H531" i="13" s="1"/>
  <c r="F540" i="13"/>
  <c r="H236" i="13"/>
  <c r="E248" i="13"/>
  <c r="H248" i="13"/>
  <c r="F538" i="13"/>
  <c r="N610" i="13"/>
  <c r="P611" i="13"/>
  <c r="C340" i="13"/>
  <c r="D189" i="13"/>
  <c r="D190" i="13"/>
  <c r="D361" i="13"/>
  <c r="C365" i="13" s="1"/>
  <c r="G365" i="13" s="1"/>
  <c r="D297" i="13"/>
  <c r="D449" i="13"/>
  <c r="D301" i="13"/>
  <c r="D471" i="13"/>
  <c r="C202" i="13"/>
  <c r="C785" i="13"/>
  <c r="H785" i="13"/>
  <c r="F261" i="13"/>
  <c r="F471" i="13" s="1"/>
  <c r="D472" i="13" s="1"/>
  <c r="G472" i="13" s="1"/>
  <c r="F464" i="13"/>
  <c r="D563" i="13"/>
  <c r="D226" i="7"/>
  <c r="H599" i="13"/>
  <c r="I601" i="13" s="1"/>
  <c r="D230" i="7" s="1"/>
  <c r="G230" i="7" s="1"/>
  <c r="E332" i="13"/>
  <c r="D337" i="13"/>
  <c r="F274" i="13"/>
  <c r="D442" i="13"/>
  <c r="D347" i="13"/>
  <c r="G347" i="13" s="1"/>
  <c r="C215" i="13"/>
  <c r="C216" i="13" s="1"/>
  <c r="H216" i="13" s="1"/>
  <c r="C347" i="13"/>
  <c r="D262" i="13"/>
  <c r="C370" i="13"/>
  <c r="C343" i="13"/>
  <c r="G343" i="13"/>
  <c r="D272" i="13"/>
  <c r="M233" i="13"/>
  <c r="H232" i="13"/>
  <c r="F233" i="13"/>
  <c r="H233" i="13" s="1"/>
  <c r="F271" i="13"/>
  <c r="F542" i="13"/>
  <c r="D227" i="7"/>
  <c r="H47" i="13"/>
  <c r="C131" i="13"/>
  <c r="D521" i="13"/>
  <c r="H509" i="13"/>
  <c r="D318" i="13"/>
  <c r="C322" i="13" s="1"/>
  <c r="E777" i="13"/>
  <c r="C316" i="13"/>
  <c r="C189" i="13"/>
  <c r="C190" i="13" s="1"/>
  <c r="C187" i="13"/>
  <c r="D279" i="13"/>
  <c r="H279" i="13" s="1"/>
  <c r="D354" i="13"/>
  <c r="C358" i="13" s="1"/>
  <c r="D357" i="13"/>
  <c r="G357" i="13" s="1"/>
  <c r="D457" i="13"/>
  <c r="C333" i="13"/>
  <c r="C351" i="13"/>
  <c r="C364" i="13"/>
  <c r="C355" i="13"/>
  <c r="C356" i="13"/>
  <c r="G356" i="13"/>
  <c r="G403" i="13"/>
  <c r="D474" i="13"/>
  <c r="G474" i="13" s="1"/>
  <c r="D460" i="13"/>
  <c r="G460" i="13"/>
  <c r="C459" i="13"/>
  <c r="G459" i="13" s="1"/>
  <c r="C462" i="13"/>
  <c r="D458" i="13"/>
  <c r="G458" i="13"/>
  <c r="C461" i="13"/>
  <c r="G461" i="13"/>
  <c r="D445" i="13"/>
  <c r="G445" i="13" s="1"/>
  <c r="C476" i="13"/>
  <c r="C447" i="13"/>
  <c r="H260" i="13"/>
  <c r="H351" i="13"/>
  <c r="C330" i="13"/>
  <c r="H330" i="13" s="1"/>
  <c r="D376" i="13"/>
  <c r="C320" i="13"/>
  <c r="D321" i="13"/>
  <c r="D522" i="13"/>
  <c r="D585" i="13"/>
  <c r="H585" i="13"/>
  <c r="G521" i="13"/>
  <c r="D531" i="13"/>
  <c r="D540" i="13"/>
  <c r="D564" i="13"/>
  <c r="F318" i="13"/>
  <c r="D319" i="13" s="1"/>
  <c r="G319" i="13" s="1"/>
  <c r="G321" i="13"/>
  <c r="D586" i="13"/>
  <c r="H586" i="13"/>
  <c r="E218" i="7"/>
  <c r="E53" i="7"/>
  <c r="E292" i="7"/>
  <c r="E40" i="7"/>
  <c r="E52" i="7"/>
  <c r="E63" i="7" s="1"/>
  <c r="E170" i="7"/>
  <c r="C12" i="17"/>
  <c r="F242" i="13"/>
  <c r="H241" i="13"/>
  <c r="C359" i="13"/>
  <c r="F82" i="13"/>
  <c r="F83" i="13" s="1"/>
  <c r="F90" i="13"/>
  <c r="F20" i="13"/>
  <c r="F21" i="13"/>
  <c r="F22" i="13"/>
  <c r="F23" i="13" s="1"/>
  <c r="F24" i="13" s="1"/>
  <c r="F25" i="13" s="1"/>
  <c r="F91" i="13"/>
  <c r="F92" i="13"/>
  <c r="F93" i="13"/>
  <c r="F94" i="13" s="1"/>
  <c r="F95" i="13" s="1"/>
  <c r="F96" i="13"/>
  <c r="F97" i="13"/>
  <c r="F98" i="13"/>
  <c r="F99" i="13" s="1"/>
  <c r="F28" i="13"/>
  <c r="E76" i="7"/>
  <c r="E110" i="7"/>
  <c r="E39" i="7"/>
  <c r="E284" i="7"/>
  <c r="E96" i="7"/>
  <c r="E306" i="7"/>
  <c r="E132" i="7"/>
  <c r="E305" i="7"/>
  <c r="E31" i="7"/>
  <c r="C6" i="17"/>
  <c r="E69" i="7"/>
  <c r="F31" i="14"/>
  <c r="E19" i="7"/>
  <c r="E113" i="7"/>
  <c r="E278" i="7"/>
  <c r="E98" i="7"/>
  <c r="E163" i="7"/>
  <c r="E146" i="7"/>
  <c r="E145" i="7"/>
  <c r="E51" i="7"/>
  <c r="C9" i="8"/>
  <c r="E109" i="7"/>
  <c r="E112" i="7"/>
  <c r="E98" i="13"/>
  <c r="E99" i="13" s="1"/>
  <c r="E91" i="13"/>
  <c r="E116" i="13"/>
  <c r="E117" i="13" s="1"/>
  <c r="E118" i="13" s="1"/>
  <c r="D119" i="13" s="1"/>
  <c r="E109" i="13"/>
  <c r="E110" i="13"/>
  <c r="H110" i="13" s="1"/>
  <c r="E111" i="13"/>
  <c r="E112" i="13"/>
  <c r="E113" i="13" s="1"/>
  <c r="E114" i="13" s="1"/>
  <c r="E115" i="13"/>
  <c r="H177" i="13"/>
  <c r="B555" i="13"/>
  <c r="D555" i="13"/>
  <c r="D556" i="13"/>
  <c r="C538" i="13"/>
  <c r="F53" i="13"/>
  <c r="F54" i="13" s="1"/>
  <c r="F55" i="13"/>
  <c r="F56" i="13" s="1"/>
  <c r="F57" i="13"/>
  <c r="F58" i="13" s="1"/>
  <c r="F59" i="13" s="1"/>
  <c r="H73" i="13"/>
  <c r="H90" i="13"/>
  <c r="H72" i="13"/>
  <c r="H20" i="13"/>
  <c r="B141" i="13"/>
  <c r="D9" i="8"/>
  <c r="D355" i="13"/>
  <c r="G355" i="13"/>
  <c r="D231" i="7"/>
  <c r="H276" i="13"/>
  <c r="H298" i="13"/>
  <c r="F29" i="13"/>
  <c r="F30" i="13" s="1"/>
  <c r="F32" i="13" s="1"/>
  <c r="F100" i="13"/>
  <c r="F108" i="13"/>
  <c r="F116" i="13" s="1"/>
  <c r="F117" i="13" s="1"/>
  <c r="H107" i="13"/>
  <c r="E119" i="13"/>
  <c r="H51" i="13"/>
  <c r="B547" i="13"/>
  <c r="B538" i="13"/>
  <c r="C551" i="13"/>
  <c r="C552" i="13" s="1"/>
  <c r="C539" i="13"/>
  <c r="D28" i="8"/>
  <c r="C555" i="13"/>
  <c r="C556" i="13" s="1"/>
  <c r="C540" i="13"/>
  <c r="H359" i="13"/>
  <c r="H487" i="13"/>
  <c r="F488" i="13"/>
  <c r="H488" i="13" s="1"/>
  <c r="H275" i="13"/>
  <c r="C559" i="13"/>
  <c r="C560" i="13" s="1"/>
  <c r="C541" i="13"/>
  <c r="E242" i="13"/>
  <c r="B551" i="13"/>
  <c r="B539" i="13"/>
  <c r="E291" i="7"/>
  <c r="E131" i="7"/>
  <c r="E95" i="7"/>
  <c r="E316" i="7"/>
  <c r="E120" i="13"/>
  <c r="E121" i="13" s="1"/>
  <c r="E92" i="13"/>
  <c r="H91" i="13"/>
  <c r="F26" i="13"/>
  <c r="F27" i="13" s="1"/>
  <c r="F489" i="13"/>
  <c r="C557" i="13"/>
  <c r="F109" i="13"/>
  <c r="F110" i="13" s="1"/>
  <c r="F111" i="13" s="1"/>
  <c r="E93" i="13"/>
  <c r="H109" i="13"/>
  <c r="E94" i="13"/>
  <c r="E95" i="13" s="1"/>
  <c r="E96" i="13" s="1"/>
  <c r="F112" i="13"/>
  <c r="F113" i="13" s="1"/>
  <c r="H111" i="13"/>
  <c r="J36" i="14"/>
  <c r="F35" i="14"/>
  <c r="D39" i="14"/>
  <c r="G39" i="14" s="1"/>
  <c r="G231" i="7"/>
  <c r="C9" i="17"/>
  <c r="E97" i="7"/>
  <c r="E293" i="7"/>
  <c r="G592" i="13" l="1"/>
  <c r="B34" i="8"/>
  <c r="D239" i="7"/>
  <c r="G239" i="7" s="1"/>
  <c r="D242" i="7"/>
  <c r="G242" i="7" s="1"/>
  <c r="D240" i="7"/>
  <c r="D243" i="7"/>
  <c r="G243" i="7" s="1"/>
  <c r="F114" i="13"/>
  <c r="H113" i="13"/>
  <c r="C431" i="13"/>
  <c r="C432" i="13" s="1"/>
  <c r="G432" i="13" s="1"/>
  <c r="C429" i="13"/>
  <c r="C430" i="13" s="1"/>
  <c r="G430" i="13" s="1"/>
  <c r="C433" i="13"/>
  <c r="G467" i="13"/>
  <c r="E243" i="13"/>
  <c r="E367" i="13"/>
  <c r="F281" i="13"/>
  <c r="G189" i="13"/>
  <c r="C16" i="18"/>
  <c r="H16" i="18" s="1"/>
  <c r="H15" i="18"/>
  <c r="E65" i="7"/>
  <c r="E294" i="7"/>
  <c r="F255" i="7"/>
  <c r="C30" i="14"/>
  <c r="E206" i="7"/>
  <c r="D431" i="13"/>
  <c r="H791" i="13"/>
  <c r="H792" i="13" s="1"/>
  <c r="D301" i="7" s="1"/>
  <c r="D291" i="13"/>
  <c r="D407" i="13"/>
  <c r="E208" i="7"/>
  <c r="G208" i="7" s="1"/>
  <c r="E122" i="7"/>
  <c r="E161" i="7"/>
  <c r="D33" i="14"/>
  <c r="H67" i="17"/>
  <c r="H69" i="17" s="1"/>
  <c r="H71" i="17" s="1"/>
  <c r="C129" i="13"/>
  <c r="H45" i="13"/>
  <c r="C48" i="13"/>
  <c r="H247" i="13"/>
  <c r="D263" i="13"/>
  <c r="D257" i="13"/>
  <c r="D386" i="13"/>
  <c r="D288" i="13"/>
  <c r="H288" i="13" s="1"/>
  <c r="F118" i="13"/>
  <c r="H117" i="13"/>
  <c r="E144" i="7"/>
  <c r="E108" i="7"/>
  <c r="E74" i="7"/>
  <c r="H759" i="13"/>
  <c r="F760" i="13"/>
  <c r="E100" i="13"/>
  <c r="H100" i="13" s="1"/>
  <c r="H99" i="13"/>
  <c r="H176" i="13"/>
  <c r="D29" i="14"/>
  <c r="G29" i="14" s="1"/>
  <c r="G254" i="7"/>
  <c r="H12" i="22"/>
  <c r="G766" i="13"/>
  <c r="H112" i="13"/>
  <c r="H158" i="13"/>
  <c r="H166" i="13" s="1"/>
  <c r="H167" i="13" s="1"/>
  <c r="D93" i="7" s="1"/>
  <c r="H489" i="13"/>
  <c r="F490" i="13"/>
  <c r="F400" i="13"/>
  <c r="D401" i="13" s="1"/>
  <c r="G401" i="13" s="1"/>
  <c r="F250" i="13"/>
  <c r="D12" i="8"/>
  <c r="D28" i="14"/>
  <c r="D30" i="14"/>
  <c r="D35" i="14"/>
  <c r="D31" i="14"/>
  <c r="D36" i="14"/>
  <c r="C786" i="13"/>
  <c r="H786" i="13" s="1"/>
  <c r="H772" i="13"/>
  <c r="H781" i="13" s="1"/>
  <c r="B36" i="8"/>
  <c r="D269" i="7"/>
  <c r="G269" i="7" s="1"/>
  <c r="H130" i="13"/>
  <c r="C136" i="13"/>
  <c r="E68" i="7"/>
  <c r="E297" i="7"/>
  <c r="E138" i="7"/>
  <c r="F289" i="13"/>
  <c r="E393" i="13"/>
  <c r="D398" i="13" s="1"/>
  <c r="E249" i="13"/>
  <c r="C188" i="13"/>
  <c r="H187" i="13"/>
  <c r="F243" i="13"/>
  <c r="F373" i="13" s="1"/>
  <c r="D374" i="13" s="1"/>
  <c r="G374" i="13" s="1"/>
  <c r="F367" i="13"/>
  <c r="D284" i="13"/>
  <c r="G284" i="13" s="1"/>
  <c r="G304" i="13" s="1"/>
  <c r="E97" i="13"/>
  <c r="H97" i="13" s="1"/>
  <c r="H96" i="13"/>
  <c r="D267" i="7"/>
  <c r="G267" i="7" s="1"/>
  <c r="E298" i="7"/>
  <c r="D367" i="13"/>
  <c r="D281" i="13"/>
  <c r="D244" i="13"/>
  <c r="H242" i="13"/>
  <c r="D205" i="13"/>
  <c r="H205" i="13" s="1"/>
  <c r="C207" i="13"/>
  <c r="G207" i="13" s="1"/>
  <c r="C419" i="13"/>
  <c r="D417" i="13"/>
  <c r="G417" i="13" s="1"/>
  <c r="C418" i="13"/>
  <c r="G418" i="13" s="1"/>
  <c r="H131" i="13"/>
  <c r="C137" i="13"/>
  <c r="C329" i="13"/>
  <c r="G329" i="13" s="1"/>
  <c r="C327" i="13"/>
  <c r="G327" i="13" s="1"/>
  <c r="D328" i="13"/>
  <c r="G328" i="13" s="1"/>
  <c r="D326" i="13"/>
  <c r="G326" i="13" s="1"/>
  <c r="E60" i="13"/>
  <c r="E53" i="13"/>
  <c r="C402" i="13"/>
  <c r="G402" i="13" s="1"/>
  <c r="C405" i="13"/>
  <c r="C439" i="13"/>
  <c r="G439" i="13" s="1"/>
  <c r="H703" i="13"/>
  <c r="H704" i="13" s="1"/>
  <c r="D248" i="7" s="1"/>
  <c r="D257" i="7" s="1"/>
  <c r="H210" i="13"/>
  <c r="K8" i="18"/>
  <c r="K9" i="18" s="1"/>
  <c r="C9" i="18"/>
  <c r="E5" i="17" s="1"/>
  <c r="C416" i="13"/>
  <c r="G416" i="13" s="1"/>
  <c r="F63" i="13"/>
  <c r="F64" i="13"/>
  <c r="H323" i="13"/>
  <c r="C366" i="13"/>
  <c r="H728" i="13"/>
  <c r="H729" i="13" s="1"/>
  <c r="C563" i="13"/>
  <c r="C542" i="13"/>
  <c r="H542" i="13" s="1"/>
  <c r="H533" i="13"/>
  <c r="H108" i="13"/>
  <c r="G320" i="13"/>
  <c r="H680" i="13"/>
  <c r="H681" i="13" s="1"/>
  <c r="D247" i="7" s="1"/>
  <c r="D256" i="7" s="1"/>
  <c r="G256" i="7" s="1"/>
  <c r="C787" i="13"/>
  <c r="H787" i="13" s="1"/>
  <c r="H773" i="13"/>
  <c r="E79" i="7"/>
  <c r="E89" i="7"/>
  <c r="E139" i="7"/>
  <c r="E103" i="7"/>
  <c r="E273" i="7"/>
  <c r="E286" i="7"/>
  <c r="E125" i="7"/>
  <c r="E56" i="7"/>
  <c r="E151" i="7"/>
  <c r="E25" i="7"/>
  <c r="H188" i="13"/>
  <c r="E164" i="7"/>
  <c r="H98" i="13"/>
  <c r="H93" i="13"/>
  <c r="C375" i="13"/>
  <c r="G375" i="13" s="1"/>
  <c r="E81" i="13"/>
  <c r="E74" i="13"/>
  <c r="H116" i="13"/>
  <c r="C350" i="13"/>
  <c r="G350" i="13" s="1"/>
  <c r="D349" i="13"/>
  <c r="G349" i="13" s="1"/>
  <c r="H200" i="13"/>
  <c r="C201" i="13"/>
  <c r="H201" i="13" s="1"/>
  <c r="E133" i="7"/>
  <c r="E195" i="7"/>
  <c r="H602" i="13"/>
  <c r="D224" i="7" s="1"/>
  <c r="I598" i="13"/>
  <c r="D229" i="7" s="1"/>
  <c r="G229" i="7" s="1"/>
  <c r="E160" i="7"/>
  <c r="H462" i="13"/>
  <c r="H540" i="13"/>
  <c r="B541" i="13"/>
  <c r="E361" i="13"/>
  <c r="D366" i="13" s="1"/>
  <c r="F280" i="13"/>
  <c r="H280" i="13" s="1"/>
  <c r="H799" i="13"/>
  <c r="H800" i="13" s="1"/>
  <c r="D321" i="7" s="1"/>
  <c r="H7" i="13"/>
  <c r="D7" i="7" s="1"/>
  <c r="D20" i="14"/>
  <c r="G20" i="14" s="1"/>
  <c r="D34" i="14"/>
  <c r="G34" i="14" s="1"/>
  <c r="D27" i="14"/>
  <c r="D38" i="14"/>
  <c r="G38" i="14" s="1"/>
  <c r="D14" i="14"/>
  <c r="G14" i="14" s="1"/>
  <c r="D19" i="14"/>
  <c r="G19" i="14" s="1"/>
  <c r="D333" i="13"/>
  <c r="G333" i="13" s="1"/>
  <c r="C337" i="13"/>
  <c r="H337" i="13" s="1"/>
  <c r="C334" i="13"/>
  <c r="G334" i="13" s="1"/>
  <c r="D335" i="13"/>
  <c r="G335" i="13" s="1"/>
  <c r="H180" i="13"/>
  <c r="H796" i="13"/>
  <c r="D312" i="7"/>
  <c r="F555" i="13"/>
  <c r="F532" i="13"/>
  <c r="H235" i="13"/>
  <c r="D274" i="13"/>
  <c r="H274" i="13" s="1"/>
  <c r="D238" i="13"/>
  <c r="B542" i="13"/>
  <c r="B563" i="13"/>
  <c r="C453" i="13"/>
  <c r="G453" i="13" s="1"/>
  <c r="C451" i="13"/>
  <c r="G451" i="13" s="1"/>
  <c r="D452" i="13"/>
  <c r="G452" i="13" s="1"/>
  <c r="C363" i="13"/>
  <c r="D362" i="13"/>
  <c r="G362" i="13" s="1"/>
  <c r="D364" i="13"/>
  <c r="G364" i="13" s="1"/>
  <c r="H92" i="13"/>
  <c r="G556" i="13"/>
  <c r="E46" i="7"/>
  <c r="F85" i="13"/>
  <c r="F86" i="13" s="1"/>
  <c r="F84" i="13"/>
  <c r="C454" i="13"/>
  <c r="H9" i="13"/>
  <c r="H52" i="13"/>
  <c r="C548" i="13"/>
  <c r="C444" i="13"/>
  <c r="C446" i="13"/>
  <c r="G446" i="13" s="1"/>
  <c r="E21" i="13"/>
  <c r="E22" i="13" s="1"/>
  <c r="E28" i="13"/>
  <c r="F272" i="13"/>
  <c r="H272" i="13" s="1"/>
  <c r="F101" i="13"/>
  <c r="F102" i="13"/>
  <c r="F103" i="13" s="1"/>
  <c r="E217" i="7"/>
  <c r="E169" i="7"/>
  <c r="E304" i="7"/>
  <c r="E62" i="7"/>
  <c r="J524" i="13"/>
  <c r="J525" i="13" s="1"/>
  <c r="G190" i="13"/>
  <c r="J190" i="13" s="1"/>
  <c r="H300" i="13"/>
  <c r="G777" i="13"/>
  <c r="H178" i="13"/>
  <c r="H181" i="13" s="1"/>
  <c r="H182" i="13" s="1"/>
  <c r="D106" i="7" s="1"/>
  <c r="H221" i="13"/>
  <c r="E261" i="13"/>
  <c r="E464" i="13"/>
  <c r="D469" i="13" s="1"/>
  <c r="C312" i="13"/>
  <c r="C313" i="13" s="1"/>
  <c r="G313" i="13" s="1"/>
  <c r="H21" i="13"/>
  <c r="H94" i="13"/>
  <c r="C465" i="13"/>
  <c r="C469" i="13"/>
  <c r="G363" i="13"/>
  <c r="D532" i="13"/>
  <c r="G522" i="13"/>
  <c r="J8" i="7"/>
  <c r="H95" i="13"/>
  <c r="C423" i="13"/>
  <c r="G423" i="13" s="1"/>
  <c r="H6" i="22"/>
  <c r="G444" i="13"/>
  <c r="C440" i="13"/>
  <c r="C436" i="13"/>
  <c r="C437" i="13" s="1"/>
  <c r="G437" i="13" s="1"/>
  <c r="C10" i="17"/>
  <c r="F33" i="14"/>
  <c r="G580" i="13"/>
  <c r="H12" i="18"/>
  <c r="H41" i="13"/>
  <c r="H42" i="13" s="1"/>
  <c r="D28" i="7" s="1"/>
  <c r="C315" i="13"/>
  <c r="G315" i="13" s="1"/>
  <c r="D312" i="13"/>
  <c r="G322" i="13"/>
  <c r="D215" i="13"/>
  <c r="H215" i="13" s="1"/>
  <c r="C378" i="13"/>
  <c r="C376" i="13"/>
  <c r="C377" i="13" s="1"/>
  <c r="G377" i="13" s="1"/>
  <c r="D316" i="13"/>
  <c r="H316" i="13" s="1"/>
  <c r="F27" i="14"/>
  <c r="H40" i="13"/>
  <c r="C397" i="13"/>
  <c r="C398" i="13"/>
  <c r="H398" i="13" s="1"/>
  <c r="C395" i="13"/>
  <c r="G395" i="13" s="1"/>
  <c r="D396" i="13"/>
  <c r="G396" i="13" s="1"/>
  <c r="D197" i="13"/>
  <c r="G197" i="13" s="1"/>
  <c r="C220" i="13"/>
  <c r="C221" i="13" s="1"/>
  <c r="H486" i="13"/>
  <c r="G397" i="13"/>
  <c r="C473" i="13"/>
  <c r="G473" i="13" s="1"/>
  <c r="H289" i="13"/>
  <c r="H299" i="13"/>
  <c r="G341" i="13"/>
  <c r="C212" i="13"/>
  <c r="G212" i="13" s="1"/>
  <c r="D501" i="13"/>
  <c r="H46" i="13"/>
  <c r="C391" i="13"/>
  <c r="H391" i="13" s="1"/>
  <c r="H259" i="13"/>
  <c r="D340" i="13"/>
  <c r="G340" i="13" s="1"/>
  <c r="D342" i="13"/>
  <c r="G342" i="13" s="1"/>
  <c r="C344" i="13"/>
  <c r="H344" i="13" s="1"/>
  <c r="B19" i="8" l="1"/>
  <c r="I109" i="7"/>
  <c r="D110" i="7"/>
  <c r="G110" i="7" s="1"/>
  <c r="D113" i="7"/>
  <c r="G113" i="7" s="1"/>
  <c r="D108" i="7"/>
  <c r="G108" i="7" s="1"/>
  <c r="G114" i="7" s="1"/>
  <c r="G19" i="8" s="1"/>
  <c r="E19" i="8" s="1"/>
  <c r="D112" i="7"/>
  <c r="G112" i="7" s="1"/>
  <c r="D109" i="7"/>
  <c r="G109" i="7" s="1"/>
  <c r="H405" i="13"/>
  <c r="F491" i="13"/>
  <c r="H490" i="13"/>
  <c r="D315" i="7"/>
  <c r="D314" i="7"/>
  <c r="B44" i="8"/>
  <c r="D316" i="7"/>
  <c r="G316" i="7" s="1"/>
  <c r="D318" i="7"/>
  <c r="G318" i="7" s="1"/>
  <c r="G27" i="14"/>
  <c r="D5" i="17"/>
  <c r="H81" i="13"/>
  <c r="E82" i="13"/>
  <c r="D302" i="7"/>
  <c r="B42" i="8"/>
  <c r="G312" i="13"/>
  <c r="H60" i="13"/>
  <c r="E61" i="13"/>
  <c r="D283" i="13"/>
  <c r="E3" i="16"/>
  <c r="D780" i="13"/>
  <c r="G780" i="13" s="1"/>
  <c r="F290" i="13"/>
  <c r="H290" i="13" s="1"/>
  <c r="E250" i="13"/>
  <c r="E400" i="13"/>
  <c r="D405" i="13" s="1"/>
  <c r="H249" i="13"/>
  <c r="E193" i="7"/>
  <c r="G431" i="13"/>
  <c r="H281" i="13"/>
  <c r="D8" i="17"/>
  <c r="G31" i="14"/>
  <c r="F301" i="13"/>
  <c r="H301" i="13" s="1"/>
  <c r="H261" i="13"/>
  <c r="E471" i="13"/>
  <c r="D476" i="13" s="1"/>
  <c r="H476" i="13" s="1"/>
  <c r="C565" i="13"/>
  <c r="H565" i="13" s="1"/>
  <c r="C564" i="13"/>
  <c r="G564" i="13" s="1"/>
  <c r="C135" i="13"/>
  <c r="H135" i="13" s="1"/>
  <c r="H138" i="13" s="1"/>
  <c r="I139" i="13" s="1"/>
  <c r="D72" i="7" s="1"/>
  <c r="C141" i="13"/>
  <c r="C142" i="13" s="1"/>
  <c r="H142" i="13" s="1"/>
  <c r="H129" i="13"/>
  <c r="H132" i="13" s="1"/>
  <c r="I133" i="13" s="1"/>
  <c r="E75" i="13"/>
  <c r="H74" i="13"/>
  <c r="K187" i="13"/>
  <c r="H366" i="13"/>
  <c r="D102" i="7"/>
  <c r="G102" i="7" s="1"/>
  <c r="D97" i="7"/>
  <c r="G97" i="7" s="1"/>
  <c r="D96" i="7"/>
  <c r="G96" i="7" s="1"/>
  <c r="B18" i="8"/>
  <c r="D101" i="7"/>
  <c r="G101" i="7" s="1"/>
  <c r="D98" i="7"/>
  <c r="G98" i="7" s="1"/>
  <c r="D95" i="7"/>
  <c r="G95" i="7" s="1"/>
  <c r="D103" i="7"/>
  <c r="G103" i="7" s="1"/>
  <c r="H114" i="13"/>
  <c r="F115" i="13"/>
  <c r="H115" i="13" s="1"/>
  <c r="H53" i="13"/>
  <c r="E54" i="13"/>
  <c r="G36" i="14"/>
  <c r="D12" i="17"/>
  <c r="D541" i="13"/>
  <c r="H541" i="13" s="1"/>
  <c r="D559" i="13"/>
  <c r="H532" i="13"/>
  <c r="D370" i="13"/>
  <c r="G370" i="13" s="1"/>
  <c r="C369" i="13"/>
  <c r="G369" i="13" s="1"/>
  <c r="D368" i="13"/>
  <c r="G368" i="13" s="1"/>
  <c r="C371" i="13"/>
  <c r="G371" i="13" s="1"/>
  <c r="C372" i="13"/>
  <c r="D11" i="17"/>
  <c r="G35" i="14"/>
  <c r="G225" i="13"/>
  <c r="G226" i="13" s="1"/>
  <c r="J189" i="13"/>
  <c r="G501" i="13"/>
  <c r="D502" i="13"/>
  <c r="D583" i="13"/>
  <c r="H583" i="13" s="1"/>
  <c r="D529" i="13"/>
  <c r="G257" i="7"/>
  <c r="G264" i="7" s="1"/>
  <c r="G35" i="8" s="1"/>
  <c r="I257" i="7"/>
  <c r="D32" i="14"/>
  <c r="H136" i="13"/>
  <c r="C144" i="13"/>
  <c r="C145" i="13" s="1"/>
  <c r="H145" i="13" s="1"/>
  <c r="D30" i="13"/>
  <c r="D29" i="13"/>
  <c r="H28" i="13"/>
  <c r="E29" i="13"/>
  <c r="E30" i="13" s="1"/>
  <c r="E32" i="13" s="1"/>
  <c r="H32" i="13" s="1"/>
  <c r="F541" i="13"/>
  <c r="F559" i="13"/>
  <c r="C411" i="13"/>
  <c r="G411" i="13" s="1"/>
  <c r="C412" i="13"/>
  <c r="D410" i="13"/>
  <c r="G410" i="13" s="1"/>
  <c r="C409" i="13"/>
  <c r="G409" i="13" s="1"/>
  <c r="D408" i="13"/>
  <c r="G408" i="13" s="1"/>
  <c r="B9" i="8"/>
  <c r="D31" i="7"/>
  <c r="D30" i="7"/>
  <c r="D33" i="7"/>
  <c r="D34" i="7"/>
  <c r="G34" i="7" s="1"/>
  <c r="G33" i="14"/>
  <c r="D10" i="17"/>
  <c r="G376" i="13"/>
  <c r="G240" i="7"/>
  <c r="G244" i="7" s="1"/>
  <c r="G34" i="8" s="1"/>
  <c r="E34" i="8" s="1"/>
  <c r="I256" i="7"/>
  <c r="D12" i="7"/>
  <c r="H10" i="13"/>
  <c r="F119" i="13"/>
  <c r="H119" i="13" s="1"/>
  <c r="H118" i="13"/>
  <c r="F120" i="13"/>
  <c r="H469" i="13"/>
  <c r="G30" i="14"/>
  <c r="D7" i="17"/>
  <c r="D372" i="13"/>
  <c r="D323" i="7"/>
  <c r="G323" i="7" s="1"/>
  <c r="G324" i="7" s="1"/>
  <c r="B46" i="8"/>
  <c r="F407" i="13"/>
  <c r="F251" i="13"/>
  <c r="E23" i="13"/>
  <c r="H22" i="13"/>
  <c r="I48" i="13"/>
  <c r="J48" i="13" s="1"/>
  <c r="D232" i="7"/>
  <c r="D234" i="7"/>
  <c r="G234" i="7" s="1"/>
  <c r="B32" i="8"/>
  <c r="H220" i="13"/>
  <c r="H225" i="13" s="1"/>
  <c r="H226" i="13" s="1"/>
  <c r="D118" i="7" s="1"/>
  <c r="D121" i="7" s="1"/>
  <c r="G121" i="7" s="1"/>
  <c r="H24" i="18"/>
  <c r="H25" i="18" s="1"/>
  <c r="C466" i="13"/>
  <c r="G466" i="13" s="1"/>
  <c r="G465" i="13"/>
  <c r="H137" i="13"/>
  <c r="C147" i="13"/>
  <c r="C148" i="13" s="1"/>
  <c r="H148" i="13" s="1"/>
  <c r="G270" i="7"/>
  <c r="G36" i="8" s="1"/>
  <c r="E36" i="8" s="1"/>
  <c r="D37" i="14"/>
  <c r="G37" i="14" s="1"/>
  <c r="C390" i="13"/>
  <c r="G390" i="13" s="1"/>
  <c r="C388" i="13"/>
  <c r="G388" i="13" s="1"/>
  <c r="D389" i="13"/>
  <c r="G389" i="13" s="1"/>
  <c r="D387" i="13"/>
  <c r="G387" i="13" s="1"/>
  <c r="F30" i="14"/>
  <c r="C7" i="17"/>
  <c r="F282" i="13"/>
  <c r="H282" i="13" s="1"/>
  <c r="H243" i="13"/>
  <c r="I244" i="13" s="1"/>
  <c r="E373" i="13"/>
  <c r="D378" i="13" s="1"/>
  <c r="H378" i="13" s="1"/>
  <c r="F761" i="13"/>
  <c r="H761" i="13" s="1"/>
  <c r="H760" i="13"/>
  <c r="H766" i="13" s="1"/>
  <c r="H767" i="13" s="1"/>
  <c r="D282" i="7" s="1"/>
  <c r="D779" i="13"/>
  <c r="G779" i="13" s="1"/>
  <c r="G781" i="13" s="1"/>
  <c r="H782" i="13" s="1"/>
  <c r="D289" i="7" s="1"/>
  <c r="D277" i="13"/>
  <c r="E2" i="16"/>
  <c r="B6" i="8"/>
  <c r="D9" i="7"/>
  <c r="E183" i="7"/>
  <c r="G28" i="14"/>
  <c r="D6" i="17"/>
  <c r="D101" i="13"/>
  <c r="E102" i="13"/>
  <c r="E101" i="13"/>
  <c r="B41" i="8" l="1"/>
  <c r="D298" i="7"/>
  <c r="G298" i="7" s="1"/>
  <c r="D297" i="7"/>
  <c r="G297" i="7" s="1"/>
  <c r="D296" i="7"/>
  <c r="G296" i="7" s="1"/>
  <c r="D292" i="7"/>
  <c r="G292" i="7" s="1"/>
  <c r="D291" i="7"/>
  <c r="G291" i="7" s="1"/>
  <c r="D294" i="7"/>
  <c r="G294" i="7" s="1"/>
  <c r="D293" i="7"/>
  <c r="G293" i="7" s="1"/>
  <c r="B40" i="8"/>
  <c r="D286" i="7"/>
  <c r="G286" i="7" s="1"/>
  <c r="D284" i="7"/>
  <c r="G284" i="7" s="1"/>
  <c r="G287" i="7" s="1"/>
  <c r="G40" i="8" s="1"/>
  <c r="E40" i="8" s="1"/>
  <c r="H380" i="13"/>
  <c r="H382" i="13" s="1"/>
  <c r="G104" i="7"/>
  <c r="G18" i="8" s="1"/>
  <c r="E18" i="8" s="1"/>
  <c r="H23" i="13"/>
  <c r="E24" i="13"/>
  <c r="E103" i="13"/>
  <c r="H103" i="13" s="1"/>
  <c r="H102" i="13"/>
  <c r="G5" i="17"/>
  <c r="I5" i="17" s="1"/>
  <c r="K5" i="17"/>
  <c r="D14" i="7"/>
  <c r="D15" i="7"/>
  <c r="B7" i="8"/>
  <c r="D17" i="7"/>
  <c r="D18" i="7"/>
  <c r="D19" i="7"/>
  <c r="G19" i="7" s="1"/>
  <c r="G524" i="13"/>
  <c r="G46" i="8"/>
  <c r="E46" i="8" s="1"/>
  <c r="J226" i="13"/>
  <c r="D117" i="7"/>
  <c r="L226" i="13"/>
  <c r="E55" i="13"/>
  <c r="H54" i="13"/>
  <c r="H149" i="13"/>
  <c r="H150" i="13" s="1"/>
  <c r="D83" i="7" s="1"/>
  <c r="G31" i="7"/>
  <c r="D304" i="7"/>
  <c r="G304" i="7" s="1"/>
  <c r="D306" i="7"/>
  <c r="G306" i="7" s="1"/>
  <c r="D305" i="7"/>
  <c r="G305" i="7" s="1"/>
  <c r="D309" i="7"/>
  <c r="G309" i="7" s="1"/>
  <c r="D308" i="7"/>
  <c r="G308" i="7" s="1"/>
  <c r="E83" i="13"/>
  <c r="H82" i="13"/>
  <c r="K12" i="17"/>
  <c r="G12" i="17"/>
  <c r="I12" i="17" s="1"/>
  <c r="L12" i="17" s="1"/>
  <c r="E62" i="13"/>
  <c r="H61" i="13"/>
  <c r="I75" i="7"/>
  <c r="D78" i="7"/>
  <c r="G78" i="7" s="1"/>
  <c r="D76" i="7"/>
  <c r="G76" i="7" s="1"/>
  <c r="D75" i="7"/>
  <c r="I73" i="7"/>
  <c r="B14" i="8"/>
  <c r="D79" i="7"/>
  <c r="G79" i="7" s="1"/>
  <c r="D74" i="7"/>
  <c r="G74" i="7" s="1"/>
  <c r="F121" i="13"/>
  <c r="H121" i="13" s="1"/>
  <c r="H120" i="13"/>
  <c r="H101" i="13"/>
  <c r="D104" i="13"/>
  <c r="K763" i="13" s="1"/>
  <c r="E251" i="13"/>
  <c r="E407" i="13"/>
  <c r="D412" i="13" s="1"/>
  <c r="H412" i="13" s="1"/>
  <c r="F291" i="13"/>
  <c r="H291" i="13" s="1"/>
  <c r="H250" i="13"/>
  <c r="E6" i="17"/>
  <c r="F6" i="17" s="1"/>
  <c r="G6" i="17"/>
  <c r="I6" i="17" s="1"/>
  <c r="F252" i="13"/>
  <c r="F414" i="13"/>
  <c r="D415" i="13" s="1"/>
  <c r="G415" i="13" s="1"/>
  <c r="G314" i="7"/>
  <c r="D41" i="14"/>
  <c r="G41" i="14" s="1"/>
  <c r="G315" i="7"/>
  <c r="D42" i="14"/>
  <c r="G42" i="14" s="1"/>
  <c r="G7" i="17"/>
  <c r="I7" i="17" s="1"/>
  <c r="K7" i="17"/>
  <c r="E7" i="17"/>
  <c r="H29" i="13"/>
  <c r="E11" i="17"/>
  <c r="F11" i="17" s="1"/>
  <c r="G11" i="17" s="1"/>
  <c r="I11" i="17" s="1"/>
  <c r="G30" i="7"/>
  <c r="G35" i="7" s="1"/>
  <c r="G9" i="8" s="1"/>
  <c r="D12" i="14"/>
  <c r="G12" i="14" s="1"/>
  <c r="H30" i="13"/>
  <c r="H372" i="13"/>
  <c r="E76" i="13"/>
  <c r="H75" i="13"/>
  <c r="G8" i="17"/>
  <c r="I8" i="17" s="1"/>
  <c r="E8" i="17"/>
  <c r="K8" i="17" s="1"/>
  <c r="D9" i="17"/>
  <c r="G32" i="14"/>
  <c r="D547" i="13"/>
  <c r="H529" i="13"/>
  <c r="D538" i="13"/>
  <c r="H538" i="13" s="1"/>
  <c r="D560" i="13"/>
  <c r="G560" i="13" s="1"/>
  <c r="C561" i="13"/>
  <c r="H561" i="13" s="1"/>
  <c r="J244" i="13"/>
  <c r="G502" i="13"/>
  <c r="D530" i="13"/>
  <c r="D584" i="13"/>
  <c r="H584" i="13" s="1"/>
  <c r="G10" i="17"/>
  <c r="I10" i="17" s="1"/>
  <c r="E10" i="17"/>
  <c r="K10" i="17" s="1"/>
  <c r="G9" i="7"/>
  <c r="G10" i="7" s="1"/>
  <c r="G6" i="8" s="1"/>
  <c r="E4" i="16"/>
  <c r="H4" i="16" s="1"/>
  <c r="G232" i="7"/>
  <c r="G235" i="7" s="1"/>
  <c r="G32" i="8" s="1"/>
  <c r="E32" i="8" s="1"/>
  <c r="D40" i="14"/>
  <c r="G40" i="14" s="1"/>
  <c r="G33" i="7"/>
  <c r="J133" i="13"/>
  <c r="D60" i="7"/>
  <c r="G380" i="13"/>
  <c r="G382" i="13" s="1"/>
  <c r="H491" i="13"/>
  <c r="F492" i="13"/>
  <c r="H492" i="13" s="1"/>
  <c r="E6" i="8" l="1"/>
  <c r="G15" i="7"/>
  <c r="D85" i="7"/>
  <c r="D88" i="7"/>
  <c r="D82" i="7"/>
  <c r="E77" i="13"/>
  <c r="H76" i="13"/>
  <c r="G18" i="7"/>
  <c r="H524" i="13"/>
  <c r="D551" i="13"/>
  <c r="H530" i="13"/>
  <c r="D539" i="13"/>
  <c r="H539" i="13" s="1"/>
  <c r="F253" i="13"/>
  <c r="F421" i="13"/>
  <c r="D422" i="13" s="1"/>
  <c r="G422" i="13" s="1"/>
  <c r="D49" i="14"/>
  <c r="G49" i="14" s="1"/>
  <c r="G17" i="7"/>
  <c r="K6" i="17"/>
  <c r="L6" i="17" s="1"/>
  <c r="G14" i="7"/>
  <c r="G20" i="7" s="1"/>
  <c r="G7" i="8" s="1"/>
  <c r="E7" i="8" s="1"/>
  <c r="H543" i="13"/>
  <c r="H544" i="13" s="1"/>
  <c r="D191" i="7" s="1"/>
  <c r="K11" i="17"/>
  <c r="L11" i="17" s="1"/>
  <c r="E64" i="13"/>
  <c r="H64" i="13" s="1"/>
  <c r="E63" i="13"/>
  <c r="H62" i="13"/>
  <c r="D63" i="13"/>
  <c r="E56" i="13"/>
  <c r="H55" i="13"/>
  <c r="L5" i="17"/>
  <c r="G299" i="7"/>
  <c r="G41" i="8" s="1"/>
  <c r="E41" i="8" s="1"/>
  <c r="L8" i="17"/>
  <c r="L10" i="17"/>
  <c r="H534" i="13"/>
  <c r="H535" i="13" s="1"/>
  <c r="D179" i="7" s="1"/>
  <c r="D124" i="7"/>
  <c r="D116" i="7"/>
  <c r="D120" i="7"/>
  <c r="E25" i="13"/>
  <c r="H24" i="13"/>
  <c r="G310" i="7"/>
  <c r="G42" i="8" s="1"/>
  <c r="E42" i="8" s="1"/>
  <c r="D548" i="13"/>
  <c r="G548" i="13" s="1"/>
  <c r="C549" i="13"/>
  <c r="H549" i="13" s="1"/>
  <c r="E9" i="17"/>
  <c r="K9" i="17"/>
  <c r="G9" i="17"/>
  <c r="I9" i="17" s="1"/>
  <c r="G319" i="7"/>
  <c r="G75" i="7"/>
  <c r="G80" i="7" s="1"/>
  <c r="G14" i="8" s="1"/>
  <c r="E14" i="8" s="1"/>
  <c r="B13" i="8"/>
  <c r="D63" i="7"/>
  <c r="G63" i="7" s="1"/>
  <c r="D67" i="7"/>
  <c r="G67" i="7" s="1"/>
  <c r="D64" i="7"/>
  <c r="G64" i="7" s="1"/>
  <c r="D62" i="7"/>
  <c r="G62" i="7" s="1"/>
  <c r="D68" i="7"/>
  <c r="G68" i="7" s="1"/>
  <c r="D65" i="7"/>
  <c r="G65" i="7" s="1"/>
  <c r="D69" i="7"/>
  <c r="G69" i="7" s="1"/>
  <c r="H251" i="13"/>
  <c r="E252" i="13"/>
  <c r="F292" i="13"/>
  <c r="H292" i="13" s="1"/>
  <c r="E414" i="13"/>
  <c r="D419" i="13" s="1"/>
  <c r="H419" i="13" s="1"/>
  <c r="L7" i="17"/>
  <c r="E84" i="13"/>
  <c r="D84" i="13"/>
  <c r="H84" i="13" s="1"/>
  <c r="E85" i="13"/>
  <c r="H83" i="13"/>
  <c r="E26" i="13" l="1"/>
  <c r="H25" i="13"/>
  <c r="B15" i="8"/>
  <c r="D86" i="7"/>
  <c r="E86" i="13"/>
  <c r="H86" i="13" s="1"/>
  <c r="H85" i="13"/>
  <c r="G44" i="8"/>
  <c r="E44" i="8" s="1"/>
  <c r="F428" i="13"/>
  <c r="D429" i="13" s="1"/>
  <c r="G429" i="13" s="1"/>
  <c r="F254" i="13"/>
  <c r="G70" i="7"/>
  <c r="G13" i="8" s="1"/>
  <c r="E13" i="8" s="1"/>
  <c r="H77" i="13"/>
  <c r="E78" i="13"/>
  <c r="I193" i="7"/>
  <c r="D198" i="7"/>
  <c r="G198" i="7" s="1"/>
  <c r="D197" i="7"/>
  <c r="G197" i="7" s="1"/>
  <c r="D193" i="7"/>
  <c r="G193" i="7" s="1"/>
  <c r="D195" i="7"/>
  <c r="G195" i="7" s="1"/>
  <c r="B29" i="8"/>
  <c r="D194" i="7"/>
  <c r="G194" i="7" s="1"/>
  <c r="D122" i="7"/>
  <c r="G122" i="7" s="1"/>
  <c r="B20" i="8"/>
  <c r="L9" i="17"/>
  <c r="I18" i="17"/>
  <c r="G120" i="7"/>
  <c r="D125" i="7"/>
  <c r="G125" i="7" s="1"/>
  <c r="G124" i="7"/>
  <c r="B28" i="8"/>
  <c r="D181" i="7"/>
  <c r="G181" i="7" s="1"/>
  <c r="G189" i="7" s="1"/>
  <c r="G28" i="8" s="1"/>
  <c r="E28" i="8" s="1"/>
  <c r="D187" i="7"/>
  <c r="G187" i="7" s="1"/>
  <c r="D182" i="7"/>
  <c r="G182" i="7" s="1"/>
  <c r="D183" i="7"/>
  <c r="G183" i="7" s="1"/>
  <c r="D186" i="7"/>
  <c r="G186" i="7" s="1"/>
  <c r="D184" i="7"/>
  <c r="G184" i="7" s="1"/>
  <c r="D188" i="7"/>
  <c r="G188" i="7" s="1"/>
  <c r="G88" i="7"/>
  <c r="D89" i="7"/>
  <c r="G89" i="7" s="1"/>
  <c r="H56" i="13"/>
  <c r="E57" i="13"/>
  <c r="D552" i="13"/>
  <c r="G552" i="13" s="1"/>
  <c r="G566" i="13" s="1"/>
  <c r="G567" i="13" s="1"/>
  <c r="D202" i="7" s="1"/>
  <c r="C553" i="13"/>
  <c r="H553" i="13" s="1"/>
  <c r="H566" i="13" s="1"/>
  <c r="H567" i="13" s="1"/>
  <c r="D203" i="7" s="1"/>
  <c r="D207" i="7" s="1"/>
  <c r="H63" i="13"/>
  <c r="G85" i="7"/>
  <c r="E253" i="13"/>
  <c r="F293" i="13"/>
  <c r="H293" i="13" s="1"/>
  <c r="E421" i="13"/>
  <c r="D426" i="13" s="1"/>
  <c r="H426" i="13" s="1"/>
  <c r="H252" i="13"/>
  <c r="H525" i="13"/>
  <c r="D166" i="7" s="1"/>
  <c r="D570" i="13"/>
  <c r="H570" i="13" s="1"/>
  <c r="H592" i="13" s="1"/>
  <c r="H593" i="13" s="1"/>
  <c r="G207" i="7" l="1"/>
  <c r="D22" i="14"/>
  <c r="B30" i="8"/>
  <c r="D206" i="7"/>
  <c r="E79" i="13"/>
  <c r="H78" i="13"/>
  <c r="D167" i="7"/>
  <c r="B26" i="8"/>
  <c r="F255" i="13"/>
  <c r="F435" i="13"/>
  <c r="D436" i="13" s="1"/>
  <c r="G436" i="13" s="1"/>
  <c r="D214" i="7"/>
  <c r="B31" i="8" s="1"/>
  <c r="D215" i="7"/>
  <c r="G126" i="7"/>
  <c r="G20" i="8" s="1"/>
  <c r="E20" i="8" s="1"/>
  <c r="H57" i="13"/>
  <c r="E58" i="13"/>
  <c r="G86" i="7"/>
  <c r="G90" i="7" s="1"/>
  <c r="G15" i="8" s="1"/>
  <c r="E15" i="8" s="1"/>
  <c r="E254" i="13"/>
  <c r="E428" i="13"/>
  <c r="D433" i="13" s="1"/>
  <c r="H433" i="13" s="1"/>
  <c r="H253" i="13"/>
  <c r="F294" i="13"/>
  <c r="H294" i="13" s="1"/>
  <c r="G199" i="7"/>
  <c r="G29" i="8" s="1"/>
  <c r="E29" i="8" s="1"/>
  <c r="E27" i="13"/>
  <c r="H27" i="13" s="1"/>
  <c r="H26" i="13"/>
  <c r="H34" i="13" l="1"/>
  <c r="H35" i="13" s="1"/>
  <c r="F256" i="13"/>
  <c r="F449" i="13" s="1"/>
  <c r="D450" i="13" s="1"/>
  <c r="G450" i="13" s="1"/>
  <c r="F442" i="13"/>
  <c r="D443" i="13" s="1"/>
  <c r="G443" i="13" s="1"/>
  <c r="D220" i="7"/>
  <c r="G220" i="7" s="1"/>
  <c r="D217" i="7"/>
  <c r="G217" i="7" s="1"/>
  <c r="G222" i="7" s="1"/>
  <c r="G31" i="8" s="1"/>
  <c r="E31" i="8" s="1"/>
  <c r="D218" i="7"/>
  <c r="G218" i="7" s="1"/>
  <c r="D221" i="7"/>
  <c r="G221" i="7" s="1"/>
  <c r="D171" i="7"/>
  <c r="G171" i="7" s="1"/>
  <c r="D174" i="7"/>
  <c r="D172" i="7"/>
  <c r="D175" i="7"/>
  <c r="D170" i="7"/>
  <c r="G170" i="7" s="1"/>
  <c r="D169" i="7"/>
  <c r="G169" i="7" s="1"/>
  <c r="E80" i="13"/>
  <c r="H80" i="13" s="1"/>
  <c r="H79" i="13"/>
  <c r="H123" i="13" s="1"/>
  <c r="I124" i="13" s="1"/>
  <c r="I125" i="13" s="1"/>
  <c r="D49" i="7" s="1"/>
  <c r="H254" i="13"/>
  <c r="E255" i="13"/>
  <c r="E435" i="13"/>
  <c r="D440" i="13" s="1"/>
  <c r="H440" i="13" s="1"/>
  <c r="F295" i="13"/>
  <c r="H295" i="13" s="1"/>
  <c r="D210" i="7"/>
  <c r="G206" i="7"/>
  <c r="E59" i="13"/>
  <c r="H59" i="13" s="1"/>
  <c r="H58" i="13"/>
  <c r="G22" i="14"/>
  <c r="H65" i="13" l="1"/>
  <c r="H66" i="13" s="1"/>
  <c r="I64" i="13"/>
  <c r="G172" i="7"/>
  <c r="D10" i="14"/>
  <c r="G10" i="14" s="1"/>
  <c r="H174" i="7"/>
  <c r="G174" i="7"/>
  <c r="D52" i="7"/>
  <c r="G52" i="7" s="1"/>
  <c r="D55" i="7"/>
  <c r="G55" i="7" s="1"/>
  <c r="D51" i="7"/>
  <c r="G51" i="7" s="1"/>
  <c r="B11" i="8"/>
  <c r="D53" i="7"/>
  <c r="D56" i="7"/>
  <c r="G56" i="7" s="1"/>
  <c r="G479" i="13"/>
  <c r="G480" i="13" s="1"/>
  <c r="G176" i="7"/>
  <c r="G26" i="8" s="1"/>
  <c r="G175" i="7"/>
  <c r="H175" i="7"/>
  <c r="G210" i="7"/>
  <c r="G212" i="7" s="1"/>
  <c r="G30" i="8" s="1"/>
  <c r="E30" i="8" s="1"/>
  <c r="D211" i="7"/>
  <c r="G211" i="7" s="1"/>
  <c r="E442" i="13"/>
  <c r="D447" i="13" s="1"/>
  <c r="H447" i="13" s="1"/>
  <c r="H255" i="13"/>
  <c r="F296" i="13"/>
  <c r="H296" i="13" s="1"/>
  <c r="E256" i="13"/>
  <c r="H736" i="13"/>
  <c r="H748" i="13" s="1"/>
  <c r="H36" i="13"/>
  <c r="K36" i="13" l="1"/>
  <c r="D23" i="7"/>
  <c r="G481" i="13"/>
  <c r="D9" i="14"/>
  <c r="G9" i="14" s="1"/>
  <c r="G53" i="7"/>
  <c r="G57" i="7"/>
  <c r="G11" i="8" s="1"/>
  <c r="E11" i="8" s="1"/>
  <c r="H256" i="13"/>
  <c r="F297" i="13"/>
  <c r="H297" i="13" s="1"/>
  <c r="H304" i="13" s="1"/>
  <c r="H305" i="13" s="1"/>
  <c r="H306" i="13" s="1"/>
  <c r="D142" i="7" s="1"/>
  <c r="E449" i="13"/>
  <c r="D454" i="13" s="1"/>
  <c r="H454" i="13" s="1"/>
  <c r="H479" i="13" s="1"/>
  <c r="H480" i="13" s="1"/>
  <c r="H481" i="13" s="1"/>
  <c r="D155" i="7" s="1"/>
  <c r="H67" i="13"/>
  <c r="D37" i="7" s="1"/>
  <c r="G738" i="13"/>
  <c r="G748" i="13" s="1"/>
  <c r="H753" i="13" s="1"/>
  <c r="H754" i="13" s="1"/>
  <c r="D276" i="7" s="1"/>
  <c r="B38" i="8" l="1"/>
  <c r="D278" i="7"/>
  <c r="G278" i="7" s="1"/>
  <c r="G279" i="7" s="1"/>
  <c r="D39" i="7"/>
  <c r="D46" i="7"/>
  <c r="G46" i="7" s="1"/>
  <c r="D41" i="7"/>
  <c r="D42" i="7"/>
  <c r="D40" i="7"/>
  <c r="D44" i="7"/>
  <c r="D45" i="7"/>
  <c r="B10" i="8"/>
  <c r="I142" i="7"/>
  <c r="D145" i="7"/>
  <c r="D144" i="7"/>
  <c r="D151" i="7"/>
  <c r="G151" i="7" s="1"/>
  <c r="D150" i="7"/>
  <c r="I144" i="7"/>
  <c r="B24" i="8"/>
  <c r="D146" i="7"/>
  <c r="D159" i="7"/>
  <c r="H264" i="13"/>
  <c r="H265" i="13" s="1"/>
  <c r="H266" i="13" s="1"/>
  <c r="D128" i="7" s="1"/>
  <c r="I263" i="13"/>
  <c r="D156" i="7"/>
  <c r="D160" i="7" s="1"/>
  <c r="L481" i="13"/>
  <c r="J480" i="13"/>
  <c r="J481" i="13" s="1"/>
  <c r="J482" i="13" s="1"/>
  <c r="H749" i="13"/>
  <c r="H750" i="13" s="1"/>
  <c r="D271" i="7" s="1"/>
  <c r="D25" i="7"/>
  <c r="B8" i="8"/>
  <c r="G145" i="7" l="1"/>
  <c r="D16" i="14"/>
  <c r="G16" i="14" s="1"/>
  <c r="G150" i="7"/>
  <c r="D48" i="14"/>
  <c r="G48" i="14" s="1"/>
  <c r="G160" i="7"/>
  <c r="D24" i="14"/>
  <c r="G24" i="14" s="1"/>
  <c r="G40" i="7"/>
  <c r="G144" i="7"/>
  <c r="G152" i="7" s="1"/>
  <c r="G24" i="8" s="1"/>
  <c r="E24" i="8" s="1"/>
  <c r="D17" i="14"/>
  <c r="G17" i="14" s="1"/>
  <c r="G25" i="7"/>
  <c r="G26" i="7" s="1"/>
  <c r="G8" i="8" s="1"/>
  <c r="D273" i="7"/>
  <c r="G273" i="7" s="1"/>
  <c r="G274" i="7" s="1"/>
  <c r="G37" i="8" s="1"/>
  <c r="B37" i="8"/>
  <c r="D50" i="14"/>
  <c r="G50" i="14" s="1"/>
  <c r="G45" i="7"/>
  <c r="G44" i="7"/>
  <c r="J263" i="13"/>
  <c r="K263" i="13" s="1"/>
  <c r="D129" i="7"/>
  <c r="D135" i="7" s="1"/>
  <c r="D15" i="14" s="1"/>
  <c r="G15" i="14" s="1"/>
  <c r="D13" i="14"/>
  <c r="G13" i="14" s="1"/>
  <c r="G42" i="7"/>
  <c r="D131" i="7"/>
  <c r="G131" i="7" s="1"/>
  <c r="D133" i="7"/>
  <c r="G133" i="7" s="1"/>
  <c r="D139" i="7"/>
  <c r="G139" i="7" s="1"/>
  <c r="D137" i="7"/>
  <c r="G137" i="7" s="1"/>
  <c r="D134" i="7"/>
  <c r="G134" i="7" s="1"/>
  <c r="D138" i="7"/>
  <c r="G138" i="7" s="1"/>
  <c r="D132" i="7"/>
  <c r="G132" i="7" s="1"/>
  <c r="B23" i="8"/>
  <c r="G41" i="7"/>
  <c r="D11" i="14"/>
  <c r="G11" i="14" s="1"/>
  <c r="D163" i="7"/>
  <c r="G159" i="7"/>
  <c r="D23" i="14"/>
  <c r="D157" i="7"/>
  <c r="D153" i="7" s="1"/>
  <c r="G39" i="7"/>
  <c r="D7" i="14"/>
  <c r="G7" i="14" s="1"/>
  <c r="G146" i="7"/>
  <c r="D18" i="14"/>
  <c r="G18" i="14" s="1"/>
  <c r="G38" i="8"/>
  <c r="E38" i="8" s="1"/>
  <c r="D8" i="14" l="1"/>
  <c r="G8" i="14" s="1"/>
  <c r="G140" i="7"/>
  <c r="G23" i="8" s="1"/>
  <c r="E23" i="8" s="1"/>
  <c r="I153" i="7"/>
  <c r="D161" i="7"/>
  <c r="B25" i="8"/>
  <c r="E37" i="8"/>
  <c r="E8" i="8"/>
  <c r="G47" i="7"/>
  <c r="G10" i="8" s="1"/>
  <c r="E10" i="8" s="1"/>
  <c r="G23" i="14"/>
  <c r="D25" i="14"/>
  <c r="D46" i="14"/>
  <c r="G46" i="14" s="1"/>
  <c r="D164" i="7"/>
  <c r="G163" i="7"/>
  <c r="D47" i="14"/>
  <c r="G47" i="14" s="1"/>
  <c r="G164" i="7" l="1"/>
  <c r="D51" i="14"/>
  <c r="G51" i="14" s="1"/>
  <c r="G53" i="14" s="1"/>
  <c r="G161" i="7"/>
  <c r="G165" i="7" s="1"/>
  <c r="D26" i="14"/>
  <c r="G26" i="14" s="1"/>
  <c r="G44" i="14" s="1"/>
  <c r="C5" i="15" s="1"/>
  <c r="C8" i="15" l="1"/>
  <c r="C6" i="15"/>
  <c r="C7" i="15" s="1"/>
  <c r="G54" i="14"/>
  <c r="G25" i="8"/>
  <c r="G326" i="7"/>
  <c r="J54" i="14" s="1"/>
  <c r="C10" i="15" l="1"/>
  <c r="C11" i="15"/>
  <c r="C9" i="15"/>
  <c r="C12" i="15"/>
  <c r="C13" i="15" s="1"/>
  <c r="E25" i="8"/>
  <c r="G47" i="8"/>
  <c r="J53" i="14"/>
  <c r="J7" i="14" s="1"/>
  <c r="J13" i="14" s="1"/>
  <c r="J19" i="14" s="1"/>
  <c r="J25" i="14" s="1"/>
  <c r="J33" i="14" s="1"/>
  <c r="J39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 Coffee</author>
  </authors>
  <commentList>
    <comment ref="D240" authorId="0" shapeId="0" xr:uid="{E2F6EC14-2E98-42DD-98DF-6CFDAF60E313}">
      <text>
        <r>
          <rPr>
            <b/>
            <sz val="8"/>
            <color indexed="81"/>
            <rFont val="Tahoma"/>
            <family val="2"/>
          </rPr>
          <t xml:space="preserve">Total length of purlin/spacing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<sst xmlns="http://schemas.openxmlformats.org/spreadsheetml/2006/main" count="1682" uniqueCount="407">
  <si>
    <t>( b ) Formwork  (3 Times Used)</t>
  </si>
  <si>
    <t>Site Cleanign Work After Constuction Work</t>
  </si>
  <si>
    <t>Description</t>
  </si>
  <si>
    <t>Remark</t>
  </si>
  <si>
    <t xml:space="preserve"> - Material Cost</t>
  </si>
  <si>
    <t xml:space="preserve"> - Labour Cost</t>
  </si>
  <si>
    <t>Amount</t>
  </si>
  <si>
    <t>Fs</t>
  </si>
  <si>
    <t>Labour</t>
  </si>
  <si>
    <t>DETAILS OF MEASUREMENT</t>
  </si>
  <si>
    <t>Measurement</t>
  </si>
  <si>
    <t>Deduction</t>
  </si>
  <si>
    <t>Material</t>
  </si>
  <si>
    <t>Total Labour Cost</t>
  </si>
  <si>
    <t>Fc</t>
  </si>
  <si>
    <t>Worker</t>
  </si>
  <si>
    <t>Carpenter</t>
  </si>
  <si>
    <t>Mason</t>
  </si>
  <si>
    <t>Steel Fixer</t>
  </si>
  <si>
    <t>Total Material Cost</t>
  </si>
  <si>
    <t>Gal</t>
  </si>
  <si>
    <t>Fr</t>
  </si>
  <si>
    <t>No.</t>
  </si>
  <si>
    <t>R/Sand</t>
  </si>
  <si>
    <t>Binding Wire</t>
  </si>
  <si>
    <t>Particulars</t>
  </si>
  <si>
    <t>Bill of Quantity</t>
  </si>
  <si>
    <t>Builder's Estimate</t>
  </si>
  <si>
    <t>M.S Rod</t>
  </si>
  <si>
    <t xml:space="preserve">Amount </t>
  </si>
  <si>
    <t>Say</t>
  </si>
  <si>
    <t>Total Abstract Cost ( Material + Labour)</t>
  </si>
  <si>
    <t>Total Material &amp; Labour Charges</t>
  </si>
  <si>
    <t>Sr</t>
  </si>
  <si>
    <t>Abstract Of Costs</t>
  </si>
  <si>
    <t>Chipping</t>
  </si>
  <si>
    <t>Fuel</t>
  </si>
  <si>
    <t>Operator</t>
  </si>
  <si>
    <t>5 Ply Wood</t>
  </si>
  <si>
    <t>Wire Nail</t>
  </si>
  <si>
    <t>10 mm Ø M.S Rod</t>
  </si>
  <si>
    <t>( c ) Rebar Work</t>
  </si>
  <si>
    <t>Earth Work</t>
  </si>
  <si>
    <t>Site Clearing Work</t>
  </si>
  <si>
    <t>Staking Works For Preparation of Foundation</t>
  </si>
  <si>
    <t>Floor Work</t>
  </si>
  <si>
    <t>( a ) Sand Filling Work</t>
  </si>
  <si>
    <t>Lapping</t>
  </si>
  <si>
    <t>10 mm Ø</t>
  </si>
  <si>
    <t xml:space="preserve">( b ) Formwork Work </t>
  </si>
  <si>
    <t>Plastering Work</t>
  </si>
  <si>
    <t>( a ) (1:2:4) R.C Conc; Casting Work</t>
  </si>
  <si>
    <t>( b ) Formwork</t>
  </si>
  <si>
    <t>3" thk; (1:3:6) Lean Conc; Work</t>
  </si>
  <si>
    <t>( a ) (1:2:4) R.C Conc; Work</t>
  </si>
  <si>
    <t>16 mm Ø</t>
  </si>
  <si>
    <t>Concrete Casting Work For Column</t>
  </si>
  <si>
    <t>R.C Conc; Casting Work Beam &amp; Slab</t>
  </si>
  <si>
    <t>As per Earth Volume</t>
  </si>
  <si>
    <t xml:space="preserve">Dedcution of </t>
  </si>
  <si>
    <t>As per Footing Work</t>
  </si>
  <si>
    <t>( b ) Earth Carrying Work</t>
  </si>
  <si>
    <t>As Per Deduction of Volume</t>
  </si>
  <si>
    <t>Retaining Wall Work</t>
  </si>
  <si>
    <t>( a ) Earth Filling Work</t>
  </si>
  <si>
    <t>As per Site Cleaning work</t>
  </si>
  <si>
    <t>J/Wood</t>
  </si>
  <si>
    <t>Surveyor</t>
  </si>
  <si>
    <t>16 mm Ø M.S Rod</t>
  </si>
  <si>
    <t>6.5 mm Ø M.S Rod</t>
  </si>
  <si>
    <t>Gross</t>
  </si>
  <si>
    <t>Site Cleaning Work After constuction Work</t>
  </si>
  <si>
    <t>Floor Area</t>
  </si>
  <si>
    <t>3 T 16 mm Ø M.S Rod (Top Bar)</t>
  </si>
  <si>
    <t>3 T 16 mm Ø M.S Rod (Bot Bar)</t>
  </si>
  <si>
    <t>Ground Beam (0' 0" Level)</t>
  </si>
  <si>
    <t>Total Material + Labour + Transportation Charges</t>
  </si>
  <si>
    <t>Item</t>
  </si>
  <si>
    <t>Particular</t>
  </si>
  <si>
    <t>No</t>
  </si>
  <si>
    <t>L</t>
  </si>
  <si>
    <t>B</t>
  </si>
  <si>
    <t>H</t>
  </si>
  <si>
    <t>Contents</t>
  </si>
  <si>
    <t>Each</t>
  </si>
  <si>
    <t>Total of</t>
  </si>
  <si>
    <t>%Fc</t>
  </si>
  <si>
    <t>Cement</t>
  </si>
  <si>
    <t>Bag</t>
  </si>
  <si>
    <t>Sud</t>
  </si>
  <si>
    <t>Brick</t>
  </si>
  <si>
    <t>%Fs</t>
  </si>
  <si>
    <t>Sht</t>
  </si>
  <si>
    <t>Ton</t>
  </si>
  <si>
    <t>Unit</t>
  </si>
  <si>
    <t>Quantity</t>
  </si>
  <si>
    <t>Rate</t>
  </si>
  <si>
    <t>Per</t>
  </si>
  <si>
    <t xml:space="preserve">C5a (18" x 18") </t>
  </si>
  <si>
    <t>C3a (14" x 14")</t>
  </si>
  <si>
    <t>C3b (14" x 14")</t>
  </si>
  <si>
    <t>C6a (20" x 20")</t>
  </si>
  <si>
    <t>C6b (20" x 20")</t>
  </si>
  <si>
    <t>C6c (20" x 20")</t>
  </si>
  <si>
    <t>C6d (20" x 20")</t>
  </si>
  <si>
    <t xml:space="preserve">Prop Column </t>
  </si>
  <si>
    <t>Roof Beam</t>
  </si>
  <si>
    <t>Retaining Wall Lean Conc; Work</t>
  </si>
  <si>
    <t>Total Volume (Fc)</t>
  </si>
  <si>
    <t>% Fc</t>
  </si>
  <si>
    <t>As per  (1:3:6) Lean Conc; work</t>
  </si>
  <si>
    <t>Retaining Wall - Brick Volume (Under N.G.L)</t>
  </si>
  <si>
    <t>Column</t>
  </si>
  <si>
    <t>Total Beam C oncrete Volume</t>
  </si>
  <si>
    <t xml:space="preserve"> Beam Re bar</t>
  </si>
  <si>
    <t>Roofing Work</t>
  </si>
  <si>
    <t>Sft</t>
  </si>
  <si>
    <t>Purlin Cleat</t>
  </si>
  <si>
    <t>Total Length</t>
  </si>
  <si>
    <t>Rft.</t>
  </si>
  <si>
    <t>½" Ø Bolt &amp; Nut 3'' L x 0.333Lb/ No</t>
  </si>
  <si>
    <t>Welding Rod</t>
  </si>
  <si>
    <t>Pkt</t>
  </si>
  <si>
    <t>Smith</t>
  </si>
  <si>
    <t>Ridge Cover</t>
  </si>
  <si>
    <t>Rft</t>
  </si>
  <si>
    <t>Gutter</t>
  </si>
  <si>
    <t>Main</t>
  </si>
  <si>
    <t xml:space="preserve">Ground Floor </t>
  </si>
  <si>
    <t>For Retaining Wall Earth  Work</t>
  </si>
  <si>
    <t>Deducton</t>
  </si>
  <si>
    <t>Retaining Wall</t>
  </si>
  <si>
    <t>Ground Beam</t>
  </si>
  <si>
    <t xml:space="preserve"> ( b )(1:3:6)  Concrete Work</t>
  </si>
  <si>
    <t xml:space="preserve">( a ) Sand Filling Work for Floor </t>
  </si>
  <si>
    <t>Viss</t>
  </si>
  <si>
    <t>viss</t>
  </si>
  <si>
    <t>F1 (3' 0"x 3' 0"x0' 10")</t>
  </si>
  <si>
    <t>F2 (4' 0"x 4' 0"x0' 10")</t>
  </si>
  <si>
    <t>F3 (5' 0"x 5' 0"x0' 10")</t>
  </si>
  <si>
    <t>Line A, 42' L</t>
  </si>
  <si>
    <t>Line B, 42' L</t>
  </si>
  <si>
    <t>Line C, 35' 8" L</t>
  </si>
  <si>
    <t>Plaster</t>
  </si>
  <si>
    <t>Topping</t>
  </si>
  <si>
    <t>Line D, 35' 8" L</t>
  </si>
  <si>
    <t>Line E, 29' 4" L</t>
  </si>
  <si>
    <t xml:space="preserve">Line 1, 46' 4" L </t>
  </si>
  <si>
    <t xml:space="preserve">Line 2, 46' 4" L </t>
  </si>
  <si>
    <t xml:space="preserve">Line 3, 46' 4" L </t>
  </si>
  <si>
    <t xml:space="preserve">Line 4, 46' 4" L </t>
  </si>
  <si>
    <t>Line 5, 10' 8" L</t>
  </si>
  <si>
    <t xml:space="preserve">Y-Dir Bet; Line C&amp;D, 18' L </t>
  </si>
  <si>
    <t xml:space="preserve">X-Dir Bet; 2&amp;3, 27' L </t>
  </si>
  <si>
    <t xml:space="preserve">X-Dir Bet; 3&amp;4, 10' 8"+8' 6" L </t>
  </si>
  <si>
    <t>Portico, Y-Dir</t>
  </si>
  <si>
    <t>Portico, X-Dir</t>
  </si>
  <si>
    <t>6" Thk; Hardcore with Sand Filling Work</t>
  </si>
  <si>
    <t>(1:3:6) Lean Conc; Work</t>
  </si>
  <si>
    <t>9" Thk; Up to N.G.L</t>
  </si>
  <si>
    <t>13½"Thk; Retaining Wall Brick Work</t>
  </si>
  <si>
    <t>Portico, Y-Dir, 5' 8" L</t>
  </si>
  <si>
    <t>Portico, X-Dir, 9' 2" L</t>
  </si>
  <si>
    <t>Ft</t>
  </si>
  <si>
    <t>9" Thk; Above N.G.L</t>
  </si>
  <si>
    <t>Total Length of 9" R/Wall (Above N.G.L)</t>
  </si>
  <si>
    <t>Total Length of 9" R/Wall (Up to N.G.L)</t>
  </si>
  <si>
    <t>Foundation to Plinth Level</t>
  </si>
  <si>
    <t>C1 (10" x 10")</t>
  </si>
  <si>
    <t>Plinth to Roof Beam</t>
  </si>
  <si>
    <t>PC (10" x 10")</t>
  </si>
  <si>
    <t>Prop Column</t>
  </si>
  <si>
    <t>6 T 16 mm Ø M.S Rod</t>
  </si>
  <si>
    <t xml:space="preserve">10 mm Ø Stirrup 4"~6" c/c </t>
  </si>
  <si>
    <t xml:space="preserve">R.C Conc; Casting Work For Beam </t>
  </si>
  <si>
    <t>Ground Beam (3' 0" Level)</t>
  </si>
  <si>
    <t>GB1 ( 10" x 10'')</t>
  </si>
  <si>
    <t xml:space="preserve">X-Dir Line Bet; D-E, 8' 6" L </t>
  </si>
  <si>
    <t>Line A &amp; B, 4-5, 6' 6" L</t>
  </si>
  <si>
    <t>Line E, 6' 8" L</t>
  </si>
  <si>
    <t xml:space="preserve">Portico Beam, </t>
  </si>
  <si>
    <t>GB2 ( 10" x 12'')</t>
  </si>
  <si>
    <t xml:space="preserve">Y-Dir Line, B-D, 27' L </t>
  </si>
  <si>
    <t>Line E, 23' L</t>
  </si>
  <si>
    <t xml:space="preserve">Line, A, B, C&amp;D, 35' 10" L </t>
  </si>
  <si>
    <t>RB1 (10" x 10")</t>
  </si>
  <si>
    <t>X-Dir Line, (A-B), 10' 8" L</t>
  </si>
  <si>
    <t>X-Dir Line, (D-E), 8' 6" L</t>
  </si>
  <si>
    <t xml:space="preserve">Portico Line 1', </t>
  </si>
  <si>
    <t xml:space="preserve">Line A', 15' 3" L </t>
  </si>
  <si>
    <t xml:space="preserve">Line E, 6' 8" L </t>
  </si>
  <si>
    <t xml:space="preserve">Y-Dir Line, Bet; 2&amp;3  </t>
  </si>
  <si>
    <t>Y-Dir Line, (1'-2')</t>
  </si>
  <si>
    <t>Y-Dir Line, (2'~2)</t>
  </si>
  <si>
    <t>Y-Dir Line, (1'~1)</t>
  </si>
  <si>
    <t xml:space="preserve">Line A,B,C&amp;D, (1-4), 35' 8" L </t>
  </si>
  <si>
    <t>X-Dir Line (B-D), 27' L</t>
  </si>
  <si>
    <t xml:space="preserve">Line E, (1-3), 23' L </t>
  </si>
  <si>
    <t>Deduction R/Wall (Above N.G.L)</t>
  </si>
  <si>
    <t xml:space="preserve">Total Beam </t>
  </si>
  <si>
    <t>X-Dir Line Bet; A-B, 10' 8"L</t>
  </si>
  <si>
    <t>10mm Ø Stirrup 4"~6" c/c</t>
  </si>
  <si>
    <t>Concrete Casting Work For Footing</t>
  </si>
  <si>
    <t>16mm Re bar 6" c/c, Both way</t>
  </si>
  <si>
    <t>16mmØ</t>
  </si>
  <si>
    <t>Ready made F/W for PB</t>
  </si>
  <si>
    <t>14"</t>
  </si>
  <si>
    <t>x</t>
  </si>
  <si>
    <t>Qty</t>
  </si>
  <si>
    <t>plywood + Frame တြဲၿပီး</t>
  </si>
  <si>
    <t>Only Frame</t>
  </si>
  <si>
    <t>16"</t>
  </si>
  <si>
    <t>MS Sheet + Frame</t>
  </si>
  <si>
    <t>12"</t>
  </si>
  <si>
    <t>10"</t>
  </si>
  <si>
    <t>Side</t>
  </si>
  <si>
    <t>Front &amp; Back, Trapezoidal Portion 1</t>
  </si>
  <si>
    <t>Front &amp; Back, Parallel Portion 1</t>
  </si>
  <si>
    <t>Side, Triangle Portion</t>
  </si>
  <si>
    <t>Side, Parallel Portion</t>
  </si>
  <si>
    <t>5" x 2.5" x 1.4 mm thk; Hollow</t>
  </si>
  <si>
    <t xml:space="preserve">Above Roof Beam Level, </t>
  </si>
  <si>
    <t>Portico</t>
  </si>
  <si>
    <t>Main Building, Line 1</t>
  </si>
  <si>
    <t xml:space="preserve">Line 4 </t>
  </si>
  <si>
    <t>Line A, (1-4)</t>
  </si>
  <si>
    <t>Line E</t>
  </si>
  <si>
    <t>Line D</t>
  </si>
  <si>
    <t>Above Prop Column</t>
  </si>
  <si>
    <t>4"x2" Hollow (1.4mm thk;)</t>
  </si>
  <si>
    <t>Portico (Prop Col; ေခါင္ခ်ုဳပ္)</t>
  </si>
  <si>
    <t>Main (ေခါင္ရိုး, Inclined)</t>
  </si>
  <si>
    <t>ေခါင္ရိုး, Inclined</t>
  </si>
  <si>
    <t>Portico (ေခါင္ရိုး, Inclined)</t>
  </si>
  <si>
    <t>Bet; Line A&amp;B ၾကား (Prop Col; ေခါင္ခ်ဳပ္)</t>
  </si>
  <si>
    <t>Rafter (Front )</t>
  </si>
  <si>
    <t>Rafter (Back )</t>
  </si>
  <si>
    <t>Rafter (Right Side)</t>
  </si>
  <si>
    <t>Rafter (Leftt Side)</t>
  </si>
  <si>
    <t>3" x 2" Hollow (1.2mm thk;)</t>
  </si>
  <si>
    <t>L1</t>
  </si>
  <si>
    <t>L2</t>
  </si>
  <si>
    <t>L3</t>
  </si>
  <si>
    <t>L4</t>
  </si>
  <si>
    <t>L5</t>
  </si>
  <si>
    <t>L6</t>
  </si>
  <si>
    <t>L0</t>
  </si>
  <si>
    <t>L7</t>
  </si>
  <si>
    <t>L8</t>
  </si>
  <si>
    <t>L9</t>
  </si>
  <si>
    <t>L10</t>
  </si>
  <si>
    <t>L11</t>
  </si>
  <si>
    <t>1½" x 1½" x¼" thk; Purlin cleat</t>
  </si>
  <si>
    <t>1½" x 1½" thk; Purlin cleat</t>
  </si>
  <si>
    <t>ေခါင္ရိုးအေစာင္းေနရာ (မ်ွားတင္ရန္)</t>
  </si>
  <si>
    <t>Right Side (Valley 1 &amp; Ridge 2), 3 Line x 2 No)</t>
  </si>
  <si>
    <t>Main Ridge (3Line x 2No)</t>
  </si>
  <si>
    <t>Portico (Valley 2 &amp; Ridge 2), 4 Line x 2 No</t>
  </si>
  <si>
    <t>Back (Valley 1 &amp; Ridge 2), 3 Line x 2 No</t>
  </si>
  <si>
    <t>Main, Inclined Ridge</t>
  </si>
  <si>
    <t>Main Horizontal Ridge</t>
  </si>
  <si>
    <t>Right Side, Horizontal Ridge</t>
  </si>
  <si>
    <t>Right Side, Valley 1 No &amp; Ridge 2 No, Inclined</t>
  </si>
  <si>
    <t>Portico, Horizontal Ridge</t>
  </si>
  <si>
    <t>Portico, Valley &amp; Ridge</t>
  </si>
  <si>
    <t>Back Roof, Valley &amp; Ridge</t>
  </si>
  <si>
    <t>Back Roof, Horizontal Ridge</t>
  </si>
  <si>
    <t>Portico PC (10" x 10")</t>
  </si>
  <si>
    <t>Back, PC (10" x 10")</t>
  </si>
  <si>
    <t>4 T 16 mm Ø M.S Rod</t>
  </si>
  <si>
    <t>Total Length of PB1</t>
  </si>
  <si>
    <t>Total Length of PB2</t>
  </si>
  <si>
    <t>Hardcore</t>
  </si>
  <si>
    <t>( c ) Ridge Covering Work</t>
  </si>
  <si>
    <t>4½" Thk; Brick Walling Work</t>
  </si>
  <si>
    <t>External Wall</t>
  </si>
  <si>
    <t>Line E, 46' 2"</t>
  </si>
  <si>
    <t>Line A, 10' 8"</t>
  </si>
  <si>
    <t xml:space="preserve">Line B, 27' L </t>
  </si>
  <si>
    <t xml:space="preserve">Line B', 8' 6" L </t>
  </si>
  <si>
    <t xml:space="preserve">Line 1, 42' 2" L </t>
  </si>
  <si>
    <t>Line 2, 6' 6" L</t>
  </si>
  <si>
    <t xml:space="preserve">Line 4, 6' 3" L </t>
  </si>
  <si>
    <t xml:space="preserve">Line 5, 29' 5" L </t>
  </si>
  <si>
    <t>W3 (6' 8" x 6' 0")</t>
  </si>
  <si>
    <t>W1 (2' 4" x 6' 0")</t>
  </si>
  <si>
    <t>F2 (4' 6" x 2' 4")</t>
  </si>
  <si>
    <t>D2 (7' 2" x 3' 3")</t>
  </si>
  <si>
    <t>D1 (6' 0"x 9' 0")</t>
  </si>
  <si>
    <t>F1 (2' 6" x 6' 0")</t>
  </si>
  <si>
    <t>Internal Wall</t>
  </si>
  <si>
    <t>X-Dir Partition Line (1-2)</t>
  </si>
  <si>
    <t>X-Dir Partition Line (2-3)</t>
  </si>
  <si>
    <t>X-Dir Partition Line (3-4)</t>
  </si>
  <si>
    <t>X-Dir Partition Line (4-5)</t>
  </si>
  <si>
    <t>Line 2</t>
  </si>
  <si>
    <t>Line 3</t>
  </si>
  <si>
    <t>Line 4</t>
  </si>
  <si>
    <t>Void Bet; Living Rm &amp; Dinning Rm</t>
  </si>
  <si>
    <t>Void Bet; Living Rm &amp; Passage</t>
  </si>
  <si>
    <t>Glass Wall  Bet; Living Rm &amp; Passage</t>
  </si>
  <si>
    <t>D3 (7' 2" x 3' 3")</t>
  </si>
  <si>
    <t>D3 ( 3' 3" x 7' 2")</t>
  </si>
  <si>
    <t>D2 ( 3' 3" x 7' 2")</t>
  </si>
  <si>
    <t xml:space="preserve">Internal Wall Lintel </t>
  </si>
  <si>
    <t>Internal Wall Sill</t>
  </si>
  <si>
    <t>External Wall Lintel</t>
  </si>
  <si>
    <t>External Wall Sill</t>
  </si>
  <si>
    <t>Stiffener @ Wall Corner</t>
  </si>
  <si>
    <t>Brick Wall x 2 Side</t>
  </si>
  <si>
    <t>(a) Amcan Metal Sheet Roofing Work</t>
  </si>
  <si>
    <t>( b ) Steel Structure Work for Roofing</t>
  </si>
  <si>
    <t>Roofing Sheet (Amcan)</t>
  </si>
  <si>
    <t>5" x 2.5"  Hollow</t>
  </si>
  <si>
    <t xml:space="preserve">4"x2" Hollow </t>
  </si>
  <si>
    <t xml:space="preserve">3" x 2" Hollow </t>
  </si>
  <si>
    <t>1½" x 1½" x¼" thk; Angle</t>
  </si>
  <si>
    <t>Roofing Secrew</t>
  </si>
  <si>
    <t>10"  Eave Board</t>
  </si>
  <si>
    <t>( d ) Providing &amp; Fixing Of 10"  Eave Board</t>
  </si>
  <si>
    <t>3/4" x 3/4" Hollow Frame</t>
  </si>
  <si>
    <t xml:space="preserve">3/4" x 3/4" Hollow </t>
  </si>
  <si>
    <t>Gutter Bracket</t>
  </si>
  <si>
    <t>Plinth Plaster</t>
  </si>
  <si>
    <t>W2 (4' 6" x 6' 0")</t>
  </si>
  <si>
    <t>Column Plaster</t>
  </si>
  <si>
    <t>( c ) 1½"Thk; Floor Topping Work</t>
  </si>
  <si>
    <t>Total Wall Length</t>
  </si>
  <si>
    <t>Scaffolding Work</t>
  </si>
  <si>
    <t>R.C Conc; Casting Work Beam</t>
  </si>
  <si>
    <t>X-met</t>
  </si>
  <si>
    <t>Bamboo</t>
  </si>
  <si>
    <t>Coiryarn</t>
  </si>
  <si>
    <t>Lintel &amp; Stiffener Work</t>
  </si>
  <si>
    <t>( c ) Re bar Work</t>
  </si>
  <si>
    <t>2T- 10mm Re bar</t>
  </si>
  <si>
    <t>6.5mm Ø M.S Rod</t>
  </si>
  <si>
    <t>10mmØ</t>
  </si>
  <si>
    <t>6.5mmØ</t>
  </si>
  <si>
    <t>( a ) ( 1:2:4) RCC Concrete Work</t>
  </si>
  <si>
    <t xml:space="preserve">10 mm Ø </t>
  </si>
  <si>
    <t xml:space="preserve">16 mm Ø </t>
  </si>
  <si>
    <t>Providing &amp; Fixing of Chowket Work</t>
  </si>
  <si>
    <t>5"x 2" Chowket</t>
  </si>
  <si>
    <t>Coal Tar</t>
  </si>
  <si>
    <t>Bracket</t>
  </si>
  <si>
    <t>Main Building (အုတ္စီ၊ ေခ်ာ၊ က်ည္းေဘာင္ေထာင္၊ အမိုးမိုး)</t>
  </si>
  <si>
    <t>One Storeyed RCC Building (46' 2" X 42' 6")</t>
  </si>
  <si>
    <t>NPT</t>
  </si>
  <si>
    <t>Main (R &amp; L Side)</t>
  </si>
  <si>
    <t>Amcan Sheet</t>
  </si>
  <si>
    <t>3" x 2" Hollow Purlin</t>
  </si>
  <si>
    <t>Total Qty</t>
  </si>
  <si>
    <t>Roofing Material List</t>
  </si>
  <si>
    <t>( e ) Fixing Of Gutter Work</t>
  </si>
  <si>
    <t>Cement (Up to Plinth)</t>
  </si>
  <si>
    <t>Width</t>
  </si>
  <si>
    <t>Length</t>
  </si>
  <si>
    <t>Excavation</t>
  </si>
  <si>
    <t>Ground Beam Re Bar</t>
  </si>
  <si>
    <t>Roof Beam Rebar</t>
  </si>
  <si>
    <t>Lean</t>
  </si>
  <si>
    <t>RC Concrete</t>
  </si>
  <si>
    <t>9" Brick Wall</t>
  </si>
  <si>
    <t>Re Bar</t>
  </si>
  <si>
    <t>F/W</t>
  </si>
  <si>
    <t>4½ Wall</t>
  </si>
  <si>
    <t>SS Roof</t>
  </si>
  <si>
    <t>Skilled</t>
  </si>
  <si>
    <t>( b ) Formwork (3 Times used)</t>
  </si>
  <si>
    <t>Preliminary Cost (5%)</t>
  </si>
  <si>
    <t>Transportation Charges (3% of Material)</t>
  </si>
  <si>
    <t>Supervision Charges (10%)</t>
  </si>
  <si>
    <t xml:space="preserve"> - Overhead &amp; Contingency Charges (2%)</t>
  </si>
  <si>
    <t>NAY PYI TAW</t>
  </si>
  <si>
    <t>Total Cost</t>
  </si>
  <si>
    <t>Total (Material + Labour) Amount</t>
  </si>
  <si>
    <t>Roofing Sheet (Amcan) (ထပ္ၿပီး 2' 6"က်န္)</t>
  </si>
  <si>
    <t>ကိုေအာင္ကိုမ်ိဳး</t>
  </si>
  <si>
    <t>After Design</t>
  </si>
  <si>
    <t>Refrence NPT</t>
  </si>
  <si>
    <t>Foundation to Roof Beam</t>
  </si>
  <si>
    <t>R/Wall Dowel bar(Above NGL)</t>
  </si>
  <si>
    <t>Superstructure Dowel bar</t>
  </si>
  <si>
    <t>Broken Brick</t>
  </si>
  <si>
    <t>GI (1' 6" x 1' 6") Manhole Cover</t>
  </si>
  <si>
    <t xml:space="preserve">4" Ø GI Vent Pipe </t>
  </si>
  <si>
    <t>4" Ø PVC Outlet Pipe (T)</t>
  </si>
  <si>
    <t>4" Ø PVC Inlet Pipe (T)</t>
  </si>
  <si>
    <t>X-Met</t>
  </si>
  <si>
    <t>Silicon</t>
  </si>
  <si>
    <t>Lit</t>
  </si>
  <si>
    <t>Early Strength (0.5Lit/1M³)</t>
  </si>
  <si>
    <t>M³</t>
  </si>
  <si>
    <t>Bonding Agent</t>
  </si>
  <si>
    <t>Concrete Nail (1½")</t>
  </si>
  <si>
    <t>Concrete Nail (2")</t>
  </si>
  <si>
    <t>Box</t>
  </si>
  <si>
    <t>Y-Dir Bet (C&amp;D)1-2',</t>
  </si>
  <si>
    <t>RB2 (10" x 12")</t>
  </si>
  <si>
    <t>3" x 1.5" Hollow (1.2mm thk;)</t>
  </si>
  <si>
    <t>5"x3" Hardwood Chowket</t>
  </si>
  <si>
    <t>5"x2" Hardwood Chowket</t>
  </si>
  <si>
    <t>5"x 3" Chowket</t>
  </si>
  <si>
    <t>5"x5" Hollow</t>
  </si>
  <si>
    <t>SC</t>
  </si>
  <si>
    <t>5"x5"Hollow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</si>
</sst>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71" formatCode="_-* #,##0_-;\-* #,##0_-;_-* &quot;-&quot;??_-;_-@_-"/>
    <numFmt numFmtId="175" formatCode="0.000"/>
  </numFmts>
  <fonts count="28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9"/>
      <name val="Zawgyi-One"/>
      <family val="2"/>
    </font>
    <font>
      <sz val="11"/>
      <name val="Zawgyi-One"/>
      <family val="2"/>
    </font>
    <font>
      <sz val="8"/>
      <name val="Arial"/>
      <family val="2"/>
    </font>
    <font>
      <sz val="11"/>
      <color indexed="8"/>
      <name val="Myanmar2"/>
      <family val="2"/>
    </font>
    <font>
      <b/>
      <sz val="9"/>
      <name val="Arial"/>
      <family val="2"/>
    </font>
    <font>
      <sz val="10"/>
      <color indexed="8"/>
      <name val="Zawgyi-One"/>
      <family val="2"/>
    </font>
    <font>
      <b/>
      <sz val="11"/>
      <name val="Zawgyi-One"/>
      <family val="2"/>
    </font>
    <font>
      <sz val="9"/>
      <color indexed="8"/>
      <name val="Zawgyi-One"/>
      <family val="2"/>
    </font>
    <font>
      <b/>
      <sz val="9"/>
      <name val="Zawgyi-One"/>
      <family val="2"/>
    </font>
    <font>
      <sz val="8"/>
      <name val="Arial"/>
      <family val="2"/>
    </font>
    <font>
      <sz val="12"/>
      <name val="Zawgyi-One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Zawgyi-One"/>
      <family val="2"/>
    </font>
    <font>
      <sz val="9"/>
      <color theme="1"/>
      <name val="Zawgyi-One"/>
      <family val="2"/>
    </font>
    <font>
      <i/>
      <sz val="9"/>
      <color theme="1"/>
      <name val="Zawgyi-One"/>
      <family val="2"/>
    </font>
    <font>
      <sz val="11"/>
      <color theme="1"/>
      <name val="Zawgyi-One"/>
      <family val="2"/>
    </font>
    <font>
      <b/>
      <sz val="9"/>
      <color theme="1"/>
      <name val="Zawgyi-One"/>
      <family val="2"/>
    </font>
    <font>
      <sz val="10"/>
      <color rgb="FF00B050"/>
      <name val="Arial"/>
      <family val="2"/>
    </font>
    <font>
      <sz val="9"/>
      <color rgb="FFFF0000"/>
      <name val="Zawgyi-One"/>
      <family val="2"/>
    </font>
    <font>
      <b/>
      <sz val="9"/>
      <color rgb="FFFF0000"/>
      <name val="Zawgyi-One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7" fillId="0" borderId="0"/>
    <xf numFmtId="0" fontId="2" fillId="0" borderId="0"/>
  </cellStyleXfs>
  <cellXfs count="337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3" fontId="4" fillId="0" borderId="0" xfId="0" applyNumberFormat="1" applyFont="1" applyAlignment="1">
      <alignment vertical="center"/>
    </xf>
    <xf numFmtId="0" fontId="8" fillId="0" borderId="0" xfId="0" applyFont="1" applyFill="1" applyAlignment="1">
      <alignment vertical="center"/>
    </xf>
    <xf numFmtId="43" fontId="4" fillId="0" borderId="0" xfId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43" fontId="14" fillId="0" borderId="0" xfId="2" applyFont="1" applyAlignment="1">
      <alignment vertical="center"/>
    </xf>
    <xf numFmtId="43" fontId="14" fillId="0" borderId="0" xfId="0" applyNumberFormat="1" applyFont="1" applyAlignment="1">
      <alignment vertical="center"/>
    </xf>
    <xf numFmtId="0" fontId="14" fillId="0" borderId="0" xfId="0" applyFont="1"/>
    <xf numFmtId="0" fontId="3" fillId="0" borderId="2" xfId="0" applyFont="1" applyBorder="1" applyAlignment="1">
      <alignment horizontal="center" vertical="center"/>
    </xf>
    <xf numFmtId="43" fontId="3" fillId="0" borderId="2" xfId="2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43" fontId="3" fillId="0" borderId="3" xfId="2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3" fillId="0" borderId="1" xfId="2" applyFont="1" applyBorder="1" applyAlignment="1">
      <alignment vertical="center"/>
    </xf>
    <xf numFmtId="43" fontId="3" fillId="0" borderId="2" xfId="2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right" vertical="center"/>
    </xf>
    <xf numFmtId="165" fontId="4" fillId="0" borderId="1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3" fontId="21" fillId="0" borderId="1" xfId="1" applyNumberFormat="1" applyFont="1" applyFill="1" applyBorder="1" applyAlignment="1">
      <alignment horizontal="center" vertical="center"/>
    </xf>
    <xf numFmtId="0" fontId="21" fillId="0" borderId="3" xfId="8" applyFont="1" applyFill="1" applyBorder="1" applyAlignment="1">
      <alignment horizontal="left" vertical="center"/>
    </xf>
    <xf numFmtId="2" fontId="21" fillId="0" borderId="0" xfId="0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175" fontId="21" fillId="0" borderId="0" xfId="0" applyNumberFormat="1" applyFont="1" applyFill="1" applyBorder="1" applyAlignment="1">
      <alignment vertical="center"/>
    </xf>
    <xf numFmtId="0" fontId="21" fillId="0" borderId="1" xfId="8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43" fontId="21" fillId="0" borderId="1" xfId="4" applyFont="1" applyFill="1" applyBorder="1" applyAlignment="1">
      <alignment vertical="center"/>
    </xf>
    <xf numFmtId="0" fontId="21" fillId="0" borderId="1" xfId="0" applyFont="1" applyFill="1" applyBorder="1" applyAlignment="1">
      <alignment horizontal="right" vertical="center"/>
    </xf>
    <xf numFmtId="0" fontId="21" fillId="0" borderId="5" xfId="0" applyFont="1" applyFill="1" applyBorder="1" applyAlignment="1">
      <alignment horizontal="right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  <xf numFmtId="43" fontId="21" fillId="0" borderId="0" xfId="1" applyFont="1" applyFill="1" applyAlignment="1">
      <alignment vertical="center"/>
    </xf>
    <xf numFmtId="43" fontId="21" fillId="0" borderId="0" xfId="1" applyFont="1" applyFill="1" applyBorder="1" applyAlignment="1">
      <alignment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left" vertical="center"/>
    </xf>
    <xf numFmtId="165" fontId="21" fillId="0" borderId="3" xfId="1" applyNumberFormat="1" applyFont="1" applyFill="1" applyBorder="1" applyAlignment="1">
      <alignment horizontal="center" vertical="center"/>
    </xf>
    <xf numFmtId="43" fontId="21" fillId="0" borderId="3" xfId="1" applyFont="1" applyFill="1" applyBorder="1" applyAlignment="1">
      <alignment horizontal="center" vertical="center"/>
    </xf>
    <xf numFmtId="43" fontId="21" fillId="0" borderId="1" xfId="1" applyFont="1" applyFill="1" applyBorder="1" applyAlignment="1">
      <alignment horizontal="center" vertical="center"/>
    </xf>
    <xf numFmtId="43" fontId="21" fillId="0" borderId="5" xfId="1" applyFont="1" applyFill="1" applyBorder="1" applyAlignment="1">
      <alignment horizontal="center" vertical="center"/>
    </xf>
    <xf numFmtId="165" fontId="21" fillId="0" borderId="1" xfId="1" applyNumberFormat="1" applyFont="1" applyFill="1" applyBorder="1" applyAlignment="1">
      <alignment horizontal="center" vertical="center"/>
    </xf>
    <xf numFmtId="43" fontId="21" fillId="0" borderId="2" xfId="1" applyFont="1" applyFill="1" applyBorder="1" applyAlignment="1">
      <alignment horizontal="center" vertical="center"/>
    </xf>
    <xf numFmtId="43" fontId="21" fillId="0" borderId="0" xfId="0" applyNumberFormat="1" applyFont="1" applyFill="1" applyAlignment="1">
      <alignment vertical="center"/>
    </xf>
    <xf numFmtId="0" fontId="21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right" vertical="center"/>
    </xf>
    <xf numFmtId="43" fontId="21" fillId="0" borderId="0" xfId="0" applyNumberFormat="1" applyFont="1" applyFill="1" applyBorder="1" applyAlignment="1">
      <alignment vertical="center"/>
    </xf>
    <xf numFmtId="0" fontId="21" fillId="0" borderId="3" xfId="7" applyFont="1" applyFill="1" applyBorder="1" applyAlignment="1">
      <alignment horizontal="right" vertical="center"/>
    </xf>
    <xf numFmtId="43" fontId="21" fillId="0" borderId="3" xfId="0" applyNumberFormat="1" applyFont="1" applyFill="1" applyBorder="1" applyAlignment="1">
      <alignment horizontal="center" vertical="center"/>
    </xf>
    <xf numFmtId="43" fontId="21" fillId="0" borderId="6" xfId="1" applyFont="1" applyFill="1" applyBorder="1" applyAlignment="1">
      <alignment horizontal="center" vertical="center"/>
    </xf>
    <xf numFmtId="0" fontId="21" fillId="0" borderId="1" xfId="7" applyFont="1" applyFill="1" applyBorder="1" applyAlignment="1">
      <alignment horizontal="right" vertical="center"/>
    </xf>
    <xf numFmtId="43" fontId="21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 vertical="center"/>
    </xf>
    <xf numFmtId="43" fontId="21" fillId="0" borderId="7" xfId="1" applyFont="1" applyFill="1" applyBorder="1" applyAlignment="1">
      <alignment horizontal="center" vertical="center"/>
    </xf>
    <xf numFmtId="167" fontId="21" fillId="0" borderId="1" xfId="1" applyNumberFormat="1" applyFont="1" applyFill="1" applyBorder="1" applyAlignment="1">
      <alignment horizontal="center" vertical="center"/>
    </xf>
    <xf numFmtId="43" fontId="21" fillId="0" borderId="4" xfId="1" applyFont="1" applyFill="1" applyBorder="1" applyAlignment="1">
      <alignment horizontal="center" vertical="center"/>
    </xf>
    <xf numFmtId="0" fontId="21" fillId="0" borderId="5" xfId="7" applyFont="1" applyFill="1" applyBorder="1" applyAlignment="1">
      <alignment horizontal="right" vertical="center"/>
    </xf>
    <xf numFmtId="43" fontId="21" fillId="0" borderId="5" xfId="0" applyNumberFormat="1" applyFont="1" applyFill="1" applyBorder="1" applyAlignment="1">
      <alignment horizontal="center" vertical="center"/>
    </xf>
    <xf numFmtId="171" fontId="21" fillId="0" borderId="0" xfId="10" applyNumberFormat="1" applyFont="1" applyFill="1" applyBorder="1" applyAlignment="1">
      <alignment horizontal="right" vertical="center"/>
    </xf>
    <xf numFmtId="0" fontId="21" fillId="0" borderId="0" xfId="0" applyFont="1" applyFill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43" fontId="21" fillId="0" borderId="0" xfId="1" applyFont="1" applyFill="1" applyAlignment="1">
      <alignment horizontal="right" vertical="center"/>
    </xf>
    <xf numFmtId="165" fontId="21" fillId="0" borderId="0" xfId="1" applyNumberFormat="1" applyFont="1" applyFill="1" applyAlignment="1">
      <alignment horizontal="right" vertical="center"/>
    </xf>
    <xf numFmtId="0" fontId="21" fillId="0" borderId="8" xfId="0" applyFont="1" applyFill="1" applyBorder="1" applyAlignment="1">
      <alignment horizontal="center" vertical="center"/>
    </xf>
    <xf numFmtId="43" fontId="21" fillId="0" borderId="8" xfId="1" applyFont="1" applyFill="1" applyBorder="1" applyAlignment="1">
      <alignment horizontal="right" vertical="center"/>
    </xf>
    <xf numFmtId="165" fontId="21" fillId="0" borderId="8" xfId="1" applyNumberFormat="1" applyFont="1" applyFill="1" applyBorder="1" applyAlignment="1">
      <alignment horizontal="center" vertical="center"/>
    </xf>
    <xf numFmtId="43" fontId="21" fillId="0" borderId="8" xfId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43" fontId="4" fillId="0" borderId="9" xfId="1" applyFont="1" applyFill="1" applyBorder="1" applyAlignment="1">
      <alignment horizontal="center" vertical="center"/>
    </xf>
    <xf numFmtId="43" fontId="4" fillId="0" borderId="10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67" fontId="4" fillId="0" borderId="1" xfId="1" applyNumberFormat="1" applyFont="1" applyFill="1" applyBorder="1" applyAlignment="1">
      <alignment horizontal="center" vertical="center"/>
    </xf>
    <xf numFmtId="165" fontId="12" fillId="0" borderId="1" xfId="1" applyNumberFormat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vertical="center"/>
    </xf>
    <xf numFmtId="0" fontId="12" fillId="0" borderId="1" xfId="0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43" fontId="12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right" vertical="center"/>
    </xf>
    <xf numFmtId="165" fontId="4" fillId="0" borderId="1" xfId="1" applyNumberFormat="1" applyFont="1" applyFill="1" applyBorder="1" applyAlignment="1">
      <alignment vertical="center"/>
    </xf>
    <xf numFmtId="43" fontId="4" fillId="0" borderId="1" xfId="1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43" fontId="4" fillId="0" borderId="1" xfId="0" applyNumberFormat="1" applyFont="1" applyFill="1" applyBorder="1" applyAlignment="1">
      <alignment vertical="center"/>
    </xf>
    <xf numFmtId="43" fontId="12" fillId="0" borderId="1" xfId="1" applyNumberFormat="1" applyFont="1" applyFill="1" applyBorder="1" applyAlignment="1">
      <alignment horizontal="center" vertical="center"/>
    </xf>
    <xf numFmtId="43" fontId="4" fillId="0" borderId="0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horizontal="right" vertical="center"/>
    </xf>
    <xf numFmtId="165" fontId="4" fillId="0" borderId="4" xfId="1" applyNumberFormat="1" applyFont="1" applyFill="1" applyBorder="1" applyAlignment="1">
      <alignment horizontal="center" vertical="center"/>
    </xf>
    <xf numFmtId="43" fontId="4" fillId="0" borderId="4" xfId="1" applyFont="1" applyFill="1" applyBorder="1" applyAlignment="1">
      <alignment horizontal="center" vertical="center"/>
    </xf>
    <xf numFmtId="165" fontId="4" fillId="0" borderId="0" xfId="1" applyNumberFormat="1" applyFont="1" applyFill="1" applyAlignment="1">
      <alignment vertical="center"/>
    </xf>
    <xf numFmtId="43" fontId="4" fillId="0" borderId="0" xfId="1" applyFont="1" applyFill="1" applyAlignment="1">
      <alignment vertical="center"/>
    </xf>
    <xf numFmtId="43" fontId="4" fillId="0" borderId="0" xfId="1" applyFont="1" applyFill="1" applyAlignment="1">
      <alignment horizontal="center" vertical="center"/>
    </xf>
    <xf numFmtId="43" fontId="4" fillId="0" borderId="12" xfId="1" applyFont="1" applyFill="1" applyBorder="1" applyAlignment="1">
      <alignment horizontal="center" vertical="center"/>
    </xf>
    <xf numFmtId="43" fontId="4" fillId="0" borderId="13" xfId="1" applyFont="1" applyFill="1" applyBorder="1" applyAlignment="1">
      <alignment horizontal="center" vertical="center"/>
    </xf>
    <xf numFmtId="43" fontId="21" fillId="0" borderId="1" xfId="1" applyFont="1" applyFill="1" applyBorder="1" applyAlignment="1">
      <alignment horizontal="right" vertical="center"/>
    </xf>
    <xf numFmtId="43" fontId="21" fillId="0" borderId="4" xfId="1" applyFont="1" applyFill="1" applyBorder="1" applyAlignment="1">
      <alignment horizontal="right" vertical="center"/>
    </xf>
    <xf numFmtId="165" fontId="21" fillId="0" borderId="4" xfId="1" applyNumberFormat="1" applyFont="1" applyFill="1" applyBorder="1" applyAlignment="1">
      <alignment horizontal="center" vertical="center"/>
    </xf>
    <xf numFmtId="43" fontId="21" fillId="0" borderId="3" xfId="1" applyFont="1" applyFill="1" applyBorder="1" applyAlignment="1">
      <alignment horizontal="right" vertical="center"/>
    </xf>
    <xf numFmtId="0" fontId="21" fillId="0" borderId="3" xfId="0" applyFont="1" applyFill="1" applyBorder="1" applyAlignment="1">
      <alignment horizontal="right" vertical="center"/>
    </xf>
    <xf numFmtId="43" fontId="21" fillId="0" borderId="2" xfId="1" applyFont="1" applyFill="1" applyBorder="1" applyAlignment="1">
      <alignment horizontal="right" vertical="center"/>
    </xf>
    <xf numFmtId="43" fontId="21" fillId="0" borderId="0" xfId="1" applyFont="1" applyFill="1" applyBorder="1" applyAlignment="1">
      <alignment horizontal="right" vertical="center"/>
    </xf>
    <xf numFmtId="165" fontId="4" fillId="0" borderId="0" xfId="1" applyNumberFormat="1" applyFont="1" applyFill="1" applyAlignment="1">
      <alignment horizontal="left" vertical="center"/>
    </xf>
    <xf numFmtId="165" fontId="12" fillId="0" borderId="0" xfId="1" applyNumberFormat="1" applyFont="1" applyFill="1" applyAlignment="1">
      <alignment vertical="center"/>
    </xf>
    <xf numFmtId="0" fontId="12" fillId="0" borderId="0" xfId="10" applyFont="1" applyFill="1" applyBorder="1" applyAlignment="1">
      <alignment horizontal="center" vertical="center"/>
    </xf>
    <xf numFmtId="0" fontId="4" fillId="0" borderId="0" xfId="0" applyFont="1"/>
    <xf numFmtId="165" fontId="4" fillId="0" borderId="0" xfId="1" applyNumberFormat="1" applyFont="1" applyAlignment="1">
      <alignment vertical="center"/>
    </xf>
    <xf numFmtId="43" fontId="12" fillId="0" borderId="0" xfId="1" applyFont="1" applyFill="1" applyBorder="1" applyAlignment="1">
      <alignment horizontal="center" vertical="center"/>
    </xf>
    <xf numFmtId="0" fontId="4" fillId="0" borderId="3" xfId="12" applyFont="1" applyFill="1" applyBorder="1" applyAlignment="1">
      <alignment horizontal="center" vertical="center"/>
    </xf>
    <xf numFmtId="0" fontId="12" fillId="0" borderId="3" xfId="12" applyFont="1" applyFill="1" applyBorder="1" applyAlignment="1">
      <alignment horizontal="center" vertical="center"/>
    </xf>
    <xf numFmtId="43" fontId="4" fillId="0" borderId="3" xfId="1" applyFont="1" applyFill="1" applyBorder="1" applyAlignment="1">
      <alignment horizontal="center" vertical="center"/>
    </xf>
    <xf numFmtId="0" fontId="4" fillId="0" borderId="1" xfId="12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left" vertical="center"/>
    </xf>
    <xf numFmtId="43" fontId="4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43" fontId="4" fillId="0" borderId="4" xfId="1" applyFont="1" applyFill="1" applyBorder="1" applyAlignment="1">
      <alignment vertical="center"/>
    </xf>
    <xf numFmtId="165" fontId="4" fillId="0" borderId="4" xfId="1" applyNumberFormat="1" applyFont="1" applyFill="1" applyBorder="1" applyAlignment="1">
      <alignment vertical="center"/>
    </xf>
    <xf numFmtId="0" fontId="4" fillId="0" borderId="0" xfId="0" applyFont="1" applyFill="1"/>
    <xf numFmtId="0" fontId="4" fillId="0" borderId="5" xfId="0" applyFont="1" applyFill="1" applyBorder="1" applyAlignment="1">
      <alignment vertical="center"/>
    </xf>
    <xf numFmtId="0" fontId="12" fillId="0" borderId="5" xfId="0" applyFont="1" applyFill="1" applyBorder="1" applyAlignment="1">
      <alignment horizontal="center" vertical="center"/>
    </xf>
    <xf numFmtId="43" fontId="4" fillId="0" borderId="5" xfId="1" applyFont="1" applyFill="1" applyBorder="1" applyAlignment="1">
      <alignment vertical="center"/>
    </xf>
    <xf numFmtId="165" fontId="4" fillId="0" borderId="5" xfId="1" applyNumberFormat="1" applyFont="1" applyFill="1" applyBorder="1" applyAlignment="1">
      <alignment vertical="center"/>
    </xf>
    <xf numFmtId="43" fontId="4" fillId="0" borderId="5" xfId="1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vertical="center"/>
    </xf>
    <xf numFmtId="43" fontId="4" fillId="0" borderId="0" xfId="1" applyFont="1" applyFill="1" applyBorder="1" applyAlignment="1">
      <alignment vertical="center"/>
    </xf>
    <xf numFmtId="43" fontId="4" fillId="0" borderId="0" xfId="0" applyNumberFormat="1" applyFont="1" applyFill="1" applyAlignment="1">
      <alignment vertical="center"/>
    </xf>
    <xf numFmtId="43" fontId="4" fillId="0" borderId="0" xfId="1" applyNumberFormat="1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43" fontId="4" fillId="0" borderId="3" xfId="1" applyFont="1" applyFill="1" applyBorder="1" applyAlignment="1">
      <alignment horizontal="left" vertical="center"/>
    </xf>
    <xf numFmtId="0" fontId="4" fillId="0" borderId="3" xfId="10" applyFont="1" applyFill="1" applyBorder="1" applyAlignment="1">
      <alignment horizontal="center" vertical="center"/>
    </xf>
    <xf numFmtId="43" fontId="4" fillId="0" borderId="3" xfId="1" applyNumberFormat="1" applyFont="1" applyFill="1" applyBorder="1" applyAlignment="1">
      <alignment horizontal="right" vertical="center"/>
    </xf>
    <xf numFmtId="0" fontId="4" fillId="0" borderId="1" xfId="10" applyFont="1" applyFill="1" applyBorder="1" applyAlignment="1">
      <alignment horizontal="center" vertical="center"/>
    </xf>
    <xf numFmtId="43" fontId="4" fillId="0" borderId="1" xfId="1" applyNumberFormat="1" applyFont="1" applyFill="1" applyBorder="1" applyAlignment="1">
      <alignment horizontal="right" vertical="center"/>
    </xf>
    <xf numFmtId="43" fontId="4" fillId="0" borderId="4" xfId="1" applyFont="1" applyFill="1" applyBorder="1" applyAlignment="1">
      <alignment horizontal="left" vertical="center"/>
    </xf>
    <xf numFmtId="0" fontId="4" fillId="0" borderId="4" xfId="10" applyFont="1" applyFill="1" applyBorder="1" applyAlignment="1">
      <alignment horizontal="center" vertical="center"/>
    </xf>
    <xf numFmtId="43" fontId="4" fillId="0" borderId="4" xfId="1" applyNumberFormat="1" applyFont="1" applyFill="1" applyBorder="1" applyAlignment="1">
      <alignment horizontal="right" vertical="center"/>
    </xf>
    <xf numFmtId="43" fontId="4" fillId="0" borderId="2" xfId="1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/>
    </xf>
    <xf numFmtId="43" fontId="4" fillId="0" borderId="0" xfId="0" applyNumberFormat="1" applyFont="1" applyFill="1"/>
    <xf numFmtId="165" fontId="4" fillId="0" borderId="3" xfId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165" fontId="4" fillId="0" borderId="1" xfId="2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right" vertical="center"/>
    </xf>
    <xf numFmtId="0" fontId="12" fillId="0" borderId="11" xfId="0" applyFont="1" applyFill="1" applyBorder="1" applyAlignment="1">
      <alignment horizontal="center" vertical="center"/>
    </xf>
    <xf numFmtId="43" fontId="4" fillId="0" borderId="1" xfId="4" applyFont="1" applyFill="1" applyBorder="1" applyAlignment="1">
      <alignment horizontal="right" vertical="center"/>
    </xf>
    <xf numFmtId="43" fontId="4" fillId="0" borderId="1" xfId="4" applyFont="1" applyFill="1" applyBorder="1" applyAlignment="1">
      <alignment horizontal="left" vertical="center"/>
    </xf>
    <xf numFmtId="43" fontId="4" fillId="0" borderId="1" xfId="4" applyFont="1" applyFill="1" applyBorder="1" applyAlignment="1">
      <alignment horizontal="center" vertical="center"/>
    </xf>
    <xf numFmtId="43" fontId="4" fillId="0" borderId="1" xfId="4" applyFont="1" applyFill="1" applyBorder="1" applyAlignment="1">
      <alignment vertical="center"/>
    </xf>
    <xf numFmtId="165" fontId="4" fillId="0" borderId="1" xfId="4" applyNumberFormat="1" applyFont="1" applyFill="1" applyBorder="1" applyAlignment="1">
      <alignment horizontal="right" vertical="center"/>
    </xf>
    <xf numFmtId="166" fontId="4" fillId="0" borderId="1" xfId="4" applyNumberFormat="1" applyFont="1" applyFill="1" applyBorder="1" applyAlignment="1">
      <alignment horizontal="center" vertical="center"/>
    </xf>
    <xf numFmtId="165" fontId="4" fillId="0" borderId="1" xfId="4" applyNumberFormat="1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horizontal="right" vertical="center"/>
    </xf>
    <xf numFmtId="43" fontId="14" fillId="0" borderId="0" xfId="1" applyFont="1" applyAlignment="1">
      <alignment vertical="center"/>
    </xf>
    <xf numFmtId="9" fontId="5" fillId="0" borderId="0" xfId="0" applyNumberFormat="1" applyFont="1" applyAlignment="1">
      <alignment vertical="center"/>
    </xf>
    <xf numFmtId="9" fontId="14" fillId="0" borderId="0" xfId="0" applyNumberFormat="1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0" fontId="0" fillId="2" borderId="0" xfId="0" applyFill="1"/>
    <xf numFmtId="0" fontId="1" fillId="2" borderId="0" xfId="0" applyFont="1" applyFill="1"/>
    <xf numFmtId="2" fontId="0" fillId="0" borderId="0" xfId="0" applyNumberFormat="1"/>
    <xf numFmtId="0" fontId="12" fillId="0" borderId="1" xfId="8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43" fontId="4" fillId="0" borderId="1" xfId="1" applyNumberFormat="1" applyFont="1" applyFill="1" applyBorder="1" applyAlignment="1">
      <alignment horizontal="left" vertical="center"/>
    </xf>
    <xf numFmtId="43" fontId="4" fillId="0" borderId="0" xfId="1" applyNumberFormat="1" applyFont="1" applyAlignment="1">
      <alignment vertical="center"/>
    </xf>
    <xf numFmtId="9" fontId="4" fillId="0" borderId="1" xfId="1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43" fontId="23" fillId="0" borderId="1" xfId="0" applyNumberFormat="1" applyFont="1" applyFill="1" applyBorder="1" applyAlignment="1">
      <alignment horizontal="center" vertical="center"/>
    </xf>
    <xf numFmtId="43" fontId="23" fillId="0" borderId="1" xfId="1" applyFont="1" applyFill="1" applyBorder="1" applyAlignment="1">
      <alignment horizontal="right" vertical="center"/>
    </xf>
    <xf numFmtId="165" fontId="23" fillId="0" borderId="1" xfId="1" applyNumberFormat="1" applyFont="1" applyFill="1" applyBorder="1" applyAlignment="1">
      <alignment horizontal="center" vertical="center"/>
    </xf>
    <xf numFmtId="43" fontId="23" fillId="0" borderId="1" xfId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0" fontId="23" fillId="0" borderId="1" xfId="0" applyNumberFormat="1" applyFont="1" applyFill="1" applyBorder="1" applyAlignment="1">
      <alignment horizontal="right" vertical="center"/>
    </xf>
    <xf numFmtId="43" fontId="23" fillId="0" borderId="1" xfId="2" applyFont="1" applyFill="1" applyBorder="1" applyAlignment="1">
      <alignment horizontal="center" vertical="center"/>
    </xf>
    <xf numFmtId="43" fontId="23" fillId="0" borderId="1" xfId="1" applyFont="1" applyFill="1" applyBorder="1" applyAlignment="1">
      <alignment vertical="center"/>
    </xf>
    <xf numFmtId="0" fontId="23" fillId="0" borderId="1" xfId="0" applyFont="1" applyFill="1" applyBorder="1" applyAlignment="1">
      <alignment horizontal="right" vertical="center"/>
    </xf>
    <xf numFmtId="43" fontId="23" fillId="0" borderId="8" xfId="0" applyNumberFormat="1" applyFont="1" applyFill="1" applyBorder="1" applyAlignment="1">
      <alignment vertical="center"/>
    </xf>
    <xf numFmtId="2" fontId="21" fillId="0" borderId="1" xfId="3" applyNumberFormat="1" applyFont="1" applyFill="1" applyBorder="1" applyAlignment="1">
      <alignment horizontal="center" vertical="center"/>
    </xf>
    <xf numFmtId="43" fontId="21" fillId="0" borderId="1" xfId="3" applyNumberFormat="1" applyFont="1" applyFill="1" applyBorder="1" applyAlignment="1">
      <alignment horizontal="center" vertical="center"/>
    </xf>
    <xf numFmtId="165" fontId="21" fillId="0" borderId="1" xfId="3" applyNumberFormat="1" applyFont="1" applyFill="1" applyBorder="1" applyAlignment="1">
      <alignment horizontal="center" vertical="center"/>
    </xf>
    <xf numFmtId="2" fontId="21" fillId="0" borderId="1" xfId="3" applyNumberFormat="1" applyFont="1" applyFill="1" applyBorder="1" applyAlignment="1">
      <alignment horizontal="right" vertical="center"/>
    </xf>
    <xf numFmtId="0" fontId="21" fillId="0" borderId="6" xfId="0" applyFont="1" applyFill="1" applyBorder="1" applyAlignment="1">
      <alignment vertical="center"/>
    </xf>
    <xf numFmtId="43" fontId="21" fillId="0" borderId="1" xfId="3" applyNumberFormat="1" applyFont="1" applyFill="1" applyBorder="1" applyAlignment="1">
      <alignment horizontal="right" vertical="center"/>
    </xf>
    <xf numFmtId="165" fontId="21" fillId="0" borderId="1" xfId="3" applyNumberFormat="1" applyFont="1" applyFill="1" applyBorder="1" applyAlignment="1">
      <alignment vertical="center"/>
    </xf>
    <xf numFmtId="43" fontId="21" fillId="0" borderId="1" xfId="2" applyNumberFormat="1" applyFont="1" applyFill="1" applyBorder="1" applyAlignment="1">
      <alignment horizontal="center" vertical="center"/>
    </xf>
    <xf numFmtId="43" fontId="21" fillId="0" borderId="1" xfId="3" applyNumberFormat="1" applyFont="1" applyFill="1" applyBorder="1" applyAlignment="1">
      <alignment vertical="center"/>
    </xf>
    <xf numFmtId="2" fontId="21" fillId="0" borderId="7" xfId="3" applyNumberFormat="1" applyFont="1" applyFill="1" applyBorder="1" applyAlignment="1">
      <alignment horizontal="right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right" vertical="center"/>
    </xf>
    <xf numFmtId="2" fontId="21" fillId="0" borderId="7" xfId="3" applyNumberFormat="1" applyFont="1" applyFill="1" applyBorder="1" applyAlignment="1">
      <alignment horizontal="center" vertical="center"/>
    </xf>
    <xf numFmtId="43" fontId="21" fillId="0" borderId="7" xfId="3" applyNumberFormat="1" applyFont="1" applyFill="1" applyBorder="1" applyAlignment="1">
      <alignment horizontal="center" vertical="center"/>
    </xf>
    <xf numFmtId="165" fontId="21" fillId="0" borderId="7" xfId="3" applyNumberFormat="1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/>
    </xf>
    <xf numFmtId="43" fontId="21" fillId="0" borderId="5" xfId="2" applyFont="1" applyFill="1" applyBorder="1" applyAlignment="1">
      <alignment horizontal="center" vertical="center"/>
    </xf>
    <xf numFmtId="165" fontId="21" fillId="0" borderId="5" xfId="2" applyNumberFormat="1" applyFont="1" applyFill="1" applyBorder="1" applyAlignment="1">
      <alignment horizontal="center" vertical="center"/>
    </xf>
    <xf numFmtId="43" fontId="21" fillId="0" borderId="6" xfId="2" applyFont="1" applyFill="1" applyBorder="1" applyAlignment="1">
      <alignment horizontal="center" vertical="center"/>
    </xf>
    <xf numFmtId="43" fontId="21" fillId="0" borderId="1" xfId="2" applyFont="1" applyFill="1" applyBorder="1" applyAlignment="1">
      <alignment horizontal="center" vertical="center"/>
    </xf>
    <xf numFmtId="165" fontId="21" fillId="0" borderId="1" xfId="2" applyNumberFormat="1" applyFont="1" applyFill="1" applyBorder="1" applyAlignment="1">
      <alignment horizontal="center" vertical="center"/>
    </xf>
    <xf numFmtId="43" fontId="21" fillId="0" borderId="7" xfId="2" applyFont="1" applyFill="1" applyBorder="1" applyAlignment="1">
      <alignment horizontal="center" vertical="center"/>
    </xf>
    <xf numFmtId="2" fontId="24" fillId="0" borderId="0" xfId="0" applyNumberFormat="1" applyFont="1" applyFill="1" applyBorder="1" applyAlignment="1">
      <alignment vertical="center"/>
    </xf>
    <xf numFmtId="43" fontId="24" fillId="0" borderId="2" xfId="0" applyNumberFormat="1" applyFont="1" applyFill="1" applyBorder="1" applyAlignment="1">
      <alignment vertical="center"/>
    </xf>
    <xf numFmtId="0" fontId="24" fillId="0" borderId="1" xfId="0" applyFont="1" applyFill="1" applyBorder="1" applyAlignment="1">
      <alignment horizontal="left" vertical="center"/>
    </xf>
    <xf numFmtId="43" fontId="24" fillId="0" borderId="0" xfId="1" applyFont="1" applyFill="1" applyBorder="1" applyAlignment="1">
      <alignment horizontal="right" vertical="center"/>
    </xf>
    <xf numFmtId="43" fontId="24" fillId="0" borderId="1" xfId="0" applyNumberFormat="1" applyFont="1" applyFill="1" applyBorder="1" applyAlignment="1">
      <alignment horizontal="center" vertical="center"/>
    </xf>
    <xf numFmtId="43" fontId="24" fillId="0" borderId="1" xfId="0" applyNumberFormat="1" applyFont="1" applyFill="1" applyBorder="1" applyAlignment="1">
      <alignment horizontal="right" vertical="center"/>
    </xf>
    <xf numFmtId="0" fontId="21" fillId="0" borderId="1" xfId="9" applyFont="1" applyFill="1" applyBorder="1" applyAlignment="1">
      <alignment horizontal="right" vertical="center"/>
    </xf>
    <xf numFmtId="2" fontId="21" fillId="0" borderId="1" xfId="1" applyNumberFormat="1" applyFont="1" applyFill="1" applyBorder="1" applyAlignment="1">
      <alignment horizontal="center" vertical="center"/>
    </xf>
    <xf numFmtId="0" fontId="21" fillId="0" borderId="1" xfId="9" applyFont="1" applyFill="1" applyBorder="1" applyAlignment="1">
      <alignment horizontal="center" vertical="center"/>
    </xf>
    <xf numFmtId="2" fontId="21" fillId="0" borderId="7" xfId="1" applyNumberFormat="1" applyFont="1" applyFill="1" applyBorder="1" applyAlignment="1">
      <alignment horizontal="center" vertical="center"/>
    </xf>
    <xf numFmtId="0" fontId="21" fillId="0" borderId="1" xfId="9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0" applyNumberForma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2" fontId="21" fillId="0" borderId="2" xfId="3" applyNumberFormat="1" applyFont="1" applyFill="1" applyBorder="1" applyAlignment="1">
      <alignment horizontal="right" vertical="center"/>
    </xf>
    <xf numFmtId="0" fontId="0" fillId="3" borderId="5" xfId="0" applyFill="1" applyBorder="1"/>
    <xf numFmtId="0" fontId="4" fillId="3" borderId="1" xfId="0" applyFont="1" applyFill="1" applyBorder="1" applyAlignment="1">
      <alignment vertical="center"/>
    </xf>
    <xf numFmtId="43" fontId="4" fillId="3" borderId="1" xfId="0" applyNumberFormat="1" applyFont="1" applyFill="1" applyBorder="1" applyAlignment="1">
      <alignment vertical="center"/>
    </xf>
    <xf numFmtId="0" fontId="21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4" xfId="0" applyFill="1" applyBorder="1"/>
    <xf numFmtId="43" fontId="0" fillId="3" borderId="1" xfId="0" applyNumberFormat="1" applyFill="1" applyBorder="1"/>
    <xf numFmtId="0" fontId="0" fillId="3" borderId="1" xfId="0" applyFill="1" applyBorder="1"/>
    <xf numFmtId="0" fontId="0" fillId="4" borderId="2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3" fontId="0" fillId="0" borderId="5" xfId="1" applyFont="1" applyBorder="1"/>
    <xf numFmtId="43" fontId="25" fillId="0" borderId="5" xfId="1" applyFont="1" applyBorder="1"/>
    <xf numFmtId="165" fontId="0" fillId="0" borderId="5" xfId="1" applyNumberFormat="1" applyFont="1" applyBorder="1"/>
    <xf numFmtId="0" fontId="0" fillId="0" borderId="7" xfId="0" applyBorder="1"/>
    <xf numFmtId="0" fontId="4" fillId="3" borderId="7" xfId="0" applyFont="1" applyFill="1" applyBorder="1" applyAlignment="1">
      <alignment horizontal="left" vertical="center"/>
    </xf>
    <xf numFmtId="43" fontId="4" fillId="3" borderId="7" xfId="0" applyNumberFormat="1" applyFont="1" applyFill="1" applyBorder="1" applyAlignment="1">
      <alignment vertical="center"/>
    </xf>
    <xf numFmtId="43" fontId="0" fillId="0" borderId="7" xfId="0" applyNumberFormat="1" applyBorder="1"/>
    <xf numFmtId="0" fontId="0" fillId="0" borderId="8" xfId="0" applyBorder="1"/>
    <xf numFmtId="43" fontId="0" fillId="0" borderId="8" xfId="1" applyFont="1" applyBorder="1"/>
    <xf numFmtId="165" fontId="0" fillId="0" borderId="8" xfId="1" applyNumberFormat="1" applyFont="1" applyBorder="1"/>
    <xf numFmtId="165" fontId="17" fillId="4" borderId="2" xfId="1" applyNumberFormat="1" applyFont="1" applyFill="1" applyBorder="1"/>
    <xf numFmtId="0" fontId="4" fillId="0" borderId="0" xfId="11" applyFont="1" applyFill="1" applyBorder="1" applyAlignment="1">
      <alignment horizontal="center" vertical="center"/>
    </xf>
    <xf numFmtId="43" fontId="12" fillId="0" borderId="0" xfId="1" applyNumberFormat="1" applyFont="1" applyFill="1" applyBorder="1" applyAlignment="1">
      <alignment horizontal="center" vertical="center"/>
    </xf>
    <xf numFmtId="43" fontId="4" fillId="0" borderId="0" xfId="1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43" fontId="4" fillId="0" borderId="0" xfId="1" applyNumberFormat="1" applyFont="1" applyFill="1" applyBorder="1" applyAlignment="1">
      <alignment horizontal="left" vertical="center"/>
    </xf>
    <xf numFmtId="2" fontId="4" fillId="0" borderId="0" xfId="0" applyNumberFormat="1" applyFont="1" applyFill="1" applyBorder="1" applyAlignment="1">
      <alignment horizontal="center" vertical="center"/>
    </xf>
    <xf numFmtId="43" fontId="4" fillId="0" borderId="0" xfId="0" applyNumberFormat="1" applyFont="1" applyFill="1" applyBorder="1" applyAlignment="1">
      <alignment horizontal="center" vertical="center"/>
    </xf>
    <xf numFmtId="165" fontId="4" fillId="0" borderId="7" xfId="1" applyNumberFormat="1" applyFont="1" applyFill="1" applyBorder="1" applyAlignment="1">
      <alignment vertical="center"/>
    </xf>
    <xf numFmtId="43" fontId="24" fillId="0" borderId="2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4" fillId="0" borderId="0" xfId="11" applyFont="1" applyFill="1" applyBorder="1" applyAlignment="1">
      <alignment vertical="center"/>
    </xf>
    <xf numFmtId="43" fontId="18" fillId="0" borderId="2" xfId="2" applyFont="1" applyBorder="1" applyAlignment="1">
      <alignment vertical="center"/>
    </xf>
    <xf numFmtId="165" fontId="18" fillId="0" borderId="0" xfId="2" applyNumberFormat="1" applyFont="1" applyAlignment="1">
      <alignment vertical="center"/>
    </xf>
    <xf numFmtId="0" fontId="0" fillId="5" borderId="0" xfId="0" applyFill="1"/>
    <xf numFmtId="43" fontId="0" fillId="3" borderId="5" xfId="0" applyNumberFormat="1" applyFill="1" applyBorder="1"/>
    <xf numFmtId="43" fontId="0" fillId="0" borderId="5" xfId="0" applyNumberFormat="1" applyBorder="1"/>
    <xf numFmtId="165" fontId="0" fillId="0" borderId="0" xfId="0" applyNumberFormat="1"/>
    <xf numFmtId="0" fontId="1" fillId="5" borderId="0" xfId="0" applyFont="1" applyFill="1"/>
    <xf numFmtId="0" fontId="26" fillId="0" borderId="0" xfId="11" applyFont="1" applyFill="1" applyBorder="1" applyAlignment="1">
      <alignment vertical="center"/>
    </xf>
    <xf numFmtId="0" fontId="19" fillId="0" borderId="0" xfId="0" applyFont="1" applyAlignment="1">
      <alignment horizontal="center"/>
    </xf>
    <xf numFmtId="0" fontId="21" fillId="0" borderId="7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/>
    </xf>
    <xf numFmtId="2" fontId="21" fillId="0" borderId="0" xfId="3" applyNumberFormat="1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vertical="center"/>
    </xf>
    <xf numFmtId="165" fontId="20" fillId="0" borderId="1" xfId="1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left" vertical="center"/>
    </xf>
    <xf numFmtId="43" fontId="27" fillId="0" borderId="1" xfId="1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4" fillId="4" borderId="0" xfId="1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9" xfId="12" applyFont="1" applyFill="1" applyBorder="1" applyAlignment="1">
      <alignment horizontal="center" vertical="center"/>
    </xf>
    <xf numFmtId="0" fontId="4" fillId="0" borderId="10" xfId="12" applyFont="1" applyFill="1" applyBorder="1" applyAlignment="1">
      <alignment horizontal="center" vertical="center"/>
    </xf>
    <xf numFmtId="43" fontId="4" fillId="0" borderId="9" xfId="1" applyFont="1" applyFill="1" applyBorder="1" applyAlignment="1">
      <alignment horizontal="center" vertical="center"/>
    </xf>
    <xf numFmtId="43" fontId="4" fillId="0" borderId="10" xfId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11" applyFont="1" applyFill="1" applyBorder="1" applyAlignment="1">
      <alignment horizontal="center" vertical="center"/>
    </xf>
    <xf numFmtId="0" fontId="4" fillId="0" borderId="0" xfId="10" applyFont="1" applyFill="1" applyBorder="1" applyAlignment="1">
      <alignment horizontal="center" vertical="center"/>
    </xf>
    <xf numFmtId="0" fontId="4" fillId="0" borderId="2" xfId="1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43" fontId="4" fillId="0" borderId="2" xfId="1" applyNumberFormat="1" applyFont="1" applyFill="1" applyBorder="1" applyAlignment="1">
      <alignment horizontal="center" vertical="center"/>
    </xf>
    <xf numFmtId="0" fontId="4" fillId="0" borderId="17" xfId="10" applyFont="1" applyFill="1" applyBorder="1" applyAlignment="1">
      <alignment horizontal="center" vertical="center"/>
    </xf>
    <xf numFmtId="0" fontId="4" fillId="0" borderId="18" xfId="10" applyFont="1" applyFill="1" applyBorder="1" applyAlignment="1">
      <alignment horizontal="center" vertical="center"/>
    </xf>
    <xf numFmtId="0" fontId="4" fillId="0" borderId="19" xfId="10" applyFont="1" applyFill="1" applyBorder="1" applyAlignment="1">
      <alignment horizontal="center" vertical="center"/>
    </xf>
    <xf numFmtId="0" fontId="4" fillId="0" borderId="20" xfId="1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0" xfId="11" applyFont="1" applyFill="1" applyBorder="1" applyAlignment="1">
      <alignment horizontal="center" vertical="center"/>
    </xf>
    <xf numFmtId="0" fontId="21" fillId="0" borderId="2" xfId="5" applyFont="1" applyFill="1" applyBorder="1" applyAlignment="1">
      <alignment horizontal="center" vertical="center"/>
    </xf>
    <xf numFmtId="43" fontId="21" fillId="0" borderId="9" xfId="1" applyFont="1" applyFill="1" applyBorder="1" applyAlignment="1">
      <alignment horizontal="center" vertical="center"/>
    </xf>
    <xf numFmtId="43" fontId="21" fillId="0" borderId="10" xfId="1" applyFont="1" applyFill="1" applyBorder="1" applyAlignment="1">
      <alignment horizontal="center" vertical="center"/>
    </xf>
    <xf numFmtId="165" fontId="21" fillId="0" borderId="9" xfId="1" applyNumberFormat="1" applyFont="1" applyFill="1" applyBorder="1" applyAlignment="1">
      <alignment horizontal="center" vertical="center"/>
    </xf>
    <xf numFmtId="165" fontId="21" fillId="0" borderId="10" xfId="1" applyNumberFormat="1" applyFont="1" applyFill="1" applyBorder="1" applyAlignment="1">
      <alignment horizontal="center" vertical="center"/>
    </xf>
    <xf numFmtId="43" fontId="21" fillId="0" borderId="9" xfId="1" applyFont="1" applyFill="1" applyBorder="1" applyAlignment="1">
      <alignment horizontal="right" vertical="center"/>
    </xf>
    <xf numFmtId="43" fontId="21" fillId="0" borderId="10" xfId="1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5" fontId="4" fillId="0" borderId="2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</cellXfs>
  <cellStyles count="13">
    <cellStyle name="Comma" xfId="1" builtinId="3"/>
    <cellStyle name="Comma 2" xfId="2" xr:uid="{D6F8799F-C00C-4770-97D6-5CA296D78379}"/>
    <cellStyle name="Comma 2 2" xfId="3" xr:uid="{36764883-2A37-480F-A7FE-74FD84034051}"/>
    <cellStyle name="Comma 3" xfId="4" xr:uid="{A500E18E-C557-428B-899F-E19E71DF107B}"/>
    <cellStyle name="Normal" xfId="0" builtinId="0"/>
    <cellStyle name="Normal 2" xfId="5" xr:uid="{0A44BAF3-1D72-471F-B5F5-1A8D33B7DA9C}"/>
    <cellStyle name="Normal 2 2" xfId="6" xr:uid="{D565BA36-5C65-4D49-B6CB-53F6D0680196}"/>
    <cellStyle name="Normal 3" xfId="7" xr:uid="{001D1807-9E63-485A-B15A-3759097437C9}"/>
    <cellStyle name="Normal_(30mx24m) Store 1civil work" xfId="8" xr:uid="{80BB91E9-9962-4149-A31F-5E2272B2C0F1}"/>
    <cellStyle name="Normal_(30mx24m) Store 1civil work 2" xfId="9" xr:uid="{F0BA076E-4C2B-469C-803E-AFD2A3CC7B40}"/>
    <cellStyle name="Normal_Concentration Basin Ph-I" xfId="10" xr:uid="{12110A2B-2B40-4A4E-B0E9-F3FEB9154853}"/>
    <cellStyle name="Normal_Police Station (Latest)" xfId="11" xr:uid="{96A1B33D-A415-42D5-8DBF-3CFB558E5897}"/>
    <cellStyle name="Normal_Shwe Hlai" xfId="12" xr:uid="{A0731C3F-E16F-49F0-91CD-60956655A8B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698500</xdr:colOff>
      <xdr:row>0</xdr:row>
      <xdr:rowOff>0</xdr:rowOff>
    </xdr:from>
    <xdr:to>
      <xdr:col>0</xdr:col>
      <xdr:colOff>889000</xdr:colOff>
      <xdr:row>1</xdr:row>
      <xdr:rowOff>6350</xdr:rowOff>
    </xdr:to>
    <xdr:sp macro="" textlink="">
      <xdr:nvSpPr>
        <xdr:cNvPr id="41375" name="Text Box 49">
          <a:extLst>
            <a:ext uri="{FF2B5EF4-FFF2-40B4-BE49-F238E27FC236}">
              <a16:creationId xmlns:a16="http://schemas.microsoft.com/office/drawing/2014/main" id="{5CB5D5AF-C766-3B58-4B8F-CC80648DDFDE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1905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698500</xdr:colOff>
      <xdr:row>39</xdr:row>
      <xdr:rowOff>0</xdr:rowOff>
    </xdr:from>
    <xdr:to>
      <xdr:col>0</xdr:col>
      <xdr:colOff>889000</xdr:colOff>
      <xdr:row>40</xdr:row>
      <xdr:rowOff>6350</xdr:rowOff>
    </xdr:to>
    <xdr:sp macro="" textlink="">
      <xdr:nvSpPr>
        <xdr:cNvPr id="41376" name="Text Box 49">
          <a:extLst>
            <a:ext uri="{FF2B5EF4-FFF2-40B4-BE49-F238E27FC236}">
              <a16:creationId xmlns:a16="http://schemas.microsoft.com/office/drawing/2014/main" id="{A4E29B3D-13F6-1D12-0F5E-9F7849AB5614}"/>
            </a:ext>
          </a:extLst>
        </xdr:cNvPr>
        <xdr:cNvSpPr txBox="1">
          <a:spLocks noChangeArrowheads="1"/>
        </xdr:cNvSpPr>
      </xdr:nvSpPr>
      <xdr:spPr bwMode="auto">
        <a:xfrm>
          <a:off x="698500" y="6197600"/>
          <a:ext cx="190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698500</xdr:colOff>
      <xdr:row>4</xdr:row>
      <xdr:rowOff>0</xdr:rowOff>
    </xdr:from>
    <xdr:to>
      <xdr:col>1</xdr:col>
      <xdr:colOff>889000</xdr:colOff>
      <xdr:row>5</xdr:row>
      <xdr:rowOff>31750</xdr:rowOff>
    </xdr:to>
    <xdr:sp macro="" textlink="">
      <xdr:nvSpPr>
        <xdr:cNvPr id="20084" name="Text Box 49">
          <a:extLst>
            <a:ext uri="{FF2B5EF4-FFF2-40B4-BE49-F238E27FC236}">
              <a16:creationId xmlns:a16="http://schemas.microsoft.com/office/drawing/2014/main" id="{C6DBCC04-FF0E-E933-A093-4A872FE9EBF0}"/>
            </a:ext>
          </a:extLst>
        </xdr:cNvPr>
        <xdr:cNvSpPr txBox="1">
          <a:spLocks noChangeArrowheads="1"/>
        </xdr:cNvSpPr>
      </xdr:nvSpPr>
      <xdr:spPr bwMode="auto">
        <a:xfrm>
          <a:off x="996950" y="958850"/>
          <a:ext cx="1905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698500</xdr:colOff>
      <xdr:row>0</xdr:row>
      <xdr:rowOff>0</xdr:rowOff>
    </xdr:from>
    <xdr:to>
      <xdr:col>1</xdr:col>
      <xdr:colOff>889000</xdr:colOff>
      <xdr:row>0</xdr:row>
      <xdr:rowOff>241300</xdr:rowOff>
    </xdr:to>
    <xdr:sp macro="" textlink="">
      <xdr:nvSpPr>
        <xdr:cNvPr id="20085" name="Text Box 49">
          <a:extLst>
            <a:ext uri="{FF2B5EF4-FFF2-40B4-BE49-F238E27FC236}">
              <a16:creationId xmlns:a16="http://schemas.microsoft.com/office/drawing/2014/main" id="{92E001C4-D626-06EF-CC2D-8DB52C9981E7}"/>
            </a:ext>
          </a:extLst>
        </xdr:cNvPr>
        <xdr:cNvSpPr txBox="1">
          <a:spLocks noChangeArrowheads="1"/>
        </xdr:cNvSpPr>
      </xdr:nvSpPr>
      <xdr:spPr bwMode="auto">
        <a:xfrm>
          <a:off x="996950" y="0"/>
          <a:ext cx="190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698500</xdr:colOff>
      <xdr:row>40</xdr:row>
      <xdr:rowOff>0</xdr:rowOff>
    </xdr:from>
    <xdr:to>
      <xdr:col>1</xdr:col>
      <xdr:colOff>889000</xdr:colOff>
      <xdr:row>40</xdr:row>
      <xdr:rowOff>241300</xdr:rowOff>
    </xdr:to>
    <xdr:sp macro="" textlink="">
      <xdr:nvSpPr>
        <xdr:cNvPr id="20086" name="Text Box 49">
          <a:extLst>
            <a:ext uri="{FF2B5EF4-FFF2-40B4-BE49-F238E27FC236}">
              <a16:creationId xmlns:a16="http://schemas.microsoft.com/office/drawing/2014/main" id="{95534811-54DD-45F2-FF92-DA0DDF47049A}"/>
            </a:ext>
          </a:extLst>
        </xdr:cNvPr>
        <xdr:cNvSpPr txBox="1">
          <a:spLocks noChangeArrowheads="1"/>
        </xdr:cNvSpPr>
      </xdr:nvSpPr>
      <xdr:spPr bwMode="auto">
        <a:xfrm>
          <a:off x="996950" y="10064750"/>
          <a:ext cx="190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654050</xdr:colOff>
      <xdr:row>46</xdr:row>
      <xdr:rowOff>0</xdr:rowOff>
    </xdr:from>
    <xdr:to>
      <xdr:col>2</xdr:col>
      <xdr:colOff>88900</xdr:colOff>
      <xdr:row>47</xdr:row>
      <xdr:rowOff>38100</xdr:rowOff>
    </xdr:to>
    <xdr:sp macro="" textlink="">
      <xdr:nvSpPr>
        <xdr:cNvPr id="43954" name="Text Box 9">
          <a:extLst>
            <a:ext uri="{FF2B5EF4-FFF2-40B4-BE49-F238E27FC236}">
              <a16:creationId xmlns:a16="http://schemas.microsoft.com/office/drawing/2014/main" id="{670AC6C3-8283-B745-5CB3-7333AC4C9FDA}"/>
            </a:ext>
          </a:extLst>
        </xdr:cNvPr>
        <xdr:cNvSpPr txBox="1">
          <a:spLocks noChangeArrowheads="1"/>
        </xdr:cNvSpPr>
      </xdr:nvSpPr>
      <xdr:spPr bwMode="auto">
        <a:xfrm>
          <a:off x="901700" y="6718300"/>
          <a:ext cx="1714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876300</xdr:colOff>
      <xdr:row>46</xdr:row>
      <xdr:rowOff>0</xdr:rowOff>
    </xdr:from>
    <xdr:to>
      <xdr:col>2</xdr:col>
      <xdr:colOff>31750</xdr:colOff>
      <xdr:row>47</xdr:row>
      <xdr:rowOff>63500</xdr:rowOff>
    </xdr:to>
    <xdr:sp macro="" textlink="">
      <xdr:nvSpPr>
        <xdr:cNvPr id="43955" name="Text Box 11">
          <a:extLst>
            <a:ext uri="{FF2B5EF4-FFF2-40B4-BE49-F238E27FC236}">
              <a16:creationId xmlns:a16="http://schemas.microsoft.com/office/drawing/2014/main" id="{09C236C8-0D81-9E28-85FC-5841CFE1DF14}"/>
            </a:ext>
          </a:extLst>
        </xdr:cNvPr>
        <xdr:cNvSpPr txBox="1">
          <a:spLocks noChangeArrowheads="1"/>
        </xdr:cNvSpPr>
      </xdr:nvSpPr>
      <xdr:spPr bwMode="auto">
        <a:xfrm>
          <a:off x="984250" y="6718300"/>
          <a:ext cx="317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46</xdr:row>
      <xdr:rowOff>0</xdr:rowOff>
    </xdr:from>
    <xdr:to>
      <xdr:col>1</xdr:col>
      <xdr:colOff>419100</xdr:colOff>
      <xdr:row>47</xdr:row>
      <xdr:rowOff>38100</xdr:rowOff>
    </xdr:to>
    <xdr:sp macro="" textlink="">
      <xdr:nvSpPr>
        <xdr:cNvPr id="43956" name="Text Box 47">
          <a:extLst>
            <a:ext uri="{FF2B5EF4-FFF2-40B4-BE49-F238E27FC236}">
              <a16:creationId xmlns:a16="http://schemas.microsoft.com/office/drawing/2014/main" id="{DB1A84B3-7470-4611-8069-9AB2EE5B99D9}"/>
            </a:ext>
          </a:extLst>
        </xdr:cNvPr>
        <xdr:cNvSpPr txBox="1">
          <a:spLocks noChangeArrowheads="1"/>
        </xdr:cNvSpPr>
      </xdr:nvSpPr>
      <xdr:spPr bwMode="auto">
        <a:xfrm>
          <a:off x="476250" y="6718300"/>
          <a:ext cx="190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46</xdr:row>
      <xdr:rowOff>0</xdr:rowOff>
    </xdr:from>
    <xdr:to>
      <xdr:col>1</xdr:col>
      <xdr:colOff>615950</xdr:colOff>
      <xdr:row>47</xdr:row>
      <xdr:rowOff>38100</xdr:rowOff>
    </xdr:to>
    <xdr:sp macro="" textlink="">
      <xdr:nvSpPr>
        <xdr:cNvPr id="43957" name="Text Box 48">
          <a:extLst>
            <a:ext uri="{FF2B5EF4-FFF2-40B4-BE49-F238E27FC236}">
              <a16:creationId xmlns:a16="http://schemas.microsoft.com/office/drawing/2014/main" id="{3310AF31-3D79-3675-B03A-6889A0B8FB44}"/>
            </a:ext>
          </a:extLst>
        </xdr:cNvPr>
        <xdr:cNvSpPr txBox="1">
          <a:spLocks noChangeArrowheads="1"/>
        </xdr:cNvSpPr>
      </xdr:nvSpPr>
      <xdr:spPr bwMode="auto">
        <a:xfrm>
          <a:off x="704850" y="6718300"/>
          <a:ext cx="1587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698500</xdr:colOff>
      <xdr:row>46</xdr:row>
      <xdr:rowOff>0</xdr:rowOff>
    </xdr:from>
    <xdr:to>
      <xdr:col>2</xdr:col>
      <xdr:colOff>152400</xdr:colOff>
      <xdr:row>47</xdr:row>
      <xdr:rowOff>12700</xdr:rowOff>
    </xdr:to>
    <xdr:sp macro="" textlink="">
      <xdr:nvSpPr>
        <xdr:cNvPr id="43958" name="Text Box 49">
          <a:extLst>
            <a:ext uri="{FF2B5EF4-FFF2-40B4-BE49-F238E27FC236}">
              <a16:creationId xmlns:a16="http://schemas.microsoft.com/office/drawing/2014/main" id="{B3F2F258-B456-905C-CB71-1134C787B767}"/>
            </a:ext>
          </a:extLst>
        </xdr:cNvPr>
        <xdr:cNvSpPr txBox="1">
          <a:spLocks noChangeArrowheads="1"/>
        </xdr:cNvSpPr>
      </xdr:nvSpPr>
      <xdr:spPr bwMode="auto">
        <a:xfrm>
          <a:off x="946150" y="6718300"/>
          <a:ext cx="19050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46</xdr:row>
      <xdr:rowOff>0</xdr:rowOff>
    </xdr:from>
    <xdr:to>
      <xdr:col>2</xdr:col>
      <xdr:colOff>209550</xdr:colOff>
      <xdr:row>47</xdr:row>
      <xdr:rowOff>38100</xdr:rowOff>
    </xdr:to>
    <xdr:sp macro="" textlink="">
      <xdr:nvSpPr>
        <xdr:cNvPr id="43959" name="Text Box 50">
          <a:extLst>
            <a:ext uri="{FF2B5EF4-FFF2-40B4-BE49-F238E27FC236}">
              <a16:creationId xmlns:a16="http://schemas.microsoft.com/office/drawing/2014/main" id="{6DCADC86-B5D5-1742-A105-4082506D62A4}"/>
            </a:ext>
          </a:extLst>
        </xdr:cNvPr>
        <xdr:cNvSpPr txBox="1">
          <a:spLocks noChangeArrowheads="1"/>
        </xdr:cNvSpPr>
      </xdr:nvSpPr>
      <xdr:spPr bwMode="auto">
        <a:xfrm>
          <a:off x="914400" y="6718300"/>
          <a:ext cx="2794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698500</xdr:colOff>
      <xdr:row>27</xdr:row>
      <xdr:rowOff>0</xdr:rowOff>
    </xdr:from>
    <xdr:to>
      <xdr:col>1</xdr:col>
      <xdr:colOff>885716</xdr:colOff>
      <xdr:row>27</xdr:row>
      <xdr:rowOff>241788</xdr:rowOff>
    </xdr:to>
    <xdr:sp macro="" textlink="">
      <xdr:nvSpPr>
        <xdr:cNvPr id="24326" name="Text Box 49">
          <a:extLst>
            <a:ext uri="{FF2B5EF4-FFF2-40B4-BE49-F238E27FC236}">
              <a16:creationId xmlns:a16="http://schemas.microsoft.com/office/drawing/2014/main" id="{F8A3CC18-E33E-81D4-533E-6DF9A3F6EC4E}"/>
            </a:ext>
          </a:extLst>
        </xdr:cNvPr>
        <xdr:cNvSpPr txBox="1">
          <a:spLocks noChangeArrowheads="1"/>
        </xdr:cNvSpPr>
      </xdr:nvSpPr>
      <xdr:spPr bwMode="auto">
        <a:xfrm>
          <a:off x="962025" y="17259300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=</a:t>
          </a:r>
        </a:p>
      </xdr:txBody>
    </xdr:sp>
    <xdr:clientData/>
  </xdr:twoCellAnchor>
  <xdr:twoCellAnchor editAs="oneCell">
    <xdr:from>
      <xdr:col>1</xdr:col>
      <xdr:colOff>698500</xdr:colOff>
      <xdr:row>27</xdr:row>
      <xdr:rowOff>0</xdr:rowOff>
    </xdr:from>
    <xdr:to>
      <xdr:col>1</xdr:col>
      <xdr:colOff>889000</xdr:colOff>
      <xdr:row>27</xdr:row>
      <xdr:rowOff>241300</xdr:rowOff>
    </xdr:to>
    <xdr:sp macro="" textlink="">
      <xdr:nvSpPr>
        <xdr:cNvPr id="48263" name="Text Box 49">
          <a:extLst>
            <a:ext uri="{FF2B5EF4-FFF2-40B4-BE49-F238E27FC236}">
              <a16:creationId xmlns:a16="http://schemas.microsoft.com/office/drawing/2014/main" id="{53DD1037-35DF-6F42-CBE4-0FAD305ADFFD}"/>
            </a:ext>
          </a:extLst>
        </xdr:cNvPr>
        <xdr:cNvSpPr txBox="1">
          <a:spLocks noChangeArrowheads="1"/>
        </xdr:cNvSpPr>
      </xdr:nvSpPr>
      <xdr:spPr bwMode="auto">
        <a:xfrm>
          <a:off x="1009650" y="6769100"/>
          <a:ext cx="190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698500</xdr:colOff>
      <xdr:row>0</xdr:row>
      <xdr:rowOff>0</xdr:rowOff>
    </xdr:from>
    <xdr:to>
      <xdr:col>1</xdr:col>
      <xdr:colOff>889000</xdr:colOff>
      <xdr:row>0</xdr:row>
      <xdr:rowOff>247650</xdr:rowOff>
    </xdr:to>
    <xdr:sp macro="" textlink="">
      <xdr:nvSpPr>
        <xdr:cNvPr id="48264" name="Text Box 49">
          <a:extLst>
            <a:ext uri="{FF2B5EF4-FFF2-40B4-BE49-F238E27FC236}">
              <a16:creationId xmlns:a16="http://schemas.microsoft.com/office/drawing/2014/main" id="{161891E9-7B01-71C7-BA90-7ED347C78C4F}"/>
            </a:ext>
          </a:extLst>
        </xdr:cNvPr>
        <xdr:cNvSpPr txBox="1">
          <a:spLocks noChangeArrowheads="1"/>
        </xdr:cNvSpPr>
      </xdr:nvSpPr>
      <xdr:spPr bwMode="auto">
        <a:xfrm>
          <a:off x="1009650" y="0"/>
          <a:ext cx="1905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698500</xdr:colOff>
      <xdr:row>0</xdr:row>
      <xdr:rowOff>0</xdr:rowOff>
    </xdr:from>
    <xdr:to>
      <xdr:col>1</xdr:col>
      <xdr:colOff>889000</xdr:colOff>
      <xdr:row>0</xdr:row>
      <xdr:rowOff>247650</xdr:rowOff>
    </xdr:to>
    <xdr:sp macro="" textlink="">
      <xdr:nvSpPr>
        <xdr:cNvPr id="48265" name="Text Box 49">
          <a:extLst>
            <a:ext uri="{FF2B5EF4-FFF2-40B4-BE49-F238E27FC236}">
              <a16:creationId xmlns:a16="http://schemas.microsoft.com/office/drawing/2014/main" id="{EE33E2E5-ECFD-49F1-4892-3F2E13BD4F98}"/>
            </a:ext>
          </a:extLst>
        </xdr:cNvPr>
        <xdr:cNvSpPr txBox="1">
          <a:spLocks noChangeArrowheads="1"/>
        </xdr:cNvSpPr>
      </xdr:nvSpPr>
      <xdr:spPr bwMode="auto">
        <a:xfrm>
          <a:off x="1009650" y="0"/>
          <a:ext cx="1905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166</xdr:row>
      <xdr:rowOff>0</xdr:rowOff>
    </xdr:from>
    <xdr:to>
      <xdr:col>1</xdr:col>
      <xdr:colOff>615950</xdr:colOff>
      <xdr:row>167</xdr:row>
      <xdr:rowOff>19050</xdr:rowOff>
    </xdr:to>
    <xdr:sp macro="" textlink="">
      <xdr:nvSpPr>
        <xdr:cNvPr id="48266" name="Text Box 48">
          <a:extLst>
            <a:ext uri="{FF2B5EF4-FFF2-40B4-BE49-F238E27FC236}">
              <a16:creationId xmlns:a16="http://schemas.microsoft.com/office/drawing/2014/main" id="{2D2473BD-6F57-A7C6-96A0-C66E58883721}"/>
            </a:ext>
          </a:extLst>
        </xdr:cNvPr>
        <xdr:cNvSpPr txBox="1">
          <a:spLocks noChangeArrowheads="1"/>
        </xdr:cNvSpPr>
      </xdr:nvSpPr>
      <xdr:spPr bwMode="auto">
        <a:xfrm>
          <a:off x="768350" y="41154350"/>
          <a:ext cx="158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166</xdr:row>
      <xdr:rowOff>0</xdr:rowOff>
    </xdr:from>
    <xdr:to>
      <xdr:col>1</xdr:col>
      <xdr:colOff>946150</xdr:colOff>
      <xdr:row>167</xdr:row>
      <xdr:rowOff>19050</xdr:rowOff>
    </xdr:to>
    <xdr:sp macro="" textlink="">
      <xdr:nvSpPr>
        <xdr:cNvPr id="48267" name="Text Box 50">
          <a:extLst>
            <a:ext uri="{FF2B5EF4-FFF2-40B4-BE49-F238E27FC236}">
              <a16:creationId xmlns:a16="http://schemas.microsoft.com/office/drawing/2014/main" id="{6F1B8F73-1D8E-B5AE-C724-B2FD842030CA}"/>
            </a:ext>
          </a:extLst>
        </xdr:cNvPr>
        <xdr:cNvSpPr txBox="1">
          <a:spLocks noChangeArrowheads="1"/>
        </xdr:cNvSpPr>
      </xdr:nvSpPr>
      <xdr:spPr bwMode="auto">
        <a:xfrm>
          <a:off x="977900" y="41154350"/>
          <a:ext cx="2794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166</xdr:row>
      <xdr:rowOff>0</xdr:rowOff>
    </xdr:from>
    <xdr:to>
      <xdr:col>1</xdr:col>
      <xdr:colOff>615950</xdr:colOff>
      <xdr:row>167</xdr:row>
      <xdr:rowOff>19050</xdr:rowOff>
    </xdr:to>
    <xdr:sp macro="" textlink="">
      <xdr:nvSpPr>
        <xdr:cNvPr id="48268" name="Text Box 48">
          <a:extLst>
            <a:ext uri="{FF2B5EF4-FFF2-40B4-BE49-F238E27FC236}">
              <a16:creationId xmlns:a16="http://schemas.microsoft.com/office/drawing/2014/main" id="{53F912E9-0EE2-8738-68AB-B361BD8C318B}"/>
            </a:ext>
          </a:extLst>
        </xdr:cNvPr>
        <xdr:cNvSpPr txBox="1">
          <a:spLocks noChangeArrowheads="1"/>
        </xdr:cNvSpPr>
      </xdr:nvSpPr>
      <xdr:spPr bwMode="auto">
        <a:xfrm>
          <a:off x="768350" y="41154350"/>
          <a:ext cx="1587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166</xdr:row>
      <xdr:rowOff>0</xdr:rowOff>
    </xdr:from>
    <xdr:to>
      <xdr:col>1</xdr:col>
      <xdr:colOff>946150</xdr:colOff>
      <xdr:row>167</xdr:row>
      <xdr:rowOff>19050</xdr:rowOff>
    </xdr:to>
    <xdr:sp macro="" textlink="">
      <xdr:nvSpPr>
        <xdr:cNvPr id="48269" name="Text Box 50">
          <a:extLst>
            <a:ext uri="{FF2B5EF4-FFF2-40B4-BE49-F238E27FC236}">
              <a16:creationId xmlns:a16="http://schemas.microsoft.com/office/drawing/2014/main" id="{A26BB903-459B-1797-1741-9E0FCF166BE6}"/>
            </a:ext>
          </a:extLst>
        </xdr:cNvPr>
        <xdr:cNvSpPr txBox="1">
          <a:spLocks noChangeArrowheads="1"/>
        </xdr:cNvSpPr>
      </xdr:nvSpPr>
      <xdr:spPr bwMode="auto">
        <a:xfrm>
          <a:off x="977900" y="41154350"/>
          <a:ext cx="2794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1.%20Creative/Bungalo%20%20Design/25'%20x%2035'-%202%20Storeyed%20Bungalo%20Design.xls" TargetMode="External"/><Relationship Id="rId1" Type="http://schemas.openxmlformats.org/officeDocument/2006/relationships/externalLinkPath" Target="/1.%20Creative/Bungalo%20%20Design/25'%20x%2035'-%202%20Storeyed%20Bungalo%20Desig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UMMARY "/>
      <sheetName val="Sheet3"/>
      <sheetName val="Sheet5"/>
      <sheetName val="Est(BQ)"/>
      <sheetName val="AC"/>
      <sheetName val="BE"/>
      <sheetName val="Detail"/>
      <sheetName val="Sheet2 (2)"/>
      <sheetName val="Sheet1"/>
      <sheetName val="Sheet2"/>
      <sheetName val="Lab"/>
      <sheetName val="Sheet4"/>
      <sheetName val="Paint Survey"/>
      <sheetName val="Slab 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70">
          <cell r="D470">
            <v>0.18</v>
          </cell>
        </row>
        <row r="471">
          <cell r="D471">
            <v>12.6</v>
          </cell>
        </row>
        <row r="473">
          <cell r="D473">
            <v>18.899999999999999</v>
          </cell>
        </row>
        <row r="474">
          <cell r="D474">
            <v>18.899999999999999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E687-FFD5-4DDE-AA87-C277136B8C46}">
  <sheetPr codeName="Sheet6">
    <tabColor rgb="FFFF0000"/>
  </sheetPr>
  <dimension ref="A1:C56"/>
  <sheetViews>
    <sheetView zoomScale="120" zoomScaleNormal="120" workbookViewId="0">
      <selection activeCell="F7" sqref="F7"/>
    </sheetView>
  </sheetViews>
  <sheetFormatPr defaultRowHeight="12.5"/>
  <cols>
    <col min="1" max="1" width="26.7265625" customWidth="1"/>
    <col min="2" max="2" width="6.54296875" bestFit="1" customWidth="1"/>
    <col min="3" max="3" width="11.453125" customWidth="1"/>
  </cols>
  <sheetData>
    <row r="1" spans="1:3" ht="13">
      <c r="A1" s="129" t="s">
        <v>12</v>
      </c>
      <c r="B1" s="129"/>
      <c r="C1" s="287" t="s">
        <v>96</v>
      </c>
    </row>
    <row r="2" spans="1:3">
      <c r="A2" s="92" t="s">
        <v>87</v>
      </c>
      <c r="B2" s="28" t="s">
        <v>88</v>
      </c>
      <c r="C2" s="101">
        <v>22000</v>
      </c>
    </row>
    <row r="3" spans="1:3">
      <c r="A3" s="46" t="s">
        <v>23</v>
      </c>
      <c r="B3" s="28" t="s">
        <v>89</v>
      </c>
      <c r="C3" s="101">
        <v>56000</v>
      </c>
    </row>
    <row r="4" spans="1:3">
      <c r="A4" s="92" t="s">
        <v>90</v>
      </c>
      <c r="B4" s="28" t="s">
        <v>79</v>
      </c>
      <c r="C4" s="101">
        <v>280</v>
      </c>
    </row>
    <row r="5" spans="1:3">
      <c r="A5" s="92" t="s">
        <v>389</v>
      </c>
      <c r="B5" s="28" t="s">
        <v>125</v>
      </c>
      <c r="C5" s="101">
        <v>150</v>
      </c>
    </row>
    <row r="6" spans="1:3">
      <c r="A6" s="46" t="s">
        <v>35</v>
      </c>
      <c r="B6" s="28" t="s">
        <v>89</v>
      </c>
      <c r="C6" s="101">
        <v>220000</v>
      </c>
    </row>
    <row r="7" spans="1:3">
      <c r="A7" s="92" t="s">
        <v>272</v>
      </c>
      <c r="B7" s="28" t="s">
        <v>89</v>
      </c>
      <c r="C7" s="101">
        <v>200000</v>
      </c>
    </row>
    <row r="8" spans="1:3">
      <c r="A8" s="46" t="s">
        <v>394</v>
      </c>
      <c r="B8" s="41" t="s">
        <v>391</v>
      </c>
      <c r="C8" s="101"/>
    </row>
    <row r="9" spans="1:3">
      <c r="A9" s="46" t="s">
        <v>392</v>
      </c>
      <c r="B9" s="41" t="s">
        <v>391</v>
      </c>
      <c r="C9" s="101"/>
    </row>
    <row r="10" spans="1:3">
      <c r="A10" s="92" t="s">
        <v>36</v>
      </c>
      <c r="B10" s="28" t="s">
        <v>20</v>
      </c>
      <c r="C10" s="101">
        <v>15000</v>
      </c>
    </row>
    <row r="11" spans="1:3">
      <c r="A11" s="46" t="s">
        <v>38</v>
      </c>
      <c r="B11" s="28" t="s">
        <v>92</v>
      </c>
      <c r="C11" s="101">
        <v>60000</v>
      </c>
    </row>
    <row r="12" spans="1:3">
      <c r="A12" s="46" t="s">
        <v>66</v>
      </c>
      <c r="B12" s="28" t="s">
        <v>93</v>
      </c>
      <c r="C12" s="101">
        <v>1200000</v>
      </c>
    </row>
    <row r="13" spans="1:3">
      <c r="A13" s="92" t="s">
        <v>39</v>
      </c>
      <c r="B13" s="28" t="s">
        <v>135</v>
      </c>
      <c r="C13" s="101">
        <v>10000</v>
      </c>
    </row>
    <row r="14" spans="1:3">
      <c r="A14" s="46" t="s">
        <v>395</v>
      </c>
      <c r="B14" s="41" t="s">
        <v>397</v>
      </c>
      <c r="C14" s="101"/>
    </row>
    <row r="15" spans="1:3">
      <c r="A15" s="46" t="s">
        <v>396</v>
      </c>
      <c r="B15" s="41" t="s">
        <v>397</v>
      </c>
      <c r="C15" s="101"/>
    </row>
    <row r="16" spans="1:3">
      <c r="A16" s="92" t="s">
        <v>28</v>
      </c>
      <c r="B16" s="28"/>
      <c r="C16" s="101"/>
    </row>
    <row r="17" spans="1:3">
      <c r="A17" s="30" t="s">
        <v>69</v>
      </c>
      <c r="B17" s="28" t="s">
        <v>93</v>
      </c>
      <c r="C17" s="101">
        <v>2800000</v>
      </c>
    </row>
    <row r="18" spans="1:3">
      <c r="A18" s="30" t="s">
        <v>40</v>
      </c>
      <c r="B18" s="28" t="s">
        <v>93</v>
      </c>
      <c r="C18" s="101">
        <v>2500000</v>
      </c>
    </row>
    <row r="19" spans="1:3">
      <c r="A19" s="30" t="s">
        <v>68</v>
      </c>
      <c r="B19" s="28" t="s">
        <v>93</v>
      </c>
      <c r="C19" s="101">
        <v>2200000</v>
      </c>
    </row>
    <row r="20" spans="1:3">
      <c r="A20" s="30"/>
      <c r="B20" s="28"/>
      <c r="C20" s="101"/>
    </row>
    <row r="21" spans="1:3">
      <c r="A21" s="92" t="s">
        <v>24</v>
      </c>
      <c r="B21" s="28" t="s">
        <v>136</v>
      </c>
      <c r="C21" s="101">
        <v>12000</v>
      </c>
    </row>
    <row r="22" spans="1:3">
      <c r="A22" s="29" t="s">
        <v>312</v>
      </c>
      <c r="B22" s="133" t="s">
        <v>119</v>
      </c>
      <c r="C22" s="101">
        <v>4000</v>
      </c>
    </row>
    <row r="23" spans="1:3">
      <c r="A23" s="29" t="s">
        <v>317</v>
      </c>
      <c r="B23" s="133" t="s">
        <v>70</v>
      </c>
      <c r="C23" s="101">
        <v>9000</v>
      </c>
    </row>
    <row r="24" spans="1:3">
      <c r="A24" s="139" t="s">
        <v>406</v>
      </c>
      <c r="B24" s="133" t="s">
        <v>79</v>
      </c>
      <c r="C24" s="101">
        <v>100000</v>
      </c>
    </row>
    <row r="25" spans="1:3">
      <c r="A25" s="295" t="s">
        <v>220</v>
      </c>
      <c r="B25" s="133" t="s">
        <v>79</v>
      </c>
      <c r="C25" s="101">
        <v>55000</v>
      </c>
    </row>
    <row r="26" spans="1:3">
      <c r="A26" s="295" t="s">
        <v>229</v>
      </c>
      <c r="B26" s="133" t="s">
        <v>79</v>
      </c>
      <c r="C26" s="101">
        <v>45000</v>
      </c>
    </row>
    <row r="27" spans="1:3">
      <c r="A27" s="295" t="s">
        <v>400</v>
      </c>
      <c r="B27" s="133" t="s">
        <v>79</v>
      </c>
      <c r="C27" s="101">
        <v>30000</v>
      </c>
    </row>
    <row r="28" spans="1:3">
      <c r="A28" s="295" t="s">
        <v>316</v>
      </c>
      <c r="B28" s="133" t="s">
        <v>79</v>
      </c>
      <c r="C28" s="101">
        <v>45000</v>
      </c>
    </row>
    <row r="29" spans="1:3">
      <c r="A29" s="295" t="s">
        <v>390</v>
      </c>
      <c r="B29" s="133" t="s">
        <v>79</v>
      </c>
      <c r="C29" s="101"/>
    </row>
    <row r="30" spans="1:3">
      <c r="A30" s="29" t="s">
        <v>121</v>
      </c>
      <c r="B30" s="133" t="s">
        <v>122</v>
      </c>
      <c r="C30" s="101">
        <v>20000</v>
      </c>
    </row>
    <row r="31" spans="1:3">
      <c r="A31" s="92" t="s">
        <v>124</v>
      </c>
      <c r="B31" s="134" t="s">
        <v>125</v>
      </c>
      <c r="C31" s="101">
        <v>3000</v>
      </c>
    </row>
    <row r="32" spans="1:3">
      <c r="A32" s="46" t="s">
        <v>318</v>
      </c>
      <c r="B32" s="134" t="s">
        <v>163</v>
      </c>
      <c r="C32" s="101">
        <v>1500</v>
      </c>
    </row>
    <row r="33" spans="1:3">
      <c r="A33" s="46" t="s">
        <v>321</v>
      </c>
      <c r="B33" s="134" t="s">
        <v>79</v>
      </c>
      <c r="C33" s="101">
        <v>18000</v>
      </c>
    </row>
    <row r="34" spans="1:3">
      <c r="A34" s="92" t="s">
        <v>126</v>
      </c>
      <c r="B34" s="134" t="s">
        <v>21</v>
      </c>
      <c r="C34" s="101">
        <v>5000</v>
      </c>
    </row>
    <row r="35" spans="1:3">
      <c r="A35" s="92" t="s">
        <v>322</v>
      </c>
      <c r="B35" s="134" t="s">
        <v>79</v>
      </c>
      <c r="C35" s="101">
        <v>1800</v>
      </c>
    </row>
    <row r="36" spans="1:3">
      <c r="A36" s="46" t="s">
        <v>403</v>
      </c>
      <c r="B36" s="41" t="s">
        <v>163</v>
      </c>
      <c r="C36" s="274">
        <v>15000</v>
      </c>
    </row>
    <row r="37" spans="1:3">
      <c r="A37" s="46" t="s">
        <v>343</v>
      </c>
      <c r="B37" s="41" t="s">
        <v>163</v>
      </c>
      <c r="C37" s="274">
        <v>9000</v>
      </c>
    </row>
    <row r="38" spans="1:3">
      <c r="A38" s="46" t="s">
        <v>345</v>
      </c>
      <c r="B38" s="41" t="s">
        <v>79</v>
      </c>
      <c r="C38" s="274">
        <v>1000</v>
      </c>
    </row>
    <row r="39" spans="1:3">
      <c r="A39" s="235" t="s">
        <v>344</v>
      </c>
      <c r="B39" s="34" t="s">
        <v>20</v>
      </c>
      <c r="C39" s="274">
        <v>10000</v>
      </c>
    </row>
    <row r="40" spans="1:3">
      <c r="A40" s="46" t="s">
        <v>331</v>
      </c>
      <c r="B40" s="203" t="s">
        <v>79</v>
      </c>
      <c r="C40" s="274">
        <v>2000</v>
      </c>
    </row>
    <row r="41" spans="1:3">
      <c r="A41" s="46" t="s">
        <v>332</v>
      </c>
      <c r="B41" s="203" t="s">
        <v>135</v>
      </c>
      <c r="C41" s="274">
        <v>15000</v>
      </c>
    </row>
    <row r="42" spans="1:3">
      <c r="A42" s="288" t="s">
        <v>384</v>
      </c>
      <c r="B42" s="215" t="s">
        <v>89</v>
      </c>
      <c r="C42" s="292">
        <v>50000</v>
      </c>
    </row>
    <row r="43" spans="1:3">
      <c r="A43" s="289" t="s">
        <v>385</v>
      </c>
      <c r="B43" s="215" t="s">
        <v>79</v>
      </c>
      <c r="C43" s="293">
        <v>30000</v>
      </c>
    </row>
    <row r="44" spans="1:3">
      <c r="A44" s="289" t="s">
        <v>386</v>
      </c>
      <c r="B44" s="215" t="s">
        <v>79</v>
      </c>
      <c r="C44" s="293">
        <v>7000</v>
      </c>
    </row>
    <row r="45" spans="1:3">
      <c r="A45" s="289" t="s">
        <v>387</v>
      </c>
      <c r="B45" s="215" t="s">
        <v>79</v>
      </c>
      <c r="C45" s="293">
        <v>8000</v>
      </c>
    </row>
    <row r="46" spans="1:3">
      <c r="A46" s="289" t="s">
        <v>388</v>
      </c>
      <c r="B46" s="215" t="s">
        <v>79</v>
      </c>
      <c r="C46" s="293">
        <v>8000</v>
      </c>
    </row>
    <row r="47" spans="1:3">
      <c r="A47" s="290"/>
      <c r="B47" s="291"/>
      <c r="C47" s="292"/>
    </row>
    <row r="48" spans="1:3">
      <c r="A48" s="290"/>
      <c r="B48" s="291"/>
      <c r="C48" s="292"/>
    </row>
    <row r="50" spans="1:3">
      <c r="A50" s="140" t="s">
        <v>8</v>
      </c>
      <c r="B50" s="33"/>
    </row>
    <row r="51" spans="1:3">
      <c r="A51" s="46" t="s">
        <v>17</v>
      </c>
      <c r="B51" s="28" t="s">
        <v>79</v>
      </c>
      <c r="C51" s="101">
        <v>25000</v>
      </c>
    </row>
    <row r="52" spans="1:3">
      <c r="A52" s="46" t="s">
        <v>18</v>
      </c>
      <c r="B52" s="28" t="s">
        <v>79</v>
      </c>
      <c r="C52" s="101">
        <v>25000</v>
      </c>
    </row>
    <row r="53" spans="1:3">
      <c r="A53" s="46" t="s">
        <v>16</v>
      </c>
      <c r="B53" s="28" t="s">
        <v>79</v>
      </c>
      <c r="C53" s="101">
        <v>25000</v>
      </c>
    </row>
    <row r="54" spans="1:3">
      <c r="A54" s="46" t="s">
        <v>67</v>
      </c>
      <c r="B54" s="28" t="s">
        <v>79</v>
      </c>
      <c r="C54" s="101">
        <v>25000</v>
      </c>
    </row>
    <row r="55" spans="1:3">
      <c r="A55" s="46" t="s">
        <v>37</v>
      </c>
      <c r="B55" s="28" t="s">
        <v>79</v>
      </c>
      <c r="C55" s="101">
        <v>25000</v>
      </c>
    </row>
    <row r="56" spans="1:3">
      <c r="A56" s="46" t="s">
        <v>15</v>
      </c>
      <c r="B56" s="28" t="s">
        <v>79</v>
      </c>
      <c r="C56" s="101">
        <v>18000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F68C-BA43-466B-85E0-D0EAB4398D54}">
  <sheetPr codeName="Sheet1">
    <tabColor rgb="FFFF0000"/>
  </sheetPr>
  <dimension ref="A1:G39"/>
  <sheetViews>
    <sheetView tabSelected="1" zoomScale="130" zoomScaleNormal="130" workbookViewId="0">
      <selection activeCell="D19" sqref="D19"/>
    </sheetView>
  </sheetViews>
  <sheetFormatPr defaultRowHeight="15.5"/>
  <cols>
    <col min="1" max="1" width="8.81640625" style="14" customWidth="1"/>
    <col min="2" max="2" width="37.1796875" style="14" customWidth="1"/>
    <col min="3" max="3" width="29.54296875" style="14" customWidth="1"/>
    <col min="4" max="4" width="18.26953125" style="14" customWidth="1"/>
    <col min="5" max="5" width="16" customWidth="1"/>
    <col min="7" max="7" width="22.54296875" bestFit="1" customWidth="1"/>
  </cols>
  <sheetData>
    <row r="1" spans="1:7" s="8" customFormat="1" ht="30" customHeight="1">
      <c r="A1" s="300" t="s">
        <v>374</v>
      </c>
      <c r="B1" s="300"/>
      <c r="C1" s="300"/>
      <c r="D1" s="300"/>
      <c r="E1" s="83"/>
      <c r="F1" s="83"/>
      <c r="G1" s="83"/>
    </row>
    <row r="2" spans="1:7" s="8" customFormat="1" ht="30" customHeight="1">
      <c r="A2" s="301" t="s">
        <v>347</v>
      </c>
      <c r="B2" s="301"/>
      <c r="C2" s="301"/>
      <c r="D2" s="301"/>
      <c r="E2" s="278"/>
      <c r="F2" s="278"/>
      <c r="G2" s="278"/>
    </row>
    <row r="3" spans="1:7" s="8" customFormat="1" ht="30" customHeight="1">
      <c r="A3" s="301" t="s">
        <v>346</v>
      </c>
      <c r="B3" s="301"/>
      <c r="C3" s="301"/>
      <c r="D3" s="301"/>
      <c r="E3" s="286"/>
      <c r="F3" s="278"/>
      <c r="G3" s="278"/>
    </row>
    <row r="4" spans="1:7" s="8" customFormat="1" ht="30" customHeight="1">
      <c r="A4" s="15" t="s">
        <v>77</v>
      </c>
      <c r="B4" s="15" t="s">
        <v>2</v>
      </c>
      <c r="C4" s="16" t="s">
        <v>6</v>
      </c>
      <c r="D4" s="15" t="s">
        <v>3</v>
      </c>
      <c r="E4" s="9"/>
    </row>
    <row r="5" spans="1:7" s="8" customFormat="1" ht="30" customHeight="1">
      <c r="A5" s="17">
        <v>1</v>
      </c>
      <c r="B5" s="18" t="s">
        <v>4</v>
      </c>
      <c r="C5" s="19">
        <f>'BQ '!G44</f>
        <v>86923110</v>
      </c>
      <c r="D5" s="18"/>
      <c r="E5" s="10"/>
    </row>
    <row r="6" spans="1:7" s="8" customFormat="1" ht="30" customHeight="1">
      <c r="A6" s="20">
        <v>2</v>
      </c>
      <c r="B6" s="21" t="s">
        <v>5</v>
      </c>
      <c r="C6" s="22">
        <f>'BQ '!G53</f>
        <v>41452330</v>
      </c>
      <c r="D6" s="21"/>
      <c r="E6" s="10"/>
    </row>
    <row r="7" spans="1:7" s="8" customFormat="1" ht="30" customHeight="1">
      <c r="A7" s="297" t="s">
        <v>376</v>
      </c>
      <c r="B7" s="298"/>
      <c r="C7" s="279">
        <f>SUM(C5:C6)</f>
        <v>128375440</v>
      </c>
      <c r="D7" s="24"/>
      <c r="E7" s="10"/>
    </row>
    <row r="8" spans="1:7" s="8" customFormat="1" ht="30" customHeight="1">
      <c r="A8" s="15"/>
      <c r="B8" s="277" t="s">
        <v>371</v>
      </c>
      <c r="C8" s="23">
        <f>ROUND(C5*0.03,-3)</f>
        <v>2608000</v>
      </c>
      <c r="D8" s="24"/>
      <c r="E8" s="10"/>
    </row>
    <row r="9" spans="1:7" s="8" customFormat="1" ht="30" customHeight="1">
      <c r="A9" s="302" t="s">
        <v>370</v>
      </c>
      <c r="B9" s="302"/>
      <c r="C9" s="23">
        <f>ROUND(C7*0.05,-3)</f>
        <v>6419000</v>
      </c>
      <c r="D9" s="24"/>
      <c r="E9" s="10"/>
    </row>
    <row r="10" spans="1:7" s="8" customFormat="1" ht="30" customHeight="1">
      <c r="A10" s="302" t="s">
        <v>373</v>
      </c>
      <c r="B10" s="302"/>
      <c r="C10" s="23">
        <f>ROUND(C7*0.02,-3)</f>
        <v>2568000</v>
      </c>
      <c r="D10" s="24"/>
      <c r="E10" s="10"/>
    </row>
    <row r="11" spans="1:7" s="8" customFormat="1" ht="30" customHeight="1">
      <c r="A11" s="302" t="s">
        <v>372</v>
      </c>
      <c r="B11" s="302"/>
      <c r="C11" s="23">
        <f>ROUND(C7*0.1,-3)</f>
        <v>12838000</v>
      </c>
      <c r="D11" s="24"/>
      <c r="E11" s="10"/>
    </row>
    <row r="12" spans="1:7" s="8" customFormat="1" ht="30" customHeight="1">
      <c r="A12" s="297" t="s">
        <v>375</v>
      </c>
      <c r="B12" s="298"/>
      <c r="C12" s="279">
        <f>SUM(C7:C11)</f>
        <v>152808440</v>
      </c>
      <c r="D12" s="24"/>
      <c r="E12" s="10"/>
    </row>
    <row r="13" spans="1:7" s="8" customFormat="1" ht="30" customHeight="1">
      <c r="A13" s="299" t="s">
        <v>30</v>
      </c>
      <c r="B13" s="299"/>
      <c r="C13" s="280">
        <f>ROUND(C12,-3)</f>
        <v>152808000</v>
      </c>
      <c r="D13" s="26"/>
    </row>
    <row r="14" spans="1:7" s="8" customFormat="1" ht="30" customHeight="1">
      <c r="A14" s="276"/>
      <c r="B14" s="276"/>
      <c r="C14" s="25"/>
      <c r="D14" s="26"/>
    </row>
    <row r="15" spans="1:7" s="8" customFormat="1" ht="30" customHeight="1">
      <c r="A15" s="276"/>
      <c r="B15" s="276"/>
      <c r="C15" s="25"/>
      <c r="D15" s="26"/>
    </row>
    <row r="16" spans="1:7" s="8" customFormat="1" ht="30" customHeight="1">
      <c r="A16" s="11"/>
      <c r="B16" s="11"/>
      <c r="C16" s="12"/>
      <c r="D16" s="11"/>
      <c r="G16" s="12"/>
    </row>
    <row r="17" spans="1:7" s="8" customFormat="1" ht="30" customHeight="1">
      <c r="A17" s="11"/>
      <c r="B17" s="11"/>
      <c r="D17" s="174"/>
      <c r="G17" s="13"/>
    </row>
    <row r="18" spans="1:7" s="8" customFormat="1">
      <c r="A18" s="11"/>
      <c r="B18" s="11"/>
      <c r="C18" s="175"/>
      <c r="D18" s="174"/>
    </row>
    <row r="19" spans="1:7" s="8" customFormat="1">
      <c r="A19" s="11"/>
      <c r="B19" s="11"/>
      <c r="C19" s="175"/>
      <c r="D19" s="174"/>
    </row>
    <row r="20" spans="1:7" s="8" customFormat="1">
      <c r="A20" s="11"/>
      <c r="B20" s="11"/>
      <c r="C20" s="176"/>
      <c r="D20" s="174"/>
    </row>
    <row r="21" spans="1:7" s="8" customFormat="1">
      <c r="A21" s="11"/>
      <c r="B21" s="11"/>
      <c r="C21" s="176"/>
      <c r="D21" s="174"/>
    </row>
    <row r="22" spans="1:7" s="8" customFormat="1">
      <c r="A22" s="11"/>
      <c r="B22" s="11"/>
      <c r="C22" s="176"/>
      <c r="D22" s="174"/>
    </row>
    <row r="23" spans="1:7" s="8" customFormat="1">
      <c r="A23" s="11"/>
      <c r="B23" s="11"/>
      <c r="C23" s="176"/>
      <c r="D23" s="174"/>
    </row>
    <row r="24" spans="1:7" s="8" customFormat="1">
      <c r="A24" s="11"/>
      <c r="B24" s="11"/>
      <c r="C24" s="176"/>
      <c r="D24" s="174"/>
    </row>
    <row r="25" spans="1:7" s="8" customFormat="1">
      <c r="A25" s="11"/>
      <c r="B25" s="11"/>
      <c r="C25" s="176"/>
      <c r="D25" s="174"/>
    </row>
    <row r="26" spans="1:7" s="8" customFormat="1">
      <c r="A26" s="11"/>
      <c r="B26" s="11"/>
      <c r="C26" s="176"/>
      <c r="D26" s="13"/>
    </row>
    <row r="27" spans="1:7" s="8" customFormat="1">
      <c r="A27" s="11"/>
      <c r="B27" s="11"/>
      <c r="C27" s="11"/>
      <c r="D27" s="11"/>
    </row>
    <row r="28" spans="1:7" s="8" customFormat="1">
      <c r="A28" s="11"/>
      <c r="B28" s="11"/>
      <c r="C28" s="11"/>
      <c r="D28" s="11"/>
    </row>
    <row r="29" spans="1:7" s="8" customFormat="1">
      <c r="A29" s="11"/>
      <c r="B29" s="11"/>
      <c r="C29" s="11"/>
      <c r="D29" s="11"/>
    </row>
    <row r="30" spans="1:7" s="8" customFormat="1">
      <c r="A30" s="11"/>
      <c r="B30" s="11"/>
      <c r="C30" s="11"/>
      <c r="D30" s="11"/>
    </row>
    <row r="31" spans="1:7" s="8" customFormat="1">
      <c r="A31" s="11"/>
      <c r="B31" s="11"/>
      <c r="C31" s="11"/>
      <c r="D31" s="11"/>
    </row>
    <row r="32" spans="1:7" s="8" customFormat="1">
      <c r="A32" s="11"/>
      <c r="B32" s="11"/>
      <c r="C32" s="11"/>
      <c r="D32" s="11"/>
    </row>
    <row r="33" spans="1:4" s="8" customFormat="1">
      <c r="A33" s="11"/>
      <c r="B33" s="11"/>
      <c r="C33" s="11"/>
      <c r="D33" s="11"/>
    </row>
    <row r="34" spans="1:4" s="8" customFormat="1">
      <c r="A34" s="11"/>
      <c r="B34" s="11"/>
      <c r="C34" s="11"/>
      <c r="D34" s="11"/>
    </row>
    <row r="35" spans="1:4" s="8" customFormat="1">
      <c r="A35" s="11"/>
      <c r="B35" s="11"/>
      <c r="C35" s="11"/>
      <c r="D35" s="11"/>
    </row>
    <row r="36" spans="1:4" s="8" customFormat="1">
      <c r="A36" s="11"/>
      <c r="B36" s="11"/>
      <c r="C36" s="11"/>
      <c r="D36" s="11"/>
    </row>
    <row r="37" spans="1:4" s="8" customFormat="1">
      <c r="A37" s="11"/>
      <c r="B37" s="11"/>
      <c r="C37" s="11"/>
      <c r="D37" s="11"/>
    </row>
    <row r="38" spans="1:4" s="8" customFormat="1">
      <c r="A38" s="11"/>
      <c r="B38" s="11"/>
      <c r="C38" s="11"/>
      <c r="D38" s="11"/>
    </row>
    <row r="39" spans="1:4" s="8" customFormat="1">
      <c r="A39" s="11"/>
      <c r="B39" s="11"/>
      <c r="C39" s="11"/>
      <c r="D39" s="11"/>
    </row>
  </sheetData>
  <mergeCells count="9">
    <mergeCell ref="A12:B12"/>
    <mergeCell ref="A13:B13"/>
    <mergeCell ref="A1:D1"/>
    <mergeCell ref="A2:D2"/>
    <mergeCell ref="A3:D3"/>
    <mergeCell ref="A7:B7"/>
    <mergeCell ref="A9:B9"/>
    <mergeCell ref="A10:B10"/>
    <mergeCell ref="A11:B11"/>
  </mergeCells>
  <phoneticPr fontId="13" type="noConversion"/>
  <printOptions horizontalCentered="1"/>
  <pageMargins left="0.5" right="0.5" top="1" bottom="0.5" header="0.5" footer="0.2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6E91-6ED8-4879-AB45-FA7BF3A4671B}">
  <sheetPr codeName="Sheet2">
    <tabColor rgb="FFFF0000"/>
  </sheetPr>
  <dimension ref="A1:N69"/>
  <sheetViews>
    <sheetView zoomScale="150" zoomScaleNormal="150" workbookViewId="0">
      <selection sqref="A1:G54"/>
    </sheetView>
  </sheetViews>
  <sheetFormatPr defaultColWidth="9.1796875" defaultRowHeight="11.5"/>
  <cols>
    <col min="1" max="1" width="4.26953125" style="2" customWidth="1"/>
    <col min="2" max="2" width="26" style="2" bestFit="1" customWidth="1"/>
    <col min="3" max="3" width="6.7265625" style="84" customWidth="1"/>
    <col min="4" max="4" width="11.7265625" style="2" customWidth="1"/>
    <col min="5" max="5" width="10.26953125" style="2" customWidth="1"/>
    <col min="6" max="6" width="6.7265625" style="2" customWidth="1"/>
    <col min="7" max="7" width="14.26953125" style="111" bestFit="1" customWidth="1"/>
    <col min="8" max="8" width="2.7265625" style="111" customWidth="1"/>
    <col min="9" max="9" width="10.54296875" style="111" customWidth="1"/>
    <col min="10" max="10" width="11.54296875" style="126" bestFit="1" customWidth="1"/>
    <col min="11" max="11" width="8.54296875" style="126" bestFit="1" customWidth="1"/>
    <col min="12" max="12" width="6" style="126" bestFit="1" customWidth="1"/>
    <col min="13" max="13" width="8" style="125" bestFit="1" customWidth="1"/>
    <col min="14" max="16384" width="9.1796875" style="125"/>
  </cols>
  <sheetData>
    <row r="1" spans="1:12" s="27" customFormat="1" ht="19.899999999999999" customHeight="1">
      <c r="A1" s="308" t="s">
        <v>347</v>
      </c>
      <c r="B1" s="308"/>
      <c r="C1" s="308"/>
      <c r="D1" s="308"/>
      <c r="E1" s="308"/>
      <c r="F1" s="308"/>
      <c r="G1" s="308"/>
      <c r="H1" s="2"/>
      <c r="I1" s="2"/>
      <c r="J1" s="123"/>
      <c r="K1" s="123"/>
      <c r="L1" s="123"/>
    </row>
    <row r="2" spans="1:12" s="27" customFormat="1" ht="19.899999999999999" customHeight="1">
      <c r="A2" s="308" t="s">
        <v>346</v>
      </c>
      <c r="B2" s="308"/>
      <c r="C2" s="308"/>
      <c r="D2" s="308"/>
      <c r="E2" s="308"/>
      <c r="F2" s="308"/>
      <c r="G2" s="308"/>
      <c r="H2" s="2"/>
      <c r="I2" s="2"/>
      <c r="J2" s="123"/>
      <c r="K2" s="123"/>
      <c r="L2" s="123"/>
    </row>
    <row r="3" spans="1:12" ht="19.899999999999999" customHeight="1">
      <c r="A3" s="309" t="s">
        <v>26</v>
      </c>
      <c r="B3" s="309"/>
      <c r="C3" s="309"/>
      <c r="D3" s="309"/>
      <c r="E3" s="309"/>
      <c r="F3" s="309"/>
      <c r="G3" s="309"/>
      <c r="H3" s="124"/>
      <c r="I3" s="124"/>
    </row>
    <row r="4" spans="1:12" s="3" customFormat="1" ht="17.149999999999999" customHeight="1">
      <c r="A4" s="303" t="s">
        <v>22</v>
      </c>
      <c r="B4" s="303" t="s">
        <v>78</v>
      </c>
      <c r="C4" s="303" t="s">
        <v>94</v>
      </c>
      <c r="D4" s="305" t="s">
        <v>95</v>
      </c>
      <c r="E4" s="303" t="s">
        <v>96</v>
      </c>
      <c r="F4" s="303" t="s">
        <v>97</v>
      </c>
      <c r="G4" s="305" t="s">
        <v>6</v>
      </c>
      <c r="H4" s="127"/>
      <c r="I4" s="127"/>
      <c r="J4" s="126"/>
      <c r="K4" s="126"/>
      <c r="L4" s="126"/>
    </row>
    <row r="5" spans="1:12" s="3" customFormat="1" ht="17.149999999999999" customHeight="1">
      <c r="A5" s="304"/>
      <c r="B5" s="304"/>
      <c r="C5" s="304"/>
      <c r="D5" s="306"/>
      <c r="E5" s="304"/>
      <c r="F5" s="304"/>
      <c r="G5" s="306"/>
      <c r="H5" s="127"/>
      <c r="I5" s="127"/>
      <c r="J5" s="126"/>
      <c r="K5" s="126"/>
      <c r="L5" s="126"/>
    </row>
    <row r="6" spans="1:12" s="3" customFormat="1" ht="20.149999999999999" customHeight="1">
      <c r="A6" s="128"/>
      <c r="B6" s="129" t="s">
        <v>12</v>
      </c>
      <c r="C6" s="128"/>
      <c r="D6" s="130"/>
      <c r="E6" s="128"/>
      <c r="F6" s="128"/>
      <c r="G6" s="130"/>
      <c r="H6" s="127"/>
      <c r="I6" s="127"/>
      <c r="J6" s="126"/>
      <c r="K6" s="126"/>
      <c r="L6" s="126"/>
    </row>
    <row r="7" spans="1:12" s="3" customFormat="1" ht="20.149999999999999" customHeight="1">
      <c r="A7" s="28">
        <v>1</v>
      </c>
      <c r="B7" s="92" t="s">
        <v>87</v>
      </c>
      <c r="C7" s="28" t="s">
        <v>88</v>
      </c>
      <c r="D7" s="132">
        <f>SUMIF(Buil!B$6:B325,'BQ '!B7,Buil!D$6:D325)</f>
        <v>792.61</v>
      </c>
      <c r="E7" s="101">
        <f>VLOOKUP(B7,Rate!A$1:C56,3,FALSE)</f>
        <v>22000</v>
      </c>
      <c r="F7" s="28" t="str">
        <f t="shared" ref="F7:F18" si="0">C7</f>
        <v>Bag</v>
      </c>
      <c r="G7" s="89">
        <f t="shared" ref="G7:G23" si="1">D7*E7</f>
        <v>17437420</v>
      </c>
      <c r="H7" s="6"/>
      <c r="I7" s="6"/>
      <c r="J7" s="126">
        <f>J53</f>
        <v>0</v>
      </c>
      <c r="K7" s="126"/>
      <c r="L7" s="126"/>
    </row>
    <row r="8" spans="1:12" s="3" customFormat="1" ht="20.149999999999999" customHeight="1">
      <c r="A8" s="131">
        <v>2</v>
      </c>
      <c r="B8" s="46" t="s">
        <v>23</v>
      </c>
      <c r="C8" s="28" t="s">
        <v>89</v>
      </c>
      <c r="D8" s="132">
        <f>SUMIF(Buil!B$6:B326,'BQ '!B8,Buil!D$6:D326)</f>
        <v>64.459999999999994</v>
      </c>
      <c r="E8" s="101">
        <f>VLOOKUP(B8,Rate!A$1:C57,3,FALSE)</f>
        <v>56000</v>
      </c>
      <c r="F8" s="28" t="str">
        <f t="shared" si="0"/>
        <v>Sud</v>
      </c>
      <c r="G8" s="89">
        <f t="shared" si="1"/>
        <v>3609760</v>
      </c>
      <c r="H8" s="6"/>
      <c r="I8" s="6"/>
      <c r="J8" s="126"/>
      <c r="K8" s="126"/>
      <c r="L8" s="126"/>
    </row>
    <row r="9" spans="1:12" s="3" customFormat="1" ht="20.149999999999999" customHeight="1">
      <c r="A9" s="28">
        <v>3</v>
      </c>
      <c r="B9" s="92" t="s">
        <v>90</v>
      </c>
      <c r="C9" s="28" t="s">
        <v>79</v>
      </c>
      <c r="D9" s="132">
        <f>SUMIF(Buil!B$6:B327,'BQ '!B9,Buil!D$6:D327)</f>
        <v>38335</v>
      </c>
      <c r="E9" s="101">
        <f>VLOOKUP(B9,Rate!A$1:C58,3,FALSE)</f>
        <v>280</v>
      </c>
      <c r="F9" s="28" t="str">
        <f t="shared" si="0"/>
        <v>No</v>
      </c>
      <c r="G9" s="89">
        <f t="shared" si="1"/>
        <v>10733800</v>
      </c>
      <c r="H9" s="6"/>
      <c r="I9" s="6"/>
      <c r="J9" s="126"/>
      <c r="K9" s="126"/>
      <c r="L9" s="126"/>
    </row>
    <row r="10" spans="1:12" s="3" customFormat="1" ht="20.149999999999999" customHeight="1">
      <c r="A10" s="131">
        <v>4</v>
      </c>
      <c r="B10" s="92" t="s">
        <v>389</v>
      </c>
      <c r="C10" s="28" t="s">
        <v>125</v>
      </c>
      <c r="D10" s="132">
        <f>SUMIF(Buil!B$6:B328,'BQ '!B10,Buil!D$6:D328)</f>
        <v>3400</v>
      </c>
      <c r="E10" s="101">
        <f>VLOOKUP(B10,Rate!A$1:C59,3,FALSE)</f>
        <v>150</v>
      </c>
      <c r="F10" s="28" t="str">
        <f>C10</f>
        <v>Rft</v>
      </c>
      <c r="G10" s="89">
        <f>D10*E10</f>
        <v>510000</v>
      </c>
      <c r="H10" s="6"/>
      <c r="I10" s="6"/>
      <c r="J10" s="126"/>
      <c r="K10" s="126"/>
      <c r="L10" s="126"/>
    </row>
    <row r="11" spans="1:12" s="3" customFormat="1" ht="20.149999999999999" customHeight="1">
      <c r="A11" s="28">
        <v>5</v>
      </c>
      <c r="B11" s="46" t="s">
        <v>35</v>
      </c>
      <c r="C11" s="28" t="s">
        <v>89</v>
      </c>
      <c r="D11" s="132">
        <f>SUMIF(Buil!B$6:B328,'BQ '!B11,Buil!D$6:D328)</f>
        <v>26.44</v>
      </c>
      <c r="E11" s="101">
        <f>VLOOKUP(B11,Rate!A$1:C59,3,FALSE)</f>
        <v>220000</v>
      </c>
      <c r="F11" s="28" t="str">
        <f t="shared" si="0"/>
        <v>Sud</v>
      </c>
      <c r="G11" s="89">
        <f t="shared" si="1"/>
        <v>5816800</v>
      </c>
      <c r="H11" s="6"/>
      <c r="I11" s="6"/>
      <c r="J11" s="126"/>
      <c r="K11" s="126"/>
      <c r="L11" s="126"/>
    </row>
    <row r="12" spans="1:12" s="3" customFormat="1" ht="20.149999999999999" customHeight="1">
      <c r="A12" s="131">
        <v>6</v>
      </c>
      <c r="B12" s="92" t="s">
        <v>272</v>
      </c>
      <c r="C12" s="28" t="s">
        <v>89</v>
      </c>
      <c r="D12" s="132">
        <f>SUMIF(Buil!B$6:B329,'BQ '!B12,Buil!D$6:D329)</f>
        <v>4.66</v>
      </c>
      <c r="E12" s="101">
        <f>VLOOKUP(B12,Rate!A$1:C60,3,FALSE)</f>
        <v>200000</v>
      </c>
      <c r="F12" s="28" t="str">
        <f t="shared" si="0"/>
        <v>Sud</v>
      </c>
      <c r="G12" s="89">
        <f t="shared" si="1"/>
        <v>932000</v>
      </c>
      <c r="H12" s="6"/>
      <c r="I12" s="6"/>
      <c r="J12" s="126"/>
      <c r="K12" s="126"/>
      <c r="L12" s="126"/>
    </row>
    <row r="13" spans="1:12" s="3" customFormat="1" ht="20.149999999999999" customHeight="1">
      <c r="A13" s="28">
        <v>7</v>
      </c>
      <c r="B13" s="92" t="s">
        <v>36</v>
      </c>
      <c r="C13" s="28" t="s">
        <v>20</v>
      </c>
      <c r="D13" s="132">
        <f>SUMIF(Buil!B$6:B330,'BQ '!B13,Buil!D$6:D330)</f>
        <v>52.08</v>
      </c>
      <c r="E13" s="101">
        <f>VLOOKUP(B13,Rate!A$1:C61,3,FALSE)</f>
        <v>15000</v>
      </c>
      <c r="F13" s="28" t="str">
        <f t="shared" si="0"/>
        <v>Gal</v>
      </c>
      <c r="G13" s="89">
        <f t="shared" si="1"/>
        <v>781200</v>
      </c>
      <c r="H13" s="6"/>
      <c r="I13" s="6"/>
      <c r="J13" s="126">
        <f>J7</f>
        <v>0</v>
      </c>
      <c r="K13" s="188"/>
      <c r="L13" s="126"/>
    </row>
    <row r="14" spans="1:12" s="3" customFormat="1" ht="20.149999999999999" customHeight="1">
      <c r="A14" s="131">
        <v>8</v>
      </c>
      <c r="B14" s="46" t="s">
        <v>394</v>
      </c>
      <c r="C14" s="41" t="s">
        <v>391</v>
      </c>
      <c r="D14" s="132">
        <f>SUMIF(Buil!B$6:B331,'BQ '!B14,Buil!D$6:D331)</f>
        <v>2</v>
      </c>
      <c r="E14" s="101">
        <f>VLOOKUP(B14,Rate!A$1:C62,3,FALSE)</f>
        <v>0</v>
      </c>
      <c r="F14" s="28" t="str">
        <f>C14</f>
        <v>Lit</v>
      </c>
      <c r="G14" s="89">
        <f t="shared" si="1"/>
        <v>0</v>
      </c>
      <c r="H14" s="6"/>
      <c r="I14" s="6"/>
      <c r="J14" s="126"/>
      <c r="K14" s="188"/>
      <c r="L14" s="126"/>
    </row>
    <row r="15" spans="1:12" s="3" customFormat="1" ht="20.149999999999999" customHeight="1">
      <c r="A15" s="28">
        <v>9</v>
      </c>
      <c r="B15" s="46" t="s">
        <v>392</v>
      </c>
      <c r="C15" s="41" t="s">
        <v>391</v>
      </c>
      <c r="D15" s="132">
        <f>SUMIF(Buil!B$6:B331,'BQ '!B15,Buil!D$6:D331)</f>
        <v>6</v>
      </c>
      <c r="E15" s="101">
        <f>VLOOKUP(B15,Rate!A$1:C62,3,FALSE)</f>
        <v>0</v>
      </c>
      <c r="F15" s="28" t="str">
        <f>C15</f>
        <v>Lit</v>
      </c>
      <c r="G15" s="89">
        <f>D15*E15</f>
        <v>0</v>
      </c>
      <c r="H15" s="6"/>
      <c r="I15" s="6"/>
      <c r="J15" s="126"/>
      <c r="K15" s="188"/>
      <c r="L15" s="126"/>
    </row>
    <row r="16" spans="1:12" s="3" customFormat="1" ht="20.149999999999999" customHeight="1">
      <c r="A16" s="131">
        <v>10</v>
      </c>
      <c r="B16" s="46" t="s">
        <v>38</v>
      </c>
      <c r="C16" s="28" t="s">
        <v>92</v>
      </c>
      <c r="D16" s="132">
        <f>SUMIF(Buil!B$6:B331,'BQ '!B16,Buil!D$6:D331)</f>
        <v>60.82</v>
      </c>
      <c r="E16" s="101">
        <f>VLOOKUP(B16,Rate!A$1:C62,3,FALSE)</f>
        <v>60000</v>
      </c>
      <c r="F16" s="28" t="str">
        <f t="shared" si="0"/>
        <v>Sht</v>
      </c>
      <c r="G16" s="89">
        <f t="shared" si="1"/>
        <v>3649200</v>
      </c>
      <c r="H16" s="6"/>
      <c r="I16" s="6"/>
      <c r="J16" s="126"/>
      <c r="K16" s="126"/>
      <c r="L16" s="126"/>
    </row>
    <row r="17" spans="1:14" s="3" customFormat="1" ht="20.149999999999999" customHeight="1">
      <c r="A17" s="28">
        <v>11</v>
      </c>
      <c r="B17" s="46" t="s">
        <v>66</v>
      </c>
      <c r="C17" s="28" t="s">
        <v>93</v>
      </c>
      <c r="D17" s="132">
        <f>SUMIF(Buil!B$6:B332,'BQ '!B17,Buil!D$6:D332)</f>
        <v>5.13</v>
      </c>
      <c r="E17" s="101">
        <f>VLOOKUP(B17,Rate!A$1:C63,3,FALSE)</f>
        <v>1200000</v>
      </c>
      <c r="F17" s="28" t="str">
        <f t="shared" si="0"/>
        <v>Ton</v>
      </c>
      <c r="G17" s="89">
        <f t="shared" si="1"/>
        <v>6156000</v>
      </c>
      <c r="H17" s="6"/>
      <c r="I17" s="6"/>
      <c r="J17" s="126"/>
      <c r="K17" s="126"/>
      <c r="L17" s="188"/>
      <c r="M17" s="4"/>
    </row>
    <row r="18" spans="1:14" s="3" customFormat="1" ht="20.149999999999999" customHeight="1">
      <c r="A18" s="131">
        <v>12</v>
      </c>
      <c r="B18" s="92" t="s">
        <v>39</v>
      </c>
      <c r="C18" s="28" t="s">
        <v>135</v>
      </c>
      <c r="D18" s="132">
        <f>SUMIF(Buil!B$6:B333,'BQ '!B18,Buil!D$6:D333)</f>
        <v>47.72</v>
      </c>
      <c r="E18" s="101">
        <f>VLOOKUP(B18,Rate!A$1:C64,3,FALSE)</f>
        <v>10000</v>
      </c>
      <c r="F18" s="28" t="str">
        <f t="shared" si="0"/>
        <v>Viss</v>
      </c>
      <c r="G18" s="89">
        <f t="shared" si="1"/>
        <v>477200</v>
      </c>
      <c r="H18" s="6"/>
      <c r="I18" s="6"/>
      <c r="J18" s="126"/>
      <c r="K18" s="126"/>
      <c r="L18" s="126"/>
    </row>
    <row r="19" spans="1:14" s="3" customFormat="1" ht="20.149999999999999" customHeight="1">
      <c r="A19" s="28">
        <v>13</v>
      </c>
      <c r="B19" s="46" t="s">
        <v>395</v>
      </c>
      <c r="C19" s="41" t="s">
        <v>397</v>
      </c>
      <c r="D19" s="132">
        <f>SUMIF(Buil!B$6:B334,'BQ '!B19,Buil!D$6:D334)</f>
        <v>1</v>
      </c>
      <c r="E19" s="101">
        <f>VLOOKUP(B19,Rate!A$1:C65,3,FALSE)</f>
        <v>0</v>
      </c>
      <c r="F19" s="28" t="str">
        <f>C19</f>
        <v>Box</v>
      </c>
      <c r="G19" s="89">
        <f>D19*E19</f>
        <v>0</v>
      </c>
      <c r="H19" s="6"/>
      <c r="I19" s="6"/>
      <c r="J19" s="126">
        <f>J13</f>
        <v>0</v>
      </c>
      <c r="K19" s="126"/>
      <c r="L19" s="126"/>
    </row>
    <row r="20" spans="1:14" s="3" customFormat="1" ht="20.149999999999999" customHeight="1">
      <c r="A20" s="131">
        <v>14</v>
      </c>
      <c r="B20" s="46" t="s">
        <v>396</v>
      </c>
      <c r="C20" s="41" t="s">
        <v>397</v>
      </c>
      <c r="D20" s="132">
        <f>SUMIF(Buil!B$6:B335,'BQ '!B20,Buil!D$6:D335)</f>
        <v>1</v>
      </c>
      <c r="E20" s="101">
        <f>VLOOKUP(B20,Rate!A$1:C66,3,FALSE)</f>
        <v>0</v>
      </c>
      <c r="F20" s="28" t="str">
        <f>C20</f>
        <v>Box</v>
      </c>
      <c r="G20" s="89">
        <f>D20*E20</f>
        <v>0</v>
      </c>
      <c r="H20" s="6"/>
      <c r="I20" s="6"/>
      <c r="J20" s="126"/>
      <c r="K20" s="126"/>
      <c r="L20" s="126"/>
    </row>
    <row r="21" spans="1:14" s="3" customFormat="1" ht="20.149999999999999" customHeight="1">
      <c r="A21" s="28">
        <v>15</v>
      </c>
      <c r="B21" s="92" t="s">
        <v>28</v>
      </c>
      <c r="C21" s="28"/>
      <c r="D21" s="95"/>
      <c r="E21" s="101"/>
      <c r="F21" s="28"/>
      <c r="G21" s="89"/>
      <c r="H21" s="6"/>
      <c r="I21" s="6"/>
      <c r="J21" s="126"/>
      <c r="K21" s="126"/>
      <c r="L21" s="126"/>
    </row>
    <row r="22" spans="1:14" s="3" customFormat="1" ht="20.149999999999999" customHeight="1">
      <c r="A22" s="28"/>
      <c r="B22" s="30" t="s">
        <v>69</v>
      </c>
      <c r="C22" s="28" t="s">
        <v>93</v>
      </c>
      <c r="D22" s="132">
        <f>SUMIF(Buil!B$6:B335,'BQ '!B22,Buil!D$6:D335)</f>
        <v>0.05</v>
      </c>
      <c r="E22" s="101">
        <f>VLOOKUP(B22,Rate!A$1:C66,3,FALSE)</f>
        <v>2800000</v>
      </c>
      <c r="F22" s="28" t="str">
        <f t="shared" ref="F22:F35" si="2">C22</f>
        <v>Ton</v>
      </c>
      <c r="G22" s="89">
        <f>D22*E22</f>
        <v>140000</v>
      </c>
      <c r="H22" s="6"/>
      <c r="I22" s="6"/>
      <c r="J22" s="126"/>
      <c r="K22" s="188"/>
      <c r="L22" s="188"/>
      <c r="M22" s="4"/>
    </row>
    <row r="23" spans="1:14" s="3" customFormat="1" ht="20.149999999999999" customHeight="1">
      <c r="A23" s="28"/>
      <c r="B23" s="30" t="s">
        <v>40</v>
      </c>
      <c r="C23" s="28" t="s">
        <v>93</v>
      </c>
      <c r="D23" s="132">
        <f>SUMIF(Buil!B$6:B336,'BQ '!B23,Buil!D$6:D336)</f>
        <v>2.92</v>
      </c>
      <c r="E23" s="101">
        <f>VLOOKUP(B23,Rate!A$1:C67,3,FALSE)</f>
        <v>2500000</v>
      </c>
      <c r="F23" s="28" t="str">
        <f t="shared" si="2"/>
        <v>Ton</v>
      </c>
      <c r="G23" s="89">
        <f t="shared" si="1"/>
        <v>7300000</v>
      </c>
      <c r="H23" s="6"/>
      <c r="I23" s="6"/>
      <c r="J23" s="126"/>
      <c r="K23" s="188"/>
      <c r="L23" s="188"/>
      <c r="M23" s="4"/>
      <c r="N23" s="4"/>
    </row>
    <row r="24" spans="1:14" s="3" customFormat="1" ht="20.149999999999999" customHeight="1">
      <c r="A24" s="28"/>
      <c r="B24" s="30" t="s">
        <v>68</v>
      </c>
      <c r="C24" s="28" t="s">
        <v>93</v>
      </c>
      <c r="D24" s="132">
        <f>SUMIF(Buil!B$6:B337,'BQ '!B24,Buil!D$6:D337)</f>
        <v>6.51</v>
      </c>
      <c r="E24" s="101">
        <f>VLOOKUP(B24,Rate!A$1:C68,3,FALSE)</f>
        <v>2200000</v>
      </c>
      <c r="F24" s="28" t="str">
        <f t="shared" si="2"/>
        <v>Ton</v>
      </c>
      <c r="G24" s="89">
        <f>D24*E24</f>
        <v>14322000</v>
      </c>
      <c r="H24" s="6"/>
      <c r="I24" s="6"/>
      <c r="J24" s="126"/>
      <c r="K24" s="188"/>
      <c r="L24" s="188"/>
      <c r="N24" s="4"/>
    </row>
    <row r="25" spans="1:14" s="3" customFormat="1" ht="20.149999999999999" customHeight="1">
      <c r="A25" s="28"/>
      <c r="B25" s="30"/>
      <c r="C25" s="28"/>
      <c r="D25" s="95">
        <f>SUM(D22:D24)</f>
        <v>9.48</v>
      </c>
      <c r="E25" s="101"/>
      <c r="F25" s="28"/>
      <c r="G25" s="89"/>
      <c r="H25" s="6"/>
      <c r="I25" s="6"/>
      <c r="J25" s="126">
        <f>J19</f>
        <v>0</v>
      </c>
      <c r="K25" s="4"/>
      <c r="L25" s="4"/>
    </row>
    <row r="26" spans="1:14" s="3" customFormat="1" ht="20.149999999999999" customHeight="1">
      <c r="A26" s="28">
        <v>16</v>
      </c>
      <c r="B26" s="92" t="s">
        <v>24</v>
      </c>
      <c r="C26" s="28" t="s">
        <v>136</v>
      </c>
      <c r="D26" s="132">
        <f>SUMIF(Buil!B$6:B339,'BQ '!B26,Buil!D$6:D339)</f>
        <v>48.39</v>
      </c>
      <c r="E26" s="101">
        <f>VLOOKUP(B26,Rate!A$1:C70,3,FALSE)</f>
        <v>12000</v>
      </c>
      <c r="F26" s="28" t="str">
        <f t="shared" si="2"/>
        <v>viss</v>
      </c>
      <c r="G26" s="89">
        <f t="shared" ref="G26:G40" si="3">D26*E26</f>
        <v>580680</v>
      </c>
      <c r="H26" s="6"/>
      <c r="I26" s="6"/>
      <c r="J26" s="126"/>
      <c r="K26" s="188"/>
      <c r="L26" s="126"/>
    </row>
    <row r="27" spans="1:14" s="3" customFormat="1" ht="20.149999999999999" customHeight="1">
      <c r="A27" s="28">
        <v>17</v>
      </c>
      <c r="B27" s="29" t="s">
        <v>312</v>
      </c>
      <c r="C27" s="133" t="str">
        <f>Buil!C239</f>
        <v>Rft.</v>
      </c>
      <c r="D27" s="132">
        <f>SUMIF(Buil!B$6:B340,'BQ '!B27,Buil!D$6:D340)</f>
        <v>1273</v>
      </c>
      <c r="E27" s="101">
        <f>VLOOKUP(B27,Rate!A$1:C71,3,FALSE)</f>
        <v>4000</v>
      </c>
      <c r="F27" s="133" t="str">
        <f t="shared" si="2"/>
        <v>Rft.</v>
      </c>
      <c r="G27" s="89">
        <f t="shared" si="3"/>
        <v>5092000</v>
      </c>
      <c r="H27" s="6"/>
      <c r="I27" s="6"/>
      <c r="J27" s="126"/>
      <c r="K27" s="126"/>
      <c r="L27" s="188"/>
    </row>
    <row r="28" spans="1:14" s="3" customFormat="1" ht="20.149999999999999" customHeight="1">
      <c r="A28" s="28">
        <v>18</v>
      </c>
      <c r="B28" s="29" t="s">
        <v>317</v>
      </c>
      <c r="C28" s="133" t="str">
        <f>Buil!C240</f>
        <v>Gross</v>
      </c>
      <c r="D28" s="132">
        <f>SUMIF(Buil!B$6:B341,'BQ '!B28,Buil!D$6:D341)</f>
        <v>17.3</v>
      </c>
      <c r="E28" s="101">
        <f>VLOOKUP(B28,Rate!A$1:C72,3,FALSE)</f>
        <v>9000</v>
      </c>
      <c r="F28" s="133" t="str">
        <f t="shared" si="2"/>
        <v>Gross</v>
      </c>
      <c r="G28" s="89">
        <f t="shared" si="3"/>
        <v>155700</v>
      </c>
      <c r="H28" s="6"/>
      <c r="I28" s="6"/>
      <c r="J28" s="126"/>
      <c r="K28" s="126"/>
      <c r="L28" s="126"/>
    </row>
    <row r="29" spans="1:14" s="3" customFormat="1" ht="20.149999999999999" customHeight="1">
      <c r="A29" s="28">
        <v>19</v>
      </c>
      <c r="B29" s="139" t="s">
        <v>406</v>
      </c>
      <c r="C29" s="133" t="s">
        <v>79</v>
      </c>
      <c r="D29" s="132">
        <f>Buil!D254</f>
        <v>1</v>
      </c>
      <c r="E29" s="101">
        <f>VLOOKUP(B29,Rate!A$1:C73,3,FALSE)</f>
        <v>100000</v>
      </c>
      <c r="F29" s="133" t="str">
        <f>C29</f>
        <v>No</v>
      </c>
      <c r="G29" s="89">
        <f>D29*E29</f>
        <v>100000</v>
      </c>
      <c r="H29" s="6"/>
      <c r="I29" s="6"/>
      <c r="J29" s="126"/>
      <c r="K29" s="126"/>
      <c r="L29" s="126"/>
    </row>
    <row r="30" spans="1:14" s="3" customFormat="1" ht="20.149999999999999" customHeight="1">
      <c r="A30" s="28">
        <v>20</v>
      </c>
      <c r="B30" s="295" t="s">
        <v>220</v>
      </c>
      <c r="C30" s="133" t="str">
        <f>Buil!C255</f>
        <v>No</v>
      </c>
      <c r="D30" s="132">
        <f>SUMIF(Buil!B$6:B342,'BQ '!B30,Buil!D$6:D342)</f>
        <v>18.690000000000001</v>
      </c>
      <c r="E30" s="101">
        <f>VLOOKUP(B30,Rate!A$1:C73,3,FALSE)</f>
        <v>55000</v>
      </c>
      <c r="F30" s="133" t="str">
        <f t="shared" si="2"/>
        <v>No</v>
      </c>
      <c r="G30" s="89">
        <f t="shared" si="3"/>
        <v>1027950</v>
      </c>
      <c r="H30" s="6"/>
      <c r="I30" s="6"/>
      <c r="J30" s="126"/>
      <c r="K30" s="126"/>
      <c r="L30" s="126"/>
    </row>
    <row r="31" spans="1:14" s="3" customFormat="1" ht="20.149999999999999" customHeight="1">
      <c r="A31" s="28">
        <v>21</v>
      </c>
      <c r="B31" s="295" t="s">
        <v>229</v>
      </c>
      <c r="C31" s="133" t="str">
        <f>Buil!C256</f>
        <v>No</v>
      </c>
      <c r="D31" s="132">
        <f>SUMIF(Buil!B$6:B343,'BQ '!B31,Buil!D$6:D343)</f>
        <v>40.659999999999997</v>
      </c>
      <c r="E31" s="101">
        <f>VLOOKUP(B31,Rate!A$1:C74,3,FALSE)</f>
        <v>45000</v>
      </c>
      <c r="F31" s="133" t="str">
        <f t="shared" si="2"/>
        <v>No</v>
      </c>
      <c r="G31" s="89">
        <f t="shared" si="3"/>
        <v>1829700</v>
      </c>
      <c r="H31" s="6"/>
      <c r="I31" s="6"/>
      <c r="J31" s="126"/>
      <c r="K31" s="126"/>
      <c r="L31" s="126"/>
    </row>
    <row r="32" spans="1:14" s="3" customFormat="1" ht="20.149999999999999" customHeight="1">
      <c r="A32" s="28">
        <v>22</v>
      </c>
      <c r="B32" s="295" t="s">
        <v>400</v>
      </c>
      <c r="C32" s="133" t="str">
        <f>Buil!C257</f>
        <v>No</v>
      </c>
      <c r="D32" s="132">
        <f>SUMIF(Buil!B$6:B344,'BQ '!B32,Buil!D$6:D344)</f>
        <v>94.42</v>
      </c>
      <c r="E32" s="101">
        <f>VLOOKUP(B32,Rate!A$1:C75,3,FALSE)</f>
        <v>30000</v>
      </c>
      <c r="F32" s="133" t="str">
        <f t="shared" si="2"/>
        <v>No</v>
      </c>
      <c r="G32" s="89">
        <f t="shared" si="3"/>
        <v>2832600</v>
      </c>
      <c r="H32" s="6"/>
      <c r="I32" s="6"/>
      <c r="J32" s="126"/>
      <c r="K32" s="126"/>
      <c r="L32" s="126"/>
    </row>
    <row r="33" spans="1:12" s="3" customFormat="1" ht="20.149999999999999" customHeight="1">
      <c r="A33" s="28">
        <v>23</v>
      </c>
      <c r="B33" s="295" t="s">
        <v>316</v>
      </c>
      <c r="C33" s="133" t="str">
        <f>Buil!C258</f>
        <v>No</v>
      </c>
      <c r="D33" s="132">
        <f>SUMIF(Buil!B$6:B345,'BQ '!B33,Buil!D$6:D345)</f>
        <v>1.92</v>
      </c>
      <c r="E33" s="101">
        <f>VLOOKUP(B33,Rate!A$1:C76,3,FALSE)</f>
        <v>45000</v>
      </c>
      <c r="F33" s="133" t="str">
        <f t="shared" si="2"/>
        <v>No</v>
      </c>
      <c r="G33" s="89">
        <f t="shared" si="3"/>
        <v>86400</v>
      </c>
      <c r="H33" s="6"/>
      <c r="I33" s="6"/>
      <c r="J33" s="126">
        <f>J25</f>
        <v>0</v>
      </c>
      <c r="K33" s="126"/>
      <c r="L33" s="126"/>
    </row>
    <row r="34" spans="1:12" s="3" customFormat="1" ht="20.149999999999999" customHeight="1">
      <c r="A34" s="28">
        <v>24</v>
      </c>
      <c r="B34" s="295" t="s">
        <v>390</v>
      </c>
      <c r="C34" s="133" t="s">
        <v>79</v>
      </c>
      <c r="D34" s="132">
        <f>SUMIF(Buil!B$6:B346,'BQ '!B34,Buil!D$6:D346)</f>
        <v>7</v>
      </c>
      <c r="E34" s="101">
        <f>VLOOKUP(B34,Rate!A$1:C77,3,FALSE)</f>
        <v>0</v>
      </c>
      <c r="F34" s="133" t="str">
        <f>C34</f>
        <v>No</v>
      </c>
      <c r="G34" s="89">
        <f>D34*E34</f>
        <v>0</v>
      </c>
      <c r="H34" s="6"/>
      <c r="I34" s="6"/>
      <c r="J34" s="126"/>
      <c r="K34" s="126"/>
      <c r="L34" s="126"/>
    </row>
    <row r="35" spans="1:12" s="3" customFormat="1" ht="20.149999999999999" customHeight="1">
      <c r="A35" s="28">
        <v>25</v>
      </c>
      <c r="B35" s="29" t="s">
        <v>121</v>
      </c>
      <c r="C35" s="133" t="str">
        <f>Buil!C260</f>
        <v>Pkt</v>
      </c>
      <c r="D35" s="132">
        <f>SUMIF(Buil!B$6:B346,'BQ '!B35,Buil!D$6:D346)</f>
        <v>3</v>
      </c>
      <c r="E35" s="101">
        <f>VLOOKUP(B35,Rate!A$1:C77,3,FALSE)</f>
        <v>20000</v>
      </c>
      <c r="F35" s="133" t="str">
        <f t="shared" si="2"/>
        <v>Pkt</v>
      </c>
      <c r="G35" s="89">
        <f t="shared" si="3"/>
        <v>60000</v>
      </c>
      <c r="H35" s="6"/>
      <c r="I35" s="6"/>
      <c r="J35" s="126"/>
      <c r="K35" s="126"/>
      <c r="L35" s="126"/>
    </row>
    <row r="36" spans="1:12" s="3" customFormat="1" ht="20.149999999999999" customHeight="1">
      <c r="A36" s="28">
        <v>26</v>
      </c>
      <c r="B36" s="92" t="s">
        <v>124</v>
      </c>
      <c r="C36" s="134" t="str">
        <f>Buil!C267</f>
        <v>Rft</v>
      </c>
      <c r="D36" s="132">
        <f>SUMIF(Buil!B$6:B347,'BQ '!B36,Buil!D$6:D347)</f>
        <v>305.64999999999998</v>
      </c>
      <c r="E36" s="101">
        <f>VLOOKUP(B36,Rate!A$1:C78,3,FALSE)</f>
        <v>3000</v>
      </c>
      <c r="F36" s="28" t="str">
        <f t="shared" ref="F36:F42" si="4">C36</f>
        <v>Rft</v>
      </c>
      <c r="G36" s="89">
        <f t="shared" si="3"/>
        <v>916950</v>
      </c>
      <c r="H36" s="6"/>
      <c r="I36" s="6"/>
      <c r="J36" s="126">
        <f>J26</f>
        <v>0</v>
      </c>
      <c r="K36" s="126"/>
      <c r="L36" s="126"/>
    </row>
    <row r="37" spans="1:12" s="3" customFormat="1" ht="20.149999999999999" customHeight="1">
      <c r="A37" s="28">
        <v>27</v>
      </c>
      <c r="B37" s="46" t="s">
        <v>403</v>
      </c>
      <c r="C37" s="41" t="s">
        <v>163</v>
      </c>
      <c r="D37" s="132">
        <f>SUMIF(Buil!B$6:B351,'BQ '!B37,Buil!D$6:D351)</f>
        <v>41.5</v>
      </c>
      <c r="E37" s="101">
        <f>VLOOKUP(B37,Rate!A$1:C82,3,FALSE)</f>
        <v>15000</v>
      </c>
      <c r="F37" s="134" t="str">
        <f>C37</f>
        <v>Ft</v>
      </c>
      <c r="G37" s="89">
        <f>D37*E37</f>
        <v>622500</v>
      </c>
      <c r="H37" s="6"/>
      <c r="I37" s="6"/>
      <c r="J37" s="126"/>
      <c r="K37" s="126"/>
      <c r="L37" s="126"/>
    </row>
    <row r="38" spans="1:12" s="3" customFormat="1" ht="20.149999999999999" customHeight="1">
      <c r="A38" s="28">
        <v>28</v>
      </c>
      <c r="B38" s="46" t="s">
        <v>343</v>
      </c>
      <c r="C38" s="41" t="s">
        <v>163</v>
      </c>
      <c r="D38" s="132">
        <f>SUMIF(Buil!B$6:B352,'BQ '!B38,Buil!D$6:D352)</f>
        <v>150</v>
      </c>
      <c r="E38" s="101">
        <f>VLOOKUP(B38,Rate!A$1:C83,3,FALSE)</f>
        <v>9000</v>
      </c>
      <c r="F38" s="134" t="str">
        <f t="shared" si="4"/>
        <v>Ft</v>
      </c>
      <c r="G38" s="89">
        <f t="shared" si="3"/>
        <v>1350000</v>
      </c>
      <c r="H38" s="6"/>
      <c r="I38" s="6"/>
      <c r="J38" s="126"/>
      <c r="K38" s="126"/>
      <c r="L38" s="126"/>
    </row>
    <row r="39" spans="1:12" s="3" customFormat="1" ht="20.149999999999999" customHeight="1">
      <c r="A39" s="28">
        <v>29</v>
      </c>
      <c r="B39" s="46" t="s">
        <v>345</v>
      </c>
      <c r="C39" s="41" t="s">
        <v>79</v>
      </c>
      <c r="D39" s="132">
        <f>SUMIF(Buil!B$6:B353,'BQ '!B39,Buil!D$6:D353)</f>
        <v>74</v>
      </c>
      <c r="E39" s="101">
        <f>VLOOKUP(B39,Rate!A$1:C84,3,FALSE)</f>
        <v>1000</v>
      </c>
      <c r="F39" s="134" t="str">
        <f t="shared" si="4"/>
        <v>No</v>
      </c>
      <c r="G39" s="89">
        <f t="shared" si="3"/>
        <v>74000</v>
      </c>
      <c r="H39" s="6"/>
      <c r="I39" s="6"/>
      <c r="J39" s="126">
        <f>J33</f>
        <v>0</v>
      </c>
      <c r="K39" s="126"/>
      <c r="L39" s="126"/>
    </row>
    <row r="40" spans="1:12" s="3" customFormat="1" ht="20.149999999999999" customHeight="1">
      <c r="A40" s="28">
        <v>30</v>
      </c>
      <c r="B40" s="235" t="s">
        <v>344</v>
      </c>
      <c r="C40" s="34" t="s">
        <v>20</v>
      </c>
      <c r="D40" s="132">
        <f>SUMIF(Buil!B$6:B354,'BQ '!B40,Buil!D$6:D354)</f>
        <v>0.6</v>
      </c>
      <c r="E40" s="101">
        <f>VLOOKUP(B40,Rate!A$1:C85,3,FALSE)</f>
        <v>10000</v>
      </c>
      <c r="F40" s="134" t="str">
        <f t="shared" si="4"/>
        <v>Gal</v>
      </c>
      <c r="G40" s="89">
        <f t="shared" si="3"/>
        <v>6000</v>
      </c>
      <c r="H40" s="6"/>
      <c r="I40" s="6"/>
      <c r="J40" s="126"/>
      <c r="K40" s="126"/>
      <c r="L40" s="126"/>
    </row>
    <row r="41" spans="1:12" s="3" customFormat="1" ht="20.149999999999999" customHeight="1">
      <c r="A41" s="28">
        <v>31</v>
      </c>
      <c r="B41" s="46" t="s">
        <v>331</v>
      </c>
      <c r="C41" s="203" t="s">
        <v>79</v>
      </c>
      <c r="D41" s="132">
        <f>SUMIF(Buil!B$6:B355,'BQ '!B41,Buil!D$6:D355)</f>
        <v>78</v>
      </c>
      <c r="E41" s="101">
        <f>VLOOKUP(B41,Rate!A$1:C86,3,FALSE)</f>
        <v>2000</v>
      </c>
      <c r="F41" s="134" t="str">
        <f t="shared" si="4"/>
        <v>No</v>
      </c>
      <c r="G41" s="89">
        <f>D41*E41</f>
        <v>156000</v>
      </c>
      <c r="H41" s="6"/>
      <c r="I41" s="6"/>
      <c r="J41" s="126"/>
      <c r="K41" s="126"/>
      <c r="L41" s="126"/>
    </row>
    <row r="42" spans="1:12" s="3" customFormat="1" ht="20.149999999999999" customHeight="1">
      <c r="A42" s="28">
        <v>32</v>
      </c>
      <c r="B42" s="46" t="s">
        <v>332</v>
      </c>
      <c r="C42" s="203" t="s">
        <v>135</v>
      </c>
      <c r="D42" s="132">
        <f>SUMIF(Buil!B$6:B356,'BQ '!B42,Buil!D$6:D356)</f>
        <v>11.15</v>
      </c>
      <c r="E42" s="101">
        <f>VLOOKUP(B42,Rate!A$1:C87,3,FALSE)</f>
        <v>15000</v>
      </c>
      <c r="F42" s="134" t="str">
        <f t="shared" si="4"/>
        <v>Viss</v>
      </c>
      <c r="G42" s="89">
        <f>D42*E42</f>
        <v>167250</v>
      </c>
      <c r="H42" s="6"/>
      <c r="I42" s="6"/>
      <c r="J42" s="126"/>
      <c r="K42" s="126"/>
      <c r="L42" s="126"/>
    </row>
    <row r="43" spans="1:12" ht="20.149999999999999" customHeight="1">
      <c r="A43" s="32"/>
      <c r="B43" s="135"/>
      <c r="C43" s="32"/>
      <c r="D43" s="136"/>
      <c r="E43" s="137"/>
      <c r="F43" s="32"/>
      <c r="G43" s="109"/>
      <c r="H43" s="6"/>
      <c r="I43" s="6"/>
    </row>
    <row r="44" spans="1:12" ht="19.899999999999999" customHeight="1">
      <c r="A44" s="307" t="s">
        <v>19</v>
      </c>
      <c r="B44" s="307"/>
      <c r="C44" s="307"/>
      <c r="D44" s="307"/>
      <c r="E44" s="307"/>
      <c r="F44" s="307"/>
      <c r="G44" s="86">
        <f>SUM(G7:G43)</f>
        <v>86923110</v>
      </c>
      <c r="H44" s="6"/>
      <c r="I44" s="6"/>
    </row>
    <row r="45" spans="1:12" ht="19.899999999999999" customHeight="1">
      <c r="A45" s="139"/>
      <c r="B45" s="140" t="s">
        <v>8</v>
      </c>
      <c r="C45" s="33"/>
      <c r="D45" s="141"/>
      <c r="E45" s="142"/>
      <c r="F45" s="33"/>
      <c r="G45" s="143"/>
      <c r="H45" s="6"/>
      <c r="I45" s="6"/>
    </row>
    <row r="46" spans="1:12" ht="19.899999999999999" customHeight="1">
      <c r="A46" s="28">
        <v>1</v>
      </c>
      <c r="B46" s="46" t="s">
        <v>17</v>
      </c>
      <c r="C46" s="28" t="s">
        <v>79</v>
      </c>
      <c r="D46" s="132">
        <f>SUMIF(Buil!B$6:B360,'BQ '!B46,Buil!D$6:D360)</f>
        <v>303.61</v>
      </c>
      <c r="E46" s="101">
        <v>25000</v>
      </c>
      <c r="F46" s="28" t="str">
        <f t="shared" ref="F46:F51" si="5">C46</f>
        <v>No</v>
      </c>
      <c r="G46" s="89">
        <f t="shared" ref="G46:G51" si="6">D46*E46</f>
        <v>7590250</v>
      </c>
      <c r="H46" s="6"/>
      <c r="I46" s="6"/>
    </row>
    <row r="47" spans="1:12" ht="19.899999999999999" customHeight="1">
      <c r="A47" s="28">
        <v>2</v>
      </c>
      <c r="B47" s="46" t="s">
        <v>18</v>
      </c>
      <c r="C47" s="28" t="s">
        <v>79</v>
      </c>
      <c r="D47" s="132">
        <f>SUMIF(Buil!B$6:B361,'BQ '!B47,Buil!D$6:D361)</f>
        <v>172.25</v>
      </c>
      <c r="E47" s="101">
        <v>25000</v>
      </c>
      <c r="F47" s="28" t="str">
        <f t="shared" si="5"/>
        <v>No</v>
      </c>
      <c r="G47" s="89">
        <f t="shared" si="6"/>
        <v>4306250</v>
      </c>
      <c r="H47" s="6"/>
      <c r="I47" s="6"/>
    </row>
    <row r="48" spans="1:12" ht="19.899999999999999" customHeight="1">
      <c r="A48" s="28">
        <v>3</v>
      </c>
      <c r="B48" s="46" t="s">
        <v>16</v>
      </c>
      <c r="C48" s="28" t="s">
        <v>79</v>
      </c>
      <c r="D48" s="132">
        <f>SUMIF(Buil!B$6:B362,'BQ '!B48,Buil!D$6:D362)</f>
        <v>260.74</v>
      </c>
      <c r="E48" s="101">
        <v>25000</v>
      </c>
      <c r="F48" s="28" t="str">
        <f t="shared" si="5"/>
        <v>No</v>
      </c>
      <c r="G48" s="89">
        <f t="shared" si="6"/>
        <v>6518500</v>
      </c>
      <c r="H48" s="6"/>
      <c r="I48" s="6"/>
    </row>
    <row r="49" spans="1:12" ht="19.899999999999999" customHeight="1">
      <c r="A49" s="28">
        <v>5</v>
      </c>
      <c r="B49" s="46" t="s">
        <v>67</v>
      </c>
      <c r="C49" s="28" t="s">
        <v>79</v>
      </c>
      <c r="D49" s="132">
        <f>SUMIF(Buil!B$6:B363,'BQ '!B49,Buil!D$6:D363)</f>
        <v>0.32</v>
      </c>
      <c r="E49" s="101">
        <v>25000</v>
      </c>
      <c r="F49" s="28" t="str">
        <f t="shared" si="5"/>
        <v>No</v>
      </c>
      <c r="G49" s="89">
        <f t="shared" si="6"/>
        <v>8000</v>
      </c>
      <c r="H49" s="6"/>
      <c r="I49" s="6"/>
    </row>
    <row r="50" spans="1:12" ht="19.899999999999999" customHeight="1">
      <c r="A50" s="28">
        <v>6</v>
      </c>
      <c r="B50" s="46" t="s">
        <v>37</v>
      </c>
      <c r="C50" s="28" t="s">
        <v>79</v>
      </c>
      <c r="D50" s="132">
        <f>SUMIF(Buil!B$6:B364,'BQ '!B50,Buil!D$6:D364)</f>
        <v>13.03</v>
      </c>
      <c r="E50" s="101">
        <v>25000</v>
      </c>
      <c r="F50" s="28" t="str">
        <f t="shared" si="5"/>
        <v>No</v>
      </c>
      <c r="G50" s="89">
        <f t="shared" si="6"/>
        <v>325750</v>
      </c>
      <c r="H50" s="6"/>
      <c r="I50" s="6"/>
    </row>
    <row r="51" spans="1:12" ht="19.899999999999999" customHeight="1">
      <c r="A51" s="28">
        <v>7</v>
      </c>
      <c r="B51" s="46" t="s">
        <v>15</v>
      </c>
      <c r="C51" s="28" t="s">
        <v>79</v>
      </c>
      <c r="D51" s="132">
        <f>SUMIF(Buil!B$6:B365,'BQ '!B51,Buil!D$6:D365)</f>
        <v>1261.31</v>
      </c>
      <c r="E51" s="101">
        <v>18000</v>
      </c>
      <c r="F51" s="28" t="str">
        <f t="shared" si="5"/>
        <v>No</v>
      </c>
      <c r="G51" s="89">
        <f t="shared" si="6"/>
        <v>22703580</v>
      </c>
      <c r="H51" s="6"/>
      <c r="I51" s="6"/>
    </row>
    <row r="52" spans="1:12" ht="19.899999999999999" customHeight="1">
      <c r="A52" s="32"/>
      <c r="B52" s="135"/>
      <c r="C52" s="32"/>
      <c r="D52" s="136"/>
      <c r="E52" s="137"/>
      <c r="F52" s="32"/>
      <c r="G52" s="109"/>
      <c r="H52" s="6"/>
      <c r="I52" s="6"/>
    </row>
    <row r="53" spans="1:12" ht="30" customHeight="1">
      <c r="A53" s="307" t="s">
        <v>13</v>
      </c>
      <c r="B53" s="307"/>
      <c r="C53" s="307"/>
      <c r="D53" s="307"/>
      <c r="E53" s="307"/>
      <c r="F53" s="307"/>
      <c r="G53" s="86">
        <f>SUM(G46:G52)</f>
        <v>41452330</v>
      </c>
      <c r="H53" s="6"/>
      <c r="I53" s="6"/>
      <c r="J53" s="126">
        <f>G54-J54</f>
        <v>0</v>
      </c>
    </row>
    <row r="54" spans="1:12" s="2" customFormat="1" ht="30" customHeight="1">
      <c r="A54" s="307" t="s">
        <v>32</v>
      </c>
      <c r="B54" s="307"/>
      <c r="C54" s="307"/>
      <c r="D54" s="307"/>
      <c r="E54" s="307"/>
      <c r="F54" s="307"/>
      <c r="G54" s="144">
        <f>G53+G44</f>
        <v>128375440</v>
      </c>
      <c r="H54" s="145"/>
      <c r="I54" s="145"/>
      <c r="J54" s="110">
        <f>Buil!G326</f>
        <v>128375440</v>
      </c>
      <c r="K54" s="110"/>
      <c r="L54" s="110"/>
    </row>
    <row r="55" spans="1:12" ht="19.899999999999999" customHeight="1">
      <c r="E55" s="85"/>
      <c r="F55" s="85"/>
    </row>
    <row r="56" spans="1:12" ht="19.899999999999999" customHeight="1">
      <c r="G56" s="147"/>
      <c r="H56" s="123"/>
      <c r="I56" s="123"/>
    </row>
    <row r="57" spans="1:12" ht="19.899999999999999" customHeight="1">
      <c r="G57" s="147"/>
      <c r="H57" s="123"/>
      <c r="I57" s="123"/>
    </row>
    <row r="58" spans="1:12" ht="19.899999999999999" customHeight="1">
      <c r="G58" s="147"/>
      <c r="H58" s="123"/>
      <c r="I58" s="123"/>
    </row>
    <row r="59" spans="1:12" ht="19.899999999999999" customHeight="1">
      <c r="G59" s="147"/>
      <c r="H59" s="123"/>
      <c r="I59" s="123"/>
    </row>
    <row r="60" spans="1:12" ht="19.899999999999999" customHeight="1">
      <c r="G60" s="147"/>
      <c r="H60" s="123"/>
      <c r="I60" s="123"/>
    </row>
    <row r="61" spans="1:12" ht="19.899999999999999" customHeight="1">
      <c r="G61" s="147"/>
      <c r="H61" s="123"/>
      <c r="I61" s="123"/>
    </row>
    <row r="62" spans="1:12" ht="19.899999999999999" customHeight="1">
      <c r="G62" s="110"/>
      <c r="H62" s="123"/>
      <c r="I62" s="123"/>
    </row>
    <row r="63" spans="1:12" ht="19.899999999999999" customHeight="1">
      <c r="G63" s="110"/>
      <c r="H63" s="123"/>
      <c r="I63" s="123"/>
    </row>
    <row r="64" spans="1:12" ht="19.899999999999999" customHeight="1">
      <c r="G64" s="110"/>
      <c r="H64" s="123"/>
      <c r="I64" s="123"/>
    </row>
    <row r="65" ht="19.899999999999999" customHeight="1"/>
    <row r="66" ht="19.899999999999999" customHeight="1"/>
    <row r="67" ht="19.899999999999999" customHeight="1"/>
    <row r="68" ht="19.899999999999999" customHeight="1"/>
    <row r="69" ht="19.899999999999999" customHeight="1"/>
  </sheetData>
  <mergeCells count="13">
    <mergeCell ref="A1:G1"/>
    <mergeCell ref="A2:G2"/>
    <mergeCell ref="A3:G3"/>
    <mergeCell ref="A4:A5"/>
    <mergeCell ref="B4:B5"/>
    <mergeCell ref="C4:C5"/>
    <mergeCell ref="F4:F5"/>
    <mergeCell ref="G4:G5"/>
    <mergeCell ref="A54:F54"/>
    <mergeCell ref="D4:D5"/>
    <mergeCell ref="E4:E5"/>
    <mergeCell ref="A53:F53"/>
    <mergeCell ref="A44:F44"/>
  </mergeCells>
  <phoneticPr fontId="13" type="noConversion"/>
  <printOptions horizontalCentered="1"/>
  <pageMargins left="0.5" right="0" top="1" bottom="0.5" header="0.5" footer="0.25"/>
  <pageSetup paperSize="9" orientation="portrait" verticalDpi="1200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B9C6-B7C7-4C1E-96EF-E1DC3254304B}">
  <sheetPr codeName="Sheet3">
    <tabColor indexed="40"/>
  </sheetPr>
  <dimension ref="A1:O47"/>
  <sheetViews>
    <sheetView zoomScale="150" zoomScaleNormal="190" workbookViewId="0">
      <selection sqref="A1:G47"/>
    </sheetView>
  </sheetViews>
  <sheetFormatPr defaultColWidth="9.1796875" defaultRowHeight="11.5"/>
  <cols>
    <col min="1" max="1" width="3.54296875" style="138" customWidth="1"/>
    <col min="2" max="2" width="10.54296875" style="138" bestFit="1" customWidth="1"/>
    <col min="3" max="3" width="5.7265625" style="159" bestFit="1" customWidth="1"/>
    <col min="4" max="4" width="41.7265625" style="138" customWidth="1"/>
    <col min="5" max="5" width="13.26953125" style="138" bestFit="1" customWidth="1"/>
    <col min="6" max="6" width="5.7265625" style="138" bestFit="1" customWidth="1"/>
    <col min="7" max="7" width="14.26953125" style="160" bestFit="1" customWidth="1"/>
    <col min="8" max="8" width="15.1796875" style="125" bestFit="1" customWidth="1"/>
    <col min="9" max="16384" width="9.1796875" style="125"/>
  </cols>
  <sheetData>
    <row r="1" spans="1:15" s="2" customFormat="1">
      <c r="A1" s="308" t="str">
        <f>'BQ '!A1:G1</f>
        <v>One Storeyed RCC Building (46' 2" X 42' 6")</v>
      </c>
      <c r="B1" s="308"/>
      <c r="C1" s="308"/>
      <c r="D1" s="308"/>
      <c r="E1" s="308"/>
      <c r="F1" s="308"/>
      <c r="G1" s="308"/>
      <c r="K1" s="122"/>
      <c r="L1" s="122"/>
      <c r="M1" s="110"/>
      <c r="N1" s="110"/>
      <c r="O1" s="110"/>
    </row>
    <row r="2" spans="1:15" s="2" customFormat="1">
      <c r="A2" s="308" t="str">
        <f>'BQ '!A2:G2</f>
        <v>Main Building (အုတ္စီ၊ ေခ်ာ၊ က်ည္းေဘာင္ေထာင္၊ အမိုးမိုး)</v>
      </c>
      <c r="B2" s="308"/>
      <c r="C2" s="308"/>
      <c r="D2" s="308"/>
      <c r="E2" s="308"/>
      <c r="F2" s="308"/>
      <c r="G2" s="308"/>
      <c r="K2" s="122"/>
      <c r="L2" s="122"/>
      <c r="M2" s="110"/>
      <c r="N2" s="110"/>
      <c r="O2" s="110"/>
    </row>
    <row r="3" spans="1:15" s="3" customFormat="1">
      <c r="A3" s="311" t="s">
        <v>34</v>
      </c>
      <c r="B3" s="311"/>
      <c r="C3" s="311"/>
      <c r="D3" s="311"/>
      <c r="E3" s="311"/>
      <c r="F3" s="311"/>
      <c r="G3" s="311"/>
    </row>
    <row r="4" spans="1:15" s="3" customFormat="1">
      <c r="A4" s="310" t="s">
        <v>33</v>
      </c>
      <c r="B4" s="314" t="s">
        <v>95</v>
      </c>
      <c r="C4" s="316" t="s">
        <v>94</v>
      </c>
      <c r="D4" s="310" t="s">
        <v>25</v>
      </c>
      <c r="E4" s="312" t="s">
        <v>96</v>
      </c>
      <c r="F4" s="310" t="s">
        <v>97</v>
      </c>
      <c r="G4" s="313" t="s">
        <v>6</v>
      </c>
    </row>
    <row r="5" spans="1:15" s="3" customFormat="1">
      <c r="A5" s="310"/>
      <c r="B5" s="315"/>
      <c r="C5" s="317"/>
      <c r="D5" s="310"/>
      <c r="E5" s="312"/>
      <c r="F5" s="310"/>
      <c r="G5" s="313"/>
    </row>
    <row r="6" spans="1:15" s="3" customFormat="1">
      <c r="A6" s="148">
        <v>1</v>
      </c>
      <c r="B6" s="130">
        <f>Buil!D7</f>
        <v>44.88</v>
      </c>
      <c r="C6" s="148" t="s">
        <v>91</v>
      </c>
      <c r="D6" s="149" t="s">
        <v>43</v>
      </c>
      <c r="E6" s="150">
        <f>G6/B6</f>
        <v>4500</v>
      </c>
      <c r="F6" s="151" t="str">
        <f>C6</f>
        <v>%Fs</v>
      </c>
      <c r="G6" s="152">
        <f>Buil!G10</f>
        <v>201960</v>
      </c>
    </row>
    <row r="7" spans="1:15" s="3" customFormat="1">
      <c r="A7" s="28">
        <v>2</v>
      </c>
      <c r="B7" s="89">
        <f>Buil!D12</f>
        <v>3248</v>
      </c>
      <c r="C7" s="28" t="s">
        <v>7</v>
      </c>
      <c r="D7" s="7" t="s">
        <v>44</v>
      </c>
      <c r="E7" s="132">
        <f>G7/B7</f>
        <v>57.2</v>
      </c>
      <c r="F7" s="153" t="str">
        <f>C7</f>
        <v>Fs</v>
      </c>
      <c r="G7" s="154">
        <f>Buil!G20</f>
        <v>185800</v>
      </c>
    </row>
    <row r="8" spans="1:15" s="3" customFormat="1">
      <c r="A8" s="28">
        <f>Buil!A23</f>
        <v>3</v>
      </c>
      <c r="B8" s="89">
        <f>Buil!D23</f>
        <v>60.25</v>
      </c>
      <c r="C8" s="28" t="s">
        <v>86</v>
      </c>
      <c r="D8" s="92" t="s">
        <v>42</v>
      </c>
      <c r="E8" s="132">
        <f>G8/B8</f>
        <v>54000</v>
      </c>
      <c r="F8" s="153" t="str">
        <f>C8</f>
        <v>%Fc</v>
      </c>
      <c r="G8" s="154">
        <f>Buil!G26</f>
        <v>3253500</v>
      </c>
    </row>
    <row r="9" spans="1:15" s="3" customFormat="1">
      <c r="A9" s="28">
        <f>Buil!A28</f>
        <v>4</v>
      </c>
      <c r="B9" s="89">
        <f>Buil!D28</f>
        <v>4.66</v>
      </c>
      <c r="C9" s="133" t="str">
        <f>Buil!C28</f>
        <v>%Fc</v>
      </c>
      <c r="D9" s="92" t="str">
        <f>Buil!B28</f>
        <v>6" Thk; Hardcore with Sand Filling Work</v>
      </c>
      <c r="E9" s="132"/>
      <c r="F9" s="153"/>
      <c r="G9" s="154">
        <f>Buil!G35</f>
        <v>1097710</v>
      </c>
    </row>
    <row r="10" spans="1:15" s="3" customFormat="1">
      <c r="A10" s="28">
        <f>Buil!A37</f>
        <v>5</v>
      </c>
      <c r="B10" s="89">
        <f>Buil!D37</f>
        <v>4.79</v>
      </c>
      <c r="C10" s="28" t="s">
        <v>86</v>
      </c>
      <c r="D10" s="92" t="s">
        <v>53</v>
      </c>
      <c r="E10" s="132">
        <f>G10/B10</f>
        <v>696565.76000000001</v>
      </c>
      <c r="F10" s="153" t="str">
        <f>C10</f>
        <v>%Fc</v>
      </c>
      <c r="G10" s="154">
        <f>Buil!G47</f>
        <v>3336550</v>
      </c>
    </row>
    <row r="11" spans="1:15" s="3" customFormat="1">
      <c r="A11" s="28">
        <f>Buil!A49</f>
        <v>6</v>
      </c>
      <c r="B11" s="89">
        <f>Buil!D49</f>
        <v>16.260000000000002</v>
      </c>
      <c r="C11" s="28" t="s">
        <v>86</v>
      </c>
      <c r="D11" s="92" t="s">
        <v>63</v>
      </c>
      <c r="E11" s="132">
        <f>G11/B11</f>
        <v>753783.52</v>
      </c>
      <c r="F11" s="153" t="str">
        <f>C11</f>
        <v>%Fc</v>
      </c>
      <c r="G11" s="154">
        <f>Buil!G57</f>
        <v>12256520</v>
      </c>
    </row>
    <row r="12" spans="1:15" s="3" customFormat="1">
      <c r="A12" s="28">
        <f>Buil!A59</f>
        <v>7</v>
      </c>
      <c r="B12" s="89"/>
      <c r="C12" s="28"/>
      <c r="D12" s="92" t="str">
        <f>Buil!B59</f>
        <v>Concrete Casting Work For Footing</v>
      </c>
      <c r="E12" s="132"/>
      <c r="F12" s="153"/>
      <c r="G12" s="154"/>
    </row>
    <row r="13" spans="1:15" s="3" customFormat="1">
      <c r="A13" s="28"/>
      <c r="B13" s="89">
        <f>Buil!D60</f>
        <v>3.34</v>
      </c>
      <c r="C13" s="28" t="s">
        <v>86</v>
      </c>
      <c r="D13" s="92" t="s">
        <v>54</v>
      </c>
      <c r="E13" s="132">
        <f>G13/B13</f>
        <v>889140.72</v>
      </c>
      <c r="F13" s="153" t="str">
        <f>C13</f>
        <v>%Fc</v>
      </c>
      <c r="G13" s="154">
        <f>Buil!G70</f>
        <v>2969730</v>
      </c>
    </row>
    <row r="14" spans="1:15" s="3" customFormat="1">
      <c r="A14" s="28"/>
      <c r="B14" s="89">
        <f>Buil!D72</f>
        <v>3.22</v>
      </c>
      <c r="C14" s="28" t="s">
        <v>91</v>
      </c>
      <c r="D14" s="92" t="s">
        <v>49</v>
      </c>
      <c r="E14" s="132">
        <f>G14/B14</f>
        <v>335503.11</v>
      </c>
      <c r="F14" s="153" t="str">
        <f>C14</f>
        <v>%Fs</v>
      </c>
      <c r="G14" s="154">
        <f>Buil!G80</f>
        <v>1080320</v>
      </c>
    </row>
    <row r="15" spans="1:15" s="3" customFormat="1">
      <c r="A15" s="28"/>
      <c r="B15" s="89">
        <f>Buil!D82</f>
        <v>0.86</v>
      </c>
      <c r="C15" s="28" t="s">
        <v>93</v>
      </c>
      <c r="D15" s="92" t="s">
        <v>41</v>
      </c>
      <c r="E15" s="132">
        <f>G15/B15</f>
        <v>3014023.26</v>
      </c>
      <c r="F15" s="153" t="str">
        <f>C15</f>
        <v>Ton</v>
      </c>
      <c r="G15" s="154">
        <f>Buil!G90</f>
        <v>2592060</v>
      </c>
    </row>
    <row r="16" spans="1:15" s="3" customFormat="1">
      <c r="A16" s="28"/>
      <c r="B16" s="89"/>
      <c r="C16" s="28"/>
      <c r="D16" s="92"/>
      <c r="E16" s="132"/>
      <c r="F16" s="153"/>
      <c r="G16" s="154"/>
    </row>
    <row r="17" spans="1:7" s="3" customFormat="1">
      <c r="A17" s="28">
        <f>Buil!A92</f>
        <v>8</v>
      </c>
      <c r="B17" s="89"/>
      <c r="C17" s="28"/>
      <c r="D17" s="92" t="s">
        <v>56</v>
      </c>
      <c r="E17" s="132"/>
      <c r="F17" s="153"/>
      <c r="G17" s="154"/>
    </row>
    <row r="18" spans="1:7" s="3" customFormat="1">
      <c r="A18" s="28"/>
      <c r="B18" s="89">
        <f>Buil!D93</f>
        <v>3.82</v>
      </c>
      <c r="C18" s="28" t="s">
        <v>86</v>
      </c>
      <c r="D18" s="92" t="s">
        <v>54</v>
      </c>
      <c r="E18" s="132">
        <f>G18/B18</f>
        <v>943044.5</v>
      </c>
      <c r="F18" s="153" t="str">
        <f>C18</f>
        <v>%Fc</v>
      </c>
      <c r="G18" s="154">
        <f>Buil!G104</f>
        <v>3602430</v>
      </c>
    </row>
    <row r="19" spans="1:7" s="3" customFormat="1">
      <c r="A19" s="28"/>
      <c r="B19" s="89">
        <f>Buil!D106</f>
        <v>18.39</v>
      </c>
      <c r="C19" s="28" t="s">
        <v>91</v>
      </c>
      <c r="D19" s="92" t="s">
        <v>49</v>
      </c>
      <c r="E19" s="132">
        <f>G19/B19</f>
        <v>336277.32</v>
      </c>
      <c r="F19" s="153" t="str">
        <f>C19</f>
        <v>%Fs</v>
      </c>
      <c r="G19" s="154">
        <f>Buil!G114</f>
        <v>6184140</v>
      </c>
    </row>
    <row r="20" spans="1:7" s="3" customFormat="1">
      <c r="A20" s="28"/>
      <c r="B20" s="89">
        <f>Buil!D116</f>
        <v>2.93</v>
      </c>
      <c r="C20" s="28" t="s">
        <v>93</v>
      </c>
      <c r="D20" s="92" t="s">
        <v>41</v>
      </c>
      <c r="E20" s="132">
        <f>G20/B20</f>
        <v>3488587.03</v>
      </c>
      <c r="F20" s="153" t="str">
        <f>C20</f>
        <v>Ton</v>
      </c>
      <c r="G20" s="154">
        <f>Buil!G126</f>
        <v>10221560</v>
      </c>
    </row>
    <row r="21" spans="1:7" s="3" customFormat="1">
      <c r="A21" s="28"/>
      <c r="B21" s="89"/>
      <c r="C21" s="28"/>
      <c r="D21" s="92"/>
      <c r="E21" s="132"/>
      <c r="F21" s="153"/>
      <c r="G21" s="154"/>
    </row>
    <row r="22" spans="1:7" s="3" customFormat="1">
      <c r="A22" s="28">
        <f>Buil!A127</f>
        <v>9</v>
      </c>
      <c r="B22" s="89"/>
      <c r="C22" s="28"/>
      <c r="D22" s="92" t="s">
        <v>57</v>
      </c>
      <c r="E22" s="132"/>
      <c r="F22" s="153"/>
      <c r="G22" s="154"/>
    </row>
    <row r="23" spans="1:7" s="3" customFormat="1">
      <c r="A23" s="28"/>
      <c r="B23" s="89">
        <f>Buil!D128</f>
        <v>7.74</v>
      </c>
      <c r="C23" s="28" t="s">
        <v>86</v>
      </c>
      <c r="D23" s="92" t="s">
        <v>51</v>
      </c>
      <c r="E23" s="132">
        <f>G23/B23</f>
        <v>889236.43</v>
      </c>
      <c r="F23" s="153" t="str">
        <f>C23</f>
        <v>%Fc</v>
      </c>
      <c r="G23" s="154">
        <f>Buil!G140</f>
        <v>6882690</v>
      </c>
    </row>
    <row r="24" spans="1:7" s="3" customFormat="1">
      <c r="A24" s="28"/>
      <c r="B24" s="89">
        <f>Buil!D142</f>
        <v>23.73</v>
      </c>
      <c r="C24" s="28" t="s">
        <v>91</v>
      </c>
      <c r="D24" s="92" t="s">
        <v>49</v>
      </c>
      <c r="E24" s="132">
        <f>G24/B24</f>
        <v>336067.43</v>
      </c>
      <c r="F24" s="153" t="str">
        <f>C24</f>
        <v>%Fs</v>
      </c>
      <c r="G24" s="154">
        <f>Buil!G152</f>
        <v>7974880</v>
      </c>
    </row>
    <row r="25" spans="1:7" s="3" customFormat="1">
      <c r="A25" s="28"/>
      <c r="B25" s="89">
        <f>Buil!D153</f>
        <v>4.92</v>
      </c>
      <c r="C25" s="28" t="s">
        <v>93</v>
      </c>
      <c r="D25" s="92" t="s">
        <v>41</v>
      </c>
      <c r="E25" s="132">
        <f>G25/B25</f>
        <v>3189089.43</v>
      </c>
      <c r="F25" s="153" t="str">
        <f>C25</f>
        <v>Ton</v>
      </c>
      <c r="G25" s="154">
        <f>Buil!G165</f>
        <v>15690320</v>
      </c>
    </row>
    <row r="26" spans="1:7" s="3" customFormat="1">
      <c r="A26" s="28">
        <f>Buil!A166</f>
        <v>10</v>
      </c>
      <c r="B26" s="89">
        <f>Buil!D166</f>
        <v>2978.81</v>
      </c>
      <c r="C26" s="133" t="str">
        <f>Buil!C166</f>
        <v>Fs</v>
      </c>
      <c r="D26" s="92" t="str">
        <f>Buil!B166</f>
        <v>4½" Thk; Brick Walling Work</v>
      </c>
      <c r="E26" s="132"/>
      <c r="F26" s="153"/>
      <c r="G26" s="154">
        <f>Buil!G176</f>
        <v>10078560</v>
      </c>
    </row>
    <row r="27" spans="1:7" s="3" customFormat="1">
      <c r="A27" s="28">
        <f>Buil!A178</f>
        <v>11</v>
      </c>
      <c r="B27" s="89"/>
      <c r="C27" s="28"/>
      <c r="D27" s="92" t="str">
        <f>Buil!B178</f>
        <v>Lintel &amp; Stiffener Work</v>
      </c>
      <c r="E27" s="132"/>
      <c r="F27" s="153"/>
      <c r="G27" s="154"/>
    </row>
    <row r="28" spans="1:7" s="3" customFormat="1">
      <c r="A28" s="28"/>
      <c r="B28" s="89">
        <f>Buil!D179</f>
        <v>1.03</v>
      </c>
      <c r="C28" s="133" t="str">
        <f>Buil!C179</f>
        <v>%Fc</v>
      </c>
      <c r="D28" s="92" t="str">
        <f>Buil!B179</f>
        <v>( a ) ( 1:2:4) RCC Concrete Work</v>
      </c>
      <c r="E28" s="132">
        <f>G28/B28</f>
        <v>943766.99</v>
      </c>
      <c r="F28" s="153" t="str">
        <f>C28</f>
        <v>%Fc</v>
      </c>
      <c r="G28" s="154">
        <f>Buil!G189</f>
        <v>972080</v>
      </c>
    </row>
    <row r="29" spans="1:7" s="3" customFormat="1">
      <c r="A29" s="28"/>
      <c r="B29" s="89">
        <f>Buil!D191</f>
        <v>5.43</v>
      </c>
      <c r="C29" s="133" t="str">
        <f>Buil!C191</f>
        <v>%Fs</v>
      </c>
      <c r="D29" s="92" t="str">
        <f>Buil!B191</f>
        <v>( b ) Formwork (3 Times used)</v>
      </c>
      <c r="E29" s="132">
        <f>G29/B29</f>
        <v>335502.76</v>
      </c>
      <c r="F29" s="153" t="str">
        <f>C29</f>
        <v>%Fs</v>
      </c>
      <c r="G29" s="154">
        <f>Buil!G199</f>
        <v>1821780</v>
      </c>
    </row>
    <row r="30" spans="1:7" s="3" customFormat="1">
      <c r="A30" s="28"/>
      <c r="B30" s="89">
        <f>Buil!D202+Buil!D203</f>
        <v>0.32</v>
      </c>
      <c r="C30" s="28" t="s">
        <v>93</v>
      </c>
      <c r="D30" s="92" t="str">
        <f>Buil!B201</f>
        <v>( c ) Re bar Work</v>
      </c>
      <c r="E30" s="132">
        <f>G30/B30</f>
        <v>3892156.25</v>
      </c>
      <c r="F30" s="153" t="str">
        <f>C30</f>
        <v>Ton</v>
      </c>
      <c r="G30" s="154">
        <f>Buil!G212</f>
        <v>1245490</v>
      </c>
    </row>
    <row r="31" spans="1:7" s="3" customFormat="1">
      <c r="A31" s="28">
        <f>Buil!A214</f>
        <v>12</v>
      </c>
      <c r="B31" s="89">
        <f>Buil!D214</f>
        <v>8076.25</v>
      </c>
      <c r="C31" s="133" t="str">
        <f>Buil!C214</f>
        <v>Fs</v>
      </c>
      <c r="D31" s="92" t="str">
        <f>Buil!B214</f>
        <v>Plastering Work</v>
      </c>
      <c r="E31" s="132">
        <f>G31/B31</f>
        <v>1325.28</v>
      </c>
      <c r="F31" s="153" t="str">
        <f>C31</f>
        <v>Fs</v>
      </c>
      <c r="G31" s="154">
        <f>Buil!G222</f>
        <v>10703300</v>
      </c>
    </row>
    <row r="32" spans="1:7" s="3" customFormat="1">
      <c r="A32" s="28">
        <f>Buil!A224</f>
        <v>13</v>
      </c>
      <c r="B32" s="89">
        <f>Buil!D224</f>
        <v>191.5</v>
      </c>
      <c r="C32" s="133" t="str">
        <f>Buil!C224</f>
        <v>Ft</v>
      </c>
      <c r="D32" s="92" t="str">
        <f>Buil!B224</f>
        <v>Providing &amp; Fixing of Chowket Work</v>
      </c>
      <c r="E32" s="132">
        <f>G32/B32</f>
        <v>11968.67</v>
      </c>
      <c r="F32" s="153" t="str">
        <f>C32</f>
        <v>Ft</v>
      </c>
      <c r="G32" s="154">
        <f>Buil!G235</f>
        <v>2292000</v>
      </c>
    </row>
    <row r="33" spans="1:8" s="3" customFormat="1">
      <c r="A33" s="28">
        <f>Buil!A236</f>
        <v>14</v>
      </c>
      <c r="B33" s="89"/>
      <c r="C33" s="28"/>
      <c r="D33" s="92" t="str">
        <f>Buil!B236</f>
        <v>Roofing Work</v>
      </c>
      <c r="E33" s="132"/>
      <c r="F33" s="153"/>
      <c r="G33" s="154"/>
    </row>
    <row r="34" spans="1:8" s="3" customFormat="1">
      <c r="A34" s="28"/>
      <c r="B34" s="89">
        <f>Buil!D237</f>
        <v>2490.89</v>
      </c>
      <c r="C34" s="133" t="str">
        <f>Buil!C237</f>
        <v>Fs</v>
      </c>
      <c r="D34" s="92" t="str">
        <f>Buil!B237</f>
        <v>(a) Amcan Metal Sheet Roofing Work</v>
      </c>
      <c r="E34" s="132">
        <f>G34/B34</f>
        <v>2661.73</v>
      </c>
      <c r="F34" s="153" t="str">
        <f>C34</f>
        <v>Fs</v>
      </c>
      <c r="G34" s="154">
        <f>Buil!G244</f>
        <v>6630080</v>
      </c>
    </row>
    <row r="35" spans="1:8" s="3" customFormat="1">
      <c r="A35" s="28"/>
      <c r="B35" s="89">
        <f>Buil!D245</f>
        <v>0</v>
      </c>
      <c r="C35" s="133" t="str">
        <f>Buil!C245</f>
        <v>Ton</v>
      </c>
      <c r="D35" s="92" t="str">
        <f>Buil!B245</f>
        <v>( b ) Steel Structure Work for Roofing</v>
      </c>
      <c r="E35" s="132"/>
      <c r="F35" s="153" t="str">
        <f>C35</f>
        <v>Ton</v>
      </c>
      <c r="G35" s="154">
        <f>Buil!G264</f>
        <v>5936650</v>
      </c>
    </row>
    <row r="36" spans="1:8" s="3" customFormat="1">
      <c r="A36" s="28"/>
      <c r="B36" s="89">
        <f>Buil!D265</f>
        <v>272.89999999999998</v>
      </c>
      <c r="C36" s="133" t="str">
        <f>Buil!C265</f>
        <v>Fr</v>
      </c>
      <c r="D36" s="92" t="str">
        <f>Buil!B265</f>
        <v>( c ) Ridge Covering Work</v>
      </c>
      <c r="E36" s="132">
        <f>G36/B36</f>
        <v>4193.66</v>
      </c>
      <c r="F36" s="153" t="str">
        <f>C36</f>
        <v>Fr</v>
      </c>
      <c r="G36" s="154">
        <f>Buil!G270</f>
        <v>1144450</v>
      </c>
    </row>
    <row r="37" spans="1:8" s="3" customFormat="1">
      <c r="A37" s="28">
        <f>Buil!A271</f>
        <v>15</v>
      </c>
      <c r="B37" s="89">
        <f>Buil!D271</f>
        <v>55.46</v>
      </c>
      <c r="C37" s="133" t="str">
        <f>Buil!C271</f>
        <v>%Fc</v>
      </c>
      <c r="D37" s="92" t="str">
        <f>Buil!B271</f>
        <v>( a ) Earth Filling Work</v>
      </c>
      <c r="E37" s="132">
        <f>G37/B37</f>
        <v>9000</v>
      </c>
      <c r="F37" s="153" t="str">
        <f>C37</f>
        <v>%Fc</v>
      </c>
      <c r="G37" s="154">
        <f>Buil!G274</f>
        <v>499140</v>
      </c>
    </row>
    <row r="38" spans="1:8" s="3" customFormat="1">
      <c r="A38" s="28"/>
      <c r="B38" s="89">
        <f>Buil!D276</f>
        <v>4.79</v>
      </c>
      <c r="C38" s="133" t="str">
        <f>Buil!C276</f>
        <v>%Fc</v>
      </c>
      <c r="D38" s="92" t="str">
        <f>Buil!B276</f>
        <v>( b ) Earth Carrying Work</v>
      </c>
      <c r="E38" s="132">
        <f>G38/B38</f>
        <v>18000</v>
      </c>
      <c r="F38" s="153" t="str">
        <f>C38</f>
        <v>%Fc</v>
      </c>
      <c r="G38" s="154">
        <f>Buil!G279</f>
        <v>86220</v>
      </c>
    </row>
    <row r="39" spans="1:8" s="3" customFormat="1">
      <c r="A39" s="28">
        <f>Buil!A281</f>
        <v>16</v>
      </c>
      <c r="B39" s="89"/>
      <c r="C39" s="28"/>
      <c r="D39" s="92" t="s">
        <v>45</v>
      </c>
      <c r="E39" s="132"/>
      <c r="F39" s="153"/>
      <c r="G39" s="154"/>
    </row>
    <row r="40" spans="1:8" s="3" customFormat="1">
      <c r="A40" s="28"/>
      <c r="B40" s="89">
        <f>Buil!D282</f>
        <v>29.44</v>
      </c>
      <c r="C40" s="28" t="s">
        <v>86</v>
      </c>
      <c r="D40" s="92" t="str">
        <f>Buil!B282</f>
        <v>( a ) Sand Filling Work</v>
      </c>
      <c r="E40" s="132">
        <f>G40/B40</f>
        <v>88000</v>
      </c>
      <c r="F40" s="153" t="str">
        <f>C40</f>
        <v>%Fc</v>
      </c>
      <c r="G40" s="154">
        <f>Buil!G287</f>
        <v>2590720</v>
      </c>
    </row>
    <row r="41" spans="1:8" s="3" customFormat="1">
      <c r="A41" s="28"/>
      <c r="B41" s="89">
        <f>Buil!D289</f>
        <v>5.32</v>
      </c>
      <c r="C41" s="28" t="str">
        <f>Buil!C289</f>
        <v>%Fc</v>
      </c>
      <c r="D41" s="92" t="str">
        <f>Buil!B289</f>
        <v xml:space="preserve"> ( b )(1:3:6)  Concrete Work</v>
      </c>
      <c r="E41" s="132">
        <f>G41/B41</f>
        <v>696515.04</v>
      </c>
      <c r="F41" s="153" t="str">
        <f>C41</f>
        <v>%Fc</v>
      </c>
      <c r="G41" s="154">
        <f>Buil!G299</f>
        <v>3705460</v>
      </c>
    </row>
    <row r="42" spans="1:8" s="3" customFormat="1">
      <c r="A42" s="28"/>
      <c r="B42" s="89">
        <f>Buil!D301</f>
        <v>1805.59</v>
      </c>
      <c r="C42" s="133" t="str">
        <f>Buil!C301</f>
        <v>Fs</v>
      </c>
      <c r="D42" s="92" t="str">
        <f>Buil!B301</f>
        <v>( c ) 1½"Thk; Floor Topping Work</v>
      </c>
      <c r="E42" s="132">
        <f>G42/B42</f>
        <v>1252.18</v>
      </c>
      <c r="F42" s="153" t="str">
        <f>C42</f>
        <v>Fs</v>
      </c>
      <c r="G42" s="154">
        <f>Buil!G310</f>
        <v>2260930</v>
      </c>
    </row>
    <row r="43" spans="1:8" s="3" customFormat="1">
      <c r="A43" s="28"/>
      <c r="B43" s="89"/>
      <c r="C43" s="133"/>
      <c r="D43" s="92"/>
      <c r="E43" s="132"/>
      <c r="F43" s="153"/>
      <c r="G43" s="154"/>
    </row>
    <row r="44" spans="1:8" s="3" customFormat="1">
      <c r="A44" s="28">
        <f>Buil!A312</f>
        <v>17</v>
      </c>
      <c r="B44" s="89">
        <f>Buil!D312</f>
        <v>3210</v>
      </c>
      <c r="C44" s="133" t="str">
        <f>Buil!C312</f>
        <v>Fs</v>
      </c>
      <c r="D44" s="92" t="str">
        <f>Buil!B312</f>
        <v>Scaffolding Work</v>
      </c>
      <c r="E44" s="132">
        <f>G44/B44</f>
        <v>210.73</v>
      </c>
      <c r="F44" s="153" t="str">
        <f>C44</f>
        <v>Fs</v>
      </c>
      <c r="G44" s="154">
        <f>Buil!G319</f>
        <v>676450</v>
      </c>
    </row>
    <row r="45" spans="1:8" s="3" customFormat="1">
      <c r="A45" s="28"/>
      <c r="B45" s="89"/>
      <c r="C45" s="28"/>
      <c r="D45" s="92"/>
      <c r="E45" s="132"/>
      <c r="F45" s="153"/>
      <c r="G45" s="154"/>
    </row>
    <row r="46" spans="1:8" s="3" customFormat="1">
      <c r="A46" s="32">
        <f>Buil!A321</f>
        <v>18</v>
      </c>
      <c r="B46" s="109">
        <f>Buil!D321</f>
        <v>44.88</v>
      </c>
      <c r="C46" s="32" t="s">
        <v>91</v>
      </c>
      <c r="D46" s="135" t="s">
        <v>71</v>
      </c>
      <c r="E46" s="155">
        <f>G46/B46</f>
        <v>4500</v>
      </c>
      <c r="F46" s="156" t="str">
        <f>C46</f>
        <v>%Fs</v>
      </c>
      <c r="G46" s="157">
        <f>Buil!G324</f>
        <v>201960</v>
      </c>
    </row>
    <row r="47" spans="1:8" s="3" customFormat="1">
      <c r="A47" s="310" t="s">
        <v>31</v>
      </c>
      <c r="B47" s="310"/>
      <c r="C47" s="310"/>
      <c r="D47" s="310"/>
      <c r="E47" s="310"/>
      <c r="F47" s="310"/>
      <c r="G47" s="158">
        <f>SUM(G6:G46)</f>
        <v>128375440</v>
      </c>
      <c r="H47" s="4"/>
    </row>
  </sheetData>
  <mergeCells count="11">
    <mergeCell ref="C4:C5"/>
    <mergeCell ref="D4:D5"/>
    <mergeCell ref="A3:G3"/>
    <mergeCell ref="A1:G1"/>
    <mergeCell ref="A2:G2"/>
    <mergeCell ref="A47:F47"/>
    <mergeCell ref="E4:E5"/>
    <mergeCell ref="F4:F5"/>
    <mergeCell ref="G4:G5"/>
    <mergeCell ref="A4:A5"/>
    <mergeCell ref="B4:B5"/>
  </mergeCells>
  <phoneticPr fontId="6" type="noConversion"/>
  <printOptions horizontalCentered="1"/>
  <pageMargins left="0.5" right="0" top="1" bottom="0.5" header="0.5" footer="0.25"/>
  <pageSetup paperSize="9" orientation="portrait" r:id="rId1"/>
  <headerFooter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BB47-0939-4453-91B8-89FE63BB48DA}">
  <sheetPr codeName="Sheet4">
    <tabColor indexed="40"/>
  </sheetPr>
  <dimension ref="A1:M382"/>
  <sheetViews>
    <sheetView topLeftCell="A298" zoomScale="130" zoomScaleNormal="130" workbookViewId="0">
      <selection sqref="A1:G326"/>
    </sheetView>
  </sheetViews>
  <sheetFormatPr defaultColWidth="9.1796875" defaultRowHeight="11.5"/>
  <cols>
    <col min="1" max="1" width="4.453125" style="75" customWidth="1"/>
    <col min="2" max="2" width="38.81640625" style="38" customWidth="1"/>
    <col min="3" max="3" width="8.7265625" style="76" bestFit="1" customWidth="1"/>
    <col min="4" max="4" width="12.1796875" style="77" bestFit="1" customWidth="1"/>
    <col min="5" max="5" width="10.54296875" style="78" bestFit="1" customWidth="1"/>
    <col min="6" max="6" width="8.1796875" style="76" bestFit="1" customWidth="1"/>
    <col min="7" max="7" width="15.26953125" style="77" bestFit="1" customWidth="1"/>
    <col min="8" max="8" width="3" style="77" customWidth="1"/>
    <col min="9" max="9" width="18.7265625" style="37" bestFit="1" customWidth="1"/>
    <col min="10" max="10" width="14.1796875" style="37" customWidth="1"/>
    <col min="11" max="11" width="14" style="50" customWidth="1"/>
    <col min="12" max="16384" width="9.1796875" style="38"/>
  </cols>
  <sheetData>
    <row r="1" spans="1:13" ht="19.899999999999999" customHeight="1">
      <c r="A1" s="320" t="str">
        <f>'BQ '!A1:G1</f>
        <v>One Storeyed RCC Building (46' 2" X 42' 6")</v>
      </c>
      <c r="B1" s="320"/>
      <c r="C1" s="320"/>
      <c r="D1" s="320"/>
      <c r="E1" s="320"/>
      <c r="F1" s="320"/>
      <c r="G1" s="320"/>
      <c r="H1" s="47"/>
      <c r="I1" s="47"/>
      <c r="J1" s="47"/>
      <c r="K1" s="47"/>
      <c r="L1" s="47"/>
      <c r="M1" s="47"/>
    </row>
    <row r="2" spans="1:13" ht="19.899999999999999" customHeight="1">
      <c r="A2" s="320" t="str">
        <f>'BQ '!A2:G2</f>
        <v>Main Building (အုတ္စီ၊ ေခ်ာ၊ က်ည္းေဘာင္ေထာင္၊ အမိုးမိုး)</v>
      </c>
      <c r="B2" s="320"/>
      <c r="C2" s="320"/>
      <c r="D2" s="320"/>
      <c r="E2" s="320"/>
      <c r="F2" s="320"/>
      <c r="G2" s="320"/>
      <c r="H2" s="47"/>
      <c r="I2" s="47"/>
      <c r="J2" s="47"/>
      <c r="K2" s="47"/>
      <c r="L2" s="47"/>
      <c r="M2" s="47"/>
    </row>
    <row r="3" spans="1:13" ht="23.15" customHeight="1">
      <c r="A3" s="328" t="s">
        <v>27</v>
      </c>
      <c r="B3" s="328"/>
      <c r="C3" s="328"/>
      <c r="D3" s="328"/>
      <c r="E3" s="328"/>
      <c r="F3" s="328"/>
      <c r="G3" s="328"/>
      <c r="H3" s="48"/>
      <c r="I3" s="38"/>
      <c r="J3" s="38"/>
      <c r="K3" s="49"/>
    </row>
    <row r="4" spans="1:13" ht="17.149999999999999" customHeight="1">
      <c r="A4" s="318" t="s">
        <v>77</v>
      </c>
      <c r="B4" s="318" t="s">
        <v>78</v>
      </c>
      <c r="C4" s="318" t="s">
        <v>94</v>
      </c>
      <c r="D4" s="326" t="s">
        <v>95</v>
      </c>
      <c r="E4" s="324" t="s">
        <v>96</v>
      </c>
      <c r="F4" s="318" t="s">
        <v>97</v>
      </c>
      <c r="G4" s="322" t="s">
        <v>29</v>
      </c>
      <c r="H4" s="294"/>
    </row>
    <row r="5" spans="1:13" ht="17.149999999999999" customHeight="1">
      <c r="A5" s="319"/>
      <c r="B5" s="319"/>
      <c r="C5" s="319"/>
      <c r="D5" s="327"/>
      <c r="E5" s="325"/>
      <c r="F5" s="319"/>
      <c r="G5" s="323"/>
      <c r="H5" s="294"/>
      <c r="I5" s="37">
        <f>680000/8</f>
        <v>85000</v>
      </c>
      <c r="J5" s="37">
        <f>I5*6</f>
        <v>510000</v>
      </c>
    </row>
    <row r="6" spans="1:13" ht="17.149999999999999" customHeight="1">
      <c r="A6" s="79"/>
      <c r="B6" s="79"/>
      <c r="C6" s="79"/>
      <c r="D6" s="80"/>
      <c r="E6" s="81"/>
      <c r="F6" s="79"/>
      <c r="G6" s="82"/>
      <c r="H6" s="294"/>
      <c r="J6" s="37">
        <f>360000</f>
        <v>360000</v>
      </c>
    </row>
    <row r="7" spans="1:13" ht="20.149999999999999" customHeight="1">
      <c r="A7" s="41">
        <f>Detail!A6</f>
        <v>1</v>
      </c>
      <c r="B7" s="46" t="s">
        <v>43</v>
      </c>
      <c r="C7" s="41" t="s">
        <v>91</v>
      </c>
      <c r="D7" s="55">
        <f>Detail!H7</f>
        <v>44.88</v>
      </c>
      <c r="E7" s="57"/>
      <c r="F7" s="41"/>
      <c r="G7" s="55"/>
      <c r="H7" s="294"/>
      <c r="I7" s="37">
        <f>680000+360000+15000</f>
        <v>1055000</v>
      </c>
      <c r="J7" s="37">
        <v>15000</v>
      </c>
    </row>
    <row r="8" spans="1:13" ht="20.149999999999999" customHeight="1">
      <c r="A8" s="41"/>
      <c r="B8" s="41" t="s">
        <v>8</v>
      </c>
      <c r="C8" s="41"/>
      <c r="D8" s="115"/>
      <c r="E8" s="57"/>
      <c r="F8" s="41"/>
      <c r="G8" s="55"/>
      <c r="H8" s="294"/>
      <c r="J8" s="37">
        <f>SUM(J5:J7)</f>
        <v>885000</v>
      </c>
    </row>
    <row r="9" spans="1:13" ht="20.149999999999999" customHeight="1">
      <c r="A9" s="41"/>
      <c r="B9" s="44" t="s">
        <v>15</v>
      </c>
      <c r="C9" s="41" t="s">
        <v>79</v>
      </c>
      <c r="D9" s="115">
        <f>D7*0.25</f>
        <v>11.22</v>
      </c>
      <c r="E9" s="57">
        <f>'BQ '!E51</f>
        <v>18000</v>
      </c>
      <c r="F9" s="41" t="str">
        <f>C9</f>
        <v>No</v>
      </c>
      <c r="G9" s="69">
        <f>D9*E9</f>
        <v>201960</v>
      </c>
      <c r="H9" s="294"/>
    </row>
    <row r="10" spans="1:13" ht="20.149999999999999" customHeight="1">
      <c r="A10" s="41"/>
      <c r="B10" s="41"/>
      <c r="C10" s="41"/>
      <c r="D10" s="115"/>
      <c r="E10" s="57"/>
      <c r="F10" s="41"/>
      <c r="G10" s="58">
        <f>SUM(G9)</f>
        <v>201960</v>
      </c>
      <c r="H10" s="294"/>
      <c r="I10" s="37" t="s">
        <v>355</v>
      </c>
    </row>
    <row r="11" spans="1:13" ht="20.149999999999999" customHeight="1">
      <c r="A11" s="41"/>
      <c r="B11" s="41"/>
      <c r="C11" s="41"/>
      <c r="D11" s="115"/>
      <c r="E11" s="57"/>
      <c r="F11" s="41"/>
      <c r="G11" s="56"/>
      <c r="H11" s="294"/>
    </row>
    <row r="12" spans="1:13" ht="20.149999999999999" customHeight="1">
      <c r="A12" s="41">
        <f>Detail!A9</f>
        <v>2</v>
      </c>
      <c r="B12" s="46" t="s">
        <v>44</v>
      </c>
      <c r="C12" s="41" t="s">
        <v>7</v>
      </c>
      <c r="D12" s="55">
        <f>Detail!H9</f>
        <v>3248</v>
      </c>
      <c r="E12" s="57"/>
      <c r="F12" s="41"/>
      <c r="G12" s="55"/>
      <c r="H12" s="294"/>
    </row>
    <row r="13" spans="1:13" ht="20.149999999999999" customHeight="1">
      <c r="A13" s="41"/>
      <c r="B13" s="41" t="s">
        <v>12</v>
      </c>
      <c r="C13" s="41"/>
      <c r="D13" s="115"/>
      <c r="E13" s="57"/>
      <c r="F13" s="41"/>
      <c r="G13" s="55"/>
      <c r="H13" s="294"/>
      <c r="I13" s="37">
        <f>7.5*15</f>
        <v>112.5</v>
      </c>
    </row>
    <row r="14" spans="1:13" ht="20.149999999999999" customHeight="1">
      <c r="A14" s="41"/>
      <c r="B14" s="44" t="s">
        <v>66</v>
      </c>
      <c r="C14" s="41" t="s">
        <v>93</v>
      </c>
      <c r="D14" s="115">
        <f>D12/(100*100)*30/50/3</f>
        <v>0.06</v>
      </c>
      <c r="E14" s="57">
        <f>'BQ '!E17</f>
        <v>1200000</v>
      </c>
      <c r="F14" s="41" t="str">
        <f>C14</f>
        <v>Ton</v>
      </c>
      <c r="G14" s="55">
        <f>E14*D14</f>
        <v>72000</v>
      </c>
      <c r="H14" s="294"/>
      <c r="I14" s="37">
        <f>1.33*2</f>
        <v>2.66</v>
      </c>
    </row>
    <row r="15" spans="1:13" ht="20.149999999999999" customHeight="1">
      <c r="A15" s="41"/>
      <c r="B15" s="44" t="s">
        <v>39</v>
      </c>
      <c r="C15" s="41" t="s">
        <v>135</v>
      </c>
      <c r="D15" s="115">
        <f>D12/(100*100)*7.5/3.6</f>
        <v>0.68</v>
      </c>
      <c r="E15" s="57">
        <f>'BQ '!E18</f>
        <v>10000</v>
      </c>
      <c r="F15" s="41" t="str">
        <f>C15</f>
        <v>Viss</v>
      </c>
      <c r="G15" s="55">
        <f>E15*D15</f>
        <v>6800</v>
      </c>
      <c r="H15" s="294"/>
      <c r="I15" s="37">
        <f>I13/I14</f>
        <v>42.293233082706799</v>
      </c>
    </row>
    <row r="16" spans="1:13" ht="20.149999999999999" customHeight="1">
      <c r="A16" s="41"/>
      <c r="B16" s="41" t="s">
        <v>8</v>
      </c>
      <c r="C16" s="41"/>
      <c r="D16" s="115"/>
      <c r="E16" s="57"/>
      <c r="F16" s="41"/>
      <c r="G16" s="55"/>
      <c r="H16" s="294"/>
      <c r="I16" s="37" t="s">
        <v>356</v>
      </c>
      <c r="J16" s="37">
        <v>1.33</v>
      </c>
    </row>
    <row r="17" spans="1:10" ht="20.149999999999999" customHeight="1">
      <c r="A17" s="41"/>
      <c r="B17" s="44" t="s">
        <v>67</v>
      </c>
      <c r="C17" s="41" t="s">
        <v>79</v>
      </c>
      <c r="D17" s="115">
        <f>D12/(100*100)*1</f>
        <v>0.32</v>
      </c>
      <c r="E17" s="57">
        <f>'BQ '!E49</f>
        <v>25000</v>
      </c>
      <c r="F17" s="41" t="str">
        <f>C17</f>
        <v>No</v>
      </c>
      <c r="G17" s="55">
        <f>E17*D17</f>
        <v>8000</v>
      </c>
      <c r="H17" s="294"/>
      <c r="I17" s="37" t="s">
        <v>357</v>
      </c>
      <c r="J17" s="37">
        <v>2</v>
      </c>
    </row>
    <row r="18" spans="1:10" ht="20.149999999999999" customHeight="1">
      <c r="A18" s="41"/>
      <c r="B18" s="44" t="s">
        <v>16</v>
      </c>
      <c r="C18" s="41" t="s">
        <v>79</v>
      </c>
      <c r="D18" s="115">
        <f>D12/(100*100)*5</f>
        <v>1.62</v>
      </c>
      <c r="E18" s="57">
        <f>'BQ '!E48</f>
        <v>25000</v>
      </c>
      <c r="F18" s="41" t="str">
        <f>C18</f>
        <v>No</v>
      </c>
      <c r="G18" s="55">
        <f>E18*D18</f>
        <v>40500</v>
      </c>
      <c r="H18" s="294"/>
      <c r="J18" s="37">
        <f>J16*J17</f>
        <v>2.66</v>
      </c>
    </row>
    <row r="19" spans="1:10" ht="20.149999999999999" customHeight="1">
      <c r="A19" s="41"/>
      <c r="B19" s="44" t="s">
        <v>15</v>
      </c>
      <c r="C19" s="41" t="s">
        <v>79</v>
      </c>
      <c r="D19" s="115">
        <f>D12/(100*100)*10</f>
        <v>3.25</v>
      </c>
      <c r="E19" s="57">
        <f>E9</f>
        <v>18000</v>
      </c>
      <c r="F19" s="41" t="str">
        <f>C19</f>
        <v>No</v>
      </c>
      <c r="G19" s="69">
        <f>E19*D19</f>
        <v>58500</v>
      </c>
      <c r="H19" s="294"/>
    </row>
    <row r="20" spans="1:10" ht="20.149999999999999" customHeight="1">
      <c r="A20" s="41"/>
      <c r="B20" s="41"/>
      <c r="C20" s="41"/>
      <c r="D20" s="115"/>
      <c r="E20" s="57"/>
      <c r="F20" s="41"/>
      <c r="G20" s="58">
        <f>SUM(G14:G19)</f>
        <v>185800</v>
      </c>
      <c r="H20" s="294"/>
    </row>
    <row r="21" spans="1:10" ht="20.149999999999999" customHeight="1">
      <c r="A21" s="41"/>
      <c r="B21" s="41"/>
      <c r="C21" s="41"/>
      <c r="D21" s="115"/>
      <c r="E21" s="57"/>
      <c r="F21" s="41"/>
      <c r="G21" s="56"/>
      <c r="H21" s="294"/>
    </row>
    <row r="22" spans="1:10" ht="20.149999999999999" customHeight="1">
      <c r="A22" s="41"/>
      <c r="B22" s="41"/>
      <c r="C22" s="41"/>
      <c r="D22" s="115"/>
      <c r="E22" s="57"/>
      <c r="F22" s="41"/>
      <c r="G22" s="56"/>
      <c r="H22" s="294"/>
    </row>
    <row r="23" spans="1:10" ht="20.149999999999999" customHeight="1">
      <c r="A23" s="41">
        <f>Detail!A12</f>
        <v>3</v>
      </c>
      <c r="B23" s="46" t="s">
        <v>42</v>
      </c>
      <c r="C23" s="41" t="s">
        <v>86</v>
      </c>
      <c r="D23" s="55">
        <f>Detail!H36</f>
        <v>60.25</v>
      </c>
      <c r="E23" s="57"/>
      <c r="F23" s="41"/>
      <c r="G23" s="55"/>
      <c r="H23" s="294"/>
    </row>
    <row r="24" spans="1:10" ht="20.149999999999999" customHeight="1">
      <c r="A24" s="41"/>
      <c r="B24" s="41" t="s">
        <v>8</v>
      </c>
      <c r="C24" s="41"/>
      <c r="D24" s="115"/>
      <c r="E24" s="57"/>
      <c r="F24" s="41"/>
      <c r="G24" s="55"/>
      <c r="H24" s="294"/>
    </row>
    <row r="25" spans="1:10" ht="20.149999999999999" customHeight="1">
      <c r="A25" s="41"/>
      <c r="B25" s="44" t="s">
        <v>15</v>
      </c>
      <c r="C25" s="41" t="s">
        <v>79</v>
      </c>
      <c r="D25" s="115">
        <f>D23*3</f>
        <v>180.75</v>
      </c>
      <c r="E25" s="57">
        <f>E9</f>
        <v>18000</v>
      </c>
      <c r="F25" s="41" t="str">
        <f>C25</f>
        <v>No</v>
      </c>
      <c r="G25" s="69">
        <f>D25*E25</f>
        <v>3253500</v>
      </c>
      <c r="H25" s="294"/>
    </row>
    <row r="26" spans="1:10" ht="20.149999999999999" customHeight="1">
      <c r="A26" s="41"/>
      <c r="B26" s="41"/>
      <c r="C26" s="41"/>
      <c r="D26" s="115"/>
      <c r="E26" s="57"/>
      <c r="F26" s="41"/>
      <c r="G26" s="58">
        <f>SUM(G25)</f>
        <v>3253500</v>
      </c>
      <c r="H26" s="294"/>
    </row>
    <row r="27" spans="1:10" ht="20.149999999999999" customHeight="1">
      <c r="A27" s="41"/>
      <c r="B27" s="41"/>
      <c r="C27" s="41"/>
      <c r="D27" s="115"/>
      <c r="E27" s="57"/>
      <c r="F27" s="41"/>
      <c r="G27" s="55"/>
      <c r="H27" s="294"/>
    </row>
    <row r="28" spans="1:10" ht="20.149999999999999" customHeight="1">
      <c r="A28" s="41">
        <f>Detail!A37</f>
        <v>4</v>
      </c>
      <c r="B28" s="46" t="str">
        <f>Detail!B37</f>
        <v>6" Thk; Hardcore with Sand Filling Work</v>
      </c>
      <c r="C28" s="67" t="str">
        <f>Detail!I42</f>
        <v>%Fc</v>
      </c>
      <c r="D28" s="115">
        <f>Detail!H42</f>
        <v>4.66</v>
      </c>
      <c r="E28" s="57"/>
      <c r="F28" s="41"/>
      <c r="G28" s="56"/>
      <c r="H28" s="294"/>
    </row>
    <row r="29" spans="1:10" ht="20.149999999999999" customHeight="1">
      <c r="A29" s="41"/>
      <c r="B29" s="41" t="s">
        <v>12</v>
      </c>
      <c r="C29" s="41"/>
      <c r="D29" s="115"/>
      <c r="E29" s="57"/>
      <c r="F29" s="41"/>
      <c r="G29" s="56"/>
      <c r="H29" s="294"/>
    </row>
    <row r="30" spans="1:10" ht="20.149999999999999" customHeight="1">
      <c r="A30" s="41"/>
      <c r="B30" s="41" t="s">
        <v>272</v>
      </c>
      <c r="C30" s="41" t="s">
        <v>89</v>
      </c>
      <c r="D30" s="115">
        <f>D28</f>
        <v>4.66</v>
      </c>
      <c r="E30" s="57">
        <f>'BQ '!E12</f>
        <v>200000</v>
      </c>
      <c r="F30" s="41" t="str">
        <f>C30</f>
        <v>Sud</v>
      </c>
      <c r="G30" s="56">
        <f>D30*E30</f>
        <v>932000</v>
      </c>
      <c r="H30" s="294"/>
    </row>
    <row r="31" spans="1:10" ht="20.149999999999999" customHeight="1">
      <c r="A31" s="41"/>
      <c r="B31" s="44" t="s">
        <v>23</v>
      </c>
      <c r="C31" s="41" t="s">
        <v>89</v>
      </c>
      <c r="D31" s="115">
        <f>D28*0.25</f>
        <v>1.17</v>
      </c>
      <c r="E31" s="57">
        <f>'BQ '!E8</f>
        <v>56000</v>
      </c>
      <c r="F31" s="41" t="str">
        <f>C31</f>
        <v>Sud</v>
      </c>
      <c r="G31" s="82">
        <f>D31*E31</f>
        <v>65520</v>
      </c>
      <c r="H31" s="294"/>
    </row>
    <row r="32" spans="1:10" ht="20.149999999999999" customHeight="1">
      <c r="A32" s="41"/>
      <c r="B32" s="41" t="s">
        <v>8</v>
      </c>
      <c r="C32" s="41"/>
      <c r="D32" s="115"/>
      <c r="E32" s="57"/>
      <c r="F32" s="41"/>
      <c r="G32" s="82"/>
      <c r="H32" s="294"/>
    </row>
    <row r="33" spans="1:8" ht="20.149999999999999" customHeight="1">
      <c r="A33" s="41"/>
      <c r="B33" s="44" t="s">
        <v>17</v>
      </c>
      <c r="C33" s="41" t="s">
        <v>79</v>
      </c>
      <c r="D33" s="115">
        <f>D28*0.5</f>
        <v>2.33</v>
      </c>
      <c r="E33" s="57">
        <f>'BQ '!E46</f>
        <v>25000</v>
      </c>
      <c r="F33" s="41" t="str">
        <f>C33</f>
        <v>No</v>
      </c>
      <c r="G33" s="82">
        <f>D33*E33</f>
        <v>58250</v>
      </c>
      <c r="H33" s="294"/>
    </row>
    <row r="34" spans="1:8" ht="20.149999999999999" customHeight="1">
      <c r="A34" s="41"/>
      <c r="B34" s="44" t="s">
        <v>15</v>
      </c>
      <c r="C34" s="41" t="s">
        <v>79</v>
      </c>
      <c r="D34" s="115">
        <f>D28*0.5</f>
        <v>2.33</v>
      </c>
      <c r="E34" s="57">
        <f>'BQ '!E51</f>
        <v>18000</v>
      </c>
      <c r="F34" s="41" t="str">
        <f>C34</f>
        <v>No</v>
      </c>
      <c r="G34" s="82">
        <f>D34*E34</f>
        <v>41940</v>
      </c>
      <c r="H34" s="294"/>
    </row>
    <row r="35" spans="1:8" ht="20.149999999999999" customHeight="1">
      <c r="A35" s="41"/>
      <c r="B35" s="41"/>
      <c r="C35" s="41"/>
      <c r="D35" s="115"/>
      <c r="E35" s="57"/>
      <c r="F35" s="41"/>
      <c r="G35" s="58">
        <f>SUM(G30:G34)</f>
        <v>1097710</v>
      </c>
      <c r="H35" s="294"/>
    </row>
    <row r="36" spans="1:8" ht="20.149999999999999" customHeight="1">
      <c r="A36" s="41"/>
      <c r="B36" s="41"/>
      <c r="C36" s="41"/>
      <c r="D36" s="115"/>
      <c r="E36" s="57"/>
      <c r="F36" s="41"/>
      <c r="G36" s="56"/>
      <c r="H36" s="294"/>
    </row>
    <row r="37" spans="1:8" ht="20.149999999999999" customHeight="1">
      <c r="A37" s="41">
        <f>Detail!A44</f>
        <v>5</v>
      </c>
      <c r="B37" s="46" t="s">
        <v>53</v>
      </c>
      <c r="C37" s="41" t="s">
        <v>86</v>
      </c>
      <c r="D37" s="55">
        <f>Detail!H67</f>
        <v>4.79</v>
      </c>
      <c r="E37" s="57"/>
      <c r="F37" s="41"/>
      <c r="G37" s="55"/>
      <c r="H37" s="294"/>
    </row>
    <row r="38" spans="1:8" ht="20.149999999999999" customHeight="1">
      <c r="A38" s="41"/>
      <c r="B38" s="41" t="s">
        <v>12</v>
      </c>
      <c r="C38" s="41"/>
      <c r="D38" s="115"/>
      <c r="E38" s="57"/>
      <c r="F38" s="41"/>
      <c r="G38" s="55"/>
      <c r="H38" s="294"/>
    </row>
    <row r="39" spans="1:8" ht="20.149999999999999" customHeight="1">
      <c r="A39" s="41"/>
      <c r="B39" s="44" t="s">
        <v>87</v>
      </c>
      <c r="C39" s="41" t="s">
        <v>88</v>
      </c>
      <c r="D39" s="115">
        <f>D37*1440/112</f>
        <v>61.59</v>
      </c>
      <c r="E39" s="57">
        <f>'BQ '!E7</f>
        <v>22000</v>
      </c>
      <c r="F39" s="41" t="str">
        <f>C39</f>
        <v>Bag</v>
      </c>
      <c r="G39" s="55">
        <f>E39*D39</f>
        <v>1354980</v>
      </c>
      <c r="H39" s="294"/>
    </row>
    <row r="40" spans="1:8" ht="20.149999999999999" customHeight="1">
      <c r="A40" s="41"/>
      <c r="B40" s="44" t="s">
        <v>23</v>
      </c>
      <c r="C40" s="41" t="s">
        <v>89</v>
      </c>
      <c r="D40" s="115">
        <f>D37*0.48</f>
        <v>2.2999999999999998</v>
      </c>
      <c r="E40" s="57">
        <f>'BQ '!E8</f>
        <v>56000</v>
      </c>
      <c r="F40" s="41" t="str">
        <f>C40</f>
        <v>Sud</v>
      </c>
      <c r="G40" s="55">
        <f>E40*D40</f>
        <v>128800</v>
      </c>
      <c r="H40" s="294"/>
    </row>
    <row r="41" spans="1:8" ht="20.149999999999999" customHeight="1">
      <c r="A41" s="41"/>
      <c r="B41" s="44" t="s">
        <v>35</v>
      </c>
      <c r="C41" s="41" t="s">
        <v>89</v>
      </c>
      <c r="D41" s="115">
        <f>D37*0.96</f>
        <v>4.5999999999999996</v>
      </c>
      <c r="E41" s="57">
        <f>'BQ '!E11</f>
        <v>220000</v>
      </c>
      <c r="F41" s="41" t="str">
        <f>C41</f>
        <v>Sud</v>
      </c>
      <c r="G41" s="55">
        <f>E41*D41</f>
        <v>1012000</v>
      </c>
      <c r="H41" s="294"/>
    </row>
    <row r="42" spans="1:8" ht="20.149999999999999" customHeight="1">
      <c r="A42" s="41"/>
      <c r="B42" s="44" t="s">
        <v>36</v>
      </c>
      <c r="C42" s="41" t="s">
        <v>20</v>
      </c>
      <c r="D42" s="115">
        <f>D37*2</f>
        <v>9.58</v>
      </c>
      <c r="E42" s="57">
        <f>'BQ '!E13</f>
        <v>15000</v>
      </c>
      <c r="F42" s="41" t="str">
        <f>C42</f>
        <v>Gal</v>
      </c>
      <c r="G42" s="55">
        <f>E42*D42</f>
        <v>143700</v>
      </c>
      <c r="H42" s="294"/>
    </row>
    <row r="43" spans="1:8" ht="20.149999999999999" customHeight="1">
      <c r="A43" s="41"/>
      <c r="B43" s="41" t="s">
        <v>8</v>
      </c>
      <c r="C43" s="41"/>
      <c r="D43" s="115"/>
      <c r="E43" s="57"/>
      <c r="F43" s="41"/>
      <c r="G43" s="55"/>
      <c r="H43" s="294"/>
    </row>
    <row r="44" spans="1:8" ht="20.149999999999999" customHeight="1">
      <c r="A44" s="41"/>
      <c r="B44" s="44" t="s">
        <v>17</v>
      </c>
      <c r="C44" s="41" t="s">
        <v>79</v>
      </c>
      <c r="D44" s="115">
        <f>D37*1</f>
        <v>4.79</v>
      </c>
      <c r="E44" s="57">
        <f>'BQ '!E46</f>
        <v>25000</v>
      </c>
      <c r="F44" s="41" t="str">
        <f>C44</f>
        <v>No</v>
      </c>
      <c r="G44" s="55">
        <f>E44*D44</f>
        <v>119750</v>
      </c>
      <c r="H44" s="294"/>
    </row>
    <row r="45" spans="1:8" ht="20.149999999999999" customHeight="1">
      <c r="A45" s="41"/>
      <c r="B45" s="44" t="s">
        <v>37</v>
      </c>
      <c r="C45" s="41" t="s">
        <v>79</v>
      </c>
      <c r="D45" s="115">
        <f>D37*0.5</f>
        <v>2.4</v>
      </c>
      <c r="E45" s="57">
        <f>'BQ '!E50</f>
        <v>25000</v>
      </c>
      <c r="F45" s="41" t="str">
        <f>C45</f>
        <v>No</v>
      </c>
      <c r="G45" s="55">
        <f>E45*D45</f>
        <v>60000</v>
      </c>
      <c r="H45" s="294"/>
    </row>
    <row r="46" spans="1:8" ht="20.149999999999999" customHeight="1">
      <c r="A46" s="41"/>
      <c r="B46" s="44" t="s">
        <v>15</v>
      </c>
      <c r="C46" s="41" t="s">
        <v>79</v>
      </c>
      <c r="D46" s="115">
        <f>D37*6</f>
        <v>28.74</v>
      </c>
      <c r="E46" s="57">
        <f>E9</f>
        <v>18000</v>
      </c>
      <c r="F46" s="41" t="str">
        <f>C46</f>
        <v>No</v>
      </c>
      <c r="G46" s="69">
        <f>E46*D46</f>
        <v>517320</v>
      </c>
      <c r="H46" s="294"/>
    </row>
    <row r="47" spans="1:8" ht="20.149999999999999" customHeight="1">
      <c r="A47" s="41"/>
      <c r="B47" s="41"/>
      <c r="C47" s="41"/>
      <c r="D47" s="115"/>
      <c r="E47" s="57"/>
      <c r="F47" s="41"/>
      <c r="G47" s="58">
        <f>SUM(G39:G46)</f>
        <v>3336550</v>
      </c>
      <c r="H47" s="294"/>
    </row>
    <row r="48" spans="1:8" ht="20.149999999999999" customHeight="1">
      <c r="A48" s="41"/>
      <c r="B48" s="41"/>
      <c r="C48" s="41"/>
      <c r="D48" s="115"/>
      <c r="E48" s="57"/>
      <c r="F48" s="41"/>
      <c r="G48" s="55"/>
      <c r="H48" s="294"/>
    </row>
    <row r="49" spans="1:8" ht="20.149999999999999" customHeight="1">
      <c r="A49" s="41">
        <f>Detail!A69</f>
        <v>6</v>
      </c>
      <c r="B49" s="46" t="s">
        <v>63</v>
      </c>
      <c r="C49" s="41" t="s">
        <v>86</v>
      </c>
      <c r="D49" s="115">
        <f>Detail!I125</f>
        <v>16.260000000000002</v>
      </c>
      <c r="E49" s="57"/>
      <c r="F49" s="41"/>
      <c r="G49" s="55"/>
      <c r="H49" s="294"/>
    </row>
    <row r="50" spans="1:8" ht="20.149999999999999" customHeight="1">
      <c r="A50" s="41"/>
      <c r="B50" s="41" t="s">
        <v>12</v>
      </c>
      <c r="C50" s="41"/>
      <c r="D50" s="115"/>
      <c r="E50" s="57"/>
      <c r="F50" s="41"/>
      <c r="G50" s="55"/>
      <c r="H50" s="294"/>
    </row>
    <row r="51" spans="1:8" ht="20.149999999999999" customHeight="1">
      <c r="A51" s="41"/>
      <c r="B51" s="44" t="s">
        <v>87</v>
      </c>
      <c r="C51" s="41" t="s">
        <v>88</v>
      </c>
      <c r="D51" s="115">
        <f>D49*780/112</f>
        <v>113.24</v>
      </c>
      <c r="E51" s="57">
        <f>E39</f>
        <v>22000</v>
      </c>
      <c r="F51" s="41" t="str">
        <f>C51</f>
        <v>Bag</v>
      </c>
      <c r="G51" s="55">
        <f>E51*D51</f>
        <v>2491280</v>
      </c>
      <c r="H51" s="294"/>
    </row>
    <row r="52" spans="1:8" ht="20.149999999999999" customHeight="1">
      <c r="A52" s="41"/>
      <c r="B52" s="44" t="s">
        <v>23</v>
      </c>
      <c r="C52" s="41" t="s">
        <v>89</v>
      </c>
      <c r="D52" s="115">
        <f>D49*0.26</f>
        <v>4.2300000000000004</v>
      </c>
      <c r="E52" s="57">
        <f>E40</f>
        <v>56000</v>
      </c>
      <c r="F52" s="41" t="str">
        <f>C52</f>
        <v>Sud</v>
      </c>
      <c r="G52" s="55">
        <f>E52*D52</f>
        <v>236880</v>
      </c>
      <c r="H52" s="294"/>
    </row>
    <row r="53" spans="1:8" ht="20.149999999999999" customHeight="1">
      <c r="A53" s="41"/>
      <c r="B53" s="44" t="s">
        <v>90</v>
      </c>
      <c r="C53" s="41" t="s">
        <v>79</v>
      </c>
      <c r="D53" s="115">
        <f>D49*1350</f>
        <v>21951</v>
      </c>
      <c r="E53" s="57">
        <f>'BQ '!E9</f>
        <v>280</v>
      </c>
      <c r="F53" s="41" t="str">
        <f>C53</f>
        <v>No</v>
      </c>
      <c r="G53" s="55">
        <f>E53*D53</f>
        <v>6146280</v>
      </c>
      <c r="H53" s="294"/>
    </row>
    <row r="54" spans="1:8" ht="20.149999999999999" customHeight="1">
      <c r="A54" s="41"/>
      <c r="B54" s="41" t="s">
        <v>8</v>
      </c>
      <c r="C54" s="41"/>
      <c r="D54" s="115"/>
      <c r="E54" s="57"/>
      <c r="F54" s="41"/>
      <c r="G54" s="55"/>
      <c r="H54" s="294"/>
    </row>
    <row r="55" spans="1:8" ht="20.149999999999999" customHeight="1">
      <c r="A55" s="41"/>
      <c r="B55" s="44" t="s">
        <v>17</v>
      </c>
      <c r="C55" s="41" t="s">
        <v>79</v>
      </c>
      <c r="D55" s="115">
        <f>D49*4</f>
        <v>65.040000000000006</v>
      </c>
      <c r="E55" s="57">
        <f>'BQ '!E46</f>
        <v>25000</v>
      </c>
      <c r="F55" s="41" t="str">
        <f>C55</f>
        <v>No</v>
      </c>
      <c r="G55" s="55">
        <f>E55*D55</f>
        <v>1626000</v>
      </c>
      <c r="H55" s="294"/>
    </row>
    <row r="56" spans="1:8" ht="20.149999999999999" customHeight="1">
      <c r="A56" s="41"/>
      <c r="B56" s="44" t="s">
        <v>15</v>
      </c>
      <c r="C56" s="41" t="s">
        <v>79</v>
      </c>
      <c r="D56" s="115">
        <f>D49*6</f>
        <v>97.56</v>
      </c>
      <c r="E56" s="57">
        <f>E9</f>
        <v>18000</v>
      </c>
      <c r="F56" s="41" t="str">
        <f>C56</f>
        <v>No</v>
      </c>
      <c r="G56" s="69">
        <f>E56*D56</f>
        <v>1756080</v>
      </c>
      <c r="H56" s="294"/>
    </row>
    <row r="57" spans="1:8" ht="20.149999999999999" customHeight="1">
      <c r="A57" s="41"/>
      <c r="B57" s="41"/>
      <c r="C57" s="41"/>
      <c r="D57" s="115"/>
      <c r="E57" s="57"/>
      <c r="F57" s="41"/>
      <c r="G57" s="58">
        <f>SUM(G51:G56)</f>
        <v>12256520</v>
      </c>
      <c r="H57" s="294"/>
    </row>
    <row r="58" spans="1:8" ht="20.149999999999999" customHeight="1">
      <c r="A58" s="60"/>
      <c r="B58" s="60"/>
      <c r="C58" s="60"/>
      <c r="D58" s="116"/>
      <c r="E58" s="117"/>
      <c r="F58" s="60"/>
      <c r="G58" s="71"/>
      <c r="H58" s="294"/>
    </row>
    <row r="59" spans="1:8" ht="19.5" customHeight="1">
      <c r="A59" s="51">
        <f>Detail!A127</f>
        <v>7</v>
      </c>
      <c r="B59" s="52" t="str">
        <f>Detail!B127</f>
        <v>Concrete Casting Work For Footing</v>
      </c>
      <c r="C59" s="51"/>
      <c r="D59" s="118"/>
      <c r="E59" s="53"/>
      <c r="F59" s="51"/>
      <c r="G59" s="54"/>
      <c r="H59" s="294"/>
    </row>
    <row r="60" spans="1:8" ht="19.5" customHeight="1">
      <c r="A60" s="41"/>
      <c r="B60" s="46" t="s">
        <v>54</v>
      </c>
      <c r="C60" s="41" t="s">
        <v>86</v>
      </c>
      <c r="D60" s="115">
        <f>Detail!I133</f>
        <v>3.34</v>
      </c>
      <c r="E60" s="57"/>
      <c r="F60" s="41"/>
      <c r="G60" s="55"/>
      <c r="H60" s="294"/>
    </row>
    <row r="61" spans="1:8" ht="19.5" customHeight="1">
      <c r="A61" s="41"/>
      <c r="B61" s="41" t="s">
        <v>12</v>
      </c>
      <c r="C61" s="41"/>
      <c r="D61" s="115"/>
      <c r="E61" s="57"/>
      <c r="F61" s="41"/>
      <c r="G61" s="55"/>
      <c r="H61" s="294"/>
    </row>
    <row r="62" spans="1:8" ht="19.5" customHeight="1">
      <c r="A62" s="41"/>
      <c r="B62" s="44" t="s">
        <v>87</v>
      </c>
      <c r="C62" s="41" t="s">
        <v>88</v>
      </c>
      <c r="D62" s="115">
        <f>D60*2070/112</f>
        <v>61.73</v>
      </c>
      <c r="E62" s="57">
        <f>E39</f>
        <v>22000</v>
      </c>
      <c r="F62" s="41" t="str">
        <f>C62</f>
        <v>Bag</v>
      </c>
      <c r="G62" s="55">
        <f>E62*D62</f>
        <v>1358060</v>
      </c>
      <c r="H62" s="294"/>
    </row>
    <row r="63" spans="1:8" ht="19.5" customHeight="1">
      <c r="A63" s="41"/>
      <c r="B63" s="44" t="s">
        <v>23</v>
      </c>
      <c r="C63" s="41" t="s">
        <v>89</v>
      </c>
      <c r="D63" s="115">
        <f>D60*0.46</f>
        <v>1.54</v>
      </c>
      <c r="E63" s="57">
        <f>E52</f>
        <v>56000</v>
      </c>
      <c r="F63" s="41" t="str">
        <f>C63</f>
        <v>Sud</v>
      </c>
      <c r="G63" s="55">
        <f>E63*D63</f>
        <v>86240</v>
      </c>
      <c r="H63" s="294"/>
    </row>
    <row r="64" spans="1:8" ht="19.5" customHeight="1">
      <c r="A64" s="41"/>
      <c r="B64" s="44" t="s">
        <v>35</v>
      </c>
      <c r="C64" s="41" t="s">
        <v>89</v>
      </c>
      <c r="D64" s="115">
        <f>D60*0.92</f>
        <v>3.07</v>
      </c>
      <c r="E64" s="57">
        <f>E41</f>
        <v>220000</v>
      </c>
      <c r="F64" s="41" t="str">
        <f>C64</f>
        <v>Sud</v>
      </c>
      <c r="G64" s="55">
        <f>E64*D64</f>
        <v>675400</v>
      </c>
      <c r="H64" s="294"/>
    </row>
    <row r="65" spans="1:9" ht="19.5" customHeight="1">
      <c r="A65" s="41"/>
      <c r="B65" s="44" t="s">
        <v>36</v>
      </c>
      <c r="C65" s="41" t="s">
        <v>20</v>
      </c>
      <c r="D65" s="115">
        <f>D60*2</f>
        <v>6.68</v>
      </c>
      <c r="E65" s="57">
        <f>E42</f>
        <v>15000</v>
      </c>
      <c r="F65" s="41" t="str">
        <f>C65</f>
        <v>Gal</v>
      </c>
      <c r="G65" s="55">
        <f>E65*D65</f>
        <v>100200</v>
      </c>
      <c r="H65" s="294"/>
    </row>
    <row r="66" spans="1:9" ht="19.5" customHeight="1">
      <c r="A66" s="41"/>
      <c r="B66" s="41" t="s">
        <v>8</v>
      </c>
      <c r="C66" s="41"/>
      <c r="D66" s="115"/>
      <c r="E66" s="57"/>
      <c r="F66" s="41"/>
      <c r="G66" s="55"/>
      <c r="H66" s="294"/>
    </row>
    <row r="67" spans="1:9" ht="19.5" customHeight="1">
      <c r="A67" s="41"/>
      <c r="B67" s="44" t="s">
        <v>17</v>
      </c>
      <c r="C67" s="41" t="s">
        <v>79</v>
      </c>
      <c r="D67" s="115">
        <f>D60*2</f>
        <v>6.68</v>
      </c>
      <c r="E67" s="57">
        <f>'BQ '!E46</f>
        <v>25000</v>
      </c>
      <c r="F67" s="41" t="str">
        <f>C67</f>
        <v>No</v>
      </c>
      <c r="G67" s="55">
        <f>E67*D67</f>
        <v>167000</v>
      </c>
      <c r="H67" s="294"/>
    </row>
    <row r="68" spans="1:9" ht="19.5" customHeight="1">
      <c r="A68" s="41"/>
      <c r="B68" s="44" t="s">
        <v>37</v>
      </c>
      <c r="C68" s="41" t="s">
        <v>79</v>
      </c>
      <c r="D68" s="115">
        <f>D60*0.5</f>
        <v>1.67</v>
      </c>
      <c r="E68" s="57">
        <f>E45</f>
        <v>25000</v>
      </c>
      <c r="F68" s="41" t="str">
        <f>C68</f>
        <v>No</v>
      </c>
      <c r="G68" s="55">
        <f>E68*D68</f>
        <v>41750</v>
      </c>
      <c r="H68" s="294"/>
    </row>
    <row r="69" spans="1:9" ht="19.5" customHeight="1">
      <c r="A69" s="41"/>
      <c r="B69" s="44" t="s">
        <v>15</v>
      </c>
      <c r="C69" s="41" t="s">
        <v>79</v>
      </c>
      <c r="D69" s="115">
        <f>D60*9</f>
        <v>30.06</v>
      </c>
      <c r="E69" s="57">
        <f>E9</f>
        <v>18000</v>
      </c>
      <c r="F69" s="41" t="str">
        <f>C69</f>
        <v>No</v>
      </c>
      <c r="G69" s="69">
        <f>E69*D69</f>
        <v>541080</v>
      </c>
      <c r="H69" s="294"/>
    </row>
    <row r="70" spans="1:9" ht="19.5" customHeight="1">
      <c r="A70" s="41"/>
      <c r="B70" s="41"/>
      <c r="C70" s="41"/>
      <c r="D70" s="115"/>
      <c r="E70" s="57"/>
      <c r="F70" s="41"/>
      <c r="G70" s="58">
        <f>SUM(G62:G69)</f>
        <v>2969730</v>
      </c>
      <c r="H70" s="294"/>
    </row>
    <row r="71" spans="1:9" ht="19.5" customHeight="1">
      <c r="A71" s="41"/>
      <c r="B71" s="41"/>
      <c r="C71" s="41"/>
      <c r="D71" s="115"/>
      <c r="E71" s="57"/>
      <c r="F71" s="41"/>
      <c r="G71" s="55"/>
      <c r="H71" s="294"/>
    </row>
    <row r="72" spans="1:9" ht="19.5" customHeight="1">
      <c r="A72" s="41"/>
      <c r="B72" s="46" t="s">
        <v>0</v>
      </c>
      <c r="C72" s="41" t="s">
        <v>91</v>
      </c>
      <c r="D72" s="115">
        <f>Detail!I139</f>
        <v>3.22</v>
      </c>
      <c r="E72" s="57"/>
      <c r="F72" s="41"/>
      <c r="G72" s="55"/>
      <c r="H72" s="294"/>
    </row>
    <row r="73" spans="1:9" ht="19.5" customHeight="1">
      <c r="A73" s="41"/>
      <c r="B73" s="41" t="s">
        <v>12</v>
      </c>
      <c r="C73" s="41"/>
      <c r="D73" s="115"/>
      <c r="E73" s="57"/>
      <c r="F73" s="41"/>
      <c r="G73" s="55"/>
      <c r="H73" s="294"/>
      <c r="I73" s="37">
        <f>D72*100/32*1.15/2</f>
        <v>5.7859375000000002</v>
      </c>
    </row>
    <row r="74" spans="1:9" ht="19.5" customHeight="1">
      <c r="A74" s="41"/>
      <c r="B74" s="44" t="s">
        <v>66</v>
      </c>
      <c r="C74" s="41" t="s">
        <v>93</v>
      </c>
      <c r="D74" s="115">
        <f>D72*15/50/3</f>
        <v>0.32</v>
      </c>
      <c r="E74" s="57">
        <f>E14</f>
        <v>1200000</v>
      </c>
      <c r="F74" s="41" t="str">
        <f>C74</f>
        <v>Ton</v>
      </c>
      <c r="G74" s="55">
        <f>E74*D74</f>
        <v>384000</v>
      </c>
      <c r="H74" s="294"/>
    </row>
    <row r="75" spans="1:9" ht="19.5" customHeight="1">
      <c r="A75" s="41"/>
      <c r="B75" s="44" t="s">
        <v>38</v>
      </c>
      <c r="C75" s="41" t="s">
        <v>92</v>
      </c>
      <c r="D75" s="115">
        <f>D72/0.32/3*1.15</f>
        <v>3.86</v>
      </c>
      <c r="E75" s="57">
        <f>'BQ '!E16</f>
        <v>60000</v>
      </c>
      <c r="F75" s="41" t="str">
        <f>C75</f>
        <v>Sht</v>
      </c>
      <c r="G75" s="55">
        <f>E75*D75</f>
        <v>231600</v>
      </c>
      <c r="H75" s="294"/>
      <c r="I75" s="62">
        <f>D72*100/32*1.15/3</f>
        <v>3.86</v>
      </c>
    </row>
    <row r="76" spans="1:9" ht="19.5" customHeight="1">
      <c r="A76" s="41"/>
      <c r="B76" s="44" t="s">
        <v>39</v>
      </c>
      <c r="C76" s="41" t="s">
        <v>135</v>
      </c>
      <c r="D76" s="115">
        <f>D72*3/3.6</f>
        <v>2.68</v>
      </c>
      <c r="E76" s="57">
        <f>E15</f>
        <v>10000</v>
      </c>
      <c r="F76" s="41" t="str">
        <f>C76</f>
        <v>Viss</v>
      </c>
      <c r="G76" s="55">
        <f>E76*D76</f>
        <v>26800</v>
      </c>
      <c r="H76" s="294"/>
    </row>
    <row r="77" spans="1:9" ht="19.5" customHeight="1">
      <c r="A77" s="41"/>
      <c r="B77" s="41" t="s">
        <v>8</v>
      </c>
      <c r="C77" s="41"/>
      <c r="D77" s="115"/>
      <c r="E77" s="57"/>
      <c r="F77" s="41"/>
      <c r="G77" s="55"/>
      <c r="H77" s="294"/>
    </row>
    <row r="78" spans="1:9" ht="19.5" customHeight="1">
      <c r="A78" s="41"/>
      <c r="B78" s="44" t="s">
        <v>16</v>
      </c>
      <c r="C78" s="41" t="s">
        <v>79</v>
      </c>
      <c r="D78" s="115">
        <f>D72*4</f>
        <v>12.88</v>
      </c>
      <c r="E78" s="57">
        <f>E18</f>
        <v>25000</v>
      </c>
      <c r="F78" s="41" t="str">
        <f>C78</f>
        <v>No</v>
      </c>
      <c r="G78" s="55">
        <f>E78*D78</f>
        <v>322000</v>
      </c>
      <c r="H78" s="294"/>
    </row>
    <row r="79" spans="1:9" ht="19.5" customHeight="1">
      <c r="A79" s="41"/>
      <c r="B79" s="44" t="s">
        <v>15</v>
      </c>
      <c r="C79" s="41" t="s">
        <v>79</v>
      </c>
      <c r="D79" s="115">
        <f>D72*2</f>
        <v>6.44</v>
      </c>
      <c r="E79" s="57">
        <f>E9</f>
        <v>18000</v>
      </c>
      <c r="F79" s="41" t="str">
        <f>C79</f>
        <v>No</v>
      </c>
      <c r="G79" s="69">
        <f>E79*D79</f>
        <v>115920</v>
      </c>
      <c r="H79" s="294"/>
    </row>
    <row r="80" spans="1:9" ht="19.5" customHeight="1">
      <c r="A80" s="41"/>
      <c r="B80" s="41"/>
      <c r="C80" s="41"/>
      <c r="D80" s="115"/>
      <c r="E80" s="57"/>
      <c r="F80" s="41"/>
      <c r="G80" s="58">
        <f>SUM(G74:G79)</f>
        <v>1080320</v>
      </c>
      <c r="H80" s="294"/>
    </row>
    <row r="81" spans="1:8" ht="19.5" customHeight="1">
      <c r="A81" s="41"/>
      <c r="B81" s="41"/>
      <c r="C81" s="41"/>
      <c r="D81" s="115"/>
      <c r="E81" s="57"/>
      <c r="F81" s="41"/>
      <c r="G81" s="55"/>
      <c r="H81" s="294"/>
    </row>
    <row r="82" spans="1:8" ht="19.5" customHeight="1">
      <c r="A82" s="41"/>
      <c r="B82" s="46" t="s">
        <v>41</v>
      </c>
      <c r="C82" s="41" t="s">
        <v>93</v>
      </c>
      <c r="D82" s="115">
        <f>D83</f>
        <v>0.86</v>
      </c>
      <c r="E82" s="57"/>
      <c r="F82" s="41"/>
      <c r="G82" s="55"/>
      <c r="H82" s="294"/>
    </row>
    <row r="83" spans="1:8" ht="19.5" customHeight="1">
      <c r="A83" s="41"/>
      <c r="B83" s="44" t="s">
        <v>341</v>
      </c>
      <c r="C83" s="41" t="s">
        <v>93</v>
      </c>
      <c r="D83" s="115">
        <f>Detail!H150</f>
        <v>0.86</v>
      </c>
      <c r="E83" s="57"/>
      <c r="F83" s="41"/>
      <c r="G83" s="55"/>
      <c r="H83" s="294"/>
    </row>
    <row r="84" spans="1:8" ht="19.5" customHeight="1">
      <c r="A84" s="41"/>
      <c r="B84" s="41" t="s">
        <v>12</v>
      </c>
      <c r="C84" s="41"/>
      <c r="D84" s="115"/>
      <c r="E84" s="57"/>
      <c r="F84" s="41"/>
      <c r="G84" s="55"/>
      <c r="H84" s="294"/>
    </row>
    <row r="85" spans="1:8" ht="19.5" customHeight="1">
      <c r="A85" s="41"/>
      <c r="B85" s="44" t="s">
        <v>68</v>
      </c>
      <c r="C85" s="41" t="s">
        <v>93</v>
      </c>
      <c r="D85" s="115">
        <f>D83*1.05</f>
        <v>0.9</v>
      </c>
      <c r="E85" s="57">
        <f>'BQ '!E24</f>
        <v>2200000</v>
      </c>
      <c r="F85" s="41" t="str">
        <f>C85</f>
        <v>Ton</v>
      </c>
      <c r="G85" s="55">
        <f>E85*D85</f>
        <v>1980000</v>
      </c>
      <c r="H85" s="294"/>
    </row>
    <row r="86" spans="1:8" ht="19.5" customHeight="1">
      <c r="A86" s="60"/>
      <c r="B86" s="61" t="s">
        <v>24</v>
      </c>
      <c r="C86" s="60" t="s">
        <v>136</v>
      </c>
      <c r="D86" s="116">
        <f>D82*20*1/3.6</f>
        <v>4.78</v>
      </c>
      <c r="E86" s="117">
        <f>'BQ '!E26</f>
        <v>12000</v>
      </c>
      <c r="F86" s="60" t="str">
        <f>C86</f>
        <v>viss</v>
      </c>
      <c r="G86" s="71">
        <f>E86*D86</f>
        <v>57360</v>
      </c>
      <c r="H86" s="294"/>
    </row>
    <row r="87" spans="1:8" ht="19" customHeight="1">
      <c r="A87" s="51"/>
      <c r="B87" s="51" t="s">
        <v>8</v>
      </c>
      <c r="C87" s="51"/>
      <c r="D87" s="118"/>
      <c r="E87" s="53"/>
      <c r="F87" s="51"/>
      <c r="G87" s="54"/>
      <c r="H87" s="294"/>
    </row>
    <row r="88" spans="1:8" ht="19" customHeight="1">
      <c r="A88" s="41"/>
      <c r="B88" s="44" t="s">
        <v>18</v>
      </c>
      <c r="C88" s="41" t="s">
        <v>79</v>
      </c>
      <c r="D88" s="115">
        <f>D83*20*0.75</f>
        <v>12.9</v>
      </c>
      <c r="E88" s="57">
        <f>'BQ '!E47</f>
        <v>25000</v>
      </c>
      <c r="F88" s="41" t="str">
        <f>C88</f>
        <v>No</v>
      </c>
      <c r="G88" s="55">
        <f>E88*D88</f>
        <v>322500</v>
      </c>
      <c r="H88" s="294"/>
    </row>
    <row r="89" spans="1:8" ht="19" customHeight="1">
      <c r="A89" s="41"/>
      <c r="B89" s="44" t="s">
        <v>15</v>
      </c>
      <c r="C89" s="41" t="s">
        <v>79</v>
      </c>
      <c r="D89" s="115">
        <f>D88</f>
        <v>12.9</v>
      </c>
      <c r="E89" s="57">
        <f>E9</f>
        <v>18000</v>
      </c>
      <c r="F89" s="41" t="str">
        <f>C89</f>
        <v>No</v>
      </c>
      <c r="G89" s="69">
        <f>E89*D89</f>
        <v>232200</v>
      </c>
      <c r="H89" s="294"/>
    </row>
    <row r="90" spans="1:8" ht="19" customHeight="1">
      <c r="A90" s="41"/>
      <c r="B90" s="41"/>
      <c r="C90" s="41"/>
      <c r="D90" s="115"/>
      <c r="E90" s="57"/>
      <c r="F90" s="41"/>
      <c r="G90" s="58">
        <f>SUM(G85:G89)</f>
        <v>2592060</v>
      </c>
      <c r="H90" s="294"/>
    </row>
    <row r="91" spans="1:8" ht="19" customHeight="1">
      <c r="A91" s="41"/>
      <c r="B91" s="41"/>
      <c r="C91" s="41"/>
      <c r="D91" s="115"/>
      <c r="E91" s="57"/>
      <c r="F91" s="41"/>
      <c r="G91" s="55"/>
      <c r="H91" s="294"/>
    </row>
    <row r="92" spans="1:8" ht="19" customHeight="1">
      <c r="A92" s="41">
        <f>Detail!A152</f>
        <v>8</v>
      </c>
      <c r="B92" s="46" t="s">
        <v>56</v>
      </c>
      <c r="C92" s="41"/>
      <c r="D92" s="115"/>
      <c r="E92" s="57"/>
      <c r="F92" s="41"/>
      <c r="G92" s="55"/>
      <c r="H92" s="294"/>
    </row>
    <row r="93" spans="1:8" ht="19" customHeight="1">
      <c r="A93" s="41"/>
      <c r="B93" s="46" t="s">
        <v>54</v>
      </c>
      <c r="C93" s="41" t="s">
        <v>86</v>
      </c>
      <c r="D93" s="115">
        <f>Detail!H167</f>
        <v>3.82</v>
      </c>
      <c r="E93" s="57"/>
      <c r="F93" s="41"/>
      <c r="G93" s="55"/>
      <c r="H93" s="294"/>
    </row>
    <row r="94" spans="1:8" ht="19" customHeight="1">
      <c r="A94" s="41"/>
      <c r="B94" s="41" t="s">
        <v>12</v>
      </c>
      <c r="C94" s="41"/>
      <c r="D94" s="115"/>
      <c r="E94" s="57"/>
      <c r="F94" s="41"/>
      <c r="G94" s="55"/>
      <c r="H94" s="294"/>
    </row>
    <row r="95" spans="1:8" ht="19" customHeight="1">
      <c r="A95" s="41"/>
      <c r="B95" s="44" t="s">
        <v>87</v>
      </c>
      <c r="C95" s="41" t="s">
        <v>88</v>
      </c>
      <c r="D95" s="115">
        <f>D93*2070/112</f>
        <v>70.599999999999994</v>
      </c>
      <c r="E95" s="57">
        <f>E39</f>
        <v>22000</v>
      </c>
      <c r="F95" s="41" t="str">
        <f>C95</f>
        <v>Bag</v>
      </c>
      <c r="G95" s="55">
        <f>E95*D95</f>
        <v>1553200</v>
      </c>
      <c r="H95" s="294"/>
    </row>
    <row r="96" spans="1:8" ht="19" customHeight="1">
      <c r="A96" s="41"/>
      <c r="B96" s="44" t="s">
        <v>23</v>
      </c>
      <c r="C96" s="41" t="s">
        <v>89</v>
      </c>
      <c r="D96" s="115">
        <f>D93*0.46</f>
        <v>1.76</v>
      </c>
      <c r="E96" s="57">
        <f>'BQ '!E8</f>
        <v>56000</v>
      </c>
      <c r="F96" s="41" t="str">
        <f>C96</f>
        <v>Sud</v>
      </c>
      <c r="G96" s="55">
        <f>E96*D96</f>
        <v>98560</v>
      </c>
      <c r="H96" s="294"/>
    </row>
    <row r="97" spans="1:9" ht="19" customHeight="1">
      <c r="A97" s="41"/>
      <c r="B97" s="44" t="s">
        <v>35</v>
      </c>
      <c r="C97" s="41" t="s">
        <v>89</v>
      </c>
      <c r="D97" s="115">
        <f>D93*0.92</f>
        <v>3.51</v>
      </c>
      <c r="E97" s="57">
        <f>E41</f>
        <v>220000</v>
      </c>
      <c r="F97" s="41" t="str">
        <f>C97</f>
        <v>Sud</v>
      </c>
      <c r="G97" s="55">
        <f>E97*D97</f>
        <v>772200</v>
      </c>
      <c r="H97" s="294"/>
    </row>
    <row r="98" spans="1:9" ht="19" customHeight="1">
      <c r="A98" s="41"/>
      <c r="B98" s="44" t="s">
        <v>36</v>
      </c>
      <c r="C98" s="41" t="s">
        <v>20</v>
      </c>
      <c r="D98" s="115">
        <f>D93*2</f>
        <v>7.64</v>
      </c>
      <c r="E98" s="57">
        <f>E42</f>
        <v>15000</v>
      </c>
      <c r="F98" s="41" t="str">
        <f>C98</f>
        <v>Gal</v>
      </c>
      <c r="G98" s="55">
        <f>E98*D98</f>
        <v>114600</v>
      </c>
      <c r="H98" s="294"/>
    </row>
    <row r="99" spans="1:9" ht="19" customHeight="1">
      <c r="A99" s="41"/>
      <c r="B99" s="44" t="s">
        <v>394</v>
      </c>
      <c r="C99" s="41" t="s">
        <v>391</v>
      </c>
      <c r="D99" s="115">
        <v>2</v>
      </c>
      <c r="E99" s="57"/>
      <c r="F99" s="41" t="str">
        <f>C99</f>
        <v>Lit</v>
      </c>
      <c r="G99" s="55">
        <f>E99*D99</f>
        <v>0</v>
      </c>
      <c r="H99" s="294"/>
    </row>
    <row r="100" spans="1:9" ht="19" customHeight="1">
      <c r="A100" s="41"/>
      <c r="B100" s="41" t="s">
        <v>8</v>
      </c>
      <c r="C100" s="41"/>
      <c r="D100" s="115"/>
      <c r="E100" s="57"/>
      <c r="F100" s="41"/>
      <c r="G100" s="55"/>
      <c r="H100" s="294"/>
    </row>
    <row r="101" spans="1:9" ht="19" customHeight="1">
      <c r="A101" s="41"/>
      <c r="B101" s="44" t="s">
        <v>17</v>
      </c>
      <c r="C101" s="41" t="s">
        <v>79</v>
      </c>
      <c r="D101" s="115">
        <f>D93*2</f>
        <v>7.64</v>
      </c>
      <c r="E101" s="57">
        <f>'BQ '!E46</f>
        <v>25000</v>
      </c>
      <c r="F101" s="41" t="str">
        <f>C101</f>
        <v>No</v>
      </c>
      <c r="G101" s="55">
        <f>E101*D101</f>
        <v>191000</v>
      </c>
      <c r="H101" s="294"/>
    </row>
    <row r="102" spans="1:9" ht="19" customHeight="1">
      <c r="A102" s="41"/>
      <c r="B102" s="44" t="s">
        <v>37</v>
      </c>
      <c r="C102" s="41" t="s">
        <v>79</v>
      </c>
      <c r="D102" s="115">
        <f>D93*0.5</f>
        <v>1.91</v>
      </c>
      <c r="E102" s="57">
        <f>E45</f>
        <v>25000</v>
      </c>
      <c r="F102" s="41" t="str">
        <f>C102</f>
        <v>No</v>
      </c>
      <c r="G102" s="55">
        <f>E102*D102</f>
        <v>47750</v>
      </c>
      <c r="H102" s="294"/>
    </row>
    <row r="103" spans="1:9" ht="19" customHeight="1">
      <c r="A103" s="41"/>
      <c r="B103" s="44" t="s">
        <v>15</v>
      </c>
      <c r="C103" s="41" t="s">
        <v>79</v>
      </c>
      <c r="D103" s="115">
        <f>D93*12</f>
        <v>45.84</v>
      </c>
      <c r="E103" s="57">
        <f>E9</f>
        <v>18000</v>
      </c>
      <c r="F103" s="41" t="str">
        <f>C103</f>
        <v>No</v>
      </c>
      <c r="G103" s="69">
        <f>E103*D103</f>
        <v>825120</v>
      </c>
      <c r="H103" s="294"/>
    </row>
    <row r="104" spans="1:9" ht="19" customHeight="1">
      <c r="A104" s="41"/>
      <c r="B104" s="41"/>
      <c r="C104" s="41"/>
      <c r="D104" s="115"/>
      <c r="E104" s="57"/>
      <c r="F104" s="41"/>
      <c r="G104" s="58">
        <f>SUM(G95:G103)</f>
        <v>3602430</v>
      </c>
      <c r="H104" s="294"/>
    </row>
    <row r="105" spans="1:9" ht="19" customHeight="1">
      <c r="A105" s="41"/>
      <c r="B105" s="41"/>
      <c r="C105" s="41"/>
      <c r="D105" s="115"/>
      <c r="E105" s="57"/>
      <c r="F105" s="41"/>
      <c r="G105" s="55"/>
      <c r="H105" s="294"/>
    </row>
    <row r="106" spans="1:9" ht="19" customHeight="1">
      <c r="A106" s="41"/>
      <c r="B106" s="46" t="s">
        <v>0</v>
      </c>
      <c r="C106" s="41" t="s">
        <v>91</v>
      </c>
      <c r="D106" s="115">
        <f>Detail!H182</f>
        <v>18.39</v>
      </c>
      <c r="E106" s="57"/>
      <c r="F106" s="41"/>
      <c r="G106" s="55"/>
      <c r="H106" s="294"/>
    </row>
    <row r="107" spans="1:9" ht="19" customHeight="1">
      <c r="A107" s="41"/>
      <c r="B107" s="41" t="s">
        <v>12</v>
      </c>
      <c r="C107" s="41"/>
      <c r="D107" s="115"/>
      <c r="E107" s="57"/>
      <c r="F107" s="41"/>
      <c r="G107" s="55"/>
      <c r="H107" s="294"/>
    </row>
    <row r="108" spans="1:9" ht="19" customHeight="1">
      <c r="A108" s="41"/>
      <c r="B108" s="44" t="s">
        <v>66</v>
      </c>
      <c r="C108" s="41" t="s">
        <v>93</v>
      </c>
      <c r="D108" s="115">
        <f>D106*15/50/3</f>
        <v>1.84</v>
      </c>
      <c r="E108" s="57">
        <f>E14</f>
        <v>1200000</v>
      </c>
      <c r="F108" s="41" t="str">
        <f>C108</f>
        <v>Ton</v>
      </c>
      <c r="G108" s="55">
        <f>E108*D108</f>
        <v>2208000</v>
      </c>
      <c r="H108" s="294"/>
    </row>
    <row r="109" spans="1:9" ht="19" customHeight="1">
      <c r="A109" s="41"/>
      <c r="B109" s="44" t="s">
        <v>38</v>
      </c>
      <c r="C109" s="41" t="s">
        <v>92</v>
      </c>
      <c r="D109" s="115">
        <f>D106/0.32/3*1.15</f>
        <v>22.03</v>
      </c>
      <c r="E109" s="57">
        <f>E75</f>
        <v>60000</v>
      </c>
      <c r="F109" s="41" t="str">
        <f>C109</f>
        <v>Sht</v>
      </c>
      <c r="G109" s="55">
        <f>E109*D109</f>
        <v>1321800</v>
      </c>
      <c r="H109" s="294"/>
      <c r="I109" s="37">
        <f>D106*100/32/2*1.15</f>
        <v>33.044531249999999</v>
      </c>
    </row>
    <row r="110" spans="1:9" ht="19" customHeight="1">
      <c r="A110" s="41"/>
      <c r="B110" s="44" t="s">
        <v>39</v>
      </c>
      <c r="C110" s="41" t="s">
        <v>135</v>
      </c>
      <c r="D110" s="115">
        <f>D106*3/3.6</f>
        <v>15.33</v>
      </c>
      <c r="E110" s="57">
        <f>E15</f>
        <v>10000</v>
      </c>
      <c r="F110" s="41" t="str">
        <f>C110</f>
        <v>Viss</v>
      </c>
      <c r="G110" s="55">
        <f>E110*D110</f>
        <v>153300</v>
      </c>
      <c r="H110" s="294"/>
    </row>
    <row r="111" spans="1:9" ht="19" customHeight="1">
      <c r="A111" s="41"/>
      <c r="B111" s="41" t="s">
        <v>8</v>
      </c>
      <c r="C111" s="41"/>
      <c r="D111" s="115"/>
      <c r="E111" s="57"/>
      <c r="F111" s="41"/>
      <c r="G111" s="55"/>
      <c r="H111" s="294"/>
    </row>
    <row r="112" spans="1:9" ht="19" customHeight="1">
      <c r="A112" s="41"/>
      <c r="B112" s="44" t="s">
        <v>16</v>
      </c>
      <c r="C112" s="41" t="s">
        <v>79</v>
      </c>
      <c r="D112" s="115">
        <f>D106*4</f>
        <v>73.56</v>
      </c>
      <c r="E112" s="57">
        <f>E18</f>
        <v>25000</v>
      </c>
      <c r="F112" s="41" t="str">
        <f>C112</f>
        <v>No</v>
      </c>
      <c r="G112" s="55">
        <f>E112*D112</f>
        <v>1839000</v>
      </c>
      <c r="H112" s="294"/>
    </row>
    <row r="113" spans="1:12" ht="19" customHeight="1">
      <c r="A113" s="41"/>
      <c r="B113" s="44" t="s">
        <v>15</v>
      </c>
      <c r="C113" s="41" t="s">
        <v>79</v>
      </c>
      <c r="D113" s="115">
        <f>D106*2</f>
        <v>36.78</v>
      </c>
      <c r="E113" s="57">
        <f>E9</f>
        <v>18000</v>
      </c>
      <c r="F113" s="41" t="str">
        <f>C113</f>
        <v>No</v>
      </c>
      <c r="G113" s="69">
        <f>E113*D113</f>
        <v>662040</v>
      </c>
      <c r="H113" s="294"/>
    </row>
    <row r="114" spans="1:12" ht="19" customHeight="1">
      <c r="A114" s="41"/>
      <c r="B114" s="41"/>
      <c r="C114" s="41"/>
      <c r="D114" s="115"/>
      <c r="E114" s="57"/>
      <c r="F114" s="41"/>
      <c r="G114" s="58">
        <f>SUM(G108:G113)</f>
        <v>6184140</v>
      </c>
      <c r="H114" s="294"/>
    </row>
    <row r="115" spans="1:12" ht="19" customHeight="1">
      <c r="A115" s="41"/>
      <c r="B115" s="41"/>
      <c r="C115" s="41"/>
      <c r="D115" s="115"/>
      <c r="E115" s="57"/>
      <c r="F115" s="41"/>
      <c r="G115" s="55"/>
      <c r="H115" s="294"/>
    </row>
    <row r="116" spans="1:12" ht="19" customHeight="1">
      <c r="A116" s="41"/>
      <c r="B116" s="46" t="s">
        <v>41</v>
      </c>
      <c r="C116" s="41" t="s">
        <v>93</v>
      </c>
      <c r="D116" s="115">
        <f>D117+D118</f>
        <v>2.93</v>
      </c>
      <c r="E116" s="57"/>
      <c r="F116" s="41"/>
      <c r="G116" s="55"/>
      <c r="H116" s="294"/>
      <c r="I116" s="34"/>
      <c r="J116" s="34"/>
      <c r="K116" s="34"/>
      <c r="L116" s="34"/>
    </row>
    <row r="117" spans="1:12" ht="19" customHeight="1">
      <c r="A117" s="41"/>
      <c r="B117" s="44" t="s">
        <v>340</v>
      </c>
      <c r="C117" s="41" t="s">
        <v>93</v>
      </c>
      <c r="D117" s="115">
        <f>Detail!G226</f>
        <v>0.98</v>
      </c>
      <c r="E117" s="57"/>
      <c r="F117" s="41"/>
      <c r="G117" s="55"/>
      <c r="H117" s="294"/>
    </row>
    <row r="118" spans="1:12" ht="19" customHeight="1">
      <c r="A118" s="41"/>
      <c r="B118" s="44" t="s">
        <v>341</v>
      </c>
      <c r="C118" s="41" t="s">
        <v>93</v>
      </c>
      <c r="D118" s="115">
        <f>Detail!H226</f>
        <v>1.95</v>
      </c>
      <c r="E118" s="57"/>
      <c r="F118" s="41"/>
      <c r="G118" s="55"/>
      <c r="H118" s="294"/>
    </row>
    <row r="119" spans="1:12" ht="19.5" customHeight="1">
      <c r="A119" s="51"/>
      <c r="B119" s="51" t="s">
        <v>12</v>
      </c>
      <c r="C119" s="51"/>
      <c r="D119" s="118"/>
      <c r="E119" s="53"/>
      <c r="F119" s="51"/>
      <c r="G119" s="54"/>
      <c r="H119" s="294"/>
    </row>
    <row r="120" spans="1:12" ht="19.5" customHeight="1">
      <c r="A120" s="41"/>
      <c r="B120" s="44" t="s">
        <v>40</v>
      </c>
      <c r="C120" s="41" t="s">
        <v>93</v>
      </c>
      <c r="D120" s="115">
        <f>D117*1.05</f>
        <v>1.03</v>
      </c>
      <c r="E120" s="57">
        <f>'BQ '!E23</f>
        <v>2500000</v>
      </c>
      <c r="F120" s="41" t="str">
        <f>C120</f>
        <v>Ton</v>
      </c>
      <c r="G120" s="55">
        <f>E120*D120</f>
        <v>2575000</v>
      </c>
      <c r="H120" s="294"/>
    </row>
    <row r="121" spans="1:12" ht="19.5" customHeight="1">
      <c r="A121" s="41"/>
      <c r="B121" s="44" t="s">
        <v>68</v>
      </c>
      <c r="C121" s="41" t="s">
        <v>93</v>
      </c>
      <c r="D121" s="115">
        <f>D118*1.05</f>
        <v>2.0499999999999998</v>
      </c>
      <c r="E121" s="57">
        <f>E85</f>
        <v>2200000</v>
      </c>
      <c r="F121" s="41" t="str">
        <f>C121</f>
        <v>Ton</v>
      </c>
      <c r="G121" s="55">
        <f>E121*D121</f>
        <v>4510000</v>
      </c>
      <c r="H121" s="294"/>
    </row>
    <row r="122" spans="1:12" ht="19.5" customHeight="1">
      <c r="A122" s="41"/>
      <c r="B122" s="44" t="s">
        <v>24</v>
      </c>
      <c r="C122" s="41" t="s">
        <v>136</v>
      </c>
      <c r="D122" s="115">
        <f>D116*20*1/3.6</f>
        <v>16.28</v>
      </c>
      <c r="E122" s="57">
        <f>E86</f>
        <v>12000</v>
      </c>
      <c r="F122" s="41" t="str">
        <f>C122</f>
        <v>viss</v>
      </c>
      <c r="G122" s="55">
        <f>E122*D122</f>
        <v>195360</v>
      </c>
      <c r="H122" s="294"/>
    </row>
    <row r="123" spans="1:12" ht="19.5" customHeight="1">
      <c r="A123" s="41"/>
      <c r="B123" s="41" t="s">
        <v>8</v>
      </c>
      <c r="C123" s="41"/>
      <c r="D123" s="115"/>
      <c r="E123" s="57"/>
      <c r="F123" s="41"/>
      <c r="G123" s="55"/>
      <c r="H123" s="294"/>
    </row>
    <row r="124" spans="1:12" ht="19.5" customHeight="1">
      <c r="A124" s="41"/>
      <c r="B124" s="44" t="s">
        <v>18</v>
      </c>
      <c r="C124" s="41" t="s">
        <v>79</v>
      </c>
      <c r="D124" s="115">
        <f>D117*20*1.5+(D118)*20*1</f>
        <v>68.400000000000006</v>
      </c>
      <c r="E124" s="57">
        <f>E88</f>
        <v>25000</v>
      </c>
      <c r="F124" s="41" t="str">
        <f>C124</f>
        <v>No</v>
      </c>
      <c r="G124" s="55">
        <f>E124*D124</f>
        <v>1710000</v>
      </c>
      <c r="H124" s="294"/>
    </row>
    <row r="125" spans="1:12" ht="19.5" customHeight="1">
      <c r="A125" s="41"/>
      <c r="B125" s="44" t="s">
        <v>15</v>
      </c>
      <c r="C125" s="41" t="s">
        <v>79</v>
      </c>
      <c r="D125" s="115">
        <f>D124</f>
        <v>68.400000000000006</v>
      </c>
      <c r="E125" s="57">
        <f>E9</f>
        <v>18000</v>
      </c>
      <c r="F125" s="41" t="str">
        <f>C125</f>
        <v>No</v>
      </c>
      <c r="G125" s="69">
        <f>E125*D125</f>
        <v>1231200</v>
      </c>
      <c r="H125" s="294"/>
    </row>
    <row r="126" spans="1:12" ht="19.5" customHeight="1">
      <c r="A126" s="41"/>
      <c r="B126" s="41"/>
      <c r="C126" s="41"/>
      <c r="D126" s="115"/>
      <c r="E126" s="57"/>
      <c r="F126" s="41"/>
      <c r="G126" s="58">
        <f>SUM(G120:G125)</f>
        <v>10221560</v>
      </c>
      <c r="H126" s="294"/>
    </row>
    <row r="127" spans="1:12" ht="19.5" customHeight="1">
      <c r="A127" s="41">
        <f>Detail!A228</f>
        <v>9</v>
      </c>
      <c r="B127" s="46" t="s">
        <v>329</v>
      </c>
      <c r="C127" s="41"/>
      <c r="D127" s="115"/>
      <c r="E127" s="57"/>
      <c r="F127" s="41"/>
      <c r="G127" s="55"/>
      <c r="H127" s="294"/>
    </row>
    <row r="128" spans="1:12" ht="19.5" customHeight="1">
      <c r="A128" s="41"/>
      <c r="B128" s="46" t="s">
        <v>51</v>
      </c>
      <c r="C128" s="41" t="s">
        <v>86</v>
      </c>
      <c r="D128" s="115">
        <f>Detail!H266</f>
        <v>7.74</v>
      </c>
      <c r="E128" s="57"/>
      <c r="F128" s="41"/>
      <c r="G128" s="55"/>
      <c r="H128" s="294"/>
    </row>
    <row r="129" spans="1:9" ht="19.5" customHeight="1">
      <c r="A129" s="41"/>
      <c r="B129" s="46" t="s">
        <v>106</v>
      </c>
      <c r="C129" s="41" t="s">
        <v>393</v>
      </c>
      <c r="D129" s="115">
        <f>Detail!I263/35.32</f>
        <v>11.98</v>
      </c>
      <c r="E129" s="57"/>
      <c r="F129" s="41"/>
      <c r="G129" s="55"/>
      <c r="H129" s="294"/>
    </row>
    <row r="130" spans="1:9" ht="19.5" customHeight="1">
      <c r="A130" s="41"/>
      <c r="B130" s="41" t="s">
        <v>12</v>
      </c>
      <c r="C130" s="41"/>
      <c r="D130" s="115"/>
      <c r="E130" s="57"/>
      <c r="F130" s="41"/>
      <c r="G130" s="55"/>
      <c r="H130" s="294"/>
      <c r="I130" s="37">
        <f>17.5*112</f>
        <v>1960</v>
      </c>
    </row>
    <row r="131" spans="1:9" ht="19.5" customHeight="1">
      <c r="A131" s="41"/>
      <c r="B131" s="44" t="s">
        <v>87</v>
      </c>
      <c r="C131" s="41" t="s">
        <v>88</v>
      </c>
      <c r="D131" s="115">
        <f>D128*2070/112</f>
        <v>143.05000000000001</v>
      </c>
      <c r="E131" s="57">
        <f>E39</f>
        <v>22000</v>
      </c>
      <c r="F131" s="41" t="str">
        <f>C131</f>
        <v>Bag</v>
      </c>
      <c r="G131" s="55">
        <f>E131*D131</f>
        <v>3147100</v>
      </c>
      <c r="H131" s="294"/>
      <c r="I131" s="37">
        <f>2070/112</f>
        <v>18.4821428571429</v>
      </c>
    </row>
    <row r="132" spans="1:9" ht="19.5" customHeight="1">
      <c r="A132" s="41"/>
      <c r="B132" s="44" t="s">
        <v>23</v>
      </c>
      <c r="C132" s="41" t="s">
        <v>89</v>
      </c>
      <c r="D132" s="115">
        <f>D128*0.46</f>
        <v>3.56</v>
      </c>
      <c r="E132" s="57">
        <f>'BQ '!E8</f>
        <v>56000</v>
      </c>
      <c r="F132" s="41" t="str">
        <f>C132</f>
        <v>Sud</v>
      </c>
      <c r="G132" s="55">
        <f>E132*D132</f>
        <v>199360</v>
      </c>
      <c r="H132" s="294"/>
      <c r="I132" s="37">
        <f>2000/112</f>
        <v>17.8571428571429</v>
      </c>
    </row>
    <row r="133" spans="1:9" ht="19.5" customHeight="1">
      <c r="A133" s="41"/>
      <c r="B133" s="44" t="s">
        <v>35</v>
      </c>
      <c r="C133" s="41" t="s">
        <v>89</v>
      </c>
      <c r="D133" s="115">
        <f>D128*0.92</f>
        <v>7.12</v>
      </c>
      <c r="E133" s="57">
        <f>E41</f>
        <v>220000</v>
      </c>
      <c r="F133" s="41" t="str">
        <f>C133</f>
        <v>Sud</v>
      </c>
      <c r="G133" s="55">
        <f>E133*D133</f>
        <v>1566400</v>
      </c>
      <c r="H133" s="294"/>
    </row>
    <row r="134" spans="1:9" ht="19.5" customHeight="1">
      <c r="A134" s="41"/>
      <c r="B134" s="44" t="s">
        <v>36</v>
      </c>
      <c r="C134" s="41" t="s">
        <v>20</v>
      </c>
      <c r="D134" s="115">
        <f>D128*2</f>
        <v>15.48</v>
      </c>
      <c r="E134" s="57">
        <f>E42</f>
        <v>15000</v>
      </c>
      <c r="F134" s="41" t="str">
        <f>C134</f>
        <v>Gal</v>
      </c>
      <c r="G134" s="55">
        <f>E134*D134</f>
        <v>232200</v>
      </c>
      <c r="H134" s="294"/>
    </row>
    <row r="135" spans="1:9" ht="19.5" customHeight="1">
      <c r="A135" s="41"/>
      <c r="B135" s="44" t="s">
        <v>392</v>
      </c>
      <c r="C135" s="41" t="s">
        <v>391</v>
      </c>
      <c r="D135" s="115">
        <f>ROUND(D129*0.5,0)</f>
        <v>6</v>
      </c>
      <c r="E135" s="57">
        <f>'BQ '!E15</f>
        <v>0</v>
      </c>
      <c r="F135" s="41" t="str">
        <f>C135</f>
        <v>Lit</v>
      </c>
      <c r="G135" s="55"/>
      <c r="H135" s="294"/>
    </row>
    <row r="136" spans="1:9" ht="19.5" customHeight="1">
      <c r="A136" s="41"/>
      <c r="B136" s="41" t="s">
        <v>8</v>
      </c>
      <c r="C136" s="41"/>
      <c r="D136" s="115"/>
      <c r="E136" s="57"/>
      <c r="F136" s="41"/>
      <c r="G136" s="55"/>
      <c r="H136" s="294"/>
    </row>
    <row r="137" spans="1:9" ht="19.5" customHeight="1">
      <c r="A137" s="41"/>
      <c r="B137" s="44" t="s">
        <v>17</v>
      </c>
      <c r="C137" s="41" t="s">
        <v>79</v>
      </c>
      <c r="D137" s="115">
        <f>D128*2</f>
        <v>15.48</v>
      </c>
      <c r="E137" s="57">
        <f>'BQ '!E46</f>
        <v>25000</v>
      </c>
      <c r="F137" s="41" t="str">
        <f>C137</f>
        <v>No</v>
      </c>
      <c r="G137" s="55">
        <f>E137*D137</f>
        <v>387000</v>
      </c>
      <c r="H137" s="294"/>
    </row>
    <row r="138" spans="1:9" ht="19.5" customHeight="1">
      <c r="A138" s="41"/>
      <c r="B138" s="44" t="s">
        <v>37</v>
      </c>
      <c r="C138" s="41" t="s">
        <v>79</v>
      </c>
      <c r="D138" s="115">
        <f>D128*0.5</f>
        <v>3.87</v>
      </c>
      <c r="E138" s="57">
        <f>E45</f>
        <v>25000</v>
      </c>
      <c r="F138" s="41" t="str">
        <f>C138</f>
        <v>No</v>
      </c>
      <c r="G138" s="55">
        <f>E138*D138</f>
        <v>96750</v>
      </c>
      <c r="H138" s="294"/>
    </row>
    <row r="139" spans="1:9" ht="19.5" customHeight="1">
      <c r="A139" s="41"/>
      <c r="B139" s="44" t="s">
        <v>15</v>
      </c>
      <c r="C139" s="41" t="s">
        <v>79</v>
      </c>
      <c r="D139" s="115">
        <f>D128*9</f>
        <v>69.66</v>
      </c>
      <c r="E139" s="57">
        <f>E9</f>
        <v>18000</v>
      </c>
      <c r="F139" s="41" t="str">
        <f>C139</f>
        <v>No</v>
      </c>
      <c r="G139" s="69">
        <f>E139*D139</f>
        <v>1253880</v>
      </c>
      <c r="H139" s="294"/>
    </row>
    <row r="140" spans="1:9" ht="19.5" customHeight="1">
      <c r="A140" s="41"/>
      <c r="B140" s="41"/>
      <c r="C140" s="41"/>
      <c r="D140" s="115"/>
      <c r="E140" s="57"/>
      <c r="F140" s="41"/>
      <c r="G140" s="58">
        <f>SUM(G131:G139)</f>
        <v>6882690</v>
      </c>
      <c r="H140" s="294"/>
    </row>
    <row r="141" spans="1:9" ht="19.5" customHeight="1">
      <c r="A141" s="41"/>
      <c r="B141" s="41"/>
      <c r="C141" s="41"/>
      <c r="D141" s="115"/>
      <c r="E141" s="57"/>
      <c r="F141" s="41"/>
      <c r="G141" s="55"/>
      <c r="H141" s="294"/>
    </row>
    <row r="142" spans="1:9" ht="19.5" customHeight="1">
      <c r="A142" s="41"/>
      <c r="B142" s="46" t="s">
        <v>0</v>
      </c>
      <c r="C142" s="41" t="s">
        <v>91</v>
      </c>
      <c r="D142" s="115">
        <f>Detail!H306</f>
        <v>23.73</v>
      </c>
      <c r="E142" s="57"/>
      <c r="F142" s="41"/>
      <c r="G142" s="55"/>
      <c r="H142" s="294"/>
      <c r="I142" s="37">
        <f>D142*100/32*1.15/2</f>
        <v>42.639843749999997</v>
      </c>
    </row>
    <row r="143" spans="1:9" ht="19.5" customHeight="1">
      <c r="A143" s="41"/>
      <c r="B143" s="41" t="s">
        <v>12</v>
      </c>
      <c r="C143" s="41"/>
      <c r="D143" s="115"/>
      <c r="E143" s="57"/>
      <c r="F143" s="41"/>
      <c r="G143" s="55"/>
      <c r="H143" s="294"/>
    </row>
    <row r="144" spans="1:9" ht="19.5" customHeight="1">
      <c r="A144" s="41"/>
      <c r="B144" s="44" t="s">
        <v>66</v>
      </c>
      <c r="C144" s="41" t="s">
        <v>93</v>
      </c>
      <c r="D144" s="115">
        <f>D142*15/50/3</f>
        <v>2.37</v>
      </c>
      <c r="E144" s="57">
        <f>E14</f>
        <v>1200000</v>
      </c>
      <c r="F144" s="41" t="str">
        <f>C144</f>
        <v>Ton</v>
      </c>
      <c r="G144" s="55">
        <f>E144*D144</f>
        <v>2844000</v>
      </c>
      <c r="H144" s="294"/>
      <c r="I144" s="37">
        <f>D142*20/50/2</f>
        <v>4.7460000000000004</v>
      </c>
    </row>
    <row r="145" spans="1:9" ht="19.5" customHeight="1">
      <c r="A145" s="41"/>
      <c r="B145" s="44" t="s">
        <v>38</v>
      </c>
      <c r="C145" s="41" t="s">
        <v>92</v>
      </c>
      <c r="D145" s="115">
        <f>D142/0.32/3*1.15</f>
        <v>28.43</v>
      </c>
      <c r="E145" s="57">
        <f>E75</f>
        <v>60000</v>
      </c>
      <c r="F145" s="41" t="str">
        <f>C145</f>
        <v>Sht</v>
      </c>
      <c r="G145" s="55">
        <f>E145*D145</f>
        <v>1705800</v>
      </c>
      <c r="H145" s="294"/>
    </row>
    <row r="146" spans="1:9" ht="19.5" customHeight="1">
      <c r="A146" s="41"/>
      <c r="B146" s="44" t="s">
        <v>39</v>
      </c>
      <c r="C146" s="41" t="s">
        <v>135</v>
      </c>
      <c r="D146" s="115">
        <f>D142*3/3.6</f>
        <v>19.78</v>
      </c>
      <c r="E146" s="57">
        <f>E15</f>
        <v>10000</v>
      </c>
      <c r="F146" s="41" t="str">
        <f>C146</f>
        <v>Viss</v>
      </c>
      <c r="G146" s="55">
        <f>E146*D146</f>
        <v>197800</v>
      </c>
      <c r="H146" s="294"/>
    </row>
    <row r="147" spans="1:9" ht="19.5" customHeight="1">
      <c r="A147" s="41"/>
      <c r="B147" s="44" t="s">
        <v>395</v>
      </c>
      <c r="C147" s="41" t="s">
        <v>397</v>
      </c>
      <c r="D147" s="115">
        <v>1</v>
      </c>
      <c r="E147" s="57"/>
      <c r="F147" s="41" t="str">
        <f>C147</f>
        <v>Box</v>
      </c>
      <c r="G147" s="55">
        <f>E147*D147</f>
        <v>0</v>
      </c>
      <c r="H147" s="294"/>
    </row>
    <row r="148" spans="1:9" ht="19.5" customHeight="1">
      <c r="A148" s="41"/>
      <c r="B148" s="44" t="s">
        <v>396</v>
      </c>
      <c r="C148" s="41" t="s">
        <v>397</v>
      </c>
      <c r="D148" s="115">
        <v>1</v>
      </c>
      <c r="E148" s="57"/>
      <c r="F148" s="41" t="str">
        <f>C148</f>
        <v>Box</v>
      </c>
      <c r="G148" s="55">
        <f>E148*D148</f>
        <v>0</v>
      </c>
      <c r="H148" s="294"/>
    </row>
    <row r="149" spans="1:9" ht="19.5" customHeight="1">
      <c r="A149" s="41"/>
      <c r="B149" s="41" t="s">
        <v>8</v>
      </c>
      <c r="C149" s="41"/>
      <c r="D149" s="115"/>
      <c r="E149" s="57"/>
      <c r="F149" s="41"/>
      <c r="G149" s="55"/>
      <c r="H149" s="294"/>
    </row>
    <row r="150" spans="1:9" ht="19.5" customHeight="1">
      <c r="A150" s="41"/>
      <c r="B150" s="44" t="s">
        <v>16</v>
      </c>
      <c r="C150" s="41" t="s">
        <v>79</v>
      </c>
      <c r="D150" s="115">
        <f>D142*4</f>
        <v>94.92</v>
      </c>
      <c r="E150" s="57">
        <f>E18</f>
        <v>25000</v>
      </c>
      <c r="F150" s="41" t="str">
        <f>C150</f>
        <v>No</v>
      </c>
      <c r="G150" s="55">
        <f>E150*D150</f>
        <v>2373000</v>
      </c>
      <c r="H150" s="294"/>
    </row>
    <row r="151" spans="1:9" ht="19.5" customHeight="1">
      <c r="A151" s="41"/>
      <c r="B151" s="44" t="s">
        <v>15</v>
      </c>
      <c r="C151" s="41" t="s">
        <v>79</v>
      </c>
      <c r="D151" s="115">
        <f>D142*2</f>
        <v>47.46</v>
      </c>
      <c r="E151" s="57">
        <f>E9</f>
        <v>18000</v>
      </c>
      <c r="F151" s="41" t="str">
        <f>C151</f>
        <v>No</v>
      </c>
      <c r="G151" s="69">
        <f>E151*D151</f>
        <v>854280</v>
      </c>
      <c r="H151" s="294"/>
    </row>
    <row r="152" spans="1:9" ht="19.5" customHeight="1">
      <c r="A152" s="60"/>
      <c r="B152" s="60"/>
      <c r="C152" s="60"/>
      <c r="D152" s="116"/>
      <c r="E152" s="117"/>
      <c r="F152" s="60"/>
      <c r="G152" s="58">
        <f>SUM(G144:G151)</f>
        <v>7974880</v>
      </c>
      <c r="H152" s="294"/>
    </row>
    <row r="153" spans="1:9" ht="19" customHeight="1">
      <c r="A153" s="51"/>
      <c r="B153" s="52" t="s">
        <v>41</v>
      </c>
      <c r="C153" s="51" t="s">
        <v>93</v>
      </c>
      <c r="D153" s="118">
        <f>D157</f>
        <v>4.92</v>
      </c>
      <c r="E153" s="53"/>
      <c r="F153" s="51"/>
      <c r="G153" s="54"/>
      <c r="H153" s="294"/>
      <c r="I153" s="62">
        <f>D153*1.05</f>
        <v>5.17</v>
      </c>
    </row>
    <row r="154" spans="1:9" ht="19" customHeight="1">
      <c r="A154" s="41"/>
      <c r="B154" s="41" t="s">
        <v>114</v>
      </c>
      <c r="C154" s="41"/>
      <c r="D154" s="115"/>
      <c r="E154" s="57"/>
      <c r="F154" s="41"/>
      <c r="G154" s="55"/>
      <c r="H154" s="294"/>
    </row>
    <row r="155" spans="1:9" ht="19" customHeight="1">
      <c r="A155" s="41"/>
      <c r="B155" s="44" t="s">
        <v>340</v>
      </c>
      <c r="C155" s="41" t="s">
        <v>93</v>
      </c>
      <c r="D155" s="115">
        <f>Detail!H481</f>
        <v>1.53</v>
      </c>
      <c r="E155" s="57"/>
      <c r="F155" s="41"/>
      <c r="G155" s="55"/>
      <c r="H155" s="294"/>
    </row>
    <row r="156" spans="1:9" ht="19" customHeight="1">
      <c r="A156" s="41"/>
      <c r="B156" s="44" t="s">
        <v>341</v>
      </c>
      <c r="C156" s="41" t="s">
        <v>93</v>
      </c>
      <c r="D156" s="115">
        <f>Detail!G481</f>
        <v>3.39</v>
      </c>
      <c r="E156" s="57"/>
      <c r="F156" s="41"/>
      <c r="G156" s="55"/>
      <c r="H156" s="294"/>
    </row>
    <row r="157" spans="1:9" ht="19" customHeight="1">
      <c r="A157" s="41"/>
      <c r="B157" s="44"/>
      <c r="C157" s="41" t="s">
        <v>93</v>
      </c>
      <c r="D157" s="115">
        <f>SUM(D155:D156)</f>
        <v>4.92</v>
      </c>
      <c r="E157" s="57"/>
      <c r="F157" s="41"/>
      <c r="G157" s="55"/>
      <c r="H157" s="294"/>
    </row>
    <row r="158" spans="1:9" ht="19" customHeight="1">
      <c r="A158" s="41"/>
      <c r="B158" s="41" t="s">
        <v>12</v>
      </c>
      <c r="C158" s="41"/>
      <c r="D158" s="115"/>
      <c r="E158" s="57"/>
      <c r="F158" s="41"/>
      <c r="G158" s="55"/>
      <c r="H158" s="294"/>
    </row>
    <row r="159" spans="1:9" ht="20.149999999999999" customHeight="1">
      <c r="A159" s="41"/>
      <c r="B159" s="44" t="s">
        <v>40</v>
      </c>
      <c r="C159" s="41" t="s">
        <v>93</v>
      </c>
      <c r="D159" s="115">
        <f>(D155)*1.05</f>
        <v>1.61</v>
      </c>
      <c r="E159" s="57">
        <f>E120</f>
        <v>2500000</v>
      </c>
      <c r="F159" s="41" t="str">
        <f>C159</f>
        <v>Ton</v>
      </c>
      <c r="G159" s="55">
        <f>E159*D159</f>
        <v>4025000</v>
      </c>
      <c r="H159" s="294"/>
    </row>
    <row r="160" spans="1:9" ht="19.5" customHeight="1">
      <c r="A160" s="51"/>
      <c r="B160" s="119" t="s">
        <v>68</v>
      </c>
      <c r="C160" s="51" t="s">
        <v>93</v>
      </c>
      <c r="D160" s="118">
        <f>(D156)*1.05</f>
        <v>3.56</v>
      </c>
      <c r="E160" s="53">
        <f>E85</f>
        <v>2200000</v>
      </c>
      <c r="F160" s="51" t="str">
        <f>C160</f>
        <v>Ton</v>
      </c>
      <c r="G160" s="54">
        <f>E160*D160</f>
        <v>7832000</v>
      </c>
      <c r="H160" s="294"/>
    </row>
    <row r="161" spans="1:8" ht="19.5" customHeight="1">
      <c r="A161" s="41"/>
      <c r="B161" s="44" t="s">
        <v>24</v>
      </c>
      <c r="C161" s="41" t="s">
        <v>136</v>
      </c>
      <c r="D161" s="115">
        <f>D153*20*1/3.6</f>
        <v>27.33</v>
      </c>
      <c r="E161" s="57">
        <f>E86</f>
        <v>12000</v>
      </c>
      <c r="F161" s="41" t="str">
        <f>C161</f>
        <v>viss</v>
      </c>
      <c r="G161" s="55">
        <f>E161*D161</f>
        <v>327960</v>
      </c>
      <c r="H161" s="294"/>
    </row>
    <row r="162" spans="1:8" ht="19.5" customHeight="1">
      <c r="A162" s="41"/>
      <c r="B162" s="41" t="s">
        <v>8</v>
      </c>
      <c r="C162" s="41"/>
      <c r="D162" s="115"/>
      <c r="E162" s="57"/>
      <c r="F162" s="41"/>
      <c r="G162" s="55"/>
      <c r="H162" s="294"/>
    </row>
    <row r="163" spans="1:8" ht="19.5" customHeight="1">
      <c r="A163" s="41"/>
      <c r="B163" s="44" t="s">
        <v>18</v>
      </c>
      <c r="C163" s="41" t="s">
        <v>79</v>
      </c>
      <c r="D163" s="115">
        <f>D159/1.05*20*1+D160/1.05*20*0.75</f>
        <v>81.52</v>
      </c>
      <c r="E163" s="57">
        <f>E88</f>
        <v>25000</v>
      </c>
      <c r="F163" s="41" t="str">
        <f>C163</f>
        <v>No</v>
      </c>
      <c r="G163" s="55">
        <f>E163*D163</f>
        <v>2038000</v>
      </c>
      <c r="H163" s="294"/>
    </row>
    <row r="164" spans="1:8" ht="19.5" customHeight="1">
      <c r="A164" s="41"/>
      <c r="B164" s="44" t="s">
        <v>15</v>
      </c>
      <c r="C164" s="41" t="s">
        <v>79</v>
      </c>
      <c r="D164" s="115">
        <f>D163</f>
        <v>81.52</v>
      </c>
      <c r="E164" s="57">
        <f>E9</f>
        <v>18000</v>
      </c>
      <c r="F164" s="41" t="str">
        <f>C164</f>
        <v>No</v>
      </c>
      <c r="G164" s="69">
        <f>E164*D164</f>
        <v>1467360</v>
      </c>
      <c r="H164" s="294"/>
    </row>
    <row r="165" spans="1:8" ht="19.5" customHeight="1">
      <c r="A165" s="41"/>
      <c r="B165" s="41"/>
      <c r="C165" s="41"/>
      <c r="D165" s="115"/>
      <c r="E165" s="57"/>
      <c r="F165" s="41"/>
      <c r="G165" s="58">
        <f>SUM(G159:G164)</f>
        <v>15690320</v>
      </c>
      <c r="H165" s="294"/>
    </row>
    <row r="166" spans="1:8" ht="19.5" customHeight="1">
      <c r="A166" s="41">
        <f>Detail!A483</f>
        <v>10</v>
      </c>
      <c r="B166" s="46" t="str">
        <f>Detail!B483</f>
        <v>4½" Thk; Brick Walling Work</v>
      </c>
      <c r="C166" s="67" t="str">
        <f>Detail!I525</f>
        <v>Fs</v>
      </c>
      <c r="D166" s="115">
        <f>Detail!H525</f>
        <v>2978.81</v>
      </c>
      <c r="E166" s="57"/>
      <c r="F166" s="41"/>
      <c r="G166" s="55"/>
      <c r="H166" s="294"/>
    </row>
    <row r="167" spans="1:8" ht="19.5" customHeight="1">
      <c r="A167" s="41"/>
      <c r="B167" s="41"/>
      <c r="C167" s="41" t="s">
        <v>91</v>
      </c>
      <c r="D167" s="115">
        <f>D166/100</f>
        <v>29.79</v>
      </c>
      <c r="E167" s="57"/>
      <c r="F167" s="41"/>
      <c r="G167" s="55"/>
      <c r="H167" s="294"/>
    </row>
    <row r="168" spans="1:8" s="197" customFormat="1" ht="20.149999999999999" customHeight="1">
      <c r="A168" s="190"/>
      <c r="B168" s="191" t="s">
        <v>12</v>
      </c>
      <c r="C168" s="192"/>
      <c r="D168" s="193"/>
      <c r="E168" s="194"/>
      <c r="F168" s="190"/>
      <c r="G168" s="195"/>
      <c r="H168" s="196"/>
    </row>
    <row r="169" spans="1:8" s="197" customFormat="1" ht="20.149999999999999" customHeight="1">
      <c r="A169" s="190"/>
      <c r="B169" s="198" t="s">
        <v>87</v>
      </c>
      <c r="C169" s="199" t="s">
        <v>88</v>
      </c>
      <c r="D169" s="200">
        <f>ROUNDDOWN(D167*297/112,0)</f>
        <v>78</v>
      </c>
      <c r="E169" s="194">
        <f>E39</f>
        <v>22000</v>
      </c>
      <c r="F169" s="192" t="str">
        <f>C169</f>
        <v>Bag</v>
      </c>
      <c r="G169" s="195">
        <f>D169*E169</f>
        <v>1716000</v>
      </c>
      <c r="H169" s="196"/>
    </row>
    <row r="170" spans="1:8" s="197" customFormat="1" ht="20.149999999999999" customHeight="1">
      <c r="A170" s="190"/>
      <c r="B170" s="44" t="s">
        <v>23</v>
      </c>
      <c r="C170" s="199" t="s">
        <v>89</v>
      </c>
      <c r="D170" s="200">
        <f>(D167*10/100)</f>
        <v>2.98</v>
      </c>
      <c r="E170" s="194">
        <f>'BQ '!E8</f>
        <v>56000</v>
      </c>
      <c r="F170" s="192" t="str">
        <f>C170</f>
        <v>Sud</v>
      </c>
      <c r="G170" s="195">
        <f>D170*E170</f>
        <v>166880</v>
      </c>
      <c r="H170" s="196"/>
    </row>
    <row r="171" spans="1:8" s="197" customFormat="1" ht="20.149999999999999" customHeight="1">
      <c r="A171" s="190"/>
      <c r="B171" s="198" t="s">
        <v>90</v>
      </c>
      <c r="C171" s="199" t="s">
        <v>79</v>
      </c>
      <c r="D171" s="200">
        <f>ROUNDDOWN(D167*550,0)</f>
        <v>16384</v>
      </c>
      <c r="E171" s="194">
        <f>'BQ '!E9</f>
        <v>280</v>
      </c>
      <c r="F171" s="192" t="str">
        <f>C171</f>
        <v>No</v>
      </c>
      <c r="G171" s="195">
        <f>D171*E171</f>
        <v>4587520</v>
      </c>
      <c r="H171" s="196"/>
    </row>
    <row r="172" spans="1:8" s="197" customFormat="1" ht="20.149999999999999" customHeight="1">
      <c r="A172" s="190"/>
      <c r="B172" s="198" t="s">
        <v>330</v>
      </c>
      <c r="C172" s="199" t="s">
        <v>21</v>
      </c>
      <c r="D172" s="200">
        <f>ROUNDDOWN(D167*115,-2)</f>
        <v>3400</v>
      </c>
      <c r="E172" s="194">
        <f>'BQ '!E10</f>
        <v>150</v>
      </c>
      <c r="F172" s="192" t="str">
        <f>C172</f>
        <v>Fr</v>
      </c>
      <c r="G172" s="195">
        <f>D172*E172</f>
        <v>510000</v>
      </c>
      <c r="H172" s="196"/>
    </row>
    <row r="173" spans="1:8" s="197" customFormat="1" ht="20.149999999999999" customHeight="1">
      <c r="A173" s="190"/>
      <c r="B173" s="190" t="s">
        <v>8</v>
      </c>
      <c r="C173" s="190"/>
      <c r="D173" s="193"/>
      <c r="E173" s="194"/>
      <c r="F173" s="190"/>
      <c r="G173" s="195"/>
      <c r="H173" s="196"/>
    </row>
    <row r="174" spans="1:8" s="197" customFormat="1" ht="20.149999999999999" customHeight="1">
      <c r="A174" s="190"/>
      <c r="B174" s="201" t="s">
        <v>17</v>
      </c>
      <c r="C174" s="190" t="s">
        <v>79</v>
      </c>
      <c r="D174" s="193">
        <f>D167*2</f>
        <v>59.58</v>
      </c>
      <c r="E174" s="194">
        <f>'BQ '!E46</f>
        <v>25000</v>
      </c>
      <c r="F174" s="190" t="str">
        <f>C174</f>
        <v>No</v>
      </c>
      <c r="G174" s="195">
        <f>D174*E174</f>
        <v>1489500</v>
      </c>
      <c r="H174" s="202">
        <f>D174*E174</f>
        <v>1489500</v>
      </c>
    </row>
    <row r="175" spans="1:8" s="197" customFormat="1" ht="20.149999999999999" customHeight="1">
      <c r="A175" s="190"/>
      <c r="B175" s="201" t="s">
        <v>15</v>
      </c>
      <c r="C175" s="190" t="s">
        <v>79</v>
      </c>
      <c r="D175" s="193">
        <f>D167*3</f>
        <v>89.37</v>
      </c>
      <c r="E175" s="194">
        <f>'BQ '!E51</f>
        <v>18000</v>
      </c>
      <c r="F175" s="190" t="str">
        <f>C175</f>
        <v>No</v>
      </c>
      <c r="G175" s="195">
        <f>D175*E175</f>
        <v>1608660</v>
      </c>
      <c r="H175" s="202">
        <f>D175*E175</f>
        <v>1608660</v>
      </c>
    </row>
    <row r="176" spans="1:8" ht="19.5" customHeight="1">
      <c r="A176" s="41"/>
      <c r="B176" s="41"/>
      <c r="C176" s="41"/>
      <c r="D176" s="115"/>
      <c r="E176" s="57"/>
      <c r="F176" s="41"/>
      <c r="G176" s="275">
        <f>SUM(G169:G175)</f>
        <v>10078560</v>
      </c>
      <c r="H176" s="294"/>
    </row>
    <row r="177" spans="1:8" ht="19.5" customHeight="1">
      <c r="A177" s="41"/>
      <c r="B177" s="41"/>
      <c r="C177" s="41"/>
      <c r="D177" s="115"/>
      <c r="E177" s="57"/>
      <c r="F177" s="41"/>
      <c r="G177" s="56"/>
      <c r="H177" s="294"/>
    </row>
    <row r="178" spans="1:8" ht="19.5" customHeight="1">
      <c r="A178" s="218">
        <f>Detail!A527</f>
        <v>11</v>
      </c>
      <c r="B178" s="227" t="str">
        <f>Detail!B527</f>
        <v>Lintel &amp; Stiffener Work</v>
      </c>
      <c r="C178" s="218"/>
      <c r="D178" s="228"/>
      <c r="E178" s="57"/>
      <c r="F178" s="41"/>
      <c r="G178" s="56"/>
      <c r="H178" s="294"/>
    </row>
    <row r="179" spans="1:8" ht="19.5" customHeight="1">
      <c r="A179" s="218"/>
      <c r="B179" s="227" t="str">
        <f>Detail!B528</f>
        <v>( a ) ( 1:2:4) RCC Concrete Work</v>
      </c>
      <c r="C179" s="229" t="str">
        <f>Detail!I535</f>
        <v>%Fc</v>
      </c>
      <c r="D179" s="228">
        <f>Detail!H535</f>
        <v>1.03</v>
      </c>
      <c r="E179" s="57"/>
      <c r="F179" s="41"/>
      <c r="G179" s="56"/>
      <c r="H179" s="294"/>
    </row>
    <row r="180" spans="1:8" ht="19.5" customHeight="1">
      <c r="A180" s="41"/>
      <c r="B180" s="41" t="s">
        <v>12</v>
      </c>
      <c r="C180" s="41"/>
      <c r="D180" s="115"/>
      <c r="E180" s="57"/>
      <c r="F180" s="41"/>
      <c r="G180" s="55"/>
      <c r="H180" s="294"/>
    </row>
    <row r="181" spans="1:8" ht="19.5" customHeight="1">
      <c r="A181" s="41"/>
      <c r="B181" s="44" t="s">
        <v>87</v>
      </c>
      <c r="C181" s="41" t="s">
        <v>88</v>
      </c>
      <c r="D181" s="115">
        <f>D179*2070/112</f>
        <v>19.04</v>
      </c>
      <c r="E181" s="57">
        <f>'BQ '!E7</f>
        <v>22000</v>
      </c>
      <c r="F181" s="41" t="str">
        <f>C181</f>
        <v>Bag</v>
      </c>
      <c r="G181" s="55">
        <f>E181*D181</f>
        <v>418880</v>
      </c>
      <c r="H181" s="294"/>
    </row>
    <row r="182" spans="1:8" ht="19.5" customHeight="1">
      <c r="A182" s="41"/>
      <c r="B182" s="44" t="s">
        <v>23</v>
      </c>
      <c r="C182" s="41" t="s">
        <v>89</v>
      </c>
      <c r="D182" s="115">
        <f>D179*0.46</f>
        <v>0.47</v>
      </c>
      <c r="E182" s="57">
        <f>'BQ '!E8</f>
        <v>56000</v>
      </c>
      <c r="F182" s="41" t="str">
        <f>C182</f>
        <v>Sud</v>
      </c>
      <c r="G182" s="55">
        <f>E182*D182</f>
        <v>26320</v>
      </c>
      <c r="H182" s="294"/>
    </row>
    <row r="183" spans="1:8" ht="19.5" customHeight="1">
      <c r="A183" s="41"/>
      <c r="B183" s="44" t="s">
        <v>35</v>
      </c>
      <c r="C183" s="41" t="s">
        <v>89</v>
      </c>
      <c r="D183" s="115">
        <f>D179*0.92</f>
        <v>0.95</v>
      </c>
      <c r="E183" s="57">
        <f>E133</f>
        <v>220000</v>
      </c>
      <c r="F183" s="41" t="str">
        <f>C183</f>
        <v>Sud</v>
      </c>
      <c r="G183" s="55">
        <f>E183*D183</f>
        <v>209000</v>
      </c>
      <c r="H183" s="294"/>
    </row>
    <row r="184" spans="1:8" ht="19.5" customHeight="1">
      <c r="A184" s="41"/>
      <c r="B184" s="44" t="s">
        <v>36</v>
      </c>
      <c r="C184" s="41" t="s">
        <v>20</v>
      </c>
      <c r="D184" s="115">
        <f>D179*2</f>
        <v>2.06</v>
      </c>
      <c r="E184" s="57">
        <f>E134</f>
        <v>15000</v>
      </c>
      <c r="F184" s="41" t="str">
        <f>C184</f>
        <v>Gal</v>
      </c>
      <c r="G184" s="55">
        <f>E184*D184</f>
        <v>30900</v>
      </c>
      <c r="H184" s="294"/>
    </row>
    <row r="185" spans="1:8" ht="19.5" customHeight="1">
      <c r="A185" s="41"/>
      <c r="B185" s="41" t="s">
        <v>8</v>
      </c>
      <c r="C185" s="41"/>
      <c r="D185" s="115"/>
      <c r="E185" s="57"/>
      <c r="F185" s="41"/>
      <c r="G185" s="55"/>
      <c r="H185" s="294"/>
    </row>
    <row r="186" spans="1:8" ht="19.5" customHeight="1">
      <c r="A186" s="41"/>
      <c r="B186" s="44" t="s">
        <v>17</v>
      </c>
      <c r="C186" s="41" t="s">
        <v>79</v>
      </c>
      <c r="D186" s="115">
        <f>D179*2</f>
        <v>2.06</v>
      </c>
      <c r="E186" s="57">
        <f>'BQ '!E46</f>
        <v>25000</v>
      </c>
      <c r="F186" s="41" t="str">
        <f>C186</f>
        <v>No</v>
      </c>
      <c r="G186" s="55">
        <f>E186*D186</f>
        <v>51500</v>
      </c>
      <c r="H186" s="294"/>
    </row>
    <row r="187" spans="1:8" ht="19.5" customHeight="1">
      <c r="A187" s="41"/>
      <c r="B187" s="44" t="s">
        <v>37</v>
      </c>
      <c r="C187" s="41" t="s">
        <v>79</v>
      </c>
      <c r="D187" s="115">
        <f>D179*0.5</f>
        <v>0.52</v>
      </c>
      <c r="E187" s="57">
        <f>'BQ '!E50</f>
        <v>25000</v>
      </c>
      <c r="F187" s="41" t="str">
        <f>C187</f>
        <v>No</v>
      </c>
      <c r="G187" s="55">
        <f>E187*D187</f>
        <v>13000</v>
      </c>
      <c r="H187" s="294"/>
    </row>
    <row r="188" spans="1:8" ht="19.5" customHeight="1">
      <c r="A188" s="41"/>
      <c r="B188" s="44" t="s">
        <v>15</v>
      </c>
      <c r="C188" s="41" t="s">
        <v>79</v>
      </c>
      <c r="D188" s="115">
        <f>D179*12</f>
        <v>12.36</v>
      </c>
      <c r="E188" s="57">
        <f>'BQ '!E51</f>
        <v>18000</v>
      </c>
      <c r="F188" s="41" t="str">
        <f>C188</f>
        <v>No</v>
      </c>
      <c r="G188" s="69">
        <f>E188*D188</f>
        <v>222480</v>
      </c>
      <c r="H188" s="294"/>
    </row>
    <row r="189" spans="1:8" ht="19.5" customHeight="1">
      <c r="A189" s="41"/>
      <c r="B189" s="41"/>
      <c r="C189" s="41"/>
      <c r="D189" s="115"/>
      <c r="E189" s="57"/>
      <c r="F189" s="41"/>
      <c r="G189" s="58">
        <f>SUM(G181:G188)</f>
        <v>972080</v>
      </c>
      <c r="H189" s="294"/>
    </row>
    <row r="190" spans="1:8" ht="19.5" customHeight="1">
      <c r="A190" s="218"/>
      <c r="B190" s="218"/>
      <c r="C190" s="218"/>
      <c r="D190" s="228"/>
      <c r="E190" s="57"/>
      <c r="F190" s="41"/>
      <c r="G190" s="56"/>
      <c r="H190" s="294"/>
    </row>
    <row r="191" spans="1:8" ht="19.5" customHeight="1">
      <c r="A191" s="218"/>
      <c r="B191" s="227" t="s">
        <v>369</v>
      </c>
      <c r="C191" s="229" t="str">
        <f>Detail!I544</f>
        <v>%Fs</v>
      </c>
      <c r="D191" s="228">
        <f>Detail!H544</f>
        <v>5.43</v>
      </c>
      <c r="E191" s="57"/>
      <c r="F191" s="41"/>
      <c r="G191" s="56"/>
      <c r="H191" s="294"/>
    </row>
    <row r="192" spans="1:8" ht="19.5" customHeight="1">
      <c r="A192" s="41"/>
      <c r="B192" s="41" t="s">
        <v>12</v>
      </c>
      <c r="C192" s="41"/>
      <c r="D192" s="115"/>
      <c r="E192" s="57"/>
      <c r="F192" s="41"/>
      <c r="G192" s="55"/>
      <c r="H192" s="294"/>
    </row>
    <row r="193" spans="1:9" ht="19.5" customHeight="1">
      <c r="A193" s="41"/>
      <c r="B193" s="44" t="s">
        <v>66</v>
      </c>
      <c r="C193" s="41" t="s">
        <v>93</v>
      </c>
      <c r="D193" s="115">
        <f>D191*15/50/3</f>
        <v>0.54</v>
      </c>
      <c r="E193" s="57">
        <f>E144</f>
        <v>1200000</v>
      </c>
      <c r="F193" s="41" t="str">
        <f>C193</f>
        <v>Ton</v>
      </c>
      <c r="G193" s="55">
        <f>E193*D193</f>
        <v>648000</v>
      </c>
      <c r="H193" s="294"/>
      <c r="I193" s="37">
        <f>D191*20/50/2</f>
        <v>1.0860000000000001</v>
      </c>
    </row>
    <row r="194" spans="1:9" ht="19.5" customHeight="1">
      <c r="A194" s="41"/>
      <c r="B194" s="44" t="s">
        <v>38</v>
      </c>
      <c r="C194" s="41" t="s">
        <v>92</v>
      </c>
      <c r="D194" s="115">
        <f>D191/0.32/3*1.15</f>
        <v>6.5</v>
      </c>
      <c r="E194" s="57">
        <f>E75</f>
        <v>60000</v>
      </c>
      <c r="F194" s="41" t="str">
        <f>C194</f>
        <v>Sht</v>
      </c>
      <c r="G194" s="55">
        <f>E194*D194</f>
        <v>390000</v>
      </c>
      <c r="H194" s="294"/>
    </row>
    <row r="195" spans="1:9" ht="19.5" customHeight="1">
      <c r="A195" s="41"/>
      <c r="B195" s="44" t="s">
        <v>39</v>
      </c>
      <c r="C195" s="41" t="s">
        <v>135</v>
      </c>
      <c r="D195" s="115">
        <f>D191*3/3.6</f>
        <v>4.53</v>
      </c>
      <c r="E195" s="57">
        <f>E146</f>
        <v>10000</v>
      </c>
      <c r="F195" s="41" t="str">
        <f>C195</f>
        <v>Viss</v>
      </c>
      <c r="G195" s="55">
        <f>E195*D195</f>
        <v>45300</v>
      </c>
      <c r="H195" s="294"/>
    </row>
    <row r="196" spans="1:9" ht="19.5" customHeight="1">
      <c r="A196" s="41"/>
      <c r="B196" s="41" t="s">
        <v>8</v>
      </c>
      <c r="C196" s="41"/>
      <c r="D196" s="115"/>
      <c r="E196" s="57"/>
      <c r="F196" s="41"/>
      <c r="G196" s="55"/>
      <c r="H196" s="294"/>
    </row>
    <row r="197" spans="1:9" ht="19.5" customHeight="1">
      <c r="A197" s="41"/>
      <c r="B197" s="44" t="s">
        <v>16</v>
      </c>
      <c r="C197" s="41" t="s">
        <v>79</v>
      </c>
      <c r="D197" s="115">
        <f>D191*4</f>
        <v>21.72</v>
      </c>
      <c r="E197" s="57">
        <f>'BQ '!E48</f>
        <v>25000</v>
      </c>
      <c r="F197" s="41" t="str">
        <f>C197</f>
        <v>No</v>
      </c>
      <c r="G197" s="55">
        <f>E197*D197</f>
        <v>543000</v>
      </c>
      <c r="H197" s="294"/>
    </row>
    <row r="198" spans="1:9" ht="19.5" customHeight="1">
      <c r="A198" s="41"/>
      <c r="B198" s="44" t="s">
        <v>15</v>
      </c>
      <c r="C198" s="41" t="s">
        <v>79</v>
      </c>
      <c r="D198" s="115">
        <f>D191*2</f>
        <v>10.86</v>
      </c>
      <c r="E198" s="57">
        <f>'BQ '!E51</f>
        <v>18000</v>
      </c>
      <c r="F198" s="41" t="str">
        <f>C198</f>
        <v>No</v>
      </c>
      <c r="G198" s="69">
        <f>E198*D198</f>
        <v>195480</v>
      </c>
      <c r="H198" s="294"/>
    </row>
    <row r="199" spans="1:9" ht="19.5" customHeight="1">
      <c r="A199" s="60"/>
      <c r="B199" s="60"/>
      <c r="C199" s="60"/>
      <c r="D199" s="116"/>
      <c r="E199" s="117"/>
      <c r="F199" s="60"/>
      <c r="G199" s="58">
        <f>SUM(G193:G198)</f>
        <v>1821780</v>
      </c>
      <c r="H199" s="294"/>
    </row>
    <row r="200" spans="1:9" ht="19.5" customHeight="1">
      <c r="A200" s="218"/>
      <c r="B200" s="218"/>
      <c r="C200" s="218"/>
      <c r="D200" s="228"/>
      <c r="E200" s="57"/>
      <c r="F200" s="41"/>
      <c r="G200" s="56"/>
      <c r="H200" s="294"/>
    </row>
    <row r="201" spans="1:9" ht="19.5" customHeight="1">
      <c r="A201" s="218"/>
      <c r="B201" s="227" t="str">
        <f>Detail!B546</f>
        <v>( c ) Re bar Work</v>
      </c>
      <c r="C201" s="218"/>
      <c r="D201" s="228"/>
      <c r="E201" s="57"/>
      <c r="F201" s="41"/>
      <c r="G201" s="56"/>
      <c r="H201" s="294"/>
    </row>
    <row r="202" spans="1:9" ht="19.5" customHeight="1">
      <c r="A202" s="218"/>
      <c r="B202" s="230" t="str">
        <f>Detail!G546</f>
        <v>10mmØ</v>
      </c>
      <c r="C202" s="229" t="str">
        <f>Detail!I567</f>
        <v>Ton</v>
      </c>
      <c r="D202" s="228">
        <f>Detail!G567</f>
        <v>0.27</v>
      </c>
      <c r="E202" s="57"/>
      <c r="F202" s="41"/>
      <c r="G202" s="56"/>
      <c r="H202" s="294"/>
    </row>
    <row r="203" spans="1:9" ht="19.5" customHeight="1">
      <c r="A203" s="218"/>
      <c r="B203" s="230" t="str">
        <f>Detail!H546</f>
        <v>6.5mmØ</v>
      </c>
      <c r="C203" s="229" t="str">
        <f>C202</f>
        <v>Ton</v>
      </c>
      <c r="D203" s="228">
        <f>Detail!H567</f>
        <v>0.05</v>
      </c>
      <c r="E203" s="57"/>
      <c r="F203" s="41"/>
      <c r="G203" s="56"/>
      <c r="H203" s="294"/>
    </row>
    <row r="204" spans="1:9" ht="19.5" customHeight="1">
      <c r="A204" s="41"/>
      <c r="B204" s="41"/>
      <c r="C204" s="41"/>
      <c r="D204" s="121"/>
      <c r="E204" s="57"/>
      <c r="F204" s="41"/>
      <c r="G204" s="56"/>
      <c r="H204" s="294"/>
    </row>
    <row r="205" spans="1:9" ht="19" customHeight="1">
      <c r="A205" s="41"/>
      <c r="B205" s="41" t="s">
        <v>12</v>
      </c>
      <c r="C205" s="41"/>
      <c r="D205" s="115"/>
      <c r="E205" s="57"/>
      <c r="F205" s="41"/>
      <c r="G205" s="55"/>
      <c r="H205" s="294"/>
    </row>
    <row r="206" spans="1:9" ht="20.149999999999999" customHeight="1">
      <c r="A206" s="41"/>
      <c r="B206" s="44" t="s">
        <v>40</v>
      </c>
      <c r="C206" s="41" t="s">
        <v>93</v>
      </c>
      <c r="D206" s="115">
        <f>(D202)*1.05</f>
        <v>0.28000000000000003</v>
      </c>
      <c r="E206" s="57">
        <f>E159</f>
        <v>2500000</v>
      </c>
      <c r="F206" s="41" t="str">
        <f>C206</f>
        <v>Ton</v>
      </c>
      <c r="G206" s="55">
        <f>E206*D206</f>
        <v>700000</v>
      </c>
      <c r="H206" s="294"/>
    </row>
    <row r="207" spans="1:9" ht="19.5" customHeight="1">
      <c r="A207" s="51"/>
      <c r="B207" s="119" t="s">
        <v>69</v>
      </c>
      <c r="C207" s="51" t="s">
        <v>93</v>
      </c>
      <c r="D207" s="118">
        <f>(D203)*1.05</f>
        <v>0.05</v>
      </c>
      <c r="E207" s="53">
        <f>'BQ '!E22</f>
        <v>2800000</v>
      </c>
      <c r="F207" s="51" t="str">
        <f>C207</f>
        <v>Ton</v>
      </c>
      <c r="G207" s="54">
        <f>E207*D207</f>
        <v>140000</v>
      </c>
      <c r="H207" s="294"/>
    </row>
    <row r="208" spans="1:9" ht="19.5" customHeight="1">
      <c r="A208" s="41"/>
      <c r="B208" s="44" t="s">
        <v>24</v>
      </c>
      <c r="C208" s="41" t="s">
        <v>136</v>
      </c>
      <c r="D208" s="115">
        <f>D200*20*1/3.6</f>
        <v>0</v>
      </c>
      <c r="E208" s="57">
        <f>E86</f>
        <v>12000</v>
      </c>
      <c r="F208" s="41" t="str">
        <f>C208</f>
        <v>viss</v>
      </c>
      <c r="G208" s="55">
        <f>E208*D208</f>
        <v>0</v>
      </c>
      <c r="H208" s="294"/>
    </row>
    <row r="209" spans="1:8" ht="19.5" customHeight="1">
      <c r="A209" s="41"/>
      <c r="B209" s="41" t="s">
        <v>8</v>
      </c>
      <c r="C209" s="41"/>
      <c r="D209" s="115"/>
      <c r="E209" s="57"/>
      <c r="F209" s="41"/>
      <c r="G209" s="55"/>
      <c r="H209" s="294"/>
    </row>
    <row r="210" spans="1:8" ht="19.5" customHeight="1">
      <c r="A210" s="41"/>
      <c r="B210" s="44" t="s">
        <v>18</v>
      </c>
      <c r="C210" s="41" t="s">
        <v>79</v>
      </c>
      <c r="D210" s="115">
        <f>D206/1.05*20*1.5+D207/1.05*20*1.5</f>
        <v>9.43</v>
      </c>
      <c r="E210" s="57">
        <f>'BQ '!E47</f>
        <v>25000</v>
      </c>
      <c r="F210" s="41" t="str">
        <f>C210</f>
        <v>No</v>
      </c>
      <c r="G210" s="55">
        <f>E210*D210</f>
        <v>235750</v>
      </c>
      <c r="H210" s="294"/>
    </row>
    <row r="211" spans="1:8" ht="19.5" customHeight="1">
      <c r="A211" s="41"/>
      <c r="B211" s="44" t="s">
        <v>15</v>
      </c>
      <c r="C211" s="41" t="s">
        <v>79</v>
      </c>
      <c r="D211" s="115">
        <f>D210</f>
        <v>9.43</v>
      </c>
      <c r="E211" s="57">
        <f>'BQ '!E51</f>
        <v>18000</v>
      </c>
      <c r="F211" s="41" t="str">
        <f>C211</f>
        <v>No</v>
      </c>
      <c r="G211" s="69">
        <f>E211*D211</f>
        <v>169740</v>
      </c>
      <c r="H211" s="294"/>
    </row>
    <row r="212" spans="1:8" ht="19.5" customHeight="1">
      <c r="A212" s="41"/>
      <c r="B212" s="41"/>
      <c r="C212" s="41"/>
      <c r="D212" s="115"/>
      <c r="E212" s="57"/>
      <c r="F212" s="41"/>
      <c r="G212" s="58">
        <f>SUM(G206:G211)</f>
        <v>1245490</v>
      </c>
      <c r="H212" s="294"/>
    </row>
    <row r="213" spans="1:8" ht="19.5" customHeight="1">
      <c r="A213" s="41"/>
      <c r="B213" s="41"/>
      <c r="C213" s="41"/>
      <c r="D213" s="121"/>
      <c r="E213" s="57"/>
      <c r="F213" s="41"/>
      <c r="G213" s="56"/>
      <c r="H213" s="294"/>
    </row>
    <row r="214" spans="1:8" ht="19.5" customHeight="1">
      <c r="A214" s="41">
        <f>Detail!A569</f>
        <v>12</v>
      </c>
      <c r="B214" s="46" t="str">
        <f>Detail!B569</f>
        <v>Plastering Work</v>
      </c>
      <c r="C214" s="67" t="str">
        <f>Detail!I593</f>
        <v>Fs</v>
      </c>
      <c r="D214" s="59">
        <f>Detail!H593</f>
        <v>8076.25</v>
      </c>
      <c r="E214" s="57"/>
      <c r="F214" s="41"/>
      <c r="G214" s="55"/>
      <c r="H214" s="294"/>
    </row>
    <row r="215" spans="1:8" ht="19.5" customHeight="1">
      <c r="A215" s="41"/>
      <c r="B215" s="46"/>
      <c r="C215" s="67" t="s">
        <v>91</v>
      </c>
      <c r="D215" s="115">
        <f>Detail!H593/100</f>
        <v>80.760000000000005</v>
      </c>
      <c r="E215" s="57"/>
      <c r="F215" s="41"/>
      <c r="G215" s="55"/>
      <c r="H215" s="294"/>
    </row>
    <row r="216" spans="1:8" ht="19.5" customHeight="1">
      <c r="A216" s="41"/>
      <c r="B216" s="41" t="s">
        <v>12</v>
      </c>
      <c r="C216" s="41"/>
      <c r="D216" s="115"/>
      <c r="E216" s="57"/>
      <c r="F216" s="41"/>
      <c r="G216" s="55"/>
      <c r="H216" s="294"/>
    </row>
    <row r="217" spans="1:8" ht="19.5" customHeight="1">
      <c r="A217" s="41"/>
      <c r="B217" s="44" t="s">
        <v>87</v>
      </c>
      <c r="C217" s="41" t="s">
        <v>88</v>
      </c>
      <c r="D217" s="115">
        <f>D215*(225+150)/2/112</f>
        <v>135.19999999999999</v>
      </c>
      <c r="E217" s="57">
        <f>E39</f>
        <v>22000</v>
      </c>
      <c r="F217" s="41" t="str">
        <f>C217</f>
        <v>Bag</v>
      </c>
      <c r="G217" s="55">
        <f>E217*D217</f>
        <v>2974400</v>
      </c>
      <c r="H217" s="294"/>
    </row>
    <row r="218" spans="1:8" ht="19.5" customHeight="1">
      <c r="A218" s="41"/>
      <c r="B218" s="44" t="s">
        <v>23</v>
      </c>
      <c r="C218" s="41" t="s">
        <v>89</v>
      </c>
      <c r="D218" s="115">
        <f>D215*7.5/100</f>
        <v>6.06</v>
      </c>
      <c r="E218" s="57">
        <f>'BQ '!E8</f>
        <v>56000</v>
      </c>
      <c r="F218" s="41" t="str">
        <f>C218</f>
        <v>Sud</v>
      </c>
      <c r="G218" s="55">
        <f>E218*D218</f>
        <v>339360</v>
      </c>
      <c r="H218" s="294"/>
    </row>
    <row r="219" spans="1:8" ht="19.5" customHeight="1">
      <c r="A219" s="41"/>
      <c r="B219" s="41" t="s">
        <v>8</v>
      </c>
      <c r="C219" s="41"/>
      <c r="D219" s="115"/>
      <c r="E219" s="57"/>
      <c r="F219" s="41"/>
      <c r="G219" s="55"/>
      <c r="H219" s="294"/>
    </row>
    <row r="220" spans="1:8" ht="19.5" customHeight="1">
      <c r="A220" s="41"/>
      <c r="B220" s="44" t="s">
        <v>17</v>
      </c>
      <c r="C220" s="41" t="s">
        <v>79</v>
      </c>
      <c r="D220" s="115">
        <f>D215*1.5</f>
        <v>121.14</v>
      </c>
      <c r="E220" s="57">
        <f>'BQ '!E46</f>
        <v>25000</v>
      </c>
      <c r="F220" s="41" t="str">
        <f>C220</f>
        <v>No</v>
      </c>
      <c r="G220" s="55">
        <f>E220*D220</f>
        <v>3028500</v>
      </c>
      <c r="H220" s="294"/>
    </row>
    <row r="221" spans="1:8" ht="19.5" customHeight="1">
      <c r="A221" s="41"/>
      <c r="B221" s="44" t="s">
        <v>15</v>
      </c>
      <c r="C221" s="41" t="s">
        <v>79</v>
      </c>
      <c r="D221" s="115">
        <f>D215*3</f>
        <v>242.28</v>
      </c>
      <c r="E221" s="57">
        <f>'BQ '!E51</f>
        <v>18000</v>
      </c>
      <c r="F221" s="41" t="str">
        <f>C221</f>
        <v>No</v>
      </c>
      <c r="G221" s="69">
        <f>E221*D221</f>
        <v>4361040</v>
      </c>
      <c r="H221" s="294"/>
    </row>
    <row r="222" spans="1:8" ht="19.5" customHeight="1">
      <c r="A222" s="41"/>
      <c r="B222" s="41"/>
      <c r="C222" s="41"/>
      <c r="D222" s="115"/>
      <c r="E222" s="57"/>
      <c r="F222" s="41"/>
      <c r="G222" s="58">
        <f>SUM(G217:G221)</f>
        <v>10703300</v>
      </c>
      <c r="H222" s="294"/>
    </row>
    <row r="223" spans="1:8" ht="19.5" customHeight="1">
      <c r="A223" s="41"/>
      <c r="B223" s="41"/>
      <c r="C223" s="41"/>
      <c r="D223" s="115"/>
      <c r="E223" s="57"/>
      <c r="F223" s="41"/>
      <c r="G223" s="55"/>
      <c r="H223" s="294"/>
    </row>
    <row r="224" spans="1:8" ht="19.5" customHeight="1">
      <c r="A224" s="41">
        <f>Detail!A595</f>
        <v>13</v>
      </c>
      <c r="B224" s="46" t="str">
        <f>Detail!B595</f>
        <v>Providing &amp; Fixing of Chowket Work</v>
      </c>
      <c r="C224" s="67" t="str">
        <f>Detail!I602</f>
        <v>Ft</v>
      </c>
      <c r="D224" s="115">
        <f>Detail!H602</f>
        <v>191.5</v>
      </c>
      <c r="E224" s="57"/>
      <c r="F224" s="41"/>
      <c r="G224" s="55"/>
      <c r="H224" s="294"/>
    </row>
    <row r="225" spans="1:11" ht="19.5" customHeight="1">
      <c r="A225" s="41"/>
      <c r="B225" s="30" t="s">
        <v>288</v>
      </c>
      <c r="C225" s="67" t="s">
        <v>79</v>
      </c>
      <c r="D225" s="115">
        <f>Detail!C597</f>
        <v>1</v>
      </c>
      <c r="E225" s="57"/>
      <c r="F225" s="41"/>
      <c r="G225" s="55"/>
      <c r="H225" s="294"/>
    </row>
    <row r="226" spans="1:11" ht="19.5" customHeight="1">
      <c r="A226" s="41"/>
      <c r="B226" s="30" t="s">
        <v>287</v>
      </c>
      <c r="C226" s="67" t="s">
        <v>79</v>
      </c>
      <c r="D226" s="115">
        <f>Detail!C599</f>
        <v>4</v>
      </c>
      <c r="E226" s="57"/>
      <c r="F226" s="41"/>
      <c r="G226" s="55"/>
      <c r="H226" s="294"/>
    </row>
    <row r="227" spans="1:11" ht="19.5" customHeight="1">
      <c r="A227" s="41"/>
      <c r="B227" s="30" t="s">
        <v>301</v>
      </c>
      <c r="C227" s="67" t="s">
        <v>79</v>
      </c>
      <c r="D227" s="115">
        <f>Detail!C600</f>
        <v>4</v>
      </c>
      <c r="E227" s="57"/>
      <c r="F227" s="41"/>
      <c r="G227" s="55"/>
      <c r="H227" s="294"/>
    </row>
    <row r="228" spans="1:11" ht="19.5" customHeight="1">
      <c r="A228" s="41"/>
      <c r="B228" s="41" t="s">
        <v>12</v>
      </c>
      <c r="C228" s="41"/>
      <c r="D228" s="115"/>
      <c r="E228" s="57"/>
      <c r="F228" s="41"/>
      <c r="G228" s="55"/>
      <c r="H228" s="294"/>
    </row>
    <row r="229" spans="1:11" ht="19.5" customHeight="1">
      <c r="A229" s="41"/>
      <c r="B229" s="44" t="s">
        <v>403</v>
      </c>
      <c r="C229" s="41" t="s">
        <v>163</v>
      </c>
      <c r="D229" s="115">
        <f>Detail!I598</f>
        <v>41.5</v>
      </c>
      <c r="E229" s="57">
        <f>'BQ '!E37</f>
        <v>15000</v>
      </c>
      <c r="F229" s="41" t="str">
        <f>C229</f>
        <v>Ft</v>
      </c>
      <c r="G229" s="232">
        <f>D229*E229</f>
        <v>622500</v>
      </c>
      <c r="H229" s="294"/>
    </row>
    <row r="230" spans="1:11" ht="19.5" customHeight="1">
      <c r="A230" s="41"/>
      <c r="B230" s="44" t="s">
        <v>343</v>
      </c>
      <c r="C230" s="41" t="s">
        <v>163</v>
      </c>
      <c r="D230" s="115">
        <f>Detail!I601</f>
        <v>150</v>
      </c>
      <c r="E230" s="57">
        <f>'BQ '!E38</f>
        <v>9000</v>
      </c>
      <c r="F230" s="41" t="str">
        <f>C230</f>
        <v>Ft</v>
      </c>
      <c r="G230" s="232">
        <f>D230*E230</f>
        <v>1350000</v>
      </c>
      <c r="H230" s="294"/>
    </row>
    <row r="231" spans="1:11" ht="19.5" customHeight="1">
      <c r="A231" s="41"/>
      <c r="B231" s="44" t="s">
        <v>345</v>
      </c>
      <c r="C231" s="41" t="s">
        <v>79</v>
      </c>
      <c r="D231" s="115">
        <f>D225*10+D226*8+D227*8</f>
        <v>74</v>
      </c>
      <c r="E231" s="57">
        <f>'BQ '!E39</f>
        <v>1000</v>
      </c>
      <c r="F231" s="41" t="str">
        <f>C231</f>
        <v>No</v>
      </c>
      <c r="G231" s="232">
        <f>D231*E231</f>
        <v>74000</v>
      </c>
      <c r="H231" s="294"/>
    </row>
    <row r="232" spans="1:11" ht="19.5" customHeight="1">
      <c r="A232" s="41"/>
      <c r="B232" s="231" t="s">
        <v>344</v>
      </c>
      <c r="C232" s="34" t="s">
        <v>20</v>
      </c>
      <c r="D232" s="34">
        <f>D224*(5/12)*(0.75/100)</f>
        <v>0.6</v>
      </c>
      <c r="E232" s="57">
        <f>'BQ '!E40</f>
        <v>10000</v>
      </c>
      <c r="F232" s="55" t="str">
        <f>C232</f>
        <v>Gal</v>
      </c>
      <c r="G232" s="232">
        <f>D232*E232</f>
        <v>6000</v>
      </c>
      <c r="H232" s="294"/>
    </row>
    <row r="233" spans="1:11" ht="19.5" customHeight="1">
      <c r="A233" s="41"/>
      <c r="B233" s="233" t="s">
        <v>8</v>
      </c>
      <c r="C233" s="34"/>
      <c r="D233" s="34"/>
      <c r="E233" s="57"/>
      <c r="F233" s="55"/>
      <c r="G233" s="232"/>
      <c r="H233" s="294"/>
    </row>
    <row r="234" spans="1:11" ht="19.5" customHeight="1">
      <c r="A234" s="41"/>
      <c r="B234" s="231" t="s">
        <v>16</v>
      </c>
      <c r="C234" s="34" t="s">
        <v>79</v>
      </c>
      <c r="D234" s="34">
        <f>D224*5/100</f>
        <v>9.58</v>
      </c>
      <c r="E234" s="57">
        <f>'BQ '!E48</f>
        <v>25000</v>
      </c>
      <c r="F234" s="55" t="str">
        <f>C234</f>
        <v>No</v>
      </c>
      <c r="G234" s="234">
        <f>D234*E234</f>
        <v>239500</v>
      </c>
      <c r="H234" s="294"/>
    </row>
    <row r="235" spans="1:11" ht="19.5" customHeight="1">
      <c r="A235" s="41"/>
      <c r="B235" s="41"/>
      <c r="C235" s="41"/>
      <c r="D235" s="115"/>
      <c r="E235" s="57"/>
      <c r="F235" s="41"/>
      <c r="G235" s="58">
        <f>SUM(G229:G234)</f>
        <v>2292000</v>
      </c>
      <c r="H235" s="294"/>
    </row>
    <row r="236" spans="1:11" ht="19" customHeight="1">
      <c r="A236" s="63">
        <f>Detail!A604</f>
        <v>14</v>
      </c>
      <c r="B236" s="35" t="str">
        <f>Detail!B604</f>
        <v>Roofing Work</v>
      </c>
      <c r="C236" s="64"/>
      <c r="D236" s="54"/>
      <c r="E236" s="53"/>
      <c r="F236" s="54"/>
      <c r="G236" s="54"/>
      <c r="H236" s="65"/>
      <c r="I236" s="36"/>
      <c r="K236" s="38"/>
    </row>
    <row r="237" spans="1:11" ht="19" customHeight="1">
      <c r="A237" s="66"/>
      <c r="B237" s="42" t="str">
        <f>Detail!B605</f>
        <v>(a) Amcan Metal Sheet Roofing Work</v>
      </c>
      <c r="C237" s="67" t="s">
        <v>7</v>
      </c>
      <c r="D237" s="55">
        <f>Detail!H611</f>
        <v>2490.89</v>
      </c>
      <c r="E237" s="57"/>
      <c r="F237" s="55"/>
      <c r="G237" s="55"/>
      <c r="H237" s="65"/>
      <c r="I237" s="36"/>
      <c r="K237" s="38"/>
    </row>
    <row r="238" spans="1:11" ht="19" customHeight="1">
      <c r="A238" s="66"/>
      <c r="B238" s="41" t="s">
        <v>12</v>
      </c>
      <c r="C238" s="67"/>
      <c r="D238" s="55"/>
      <c r="E238" s="57"/>
      <c r="F238" s="55"/>
      <c r="G238" s="55"/>
      <c r="H238" s="65"/>
      <c r="I238" s="36"/>
      <c r="K238" s="38"/>
    </row>
    <row r="239" spans="1:11" ht="19" customHeight="1">
      <c r="A239" s="66"/>
      <c r="B239" s="44" t="s">
        <v>312</v>
      </c>
      <c r="C239" s="68" t="s">
        <v>119</v>
      </c>
      <c r="D239" s="43">
        <f>ROUND(D237/2.25*1.15,0)</f>
        <v>1273</v>
      </c>
      <c r="E239" s="57">
        <f>'BQ '!E27</f>
        <v>4000</v>
      </c>
      <c r="F239" s="55" t="str">
        <f>C239</f>
        <v>Rft.</v>
      </c>
      <c r="G239" s="55">
        <f>D239*E239</f>
        <v>5092000</v>
      </c>
      <c r="H239" s="65"/>
      <c r="I239" s="39"/>
      <c r="K239" s="38"/>
    </row>
    <row r="240" spans="1:11" ht="19" customHeight="1">
      <c r="A240" s="66"/>
      <c r="B240" s="44" t="s">
        <v>317</v>
      </c>
      <c r="C240" s="68" t="s">
        <v>70</v>
      </c>
      <c r="D240" s="43">
        <f>D237/100*100/144</f>
        <v>17.3</v>
      </c>
      <c r="E240" s="57">
        <f>'BQ '!E28</f>
        <v>9000</v>
      </c>
      <c r="F240" s="55" t="str">
        <f>C240</f>
        <v>Gross</v>
      </c>
      <c r="G240" s="55">
        <f>D240*E240</f>
        <v>155700</v>
      </c>
      <c r="H240" s="65"/>
      <c r="I240" s="36"/>
      <c r="K240" s="38"/>
    </row>
    <row r="241" spans="1:11" ht="19" customHeight="1">
      <c r="A241" s="66"/>
      <c r="B241" s="41" t="s">
        <v>8</v>
      </c>
      <c r="C241" s="68"/>
      <c r="D241" s="43"/>
      <c r="E241" s="57"/>
      <c r="F241" s="55"/>
      <c r="G241" s="55"/>
      <c r="H241" s="65"/>
      <c r="I241" s="36"/>
      <c r="K241" s="38"/>
    </row>
    <row r="242" spans="1:11" ht="19" customHeight="1">
      <c r="A242" s="66"/>
      <c r="B242" s="44" t="s">
        <v>16</v>
      </c>
      <c r="C242" s="68" t="s">
        <v>22</v>
      </c>
      <c r="D242" s="43">
        <f>ROUND(D237/100*1.5,2)</f>
        <v>37.36</v>
      </c>
      <c r="E242" s="57">
        <f>'BQ '!E48</f>
        <v>25000</v>
      </c>
      <c r="F242" s="55" t="str">
        <f>C242</f>
        <v>No.</v>
      </c>
      <c r="G242" s="55">
        <f>D242*E242</f>
        <v>934000</v>
      </c>
      <c r="H242" s="65"/>
      <c r="I242" s="36"/>
      <c r="K242" s="38"/>
    </row>
    <row r="243" spans="1:11" ht="19" customHeight="1">
      <c r="A243" s="66"/>
      <c r="B243" s="44" t="s">
        <v>15</v>
      </c>
      <c r="C243" s="68" t="s">
        <v>22</v>
      </c>
      <c r="D243" s="43">
        <f>ROUND(D237/100*1,2)</f>
        <v>24.91</v>
      </c>
      <c r="E243" s="57">
        <f>'BQ '!E51</f>
        <v>18000</v>
      </c>
      <c r="F243" s="55" t="str">
        <f>C243</f>
        <v>No.</v>
      </c>
      <c r="G243" s="69">
        <f>D243*E243</f>
        <v>448380</v>
      </c>
      <c r="H243" s="65"/>
      <c r="I243" s="36"/>
      <c r="K243" s="38"/>
    </row>
    <row r="244" spans="1:11" ht="19" customHeight="1">
      <c r="A244" s="66"/>
      <c r="B244" s="40"/>
      <c r="C244" s="67"/>
      <c r="D244" s="55"/>
      <c r="E244" s="57"/>
      <c r="F244" s="55"/>
      <c r="G244" s="58">
        <f>SUM(G239:G243)</f>
        <v>6630080</v>
      </c>
      <c r="H244" s="65"/>
      <c r="I244" s="36"/>
      <c r="K244" s="38"/>
    </row>
    <row r="245" spans="1:11" ht="19" customHeight="1">
      <c r="A245" s="66"/>
      <c r="B245" s="46" t="str">
        <f>Detail!B613</f>
        <v>( b ) Steel Structure Work for Roofing</v>
      </c>
      <c r="C245" s="67" t="s">
        <v>93</v>
      </c>
      <c r="D245" s="55"/>
      <c r="E245" s="57"/>
      <c r="F245" s="55"/>
      <c r="G245" s="56"/>
      <c r="H245" s="65"/>
      <c r="I245" s="36"/>
      <c r="K245" s="38"/>
    </row>
    <row r="246" spans="1:11" ht="19" customHeight="1">
      <c r="A246" s="66"/>
      <c r="B246" s="44" t="str">
        <f>Detail!B617</f>
        <v>5" x 2.5"  Hollow</v>
      </c>
      <c r="C246" s="67" t="str">
        <f>Detail!H637</f>
        <v>No</v>
      </c>
      <c r="D246" s="55">
        <f>Detail!I637</f>
        <v>17.8</v>
      </c>
      <c r="E246" s="57"/>
      <c r="F246" s="55"/>
      <c r="G246" s="56"/>
      <c r="H246" s="65"/>
      <c r="I246" s="36"/>
      <c r="K246" s="38"/>
    </row>
    <row r="247" spans="1:11" ht="19" customHeight="1">
      <c r="A247" s="66"/>
      <c r="B247" s="44" t="str">
        <f>Detail!B639</f>
        <v xml:space="preserve">4"x2" Hollow </v>
      </c>
      <c r="C247" s="67" t="str">
        <f>Detail!I681</f>
        <v>No</v>
      </c>
      <c r="D247" s="55">
        <f>Detail!H681</f>
        <v>38.72</v>
      </c>
      <c r="E247" s="57"/>
      <c r="F247" s="55"/>
      <c r="G247" s="55"/>
      <c r="H247" s="65"/>
      <c r="I247" s="36"/>
      <c r="K247" s="38"/>
    </row>
    <row r="248" spans="1:11" ht="19" customHeight="1">
      <c r="A248" s="66"/>
      <c r="B248" s="44" t="str">
        <f>Detail!B683</f>
        <v xml:space="preserve">3" x 2" Hollow </v>
      </c>
      <c r="C248" s="67" t="s">
        <v>79</v>
      </c>
      <c r="D248" s="55">
        <f>Detail!H704</f>
        <v>89.92</v>
      </c>
      <c r="E248" s="57"/>
      <c r="F248" s="55"/>
      <c r="G248" s="55"/>
      <c r="H248" s="65"/>
      <c r="I248" s="36"/>
      <c r="K248" s="38"/>
    </row>
    <row r="249" spans="1:11" ht="19" customHeight="1">
      <c r="A249" s="66"/>
      <c r="B249" s="44" t="s">
        <v>252</v>
      </c>
      <c r="C249" s="67" t="s">
        <v>79</v>
      </c>
      <c r="D249" s="55">
        <f>Detail!H708</f>
        <v>1.83</v>
      </c>
      <c r="E249" s="57"/>
      <c r="F249" s="55"/>
      <c r="G249" s="55"/>
      <c r="H249" s="65"/>
      <c r="I249" s="36"/>
      <c r="K249" s="38"/>
    </row>
    <row r="250" spans="1:11" ht="19" customHeight="1">
      <c r="A250" s="66"/>
      <c r="B250" s="44"/>
      <c r="C250" s="41"/>
      <c r="D250" s="43"/>
      <c r="E250" s="57"/>
      <c r="F250" s="55"/>
      <c r="G250" s="55"/>
      <c r="H250" s="65"/>
      <c r="I250" s="36"/>
      <c r="K250" s="38"/>
    </row>
    <row r="251" spans="1:11" ht="19" customHeight="1">
      <c r="A251" s="66"/>
      <c r="B251" s="44" t="s">
        <v>120</v>
      </c>
      <c r="C251" s="67"/>
      <c r="D251" s="55"/>
      <c r="E251" s="57"/>
      <c r="F251" s="55"/>
      <c r="G251" s="55"/>
      <c r="H251" s="65"/>
      <c r="I251" s="36"/>
      <c r="K251" s="38"/>
    </row>
    <row r="252" spans="1:11" ht="19" customHeight="1">
      <c r="A252" s="66"/>
      <c r="B252" s="44"/>
      <c r="C252" s="67"/>
      <c r="D252" s="70"/>
      <c r="E252" s="57"/>
      <c r="F252" s="55"/>
      <c r="G252" s="55"/>
      <c r="H252" s="65"/>
      <c r="I252" s="36"/>
      <c r="K252" s="38"/>
    </row>
    <row r="253" spans="1:11" ht="19" customHeight="1">
      <c r="A253" s="66"/>
      <c r="B253" s="41" t="s">
        <v>12</v>
      </c>
      <c r="C253" s="67"/>
      <c r="D253" s="55"/>
      <c r="E253" s="57"/>
      <c r="F253" s="55"/>
      <c r="G253" s="55"/>
      <c r="H253" s="65"/>
      <c r="I253" s="36"/>
      <c r="K253" s="38"/>
    </row>
    <row r="254" spans="1:11" ht="19" customHeight="1">
      <c r="A254" s="72"/>
      <c r="B254" s="45" t="s">
        <v>406</v>
      </c>
      <c r="C254" s="73" t="s">
        <v>79</v>
      </c>
      <c r="D254" s="56">
        <f>Detail!H616</f>
        <v>1</v>
      </c>
      <c r="E254" s="57">
        <f>'BQ '!E29</f>
        <v>100000</v>
      </c>
      <c r="F254" s="56" t="str">
        <f>C254</f>
        <v>No</v>
      </c>
      <c r="G254" s="56">
        <f>D254*E254</f>
        <v>100000</v>
      </c>
      <c r="H254" s="65"/>
      <c r="I254" s="36"/>
      <c r="K254" s="38"/>
    </row>
    <row r="255" spans="1:11" ht="19" customHeight="1">
      <c r="A255" s="72"/>
      <c r="B255" s="45" t="s">
        <v>220</v>
      </c>
      <c r="C255" s="73" t="str">
        <f>C246</f>
        <v>No</v>
      </c>
      <c r="D255" s="56">
        <f>D246*1.05</f>
        <v>18.690000000000001</v>
      </c>
      <c r="E255" s="57">
        <f>'BQ '!E30</f>
        <v>55000</v>
      </c>
      <c r="F255" s="56" t="str">
        <f t="shared" ref="F255:F260" si="0">C255</f>
        <v>No</v>
      </c>
      <c r="G255" s="56">
        <f>D255*E255</f>
        <v>1027950</v>
      </c>
      <c r="H255" s="65"/>
      <c r="I255" s="36"/>
      <c r="K255" s="38"/>
    </row>
    <row r="256" spans="1:11" ht="19" customHeight="1">
      <c r="A256" s="72"/>
      <c r="B256" s="45" t="s">
        <v>229</v>
      </c>
      <c r="C256" s="73" t="s">
        <v>79</v>
      </c>
      <c r="D256" s="56">
        <f>D247*1.05</f>
        <v>40.659999999999997</v>
      </c>
      <c r="E256" s="57">
        <f>'BQ '!E31</f>
        <v>45000</v>
      </c>
      <c r="F256" s="56" t="str">
        <f t="shared" si="0"/>
        <v>No</v>
      </c>
      <c r="G256" s="56">
        <f>D256*E256</f>
        <v>1829700</v>
      </c>
      <c r="H256" s="65"/>
      <c r="I256" s="36">
        <f>D240*144</f>
        <v>2491.1999999999998</v>
      </c>
      <c r="K256" s="38"/>
    </row>
    <row r="257" spans="1:11" ht="19" customHeight="1">
      <c r="A257" s="72"/>
      <c r="B257" s="45" t="s">
        <v>400</v>
      </c>
      <c r="C257" s="73" t="s">
        <v>79</v>
      </c>
      <c r="D257" s="56">
        <f>D248*1.05</f>
        <v>94.42</v>
      </c>
      <c r="E257" s="57">
        <f>'BQ '!E32</f>
        <v>30000</v>
      </c>
      <c r="F257" s="56" t="str">
        <f t="shared" si="0"/>
        <v>No</v>
      </c>
      <c r="G257" s="56">
        <f>D257*E257</f>
        <v>2832600</v>
      </c>
      <c r="H257" s="65"/>
      <c r="I257" s="36">
        <f>D257*20/0.75</f>
        <v>2517.87</v>
      </c>
      <c r="K257" s="38"/>
    </row>
    <row r="258" spans="1:11" ht="19" customHeight="1">
      <c r="A258" s="72"/>
      <c r="B258" s="45" t="s">
        <v>316</v>
      </c>
      <c r="C258" s="73" t="s">
        <v>79</v>
      </c>
      <c r="D258" s="56">
        <f>D249*1.05</f>
        <v>1.92</v>
      </c>
      <c r="E258" s="57">
        <f>'BQ '!E33</f>
        <v>45000</v>
      </c>
      <c r="F258" s="56" t="str">
        <f t="shared" si="0"/>
        <v>No</v>
      </c>
      <c r="G258" s="56">
        <f>D258*E258</f>
        <v>86400</v>
      </c>
      <c r="H258" s="65"/>
      <c r="I258" s="36"/>
      <c r="K258" s="38"/>
    </row>
    <row r="259" spans="1:11" ht="19" customHeight="1">
      <c r="A259" s="72"/>
      <c r="B259" s="45" t="s">
        <v>390</v>
      </c>
      <c r="C259" s="73" t="s">
        <v>79</v>
      </c>
      <c r="D259" s="56">
        <v>7</v>
      </c>
      <c r="E259" s="57">
        <f>'BQ '!E34</f>
        <v>0</v>
      </c>
      <c r="F259" s="56" t="str">
        <f t="shared" si="0"/>
        <v>No</v>
      </c>
      <c r="G259" s="56"/>
      <c r="H259" s="65"/>
      <c r="I259" s="36"/>
      <c r="K259" s="38"/>
    </row>
    <row r="260" spans="1:11" ht="19" customHeight="1">
      <c r="A260" s="66"/>
      <c r="B260" s="44" t="s">
        <v>121</v>
      </c>
      <c r="C260" s="67" t="s">
        <v>122</v>
      </c>
      <c r="D260" s="55">
        <v>3</v>
      </c>
      <c r="E260" s="57">
        <f>'BQ '!E35</f>
        <v>20000</v>
      </c>
      <c r="F260" s="55" t="str">
        <f t="shared" si="0"/>
        <v>Pkt</v>
      </c>
      <c r="G260" s="55">
        <f>D260*E260</f>
        <v>60000</v>
      </c>
      <c r="H260" s="65"/>
      <c r="I260" s="36"/>
      <c r="K260" s="38"/>
    </row>
    <row r="261" spans="1:11" ht="19" customHeight="1">
      <c r="A261" s="66"/>
      <c r="B261" s="41" t="s">
        <v>8</v>
      </c>
      <c r="C261" s="67"/>
      <c r="D261" s="55"/>
      <c r="E261" s="57"/>
      <c r="F261" s="55"/>
      <c r="G261" s="55"/>
      <c r="H261" s="65"/>
      <c r="I261" s="36"/>
      <c r="K261" s="38"/>
    </row>
    <row r="262" spans="1:11" ht="19" customHeight="1">
      <c r="A262" s="66"/>
      <c r="B262" s="44" t="s">
        <v>123</v>
      </c>
      <c r="C262" s="67" t="s">
        <v>79</v>
      </c>
      <c r="D262" s="55">
        <f>D245*20*2.5</f>
        <v>0</v>
      </c>
      <c r="E262" s="57">
        <f>'BQ '!E47</f>
        <v>25000</v>
      </c>
      <c r="F262" s="55" t="str">
        <f>C262</f>
        <v>No</v>
      </c>
      <c r="G262" s="55">
        <f>D262*E262</f>
        <v>0</v>
      </c>
      <c r="H262" s="65"/>
      <c r="I262" s="36"/>
      <c r="K262" s="38"/>
    </row>
    <row r="263" spans="1:11" ht="19" customHeight="1">
      <c r="A263" s="66"/>
      <c r="B263" s="44" t="s">
        <v>15</v>
      </c>
      <c r="C263" s="67" t="s">
        <v>79</v>
      </c>
      <c r="D263" s="55">
        <f>D245*20*2</f>
        <v>0</v>
      </c>
      <c r="E263" s="57">
        <f>'BQ '!E51</f>
        <v>18000</v>
      </c>
      <c r="F263" s="55" t="str">
        <f>C263</f>
        <v>No</v>
      </c>
      <c r="G263" s="69">
        <f>D263*E263</f>
        <v>0</v>
      </c>
      <c r="H263" s="65"/>
      <c r="I263" s="36"/>
      <c r="K263" s="38"/>
    </row>
    <row r="264" spans="1:11" ht="19" customHeight="1">
      <c r="A264" s="66"/>
      <c r="B264" s="44"/>
      <c r="C264" s="67"/>
      <c r="D264" s="55"/>
      <c r="E264" s="57"/>
      <c r="F264" s="55"/>
      <c r="G264" s="58">
        <f>SUM(G254:G263)</f>
        <v>5936650</v>
      </c>
      <c r="H264" s="65"/>
      <c r="I264" s="36"/>
      <c r="K264" s="38"/>
    </row>
    <row r="265" spans="1:11" ht="19" customHeight="1">
      <c r="A265" s="66"/>
      <c r="B265" s="42" t="s">
        <v>273</v>
      </c>
      <c r="C265" s="67" t="s">
        <v>21</v>
      </c>
      <c r="D265" s="55">
        <f>Detail!H720</f>
        <v>272.89999999999998</v>
      </c>
      <c r="E265" s="57"/>
      <c r="F265" s="55"/>
      <c r="G265" s="56"/>
      <c r="H265" s="65"/>
      <c r="I265" s="36"/>
      <c r="K265" s="38"/>
    </row>
    <row r="266" spans="1:11" ht="19" customHeight="1">
      <c r="A266" s="66"/>
      <c r="B266" s="41" t="s">
        <v>12</v>
      </c>
      <c r="C266" s="67"/>
      <c r="D266" s="55"/>
      <c r="E266" s="57"/>
      <c r="F266" s="55"/>
      <c r="G266" s="55"/>
      <c r="H266" s="65"/>
      <c r="I266" s="36"/>
      <c r="K266" s="38"/>
    </row>
    <row r="267" spans="1:11" ht="19" customHeight="1">
      <c r="A267" s="66"/>
      <c r="B267" s="44" t="s">
        <v>124</v>
      </c>
      <c r="C267" s="68" t="s">
        <v>125</v>
      </c>
      <c r="D267" s="43">
        <f>D265*1.12</f>
        <v>305.64999999999998</v>
      </c>
      <c r="E267" s="57">
        <f>'BQ '!E36</f>
        <v>3000</v>
      </c>
      <c r="F267" s="55" t="str">
        <f>C267</f>
        <v>Rft</v>
      </c>
      <c r="G267" s="55">
        <f>D267*E267</f>
        <v>916950</v>
      </c>
      <c r="H267" s="65"/>
      <c r="I267" s="36"/>
      <c r="K267" s="38"/>
    </row>
    <row r="268" spans="1:11" ht="19" customHeight="1">
      <c r="A268" s="66"/>
      <c r="B268" s="41" t="s">
        <v>8</v>
      </c>
      <c r="C268" s="68"/>
      <c r="D268" s="43"/>
      <c r="E268" s="57"/>
      <c r="F268" s="55"/>
      <c r="G268" s="55"/>
      <c r="H268" s="65"/>
      <c r="I268" s="36"/>
      <c r="K268" s="38"/>
    </row>
    <row r="269" spans="1:11" ht="19" customHeight="1">
      <c r="A269" s="66"/>
      <c r="B269" s="44" t="s">
        <v>16</v>
      </c>
      <c r="C269" s="68" t="s">
        <v>22</v>
      </c>
      <c r="D269" s="43">
        <f>D265/100*3.333</f>
        <v>9.1</v>
      </c>
      <c r="E269" s="57">
        <f>'BQ '!E48</f>
        <v>25000</v>
      </c>
      <c r="F269" s="55" t="str">
        <f>C269</f>
        <v>No.</v>
      </c>
      <c r="G269" s="69">
        <f>D269*E269</f>
        <v>227500</v>
      </c>
      <c r="H269" s="65"/>
      <c r="I269" s="36"/>
      <c r="K269" s="38"/>
    </row>
    <row r="270" spans="1:11" ht="19" customHeight="1">
      <c r="A270" s="66"/>
      <c r="B270" s="44"/>
      <c r="C270" s="68"/>
      <c r="D270" s="43"/>
      <c r="E270" s="57"/>
      <c r="F270" s="55"/>
      <c r="G270" s="58">
        <f>SUM(G267:G269)</f>
        <v>1144450</v>
      </c>
      <c r="H270" s="65"/>
      <c r="I270" s="36"/>
      <c r="K270" s="38"/>
    </row>
    <row r="271" spans="1:11" ht="19.5" customHeight="1">
      <c r="A271" s="218">
        <f>Detail!A735</f>
        <v>15</v>
      </c>
      <c r="B271" s="227" t="s">
        <v>64</v>
      </c>
      <c r="C271" s="41" t="s">
        <v>86</v>
      </c>
      <c r="D271" s="115">
        <f>Detail!H750</f>
        <v>55.46</v>
      </c>
      <c r="E271" s="57"/>
      <c r="F271" s="41"/>
      <c r="G271" s="56"/>
      <c r="H271" s="294"/>
    </row>
    <row r="272" spans="1:11" ht="19.5" customHeight="1">
      <c r="A272" s="41"/>
      <c r="B272" s="41" t="s">
        <v>8</v>
      </c>
      <c r="C272" s="41"/>
      <c r="D272" s="115"/>
      <c r="E272" s="57"/>
      <c r="F272" s="41"/>
      <c r="G272" s="55"/>
      <c r="H272" s="294"/>
    </row>
    <row r="273" spans="1:8" ht="19.5" customHeight="1">
      <c r="A273" s="41"/>
      <c r="B273" s="44" t="s">
        <v>15</v>
      </c>
      <c r="C273" s="41" t="s">
        <v>79</v>
      </c>
      <c r="D273" s="115">
        <f>D271*0.5</f>
        <v>27.73</v>
      </c>
      <c r="E273" s="57">
        <f>E9</f>
        <v>18000</v>
      </c>
      <c r="F273" s="41" t="str">
        <f>C273</f>
        <v>No</v>
      </c>
      <c r="G273" s="69">
        <f>D273*E273</f>
        <v>499140</v>
      </c>
      <c r="H273" s="294"/>
    </row>
    <row r="274" spans="1:8" ht="19.5" customHeight="1">
      <c r="A274" s="41"/>
      <c r="B274" s="41"/>
      <c r="C274" s="41"/>
      <c r="D274" s="115"/>
      <c r="E274" s="57"/>
      <c r="F274" s="41"/>
      <c r="G274" s="58">
        <f>SUM(G273)</f>
        <v>499140</v>
      </c>
      <c r="H274" s="294"/>
    </row>
    <row r="275" spans="1:8" ht="19.5" customHeight="1">
      <c r="A275" s="41"/>
      <c r="B275" s="41"/>
      <c r="C275" s="41"/>
      <c r="D275" s="115"/>
      <c r="E275" s="57"/>
      <c r="F275" s="41"/>
      <c r="G275" s="55"/>
      <c r="H275" s="294"/>
    </row>
    <row r="276" spans="1:8" ht="19.5" customHeight="1">
      <c r="A276" s="41"/>
      <c r="B276" s="227" t="s">
        <v>61</v>
      </c>
      <c r="C276" s="41" t="s">
        <v>86</v>
      </c>
      <c r="D276" s="115">
        <f>Detail!H754</f>
        <v>4.79</v>
      </c>
      <c r="E276" s="57"/>
      <c r="F276" s="41"/>
      <c r="G276" s="55"/>
      <c r="H276" s="294"/>
    </row>
    <row r="277" spans="1:8" ht="19.5" customHeight="1">
      <c r="A277" s="41"/>
      <c r="B277" s="41" t="s">
        <v>8</v>
      </c>
      <c r="C277" s="41"/>
      <c r="D277" s="115"/>
      <c r="E277" s="57"/>
      <c r="F277" s="41"/>
      <c r="G277" s="55"/>
      <c r="H277" s="294"/>
    </row>
    <row r="278" spans="1:8" ht="19.5" customHeight="1">
      <c r="A278" s="41"/>
      <c r="B278" s="44" t="s">
        <v>15</v>
      </c>
      <c r="C278" s="41" t="s">
        <v>79</v>
      </c>
      <c r="D278" s="115">
        <f>D276*1</f>
        <v>4.79</v>
      </c>
      <c r="E278" s="57">
        <f>E9</f>
        <v>18000</v>
      </c>
      <c r="F278" s="41" t="str">
        <f>C278</f>
        <v>No</v>
      </c>
      <c r="G278" s="69">
        <f>D278*E278</f>
        <v>86220</v>
      </c>
      <c r="H278" s="294"/>
    </row>
    <row r="279" spans="1:8" ht="19.5" customHeight="1">
      <c r="A279" s="41"/>
      <c r="B279" s="41"/>
      <c r="C279" s="41"/>
      <c r="D279" s="115"/>
      <c r="E279" s="57"/>
      <c r="F279" s="41"/>
      <c r="G279" s="58">
        <f>SUM(G278)</f>
        <v>86220</v>
      </c>
      <c r="H279" s="294"/>
    </row>
    <row r="280" spans="1:8" ht="19.5" customHeight="1">
      <c r="A280" s="41"/>
      <c r="B280" s="41"/>
      <c r="C280" s="41"/>
      <c r="D280" s="115"/>
      <c r="E280" s="57"/>
      <c r="F280" s="41"/>
      <c r="G280" s="55"/>
      <c r="H280" s="294"/>
    </row>
    <row r="281" spans="1:8" ht="19.5" customHeight="1">
      <c r="A281" s="218">
        <f>Detail!A756</f>
        <v>16</v>
      </c>
      <c r="B281" s="227" t="s">
        <v>45</v>
      </c>
      <c r="C281" s="41"/>
      <c r="D281" s="115"/>
      <c r="E281" s="57"/>
      <c r="F281" s="41"/>
      <c r="G281" s="55"/>
      <c r="H281" s="294"/>
    </row>
    <row r="282" spans="1:8" ht="19.5" customHeight="1">
      <c r="A282" s="41"/>
      <c r="B282" s="227" t="s">
        <v>46</v>
      </c>
      <c r="C282" s="41" t="s">
        <v>86</v>
      </c>
      <c r="D282" s="115">
        <f>Detail!H767/100</f>
        <v>29.44</v>
      </c>
      <c r="E282" s="57"/>
      <c r="F282" s="41"/>
      <c r="G282" s="55"/>
      <c r="H282" s="294"/>
    </row>
    <row r="283" spans="1:8" ht="19.5" customHeight="1">
      <c r="A283" s="41"/>
      <c r="B283" s="41" t="s">
        <v>12</v>
      </c>
      <c r="C283" s="41"/>
      <c r="D283" s="115"/>
      <c r="E283" s="57"/>
      <c r="F283" s="41"/>
      <c r="G283" s="55"/>
      <c r="H283" s="294"/>
    </row>
    <row r="284" spans="1:8" ht="19.5" customHeight="1">
      <c r="A284" s="41"/>
      <c r="B284" s="44" t="s">
        <v>23</v>
      </c>
      <c r="C284" s="41" t="s">
        <v>89</v>
      </c>
      <c r="D284" s="115">
        <f>D282*1.25</f>
        <v>36.799999999999997</v>
      </c>
      <c r="E284" s="57">
        <f>'BQ '!E8</f>
        <v>56000</v>
      </c>
      <c r="F284" s="41" t="str">
        <f>C284</f>
        <v>Sud</v>
      </c>
      <c r="G284" s="55">
        <f>E284*D284</f>
        <v>2060800</v>
      </c>
      <c r="H284" s="294"/>
    </row>
    <row r="285" spans="1:8" ht="19.5" customHeight="1">
      <c r="A285" s="41"/>
      <c r="B285" s="41" t="s">
        <v>8</v>
      </c>
      <c r="C285" s="41"/>
      <c r="D285" s="115"/>
      <c r="E285" s="57"/>
      <c r="F285" s="41"/>
      <c r="G285" s="55"/>
      <c r="H285" s="294"/>
    </row>
    <row r="286" spans="1:8" ht="19.5" customHeight="1">
      <c r="A286" s="41"/>
      <c r="B286" s="44" t="s">
        <v>15</v>
      </c>
      <c r="C286" s="41" t="s">
        <v>79</v>
      </c>
      <c r="D286" s="115">
        <f>D282*1</f>
        <v>29.44</v>
      </c>
      <c r="E286" s="57">
        <f>E9</f>
        <v>18000</v>
      </c>
      <c r="F286" s="41" t="str">
        <f>C286</f>
        <v>No</v>
      </c>
      <c r="G286" s="69">
        <f>E286*D286</f>
        <v>529920</v>
      </c>
      <c r="H286" s="294"/>
    </row>
    <row r="287" spans="1:8" ht="19.5" customHeight="1">
      <c r="A287" s="41"/>
      <c r="B287" s="41"/>
      <c r="C287" s="41"/>
      <c r="D287" s="115"/>
      <c r="E287" s="57"/>
      <c r="F287" s="41"/>
      <c r="G287" s="58">
        <f>SUM(G284:G286)</f>
        <v>2590720</v>
      </c>
      <c r="H287" s="294"/>
    </row>
    <row r="288" spans="1:8" ht="19.5" customHeight="1">
      <c r="A288" s="41"/>
      <c r="B288" s="41"/>
      <c r="C288" s="41"/>
      <c r="D288" s="115"/>
      <c r="E288" s="57"/>
      <c r="F288" s="41"/>
      <c r="G288" s="55"/>
      <c r="H288" s="294"/>
    </row>
    <row r="289" spans="1:11" ht="20.149999999999999" customHeight="1">
      <c r="A289" s="51"/>
      <c r="B289" s="227" t="s">
        <v>133</v>
      </c>
      <c r="C289" s="51" t="s">
        <v>86</v>
      </c>
      <c r="D289" s="118">
        <f>Detail!H782/100</f>
        <v>5.32</v>
      </c>
      <c r="E289" s="53"/>
      <c r="F289" s="51"/>
      <c r="G289" s="54"/>
      <c r="H289" s="294"/>
    </row>
    <row r="290" spans="1:11" ht="20.149999999999999" customHeight="1">
      <c r="A290" s="41"/>
      <c r="B290" s="41" t="s">
        <v>12</v>
      </c>
      <c r="C290" s="41"/>
      <c r="D290" s="115"/>
      <c r="E290" s="57"/>
      <c r="F290" s="41"/>
      <c r="G290" s="55"/>
      <c r="H290" s="294"/>
      <c r="I290" s="37">
        <f>12*112</f>
        <v>1344</v>
      </c>
    </row>
    <row r="291" spans="1:11" ht="20.149999999999999" customHeight="1">
      <c r="A291" s="41"/>
      <c r="B291" s="44" t="s">
        <v>87</v>
      </c>
      <c r="C291" s="41" t="s">
        <v>88</v>
      </c>
      <c r="D291" s="115">
        <f>D289*1440/112</f>
        <v>68.400000000000006</v>
      </c>
      <c r="E291" s="57">
        <f>E39</f>
        <v>22000</v>
      </c>
      <c r="F291" s="41" t="str">
        <f>C291</f>
        <v>Bag</v>
      </c>
      <c r="G291" s="55">
        <f>E291*D291</f>
        <v>1504800</v>
      </c>
      <c r="H291" s="294"/>
      <c r="I291" s="37">
        <f>1440/112</f>
        <v>12.8571428571429</v>
      </c>
    </row>
    <row r="292" spans="1:11" ht="20.149999999999999" customHeight="1">
      <c r="A292" s="41"/>
      <c r="B292" s="44" t="s">
        <v>23</v>
      </c>
      <c r="C292" s="41" t="s">
        <v>89</v>
      </c>
      <c r="D292" s="115">
        <f>D289*0.48</f>
        <v>2.5499999999999998</v>
      </c>
      <c r="E292" s="57">
        <f>'BQ '!E8</f>
        <v>56000</v>
      </c>
      <c r="F292" s="41" t="str">
        <f>C292</f>
        <v>Sud</v>
      </c>
      <c r="G292" s="55">
        <f>E292*D292</f>
        <v>142800</v>
      </c>
      <c r="H292" s="294"/>
    </row>
    <row r="293" spans="1:11" ht="20.149999999999999" customHeight="1">
      <c r="A293" s="41"/>
      <c r="B293" s="44" t="s">
        <v>35</v>
      </c>
      <c r="C293" s="41" t="s">
        <v>89</v>
      </c>
      <c r="D293" s="115">
        <f>D289*0.96</f>
        <v>5.1100000000000003</v>
      </c>
      <c r="E293" s="57">
        <f>E41</f>
        <v>220000</v>
      </c>
      <c r="F293" s="41" t="str">
        <f>C293</f>
        <v>Sud</v>
      </c>
      <c r="G293" s="55">
        <f>E293*D293</f>
        <v>1124200</v>
      </c>
      <c r="H293" s="294"/>
    </row>
    <row r="294" spans="1:11" ht="20.149999999999999" customHeight="1">
      <c r="A294" s="41"/>
      <c r="B294" s="44" t="s">
        <v>36</v>
      </c>
      <c r="C294" s="41" t="s">
        <v>20</v>
      </c>
      <c r="D294" s="115">
        <f>D289*2</f>
        <v>10.64</v>
      </c>
      <c r="E294" s="57">
        <f>E42</f>
        <v>15000</v>
      </c>
      <c r="F294" s="41" t="str">
        <f>C294</f>
        <v>Gal</v>
      </c>
      <c r="G294" s="55">
        <f>E294*D294</f>
        <v>159600</v>
      </c>
      <c r="H294" s="294"/>
    </row>
    <row r="295" spans="1:11" ht="20.149999999999999" customHeight="1">
      <c r="A295" s="41"/>
      <c r="B295" s="41" t="s">
        <v>8</v>
      </c>
      <c r="C295" s="41"/>
      <c r="D295" s="115"/>
      <c r="E295" s="57"/>
      <c r="F295" s="41"/>
      <c r="G295" s="55"/>
      <c r="H295" s="294"/>
    </row>
    <row r="296" spans="1:11" ht="20.149999999999999" customHeight="1">
      <c r="A296" s="41"/>
      <c r="B296" s="44" t="s">
        <v>17</v>
      </c>
      <c r="C296" s="41" t="s">
        <v>79</v>
      </c>
      <c r="D296" s="115">
        <f>D289*1</f>
        <v>5.32</v>
      </c>
      <c r="E296" s="57">
        <f>'BQ '!E46</f>
        <v>25000</v>
      </c>
      <c r="F296" s="41" t="str">
        <f>C296</f>
        <v>No</v>
      </c>
      <c r="G296" s="55">
        <f>E296*D296</f>
        <v>133000</v>
      </c>
      <c r="H296" s="294"/>
    </row>
    <row r="297" spans="1:11" ht="20.149999999999999" customHeight="1">
      <c r="A297" s="41"/>
      <c r="B297" s="44" t="s">
        <v>37</v>
      </c>
      <c r="C297" s="41" t="s">
        <v>79</v>
      </c>
      <c r="D297" s="115">
        <f>D289*0.5</f>
        <v>2.66</v>
      </c>
      <c r="E297" s="57">
        <f>E45</f>
        <v>25000</v>
      </c>
      <c r="F297" s="41" t="str">
        <f>C297</f>
        <v>No</v>
      </c>
      <c r="G297" s="55">
        <f>E297*D297</f>
        <v>66500</v>
      </c>
      <c r="H297" s="294"/>
    </row>
    <row r="298" spans="1:11" ht="20.149999999999999" customHeight="1">
      <c r="A298" s="41"/>
      <c r="B298" s="44" t="s">
        <v>15</v>
      </c>
      <c r="C298" s="41" t="s">
        <v>79</v>
      </c>
      <c r="D298" s="115">
        <f>D289*6</f>
        <v>31.92</v>
      </c>
      <c r="E298" s="57">
        <f>E19</f>
        <v>18000</v>
      </c>
      <c r="F298" s="41" t="str">
        <f>C298</f>
        <v>No</v>
      </c>
      <c r="G298" s="69">
        <f>E298*D298</f>
        <v>574560</v>
      </c>
      <c r="H298" s="294"/>
    </row>
    <row r="299" spans="1:11" ht="20.149999999999999" customHeight="1">
      <c r="A299" s="41"/>
      <c r="B299" s="41"/>
      <c r="C299" s="41"/>
      <c r="D299" s="115"/>
      <c r="E299" s="57"/>
      <c r="F299" s="41"/>
      <c r="G299" s="58">
        <f>SUM(G291:G298)</f>
        <v>3705460</v>
      </c>
      <c r="H299" s="294"/>
    </row>
    <row r="300" spans="1:11" ht="20.149999999999999" customHeight="1">
      <c r="A300" s="41"/>
      <c r="B300" s="41"/>
      <c r="C300" s="41"/>
      <c r="D300" s="115"/>
      <c r="E300" s="57"/>
      <c r="F300" s="41"/>
      <c r="G300" s="55"/>
      <c r="H300" s="294"/>
    </row>
    <row r="301" spans="1:11" ht="20.149999999999999" customHeight="1">
      <c r="A301" s="41"/>
      <c r="B301" s="227" t="str">
        <f>Detail!B784</f>
        <v>( c ) 1½"Thk; Floor Topping Work</v>
      </c>
      <c r="C301" s="67" t="str">
        <f>Detail!I792</f>
        <v>Fs</v>
      </c>
      <c r="D301" s="115">
        <f>Detail!H792</f>
        <v>1805.59</v>
      </c>
      <c r="E301" s="57"/>
      <c r="F301" s="41"/>
      <c r="G301" s="55"/>
      <c r="H301" s="294"/>
    </row>
    <row r="302" spans="1:11" ht="20.149999999999999" customHeight="1">
      <c r="A302" s="41"/>
      <c r="B302" s="41"/>
      <c r="C302" s="41" t="s">
        <v>91</v>
      </c>
      <c r="D302" s="115">
        <f>D301/100</f>
        <v>18.059999999999999</v>
      </c>
      <c r="E302" s="57"/>
      <c r="F302" s="41"/>
      <c r="G302" s="55"/>
      <c r="H302" s="294"/>
    </row>
    <row r="303" spans="1:11" ht="18" customHeight="1">
      <c r="A303" s="72"/>
      <c r="B303" s="218" t="s">
        <v>12</v>
      </c>
      <c r="C303" s="73"/>
      <c r="D303" s="219"/>
      <c r="E303" s="220"/>
      <c r="F303" s="219"/>
      <c r="G303" s="219"/>
      <c r="H303" s="221"/>
      <c r="J303" s="38"/>
      <c r="K303" s="38"/>
    </row>
    <row r="304" spans="1:11" ht="18" customHeight="1">
      <c r="A304" s="66"/>
      <c r="B304" s="44" t="s">
        <v>87</v>
      </c>
      <c r="C304" s="67" t="s">
        <v>88</v>
      </c>
      <c r="D304" s="222">
        <f>D302*259/112</f>
        <v>41.76</v>
      </c>
      <c r="E304" s="223">
        <f>E39</f>
        <v>22000</v>
      </c>
      <c r="F304" s="222" t="str">
        <f>C304</f>
        <v>Bag</v>
      </c>
      <c r="G304" s="222">
        <f>D304*E304</f>
        <v>918720</v>
      </c>
      <c r="H304" s="221"/>
      <c r="J304" s="38"/>
      <c r="K304" s="38"/>
    </row>
    <row r="305" spans="1:11" ht="18" customHeight="1">
      <c r="A305" s="66"/>
      <c r="B305" s="44" t="s">
        <v>23</v>
      </c>
      <c r="C305" s="67" t="s">
        <v>89</v>
      </c>
      <c r="D305" s="222">
        <f>D302*5.75/100</f>
        <v>1.04</v>
      </c>
      <c r="E305" s="223">
        <f>'BQ '!E8</f>
        <v>56000</v>
      </c>
      <c r="F305" s="222" t="str">
        <f>C305</f>
        <v>Sud</v>
      </c>
      <c r="G305" s="222">
        <f>D305*E305</f>
        <v>58240</v>
      </c>
      <c r="H305" s="221"/>
      <c r="J305" s="38"/>
      <c r="K305" s="38"/>
    </row>
    <row r="306" spans="1:11" ht="18" customHeight="1">
      <c r="A306" s="66"/>
      <c r="B306" s="44" t="s">
        <v>35</v>
      </c>
      <c r="C306" s="67" t="s">
        <v>89</v>
      </c>
      <c r="D306" s="222">
        <f>D302*11.5/100</f>
        <v>2.08</v>
      </c>
      <c r="E306" s="223">
        <f>'BQ '!E11</f>
        <v>220000</v>
      </c>
      <c r="F306" s="222" t="str">
        <f>C306</f>
        <v>Sud</v>
      </c>
      <c r="G306" s="222">
        <f>D306*E306</f>
        <v>457600</v>
      </c>
      <c r="H306" s="221"/>
      <c r="J306" s="38"/>
      <c r="K306" s="38"/>
    </row>
    <row r="307" spans="1:11" ht="18" customHeight="1">
      <c r="A307" s="66"/>
      <c r="B307" s="218" t="s">
        <v>8</v>
      </c>
      <c r="C307" s="67"/>
      <c r="D307" s="222"/>
      <c r="E307" s="223"/>
      <c r="F307" s="222"/>
      <c r="G307" s="222"/>
      <c r="H307" s="221"/>
      <c r="J307" s="38"/>
      <c r="K307" s="38"/>
    </row>
    <row r="308" spans="1:11" ht="18" customHeight="1">
      <c r="A308" s="66"/>
      <c r="B308" s="44" t="s">
        <v>17</v>
      </c>
      <c r="C308" s="67" t="s">
        <v>79</v>
      </c>
      <c r="D308" s="222">
        <f>D302*(0.75)</f>
        <v>13.55</v>
      </c>
      <c r="E308" s="223">
        <f>'BQ '!E46</f>
        <v>25000</v>
      </c>
      <c r="F308" s="222" t="str">
        <f>C308</f>
        <v>No</v>
      </c>
      <c r="G308" s="55">
        <f>E308*D308</f>
        <v>338750</v>
      </c>
      <c r="H308" s="207"/>
      <c r="J308" s="38"/>
      <c r="K308" s="38"/>
    </row>
    <row r="309" spans="1:11" ht="18" customHeight="1">
      <c r="A309" s="66"/>
      <c r="B309" s="44" t="s">
        <v>15</v>
      </c>
      <c r="C309" s="67" t="s">
        <v>79</v>
      </c>
      <c r="D309" s="222">
        <f>D302*1.5</f>
        <v>27.09</v>
      </c>
      <c r="E309" s="223">
        <f>'BQ '!E51</f>
        <v>18000</v>
      </c>
      <c r="F309" s="222" t="str">
        <f>C309</f>
        <v>No</v>
      </c>
      <c r="G309" s="224">
        <f>D309*E309</f>
        <v>487620</v>
      </c>
      <c r="H309" s="207"/>
      <c r="I309" s="225"/>
      <c r="J309" s="38"/>
      <c r="K309" s="38"/>
    </row>
    <row r="310" spans="1:11" ht="18" customHeight="1">
      <c r="A310" s="66"/>
      <c r="B310" s="44"/>
      <c r="C310" s="67"/>
      <c r="D310" s="222"/>
      <c r="E310" s="223"/>
      <c r="F310" s="222"/>
      <c r="G310" s="226">
        <f>SUM(G304:G309)</f>
        <v>2260930</v>
      </c>
      <c r="H310" s="221"/>
      <c r="J310" s="38"/>
      <c r="K310" s="38"/>
    </row>
    <row r="311" spans="1:11" ht="20.149999999999999" customHeight="1">
      <c r="A311" s="41"/>
      <c r="B311" s="41"/>
      <c r="C311" s="41"/>
      <c r="D311" s="115"/>
      <c r="E311" s="57"/>
      <c r="F311" s="41"/>
      <c r="G311" s="55"/>
      <c r="H311" s="294"/>
    </row>
    <row r="312" spans="1:11" ht="20.149999999999999" customHeight="1">
      <c r="A312" s="218">
        <f>Detail!A794</f>
        <v>17</v>
      </c>
      <c r="B312" s="227" t="str">
        <f>Detail!B794</f>
        <v>Scaffolding Work</v>
      </c>
      <c r="C312" s="67" t="str">
        <f>Detail!I795</f>
        <v>Fs</v>
      </c>
      <c r="D312" s="115">
        <f>Detail!H795</f>
        <v>3210</v>
      </c>
      <c r="E312" s="57"/>
      <c r="F312" s="41"/>
      <c r="G312" s="55"/>
      <c r="H312" s="294"/>
    </row>
    <row r="313" spans="1:11" ht="20.149999999999999" customHeight="1">
      <c r="A313" s="41"/>
      <c r="B313" s="41" t="s">
        <v>12</v>
      </c>
      <c r="C313" s="203"/>
      <c r="D313" s="204"/>
      <c r="E313" s="205"/>
      <c r="F313" s="203"/>
      <c r="G313" s="206"/>
      <c r="H313" s="207"/>
      <c r="J313" s="38"/>
      <c r="K313" s="38"/>
    </row>
    <row r="314" spans="1:11" ht="20.149999999999999" customHeight="1">
      <c r="A314" s="41"/>
      <c r="B314" s="44" t="s">
        <v>331</v>
      </c>
      <c r="C314" s="203" t="s">
        <v>79</v>
      </c>
      <c r="D314" s="208">
        <f>ROUND(D312/144*7/2,0)</f>
        <v>78</v>
      </c>
      <c r="E314" s="209">
        <f>'BQ '!E41</f>
        <v>2000</v>
      </c>
      <c r="F314" s="203" t="str">
        <f>C314</f>
        <v>No</v>
      </c>
      <c r="G314" s="206">
        <f>D314*E314</f>
        <v>156000</v>
      </c>
      <c r="H314" s="38"/>
      <c r="I314" s="38"/>
      <c r="J314" s="38"/>
      <c r="K314" s="38"/>
    </row>
    <row r="315" spans="1:11" ht="20.149999999999999" customHeight="1">
      <c r="A315" s="41"/>
      <c r="B315" s="44" t="s">
        <v>332</v>
      </c>
      <c r="C315" s="203" t="s">
        <v>135</v>
      </c>
      <c r="D315" s="208">
        <f>D312/144*0.5</f>
        <v>11.15</v>
      </c>
      <c r="E315" s="209">
        <f>'BQ '!E42</f>
        <v>15000</v>
      </c>
      <c r="F315" s="203" t="str">
        <f>C315</f>
        <v>Viss</v>
      </c>
      <c r="G315" s="206">
        <f>D315*E315</f>
        <v>167250</v>
      </c>
      <c r="H315" s="38"/>
      <c r="I315" s="38"/>
      <c r="J315" s="38"/>
      <c r="K315" s="38"/>
    </row>
    <row r="316" spans="1:11" ht="20.149999999999999" customHeight="1">
      <c r="A316" s="41"/>
      <c r="B316" s="44" t="s">
        <v>39</v>
      </c>
      <c r="C316" s="210" t="s">
        <v>135</v>
      </c>
      <c r="D316" s="211">
        <f>ROUND(D312/144*0.75,0)/3.6</f>
        <v>4.72</v>
      </c>
      <c r="E316" s="209">
        <f>E146</f>
        <v>10000</v>
      </c>
      <c r="F316" s="203" t="str">
        <f>C316</f>
        <v>Viss</v>
      </c>
      <c r="G316" s="206">
        <f>D316*E316</f>
        <v>47200</v>
      </c>
      <c r="H316" s="38"/>
      <c r="I316" s="38"/>
      <c r="J316" s="38"/>
      <c r="K316" s="38"/>
    </row>
    <row r="317" spans="1:11" ht="20.149999999999999" customHeight="1">
      <c r="A317" s="41"/>
      <c r="B317" s="41" t="s">
        <v>8</v>
      </c>
      <c r="C317" s="203"/>
      <c r="D317" s="204"/>
      <c r="E317" s="209"/>
      <c r="F317" s="203"/>
      <c r="G317" s="206"/>
      <c r="H317" s="38"/>
      <c r="I317" s="38"/>
      <c r="J317" s="38"/>
      <c r="K317" s="38"/>
    </row>
    <row r="318" spans="1:11" ht="20.149999999999999" customHeight="1">
      <c r="A318" s="41"/>
      <c r="B318" s="44" t="s">
        <v>15</v>
      </c>
      <c r="C318" s="203" t="s">
        <v>79</v>
      </c>
      <c r="D318" s="208">
        <f>ROUND(D312/144*0.75,0)</f>
        <v>17</v>
      </c>
      <c r="E318" s="209">
        <f>'BQ '!E51</f>
        <v>18000</v>
      </c>
      <c r="F318" s="203" t="str">
        <f>C318</f>
        <v>No</v>
      </c>
      <c r="G318" s="212">
        <f>D318*E318</f>
        <v>306000</v>
      </c>
      <c r="H318" s="38"/>
      <c r="I318" s="38"/>
      <c r="J318" s="38"/>
      <c r="K318" s="38"/>
    </row>
    <row r="319" spans="1:11" ht="20.149999999999999" customHeight="1">
      <c r="A319" s="213"/>
      <c r="B319" s="214"/>
      <c r="C319" s="215"/>
      <c r="D319" s="216"/>
      <c r="E319" s="217"/>
      <c r="F319" s="215"/>
      <c r="G319" s="244">
        <f>SUM(G314:G318)</f>
        <v>676450</v>
      </c>
      <c r="H319" s="38"/>
      <c r="I319" s="38"/>
      <c r="J319" s="38"/>
      <c r="K319" s="38"/>
    </row>
    <row r="320" spans="1:11" ht="20.149999999999999" customHeight="1">
      <c r="A320" s="41"/>
      <c r="B320" s="41"/>
      <c r="C320" s="41"/>
      <c r="D320" s="115"/>
      <c r="E320" s="57"/>
      <c r="F320" s="41"/>
      <c r="G320" s="55"/>
      <c r="H320" s="294"/>
    </row>
    <row r="321" spans="1:11" ht="20.149999999999999" customHeight="1">
      <c r="A321" s="218">
        <f>Detail!A798</f>
        <v>18</v>
      </c>
      <c r="B321" s="227" t="s">
        <v>71</v>
      </c>
      <c r="C321" s="41" t="s">
        <v>91</v>
      </c>
      <c r="D321" s="115">
        <f>Detail!H800</f>
        <v>44.88</v>
      </c>
      <c r="E321" s="57"/>
      <c r="F321" s="41"/>
      <c r="G321" s="55"/>
      <c r="H321" s="294"/>
    </row>
    <row r="322" spans="1:11" ht="20.149999999999999" customHeight="1">
      <c r="A322" s="41"/>
      <c r="B322" s="41" t="s">
        <v>8</v>
      </c>
      <c r="C322" s="41"/>
      <c r="D322" s="115"/>
      <c r="E322" s="57"/>
      <c r="F322" s="41"/>
      <c r="G322" s="55"/>
      <c r="H322" s="294"/>
    </row>
    <row r="323" spans="1:11" ht="20.149999999999999" customHeight="1">
      <c r="A323" s="41"/>
      <c r="B323" s="44" t="s">
        <v>15</v>
      </c>
      <c r="C323" s="41" t="s">
        <v>79</v>
      </c>
      <c r="D323" s="115">
        <f>D321*0.25</f>
        <v>11.22</v>
      </c>
      <c r="E323" s="57">
        <f>'BQ '!E51</f>
        <v>18000</v>
      </c>
      <c r="F323" s="41" t="str">
        <f>C323</f>
        <v>No</v>
      </c>
      <c r="G323" s="69">
        <f>E323*D323</f>
        <v>201960</v>
      </c>
      <c r="H323" s="294"/>
    </row>
    <row r="324" spans="1:11" ht="20.149999999999999" customHeight="1">
      <c r="A324" s="41"/>
      <c r="B324" s="41"/>
      <c r="C324" s="41"/>
      <c r="D324" s="115"/>
      <c r="E324" s="57"/>
      <c r="F324" s="41"/>
      <c r="G324" s="58">
        <f>SUM(G323)</f>
        <v>201960</v>
      </c>
      <c r="H324" s="294"/>
    </row>
    <row r="325" spans="1:11" ht="20.149999999999999" customHeight="1">
      <c r="A325" s="41"/>
      <c r="B325" s="41"/>
      <c r="C325" s="41"/>
      <c r="D325" s="115"/>
      <c r="E325" s="57"/>
      <c r="F325" s="41"/>
      <c r="G325" s="55"/>
      <c r="H325" s="294"/>
    </row>
    <row r="326" spans="1:11" ht="30" customHeight="1">
      <c r="A326" s="321" t="s">
        <v>76</v>
      </c>
      <c r="B326" s="321"/>
      <c r="C326" s="321"/>
      <c r="D326" s="321"/>
      <c r="E326" s="321"/>
      <c r="F326" s="321"/>
      <c r="G326" s="120">
        <f>G324+G319+G310+G299+G287+G279+G274+G270+G264+G244+G222+G212+G199+G189+G176+G165+G152+G140+G126+G114+G104+G90+G80+G70+G57+G47+G35+G26+G20+G10+G235</f>
        <v>128375440</v>
      </c>
      <c r="H326" s="74"/>
      <c r="I326" s="59"/>
      <c r="J326" s="38"/>
      <c r="K326" s="49"/>
    </row>
    <row r="382" spans="9:9">
      <c r="I382" s="62" t="e">
        <f>#REF!+#REF!+1223755</f>
        <v>#REF!</v>
      </c>
    </row>
  </sheetData>
  <autoFilter ref="A4:G326" xr:uid="{C659A65D-D45E-488F-8303-B1220661726B}"/>
  <mergeCells count="11">
    <mergeCell ref="C4:C5"/>
    <mergeCell ref="A4:A5"/>
    <mergeCell ref="A1:G1"/>
    <mergeCell ref="A2:G2"/>
    <mergeCell ref="A326:F326"/>
    <mergeCell ref="F4:F5"/>
    <mergeCell ref="G4:G5"/>
    <mergeCell ref="E4:E5"/>
    <mergeCell ref="D4:D5"/>
    <mergeCell ref="A3:G3"/>
    <mergeCell ref="B4:B5"/>
  </mergeCells>
  <phoneticPr fontId="6" type="noConversion"/>
  <printOptions horizontalCentered="1"/>
  <pageMargins left="0.25" right="0.25" top="0.75" bottom="0.5" header="0.5" footer="0.25"/>
  <pageSetup paperSize="9" orientation="portrait" horizontalDpi="300" verticalDpi="300" r:id="rId1"/>
  <headerFooter alignWithMargins="0">
    <oddFooter>&amp;R&amp;P</oddFooter>
  </headerFooter>
  <ignoredErrors>
    <ignoredError sqref="E146" 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4F1F-F925-4EB4-B76E-A367CC472E5D}">
  <sheetPr codeName="Sheet5">
    <tabColor indexed="40"/>
  </sheetPr>
  <dimension ref="A1:P801"/>
  <sheetViews>
    <sheetView topLeftCell="A580" zoomScale="130" zoomScaleNormal="130" workbookViewId="0">
      <selection sqref="A1:I800"/>
    </sheetView>
  </sheetViews>
  <sheetFormatPr defaultColWidth="9.1796875" defaultRowHeight="11.5"/>
  <cols>
    <col min="1" max="1" width="3.81640625" style="84" customWidth="1"/>
    <col min="2" max="2" width="26.54296875" style="2" customWidth="1"/>
    <col min="3" max="3" width="5.7265625" style="110" customWidth="1"/>
    <col min="4" max="4" width="11" style="111" customWidth="1"/>
    <col min="5" max="5" width="10.81640625" style="112" customWidth="1"/>
    <col min="6" max="6" width="10.7265625" style="111" customWidth="1"/>
    <col min="7" max="7" width="10.453125" style="111" customWidth="1"/>
    <col min="8" max="8" width="11.54296875" style="111" bestFit="1" customWidth="1"/>
    <col min="9" max="9" width="11" style="114" bestFit="1" customWidth="1"/>
    <col min="10" max="10" width="10.1796875" style="6" customWidth="1"/>
    <col min="11" max="11" width="9.81640625" style="6" customWidth="1"/>
    <col min="12" max="12" width="6.81640625" style="6" customWidth="1"/>
    <col min="13" max="13" width="5" style="6" customWidth="1"/>
    <col min="14" max="14" width="8.7265625" style="6" customWidth="1"/>
    <col min="15" max="15" width="7.54296875" style="6" customWidth="1"/>
    <col min="16" max="16" width="13.54296875" style="1" customWidth="1"/>
    <col min="17" max="17" width="11.54296875" style="2" bestFit="1" customWidth="1"/>
    <col min="18" max="16384" width="9.1796875" style="2"/>
  </cols>
  <sheetData>
    <row r="1" spans="1:15" s="5" customFormat="1" ht="22" customHeight="1">
      <c r="A1" s="308" t="str">
        <f>'BQ '!A1:G1</f>
        <v>One Storeyed RCC Building (46' 2" X 42' 6")</v>
      </c>
      <c r="B1" s="308"/>
      <c r="C1" s="308"/>
      <c r="D1" s="308"/>
      <c r="E1" s="308"/>
      <c r="F1" s="308"/>
      <c r="G1" s="308"/>
      <c r="H1" s="308"/>
      <c r="I1" s="308"/>
      <c r="J1" s="266"/>
    </row>
    <row r="2" spans="1:15" s="27" customFormat="1" ht="22" customHeight="1">
      <c r="A2" s="331" t="str">
        <f>'BQ '!A2:G2</f>
        <v>Main Building (အုတ္စီ၊ ေခ်ာ၊ က်ည္းေဘာင္ေထာင္၊ အမိုးမိုး)</v>
      </c>
      <c r="B2" s="331"/>
      <c r="C2" s="331"/>
      <c r="D2" s="331"/>
      <c r="E2" s="331"/>
      <c r="F2" s="331"/>
      <c r="G2" s="331"/>
      <c r="H2" s="331"/>
      <c r="I2" s="331"/>
      <c r="J2" s="84"/>
    </row>
    <row r="3" spans="1:15" s="27" customFormat="1" ht="19.899999999999999" customHeight="1">
      <c r="A3" s="332" t="s">
        <v>9</v>
      </c>
      <c r="B3" s="332"/>
      <c r="C3" s="332"/>
      <c r="D3" s="332"/>
      <c r="E3" s="332"/>
      <c r="F3" s="332"/>
      <c r="G3" s="332"/>
      <c r="H3" s="332"/>
      <c r="I3" s="332"/>
      <c r="J3" s="85"/>
      <c r="K3" s="85"/>
      <c r="L3" s="85"/>
      <c r="M3" s="85"/>
      <c r="N3" s="85"/>
      <c r="O3" s="85"/>
    </row>
    <row r="4" spans="1:15" ht="17.149999999999999" customHeight="1">
      <c r="A4" s="307" t="s">
        <v>77</v>
      </c>
      <c r="B4" s="329" t="s">
        <v>78</v>
      </c>
      <c r="C4" s="333" t="s">
        <v>22</v>
      </c>
      <c r="D4" s="312" t="s">
        <v>10</v>
      </c>
      <c r="E4" s="312"/>
      <c r="F4" s="312"/>
      <c r="G4" s="312" t="s">
        <v>11</v>
      </c>
      <c r="H4" s="312" t="s">
        <v>83</v>
      </c>
      <c r="I4" s="87" t="s">
        <v>85</v>
      </c>
    </row>
    <row r="5" spans="1:15" ht="17.149999999999999" customHeight="1">
      <c r="A5" s="307"/>
      <c r="B5" s="330"/>
      <c r="C5" s="333"/>
      <c r="D5" s="86" t="s">
        <v>80</v>
      </c>
      <c r="E5" s="86" t="s">
        <v>81</v>
      </c>
      <c r="F5" s="86" t="s">
        <v>82</v>
      </c>
      <c r="G5" s="312"/>
      <c r="H5" s="312"/>
      <c r="I5" s="88" t="s">
        <v>84</v>
      </c>
    </row>
    <row r="6" spans="1:15" ht="20.5" customHeight="1">
      <c r="A6" s="185">
        <v>1</v>
      </c>
      <c r="B6" s="186" t="s">
        <v>43</v>
      </c>
      <c r="C6" s="161">
        <v>1</v>
      </c>
      <c r="D6" s="130">
        <f>46+10+10</f>
        <v>66</v>
      </c>
      <c r="E6" s="130">
        <f>48+10+10</f>
        <v>68</v>
      </c>
      <c r="F6" s="130"/>
      <c r="G6" s="130"/>
      <c r="H6" s="130">
        <f>C6*D6*E6</f>
        <v>4488</v>
      </c>
      <c r="I6" s="130" t="s">
        <v>7</v>
      </c>
    </row>
    <row r="7" spans="1:15" ht="20.5" customHeight="1">
      <c r="A7" s="28"/>
      <c r="B7" s="28"/>
      <c r="C7" s="31"/>
      <c r="D7" s="89"/>
      <c r="E7" s="89"/>
      <c r="F7" s="89"/>
      <c r="G7" s="89"/>
      <c r="H7" s="89">
        <f>H6/100</f>
        <v>44.88</v>
      </c>
      <c r="I7" s="89" t="s">
        <v>91</v>
      </c>
    </row>
    <row r="8" spans="1:15" ht="20.5" customHeight="1">
      <c r="A8" s="28"/>
      <c r="B8" s="28"/>
      <c r="C8" s="31"/>
      <c r="D8" s="89"/>
      <c r="E8" s="89"/>
      <c r="F8" s="89"/>
      <c r="G8" s="89"/>
      <c r="H8" s="89"/>
      <c r="I8" s="89"/>
    </row>
    <row r="9" spans="1:15" ht="20.5" customHeight="1">
      <c r="A9" s="97">
        <v>2</v>
      </c>
      <c r="B9" s="98" t="s">
        <v>44</v>
      </c>
      <c r="C9" s="31">
        <f>C6</f>
        <v>1</v>
      </c>
      <c r="D9" s="89">
        <f>46+10</f>
        <v>56</v>
      </c>
      <c r="E9" s="89">
        <f>48+10</f>
        <v>58</v>
      </c>
      <c r="F9" s="89"/>
      <c r="G9" s="89"/>
      <c r="H9" s="89">
        <f>C9*D9*E9</f>
        <v>3248</v>
      </c>
      <c r="I9" s="89" t="s">
        <v>7</v>
      </c>
    </row>
    <row r="10" spans="1:15" ht="20.5" customHeight="1">
      <c r="A10" s="28"/>
      <c r="B10" s="28"/>
      <c r="C10" s="31"/>
      <c r="D10" s="89"/>
      <c r="E10" s="89"/>
      <c r="F10" s="89"/>
      <c r="G10" s="89"/>
      <c r="H10" s="91">
        <f>H9/100</f>
        <v>32.479999999999997</v>
      </c>
      <c r="I10" s="91" t="s">
        <v>91</v>
      </c>
      <c r="J10" s="127"/>
    </row>
    <row r="11" spans="1:15" ht="20.5" customHeight="1">
      <c r="A11" s="28"/>
      <c r="B11" s="28"/>
      <c r="C11" s="31"/>
      <c r="D11" s="89"/>
      <c r="E11" s="89"/>
      <c r="F11" s="89"/>
      <c r="G11" s="89"/>
      <c r="H11" s="91"/>
      <c r="I11" s="91"/>
      <c r="J11" s="127"/>
    </row>
    <row r="12" spans="1:15" ht="20.5" customHeight="1">
      <c r="A12" s="28">
        <v>3</v>
      </c>
      <c r="B12" s="162" t="s">
        <v>42</v>
      </c>
      <c r="C12" s="31"/>
      <c r="D12" s="89"/>
      <c r="E12" s="89"/>
      <c r="F12" s="89"/>
      <c r="G12" s="89"/>
      <c r="H12" s="89"/>
      <c r="I12" s="89"/>
    </row>
    <row r="13" spans="1:15" ht="20.5" customHeight="1">
      <c r="A13" s="28"/>
      <c r="B13" s="30" t="s">
        <v>137</v>
      </c>
      <c r="C13" s="31">
        <v>5</v>
      </c>
      <c r="D13" s="89">
        <v>5</v>
      </c>
      <c r="E13" s="89">
        <v>5</v>
      </c>
      <c r="F13" s="89">
        <f>4.75</f>
        <v>4.75</v>
      </c>
      <c r="G13" s="89"/>
      <c r="H13" s="89">
        <f>C13*D13*E13*F13</f>
        <v>593.75</v>
      </c>
      <c r="I13" s="89" t="s">
        <v>14</v>
      </c>
      <c r="K13" s="6">
        <f>1.2*3.281</f>
        <v>3.94</v>
      </c>
      <c r="L13" s="6">
        <f>18*3+4+20+18+4</f>
        <v>100</v>
      </c>
    </row>
    <row r="14" spans="1:15" ht="20.5" customHeight="1">
      <c r="A14" s="28"/>
      <c r="B14" s="30" t="s">
        <v>138</v>
      </c>
      <c r="C14" s="31">
        <v>13</v>
      </c>
      <c r="D14" s="89">
        <v>6</v>
      </c>
      <c r="E14" s="89">
        <v>6</v>
      </c>
      <c r="F14" s="89">
        <v>4.75</v>
      </c>
      <c r="G14" s="89"/>
      <c r="H14" s="89">
        <f>C14*D14*E14*F14</f>
        <v>2223</v>
      </c>
      <c r="I14" s="89" t="s">
        <v>14</v>
      </c>
    </row>
    <row r="15" spans="1:15" ht="20.5" customHeight="1">
      <c r="A15" s="28"/>
      <c r="B15" s="30" t="s">
        <v>139</v>
      </c>
      <c r="C15" s="31">
        <v>6</v>
      </c>
      <c r="D15" s="89">
        <v>7</v>
      </c>
      <c r="E15" s="89">
        <v>7</v>
      </c>
      <c r="F15" s="89">
        <v>4.75</v>
      </c>
      <c r="G15" s="89"/>
      <c r="H15" s="89">
        <f>C15*D15*E15*F15</f>
        <v>1396.5</v>
      </c>
      <c r="I15" s="89" t="s">
        <v>14</v>
      </c>
    </row>
    <row r="16" spans="1:15" ht="20.5" customHeight="1">
      <c r="A16" s="28"/>
      <c r="B16" s="98"/>
      <c r="C16" s="163">
        <f>C13+C14+C15</f>
        <v>24</v>
      </c>
      <c r="D16" s="89"/>
      <c r="E16" s="89"/>
      <c r="F16" s="89"/>
      <c r="G16" s="89"/>
      <c r="H16" s="89"/>
      <c r="I16" s="89"/>
    </row>
    <row r="17" spans="1:11" ht="19.5" customHeight="1">
      <c r="A17" s="28"/>
      <c r="B17" s="98" t="s">
        <v>129</v>
      </c>
      <c r="C17" s="31"/>
      <c r="D17" s="89"/>
      <c r="E17" s="89"/>
      <c r="F17" s="89"/>
      <c r="G17" s="89"/>
      <c r="H17" s="89"/>
      <c r="I17" s="89"/>
      <c r="K17" s="6">
        <f>3.5+10+10+-1+2+1</f>
        <v>25.5</v>
      </c>
    </row>
    <row r="18" spans="1:11" ht="19.5" customHeight="1">
      <c r="A18" s="28"/>
      <c r="B18" s="30" t="s">
        <v>140</v>
      </c>
      <c r="C18" s="31">
        <v>1</v>
      </c>
      <c r="D18" s="89">
        <f>42.17-D13*1-D14*3</f>
        <v>19.170000000000002</v>
      </c>
      <c r="E18" s="89">
        <v>2.67</v>
      </c>
      <c r="F18" s="89">
        <v>3</v>
      </c>
      <c r="G18" s="89"/>
      <c r="H18" s="89">
        <f t="shared" ref="H18:H30" si="0">C18*D18*E18*F18</f>
        <v>153.55000000000001</v>
      </c>
      <c r="I18" s="89" t="s">
        <v>14</v>
      </c>
    </row>
    <row r="19" spans="1:11" ht="19.5" customHeight="1">
      <c r="A19" s="28"/>
      <c r="B19" s="30" t="s">
        <v>141</v>
      </c>
      <c r="C19" s="31">
        <v>1</v>
      </c>
      <c r="D19" s="89">
        <f>42-E15*2-1.5*E14-E13*0.5</f>
        <v>16.5</v>
      </c>
      <c r="E19" s="89">
        <f t="shared" ref="E19:E27" si="1">E18</f>
        <v>2.67</v>
      </c>
      <c r="F19" s="89">
        <f t="shared" ref="F19:F27" si="2">F18</f>
        <v>3</v>
      </c>
      <c r="G19" s="89"/>
      <c r="H19" s="89">
        <f t="shared" si="0"/>
        <v>132.16999999999999</v>
      </c>
      <c r="I19" s="89" t="s">
        <v>14</v>
      </c>
    </row>
    <row r="20" spans="1:11" ht="19.5" customHeight="1">
      <c r="A20" s="28"/>
      <c r="B20" s="30" t="s">
        <v>142</v>
      </c>
      <c r="C20" s="31">
        <v>1</v>
      </c>
      <c r="D20" s="89">
        <f>35.67-E15*2.5-E14*0.5</f>
        <v>15.17</v>
      </c>
      <c r="E20" s="89">
        <f t="shared" si="1"/>
        <v>2.67</v>
      </c>
      <c r="F20" s="89">
        <f t="shared" si="2"/>
        <v>3</v>
      </c>
      <c r="G20" s="89"/>
      <c r="H20" s="89">
        <f t="shared" si="0"/>
        <v>121.51</v>
      </c>
      <c r="I20" s="89" t="s">
        <v>14</v>
      </c>
    </row>
    <row r="21" spans="1:11" ht="19.5" customHeight="1">
      <c r="A21" s="28"/>
      <c r="B21" s="30" t="s">
        <v>145</v>
      </c>
      <c r="C21" s="31">
        <v>1</v>
      </c>
      <c r="D21" s="89">
        <f>35.67-E15-E14*2</f>
        <v>16.670000000000002</v>
      </c>
      <c r="E21" s="89">
        <f t="shared" si="1"/>
        <v>2.67</v>
      </c>
      <c r="F21" s="89">
        <f t="shared" si="2"/>
        <v>3</v>
      </c>
      <c r="G21" s="89"/>
      <c r="H21" s="89">
        <f t="shared" si="0"/>
        <v>133.53</v>
      </c>
      <c r="I21" s="89" t="s">
        <v>14</v>
      </c>
    </row>
    <row r="22" spans="1:11" ht="19.5" customHeight="1">
      <c r="A22" s="28"/>
      <c r="B22" s="30" t="s">
        <v>146</v>
      </c>
      <c r="C22" s="31">
        <v>1</v>
      </c>
      <c r="D22" s="89">
        <f>29.33-E14*3</f>
        <v>11.33</v>
      </c>
      <c r="E22" s="89">
        <f t="shared" si="1"/>
        <v>2.67</v>
      </c>
      <c r="F22" s="89">
        <f t="shared" si="2"/>
        <v>3</v>
      </c>
      <c r="G22" s="89"/>
      <c r="H22" s="89">
        <f t="shared" si="0"/>
        <v>90.75</v>
      </c>
      <c r="I22" s="89" t="s">
        <v>14</v>
      </c>
    </row>
    <row r="23" spans="1:11" ht="19.5" customHeight="1">
      <c r="A23" s="28"/>
      <c r="B23" s="30" t="s">
        <v>147</v>
      </c>
      <c r="C23" s="31">
        <v>1</v>
      </c>
      <c r="D23" s="89">
        <f>46.33-E14*2.5-E15-E13</f>
        <v>19.329999999999998</v>
      </c>
      <c r="E23" s="89">
        <f t="shared" si="1"/>
        <v>2.67</v>
      </c>
      <c r="F23" s="89">
        <f t="shared" si="2"/>
        <v>3</v>
      </c>
      <c r="G23" s="89"/>
      <c r="H23" s="89">
        <f t="shared" si="0"/>
        <v>154.83000000000001</v>
      </c>
      <c r="I23" s="89" t="s">
        <v>14</v>
      </c>
    </row>
    <row r="24" spans="1:11" ht="19.5" customHeight="1">
      <c r="A24" s="28"/>
      <c r="B24" s="30" t="s">
        <v>148</v>
      </c>
      <c r="C24" s="31">
        <v>1</v>
      </c>
      <c r="D24" s="89">
        <f>46.33-E15-E14*3</f>
        <v>21.33</v>
      </c>
      <c r="E24" s="89">
        <f t="shared" si="1"/>
        <v>2.67</v>
      </c>
      <c r="F24" s="89">
        <f t="shared" si="2"/>
        <v>3</v>
      </c>
      <c r="G24" s="89"/>
      <c r="H24" s="89">
        <f t="shared" si="0"/>
        <v>170.85</v>
      </c>
      <c r="I24" s="89" t="s">
        <v>14</v>
      </c>
    </row>
    <row r="25" spans="1:11" ht="19.5" customHeight="1">
      <c r="A25" s="28"/>
      <c r="B25" s="30" t="s">
        <v>149</v>
      </c>
      <c r="C25" s="31">
        <v>1</v>
      </c>
      <c r="D25" s="89">
        <f>46.33-D15*3-D14</f>
        <v>19.329999999999998</v>
      </c>
      <c r="E25" s="89">
        <f t="shared" si="1"/>
        <v>2.67</v>
      </c>
      <c r="F25" s="89">
        <f t="shared" si="2"/>
        <v>3</v>
      </c>
      <c r="G25" s="89"/>
      <c r="H25" s="89">
        <f t="shared" si="0"/>
        <v>154.83000000000001</v>
      </c>
      <c r="I25" s="89" t="s">
        <v>14</v>
      </c>
    </row>
    <row r="26" spans="1:11" ht="19.5" customHeight="1">
      <c r="A26" s="28"/>
      <c r="B26" s="30" t="s">
        <v>150</v>
      </c>
      <c r="C26" s="31">
        <v>1</v>
      </c>
      <c r="D26" s="89">
        <f>37.83-D15-D14</f>
        <v>24.83</v>
      </c>
      <c r="E26" s="89">
        <f t="shared" si="1"/>
        <v>2.67</v>
      </c>
      <c r="F26" s="89">
        <f t="shared" si="2"/>
        <v>3</v>
      </c>
      <c r="G26" s="89"/>
      <c r="H26" s="89">
        <f t="shared" si="0"/>
        <v>198.89</v>
      </c>
      <c r="I26" s="89" t="s">
        <v>14</v>
      </c>
    </row>
    <row r="27" spans="1:11" ht="19.5" customHeight="1">
      <c r="A27" s="28"/>
      <c r="B27" s="30" t="s">
        <v>151</v>
      </c>
      <c r="C27" s="31">
        <v>1</v>
      </c>
      <c r="D27" s="89">
        <f>10.67-D13</f>
        <v>5.67</v>
      </c>
      <c r="E27" s="89">
        <f t="shared" si="1"/>
        <v>2.67</v>
      </c>
      <c r="F27" s="89">
        <f t="shared" si="2"/>
        <v>3</v>
      </c>
      <c r="G27" s="89"/>
      <c r="H27" s="89">
        <f t="shared" si="0"/>
        <v>45.42</v>
      </c>
      <c r="I27" s="89" t="s">
        <v>14</v>
      </c>
    </row>
    <row r="28" spans="1:11" ht="19.5" customHeight="1">
      <c r="A28" s="28"/>
      <c r="B28" s="30" t="s">
        <v>152</v>
      </c>
      <c r="C28" s="31">
        <v>1</v>
      </c>
      <c r="D28" s="89">
        <f>18.5</f>
        <v>18.5</v>
      </c>
      <c r="E28" s="89">
        <f>E20</f>
        <v>2.67</v>
      </c>
      <c r="F28" s="89">
        <f>F20</f>
        <v>3</v>
      </c>
      <c r="G28" s="89"/>
      <c r="H28" s="89">
        <f t="shared" si="0"/>
        <v>148.19</v>
      </c>
      <c r="I28" s="89" t="s">
        <v>14</v>
      </c>
    </row>
    <row r="29" spans="1:11" ht="19.5" customHeight="1">
      <c r="A29" s="28"/>
      <c r="B29" s="30" t="s">
        <v>153</v>
      </c>
      <c r="C29" s="31">
        <v>1</v>
      </c>
      <c r="D29" s="89">
        <f>27-E28*2.5</f>
        <v>20.329999999999998</v>
      </c>
      <c r="E29" s="89">
        <f>E28</f>
        <v>2.67</v>
      </c>
      <c r="F29" s="89">
        <f>F28</f>
        <v>3</v>
      </c>
      <c r="G29" s="89"/>
      <c r="H29" s="89">
        <f t="shared" si="0"/>
        <v>162.84</v>
      </c>
      <c r="I29" s="89" t="s">
        <v>14</v>
      </c>
    </row>
    <row r="30" spans="1:11" ht="19.5" customHeight="1">
      <c r="A30" s="28"/>
      <c r="B30" s="30" t="s">
        <v>154</v>
      </c>
      <c r="C30" s="31">
        <v>1</v>
      </c>
      <c r="D30" s="89">
        <f>10.67-E28+8.5-E28</f>
        <v>13.83</v>
      </c>
      <c r="E30" s="89">
        <f>E29</f>
        <v>2.67</v>
      </c>
      <c r="F30" s="89">
        <f>F29</f>
        <v>3</v>
      </c>
      <c r="G30" s="89"/>
      <c r="H30" s="89">
        <f t="shared" si="0"/>
        <v>110.78</v>
      </c>
      <c r="I30" s="89" t="s">
        <v>14</v>
      </c>
    </row>
    <row r="31" spans="1:11" ht="19.5" customHeight="1">
      <c r="A31" s="28"/>
      <c r="B31" s="30" t="s">
        <v>155</v>
      </c>
      <c r="C31" s="31">
        <v>2</v>
      </c>
      <c r="D31" s="89"/>
      <c r="E31" s="89"/>
      <c r="F31" s="89"/>
      <c r="G31" s="89"/>
      <c r="H31" s="89"/>
      <c r="I31" s="89"/>
    </row>
    <row r="32" spans="1:11" ht="19.5" customHeight="1">
      <c r="A32" s="28"/>
      <c r="B32" s="30" t="s">
        <v>156</v>
      </c>
      <c r="C32" s="31">
        <v>1</v>
      </c>
      <c r="D32" s="89">
        <f>9.17-D13</f>
        <v>4.17</v>
      </c>
      <c r="E32" s="89">
        <f>E30</f>
        <v>2.67</v>
      </c>
      <c r="F32" s="89">
        <f>F30</f>
        <v>3</v>
      </c>
      <c r="G32" s="89"/>
      <c r="H32" s="89">
        <f>C32*D32*E32*F32</f>
        <v>33.4</v>
      </c>
      <c r="I32" s="89" t="s">
        <v>14</v>
      </c>
    </row>
    <row r="33" spans="1:11" ht="19.5" customHeight="1">
      <c r="A33" s="28"/>
      <c r="B33" s="30"/>
      <c r="C33" s="31"/>
      <c r="D33" s="89"/>
      <c r="E33" s="89"/>
      <c r="F33" s="89"/>
      <c r="G33" s="89"/>
      <c r="H33" s="89"/>
      <c r="I33" s="89"/>
    </row>
    <row r="34" spans="1:11" ht="19.5" customHeight="1">
      <c r="A34" s="28"/>
      <c r="B34" s="30"/>
      <c r="C34" s="90"/>
      <c r="D34" s="89"/>
      <c r="E34" s="89"/>
      <c r="F34" s="89"/>
      <c r="G34" s="89">
        <f>SUM(G13:G33)</f>
        <v>0</v>
      </c>
      <c r="H34" s="89">
        <f>SUM(H13:H33)</f>
        <v>6024.79</v>
      </c>
      <c r="I34" s="89"/>
    </row>
    <row r="35" spans="1:11" ht="19.5" customHeight="1">
      <c r="A35" s="28"/>
      <c r="B35" s="28"/>
      <c r="C35" s="101"/>
      <c r="D35" s="89"/>
      <c r="E35" s="89"/>
      <c r="F35" s="89"/>
      <c r="G35" s="89"/>
      <c r="H35" s="89">
        <f>H34-G34</f>
        <v>6024.79</v>
      </c>
      <c r="I35" s="89" t="s">
        <v>14</v>
      </c>
    </row>
    <row r="36" spans="1:11" ht="19.5" customHeight="1">
      <c r="A36" s="28"/>
      <c r="B36" s="28"/>
      <c r="C36" s="31"/>
      <c r="D36" s="89"/>
      <c r="E36" s="89"/>
      <c r="F36" s="89"/>
      <c r="G36" s="89"/>
      <c r="H36" s="89">
        <f>H35/100</f>
        <v>60.25</v>
      </c>
      <c r="I36" s="89" t="s">
        <v>86</v>
      </c>
      <c r="K36" s="6">
        <f>H36*30000</f>
        <v>1807500</v>
      </c>
    </row>
    <row r="37" spans="1:11" ht="19.5" customHeight="1">
      <c r="A37" s="28">
        <v>4</v>
      </c>
      <c r="B37" s="28" t="s">
        <v>157</v>
      </c>
      <c r="C37" s="31"/>
      <c r="D37" s="89"/>
      <c r="E37" s="89"/>
      <c r="F37" s="89"/>
      <c r="G37" s="89"/>
      <c r="H37" s="89"/>
      <c r="I37" s="89"/>
    </row>
    <row r="38" spans="1:11" ht="19.5" customHeight="1">
      <c r="A38" s="28"/>
      <c r="B38" s="30" t="s">
        <v>137</v>
      </c>
      <c r="C38" s="31">
        <f>C13</f>
        <v>5</v>
      </c>
      <c r="D38" s="89">
        <v>4</v>
      </c>
      <c r="E38" s="89">
        <v>4</v>
      </c>
      <c r="F38" s="89">
        <v>0.75</v>
      </c>
      <c r="G38" s="89"/>
      <c r="H38" s="89">
        <f>C38*D38*E38*F38</f>
        <v>60</v>
      </c>
      <c r="I38" s="89" t="s">
        <v>14</v>
      </c>
    </row>
    <row r="39" spans="1:11" ht="19.5" customHeight="1">
      <c r="A39" s="28"/>
      <c r="B39" s="30" t="s">
        <v>138</v>
      </c>
      <c r="C39" s="31">
        <f>C14</f>
        <v>13</v>
      </c>
      <c r="D39" s="89">
        <v>5</v>
      </c>
      <c r="E39" s="89">
        <v>5</v>
      </c>
      <c r="F39" s="89">
        <v>0.75</v>
      </c>
      <c r="G39" s="89"/>
      <c r="H39" s="89">
        <f>C39*D39*E39*F39</f>
        <v>243.75</v>
      </c>
      <c r="I39" s="89" t="s">
        <v>14</v>
      </c>
    </row>
    <row r="40" spans="1:11" ht="19.5" customHeight="1">
      <c r="A40" s="28"/>
      <c r="B40" s="30" t="s">
        <v>139</v>
      </c>
      <c r="C40" s="31">
        <f>C15</f>
        <v>6</v>
      </c>
      <c r="D40" s="89">
        <v>6</v>
      </c>
      <c r="E40" s="89">
        <v>6</v>
      </c>
      <c r="F40" s="89">
        <v>0.75</v>
      </c>
      <c r="G40" s="89"/>
      <c r="H40" s="89">
        <f>C40*D40*E40*F40</f>
        <v>162</v>
      </c>
      <c r="I40" s="89" t="s">
        <v>14</v>
      </c>
    </row>
    <row r="41" spans="1:11" ht="19.5" customHeight="1">
      <c r="A41" s="28"/>
      <c r="B41" s="28"/>
      <c r="C41" s="31">
        <f>SUM(C38:C40)</f>
        <v>24</v>
      </c>
      <c r="D41" s="89"/>
      <c r="E41" s="89"/>
      <c r="F41" s="89"/>
      <c r="G41" s="89"/>
      <c r="H41" s="89">
        <f>SUM(H38:H40)</f>
        <v>465.75</v>
      </c>
      <c r="I41" s="89" t="s">
        <v>14</v>
      </c>
    </row>
    <row r="42" spans="1:11" ht="19.5" customHeight="1">
      <c r="A42" s="28"/>
      <c r="B42" s="28"/>
      <c r="C42" s="31"/>
      <c r="D42" s="89"/>
      <c r="E42" s="89"/>
      <c r="F42" s="89"/>
      <c r="G42" s="89"/>
      <c r="H42" s="89">
        <f>H41/100</f>
        <v>4.66</v>
      </c>
      <c r="I42" s="89" t="s">
        <v>86</v>
      </c>
    </row>
    <row r="43" spans="1:11" ht="19.5" customHeight="1">
      <c r="A43" s="28"/>
      <c r="B43" s="28"/>
      <c r="C43" s="31"/>
      <c r="D43" s="89"/>
      <c r="E43" s="89"/>
      <c r="F43" s="89"/>
      <c r="G43" s="89"/>
      <c r="H43" s="89"/>
      <c r="I43" s="89"/>
    </row>
    <row r="44" spans="1:11" ht="20.149999999999999" customHeight="1">
      <c r="A44" s="28">
        <v>5</v>
      </c>
      <c r="B44" s="98" t="s">
        <v>158</v>
      </c>
      <c r="C44" s="31"/>
      <c r="D44" s="89"/>
      <c r="E44" s="89"/>
      <c r="F44" s="89"/>
      <c r="G44" s="89"/>
      <c r="H44" s="89"/>
      <c r="I44" s="89"/>
    </row>
    <row r="45" spans="1:11" ht="20.149999999999999" customHeight="1">
      <c r="A45" s="28"/>
      <c r="B45" s="30" t="s">
        <v>137</v>
      </c>
      <c r="C45" s="31">
        <f>C13</f>
        <v>5</v>
      </c>
      <c r="D45" s="89">
        <v>3.5</v>
      </c>
      <c r="E45" s="89">
        <f>D45</f>
        <v>3.5</v>
      </c>
      <c r="F45" s="89">
        <v>0.25</v>
      </c>
      <c r="G45" s="89"/>
      <c r="H45" s="89">
        <f>C45*D45*E45*F45</f>
        <v>15.31</v>
      </c>
      <c r="I45" s="89" t="s">
        <v>14</v>
      </c>
    </row>
    <row r="46" spans="1:11" ht="20.149999999999999" customHeight="1">
      <c r="A46" s="28"/>
      <c r="B46" s="30" t="s">
        <v>138</v>
      </c>
      <c r="C46" s="31">
        <f>C14</f>
        <v>13</v>
      </c>
      <c r="D46" s="89">
        <v>4.5</v>
      </c>
      <c r="E46" s="89">
        <f>D46</f>
        <v>4.5</v>
      </c>
      <c r="F46" s="89">
        <v>0.25</v>
      </c>
      <c r="G46" s="89"/>
      <c r="H46" s="89">
        <f>C46*D46*E46*F46</f>
        <v>65.81</v>
      </c>
      <c r="I46" s="89" t="s">
        <v>14</v>
      </c>
    </row>
    <row r="47" spans="1:11" ht="20.149999999999999" customHeight="1">
      <c r="A47" s="28"/>
      <c r="B47" s="30" t="s">
        <v>139</v>
      </c>
      <c r="C47" s="31">
        <f>C15</f>
        <v>6</v>
      </c>
      <c r="D47" s="89">
        <v>5.5</v>
      </c>
      <c r="E47" s="89">
        <f>D47</f>
        <v>5.5</v>
      </c>
      <c r="F47" s="89">
        <v>0.25</v>
      </c>
      <c r="G47" s="89"/>
      <c r="H47" s="89">
        <f>C47*D47*E47*F47</f>
        <v>45.38</v>
      </c>
      <c r="I47" s="89" t="s">
        <v>14</v>
      </c>
    </row>
    <row r="48" spans="1:11" ht="20.149999999999999" customHeight="1">
      <c r="A48" s="28"/>
      <c r="B48" s="30"/>
      <c r="C48" s="31">
        <f>SUM(C45:C47)</f>
        <v>24</v>
      </c>
      <c r="D48" s="89"/>
      <c r="E48" s="89"/>
      <c r="F48" s="89"/>
      <c r="G48" s="89"/>
      <c r="H48" s="89"/>
      <c r="I48" s="89">
        <f>SUM(H45:H48)/100</f>
        <v>1.27</v>
      </c>
      <c r="J48" s="6">
        <f>I48*0.92</f>
        <v>1.17</v>
      </c>
    </row>
    <row r="49" spans="1:9" ht="20.149999999999999" customHeight="1">
      <c r="A49" s="28"/>
      <c r="B49" s="28" t="s">
        <v>107</v>
      </c>
      <c r="C49" s="31"/>
      <c r="D49" s="89"/>
      <c r="E49" s="89"/>
      <c r="F49" s="89"/>
      <c r="G49" s="89"/>
      <c r="H49" s="89"/>
      <c r="I49" s="89"/>
    </row>
    <row r="50" spans="1:9" ht="19.5" customHeight="1">
      <c r="A50" s="28"/>
      <c r="B50" s="30" t="s">
        <v>140</v>
      </c>
      <c r="C50" s="31">
        <v>1</v>
      </c>
      <c r="D50" s="89">
        <f>42.17-0.83*1-0.83*3</f>
        <v>38.85</v>
      </c>
      <c r="E50" s="89">
        <v>1.67</v>
      </c>
      <c r="F50" s="89">
        <v>0.5</v>
      </c>
      <c r="G50" s="89"/>
      <c r="H50" s="89">
        <f t="shared" ref="H50:H63" si="3">C50*D50*E50*F50</f>
        <v>32.44</v>
      </c>
      <c r="I50" s="89" t="s">
        <v>14</v>
      </c>
    </row>
    <row r="51" spans="1:9" ht="19.5" customHeight="1">
      <c r="A51" s="28"/>
      <c r="B51" s="30" t="s">
        <v>141</v>
      </c>
      <c r="C51" s="31">
        <v>1</v>
      </c>
      <c r="D51" s="89">
        <f>42-0.83*2-1.5*0.83-0.83*0.5</f>
        <v>38.68</v>
      </c>
      <c r="E51" s="89">
        <f t="shared" ref="E51:E59" si="4">E50</f>
        <v>1.67</v>
      </c>
      <c r="F51" s="89">
        <f t="shared" ref="F51:F59" si="5">F50</f>
        <v>0.5</v>
      </c>
      <c r="G51" s="89"/>
      <c r="H51" s="89">
        <f t="shared" si="3"/>
        <v>32.299999999999997</v>
      </c>
      <c r="I51" s="89" t="s">
        <v>14</v>
      </c>
    </row>
    <row r="52" spans="1:9" ht="19.5" customHeight="1">
      <c r="A52" s="28"/>
      <c r="B52" s="30" t="s">
        <v>142</v>
      </c>
      <c r="C52" s="31">
        <v>1</v>
      </c>
      <c r="D52" s="89">
        <f>35.67-3*0.83</f>
        <v>33.18</v>
      </c>
      <c r="E52" s="89">
        <f t="shared" si="4"/>
        <v>1.67</v>
      </c>
      <c r="F52" s="89">
        <f t="shared" si="5"/>
        <v>0.5</v>
      </c>
      <c r="G52" s="89"/>
      <c r="H52" s="89">
        <f t="shared" si="3"/>
        <v>27.71</v>
      </c>
      <c r="I52" s="89" t="s">
        <v>14</v>
      </c>
    </row>
    <row r="53" spans="1:9" ht="19.5" customHeight="1">
      <c r="A53" s="28"/>
      <c r="B53" s="30" t="s">
        <v>145</v>
      </c>
      <c r="C53" s="31">
        <v>1</v>
      </c>
      <c r="D53" s="89">
        <f>35.67-3*0.83</f>
        <v>33.18</v>
      </c>
      <c r="E53" s="89">
        <f t="shared" si="4"/>
        <v>1.67</v>
      </c>
      <c r="F53" s="89">
        <f t="shared" si="5"/>
        <v>0.5</v>
      </c>
      <c r="G53" s="89"/>
      <c r="H53" s="89">
        <f t="shared" si="3"/>
        <v>27.71</v>
      </c>
      <c r="I53" s="89" t="s">
        <v>14</v>
      </c>
    </row>
    <row r="54" spans="1:9" ht="19.5" customHeight="1">
      <c r="A54" s="28"/>
      <c r="B54" s="30" t="s">
        <v>146</v>
      </c>
      <c r="C54" s="31">
        <v>1</v>
      </c>
      <c r="D54" s="89">
        <f>29.33-0.83*3</f>
        <v>26.84</v>
      </c>
      <c r="E54" s="89">
        <f t="shared" si="4"/>
        <v>1.67</v>
      </c>
      <c r="F54" s="89">
        <f t="shared" si="5"/>
        <v>0.5</v>
      </c>
      <c r="G54" s="89"/>
      <c r="H54" s="89">
        <f t="shared" si="3"/>
        <v>22.41</v>
      </c>
      <c r="I54" s="89" t="s">
        <v>14</v>
      </c>
    </row>
    <row r="55" spans="1:9" ht="19.5" customHeight="1">
      <c r="A55" s="28"/>
      <c r="B55" s="30" t="s">
        <v>147</v>
      </c>
      <c r="C55" s="31">
        <v>1</v>
      </c>
      <c r="D55" s="89">
        <f>46.33-4.5*0.83</f>
        <v>42.6</v>
      </c>
      <c r="E55" s="89">
        <f t="shared" si="4"/>
        <v>1.67</v>
      </c>
      <c r="F55" s="89">
        <f t="shared" si="5"/>
        <v>0.5</v>
      </c>
      <c r="G55" s="89"/>
      <c r="H55" s="89">
        <f t="shared" si="3"/>
        <v>35.57</v>
      </c>
      <c r="I55" s="89" t="s">
        <v>14</v>
      </c>
    </row>
    <row r="56" spans="1:9" ht="19.5" customHeight="1">
      <c r="A56" s="28"/>
      <c r="B56" s="30" t="s">
        <v>148</v>
      </c>
      <c r="C56" s="31">
        <v>1</v>
      </c>
      <c r="D56" s="89">
        <f>46.33-4*0.83</f>
        <v>43.01</v>
      </c>
      <c r="E56" s="89">
        <f t="shared" si="4"/>
        <v>1.67</v>
      </c>
      <c r="F56" s="89">
        <f t="shared" si="5"/>
        <v>0.5</v>
      </c>
      <c r="G56" s="89"/>
      <c r="H56" s="89">
        <f t="shared" si="3"/>
        <v>35.909999999999997</v>
      </c>
      <c r="I56" s="89" t="s">
        <v>14</v>
      </c>
    </row>
    <row r="57" spans="1:9" ht="19.5" customHeight="1">
      <c r="A57" s="28"/>
      <c r="B57" s="30" t="s">
        <v>149</v>
      </c>
      <c r="C57" s="31">
        <v>1</v>
      </c>
      <c r="D57" s="89">
        <f>46.33-4*0.83</f>
        <v>43.01</v>
      </c>
      <c r="E57" s="89">
        <f t="shared" si="4"/>
        <v>1.67</v>
      </c>
      <c r="F57" s="89">
        <f t="shared" si="5"/>
        <v>0.5</v>
      </c>
      <c r="G57" s="89"/>
      <c r="H57" s="89">
        <f t="shared" si="3"/>
        <v>35.909999999999997</v>
      </c>
      <c r="I57" s="89" t="s">
        <v>14</v>
      </c>
    </row>
    <row r="58" spans="1:9" ht="19.5" customHeight="1">
      <c r="A58" s="28"/>
      <c r="B58" s="30" t="s">
        <v>150</v>
      </c>
      <c r="C58" s="31">
        <v>1</v>
      </c>
      <c r="D58" s="89">
        <f>37.83-2*0.83</f>
        <v>36.17</v>
      </c>
      <c r="E58" s="89">
        <f t="shared" si="4"/>
        <v>1.67</v>
      </c>
      <c r="F58" s="89">
        <f t="shared" si="5"/>
        <v>0.5</v>
      </c>
      <c r="G58" s="89"/>
      <c r="H58" s="89">
        <f t="shared" si="3"/>
        <v>30.2</v>
      </c>
      <c r="I58" s="89" t="s">
        <v>14</v>
      </c>
    </row>
    <row r="59" spans="1:9" ht="19.5" customHeight="1">
      <c r="A59" s="28"/>
      <c r="B59" s="30" t="s">
        <v>151</v>
      </c>
      <c r="C59" s="31">
        <v>1</v>
      </c>
      <c r="D59" s="89">
        <f>10.67-1*0.83</f>
        <v>9.84</v>
      </c>
      <c r="E59" s="89">
        <f t="shared" si="4"/>
        <v>1.67</v>
      </c>
      <c r="F59" s="89">
        <f t="shared" si="5"/>
        <v>0.5</v>
      </c>
      <c r="G59" s="89"/>
      <c r="H59" s="89">
        <f t="shared" si="3"/>
        <v>8.2200000000000006</v>
      </c>
      <c r="I59" s="89" t="s">
        <v>14</v>
      </c>
    </row>
    <row r="60" spans="1:9" ht="19.5" customHeight="1">
      <c r="A60" s="28"/>
      <c r="B60" s="30" t="s">
        <v>152</v>
      </c>
      <c r="C60" s="31">
        <v>1</v>
      </c>
      <c r="D60" s="89">
        <f>18.5</f>
        <v>18.5</v>
      </c>
      <c r="E60" s="89">
        <f>E52</f>
        <v>1.67</v>
      </c>
      <c r="F60" s="89">
        <f>F52</f>
        <v>0.5</v>
      </c>
      <c r="G60" s="89"/>
      <c r="H60" s="89">
        <f t="shared" si="3"/>
        <v>15.45</v>
      </c>
      <c r="I60" s="89" t="s">
        <v>14</v>
      </c>
    </row>
    <row r="61" spans="1:9" ht="19.5" customHeight="1">
      <c r="A61" s="28"/>
      <c r="B61" s="30" t="s">
        <v>153</v>
      </c>
      <c r="C61" s="31">
        <v>1</v>
      </c>
      <c r="D61" s="89">
        <f>27-2.5*0.83</f>
        <v>24.93</v>
      </c>
      <c r="E61" s="89">
        <f t="shared" ref="E61:F63" si="6">E60</f>
        <v>1.67</v>
      </c>
      <c r="F61" s="89">
        <f t="shared" si="6"/>
        <v>0.5</v>
      </c>
      <c r="G61" s="89"/>
      <c r="H61" s="89">
        <f t="shared" si="3"/>
        <v>20.82</v>
      </c>
      <c r="I61" s="89" t="s">
        <v>14</v>
      </c>
    </row>
    <row r="62" spans="1:9" ht="19.5" customHeight="1">
      <c r="A62" s="28"/>
      <c r="B62" s="30" t="s">
        <v>154</v>
      </c>
      <c r="C62" s="31">
        <v>1</v>
      </c>
      <c r="D62" s="89">
        <f>10.67-0.83+8.5-0.83</f>
        <v>17.510000000000002</v>
      </c>
      <c r="E62" s="89">
        <f t="shared" si="6"/>
        <v>1.67</v>
      </c>
      <c r="F62" s="89">
        <f t="shared" si="6"/>
        <v>0.5</v>
      </c>
      <c r="G62" s="89"/>
      <c r="H62" s="89">
        <f t="shared" si="3"/>
        <v>14.62</v>
      </c>
      <c r="I62" s="89" t="s">
        <v>14</v>
      </c>
    </row>
    <row r="63" spans="1:9" ht="19.5" customHeight="1">
      <c r="A63" s="28"/>
      <c r="B63" s="30" t="s">
        <v>155</v>
      </c>
      <c r="C63" s="31">
        <v>2</v>
      </c>
      <c r="D63" s="89">
        <f>4.83-0.83/2-E62/2</f>
        <v>3.58</v>
      </c>
      <c r="E63" s="89">
        <f t="shared" si="6"/>
        <v>1.67</v>
      </c>
      <c r="F63" s="89">
        <f t="shared" si="6"/>
        <v>0.5</v>
      </c>
      <c r="G63" s="89"/>
      <c r="H63" s="89">
        <f t="shared" si="3"/>
        <v>5.98</v>
      </c>
      <c r="I63" s="89" t="s">
        <v>14</v>
      </c>
    </row>
    <row r="64" spans="1:9" ht="19.5" customHeight="1">
      <c r="A64" s="28"/>
      <c r="B64" s="30" t="s">
        <v>156</v>
      </c>
      <c r="C64" s="31">
        <v>1</v>
      </c>
      <c r="D64" s="89">
        <f>9.17-0.83</f>
        <v>8.34</v>
      </c>
      <c r="E64" s="89">
        <f>E62</f>
        <v>1.67</v>
      </c>
      <c r="F64" s="89">
        <f>F62</f>
        <v>0.5</v>
      </c>
      <c r="G64" s="89"/>
      <c r="H64" s="89">
        <f>C64*D64*E64*F64</f>
        <v>6.96</v>
      </c>
      <c r="I64" s="89">
        <f>SUM(H50:H64)/100</f>
        <v>3.52</v>
      </c>
    </row>
    <row r="65" spans="1:10" ht="20.149999999999999" customHeight="1">
      <c r="A65" s="28"/>
      <c r="B65" s="30"/>
      <c r="C65" s="31"/>
      <c r="D65" s="89"/>
      <c r="E65" s="89"/>
      <c r="F65" s="89"/>
      <c r="G65" s="89">
        <f>SUM(G45:G64)</f>
        <v>0</v>
      </c>
      <c r="H65" s="89">
        <f>SUM(H45:H64)</f>
        <v>478.71</v>
      </c>
      <c r="I65" s="89"/>
    </row>
    <row r="66" spans="1:10" ht="20.149999999999999" customHeight="1">
      <c r="A66" s="28"/>
      <c r="B66" s="28"/>
      <c r="C66" s="31"/>
      <c r="D66" s="89"/>
      <c r="E66" s="89"/>
      <c r="F66" s="89"/>
      <c r="G66" s="89"/>
      <c r="H66" s="89">
        <f>H65-G65</f>
        <v>478.71</v>
      </c>
      <c r="I66" s="89" t="s">
        <v>14</v>
      </c>
    </row>
    <row r="67" spans="1:10" ht="20.149999999999999" customHeight="1">
      <c r="A67" s="28"/>
      <c r="B67" s="28"/>
      <c r="C67" s="31"/>
      <c r="D67" s="89"/>
      <c r="E67" s="89"/>
      <c r="F67" s="89"/>
      <c r="G67" s="89"/>
      <c r="H67" s="91">
        <f>H66/100</f>
        <v>4.79</v>
      </c>
      <c r="I67" s="91" t="s">
        <v>86</v>
      </c>
      <c r="J67" s="127"/>
    </row>
    <row r="68" spans="1:10" ht="20.149999999999999" customHeight="1">
      <c r="A68" s="28"/>
      <c r="B68" s="28"/>
      <c r="C68" s="31"/>
      <c r="D68" s="89"/>
      <c r="E68" s="89"/>
      <c r="F68" s="89"/>
      <c r="G68" s="89"/>
      <c r="H68" s="89"/>
      <c r="I68" s="89"/>
    </row>
    <row r="69" spans="1:10" ht="20.149999999999999" customHeight="1">
      <c r="A69" s="28">
        <v>6</v>
      </c>
      <c r="B69" s="92" t="s">
        <v>63</v>
      </c>
      <c r="C69" s="31"/>
      <c r="D69" s="89"/>
      <c r="E69" s="89"/>
      <c r="F69" s="89"/>
      <c r="G69" s="89"/>
      <c r="H69" s="89"/>
      <c r="I69" s="89"/>
    </row>
    <row r="70" spans="1:10" ht="20.149999999999999" customHeight="1">
      <c r="A70" s="28"/>
      <c r="B70" s="28" t="s">
        <v>160</v>
      </c>
      <c r="C70" s="31"/>
      <c r="D70" s="89"/>
      <c r="E70" s="89"/>
      <c r="F70" s="89"/>
      <c r="G70" s="89"/>
      <c r="H70" s="89"/>
      <c r="I70" s="89"/>
    </row>
    <row r="71" spans="1:10" ht="19.5" customHeight="1">
      <c r="A71" s="28"/>
      <c r="B71" s="30" t="s">
        <v>140</v>
      </c>
      <c r="C71" s="31">
        <v>1</v>
      </c>
      <c r="D71" s="89">
        <f>42.17-0.83*1-0.83*3</f>
        <v>38.85</v>
      </c>
      <c r="E71" s="89">
        <f>13.5/12</f>
        <v>1.1299999999999999</v>
      </c>
      <c r="F71" s="89">
        <v>0.5</v>
      </c>
      <c r="G71" s="89"/>
      <c r="H71" s="89">
        <f t="shared" ref="H71:H85" si="7">C71*D71*E71*F71</f>
        <v>21.95</v>
      </c>
      <c r="I71" s="89" t="s">
        <v>14</v>
      </c>
    </row>
    <row r="72" spans="1:10" ht="19.5" customHeight="1">
      <c r="A72" s="28"/>
      <c r="B72" s="30" t="s">
        <v>141</v>
      </c>
      <c r="C72" s="31">
        <v>1</v>
      </c>
      <c r="D72" s="89">
        <f>42-0.83*2-1.5*0.83-0.83*0.5</f>
        <v>38.68</v>
      </c>
      <c r="E72" s="89">
        <f t="shared" ref="E72:E80" si="8">E71</f>
        <v>1.1299999999999999</v>
      </c>
      <c r="F72" s="89">
        <f t="shared" ref="F72:F80" si="9">F71</f>
        <v>0.5</v>
      </c>
      <c r="G72" s="89"/>
      <c r="H72" s="89">
        <f t="shared" si="7"/>
        <v>21.85</v>
      </c>
      <c r="I72" s="89" t="s">
        <v>14</v>
      </c>
    </row>
    <row r="73" spans="1:10" ht="19.5" customHeight="1">
      <c r="A73" s="28"/>
      <c r="B73" s="30" t="s">
        <v>142</v>
      </c>
      <c r="C73" s="31">
        <v>1</v>
      </c>
      <c r="D73" s="89">
        <f>35.67-3*0.83</f>
        <v>33.18</v>
      </c>
      <c r="E73" s="89">
        <f t="shared" si="8"/>
        <v>1.1299999999999999</v>
      </c>
      <c r="F73" s="89">
        <f t="shared" si="9"/>
        <v>0.5</v>
      </c>
      <c r="G73" s="89"/>
      <c r="H73" s="89">
        <f t="shared" si="7"/>
        <v>18.75</v>
      </c>
      <c r="I73" s="89" t="s">
        <v>14</v>
      </c>
    </row>
    <row r="74" spans="1:10" ht="19.5" customHeight="1">
      <c r="A74" s="28"/>
      <c r="B74" s="30" t="s">
        <v>145</v>
      </c>
      <c r="C74" s="31">
        <v>1</v>
      </c>
      <c r="D74" s="89">
        <f>35.67-3*0.83</f>
        <v>33.18</v>
      </c>
      <c r="E74" s="89">
        <f t="shared" si="8"/>
        <v>1.1299999999999999</v>
      </c>
      <c r="F74" s="89">
        <f t="shared" si="9"/>
        <v>0.5</v>
      </c>
      <c r="G74" s="89"/>
      <c r="H74" s="89">
        <f t="shared" si="7"/>
        <v>18.75</v>
      </c>
      <c r="I74" s="89" t="s">
        <v>14</v>
      </c>
    </row>
    <row r="75" spans="1:10" ht="19.5" customHeight="1">
      <c r="A75" s="28"/>
      <c r="B75" s="30" t="s">
        <v>146</v>
      </c>
      <c r="C75" s="31">
        <v>1</v>
      </c>
      <c r="D75" s="89">
        <f>29.33-0.83*3</f>
        <v>26.84</v>
      </c>
      <c r="E75" s="89">
        <f t="shared" si="8"/>
        <v>1.1299999999999999</v>
      </c>
      <c r="F75" s="89">
        <f t="shared" si="9"/>
        <v>0.5</v>
      </c>
      <c r="G75" s="89"/>
      <c r="H75" s="89">
        <f t="shared" si="7"/>
        <v>15.16</v>
      </c>
      <c r="I75" s="89" t="s">
        <v>14</v>
      </c>
    </row>
    <row r="76" spans="1:10" ht="19.5" customHeight="1">
      <c r="A76" s="28"/>
      <c r="B76" s="30" t="s">
        <v>147</v>
      </c>
      <c r="C76" s="31">
        <v>1</v>
      </c>
      <c r="D76" s="89">
        <f>46.33-4.5*0.83</f>
        <v>42.6</v>
      </c>
      <c r="E76" s="89">
        <f t="shared" si="8"/>
        <v>1.1299999999999999</v>
      </c>
      <c r="F76" s="89">
        <f t="shared" si="9"/>
        <v>0.5</v>
      </c>
      <c r="G76" s="89"/>
      <c r="H76" s="89">
        <f t="shared" si="7"/>
        <v>24.07</v>
      </c>
      <c r="I76" s="89" t="s">
        <v>14</v>
      </c>
    </row>
    <row r="77" spans="1:10" ht="19.5" customHeight="1">
      <c r="A77" s="28"/>
      <c r="B77" s="30" t="s">
        <v>148</v>
      </c>
      <c r="C77" s="31">
        <v>1</v>
      </c>
      <c r="D77" s="89">
        <f>46.33-4*0.83</f>
        <v>43.01</v>
      </c>
      <c r="E77" s="89">
        <f t="shared" si="8"/>
        <v>1.1299999999999999</v>
      </c>
      <c r="F77" s="89">
        <f t="shared" si="9"/>
        <v>0.5</v>
      </c>
      <c r="G77" s="89"/>
      <c r="H77" s="89">
        <f t="shared" si="7"/>
        <v>24.3</v>
      </c>
      <c r="I77" s="89" t="s">
        <v>14</v>
      </c>
    </row>
    <row r="78" spans="1:10" ht="19.5" customHeight="1">
      <c r="A78" s="28"/>
      <c r="B78" s="30" t="s">
        <v>149</v>
      </c>
      <c r="C78" s="31">
        <v>1</v>
      </c>
      <c r="D78" s="89">
        <f>46.33-4*0.83</f>
        <v>43.01</v>
      </c>
      <c r="E78" s="89">
        <f t="shared" si="8"/>
        <v>1.1299999999999999</v>
      </c>
      <c r="F78" s="89">
        <f t="shared" si="9"/>
        <v>0.5</v>
      </c>
      <c r="G78" s="89"/>
      <c r="H78" s="89">
        <f t="shared" si="7"/>
        <v>24.3</v>
      </c>
      <c r="I78" s="89" t="s">
        <v>14</v>
      </c>
    </row>
    <row r="79" spans="1:10" ht="19.5" customHeight="1">
      <c r="A79" s="28"/>
      <c r="B79" s="30" t="s">
        <v>150</v>
      </c>
      <c r="C79" s="31">
        <v>1</v>
      </c>
      <c r="D79" s="89">
        <f>37.83-2*0.83</f>
        <v>36.17</v>
      </c>
      <c r="E79" s="89">
        <f t="shared" si="8"/>
        <v>1.1299999999999999</v>
      </c>
      <c r="F79" s="89">
        <f t="shared" si="9"/>
        <v>0.5</v>
      </c>
      <c r="G79" s="89"/>
      <c r="H79" s="89">
        <f t="shared" si="7"/>
        <v>20.440000000000001</v>
      </c>
      <c r="I79" s="89" t="s">
        <v>14</v>
      </c>
    </row>
    <row r="80" spans="1:10" ht="19.5" customHeight="1">
      <c r="A80" s="28"/>
      <c r="B80" s="30" t="s">
        <v>151</v>
      </c>
      <c r="C80" s="31">
        <v>1</v>
      </c>
      <c r="D80" s="89">
        <f>10.67-1*0.83</f>
        <v>9.84</v>
      </c>
      <c r="E80" s="89">
        <f t="shared" si="8"/>
        <v>1.1299999999999999</v>
      </c>
      <c r="F80" s="89">
        <f t="shared" si="9"/>
        <v>0.5</v>
      </c>
      <c r="G80" s="89"/>
      <c r="H80" s="89">
        <f t="shared" si="7"/>
        <v>5.56</v>
      </c>
      <c r="I80" s="89" t="s">
        <v>14</v>
      </c>
    </row>
    <row r="81" spans="1:9" ht="19.5" customHeight="1">
      <c r="A81" s="28"/>
      <c r="B81" s="30" t="s">
        <v>152</v>
      </c>
      <c r="C81" s="31">
        <v>1</v>
      </c>
      <c r="D81" s="89">
        <f>18.5</f>
        <v>18.5</v>
      </c>
      <c r="E81" s="89">
        <f>E73</f>
        <v>1.1299999999999999</v>
      </c>
      <c r="F81" s="89">
        <f>F73</f>
        <v>0.5</v>
      </c>
      <c r="G81" s="89"/>
      <c r="H81" s="89">
        <f t="shared" si="7"/>
        <v>10.45</v>
      </c>
      <c r="I81" s="89" t="s">
        <v>14</v>
      </c>
    </row>
    <row r="82" spans="1:9" ht="19.5" customHeight="1">
      <c r="A82" s="28"/>
      <c r="B82" s="30" t="s">
        <v>153</v>
      </c>
      <c r="C82" s="31">
        <v>1</v>
      </c>
      <c r="D82" s="89">
        <f>27-2.5*0.83</f>
        <v>24.93</v>
      </c>
      <c r="E82" s="89">
        <f t="shared" ref="E82:F84" si="10">E81</f>
        <v>1.1299999999999999</v>
      </c>
      <c r="F82" s="89">
        <f t="shared" si="10"/>
        <v>0.5</v>
      </c>
      <c r="G82" s="89"/>
      <c r="H82" s="89">
        <f t="shared" si="7"/>
        <v>14.09</v>
      </c>
      <c r="I82" s="89" t="s">
        <v>14</v>
      </c>
    </row>
    <row r="83" spans="1:9" ht="19.5" customHeight="1">
      <c r="A83" s="28"/>
      <c r="B83" s="30" t="s">
        <v>154</v>
      </c>
      <c r="C83" s="31">
        <v>1</v>
      </c>
      <c r="D83" s="89">
        <f>10.67-0.83+8.5-0.83</f>
        <v>17.510000000000002</v>
      </c>
      <c r="E83" s="89">
        <f t="shared" si="10"/>
        <v>1.1299999999999999</v>
      </c>
      <c r="F83" s="89">
        <f t="shared" si="10"/>
        <v>0.5</v>
      </c>
      <c r="G83" s="89"/>
      <c r="H83" s="89">
        <f t="shared" si="7"/>
        <v>9.89</v>
      </c>
      <c r="I83" s="89" t="s">
        <v>14</v>
      </c>
    </row>
    <row r="84" spans="1:9" ht="19.5" customHeight="1">
      <c r="A84" s="28"/>
      <c r="B84" s="30" t="s">
        <v>161</v>
      </c>
      <c r="C84" s="31">
        <v>2</v>
      </c>
      <c r="D84" s="89">
        <f>4.83-0.83/2-E83/2</f>
        <v>3.85</v>
      </c>
      <c r="E84" s="89">
        <f t="shared" si="10"/>
        <v>1.1299999999999999</v>
      </c>
      <c r="F84" s="89">
        <f t="shared" si="10"/>
        <v>0.5</v>
      </c>
      <c r="G84" s="89"/>
      <c r="H84" s="89">
        <f t="shared" si="7"/>
        <v>4.3499999999999996</v>
      </c>
      <c r="I84" s="89" t="s">
        <v>14</v>
      </c>
    </row>
    <row r="85" spans="1:9" ht="19.5" customHeight="1">
      <c r="A85" s="28"/>
      <c r="B85" s="30" t="s">
        <v>162</v>
      </c>
      <c r="C85" s="31">
        <v>1</v>
      </c>
      <c r="D85" s="89">
        <f>9.17-0.83</f>
        <v>8.34</v>
      </c>
      <c r="E85" s="89">
        <f>E83</f>
        <v>1.1299999999999999</v>
      </c>
      <c r="F85" s="89">
        <f>F83</f>
        <v>0.5</v>
      </c>
      <c r="G85" s="89"/>
      <c r="H85" s="89">
        <f t="shared" si="7"/>
        <v>4.71</v>
      </c>
      <c r="I85" s="89" t="s">
        <v>14</v>
      </c>
    </row>
    <row r="86" spans="1:9" ht="19.5" customHeight="1">
      <c r="A86" s="28"/>
      <c r="B86" s="30"/>
      <c r="C86" s="31">
        <v>1</v>
      </c>
      <c r="D86" s="89">
        <v>10.67</v>
      </c>
      <c r="E86" s="89">
        <f>E85</f>
        <v>1.1299999999999999</v>
      </c>
      <c r="F86" s="89">
        <f>F85</f>
        <v>0.5</v>
      </c>
      <c r="G86" s="89"/>
      <c r="H86" s="89">
        <f>C86*D86*E86*F86</f>
        <v>6.03</v>
      </c>
      <c r="I86" s="89" t="s">
        <v>14</v>
      </c>
    </row>
    <row r="87" spans="1:9" ht="20.149999999999999" customHeight="1">
      <c r="A87" s="28"/>
      <c r="B87" s="28" t="s">
        <v>159</v>
      </c>
      <c r="C87" s="31"/>
      <c r="D87" s="89"/>
      <c r="E87" s="89"/>
      <c r="F87" s="89"/>
      <c r="G87" s="89"/>
      <c r="H87" s="89"/>
      <c r="I87" s="89"/>
    </row>
    <row r="88" spans="1:9" ht="19.5" customHeight="1">
      <c r="A88" s="28"/>
      <c r="B88" s="30" t="s">
        <v>140</v>
      </c>
      <c r="C88" s="31">
        <v>1</v>
      </c>
      <c r="D88" s="89">
        <f>42.17-0.83*1-0.83*3</f>
        <v>38.85</v>
      </c>
      <c r="E88" s="89">
        <v>0.75</v>
      </c>
      <c r="F88" s="89">
        <v>2.25</v>
      </c>
      <c r="G88" s="89"/>
      <c r="H88" s="89">
        <f t="shared" ref="H88:H102" si="11">C88*D88*E88*F88</f>
        <v>65.56</v>
      </c>
      <c r="I88" s="89" t="s">
        <v>14</v>
      </c>
    </row>
    <row r="89" spans="1:9" ht="19.5" customHeight="1">
      <c r="A89" s="28"/>
      <c r="B89" s="30" t="s">
        <v>141</v>
      </c>
      <c r="C89" s="31">
        <v>1</v>
      </c>
      <c r="D89" s="89">
        <f>42-0.83*2-1.5*0.83-0.83*0.5</f>
        <v>38.68</v>
      </c>
      <c r="E89" s="89">
        <f t="shared" ref="E89:E97" si="12">E88</f>
        <v>0.75</v>
      </c>
      <c r="F89" s="89">
        <f t="shared" ref="F89:F97" si="13">F88</f>
        <v>2.25</v>
      </c>
      <c r="G89" s="89"/>
      <c r="H89" s="89">
        <f t="shared" si="11"/>
        <v>65.27</v>
      </c>
      <c r="I89" s="89" t="s">
        <v>14</v>
      </c>
    </row>
    <row r="90" spans="1:9" ht="19.5" customHeight="1">
      <c r="A90" s="28"/>
      <c r="B90" s="30" t="s">
        <v>142</v>
      </c>
      <c r="C90" s="31">
        <v>1</v>
      </c>
      <c r="D90" s="89">
        <f>35.67-3*0.83</f>
        <v>33.18</v>
      </c>
      <c r="E90" s="89">
        <f t="shared" si="12"/>
        <v>0.75</v>
      </c>
      <c r="F90" s="89">
        <f t="shared" si="13"/>
        <v>2.25</v>
      </c>
      <c r="G90" s="89"/>
      <c r="H90" s="89">
        <f t="shared" si="11"/>
        <v>55.99</v>
      </c>
      <c r="I90" s="89" t="s">
        <v>14</v>
      </c>
    </row>
    <row r="91" spans="1:9" ht="19.5" customHeight="1">
      <c r="A91" s="28"/>
      <c r="B91" s="30" t="s">
        <v>145</v>
      </c>
      <c r="C91" s="31">
        <v>1</v>
      </c>
      <c r="D91" s="89">
        <f>35.67-3*0.83</f>
        <v>33.18</v>
      </c>
      <c r="E91" s="89">
        <f t="shared" si="12"/>
        <v>0.75</v>
      </c>
      <c r="F91" s="89">
        <f t="shared" si="13"/>
        <v>2.25</v>
      </c>
      <c r="G91" s="89"/>
      <c r="H91" s="89">
        <f t="shared" si="11"/>
        <v>55.99</v>
      </c>
      <c r="I91" s="89" t="s">
        <v>14</v>
      </c>
    </row>
    <row r="92" spans="1:9" ht="19.5" customHeight="1">
      <c r="A92" s="28"/>
      <c r="B92" s="30" t="s">
        <v>146</v>
      </c>
      <c r="C92" s="31">
        <v>1</v>
      </c>
      <c r="D92" s="89">
        <f>29.33-0.83*3</f>
        <v>26.84</v>
      </c>
      <c r="E92" s="89">
        <f t="shared" si="12"/>
        <v>0.75</v>
      </c>
      <c r="F92" s="89">
        <f t="shared" si="13"/>
        <v>2.25</v>
      </c>
      <c r="G92" s="89"/>
      <c r="H92" s="89">
        <f t="shared" si="11"/>
        <v>45.29</v>
      </c>
      <c r="I92" s="89" t="s">
        <v>14</v>
      </c>
    </row>
    <row r="93" spans="1:9" ht="19.5" customHeight="1">
      <c r="A93" s="28"/>
      <c r="B93" s="30" t="s">
        <v>147</v>
      </c>
      <c r="C93" s="31">
        <v>1</v>
      </c>
      <c r="D93" s="89">
        <f>46.33-4.5*0.83</f>
        <v>42.6</v>
      </c>
      <c r="E93" s="89">
        <f t="shared" si="12"/>
        <v>0.75</v>
      </c>
      <c r="F93" s="89">
        <f t="shared" si="13"/>
        <v>2.25</v>
      </c>
      <c r="G93" s="89"/>
      <c r="H93" s="89">
        <f t="shared" si="11"/>
        <v>71.89</v>
      </c>
      <c r="I93" s="89" t="s">
        <v>14</v>
      </c>
    </row>
    <row r="94" spans="1:9" ht="19.5" customHeight="1">
      <c r="A94" s="28"/>
      <c r="B94" s="30" t="s">
        <v>148</v>
      </c>
      <c r="C94" s="31">
        <v>1</v>
      </c>
      <c r="D94" s="89">
        <f>46.33-4*0.83</f>
        <v>43.01</v>
      </c>
      <c r="E94" s="89">
        <f t="shared" si="12"/>
        <v>0.75</v>
      </c>
      <c r="F94" s="89">
        <f t="shared" si="13"/>
        <v>2.25</v>
      </c>
      <c r="G94" s="89"/>
      <c r="H94" s="89">
        <f t="shared" si="11"/>
        <v>72.58</v>
      </c>
      <c r="I94" s="89" t="s">
        <v>14</v>
      </c>
    </row>
    <row r="95" spans="1:9" ht="19.5" customHeight="1">
      <c r="A95" s="28"/>
      <c r="B95" s="30" t="s">
        <v>149</v>
      </c>
      <c r="C95" s="31">
        <v>1</v>
      </c>
      <c r="D95" s="89">
        <f>46.33-4*0.83</f>
        <v>43.01</v>
      </c>
      <c r="E95" s="89">
        <f t="shared" si="12"/>
        <v>0.75</v>
      </c>
      <c r="F95" s="89">
        <f t="shared" si="13"/>
        <v>2.25</v>
      </c>
      <c r="G95" s="89"/>
      <c r="H95" s="89">
        <f t="shared" si="11"/>
        <v>72.58</v>
      </c>
      <c r="I95" s="89" t="s">
        <v>14</v>
      </c>
    </row>
    <row r="96" spans="1:9" ht="19.5" customHeight="1">
      <c r="A96" s="28"/>
      <c r="B96" s="30" t="s">
        <v>150</v>
      </c>
      <c r="C96" s="31">
        <v>1</v>
      </c>
      <c r="D96" s="89">
        <f>37.83-2*0.83</f>
        <v>36.17</v>
      </c>
      <c r="E96" s="89">
        <f t="shared" si="12"/>
        <v>0.75</v>
      </c>
      <c r="F96" s="89">
        <f t="shared" si="13"/>
        <v>2.25</v>
      </c>
      <c r="G96" s="89"/>
      <c r="H96" s="89">
        <f t="shared" si="11"/>
        <v>61.04</v>
      </c>
      <c r="I96" s="89" t="s">
        <v>14</v>
      </c>
    </row>
    <row r="97" spans="1:9" ht="19.5" customHeight="1">
      <c r="A97" s="28"/>
      <c r="B97" s="30" t="s">
        <v>151</v>
      </c>
      <c r="C97" s="31">
        <v>1</v>
      </c>
      <c r="D97" s="89">
        <f>10.67-1*0.83</f>
        <v>9.84</v>
      </c>
      <c r="E97" s="89">
        <f t="shared" si="12"/>
        <v>0.75</v>
      </c>
      <c r="F97" s="89">
        <f t="shared" si="13"/>
        <v>2.25</v>
      </c>
      <c r="G97" s="89"/>
      <c r="H97" s="89">
        <f t="shared" si="11"/>
        <v>16.61</v>
      </c>
      <c r="I97" s="89" t="s">
        <v>14</v>
      </c>
    </row>
    <row r="98" spans="1:9" ht="19.5" customHeight="1">
      <c r="A98" s="28"/>
      <c r="B98" s="30" t="s">
        <v>152</v>
      </c>
      <c r="C98" s="31">
        <v>1</v>
      </c>
      <c r="D98" s="89">
        <f>18.5</f>
        <v>18.5</v>
      </c>
      <c r="E98" s="89">
        <f>E90</f>
        <v>0.75</v>
      </c>
      <c r="F98" s="89">
        <f>F90</f>
        <v>2.25</v>
      </c>
      <c r="G98" s="89"/>
      <c r="H98" s="89">
        <f t="shared" si="11"/>
        <v>31.22</v>
      </c>
      <c r="I98" s="89" t="s">
        <v>14</v>
      </c>
    </row>
    <row r="99" spans="1:9" ht="19.5" customHeight="1">
      <c r="A99" s="28"/>
      <c r="B99" s="30" t="s">
        <v>153</v>
      </c>
      <c r="C99" s="31">
        <v>1</v>
      </c>
      <c r="D99" s="89">
        <f>27-2.5*0.83</f>
        <v>24.93</v>
      </c>
      <c r="E99" s="89">
        <f t="shared" ref="E99:F101" si="14">E98</f>
        <v>0.75</v>
      </c>
      <c r="F99" s="89">
        <f t="shared" si="14"/>
        <v>2.25</v>
      </c>
      <c r="G99" s="89"/>
      <c r="H99" s="89">
        <f t="shared" si="11"/>
        <v>42.07</v>
      </c>
      <c r="I99" s="89" t="s">
        <v>14</v>
      </c>
    </row>
    <row r="100" spans="1:9" ht="19.5" customHeight="1">
      <c r="A100" s="28"/>
      <c r="B100" s="30" t="s">
        <v>154</v>
      </c>
      <c r="C100" s="31">
        <v>1</v>
      </c>
      <c r="D100" s="89">
        <f>10.67-0.83+8.5-0.83</f>
        <v>17.510000000000002</v>
      </c>
      <c r="E100" s="89">
        <f t="shared" si="14"/>
        <v>0.75</v>
      </c>
      <c r="F100" s="89">
        <f t="shared" si="14"/>
        <v>2.25</v>
      </c>
      <c r="G100" s="89"/>
      <c r="H100" s="89">
        <f t="shared" si="11"/>
        <v>29.55</v>
      </c>
      <c r="I100" s="89" t="s">
        <v>14</v>
      </c>
    </row>
    <row r="101" spans="1:9" ht="19.5" customHeight="1">
      <c r="A101" s="28"/>
      <c r="B101" s="30" t="s">
        <v>161</v>
      </c>
      <c r="C101" s="31">
        <v>2</v>
      </c>
      <c r="D101" s="89">
        <f>4.83-0.83/2-E100/2</f>
        <v>4.04</v>
      </c>
      <c r="E101" s="89">
        <f t="shared" si="14"/>
        <v>0.75</v>
      </c>
      <c r="F101" s="89">
        <f t="shared" si="14"/>
        <v>2.25</v>
      </c>
      <c r="G101" s="89"/>
      <c r="H101" s="89">
        <f t="shared" si="11"/>
        <v>13.64</v>
      </c>
      <c r="I101" s="89" t="s">
        <v>14</v>
      </c>
    </row>
    <row r="102" spans="1:9" ht="19.5" customHeight="1">
      <c r="A102" s="28"/>
      <c r="B102" s="30" t="s">
        <v>162</v>
      </c>
      <c r="C102" s="31">
        <v>1</v>
      </c>
      <c r="D102" s="89">
        <f>9.17-0.83</f>
        <v>8.34</v>
      </c>
      <c r="E102" s="89">
        <f>E100</f>
        <v>0.75</v>
      </c>
      <c r="F102" s="89">
        <f>F100</f>
        <v>2.25</v>
      </c>
      <c r="G102" s="89"/>
      <c r="H102" s="89">
        <f t="shared" si="11"/>
        <v>14.07</v>
      </c>
      <c r="I102" s="89" t="s">
        <v>14</v>
      </c>
    </row>
    <row r="103" spans="1:9" ht="19.5" customHeight="1">
      <c r="A103" s="28"/>
      <c r="B103" s="30"/>
      <c r="C103" s="31">
        <v>1</v>
      </c>
      <c r="D103" s="89">
        <v>10.67</v>
      </c>
      <c r="E103" s="89">
        <f>E102</f>
        <v>0.75</v>
      </c>
      <c r="F103" s="89">
        <f>F102</f>
        <v>2.25</v>
      </c>
      <c r="G103" s="89"/>
      <c r="H103" s="89">
        <f>C103*D103*E103*F103</f>
        <v>18.010000000000002</v>
      </c>
      <c r="I103" s="89" t="s">
        <v>14</v>
      </c>
    </row>
    <row r="104" spans="1:9" ht="20.149999999999999" customHeight="1">
      <c r="A104" s="28"/>
      <c r="B104" s="30" t="s">
        <v>166</v>
      </c>
      <c r="C104" s="31" t="s">
        <v>163</v>
      </c>
      <c r="D104" s="89">
        <f>C88*D88+C89*D89+C90*D90+C91*D91+C92*D92+C93*D93+C94*D94+C95*D95+C96*D96+C97*D97+C98*D98+C99*D99+C100*D100+C101*D101+C102*D102</f>
        <v>422.72</v>
      </c>
      <c r="E104" s="89"/>
      <c r="F104" s="89"/>
      <c r="G104" s="89"/>
      <c r="H104" s="89"/>
      <c r="I104" s="89"/>
    </row>
    <row r="105" spans="1:9" ht="20.149999999999999" customHeight="1">
      <c r="A105" s="28"/>
      <c r="B105" s="28" t="s">
        <v>164</v>
      </c>
      <c r="C105" s="31"/>
      <c r="D105" s="89"/>
      <c r="E105" s="93"/>
      <c r="F105" s="89"/>
      <c r="G105" s="89"/>
      <c r="H105" s="89"/>
      <c r="I105" s="89"/>
    </row>
    <row r="106" spans="1:9" ht="19.5" customHeight="1">
      <c r="A106" s="28"/>
      <c r="B106" s="30" t="s">
        <v>140</v>
      </c>
      <c r="C106" s="31">
        <v>1</v>
      </c>
      <c r="D106" s="89">
        <f>42.17-0.83*1-0.83*3</f>
        <v>38.85</v>
      </c>
      <c r="E106" s="89">
        <v>0.75</v>
      </c>
      <c r="F106" s="89">
        <f>3-1</f>
        <v>2</v>
      </c>
      <c r="G106" s="89"/>
      <c r="H106" s="89">
        <f t="shared" ref="H106:H120" si="15">C106*D106*E106*F106</f>
        <v>58.28</v>
      </c>
      <c r="I106" s="89" t="s">
        <v>14</v>
      </c>
    </row>
    <row r="107" spans="1:9" ht="19.5" customHeight="1">
      <c r="A107" s="28"/>
      <c r="B107" s="30" t="s">
        <v>141</v>
      </c>
      <c r="C107" s="31">
        <v>1</v>
      </c>
      <c r="D107" s="89">
        <f>42-0.83*2-1.5*0.83-0.83*0.5</f>
        <v>38.68</v>
      </c>
      <c r="E107" s="89">
        <f t="shared" ref="E107:E115" si="16">E106</f>
        <v>0.75</v>
      </c>
      <c r="F107" s="89">
        <f t="shared" ref="F107:F115" si="17">F106</f>
        <v>2</v>
      </c>
      <c r="G107" s="89"/>
      <c r="H107" s="89">
        <f t="shared" si="15"/>
        <v>58.02</v>
      </c>
      <c r="I107" s="89" t="s">
        <v>14</v>
      </c>
    </row>
    <row r="108" spans="1:9" ht="19.5" customHeight="1">
      <c r="A108" s="28"/>
      <c r="B108" s="30" t="s">
        <v>142</v>
      </c>
      <c r="C108" s="31">
        <v>1</v>
      </c>
      <c r="D108" s="89">
        <f>35.67-3*0.83</f>
        <v>33.18</v>
      </c>
      <c r="E108" s="89">
        <f t="shared" si="16"/>
        <v>0.75</v>
      </c>
      <c r="F108" s="89">
        <f t="shared" si="17"/>
        <v>2</v>
      </c>
      <c r="G108" s="89"/>
      <c r="H108" s="89">
        <f t="shared" si="15"/>
        <v>49.77</v>
      </c>
      <c r="I108" s="89" t="s">
        <v>14</v>
      </c>
    </row>
    <row r="109" spans="1:9" ht="19.5" customHeight="1">
      <c r="A109" s="28"/>
      <c r="B109" s="30" t="s">
        <v>145</v>
      </c>
      <c r="C109" s="31">
        <v>1</v>
      </c>
      <c r="D109" s="89">
        <f>35.67-3*0.83</f>
        <v>33.18</v>
      </c>
      <c r="E109" s="89">
        <f t="shared" si="16"/>
        <v>0.75</v>
      </c>
      <c r="F109" s="89">
        <f t="shared" si="17"/>
        <v>2</v>
      </c>
      <c r="G109" s="89"/>
      <c r="H109" s="89">
        <f t="shared" si="15"/>
        <v>49.77</v>
      </c>
      <c r="I109" s="89" t="s">
        <v>14</v>
      </c>
    </row>
    <row r="110" spans="1:9" ht="19.5" customHeight="1">
      <c r="A110" s="28"/>
      <c r="B110" s="30" t="s">
        <v>146</v>
      </c>
      <c r="C110" s="31">
        <v>1</v>
      </c>
      <c r="D110" s="89">
        <f>29.33-0.83*3</f>
        <v>26.84</v>
      </c>
      <c r="E110" s="89">
        <f t="shared" si="16"/>
        <v>0.75</v>
      </c>
      <c r="F110" s="89">
        <f t="shared" si="17"/>
        <v>2</v>
      </c>
      <c r="G110" s="89"/>
      <c r="H110" s="89">
        <f t="shared" si="15"/>
        <v>40.26</v>
      </c>
      <c r="I110" s="89" t="s">
        <v>14</v>
      </c>
    </row>
    <row r="111" spans="1:9" ht="19.5" customHeight="1">
      <c r="A111" s="28"/>
      <c r="B111" s="30" t="s">
        <v>147</v>
      </c>
      <c r="C111" s="31">
        <v>1</v>
      </c>
      <c r="D111" s="89">
        <f>46.33-4.5*0.83</f>
        <v>42.6</v>
      </c>
      <c r="E111" s="89">
        <f t="shared" si="16"/>
        <v>0.75</v>
      </c>
      <c r="F111" s="89">
        <f t="shared" si="17"/>
        <v>2</v>
      </c>
      <c r="G111" s="89"/>
      <c r="H111" s="89">
        <f t="shared" si="15"/>
        <v>63.9</v>
      </c>
      <c r="I111" s="89" t="s">
        <v>14</v>
      </c>
    </row>
    <row r="112" spans="1:9" ht="19.5" customHeight="1">
      <c r="A112" s="28"/>
      <c r="B112" s="30" t="s">
        <v>148</v>
      </c>
      <c r="C112" s="31">
        <v>1</v>
      </c>
      <c r="D112" s="89">
        <f>46.33-4*0.83</f>
        <v>43.01</v>
      </c>
      <c r="E112" s="89">
        <f t="shared" si="16"/>
        <v>0.75</v>
      </c>
      <c r="F112" s="89">
        <f t="shared" si="17"/>
        <v>2</v>
      </c>
      <c r="G112" s="89"/>
      <c r="H112" s="89">
        <f t="shared" si="15"/>
        <v>64.52</v>
      </c>
      <c r="I112" s="89" t="s">
        <v>14</v>
      </c>
    </row>
    <row r="113" spans="1:10" ht="19.5" customHeight="1">
      <c r="A113" s="28"/>
      <c r="B113" s="30" t="s">
        <v>149</v>
      </c>
      <c r="C113" s="31">
        <v>1</v>
      </c>
      <c r="D113" s="89">
        <f>46.33-4*0.83</f>
        <v>43.01</v>
      </c>
      <c r="E113" s="89">
        <f t="shared" si="16"/>
        <v>0.75</v>
      </c>
      <c r="F113" s="89">
        <f t="shared" si="17"/>
        <v>2</v>
      </c>
      <c r="G113" s="89"/>
      <c r="H113" s="89">
        <f t="shared" si="15"/>
        <v>64.52</v>
      </c>
      <c r="I113" s="89" t="s">
        <v>14</v>
      </c>
    </row>
    <row r="114" spans="1:10" ht="19.5" customHeight="1">
      <c r="A114" s="28"/>
      <c r="B114" s="30" t="s">
        <v>150</v>
      </c>
      <c r="C114" s="31">
        <v>1</v>
      </c>
      <c r="D114" s="89">
        <f>37.83-2*0.83</f>
        <v>36.17</v>
      </c>
      <c r="E114" s="89">
        <f t="shared" si="16"/>
        <v>0.75</v>
      </c>
      <c r="F114" s="89">
        <f t="shared" si="17"/>
        <v>2</v>
      </c>
      <c r="G114" s="89"/>
      <c r="H114" s="89">
        <f t="shared" si="15"/>
        <v>54.26</v>
      </c>
      <c r="I114" s="89" t="s">
        <v>14</v>
      </c>
    </row>
    <row r="115" spans="1:10" ht="19.5" customHeight="1">
      <c r="A115" s="28"/>
      <c r="B115" s="30" t="s">
        <v>151</v>
      </c>
      <c r="C115" s="31">
        <v>1</v>
      </c>
      <c r="D115" s="89">
        <f>10.67-1*0.83</f>
        <v>9.84</v>
      </c>
      <c r="E115" s="89">
        <f t="shared" si="16"/>
        <v>0.75</v>
      </c>
      <c r="F115" s="89">
        <f t="shared" si="17"/>
        <v>2</v>
      </c>
      <c r="G115" s="89"/>
      <c r="H115" s="89">
        <f t="shared" si="15"/>
        <v>14.76</v>
      </c>
      <c r="I115" s="89" t="s">
        <v>14</v>
      </c>
    </row>
    <row r="116" spans="1:10" ht="19.5" customHeight="1">
      <c r="A116" s="28"/>
      <c r="B116" s="30" t="s">
        <v>152</v>
      </c>
      <c r="C116" s="31">
        <v>1</v>
      </c>
      <c r="D116" s="89">
        <f>18.5</f>
        <v>18.5</v>
      </c>
      <c r="E116" s="89">
        <f>E108</f>
        <v>0.75</v>
      </c>
      <c r="F116" s="89">
        <f>F108</f>
        <v>2</v>
      </c>
      <c r="G116" s="89"/>
      <c r="H116" s="89">
        <f t="shared" si="15"/>
        <v>27.75</v>
      </c>
      <c r="I116" s="89" t="s">
        <v>14</v>
      </c>
    </row>
    <row r="117" spans="1:10" ht="19.5" customHeight="1">
      <c r="A117" s="28"/>
      <c r="B117" s="30" t="s">
        <v>153</v>
      </c>
      <c r="C117" s="31">
        <v>1</v>
      </c>
      <c r="D117" s="89">
        <f>27-2.5*0.83</f>
        <v>24.93</v>
      </c>
      <c r="E117" s="89">
        <f t="shared" ref="E117:F119" si="18">E116</f>
        <v>0.75</v>
      </c>
      <c r="F117" s="89">
        <f t="shared" si="18"/>
        <v>2</v>
      </c>
      <c r="G117" s="89"/>
      <c r="H117" s="89">
        <f t="shared" si="15"/>
        <v>37.4</v>
      </c>
      <c r="I117" s="89" t="s">
        <v>14</v>
      </c>
    </row>
    <row r="118" spans="1:10" ht="19.5" customHeight="1">
      <c r="A118" s="28"/>
      <c r="B118" s="30" t="s">
        <v>154</v>
      </c>
      <c r="C118" s="31">
        <v>1</v>
      </c>
      <c r="D118" s="89">
        <f>10.67-0.83+8.5-0.83</f>
        <v>17.510000000000002</v>
      </c>
      <c r="E118" s="89">
        <f t="shared" si="18"/>
        <v>0.75</v>
      </c>
      <c r="F118" s="89">
        <f t="shared" si="18"/>
        <v>2</v>
      </c>
      <c r="G118" s="89"/>
      <c r="H118" s="89">
        <f t="shared" si="15"/>
        <v>26.27</v>
      </c>
      <c r="I118" s="89" t="s">
        <v>14</v>
      </c>
    </row>
    <row r="119" spans="1:10" ht="19.5" customHeight="1">
      <c r="A119" s="28"/>
      <c r="B119" s="30" t="s">
        <v>161</v>
      </c>
      <c r="C119" s="31">
        <v>2</v>
      </c>
      <c r="D119" s="89">
        <f>4.83-0.83/2-E118/2</f>
        <v>4.04</v>
      </c>
      <c r="E119" s="89">
        <f t="shared" si="18"/>
        <v>0.75</v>
      </c>
      <c r="F119" s="89">
        <f t="shared" si="18"/>
        <v>2</v>
      </c>
      <c r="G119" s="89"/>
      <c r="H119" s="89">
        <f t="shared" si="15"/>
        <v>12.12</v>
      </c>
      <c r="I119" s="89" t="s">
        <v>14</v>
      </c>
    </row>
    <row r="120" spans="1:10" ht="19.5" customHeight="1">
      <c r="A120" s="28"/>
      <c r="B120" s="30" t="s">
        <v>162</v>
      </c>
      <c r="C120" s="31">
        <v>1</v>
      </c>
      <c r="D120" s="89">
        <f>9.17-0.83</f>
        <v>8.34</v>
      </c>
      <c r="E120" s="89">
        <f>E118</f>
        <v>0.75</v>
      </c>
      <c r="F120" s="89">
        <f>F118</f>
        <v>2</v>
      </c>
      <c r="G120" s="89"/>
      <c r="H120" s="89">
        <f t="shared" si="15"/>
        <v>12.51</v>
      </c>
      <c r="I120" s="89" t="s">
        <v>14</v>
      </c>
    </row>
    <row r="121" spans="1:10" ht="19.5" customHeight="1">
      <c r="A121" s="28"/>
      <c r="B121" s="30"/>
      <c r="C121" s="31">
        <v>1</v>
      </c>
      <c r="D121" s="89">
        <v>10.67</v>
      </c>
      <c r="E121" s="89">
        <f>E120</f>
        <v>0.75</v>
      </c>
      <c r="F121" s="89">
        <f>F120</f>
        <v>2</v>
      </c>
      <c r="G121" s="89"/>
      <c r="H121" s="89">
        <f>C121*D121*E121*F121</f>
        <v>16.010000000000002</v>
      </c>
      <c r="I121" s="89" t="s">
        <v>14</v>
      </c>
    </row>
    <row r="122" spans="1:10" ht="20.149999999999999" customHeight="1">
      <c r="A122" s="28"/>
      <c r="B122" s="30" t="s">
        <v>165</v>
      </c>
      <c r="C122" s="31" t="s">
        <v>163</v>
      </c>
      <c r="D122" s="89">
        <f>C106*D106+C107*D107+C108*D108+C109*D109+C110*D110+C111*D111+C112*D112+C113*D113+C114*D114+C115*D115+C116*D116+C117*D117+C118*D118+C119*D119+C120*D120</f>
        <v>422.72</v>
      </c>
      <c r="E122" s="89"/>
      <c r="F122" s="89"/>
      <c r="G122" s="89"/>
      <c r="H122" s="89"/>
      <c r="I122" s="89"/>
    </row>
    <row r="123" spans="1:10" ht="20.149999999999999" customHeight="1">
      <c r="A123" s="28"/>
      <c r="B123" s="30"/>
      <c r="C123" s="31"/>
      <c r="D123" s="89"/>
      <c r="E123" s="89"/>
      <c r="F123" s="89"/>
      <c r="G123" s="89">
        <f>SUM(G122:G122)</f>
        <v>0</v>
      </c>
      <c r="H123" s="89">
        <f>SUM(H71:H122)</f>
        <v>1626.13</v>
      </c>
      <c r="I123" s="89" t="s">
        <v>14</v>
      </c>
    </row>
    <row r="124" spans="1:10" ht="20.149999999999999" customHeight="1">
      <c r="A124" s="28"/>
      <c r="B124" s="28"/>
      <c r="C124" s="31"/>
      <c r="D124" s="89"/>
      <c r="E124" s="89"/>
      <c r="F124" s="89"/>
      <c r="G124" s="89"/>
      <c r="H124" s="164" t="s">
        <v>108</v>
      </c>
      <c r="I124" s="91">
        <f>SUM(H123-G123)</f>
        <v>1626.13</v>
      </c>
      <c r="J124" s="127"/>
    </row>
    <row r="125" spans="1:10" ht="20.149999999999999" customHeight="1">
      <c r="A125" s="28"/>
      <c r="B125" s="28"/>
      <c r="C125" s="31"/>
      <c r="D125" s="89"/>
      <c r="E125" s="89"/>
      <c r="F125" s="89"/>
      <c r="G125" s="89"/>
      <c r="H125" s="165" t="s">
        <v>109</v>
      </c>
      <c r="I125" s="91">
        <f>I124/100</f>
        <v>16.260000000000002</v>
      </c>
      <c r="J125" s="127"/>
    </row>
    <row r="126" spans="1:10" ht="20.149999999999999" customHeight="1">
      <c r="A126" s="28"/>
      <c r="B126" s="28"/>
      <c r="C126" s="31"/>
      <c r="D126" s="89"/>
      <c r="E126" s="89"/>
      <c r="F126" s="89"/>
      <c r="G126" s="89"/>
      <c r="H126" s="89"/>
      <c r="I126" s="89"/>
    </row>
    <row r="127" spans="1:10" ht="20.149999999999999" customHeight="1">
      <c r="A127" s="97">
        <v>7</v>
      </c>
      <c r="B127" s="98" t="s">
        <v>202</v>
      </c>
      <c r="C127" s="31"/>
      <c r="D127" s="89"/>
      <c r="E127" s="89"/>
      <c r="F127" s="89"/>
      <c r="G127" s="89"/>
      <c r="H127" s="89"/>
      <c r="I127" s="89"/>
    </row>
    <row r="128" spans="1:10" ht="20.149999999999999" customHeight="1">
      <c r="A128" s="28"/>
      <c r="B128" s="92" t="s">
        <v>54</v>
      </c>
      <c r="C128" s="31"/>
      <c r="D128" s="89"/>
      <c r="E128" s="89"/>
      <c r="F128" s="89"/>
      <c r="G128" s="89"/>
      <c r="H128" s="89"/>
      <c r="I128" s="89"/>
    </row>
    <row r="129" spans="1:10" ht="20.149999999999999" customHeight="1">
      <c r="A129" s="28"/>
      <c r="B129" s="28" t="str">
        <f t="shared" ref="B129:C131" si="19">B45</f>
        <v>F1 (3' 0"x 3' 0"x0' 10")</v>
      </c>
      <c r="C129" s="31">
        <f t="shared" si="19"/>
        <v>5</v>
      </c>
      <c r="D129" s="89">
        <v>3</v>
      </c>
      <c r="E129" s="89">
        <v>3</v>
      </c>
      <c r="F129" s="89">
        <v>0.83</v>
      </c>
      <c r="G129" s="89"/>
      <c r="H129" s="89">
        <f>C129*D129*E129*F129</f>
        <v>37.35</v>
      </c>
      <c r="I129" s="89" t="s">
        <v>14</v>
      </c>
    </row>
    <row r="130" spans="1:10" ht="20.149999999999999" customHeight="1">
      <c r="A130" s="28"/>
      <c r="B130" s="28" t="str">
        <f t="shared" si="19"/>
        <v>F2 (4' 0"x 4' 0"x0' 10")</v>
      </c>
      <c r="C130" s="31">
        <f t="shared" si="19"/>
        <v>13</v>
      </c>
      <c r="D130" s="89">
        <v>4</v>
      </c>
      <c r="E130" s="89">
        <v>4</v>
      </c>
      <c r="F130" s="89">
        <v>0.83</v>
      </c>
      <c r="G130" s="89"/>
      <c r="H130" s="89">
        <f>C130*D130*E130*F130</f>
        <v>172.64</v>
      </c>
      <c r="I130" s="89" t="s">
        <v>14</v>
      </c>
    </row>
    <row r="131" spans="1:10" ht="20.149999999999999" customHeight="1">
      <c r="A131" s="28"/>
      <c r="B131" s="28" t="str">
        <f t="shared" si="19"/>
        <v>F3 (5' 0"x 5' 0"x0' 10")</v>
      </c>
      <c r="C131" s="31">
        <f t="shared" si="19"/>
        <v>6</v>
      </c>
      <c r="D131" s="89">
        <v>5</v>
      </c>
      <c r="E131" s="89">
        <v>5</v>
      </c>
      <c r="F131" s="89">
        <v>0.83</v>
      </c>
      <c r="G131" s="89"/>
      <c r="H131" s="89">
        <f>C131*D131*E131*F131</f>
        <v>124.5</v>
      </c>
      <c r="I131" s="89" t="s">
        <v>14</v>
      </c>
    </row>
    <row r="132" spans="1:10" ht="20.149999999999999" customHeight="1">
      <c r="A132" s="28"/>
      <c r="B132" s="28"/>
      <c r="C132" s="31"/>
      <c r="D132" s="89"/>
      <c r="E132" s="89"/>
      <c r="F132" s="89"/>
      <c r="G132" s="89"/>
      <c r="H132" s="89">
        <f>SUM(H129:H131)</f>
        <v>334.49</v>
      </c>
      <c r="I132" s="89" t="s">
        <v>14</v>
      </c>
    </row>
    <row r="133" spans="1:10" ht="20.149999999999999" customHeight="1">
      <c r="A133" s="28"/>
      <c r="B133" s="28"/>
      <c r="C133" s="31"/>
      <c r="D133" s="89"/>
      <c r="E133" s="89"/>
      <c r="F133" s="89"/>
      <c r="G133" s="89"/>
      <c r="H133" s="91" t="s">
        <v>86</v>
      </c>
      <c r="I133" s="91">
        <f>H132/100</f>
        <v>3.34</v>
      </c>
      <c r="J133" s="127">
        <f>I133*0.92</f>
        <v>3.07</v>
      </c>
    </row>
    <row r="134" spans="1:10" ht="20.149999999999999" customHeight="1">
      <c r="A134" s="28"/>
      <c r="B134" s="98" t="s">
        <v>52</v>
      </c>
      <c r="C134" s="31"/>
      <c r="D134" s="89"/>
      <c r="E134" s="89"/>
      <c r="F134" s="89"/>
      <c r="G134" s="89"/>
      <c r="H134" s="89"/>
      <c r="I134" s="89"/>
    </row>
    <row r="135" spans="1:10" ht="20.149999999999999" customHeight="1">
      <c r="A135" s="28"/>
      <c r="B135" s="30" t="str">
        <f t="shared" ref="B135:C137" si="20">B129</f>
        <v>F1 (3' 0"x 3' 0"x0' 10")</v>
      </c>
      <c r="C135" s="31">
        <f t="shared" si="20"/>
        <v>5</v>
      </c>
      <c r="D135" s="89">
        <f>D129*2+E129*2</f>
        <v>12</v>
      </c>
      <c r="E135" s="89"/>
      <c r="F135" s="89">
        <f>F129</f>
        <v>0.83</v>
      </c>
      <c r="G135" s="89"/>
      <c r="H135" s="89">
        <f>C135*D135*F135</f>
        <v>49.8</v>
      </c>
      <c r="I135" s="89" t="s">
        <v>7</v>
      </c>
    </row>
    <row r="136" spans="1:10" ht="20.149999999999999" customHeight="1">
      <c r="A136" s="28"/>
      <c r="B136" s="30" t="str">
        <f t="shared" si="20"/>
        <v>F2 (4' 0"x 4' 0"x0' 10")</v>
      </c>
      <c r="C136" s="31">
        <f t="shared" si="20"/>
        <v>13</v>
      </c>
      <c r="D136" s="89">
        <f>D130*2+E130*2</f>
        <v>16</v>
      </c>
      <c r="E136" s="89"/>
      <c r="F136" s="89">
        <f>F130</f>
        <v>0.83</v>
      </c>
      <c r="G136" s="89"/>
      <c r="H136" s="89">
        <f>C136*D136*F136</f>
        <v>172.64</v>
      </c>
      <c r="I136" s="89" t="s">
        <v>7</v>
      </c>
    </row>
    <row r="137" spans="1:10" ht="20.149999999999999" customHeight="1">
      <c r="A137" s="28"/>
      <c r="B137" s="30" t="str">
        <f t="shared" si="20"/>
        <v>F3 (5' 0"x 5' 0"x0' 10")</v>
      </c>
      <c r="C137" s="31">
        <f t="shared" si="20"/>
        <v>6</v>
      </c>
      <c r="D137" s="89">
        <f>D131*2+E131*2</f>
        <v>20</v>
      </c>
      <c r="E137" s="89"/>
      <c r="F137" s="89">
        <f>F131</f>
        <v>0.83</v>
      </c>
      <c r="G137" s="89"/>
      <c r="H137" s="89">
        <f>C137*D137*F137</f>
        <v>99.6</v>
      </c>
      <c r="I137" s="89" t="s">
        <v>7</v>
      </c>
    </row>
    <row r="138" spans="1:10" ht="20.149999999999999" customHeight="1">
      <c r="A138" s="28"/>
      <c r="B138" s="28"/>
      <c r="C138" s="31"/>
      <c r="D138" s="89"/>
      <c r="E138" s="89"/>
      <c r="F138" s="89"/>
      <c r="G138" s="89"/>
      <c r="H138" s="89">
        <f>SUM(H135:H137)</f>
        <v>322.04000000000002</v>
      </c>
      <c r="I138" s="89" t="s">
        <v>7</v>
      </c>
    </row>
    <row r="139" spans="1:10" ht="20.149999999999999" customHeight="1">
      <c r="A139" s="28"/>
      <c r="B139" s="28"/>
      <c r="C139" s="31"/>
      <c r="D139" s="89"/>
      <c r="E139" s="89"/>
      <c r="F139" s="89"/>
      <c r="G139" s="89"/>
      <c r="H139" s="91" t="s">
        <v>91</v>
      </c>
      <c r="I139" s="91">
        <f>H138/100</f>
        <v>3.22</v>
      </c>
      <c r="J139" s="127"/>
    </row>
    <row r="140" spans="1:10" ht="20.149999999999999" customHeight="1">
      <c r="A140" s="28"/>
      <c r="B140" s="98" t="s">
        <v>41</v>
      </c>
      <c r="C140" s="31"/>
      <c r="D140" s="89"/>
      <c r="E140" s="89"/>
      <c r="F140" s="89"/>
      <c r="G140" s="89"/>
      <c r="H140" s="89"/>
      <c r="I140" s="89"/>
    </row>
    <row r="141" spans="1:10" ht="20.149999999999999" customHeight="1">
      <c r="A141" s="28"/>
      <c r="B141" s="97" t="str">
        <f>B129</f>
        <v>F1 (3' 0"x 3' 0"x0' 10")</v>
      </c>
      <c r="C141" s="94">
        <f>C129</f>
        <v>5</v>
      </c>
      <c r="D141" s="91">
        <f>D129</f>
        <v>3</v>
      </c>
      <c r="E141" s="91">
        <f>E129</f>
        <v>3</v>
      </c>
      <c r="F141" s="91">
        <f>F129</f>
        <v>0.83</v>
      </c>
      <c r="G141" s="89"/>
      <c r="H141" s="91" t="s">
        <v>204</v>
      </c>
      <c r="I141" s="89"/>
    </row>
    <row r="142" spans="1:10" ht="20.149999999999999" customHeight="1">
      <c r="A142" s="28"/>
      <c r="B142" s="28" t="s">
        <v>203</v>
      </c>
      <c r="C142" s="31">
        <f>C141*ROUND((D141-0.25*2)/0.5+1,0)*2</f>
        <v>60</v>
      </c>
      <c r="D142" s="89">
        <f>E141-0.25*2+18*16/1000*3.281</f>
        <v>3.44</v>
      </c>
      <c r="E142" s="89"/>
      <c r="F142" s="89"/>
      <c r="G142" s="89"/>
      <c r="H142" s="89">
        <f>C142*D142</f>
        <v>206.4</v>
      </c>
      <c r="I142" s="89" t="s">
        <v>163</v>
      </c>
    </row>
    <row r="143" spans="1:10" ht="20.149999999999999" customHeight="1">
      <c r="A143" s="28"/>
      <c r="B143" s="28"/>
      <c r="C143" s="31"/>
      <c r="D143" s="89"/>
      <c r="E143" s="89"/>
      <c r="F143" s="89"/>
      <c r="G143" s="89"/>
      <c r="H143" s="89"/>
      <c r="I143" s="89"/>
    </row>
    <row r="144" spans="1:10" ht="20.149999999999999" customHeight="1">
      <c r="A144" s="28"/>
      <c r="B144" s="97" t="str">
        <f>B136</f>
        <v>F2 (4' 0"x 4' 0"x0' 10")</v>
      </c>
      <c r="C144" s="94">
        <f>C136</f>
        <v>13</v>
      </c>
      <c r="D144" s="91">
        <f>D130</f>
        <v>4</v>
      </c>
      <c r="E144" s="91">
        <f>E130</f>
        <v>4</v>
      </c>
      <c r="F144" s="91">
        <f>F130</f>
        <v>0.83</v>
      </c>
      <c r="G144" s="89"/>
      <c r="H144" s="89"/>
      <c r="I144" s="89"/>
    </row>
    <row r="145" spans="1:10" ht="20.149999999999999" customHeight="1">
      <c r="A145" s="28"/>
      <c r="B145" s="28" t="s">
        <v>203</v>
      </c>
      <c r="C145" s="31">
        <f>C144*ROUND((D144-0.25*2)/0.5+1,0)*2</f>
        <v>208</v>
      </c>
      <c r="D145" s="89">
        <f>E144-0.25*2+18*16/1000*3.281</f>
        <v>4.4400000000000004</v>
      </c>
      <c r="E145" s="89"/>
      <c r="F145" s="89"/>
      <c r="G145" s="89"/>
      <c r="H145" s="89">
        <f>C145*D145</f>
        <v>923.52</v>
      </c>
      <c r="I145" s="89" t="s">
        <v>163</v>
      </c>
    </row>
    <row r="146" spans="1:10" ht="20.149999999999999" customHeight="1">
      <c r="A146" s="28"/>
      <c r="B146" s="28"/>
      <c r="C146" s="31"/>
      <c r="D146" s="89"/>
      <c r="E146" s="89"/>
      <c r="F146" s="89"/>
      <c r="G146" s="89"/>
      <c r="H146" s="89"/>
      <c r="I146" s="89"/>
    </row>
    <row r="147" spans="1:10" ht="20.149999999999999" customHeight="1">
      <c r="A147" s="28"/>
      <c r="B147" s="97" t="str">
        <f>B137</f>
        <v>F3 (5' 0"x 5' 0"x0' 10")</v>
      </c>
      <c r="C147" s="94">
        <f>C137</f>
        <v>6</v>
      </c>
      <c r="D147" s="91">
        <f>D131</f>
        <v>5</v>
      </c>
      <c r="E147" s="91">
        <f>E131</f>
        <v>5</v>
      </c>
      <c r="F147" s="91">
        <f>F131</f>
        <v>0.83</v>
      </c>
      <c r="G147" s="89"/>
      <c r="H147" s="89"/>
      <c r="I147" s="89"/>
    </row>
    <row r="148" spans="1:10" ht="20.149999999999999" customHeight="1">
      <c r="A148" s="28"/>
      <c r="B148" s="28" t="s">
        <v>203</v>
      </c>
      <c r="C148" s="31">
        <f>C147*ROUND((D147-0.25*2)/0.5+1,0)*2</f>
        <v>120</v>
      </c>
      <c r="D148" s="89">
        <f>E147-0.25*2+18*16/1000*3.281</f>
        <v>5.44</v>
      </c>
      <c r="E148" s="89"/>
      <c r="F148" s="89"/>
      <c r="G148" s="89"/>
      <c r="H148" s="89">
        <f>C148*D148</f>
        <v>652.79999999999995</v>
      </c>
      <c r="I148" s="89" t="s">
        <v>163</v>
      </c>
    </row>
    <row r="149" spans="1:10" ht="20.149999999999999" customHeight="1">
      <c r="A149" s="28"/>
      <c r="B149" s="28"/>
      <c r="C149" s="31"/>
      <c r="D149" s="89"/>
      <c r="E149" s="89"/>
      <c r="F149" s="89"/>
      <c r="G149" s="89"/>
      <c r="H149" s="89">
        <f>SUM(H142:H148)</f>
        <v>1782.72</v>
      </c>
      <c r="I149" s="89" t="s">
        <v>163</v>
      </c>
    </row>
    <row r="150" spans="1:10" ht="20.149999999999999" customHeight="1">
      <c r="A150" s="28"/>
      <c r="B150" s="28"/>
      <c r="C150" s="31"/>
      <c r="D150" s="89"/>
      <c r="E150" s="89"/>
      <c r="F150" s="89"/>
      <c r="G150" s="89"/>
      <c r="H150" s="91">
        <f>H149/39.33/53</f>
        <v>0.86</v>
      </c>
      <c r="I150" s="91" t="s">
        <v>93</v>
      </c>
      <c r="J150" s="127"/>
    </row>
    <row r="151" spans="1:10" ht="20.149999999999999" customHeight="1">
      <c r="A151" s="28"/>
      <c r="B151" s="28"/>
      <c r="C151" s="31"/>
      <c r="D151" s="89"/>
      <c r="E151" s="89"/>
      <c r="F151" s="89"/>
      <c r="G151" s="89"/>
      <c r="H151" s="89"/>
      <c r="I151" s="89"/>
    </row>
    <row r="152" spans="1:10" ht="19" customHeight="1">
      <c r="A152" s="97">
        <v>8</v>
      </c>
      <c r="B152" s="98" t="s">
        <v>56</v>
      </c>
      <c r="C152" s="31"/>
      <c r="D152" s="89"/>
      <c r="E152" s="89"/>
      <c r="F152" s="89"/>
      <c r="G152" s="89"/>
      <c r="H152" s="89"/>
      <c r="I152" s="89"/>
    </row>
    <row r="153" spans="1:10" ht="19" customHeight="1">
      <c r="A153" s="97"/>
      <c r="B153" s="98" t="s">
        <v>54</v>
      </c>
      <c r="C153" s="31"/>
      <c r="D153" s="89"/>
      <c r="E153" s="89"/>
      <c r="F153" s="89"/>
      <c r="G153" s="89"/>
      <c r="H153" s="89"/>
      <c r="I153" s="89"/>
    </row>
    <row r="154" spans="1:10" ht="19" customHeight="1">
      <c r="A154" s="28"/>
      <c r="B154" s="28" t="s">
        <v>167</v>
      </c>
      <c r="C154" s="31"/>
      <c r="D154" s="89"/>
      <c r="E154" s="89"/>
      <c r="F154" s="89"/>
      <c r="G154" s="89"/>
      <c r="H154" s="89"/>
      <c r="I154" s="89"/>
    </row>
    <row r="155" spans="1:10" ht="20.149999999999999" customHeight="1">
      <c r="A155" s="28"/>
      <c r="B155" s="30" t="s">
        <v>168</v>
      </c>
      <c r="C155" s="31">
        <v>24</v>
      </c>
      <c r="D155" s="89">
        <v>0.83</v>
      </c>
      <c r="E155" s="89">
        <v>0.83</v>
      </c>
      <c r="F155" s="89">
        <v>6.17</v>
      </c>
      <c r="G155" s="89"/>
      <c r="H155" s="89">
        <f>C155*D155*E155*F155</f>
        <v>102.01</v>
      </c>
      <c r="I155" s="89" t="s">
        <v>14</v>
      </c>
      <c r="J155" s="6">
        <f>H155*0.92/100</f>
        <v>0.94</v>
      </c>
    </row>
    <row r="156" spans="1:10" ht="20.149999999999999" customHeight="1">
      <c r="A156" s="28"/>
      <c r="B156" s="96"/>
      <c r="C156" s="94">
        <f>SUM(C155:C155)</f>
        <v>24</v>
      </c>
      <c r="D156" s="89"/>
      <c r="E156" s="89"/>
      <c r="F156" s="89"/>
      <c r="G156" s="89"/>
      <c r="H156" s="89"/>
      <c r="I156" s="89"/>
    </row>
    <row r="157" spans="1:10" ht="20.149999999999999" customHeight="1">
      <c r="A157" s="28"/>
      <c r="B157" s="28" t="s">
        <v>169</v>
      </c>
      <c r="C157" s="31"/>
      <c r="D157" s="89"/>
      <c r="E157" s="89"/>
      <c r="F157" s="89"/>
      <c r="G157" s="89"/>
      <c r="H157" s="89"/>
      <c r="I157" s="89"/>
    </row>
    <row r="158" spans="1:10" ht="20.149999999999999" customHeight="1">
      <c r="A158" s="28"/>
      <c r="B158" s="30" t="s">
        <v>168</v>
      </c>
      <c r="C158" s="31">
        <f>C155</f>
        <v>24</v>
      </c>
      <c r="D158" s="89">
        <f>D155</f>
        <v>0.83</v>
      </c>
      <c r="E158" s="89">
        <f>E155</f>
        <v>0.83</v>
      </c>
      <c r="F158" s="89">
        <v>13</v>
      </c>
      <c r="G158" s="89"/>
      <c r="H158" s="89">
        <f>C158*D158*E158*F158</f>
        <v>214.94</v>
      </c>
      <c r="I158" s="89" t="s">
        <v>14</v>
      </c>
    </row>
    <row r="159" spans="1:10" ht="20.149999999999999" customHeight="1">
      <c r="A159" s="28"/>
      <c r="B159" s="28" t="s">
        <v>171</v>
      </c>
      <c r="C159" s="31"/>
      <c r="D159" s="89"/>
      <c r="E159" s="89"/>
      <c r="F159" s="89"/>
      <c r="G159" s="89"/>
      <c r="H159" s="89"/>
      <c r="I159" s="89"/>
    </row>
    <row r="160" spans="1:10" ht="20.149999999999999" customHeight="1">
      <c r="A160" s="28"/>
      <c r="B160" s="30" t="s">
        <v>170</v>
      </c>
      <c r="C160" s="31">
        <v>2</v>
      </c>
      <c r="D160" s="89">
        <v>0.83</v>
      </c>
      <c r="E160" s="89">
        <v>0.83</v>
      </c>
      <c r="F160" s="89">
        <v>8.83</v>
      </c>
      <c r="G160" s="89"/>
      <c r="H160" s="89">
        <f t="shared" ref="H160:H165" si="21">C160*D160*E160*F160</f>
        <v>12.17</v>
      </c>
      <c r="I160" s="89" t="s">
        <v>14</v>
      </c>
    </row>
    <row r="161" spans="1:9" ht="20.149999999999999" customHeight="1">
      <c r="A161" s="28"/>
      <c r="B161" s="30" t="s">
        <v>170</v>
      </c>
      <c r="C161" s="31">
        <v>8</v>
      </c>
      <c r="D161" s="89">
        <v>0.83</v>
      </c>
      <c r="E161" s="89">
        <v>0.83</v>
      </c>
      <c r="F161" s="89">
        <v>4.33</v>
      </c>
      <c r="G161" s="89"/>
      <c r="H161" s="89">
        <f t="shared" si="21"/>
        <v>23.86</v>
      </c>
      <c r="I161" s="89" t="s">
        <v>14</v>
      </c>
    </row>
    <row r="162" spans="1:9" ht="20.149999999999999" customHeight="1">
      <c r="A162" s="28"/>
      <c r="B162" s="30" t="s">
        <v>170</v>
      </c>
      <c r="C162" s="31">
        <v>2</v>
      </c>
      <c r="D162" s="89">
        <v>0.83</v>
      </c>
      <c r="E162" s="89">
        <v>0.83</v>
      </c>
      <c r="F162" s="89">
        <v>7</v>
      </c>
      <c r="G162" s="89"/>
      <c r="H162" s="89">
        <f t="shared" si="21"/>
        <v>9.64</v>
      </c>
      <c r="I162" s="89" t="s">
        <v>14</v>
      </c>
    </row>
    <row r="163" spans="1:9" ht="20.149999999999999" customHeight="1">
      <c r="A163" s="28"/>
      <c r="B163" s="30" t="s">
        <v>170</v>
      </c>
      <c r="C163" s="31">
        <v>5</v>
      </c>
      <c r="D163" s="89">
        <v>0.83</v>
      </c>
      <c r="E163" s="89">
        <v>0.83</v>
      </c>
      <c r="F163" s="89">
        <v>3.5</v>
      </c>
      <c r="G163" s="89"/>
      <c r="H163" s="89">
        <f t="shared" si="21"/>
        <v>12.06</v>
      </c>
      <c r="I163" s="89" t="s">
        <v>14</v>
      </c>
    </row>
    <row r="164" spans="1:9" ht="20.149999999999999" customHeight="1">
      <c r="A164" s="28"/>
      <c r="B164" s="30" t="s">
        <v>267</v>
      </c>
      <c r="C164" s="31">
        <v>2</v>
      </c>
      <c r="D164" s="89">
        <v>0.83</v>
      </c>
      <c r="E164" s="89">
        <v>0.83</v>
      </c>
      <c r="F164" s="89">
        <v>2.5</v>
      </c>
      <c r="G164" s="89"/>
      <c r="H164" s="89">
        <f t="shared" si="21"/>
        <v>3.44</v>
      </c>
      <c r="I164" s="89" t="s">
        <v>14</v>
      </c>
    </row>
    <row r="165" spans="1:9" ht="20.149999999999999" customHeight="1">
      <c r="A165" s="28"/>
      <c r="B165" s="30" t="s">
        <v>268</v>
      </c>
      <c r="C165" s="31">
        <v>2</v>
      </c>
      <c r="D165" s="89">
        <v>0.83</v>
      </c>
      <c r="E165" s="89">
        <v>0.83</v>
      </c>
      <c r="F165" s="89">
        <v>2.5</v>
      </c>
      <c r="G165" s="89"/>
      <c r="H165" s="89">
        <f t="shared" si="21"/>
        <v>3.44</v>
      </c>
      <c r="I165" s="89" t="s">
        <v>14</v>
      </c>
    </row>
    <row r="166" spans="1:9" ht="20.149999999999999" customHeight="1">
      <c r="A166" s="28"/>
      <c r="B166" s="92"/>
      <c r="C166" s="31"/>
      <c r="D166" s="89"/>
      <c r="E166" s="89"/>
      <c r="F166" s="89"/>
      <c r="G166" s="89"/>
      <c r="H166" s="89">
        <f>SUM(H155:H165)</f>
        <v>381.56</v>
      </c>
      <c r="I166" s="89" t="s">
        <v>14</v>
      </c>
    </row>
    <row r="167" spans="1:9" ht="20.149999999999999" customHeight="1">
      <c r="A167" s="28"/>
      <c r="B167" s="92"/>
      <c r="C167" s="31"/>
      <c r="D167" s="89"/>
      <c r="E167" s="89"/>
      <c r="F167" s="89"/>
      <c r="G167" s="89"/>
      <c r="H167" s="89">
        <f>H166/100</f>
        <v>3.82</v>
      </c>
      <c r="I167" s="89" t="s">
        <v>86</v>
      </c>
    </row>
    <row r="168" spans="1:9" ht="20.149999999999999" customHeight="1">
      <c r="A168" s="28"/>
      <c r="B168" s="92"/>
      <c r="C168" s="31"/>
      <c r="D168" s="89"/>
      <c r="E168" s="89"/>
      <c r="F168" s="89"/>
      <c r="G168" s="89"/>
      <c r="H168" s="89"/>
      <c r="I168" s="89"/>
    </row>
    <row r="169" spans="1:9" ht="20.149999999999999" customHeight="1">
      <c r="A169" s="28"/>
      <c r="B169" s="98" t="s">
        <v>52</v>
      </c>
      <c r="C169" s="31"/>
      <c r="D169" s="89"/>
      <c r="E169" s="89"/>
      <c r="F169" s="89"/>
      <c r="G169" s="89"/>
      <c r="H169" s="89"/>
      <c r="I169" s="89"/>
    </row>
    <row r="170" spans="1:9" ht="20.149999999999999" customHeight="1">
      <c r="A170" s="28"/>
      <c r="B170" s="97" t="str">
        <f>B154</f>
        <v>Foundation to Plinth Level</v>
      </c>
      <c r="C170" s="31"/>
      <c r="D170" s="89"/>
      <c r="E170" s="89"/>
      <c r="F170" s="89"/>
      <c r="G170" s="89"/>
      <c r="H170" s="89"/>
      <c r="I170" s="89"/>
    </row>
    <row r="171" spans="1:9" ht="20.149999999999999" customHeight="1">
      <c r="A171" s="28"/>
      <c r="B171" s="30" t="str">
        <f>B155</f>
        <v>C1 (10" x 10")</v>
      </c>
      <c r="C171" s="31">
        <f>C155</f>
        <v>24</v>
      </c>
      <c r="D171" s="89">
        <f>D155*2+E155*2</f>
        <v>3.32</v>
      </c>
      <c r="E171" s="89"/>
      <c r="F171" s="89">
        <f>F155</f>
        <v>6.17</v>
      </c>
      <c r="G171" s="89"/>
      <c r="H171" s="89">
        <f>F171*D171*C171</f>
        <v>491.63</v>
      </c>
      <c r="I171" s="89" t="s">
        <v>7</v>
      </c>
    </row>
    <row r="172" spans="1:9" ht="20.149999999999999" customHeight="1">
      <c r="A172" s="28"/>
      <c r="B172" s="97" t="str">
        <f>B157</f>
        <v>Plinth to Roof Beam</v>
      </c>
      <c r="C172" s="31"/>
      <c r="D172" s="89"/>
      <c r="E172" s="89"/>
      <c r="F172" s="89"/>
      <c r="G172" s="89"/>
      <c r="H172" s="89"/>
      <c r="I172" s="89"/>
    </row>
    <row r="173" spans="1:9" ht="20.149999999999999" customHeight="1">
      <c r="A173" s="28"/>
      <c r="B173" s="30" t="str">
        <f>B158</f>
        <v>C1 (10" x 10")</v>
      </c>
      <c r="C173" s="31">
        <f>C158</f>
        <v>24</v>
      </c>
      <c r="D173" s="89">
        <f>D158*2+E158*2</f>
        <v>3.32</v>
      </c>
      <c r="E173" s="89"/>
      <c r="F173" s="89">
        <f>F158</f>
        <v>13</v>
      </c>
      <c r="G173" s="89"/>
      <c r="H173" s="89">
        <f>F173*D173*C173</f>
        <v>1035.8399999999999</v>
      </c>
      <c r="I173" s="89" t="s">
        <v>7</v>
      </c>
    </row>
    <row r="174" spans="1:9" ht="19.5" customHeight="1">
      <c r="A174" s="28"/>
      <c r="B174" s="97" t="s">
        <v>105</v>
      </c>
      <c r="C174" s="31"/>
      <c r="D174" s="89"/>
      <c r="E174" s="89"/>
      <c r="F174" s="89"/>
      <c r="G174" s="89"/>
      <c r="H174" s="89"/>
      <c r="I174" s="89"/>
    </row>
    <row r="175" spans="1:9" ht="19.5" customHeight="1">
      <c r="A175" s="28"/>
      <c r="B175" s="30" t="str">
        <f t="shared" ref="B175:C180" si="22">B160</f>
        <v>PC (10" x 10")</v>
      </c>
      <c r="C175" s="31">
        <f t="shared" si="22"/>
        <v>2</v>
      </c>
      <c r="D175" s="89">
        <f t="shared" ref="D175:D180" si="23">D160*2+E160*2</f>
        <v>3.32</v>
      </c>
      <c r="E175" s="89"/>
      <c r="F175" s="89">
        <f t="shared" ref="F175:F180" si="24">F160</f>
        <v>8.83</v>
      </c>
      <c r="G175" s="89"/>
      <c r="H175" s="89">
        <f t="shared" ref="H175:H180" si="25">F175*D175*C175</f>
        <v>58.63</v>
      </c>
      <c r="I175" s="89" t="s">
        <v>7</v>
      </c>
    </row>
    <row r="176" spans="1:9" ht="19.5" customHeight="1">
      <c r="A176" s="28"/>
      <c r="B176" s="30" t="str">
        <f t="shared" si="22"/>
        <v>PC (10" x 10")</v>
      </c>
      <c r="C176" s="31">
        <f t="shared" si="22"/>
        <v>8</v>
      </c>
      <c r="D176" s="89">
        <f t="shared" si="23"/>
        <v>3.32</v>
      </c>
      <c r="E176" s="89"/>
      <c r="F176" s="89">
        <f t="shared" si="24"/>
        <v>4.33</v>
      </c>
      <c r="G176" s="89"/>
      <c r="H176" s="89">
        <f t="shared" si="25"/>
        <v>115</v>
      </c>
      <c r="I176" s="89" t="s">
        <v>7</v>
      </c>
    </row>
    <row r="177" spans="1:11" ht="19.5" customHeight="1">
      <c r="A177" s="28"/>
      <c r="B177" s="30" t="str">
        <f t="shared" si="22"/>
        <v>PC (10" x 10")</v>
      </c>
      <c r="C177" s="31">
        <f t="shared" si="22"/>
        <v>2</v>
      </c>
      <c r="D177" s="89">
        <f t="shared" si="23"/>
        <v>3.32</v>
      </c>
      <c r="E177" s="89"/>
      <c r="F177" s="89">
        <f t="shared" si="24"/>
        <v>7</v>
      </c>
      <c r="G177" s="89"/>
      <c r="H177" s="89">
        <f t="shared" si="25"/>
        <v>46.48</v>
      </c>
      <c r="I177" s="89" t="s">
        <v>7</v>
      </c>
    </row>
    <row r="178" spans="1:11" ht="19.5" customHeight="1">
      <c r="A178" s="28"/>
      <c r="B178" s="30" t="str">
        <f t="shared" si="22"/>
        <v>PC (10" x 10")</v>
      </c>
      <c r="C178" s="31">
        <f t="shared" si="22"/>
        <v>5</v>
      </c>
      <c r="D178" s="89">
        <f t="shared" si="23"/>
        <v>3.32</v>
      </c>
      <c r="E178" s="89"/>
      <c r="F178" s="89">
        <f t="shared" si="24"/>
        <v>3.5</v>
      </c>
      <c r="G178" s="89"/>
      <c r="H178" s="89">
        <f t="shared" si="25"/>
        <v>58.1</v>
      </c>
      <c r="I178" s="89" t="s">
        <v>7</v>
      </c>
    </row>
    <row r="179" spans="1:11" ht="19.5" customHeight="1">
      <c r="A179" s="28"/>
      <c r="B179" s="30" t="str">
        <f t="shared" si="22"/>
        <v>Portico PC (10" x 10")</v>
      </c>
      <c r="C179" s="31">
        <f t="shared" si="22"/>
        <v>2</v>
      </c>
      <c r="D179" s="89">
        <f t="shared" si="23"/>
        <v>3.32</v>
      </c>
      <c r="E179" s="89"/>
      <c r="F179" s="89">
        <f t="shared" si="24"/>
        <v>2.5</v>
      </c>
      <c r="G179" s="89"/>
      <c r="H179" s="89">
        <f t="shared" si="25"/>
        <v>16.600000000000001</v>
      </c>
      <c r="I179" s="89" t="s">
        <v>7</v>
      </c>
    </row>
    <row r="180" spans="1:11" ht="19.5" customHeight="1">
      <c r="A180" s="28"/>
      <c r="B180" s="30" t="str">
        <f t="shared" si="22"/>
        <v>Back, PC (10" x 10")</v>
      </c>
      <c r="C180" s="31">
        <f t="shared" si="22"/>
        <v>2</v>
      </c>
      <c r="D180" s="89">
        <f t="shared" si="23"/>
        <v>3.32</v>
      </c>
      <c r="E180" s="89"/>
      <c r="F180" s="89">
        <f t="shared" si="24"/>
        <v>2.5</v>
      </c>
      <c r="G180" s="89"/>
      <c r="H180" s="89">
        <f t="shared" si="25"/>
        <v>16.600000000000001</v>
      </c>
      <c r="I180" s="89" t="s">
        <v>7</v>
      </c>
    </row>
    <row r="181" spans="1:11" ht="19" customHeight="1">
      <c r="A181" s="28"/>
      <c r="B181" s="92"/>
      <c r="C181" s="31"/>
      <c r="D181" s="89"/>
      <c r="E181" s="89"/>
      <c r="F181" s="89"/>
      <c r="G181" s="89"/>
      <c r="H181" s="91">
        <f>SUM(H171:H180)</f>
        <v>1838.88</v>
      </c>
      <c r="I181" s="91" t="s">
        <v>7</v>
      </c>
      <c r="J181" s="127">
        <f>25*35</f>
        <v>875</v>
      </c>
      <c r="K181" s="6">
        <f>4*16*0.3</f>
        <v>19.2</v>
      </c>
    </row>
    <row r="182" spans="1:11" ht="19" customHeight="1">
      <c r="A182" s="28"/>
      <c r="B182" s="92"/>
      <c r="C182" s="31"/>
      <c r="D182" s="89"/>
      <c r="E182" s="89"/>
      <c r="F182" s="89"/>
      <c r="G182" s="89"/>
      <c r="H182" s="91">
        <f>H181/100</f>
        <v>18.39</v>
      </c>
      <c r="I182" s="91" t="s">
        <v>91</v>
      </c>
      <c r="J182" s="127">
        <f>6*11.5</f>
        <v>69</v>
      </c>
      <c r="K182" s="6">
        <f>3.5*13.5*0.3</f>
        <v>14.18</v>
      </c>
    </row>
    <row r="183" spans="1:11" ht="19" customHeight="1">
      <c r="A183" s="28"/>
      <c r="B183" s="92"/>
      <c r="C183" s="31"/>
      <c r="D183" s="89"/>
      <c r="E183" s="89"/>
      <c r="F183" s="89"/>
      <c r="G183" s="89"/>
      <c r="H183" s="89"/>
      <c r="I183" s="89"/>
      <c r="J183" s="6">
        <f>3.5*16</f>
        <v>56</v>
      </c>
      <c r="K183" s="6">
        <f>875+19.2+14.18</f>
        <v>908.38</v>
      </c>
    </row>
    <row r="184" spans="1:11" ht="19" customHeight="1">
      <c r="A184" s="28"/>
      <c r="B184" s="98" t="s">
        <v>41</v>
      </c>
      <c r="C184" s="31"/>
      <c r="D184" s="89"/>
      <c r="E184" s="89"/>
      <c r="F184" s="89"/>
      <c r="G184" s="89"/>
      <c r="H184" s="89"/>
      <c r="I184" s="89"/>
      <c r="J184" s="6">
        <f>SUM(J181:J183)</f>
        <v>1000</v>
      </c>
    </row>
    <row r="185" spans="1:11" ht="19" customHeight="1">
      <c r="A185" s="28"/>
      <c r="B185" s="97" t="s">
        <v>381</v>
      </c>
      <c r="C185" s="31"/>
      <c r="D185" s="89"/>
      <c r="E185" s="89"/>
      <c r="F185" s="91"/>
      <c r="G185" s="91" t="s">
        <v>48</v>
      </c>
      <c r="H185" s="91" t="s">
        <v>55</v>
      </c>
      <c r="I185" s="105"/>
      <c r="J185" s="267"/>
    </row>
    <row r="186" spans="1:11" ht="19" customHeight="1">
      <c r="A186" s="28"/>
      <c r="B186" s="96" t="str">
        <f>B155</f>
        <v>C1 (10" x 10")</v>
      </c>
      <c r="C186" s="94">
        <f>C155</f>
        <v>24</v>
      </c>
      <c r="D186" s="91">
        <f>D155</f>
        <v>0.83</v>
      </c>
      <c r="E186" s="91">
        <f>E155</f>
        <v>0.83</v>
      </c>
      <c r="F186" s="91">
        <f>F155+13</f>
        <v>19.170000000000002</v>
      </c>
      <c r="G186" s="89"/>
      <c r="H186" s="89"/>
      <c r="I186" s="102"/>
      <c r="J186" s="268">
        <f>13.765+5.4</f>
        <v>19.170000000000002</v>
      </c>
    </row>
    <row r="187" spans="1:11" ht="19" customHeight="1">
      <c r="A187" s="28"/>
      <c r="B187" s="30" t="s">
        <v>172</v>
      </c>
      <c r="C187" s="31">
        <f>C186*6</f>
        <v>144</v>
      </c>
      <c r="D187" s="89">
        <f>F186+0.83-0.25+1.67</f>
        <v>21.42</v>
      </c>
      <c r="E187" s="89"/>
      <c r="F187" s="103"/>
      <c r="G187" s="89"/>
      <c r="H187" s="89">
        <f>D187*C187</f>
        <v>3084.48</v>
      </c>
      <c r="I187" s="102"/>
      <c r="J187" s="268">
        <f>144*21+5*120+3*50+4*182</f>
        <v>4502</v>
      </c>
      <c r="K187" s="6">
        <f>H187/39.5</f>
        <v>78.09</v>
      </c>
    </row>
    <row r="188" spans="1:11" ht="19" customHeight="1">
      <c r="A188" s="28"/>
      <c r="B188" s="30" t="s">
        <v>47</v>
      </c>
      <c r="C188" s="31">
        <f>C187</f>
        <v>144</v>
      </c>
      <c r="D188" s="89">
        <f>50*16/1000*3.281</f>
        <v>2.62</v>
      </c>
      <c r="E188" s="89"/>
      <c r="F188" s="103"/>
      <c r="G188" s="89"/>
      <c r="H188" s="89">
        <f>D188*C188</f>
        <v>377.28</v>
      </c>
      <c r="I188" s="102"/>
      <c r="J188" s="268">
        <f>J187/39.5</f>
        <v>113.97</v>
      </c>
    </row>
    <row r="189" spans="1:11" ht="19" customHeight="1">
      <c r="A189" s="28"/>
      <c r="B189" s="30" t="s">
        <v>173</v>
      </c>
      <c r="C189" s="31">
        <f>C186*ROUND(6.17/0.42+1,0)</f>
        <v>384</v>
      </c>
      <c r="D189" s="89">
        <f>(D186-0.25+E186-0.25)*2+24*10/1000*3.281</f>
        <v>3.11</v>
      </c>
      <c r="E189" s="89"/>
      <c r="F189" s="103"/>
      <c r="G189" s="89">
        <f>D189*C189</f>
        <v>1194.24</v>
      </c>
      <c r="H189" s="89"/>
      <c r="I189" s="102"/>
      <c r="J189" s="268">
        <f>G189/39.5</f>
        <v>30.23</v>
      </c>
    </row>
    <row r="190" spans="1:11" ht="19" customHeight="1">
      <c r="A190" s="28"/>
      <c r="B190" s="30" t="s">
        <v>173</v>
      </c>
      <c r="C190" s="31">
        <f>ROUND(C186*((F186/0.42)+1),0)-C189</f>
        <v>735</v>
      </c>
      <c r="D190" s="89">
        <f>(D186-0.25+E186-0.25)*2+24*10/1000*3.281</f>
        <v>3.11</v>
      </c>
      <c r="E190" s="89"/>
      <c r="F190" s="89"/>
      <c r="G190" s="89">
        <f>D190*C190</f>
        <v>2285.85</v>
      </c>
      <c r="H190" s="89"/>
      <c r="I190" s="102"/>
      <c r="J190" s="268">
        <f>G190/39.5</f>
        <v>57.87</v>
      </c>
    </row>
    <row r="191" spans="1:11" ht="18.649999999999999" customHeight="1">
      <c r="A191" s="28"/>
      <c r="B191" s="30" t="s">
        <v>382</v>
      </c>
      <c r="C191" s="94">
        <f>8*2*4+9*3*4+6*4*4</f>
        <v>268</v>
      </c>
      <c r="D191" s="91">
        <v>1.5</v>
      </c>
      <c r="E191" s="91"/>
      <c r="F191" s="91"/>
      <c r="G191" s="89">
        <f>C191*D191</f>
        <v>402</v>
      </c>
      <c r="H191" s="89"/>
      <c r="I191" s="89"/>
    </row>
    <row r="192" spans="1:11" ht="18.649999999999999" customHeight="1">
      <c r="A192" s="28"/>
      <c r="B192" s="30" t="s">
        <v>383</v>
      </c>
      <c r="C192" s="31">
        <f>54*(12/1.5-1)</f>
        <v>378</v>
      </c>
      <c r="D192" s="89">
        <v>1.5</v>
      </c>
      <c r="E192" s="89"/>
      <c r="F192" s="89"/>
      <c r="G192" s="89">
        <f>C192*D192</f>
        <v>567</v>
      </c>
      <c r="H192" s="89"/>
      <c r="I192" s="89"/>
      <c r="J192" s="6">
        <f>17*9</f>
        <v>153</v>
      </c>
    </row>
    <row r="193" spans="1:10" ht="18.649999999999999" customHeight="1">
      <c r="A193" s="28"/>
      <c r="B193" s="97" t="str">
        <f>B159</f>
        <v>Prop Column</v>
      </c>
      <c r="C193" s="31"/>
      <c r="D193" s="89"/>
      <c r="E193" s="89"/>
      <c r="F193" s="89"/>
      <c r="G193" s="89"/>
      <c r="H193" s="89"/>
      <c r="I193" s="89"/>
    </row>
    <row r="194" spans="1:10" ht="18.649999999999999" customHeight="1">
      <c r="A194" s="28"/>
      <c r="B194" s="96" t="str">
        <f>B160</f>
        <v>PC (10" x 10")</v>
      </c>
      <c r="C194" s="94">
        <f>C160</f>
        <v>2</v>
      </c>
      <c r="D194" s="91">
        <f>D160</f>
        <v>0.83</v>
      </c>
      <c r="E194" s="91">
        <f>E160</f>
        <v>0.83</v>
      </c>
      <c r="F194" s="91">
        <f>F160</f>
        <v>8.83</v>
      </c>
      <c r="G194" s="89"/>
      <c r="H194" s="89"/>
      <c r="I194" s="89"/>
      <c r="J194" s="6">
        <f>144*22.5</f>
        <v>3240</v>
      </c>
    </row>
    <row r="195" spans="1:10" ht="19" customHeight="1">
      <c r="A195" s="28"/>
      <c r="B195" s="30" t="s">
        <v>269</v>
      </c>
      <c r="C195" s="31">
        <f>C194*4</f>
        <v>8</v>
      </c>
      <c r="D195" s="89">
        <f>F194</f>
        <v>8.83</v>
      </c>
      <c r="E195" s="89"/>
      <c r="F195" s="103"/>
      <c r="G195" s="89"/>
      <c r="H195" s="89">
        <f>D195*C195</f>
        <v>70.64</v>
      </c>
      <c r="I195" s="102"/>
      <c r="J195" s="268">
        <f>5.5*120</f>
        <v>660</v>
      </c>
    </row>
    <row r="196" spans="1:10" ht="19" customHeight="1">
      <c r="A196" s="28"/>
      <c r="B196" s="30" t="s">
        <v>47</v>
      </c>
      <c r="C196" s="31">
        <f>C195</f>
        <v>8</v>
      </c>
      <c r="D196" s="89">
        <f>50*16/1000*3.281</f>
        <v>2.62</v>
      </c>
      <c r="E196" s="89"/>
      <c r="F196" s="103"/>
      <c r="G196" s="89"/>
      <c r="H196" s="89">
        <f>D196*C196</f>
        <v>20.96</v>
      </c>
      <c r="I196" s="102"/>
      <c r="J196" s="268">
        <f>3.5*50</f>
        <v>175</v>
      </c>
    </row>
    <row r="197" spans="1:10" ht="19" customHeight="1">
      <c r="A197" s="28"/>
      <c r="B197" s="30" t="s">
        <v>173</v>
      </c>
      <c r="C197" s="31">
        <f>ROUND(C194*((F194/0.42)+1),0)</f>
        <v>44</v>
      </c>
      <c r="D197" s="89">
        <f>(D194-0.25+E194-0.25)*2+24*10/1000*3.281</f>
        <v>3.11</v>
      </c>
      <c r="E197" s="89"/>
      <c r="F197" s="89"/>
      <c r="G197" s="89">
        <f>D197*C197</f>
        <v>136.84</v>
      </c>
      <c r="H197" s="89"/>
      <c r="I197" s="102"/>
      <c r="J197" s="268">
        <f>4.5*182</f>
        <v>819</v>
      </c>
    </row>
    <row r="198" spans="1:10" ht="19" customHeight="1">
      <c r="A198" s="28"/>
      <c r="B198" s="30"/>
      <c r="C198" s="31"/>
      <c r="D198" s="89"/>
      <c r="E198" s="89"/>
      <c r="F198" s="89"/>
      <c r="G198" s="89"/>
      <c r="H198" s="89"/>
      <c r="I198" s="102"/>
      <c r="J198" s="268">
        <f>SUM(J194:J197)</f>
        <v>4894</v>
      </c>
    </row>
    <row r="199" spans="1:10" ht="18.649999999999999" customHeight="1">
      <c r="A199" s="28"/>
      <c r="B199" s="96" t="str">
        <f>B161</f>
        <v>PC (10" x 10")</v>
      </c>
      <c r="C199" s="94">
        <f>C161</f>
        <v>8</v>
      </c>
      <c r="D199" s="91">
        <f>D161</f>
        <v>0.83</v>
      </c>
      <c r="E199" s="91">
        <f>E161</f>
        <v>0.83</v>
      </c>
      <c r="F199" s="91">
        <f>F161</f>
        <v>4.33</v>
      </c>
      <c r="G199" s="89"/>
      <c r="H199" s="89"/>
      <c r="I199" s="89"/>
      <c r="J199" s="6">
        <f>J198/39.33</f>
        <v>124.43</v>
      </c>
    </row>
    <row r="200" spans="1:10" ht="19" customHeight="1">
      <c r="A200" s="28"/>
      <c r="B200" s="30" t="s">
        <v>269</v>
      </c>
      <c r="C200" s="31">
        <f>C199*4</f>
        <v>32</v>
      </c>
      <c r="D200" s="89">
        <f>F199</f>
        <v>4.33</v>
      </c>
      <c r="E200" s="89"/>
      <c r="F200" s="103"/>
      <c r="G200" s="89"/>
      <c r="H200" s="89">
        <f>D200*C200</f>
        <v>138.56</v>
      </c>
      <c r="I200" s="102"/>
      <c r="J200" s="268"/>
    </row>
    <row r="201" spans="1:10" ht="19" customHeight="1">
      <c r="A201" s="28"/>
      <c r="B201" s="30" t="s">
        <v>47</v>
      </c>
      <c r="C201" s="31">
        <f>C200</f>
        <v>32</v>
      </c>
      <c r="D201" s="89">
        <f>50*16/1000*3.281</f>
        <v>2.62</v>
      </c>
      <c r="E201" s="89"/>
      <c r="F201" s="103"/>
      <c r="G201" s="89"/>
      <c r="H201" s="89">
        <f>D201*C201</f>
        <v>83.84</v>
      </c>
      <c r="I201" s="102"/>
      <c r="J201" s="268"/>
    </row>
    <row r="202" spans="1:10" ht="19" customHeight="1">
      <c r="A202" s="28"/>
      <c r="B202" s="30" t="s">
        <v>173</v>
      </c>
      <c r="C202" s="31">
        <f>ROUND(C199*((F199/0.42)+1),0)</f>
        <v>90</v>
      </c>
      <c r="D202" s="89">
        <f>(D199-0.25+E199-0.25)*2+24*10/1000*3.281</f>
        <v>3.11</v>
      </c>
      <c r="E202" s="89"/>
      <c r="F202" s="89"/>
      <c r="G202" s="89">
        <f>D202*C202</f>
        <v>279.89999999999998</v>
      </c>
      <c r="H202" s="89"/>
      <c r="I202" s="102"/>
      <c r="J202" s="268"/>
    </row>
    <row r="203" spans="1:10" ht="19" customHeight="1">
      <c r="A203" s="28"/>
      <c r="B203" s="30"/>
      <c r="C203" s="31"/>
      <c r="D203" s="89"/>
      <c r="E203" s="89"/>
      <c r="F203" s="89"/>
      <c r="G203" s="89"/>
      <c r="H203" s="89"/>
      <c r="I203" s="102"/>
      <c r="J203" s="268"/>
    </row>
    <row r="204" spans="1:10" ht="18.649999999999999" customHeight="1">
      <c r="A204" s="28"/>
      <c r="B204" s="96" t="str">
        <f>B162</f>
        <v>PC (10" x 10")</v>
      </c>
      <c r="C204" s="94">
        <f>C162</f>
        <v>2</v>
      </c>
      <c r="D204" s="91">
        <f>D162</f>
        <v>0.83</v>
      </c>
      <c r="E204" s="91">
        <f>E162</f>
        <v>0.83</v>
      </c>
      <c r="F204" s="91">
        <f>F162</f>
        <v>7</v>
      </c>
      <c r="G204" s="89"/>
      <c r="H204" s="89"/>
      <c r="I204" s="89"/>
    </row>
    <row r="205" spans="1:10" ht="19" customHeight="1">
      <c r="A205" s="28"/>
      <c r="B205" s="30" t="s">
        <v>269</v>
      </c>
      <c r="C205" s="31">
        <f>C204*4</f>
        <v>8</v>
      </c>
      <c r="D205" s="89">
        <f>F204</f>
        <v>7</v>
      </c>
      <c r="E205" s="89"/>
      <c r="F205" s="103"/>
      <c r="G205" s="89"/>
      <c r="H205" s="89">
        <f>D205*C205</f>
        <v>56</v>
      </c>
      <c r="I205" s="102"/>
      <c r="J205" s="268"/>
    </row>
    <row r="206" spans="1:10" ht="19" customHeight="1">
      <c r="A206" s="28"/>
      <c r="B206" s="30" t="s">
        <v>47</v>
      </c>
      <c r="C206" s="31">
        <f>C205</f>
        <v>8</v>
      </c>
      <c r="D206" s="89">
        <f>50*16/1000*3.281</f>
        <v>2.62</v>
      </c>
      <c r="E206" s="89"/>
      <c r="F206" s="103"/>
      <c r="G206" s="89"/>
      <c r="H206" s="89">
        <f>D206*C206</f>
        <v>20.96</v>
      </c>
      <c r="I206" s="102"/>
      <c r="J206" s="268"/>
    </row>
    <row r="207" spans="1:10" ht="19" customHeight="1">
      <c r="A207" s="28"/>
      <c r="B207" s="30" t="s">
        <v>173</v>
      </c>
      <c r="C207" s="31">
        <f>ROUND(C204*((F204/0.42)+1),0)</f>
        <v>35</v>
      </c>
      <c r="D207" s="89">
        <f>(D204-0.25+E204-0.25)*2+24*10/1000*3.281</f>
        <v>3.11</v>
      </c>
      <c r="E207" s="89"/>
      <c r="F207" s="89"/>
      <c r="G207" s="89">
        <f>D207*C207</f>
        <v>108.85</v>
      </c>
      <c r="H207" s="89"/>
      <c r="I207" s="102"/>
      <c r="J207" s="268"/>
    </row>
    <row r="208" spans="1:10" ht="19" customHeight="1">
      <c r="A208" s="28"/>
      <c r="B208" s="30"/>
      <c r="C208" s="31"/>
      <c r="D208" s="89"/>
      <c r="E208" s="89"/>
      <c r="F208" s="89"/>
      <c r="G208" s="89"/>
      <c r="H208" s="89"/>
      <c r="I208" s="102"/>
      <c r="J208" s="268"/>
    </row>
    <row r="209" spans="1:10" ht="18.649999999999999" customHeight="1">
      <c r="A209" s="28"/>
      <c r="B209" s="96" t="str">
        <f>B163</f>
        <v>PC (10" x 10")</v>
      </c>
      <c r="C209" s="94">
        <f>C163</f>
        <v>5</v>
      </c>
      <c r="D209" s="91">
        <f>D163</f>
        <v>0.83</v>
      </c>
      <c r="E209" s="91">
        <f>E163</f>
        <v>0.83</v>
      </c>
      <c r="F209" s="91">
        <f>F163</f>
        <v>3.5</v>
      </c>
      <c r="G209" s="89"/>
      <c r="H209" s="89"/>
      <c r="I209" s="89"/>
    </row>
    <row r="210" spans="1:10" ht="19" customHeight="1">
      <c r="A210" s="28"/>
      <c r="B210" s="30" t="s">
        <v>269</v>
      </c>
      <c r="C210" s="31">
        <f>C209*4</f>
        <v>20</v>
      </c>
      <c r="D210" s="89">
        <f>F209</f>
        <v>3.5</v>
      </c>
      <c r="E210" s="89"/>
      <c r="F210" s="103"/>
      <c r="G210" s="89"/>
      <c r="H210" s="89">
        <f>D210*C210</f>
        <v>70</v>
      </c>
      <c r="I210" s="102"/>
      <c r="J210" s="268"/>
    </row>
    <row r="211" spans="1:10" ht="19" customHeight="1">
      <c r="A211" s="28"/>
      <c r="B211" s="30" t="s">
        <v>47</v>
      </c>
      <c r="C211" s="31">
        <f>C210</f>
        <v>20</v>
      </c>
      <c r="D211" s="89">
        <f>50*16/1000*3.281</f>
        <v>2.62</v>
      </c>
      <c r="E211" s="89"/>
      <c r="F211" s="103"/>
      <c r="G211" s="89"/>
      <c r="H211" s="89">
        <f>D211*C211</f>
        <v>52.4</v>
      </c>
      <c r="I211" s="102"/>
      <c r="J211" s="268"/>
    </row>
    <row r="212" spans="1:10" ht="19" customHeight="1">
      <c r="A212" s="28"/>
      <c r="B212" s="30" t="s">
        <v>173</v>
      </c>
      <c r="C212" s="31">
        <f>ROUND(C209*((F209/0.42)+1),0)</f>
        <v>47</v>
      </c>
      <c r="D212" s="89">
        <f>(D209-0.25+E209-0.25)*2+24*10/1000*3.281</f>
        <v>3.11</v>
      </c>
      <c r="E212" s="89"/>
      <c r="F212" s="89"/>
      <c r="G212" s="89">
        <f>D212*C212</f>
        <v>146.16999999999999</v>
      </c>
      <c r="H212" s="89"/>
      <c r="I212" s="102"/>
      <c r="J212" s="268"/>
    </row>
    <row r="213" spans="1:10" ht="19" customHeight="1">
      <c r="A213" s="28"/>
      <c r="B213" s="30"/>
      <c r="C213" s="31"/>
      <c r="D213" s="89"/>
      <c r="E213" s="89"/>
      <c r="F213" s="89"/>
      <c r="G213" s="89"/>
      <c r="H213" s="89"/>
      <c r="I213" s="102"/>
      <c r="J213" s="268"/>
    </row>
    <row r="214" spans="1:10" ht="18.649999999999999" customHeight="1">
      <c r="A214" s="28"/>
      <c r="B214" s="96" t="str">
        <f>B164</f>
        <v>Portico PC (10" x 10")</v>
      </c>
      <c r="C214" s="94">
        <f>C164</f>
        <v>2</v>
      </c>
      <c r="D214" s="91">
        <f>D164</f>
        <v>0.83</v>
      </c>
      <c r="E214" s="91">
        <f>E164</f>
        <v>0.83</v>
      </c>
      <c r="F214" s="91">
        <f>F164</f>
        <v>2.5</v>
      </c>
      <c r="G214" s="89"/>
      <c r="H214" s="89"/>
      <c r="I214" s="89"/>
    </row>
    <row r="215" spans="1:10" ht="19" customHeight="1">
      <c r="A215" s="28"/>
      <c r="B215" s="30" t="s">
        <v>269</v>
      </c>
      <c r="C215" s="31">
        <f>C214*4</f>
        <v>8</v>
      </c>
      <c r="D215" s="89">
        <f>F214</f>
        <v>2.5</v>
      </c>
      <c r="E215" s="89"/>
      <c r="F215" s="103"/>
      <c r="G215" s="89"/>
      <c r="H215" s="89">
        <f>D215*C215</f>
        <v>20</v>
      </c>
      <c r="I215" s="102"/>
      <c r="J215" s="268"/>
    </row>
    <row r="216" spans="1:10" ht="19" customHeight="1">
      <c r="A216" s="28"/>
      <c r="B216" s="30" t="s">
        <v>47</v>
      </c>
      <c r="C216" s="31">
        <f>C215</f>
        <v>8</v>
      </c>
      <c r="D216" s="89">
        <f>50*16/1000*3.281</f>
        <v>2.62</v>
      </c>
      <c r="E216" s="89"/>
      <c r="F216" s="103"/>
      <c r="G216" s="89"/>
      <c r="H216" s="89">
        <f>D216*C216</f>
        <v>20.96</v>
      </c>
      <c r="I216" s="102"/>
      <c r="J216" s="268"/>
    </row>
    <row r="217" spans="1:10" ht="19" customHeight="1">
      <c r="A217" s="28"/>
      <c r="B217" s="30" t="s">
        <v>173</v>
      </c>
      <c r="C217" s="31">
        <f>ROUND(C214*((F214/0.42)+1),0)</f>
        <v>14</v>
      </c>
      <c r="D217" s="89">
        <f>(D214-0.25+E214-0.25)*2+24*10/1000*3.281</f>
        <v>3.11</v>
      </c>
      <c r="E217" s="89"/>
      <c r="F217" s="89"/>
      <c r="G217" s="89">
        <f>D217*C217</f>
        <v>43.54</v>
      </c>
      <c r="H217" s="89"/>
      <c r="I217" s="102"/>
      <c r="J217" s="268"/>
    </row>
    <row r="218" spans="1:10" ht="19" customHeight="1">
      <c r="A218" s="28"/>
      <c r="B218" s="30"/>
      <c r="C218" s="31"/>
      <c r="D218" s="89"/>
      <c r="E218" s="89"/>
      <c r="F218" s="89"/>
      <c r="G218" s="89"/>
      <c r="H218" s="89"/>
      <c r="I218" s="102"/>
      <c r="J218" s="268"/>
    </row>
    <row r="219" spans="1:10" ht="18.649999999999999" customHeight="1">
      <c r="A219" s="28"/>
      <c r="B219" s="96" t="str">
        <f>B165</f>
        <v>Back, PC (10" x 10")</v>
      </c>
      <c r="C219" s="94">
        <f>C165</f>
        <v>2</v>
      </c>
      <c r="D219" s="91">
        <f>D165</f>
        <v>0.83</v>
      </c>
      <c r="E219" s="91">
        <f>E165</f>
        <v>0.83</v>
      </c>
      <c r="F219" s="91">
        <f>F165</f>
        <v>2.5</v>
      </c>
      <c r="G219" s="89"/>
      <c r="H219" s="89"/>
      <c r="I219" s="89"/>
    </row>
    <row r="220" spans="1:10" ht="19" customHeight="1">
      <c r="A220" s="28"/>
      <c r="B220" s="30" t="s">
        <v>269</v>
      </c>
      <c r="C220" s="31">
        <f>C219*4</f>
        <v>8</v>
      </c>
      <c r="D220" s="89">
        <f>F219</f>
        <v>2.5</v>
      </c>
      <c r="E220" s="89"/>
      <c r="F220" s="103"/>
      <c r="G220" s="89"/>
      <c r="H220" s="89">
        <f>D220*C220</f>
        <v>20</v>
      </c>
      <c r="I220" s="102"/>
      <c r="J220" s="268"/>
    </row>
    <row r="221" spans="1:10" ht="19" customHeight="1">
      <c r="A221" s="28"/>
      <c r="B221" s="30" t="s">
        <v>47</v>
      </c>
      <c r="C221" s="31">
        <f>C220</f>
        <v>8</v>
      </c>
      <c r="D221" s="89">
        <f>50*16/1000*3.281</f>
        <v>2.62</v>
      </c>
      <c r="E221" s="89"/>
      <c r="F221" s="103"/>
      <c r="G221" s="89"/>
      <c r="H221" s="89">
        <f>D221*C221</f>
        <v>20.96</v>
      </c>
      <c r="I221" s="102"/>
      <c r="J221" s="268"/>
    </row>
    <row r="222" spans="1:10" ht="19" customHeight="1">
      <c r="A222" s="28"/>
      <c r="B222" s="30" t="s">
        <v>173</v>
      </c>
      <c r="C222" s="31">
        <f>ROUND(C219*((F219/0.42)+1),0)</f>
        <v>14</v>
      </c>
      <c r="D222" s="89">
        <f>(D219-0.25+E219-0.25)*2+24*10/1000*3.281</f>
        <v>3.11</v>
      </c>
      <c r="E222" s="89"/>
      <c r="F222" s="89"/>
      <c r="G222" s="89">
        <f>D222*C222</f>
        <v>43.54</v>
      </c>
      <c r="H222" s="89"/>
      <c r="I222" s="102"/>
      <c r="J222" s="268"/>
    </row>
    <row r="223" spans="1:10" ht="19" customHeight="1">
      <c r="A223" s="28"/>
      <c r="B223" s="30"/>
      <c r="C223" s="31"/>
      <c r="D223" s="89"/>
      <c r="E223" s="89"/>
      <c r="F223" s="89"/>
      <c r="G223" s="89"/>
      <c r="H223" s="89"/>
      <c r="I223" s="102"/>
      <c r="J223" s="268"/>
    </row>
    <row r="224" spans="1:10" ht="19" customHeight="1">
      <c r="A224" s="28"/>
      <c r="B224" s="30"/>
      <c r="C224" s="31"/>
      <c r="D224" s="89"/>
      <c r="E224" s="89"/>
      <c r="F224" s="91"/>
      <c r="G224" s="91" t="str">
        <f>G185</f>
        <v>10 mm Ø</v>
      </c>
      <c r="H224" s="91" t="str">
        <f>H185</f>
        <v>16 mm Ø</v>
      </c>
      <c r="I224" s="105"/>
      <c r="J224" s="267"/>
    </row>
    <row r="225" spans="1:13" ht="19" customHeight="1">
      <c r="A225" s="28"/>
      <c r="B225" s="92"/>
      <c r="C225" s="31"/>
      <c r="D225" s="89"/>
      <c r="E225" s="89" t="s">
        <v>163</v>
      </c>
      <c r="F225" s="95"/>
      <c r="G225" s="89">
        <f>SUM(G186:G223)</f>
        <v>5207.93</v>
      </c>
      <c r="H225" s="89">
        <f>SUM(H186:H223)</f>
        <v>4057.04</v>
      </c>
      <c r="I225" s="89"/>
    </row>
    <row r="226" spans="1:13" ht="20.149999999999999" customHeight="1">
      <c r="A226" s="28"/>
      <c r="B226" s="92"/>
      <c r="C226" s="31"/>
      <c r="D226" s="89"/>
      <c r="E226" s="91" t="s">
        <v>93</v>
      </c>
      <c r="F226" s="91"/>
      <c r="G226" s="91">
        <f>G225/39.33/135</f>
        <v>0.98</v>
      </c>
      <c r="H226" s="105">
        <f>H225/39.33/53</f>
        <v>1.95</v>
      </c>
      <c r="I226" s="105"/>
      <c r="J226" s="267">
        <f>G226+H226</f>
        <v>2.93</v>
      </c>
      <c r="L226" s="6">
        <f>G226+H226+I226</f>
        <v>2.93</v>
      </c>
    </row>
    <row r="227" spans="1:13" ht="20.149999999999999" customHeight="1">
      <c r="A227" s="28"/>
      <c r="B227" s="92"/>
      <c r="C227" s="31"/>
      <c r="D227" s="89"/>
      <c r="E227" s="89"/>
      <c r="F227" s="91"/>
      <c r="G227" s="91"/>
      <c r="H227" s="91"/>
      <c r="I227" s="105"/>
      <c r="J227" s="267"/>
    </row>
    <row r="228" spans="1:13" ht="20.149999999999999" customHeight="1">
      <c r="A228" s="28">
        <v>9</v>
      </c>
      <c r="B228" s="98" t="s">
        <v>174</v>
      </c>
      <c r="C228" s="31"/>
      <c r="D228" s="89"/>
      <c r="E228" s="89"/>
      <c r="F228" s="89"/>
      <c r="G228" s="89"/>
      <c r="H228" s="89"/>
      <c r="I228" s="89"/>
    </row>
    <row r="229" spans="1:13" ht="20.149999999999999" customHeight="1">
      <c r="A229" s="28"/>
      <c r="B229" s="98" t="s">
        <v>51</v>
      </c>
      <c r="C229" s="31"/>
      <c r="D229" s="89"/>
      <c r="E229" s="89"/>
      <c r="F229" s="89"/>
      <c r="G229" s="89"/>
      <c r="H229" s="89"/>
      <c r="I229" s="89"/>
    </row>
    <row r="230" spans="1:13" ht="20.149999999999999" customHeight="1">
      <c r="A230" s="28"/>
      <c r="B230" s="97" t="s">
        <v>175</v>
      </c>
      <c r="C230" s="31"/>
      <c r="D230" s="89"/>
      <c r="E230" s="89"/>
      <c r="F230" s="89"/>
      <c r="G230" s="89"/>
      <c r="H230" s="89"/>
      <c r="I230" s="89"/>
    </row>
    <row r="231" spans="1:13" ht="20.149999999999999" customHeight="1">
      <c r="A231" s="28"/>
      <c r="B231" s="97" t="s">
        <v>176</v>
      </c>
      <c r="C231" s="31"/>
      <c r="D231" s="89"/>
      <c r="E231" s="89"/>
      <c r="F231" s="89"/>
      <c r="G231" s="89"/>
      <c r="H231" s="89"/>
      <c r="I231" s="89"/>
    </row>
    <row r="232" spans="1:13" ht="20.149999999999999" customHeight="1">
      <c r="A232" s="28"/>
      <c r="B232" s="30" t="s">
        <v>200</v>
      </c>
      <c r="C232" s="31">
        <v>7</v>
      </c>
      <c r="D232" s="89">
        <f>10.83-0.83</f>
        <v>10</v>
      </c>
      <c r="E232" s="89">
        <v>0.83</v>
      </c>
      <c r="F232" s="89">
        <f>0.83</f>
        <v>0.83</v>
      </c>
      <c r="G232" s="89"/>
      <c r="H232" s="89">
        <f t="shared" ref="H232:H237" si="26">C232*D232*E232*F232</f>
        <v>48.22</v>
      </c>
      <c r="I232" s="89" t="s">
        <v>14</v>
      </c>
    </row>
    <row r="233" spans="1:13" ht="20.149999999999999" customHeight="1">
      <c r="A233" s="28"/>
      <c r="B233" s="30" t="s">
        <v>177</v>
      </c>
      <c r="C233" s="31">
        <v>4</v>
      </c>
      <c r="D233" s="89">
        <f>10-20/12</f>
        <v>8.33</v>
      </c>
      <c r="E233" s="89">
        <f>E232</f>
        <v>0.83</v>
      </c>
      <c r="F233" s="89">
        <f>F232</f>
        <v>0.83</v>
      </c>
      <c r="G233" s="89"/>
      <c r="H233" s="89">
        <f t="shared" si="26"/>
        <v>22.95</v>
      </c>
      <c r="I233" s="89" t="s">
        <v>14</v>
      </c>
      <c r="M233" s="6">
        <f>C233*D233</f>
        <v>33.32</v>
      </c>
    </row>
    <row r="234" spans="1:13" ht="20.149999999999999" customHeight="1">
      <c r="A234" s="28"/>
      <c r="B234" s="30" t="s">
        <v>178</v>
      </c>
      <c r="C234" s="31">
        <v>2</v>
      </c>
      <c r="D234" s="89">
        <f>6.5-0.83</f>
        <v>5.67</v>
      </c>
      <c r="E234" s="89">
        <v>0.83</v>
      </c>
      <c r="F234" s="89">
        <v>0.83</v>
      </c>
      <c r="G234" s="89"/>
      <c r="H234" s="89">
        <f t="shared" si="26"/>
        <v>7.81</v>
      </c>
      <c r="I234" s="89" t="s">
        <v>14</v>
      </c>
    </row>
    <row r="235" spans="1:13" ht="20.149999999999999" customHeight="1">
      <c r="A235" s="28"/>
      <c r="B235" s="30" t="s">
        <v>179</v>
      </c>
      <c r="C235" s="31">
        <v>1</v>
      </c>
      <c r="D235" s="89">
        <f>6.67-0.83</f>
        <v>5.84</v>
      </c>
      <c r="E235" s="89">
        <f>E234</f>
        <v>0.83</v>
      </c>
      <c r="F235" s="89">
        <f>F234</f>
        <v>0.83</v>
      </c>
      <c r="G235" s="89"/>
      <c r="H235" s="89">
        <f t="shared" si="26"/>
        <v>4.0199999999999996</v>
      </c>
      <c r="I235" s="89" t="s">
        <v>14</v>
      </c>
    </row>
    <row r="236" spans="1:13" ht="20.149999999999999" customHeight="1">
      <c r="A236" s="28"/>
      <c r="B236" s="30" t="s">
        <v>180</v>
      </c>
      <c r="C236" s="31">
        <v>1</v>
      </c>
      <c r="D236" s="89">
        <f>9.17-0.83</f>
        <v>8.34</v>
      </c>
      <c r="E236" s="89">
        <v>0.83</v>
      </c>
      <c r="F236" s="89">
        <v>0.83</v>
      </c>
      <c r="G236" s="89"/>
      <c r="H236" s="89">
        <f t="shared" si="26"/>
        <v>5.75</v>
      </c>
      <c r="I236" s="89" t="s">
        <v>14</v>
      </c>
    </row>
    <row r="237" spans="1:13" ht="20.149999999999999" customHeight="1">
      <c r="A237" s="28"/>
      <c r="B237" s="30"/>
      <c r="C237" s="31">
        <v>2</v>
      </c>
      <c r="D237" s="89">
        <v>4.83</v>
      </c>
      <c r="E237" s="89">
        <v>0.83</v>
      </c>
      <c r="F237" s="89">
        <v>0.83</v>
      </c>
      <c r="G237" s="89"/>
      <c r="H237" s="89">
        <f t="shared" si="26"/>
        <v>6.65</v>
      </c>
      <c r="I237" s="89" t="s">
        <v>14</v>
      </c>
    </row>
    <row r="238" spans="1:13" ht="20.149999999999999" customHeight="1">
      <c r="A238" s="28"/>
      <c r="B238" s="30"/>
      <c r="C238" s="31" t="s">
        <v>163</v>
      </c>
      <c r="D238" s="89">
        <f>C232*D232+C233*D233+C234*D234+C235*D235+C236*D236+C237*D237</f>
        <v>138.5</v>
      </c>
      <c r="E238" s="89"/>
      <c r="F238" s="89"/>
      <c r="G238" s="89"/>
      <c r="H238" s="89"/>
      <c r="I238" s="89"/>
    </row>
    <row r="239" spans="1:13" ht="20.149999999999999" customHeight="1">
      <c r="A239" s="28"/>
      <c r="B239" s="97" t="s">
        <v>181</v>
      </c>
      <c r="C239" s="31"/>
      <c r="D239" s="89"/>
      <c r="E239" s="89"/>
      <c r="F239" s="89"/>
      <c r="G239" s="89"/>
      <c r="H239" s="89"/>
      <c r="I239" s="89"/>
    </row>
    <row r="240" spans="1:13" ht="20.149999999999999" customHeight="1">
      <c r="A240" s="28"/>
      <c r="B240" s="30" t="s">
        <v>182</v>
      </c>
      <c r="C240" s="31">
        <v>5</v>
      </c>
      <c r="D240" s="89">
        <f>14.17+12.83</f>
        <v>27</v>
      </c>
      <c r="E240" s="89">
        <v>0.83</v>
      </c>
      <c r="F240" s="89">
        <v>1</v>
      </c>
      <c r="G240" s="89"/>
      <c r="H240" s="89">
        <f>C240*D240*E240*F240</f>
        <v>112.05</v>
      </c>
      <c r="I240" s="89" t="s">
        <v>14</v>
      </c>
    </row>
    <row r="241" spans="1:10" ht="20.149999999999999" customHeight="1">
      <c r="A241" s="28"/>
      <c r="B241" s="30" t="s">
        <v>184</v>
      </c>
      <c r="C241" s="31">
        <v>4</v>
      </c>
      <c r="D241" s="89">
        <f>35.83-3*0.83</f>
        <v>33.340000000000003</v>
      </c>
      <c r="E241" s="89">
        <f t="shared" ref="E241:F243" si="27">E240</f>
        <v>0.83</v>
      </c>
      <c r="F241" s="89">
        <f t="shared" si="27"/>
        <v>1</v>
      </c>
      <c r="G241" s="89"/>
      <c r="H241" s="89">
        <f>C241*D241*E241*F241</f>
        <v>110.69</v>
      </c>
      <c r="I241" s="89" t="s">
        <v>14</v>
      </c>
    </row>
    <row r="242" spans="1:10" ht="20.149999999999999" customHeight="1">
      <c r="A242" s="28"/>
      <c r="B242" s="30" t="s">
        <v>183</v>
      </c>
      <c r="C242" s="31">
        <v>1</v>
      </c>
      <c r="D242" s="89">
        <f>23-2</f>
        <v>21</v>
      </c>
      <c r="E242" s="89">
        <f t="shared" si="27"/>
        <v>0.83</v>
      </c>
      <c r="F242" s="89">
        <f t="shared" si="27"/>
        <v>1</v>
      </c>
      <c r="G242" s="89"/>
      <c r="H242" s="89">
        <f>C242*D242*E242*F242</f>
        <v>17.43</v>
      </c>
      <c r="I242" s="89" t="s">
        <v>14</v>
      </c>
    </row>
    <row r="243" spans="1:10" ht="20.149999999999999" customHeight="1">
      <c r="A243" s="28"/>
      <c r="B243" s="30" t="s">
        <v>398</v>
      </c>
      <c r="C243" s="31">
        <v>1</v>
      </c>
      <c r="D243" s="89">
        <f>18.83</f>
        <v>18.829999999999998</v>
      </c>
      <c r="E243" s="89">
        <f t="shared" si="27"/>
        <v>0.83</v>
      </c>
      <c r="F243" s="89">
        <f t="shared" si="27"/>
        <v>1</v>
      </c>
      <c r="G243" s="89"/>
      <c r="H243" s="89">
        <f>C243*D243*E243*F243</f>
        <v>15.63</v>
      </c>
      <c r="I243" s="89" t="s">
        <v>14</v>
      </c>
    </row>
    <row r="244" spans="1:10" ht="20.149999999999999" customHeight="1">
      <c r="A244" s="28"/>
      <c r="B244" s="30"/>
      <c r="C244" s="31" t="s">
        <v>163</v>
      </c>
      <c r="D244" s="89">
        <f>C240*D240+C241*D241+C242*D242+C243*D243</f>
        <v>308.19</v>
      </c>
      <c r="E244" s="89"/>
      <c r="F244" s="93"/>
      <c r="G244" s="89"/>
      <c r="H244" s="89"/>
      <c r="I244" s="89">
        <f>SUM(H232:H244)</f>
        <v>351.2</v>
      </c>
      <c r="J244" s="6">
        <f>SUM(H232:H244)</f>
        <v>351.2</v>
      </c>
    </row>
    <row r="245" spans="1:10" ht="20.149999999999999" customHeight="1">
      <c r="A245" s="28"/>
      <c r="B245" s="97" t="s">
        <v>106</v>
      </c>
      <c r="C245" s="31"/>
      <c r="D245" s="89"/>
      <c r="E245" s="89"/>
      <c r="F245" s="93"/>
      <c r="G245" s="89"/>
      <c r="H245" s="89"/>
      <c r="I245" s="89"/>
    </row>
    <row r="246" spans="1:10" ht="20.149999999999999" customHeight="1">
      <c r="A246" s="28"/>
      <c r="B246" s="97" t="s">
        <v>185</v>
      </c>
      <c r="C246" s="31"/>
      <c r="D246" s="89"/>
      <c r="E246" s="89"/>
      <c r="F246" s="93"/>
      <c r="G246" s="89"/>
      <c r="H246" s="89"/>
      <c r="I246" s="89"/>
    </row>
    <row r="247" spans="1:10" ht="20.149999999999999" customHeight="1">
      <c r="A247" s="28"/>
      <c r="B247" s="30" t="s">
        <v>186</v>
      </c>
      <c r="C247" s="31">
        <v>8</v>
      </c>
      <c r="D247" s="89">
        <f>10.83-0.83</f>
        <v>10</v>
      </c>
      <c r="E247" s="89">
        <f>0.83</f>
        <v>0.83</v>
      </c>
      <c r="F247" s="102">
        <v>0.83</v>
      </c>
      <c r="G247" s="89"/>
      <c r="H247" s="89">
        <f>C247*D247*E247*F247</f>
        <v>55.11</v>
      </c>
      <c r="I247" s="89" t="s">
        <v>14</v>
      </c>
    </row>
    <row r="248" spans="1:10" ht="20.149999999999999" customHeight="1">
      <c r="A248" s="28"/>
      <c r="B248" s="30" t="s">
        <v>187</v>
      </c>
      <c r="C248" s="31">
        <v>6</v>
      </c>
      <c r="D248" s="89">
        <f>8.5-0.83</f>
        <v>7.67</v>
      </c>
      <c r="E248" s="89">
        <f>E247</f>
        <v>0.83</v>
      </c>
      <c r="F248" s="102">
        <f>F247</f>
        <v>0.83</v>
      </c>
      <c r="G248" s="89"/>
      <c r="H248" s="89">
        <f>C248*D248*E248*F248</f>
        <v>31.7</v>
      </c>
      <c r="I248" s="89" t="s">
        <v>14</v>
      </c>
    </row>
    <row r="249" spans="1:10" ht="20.149999999999999" customHeight="1">
      <c r="A249" s="28"/>
      <c r="B249" s="30" t="s">
        <v>188</v>
      </c>
      <c r="C249" s="31">
        <v>1</v>
      </c>
      <c r="D249" s="89">
        <v>8.33</v>
      </c>
      <c r="E249" s="89">
        <f t="shared" ref="E249:E256" si="28">E248</f>
        <v>0.83</v>
      </c>
      <c r="F249" s="102">
        <f t="shared" ref="F249:F256" si="29">F248</f>
        <v>0.83</v>
      </c>
      <c r="G249" s="89"/>
      <c r="H249" s="89">
        <f t="shared" ref="H249:H256" si="30">C249*D249*E249*F249</f>
        <v>5.74</v>
      </c>
      <c r="I249" s="89" t="s">
        <v>14</v>
      </c>
    </row>
    <row r="250" spans="1:10" ht="20.149999999999999" customHeight="1">
      <c r="A250" s="28"/>
      <c r="B250" s="30" t="s">
        <v>178</v>
      </c>
      <c r="C250" s="31">
        <v>2</v>
      </c>
      <c r="D250" s="89">
        <f>6.5-0.83</f>
        <v>5.67</v>
      </c>
      <c r="E250" s="89">
        <f t="shared" si="28"/>
        <v>0.83</v>
      </c>
      <c r="F250" s="102">
        <f t="shared" si="29"/>
        <v>0.83</v>
      </c>
      <c r="G250" s="89"/>
      <c r="H250" s="89">
        <f t="shared" si="30"/>
        <v>7.81</v>
      </c>
      <c r="I250" s="89" t="s">
        <v>14</v>
      </c>
    </row>
    <row r="251" spans="1:10" ht="20.149999999999999" customHeight="1">
      <c r="A251" s="28"/>
      <c r="B251" s="30" t="s">
        <v>189</v>
      </c>
      <c r="C251" s="31">
        <v>1</v>
      </c>
      <c r="D251" s="89">
        <f>15.25-0.83*2</f>
        <v>13.59</v>
      </c>
      <c r="E251" s="89">
        <f t="shared" si="28"/>
        <v>0.83</v>
      </c>
      <c r="F251" s="102">
        <f t="shared" si="29"/>
        <v>0.83</v>
      </c>
      <c r="G251" s="89"/>
      <c r="H251" s="89">
        <f t="shared" si="30"/>
        <v>9.36</v>
      </c>
      <c r="I251" s="89" t="s">
        <v>14</v>
      </c>
    </row>
    <row r="252" spans="1:10" ht="20.149999999999999" customHeight="1">
      <c r="A252" s="28"/>
      <c r="B252" s="30" t="s">
        <v>190</v>
      </c>
      <c r="C252" s="31">
        <v>1</v>
      </c>
      <c r="D252" s="89">
        <f>6.25-0.83</f>
        <v>5.42</v>
      </c>
      <c r="E252" s="89">
        <f t="shared" si="28"/>
        <v>0.83</v>
      </c>
      <c r="F252" s="102">
        <f t="shared" si="29"/>
        <v>0.83</v>
      </c>
      <c r="G252" s="89"/>
      <c r="H252" s="89">
        <f t="shared" si="30"/>
        <v>3.73</v>
      </c>
      <c r="I252" s="89" t="s">
        <v>14</v>
      </c>
    </row>
    <row r="253" spans="1:10" ht="20.149999999999999" customHeight="1">
      <c r="A253" s="28"/>
      <c r="B253" s="30" t="s">
        <v>191</v>
      </c>
      <c r="C253" s="31">
        <v>3</v>
      </c>
      <c r="D253" s="89">
        <v>4.5</v>
      </c>
      <c r="E253" s="89">
        <f t="shared" si="28"/>
        <v>0.83</v>
      </c>
      <c r="F253" s="102">
        <f t="shared" si="29"/>
        <v>0.83</v>
      </c>
      <c r="G253" s="89"/>
      <c r="H253" s="89">
        <f t="shared" si="30"/>
        <v>9.3000000000000007</v>
      </c>
      <c r="I253" s="89" t="s">
        <v>14</v>
      </c>
    </row>
    <row r="254" spans="1:10" ht="20.149999999999999" customHeight="1">
      <c r="A254" s="28"/>
      <c r="B254" s="30" t="s">
        <v>193</v>
      </c>
      <c r="C254" s="31">
        <v>3</v>
      </c>
      <c r="D254" s="89">
        <v>5.5</v>
      </c>
      <c r="E254" s="89">
        <f t="shared" si="28"/>
        <v>0.83</v>
      </c>
      <c r="F254" s="102">
        <f t="shared" si="29"/>
        <v>0.83</v>
      </c>
      <c r="G254" s="89"/>
      <c r="H254" s="89">
        <f t="shared" si="30"/>
        <v>11.37</v>
      </c>
      <c r="I254" s="89" t="s">
        <v>14</v>
      </c>
    </row>
    <row r="255" spans="1:10" ht="20.149999999999999" customHeight="1">
      <c r="A255" s="28"/>
      <c r="B255" s="30" t="s">
        <v>192</v>
      </c>
      <c r="C255" s="31">
        <v>1</v>
      </c>
      <c r="D255" s="89">
        <f>11.92-0.83*2</f>
        <v>10.26</v>
      </c>
      <c r="E255" s="89">
        <f t="shared" si="28"/>
        <v>0.83</v>
      </c>
      <c r="F255" s="102">
        <f t="shared" si="29"/>
        <v>0.83</v>
      </c>
      <c r="G255" s="89"/>
      <c r="H255" s="89">
        <f t="shared" si="30"/>
        <v>7.07</v>
      </c>
      <c r="I255" s="89" t="s">
        <v>14</v>
      </c>
    </row>
    <row r="256" spans="1:10" ht="20.149999999999999" customHeight="1">
      <c r="A256" s="28"/>
      <c r="B256" s="30" t="s">
        <v>194</v>
      </c>
      <c r="C256" s="31">
        <v>2</v>
      </c>
      <c r="D256" s="89">
        <f>5.67-0.83</f>
        <v>4.84</v>
      </c>
      <c r="E256" s="89">
        <f t="shared" si="28"/>
        <v>0.83</v>
      </c>
      <c r="F256" s="102">
        <f t="shared" si="29"/>
        <v>0.83</v>
      </c>
      <c r="G256" s="89"/>
      <c r="H256" s="89">
        <f t="shared" si="30"/>
        <v>6.67</v>
      </c>
      <c r="I256" s="89" t="s">
        <v>14</v>
      </c>
    </row>
    <row r="257" spans="1:11" ht="20.149999999999999" customHeight="1">
      <c r="A257" s="28"/>
      <c r="B257" s="30"/>
      <c r="C257" s="31"/>
      <c r="D257" s="89">
        <f>C247*D247+C248*D248+C249*D249+C250*D250+C251*D251+C252*D252+C253*D253+C254*D254+C255*D255+C256*D256</f>
        <v>214.64</v>
      </c>
      <c r="E257" s="89"/>
      <c r="F257" s="102"/>
      <c r="G257" s="89"/>
      <c r="H257" s="89"/>
      <c r="I257" s="89"/>
    </row>
    <row r="258" spans="1:11" ht="20.149999999999999" customHeight="1">
      <c r="A258" s="28"/>
      <c r="B258" s="97" t="s">
        <v>399</v>
      </c>
      <c r="C258" s="31"/>
      <c r="D258" s="89"/>
      <c r="E258" s="89"/>
      <c r="F258" s="93"/>
      <c r="G258" s="89"/>
      <c r="H258" s="89"/>
      <c r="I258" s="89"/>
    </row>
    <row r="259" spans="1:11" ht="20.149999999999999" customHeight="1">
      <c r="A259" s="28"/>
      <c r="B259" s="30" t="s">
        <v>195</v>
      </c>
      <c r="C259" s="31">
        <v>4</v>
      </c>
      <c r="D259" s="89">
        <f>35.67-3*0.83</f>
        <v>33.18</v>
      </c>
      <c r="E259" s="89">
        <f>0.83</f>
        <v>0.83</v>
      </c>
      <c r="F259" s="102">
        <v>1</v>
      </c>
      <c r="G259" s="89"/>
      <c r="H259" s="89">
        <f>C259*D259*E259*F259</f>
        <v>110.16</v>
      </c>
      <c r="I259" s="89" t="s">
        <v>14</v>
      </c>
    </row>
    <row r="260" spans="1:11" ht="20.149999999999999" customHeight="1">
      <c r="A260" s="28"/>
      <c r="B260" s="30" t="s">
        <v>197</v>
      </c>
      <c r="C260" s="31">
        <v>1</v>
      </c>
      <c r="D260" s="89">
        <f>23.08-2*0.83</f>
        <v>21.42</v>
      </c>
      <c r="E260" s="89">
        <f>E259</f>
        <v>0.83</v>
      </c>
      <c r="F260" s="102">
        <f>F259</f>
        <v>1</v>
      </c>
      <c r="G260" s="89"/>
      <c r="H260" s="89">
        <f>C260*D260*E260*F260</f>
        <v>17.78</v>
      </c>
      <c r="I260" s="89" t="s">
        <v>14</v>
      </c>
    </row>
    <row r="261" spans="1:11" ht="20.149999999999999" customHeight="1">
      <c r="A261" s="28"/>
      <c r="B261" s="30" t="s">
        <v>196</v>
      </c>
      <c r="C261" s="31">
        <v>7</v>
      </c>
      <c r="D261" s="89">
        <f>27-0.83*2</f>
        <v>25.34</v>
      </c>
      <c r="E261" s="89">
        <f>E260</f>
        <v>0.83</v>
      </c>
      <c r="F261" s="102">
        <f>F260</f>
        <v>1</v>
      </c>
      <c r="G261" s="89"/>
      <c r="H261" s="89">
        <f>C261*D261*E261*F261</f>
        <v>147.22999999999999</v>
      </c>
      <c r="I261" s="89"/>
    </row>
    <row r="262" spans="1:11" ht="20.149999999999999" customHeight="1">
      <c r="A262" s="28"/>
      <c r="B262" s="30"/>
      <c r="C262" s="31"/>
      <c r="D262" s="89">
        <f>C259*D259+C260*D260+C261*D261</f>
        <v>331.52</v>
      </c>
      <c r="E262" s="89"/>
      <c r="F262" s="102"/>
      <c r="G262" s="89"/>
      <c r="H262" s="89"/>
      <c r="I262" s="89"/>
    </row>
    <row r="263" spans="1:11" ht="20.149999999999999" customHeight="1">
      <c r="A263" s="28"/>
      <c r="B263" s="30"/>
      <c r="C263" s="31"/>
      <c r="D263" s="89">
        <f>C247*D247+C248*D248+C249*D249+C250*D250+C251*D251+C252*D252+C253*D253+C254*D254+C255*D255+C256*D256+C259*D259+C260*D260+C261*D261</f>
        <v>546.16</v>
      </c>
      <c r="E263" s="89"/>
      <c r="F263" s="93"/>
      <c r="G263" s="89"/>
      <c r="H263" s="89"/>
      <c r="I263" s="89">
        <f>SUM(H247:H263)</f>
        <v>423.03</v>
      </c>
      <c r="J263" s="6">
        <f>I263/35.32</f>
        <v>11.98</v>
      </c>
      <c r="K263" s="6">
        <f>J263*0.5</f>
        <v>5.99</v>
      </c>
    </row>
    <row r="264" spans="1:11" ht="19.5" customHeight="1">
      <c r="A264" s="28"/>
      <c r="B264" s="28"/>
      <c r="C264" s="31"/>
      <c r="D264" s="89"/>
      <c r="E264" s="89"/>
      <c r="F264" s="89"/>
      <c r="G264" s="89">
        <f>SUM(G232:G263)</f>
        <v>0</v>
      </c>
      <c r="H264" s="89">
        <f>SUM(H232:H263)</f>
        <v>774.23</v>
      </c>
      <c r="I264" s="89" t="s">
        <v>14</v>
      </c>
    </row>
    <row r="265" spans="1:11" ht="19.5" customHeight="1">
      <c r="A265" s="28"/>
      <c r="B265" s="28"/>
      <c r="C265" s="31"/>
      <c r="D265" s="89"/>
      <c r="E265" s="89"/>
      <c r="F265" s="89"/>
      <c r="G265" s="89"/>
      <c r="H265" s="89">
        <f>H264-G264</f>
        <v>774.23</v>
      </c>
      <c r="I265" s="89" t="s">
        <v>14</v>
      </c>
    </row>
    <row r="266" spans="1:11" ht="20.149999999999999" customHeight="1">
      <c r="A266" s="28"/>
      <c r="B266" s="28"/>
      <c r="C266" s="31"/>
      <c r="D266" s="89"/>
      <c r="E266" s="89"/>
      <c r="F266" s="89"/>
      <c r="G266" s="99" t="s">
        <v>113</v>
      </c>
      <c r="H266" s="91">
        <f>H265/100</f>
        <v>7.74</v>
      </c>
      <c r="I266" s="91" t="s">
        <v>86</v>
      </c>
      <c r="J266" s="127"/>
    </row>
    <row r="267" spans="1:11" ht="20.149999999999999" customHeight="1">
      <c r="A267" s="28"/>
      <c r="B267" s="28"/>
      <c r="C267" s="31"/>
      <c r="D267" s="89"/>
      <c r="E267" s="89"/>
      <c r="F267" s="89"/>
      <c r="G267" s="89"/>
      <c r="H267" s="91"/>
      <c r="I267" s="91"/>
      <c r="J267" s="127"/>
    </row>
    <row r="268" spans="1:11" ht="20.149999999999999" customHeight="1">
      <c r="A268" s="28"/>
      <c r="B268" s="98" t="s">
        <v>52</v>
      </c>
      <c r="C268" s="31"/>
      <c r="D268" s="89"/>
      <c r="E268" s="89"/>
      <c r="F268" s="89"/>
      <c r="G268" s="89"/>
      <c r="H268" s="89"/>
      <c r="I268" s="89"/>
    </row>
    <row r="269" spans="1:11" ht="20.149999999999999" customHeight="1">
      <c r="A269" s="28"/>
      <c r="B269" s="97" t="s">
        <v>175</v>
      </c>
      <c r="C269" s="31"/>
      <c r="D269" s="89"/>
      <c r="E269" s="89"/>
      <c r="F269" s="89"/>
      <c r="G269" s="89"/>
      <c r="H269" s="89"/>
      <c r="I269" s="89"/>
    </row>
    <row r="270" spans="1:11" ht="20.149999999999999" customHeight="1">
      <c r="A270" s="28"/>
      <c r="B270" s="97" t="str">
        <f t="shared" ref="B270:B275" si="31">B231</f>
        <v>GB1 ( 10" x 10'')</v>
      </c>
      <c r="C270" s="31"/>
      <c r="D270" s="89"/>
      <c r="E270" s="89"/>
      <c r="F270" s="89"/>
      <c r="G270" s="89"/>
      <c r="H270" s="89"/>
      <c r="I270" s="89"/>
    </row>
    <row r="271" spans="1:11" ht="20.149999999999999" customHeight="1">
      <c r="A271" s="28"/>
      <c r="B271" s="30" t="str">
        <f t="shared" si="31"/>
        <v>X-Dir Line Bet; A-B, 10' 8"L</v>
      </c>
      <c r="C271" s="31">
        <f t="shared" ref="C271:D277" si="32">C232</f>
        <v>7</v>
      </c>
      <c r="D271" s="89">
        <f t="shared" si="32"/>
        <v>10</v>
      </c>
      <c r="E271" s="89"/>
      <c r="F271" s="89">
        <f t="shared" ref="F271:F276" si="33">E232+F232*2</f>
        <v>2.4900000000000002</v>
      </c>
      <c r="G271" s="89"/>
      <c r="H271" s="89">
        <f>C271*D271*F271</f>
        <v>174.3</v>
      </c>
      <c r="I271" s="89" t="s">
        <v>7</v>
      </c>
    </row>
    <row r="272" spans="1:11" ht="20.149999999999999" customHeight="1">
      <c r="A272" s="28"/>
      <c r="B272" s="30" t="str">
        <f t="shared" si="31"/>
        <v xml:space="preserve">X-Dir Line Bet; D-E, 8' 6" L </v>
      </c>
      <c r="C272" s="31">
        <f t="shared" si="32"/>
        <v>4</v>
      </c>
      <c r="D272" s="89">
        <f t="shared" si="32"/>
        <v>8.33</v>
      </c>
      <c r="E272" s="89"/>
      <c r="F272" s="89">
        <f t="shared" si="33"/>
        <v>2.4900000000000002</v>
      </c>
      <c r="G272" s="89"/>
      <c r="H272" s="89">
        <f t="shared" ref="H272:H288" si="34">C272*D272*F272</f>
        <v>82.97</v>
      </c>
      <c r="I272" s="89" t="s">
        <v>7</v>
      </c>
    </row>
    <row r="273" spans="1:9" ht="20.149999999999999" customHeight="1">
      <c r="A273" s="28"/>
      <c r="B273" s="30" t="str">
        <f t="shared" si="31"/>
        <v>Line A &amp; B, 4-5, 6' 6" L</v>
      </c>
      <c r="C273" s="31">
        <f t="shared" si="32"/>
        <v>2</v>
      </c>
      <c r="D273" s="89">
        <f t="shared" si="32"/>
        <v>5.67</v>
      </c>
      <c r="E273" s="89"/>
      <c r="F273" s="89">
        <f t="shared" si="33"/>
        <v>2.4900000000000002</v>
      </c>
      <c r="G273" s="89"/>
      <c r="H273" s="89">
        <f t="shared" si="34"/>
        <v>28.24</v>
      </c>
      <c r="I273" s="89" t="s">
        <v>7</v>
      </c>
    </row>
    <row r="274" spans="1:9" ht="20.149999999999999" customHeight="1">
      <c r="A274" s="28"/>
      <c r="B274" s="30" t="str">
        <f t="shared" si="31"/>
        <v>Line E, 6' 8" L</v>
      </c>
      <c r="C274" s="31">
        <f t="shared" si="32"/>
        <v>1</v>
      </c>
      <c r="D274" s="89">
        <f t="shared" si="32"/>
        <v>5.84</v>
      </c>
      <c r="E274" s="89"/>
      <c r="F274" s="89">
        <f t="shared" si="33"/>
        <v>2.4900000000000002</v>
      </c>
      <c r="G274" s="89"/>
      <c r="H274" s="89">
        <f t="shared" si="34"/>
        <v>14.54</v>
      </c>
      <c r="I274" s="89" t="s">
        <v>7</v>
      </c>
    </row>
    <row r="275" spans="1:9" ht="20.149999999999999" customHeight="1">
      <c r="A275" s="28"/>
      <c r="B275" s="30" t="str">
        <f t="shared" si="31"/>
        <v xml:space="preserve">Portico Beam, </v>
      </c>
      <c r="C275" s="31">
        <f t="shared" si="32"/>
        <v>1</v>
      </c>
      <c r="D275" s="89">
        <f t="shared" si="32"/>
        <v>8.34</v>
      </c>
      <c r="E275" s="89"/>
      <c r="F275" s="89">
        <f t="shared" si="33"/>
        <v>2.4900000000000002</v>
      </c>
      <c r="G275" s="89"/>
      <c r="H275" s="89">
        <f t="shared" si="34"/>
        <v>20.77</v>
      </c>
      <c r="I275" s="89" t="s">
        <v>7</v>
      </c>
    </row>
    <row r="276" spans="1:9" ht="20.149999999999999" customHeight="1">
      <c r="A276" s="28"/>
      <c r="B276" s="30"/>
      <c r="C276" s="31">
        <f t="shared" si="32"/>
        <v>2</v>
      </c>
      <c r="D276" s="89">
        <f t="shared" si="32"/>
        <v>4.83</v>
      </c>
      <c r="E276" s="89"/>
      <c r="F276" s="89">
        <f t="shared" si="33"/>
        <v>2.4900000000000002</v>
      </c>
      <c r="G276" s="89"/>
      <c r="H276" s="89">
        <f t="shared" si="34"/>
        <v>24.05</v>
      </c>
      <c r="I276" s="89" t="s">
        <v>7</v>
      </c>
    </row>
    <row r="277" spans="1:9" ht="20.149999999999999" customHeight="1">
      <c r="A277" s="28"/>
      <c r="B277" s="30"/>
      <c r="C277" s="31" t="str">
        <f t="shared" si="32"/>
        <v>Ft</v>
      </c>
      <c r="D277" s="89">
        <f t="shared" si="32"/>
        <v>138.5</v>
      </c>
      <c r="E277" s="89"/>
      <c r="F277" s="89"/>
      <c r="G277" s="89"/>
      <c r="H277" s="89"/>
      <c r="I277" s="89"/>
    </row>
    <row r="278" spans="1:9" ht="20.149999999999999" customHeight="1">
      <c r="A278" s="28"/>
      <c r="B278" s="97" t="str">
        <f>B239</f>
        <v>GB2 ( 10" x 12'')</v>
      </c>
      <c r="C278" s="31"/>
      <c r="D278" s="89"/>
      <c r="E278" s="89"/>
      <c r="F278" s="89"/>
      <c r="G278" s="89"/>
      <c r="H278" s="89"/>
      <c r="I278" s="89"/>
    </row>
    <row r="279" spans="1:9" ht="20.149999999999999" customHeight="1">
      <c r="A279" s="28"/>
      <c r="B279" s="30" t="str">
        <f>B240</f>
        <v xml:space="preserve">Y-Dir Line, B-D, 27' L </v>
      </c>
      <c r="C279" s="31">
        <f t="shared" ref="C279:D283" si="35">C240</f>
        <v>5</v>
      </c>
      <c r="D279" s="89">
        <f t="shared" si="35"/>
        <v>27</v>
      </c>
      <c r="E279" s="89"/>
      <c r="F279" s="89">
        <f>E240+F240*2</f>
        <v>2.83</v>
      </c>
      <c r="G279" s="89"/>
      <c r="H279" s="89">
        <f t="shared" si="34"/>
        <v>382.05</v>
      </c>
      <c r="I279" s="89" t="s">
        <v>7</v>
      </c>
    </row>
    <row r="280" spans="1:9" ht="20.149999999999999" customHeight="1">
      <c r="A280" s="28"/>
      <c r="B280" s="30" t="str">
        <f>B241</f>
        <v xml:space="preserve">Line, A, B, C&amp;D, 35' 10" L </v>
      </c>
      <c r="C280" s="31">
        <f t="shared" si="35"/>
        <v>4</v>
      </c>
      <c r="D280" s="89">
        <f t="shared" si="35"/>
        <v>33.340000000000003</v>
      </c>
      <c r="E280" s="89"/>
      <c r="F280" s="89">
        <f>E241+F241*2</f>
        <v>2.83</v>
      </c>
      <c r="G280" s="89"/>
      <c r="H280" s="89">
        <f t="shared" si="34"/>
        <v>377.41</v>
      </c>
      <c r="I280" s="89" t="s">
        <v>7</v>
      </c>
    </row>
    <row r="281" spans="1:9" ht="20.149999999999999" customHeight="1">
      <c r="A281" s="28"/>
      <c r="B281" s="30" t="str">
        <f>B242</f>
        <v>Line E, 23' L</v>
      </c>
      <c r="C281" s="31">
        <f t="shared" si="35"/>
        <v>1</v>
      </c>
      <c r="D281" s="89">
        <f t="shared" si="35"/>
        <v>21</v>
      </c>
      <c r="E281" s="89"/>
      <c r="F281" s="89">
        <f>E242+F242*2</f>
        <v>2.83</v>
      </c>
      <c r="G281" s="89"/>
      <c r="H281" s="89">
        <f t="shared" si="34"/>
        <v>59.43</v>
      </c>
      <c r="I281" s="89" t="s">
        <v>7</v>
      </c>
    </row>
    <row r="282" spans="1:9" ht="20.149999999999999" customHeight="1">
      <c r="A282" s="28"/>
      <c r="B282" s="30" t="str">
        <f>B243</f>
        <v>Y-Dir Bet (C&amp;D)1-2',</v>
      </c>
      <c r="C282" s="31">
        <f t="shared" si="35"/>
        <v>1</v>
      </c>
      <c r="D282" s="89">
        <f t="shared" si="35"/>
        <v>18.829999999999998</v>
      </c>
      <c r="E282" s="89"/>
      <c r="F282" s="89">
        <f>E243+F243*2</f>
        <v>2.83</v>
      </c>
      <c r="G282" s="89"/>
      <c r="H282" s="89">
        <f>C282*D282*F282</f>
        <v>53.29</v>
      </c>
      <c r="I282" s="89" t="s">
        <v>7</v>
      </c>
    </row>
    <row r="283" spans="1:9" ht="20.149999999999999" customHeight="1">
      <c r="A283" s="28"/>
      <c r="B283" s="30"/>
      <c r="C283" s="31" t="str">
        <f t="shared" si="35"/>
        <v>Ft</v>
      </c>
      <c r="D283" s="89">
        <f t="shared" si="35"/>
        <v>308.19</v>
      </c>
      <c r="E283" s="89"/>
      <c r="F283" s="89"/>
      <c r="G283" s="89"/>
      <c r="H283" s="89"/>
      <c r="I283" s="89"/>
    </row>
    <row r="284" spans="1:9" ht="20.149999999999999" customHeight="1">
      <c r="A284" s="28"/>
      <c r="B284" s="30" t="s">
        <v>198</v>
      </c>
      <c r="C284" s="31">
        <v>1</v>
      </c>
      <c r="D284" s="89">
        <f>D122</f>
        <v>422.72</v>
      </c>
      <c r="E284" s="89">
        <v>0.75</v>
      </c>
      <c r="F284" s="89"/>
      <c r="G284" s="89">
        <f>C284*D284*E284</f>
        <v>317.04000000000002</v>
      </c>
      <c r="H284" s="89"/>
      <c r="I284" s="89" t="s">
        <v>7</v>
      </c>
    </row>
    <row r="285" spans="1:9" ht="20.149999999999999" customHeight="1">
      <c r="A285" s="28"/>
      <c r="B285" s="30"/>
      <c r="C285" s="31"/>
      <c r="D285" s="89"/>
      <c r="E285" s="89"/>
      <c r="F285" s="89"/>
      <c r="G285" s="89"/>
      <c r="H285" s="89"/>
      <c r="I285" s="89"/>
    </row>
    <row r="286" spans="1:9" ht="20.149999999999999" customHeight="1">
      <c r="A286" s="28"/>
      <c r="B286" s="97" t="str">
        <f t="shared" ref="B286:B297" si="36">B245</f>
        <v>Roof Beam</v>
      </c>
      <c r="C286" s="31"/>
      <c r="D286" s="89"/>
      <c r="E286" s="89"/>
      <c r="F286" s="89"/>
      <c r="G286" s="89"/>
      <c r="H286" s="89"/>
      <c r="I286" s="89"/>
    </row>
    <row r="287" spans="1:9" ht="20.149999999999999" customHeight="1">
      <c r="A287" s="28"/>
      <c r="B287" s="97" t="str">
        <f t="shared" si="36"/>
        <v>RB1 (10" x 10")</v>
      </c>
      <c r="C287" s="31"/>
      <c r="D287" s="89"/>
      <c r="E287" s="89"/>
      <c r="F287" s="89"/>
      <c r="G287" s="89"/>
      <c r="H287" s="89"/>
      <c r="I287" s="89"/>
    </row>
    <row r="288" spans="1:9" ht="20.149999999999999" customHeight="1">
      <c r="A288" s="28"/>
      <c r="B288" s="30" t="str">
        <f t="shared" si="36"/>
        <v>X-Dir Line, (A-B), 10' 8" L</v>
      </c>
      <c r="C288" s="31">
        <f t="shared" ref="C288:D297" si="37">C247</f>
        <v>8</v>
      </c>
      <c r="D288" s="89">
        <f t="shared" si="37"/>
        <v>10</v>
      </c>
      <c r="E288" s="89"/>
      <c r="F288" s="89">
        <f t="shared" ref="F288:F297" si="38">E247+F247*2</f>
        <v>2.4900000000000002</v>
      </c>
      <c r="G288" s="89"/>
      <c r="H288" s="89">
        <f t="shared" si="34"/>
        <v>199.2</v>
      </c>
      <c r="I288" s="89" t="s">
        <v>7</v>
      </c>
    </row>
    <row r="289" spans="1:9" ht="20.149999999999999" customHeight="1">
      <c r="A289" s="28"/>
      <c r="B289" s="30" t="str">
        <f t="shared" si="36"/>
        <v>X-Dir Line, (D-E), 8' 6" L</v>
      </c>
      <c r="C289" s="31">
        <f t="shared" si="37"/>
        <v>6</v>
      </c>
      <c r="D289" s="89">
        <f t="shared" si="37"/>
        <v>7.67</v>
      </c>
      <c r="E289" s="89"/>
      <c r="F289" s="89">
        <f t="shared" si="38"/>
        <v>2.4900000000000002</v>
      </c>
      <c r="G289" s="89"/>
      <c r="H289" s="89">
        <f t="shared" ref="H289:H299" si="39">C289*D289*F289</f>
        <v>114.59</v>
      </c>
      <c r="I289" s="89" t="s">
        <v>7</v>
      </c>
    </row>
    <row r="290" spans="1:9" ht="20.149999999999999" customHeight="1">
      <c r="A290" s="28"/>
      <c r="B290" s="30" t="str">
        <f t="shared" si="36"/>
        <v xml:space="preserve">Portico Line 1', </v>
      </c>
      <c r="C290" s="31">
        <f t="shared" si="37"/>
        <v>1</v>
      </c>
      <c r="D290" s="89">
        <f t="shared" si="37"/>
        <v>8.33</v>
      </c>
      <c r="E290" s="89"/>
      <c r="F290" s="89">
        <f t="shared" si="38"/>
        <v>2.4900000000000002</v>
      </c>
      <c r="G290" s="89"/>
      <c r="H290" s="89">
        <f t="shared" si="39"/>
        <v>20.74</v>
      </c>
      <c r="I290" s="89" t="s">
        <v>7</v>
      </c>
    </row>
    <row r="291" spans="1:9" ht="20.149999999999999" customHeight="1">
      <c r="A291" s="28"/>
      <c r="B291" s="30" t="str">
        <f t="shared" si="36"/>
        <v>Line A &amp; B, 4-5, 6' 6" L</v>
      </c>
      <c r="C291" s="31">
        <f t="shared" si="37"/>
        <v>2</v>
      </c>
      <c r="D291" s="89">
        <f t="shared" si="37"/>
        <v>5.67</v>
      </c>
      <c r="E291" s="89"/>
      <c r="F291" s="89">
        <f t="shared" si="38"/>
        <v>2.4900000000000002</v>
      </c>
      <c r="G291" s="89"/>
      <c r="H291" s="89">
        <f t="shared" si="39"/>
        <v>28.24</v>
      </c>
      <c r="I291" s="89" t="s">
        <v>7</v>
      </c>
    </row>
    <row r="292" spans="1:9" ht="20.149999999999999" customHeight="1">
      <c r="A292" s="28"/>
      <c r="B292" s="30" t="str">
        <f t="shared" si="36"/>
        <v xml:space="preserve">Line A', 15' 3" L </v>
      </c>
      <c r="C292" s="31">
        <f t="shared" si="37"/>
        <v>1</v>
      </c>
      <c r="D292" s="89">
        <f t="shared" si="37"/>
        <v>13.59</v>
      </c>
      <c r="E292" s="89"/>
      <c r="F292" s="89">
        <f t="shared" si="38"/>
        <v>2.4900000000000002</v>
      </c>
      <c r="G292" s="89"/>
      <c r="H292" s="89">
        <f t="shared" si="39"/>
        <v>33.840000000000003</v>
      </c>
      <c r="I292" s="89" t="s">
        <v>7</v>
      </c>
    </row>
    <row r="293" spans="1:9" ht="20.149999999999999" customHeight="1">
      <c r="A293" s="28"/>
      <c r="B293" s="30" t="str">
        <f t="shared" si="36"/>
        <v xml:space="preserve">Line E, 6' 8" L </v>
      </c>
      <c r="C293" s="31">
        <f t="shared" si="37"/>
        <v>1</v>
      </c>
      <c r="D293" s="89">
        <f t="shared" si="37"/>
        <v>5.42</v>
      </c>
      <c r="E293" s="89"/>
      <c r="F293" s="89">
        <f t="shared" si="38"/>
        <v>2.4900000000000002</v>
      </c>
      <c r="G293" s="89"/>
      <c r="H293" s="89">
        <f t="shared" si="39"/>
        <v>13.5</v>
      </c>
      <c r="I293" s="89" t="s">
        <v>7</v>
      </c>
    </row>
    <row r="294" spans="1:9" ht="20.149999999999999" customHeight="1">
      <c r="A294" s="28"/>
      <c r="B294" s="30" t="str">
        <f t="shared" si="36"/>
        <v xml:space="preserve">Y-Dir Line, Bet; 2&amp;3  </v>
      </c>
      <c r="C294" s="31">
        <f t="shared" si="37"/>
        <v>3</v>
      </c>
      <c r="D294" s="89">
        <f t="shared" si="37"/>
        <v>4.5</v>
      </c>
      <c r="E294" s="89"/>
      <c r="F294" s="89">
        <f t="shared" si="38"/>
        <v>2.4900000000000002</v>
      </c>
      <c r="G294" s="89"/>
      <c r="H294" s="89">
        <f t="shared" si="39"/>
        <v>33.619999999999997</v>
      </c>
      <c r="I294" s="89" t="s">
        <v>7</v>
      </c>
    </row>
    <row r="295" spans="1:9" ht="20.149999999999999" customHeight="1">
      <c r="A295" s="28"/>
      <c r="B295" s="30" t="str">
        <f t="shared" si="36"/>
        <v>Y-Dir Line, (2'~2)</v>
      </c>
      <c r="C295" s="31">
        <f t="shared" si="37"/>
        <v>3</v>
      </c>
      <c r="D295" s="89">
        <f t="shared" si="37"/>
        <v>5.5</v>
      </c>
      <c r="E295" s="89"/>
      <c r="F295" s="89">
        <f t="shared" si="38"/>
        <v>2.4900000000000002</v>
      </c>
      <c r="G295" s="89"/>
      <c r="H295" s="89">
        <f t="shared" si="39"/>
        <v>41.09</v>
      </c>
      <c r="I295" s="89" t="s">
        <v>7</v>
      </c>
    </row>
    <row r="296" spans="1:9" ht="20.149999999999999" customHeight="1">
      <c r="A296" s="28"/>
      <c r="B296" s="30" t="str">
        <f t="shared" si="36"/>
        <v>Y-Dir Line, (1'-2')</v>
      </c>
      <c r="C296" s="31">
        <f t="shared" si="37"/>
        <v>1</v>
      </c>
      <c r="D296" s="89">
        <f t="shared" si="37"/>
        <v>10.26</v>
      </c>
      <c r="E296" s="89"/>
      <c r="F296" s="89">
        <f t="shared" si="38"/>
        <v>2.4900000000000002</v>
      </c>
      <c r="G296" s="89"/>
      <c r="H296" s="89">
        <f t="shared" si="39"/>
        <v>25.55</v>
      </c>
      <c r="I296" s="89" t="s">
        <v>7</v>
      </c>
    </row>
    <row r="297" spans="1:9" ht="20.149999999999999" customHeight="1">
      <c r="A297" s="28"/>
      <c r="B297" s="30" t="str">
        <f t="shared" si="36"/>
        <v>Y-Dir Line, (1'~1)</v>
      </c>
      <c r="C297" s="31">
        <f t="shared" si="37"/>
        <v>2</v>
      </c>
      <c r="D297" s="89">
        <f t="shared" si="37"/>
        <v>4.84</v>
      </c>
      <c r="E297" s="89"/>
      <c r="F297" s="89">
        <f t="shared" si="38"/>
        <v>2.4900000000000002</v>
      </c>
      <c r="G297" s="89"/>
      <c r="H297" s="89">
        <f t="shared" si="39"/>
        <v>24.1</v>
      </c>
      <c r="I297" s="89" t="s">
        <v>7</v>
      </c>
    </row>
    <row r="298" spans="1:9" ht="20.149999999999999" customHeight="1">
      <c r="A298" s="28"/>
      <c r="B298" s="97" t="str">
        <f t="shared" ref="B298:D301" si="40">B258</f>
        <v>RB2 (10" x 12")</v>
      </c>
      <c r="C298" s="31">
        <f t="shared" si="40"/>
        <v>0</v>
      </c>
      <c r="D298" s="89">
        <f t="shared" si="40"/>
        <v>0</v>
      </c>
      <c r="E298" s="89"/>
      <c r="F298" s="89">
        <f>E258+F258*2</f>
        <v>0</v>
      </c>
      <c r="G298" s="89"/>
      <c r="H298" s="89">
        <f t="shared" si="39"/>
        <v>0</v>
      </c>
      <c r="I298" s="89" t="s">
        <v>7</v>
      </c>
    </row>
    <row r="299" spans="1:9" ht="20.149999999999999" customHeight="1">
      <c r="A299" s="28"/>
      <c r="B299" s="30" t="str">
        <f t="shared" si="40"/>
        <v xml:space="preserve">Line A,B,C&amp;D, (1-4), 35' 8" L </v>
      </c>
      <c r="C299" s="31">
        <f t="shared" si="40"/>
        <v>4</v>
      </c>
      <c r="D299" s="89">
        <f t="shared" si="40"/>
        <v>33.18</v>
      </c>
      <c r="E299" s="89"/>
      <c r="F299" s="89">
        <f>E259+F259*2</f>
        <v>2.83</v>
      </c>
      <c r="G299" s="89"/>
      <c r="H299" s="89">
        <f t="shared" si="39"/>
        <v>375.6</v>
      </c>
      <c r="I299" s="89" t="s">
        <v>7</v>
      </c>
    </row>
    <row r="300" spans="1:9" ht="20.149999999999999" customHeight="1">
      <c r="A300" s="28"/>
      <c r="B300" s="30" t="str">
        <f t="shared" si="40"/>
        <v xml:space="preserve">Line E, (1-3), 23' L </v>
      </c>
      <c r="C300" s="31">
        <f t="shared" si="40"/>
        <v>1</v>
      </c>
      <c r="D300" s="89">
        <f t="shared" si="40"/>
        <v>21.42</v>
      </c>
      <c r="E300" s="89"/>
      <c r="F300" s="89">
        <f>E260+F260*2</f>
        <v>2.83</v>
      </c>
      <c r="G300" s="89"/>
      <c r="H300" s="89">
        <f>C300*D300*F300</f>
        <v>60.62</v>
      </c>
      <c r="I300" s="89" t="s">
        <v>7</v>
      </c>
    </row>
    <row r="301" spans="1:9" ht="20.149999999999999" customHeight="1">
      <c r="A301" s="28"/>
      <c r="B301" s="30" t="str">
        <f t="shared" si="40"/>
        <v>X-Dir Line (B-D), 27' L</v>
      </c>
      <c r="C301" s="31">
        <f t="shared" si="40"/>
        <v>7</v>
      </c>
      <c r="D301" s="89">
        <f t="shared" si="40"/>
        <v>25.34</v>
      </c>
      <c r="E301" s="89"/>
      <c r="F301" s="89">
        <f>E261+F261*2</f>
        <v>2.83</v>
      </c>
      <c r="G301" s="89"/>
      <c r="H301" s="89">
        <f>C301*D301*F301</f>
        <v>501.99</v>
      </c>
      <c r="I301" s="89" t="s">
        <v>7</v>
      </c>
    </row>
    <row r="302" spans="1:9" ht="20.149999999999999" customHeight="1">
      <c r="A302" s="28"/>
      <c r="B302" s="30"/>
      <c r="C302" s="31"/>
      <c r="D302" s="89"/>
      <c r="E302" s="89"/>
      <c r="F302" s="89"/>
      <c r="G302" s="89"/>
      <c r="H302" s="89"/>
      <c r="I302" s="89"/>
    </row>
    <row r="303" spans="1:9" ht="20.149999999999999" customHeight="1">
      <c r="A303" s="28"/>
      <c r="B303" s="30"/>
      <c r="C303" s="31"/>
      <c r="D303" s="89"/>
      <c r="E303" s="89"/>
      <c r="F303" s="89"/>
      <c r="G303" s="89"/>
      <c r="H303" s="89"/>
      <c r="I303" s="89"/>
    </row>
    <row r="304" spans="1:9" ht="18" customHeight="1">
      <c r="A304" s="28"/>
      <c r="B304" s="28"/>
      <c r="C304" s="31"/>
      <c r="D304" s="89"/>
      <c r="E304" s="89"/>
      <c r="F304" s="89"/>
      <c r="G304" s="89">
        <f>SUM(G271:G303)</f>
        <v>317.04000000000002</v>
      </c>
      <c r="H304" s="89">
        <f>SUM(H271:H303)</f>
        <v>2689.73</v>
      </c>
      <c r="I304" s="89" t="s">
        <v>7</v>
      </c>
    </row>
    <row r="305" spans="1:10" ht="18" customHeight="1">
      <c r="A305" s="28"/>
      <c r="B305" s="28"/>
      <c r="C305" s="31"/>
      <c r="D305" s="89"/>
      <c r="E305" s="89"/>
      <c r="F305" s="89"/>
      <c r="G305" s="100"/>
      <c r="H305" s="89">
        <f>H304-G304</f>
        <v>2372.69</v>
      </c>
      <c r="I305" s="89" t="s">
        <v>7</v>
      </c>
    </row>
    <row r="306" spans="1:10" ht="18" customHeight="1">
      <c r="A306" s="28"/>
      <c r="B306" s="28"/>
      <c r="C306" s="31"/>
      <c r="D306" s="89"/>
      <c r="E306" s="89"/>
      <c r="F306" s="89"/>
      <c r="G306" s="99" t="s">
        <v>199</v>
      </c>
      <c r="H306" s="91">
        <f>H305/100</f>
        <v>23.73</v>
      </c>
      <c r="I306" s="91" t="s">
        <v>91</v>
      </c>
      <c r="J306" s="127"/>
    </row>
    <row r="307" spans="1:10" ht="18" customHeight="1">
      <c r="A307" s="28"/>
      <c r="B307" s="28"/>
      <c r="C307" s="31"/>
      <c r="D307" s="89"/>
      <c r="E307" s="89"/>
      <c r="F307" s="89"/>
      <c r="G307" s="89"/>
      <c r="H307" s="89"/>
      <c r="I307" s="89"/>
    </row>
    <row r="308" spans="1:10" ht="18" customHeight="1">
      <c r="A308" s="28"/>
      <c r="B308" s="98" t="s">
        <v>41</v>
      </c>
      <c r="C308" s="101"/>
      <c r="D308" s="95"/>
      <c r="E308" s="95"/>
      <c r="F308" s="95"/>
      <c r="G308" s="95"/>
      <c r="H308" s="95"/>
      <c r="I308" s="29"/>
      <c r="J308" s="1"/>
    </row>
    <row r="309" spans="1:10" ht="18" customHeight="1">
      <c r="A309" s="28"/>
      <c r="B309" s="97" t="s">
        <v>75</v>
      </c>
      <c r="C309" s="31"/>
      <c r="D309" s="91"/>
      <c r="E309" s="91"/>
      <c r="F309" s="91"/>
      <c r="G309" s="91" t="s">
        <v>55</v>
      </c>
      <c r="H309" s="91" t="s">
        <v>48</v>
      </c>
      <c r="I309" s="97"/>
      <c r="J309" s="269"/>
    </row>
    <row r="310" spans="1:10" ht="18" customHeight="1">
      <c r="A310" s="28"/>
      <c r="B310" s="97" t="str">
        <f>B231</f>
        <v>GB1 ( 10" x 10'')</v>
      </c>
      <c r="C310" s="31"/>
      <c r="D310" s="89"/>
      <c r="E310" s="89"/>
      <c r="F310" s="89"/>
      <c r="G310" s="89"/>
      <c r="H310" s="89"/>
      <c r="I310" s="28"/>
      <c r="J310" s="85"/>
    </row>
    <row r="311" spans="1:10" ht="18" customHeight="1">
      <c r="A311" s="28"/>
      <c r="B311" s="30" t="str">
        <f>B232</f>
        <v>X-Dir Line Bet; A-B, 10' 8"L</v>
      </c>
      <c r="C311" s="94">
        <f>C232</f>
        <v>7</v>
      </c>
      <c r="D311" s="91">
        <f>D232</f>
        <v>10</v>
      </c>
      <c r="E311" s="91">
        <f>E232</f>
        <v>0.83</v>
      </c>
      <c r="F311" s="91">
        <f>F232</f>
        <v>0.83</v>
      </c>
      <c r="G311" s="89"/>
      <c r="H311" s="89"/>
      <c r="I311" s="28"/>
      <c r="J311" s="85"/>
    </row>
    <row r="312" spans="1:10" ht="18" customHeight="1">
      <c r="A312" s="28"/>
      <c r="B312" s="30" t="s">
        <v>73</v>
      </c>
      <c r="C312" s="31">
        <f>C311*3</f>
        <v>21</v>
      </c>
      <c r="D312" s="89">
        <f>D311+(F311+0.83-0.17*2)*2</f>
        <v>12.64</v>
      </c>
      <c r="E312" s="89"/>
      <c r="F312" s="89"/>
      <c r="G312" s="89">
        <f>D312*C312</f>
        <v>265.44</v>
      </c>
      <c r="H312" s="89"/>
      <c r="I312" s="102"/>
      <c r="J312" s="268"/>
    </row>
    <row r="313" spans="1:10" ht="18" customHeight="1">
      <c r="A313" s="28"/>
      <c r="B313" s="30" t="s">
        <v>47</v>
      </c>
      <c r="C313" s="31">
        <f>ROUND(D311/39.33,0)*C312</f>
        <v>0</v>
      </c>
      <c r="D313" s="89">
        <f>40*16/1000*3.281</f>
        <v>2.1</v>
      </c>
      <c r="E313" s="89"/>
      <c r="F313" s="89"/>
      <c r="G313" s="89">
        <f>D313*C313</f>
        <v>0</v>
      </c>
      <c r="H313" s="89"/>
      <c r="I313" s="102"/>
      <c r="J313" s="268"/>
    </row>
    <row r="314" spans="1:10" ht="18" customHeight="1">
      <c r="A314" s="28"/>
      <c r="B314" s="30" t="s">
        <v>74</v>
      </c>
      <c r="C314" s="31">
        <f>C311*3</f>
        <v>21</v>
      </c>
      <c r="D314" s="89">
        <f>D311+0.83-0.18*2+18*16/1000*3.281</f>
        <v>11.41</v>
      </c>
      <c r="E314" s="89"/>
      <c r="F314" s="89"/>
      <c r="G314" s="89">
        <f>D314*C314</f>
        <v>239.61</v>
      </c>
      <c r="H314" s="89"/>
      <c r="I314" s="102"/>
      <c r="J314" s="268"/>
    </row>
    <row r="315" spans="1:10" ht="18" customHeight="1">
      <c r="A315" s="28"/>
      <c r="B315" s="30" t="s">
        <v>47</v>
      </c>
      <c r="C315" s="31">
        <f>ROUND(D311/39,0)*0</f>
        <v>0</v>
      </c>
      <c r="D315" s="89">
        <f>40*16/1000*3.281</f>
        <v>2.1</v>
      </c>
      <c r="E315" s="89"/>
      <c r="F315" s="89"/>
      <c r="G315" s="89">
        <f>D315*C315</f>
        <v>0</v>
      </c>
      <c r="H315" s="89"/>
      <c r="I315" s="102"/>
      <c r="J315" s="268"/>
    </row>
    <row r="316" spans="1:10" ht="18" customHeight="1">
      <c r="A316" s="28"/>
      <c r="B316" s="30" t="s">
        <v>201</v>
      </c>
      <c r="C316" s="31">
        <f>C311*(D311/0.42+1)</f>
        <v>174</v>
      </c>
      <c r="D316" s="89">
        <f>(E311-0.25+F311-0.25)*2+24*10/1000*3.281</f>
        <v>3.11</v>
      </c>
      <c r="E316" s="89"/>
      <c r="F316" s="89"/>
      <c r="G316" s="89"/>
      <c r="H316" s="89">
        <f>C316*D316</f>
        <v>541.14</v>
      </c>
      <c r="I316" s="102"/>
      <c r="J316" s="268"/>
    </row>
    <row r="317" spans="1:10" ht="18" customHeight="1">
      <c r="A317" s="28"/>
      <c r="B317" s="28"/>
      <c r="C317" s="31"/>
      <c r="D317" s="89"/>
      <c r="E317" s="89"/>
      <c r="F317" s="89"/>
      <c r="G317" s="89"/>
      <c r="H317" s="89"/>
      <c r="I317" s="28"/>
      <c r="J317" s="85"/>
    </row>
    <row r="318" spans="1:10" ht="18" customHeight="1">
      <c r="A318" s="28"/>
      <c r="B318" s="96" t="str">
        <f>B233</f>
        <v xml:space="preserve">X-Dir Line Bet; D-E, 8' 6" L </v>
      </c>
      <c r="C318" s="94">
        <f>C233</f>
        <v>4</v>
      </c>
      <c r="D318" s="91">
        <f>D233</f>
        <v>8.33</v>
      </c>
      <c r="E318" s="91">
        <f>E233</f>
        <v>0.83</v>
      </c>
      <c r="F318" s="91">
        <f>F233</f>
        <v>0.83</v>
      </c>
      <c r="G318" s="89"/>
      <c r="H318" s="89"/>
      <c r="I318" s="102"/>
      <c r="J318" s="268"/>
    </row>
    <row r="319" spans="1:10" ht="18" customHeight="1">
      <c r="A319" s="28"/>
      <c r="B319" s="30" t="s">
        <v>73</v>
      </c>
      <c r="C319" s="31">
        <f>C318*3</f>
        <v>12</v>
      </c>
      <c r="D319" s="89">
        <f>D318+(F318+0.83-0.17*2)*2</f>
        <v>10.97</v>
      </c>
      <c r="E319" s="89"/>
      <c r="F319" s="89"/>
      <c r="G319" s="89">
        <f>D319*C319</f>
        <v>131.63999999999999</v>
      </c>
      <c r="H319" s="89"/>
      <c r="I319" s="102"/>
      <c r="J319" s="268"/>
    </row>
    <row r="320" spans="1:10" ht="18" customHeight="1">
      <c r="A320" s="28"/>
      <c r="B320" s="30" t="s">
        <v>47</v>
      </c>
      <c r="C320" s="31">
        <f>ROUND(D318/39,0)*C319</f>
        <v>0</v>
      </c>
      <c r="D320" s="89">
        <f>40*16/1000*3.281</f>
        <v>2.1</v>
      </c>
      <c r="E320" s="89"/>
      <c r="F320" s="89"/>
      <c r="G320" s="89">
        <f>D320*C320</f>
        <v>0</v>
      </c>
      <c r="H320" s="89"/>
      <c r="I320" s="102"/>
      <c r="J320" s="268"/>
    </row>
    <row r="321" spans="1:10" ht="18" customHeight="1">
      <c r="A321" s="28"/>
      <c r="B321" s="30" t="s">
        <v>74</v>
      </c>
      <c r="C321" s="31">
        <f>C318*3</f>
        <v>12</v>
      </c>
      <c r="D321" s="89">
        <f>D318+0.83-0.18*2+18*16/1000*3.281</f>
        <v>9.74</v>
      </c>
      <c r="E321" s="89"/>
      <c r="F321" s="89"/>
      <c r="G321" s="89">
        <f>D321*C321</f>
        <v>116.88</v>
      </c>
      <c r="H321" s="89"/>
      <c r="I321" s="102"/>
      <c r="J321" s="268"/>
    </row>
    <row r="322" spans="1:10" ht="18" customHeight="1">
      <c r="A322" s="28"/>
      <c r="B322" s="30" t="s">
        <v>47</v>
      </c>
      <c r="C322" s="31">
        <f>ROUND(D318/39,0)*C321</f>
        <v>0</v>
      </c>
      <c r="D322" s="89">
        <f>40*16/1000*3.281</f>
        <v>2.1</v>
      </c>
      <c r="E322" s="89"/>
      <c r="F322" s="89"/>
      <c r="G322" s="89">
        <f>D322*C322</f>
        <v>0</v>
      </c>
      <c r="H322" s="89"/>
      <c r="I322" s="102"/>
      <c r="J322" s="268"/>
    </row>
    <row r="323" spans="1:10" ht="18" customHeight="1">
      <c r="A323" s="28"/>
      <c r="B323" s="30" t="s">
        <v>201</v>
      </c>
      <c r="C323" s="31">
        <f>C318*(D318/0.42+1)</f>
        <v>83</v>
      </c>
      <c r="D323" s="89">
        <f>(E318-0.25+F318-0.25)*2+24*10/1000*3.281</f>
        <v>3.11</v>
      </c>
      <c r="E323" s="89"/>
      <c r="F323" s="89"/>
      <c r="G323" s="89"/>
      <c r="H323" s="89">
        <f>C323*D323</f>
        <v>258.13</v>
      </c>
      <c r="I323" s="102"/>
      <c r="J323" s="268"/>
    </row>
    <row r="324" spans="1:10" ht="18" customHeight="1">
      <c r="A324" s="28"/>
      <c r="B324" s="28"/>
      <c r="C324" s="31"/>
      <c r="D324" s="89"/>
      <c r="E324" s="89"/>
      <c r="F324" s="89"/>
      <c r="G324" s="89"/>
      <c r="H324" s="89"/>
      <c r="I324" s="28"/>
      <c r="J324" s="85"/>
    </row>
    <row r="325" spans="1:10" ht="18" customHeight="1">
      <c r="A325" s="28"/>
      <c r="B325" s="96" t="str">
        <f>B234</f>
        <v>Line A &amp; B, 4-5, 6' 6" L</v>
      </c>
      <c r="C325" s="94">
        <f>C234</f>
        <v>2</v>
      </c>
      <c r="D325" s="91">
        <f>D234</f>
        <v>5.67</v>
      </c>
      <c r="E325" s="91">
        <f>E234</f>
        <v>0.83</v>
      </c>
      <c r="F325" s="91">
        <f>F234</f>
        <v>0.83</v>
      </c>
      <c r="G325" s="89"/>
      <c r="H325" s="89"/>
      <c r="I325" s="102"/>
      <c r="J325" s="268"/>
    </row>
    <row r="326" spans="1:10" ht="18" customHeight="1">
      <c r="A326" s="28"/>
      <c r="B326" s="30" t="s">
        <v>73</v>
      </c>
      <c r="C326" s="31">
        <f>C325*3</f>
        <v>6</v>
      </c>
      <c r="D326" s="89">
        <f>D325+(F325+0.83-0.17*2)*2</f>
        <v>8.31</v>
      </c>
      <c r="E326" s="89"/>
      <c r="F326" s="89"/>
      <c r="G326" s="89">
        <f>D326*C326</f>
        <v>49.86</v>
      </c>
      <c r="H326" s="89"/>
      <c r="I326" s="102"/>
      <c r="J326" s="268"/>
    </row>
    <row r="327" spans="1:10" ht="18" customHeight="1">
      <c r="A327" s="28"/>
      <c r="B327" s="30" t="s">
        <v>47</v>
      </c>
      <c r="C327" s="31">
        <f>ROUND(D325/39,0)*C326</f>
        <v>0</v>
      </c>
      <c r="D327" s="89">
        <f>40*16/1000*3.281</f>
        <v>2.1</v>
      </c>
      <c r="E327" s="89"/>
      <c r="F327" s="89"/>
      <c r="G327" s="89">
        <f>D327*C327</f>
        <v>0</v>
      </c>
      <c r="H327" s="89"/>
      <c r="I327" s="102"/>
      <c r="J327" s="268"/>
    </row>
    <row r="328" spans="1:10" ht="18" customHeight="1">
      <c r="A328" s="28"/>
      <c r="B328" s="30" t="s">
        <v>74</v>
      </c>
      <c r="C328" s="31">
        <f>C325*3</f>
        <v>6</v>
      </c>
      <c r="D328" s="89">
        <f>D325+0.83-0.18*2+18*16/1000*3.281</f>
        <v>7.08</v>
      </c>
      <c r="E328" s="89"/>
      <c r="F328" s="89"/>
      <c r="G328" s="89">
        <f>D328*C328</f>
        <v>42.48</v>
      </c>
      <c r="H328" s="89"/>
      <c r="I328" s="102"/>
      <c r="J328" s="268"/>
    </row>
    <row r="329" spans="1:10" ht="18" customHeight="1">
      <c r="A329" s="28"/>
      <c r="B329" s="30" t="s">
        <v>47</v>
      </c>
      <c r="C329" s="31">
        <f>ROUND(D325/39,0)*C328</f>
        <v>0</v>
      </c>
      <c r="D329" s="89">
        <f>40*16/1000*3.281</f>
        <v>2.1</v>
      </c>
      <c r="E329" s="89"/>
      <c r="F329" s="89"/>
      <c r="G329" s="89">
        <f>D329*C329</f>
        <v>0</v>
      </c>
      <c r="H329" s="89"/>
      <c r="I329" s="102"/>
      <c r="J329" s="268"/>
    </row>
    <row r="330" spans="1:10" ht="18" customHeight="1">
      <c r="A330" s="28"/>
      <c r="B330" s="30" t="s">
        <v>201</v>
      </c>
      <c r="C330" s="31">
        <f>C325*(D325/0.42+1)</f>
        <v>29</v>
      </c>
      <c r="D330" s="89">
        <f>(E325-0.25+F325-0.25)*2+24*10/1000*3.281</f>
        <v>3.11</v>
      </c>
      <c r="E330" s="89"/>
      <c r="F330" s="89"/>
      <c r="G330" s="89"/>
      <c r="H330" s="89">
        <f>C330*D330</f>
        <v>90.19</v>
      </c>
      <c r="I330" s="102"/>
      <c r="J330" s="268"/>
    </row>
    <row r="331" spans="1:10" ht="18" customHeight="1">
      <c r="A331" s="28"/>
      <c r="B331" s="28"/>
      <c r="C331" s="31"/>
      <c r="D331" s="89"/>
      <c r="E331" s="89"/>
      <c r="F331" s="89"/>
      <c r="G331" s="89"/>
      <c r="H331" s="89"/>
      <c r="I331" s="28"/>
      <c r="J331" s="85"/>
    </row>
    <row r="332" spans="1:10" ht="18" customHeight="1">
      <c r="A332" s="28"/>
      <c r="B332" s="96" t="str">
        <f>B235</f>
        <v>Line E, 6' 8" L</v>
      </c>
      <c r="C332" s="94">
        <f>C235</f>
        <v>1</v>
      </c>
      <c r="D332" s="91">
        <f>D235</f>
        <v>5.84</v>
      </c>
      <c r="E332" s="91">
        <f>E235</f>
        <v>0.83</v>
      </c>
      <c r="F332" s="91">
        <f>F235</f>
        <v>0.83</v>
      </c>
      <c r="G332" s="89"/>
      <c r="H332" s="89"/>
      <c r="I332" s="102"/>
      <c r="J332" s="268"/>
    </row>
    <row r="333" spans="1:10" ht="18" customHeight="1">
      <c r="A333" s="28"/>
      <c r="B333" s="30" t="s">
        <v>73</v>
      </c>
      <c r="C333" s="31">
        <f>C332*3</f>
        <v>3</v>
      </c>
      <c r="D333" s="89">
        <f>D332+(F332+0.83-0.17*2)*2</f>
        <v>8.48</v>
      </c>
      <c r="E333" s="89"/>
      <c r="F333" s="89"/>
      <c r="G333" s="89">
        <f>D333*C333</f>
        <v>25.44</v>
      </c>
      <c r="H333" s="89"/>
      <c r="I333" s="102"/>
      <c r="J333" s="268"/>
    </row>
    <row r="334" spans="1:10" ht="18" customHeight="1">
      <c r="A334" s="28"/>
      <c r="B334" s="30" t="s">
        <v>47</v>
      </c>
      <c r="C334" s="31">
        <f>ROUND(D332/39,0)*C333</f>
        <v>0</v>
      </c>
      <c r="D334" s="89">
        <f>40*16/1000*3.281</f>
        <v>2.1</v>
      </c>
      <c r="E334" s="89"/>
      <c r="F334" s="89"/>
      <c r="G334" s="89">
        <f>D334*C334</f>
        <v>0</v>
      </c>
      <c r="H334" s="89"/>
      <c r="I334" s="102"/>
      <c r="J334" s="268"/>
    </row>
    <row r="335" spans="1:10" ht="18" customHeight="1">
      <c r="A335" s="28"/>
      <c r="B335" s="30" t="s">
        <v>74</v>
      </c>
      <c r="C335" s="31">
        <f>C332*3</f>
        <v>3</v>
      </c>
      <c r="D335" s="89">
        <f>D332+0.83-0.18*2+18*16/1000*3.281</f>
        <v>7.25</v>
      </c>
      <c r="E335" s="89"/>
      <c r="F335" s="89"/>
      <c r="G335" s="89">
        <f>D335*C335</f>
        <v>21.75</v>
      </c>
      <c r="H335" s="89"/>
      <c r="I335" s="102"/>
      <c r="J335" s="268"/>
    </row>
    <row r="336" spans="1:10" ht="18" customHeight="1">
      <c r="A336" s="28"/>
      <c r="B336" s="30" t="s">
        <v>47</v>
      </c>
      <c r="C336" s="31">
        <f>ROUND(D332/39,0)*C335</f>
        <v>0</v>
      </c>
      <c r="D336" s="89">
        <f>40*16/1000*3.281</f>
        <v>2.1</v>
      </c>
      <c r="E336" s="89"/>
      <c r="F336" s="89"/>
      <c r="G336" s="89">
        <f>D336*C336</f>
        <v>0</v>
      </c>
      <c r="H336" s="89"/>
      <c r="I336" s="102"/>
      <c r="J336" s="268"/>
    </row>
    <row r="337" spans="1:10" ht="18" customHeight="1">
      <c r="A337" s="28"/>
      <c r="B337" s="30" t="s">
        <v>201</v>
      </c>
      <c r="C337" s="31">
        <f>C332*(D332/0.42+1)</f>
        <v>15</v>
      </c>
      <c r="D337" s="89">
        <f>(E332-0.25+F332-0.25)*2+24*10/1000*3.281</f>
        <v>3.11</v>
      </c>
      <c r="E337" s="89"/>
      <c r="F337" s="89"/>
      <c r="G337" s="89"/>
      <c r="H337" s="89">
        <f>C337*D337</f>
        <v>46.65</v>
      </c>
      <c r="I337" s="102"/>
      <c r="J337" s="268"/>
    </row>
    <row r="338" spans="1:10" ht="18" customHeight="1">
      <c r="A338" s="28"/>
      <c r="B338" s="28"/>
      <c r="C338" s="31"/>
      <c r="D338" s="89"/>
      <c r="E338" s="89"/>
      <c r="F338" s="89"/>
      <c r="G338" s="89"/>
      <c r="H338" s="89"/>
      <c r="I338" s="28"/>
      <c r="J338" s="85"/>
    </row>
    <row r="339" spans="1:10" ht="18" customHeight="1">
      <c r="A339" s="28"/>
      <c r="B339" s="96" t="str">
        <f>B236</f>
        <v xml:space="preserve">Portico Beam, </v>
      </c>
      <c r="C339" s="94">
        <f>C236</f>
        <v>1</v>
      </c>
      <c r="D339" s="91">
        <f>D236</f>
        <v>8.34</v>
      </c>
      <c r="E339" s="91">
        <f>E236</f>
        <v>0.83</v>
      </c>
      <c r="F339" s="91">
        <f>F236</f>
        <v>0.83</v>
      </c>
      <c r="G339" s="89"/>
      <c r="H339" s="89"/>
      <c r="I339" s="102"/>
      <c r="J339" s="268"/>
    </row>
    <row r="340" spans="1:10" ht="18" customHeight="1">
      <c r="A340" s="28"/>
      <c r="B340" s="30" t="s">
        <v>73</v>
      </c>
      <c r="C340" s="31">
        <f>C339*3</f>
        <v>3</v>
      </c>
      <c r="D340" s="89">
        <f>D339+(F339+0.83-0.17*2)*2</f>
        <v>10.98</v>
      </c>
      <c r="E340" s="89"/>
      <c r="F340" s="89"/>
      <c r="G340" s="89">
        <f>D340*C340</f>
        <v>32.94</v>
      </c>
      <c r="H340" s="89"/>
      <c r="I340" s="102"/>
      <c r="J340" s="268"/>
    </row>
    <row r="341" spans="1:10" ht="18" customHeight="1">
      <c r="A341" s="28"/>
      <c r="B341" s="30" t="s">
        <v>47</v>
      </c>
      <c r="C341" s="31">
        <f>ROUND(D339/39,0)</f>
        <v>0</v>
      </c>
      <c r="D341" s="89">
        <f>40*16/1000*3.281</f>
        <v>2.1</v>
      </c>
      <c r="E341" s="89"/>
      <c r="F341" s="89"/>
      <c r="G341" s="89">
        <f>D341*C341</f>
        <v>0</v>
      </c>
      <c r="H341" s="89"/>
      <c r="I341" s="102"/>
      <c r="J341" s="268"/>
    </row>
    <row r="342" spans="1:10" ht="18" customHeight="1">
      <c r="A342" s="28"/>
      <c r="B342" s="30" t="s">
        <v>74</v>
      </c>
      <c r="C342" s="31">
        <f>C339*3</f>
        <v>3</v>
      </c>
      <c r="D342" s="89">
        <f>D339+0.83-0.18*2+18*16/1000*3.281</f>
        <v>9.75</v>
      </c>
      <c r="E342" s="89"/>
      <c r="F342" s="89"/>
      <c r="G342" s="89">
        <f>D342*C342</f>
        <v>29.25</v>
      </c>
      <c r="H342" s="89"/>
      <c r="I342" s="102"/>
      <c r="J342" s="268"/>
    </row>
    <row r="343" spans="1:10" ht="18" customHeight="1">
      <c r="A343" s="28"/>
      <c r="B343" s="30" t="s">
        <v>47</v>
      </c>
      <c r="C343" s="31">
        <f>ROUND(D339/39,0)*C342</f>
        <v>0</v>
      </c>
      <c r="D343" s="89">
        <f>40*16/1000*3.281</f>
        <v>2.1</v>
      </c>
      <c r="E343" s="89"/>
      <c r="F343" s="89"/>
      <c r="G343" s="89">
        <f>D343*C343</f>
        <v>0</v>
      </c>
      <c r="H343" s="89"/>
      <c r="I343" s="102"/>
      <c r="J343" s="268"/>
    </row>
    <row r="344" spans="1:10" ht="18" customHeight="1">
      <c r="A344" s="28"/>
      <c r="B344" s="30" t="s">
        <v>201</v>
      </c>
      <c r="C344" s="31">
        <f>C339*(D339/0.42+1)</f>
        <v>21</v>
      </c>
      <c r="D344" s="89">
        <f>(E339-0.25+F339-0.25)*2+24*10/1000*3.281</f>
        <v>3.11</v>
      </c>
      <c r="E344" s="89"/>
      <c r="F344" s="89"/>
      <c r="G344" s="89"/>
      <c r="H344" s="89">
        <f>C344*D344</f>
        <v>65.31</v>
      </c>
      <c r="I344" s="102"/>
      <c r="J344" s="268"/>
    </row>
    <row r="345" spans="1:10" ht="18" customHeight="1">
      <c r="A345" s="28"/>
      <c r="B345" s="28"/>
      <c r="C345" s="31"/>
      <c r="D345" s="89"/>
      <c r="E345" s="89"/>
      <c r="F345" s="89"/>
      <c r="G345" s="89"/>
      <c r="H345" s="89"/>
      <c r="I345" s="28"/>
      <c r="J345" s="85"/>
    </row>
    <row r="346" spans="1:10" ht="18" customHeight="1">
      <c r="A346" s="28"/>
      <c r="B346" s="96">
        <f>B237</f>
        <v>0</v>
      </c>
      <c r="C346" s="94">
        <f>C237</f>
        <v>2</v>
      </c>
      <c r="D346" s="91">
        <f>D237</f>
        <v>4.83</v>
      </c>
      <c r="E346" s="91">
        <f>E237</f>
        <v>0.83</v>
      </c>
      <c r="F346" s="91">
        <f>F237</f>
        <v>0.83</v>
      </c>
      <c r="G346" s="89"/>
      <c r="H346" s="89"/>
      <c r="I346" s="102"/>
      <c r="J346" s="268"/>
    </row>
    <row r="347" spans="1:10" ht="18" customHeight="1">
      <c r="A347" s="28"/>
      <c r="B347" s="30" t="s">
        <v>73</v>
      </c>
      <c r="C347" s="31">
        <f>C346*3</f>
        <v>6</v>
      </c>
      <c r="D347" s="89">
        <f>D346+(F346+0.83-0.17*2)*2</f>
        <v>7.47</v>
      </c>
      <c r="E347" s="89"/>
      <c r="F347" s="89"/>
      <c r="G347" s="89">
        <f>D347*C347</f>
        <v>44.82</v>
      </c>
      <c r="H347" s="89"/>
      <c r="I347" s="102"/>
      <c r="J347" s="268"/>
    </row>
    <row r="348" spans="1:10" ht="18" customHeight="1">
      <c r="A348" s="28"/>
      <c r="B348" s="30" t="s">
        <v>47</v>
      </c>
      <c r="C348" s="31">
        <f>ROUND(D346/39,0)*C347</f>
        <v>0</v>
      </c>
      <c r="D348" s="89">
        <f>40*16/1000*3.281</f>
        <v>2.1</v>
      </c>
      <c r="E348" s="89"/>
      <c r="F348" s="89"/>
      <c r="G348" s="89">
        <f>D348*C348</f>
        <v>0</v>
      </c>
      <c r="H348" s="89"/>
      <c r="I348" s="102"/>
      <c r="J348" s="268"/>
    </row>
    <row r="349" spans="1:10" ht="18" customHeight="1">
      <c r="A349" s="28"/>
      <c r="B349" s="30" t="s">
        <v>74</v>
      </c>
      <c r="C349" s="31">
        <f>C346*3</f>
        <v>6</v>
      </c>
      <c r="D349" s="89">
        <f>D346+0.83-0.18*2+18*16/1000*3.281</f>
        <v>6.24</v>
      </c>
      <c r="E349" s="89"/>
      <c r="F349" s="89"/>
      <c r="G349" s="89">
        <f>D349*C349</f>
        <v>37.44</v>
      </c>
      <c r="H349" s="89"/>
      <c r="I349" s="102"/>
      <c r="J349" s="268"/>
    </row>
    <row r="350" spans="1:10" ht="18" customHeight="1">
      <c r="A350" s="28"/>
      <c r="B350" s="30" t="s">
        <v>47</v>
      </c>
      <c r="C350" s="31">
        <f>ROUND(D346/39,0)*C349</f>
        <v>0</v>
      </c>
      <c r="D350" s="89">
        <f>40*16/1000*3.281</f>
        <v>2.1</v>
      </c>
      <c r="E350" s="89"/>
      <c r="F350" s="89"/>
      <c r="G350" s="89">
        <f>D350*C350</f>
        <v>0</v>
      </c>
      <c r="H350" s="89"/>
      <c r="I350" s="102"/>
      <c r="J350" s="268"/>
    </row>
    <row r="351" spans="1:10" ht="18" customHeight="1">
      <c r="A351" s="28"/>
      <c r="B351" s="30" t="s">
        <v>201</v>
      </c>
      <c r="C351" s="31">
        <f>C346*(D346/0.42+1)</f>
        <v>25</v>
      </c>
      <c r="D351" s="89">
        <f>(E346-0.25+F346-0.25)*2+24*10/1000*3.281</f>
        <v>3.11</v>
      </c>
      <c r="E351" s="89"/>
      <c r="F351" s="89"/>
      <c r="G351" s="89"/>
      <c r="H351" s="89">
        <f>C351*D351</f>
        <v>77.75</v>
      </c>
      <c r="I351" s="102"/>
      <c r="J351" s="268"/>
    </row>
    <row r="352" spans="1:10" ht="18" customHeight="1">
      <c r="A352" s="28"/>
      <c r="B352" s="28"/>
      <c r="C352" s="31"/>
      <c r="D352" s="89"/>
      <c r="E352" s="89"/>
      <c r="F352" s="89"/>
      <c r="G352" s="89"/>
      <c r="H352" s="89"/>
      <c r="I352" s="28"/>
      <c r="J352" s="85"/>
    </row>
    <row r="353" spans="1:10" ht="18" customHeight="1">
      <c r="A353" s="28"/>
      <c r="B353" s="96" t="str">
        <f t="shared" ref="B353:F354" si="41">B239</f>
        <v>GB2 ( 10" x 12'')</v>
      </c>
      <c r="C353" s="94">
        <f t="shared" si="41"/>
        <v>0</v>
      </c>
      <c r="D353" s="91">
        <f t="shared" si="41"/>
        <v>0</v>
      </c>
      <c r="E353" s="91">
        <f t="shared" si="41"/>
        <v>0</v>
      </c>
      <c r="F353" s="91">
        <f t="shared" si="41"/>
        <v>0</v>
      </c>
      <c r="G353" s="89"/>
      <c r="H353" s="89"/>
      <c r="I353" s="102"/>
      <c r="J353" s="268"/>
    </row>
    <row r="354" spans="1:10" ht="18" customHeight="1">
      <c r="A354" s="28"/>
      <c r="B354" s="96" t="str">
        <f t="shared" si="41"/>
        <v xml:space="preserve">Y-Dir Line, B-D, 27' L </v>
      </c>
      <c r="C354" s="94">
        <f t="shared" si="41"/>
        <v>5</v>
      </c>
      <c r="D354" s="91">
        <f t="shared" si="41"/>
        <v>27</v>
      </c>
      <c r="E354" s="91">
        <f t="shared" si="41"/>
        <v>0.83</v>
      </c>
      <c r="F354" s="91">
        <f t="shared" si="41"/>
        <v>1</v>
      </c>
      <c r="G354" s="89"/>
      <c r="H354" s="89"/>
      <c r="I354" s="102"/>
      <c r="J354" s="268"/>
    </row>
    <row r="355" spans="1:10" ht="18" customHeight="1">
      <c r="A355" s="28"/>
      <c r="B355" s="30" t="s">
        <v>73</v>
      </c>
      <c r="C355" s="31">
        <f>C354*3</f>
        <v>15</v>
      </c>
      <c r="D355" s="89">
        <f>D354+(F354+0.83-0.17*2)*2</f>
        <v>29.98</v>
      </c>
      <c r="E355" s="89"/>
      <c r="F355" s="89"/>
      <c r="G355" s="89">
        <f>D355*C355</f>
        <v>449.7</v>
      </c>
      <c r="H355" s="89"/>
      <c r="I355" s="102"/>
      <c r="J355" s="268"/>
    </row>
    <row r="356" spans="1:10" ht="18" customHeight="1">
      <c r="A356" s="28"/>
      <c r="B356" s="30" t="s">
        <v>47</v>
      </c>
      <c r="C356" s="31">
        <f>ROUND(D354/39,0)*C355</f>
        <v>15</v>
      </c>
      <c r="D356" s="89">
        <f>40*16/1000*3.281</f>
        <v>2.1</v>
      </c>
      <c r="E356" s="89"/>
      <c r="F356" s="89"/>
      <c r="G356" s="89">
        <f>D356*C356</f>
        <v>31.5</v>
      </c>
      <c r="H356" s="89"/>
      <c r="I356" s="102"/>
      <c r="J356" s="268"/>
    </row>
    <row r="357" spans="1:10" ht="18" customHeight="1">
      <c r="A357" s="28"/>
      <c r="B357" s="30" t="s">
        <v>74</v>
      </c>
      <c r="C357" s="31">
        <f>C354*3</f>
        <v>15</v>
      </c>
      <c r="D357" s="89">
        <f>D354+0.83-0.18*2+18*16/1000*3.281</f>
        <v>28.41</v>
      </c>
      <c r="E357" s="89"/>
      <c r="F357" s="89"/>
      <c r="G357" s="89">
        <f>D357*C357</f>
        <v>426.15</v>
      </c>
      <c r="H357" s="89"/>
      <c r="I357" s="102"/>
      <c r="J357" s="268"/>
    </row>
    <row r="358" spans="1:10" ht="18" customHeight="1">
      <c r="A358" s="28"/>
      <c r="B358" s="30" t="s">
        <v>47</v>
      </c>
      <c r="C358" s="31">
        <f>ROUND(D354/39,0)*C357</f>
        <v>15</v>
      </c>
      <c r="D358" s="89">
        <f>40*16/1000*3.281</f>
        <v>2.1</v>
      </c>
      <c r="E358" s="89"/>
      <c r="F358" s="89"/>
      <c r="G358" s="89">
        <f>D358*C358</f>
        <v>31.5</v>
      </c>
      <c r="H358" s="89"/>
      <c r="I358" s="102"/>
      <c r="J358" s="268"/>
    </row>
    <row r="359" spans="1:10" ht="18" customHeight="1">
      <c r="A359" s="28"/>
      <c r="B359" s="30" t="s">
        <v>201</v>
      </c>
      <c r="C359" s="31">
        <f>C354*(D354/0.42+1)</f>
        <v>326</v>
      </c>
      <c r="D359" s="89">
        <f>(E354-0.25+F354-0.25)*2+24*10/1000*3.281</f>
        <v>3.45</v>
      </c>
      <c r="E359" s="89"/>
      <c r="F359" s="89"/>
      <c r="G359" s="89"/>
      <c r="H359" s="89">
        <f>C359*D359</f>
        <v>1124.7</v>
      </c>
      <c r="I359" s="102"/>
      <c r="J359" s="268"/>
    </row>
    <row r="360" spans="1:10" ht="18" customHeight="1">
      <c r="A360" s="28"/>
      <c r="B360" s="30"/>
      <c r="C360" s="31"/>
      <c r="D360" s="89"/>
      <c r="E360" s="89"/>
      <c r="F360" s="89"/>
      <c r="G360" s="89"/>
      <c r="H360" s="89"/>
      <c r="I360" s="102"/>
      <c r="J360" s="268"/>
    </row>
    <row r="361" spans="1:10" ht="18" customHeight="1">
      <c r="A361" s="28"/>
      <c r="B361" s="96" t="str">
        <f>B241</f>
        <v xml:space="preserve">Line, A, B, C&amp;D, 35' 10" L </v>
      </c>
      <c r="C361" s="94">
        <f>C241</f>
        <v>4</v>
      </c>
      <c r="D361" s="91">
        <f>D241</f>
        <v>33.340000000000003</v>
      </c>
      <c r="E361" s="91">
        <f>E241</f>
        <v>0.83</v>
      </c>
      <c r="F361" s="91">
        <f>F241</f>
        <v>1</v>
      </c>
      <c r="G361" s="89"/>
      <c r="H361" s="89"/>
      <c r="I361" s="102"/>
      <c r="J361" s="268"/>
    </row>
    <row r="362" spans="1:10" ht="18" customHeight="1">
      <c r="A362" s="28"/>
      <c r="B362" s="30" t="s">
        <v>73</v>
      </c>
      <c r="C362" s="31">
        <f>C361*3</f>
        <v>12</v>
      </c>
      <c r="D362" s="89">
        <f>D361+(F361+0.83-0.17*2)*2</f>
        <v>36.32</v>
      </c>
      <c r="E362" s="89"/>
      <c r="F362" s="89"/>
      <c r="G362" s="89">
        <f>D362*C362</f>
        <v>435.84</v>
      </c>
      <c r="H362" s="89"/>
      <c r="I362" s="102"/>
      <c r="J362" s="268"/>
    </row>
    <row r="363" spans="1:10" ht="18" customHeight="1">
      <c r="A363" s="28"/>
      <c r="B363" s="30" t="s">
        <v>47</v>
      </c>
      <c r="C363" s="31">
        <f>ROUND(D361/39,0)*C362</f>
        <v>12</v>
      </c>
      <c r="D363" s="89">
        <f>40*16/1000*3.281</f>
        <v>2.1</v>
      </c>
      <c r="E363" s="89"/>
      <c r="F363" s="89"/>
      <c r="G363" s="89">
        <f>D363*C363</f>
        <v>25.2</v>
      </c>
      <c r="H363" s="89"/>
      <c r="I363" s="102"/>
      <c r="J363" s="268"/>
    </row>
    <row r="364" spans="1:10" ht="18" customHeight="1">
      <c r="A364" s="28"/>
      <c r="B364" s="30" t="s">
        <v>74</v>
      </c>
      <c r="C364" s="31">
        <f>C361*3</f>
        <v>12</v>
      </c>
      <c r="D364" s="89">
        <f>D361+0.83-0.18*2+18*16/1000*3.281</f>
        <v>34.75</v>
      </c>
      <c r="E364" s="89"/>
      <c r="F364" s="89"/>
      <c r="G364" s="89">
        <f>D364*C364</f>
        <v>417</v>
      </c>
      <c r="H364" s="89"/>
      <c r="I364" s="102"/>
      <c r="J364" s="268"/>
    </row>
    <row r="365" spans="1:10" ht="18" customHeight="1">
      <c r="A365" s="28"/>
      <c r="B365" s="30" t="s">
        <v>47</v>
      </c>
      <c r="C365" s="31">
        <f>ROUND(D361/39,0)*C364</f>
        <v>12</v>
      </c>
      <c r="D365" s="89">
        <f>40*16/1000*3.281</f>
        <v>2.1</v>
      </c>
      <c r="E365" s="89"/>
      <c r="F365" s="89"/>
      <c r="G365" s="89">
        <f>D365*C365</f>
        <v>25.2</v>
      </c>
      <c r="H365" s="89"/>
      <c r="I365" s="102"/>
      <c r="J365" s="268"/>
    </row>
    <row r="366" spans="1:10" ht="18" customHeight="1">
      <c r="A366" s="28"/>
      <c r="B366" s="30" t="s">
        <v>201</v>
      </c>
      <c r="C366" s="31">
        <f>C361*(D361/0.42+1)</f>
        <v>322</v>
      </c>
      <c r="D366" s="89">
        <f>(E361-0.25+F361-0.25)*2+24*10/1000*3.281</f>
        <v>3.45</v>
      </c>
      <c r="E366" s="89"/>
      <c r="F366" s="89"/>
      <c r="G366" s="89"/>
      <c r="H366" s="89">
        <f>C366*D366</f>
        <v>1110.9000000000001</v>
      </c>
      <c r="I366" s="102"/>
      <c r="J366" s="268"/>
    </row>
    <row r="367" spans="1:10" ht="18" customHeight="1">
      <c r="A367" s="28"/>
      <c r="B367" s="96" t="str">
        <f>B242</f>
        <v>Line E, 23' L</v>
      </c>
      <c r="C367" s="94">
        <f>C242</f>
        <v>1</v>
      </c>
      <c r="D367" s="91">
        <f>D242</f>
        <v>21</v>
      </c>
      <c r="E367" s="91">
        <f>E242</f>
        <v>0.83</v>
      </c>
      <c r="F367" s="91">
        <f>F242</f>
        <v>1</v>
      </c>
      <c r="G367" s="89"/>
      <c r="H367" s="89"/>
      <c r="I367" s="102"/>
      <c r="J367" s="268"/>
    </row>
    <row r="368" spans="1:10" ht="18" customHeight="1">
      <c r="A368" s="28"/>
      <c r="B368" s="30" t="s">
        <v>73</v>
      </c>
      <c r="C368" s="31">
        <f>C367*3</f>
        <v>3</v>
      </c>
      <c r="D368" s="89">
        <f>D367+(F367+0.83-0.17*2)*2</f>
        <v>23.98</v>
      </c>
      <c r="E368" s="89"/>
      <c r="F368" s="89"/>
      <c r="G368" s="89">
        <f>D368*C368</f>
        <v>71.94</v>
      </c>
      <c r="H368" s="89"/>
      <c r="I368" s="102"/>
      <c r="J368" s="268"/>
    </row>
    <row r="369" spans="1:10" ht="18" customHeight="1">
      <c r="A369" s="28"/>
      <c r="B369" s="30" t="s">
        <v>47</v>
      </c>
      <c r="C369" s="31">
        <f>ROUND(D367/39,0)*C368</f>
        <v>3</v>
      </c>
      <c r="D369" s="89">
        <f>40*16/1000*3.281</f>
        <v>2.1</v>
      </c>
      <c r="E369" s="89"/>
      <c r="F369" s="89"/>
      <c r="G369" s="89">
        <f>D369*C369</f>
        <v>6.3</v>
      </c>
      <c r="H369" s="89"/>
      <c r="I369" s="102"/>
      <c r="J369" s="268"/>
    </row>
    <row r="370" spans="1:10" ht="18" customHeight="1">
      <c r="A370" s="28"/>
      <c r="B370" s="30" t="s">
        <v>74</v>
      </c>
      <c r="C370" s="31">
        <f>C367*3</f>
        <v>3</v>
      </c>
      <c r="D370" s="89">
        <f>D367+0.83-0.18*2+18*16/1000*3.281</f>
        <v>22.41</v>
      </c>
      <c r="E370" s="89"/>
      <c r="F370" s="89"/>
      <c r="G370" s="89">
        <f>D370*C370</f>
        <v>67.23</v>
      </c>
      <c r="H370" s="89"/>
      <c r="I370" s="102"/>
      <c r="J370" s="268"/>
    </row>
    <row r="371" spans="1:10" ht="18" customHeight="1">
      <c r="A371" s="28"/>
      <c r="B371" s="30" t="s">
        <v>47</v>
      </c>
      <c r="C371" s="31">
        <f>ROUND(D367/39,0)*C370</f>
        <v>3</v>
      </c>
      <c r="D371" s="89">
        <f>40*16/1000*3.281</f>
        <v>2.1</v>
      </c>
      <c r="E371" s="89"/>
      <c r="F371" s="89"/>
      <c r="G371" s="89">
        <f>D371*C371</f>
        <v>6.3</v>
      </c>
      <c r="H371" s="89"/>
      <c r="I371" s="102"/>
      <c r="J371" s="268"/>
    </row>
    <row r="372" spans="1:10" ht="18" customHeight="1">
      <c r="A372" s="28"/>
      <c r="B372" s="30" t="s">
        <v>201</v>
      </c>
      <c r="C372" s="31">
        <f>C367*(D367/0.42+1)</f>
        <v>51</v>
      </c>
      <c r="D372" s="89">
        <f>(E367-0.25+F367-0.25)*2+24*10/1000*3.281</f>
        <v>3.45</v>
      </c>
      <c r="E372" s="89"/>
      <c r="F372" s="89"/>
      <c r="G372" s="89"/>
      <c r="H372" s="89">
        <f>C372*D372</f>
        <v>175.95</v>
      </c>
      <c r="I372" s="102"/>
      <c r="J372" s="268"/>
    </row>
    <row r="373" spans="1:10" ht="18" customHeight="1">
      <c r="A373" s="28"/>
      <c r="B373" s="96" t="str">
        <f>B243</f>
        <v>Y-Dir Bet (C&amp;D)1-2',</v>
      </c>
      <c r="C373" s="94">
        <f>C243</f>
        <v>1</v>
      </c>
      <c r="D373" s="91">
        <f>D243</f>
        <v>18.829999999999998</v>
      </c>
      <c r="E373" s="91">
        <f>E243</f>
        <v>0.83</v>
      </c>
      <c r="F373" s="91">
        <f>F243</f>
        <v>1</v>
      </c>
      <c r="G373" s="89"/>
      <c r="H373" s="89"/>
      <c r="I373" s="102"/>
      <c r="J373" s="268"/>
    </row>
    <row r="374" spans="1:10" ht="18" customHeight="1">
      <c r="A374" s="28"/>
      <c r="B374" s="30" t="s">
        <v>73</v>
      </c>
      <c r="C374" s="31">
        <f>C373*3</f>
        <v>3</v>
      </c>
      <c r="D374" s="89">
        <f>D373+(F373+0.83-0.17*2)*2</f>
        <v>21.81</v>
      </c>
      <c r="E374" s="89"/>
      <c r="F374" s="89"/>
      <c r="G374" s="89">
        <f>D374*C374</f>
        <v>65.430000000000007</v>
      </c>
      <c r="H374" s="89"/>
      <c r="I374" s="102"/>
      <c r="J374" s="268"/>
    </row>
    <row r="375" spans="1:10" ht="18" customHeight="1">
      <c r="A375" s="28"/>
      <c r="B375" s="30" t="s">
        <v>47</v>
      </c>
      <c r="C375" s="31">
        <f>ROUND(D373/39,0)*C374</f>
        <v>0</v>
      </c>
      <c r="D375" s="89">
        <f>40*16/1000*3.281</f>
        <v>2.1</v>
      </c>
      <c r="E375" s="89"/>
      <c r="F375" s="89"/>
      <c r="G375" s="89">
        <f>D375*C375</f>
        <v>0</v>
      </c>
      <c r="H375" s="89"/>
      <c r="I375" s="102"/>
      <c r="J375" s="268"/>
    </row>
    <row r="376" spans="1:10" ht="18" customHeight="1">
      <c r="A376" s="28"/>
      <c r="B376" s="30" t="s">
        <v>74</v>
      </c>
      <c r="C376" s="31">
        <f>C373*3</f>
        <v>3</v>
      </c>
      <c r="D376" s="89">
        <f>D373+0.83-0.18*2+18*16/1000*3.281</f>
        <v>20.239999999999998</v>
      </c>
      <c r="E376" s="89"/>
      <c r="F376" s="89"/>
      <c r="G376" s="89">
        <f>D376*C376</f>
        <v>60.72</v>
      </c>
      <c r="H376" s="89"/>
      <c r="I376" s="102"/>
      <c r="J376" s="268"/>
    </row>
    <row r="377" spans="1:10" ht="18" customHeight="1">
      <c r="A377" s="28"/>
      <c r="B377" s="30" t="s">
        <v>47</v>
      </c>
      <c r="C377" s="31">
        <f>ROUND(D373/39,0)*C376</f>
        <v>0</v>
      </c>
      <c r="D377" s="89">
        <f>40*16/1000*3.281</f>
        <v>2.1</v>
      </c>
      <c r="E377" s="89"/>
      <c r="F377" s="89"/>
      <c r="G377" s="89">
        <f>D377*C377</f>
        <v>0</v>
      </c>
      <c r="H377" s="89"/>
      <c r="I377" s="102"/>
      <c r="J377" s="268"/>
    </row>
    <row r="378" spans="1:10" ht="18" customHeight="1">
      <c r="A378" s="28"/>
      <c r="B378" s="30" t="s">
        <v>201</v>
      </c>
      <c r="C378" s="31">
        <f>C373*(D373/0.42+1)</f>
        <v>46</v>
      </c>
      <c r="D378" s="89">
        <f>(E373-0.25+F373-0.25)*2+24*10/1000*3.281</f>
        <v>3.45</v>
      </c>
      <c r="E378" s="89"/>
      <c r="F378" s="89"/>
      <c r="G378" s="89"/>
      <c r="H378" s="89">
        <f>C378*D378</f>
        <v>158.69999999999999</v>
      </c>
      <c r="I378" s="102"/>
      <c r="J378" s="268"/>
    </row>
    <row r="379" spans="1:10" ht="18" customHeight="1">
      <c r="A379" s="28"/>
      <c r="B379" s="30"/>
      <c r="C379" s="31"/>
      <c r="D379" s="89"/>
      <c r="E379" s="89"/>
      <c r="F379" s="89"/>
      <c r="G379" s="89"/>
      <c r="H379" s="89"/>
      <c r="I379" s="102"/>
      <c r="J379" s="268"/>
    </row>
    <row r="380" spans="1:10" ht="18" customHeight="1">
      <c r="A380" s="28"/>
      <c r="B380" s="96"/>
      <c r="C380" s="94"/>
      <c r="D380" s="91"/>
      <c r="E380" s="91"/>
      <c r="F380" s="91"/>
      <c r="G380" s="91">
        <f>SUM(G311:G379)</f>
        <v>3157.56</v>
      </c>
      <c r="H380" s="91">
        <f>SUM(H311:H379)</f>
        <v>3649.42</v>
      </c>
      <c r="I380" s="102"/>
      <c r="J380" s="268"/>
    </row>
    <row r="381" spans="1:10" ht="18" customHeight="1">
      <c r="A381" s="28"/>
      <c r="B381" s="96"/>
      <c r="C381" s="94"/>
      <c r="D381" s="91"/>
      <c r="E381" s="91"/>
      <c r="F381" s="91"/>
      <c r="G381" s="91" t="str">
        <f>G309</f>
        <v>16 mm Ø</v>
      </c>
      <c r="H381" s="91" t="str">
        <f>H309</f>
        <v>10 mm Ø</v>
      </c>
      <c r="I381" s="102"/>
      <c r="J381" s="268"/>
    </row>
    <row r="382" spans="1:10" ht="18" customHeight="1">
      <c r="A382" s="28"/>
      <c r="B382" s="96"/>
      <c r="C382" s="94"/>
      <c r="D382" s="91"/>
      <c r="E382" s="91"/>
      <c r="F382" s="99" t="s">
        <v>359</v>
      </c>
      <c r="G382" s="91">
        <f>G380/39.33/53</f>
        <v>1.51</v>
      </c>
      <c r="H382" s="91">
        <f>H380/39.33/135</f>
        <v>0.69</v>
      </c>
      <c r="I382" s="105" t="s">
        <v>93</v>
      </c>
      <c r="J382" s="268"/>
    </row>
    <row r="383" spans="1:10" ht="18" customHeight="1">
      <c r="A383" s="28"/>
      <c r="B383" s="96"/>
      <c r="C383" s="94"/>
      <c r="D383" s="91"/>
      <c r="E383" s="91"/>
      <c r="F383" s="91"/>
      <c r="G383" s="89"/>
      <c r="H383" s="89"/>
      <c r="I383" s="102"/>
      <c r="J383" s="268"/>
    </row>
    <row r="384" spans="1:10" ht="18" customHeight="1">
      <c r="A384" s="28"/>
      <c r="B384" s="97" t="str">
        <f>B245</f>
        <v>Roof Beam</v>
      </c>
      <c r="C384" s="94"/>
      <c r="D384" s="91"/>
      <c r="E384" s="91"/>
      <c r="F384" s="91"/>
      <c r="G384" s="89"/>
      <c r="H384" s="89"/>
      <c r="I384" s="102"/>
      <c r="J384" s="268"/>
    </row>
    <row r="385" spans="1:10" ht="18" customHeight="1">
      <c r="A385" s="28"/>
      <c r="B385" s="97" t="str">
        <f>B246</f>
        <v>RB1 (10" x 10")</v>
      </c>
      <c r="C385" s="94"/>
      <c r="D385" s="91"/>
      <c r="E385" s="91"/>
      <c r="F385" s="91"/>
      <c r="G385" s="89"/>
      <c r="H385" s="89"/>
      <c r="I385" s="102"/>
      <c r="J385" s="268"/>
    </row>
    <row r="386" spans="1:10" ht="18" customHeight="1">
      <c r="A386" s="28"/>
      <c r="B386" s="96" t="str">
        <f>B247</f>
        <v>X-Dir Line, (A-B), 10' 8" L</v>
      </c>
      <c r="C386" s="94">
        <f>C247</f>
        <v>8</v>
      </c>
      <c r="D386" s="91">
        <f>D247</f>
        <v>10</v>
      </c>
      <c r="E386" s="91">
        <f>E247</f>
        <v>0.83</v>
      </c>
      <c r="F386" s="91">
        <f>F247</f>
        <v>0.83</v>
      </c>
      <c r="G386" s="89"/>
      <c r="H386" s="89"/>
      <c r="I386" s="102"/>
      <c r="J386" s="268"/>
    </row>
    <row r="387" spans="1:10" ht="18" customHeight="1">
      <c r="A387" s="28"/>
      <c r="B387" s="30" t="s">
        <v>73</v>
      </c>
      <c r="C387" s="31">
        <f>C386*3</f>
        <v>24</v>
      </c>
      <c r="D387" s="89">
        <f>D386+(F386+0.83-0.17*2)*2</f>
        <v>12.64</v>
      </c>
      <c r="E387" s="89"/>
      <c r="F387" s="89"/>
      <c r="G387" s="89">
        <f>D387*C387</f>
        <v>303.36</v>
      </c>
      <c r="H387" s="89"/>
      <c r="I387" s="102"/>
      <c r="J387" s="268"/>
    </row>
    <row r="388" spans="1:10" ht="18" customHeight="1">
      <c r="A388" s="28"/>
      <c r="B388" s="30" t="s">
        <v>47</v>
      </c>
      <c r="C388" s="31">
        <f>ROUND(D386/39,0)*C387</f>
        <v>0</v>
      </c>
      <c r="D388" s="89">
        <f>40*16/1000*3.281</f>
        <v>2.1</v>
      </c>
      <c r="E388" s="89"/>
      <c r="F388" s="89"/>
      <c r="G388" s="89">
        <f>D388*C388</f>
        <v>0</v>
      </c>
      <c r="H388" s="89"/>
      <c r="I388" s="102"/>
      <c r="J388" s="268"/>
    </row>
    <row r="389" spans="1:10" ht="18" customHeight="1">
      <c r="A389" s="28"/>
      <c r="B389" s="30" t="s">
        <v>74</v>
      </c>
      <c r="C389" s="31">
        <f>C386*3</f>
        <v>24</v>
      </c>
      <c r="D389" s="89">
        <f>D386+0.83-0.18*2+18*16/1000*3.281</f>
        <v>11.41</v>
      </c>
      <c r="E389" s="89"/>
      <c r="F389" s="89"/>
      <c r="G389" s="89">
        <f>D389*C389</f>
        <v>273.83999999999997</v>
      </c>
      <c r="H389" s="89"/>
      <c r="I389" s="102"/>
      <c r="J389" s="268"/>
    </row>
    <row r="390" spans="1:10" ht="18" customHeight="1">
      <c r="A390" s="28"/>
      <c r="B390" s="30" t="s">
        <v>47</v>
      </c>
      <c r="C390" s="31">
        <f>ROUND(D386/39,0)*C389</f>
        <v>0</v>
      </c>
      <c r="D390" s="89">
        <f>40*16/1000*3.281</f>
        <v>2.1</v>
      </c>
      <c r="E390" s="89"/>
      <c r="F390" s="89"/>
      <c r="G390" s="89">
        <f>D390*C390</f>
        <v>0</v>
      </c>
      <c r="H390" s="89"/>
      <c r="I390" s="102"/>
      <c r="J390" s="268"/>
    </row>
    <row r="391" spans="1:10" ht="18" customHeight="1">
      <c r="A391" s="28"/>
      <c r="B391" s="30" t="s">
        <v>201</v>
      </c>
      <c r="C391" s="31">
        <f>C386*(D386/0.42+1)</f>
        <v>198</v>
      </c>
      <c r="D391" s="89">
        <f>(E386-0.25+F386-0.25)*2+24*10/1000*3.281</f>
        <v>3.11</v>
      </c>
      <c r="E391" s="89"/>
      <c r="F391" s="89"/>
      <c r="G391" s="89"/>
      <c r="H391" s="89">
        <f>C391*D391</f>
        <v>615.78</v>
      </c>
      <c r="I391" s="102"/>
      <c r="J391" s="268"/>
    </row>
    <row r="392" spans="1:10" ht="18" customHeight="1">
      <c r="A392" s="28"/>
      <c r="B392" s="96"/>
      <c r="C392" s="94"/>
      <c r="D392" s="91"/>
      <c r="E392" s="91"/>
      <c r="F392" s="91"/>
      <c r="G392" s="89"/>
      <c r="H392" s="89"/>
      <c r="I392" s="102"/>
      <c r="J392" s="268"/>
    </row>
    <row r="393" spans="1:10" ht="18" customHeight="1">
      <c r="A393" s="28"/>
      <c r="B393" s="96" t="str">
        <f>B248</f>
        <v>X-Dir Line, (D-E), 8' 6" L</v>
      </c>
      <c r="C393" s="94">
        <f>C248</f>
        <v>6</v>
      </c>
      <c r="D393" s="91">
        <f>D248</f>
        <v>7.67</v>
      </c>
      <c r="E393" s="91">
        <f>E248</f>
        <v>0.83</v>
      </c>
      <c r="F393" s="91">
        <f>F248</f>
        <v>0.83</v>
      </c>
      <c r="G393" s="89"/>
      <c r="H393" s="89"/>
      <c r="I393" s="102"/>
      <c r="J393" s="268"/>
    </row>
    <row r="394" spans="1:10" ht="18" customHeight="1">
      <c r="A394" s="28"/>
      <c r="B394" s="30" t="s">
        <v>73</v>
      </c>
      <c r="C394" s="31">
        <f>C393*3</f>
        <v>18</v>
      </c>
      <c r="D394" s="89">
        <f>D393+(F393+0.83-0.17*2)*2</f>
        <v>10.31</v>
      </c>
      <c r="E394" s="89"/>
      <c r="F394" s="89"/>
      <c r="G394" s="89">
        <f>D394*C394</f>
        <v>185.58</v>
      </c>
      <c r="H394" s="89"/>
      <c r="I394" s="102"/>
      <c r="J394" s="268"/>
    </row>
    <row r="395" spans="1:10" ht="18" customHeight="1">
      <c r="A395" s="28"/>
      <c r="B395" s="30" t="s">
        <v>47</v>
      </c>
      <c r="C395" s="31">
        <f>ROUND(D393/39,0)*C394</f>
        <v>0</v>
      </c>
      <c r="D395" s="89">
        <f>40*16/1000*3.281</f>
        <v>2.1</v>
      </c>
      <c r="E395" s="89"/>
      <c r="F395" s="89"/>
      <c r="G395" s="89">
        <f>D395*C395</f>
        <v>0</v>
      </c>
      <c r="H395" s="89"/>
      <c r="I395" s="102"/>
      <c r="J395" s="268"/>
    </row>
    <row r="396" spans="1:10" ht="18" customHeight="1">
      <c r="A396" s="28"/>
      <c r="B396" s="30" t="s">
        <v>74</v>
      </c>
      <c r="C396" s="31">
        <f>C393*3</f>
        <v>18</v>
      </c>
      <c r="D396" s="89">
        <f>D393+0.83-0.18*2+18*16/1000*3.281</f>
        <v>9.08</v>
      </c>
      <c r="E396" s="89"/>
      <c r="F396" s="89"/>
      <c r="G396" s="89">
        <f>D396*C396</f>
        <v>163.44</v>
      </c>
      <c r="H396" s="89"/>
      <c r="I396" s="102"/>
      <c r="J396" s="268"/>
    </row>
    <row r="397" spans="1:10" ht="18" customHeight="1">
      <c r="A397" s="28"/>
      <c r="B397" s="30" t="s">
        <v>47</v>
      </c>
      <c r="C397" s="31">
        <f>ROUND(D393/39,0)*C396</f>
        <v>0</v>
      </c>
      <c r="D397" s="89">
        <f>40*16/1000*3.281</f>
        <v>2.1</v>
      </c>
      <c r="E397" s="89"/>
      <c r="F397" s="89"/>
      <c r="G397" s="89">
        <f>D397*C397</f>
        <v>0</v>
      </c>
      <c r="H397" s="89"/>
      <c r="I397" s="102"/>
      <c r="J397" s="268"/>
    </row>
    <row r="398" spans="1:10" ht="18" customHeight="1">
      <c r="A398" s="28"/>
      <c r="B398" s="30" t="s">
        <v>201</v>
      </c>
      <c r="C398" s="31">
        <f>C393*(D393/0.42+1)</f>
        <v>116</v>
      </c>
      <c r="D398" s="89">
        <f>(E393-0.25+F393-0.25)*2+24*10/1000*3.281</f>
        <v>3.11</v>
      </c>
      <c r="E398" s="89"/>
      <c r="F398" s="89"/>
      <c r="G398" s="89"/>
      <c r="H398" s="89">
        <f>C398*D398</f>
        <v>360.76</v>
      </c>
      <c r="I398" s="102"/>
      <c r="J398" s="268"/>
    </row>
    <row r="399" spans="1:10" ht="18" customHeight="1">
      <c r="A399" s="28"/>
      <c r="B399" s="96"/>
      <c r="C399" s="94"/>
      <c r="D399" s="91"/>
      <c r="E399" s="91"/>
      <c r="F399" s="91"/>
      <c r="G399" s="89"/>
      <c r="H399" s="89"/>
      <c r="I399" s="102"/>
      <c r="J399" s="268"/>
    </row>
    <row r="400" spans="1:10" ht="18" customHeight="1">
      <c r="A400" s="28"/>
      <c r="B400" s="96" t="str">
        <f>B249</f>
        <v xml:space="preserve">Portico Line 1', </v>
      </c>
      <c r="C400" s="94">
        <f>C249</f>
        <v>1</v>
      </c>
      <c r="D400" s="91">
        <f>D249</f>
        <v>8.33</v>
      </c>
      <c r="E400" s="91">
        <f>E249</f>
        <v>0.83</v>
      </c>
      <c r="F400" s="91">
        <f>F249</f>
        <v>0.83</v>
      </c>
      <c r="G400" s="89"/>
      <c r="H400" s="89"/>
      <c r="I400" s="102"/>
      <c r="J400" s="268"/>
    </row>
    <row r="401" spans="1:10" ht="18" customHeight="1">
      <c r="A401" s="28"/>
      <c r="B401" s="30" t="s">
        <v>73</v>
      </c>
      <c r="C401" s="31">
        <f>C400*3</f>
        <v>3</v>
      </c>
      <c r="D401" s="89">
        <f>D400+(F400+0.83-0.17*2)*2</f>
        <v>10.97</v>
      </c>
      <c r="E401" s="89"/>
      <c r="F401" s="89"/>
      <c r="G401" s="89">
        <f>D401*C401</f>
        <v>32.909999999999997</v>
      </c>
      <c r="H401" s="89"/>
      <c r="I401" s="102"/>
      <c r="J401" s="268"/>
    </row>
    <row r="402" spans="1:10" ht="18" customHeight="1">
      <c r="A402" s="28"/>
      <c r="B402" s="30" t="s">
        <v>47</v>
      </c>
      <c r="C402" s="31">
        <f>ROUND(D400/39,0)*C401</f>
        <v>0</v>
      </c>
      <c r="D402" s="89">
        <f>40*16/1000*3.281</f>
        <v>2.1</v>
      </c>
      <c r="E402" s="89"/>
      <c r="F402" s="89"/>
      <c r="G402" s="89">
        <f>D402*C402</f>
        <v>0</v>
      </c>
      <c r="H402" s="89"/>
      <c r="I402" s="102"/>
      <c r="J402" s="268"/>
    </row>
    <row r="403" spans="1:10" ht="18" customHeight="1">
      <c r="A403" s="28"/>
      <c r="B403" s="30" t="s">
        <v>74</v>
      </c>
      <c r="C403" s="31">
        <f>C400*3</f>
        <v>3</v>
      </c>
      <c r="D403" s="89">
        <f>D400+0.83-0.18*2+18*16/1000*3.281</f>
        <v>9.74</v>
      </c>
      <c r="E403" s="89"/>
      <c r="F403" s="89"/>
      <c r="G403" s="89">
        <f>D403*C403</f>
        <v>29.22</v>
      </c>
      <c r="H403" s="89"/>
      <c r="I403" s="102"/>
      <c r="J403" s="268"/>
    </row>
    <row r="404" spans="1:10" ht="18" customHeight="1">
      <c r="A404" s="28"/>
      <c r="B404" s="30" t="s">
        <v>47</v>
      </c>
      <c r="C404" s="31">
        <f>ROUND(D400/39,0)*C403</f>
        <v>0</v>
      </c>
      <c r="D404" s="89">
        <f>40*16/1000*3.281</f>
        <v>2.1</v>
      </c>
      <c r="E404" s="89"/>
      <c r="F404" s="89"/>
      <c r="G404" s="89">
        <f>D404*C404</f>
        <v>0</v>
      </c>
      <c r="H404" s="89"/>
      <c r="I404" s="102"/>
      <c r="J404" s="268"/>
    </row>
    <row r="405" spans="1:10" ht="18" customHeight="1">
      <c r="A405" s="28"/>
      <c r="B405" s="30" t="s">
        <v>201</v>
      </c>
      <c r="C405" s="31">
        <f>C400*(D400/0.42+1)</f>
        <v>21</v>
      </c>
      <c r="D405" s="89">
        <f>(E400-0.25+F400-0.25)*2+24*10/1000*3.281</f>
        <v>3.11</v>
      </c>
      <c r="E405" s="89"/>
      <c r="F405" s="89"/>
      <c r="G405" s="89"/>
      <c r="H405" s="89">
        <f>C405*D405</f>
        <v>65.31</v>
      </c>
      <c r="I405" s="102"/>
      <c r="J405" s="268"/>
    </row>
    <row r="406" spans="1:10" ht="18" customHeight="1">
      <c r="A406" s="28"/>
      <c r="B406" s="96"/>
      <c r="C406" s="94"/>
      <c r="D406" s="91"/>
      <c r="E406" s="91"/>
      <c r="F406" s="91"/>
      <c r="G406" s="89"/>
      <c r="H406" s="89"/>
      <c r="I406" s="102"/>
      <c r="J406" s="268"/>
    </row>
    <row r="407" spans="1:10" ht="18" customHeight="1">
      <c r="A407" s="28"/>
      <c r="B407" s="96" t="str">
        <f>B250</f>
        <v>Line A &amp; B, 4-5, 6' 6" L</v>
      </c>
      <c r="C407" s="94">
        <f>C250</f>
        <v>2</v>
      </c>
      <c r="D407" s="91">
        <f>D250</f>
        <v>5.67</v>
      </c>
      <c r="E407" s="91">
        <f>E250</f>
        <v>0.83</v>
      </c>
      <c r="F407" s="91">
        <f>F250</f>
        <v>0.83</v>
      </c>
      <c r="G407" s="89"/>
      <c r="H407" s="89"/>
      <c r="I407" s="102"/>
      <c r="J407" s="268"/>
    </row>
    <row r="408" spans="1:10" ht="18" customHeight="1">
      <c r="A408" s="28"/>
      <c r="B408" s="30" t="s">
        <v>73</v>
      </c>
      <c r="C408" s="31">
        <f>C407*3</f>
        <v>6</v>
      </c>
      <c r="D408" s="89">
        <f>D407+(F407+0.83-0.17*2)*2</f>
        <v>8.31</v>
      </c>
      <c r="E408" s="89"/>
      <c r="F408" s="89"/>
      <c r="G408" s="89">
        <f>D408*C408</f>
        <v>49.86</v>
      </c>
      <c r="H408" s="89"/>
      <c r="I408" s="102"/>
      <c r="J408" s="268"/>
    </row>
    <row r="409" spans="1:10" ht="18" customHeight="1">
      <c r="A409" s="28"/>
      <c r="B409" s="30" t="s">
        <v>47</v>
      </c>
      <c r="C409" s="31">
        <f>ROUND(D407/39,0)*C408</f>
        <v>0</v>
      </c>
      <c r="D409" s="89">
        <f>40*16/1000*3.281</f>
        <v>2.1</v>
      </c>
      <c r="E409" s="89"/>
      <c r="F409" s="89"/>
      <c r="G409" s="89">
        <f>D409*C409</f>
        <v>0</v>
      </c>
      <c r="H409" s="89"/>
      <c r="I409" s="102"/>
      <c r="J409" s="268"/>
    </row>
    <row r="410" spans="1:10" ht="18" customHeight="1">
      <c r="A410" s="28"/>
      <c r="B410" s="30" t="s">
        <v>74</v>
      </c>
      <c r="C410" s="31">
        <f>C407*3</f>
        <v>6</v>
      </c>
      <c r="D410" s="89">
        <f>D407+0.83-0.18*2+18*16/1000*3.281</f>
        <v>7.08</v>
      </c>
      <c r="E410" s="89"/>
      <c r="F410" s="89"/>
      <c r="G410" s="89">
        <f>D410*C410</f>
        <v>42.48</v>
      </c>
      <c r="H410" s="89"/>
      <c r="I410" s="102"/>
      <c r="J410" s="268"/>
    </row>
    <row r="411" spans="1:10" ht="18" customHeight="1">
      <c r="A411" s="28"/>
      <c r="B411" s="30" t="s">
        <v>47</v>
      </c>
      <c r="C411" s="31">
        <f>ROUND(D407/39,0)*C410</f>
        <v>0</v>
      </c>
      <c r="D411" s="89">
        <f>40*16/1000*3.281</f>
        <v>2.1</v>
      </c>
      <c r="E411" s="89"/>
      <c r="F411" s="89"/>
      <c r="G411" s="89">
        <f>D411*C411</f>
        <v>0</v>
      </c>
      <c r="H411" s="89"/>
      <c r="I411" s="102"/>
      <c r="J411" s="268"/>
    </row>
    <row r="412" spans="1:10" ht="18" customHeight="1">
      <c r="A412" s="28"/>
      <c r="B412" s="30" t="s">
        <v>201</v>
      </c>
      <c r="C412" s="31">
        <f>C407*(D407/0.42+1)</f>
        <v>29</v>
      </c>
      <c r="D412" s="89">
        <f>(E407-0.25+F407-0.25)*2+24*10/1000*3.281</f>
        <v>3.11</v>
      </c>
      <c r="E412" s="89"/>
      <c r="F412" s="89"/>
      <c r="G412" s="89"/>
      <c r="H412" s="89">
        <f>C412*D412</f>
        <v>90.19</v>
      </c>
      <c r="I412" s="102"/>
      <c r="J412" s="268"/>
    </row>
    <row r="413" spans="1:10" ht="18" customHeight="1">
      <c r="A413" s="28"/>
      <c r="B413" s="96"/>
      <c r="C413" s="94"/>
      <c r="D413" s="91"/>
      <c r="E413" s="91"/>
      <c r="F413" s="91"/>
      <c r="G413" s="89"/>
      <c r="H413" s="89"/>
      <c r="I413" s="102"/>
      <c r="J413" s="268"/>
    </row>
    <row r="414" spans="1:10" ht="18" customHeight="1">
      <c r="A414" s="28"/>
      <c r="B414" s="96" t="str">
        <f>B251</f>
        <v xml:space="preserve">Line A', 15' 3" L </v>
      </c>
      <c r="C414" s="94">
        <f>C251</f>
        <v>1</v>
      </c>
      <c r="D414" s="91">
        <f>D251</f>
        <v>13.59</v>
      </c>
      <c r="E414" s="91">
        <f>E251</f>
        <v>0.83</v>
      </c>
      <c r="F414" s="91">
        <f>F251</f>
        <v>0.83</v>
      </c>
      <c r="G414" s="89"/>
      <c r="H414" s="89"/>
      <c r="I414" s="102"/>
      <c r="J414" s="268"/>
    </row>
    <row r="415" spans="1:10" ht="18" customHeight="1">
      <c r="A415" s="28"/>
      <c r="B415" s="30" t="s">
        <v>73</v>
      </c>
      <c r="C415" s="31">
        <f>C414*3</f>
        <v>3</v>
      </c>
      <c r="D415" s="89">
        <f>D414+(F414+0.83-0.17*2)*2</f>
        <v>16.23</v>
      </c>
      <c r="E415" s="89"/>
      <c r="F415" s="89"/>
      <c r="G415" s="89">
        <f>D415*C415</f>
        <v>48.69</v>
      </c>
      <c r="H415" s="89"/>
      <c r="I415" s="102"/>
      <c r="J415" s="268"/>
    </row>
    <row r="416" spans="1:10" ht="18" customHeight="1">
      <c r="A416" s="28"/>
      <c r="B416" s="30" t="s">
        <v>47</v>
      </c>
      <c r="C416" s="31">
        <f>ROUND(D414/39,0)*C415</f>
        <v>0</v>
      </c>
      <c r="D416" s="89">
        <f>40*16/1000*3.281</f>
        <v>2.1</v>
      </c>
      <c r="E416" s="89"/>
      <c r="F416" s="89"/>
      <c r="G416" s="89">
        <f>D416*C416</f>
        <v>0</v>
      </c>
      <c r="H416" s="89"/>
      <c r="I416" s="102"/>
      <c r="J416" s="268"/>
    </row>
    <row r="417" spans="1:10" ht="18" customHeight="1">
      <c r="A417" s="28"/>
      <c r="B417" s="30" t="s">
        <v>74</v>
      </c>
      <c r="C417" s="31">
        <f>C414*3</f>
        <v>3</v>
      </c>
      <c r="D417" s="89">
        <f>D414+0.83-0.18*2+18*16/1000*3.281</f>
        <v>15</v>
      </c>
      <c r="E417" s="89"/>
      <c r="F417" s="89"/>
      <c r="G417" s="89">
        <f>D417*C417</f>
        <v>45</v>
      </c>
      <c r="H417" s="89"/>
      <c r="I417" s="102"/>
      <c r="J417" s="268"/>
    </row>
    <row r="418" spans="1:10" ht="18" customHeight="1">
      <c r="A418" s="28"/>
      <c r="B418" s="30" t="s">
        <v>47</v>
      </c>
      <c r="C418" s="31">
        <f>ROUND(D414/39,0)*C417</f>
        <v>0</v>
      </c>
      <c r="D418" s="89">
        <f>40*16/1000*3.281</f>
        <v>2.1</v>
      </c>
      <c r="E418" s="89"/>
      <c r="F418" s="89"/>
      <c r="G418" s="89">
        <f>D418*C418</f>
        <v>0</v>
      </c>
      <c r="H418" s="89"/>
      <c r="I418" s="102"/>
      <c r="J418" s="268"/>
    </row>
    <row r="419" spans="1:10" ht="18" customHeight="1">
      <c r="A419" s="28"/>
      <c r="B419" s="30" t="s">
        <v>201</v>
      </c>
      <c r="C419" s="31">
        <f>C414*(D414/0.42+1)</f>
        <v>33</v>
      </c>
      <c r="D419" s="89">
        <f>(E414-0.25+F414-0.25)*2+24*10/1000*3.281</f>
        <v>3.11</v>
      </c>
      <c r="E419" s="89"/>
      <c r="F419" s="89"/>
      <c r="G419" s="89"/>
      <c r="H419" s="89">
        <f>C419*D419</f>
        <v>102.63</v>
      </c>
      <c r="I419" s="102"/>
      <c r="J419" s="268"/>
    </row>
    <row r="420" spans="1:10" ht="18" customHeight="1">
      <c r="A420" s="28"/>
      <c r="B420" s="96"/>
      <c r="C420" s="94"/>
      <c r="D420" s="91"/>
      <c r="E420" s="91"/>
      <c r="F420" s="91"/>
      <c r="G420" s="89"/>
      <c r="H420" s="89"/>
      <c r="I420" s="102"/>
      <c r="J420" s="268"/>
    </row>
    <row r="421" spans="1:10" ht="18" customHeight="1">
      <c r="A421" s="28"/>
      <c r="B421" s="96" t="str">
        <f>B252</f>
        <v xml:space="preserve">Line E, 6' 8" L </v>
      </c>
      <c r="C421" s="94">
        <f>C252</f>
        <v>1</v>
      </c>
      <c r="D421" s="91">
        <f>D252</f>
        <v>5.42</v>
      </c>
      <c r="E421" s="91">
        <f>E252</f>
        <v>0.83</v>
      </c>
      <c r="F421" s="91">
        <f>F252</f>
        <v>0.83</v>
      </c>
      <c r="G421" s="89"/>
      <c r="H421" s="89"/>
      <c r="I421" s="102"/>
      <c r="J421" s="268"/>
    </row>
    <row r="422" spans="1:10" ht="18" customHeight="1">
      <c r="A422" s="28"/>
      <c r="B422" s="30" t="s">
        <v>73</v>
      </c>
      <c r="C422" s="31">
        <f>C421*3</f>
        <v>3</v>
      </c>
      <c r="D422" s="89">
        <f>D421+(F421+0.83-0.17*2)*2</f>
        <v>8.06</v>
      </c>
      <c r="E422" s="89"/>
      <c r="F422" s="89"/>
      <c r="G422" s="89">
        <f>D422*C422</f>
        <v>24.18</v>
      </c>
      <c r="H422" s="89"/>
      <c r="I422" s="102"/>
      <c r="J422" s="268"/>
    </row>
    <row r="423" spans="1:10" ht="18" customHeight="1">
      <c r="A423" s="28"/>
      <c r="B423" s="30" t="s">
        <v>47</v>
      </c>
      <c r="C423" s="31">
        <f>ROUND(D421/39,0)*C422</f>
        <v>0</v>
      </c>
      <c r="D423" s="89">
        <f>40*16/1000*3.281</f>
        <v>2.1</v>
      </c>
      <c r="E423" s="89"/>
      <c r="F423" s="89"/>
      <c r="G423" s="89">
        <f>D423*C423</f>
        <v>0</v>
      </c>
      <c r="H423" s="89"/>
      <c r="I423" s="102"/>
      <c r="J423" s="268"/>
    </row>
    <row r="424" spans="1:10" ht="18" customHeight="1">
      <c r="A424" s="28"/>
      <c r="B424" s="30" t="s">
        <v>74</v>
      </c>
      <c r="C424" s="31">
        <f>C421*3</f>
        <v>3</v>
      </c>
      <c r="D424" s="89">
        <f>D421+0.83-0.18*2+18*16/1000*3.281</f>
        <v>6.83</v>
      </c>
      <c r="E424" s="89"/>
      <c r="F424" s="89"/>
      <c r="G424" s="89">
        <f>D424*C424</f>
        <v>20.49</v>
      </c>
      <c r="H424" s="89"/>
      <c r="I424" s="102"/>
      <c r="J424" s="268"/>
    </row>
    <row r="425" spans="1:10" ht="18" customHeight="1">
      <c r="A425" s="28"/>
      <c r="B425" s="30" t="s">
        <v>47</v>
      </c>
      <c r="C425" s="31">
        <f>ROUND(D421/39,0)*C424</f>
        <v>0</v>
      </c>
      <c r="D425" s="89">
        <f>40*16/1000*3.281</f>
        <v>2.1</v>
      </c>
      <c r="E425" s="89"/>
      <c r="F425" s="89"/>
      <c r="G425" s="89">
        <f>D425*C425</f>
        <v>0</v>
      </c>
      <c r="H425" s="89"/>
      <c r="I425" s="102"/>
      <c r="J425" s="268"/>
    </row>
    <row r="426" spans="1:10" ht="18" customHeight="1">
      <c r="A426" s="28"/>
      <c r="B426" s="30" t="s">
        <v>201</v>
      </c>
      <c r="C426" s="31">
        <f>C421*(D421/0.42+1)</f>
        <v>14</v>
      </c>
      <c r="D426" s="89">
        <f>(E421-0.25+F421-0.25)*2+24*10/1000*3.281</f>
        <v>3.11</v>
      </c>
      <c r="E426" s="89"/>
      <c r="F426" s="89"/>
      <c r="G426" s="89"/>
      <c r="H426" s="89">
        <f>C426*D426</f>
        <v>43.54</v>
      </c>
      <c r="I426" s="102"/>
      <c r="J426" s="268"/>
    </row>
    <row r="427" spans="1:10" ht="18" customHeight="1">
      <c r="A427" s="28"/>
      <c r="B427" s="96"/>
      <c r="C427" s="94"/>
      <c r="D427" s="91"/>
      <c r="E427" s="91"/>
      <c r="F427" s="91"/>
      <c r="G427" s="89"/>
      <c r="H427" s="89"/>
      <c r="I427" s="102"/>
      <c r="J427" s="268"/>
    </row>
    <row r="428" spans="1:10" ht="18" customHeight="1">
      <c r="A428" s="28"/>
      <c r="B428" s="96" t="str">
        <f>B253</f>
        <v xml:space="preserve">Y-Dir Line, Bet; 2&amp;3  </v>
      </c>
      <c r="C428" s="94">
        <f>C253</f>
        <v>3</v>
      </c>
      <c r="D428" s="91">
        <f>D253</f>
        <v>4.5</v>
      </c>
      <c r="E428" s="91">
        <f>E253</f>
        <v>0.83</v>
      </c>
      <c r="F428" s="91">
        <f>F253</f>
        <v>0.83</v>
      </c>
      <c r="G428" s="89"/>
      <c r="H428" s="89"/>
      <c r="I428" s="102"/>
      <c r="J428" s="268"/>
    </row>
    <row r="429" spans="1:10" ht="18" customHeight="1">
      <c r="A429" s="28"/>
      <c r="B429" s="30" t="s">
        <v>73</v>
      </c>
      <c r="C429" s="31">
        <f>C428*3</f>
        <v>9</v>
      </c>
      <c r="D429" s="89">
        <f>D428+(F428+0.83-0.17*2)*2</f>
        <v>7.14</v>
      </c>
      <c r="E429" s="89"/>
      <c r="F429" s="89"/>
      <c r="G429" s="89">
        <f>D429*C429</f>
        <v>64.260000000000005</v>
      </c>
      <c r="H429" s="89"/>
      <c r="I429" s="102"/>
      <c r="J429" s="268"/>
    </row>
    <row r="430" spans="1:10" ht="18" customHeight="1">
      <c r="A430" s="28"/>
      <c r="B430" s="30" t="s">
        <v>47</v>
      </c>
      <c r="C430" s="31">
        <f>ROUND(D428/39,0)*C429</f>
        <v>0</v>
      </c>
      <c r="D430" s="89">
        <f>40*16/1000*3.281</f>
        <v>2.1</v>
      </c>
      <c r="E430" s="89"/>
      <c r="F430" s="89"/>
      <c r="G430" s="89">
        <f>D430*C430</f>
        <v>0</v>
      </c>
      <c r="H430" s="89"/>
      <c r="I430" s="102"/>
      <c r="J430" s="268"/>
    </row>
    <row r="431" spans="1:10" ht="18" customHeight="1">
      <c r="A431" s="28"/>
      <c r="B431" s="30" t="s">
        <v>74</v>
      </c>
      <c r="C431" s="31">
        <f>C428*3</f>
        <v>9</v>
      </c>
      <c r="D431" s="89">
        <f>D428+0.83-0.18*2+18*16/1000*3.281</f>
        <v>5.91</v>
      </c>
      <c r="E431" s="89"/>
      <c r="F431" s="89"/>
      <c r="G431" s="89">
        <f>D431*C431</f>
        <v>53.19</v>
      </c>
      <c r="H431" s="89"/>
      <c r="I431" s="102"/>
      <c r="J431" s="268"/>
    </row>
    <row r="432" spans="1:10" ht="18" customHeight="1">
      <c r="A432" s="28"/>
      <c r="B432" s="30" t="s">
        <v>47</v>
      </c>
      <c r="C432" s="31">
        <f>ROUND(D428/39,0)*C431</f>
        <v>0</v>
      </c>
      <c r="D432" s="89">
        <f>40*16/1000*3.281</f>
        <v>2.1</v>
      </c>
      <c r="E432" s="89"/>
      <c r="F432" s="89"/>
      <c r="G432" s="89">
        <f>D432*C432</f>
        <v>0</v>
      </c>
      <c r="H432" s="89"/>
      <c r="I432" s="102"/>
      <c r="J432" s="268"/>
    </row>
    <row r="433" spans="1:10" ht="18" customHeight="1">
      <c r="A433" s="28"/>
      <c r="B433" s="30" t="s">
        <v>201</v>
      </c>
      <c r="C433" s="31">
        <f>C428*(D428/0.42+1)</f>
        <v>35</v>
      </c>
      <c r="D433" s="89">
        <f>(E428-0.25+F428-0.25)*2+24*10/1000*3.281</f>
        <v>3.11</v>
      </c>
      <c r="E433" s="89"/>
      <c r="F433" s="89"/>
      <c r="G433" s="89"/>
      <c r="H433" s="89">
        <f>C433*D433</f>
        <v>108.85</v>
      </c>
      <c r="I433" s="102"/>
      <c r="J433" s="268"/>
    </row>
    <row r="434" spans="1:10" ht="18" customHeight="1">
      <c r="A434" s="28"/>
      <c r="B434" s="96"/>
      <c r="C434" s="94"/>
      <c r="D434" s="91"/>
      <c r="E434" s="91"/>
      <c r="F434" s="91"/>
      <c r="G434" s="89"/>
      <c r="H434" s="89"/>
      <c r="I434" s="102"/>
      <c r="J434" s="268"/>
    </row>
    <row r="435" spans="1:10" ht="18" customHeight="1">
      <c r="A435" s="28"/>
      <c r="B435" s="96" t="str">
        <f>B254</f>
        <v>Y-Dir Line, (2'~2)</v>
      </c>
      <c r="C435" s="94">
        <f>C254</f>
        <v>3</v>
      </c>
      <c r="D435" s="91">
        <f>D254</f>
        <v>5.5</v>
      </c>
      <c r="E435" s="91">
        <f>E254</f>
        <v>0.83</v>
      </c>
      <c r="F435" s="91">
        <f>F254</f>
        <v>0.83</v>
      </c>
      <c r="G435" s="89"/>
      <c r="H435" s="89"/>
      <c r="I435" s="102"/>
      <c r="J435" s="268"/>
    </row>
    <row r="436" spans="1:10" ht="18" customHeight="1">
      <c r="A436" s="28"/>
      <c r="B436" s="30" t="s">
        <v>73</v>
      </c>
      <c r="C436" s="31">
        <f>C435*3</f>
        <v>9</v>
      </c>
      <c r="D436" s="89">
        <f>D435+(F435+0.83-0.17*2)*2</f>
        <v>8.14</v>
      </c>
      <c r="E436" s="89"/>
      <c r="F436" s="89"/>
      <c r="G436" s="89">
        <f>D436*C436</f>
        <v>73.260000000000005</v>
      </c>
      <c r="H436" s="89"/>
      <c r="I436" s="102"/>
      <c r="J436" s="268"/>
    </row>
    <row r="437" spans="1:10" ht="18" customHeight="1">
      <c r="A437" s="28"/>
      <c r="B437" s="30" t="s">
        <v>47</v>
      </c>
      <c r="C437" s="31">
        <f>ROUND(D435/39,0)*C436</f>
        <v>0</v>
      </c>
      <c r="D437" s="89">
        <f>40*16/1000*3.281</f>
        <v>2.1</v>
      </c>
      <c r="E437" s="89"/>
      <c r="F437" s="89"/>
      <c r="G437" s="89">
        <f>D437*C437</f>
        <v>0</v>
      </c>
      <c r="H437" s="89"/>
      <c r="I437" s="102"/>
      <c r="J437" s="268"/>
    </row>
    <row r="438" spans="1:10" ht="18" customHeight="1">
      <c r="A438" s="28"/>
      <c r="B438" s="30" t="s">
        <v>74</v>
      </c>
      <c r="C438" s="31">
        <f>C435*3</f>
        <v>9</v>
      </c>
      <c r="D438" s="89">
        <f>D435+0.83-0.18*2+18*16/1000*3.281</f>
        <v>6.91</v>
      </c>
      <c r="E438" s="89"/>
      <c r="F438" s="89"/>
      <c r="G438" s="89">
        <f>D438*C438</f>
        <v>62.19</v>
      </c>
      <c r="H438" s="89"/>
      <c r="I438" s="102"/>
      <c r="J438" s="268"/>
    </row>
    <row r="439" spans="1:10" ht="18" customHeight="1">
      <c r="A439" s="28"/>
      <c r="B439" s="30" t="s">
        <v>47</v>
      </c>
      <c r="C439" s="31">
        <f>ROUND(D435/39,0)*C438</f>
        <v>0</v>
      </c>
      <c r="D439" s="89">
        <f>40*16/1000*3.281</f>
        <v>2.1</v>
      </c>
      <c r="E439" s="89"/>
      <c r="F439" s="89"/>
      <c r="G439" s="89">
        <f>D439*C439</f>
        <v>0</v>
      </c>
      <c r="H439" s="89"/>
      <c r="I439" s="102"/>
      <c r="J439" s="268"/>
    </row>
    <row r="440" spans="1:10" ht="18" customHeight="1">
      <c r="A440" s="28"/>
      <c r="B440" s="30" t="s">
        <v>201</v>
      </c>
      <c r="C440" s="31">
        <f>C435*(D435/0.42+1)</f>
        <v>42</v>
      </c>
      <c r="D440" s="89">
        <f>(E435-0.25+F435-0.25)*2+24*10/1000*3.281</f>
        <v>3.11</v>
      </c>
      <c r="E440" s="89"/>
      <c r="F440" s="89"/>
      <c r="G440" s="89"/>
      <c r="H440" s="89">
        <f>C440*D440</f>
        <v>130.62</v>
      </c>
      <c r="I440" s="102"/>
      <c r="J440" s="268"/>
    </row>
    <row r="441" spans="1:10" ht="18" customHeight="1">
      <c r="A441" s="28"/>
      <c r="B441" s="96"/>
      <c r="C441" s="94"/>
      <c r="D441" s="91"/>
      <c r="E441" s="91"/>
      <c r="F441" s="91"/>
      <c r="G441" s="89"/>
      <c r="H441" s="89"/>
      <c r="I441" s="102"/>
      <c r="J441" s="268"/>
    </row>
    <row r="442" spans="1:10" ht="18" customHeight="1">
      <c r="A442" s="28"/>
      <c r="B442" s="96" t="str">
        <f>B255</f>
        <v>Y-Dir Line, (1'-2')</v>
      </c>
      <c r="C442" s="94">
        <f>C255</f>
        <v>1</v>
      </c>
      <c r="D442" s="91">
        <f>D255</f>
        <v>10.26</v>
      </c>
      <c r="E442" s="91">
        <f>E255</f>
        <v>0.83</v>
      </c>
      <c r="F442" s="91">
        <f>F255</f>
        <v>0.83</v>
      </c>
      <c r="G442" s="89"/>
      <c r="H442" s="89"/>
      <c r="I442" s="102"/>
      <c r="J442" s="268"/>
    </row>
    <row r="443" spans="1:10" ht="18" customHeight="1">
      <c r="A443" s="28"/>
      <c r="B443" s="30" t="s">
        <v>73</v>
      </c>
      <c r="C443" s="31">
        <f>C442*3</f>
        <v>3</v>
      </c>
      <c r="D443" s="89">
        <f>D442+(F442+0.83-0.17*2)*2</f>
        <v>12.9</v>
      </c>
      <c r="E443" s="89"/>
      <c r="F443" s="89"/>
      <c r="G443" s="89">
        <f>D443*C443</f>
        <v>38.700000000000003</v>
      </c>
      <c r="H443" s="89"/>
      <c r="I443" s="102"/>
      <c r="J443" s="268"/>
    </row>
    <row r="444" spans="1:10" ht="18" customHeight="1">
      <c r="A444" s="28"/>
      <c r="B444" s="30" t="s">
        <v>47</v>
      </c>
      <c r="C444" s="31">
        <f>ROUND(D442/39,0)*C443</f>
        <v>0</v>
      </c>
      <c r="D444" s="89">
        <f>40*16/1000*3.281</f>
        <v>2.1</v>
      </c>
      <c r="E444" s="89"/>
      <c r="F444" s="89"/>
      <c r="G444" s="89">
        <f>D444*C444</f>
        <v>0</v>
      </c>
      <c r="H444" s="89"/>
      <c r="I444" s="102"/>
      <c r="J444" s="268"/>
    </row>
    <row r="445" spans="1:10" ht="18" customHeight="1">
      <c r="A445" s="28"/>
      <c r="B445" s="30" t="s">
        <v>74</v>
      </c>
      <c r="C445" s="31">
        <f>C442*3</f>
        <v>3</v>
      </c>
      <c r="D445" s="89">
        <f>D442+0.83-0.18*2+18*16/1000*3.281</f>
        <v>11.67</v>
      </c>
      <c r="E445" s="89"/>
      <c r="F445" s="89"/>
      <c r="G445" s="89">
        <f>D445*C445</f>
        <v>35.01</v>
      </c>
      <c r="H445" s="89"/>
      <c r="I445" s="102"/>
      <c r="J445" s="268"/>
    </row>
    <row r="446" spans="1:10" ht="18" customHeight="1">
      <c r="A446" s="28"/>
      <c r="B446" s="30" t="s">
        <v>47</v>
      </c>
      <c r="C446" s="31">
        <f>ROUND(D442/39,0)*C445</f>
        <v>0</v>
      </c>
      <c r="D446" s="89">
        <f>40*16/1000*3.281</f>
        <v>2.1</v>
      </c>
      <c r="E446" s="89"/>
      <c r="F446" s="89"/>
      <c r="G446" s="89">
        <f>D446*C446</f>
        <v>0</v>
      </c>
      <c r="H446" s="89"/>
      <c r="I446" s="102"/>
      <c r="J446" s="268"/>
    </row>
    <row r="447" spans="1:10" ht="18" customHeight="1">
      <c r="A447" s="28"/>
      <c r="B447" s="30" t="s">
        <v>201</v>
      </c>
      <c r="C447" s="31">
        <f>C442*(D442/0.42+1)</f>
        <v>25</v>
      </c>
      <c r="D447" s="89">
        <f>(E442-0.25+F442-0.25)*2+24*10/1000*3.281</f>
        <v>3.11</v>
      </c>
      <c r="E447" s="89"/>
      <c r="F447" s="89"/>
      <c r="G447" s="89"/>
      <c r="H447" s="89">
        <f>C447*D447</f>
        <v>77.75</v>
      </c>
      <c r="I447" s="102"/>
      <c r="J447" s="268"/>
    </row>
    <row r="448" spans="1:10" ht="18" customHeight="1">
      <c r="A448" s="28"/>
      <c r="B448" s="96"/>
      <c r="C448" s="94"/>
      <c r="D448" s="91"/>
      <c r="E448" s="91"/>
      <c r="F448" s="91"/>
      <c r="G448" s="89"/>
      <c r="H448" s="89"/>
      <c r="I448" s="102"/>
      <c r="J448" s="268"/>
    </row>
    <row r="449" spans="1:10" ht="18" customHeight="1">
      <c r="A449" s="28"/>
      <c r="B449" s="96" t="str">
        <f>B256</f>
        <v>Y-Dir Line, (1'~1)</v>
      </c>
      <c r="C449" s="94">
        <f>C256</f>
        <v>2</v>
      </c>
      <c r="D449" s="91">
        <f>D256</f>
        <v>4.84</v>
      </c>
      <c r="E449" s="91">
        <f>E256</f>
        <v>0.83</v>
      </c>
      <c r="F449" s="91">
        <f>F256</f>
        <v>0.83</v>
      </c>
      <c r="G449" s="89"/>
      <c r="H449" s="89"/>
      <c r="I449" s="102"/>
      <c r="J449" s="268"/>
    </row>
    <row r="450" spans="1:10" ht="18" customHeight="1">
      <c r="A450" s="28"/>
      <c r="B450" s="30" t="s">
        <v>73</v>
      </c>
      <c r="C450" s="31">
        <f>C449*3</f>
        <v>6</v>
      </c>
      <c r="D450" s="89">
        <f>D449+(F449+0.83-0.17*2)*2</f>
        <v>7.48</v>
      </c>
      <c r="E450" s="89"/>
      <c r="F450" s="89"/>
      <c r="G450" s="89">
        <f>D450*C450</f>
        <v>44.88</v>
      </c>
      <c r="H450" s="89"/>
      <c r="I450" s="102"/>
      <c r="J450" s="268"/>
    </row>
    <row r="451" spans="1:10" ht="18" customHeight="1">
      <c r="A451" s="28"/>
      <c r="B451" s="30" t="s">
        <v>47</v>
      </c>
      <c r="C451" s="31">
        <f>ROUND(D449/39,0)*C450</f>
        <v>0</v>
      </c>
      <c r="D451" s="89">
        <f>40*16/1000*3.281</f>
        <v>2.1</v>
      </c>
      <c r="E451" s="89"/>
      <c r="F451" s="89"/>
      <c r="G451" s="89">
        <f>D451*C451</f>
        <v>0</v>
      </c>
      <c r="H451" s="89"/>
      <c r="I451" s="102"/>
      <c r="J451" s="268"/>
    </row>
    <row r="452" spans="1:10" ht="18" customHeight="1">
      <c r="A452" s="28"/>
      <c r="B452" s="30" t="s">
        <v>74</v>
      </c>
      <c r="C452" s="31">
        <f>C449*3</f>
        <v>6</v>
      </c>
      <c r="D452" s="89">
        <f>D449+0.83-0.18*2+18*16/1000*3.281</f>
        <v>6.25</v>
      </c>
      <c r="E452" s="89"/>
      <c r="F452" s="89"/>
      <c r="G452" s="89">
        <f>D452*C452</f>
        <v>37.5</v>
      </c>
      <c r="H452" s="89"/>
      <c r="I452" s="102"/>
      <c r="J452" s="268"/>
    </row>
    <row r="453" spans="1:10" ht="18" customHeight="1">
      <c r="A453" s="28"/>
      <c r="B453" s="30" t="s">
        <v>47</v>
      </c>
      <c r="C453" s="31">
        <f>ROUND(D449/39,0)*C452</f>
        <v>0</v>
      </c>
      <c r="D453" s="89">
        <f>40*16/1000*3.281</f>
        <v>2.1</v>
      </c>
      <c r="E453" s="89"/>
      <c r="F453" s="89"/>
      <c r="G453" s="89">
        <f>D453*C453</f>
        <v>0</v>
      </c>
      <c r="H453" s="89"/>
      <c r="I453" s="102"/>
      <c r="J453" s="268"/>
    </row>
    <row r="454" spans="1:10" ht="18" customHeight="1">
      <c r="A454" s="28"/>
      <c r="B454" s="30" t="s">
        <v>201</v>
      </c>
      <c r="C454" s="31">
        <f>C449*(D449/0.42+1)</f>
        <v>25</v>
      </c>
      <c r="D454" s="89">
        <f>(E449-0.25+F449-0.25)*2+24*10/1000*3.281</f>
        <v>3.11</v>
      </c>
      <c r="E454" s="89"/>
      <c r="F454" s="89"/>
      <c r="G454" s="89"/>
      <c r="H454" s="89">
        <f>C454*D454</f>
        <v>77.75</v>
      </c>
      <c r="I454" s="102"/>
      <c r="J454" s="268"/>
    </row>
    <row r="455" spans="1:10" ht="18" customHeight="1">
      <c r="A455" s="28"/>
      <c r="B455" s="96"/>
      <c r="C455" s="94"/>
      <c r="D455" s="91"/>
      <c r="E455" s="91"/>
      <c r="F455" s="91"/>
      <c r="G455" s="89"/>
      <c r="H455" s="89"/>
      <c r="I455" s="102"/>
      <c r="J455" s="268"/>
    </row>
    <row r="456" spans="1:10" ht="18" customHeight="1">
      <c r="A456" s="28"/>
      <c r="B456" s="97" t="str">
        <f>B258</f>
        <v>RB2 (10" x 12")</v>
      </c>
      <c r="C456" s="94"/>
      <c r="D456" s="91"/>
      <c r="E456" s="91"/>
      <c r="F456" s="91"/>
      <c r="G456" s="89"/>
      <c r="H456" s="89"/>
      <c r="I456" s="102"/>
      <c r="J456" s="268"/>
    </row>
    <row r="457" spans="1:10" ht="18" customHeight="1">
      <c r="A457" s="28"/>
      <c r="B457" s="96" t="str">
        <f>B259</f>
        <v xml:space="preserve">Line A,B,C&amp;D, (1-4), 35' 8" L </v>
      </c>
      <c r="C457" s="94">
        <f>C259</f>
        <v>4</v>
      </c>
      <c r="D457" s="91">
        <f>D259</f>
        <v>33.18</v>
      </c>
      <c r="E457" s="91">
        <f>E259</f>
        <v>0.83</v>
      </c>
      <c r="F457" s="91">
        <f>F259</f>
        <v>1</v>
      </c>
      <c r="G457" s="89"/>
      <c r="H457" s="89"/>
      <c r="I457" s="102"/>
      <c r="J457" s="268"/>
    </row>
    <row r="458" spans="1:10" ht="18" customHeight="1">
      <c r="A458" s="28"/>
      <c r="B458" s="30" t="s">
        <v>73</v>
      </c>
      <c r="C458" s="31">
        <f>C457*3</f>
        <v>12</v>
      </c>
      <c r="D458" s="89">
        <f>D457+(F457+0.83-0.17*2)*2</f>
        <v>36.159999999999997</v>
      </c>
      <c r="E458" s="89"/>
      <c r="F458" s="89"/>
      <c r="G458" s="89">
        <f>D458*C458</f>
        <v>433.92</v>
      </c>
      <c r="H458" s="89"/>
      <c r="I458" s="102"/>
      <c r="J458" s="268"/>
    </row>
    <row r="459" spans="1:10" ht="18" customHeight="1">
      <c r="A459" s="28"/>
      <c r="B459" s="30" t="s">
        <v>47</v>
      </c>
      <c r="C459" s="31">
        <f>ROUND(D457/39,0)*C458</f>
        <v>12</v>
      </c>
      <c r="D459" s="89">
        <f>40*16/1000*3.281</f>
        <v>2.1</v>
      </c>
      <c r="E459" s="89"/>
      <c r="F459" s="89"/>
      <c r="G459" s="89">
        <f>D459*C459</f>
        <v>25.2</v>
      </c>
      <c r="H459" s="89"/>
      <c r="I459" s="102"/>
      <c r="J459" s="268"/>
    </row>
    <row r="460" spans="1:10" ht="18" customHeight="1">
      <c r="A460" s="28"/>
      <c r="B460" s="30" t="s">
        <v>74</v>
      </c>
      <c r="C460" s="31">
        <f>C457*3</f>
        <v>12</v>
      </c>
      <c r="D460" s="89">
        <f>D457+0.83-0.18*2+18*16/1000*3.281</f>
        <v>34.590000000000003</v>
      </c>
      <c r="E460" s="89"/>
      <c r="F460" s="89"/>
      <c r="G460" s="89">
        <f>D460*C460</f>
        <v>415.08</v>
      </c>
      <c r="H460" s="89"/>
      <c r="I460" s="102"/>
      <c r="J460" s="268"/>
    </row>
    <row r="461" spans="1:10" ht="18" customHeight="1">
      <c r="A461" s="28"/>
      <c r="B461" s="30" t="s">
        <v>47</v>
      </c>
      <c r="C461" s="31">
        <f>ROUND(D457/39,0)*C460</f>
        <v>12</v>
      </c>
      <c r="D461" s="89">
        <f>40*16/1000*3.281</f>
        <v>2.1</v>
      </c>
      <c r="E461" s="89"/>
      <c r="F461" s="89"/>
      <c r="G461" s="89">
        <f>D461*C461</f>
        <v>25.2</v>
      </c>
      <c r="H461" s="89"/>
      <c r="I461" s="102"/>
      <c r="J461" s="268"/>
    </row>
    <row r="462" spans="1:10" ht="18" customHeight="1">
      <c r="A462" s="28"/>
      <c r="B462" s="30" t="s">
        <v>201</v>
      </c>
      <c r="C462" s="31">
        <f>C457*(D457/0.42+1)</f>
        <v>320</v>
      </c>
      <c r="D462" s="89">
        <f>(E457-0.25+F457-0.25)*2+24*10/1000*3.281</f>
        <v>3.45</v>
      </c>
      <c r="E462" s="89"/>
      <c r="F462" s="89"/>
      <c r="G462" s="89"/>
      <c r="H462" s="89">
        <f>C462*D462</f>
        <v>1104</v>
      </c>
      <c r="I462" s="102"/>
      <c r="J462" s="268"/>
    </row>
    <row r="463" spans="1:10" ht="18" customHeight="1">
      <c r="A463" s="28"/>
      <c r="B463" s="96"/>
      <c r="C463" s="94"/>
      <c r="D463" s="91"/>
      <c r="E463" s="91"/>
      <c r="F463" s="91"/>
      <c r="G463" s="89"/>
      <c r="H463" s="89"/>
      <c r="I463" s="102"/>
      <c r="J463" s="268"/>
    </row>
    <row r="464" spans="1:10" ht="18" customHeight="1">
      <c r="A464" s="28"/>
      <c r="B464" s="96" t="str">
        <f>B260</f>
        <v xml:space="preserve">Line E, (1-3), 23' L </v>
      </c>
      <c r="C464" s="94">
        <f>C260</f>
        <v>1</v>
      </c>
      <c r="D464" s="91">
        <f>D260</f>
        <v>21.42</v>
      </c>
      <c r="E464" s="91">
        <f>E260</f>
        <v>0.83</v>
      </c>
      <c r="F464" s="91">
        <f>F260</f>
        <v>1</v>
      </c>
      <c r="G464" s="89"/>
      <c r="H464" s="89"/>
      <c r="I464" s="102"/>
      <c r="J464" s="268"/>
    </row>
    <row r="465" spans="1:10" ht="18" customHeight="1">
      <c r="A465" s="28"/>
      <c r="B465" s="30" t="s">
        <v>73</v>
      </c>
      <c r="C465" s="31">
        <f>C464*3</f>
        <v>3</v>
      </c>
      <c r="D465" s="89">
        <f>D464+(F464+0.83-0.17*2)*2</f>
        <v>24.4</v>
      </c>
      <c r="E465" s="89"/>
      <c r="F465" s="89"/>
      <c r="G465" s="89">
        <f>D465*C465</f>
        <v>73.2</v>
      </c>
      <c r="H465" s="89"/>
      <c r="I465" s="102"/>
      <c r="J465" s="268"/>
    </row>
    <row r="466" spans="1:10" ht="18" customHeight="1">
      <c r="A466" s="28"/>
      <c r="B466" s="30" t="s">
        <v>47</v>
      </c>
      <c r="C466" s="31">
        <f>ROUND(D464/39,0)*C465</f>
        <v>3</v>
      </c>
      <c r="D466" s="89">
        <f>40*16/1000*3.281</f>
        <v>2.1</v>
      </c>
      <c r="E466" s="89"/>
      <c r="F466" s="89"/>
      <c r="G466" s="89">
        <f>D466*C466</f>
        <v>6.3</v>
      </c>
      <c r="H466" s="89"/>
      <c r="I466" s="102"/>
      <c r="J466" s="268"/>
    </row>
    <row r="467" spans="1:10" ht="18" customHeight="1">
      <c r="A467" s="28"/>
      <c r="B467" s="30" t="s">
        <v>74</v>
      </c>
      <c r="C467" s="31">
        <f>C464*3</f>
        <v>3</v>
      </c>
      <c r="D467" s="89">
        <f>D464+0.83-0.18*2+18*16/1000*3.281</f>
        <v>22.83</v>
      </c>
      <c r="E467" s="89"/>
      <c r="F467" s="89"/>
      <c r="G467" s="89">
        <f>D467*C467</f>
        <v>68.489999999999995</v>
      </c>
      <c r="H467" s="89"/>
      <c r="I467" s="102"/>
      <c r="J467" s="268"/>
    </row>
    <row r="468" spans="1:10" ht="18" customHeight="1">
      <c r="A468" s="28"/>
      <c r="B468" s="30" t="s">
        <v>47</v>
      </c>
      <c r="C468" s="31">
        <f>ROUND(D464/39,0)*C467</f>
        <v>3</v>
      </c>
      <c r="D468" s="89">
        <f>40*16/1000*3.281</f>
        <v>2.1</v>
      </c>
      <c r="E468" s="89"/>
      <c r="F468" s="89"/>
      <c r="G468" s="89">
        <f>D468*C468</f>
        <v>6.3</v>
      </c>
      <c r="H468" s="89"/>
      <c r="I468" s="102"/>
      <c r="J468" s="268"/>
    </row>
    <row r="469" spans="1:10" ht="18" customHeight="1">
      <c r="A469" s="28"/>
      <c r="B469" s="30" t="s">
        <v>201</v>
      </c>
      <c r="C469" s="31">
        <f>C464*(D464/0.42+1)</f>
        <v>52</v>
      </c>
      <c r="D469" s="89">
        <f>(E464-0.25+F464-0.25)*2+24*10/1000*3.281</f>
        <v>3.45</v>
      </c>
      <c r="E469" s="89"/>
      <c r="F469" s="89"/>
      <c r="G469" s="89"/>
      <c r="H469" s="89">
        <f>C469*D469</f>
        <v>179.4</v>
      </c>
      <c r="I469" s="102"/>
      <c r="J469" s="268"/>
    </row>
    <row r="470" spans="1:10" ht="18" customHeight="1">
      <c r="A470" s="28"/>
      <c r="B470" s="96"/>
      <c r="C470" s="94"/>
      <c r="D470" s="91"/>
      <c r="E470" s="91"/>
      <c r="F470" s="91"/>
      <c r="G470" s="89"/>
      <c r="H470" s="89"/>
      <c r="I470" s="102"/>
      <c r="J470" s="268"/>
    </row>
    <row r="471" spans="1:10" ht="18" customHeight="1">
      <c r="A471" s="28"/>
      <c r="B471" s="96" t="str">
        <f>B261</f>
        <v>X-Dir Line (B-D), 27' L</v>
      </c>
      <c r="C471" s="94">
        <f>C261</f>
        <v>7</v>
      </c>
      <c r="D471" s="91">
        <f>D261</f>
        <v>25.34</v>
      </c>
      <c r="E471" s="91">
        <f>E261</f>
        <v>0.83</v>
      </c>
      <c r="F471" s="91">
        <f>F261</f>
        <v>1</v>
      </c>
      <c r="G471" s="89"/>
      <c r="H471" s="89"/>
      <c r="I471" s="102"/>
      <c r="J471" s="268"/>
    </row>
    <row r="472" spans="1:10" ht="18" customHeight="1">
      <c r="A472" s="28"/>
      <c r="B472" s="30" t="s">
        <v>73</v>
      </c>
      <c r="C472" s="31">
        <f>C471*3</f>
        <v>21</v>
      </c>
      <c r="D472" s="89">
        <f>D471+(F471+0.83-0.17*2)*2</f>
        <v>28.32</v>
      </c>
      <c r="E472" s="89"/>
      <c r="F472" s="89"/>
      <c r="G472" s="89">
        <f>D472*C472</f>
        <v>594.72</v>
      </c>
      <c r="H472" s="89"/>
      <c r="I472" s="102"/>
      <c r="J472" s="268"/>
    </row>
    <row r="473" spans="1:10" ht="18" customHeight="1">
      <c r="A473" s="28"/>
      <c r="B473" s="30" t="s">
        <v>47</v>
      </c>
      <c r="C473" s="31">
        <f>ROUND(D471/39,0)*C472</f>
        <v>21</v>
      </c>
      <c r="D473" s="89">
        <f>40*16/1000*3.281</f>
        <v>2.1</v>
      </c>
      <c r="E473" s="89"/>
      <c r="F473" s="89"/>
      <c r="G473" s="89">
        <f>D473*C473</f>
        <v>44.1</v>
      </c>
      <c r="H473" s="89"/>
      <c r="I473" s="102"/>
      <c r="J473" s="268"/>
    </row>
    <row r="474" spans="1:10" ht="18" customHeight="1">
      <c r="A474" s="28"/>
      <c r="B474" s="30" t="s">
        <v>74</v>
      </c>
      <c r="C474" s="31">
        <f>C471*3</f>
        <v>21</v>
      </c>
      <c r="D474" s="89">
        <f>D471+0.83-0.18*2+18*16/1000*3.281</f>
        <v>26.75</v>
      </c>
      <c r="E474" s="89"/>
      <c r="F474" s="89"/>
      <c r="G474" s="89">
        <f>D474*C474</f>
        <v>561.75</v>
      </c>
      <c r="H474" s="89"/>
      <c r="I474" s="102"/>
      <c r="J474" s="268"/>
    </row>
    <row r="475" spans="1:10" ht="18" customHeight="1">
      <c r="A475" s="28"/>
      <c r="B475" s="30" t="s">
        <v>47</v>
      </c>
      <c r="C475" s="31">
        <f>ROUND(D471/39,0)*C474</f>
        <v>21</v>
      </c>
      <c r="D475" s="89">
        <f>40*16/1000*3.281</f>
        <v>2.1</v>
      </c>
      <c r="E475" s="89"/>
      <c r="F475" s="89"/>
      <c r="G475" s="89">
        <f>D475*C475</f>
        <v>44.1</v>
      </c>
      <c r="H475" s="89"/>
      <c r="I475" s="102"/>
      <c r="J475" s="268"/>
    </row>
    <row r="476" spans="1:10" ht="18" customHeight="1">
      <c r="A476" s="28"/>
      <c r="B476" s="30" t="s">
        <v>201</v>
      </c>
      <c r="C476" s="31">
        <f>C471*(D471/0.42+1)</f>
        <v>429</v>
      </c>
      <c r="D476" s="89">
        <f>(E471-0.25+F471-0.25)*2+24*10/1000*3.281</f>
        <v>3.45</v>
      </c>
      <c r="E476" s="89"/>
      <c r="F476" s="89"/>
      <c r="G476" s="89"/>
      <c r="H476" s="89">
        <f>C476*D476</f>
        <v>1480.05</v>
      </c>
      <c r="I476" s="102"/>
      <c r="J476" s="268"/>
    </row>
    <row r="477" spans="1:10" ht="18" customHeight="1">
      <c r="A477" s="28"/>
      <c r="B477" s="96"/>
      <c r="C477" s="94"/>
      <c r="D477" s="91"/>
      <c r="E477" s="91"/>
      <c r="F477" s="91"/>
      <c r="G477" s="89"/>
      <c r="H477" s="89"/>
      <c r="I477" s="102"/>
      <c r="J477" s="268"/>
    </row>
    <row r="478" spans="1:10" ht="19" customHeight="1">
      <c r="A478" s="28"/>
      <c r="B478" s="30"/>
      <c r="C478" s="31"/>
      <c r="D478" s="91"/>
      <c r="E478" s="91"/>
      <c r="F478" s="91"/>
      <c r="G478" s="91" t="str">
        <f>G309</f>
        <v>16 mm Ø</v>
      </c>
      <c r="H478" s="91" t="str">
        <f>H309</f>
        <v>10 mm Ø</v>
      </c>
      <c r="I478" s="97"/>
      <c r="J478" s="269"/>
    </row>
    <row r="479" spans="1:10" ht="19" customHeight="1">
      <c r="A479" s="28"/>
      <c r="B479" s="30"/>
      <c r="C479" s="89"/>
      <c r="D479" s="104"/>
      <c r="E479" s="91"/>
      <c r="F479" s="89" t="s">
        <v>21</v>
      </c>
      <c r="G479" s="89">
        <f>SUM(G386:G477)</f>
        <v>3926.4</v>
      </c>
      <c r="H479" s="89">
        <f>SUM(H386:H477)</f>
        <v>4436.63</v>
      </c>
      <c r="I479" s="90"/>
      <c r="J479" s="270"/>
    </row>
    <row r="480" spans="1:10" ht="19" customHeight="1">
      <c r="A480" s="28"/>
      <c r="B480" s="30"/>
      <c r="C480" s="89"/>
      <c r="D480" s="104"/>
      <c r="E480" s="91"/>
      <c r="F480" s="99" t="s">
        <v>360</v>
      </c>
      <c r="G480" s="91">
        <f>G479/39.33/53</f>
        <v>1.88</v>
      </c>
      <c r="H480" s="91">
        <f>H479/39.33/135</f>
        <v>0.84</v>
      </c>
      <c r="I480" s="90"/>
      <c r="J480" s="270">
        <f>G480+H480</f>
        <v>2.7</v>
      </c>
    </row>
    <row r="481" spans="1:12" ht="20.149999999999999" customHeight="1">
      <c r="A481" s="28"/>
      <c r="B481" s="30"/>
      <c r="C481" s="89"/>
      <c r="D481" s="91"/>
      <c r="E481" s="91"/>
      <c r="F481" s="91" t="s">
        <v>93</v>
      </c>
      <c r="G481" s="91">
        <f>G480+G382</f>
        <v>3.39</v>
      </c>
      <c r="H481" s="91">
        <f>H480+H382</f>
        <v>1.53</v>
      </c>
      <c r="I481" s="105"/>
      <c r="J481" s="267">
        <f>J480*20</f>
        <v>54</v>
      </c>
      <c r="L481" s="6" t="e">
        <f>D481+E481+F481+G481+H481+M481</f>
        <v>#VALUE!</v>
      </c>
    </row>
    <row r="482" spans="1:12" ht="20.149999999999999" customHeight="1">
      <c r="A482" s="28"/>
      <c r="B482" s="30"/>
      <c r="C482" s="31"/>
      <c r="D482" s="89"/>
      <c r="E482" s="89"/>
      <c r="F482" s="89"/>
      <c r="G482" s="95"/>
      <c r="H482" s="89"/>
      <c r="I482" s="102"/>
      <c r="J482" s="268">
        <f>J481/3.6</f>
        <v>15</v>
      </c>
    </row>
    <row r="483" spans="1:12" ht="20.149999999999999" customHeight="1">
      <c r="A483" s="28">
        <v>10</v>
      </c>
      <c r="B483" s="92" t="s">
        <v>274</v>
      </c>
      <c r="C483" s="31"/>
      <c r="D483" s="89"/>
      <c r="E483" s="89"/>
      <c r="F483" s="89"/>
      <c r="G483" s="95"/>
      <c r="H483" s="89"/>
      <c r="I483" s="102"/>
      <c r="J483" s="268"/>
    </row>
    <row r="484" spans="1:12" ht="20.149999999999999" customHeight="1">
      <c r="A484" s="28"/>
      <c r="B484" s="28" t="s">
        <v>275</v>
      </c>
      <c r="C484" s="31"/>
      <c r="D484" s="89"/>
      <c r="E484" s="89"/>
      <c r="F484" s="89"/>
      <c r="G484" s="95"/>
      <c r="H484" s="89"/>
      <c r="I484" s="102"/>
      <c r="J484" s="268">
        <f>17</f>
        <v>17</v>
      </c>
    </row>
    <row r="485" spans="1:12" ht="20.149999999999999" customHeight="1">
      <c r="A485" s="28"/>
      <c r="B485" s="30" t="s">
        <v>276</v>
      </c>
      <c r="C485" s="31">
        <v>1</v>
      </c>
      <c r="D485" s="89">
        <f>46.17-4*0.83</f>
        <v>42.85</v>
      </c>
      <c r="E485" s="89"/>
      <c r="F485" s="89">
        <f>13-1</f>
        <v>12</v>
      </c>
      <c r="G485" s="95"/>
      <c r="H485" s="89">
        <f t="shared" ref="H485:H492" si="42">C485*D485*F485</f>
        <v>514.20000000000005</v>
      </c>
      <c r="I485" s="187" t="s">
        <v>7</v>
      </c>
      <c r="J485" s="271"/>
    </row>
    <row r="486" spans="1:12" ht="20.149999999999999" customHeight="1">
      <c r="A486" s="28"/>
      <c r="B486" s="30" t="s">
        <v>277</v>
      </c>
      <c r="C486" s="31">
        <v>1</v>
      </c>
      <c r="D486" s="89">
        <f>10.67-0.83</f>
        <v>9.84</v>
      </c>
      <c r="E486" s="89"/>
      <c r="F486" s="89">
        <f t="shared" ref="F486:F492" si="43">F485</f>
        <v>12</v>
      </c>
      <c r="G486" s="95"/>
      <c r="H486" s="89">
        <f t="shared" si="42"/>
        <v>118.08</v>
      </c>
      <c r="I486" s="187" t="s">
        <v>7</v>
      </c>
      <c r="J486" s="271"/>
    </row>
    <row r="487" spans="1:12" ht="20.149999999999999" customHeight="1">
      <c r="A487" s="28"/>
      <c r="B487" s="30" t="s">
        <v>278</v>
      </c>
      <c r="C487" s="31">
        <v>1</v>
      </c>
      <c r="D487" s="89">
        <f>27-2*0.83</f>
        <v>25.34</v>
      </c>
      <c r="E487" s="89"/>
      <c r="F487" s="89">
        <f t="shared" si="43"/>
        <v>12</v>
      </c>
      <c r="G487" s="95"/>
      <c r="H487" s="89">
        <f t="shared" si="42"/>
        <v>304.08</v>
      </c>
      <c r="I487" s="187" t="s">
        <v>7</v>
      </c>
      <c r="J487" s="271"/>
    </row>
    <row r="488" spans="1:12" ht="20.149999999999999" customHeight="1">
      <c r="A488" s="28"/>
      <c r="B488" s="30" t="s">
        <v>279</v>
      </c>
      <c r="C488" s="31">
        <v>1</v>
      </c>
      <c r="D488" s="89">
        <f>8.5-0.83</f>
        <v>7.67</v>
      </c>
      <c r="E488" s="89"/>
      <c r="F488" s="89">
        <f t="shared" si="43"/>
        <v>12</v>
      </c>
      <c r="G488" s="95"/>
      <c r="H488" s="89">
        <f t="shared" si="42"/>
        <v>92.04</v>
      </c>
      <c r="I488" s="187" t="s">
        <v>7</v>
      </c>
      <c r="J488" s="271"/>
    </row>
    <row r="489" spans="1:12" ht="20.149999999999999" customHeight="1">
      <c r="A489" s="28"/>
      <c r="B489" s="30" t="s">
        <v>280</v>
      </c>
      <c r="C489" s="31">
        <v>1</v>
      </c>
      <c r="D489" s="89">
        <f>42.17-4*0.83</f>
        <v>38.85</v>
      </c>
      <c r="E489" s="89"/>
      <c r="F489" s="89">
        <f t="shared" si="43"/>
        <v>12</v>
      </c>
      <c r="G489" s="95"/>
      <c r="H489" s="89">
        <f t="shared" si="42"/>
        <v>466.2</v>
      </c>
      <c r="I489" s="187" t="s">
        <v>7</v>
      </c>
      <c r="J489" s="271"/>
    </row>
    <row r="490" spans="1:12" ht="20.149999999999999" customHeight="1">
      <c r="A490" s="28"/>
      <c r="B490" s="30" t="s">
        <v>281</v>
      </c>
      <c r="C490" s="31">
        <v>1</v>
      </c>
      <c r="D490" s="89">
        <f>6.5-0.83</f>
        <v>5.67</v>
      </c>
      <c r="E490" s="89"/>
      <c r="F490" s="89">
        <f t="shared" si="43"/>
        <v>12</v>
      </c>
      <c r="G490" s="95"/>
      <c r="H490" s="89">
        <f t="shared" si="42"/>
        <v>68.040000000000006</v>
      </c>
      <c r="I490" s="187" t="s">
        <v>7</v>
      </c>
      <c r="J490" s="271"/>
    </row>
    <row r="491" spans="1:12" ht="20.149999999999999" customHeight="1">
      <c r="A491" s="28"/>
      <c r="B491" s="30" t="s">
        <v>282</v>
      </c>
      <c r="C491" s="31">
        <v>1</v>
      </c>
      <c r="D491" s="89">
        <v>6.25</v>
      </c>
      <c r="E491" s="89"/>
      <c r="F491" s="89">
        <f t="shared" si="43"/>
        <v>12</v>
      </c>
      <c r="G491" s="95"/>
      <c r="H491" s="89">
        <f t="shared" si="42"/>
        <v>75</v>
      </c>
      <c r="I491" s="187" t="s">
        <v>7</v>
      </c>
      <c r="J491" s="271"/>
    </row>
    <row r="492" spans="1:12" ht="20.149999999999999" customHeight="1">
      <c r="A492" s="28"/>
      <c r="B492" s="30" t="s">
        <v>283</v>
      </c>
      <c r="C492" s="31">
        <v>1</v>
      </c>
      <c r="D492" s="89">
        <f>29.42-3*0.83</f>
        <v>26.93</v>
      </c>
      <c r="E492" s="89"/>
      <c r="F492" s="89">
        <f t="shared" si="43"/>
        <v>12</v>
      </c>
      <c r="G492" s="95"/>
      <c r="H492" s="89">
        <f t="shared" si="42"/>
        <v>323.16000000000003</v>
      </c>
      <c r="I492" s="187" t="s">
        <v>7</v>
      </c>
      <c r="J492" s="271"/>
    </row>
    <row r="493" spans="1:12" ht="20.149999999999999" customHeight="1">
      <c r="A493" s="28"/>
      <c r="B493" s="28" t="s">
        <v>11</v>
      </c>
      <c r="C493" s="31"/>
      <c r="D493" s="89"/>
      <c r="E493" s="89"/>
      <c r="F493" s="89"/>
      <c r="G493" s="95"/>
      <c r="H493" s="89"/>
      <c r="I493" s="102"/>
      <c r="J493" s="268"/>
    </row>
    <row r="494" spans="1:12" ht="20.149999999999999" customHeight="1">
      <c r="A494" s="28"/>
      <c r="B494" s="30" t="s">
        <v>284</v>
      </c>
      <c r="C494" s="31">
        <v>7</v>
      </c>
      <c r="D494" s="89">
        <v>6.67</v>
      </c>
      <c r="E494" s="89"/>
      <c r="F494" s="89">
        <v>6</v>
      </c>
      <c r="G494" s="95">
        <f>C494*D494*F494</f>
        <v>280.14</v>
      </c>
      <c r="H494" s="89"/>
      <c r="I494" s="187" t="s">
        <v>7</v>
      </c>
      <c r="J494" s="271"/>
    </row>
    <row r="495" spans="1:12" ht="20.149999999999999" customHeight="1">
      <c r="A495" s="28"/>
      <c r="B495" s="30" t="s">
        <v>285</v>
      </c>
      <c r="C495" s="31">
        <v>2</v>
      </c>
      <c r="D495" s="89">
        <v>2.33</v>
      </c>
      <c r="E495" s="89"/>
      <c r="F495" s="89">
        <v>6</v>
      </c>
      <c r="G495" s="95">
        <f t="shared" ref="G495:G500" si="44">C495*D495*F495</f>
        <v>27.96</v>
      </c>
      <c r="H495" s="89"/>
      <c r="I495" s="187" t="s">
        <v>7</v>
      </c>
      <c r="J495" s="271"/>
    </row>
    <row r="496" spans="1:12" ht="20.149999999999999" customHeight="1">
      <c r="A496" s="28"/>
      <c r="B496" s="30" t="s">
        <v>324</v>
      </c>
      <c r="C496" s="31">
        <v>1</v>
      </c>
      <c r="D496" s="89">
        <v>4.5</v>
      </c>
      <c r="E496" s="89"/>
      <c r="F496" s="89">
        <v>6</v>
      </c>
      <c r="G496" s="95">
        <f t="shared" si="44"/>
        <v>27</v>
      </c>
      <c r="H496" s="89"/>
      <c r="I496" s="187" t="s">
        <v>7</v>
      </c>
      <c r="J496" s="271"/>
    </row>
    <row r="497" spans="1:10" ht="20.149999999999999" customHeight="1">
      <c r="A497" s="28"/>
      <c r="B497" s="30" t="s">
        <v>289</v>
      </c>
      <c r="C497" s="31">
        <v>1</v>
      </c>
      <c r="D497" s="89">
        <v>2.5</v>
      </c>
      <c r="E497" s="89"/>
      <c r="F497" s="89">
        <v>6</v>
      </c>
      <c r="G497" s="95">
        <f t="shared" si="44"/>
        <v>15</v>
      </c>
      <c r="H497" s="89"/>
      <c r="I497" s="187" t="s">
        <v>7</v>
      </c>
      <c r="J497" s="271"/>
    </row>
    <row r="498" spans="1:10" ht="20.149999999999999" customHeight="1">
      <c r="A498" s="28"/>
      <c r="B498" s="30" t="s">
        <v>286</v>
      </c>
      <c r="C498" s="31">
        <v>4</v>
      </c>
      <c r="D498" s="89">
        <v>4.5</v>
      </c>
      <c r="E498" s="89"/>
      <c r="F498" s="89">
        <v>2.33</v>
      </c>
      <c r="G498" s="95">
        <f t="shared" si="44"/>
        <v>41.94</v>
      </c>
      <c r="H498" s="89"/>
      <c r="I498" s="187" t="s">
        <v>7</v>
      </c>
      <c r="J498" s="271"/>
    </row>
    <row r="499" spans="1:10" ht="20.149999999999999" customHeight="1">
      <c r="A499" s="28"/>
      <c r="B499" s="30" t="s">
        <v>288</v>
      </c>
      <c r="C499" s="31">
        <v>1</v>
      </c>
      <c r="D499" s="89">
        <v>6</v>
      </c>
      <c r="E499" s="89"/>
      <c r="F499" s="89">
        <v>9</v>
      </c>
      <c r="G499" s="95">
        <f t="shared" si="44"/>
        <v>54</v>
      </c>
      <c r="H499" s="89"/>
      <c r="I499" s="187" t="s">
        <v>7</v>
      </c>
      <c r="J499" s="271"/>
    </row>
    <row r="500" spans="1:10" ht="20.149999999999999" customHeight="1">
      <c r="A500" s="28"/>
      <c r="B500" s="30" t="s">
        <v>287</v>
      </c>
      <c r="C500" s="31">
        <v>1</v>
      </c>
      <c r="D500" s="89">
        <v>7.17</v>
      </c>
      <c r="E500" s="89"/>
      <c r="F500" s="89">
        <v>3.25</v>
      </c>
      <c r="G500" s="95">
        <f t="shared" si="44"/>
        <v>23.3</v>
      </c>
      <c r="H500" s="89"/>
      <c r="I500" s="187" t="s">
        <v>7</v>
      </c>
      <c r="J500" s="271"/>
    </row>
    <row r="501" spans="1:10" ht="20.149999999999999" customHeight="1">
      <c r="A501" s="28"/>
      <c r="B501" s="30" t="s">
        <v>306</v>
      </c>
      <c r="C501" s="31">
        <v>1</v>
      </c>
      <c r="D501" s="89">
        <f>C485*D485+C486*D486+C487*D487+C488*D488+C489*D489+C490*D490+C491*D491+C492*D492</f>
        <v>163.4</v>
      </c>
      <c r="E501" s="89"/>
      <c r="F501" s="89">
        <f>0.375</f>
        <v>0.38</v>
      </c>
      <c r="G501" s="95">
        <f>C501*D501*F501</f>
        <v>62.09</v>
      </c>
      <c r="H501" s="89"/>
      <c r="I501" s="187" t="s">
        <v>7</v>
      </c>
      <c r="J501" s="271"/>
    </row>
    <row r="502" spans="1:10" ht="20.149999999999999" customHeight="1">
      <c r="A502" s="28"/>
      <c r="B502" s="30" t="s">
        <v>307</v>
      </c>
      <c r="C502" s="31">
        <v>1</v>
      </c>
      <c r="D502" s="89">
        <f>D501-C499*D499-C500*D500</f>
        <v>150.22999999999999</v>
      </c>
      <c r="E502" s="89"/>
      <c r="F502" s="89">
        <f>F501</f>
        <v>0.38</v>
      </c>
      <c r="G502" s="95">
        <f>C502*D502*F502</f>
        <v>57.09</v>
      </c>
      <c r="H502" s="89"/>
      <c r="I502" s="187" t="s">
        <v>7</v>
      </c>
      <c r="J502" s="271"/>
    </row>
    <row r="503" spans="1:10" ht="20.149999999999999" customHeight="1">
      <c r="A503" s="28"/>
      <c r="B503" s="30"/>
      <c r="C503" s="31"/>
      <c r="D503" s="89"/>
      <c r="E503" s="89"/>
      <c r="F503" s="89"/>
      <c r="G503" s="95"/>
      <c r="H503" s="89"/>
      <c r="I503" s="187"/>
      <c r="J503" s="271"/>
    </row>
    <row r="504" spans="1:10" ht="20.149999999999999" customHeight="1">
      <c r="A504" s="28"/>
      <c r="B504" s="28" t="s">
        <v>290</v>
      </c>
      <c r="C504" s="31"/>
      <c r="D504" s="89"/>
      <c r="E504" s="89"/>
      <c r="F504" s="89"/>
      <c r="G504" s="95"/>
      <c r="H504" s="89"/>
      <c r="I504" s="102"/>
      <c r="J504" s="268"/>
    </row>
    <row r="505" spans="1:10" ht="20.149999999999999" customHeight="1">
      <c r="A505" s="28"/>
      <c r="B505" s="30" t="s">
        <v>291</v>
      </c>
      <c r="C505" s="31">
        <v>3</v>
      </c>
      <c r="D505" s="89">
        <v>10</v>
      </c>
      <c r="E505" s="89"/>
      <c r="F505" s="89">
        <v>12</v>
      </c>
      <c r="G505" s="95"/>
      <c r="H505" s="89">
        <f>C505*D505*F505</f>
        <v>360</v>
      </c>
      <c r="I505" s="187" t="s">
        <v>7</v>
      </c>
      <c r="J505" s="271"/>
    </row>
    <row r="506" spans="1:10" ht="20.149999999999999" customHeight="1">
      <c r="A506" s="28"/>
      <c r="B506" s="30" t="s">
        <v>292</v>
      </c>
      <c r="C506" s="31">
        <v>1</v>
      </c>
      <c r="D506" s="89">
        <v>14.33</v>
      </c>
      <c r="E506" s="89"/>
      <c r="F506" s="89">
        <v>12</v>
      </c>
      <c r="G506" s="95"/>
      <c r="H506" s="89">
        <f t="shared" ref="H506:H514" si="45">C506*D506*F506</f>
        <v>171.96</v>
      </c>
      <c r="I506" s="187" t="s">
        <v>7</v>
      </c>
      <c r="J506" s="271"/>
    </row>
    <row r="507" spans="1:10" ht="20.149999999999999" customHeight="1">
      <c r="A507" s="28"/>
      <c r="B507" s="30" t="s">
        <v>293</v>
      </c>
      <c r="C507" s="31">
        <v>1</v>
      </c>
      <c r="D507" s="89">
        <v>12.17</v>
      </c>
      <c r="E507" s="89"/>
      <c r="F507" s="89">
        <v>12</v>
      </c>
      <c r="G507" s="95"/>
      <c r="H507" s="89">
        <f t="shared" si="45"/>
        <v>146.04</v>
      </c>
      <c r="I507" s="187" t="s">
        <v>7</v>
      </c>
      <c r="J507" s="271"/>
    </row>
    <row r="508" spans="1:10" ht="20.149999999999999" customHeight="1">
      <c r="A508" s="28"/>
      <c r="B508" s="30"/>
      <c r="C508" s="31">
        <v>1</v>
      </c>
      <c r="D508" s="89">
        <v>6.17</v>
      </c>
      <c r="E508" s="89"/>
      <c r="F508" s="89">
        <v>12</v>
      </c>
      <c r="G508" s="95"/>
      <c r="H508" s="89">
        <f t="shared" si="45"/>
        <v>74.040000000000006</v>
      </c>
      <c r="I508" s="187" t="s">
        <v>7</v>
      </c>
      <c r="J508" s="271"/>
    </row>
    <row r="509" spans="1:10" ht="20.149999999999999" customHeight="1">
      <c r="A509" s="28"/>
      <c r="B509" s="30" t="s">
        <v>294</v>
      </c>
      <c r="C509" s="31">
        <v>2</v>
      </c>
      <c r="D509" s="89">
        <f>8.5-0.83</f>
        <v>7.67</v>
      </c>
      <c r="E509" s="89"/>
      <c r="F509" s="89">
        <v>12</v>
      </c>
      <c r="G509" s="95"/>
      <c r="H509" s="89">
        <f t="shared" si="45"/>
        <v>184.08</v>
      </c>
      <c r="I509" s="187" t="s">
        <v>7</v>
      </c>
      <c r="J509" s="271"/>
    </row>
    <row r="510" spans="1:10" ht="20.149999999999999" customHeight="1">
      <c r="A510" s="28"/>
      <c r="B510" s="30" t="s">
        <v>295</v>
      </c>
      <c r="C510" s="31">
        <v>1</v>
      </c>
      <c r="D510" s="89">
        <f>35.67-3*0.83</f>
        <v>33.18</v>
      </c>
      <c r="E510" s="89"/>
      <c r="F510" s="89">
        <v>12</v>
      </c>
      <c r="G510" s="95"/>
      <c r="H510" s="89">
        <f t="shared" si="45"/>
        <v>398.16</v>
      </c>
      <c r="I510" s="187" t="s">
        <v>7</v>
      </c>
      <c r="J510" s="271"/>
    </row>
    <row r="511" spans="1:10" ht="20.149999999999999" customHeight="1">
      <c r="A511" s="28"/>
      <c r="B511" s="30" t="s">
        <v>296</v>
      </c>
      <c r="C511" s="31">
        <v>1</v>
      </c>
      <c r="D511" s="89">
        <f>12.33-0.83/2</f>
        <v>11.92</v>
      </c>
      <c r="E511" s="89"/>
      <c r="F511" s="89">
        <v>12</v>
      </c>
      <c r="G511" s="95"/>
      <c r="H511" s="89">
        <f t="shared" si="45"/>
        <v>143.04</v>
      </c>
      <c r="I511" s="187" t="s">
        <v>7</v>
      </c>
      <c r="J511" s="271"/>
    </row>
    <row r="512" spans="1:10" ht="20.149999999999999" customHeight="1">
      <c r="A512" s="28"/>
      <c r="B512" s="30"/>
      <c r="C512" s="31">
        <v>1</v>
      </c>
      <c r="D512" s="89">
        <v>18.329999999999998</v>
      </c>
      <c r="E512" s="89"/>
      <c r="F512" s="89">
        <v>12</v>
      </c>
      <c r="G512" s="95"/>
      <c r="H512" s="89">
        <f t="shared" si="45"/>
        <v>219.96</v>
      </c>
      <c r="I512" s="187" t="s">
        <v>7</v>
      </c>
      <c r="J512" s="271"/>
    </row>
    <row r="513" spans="1:10" ht="20.149999999999999" customHeight="1">
      <c r="A513" s="28"/>
      <c r="B513" s="30"/>
      <c r="C513" s="31">
        <v>1</v>
      </c>
      <c r="D513" s="89">
        <v>18.329999999999998</v>
      </c>
      <c r="E513" s="89"/>
      <c r="F513" s="89">
        <v>12</v>
      </c>
      <c r="G513" s="95"/>
      <c r="H513" s="89">
        <f t="shared" si="45"/>
        <v>219.96</v>
      </c>
      <c r="I513" s="187" t="s">
        <v>7</v>
      </c>
      <c r="J513" s="271"/>
    </row>
    <row r="514" spans="1:10" ht="20.149999999999999" customHeight="1">
      <c r="A514" s="28"/>
      <c r="B514" s="30" t="s">
        <v>297</v>
      </c>
      <c r="C514" s="31">
        <v>1</v>
      </c>
      <c r="D514" s="89">
        <f>16.5-0.83*1.5</f>
        <v>15.26</v>
      </c>
      <c r="E514" s="89"/>
      <c r="F514" s="89">
        <v>12</v>
      </c>
      <c r="G514" s="95"/>
      <c r="H514" s="89">
        <f t="shared" si="45"/>
        <v>183.12</v>
      </c>
      <c r="I514" s="187" t="s">
        <v>7</v>
      </c>
      <c r="J514" s="271"/>
    </row>
    <row r="515" spans="1:10" ht="20.149999999999999" customHeight="1">
      <c r="A515" s="28"/>
      <c r="B515" s="28" t="s">
        <v>11</v>
      </c>
      <c r="C515" s="31"/>
      <c r="D515" s="89"/>
      <c r="E515" s="89"/>
      <c r="F515" s="89"/>
      <c r="G515" s="95"/>
      <c r="H515" s="89"/>
      <c r="I515" s="102"/>
      <c r="J515" s="268"/>
    </row>
    <row r="516" spans="1:10" ht="20.149999999999999" customHeight="1">
      <c r="A516" s="28"/>
      <c r="B516" s="30" t="s">
        <v>298</v>
      </c>
      <c r="C516" s="31">
        <v>1</v>
      </c>
      <c r="D516" s="89">
        <v>8</v>
      </c>
      <c r="E516" s="89"/>
      <c r="F516" s="89">
        <v>9</v>
      </c>
      <c r="G516" s="95">
        <f t="shared" ref="G516:G523" si="46">C516*D516*F516</f>
        <v>72</v>
      </c>
      <c r="H516" s="89"/>
      <c r="I516" s="102" t="s">
        <v>7</v>
      </c>
      <c r="J516" s="268"/>
    </row>
    <row r="517" spans="1:10" ht="20.149999999999999" customHeight="1">
      <c r="A517" s="28"/>
      <c r="B517" s="30" t="s">
        <v>299</v>
      </c>
      <c r="C517" s="31">
        <v>1</v>
      </c>
      <c r="D517" s="89">
        <v>5.83</v>
      </c>
      <c r="E517" s="89"/>
      <c r="F517" s="89">
        <v>9</v>
      </c>
      <c r="G517" s="95">
        <f t="shared" si="46"/>
        <v>52.47</v>
      </c>
      <c r="H517" s="89"/>
      <c r="I517" s="102" t="s">
        <v>7</v>
      </c>
      <c r="J517" s="268"/>
    </row>
    <row r="518" spans="1:10" ht="20.149999999999999" customHeight="1">
      <c r="A518" s="28"/>
      <c r="B518" s="30" t="s">
        <v>300</v>
      </c>
      <c r="C518" s="31">
        <v>1</v>
      </c>
      <c r="D518" s="89">
        <v>6</v>
      </c>
      <c r="E518" s="89"/>
      <c r="F518" s="89">
        <v>9</v>
      </c>
      <c r="G518" s="95">
        <f t="shared" si="46"/>
        <v>54</v>
      </c>
      <c r="H518" s="89"/>
      <c r="I518" s="102" t="s">
        <v>7</v>
      </c>
      <c r="J518" s="268"/>
    </row>
    <row r="519" spans="1:10" ht="20.149999999999999" customHeight="1">
      <c r="A519" s="28"/>
      <c r="B519" s="30" t="s">
        <v>303</v>
      </c>
      <c r="C519" s="31">
        <v>3</v>
      </c>
      <c r="D519" s="89">
        <v>3.25</v>
      </c>
      <c r="E519" s="89"/>
      <c r="F519" s="89">
        <f>7.17</f>
        <v>7.17</v>
      </c>
      <c r="G519" s="95">
        <f t="shared" si="46"/>
        <v>69.91</v>
      </c>
      <c r="H519" s="89"/>
      <c r="I519" s="102" t="s">
        <v>7</v>
      </c>
      <c r="J519" s="268"/>
    </row>
    <row r="520" spans="1:10" ht="20.149999999999999" customHeight="1">
      <c r="A520" s="28"/>
      <c r="B520" s="30" t="s">
        <v>302</v>
      </c>
      <c r="C520" s="31">
        <v>4</v>
      </c>
      <c r="D520" s="89">
        <v>3.25</v>
      </c>
      <c r="E520" s="89"/>
      <c r="F520" s="89">
        <v>7.17</v>
      </c>
      <c r="G520" s="95">
        <f t="shared" si="46"/>
        <v>93.21</v>
      </c>
      <c r="H520" s="89"/>
      <c r="I520" s="102" t="s">
        <v>7</v>
      </c>
      <c r="J520" s="268"/>
    </row>
    <row r="521" spans="1:10" ht="20.149999999999999" customHeight="1">
      <c r="A521" s="28"/>
      <c r="B521" s="30" t="s">
        <v>304</v>
      </c>
      <c r="C521" s="31">
        <v>1</v>
      </c>
      <c r="D521" s="89">
        <f>C505*D505+C506*D506+C507*D507+C508*D508+C509*D509+C510*D510+C511*D511+C512*D512+C513*D513+C514*D514</f>
        <v>175.03</v>
      </c>
      <c r="E521" s="89"/>
      <c r="F521" s="89">
        <f>0.375</f>
        <v>0.38</v>
      </c>
      <c r="G521" s="95">
        <f t="shared" si="46"/>
        <v>66.510000000000005</v>
      </c>
      <c r="H521" s="89"/>
      <c r="I521" s="102" t="s">
        <v>7</v>
      </c>
      <c r="J521" s="268"/>
    </row>
    <row r="522" spans="1:10" ht="20.149999999999999" customHeight="1">
      <c r="A522" s="28"/>
      <c r="B522" s="30" t="s">
        <v>305</v>
      </c>
      <c r="C522" s="31">
        <v>1</v>
      </c>
      <c r="D522" s="89">
        <f>D521-C516*D516+C517*D517+C518*D518+C519*D519+C520*D520</f>
        <v>201.61</v>
      </c>
      <c r="E522" s="89"/>
      <c r="F522" s="89">
        <f>0.375</f>
        <v>0.38</v>
      </c>
      <c r="G522" s="95">
        <f t="shared" si="46"/>
        <v>76.61</v>
      </c>
      <c r="H522" s="89"/>
      <c r="I522" s="102" t="s">
        <v>7</v>
      </c>
      <c r="J522" s="268"/>
    </row>
    <row r="523" spans="1:10" ht="20.149999999999999" customHeight="1">
      <c r="A523" s="28"/>
      <c r="B523" s="30" t="s">
        <v>308</v>
      </c>
      <c r="C523" s="31">
        <v>2</v>
      </c>
      <c r="D523" s="89">
        <v>0.38</v>
      </c>
      <c r="E523" s="89"/>
      <c r="F523" s="89">
        <v>12</v>
      </c>
      <c r="G523" s="95">
        <f t="shared" si="46"/>
        <v>9.1199999999999992</v>
      </c>
      <c r="H523" s="89"/>
      <c r="I523" s="102" t="s">
        <v>7</v>
      </c>
      <c r="J523" s="268"/>
    </row>
    <row r="524" spans="1:10" ht="20.149999999999999" customHeight="1">
      <c r="A524" s="28"/>
      <c r="B524" s="30"/>
      <c r="C524" s="31"/>
      <c r="D524" s="89"/>
      <c r="E524" s="89"/>
      <c r="F524" s="89"/>
      <c r="G524" s="89">
        <f>SUM(G485:G523)</f>
        <v>1082.3499999999999</v>
      </c>
      <c r="H524" s="89">
        <f>SUM(H485:H523)</f>
        <v>4061.16</v>
      </c>
      <c r="I524" s="102" t="s">
        <v>7</v>
      </c>
      <c r="J524" s="268">
        <f>H505+H506+H507+H508+H509+H510+H511+H512+H513+H514-G516-G517-G518-G519-G520-G521-G522-G523</f>
        <v>1606.53</v>
      </c>
    </row>
    <row r="525" spans="1:10" ht="20.149999999999999" customHeight="1">
      <c r="A525" s="28"/>
      <c r="B525" s="30"/>
      <c r="C525" s="31"/>
      <c r="D525" s="89"/>
      <c r="E525" s="89"/>
      <c r="F525" s="89"/>
      <c r="G525" s="95"/>
      <c r="H525" s="89">
        <f>H524-G524</f>
        <v>2978.81</v>
      </c>
      <c r="I525" s="102" t="s">
        <v>7</v>
      </c>
      <c r="J525" s="268">
        <f>J524*2</f>
        <v>3213.06</v>
      </c>
    </row>
    <row r="526" spans="1:10" ht="20.149999999999999" customHeight="1">
      <c r="A526" s="28"/>
      <c r="B526" s="30"/>
      <c r="C526" s="31"/>
      <c r="D526" s="89"/>
      <c r="E526" s="89"/>
      <c r="F526" s="89"/>
      <c r="G526" s="95"/>
      <c r="H526" s="89"/>
      <c r="I526" s="102"/>
      <c r="J526" s="268"/>
    </row>
    <row r="527" spans="1:10" ht="20.149999999999999" customHeight="1">
      <c r="A527" s="28">
        <v>11</v>
      </c>
      <c r="B527" s="92" t="s">
        <v>333</v>
      </c>
      <c r="C527" s="31"/>
      <c r="D527" s="89"/>
      <c r="E527" s="89"/>
      <c r="F527" s="89"/>
      <c r="G527" s="95"/>
      <c r="H527" s="89"/>
      <c r="I527" s="102"/>
      <c r="J527" s="268"/>
    </row>
    <row r="528" spans="1:10" ht="20.149999999999999" customHeight="1">
      <c r="A528" s="28"/>
      <c r="B528" s="92" t="s">
        <v>339</v>
      </c>
      <c r="C528" s="31"/>
      <c r="D528" s="89"/>
      <c r="E528" s="89"/>
      <c r="F528" s="89"/>
      <c r="G528" s="95"/>
      <c r="H528" s="89"/>
      <c r="I528" s="102"/>
      <c r="J528" s="268"/>
    </row>
    <row r="529" spans="1:10" ht="20.149999999999999" customHeight="1">
      <c r="A529" s="28"/>
      <c r="B529" s="30" t="str">
        <f t="shared" ref="B529:D530" si="47">B501</f>
        <v>External Wall Lintel</v>
      </c>
      <c r="C529" s="31">
        <f t="shared" si="47"/>
        <v>1</v>
      </c>
      <c r="D529" s="89">
        <f t="shared" si="47"/>
        <v>163.4</v>
      </c>
      <c r="E529" s="89">
        <v>0.38</v>
      </c>
      <c r="F529" s="89">
        <f>0.375</f>
        <v>0.38</v>
      </c>
      <c r="G529" s="95"/>
      <c r="H529" s="89">
        <f>C529*D529*E529*F529</f>
        <v>23.59</v>
      </c>
      <c r="I529" s="102" t="s">
        <v>14</v>
      </c>
      <c r="J529" s="268"/>
    </row>
    <row r="530" spans="1:10" ht="20.149999999999999" customHeight="1">
      <c r="A530" s="28"/>
      <c r="B530" s="30" t="str">
        <f t="shared" si="47"/>
        <v>External Wall Sill</v>
      </c>
      <c r="C530" s="31">
        <f t="shared" si="47"/>
        <v>1</v>
      </c>
      <c r="D530" s="89">
        <f t="shared" si="47"/>
        <v>150.22999999999999</v>
      </c>
      <c r="E530" s="89">
        <v>0.38</v>
      </c>
      <c r="F530" s="89">
        <f>F529</f>
        <v>0.38</v>
      </c>
      <c r="G530" s="95"/>
      <c r="H530" s="89">
        <f>C530*D530*E530*F530</f>
        <v>21.69</v>
      </c>
      <c r="I530" s="102" t="s">
        <v>14</v>
      </c>
      <c r="J530" s="268"/>
    </row>
    <row r="531" spans="1:10" ht="20.149999999999999" customHeight="1">
      <c r="A531" s="28"/>
      <c r="B531" s="30" t="str">
        <f t="shared" ref="B531:D533" si="48">B521</f>
        <v xml:space="preserve">Internal Wall Lintel </v>
      </c>
      <c r="C531" s="31">
        <f t="shared" si="48"/>
        <v>1</v>
      </c>
      <c r="D531" s="89">
        <f t="shared" si="48"/>
        <v>175.03</v>
      </c>
      <c r="E531" s="89">
        <v>0.38</v>
      </c>
      <c r="F531" s="89">
        <f>F530</f>
        <v>0.38</v>
      </c>
      <c r="G531" s="95"/>
      <c r="H531" s="89">
        <f>C531*D531*E531*F531</f>
        <v>25.27</v>
      </c>
      <c r="I531" s="102" t="s">
        <v>14</v>
      </c>
      <c r="J531" s="268"/>
    </row>
    <row r="532" spans="1:10" ht="20.149999999999999" customHeight="1">
      <c r="A532" s="28"/>
      <c r="B532" s="30" t="str">
        <f t="shared" si="48"/>
        <v>Internal Wall Sill</v>
      </c>
      <c r="C532" s="31">
        <f t="shared" si="48"/>
        <v>1</v>
      </c>
      <c r="D532" s="89">
        <f t="shared" si="48"/>
        <v>201.61</v>
      </c>
      <c r="E532" s="89">
        <v>0.38</v>
      </c>
      <c r="F532" s="89">
        <f>F531</f>
        <v>0.38</v>
      </c>
      <c r="G532" s="95"/>
      <c r="H532" s="89">
        <f>C532*D532*E532*F532</f>
        <v>29.11</v>
      </c>
      <c r="I532" s="102" t="s">
        <v>14</v>
      </c>
      <c r="J532" s="268"/>
    </row>
    <row r="533" spans="1:10" ht="20.149999999999999" customHeight="1">
      <c r="A533" s="28"/>
      <c r="B533" s="30" t="str">
        <f t="shared" si="48"/>
        <v>Stiffener @ Wall Corner</v>
      </c>
      <c r="C533" s="31">
        <f t="shared" si="48"/>
        <v>2</v>
      </c>
      <c r="D533" s="89">
        <f t="shared" si="48"/>
        <v>0.38</v>
      </c>
      <c r="E533" s="89">
        <v>0.38</v>
      </c>
      <c r="F533" s="89">
        <f>F523</f>
        <v>12</v>
      </c>
      <c r="G533" s="95"/>
      <c r="H533" s="89">
        <f>C533*D533*E533*F533</f>
        <v>3.47</v>
      </c>
      <c r="I533" s="102" t="s">
        <v>14</v>
      </c>
      <c r="J533" s="268"/>
    </row>
    <row r="534" spans="1:10" ht="20.149999999999999" customHeight="1">
      <c r="A534" s="28"/>
      <c r="B534" s="30"/>
      <c r="C534" s="31"/>
      <c r="D534" s="89"/>
      <c r="E534" s="89"/>
      <c r="F534" s="89"/>
      <c r="G534" s="95"/>
      <c r="H534" s="89">
        <f>SUM(H529:H533)</f>
        <v>103.13</v>
      </c>
      <c r="I534" s="102" t="s">
        <v>14</v>
      </c>
      <c r="J534" s="268"/>
    </row>
    <row r="535" spans="1:10" ht="20.149999999999999" customHeight="1">
      <c r="A535" s="28"/>
      <c r="B535" s="30"/>
      <c r="C535" s="31"/>
      <c r="D535" s="89"/>
      <c r="E535" s="89"/>
      <c r="F535" s="89"/>
      <c r="G535" s="95"/>
      <c r="H535" s="89">
        <f>H534/100</f>
        <v>1.03</v>
      </c>
      <c r="I535" s="102" t="s">
        <v>86</v>
      </c>
      <c r="J535" s="268"/>
    </row>
    <row r="536" spans="1:10" ht="20.149999999999999" customHeight="1">
      <c r="A536" s="28"/>
      <c r="B536" s="30"/>
      <c r="C536" s="31"/>
      <c r="D536" s="89"/>
      <c r="E536" s="89"/>
      <c r="F536" s="89"/>
      <c r="G536" s="95"/>
      <c r="H536" s="89"/>
      <c r="I536" s="102"/>
      <c r="J536" s="268"/>
    </row>
    <row r="537" spans="1:10" ht="20.149999999999999" customHeight="1">
      <c r="A537" s="28"/>
      <c r="B537" s="92" t="s">
        <v>52</v>
      </c>
      <c r="C537" s="31"/>
      <c r="D537" s="89"/>
      <c r="E537" s="89"/>
      <c r="F537" s="89"/>
      <c r="G537" s="95"/>
      <c r="H537" s="89"/>
      <c r="I537" s="102"/>
      <c r="J537" s="268"/>
    </row>
    <row r="538" spans="1:10" ht="20.149999999999999" customHeight="1">
      <c r="A538" s="28"/>
      <c r="B538" s="30" t="str">
        <f>B529</f>
        <v>External Wall Lintel</v>
      </c>
      <c r="C538" s="31">
        <f>C529*2</f>
        <v>2</v>
      </c>
      <c r="D538" s="89">
        <f>D529</f>
        <v>163.4</v>
      </c>
      <c r="E538" s="89"/>
      <c r="F538" s="89">
        <f>F529</f>
        <v>0.38</v>
      </c>
      <c r="G538" s="95"/>
      <c r="H538" s="89">
        <f>C538*D538*F538</f>
        <v>124.18</v>
      </c>
      <c r="I538" s="102" t="s">
        <v>7</v>
      </c>
      <c r="J538" s="268"/>
    </row>
    <row r="539" spans="1:10" ht="20.149999999999999" customHeight="1">
      <c r="A539" s="28"/>
      <c r="B539" s="30" t="str">
        <f>B530</f>
        <v>External Wall Sill</v>
      </c>
      <c r="C539" s="31">
        <f>C530*2</f>
        <v>2</v>
      </c>
      <c r="D539" s="89">
        <f>D530</f>
        <v>150.22999999999999</v>
      </c>
      <c r="E539" s="89"/>
      <c r="F539" s="89">
        <f>F530</f>
        <v>0.38</v>
      </c>
      <c r="G539" s="95"/>
      <c r="H539" s="89">
        <f>C539*D539*F539</f>
        <v>114.17</v>
      </c>
      <c r="I539" s="102" t="s">
        <v>7</v>
      </c>
      <c r="J539" s="268"/>
    </row>
    <row r="540" spans="1:10" ht="20.149999999999999" customHeight="1">
      <c r="A540" s="28"/>
      <c r="B540" s="30" t="str">
        <f>B531</f>
        <v xml:space="preserve">Internal Wall Lintel </v>
      </c>
      <c r="C540" s="31">
        <f>C531*2</f>
        <v>2</v>
      </c>
      <c r="D540" s="89">
        <f>D531</f>
        <v>175.03</v>
      </c>
      <c r="E540" s="89"/>
      <c r="F540" s="89">
        <f>F531</f>
        <v>0.38</v>
      </c>
      <c r="G540" s="95"/>
      <c r="H540" s="89">
        <f>C540*D540*F540</f>
        <v>133.02000000000001</v>
      </c>
      <c r="I540" s="102" t="s">
        <v>7</v>
      </c>
      <c r="J540" s="268"/>
    </row>
    <row r="541" spans="1:10" ht="20.149999999999999" customHeight="1">
      <c r="A541" s="28"/>
      <c r="B541" s="30" t="str">
        <f>B532</f>
        <v>Internal Wall Sill</v>
      </c>
      <c r="C541" s="31">
        <f>C532*2</f>
        <v>2</v>
      </c>
      <c r="D541" s="89">
        <f>D532</f>
        <v>201.61</v>
      </c>
      <c r="E541" s="89"/>
      <c r="F541" s="89">
        <f>F532</f>
        <v>0.38</v>
      </c>
      <c r="G541" s="95"/>
      <c r="H541" s="89">
        <f>C541*D541*F541</f>
        <v>153.22</v>
      </c>
      <c r="I541" s="102" t="s">
        <v>7</v>
      </c>
      <c r="J541" s="268"/>
    </row>
    <row r="542" spans="1:10" ht="20.149999999999999" customHeight="1">
      <c r="A542" s="28"/>
      <c r="B542" s="30" t="str">
        <f>B533</f>
        <v>Stiffener @ Wall Corner</v>
      </c>
      <c r="C542" s="31">
        <f>C533*2</f>
        <v>4</v>
      </c>
      <c r="D542" s="89">
        <f>D533</f>
        <v>0.38</v>
      </c>
      <c r="E542" s="89"/>
      <c r="F542" s="89">
        <f>F533</f>
        <v>12</v>
      </c>
      <c r="G542" s="95"/>
      <c r="H542" s="89">
        <f>C542*D542*F542</f>
        <v>18.239999999999998</v>
      </c>
      <c r="I542" s="102" t="s">
        <v>7</v>
      </c>
      <c r="J542" s="268"/>
    </row>
    <row r="543" spans="1:10" ht="20.149999999999999" customHeight="1">
      <c r="A543" s="28"/>
      <c r="B543" s="30"/>
      <c r="C543" s="31"/>
      <c r="D543" s="89"/>
      <c r="E543" s="89"/>
      <c r="F543" s="89"/>
      <c r="G543" s="95"/>
      <c r="H543" s="89">
        <f>SUM(H538:H542)</f>
        <v>542.83000000000004</v>
      </c>
      <c r="I543" s="102" t="s">
        <v>7</v>
      </c>
      <c r="J543" s="268"/>
    </row>
    <row r="544" spans="1:10" ht="20.149999999999999" customHeight="1">
      <c r="A544" s="28"/>
      <c r="B544" s="30"/>
      <c r="C544" s="31"/>
      <c r="D544" s="89"/>
      <c r="E544" s="89"/>
      <c r="F544" s="89"/>
      <c r="G544" s="95"/>
      <c r="H544" s="89">
        <f>H543/100</f>
        <v>5.43</v>
      </c>
      <c r="I544" s="102" t="s">
        <v>91</v>
      </c>
      <c r="J544" s="268"/>
    </row>
    <row r="545" spans="1:10" ht="20.149999999999999" customHeight="1">
      <c r="A545" s="28"/>
      <c r="B545" s="30"/>
      <c r="C545" s="31"/>
      <c r="D545" s="89"/>
      <c r="E545" s="89"/>
      <c r="F545" s="89"/>
      <c r="G545" s="95"/>
      <c r="H545" s="89"/>
      <c r="I545" s="102"/>
      <c r="J545" s="268"/>
    </row>
    <row r="546" spans="1:10" ht="20.149999999999999" customHeight="1">
      <c r="A546" s="28"/>
      <c r="B546" s="92" t="s">
        <v>334</v>
      </c>
      <c r="C546" s="31"/>
      <c r="D546" s="89"/>
      <c r="E546" s="89"/>
      <c r="F546" s="89"/>
      <c r="G546" s="95" t="s">
        <v>337</v>
      </c>
      <c r="H546" s="89" t="s">
        <v>338</v>
      </c>
      <c r="I546" s="102"/>
      <c r="J546" s="268"/>
    </row>
    <row r="547" spans="1:10" ht="20.149999999999999" customHeight="1">
      <c r="A547" s="28"/>
      <c r="B547" s="30" t="str">
        <f>B529</f>
        <v>External Wall Lintel</v>
      </c>
      <c r="C547" s="31">
        <f>C529</f>
        <v>1</v>
      </c>
      <c r="D547" s="89">
        <f>D529</f>
        <v>163.4</v>
      </c>
      <c r="E547" s="89">
        <f>E529</f>
        <v>0.38</v>
      </c>
      <c r="F547" s="89">
        <f>F529</f>
        <v>0.38</v>
      </c>
      <c r="G547" s="95"/>
      <c r="H547" s="89"/>
      <c r="I547" s="102"/>
      <c r="J547" s="268"/>
    </row>
    <row r="548" spans="1:10" ht="20.149999999999999" customHeight="1">
      <c r="A548" s="28"/>
      <c r="B548" s="30" t="s">
        <v>335</v>
      </c>
      <c r="C548" s="31">
        <f>C547*2</f>
        <v>2</v>
      </c>
      <c r="D548" s="89">
        <f>D547</f>
        <v>163.4</v>
      </c>
      <c r="E548" s="89"/>
      <c r="F548" s="89"/>
      <c r="G548" s="95">
        <f>C548*D548</f>
        <v>326.8</v>
      </c>
      <c r="H548" s="89"/>
      <c r="I548" s="102" t="s">
        <v>163</v>
      </c>
      <c r="J548" s="268"/>
    </row>
    <row r="549" spans="1:10" ht="20.149999999999999" customHeight="1">
      <c r="A549" s="28"/>
      <c r="B549" s="30" t="s">
        <v>336</v>
      </c>
      <c r="C549" s="31">
        <f>C547*ROUND(D547/0.5,0)</f>
        <v>327</v>
      </c>
      <c r="D549" s="89">
        <f>E547-0.25+18*6.5/1000*3.281</f>
        <v>0.51</v>
      </c>
      <c r="E549" s="89"/>
      <c r="F549" s="89"/>
      <c r="G549" s="95"/>
      <c r="H549" s="89">
        <f>C549*D549</f>
        <v>166.77</v>
      </c>
      <c r="I549" s="102" t="s">
        <v>163</v>
      </c>
      <c r="J549" s="268"/>
    </row>
    <row r="550" spans="1:10" ht="20.149999999999999" customHeight="1">
      <c r="A550" s="28"/>
      <c r="B550" s="30"/>
      <c r="C550" s="31"/>
      <c r="D550" s="89"/>
      <c r="E550" s="89"/>
      <c r="F550" s="89"/>
      <c r="G550" s="95"/>
      <c r="H550" s="89"/>
      <c r="I550" s="102"/>
      <c r="J550" s="268"/>
    </row>
    <row r="551" spans="1:10" ht="20.149999999999999" customHeight="1">
      <c r="A551" s="28"/>
      <c r="B551" s="30" t="str">
        <f>B530</f>
        <v>External Wall Sill</v>
      </c>
      <c r="C551" s="31">
        <f>C530</f>
        <v>1</v>
      </c>
      <c r="D551" s="89">
        <f>D530</f>
        <v>150.22999999999999</v>
      </c>
      <c r="E551" s="89">
        <f>E530</f>
        <v>0.38</v>
      </c>
      <c r="F551" s="89">
        <f>F530</f>
        <v>0.38</v>
      </c>
      <c r="G551" s="95"/>
      <c r="H551" s="89"/>
      <c r="I551" s="102"/>
      <c r="J551" s="268"/>
    </row>
    <row r="552" spans="1:10" ht="20.149999999999999" customHeight="1">
      <c r="A552" s="28"/>
      <c r="B552" s="30" t="s">
        <v>335</v>
      </c>
      <c r="C552" s="31">
        <f>C551*2</f>
        <v>2</v>
      </c>
      <c r="D552" s="89">
        <f>D551</f>
        <v>150.22999999999999</v>
      </c>
      <c r="E552" s="89"/>
      <c r="F552" s="89"/>
      <c r="G552" s="95">
        <f>C552*D552</f>
        <v>300.45999999999998</v>
      </c>
      <c r="H552" s="89"/>
      <c r="I552" s="102" t="s">
        <v>163</v>
      </c>
      <c r="J552" s="268"/>
    </row>
    <row r="553" spans="1:10" ht="20.149999999999999" customHeight="1">
      <c r="A553" s="28"/>
      <c r="B553" s="30" t="s">
        <v>336</v>
      </c>
      <c r="C553" s="31">
        <f>C551*ROUND(D551/0.5,0)</f>
        <v>300</v>
      </c>
      <c r="D553" s="89">
        <f>E551-0.25+18*6.5/1000*3.281</f>
        <v>0.51</v>
      </c>
      <c r="E553" s="89"/>
      <c r="F553" s="89"/>
      <c r="G553" s="95"/>
      <c r="H553" s="89">
        <f>C553*D553</f>
        <v>153</v>
      </c>
      <c r="I553" s="102" t="s">
        <v>163</v>
      </c>
      <c r="J553" s="268"/>
    </row>
    <row r="554" spans="1:10" ht="20.149999999999999" customHeight="1">
      <c r="A554" s="28"/>
      <c r="B554" s="30"/>
      <c r="C554" s="31"/>
      <c r="D554" s="89"/>
      <c r="E554" s="89"/>
      <c r="F554" s="89"/>
      <c r="G554" s="95"/>
      <c r="H554" s="89"/>
      <c r="I554" s="102"/>
      <c r="J554" s="268"/>
    </row>
    <row r="555" spans="1:10" ht="20.149999999999999" customHeight="1">
      <c r="A555" s="28"/>
      <c r="B555" s="30" t="str">
        <f>B531</f>
        <v xml:space="preserve">Internal Wall Lintel </v>
      </c>
      <c r="C555" s="31">
        <f>C531</f>
        <v>1</v>
      </c>
      <c r="D555" s="89">
        <f>D531</f>
        <v>175.03</v>
      </c>
      <c r="E555" s="89">
        <f>E531</f>
        <v>0.38</v>
      </c>
      <c r="F555" s="89">
        <f>F531</f>
        <v>0.38</v>
      </c>
      <c r="G555" s="95"/>
      <c r="H555" s="89"/>
      <c r="I555" s="102"/>
      <c r="J555" s="268"/>
    </row>
    <row r="556" spans="1:10" ht="20.149999999999999" customHeight="1">
      <c r="A556" s="28"/>
      <c r="B556" s="30" t="s">
        <v>335</v>
      </c>
      <c r="C556" s="31">
        <f>C555*2</f>
        <v>2</v>
      </c>
      <c r="D556" s="89">
        <f>D555</f>
        <v>175.03</v>
      </c>
      <c r="E556" s="89"/>
      <c r="F556" s="89"/>
      <c r="G556" s="95">
        <f>C556*D556</f>
        <v>350.06</v>
      </c>
      <c r="H556" s="89"/>
      <c r="I556" s="102" t="s">
        <v>163</v>
      </c>
      <c r="J556" s="268"/>
    </row>
    <row r="557" spans="1:10" ht="20.149999999999999" customHeight="1">
      <c r="A557" s="28"/>
      <c r="B557" s="30" t="s">
        <v>336</v>
      </c>
      <c r="C557" s="31">
        <f>C555*ROUND(D555/0.5,0)</f>
        <v>350</v>
      </c>
      <c r="D557" s="89">
        <f>E555-0.25+18*6.5/1000*3.281</f>
        <v>0.51</v>
      </c>
      <c r="E557" s="89"/>
      <c r="F557" s="89"/>
      <c r="G557" s="95"/>
      <c r="H557" s="89">
        <f>C557*D557</f>
        <v>178.5</v>
      </c>
      <c r="I557" s="102" t="s">
        <v>163</v>
      </c>
      <c r="J557" s="268"/>
    </row>
    <row r="558" spans="1:10" ht="20.149999999999999" customHeight="1">
      <c r="A558" s="28"/>
      <c r="B558" s="30"/>
      <c r="C558" s="31"/>
      <c r="D558" s="89"/>
      <c r="E558" s="89"/>
      <c r="F558" s="89"/>
      <c r="G558" s="95"/>
      <c r="H558" s="89"/>
      <c r="I558" s="102"/>
      <c r="J558" s="268"/>
    </row>
    <row r="559" spans="1:10" ht="20.149999999999999" customHeight="1">
      <c r="A559" s="28"/>
      <c r="B559" s="30" t="str">
        <f>B532</f>
        <v>Internal Wall Sill</v>
      </c>
      <c r="C559" s="31">
        <f>C532</f>
        <v>1</v>
      </c>
      <c r="D559" s="89">
        <f>D532</f>
        <v>201.61</v>
      </c>
      <c r="E559" s="89">
        <f>E532</f>
        <v>0.38</v>
      </c>
      <c r="F559" s="89">
        <f>F532</f>
        <v>0.38</v>
      </c>
      <c r="G559" s="95"/>
      <c r="H559" s="89"/>
      <c r="I559" s="102"/>
      <c r="J559" s="268"/>
    </row>
    <row r="560" spans="1:10" ht="20.149999999999999" customHeight="1">
      <c r="A560" s="28"/>
      <c r="B560" s="30" t="s">
        <v>335</v>
      </c>
      <c r="C560" s="31">
        <f>C559*2</f>
        <v>2</v>
      </c>
      <c r="D560" s="89">
        <f>D559</f>
        <v>201.61</v>
      </c>
      <c r="E560" s="89"/>
      <c r="F560" s="89"/>
      <c r="G560" s="95">
        <f>C560*D560</f>
        <v>403.22</v>
      </c>
      <c r="H560" s="89"/>
      <c r="I560" s="102" t="s">
        <v>163</v>
      </c>
      <c r="J560" s="268"/>
    </row>
    <row r="561" spans="1:10" ht="20.149999999999999" customHeight="1">
      <c r="A561" s="28"/>
      <c r="B561" s="30" t="s">
        <v>336</v>
      </c>
      <c r="C561" s="31">
        <f>C559*ROUND(D559/0.5,0)</f>
        <v>403</v>
      </c>
      <c r="D561" s="89">
        <f>E559-0.25+18*6.5/1000*3.281</f>
        <v>0.51</v>
      </c>
      <c r="E561" s="89"/>
      <c r="F561" s="89"/>
      <c r="G561" s="95"/>
      <c r="H561" s="89">
        <f>C561*D561</f>
        <v>205.53</v>
      </c>
      <c r="I561" s="102" t="s">
        <v>163</v>
      </c>
      <c r="J561" s="268"/>
    </row>
    <row r="562" spans="1:10" ht="20.149999999999999" customHeight="1">
      <c r="A562" s="28"/>
      <c r="B562" s="30"/>
      <c r="C562" s="31"/>
      <c r="D562" s="89"/>
      <c r="E562" s="89"/>
      <c r="F562" s="89"/>
      <c r="G562" s="95"/>
      <c r="H562" s="89"/>
      <c r="I562" s="102"/>
      <c r="J562" s="268"/>
    </row>
    <row r="563" spans="1:10" ht="20.149999999999999" customHeight="1">
      <c r="A563" s="28"/>
      <c r="B563" s="30" t="str">
        <f>B533</f>
        <v>Stiffener @ Wall Corner</v>
      </c>
      <c r="C563" s="31">
        <f>C533</f>
        <v>2</v>
      </c>
      <c r="D563" s="89">
        <f>D533</f>
        <v>0.38</v>
      </c>
      <c r="E563" s="89">
        <f>E533</f>
        <v>0.38</v>
      </c>
      <c r="F563" s="89">
        <f>F533</f>
        <v>12</v>
      </c>
      <c r="G563" s="95"/>
      <c r="H563" s="89"/>
      <c r="I563" s="102"/>
      <c r="J563" s="268"/>
    </row>
    <row r="564" spans="1:10" ht="20.149999999999999" customHeight="1">
      <c r="A564" s="28"/>
      <c r="B564" s="30" t="s">
        <v>335</v>
      </c>
      <c r="C564" s="31">
        <f>C563*2</f>
        <v>4</v>
      </c>
      <c r="D564" s="89">
        <f>F563</f>
        <v>12</v>
      </c>
      <c r="E564" s="89"/>
      <c r="F564" s="89"/>
      <c r="G564" s="95">
        <f>C564*D564</f>
        <v>48</v>
      </c>
      <c r="H564" s="89"/>
      <c r="I564" s="102" t="s">
        <v>163</v>
      </c>
      <c r="J564" s="268"/>
    </row>
    <row r="565" spans="1:10" ht="20.149999999999999" customHeight="1">
      <c r="A565" s="28"/>
      <c r="B565" s="30" t="s">
        <v>336</v>
      </c>
      <c r="C565" s="31">
        <f>C563*ROUND(F563/0.5,0)</f>
        <v>48</v>
      </c>
      <c r="D565" s="89">
        <f>E563-0.25+18*6.5/1000*3.281</f>
        <v>0.51</v>
      </c>
      <c r="E565" s="89"/>
      <c r="F565" s="89"/>
      <c r="G565" s="95"/>
      <c r="H565" s="89">
        <f>C565*D565</f>
        <v>24.48</v>
      </c>
      <c r="I565" s="102" t="s">
        <v>163</v>
      </c>
      <c r="J565" s="268"/>
    </row>
    <row r="566" spans="1:10" ht="20.149999999999999" customHeight="1">
      <c r="A566" s="28"/>
      <c r="B566" s="30"/>
      <c r="C566" s="31"/>
      <c r="D566" s="89"/>
      <c r="E566" s="89"/>
      <c r="F566" s="89"/>
      <c r="G566" s="89">
        <f>SUM(G548:G565)</f>
        <v>1428.54</v>
      </c>
      <c r="H566" s="89">
        <f>SUM(H548:H565)</f>
        <v>728.28</v>
      </c>
      <c r="I566" s="102" t="s">
        <v>163</v>
      </c>
      <c r="J566" s="268"/>
    </row>
    <row r="567" spans="1:10" ht="20.149999999999999" customHeight="1">
      <c r="A567" s="28"/>
      <c r="B567" s="30"/>
      <c r="C567" s="31"/>
      <c r="D567" s="89"/>
      <c r="E567" s="89"/>
      <c r="F567" s="89"/>
      <c r="G567" s="89">
        <f>G566/39.33/135</f>
        <v>0.27</v>
      </c>
      <c r="H567" s="89">
        <f>H566*0.167/2240</f>
        <v>0.05</v>
      </c>
      <c r="I567" s="102" t="s">
        <v>93</v>
      </c>
      <c r="J567" s="268"/>
    </row>
    <row r="568" spans="1:10" ht="20.149999999999999" customHeight="1">
      <c r="A568" s="28"/>
      <c r="B568" s="30"/>
      <c r="C568" s="31"/>
      <c r="D568" s="89"/>
      <c r="E568" s="89"/>
      <c r="F568" s="89"/>
      <c r="G568" s="95"/>
      <c r="H568" s="89"/>
      <c r="I568" s="102"/>
      <c r="J568" s="268"/>
    </row>
    <row r="569" spans="1:10" ht="20.149999999999999" customHeight="1">
      <c r="A569" s="28">
        <v>12</v>
      </c>
      <c r="B569" s="92" t="s">
        <v>50</v>
      </c>
      <c r="C569" s="31"/>
      <c r="D569" s="89"/>
      <c r="E569" s="89"/>
      <c r="F569" s="89"/>
      <c r="G569" s="95"/>
      <c r="H569" s="89"/>
      <c r="I569" s="102"/>
      <c r="J569" s="268"/>
    </row>
    <row r="570" spans="1:10" ht="20.149999999999999" customHeight="1">
      <c r="A570" s="28"/>
      <c r="B570" s="30" t="s">
        <v>309</v>
      </c>
      <c r="C570" s="31">
        <v>2</v>
      </c>
      <c r="D570" s="296">
        <f>H524</f>
        <v>4061.16</v>
      </c>
      <c r="E570" s="89" t="s">
        <v>7</v>
      </c>
      <c r="F570" s="89"/>
      <c r="G570" s="95"/>
      <c r="H570" s="89">
        <f>C570*D570</f>
        <v>8122.32</v>
      </c>
      <c r="I570" s="102" t="s">
        <v>7</v>
      </c>
      <c r="J570" s="268"/>
    </row>
    <row r="571" spans="1:10" ht="20.149999999999999" customHeight="1">
      <c r="A571" s="28"/>
      <c r="B571" s="28" t="s">
        <v>11</v>
      </c>
      <c r="C571" s="31"/>
      <c r="D571" s="89"/>
      <c r="E571" s="89"/>
      <c r="F571" s="89"/>
      <c r="G571" s="95"/>
      <c r="H571" s="89"/>
      <c r="I571" s="102"/>
      <c r="J571" s="268"/>
    </row>
    <row r="572" spans="1:10" ht="20.149999999999999" customHeight="1">
      <c r="A572" s="28"/>
      <c r="B572" s="30" t="s">
        <v>285</v>
      </c>
      <c r="C572" s="31">
        <f>C495*2</f>
        <v>4</v>
      </c>
      <c r="D572" s="89">
        <v>2.33</v>
      </c>
      <c r="E572" s="89"/>
      <c r="F572" s="89">
        <v>6</v>
      </c>
      <c r="G572" s="95">
        <f t="shared" ref="G572:G579" si="49">C572*D572*F572</f>
        <v>55.92</v>
      </c>
      <c r="H572" s="89"/>
      <c r="I572" s="102" t="s">
        <v>7</v>
      </c>
      <c r="J572" s="268"/>
    </row>
    <row r="573" spans="1:10" ht="20.149999999999999" customHeight="1">
      <c r="A573" s="28"/>
      <c r="B573" s="30" t="s">
        <v>324</v>
      </c>
      <c r="C573" s="31">
        <f>C496*2</f>
        <v>2</v>
      </c>
      <c r="D573" s="89">
        <v>4.5</v>
      </c>
      <c r="E573" s="89"/>
      <c r="F573" s="89">
        <v>6</v>
      </c>
      <c r="G573" s="95">
        <f t="shared" si="49"/>
        <v>54</v>
      </c>
      <c r="H573" s="89"/>
      <c r="I573" s="102" t="s">
        <v>7</v>
      </c>
      <c r="J573" s="268"/>
    </row>
    <row r="574" spans="1:10" ht="20.149999999999999" customHeight="1">
      <c r="A574" s="28"/>
      <c r="B574" s="30" t="s">
        <v>284</v>
      </c>
      <c r="C574" s="31">
        <f>C494*2</f>
        <v>14</v>
      </c>
      <c r="D574" s="89">
        <v>6.67</v>
      </c>
      <c r="E574" s="89"/>
      <c r="F574" s="89">
        <v>6</v>
      </c>
      <c r="G574" s="95">
        <f t="shared" si="49"/>
        <v>560.28</v>
      </c>
      <c r="H574" s="89"/>
      <c r="I574" s="102" t="s">
        <v>7</v>
      </c>
      <c r="J574" s="268"/>
    </row>
    <row r="575" spans="1:10" ht="20.149999999999999" customHeight="1">
      <c r="A575" s="28"/>
      <c r="B575" s="30" t="s">
        <v>289</v>
      </c>
      <c r="C575" s="31">
        <f>C497*2</f>
        <v>2</v>
      </c>
      <c r="D575" s="89">
        <v>2.5</v>
      </c>
      <c r="E575" s="89"/>
      <c r="F575" s="89">
        <v>6</v>
      </c>
      <c r="G575" s="95">
        <f t="shared" si="49"/>
        <v>30</v>
      </c>
      <c r="H575" s="89"/>
      <c r="I575" s="102" t="s">
        <v>7</v>
      </c>
      <c r="J575" s="268"/>
    </row>
    <row r="576" spans="1:10" ht="20.149999999999999" customHeight="1">
      <c r="A576" s="28"/>
      <c r="B576" s="30" t="s">
        <v>286</v>
      </c>
      <c r="C576" s="31">
        <f>C498*2</f>
        <v>8</v>
      </c>
      <c r="D576" s="89">
        <v>4.5</v>
      </c>
      <c r="E576" s="89"/>
      <c r="F576" s="89">
        <v>2.33</v>
      </c>
      <c r="G576" s="95">
        <f t="shared" si="49"/>
        <v>83.88</v>
      </c>
      <c r="H576" s="89"/>
      <c r="I576" s="102" t="s">
        <v>7</v>
      </c>
      <c r="J576" s="268"/>
    </row>
    <row r="577" spans="1:10" ht="20.149999999999999" customHeight="1">
      <c r="A577" s="28"/>
      <c r="B577" s="30" t="s">
        <v>288</v>
      </c>
      <c r="C577" s="31">
        <f>C499*2</f>
        <v>2</v>
      </c>
      <c r="D577" s="89">
        <v>6</v>
      </c>
      <c r="E577" s="89"/>
      <c r="F577" s="89">
        <v>9</v>
      </c>
      <c r="G577" s="95">
        <f t="shared" si="49"/>
        <v>108</v>
      </c>
      <c r="H577" s="89"/>
      <c r="I577" s="102" t="s">
        <v>7</v>
      </c>
      <c r="J577" s="268"/>
    </row>
    <row r="578" spans="1:10" ht="20.149999999999999" customHeight="1">
      <c r="A578" s="28"/>
      <c r="B578" s="30" t="s">
        <v>287</v>
      </c>
      <c r="C578" s="31">
        <f>(C519+C500)*2</f>
        <v>8</v>
      </c>
      <c r="D578" s="89">
        <v>7.17</v>
      </c>
      <c r="E578" s="89"/>
      <c r="F578" s="89">
        <v>3.25</v>
      </c>
      <c r="G578" s="95">
        <f t="shared" si="49"/>
        <v>186.42</v>
      </c>
      <c r="H578" s="89"/>
      <c r="I578" s="102" t="s">
        <v>7</v>
      </c>
      <c r="J578" s="268"/>
    </row>
    <row r="579" spans="1:10" ht="20.149999999999999" customHeight="1">
      <c r="A579" s="28"/>
      <c r="B579" s="30" t="s">
        <v>302</v>
      </c>
      <c r="C579" s="31">
        <f>C520*2</f>
        <v>8</v>
      </c>
      <c r="D579" s="89">
        <v>3.25</v>
      </c>
      <c r="E579" s="89"/>
      <c r="F579" s="89">
        <v>7.17</v>
      </c>
      <c r="G579" s="95">
        <f t="shared" si="49"/>
        <v>186.42</v>
      </c>
      <c r="H579" s="89"/>
      <c r="I579" s="102" t="s">
        <v>7</v>
      </c>
      <c r="J579" s="268"/>
    </row>
    <row r="580" spans="1:10" ht="20.149999999999999" customHeight="1">
      <c r="A580" s="28"/>
      <c r="B580" s="30" t="s">
        <v>298</v>
      </c>
      <c r="C580" s="31">
        <f>C516*2</f>
        <v>2</v>
      </c>
      <c r="D580" s="89">
        <f>D516</f>
        <v>8</v>
      </c>
      <c r="E580" s="89"/>
      <c r="F580" s="89">
        <f>F516</f>
        <v>9</v>
      </c>
      <c r="G580" s="95">
        <f>C580*D580*F580</f>
        <v>144</v>
      </c>
      <c r="H580" s="89"/>
      <c r="I580" s="102" t="s">
        <v>7</v>
      </c>
      <c r="J580" s="268"/>
    </row>
    <row r="581" spans="1:10" ht="20.149999999999999" customHeight="1">
      <c r="A581" s="28"/>
      <c r="B581" s="30" t="s">
        <v>299</v>
      </c>
      <c r="C581" s="31">
        <f>C517*2</f>
        <v>2</v>
      </c>
      <c r="D581" s="89">
        <f>D517</f>
        <v>5.83</v>
      </c>
      <c r="E581" s="89"/>
      <c r="F581" s="89">
        <f>F517</f>
        <v>9</v>
      </c>
      <c r="G581" s="95">
        <f>C581*D581*F581</f>
        <v>104.94</v>
      </c>
      <c r="H581" s="89"/>
      <c r="I581" s="102" t="s">
        <v>7</v>
      </c>
      <c r="J581" s="268"/>
    </row>
    <row r="582" spans="1:10" ht="20.149999999999999" customHeight="1">
      <c r="A582" s="28"/>
      <c r="B582" s="30" t="s">
        <v>300</v>
      </c>
      <c r="C582" s="31">
        <f>C518*2</f>
        <v>2</v>
      </c>
      <c r="D582" s="89">
        <f>D518</f>
        <v>6</v>
      </c>
      <c r="E582" s="89"/>
      <c r="F582" s="89">
        <f>F518</f>
        <v>9</v>
      </c>
      <c r="G582" s="95">
        <f>C582*D582*F582</f>
        <v>108</v>
      </c>
      <c r="H582" s="89"/>
      <c r="I582" s="102" t="s">
        <v>7</v>
      </c>
      <c r="J582" s="268"/>
    </row>
    <row r="583" spans="1:10" ht="20.149999999999999" customHeight="1">
      <c r="A583" s="28"/>
      <c r="B583" s="30" t="str">
        <f>B501</f>
        <v>External Wall Lintel</v>
      </c>
      <c r="C583" s="31">
        <v>2</v>
      </c>
      <c r="D583" s="89">
        <f>D501</f>
        <v>163.4</v>
      </c>
      <c r="E583" s="89"/>
      <c r="F583" s="89">
        <f>F501</f>
        <v>0.38</v>
      </c>
      <c r="G583" s="95"/>
      <c r="H583" s="89">
        <f>C583*D583*F583</f>
        <v>124.18</v>
      </c>
      <c r="I583" s="102" t="s">
        <v>7</v>
      </c>
      <c r="J583" s="268"/>
    </row>
    <row r="584" spans="1:10" ht="20.149999999999999" customHeight="1">
      <c r="A584" s="28"/>
      <c r="B584" s="30" t="str">
        <f>B502</f>
        <v>External Wall Sill</v>
      </c>
      <c r="C584" s="31">
        <v>2</v>
      </c>
      <c r="D584" s="89">
        <f>D502</f>
        <v>150.22999999999999</v>
      </c>
      <c r="E584" s="89"/>
      <c r="F584" s="89">
        <f>F502</f>
        <v>0.38</v>
      </c>
      <c r="G584" s="95"/>
      <c r="H584" s="89">
        <f>C584*D584*F584</f>
        <v>114.17</v>
      </c>
      <c r="I584" s="102" t="s">
        <v>7</v>
      </c>
      <c r="J584" s="268"/>
    </row>
    <row r="585" spans="1:10" ht="20.149999999999999" customHeight="1">
      <c r="A585" s="28"/>
      <c r="B585" s="30" t="str">
        <f>B521</f>
        <v xml:space="preserve">Internal Wall Lintel </v>
      </c>
      <c r="C585" s="31">
        <v>2</v>
      </c>
      <c r="D585" s="89">
        <f>D521</f>
        <v>175.03</v>
      </c>
      <c r="E585" s="89"/>
      <c r="F585" s="89">
        <f>F521</f>
        <v>0.38</v>
      </c>
      <c r="G585" s="95"/>
      <c r="H585" s="89">
        <f>C585*D585*F585</f>
        <v>133.02000000000001</v>
      </c>
      <c r="I585" s="102" t="s">
        <v>7</v>
      </c>
      <c r="J585" s="268"/>
    </row>
    <row r="586" spans="1:10" ht="20.149999999999999" customHeight="1">
      <c r="A586" s="28"/>
      <c r="B586" s="30" t="str">
        <f>B522</f>
        <v>Internal Wall Sill</v>
      </c>
      <c r="C586" s="31">
        <v>2</v>
      </c>
      <c r="D586" s="89">
        <f>D522</f>
        <v>201.61</v>
      </c>
      <c r="E586" s="89"/>
      <c r="F586" s="89">
        <f>F522</f>
        <v>0.38</v>
      </c>
      <c r="G586" s="95"/>
      <c r="H586" s="89">
        <f>C586*D586*F586</f>
        <v>153.22</v>
      </c>
      <c r="I586" s="102" t="s">
        <v>7</v>
      </c>
      <c r="J586" s="268"/>
    </row>
    <row r="587" spans="1:10" ht="20.149999999999999" customHeight="1">
      <c r="A587" s="28"/>
      <c r="B587" s="30" t="str">
        <f>B523</f>
        <v>Stiffener @ Wall Corner</v>
      </c>
      <c r="C587" s="31">
        <v>2</v>
      </c>
      <c r="D587" s="89">
        <f>D523</f>
        <v>0.38</v>
      </c>
      <c r="E587" s="89"/>
      <c r="F587" s="89">
        <f>F523</f>
        <v>12</v>
      </c>
      <c r="G587" s="95"/>
      <c r="H587" s="89">
        <f>C587*D587*F587</f>
        <v>9.1199999999999992</v>
      </c>
      <c r="I587" s="102" t="s">
        <v>7</v>
      </c>
      <c r="J587" s="268"/>
    </row>
    <row r="588" spans="1:10" ht="20.149999999999999" customHeight="1">
      <c r="A588" s="28"/>
      <c r="B588" s="30"/>
      <c r="C588" s="31"/>
      <c r="D588" s="89"/>
      <c r="E588" s="89"/>
      <c r="F588" s="89"/>
      <c r="G588" s="95"/>
      <c r="H588" s="89"/>
      <c r="I588" s="102"/>
      <c r="J588" s="268"/>
    </row>
    <row r="589" spans="1:10" ht="20.149999999999999" customHeight="1">
      <c r="A589" s="28"/>
      <c r="B589" s="30" t="s">
        <v>323</v>
      </c>
      <c r="C589" s="31">
        <v>1</v>
      </c>
      <c r="D589" s="89">
        <f>46*2+48*2</f>
        <v>188</v>
      </c>
      <c r="E589" s="89"/>
      <c r="F589" s="89">
        <v>3</v>
      </c>
      <c r="G589" s="95"/>
      <c r="H589" s="89">
        <f>C589*D589*F589</f>
        <v>564</v>
      </c>
      <c r="I589" s="102" t="s">
        <v>7</v>
      </c>
      <c r="J589" s="268"/>
    </row>
    <row r="590" spans="1:10" ht="20.149999999999999" customHeight="1">
      <c r="A590" s="28"/>
      <c r="B590" s="30" t="s">
        <v>325</v>
      </c>
      <c r="C590" s="31">
        <v>24</v>
      </c>
      <c r="D590" s="89">
        <f>0.83*4</f>
        <v>3.32</v>
      </c>
      <c r="E590" s="189">
        <v>0.5</v>
      </c>
      <c r="F590" s="89">
        <f>12</f>
        <v>12</v>
      </c>
      <c r="G590" s="95"/>
      <c r="H590" s="89">
        <f>C590*D590*F590*E590</f>
        <v>478.08</v>
      </c>
      <c r="I590" s="102" t="s">
        <v>7</v>
      </c>
      <c r="J590" s="268"/>
    </row>
    <row r="591" spans="1:10" ht="20.149999999999999" customHeight="1">
      <c r="A591" s="28"/>
      <c r="B591" s="30"/>
      <c r="C591" s="31"/>
      <c r="D591" s="89"/>
      <c r="E591" s="89"/>
      <c r="F591" s="89"/>
      <c r="G591" s="95"/>
      <c r="H591" s="89"/>
      <c r="I591" s="102"/>
      <c r="J591" s="268"/>
    </row>
    <row r="592" spans="1:10" ht="20.149999999999999" customHeight="1">
      <c r="A592" s="28"/>
      <c r="B592" s="30"/>
      <c r="C592" s="31"/>
      <c r="D592" s="89"/>
      <c r="E592" s="89"/>
      <c r="F592" s="89"/>
      <c r="G592" s="89">
        <f>SUM(G570:G591)</f>
        <v>1621.86</v>
      </c>
      <c r="H592" s="89">
        <f>SUM(H570:H591)</f>
        <v>9698.11</v>
      </c>
      <c r="I592" s="102" t="s">
        <v>7</v>
      </c>
      <c r="J592" s="268"/>
    </row>
    <row r="593" spans="1:14" ht="20.149999999999999" customHeight="1">
      <c r="A593" s="28"/>
      <c r="B593" s="30"/>
      <c r="C593" s="31"/>
      <c r="D593" s="89"/>
      <c r="E593" s="89"/>
      <c r="F593" s="89"/>
      <c r="G593" s="95"/>
      <c r="H593" s="89">
        <f>H592-G592</f>
        <v>8076.25</v>
      </c>
      <c r="I593" s="102" t="s">
        <v>7</v>
      </c>
      <c r="J593" s="268"/>
    </row>
    <row r="594" spans="1:14" ht="20.149999999999999" customHeight="1">
      <c r="A594" s="28"/>
      <c r="B594" s="30"/>
      <c r="C594" s="31"/>
      <c r="D594" s="89"/>
      <c r="E594" s="89"/>
      <c r="F594" s="89"/>
      <c r="G594" s="95"/>
      <c r="H594" s="89"/>
      <c r="I594" s="102"/>
      <c r="J594" s="268"/>
    </row>
    <row r="595" spans="1:14" ht="20.149999999999999" customHeight="1">
      <c r="A595" s="97">
        <v>13</v>
      </c>
      <c r="B595" s="98" t="s">
        <v>342</v>
      </c>
      <c r="C595" s="31"/>
      <c r="D595" s="89"/>
      <c r="E595" s="89"/>
      <c r="F595" s="89"/>
      <c r="G595" s="95"/>
      <c r="H595" s="89"/>
      <c r="I595" s="102"/>
      <c r="J595" s="268"/>
    </row>
    <row r="596" spans="1:14" ht="20.149999999999999" customHeight="1">
      <c r="A596" s="97"/>
      <c r="B596" s="98" t="s">
        <v>401</v>
      </c>
      <c r="C596" s="31"/>
      <c r="D596" s="89"/>
      <c r="E596" s="89"/>
      <c r="F596" s="89"/>
      <c r="G596" s="95"/>
      <c r="H596" s="89"/>
      <c r="I596" s="102"/>
      <c r="J596" s="268"/>
    </row>
    <row r="597" spans="1:14" ht="20.149999999999999" customHeight="1">
      <c r="A597" s="28"/>
      <c r="B597" s="30" t="s">
        <v>288</v>
      </c>
      <c r="C597" s="31">
        <v>1</v>
      </c>
      <c r="D597" s="89">
        <f>9.5*3+6.5*2</f>
        <v>41.5</v>
      </c>
      <c r="E597" s="89"/>
      <c r="F597" s="89"/>
      <c r="G597" s="95"/>
      <c r="H597" s="89">
        <f>C597*D597</f>
        <v>41.5</v>
      </c>
      <c r="I597" s="102" t="s">
        <v>163</v>
      </c>
      <c r="J597" s="268"/>
    </row>
    <row r="598" spans="1:14" ht="20.149999999999999" customHeight="1">
      <c r="A598" s="28"/>
      <c r="B598" s="98" t="s">
        <v>402</v>
      </c>
      <c r="C598" s="31"/>
      <c r="D598" s="89"/>
      <c r="E598" s="89"/>
      <c r="F598" s="89"/>
      <c r="G598" s="95"/>
      <c r="H598" s="89"/>
      <c r="I598" s="102">
        <f>SUM(H597:H598)</f>
        <v>41.5</v>
      </c>
      <c r="J598" s="268"/>
    </row>
    <row r="599" spans="1:14" ht="20.149999999999999" customHeight="1">
      <c r="A599" s="28"/>
      <c r="B599" s="30" t="s">
        <v>287</v>
      </c>
      <c r="C599" s="31">
        <f>1+3</f>
        <v>4</v>
      </c>
      <c r="D599" s="89">
        <f>7.5*2+3.75</f>
        <v>18.75</v>
      </c>
      <c r="E599" s="89"/>
      <c r="F599" s="89"/>
      <c r="G599" s="95"/>
      <c r="H599" s="89">
        <f>C599*D599</f>
        <v>75</v>
      </c>
      <c r="I599" s="102" t="s">
        <v>163</v>
      </c>
      <c r="J599" s="268"/>
    </row>
    <row r="600" spans="1:14" ht="20.149999999999999" customHeight="1">
      <c r="A600" s="28"/>
      <c r="B600" s="30" t="s">
        <v>301</v>
      </c>
      <c r="C600" s="31">
        <f>4</f>
        <v>4</v>
      </c>
      <c r="D600" s="89">
        <f>7.5*2+3.75</f>
        <v>18.75</v>
      </c>
      <c r="E600" s="89"/>
      <c r="F600" s="89"/>
      <c r="G600" s="95"/>
      <c r="H600" s="89">
        <f>C600*D600</f>
        <v>75</v>
      </c>
      <c r="I600" s="102" t="s">
        <v>163</v>
      </c>
      <c r="J600" s="268"/>
    </row>
    <row r="601" spans="1:14" ht="20.149999999999999" customHeight="1">
      <c r="A601" s="28"/>
      <c r="B601" s="30"/>
      <c r="C601" s="31"/>
      <c r="D601" s="89"/>
      <c r="E601" s="89"/>
      <c r="F601" s="89"/>
      <c r="G601" s="95"/>
      <c r="H601" s="89"/>
      <c r="I601" s="102">
        <f>SUM(H599:H600)</f>
        <v>150</v>
      </c>
      <c r="J601" s="268"/>
    </row>
    <row r="602" spans="1:14" ht="20.149999999999999" customHeight="1">
      <c r="A602" s="28"/>
      <c r="B602" s="30"/>
      <c r="C602" s="31"/>
      <c r="D602" s="89"/>
      <c r="E602" s="89"/>
      <c r="F602" s="89"/>
      <c r="G602" s="95"/>
      <c r="H602" s="91">
        <f>SUM(H597:H600)</f>
        <v>191.5</v>
      </c>
      <c r="I602" s="105" t="s">
        <v>163</v>
      </c>
      <c r="J602" s="267"/>
    </row>
    <row r="603" spans="1:14" ht="20.149999999999999" customHeight="1">
      <c r="A603" s="28"/>
      <c r="B603" s="30"/>
      <c r="C603" s="31"/>
      <c r="D603" s="89"/>
      <c r="E603" s="89"/>
      <c r="F603" s="89"/>
      <c r="G603" s="95"/>
      <c r="H603" s="89"/>
      <c r="I603" s="102"/>
      <c r="J603" s="268"/>
    </row>
    <row r="604" spans="1:14" s="1" customFormat="1" ht="19.899999999999999" customHeight="1">
      <c r="A604" s="97">
        <v>14</v>
      </c>
      <c r="B604" s="184" t="s">
        <v>115</v>
      </c>
      <c r="C604" s="31"/>
      <c r="D604" s="89"/>
      <c r="E604" s="89"/>
      <c r="F604" s="89"/>
      <c r="G604" s="89"/>
      <c r="H604" s="89"/>
      <c r="I604" s="134"/>
      <c r="J604" s="272"/>
    </row>
    <row r="605" spans="1:14" s="1" customFormat="1" ht="19.899999999999999" customHeight="1">
      <c r="A605" s="97"/>
      <c r="B605" s="162" t="s">
        <v>310</v>
      </c>
      <c r="C605" s="166"/>
      <c r="D605" s="166"/>
      <c r="E605" s="167"/>
      <c r="F605" s="166"/>
      <c r="G605" s="168"/>
      <c r="H605" s="169"/>
      <c r="I605" s="28"/>
      <c r="J605" s="85"/>
    </row>
    <row r="606" spans="1:14" s="1" customFormat="1" ht="19.899999999999999" customHeight="1">
      <c r="A606" s="28"/>
      <c r="B606" s="30" t="s">
        <v>216</v>
      </c>
      <c r="C606" s="170">
        <v>2</v>
      </c>
      <c r="D606" s="171">
        <f>(2+42.67)/2</f>
        <v>22.3</v>
      </c>
      <c r="E606" s="168">
        <v>23</v>
      </c>
      <c r="F606" s="168"/>
      <c r="G606" s="168"/>
      <c r="H606" s="169">
        <f>C606*D606*E606</f>
        <v>1025.8</v>
      </c>
      <c r="I606" s="28" t="s">
        <v>7</v>
      </c>
      <c r="J606" s="85">
        <v>2</v>
      </c>
      <c r="K606" s="1">
        <v>17</v>
      </c>
      <c r="L606" s="1">
        <v>23</v>
      </c>
      <c r="N606" s="1">
        <f>J606*K606*L606</f>
        <v>782</v>
      </c>
    </row>
    <row r="607" spans="1:14" s="1" customFormat="1" ht="19.899999999999999" customHeight="1">
      <c r="A607" s="28"/>
      <c r="B607" s="30" t="s">
        <v>217</v>
      </c>
      <c r="C607" s="170">
        <v>2</v>
      </c>
      <c r="D607" s="171">
        <v>8.5</v>
      </c>
      <c r="E607" s="168">
        <v>19.25</v>
      </c>
      <c r="F607" s="168"/>
      <c r="G607" s="168"/>
      <c r="H607" s="169">
        <f>C607*D607*E607</f>
        <v>327.25</v>
      </c>
      <c r="I607" s="28" t="s">
        <v>7</v>
      </c>
      <c r="J607" s="85"/>
    </row>
    <row r="608" spans="1:14" s="1" customFormat="1" ht="19.899999999999999" customHeight="1">
      <c r="A608" s="28"/>
      <c r="B608" s="30" t="s">
        <v>218</v>
      </c>
      <c r="C608" s="170">
        <v>2</v>
      </c>
      <c r="D608" s="171">
        <f>(40.67+0)/2</f>
        <v>20.3</v>
      </c>
      <c r="E608" s="168">
        <v>23</v>
      </c>
      <c r="F608" s="168"/>
      <c r="G608" s="168"/>
      <c r="H608" s="169">
        <f>C608*D608*E608</f>
        <v>933.8</v>
      </c>
      <c r="I608" s="28" t="s">
        <v>7</v>
      </c>
      <c r="J608" s="85">
        <v>2</v>
      </c>
      <c r="K608" s="1">
        <v>16</v>
      </c>
      <c r="L608" s="1">
        <v>23</v>
      </c>
      <c r="N608" s="1">
        <f>J608*K608*L608</f>
        <v>736</v>
      </c>
    </row>
    <row r="609" spans="1:16" s="1" customFormat="1" ht="19.899999999999999" customHeight="1">
      <c r="A609" s="28"/>
      <c r="B609" s="30" t="s">
        <v>219</v>
      </c>
      <c r="C609" s="170">
        <v>2</v>
      </c>
      <c r="D609" s="171">
        <v>6.5</v>
      </c>
      <c r="E609" s="168">
        <v>8.75</v>
      </c>
      <c r="F609" s="168"/>
      <c r="G609" s="168"/>
      <c r="H609" s="169">
        <f>C609*D609*E609</f>
        <v>113.75</v>
      </c>
      <c r="I609" s="28" t="s">
        <v>7</v>
      </c>
      <c r="J609" s="85"/>
    </row>
    <row r="610" spans="1:16" s="1" customFormat="1" ht="19.899999999999999" customHeight="1">
      <c r="A610" s="28"/>
      <c r="B610" s="30"/>
      <c r="C610" s="170">
        <v>2</v>
      </c>
      <c r="D610" s="171">
        <v>5.7</v>
      </c>
      <c r="E610" s="168">
        <v>7.92</v>
      </c>
      <c r="F610" s="168"/>
      <c r="G610" s="168"/>
      <c r="H610" s="169">
        <f>C610*D610*E610</f>
        <v>90.29</v>
      </c>
      <c r="I610" s="28" t="s">
        <v>7</v>
      </c>
      <c r="J610" s="85"/>
      <c r="N610" s="1">
        <f>SUM(N606:N609)</f>
        <v>1518</v>
      </c>
      <c r="P610" s="1">
        <f>14*2+16*4+19*4</f>
        <v>168</v>
      </c>
    </row>
    <row r="611" spans="1:16" s="1" customFormat="1" ht="19.899999999999999" customHeight="1">
      <c r="A611" s="28"/>
      <c r="B611" s="30"/>
      <c r="C611" s="172"/>
      <c r="D611" s="168"/>
      <c r="E611" s="168"/>
      <c r="F611" s="168"/>
      <c r="G611" s="168"/>
      <c r="H611" s="169">
        <f>SUM(H606:H610)</f>
        <v>2490.89</v>
      </c>
      <c r="I611" s="28" t="s">
        <v>116</v>
      </c>
      <c r="J611" s="85"/>
      <c r="P611" s="1">
        <f>N610-P610</f>
        <v>1350</v>
      </c>
    </row>
    <row r="612" spans="1:16" s="1" customFormat="1" ht="19.899999999999999" customHeight="1">
      <c r="A612" s="28"/>
      <c r="B612" s="30"/>
      <c r="C612" s="172"/>
      <c r="D612" s="168"/>
      <c r="E612" s="168"/>
      <c r="F612" s="168"/>
      <c r="G612" s="168"/>
      <c r="H612" s="169"/>
      <c r="I612" s="28"/>
      <c r="J612" s="85"/>
    </row>
    <row r="613" spans="1:16" s="1" customFormat="1" ht="19.899999999999999" customHeight="1">
      <c r="A613" s="28"/>
      <c r="B613" s="92" t="s">
        <v>311</v>
      </c>
      <c r="C613" s="172"/>
      <c r="D613" s="168"/>
      <c r="E613" s="168"/>
      <c r="F613" s="168"/>
      <c r="G613" s="168"/>
      <c r="H613" s="169"/>
      <c r="I613" s="28"/>
      <c r="J613" s="85"/>
    </row>
    <row r="614" spans="1:16" s="1" customFormat="1" ht="19.899999999999999" customHeight="1">
      <c r="A614" s="28"/>
      <c r="B614" s="92" t="s">
        <v>404</v>
      </c>
      <c r="C614" s="172"/>
      <c r="D614" s="168"/>
      <c r="E614" s="168"/>
      <c r="F614" s="168"/>
      <c r="G614" s="168"/>
      <c r="H614" s="169"/>
      <c r="I614" s="28"/>
      <c r="J614" s="85"/>
    </row>
    <row r="615" spans="1:16" s="1" customFormat="1" ht="19.899999999999999" customHeight="1">
      <c r="A615" s="28"/>
      <c r="B615" s="92" t="s">
        <v>405</v>
      </c>
      <c r="C615" s="172">
        <v>4</v>
      </c>
      <c r="D615" s="168">
        <v>4.17</v>
      </c>
      <c r="E615" s="168"/>
      <c r="F615" s="168"/>
      <c r="G615" s="168"/>
      <c r="H615" s="169">
        <f>C615*D615</f>
        <v>16.68</v>
      </c>
      <c r="I615" s="28" t="s">
        <v>163</v>
      </c>
      <c r="J615" s="85"/>
    </row>
    <row r="616" spans="1:16" s="1" customFormat="1" ht="19.899999999999999" customHeight="1">
      <c r="A616" s="28"/>
      <c r="B616" s="92"/>
      <c r="C616" s="172"/>
      <c r="D616" s="168"/>
      <c r="E616" s="168"/>
      <c r="F616" s="168"/>
      <c r="G616" s="168"/>
      <c r="H616" s="169">
        <f>ROUND(H615/19,0)</f>
        <v>1</v>
      </c>
      <c r="I616" s="28" t="s">
        <v>79</v>
      </c>
      <c r="J616" s="85"/>
    </row>
    <row r="617" spans="1:16" s="1" customFormat="1" ht="19.899999999999999" customHeight="1">
      <c r="A617" s="28"/>
      <c r="B617" s="92" t="s">
        <v>313</v>
      </c>
      <c r="C617" s="172"/>
      <c r="D617" s="168"/>
      <c r="E617" s="168"/>
      <c r="F617" s="168"/>
      <c r="G617" s="168"/>
      <c r="H617" s="169"/>
      <c r="I617" s="28"/>
      <c r="J617" s="85"/>
    </row>
    <row r="618" spans="1:16" s="1" customFormat="1" ht="19.899999999999999" customHeight="1">
      <c r="A618" s="28"/>
      <c r="B618" s="28" t="s">
        <v>221</v>
      </c>
      <c r="C618" s="172"/>
      <c r="D618" s="168"/>
      <c r="E618" s="168"/>
      <c r="F618" s="168"/>
      <c r="G618" s="168"/>
      <c r="H618" s="169"/>
      <c r="I618" s="28"/>
      <c r="J618" s="85"/>
      <c r="L618" s="1">
        <f>18.5/3+1</f>
        <v>7.1666666666666696</v>
      </c>
    </row>
    <row r="619" spans="1:16" s="1" customFormat="1" ht="19.899999999999999" customHeight="1">
      <c r="A619" s="28"/>
      <c r="B619" s="30" t="s">
        <v>222</v>
      </c>
      <c r="C619" s="172">
        <v>1</v>
      </c>
      <c r="D619" s="168">
        <f>9.17</f>
        <v>9.17</v>
      </c>
      <c r="E619" s="168"/>
      <c r="F619" s="168"/>
      <c r="G619" s="168"/>
      <c r="H619" s="169">
        <f t="shared" ref="H619:H628" si="50">C619*D619</f>
        <v>9.17</v>
      </c>
      <c r="I619" s="28" t="s">
        <v>21</v>
      </c>
      <c r="J619" s="85"/>
    </row>
    <row r="620" spans="1:16" s="1" customFormat="1" ht="19.899999999999999" customHeight="1">
      <c r="A620" s="28"/>
      <c r="B620" s="30"/>
      <c r="C620" s="172">
        <v>2</v>
      </c>
      <c r="D620" s="168">
        <v>5.67</v>
      </c>
      <c r="E620" s="168"/>
      <c r="F620" s="168"/>
      <c r="G620" s="168"/>
      <c r="H620" s="169">
        <f t="shared" si="50"/>
        <v>11.34</v>
      </c>
      <c r="I620" s="28" t="s">
        <v>21</v>
      </c>
      <c r="J620" s="85"/>
    </row>
    <row r="621" spans="1:16" s="1" customFormat="1" ht="19.899999999999999" customHeight="1">
      <c r="A621" s="28"/>
      <c r="B621" s="30" t="s">
        <v>223</v>
      </c>
      <c r="C621" s="172">
        <v>1</v>
      </c>
      <c r="D621" s="168">
        <f>46.33</f>
        <v>46.33</v>
      </c>
      <c r="E621" s="168"/>
      <c r="F621" s="168"/>
      <c r="G621" s="168"/>
      <c r="H621" s="169">
        <f t="shared" si="50"/>
        <v>46.33</v>
      </c>
      <c r="I621" s="28" t="s">
        <v>21</v>
      </c>
      <c r="J621" s="85"/>
    </row>
    <row r="622" spans="1:16" s="1" customFormat="1" ht="19.899999999999999" customHeight="1">
      <c r="A622" s="28"/>
      <c r="B622" s="30" t="s">
        <v>224</v>
      </c>
      <c r="C622" s="172">
        <v>1</v>
      </c>
      <c r="D622" s="168">
        <f>37.83</f>
        <v>37.83</v>
      </c>
      <c r="E622" s="168"/>
      <c r="F622" s="168"/>
      <c r="G622" s="168"/>
      <c r="H622" s="169">
        <f t="shared" si="50"/>
        <v>37.83</v>
      </c>
      <c r="I622" s="28" t="s">
        <v>21</v>
      </c>
      <c r="J622" s="85"/>
    </row>
    <row r="623" spans="1:16" s="1" customFormat="1" ht="19.899999999999999" customHeight="1">
      <c r="A623" s="28"/>
      <c r="B623" s="30"/>
      <c r="C623" s="172">
        <v>1</v>
      </c>
      <c r="D623" s="168">
        <v>8.5</v>
      </c>
      <c r="E623" s="168"/>
      <c r="F623" s="168"/>
      <c r="G623" s="168"/>
      <c r="H623" s="169">
        <f t="shared" si="50"/>
        <v>8.5</v>
      </c>
      <c r="I623" s="28" t="s">
        <v>21</v>
      </c>
      <c r="J623" s="85"/>
    </row>
    <row r="624" spans="1:16" s="1" customFormat="1" ht="19.899999999999999" customHeight="1">
      <c r="A624" s="28"/>
      <c r="B624" s="30" t="s">
        <v>225</v>
      </c>
      <c r="C624" s="172">
        <v>1</v>
      </c>
      <c r="D624" s="168">
        <v>35.83</v>
      </c>
      <c r="E624" s="168"/>
      <c r="F624" s="168"/>
      <c r="G624" s="168"/>
      <c r="H624" s="169">
        <f t="shared" si="50"/>
        <v>35.83</v>
      </c>
      <c r="I624" s="28" t="s">
        <v>21</v>
      </c>
      <c r="J624" s="85"/>
    </row>
    <row r="625" spans="1:10" s="1" customFormat="1" ht="19.899999999999999" customHeight="1">
      <c r="A625" s="28"/>
      <c r="B625" s="30" t="s">
        <v>226</v>
      </c>
      <c r="C625" s="172">
        <v>1</v>
      </c>
      <c r="D625" s="168">
        <v>29.33</v>
      </c>
      <c r="E625" s="168"/>
      <c r="F625" s="168"/>
      <c r="G625" s="168"/>
      <c r="H625" s="169">
        <f t="shared" si="50"/>
        <v>29.33</v>
      </c>
      <c r="I625" s="28" t="s">
        <v>21</v>
      </c>
      <c r="J625" s="85"/>
    </row>
    <row r="626" spans="1:10" s="1" customFormat="1" ht="19.899999999999999" customHeight="1">
      <c r="A626" s="28"/>
      <c r="B626" s="30" t="s">
        <v>227</v>
      </c>
      <c r="C626" s="172">
        <v>1</v>
      </c>
      <c r="D626" s="168">
        <v>6.5</v>
      </c>
      <c r="E626" s="168"/>
      <c r="F626" s="168"/>
      <c r="G626" s="168"/>
      <c r="H626" s="169">
        <f t="shared" si="50"/>
        <v>6.5</v>
      </c>
      <c r="I626" s="28" t="s">
        <v>21</v>
      </c>
      <c r="J626" s="85"/>
    </row>
    <row r="627" spans="1:10" s="1" customFormat="1" ht="19.899999999999999" customHeight="1">
      <c r="A627" s="28"/>
      <c r="B627" s="30"/>
      <c r="C627" s="172">
        <v>1</v>
      </c>
      <c r="D627" s="168">
        <v>10.83</v>
      </c>
      <c r="E627" s="168"/>
      <c r="F627" s="168"/>
      <c r="G627" s="168"/>
      <c r="H627" s="169">
        <f t="shared" si="50"/>
        <v>10.83</v>
      </c>
      <c r="I627" s="28" t="s">
        <v>21</v>
      </c>
      <c r="J627" s="85"/>
    </row>
    <row r="628" spans="1:10" s="1" customFormat="1" ht="19.899999999999999" customHeight="1">
      <c r="A628" s="28"/>
      <c r="B628" s="30"/>
      <c r="C628" s="172">
        <v>2</v>
      </c>
      <c r="D628" s="168">
        <v>6.5</v>
      </c>
      <c r="E628" s="168"/>
      <c r="F628" s="168"/>
      <c r="G628" s="168"/>
      <c r="H628" s="169">
        <f t="shared" si="50"/>
        <v>13</v>
      </c>
      <c r="I628" s="28" t="s">
        <v>21</v>
      </c>
      <c r="J628" s="85"/>
    </row>
    <row r="629" spans="1:10" s="1" customFormat="1" ht="19.899999999999999" customHeight="1">
      <c r="A629" s="28"/>
      <c r="B629" s="28" t="s">
        <v>228</v>
      </c>
      <c r="C629" s="172"/>
      <c r="D629" s="168"/>
      <c r="E629" s="168"/>
      <c r="F629" s="168"/>
      <c r="G629" s="168"/>
      <c r="H629" s="169"/>
      <c r="I629" s="28"/>
      <c r="J629" s="85"/>
    </row>
    <row r="630" spans="1:10" s="1" customFormat="1" ht="19.899999999999999" customHeight="1">
      <c r="A630" s="28"/>
      <c r="B630" s="30"/>
      <c r="C630" s="172">
        <v>1</v>
      </c>
      <c r="D630" s="168">
        <v>2</v>
      </c>
      <c r="E630" s="168"/>
      <c r="F630" s="168"/>
      <c r="G630" s="168"/>
      <c r="H630" s="169">
        <f t="shared" ref="H630:H635" si="51">C630*D630</f>
        <v>2</v>
      </c>
      <c r="I630" s="28" t="s">
        <v>21</v>
      </c>
      <c r="J630" s="85"/>
    </row>
    <row r="631" spans="1:10" s="1" customFormat="1" ht="19.899999999999999" customHeight="1">
      <c r="A631" s="28"/>
      <c r="B631" s="30"/>
      <c r="C631" s="172">
        <v>1</v>
      </c>
      <c r="D631" s="168">
        <v>8.5</v>
      </c>
      <c r="E631" s="168"/>
      <c r="F631" s="168"/>
      <c r="G631" s="168"/>
      <c r="H631" s="169">
        <f t="shared" si="51"/>
        <v>8.5</v>
      </c>
      <c r="I631" s="28" t="s">
        <v>21</v>
      </c>
      <c r="J631" s="85"/>
    </row>
    <row r="632" spans="1:10" s="1" customFormat="1" ht="19.899999999999999" customHeight="1">
      <c r="A632" s="28"/>
      <c r="B632" s="30"/>
      <c r="C632" s="172">
        <v>2</v>
      </c>
      <c r="D632" s="168">
        <f>20.33</f>
        <v>20.329999999999998</v>
      </c>
      <c r="E632" s="168"/>
      <c r="F632" s="168"/>
      <c r="G632" s="168"/>
      <c r="H632" s="169">
        <f t="shared" si="51"/>
        <v>40.659999999999997</v>
      </c>
      <c r="I632" s="28" t="s">
        <v>21</v>
      </c>
      <c r="J632" s="85"/>
    </row>
    <row r="633" spans="1:10" s="1" customFormat="1" ht="19.899999999999999" customHeight="1">
      <c r="A633" s="28"/>
      <c r="B633" s="30"/>
      <c r="C633" s="172">
        <v>2</v>
      </c>
      <c r="D633" s="168">
        <f>18.33</f>
        <v>18.329999999999998</v>
      </c>
      <c r="E633" s="168"/>
      <c r="F633" s="168"/>
      <c r="G633" s="168"/>
      <c r="H633" s="169">
        <f t="shared" si="51"/>
        <v>36.659999999999997</v>
      </c>
      <c r="I633" s="28" t="s">
        <v>21</v>
      </c>
      <c r="J633" s="85"/>
    </row>
    <row r="634" spans="1:10" s="1" customFormat="1" ht="19.899999999999999" customHeight="1">
      <c r="A634" s="28"/>
      <c r="B634" s="30"/>
      <c r="C634" s="172">
        <v>2</v>
      </c>
      <c r="D634" s="168">
        <v>8.5</v>
      </c>
      <c r="E634" s="168"/>
      <c r="F634" s="168"/>
      <c r="G634" s="168"/>
      <c r="H634" s="169">
        <f t="shared" si="51"/>
        <v>17</v>
      </c>
      <c r="I634" s="28" t="s">
        <v>21</v>
      </c>
      <c r="J634" s="85"/>
    </row>
    <row r="635" spans="1:10" s="1" customFormat="1" ht="19.899999999999999" customHeight="1">
      <c r="A635" s="28"/>
      <c r="B635" s="30"/>
      <c r="C635" s="172">
        <v>2</v>
      </c>
      <c r="D635" s="168">
        <v>16.829999999999998</v>
      </c>
      <c r="E635" s="168"/>
      <c r="F635" s="168"/>
      <c r="G635" s="168"/>
      <c r="H635" s="169">
        <f t="shared" si="51"/>
        <v>33.659999999999997</v>
      </c>
      <c r="I635" s="28" t="s">
        <v>21</v>
      </c>
      <c r="J635" s="85"/>
    </row>
    <row r="636" spans="1:10" s="1" customFormat="1" ht="19.899999999999999" customHeight="1">
      <c r="A636" s="28"/>
      <c r="B636" s="30"/>
      <c r="C636" s="172"/>
      <c r="D636" s="168"/>
      <c r="E636" s="168"/>
      <c r="F636" s="168"/>
      <c r="G636" s="168"/>
      <c r="H636" s="169">
        <f>SUM(H619:H635)</f>
        <v>347.14</v>
      </c>
      <c r="I636" s="28" t="s">
        <v>21</v>
      </c>
      <c r="J636" s="85"/>
    </row>
    <row r="637" spans="1:10" s="1" customFormat="1" ht="19.899999999999999" customHeight="1">
      <c r="A637" s="28"/>
      <c r="B637" s="30"/>
      <c r="C637" s="172"/>
      <c r="D637" s="168"/>
      <c r="E637" s="168"/>
      <c r="F637" s="168"/>
      <c r="G637" s="168"/>
      <c r="H637" s="168" t="s">
        <v>79</v>
      </c>
      <c r="I637" s="133">
        <f>H636/19.5</f>
        <v>17.8</v>
      </c>
      <c r="J637" s="273"/>
    </row>
    <row r="638" spans="1:10" s="1" customFormat="1" ht="19.899999999999999" customHeight="1">
      <c r="A638" s="28"/>
      <c r="B638" s="30"/>
      <c r="C638" s="172"/>
      <c r="D638" s="168"/>
      <c r="E638" s="168"/>
      <c r="F638" s="168"/>
      <c r="G638" s="168"/>
      <c r="H638" s="169"/>
      <c r="I638" s="28"/>
      <c r="J638" s="85"/>
    </row>
    <row r="639" spans="1:10" s="1" customFormat="1" ht="19.899999999999999" customHeight="1">
      <c r="A639" s="28"/>
      <c r="B639" s="92" t="s">
        <v>314</v>
      </c>
      <c r="C639" s="172"/>
      <c r="D639" s="168"/>
      <c r="E639" s="168"/>
      <c r="F639" s="168"/>
      <c r="G639" s="168"/>
      <c r="H639" s="169"/>
      <c r="I639" s="28"/>
      <c r="J639" s="85"/>
    </row>
    <row r="640" spans="1:10" s="1" customFormat="1" ht="19.899999999999999" customHeight="1">
      <c r="A640" s="28"/>
      <c r="B640" s="30" t="s">
        <v>231</v>
      </c>
      <c r="C640" s="172">
        <v>4</v>
      </c>
      <c r="D640" s="168">
        <v>29.5</v>
      </c>
      <c r="E640" s="168"/>
      <c r="F640" s="168"/>
      <c r="G640" s="168"/>
      <c r="H640" s="169">
        <f t="shared" ref="H640:H645" si="52">C640*D640</f>
        <v>118</v>
      </c>
      <c r="I640" s="28" t="s">
        <v>21</v>
      </c>
      <c r="J640" s="85"/>
    </row>
    <row r="641" spans="1:10" s="1" customFormat="1" ht="19.899999999999999" customHeight="1">
      <c r="A641" s="28"/>
      <c r="B641" s="30" t="s">
        <v>232</v>
      </c>
      <c r="C641" s="172">
        <v>3</v>
      </c>
      <c r="D641" s="168">
        <v>24.58</v>
      </c>
      <c r="E641" s="168"/>
      <c r="F641" s="168"/>
      <c r="G641" s="168"/>
      <c r="H641" s="169">
        <f t="shared" si="52"/>
        <v>73.739999999999995</v>
      </c>
      <c r="I641" s="28" t="s">
        <v>21</v>
      </c>
      <c r="J641" s="85"/>
    </row>
    <row r="642" spans="1:10" s="1" customFormat="1" ht="19.899999999999999" customHeight="1">
      <c r="A642" s="28"/>
      <c r="B642" s="30" t="s">
        <v>230</v>
      </c>
      <c r="C642" s="172">
        <v>1</v>
      </c>
      <c r="D642" s="168">
        <v>5.67</v>
      </c>
      <c r="E642" s="168"/>
      <c r="F642" s="168"/>
      <c r="G642" s="168"/>
      <c r="H642" s="169">
        <f t="shared" si="52"/>
        <v>5.67</v>
      </c>
      <c r="I642" s="28" t="s">
        <v>21</v>
      </c>
      <c r="J642" s="85"/>
    </row>
    <row r="643" spans="1:10" s="1" customFormat="1" ht="19.899999999999999" customHeight="1">
      <c r="A643" s="28"/>
      <c r="B643" s="30" t="s">
        <v>233</v>
      </c>
      <c r="C643" s="172">
        <v>4</v>
      </c>
      <c r="D643" s="168">
        <v>10.33</v>
      </c>
      <c r="E643" s="168"/>
      <c r="F643" s="168"/>
      <c r="G643" s="168"/>
      <c r="H643" s="169">
        <f t="shared" si="52"/>
        <v>41.32</v>
      </c>
      <c r="I643" s="28" t="s">
        <v>21</v>
      </c>
      <c r="J643" s="85"/>
    </row>
    <row r="644" spans="1:10" s="1" customFormat="1" ht="19.899999999999999" customHeight="1">
      <c r="A644" s="28"/>
      <c r="B644" s="30" t="s">
        <v>234</v>
      </c>
      <c r="C644" s="172">
        <v>1</v>
      </c>
      <c r="D644" s="168">
        <v>6.5</v>
      </c>
      <c r="E644" s="168"/>
      <c r="F644" s="168"/>
      <c r="G644" s="168"/>
      <c r="H644" s="169">
        <f t="shared" si="52"/>
        <v>6.5</v>
      </c>
      <c r="I644" s="28" t="s">
        <v>21</v>
      </c>
      <c r="J644" s="85"/>
    </row>
    <row r="645" spans="1:10" s="1" customFormat="1" ht="19.899999999999999" customHeight="1">
      <c r="A645" s="28"/>
      <c r="B645" s="30" t="s">
        <v>232</v>
      </c>
      <c r="C645" s="172">
        <v>3</v>
      </c>
      <c r="D645" s="168">
        <v>10.75</v>
      </c>
      <c r="E645" s="168"/>
      <c r="F645" s="168"/>
      <c r="G645" s="168"/>
      <c r="H645" s="169">
        <f t="shared" si="52"/>
        <v>32.25</v>
      </c>
      <c r="I645" s="28" t="s">
        <v>21</v>
      </c>
      <c r="J645" s="85"/>
    </row>
    <row r="646" spans="1:10" s="1" customFormat="1" ht="19.899999999999999" customHeight="1">
      <c r="A646" s="28"/>
      <c r="B646" s="28" t="s">
        <v>235</v>
      </c>
      <c r="C646" s="172"/>
      <c r="D646" s="168"/>
      <c r="E646" s="168"/>
      <c r="F646" s="168"/>
      <c r="G646" s="168"/>
      <c r="H646" s="169"/>
      <c r="I646" s="28"/>
      <c r="J646" s="85"/>
    </row>
    <row r="647" spans="1:10" s="1" customFormat="1" ht="19.899999999999999" customHeight="1">
      <c r="A647" s="28"/>
      <c r="B647" s="30"/>
      <c r="C647" s="172">
        <v>1</v>
      </c>
      <c r="D647" s="168">
        <v>7.5</v>
      </c>
      <c r="E647" s="168"/>
      <c r="F647" s="168"/>
      <c r="G647" s="168"/>
      <c r="H647" s="169">
        <f t="shared" ref="H647:H656" si="53">C647*D647</f>
        <v>7.5</v>
      </c>
      <c r="I647" s="28" t="s">
        <v>21</v>
      </c>
      <c r="J647" s="85"/>
    </row>
    <row r="648" spans="1:10" s="1" customFormat="1" ht="19.899999999999999" customHeight="1">
      <c r="A648" s="28"/>
      <c r="B648" s="30"/>
      <c r="C648" s="172">
        <v>1</v>
      </c>
      <c r="D648" s="168">
        <v>12.5</v>
      </c>
      <c r="E648" s="168"/>
      <c r="F648" s="168"/>
      <c r="G648" s="168"/>
      <c r="H648" s="169">
        <f t="shared" si="53"/>
        <v>12.5</v>
      </c>
      <c r="I648" s="28" t="s">
        <v>21</v>
      </c>
      <c r="J648" s="85"/>
    </row>
    <row r="649" spans="1:10" s="1" customFormat="1" ht="19.899999999999999" customHeight="1">
      <c r="A649" s="28"/>
      <c r="B649" s="30"/>
      <c r="C649" s="172">
        <v>1</v>
      </c>
      <c r="D649" s="168">
        <v>17.5</v>
      </c>
      <c r="E649" s="168"/>
      <c r="F649" s="168"/>
      <c r="G649" s="168"/>
      <c r="H649" s="169">
        <f t="shared" si="53"/>
        <v>17.5</v>
      </c>
      <c r="I649" s="28" t="s">
        <v>21</v>
      </c>
      <c r="J649" s="85"/>
    </row>
    <row r="650" spans="1:10" s="1" customFormat="1" ht="19.899999999999999" customHeight="1">
      <c r="A650" s="28"/>
      <c r="B650" s="30"/>
      <c r="C650" s="172">
        <v>2</v>
      </c>
      <c r="D650" s="168">
        <v>22</v>
      </c>
      <c r="E650" s="168"/>
      <c r="F650" s="168"/>
      <c r="G650" s="168"/>
      <c r="H650" s="169">
        <f t="shared" si="53"/>
        <v>44</v>
      </c>
      <c r="I650" s="28" t="s">
        <v>21</v>
      </c>
      <c r="J650" s="85"/>
    </row>
    <row r="651" spans="1:10" s="1" customFormat="1" ht="19.899999999999999" customHeight="1">
      <c r="A651" s="28"/>
      <c r="B651" s="30"/>
      <c r="C651" s="172">
        <v>1</v>
      </c>
      <c r="D651" s="168">
        <v>19</v>
      </c>
      <c r="E651" s="168"/>
      <c r="F651" s="168"/>
      <c r="G651" s="168"/>
      <c r="H651" s="169">
        <f t="shared" si="53"/>
        <v>19</v>
      </c>
      <c r="I651" s="28" t="s">
        <v>21</v>
      </c>
      <c r="J651" s="85"/>
    </row>
    <row r="652" spans="1:10" s="1" customFormat="1" ht="19.899999999999999" customHeight="1">
      <c r="A652" s="28"/>
      <c r="B652" s="30"/>
      <c r="C652" s="172">
        <v>1</v>
      </c>
      <c r="D652" s="168">
        <v>13.25</v>
      </c>
      <c r="E652" s="168"/>
      <c r="F652" s="168"/>
      <c r="G652" s="168"/>
      <c r="H652" s="169">
        <f t="shared" si="53"/>
        <v>13.25</v>
      </c>
      <c r="I652" s="28" t="s">
        <v>21</v>
      </c>
      <c r="J652" s="85"/>
    </row>
    <row r="653" spans="1:10" s="1" customFormat="1" ht="19.899999999999999" customHeight="1">
      <c r="A653" s="28"/>
      <c r="B653" s="30"/>
      <c r="C653" s="172">
        <v>1</v>
      </c>
      <c r="D653" s="168">
        <v>19</v>
      </c>
      <c r="E653" s="168"/>
      <c r="F653" s="168"/>
      <c r="G653" s="168"/>
      <c r="H653" s="169">
        <f>C653*D653</f>
        <v>19</v>
      </c>
      <c r="I653" s="28" t="s">
        <v>21</v>
      </c>
      <c r="J653" s="85"/>
    </row>
    <row r="654" spans="1:10" s="1" customFormat="1" ht="19.899999999999999" customHeight="1">
      <c r="A654" s="28"/>
      <c r="B654" s="30"/>
      <c r="C654" s="172">
        <v>1</v>
      </c>
      <c r="D654" s="168">
        <v>13.5</v>
      </c>
      <c r="E654" s="168"/>
      <c r="F654" s="168"/>
      <c r="G654" s="168"/>
      <c r="H654" s="169">
        <f t="shared" si="53"/>
        <v>13.5</v>
      </c>
      <c r="I654" s="28" t="s">
        <v>21</v>
      </c>
      <c r="J654" s="85"/>
    </row>
    <row r="655" spans="1:10" s="1" customFormat="1" ht="19.899999999999999" customHeight="1">
      <c r="A655" s="28"/>
      <c r="B655" s="30"/>
      <c r="C655" s="172">
        <v>1</v>
      </c>
      <c r="D655" s="168">
        <v>11.92</v>
      </c>
      <c r="E655" s="168"/>
      <c r="F655" s="168"/>
      <c r="G655" s="168"/>
      <c r="H655" s="169">
        <f t="shared" si="53"/>
        <v>11.92</v>
      </c>
      <c r="I655" s="28" t="s">
        <v>21</v>
      </c>
      <c r="J655" s="85"/>
    </row>
    <row r="656" spans="1:10" s="1" customFormat="1" ht="19.899999999999999" customHeight="1">
      <c r="A656" s="28"/>
      <c r="B656" s="30" t="s">
        <v>222</v>
      </c>
      <c r="C656" s="172">
        <v>1</v>
      </c>
      <c r="D656" s="168">
        <v>7.92</v>
      </c>
      <c r="E656" s="168"/>
      <c r="F656" s="168"/>
      <c r="G656" s="168"/>
      <c r="H656" s="169">
        <f t="shared" si="53"/>
        <v>7.92</v>
      </c>
      <c r="I656" s="28" t="s">
        <v>21</v>
      </c>
      <c r="J656" s="85"/>
    </row>
    <row r="657" spans="1:10" s="1" customFormat="1" ht="19.899999999999999" customHeight="1">
      <c r="A657" s="28"/>
      <c r="B657" s="28" t="s">
        <v>236</v>
      </c>
      <c r="C657" s="172"/>
      <c r="D657" s="168"/>
      <c r="E657" s="168"/>
      <c r="F657" s="168"/>
      <c r="G657" s="168"/>
      <c r="H657" s="169"/>
      <c r="I657" s="28"/>
      <c r="J657" s="85"/>
    </row>
    <row r="658" spans="1:10" s="1" customFormat="1" ht="19.899999999999999" customHeight="1">
      <c r="A658" s="28"/>
      <c r="B658" s="30"/>
      <c r="C658" s="172">
        <v>1</v>
      </c>
      <c r="D658" s="168">
        <v>7.5</v>
      </c>
      <c r="E658" s="168"/>
      <c r="F658" s="168"/>
      <c r="G658" s="168"/>
      <c r="H658" s="169">
        <f t="shared" ref="H658:H667" si="54">C658*D658</f>
        <v>7.5</v>
      </c>
      <c r="I658" s="28" t="s">
        <v>21</v>
      </c>
      <c r="J658" s="85"/>
    </row>
    <row r="659" spans="1:10" s="1" customFormat="1" ht="19.899999999999999" customHeight="1">
      <c r="A659" s="28"/>
      <c r="B659" s="30"/>
      <c r="C659" s="172">
        <v>1</v>
      </c>
      <c r="D659" s="168">
        <v>17.5</v>
      </c>
      <c r="E659" s="168"/>
      <c r="F659" s="168"/>
      <c r="G659" s="168"/>
      <c r="H659" s="169">
        <f t="shared" si="54"/>
        <v>17.5</v>
      </c>
      <c r="I659" s="28" t="s">
        <v>21</v>
      </c>
      <c r="J659" s="85"/>
    </row>
    <row r="660" spans="1:10" s="1" customFormat="1" ht="19.899999999999999" customHeight="1">
      <c r="A660" s="28"/>
      <c r="B660" s="30"/>
      <c r="C660" s="172">
        <v>2</v>
      </c>
      <c r="D660" s="168">
        <v>22.67</v>
      </c>
      <c r="E660" s="168"/>
      <c r="F660" s="168"/>
      <c r="G660" s="168"/>
      <c r="H660" s="169">
        <f t="shared" si="54"/>
        <v>45.34</v>
      </c>
      <c r="I660" s="28" t="s">
        <v>21</v>
      </c>
      <c r="J660" s="85"/>
    </row>
    <row r="661" spans="1:10" s="1" customFormat="1" ht="19.899999999999999" customHeight="1">
      <c r="A661" s="28"/>
      <c r="B661" s="30"/>
      <c r="C661" s="172">
        <v>1</v>
      </c>
      <c r="D661" s="168">
        <v>16.829999999999998</v>
      </c>
      <c r="E661" s="168"/>
      <c r="F661" s="168"/>
      <c r="G661" s="168"/>
      <c r="H661" s="169">
        <f t="shared" si="54"/>
        <v>16.829999999999998</v>
      </c>
      <c r="I661" s="28" t="s">
        <v>21</v>
      </c>
      <c r="J661" s="85"/>
    </row>
    <row r="662" spans="1:10" s="1" customFormat="1" ht="19.899999999999999" customHeight="1">
      <c r="A662" s="28"/>
      <c r="B662" s="30"/>
      <c r="C662" s="172">
        <v>1</v>
      </c>
      <c r="D662" s="168">
        <v>11.33</v>
      </c>
      <c r="E662" s="168"/>
      <c r="F662" s="168"/>
      <c r="G662" s="168"/>
      <c r="H662" s="169">
        <f t="shared" si="54"/>
        <v>11.33</v>
      </c>
      <c r="I662" s="28" t="s">
        <v>21</v>
      </c>
      <c r="J662" s="85"/>
    </row>
    <row r="663" spans="1:10" s="1" customFormat="1" ht="19.899999999999999" customHeight="1">
      <c r="A663" s="28"/>
      <c r="B663" s="30"/>
      <c r="C663" s="172">
        <v>1</v>
      </c>
      <c r="D663" s="168">
        <v>2.83</v>
      </c>
      <c r="E663" s="168"/>
      <c r="F663" s="168"/>
      <c r="G663" s="168"/>
      <c r="H663" s="169">
        <f t="shared" si="54"/>
        <v>2.83</v>
      </c>
      <c r="I663" s="28" t="s">
        <v>21</v>
      </c>
      <c r="J663" s="85"/>
    </row>
    <row r="664" spans="1:10" s="1" customFormat="1" ht="19.899999999999999" customHeight="1">
      <c r="A664" s="28"/>
      <c r="B664" s="30"/>
      <c r="C664" s="172">
        <v>1</v>
      </c>
      <c r="D664" s="168">
        <v>7.83</v>
      </c>
      <c r="E664" s="168"/>
      <c r="F664" s="168"/>
      <c r="G664" s="168"/>
      <c r="H664" s="169">
        <f t="shared" si="54"/>
        <v>7.83</v>
      </c>
      <c r="I664" s="28" t="s">
        <v>21</v>
      </c>
      <c r="J664" s="85"/>
    </row>
    <row r="665" spans="1:10" s="1" customFormat="1" ht="19.899999999999999" customHeight="1">
      <c r="A665" s="28"/>
      <c r="B665" s="30"/>
      <c r="C665" s="172">
        <v>2</v>
      </c>
      <c r="D665" s="168">
        <v>9.5</v>
      </c>
      <c r="E665" s="168"/>
      <c r="F665" s="168"/>
      <c r="G665" s="168"/>
      <c r="H665" s="169">
        <f t="shared" si="54"/>
        <v>19</v>
      </c>
      <c r="I665" s="28" t="s">
        <v>21</v>
      </c>
      <c r="J665" s="85"/>
    </row>
    <row r="666" spans="1:10" s="1" customFormat="1" ht="19.899999999999999" customHeight="1">
      <c r="A666" s="28"/>
      <c r="B666" s="30"/>
      <c r="C666" s="172">
        <v>1</v>
      </c>
      <c r="D666" s="168">
        <v>3.67</v>
      </c>
      <c r="E666" s="168"/>
      <c r="F666" s="168"/>
      <c r="G666" s="168"/>
      <c r="H666" s="169">
        <f t="shared" si="54"/>
        <v>3.67</v>
      </c>
      <c r="I666" s="28" t="s">
        <v>21</v>
      </c>
      <c r="J666" s="85"/>
    </row>
    <row r="667" spans="1:10" s="1" customFormat="1" ht="19.899999999999999" customHeight="1">
      <c r="A667" s="28"/>
      <c r="B667" s="30"/>
      <c r="C667" s="172">
        <v>1</v>
      </c>
      <c r="D667" s="168">
        <v>8.75</v>
      </c>
      <c r="E667" s="168"/>
      <c r="F667" s="168"/>
      <c r="G667" s="168"/>
      <c r="H667" s="169">
        <f t="shared" si="54"/>
        <v>8.75</v>
      </c>
      <c r="I667" s="28" t="s">
        <v>21</v>
      </c>
      <c r="J667" s="85"/>
    </row>
    <row r="668" spans="1:10" s="1" customFormat="1" ht="19.899999999999999" customHeight="1">
      <c r="A668" s="28"/>
      <c r="B668" s="28" t="s">
        <v>237</v>
      </c>
      <c r="C668" s="172"/>
      <c r="D668" s="168"/>
      <c r="E668" s="168"/>
      <c r="F668" s="168"/>
      <c r="G668" s="168"/>
      <c r="H668" s="169"/>
      <c r="I668" s="28"/>
      <c r="J668" s="85"/>
    </row>
    <row r="669" spans="1:10" s="1" customFormat="1" ht="19.899999999999999" customHeight="1">
      <c r="A669" s="28"/>
      <c r="B669" s="30"/>
      <c r="C669" s="172">
        <v>1</v>
      </c>
      <c r="D669" s="168">
        <v>7.92</v>
      </c>
      <c r="E669" s="168"/>
      <c r="F669" s="168"/>
      <c r="G669" s="168"/>
      <c r="H669" s="169">
        <f t="shared" ref="H669:H674" si="55">C669*D669</f>
        <v>7.92</v>
      </c>
      <c r="I669" s="28" t="s">
        <v>21</v>
      </c>
      <c r="J669" s="85"/>
    </row>
    <row r="670" spans="1:10" s="1" customFormat="1" ht="19.899999999999999" customHeight="1">
      <c r="A670" s="28"/>
      <c r="B670" s="30"/>
      <c r="C670" s="172">
        <v>1</v>
      </c>
      <c r="D670" s="168">
        <v>13.5</v>
      </c>
      <c r="E670" s="168"/>
      <c r="F670" s="168"/>
      <c r="G670" s="168"/>
      <c r="H670" s="169">
        <f t="shared" si="55"/>
        <v>13.5</v>
      </c>
      <c r="I670" s="28" t="s">
        <v>21</v>
      </c>
      <c r="J670" s="85"/>
    </row>
    <row r="671" spans="1:10" s="1" customFormat="1" ht="19.899999999999999" customHeight="1">
      <c r="A671" s="28"/>
      <c r="B671" s="30"/>
      <c r="C671" s="172">
        <v>1</v>
      </c>
      <c r="D671" s="168">
        <v>19</v>
      </c>
      <c r="E671" s="168"/>
      <c r="F671" s="168"/>
      <c r="G671" s="168"/>
      <c r="H671" s="169">
        <f t="shared" si="55"/>
        <v>19</v>
      </c>
      <c r="I671" s="28" t="s">
        <v>21</v>
      </c>
      <c r="J671" s="85"/>
    </row>
    <row r="672" spans="1:10" s="1" customFormat="1" ht="19.899999999999999" customHeight="1">
      <c r="A672" s="28"/>
      <c r="B672" s="30"/>
      <c r="C672" s="172">
        <v>1</v>
      </c>
      <c r="D672" s="168">
        <v>13.5</v>
      </c>
      <c r="E672" s="168"/>
      <c r="F672" s="168"/>
      <c r="G672" s="168"/>
      <c r="H672" s="169">
        <f t="shared" si="55"/>
        <v>13.5</v>
      </c>
      <c r="I672" s="28" t="s">
        <v>21</v>
      </c>
      <c r="J672" s="85"/>
    </row>
    <row r="673" spans="1:10" s="1" customFormat="1" ht="19.899999999999999" customHeight="1">
      <c r="A673" s="28"/>
      <c r="B673" s="30"/>
      <c r="C673" s="172">
        <v>1</v>
      </c>
      <c r="D673" s="168">
        <v>7.92</v>
      </c>
      <c r="E673" s="168"/>
      <c r="F673" s="168"/>
      <c r="G673" s="168"/>
      <c r="H673" s="169">
        <f t="shared" si="55"/>
        <v>7.92</v>
      </c>
      <c r="I673" s="28" t="s">
        <v>21</v>
      </c>
      <c r="J673" s="85"/>
    </row>
    <row r="674" spans="1:10" s="1" customFormat="1" ht="19.899999999999999" customHeight="1">
      <c r="A674" s="28"/>
      <c r="B674" s="30"/>
      <c r="C674" s="172">
        <v>4</v>
      </c>
      <c r="D674" s="168">
        <v>2.83</v>
      </c>
      <c r="E674" s="168"/>
      <c r="F674" s="168"/>
      <c r="G674" s="168"/>
      <c r="H674" s="169">
        <f t="shared" si="55"/>
        <v>11.32</v>
      </c>
      <c r="I674" s="28" t="s">
        <v>21</v>
      </c>
      <c r="J674" s="85"/>
    </row>
    <row r="675" spans="1:10" s="1" customFormat="1" ht="19.899999999999999" customHeight="1">
      <c r="A675" s="28"/>
      <c r="B675" s="28" t="s">
        <v>238</v>
      </c>
      <c r="C675" s="172"/>
      <c r="D675" s="168"/>
      <c r="E675" s="168"/>
      <c r="F675" s="168"/>
      <c r="G675" s="168"/>
      <c r="H675" s="169"/>
      <c r="I675" s="28"/>
      <c r="J675" s="85"/>
    </row>
    <row r="676" spans="1:10" s="1" customFormat="1" ht="19.899999999999999" customHeight="1">
      <c r="A676" s="28"/>
      <c r="B676" s="30"/>
      <c r="C676" s="172">
        <v>2</v>
      </c>
      <c r="D676" s="168">
        <v>7.5</v>
      </c>
      <c r="E676" s="168"/>
      <c r="F676" s="168"/>
      <c r="G676" s="168"/>
      <c r="H676" s="169">
        <f>C676*D676</f>
        <v>15</v>
      </c>
      <c r="I676" s="28" t="s">
        <v>21</v>
      </c>
      <c r="J676" s="85"/>
    </row>
    <row r="677" spans="1:10" s="1" customFormat="1" ht="19.899999999999999" customHeight="1">
      <c r="A677" s="28"/>
      <c r="B677" s="30"/>
      <c r="C677" s="172">
        <v>2</v>
      </c>
      <c r="D677" s="168">
        <v>12.5</v>
      </c>
      <c r="E677" s="168"/>
      <c r="F677" s="168"/>
      <c r="G677" s="168"/>
      <c r="H677" s="169">
        <f>C677*D677</f>
        <v>25</v>
      </c>
      <c r="I677" s="28" t="s">
        <v>21</v>
      </c>
      <c r="J677" s="85"/>
    </row>
    <row r="678" spans="1:10" s="1" customFormat="1" ht="19.899999999999999" customHeight="1">
      <c r="A678" s="28"/>
      <c r="B678" s="30"/>
      <c r="C678" s="172">
        <v>2</v>
      </c>
      <c r="D678" s="168">
        <v>17.5</v>
      </c>
      <c r="E678" s="168"/>
      <c r="F678" s="168"/>
      <c r="G678" s="168"/>
      <c r="H678" s="169">
        <f>C678*D678</f>
        <v>35</v>
      </c>
      <c r="I678" s="28" t="s">
        <v>21</v>
      </c>
      <c r="J678" s="85"/>
    </row>
    <row r="679" spans="1:10" s="1" customFormat="1" ht="19.899999999999999" customHeight="1">
      <c r="A679" s="28"/>
      <c r="B679" s="30"/>
      <c r="C679" s="172">
        <v>1</v>
      </c>
      <c r="D679" s="168">
        <v>22.67</v>
      </c>
      <c r="E679" s="168"/>
      <c r="F679" s="168"/>
      <c r="G679" s="168"/>
      <c r="H679" s="169">
        <f>C679*D679</f>
        <v>22.67</v>
      </c>
      <c r="I679" s="28" t="s">
        <v>21</v>
      </c>
      <c r="J679" s="85"/>
    </row>
    <row r="680" spans="1:10" s="1" customFormat="1" ht="19.899999999999999" customHeight="1">
      <c r="A680" s="28"/>
      <c r="B680" s="30"/>
      <c r="C680" s="172"/>
      <c r="D680" s="169"/>
      <c r="E680" s="169"/>
      <c r="F680" s="169"/>
      <c r="G680" s="168"/>
      <c r="H680" s="169">
        <f>SUM(H639:H679)</f>
        <v>754.98</v>
      </c>
      <c r="I680" s="28" t="s">
        <v>21</v>
      </c>
      <c r="J680" s="85"/>
    </row>
    <row r="681" spans="1:10" s="1" customFormat="1" ht="19.899999999999999" customHeight="1">
      <c r="A681" s="28"/>
      <c r="B681" s="30"/>
      <c r="C681" s="172"/>
      <c r="D681" s="169"/>
      <c r="E681" s="169"/>
      <c r="F681" s="169"/>
      <c r="G681" s="168"/>
      <c r="H681" s="169">
        <f>H680/19.5</f>
        <v>38.72</v>
      </c>
      <c r="I681" s="28" t="s">
        <v>79</v>
      </c>
      <c r="J681" s="85"/>
    </row>
    <row r="682" spans="1:10" s="1" customFormat="1" ht="19.899999999999999" customHeight="1">
      <c r="A682" s="28"/>
      <c r="B682" s="30"/>
      <c r="C682" s="172"/>
      <c r="D682" s="169"/>
      <c r="E682" s="169"/>
      <c r="F682" s="169"/>
      <c r="G682" s="168"/>
      <c r="H682" s="169"/>
      <c r="I682" s="28"/>
      <c r="J682" s="85"/>
    </row>
    <row r="683" spans="1:10" s="1" customFormat="1" ht="19.899999999999999" customHeight="1">
      <c r="A683" s="28"/>
      <c r="B683" s="28" t="s">
        <v>315</v>
      </c>
      <c r="C683" s="172"/>
      <c r="D683" s="169"/>
      <c r="E683" s="169"/>
      <c r="F683" s="169"/>
      <c r="G683" s="168"/>
      <c r="H683" s="169"/>
      <c r="I683" s="28"/>
      <c r="J683" s="85"/>
    </row>
    <row r="684" spans="1:10" s="1" customFormat="1" ht="19.899999999999999" customHeight="1">
      <c r="A684" s="28"/>
      <c r="B684" s="30" t="s">
        <v>246</v>
      </c>
      <c r="C684" s="172">
        <v>1</v>
      </c>
      <c r="D684" s="169">
        <v>8.5</v>
      </c>
      <c r="E684" s="169"/>
      <c r="F684" s="169"/>
      <c r="G684" s="168"/>
      <c r="H684" s="169">
        <f t="shared" ref="H684:H695" si="56">C684*D684</f>
        <v>8.5</v>
      </c>
      <c r="I684" s="28" t="s">
        <v>21</v>
      </c>
      <c r="J684" s="85"/>
    </row>
    <row r="685" spans="1:10" s="1" customFormat="1" ht="19.899999999999999" customHeight="1">
      <c r="A685" s="28"/>
      <c r="B685" s="30" t="s">
        <v>240</v>
      </c>
      <c r="C685" s="172">
        <v>1</v>
      </c>
      <c r="D685" s="169">
        <f>2*2+4*2</f>
        <v>12</v>
      </c>
      <c r="E685" s="169"/>
      <c r="F685" s="169"/>
      <c r="G685" s="168"/>
      <c r="H685" s="169">
        <f t="shared" si="56"/>
        <v>12</v>
      </c>
      <c r="I685" s="28" t="s">
        <v>21</v>
      </c>
      <c r="J685" s="85"/>
    </row>
    <row r="686" spans="1:10" s="1" customFormat="1" ht="19.899999999999999" customHeight="1">
      <c r="A686" s="28"/>
      <c r="B686" s="30" t="s">
        <v>241</v>
      </c>
      <c r="C686" s="172">
        <v>1</v>
      </c>
      <c r="D686" s="169">
        <f>6*2+8*2</f>
        <v>28</v>
      </c>
      <c r="E686" s="169"/>
      <c r="F686" s="169"/>
      <c r="G686" s="168"/>
      <c r="H686" s="169">
        <f t="shared" si="56"/>
        <v>28</v>
      </c>
      <c r="I686" s="28" t="s">
        <v>21</v>
      </c>
      <c r="J686" s="85"/>
    </row>
    <row r="687" spans="1:10" s="1" customFormat="1" ht="19.899999999999999" customHeight="1">
      <c r="A687" s="28"/>
      <c r="B687" s="30" t="s">
        <v>242</v>
      </c>
      <c r="C687" s="172">
        <v>1</v>
      </c>
      <c r="D687" s="169">
        <f>10*2+20*2</f>
        <v>60</v>
      </c>
      <c r="E687" s="169"/>
      <c r="F687" s="169"/>
      <c r="G687" s="168"/>
      <c r="H687" s="169">
        <f t="shared" si="56"/>
        <v>60</v>
      </c>
      <c r="I687" s="28" t="s">
        <v>21</v>
      </c>
      <c r="J687" s="85"/>
    </row>
    <row r="688" spans="1:10" s="1" customFormat="1" ht="19.899999999999999" customHeight="1">
      <c r="A688" s="28"/>
      <c r="B688" s="30" t="s">
        <v>243</v>
      </c>
      <c r="C688" s="172">
        <v>1</v>
      </c>
      <c r="D688" s="169">
        <f>14*2+24.5*2</f>
        <v>77</v>
      </c>
      <c r="E688" s="169"/>
      <c r="F688" s="169"/>
      <c r="G688" s="168"/>
      <c r="H688" s="169">
        <f t="shared" si="56"/>
        <v>77</v>
      </c>
      <c r="I688" s="28" t="s">
        <v>21</v>
      </c>
      <c r="J688" s="85"/>
    </row>
    <row r="689" spans="1:11" s="1" customFormat="1" ht="19.899999999999999" customHeight="1">
      <c r="A689" s="28"/>
      <c r="B689" s="30" t="s">
        <v>244</v>
      </c>
      <c r="C689" s="172">
        <v>1</v>
      </c>
      <c r="D689" s="169">
        <f>18*2+28.5*2</f>
        <v>93</v>
      </c>
      <c r="E689" s="169"/>
      <c r="F689" s="169"/>
      <c r="G689" s="168"/>
      <c r="H689" s="169">
        <f t="shared" si="56"/>
        <v>93</v>
      </c>
      <c r="I689" s="28" t="s">
        <v>21</v>
      </c>
      <c r="J689" s="85"/>
    </row>
    <row r="690" spans="1:11" s="1" customFormat="1" ht="19.899999999999999" customHeight="1">
      <c r="A690" s="28"/>
      <c r="B690" s="30" t="s">
        <v>245</v>
      </c>
      <c r="C690" s="172">
        <v>1</v>
      </c>
      <c r="D690" s="169">
        <f>22*2+32*2</f>
        <v>108</v>
      </c>
      <c r="E690" s="169"/>
      <c r="F690" s="169"/>
      <c r="G690" s="168"/>
      <c r="H690" s="169">
        <f t="shared" si="56"/>
        <v>108</v>
      </c>
      <c r="I690" s="28" t="s">
        <v>21</v>
      </c>
      <c r="J690" s="85"/>
    </row>
    <row r="691" spans="1:11" s="1" customFormat="1" ht="19.899999999999999" customHeight="1">
      <c r="A691" s="28"/>
      <c r="B691" s="30" t="s">
        <v>247</v>
      </c>
      <c r="C691" s="172">
        <v>1</v>
      </c>
      <c r="D691" s="169">
        <f>32.5*2+36.5*2</f>
        <v>138</v>
      </c>
      <c r="E691" s="169"/>
      <c r="F691" s="169"/>
      <c r="G691" s="168"/>
      <c r="H691" s="169">
        <f t="shared" si="56"/>
        <v>138</v>
      </c>
      <c r="I691" s="28" t="s">
        <v>21</v>
      </c>
      <c r="J691" s="85"/>
    </row>
    <row r="692" spans="1:11" s="1" customFormat="1" ht="19.899999999999999" customHeight="1">
      <c r="A692" s="28"/>
      <c r="B692" s="30" t="s">
        <v>248</v>
      </c>
      <c r="C692" s="172">
        <v>1</v>
      </c>
      <c r="D692" s="169">
        <f>42.17*2+40.5*2</f>
        <v>165.34</v>
      </c>
      <c r="E692" s="169"/>
      <c r="F692" s="169"/>
      <c r="G692" s="168"/>
      <c r="H692" s="169">
        <f t="shared" si="56"/>
        <v>165.34</v>
      </c>
      <c r="I692" s="28" t="s">
        <v>21</v>
      </c>
      <c r="J692" s="85"/>
    </row>
    <row r="693" spans="1:11" s="1" customFormat="1" ht="19.899999999999999" customHeight="1">
      <c r="A693" s="28"/>
      <c r="B693" s="30" t="s">
        <v>249</v>
      </c>
      <c r="C693" s="172">
        <v>1</v>
      </c>
      <c r="D693" s="169">
        <f>46.17*2+44.5*2</f>
        <v>181.34</v>
      </c>
      <c r="E693" s="169"/>
      <c r="F693" s="169"/>
      <c r="G693" s="168"/>
      <c r="H693" s="169">
        <f t="shared" si="56"/>
        <v>181.34</v>
      </c>
      <c r="I693" s="28" t="s">
        <v>21</v>
      </c>
      <c r="J693" s="85"/>
    </row>
    <row r="694" spans="1:11" s="1" customFormat="1" ht="19.899999999999999" customHeight="1">
      <c r="A694" s="28"/>
      <c r="B694" s="30" t="s">
        <v>250</v>
      </c>
      <c r="C694" s="172">
        <v>1</v>
      </c>
      <c r="D694" s="169">
        <f>50.17*2+48.5*2</f>
        <v>197.34</v>
      </c>
      <c r="E694" s="169"/>
      <c r="F694" s="169"/>
      <c r="G694" s="168"/>
      <c r="H694" s="169">
        <f t="shared" si="56"/>
        <v>197.34</v>
      </c>
      <c r="I694" s="28" t="s">
        <v>21</v>
      </c>
      <c r="J694" s="85"/>
    </row>
    <row r="695" spans="1:11" s="1" customFormat="1" ht="19.899999999999999" customHeight="1">
      <c r="A695" s="28"/>
      <c r="B695" s="30" t="s">
        <v>251</v>
      </c>
      <c r="C695" s="172">
        <v>1</v>
      </c>
      <c r="D695" s="169">
        <f>52.33*2+50.67*2</f>
        <v>206</v>
      </c>
      <c r="E695" s="169"/>
      <c r="F695" s="169"/>
      <c r="G695" s="168"/>
      <c r="H695" s="169">
        <f t="shared" si="56"/>
        <v>206</v>
      </c>
      <c r="I695" s="28" t="s">
        <v>21</v>
      </c>
      <c r="J695" s="85"/>
    </row>
    <row r="696" spans="1:11" s="1" customFormat="1" ht="19.899999999999999" customHeight="1">
      <c r="A696" s="28"/>
      <c r="B696" s="28" t="s">
        <v>254</v>
      </c>
      <c r="C696" s="172"/>
      <c r="D696" s="169"/>
      <c r="E696" s="169"/>
      <c r="F696" s="169"/>
      <c r="G696" s="168"/>
      <c r="H696" s="169"/>
      <c r="I696" s="28"/>
      <c r="J696" s="85"/>
    </row>
    <row r="697" spans="1:11" s="1" customFormat="1" ht="19.899999999999999" customHeight="1">
      <c r="A697" s="28"/>
      <c r="B697" s="30" t="s">
        <v>256</v>
      </c>
      <c r="C697" s="172">
        <f>3*2</f>
        <v>6</v>
      </c>
      <c r="D697" s="169">
        <v>29.5</v>
      </c>
      <c r="E697" s="169"/>
      <c r="F697" s="169"/>
      <c r="G697" s="168"/>
      <c r="H697" s="169">
        <f>C697*D697</f>
        <v>177</v>
      </c>
      <c r="I697" s="28" t="s">
        <v>21</v>
      </c>
      <c r="J697" s="85"/>
    </row>
    <row r="698" spans="1:11" s="1" customFormat="1" ht="19.899999999999999" customHeight="1">
      <c r="A698" s="28"/>
      <c r="B698" s="30"/>
      <c r="C698" s="172">
        <v>2</v>
      </c>
      <c r="D698" s="169">
        <f>3.67</f>
        <v>3.67</v>
      </c>
      <c r="E698" s="169"/>
      <c r="F698" s="169"/>
      <c r="G698" s="168"/>
      <c r="H698" s="169">
        <f>C698*D698</f>
        <v>7.34</v>
      </c>
      <c r="I698" s="28" t="s">
        <v>21</v>
      </c>
      <c r="J698" s="85"/>
    </row>
    <row r="699" spans="1:11" s="1" customFormat="1" ht="19.899999999999999" customHeight="1">
      <c r="A699" s="28"/>
      <c r="B699" s="30" t="s">
        <v>255</v>
      </c>
      <c r="C699" s="172">
        <f>3*2</f>
        <v>6</v>
      </c>
      <c r="D699" s="169">
        <f>24.58</f>
        <v>24.58</v>
      </c>
      <c r="E699" s="169"/>
      <c r="F699" s="169"/>
      <c r="G699" s="168"/>
      <c r="H699" s="169">
        <f>C699*D699</f>
        <v>147.47999999999999</v>
      </c>
      <c r="I699" s="28" t="s">
        <v>21</v>
      </c>
      <c r="J699" s="85"/>
    </row>
    <row r="700" spans="1:11" s="1" customFormat="1" ht="19.899999999999999" customHeight="1">
      <c r="A700" s="28"/>
      <c r="B700" s="30" t="s">
        <v>257</v>
      </c>
      <c r="C700" s="172">
        <f>4*2</f>
        <v>8</v>
      </c>
      <c r="D700" s="169">
        <v>10.33</v>
      </c>
      <c r="E700" s="169"/>
      <c r="F700" s="169"/>
      <c r="G700" s="168"/>
      <c r="H700" s="169">
        <f>C700*D700</f>
        <v>82.64</v>
      </c>
      <c r="I700" s="28" t="s">
        <v>21</v>
      </c>
      <c r="J700" s="85"/>
    </row>
    <row r="701" spans="1:11" s="1" customFormat="1" ht="19.899999999999999" customHeight="1">
      <c r="A701" s="28"/>
      <c r="B701" s="30" t="s">
        <v>258</v>
      </c>
      <c r="C701" s="172">
        <f>3*2</f>
        <v>6</v>
      </c>
      <c r="D701" s="169">
        <v>10.75</v>
      </c>
      <c r="E701" s="169"/>
      <c r="F701" s="169"/>
      <c r="G701" s="168"/>
      <c r="H701" s="169">
        <f>C701*D701</f>
        <v>64.5</v>
      </c>
      <c r="I701" s="28" t="s">
        <v>21</v>
      </c>
      <c r="J701" s="85"/>
    </row>
    <row r="702" spans="1:11" s="1" customFormat="1" ht="19.899999999999999" customHeight="1">
      <c r="A702" s="28"/>
      <c r="B702" s="30"/>
      <c r="C702" s="172"/>
      <c r="D702" s="169"/>
      <c r="E702" s="169"/>
      <c r="F702" s="169"/>
      <c r="G702" s="168"/>
      <c r="H702" s="169"/>
      <c r="I702" s="28"/>
      <c r="J702" s="85"/>
      <c r="K702" s="106"/>
    </row>
    <row r="703" spans="1:11" s="1" customFormat="1" ht="19.899999999999999" customHeight="1">
      <c r="A703" s="28"/>
      <c r="B703" s="30"/>
      <c r="C703" s="172"/>
      <c r="D703" s="169"/>
      <c r="E703" s="169"/>
      <c r="F703" s="169"/>
      <c r="G703" s="168"/>
      <c r="H703" s="169">
        <f>SUM(H684:H702)</f>
        <v>1753.48</v>
      </c>
      <c r="I703" s="28" t="s">
        <v>21</v>
      </c>
      <c r="J703" s="85"/>
      <c r="K703" s="106"/>
    </row>
    <row r="704" spans="1:11" s="1" customFormat="1" ht="19.899999999999999" customHeight="1">
      <c r="A704" s="28"/>
      <c r="B704" s="30"/>
      <c r="C704" s="172"/>
      <c r="D704" s="169"/>
      <c r="E704" s="169"/>
      <c r="F704" s="169"/>
      <c r="G704" s="168"/>
      <c r="H704" s="169">
        <f>H703/19.5</f>
        <v>89.92</v>
      </c>
      <c r="I704" s="28" t="s">
        <v>79</v>
      </c>
      <c r="J704" s="85"/>
    </row>
    <row r="705" spans="1:10" s="1" customFormat="1" ht="19.899999999999999" customHeight="1">
      <c r="A705" s="28"/>
      <c r="B705" s="30"/>
      <c r="C705" s="172"/>
      <c r="D705" s="169"/>
      <c r="E705" s="169"/>
      <c r="F705" s="169"/>
      <c r="G705" s="168"/>
      <c r="H705" s="169"/>
      <c r="I705" s="28"/>
      <c r="J705" s="85"/>
    </row>
    <row r="706" spans="1:10" s="1" customFormat="1" ht="19.899999999999999" customHeight="1">
      <c r="A706" s="28"/>
      <c r="B706" s="92" t="s">
        <v>117</v>
      </c>
      <c r="C706" s="172"/>
      <c r="D706" s="169"/>
      <c r="E706" s="169"/>
      <c r="F706" s="169"/>
      <c r="G706" s="168"/>
      <c r="H706" s="169"/>
      <c r="I706" s="28"/>
      <c r="J706" s="85"/>
    </row>
    <row r="707" spans="1:10" s="1" customFormat="1" ht="19.899999999999999" customHeight="1">
      <c r="A707" s="28"/>
      <c r="B707" s="30" t="s">
        <v>253</v>
      </c>
      <c r="C707" s="172">
        <f>(12*9)+(12+5)/2*12</f>
        <v>210</v>
      </c>
      <c r="D707" s="169">
        <f>0.17</f>
        <v>0.17</v>
      </c>
      <c r="E707" s="169"/>
      <c r="F707" s="169"/>
      <c r="G707" s="168"/>
      <c r="H707" s="169">
        <f>C707*D707</f>
        <v>35.700000000000003</v>
      </c>
      <c r="I707" s="28" t="s">
        <v>21</v>
      </c>
      <c r="J707" s="85"/>
    </row>
    <row r="708" spans="1:10" s="1" customFormat="1" ht="19.899999999999999" customHeight="1">
      <c r="A708" s="28"/>
      <c r="B708" s="30"/>
      <c r="C708" s="172"/>
      <c r="D708" s="169"/>
      <c r="E708" s="169"/>
      <c r="F708" s="169"/>
      <c r="G708" s="168"/>
      <c r="H708" s="169">
        <f>H707/19.5</f>
        <v>1.83</v>
      </c>
      <c r="I708" s="28" t="s">
        <v>79</v>
      </c>
      <c r="J708" s="85"/>
    </row>
    <row r="709" spans="1:10" s="1" customFormat="1" ht="19.899999999999999" customHeight="1">
      <c r="A709" s="28"/>
      <c r="B709" s="30"/>
      <c r="C709" s="172"/>
      <c r="D709" s="169"/>
      <c r="E709" s="169"/>
      <c r="F709" s="169"/>
      <c r="G709" s="168"/>
      <c r="H709" s="169"/>
      <c r="I709" s="28"/>
      <c r="J709" s="85"/>
    </row>
    <row r="710" spans="1:10" s="1" customFormat="1" ht="19.899999999999999" customHeight="1">
      <c r="A710" s="28"/>
      <c r="B710" s="29" t="s">
        <v>273</v>
      </c>
      <c r="C710" s="172"/>
      <c r="D710" s="169"/>
      <c r="E710" s="169"/>
      <c r="F710" s="169"/>
      <c r="G710" s="168"/>
      <c r="H710" s="169"/>
      <c r="I710" s="28"/>
      <c r="J710" s="85"/>
    </row>
    <row r="711" spans="1:10" s="1" customFormat="1" ht="19.899999999999999" customHeight="1">
      <c r="A711" s="28"/>
      <c r="B711" s="30" t="s">
        <v>260</v>
      </c>
      <c r="C711" s="172">
        <v>1</v>
      </c>
      <c r="D711" s="169">
        <v>2</v>
      </c>
      <c r="E711" s="169"/>
      <c r="F711" s="169"/>
      <c r="G711" s="168"/>
      <c r="H711" s="169">
        <f>C711*D711</f>
        <v>2</v>
      </c>
      <c r="I711" s="28" t="s">
        <v>163</v>
      </c>
      <c r="J711" s="85"/>
    </row>
    <row r="712" spans="1:10" s="1" customFormat="1" ht="19.899999999999999" customHeight="1">
      <c r="A712" s="28"/>
      <c r="B712" s="30" t="s">
        <v>259</v>
      </c>
      <c r="C712" s="172">
        <v>3</v>
      </c>
      <c r="D712" s="169">
        <v>29.5</v>
      </c>
      <c r="E712" s="169"/>
      <c r="F712" s="169"/>
      <c r="G712" s="168"/>
      <c r="H712" s="169">
        <f t="shared" ref="H712:H719" si="57">C712*D712</f>
        <v>88.5</v>
      </c>
      <c r="I712" s="28" t="s">
        <v>163</v>
      </c>
      <c r="J712" s="85"/>
    </row>
    <row r="713" spans="1:10" s="1" customFormat="1" ht="19.899999999999999" customHeight="1">
      <c r="A713" s="28"/>
      <c r="B713" s="30"/>
      <c r="C713" s="172">
        <v>1</v>
      </c>
      <c r="D713" s="169">
        <v>3.67</v>
      </c>
      <c r="E713" s="169"/>
      <c r="F713" s="169"/>
      <c r="G713" s="168"/>
      <c r="H713" s="169">
        <f t="shared" si="57"/>
        <v>3.67</v>
      </c>
      <c r="I713" s="28" t="s">
        <v>163</v>
      </c>
      <c r="J713" s="85"/>
    </row>
    <row r="714" spans="1:10" s="1" customFormat="1" ht="19.899999999999999" customHeight="1">
      <c r="A714" s="28"/>
      <c r="B714" s="30" t="s">
        <v>261</v>
      </c>
      <c r="C714" s="172">
        <v>1</v>
      </c>
      <c r="D714" s="169">
        <v>8.5</v>
      </c>
      <c r="E714" s="169"/>
      <c r="F714" s="169"/>
      <c r="G714" s="168"/>
      <c r="H714" s="169">
        <f t="shared" si="57"/>
        <v>8.5</v>
      </c>
      <c r="I714" s="28" t="s">
        <v>163</v>
      </c>
      <c r="J714" s="85"/>
    </row>
    <row r="715" spans="1:10" s="1" customFormat="1" ht="19.899999999999999" customHeight="1">
      <c r="A715" s="28"/>
      <c r="B715" s="30" t="s">
        <v>262</v>
      </c>
      <c r="C715" s="172">
        <v>3</v>
      </c>
      <c r="D715" s="169">
        <v>24.58</v>
      </c>
      <c r="E715" s="169"/>
      <c r="F715" s="169"/>
      <c r="G715" s="168"/>
      <c r="H715" s="169">
        <f t="shared" si="57"/>
        <v>73.739999999999995</v>
      </c>
      <c r="I715" s="28" t="s">
        <v>163</v>
      </c>
      <c r="J715" s="85"/>
    </row>
    <row r="716" spans="1:10" s="1" customFormat="1" ht="19.899999999999999" customHeight="1">
      <c r="A716" s="28"/>
      <c r="B716" s="30" t="s">
        <v>263</v>
      </c>
      <c r="C716" s="172">
        <v>1</v>
      </c>
      <c r="D716" s="169">
        <v>5.67</v>
      </c>
      <c r="E716" s="169"/>
      <c r="F716" s="169"/>
      <c r="G716" s="168"/>
      <c r="H716" s="169">
        <f t="shared" si="57"/>
        <v>5.67</v>
      </c>
      <c r="I716" s="28" t="s">
        <v>163</v>
      </c>
      <c r="J716" s="85"/>
    </row>
    <row r="717" spans="1:10" s="1" customFormat="1" ht="19.899999999999999" customHeight="1">
      <c r="A717" s="28"/>
      <c r="B717" s="30" t="s">
        <v>264</v>
      </c>
      <c r="C717" s="172">
        <v>4</v>
      </c>
      <c r="D717" s="169">
        <v>10.33</v>
      </c>
      <c r="E717" s="169"/>
      <c r="F717" s="169"/>
      <c r="G717" s="168"/>
      <c r="H717" s="169">
        <f t="shared" si="57"/>
        <v>41.32</v>
      </c>
      <c r="I717" s="28" t="s">
        <v>163</v>
      </c>
      <c r="J717" s="85"/>
    </row>
    <row r="718" spans="1:10" s="1" customFormat="1" ht="19.899999999999999" customHeight="1">
      <c r="A718" s="28"/>
      <c r="B718" s="30" t="s">
        <v>266</v>
      </c>
      <c r="C718" s="172">
        <v>1</v>
      </c>
      <c r="D718" s="169">
        <v>6.5</v>
      </c>
      <c r="E718" s="169"/>
      <c r="F718" s="169"/>
      <c r="G718" s="168"/>
      <c r="H718" s="169">
        <f t="shared" si="57"/>
        <v>6.5</v>
      </c>
      <c r="I718" s="28" t="s">
        <v>163</v>
      </c>
      <c r="J718" s="85"/>
    </row>
    <row r="719" spans="1:10" s="1" customFormat="1" ht="19.899999999999999" customHeight="1">
      <c r="A719" s="28"/>
      <c r="B719" s="30" t="s">
        <v>265</v>
      </c>
      <c r="C719" s="172">
        <v>4</v>
      </c>
      <c r="D719" s="169">
        <v>10.75</v>
      </c>
      <c r="E719" s="169"/>
      <c r="F719" s="169"/>
      <c r="G719" s="168"/>
      <c r="H719" s="169">
        <f t="shared" si="57"/>
        <v>43</v>
      </c>
      <c r="I719" s="28" t="s">
        <v>163</v>
      </c>
      <c r="J719" s="85"/>
    </row>
    <row r="720" spans="1:10" s="1" customFormat="1" ht="19.899999999999999" customHeight="1">
      <c r="A720" s="28"/>
      <c r="B720" s="30"/>
      <c r="C720" s="172"/>
      <c r="D720" s="169"/>
      <c r="E720" s="169"/>
      <c r="F720" s="169"/>
      <c r="G720" s="168"/>
      <c r="H720" s="169">
        <f>SUM(H711:H719)</f>
        <v>272.89999999999998</v>
      </c>
      <c r="I720" s="28" t="s">
        <v>163</v>
      </c>
      <c r="J720" s="85"/>
    </row>
    <row r="721" spans="1:10" s="1" customFormat="1" ht="19.899999999999999" customHeight="1">
      <c r="A721" s="28"/>
      <c r="B721" s="30"/>
      <c r="C721" s="172"/>
      <c r="D721" s="169"/>
      <c r="E721" s="169"/>
      <c r="F721" s="169"/>
      <c r="G721" s="168"/>
      <c r="H721" s="169"/>
      <c r="I721" s="28"/>
      <c r="J721" s="85"/>
    </row>
    <row r="722" spans="1:10" s="1" customFormat="1" ht="19.899999999999999" customHeight="1">
      <c r="A722" s="28"/>
      <c r="B722" s="92" t="s">
        <v>319</v>
      </c>
      <c r="C722" s="172"/>
      <c r="D722" s="169"/>
      <c r="E722" s="169"/>
      <c r="F722" s="169"/>
      <c r="G722" s="168"/>
      <c r="H722" s="169"/>
      <c r="I722" s="28"/>
      <c r="J722" s="85"/>
    </row>
    <row r="723" spans="1:10" s="1" customFormat="1" ht="19.899999999999999" customHeight="1">
      <c r="A723" s="28"/>
      <c r="B723" s="30" t="s">
        <v>118</v>
      </c>
      <c r="C723" s="172">
        <v>1</v>
      </c>
      <c r="D723" s="169">
        <f>51*2+53*2</f>
        <v>208</v>
      </c>
      <c r="E723" s="169"/>
      <c r="F723" s="169"/>
      <c r="G723" s="168"/>
      <c r="H723" s="169">
        <f>C723*D723</f>
        <v>208</v>
      </c>
      <c r="I723" s="28" t="s">
        <v>163</v>
      </c>
      <c r="J723" s="85"/>
    </row>
    <row r="724" spans="1:10" s="1" customFormat="1" ht="19.899999999999999" customHeight="1">
      <c r="A724" s="28"/>
      <c r="B724" s="30"/>
      <c r="C724" s="172"/>
      <c r="D724" s="169"/>
      <c r="E724" s="169"/>
      <c r="F724" s="169"/>
      <c r="G724" s="168"/>
      <c r="H724" s="169">
        <f>SUM(H723)*0</f>
        <v>0</v>
      </c>
      <c r="I724" s="28" t="s">
        <v>163</v>
      </c>
      <c r="J724" s="85"/>
    </row>
    <row r="725" spans="1:10" s="1" customFormat="1" ht="19.899999999999999" customHeight="1">
      <c r="A725" s="28"/>
      <c r="B725" s="30"/>
      <c r="C725" s="172"/>
      <c r="D725" s="169"/>
      <c r="E725" s="169"/>
      <c r="F725" s="169"/>
      <c r="G725" s="168"/>
      <c r="H725" s="169"/>
      <c r="I725" s="28"/>
      <c r="J725" s="85"/>
    </row>
    <row r="726" spans="1:10" s="1" customFormat="1" ht="19.899999999999999" customHeight="1">
      <c r="A726" s="28"/>
      <c r="B726" s="30" t="s">
        <v>320</v>
      </c>
      <c r="C726" s="172">
        <v>2</v>
      </c>
      <c r="D726" s="169">
        <f>C723*D723</f>
        <v>208</v>
      </c>
      <c r="E726" s="169"/>
      <c r="F726" s="169"/>
      <c r="G726" s="168"/>
      <c r="H726" s="169">
        <f>C726*D726</f>
        <v>416</v>
      </c>
      <c r="I726" s="28" t="s">
        <v>163</v>
      </c>
      <c r="J726" s="85"/>
    </row>
    <row r="727" spans="1:10" s="1" customFormat="1" ht="19.899999999999999" customHeight="1">
      <c r="A727" s="28"/>
      <c r="B727" s="30"/>
      <c r="C727" s="172">
        <f>ROUND(D723/2,0)</f>
        <v>104</v>
      </c>
      <c r="D727" s="169">
        <f>10/12</f>
        <v>0.83</v>
      </c>
      <c r="E727" s="169"/>
      <c r="F727" s="169"/>
      <c r="G727" s="168"/>
      <c r="H727" s="169">
        <f>C727*D727</f>
        <v>86.32</v>
      </c>
      <c r="I727" s="28" t="s">
        <v>163</v>
      </c>
      <c r="J727" s="85"/>
    </row>
    <row r="728" spans="1:10" s="1" customFormat="1" ht="19.899999999999999" customHeight="1">
      <c r="A728" s="28"/>
      <c r="B728" s="30"/>
      <c r="C728" s="172"/>
      <c r="D728" s="169"/>
      <c r="E728" s="169"/>
      <c r="F728" s="169"/>
      <c r="G728" s="168"/>
      <c r="H728" s="169">
        <f>SUM(H726:H727)*0</f>
        <v>0</v>
      </c>
      <c r="I728" s="28" t="s">
        <v>163</v>
      </c>
      <c r="J728" s="85"/>
    </row>
    <row r="729" spans="1:10" s="1" customFormat="1" ht="19.899999999999999" customHeight="1">
      <c r="A729" s="28"/>
      <c r="B729" s="30"/>
      <c r="C729" s="172"/>
      <c r="D729" s="169"/>
      <c r="E729" s="169"/>
      <c r="F729" s="169"/>
      <c r="G729" s="168"/>
      <c r="H729" s="169">
        <f>ROUND(H728/19.5,0)</f>
        <v>0</v>
      </c>
      <c r="I729" s="28" t="s">
        <v>79</v>
      </c>
      <c r="J729" s="85"/>
    </row>
    <row r="730" spans="1:10" s="1" customFormat="1" ht="19.899999999999999" customHeight="1">
      <c r="A730" s="28"/>
      <c r="B730" s="30"/>
      <c r="C730" s="172"/>
      <c r="D730" s="169"/>
      <c r="E730" s="169"/>
      <c r="F730" s="169"/>
      <c r="G730" s="168"/>
      <c r="H730" s="169"/>
      <c r="I730" s="28"/>
      <c r="J730" s="85"/>
    </row>
    <row r="731" spans="1:10" s="1" customFormat="1" ht="19.899999999999999" customHeight="1">
      <c r="A731" s="28"/>
      <c r="B731" s="92" t="s">
        <v>354</v>
      </c>
      <c r="C731" s="172"/>
      <c r="D731" s="169"/>
      <c r="E731" s="169"/>
      <c r="F731" s="169"/>
      <c r="G731" s="168"/>
      <c r="H731" s="169"/>
      <c r="I731" s="28"/>
      <c r="J731" s="85"/>
    </row>
    <row r="732" spans="1:10" s="1" customFormat="1" ht="19.899999999999999" customHeight="1">
      <c r="A732" s="28"/>
      <c r="B732" s="30" t="s">
        <v>118</v>
      </c>
      <c r="C732" s="172">
        <f>C723</f>
        <v>1</v>
      </c>
      <c r="D732" s="169">
        <f>D723</f>
        <v>208</v>
      </c>
      <c r="E732" s="169"/>
      <c r="F732" s="169"/>
      <c r="G732" s="168"/>
      <c r="H732" s="169">
        <f>C732*D732</f>
        <v>208</v>
      </c>
      <c r="I732" s="28" t="s">
        <v>21</v>
      </c>
      <c r="J732" s="85"/>
    </row>
    <row r="733" spans="1:10" s="1" customFormat="1" ht="19.899999999999999" customHeight="1">
      <c r="A733" s="28"/>
      <c r="B733" s="30"/>
      <c r="C733" s="172"/>
      <c r="D733" s="169"/>
      <c r="E733" s="169"/>
      <c r="F733" s="169"/>
      <c r="G733" s="168"/>
      <c r="H733" s="169">
        <f>SUM(H732)*0</f>
        <v>0</v>
      </c>
      <c r="I733" s="28" t="s">
        <v>21</v>
      </c>
      <c r="J733" s="85"/>
    </row>
    <row r="734" spans="1:10" ht="20.149999999999999" customHeight="1">
      <c r="A734" s="28"/>
      <c r="B734" s="29"/>
      <c r="C734" s="101"/>
      <c r="D734" s="95"/>
      <c r="E734" s="89"/>
      <c r="F734" s="95"/>
      <c r="G734" s="95"/>
      <c r="H734" s="95"/>
      <c r="I734" s="102"/>
      <c r="J734" s="268"/>
    </row>
    <row r="735" spans="1:10" ht="20.149999999999999" customHeight="1">
      <c r="A735" s="28">
        <v>15</v>
      </c>
      <c r="B735" s="92" t="s">
        <v>64</v>
      </c>
      <c r="C735" s="31"/>
      <c r="D735" s="89"/>
      <c r="E735" s="89"/>
      <c r="F735" s="89"/>
      <c r="G735" s="89"/>
      <c r="H735" s="89"/>
      <c r="I735" s="89"/>
    </row>
    <row r="736" spans="1:10" ht="20.149999999999999" customHeight="1">
      <c r="A736" s="28"/>
      <c r="B736" s="30" t="s">
        <v>58</v>
      </c>
      <c r="C736" s="31"/>
      <c r="D736" s="89"/>
      <c r="E736" s="89"/>
      <c r="F736" s="89"/>
      <c r="G736" s="89"/>
      <c r="H736" s="89">
        <f>H35</f>
        <v>6024.79</v>
      </c>
      <c r="I736" s="89" t="s">
        <v>14</v>
      </c>
    </row>
    <row r="737" spans="1:10" ht="20.149999999999999" customHeight="1">
      <c r="A737" s="28"/>
      <c r="B737" s="28" t="s">
        <v>59</v>
      </c>
      <c r="C737" s="31"/>
      <c r="D737" s="89"/>
      <c r="E737" s="89"/>
      <c r="F737" s="89"/>
      <c r="G737" s="89"/>
      <c r="H737" s="89"/>
      <c r="I737" s="89"/>
    </row>
    <row r="738" spans="1:10" ht="20.149999999999999" customHeight="1">
      <c r="A738" s="28"/>
      <c r="B738" s="30" t="s">
        <v>110</v>
      </c>
      <c r="C738" s="31"/>
      <c r="D738" s="89"/>
      <c r="E738" s="89"/>
      <c r="F738" s="89"/>
      <c r="G738" s="89">
        <f>H66</f>
        <v>478.71</v>
      </c>
      <c r="H738" s="89"/>
      <c r="I738" s="89" t="s">
        <v>14</v>
      </c>
    </row>
    <row r="739" spans="1:10" ht="20.149999999999999" customHeight="1">
      <c r="A739" s="28"/>
      <c r="B739" s="30" t="s">
        <v>111</v>
      </c>
      <c r="C739" s="31"/>
      <c r="D739" s="89"/>
      <c r="E739" s="89"/>
      <c r="F739" s="89"/>
      <c r="G739" s="89"/>
      <c r="H739" s="89"/>
      <c r="I739" s="89" t="s">
        <v>14</v>
      </c>
    </row>
    <row r="740" spans="1:10" ht="20.149999999999999" customHeight="1">
      <c r="A740" s="28"/>
      <c r="B740" s="30" t="s">
        <v>60</v>
      </c>
      <c r="C740" s="31"/>
      <c r="D740" s="89"/>
      <c r="E740" s="89"/>
      <c r="F740" s="89"/>
      <c r="G740" s="89"/>
      <c r="H740" s="89"/>
      <c r="I740" s="89" t="s">
        <v>14</v>
      </c>
    </row>
    <row r="741" spans="1:10" ht="20.149999999999999" customHeight="1">
      <c r="A741" s="28"/>
      <c r="B741" s="30" t="s">
        <v>99</v>
      </c>
      <c r="C741" s="31"/>
      <c r="D741" s="89"/>
      <c r="E741" s="89"/>
      <c r="F741" s="89"/>
      <c r="G741" s="89"/>
      <c r="H741" s="89"/>
      <c r="I741" s="89" t="s">
        <v>14</v>
      </c>
    </row>
    <row r="742" spans="1:10" ht="20.149999999999999" customHeight="1">
      <c r="A742" s="28"/>
      <c r="B742" s="30" t="s">
        <v>100</v>
      </c>
      <c r="C742" s="31"/>
      <c r="D742" s="89"/>
      <c r="E742" s="89"/>
      <c r="F742" s="89"/>
      <c r="G742" s="89"/>
      <c r="H742" s="89"/>
      <c r="I742" s="89" t="s">
        <v>14</v>
      </c>
    </row>
    <row r="743" spans="1:10" ht="20.149999999999999" customHeight="1">
      <c r="A743" s="28"/>
      <c r="B743" s="30" t="s">
        <v>98</v>
      </c>
      <c r="C743" s="31"/>
      <c r="D743" s="89"/>
      <c r="E743" s="89"/>
      <c r="F743" s="89"/>
      <c r="G743" s="89"/>
      <c r="H743" s="89"/>
      <c r="I743" s="89" t="s">
        <v>14</v>
      </c>
    </row>
    <row r="744" spans="1:10" ht="21" customHeight="1">
      <c r="A744" s="28"/>
      <c r="B744" s="30" t="s">
        <v>101</v>
      </c>
      <c r="C744" s="31"/>
      <c r="D744" s="89"/>
      <c r="E744" s="89"/>
      <c r="F744" s="89"/>
      <c r="G744" s="89"/>
      <c r="H744" s="89"/>
      <c r="I744" s="89" t="s">
        <v>14</v>
      </c>
    </row>
    <row r="745" spans="1:10" ht="21" customHeight="1">
      <c r="A745" s="28"/>
      <c r="B745" s="30" t="s">
        <v>102</v>
      </c>
      <c r="C745" s="31"/>
      <c r="D745" s="89"/>
      <c r="E745" s="89"/>
      <c r="F745" s="89"/>
      <c r="G745" s="89"/>
      <c r="H745" s="89"/>
      <c r="I745" s="89" t="s">
        <v>14</v>
      </c>
    </row>
    <row r="746" spans="1:10" ht="21" customHeight="1">
      <c r="A746" s="28"/>
      <c r="B746" s="30" t="s">
        <v>103</v>
      </c>
      <c r="C746" s="31"/>
      <c r="D746" s="89"/>
      <c r="E746" s="89"/>
      <c r="F746" s="89"/>
      <c r="G746" s="89"/>
      <c r="H746" s="89"/>
      <c r="I746" s="89" t="s">
        <v>14</v>
      </c>
    </row>
    <row r="747" spans="1:10" ht="21" customHeight="1">
      <c r="A747" s="28"/>
      <c r="B747" s="30" t="s">
        <v>104</v>
      </c>
      <c r="C747" s="31"/>
      <c r="D747" s="89"/>
      <c r="E747" s="89"/>
      <c r="F747" s="89"/>
      <c r="G747" s="89"/>
      <c r="H747" s="89"/>
      <c r="I747" s="89" t="s">
        <v>14</v>
      </c>
    </row>
    <row r="748" spans="1:10" ht="21" customHeight="1">
      <c r="A748" s="28"/>
      <c r="B748" s="28"/>
      <c r="C748" s="31"/>
      <c r="D748" s="89"/>
      <c r="E748" s="89"/>
      <c r="F748" s="89"/>
      <c r="G748" s="89">
        <f>SUM(G736:G747)</f>
        <v>478.71</v>
      </c>
      <c r="H748" s="89">
        <f>SUM(H736:H747)</f>
        <v>6024.79</v>
      </c>
      <c r="I748" s="89" t="s">
        <v>14</v>
      </c>
    </row>
    <row r="749" spans="1:10" ht="21" customHeight="1">
      <c r="A749" s="28"/>
      <c r="B749" s="28"/>
      <c r="C749" s="31"/>
      <c r="D749" s="89"/>
      <c r="E749" s="89"/>
      <c r="F749" s="89"/>
      <c r="G749" s="89"/>
      <c r="H749" s="89">
        <f>H748-G748</f>
        <v>5546.08</v>
      </c>
      <c r="I749" s="89" t="s">
        <v>14</v>
      </c>
    </row>
    <row r="750" spans="1:10" ht="21" customHeight="1">
      <c r="A750" s="28"/>
      <c r="B750" s="28"/>
      <c r="C750" s="31"/>
      <c r="D750" s="89"/>
      <c r="E750" s="89"/>
      <c r="F750" s="89"/>
      <c r="G750" s="89"/>
      <c r="H750" s="91">
        <f>H749/100</f>
        <v>55.46</v>
      </c>
      <c r="I750" s="91" t="s">
        <v>86</v>
      </c>
      <c r="J750" s="127"/>
    </row>
    <row r="751" spans="1:10" ht="21" customHeight="1">
      <c r="A751" s="28"/>
      <c r="B751" s="28"/>
      <c r="C751" s="31"/>
      <c r="D751" s="89"/>
      <c r="E751" s="89"/>
      <c r="F751" s="89"/>
      <c r="G751" s="89"/>
      <c r="H751" s="89"/>
      <c r="I751" s="89"/>
    </row>
    <row r="752" spans="1:10" ht="21" customHeight="1">
      <c r="A752" s="28"/>
      <c r="B752" s="92" t="s">
        <v>61</v>
      </c>
      <c r="C752" s="31"/>
      <c r="D752" s="89"/>
      <c r="E752" s="89"/>
      <c r="F752" s="89"/>
      <c r="G752" s="89"/>
      <c r="H752" s="89"/>
      <c r="I752" s="89"/>
    </row>
    <row r="753" spans="1:16" ht="21" customHeight="1">
      <c r="A753" s="28"/>
      <c r="B753" s="30" t="s">
        <v>62</v>
      </c>
      <c r="C753" s="31"/>
      <c r="D753" s="89"/>
      <c r="E753" s="89"/>
      <c r="F753" s="89"/>
      <c r="G753" s="89"/>
      <c r="H753" s="89">
        <f>G748</f>
        <v>478.71</v>
      </c>
      <c r="I753" s="89" t="s">
        <v>14</v>
      </c>
    </row>
    <row r="754" spans="1:16" ht="21" customHeight="1">
      <c r="A754" s="28"/>
      <c r="B754" s="28"/>
      <c r="C754" s="31"/>
      <c r="D754" s="89"/>
      <c r="E754" s="89"/>
      <c r="F754" s="89"/>
      <c r="G754" s="89"/>
      <c r="H754" s="89">
        <f>H753/100</f>
        <v>4.79</v>
      </c>
      <c r="I754" s="89" t="s">
        <v>86</v>
      </c>
    </row>
    <row r="755" spans="1:16" ht="21" customHeight="1">
      <c r="A755" s="28"/>
      <c r="B755" s="28"/>
      <c r="C755" s="31"/>
      <c r="D755" s="89"/>
      <c r="E755" s="89"/>
      <c r="F755" s="89"/>
      <c r="G755" s="89"/>
      <c r="H755" s="89"/>
      <c r="I755" s="89"/>
    </row>
    <row r="756" spans="1:16" ht="21" customHeight="1">
      <c r="A756" s="28">
        <v>16</v>
      </c>
      <c r="B756" s="92" t="s">
        <v>45</v>
      </c>
      <c r="C756" s="101"/>
      <c r="D756" s="95"/>
      <c r="E756" s="89"/>
      <c r="F756" s="95"/>
      <c r="G756" s="89"/>
      <c r="H756" s="95"/>
      <c r="I756" s="89"/>
      <c r="K756" s="2"/>
      <c r="L756" s="2"/>
      <c r="M756" s="2"/>
      <c r="N756" s="2"/>
      <c r="O756" s="2"/>
      <c r="P756" s="2"/>
    </row>
    <row r="757" spans="1:16" ht="21" customHeight="1">
      <c r="A757" s="28"/>
      <c r="B757" s="92" t="s">
        <v>134</v>
      </c>
      <c r="C757" s="101"/>
      <c r="D757" s="95"/>
      <c r="E757" s="89"/>
      <c r="F757" s="95"/>
      <c r="G757" s="89"/>
      <c r="H757" s="95"/>
      <c r="I757" s="89"/>
      <c r="K757" s="2"/>
      <c r="L757" s="2"/>
      <c r="M757" s="2"/>
      <c r="N757" s="2"/>
      <c r="O757" s="2"/>
      <c r="P757" s="2"/>
    </row>
    <row r="758" spans="1:16" ht="21" customHeight="1">
      <c r="A758" s="28"/>
      <c r="B758" s="30" t="s">
        <v>127</v>
      </c>
      <c r="C758" s="101">
        <v>1</v>
      </c>
      <c r="D758" s="95">
        <f>38.67</f>
        <v>38.67</v>
      </c>
      <c r="E758" s="89">
        <v>36.67</v>
      </c>
      <c r="F758" s="95">
        <v>2</v>
      </c>
      <c r="G758" s="89"/>
      <c r="H758" s="95">
        <f>C758*D758*E758*F758</f>
        <v>2836.06</v>
      </c>
      <c r="I758" s="89" t="s">
        <v>14</v>
      </c>
      <c r="K758" s="2"/>
      <c r="L758" s="2"/>
      <c r="M758" s="2"/>
      <c r="N758" s="2"/>
      <c r="O758" s="2"/>
      <c r="P758" s="2"/>
    </row>
    <row r="759" spans="1:16" ht="21" customHeight="1">
      <c r="A759" s="28"/>
      <c r="B759" s="30"/>
      <c r="C759" s="101">
        <v>1</v>
      </c>
      <c r="D759" s="95">
        <v>8.5</v>
      </c>
      <c r="E759" s="89">
        <v>30</v>
      </c>
      <c r="F759" s="95">
        <f>F758</f>
        <v>2</v>
      </c>
      <c r="G759" s="89"/>
      <c r="H759" s="95">
        <f>C759*D759*E759*F759</f>
        <v>510</v>
      </c>
      <c r="I759" s="89" t="s">
        <v>14</v>
      </c>
      <c r="K759" s="2"/>
      <c r="L759" s="2"/>
      <c r="M759" s="2"/>
      <c r="N759" s="2"/>
      <c r="O759" s="2"/>
      <c r="P759" s="2"/>
    </row>
    <row r="760" spans="1:16" ht="21" customHeight="1">
      <c r="A760" s="28"/>
      <c r="B760" s="30"/>
      <c r="C760" s="101">
        <v>1</v>
      </c>
      <c r="D760" s="95">
        <v>11.67</v>
      </c>
      <c r="E760" s="89">
        <v>6.5</v>
      </c>
      <c r="F760" s="95">
        <f>F759</f>
        <v>2</v>
      </c>
      <c r="G760" s="89"/>
      <c r="H760" s="95">
        <f>C760*D760*E760*F760</f>
        <v>151.71</v>
      </c>
      <c r="I760" s="89" t="s">
        <v>14</v>
      </c>
      <c r="K760" s="2"/>
      <c r="L760" s="2"/>
      <c r="M760" s="2"/>
      <c r="N760" s="2"/>
      <c r="O760" s="2"/>
      <c r="P760" s="2"/>
    </row>
    <row r="761" spans="1:16" ht="21" customHeight="1">
      <c r="A761" s="28"/>
      <c r="B761" s="30"/>
      <c r="C761" s="101">
        <v>1</v>
      </c>
      <c r="D761" s="95">
        <v>10</v>
      </c>
      <c r="E761" s="89">
        <v>5.67</v>
      </c>
      <c r="F761" s="95">
        <f>F760</f>
        <v>2</v>
      </c>
      <c r="G761" s="89"/>
      <c r="H761" s="95">
        <f>C761*D761*E761*F761</f>
        <v>113.4</v>
      </c>
      <c r="I761" s="89" t="s">
        <v>14</v>
      </c>
      <c r="K761" s="2"/>
      <c r="L761" s="2"/>
      <c r="M761" s="2"/>
      <c r="N761" s="2"/>
      <c r="O761" s="2"/>
      <c r="P761" s="2"/>
    </row>
    <row r="762" spans="1:16" ht="21" customHeight="1">
      <c r="A762" s="28"/>
      <c r="B762" s="28" t="s">
        <v>130</v>
      </c>
      <c r="C762" s="101"/>
      <c r="D762" s="95"/>
      <c r="E762" s="89"/>
      <c r="F762" s="95"/>
      <c r="G762" s="89"/>
      <c r="H762" s="95"/>
      <c r="I762" s="89"/>
      <c r="K762" s="2"/>
      <c r="L762" s="2"/>
      <c r="M762" s="2"/>
      <c r="N762" s="2"/>
      <c r="O762" s="2"/>
      <c r="P762" s="2"/>
    </row>
    <row r="763" spans="1:16" ht="21" customHeight="1">
      <c r="A763" s="28"/>
      <c r="B763" s="30" t="s">
        <v>131</v>
      </c>
      <c r="C763" s="101">
        <v>1</v>
      </c>
      <c r="D763" s="95">
        <f>D122</f>
        <v>422.72</v>
      </c>
      <c r="E763" s="89">
        <v>0.75</v>
      </c>
      <c r="F763" s="95">
        <f>F758</f>
        <v>2</v>
      </c>
      <c r="G763" s="89">
        <f>C763*D763*E763*F763</f>
        <v>634.08000000000004</v>
      </c>
      <c r="H763" s="95"/>
      <c r="I763" s="89" t="s">
        <v>14</v>
      </c>
      <c r="K763" s="146">
        <f>D104*0.75*2</f>
        <v>634.08000000000004</v>
      </c>
      <c r="L763" s="2"/>
      <c r="M763" s="2"/>
      <c r="N763" s="2"/>
      <c r="O763" s="2"/>
      <c r="P763" s="2"/>
    </row>
    <row r="764" spans="1:16" ht="21" customHeight="1">
      <c r="A764" s="28"/>
      <c r="B764" s="28" t="s">
        <v>112</v>
      </c>
      <c r="C764" s="101"/>
      <c r="D764" s="95"/>
      <c r="E764" s="89"/>
      <c r="F764" s="95"/>
      <c r="G764" s="89"/>
      <c r="H764" s="95"/>
      <c r="I764" s="89"/>
      <c r="K764" s="2"/>
      <c r="L764" s="2"/>
      <c r="M764" s="2"/>
      <c r="N764" s="2"/>
      <c r="O764" s="2"/>
      <c r="P764" s="2"/>
    </row>
    <row r="765" spans="1:16" ht="21" customHeight="1">
      <c r="A765" s="28"/>
      <c r="B765" s="30" t="s">
        <v>112</v>
      </c>
      <c r="C765" s="101">
        <f>C155</f>
        <v>24</v>
      </c>
      <c r="D765" s="95">
        <f>D155</f>
        <v>0.83</v>
      </c>
      <c r="E765" s="89">
        <f>E155</f>
        <v>0.83</v>
      </c>
      <c r="F765" s="95">
        <f>F758</f>
        <v>2</v>
      </c>
      <c r="G765" s="89">
        <f>C765*D765*E765*F765</f>
        <v>33.07</v>
      </c>
      <c r="H765" s="95"/>
      <c r="I765" s="89"/>
      <c r="K765" s="2"/>
      <c r="L765" s="2"/>
      <c r="M765" s="2"/>
      <c r="N765" s="2"/>
      <c r="O765" s="2"/>
      <c r="P765" s="2"/>
    </row>
    <row r="766" spans="1:16" ht="21" customHeight="1">
      <c r="A766" s="28"/>
      <c r="B766" s="30"/>
      <c r="C766" s="101"/>
      <c r="D766" s="95"/>
      <c r="E766" s="89"/>
      <c r="F766" s="95"/>
      <c r="G766" s="89">
        <f>SUM(G758:G765)</f>
        <v>667.15</v>
      </c>
      <c r="H766" s="95">
        <f>SUM(H758:H765)</f>
        <v>3611.17</v>
      </c>
      <c r="I766" s="89" t="s">
        <v>14</v>
      </c>
      <c r="K766" s="2"/>
      <c r="L766" s="2"/>
      <c r="M766" s="2"/>
      <c r="N766" s="2"/>
      <c r="O766" s="2"/>
      <c r="P766" s="2"/>
    </row>
    <row r="767" spans="1:16" ht="21" customHeight="1">
      <c r="A767" s="28"/>
      <c r="B767" s="30"/>
      <c r="C767" s="101"/>
      <c r="D767" s="95"/>
      <c r="E767" s="89"/>
      <c r="F767" s="95"/>
      <c r="G767" s="89"/>
      <c r="H767" s="95">
        <f>H766-G766</f>
        <v>2944.02</v>
      </c>
      <c r="I767" s="89" t="s">
        <v>14</v>
      </c>
      <c r="K767" s="146"/>
      <c r="L767" s="2"/>
      <c r="M767" s="2"/>
      <c r="N767" s="2"/>
      <c r="O767" s="2"/>
      <c r="P767" s="2"/>
    </row>
    <row r="768" spans="1:16" ht="21" customHeight="1">
      <c r="A768" s="28"/>
      <c r="B768" s="30"/>
      <c r="C768" s="101"/>
      <c r="D768" s="95"/>
      <c r="E768" s="89"/>
      <c r="F768" s="95"/>
      <c r="G768" s="89"/>
      <c r="H768" s="95"/>
      <c r="I768" s="89"/>
      <c r="K768" s="2"/>
      <c r="L768" s="2"/>
      <c r="M768" s="2"/>
      <c r="N768" s="2"/>
      <c r="O768" s="2"/>
      <c r="P768" s="2"/>
    </row>
    <row r="769" spans="1:16" ht="21" customHeight="1">
      <c r="A769" s="28"/>
      <c r="B769" s="92" t="s">
        <v>133</v>
      </c>
      <c r="C769" s="101"/>
      <c r="D769" s="95"/>
      <c r="E769" s="89"/>
      <c r="F769" s="95"/>
      <c r="G769" s="89"/>
      <c r="H769" s="95"/>
      <c r="I769" s="89"/>
      <c r="K769" s="2"/>
      <c r="L769" s="2"/>
      <c r="M769" s="2"/>
      <c r="N769" s="2"/>
      <c r="O769" s="2"/>
      <c r="P769" s="2"/>
    </row>
    <row r="770" spans="1:16" ht="21" customHeight="1">
      <c r="A770" s="28"/>
      <c r="B770" s="28" t="s">
        <v>128</v>
      </c>
      <c r="C770" s="173"/>
      <c r="D770" s="95"/>
      <c r="E770" s="95"/>
      <c r="F770" s="89"/>
      <c r="G770" s="89"/>
      <c r="H770" s="89"/>
      <c r="I770" s="89"/>
      <c r="K770" s="2"/>
      <c r="L770" s="2"/>
      <c r="M770" s="2"/>
      <c r="N770" s="2"/>
      <c r="O770" s="2"/>
      <c r="P770" s="2"/>
    </row>
    <row r="771" spans="1:16" ht="21" customHeight="1">
      <c r="A771" s="28"/>
      <c r="B771" s="30" t="s">
        <v>127</v>
      </c>
      <c r="C771" s="173">
        <f t="shared" ref="C771:E774" si="58">C758</f>
        <v>1</v>
      </c>
      <c r="D771" s="95">
        <f t="shared" si="58"/>
        <v>38.67</v>
      </c>
      <c r="E771" s="95">
        <f t="shared" si="58"/>
        <v>36.67</v>
      </c>
      <c r="F771" s="93">
        <f>4.5/12</f>
        <v>0.375</v>
      </c>
      <c r="G771" s="89"/>
      <c r="H771" s="89">
        <f>C771*D771*E771*F771</f>
        <v>531.76</v>
      </c>
      <c r="I771" s="89" t="s">
        <v>14</v>
      </c>
      <c r="K771" s="2"/>
      <c r="L771" s="2"/>
      <c r="M771" s="2"/>
      <c r="N771" s="2"/>
      <c r="O771" s="2"/>
      <c r="P771" s="2"/>
    </row>
    <row r="772" spans="1:16" ht="21" customHeight="1">
      <c r="A772" s="28"/>
      <c r="B772" s="30"/>
      <c r="C772" s="173">
        <f t="shared" si="58"/>
        <v>1</v>
      </c>
      <c r="D772" s="95">
        <f t="shared" si="58"/>
        <v>8.5</v>
      </c>
      <c r="E772" s="95">
        <f t="shared" si="58"/>
        <v>30</v>
      </c>
      <c r="F772" s="93">
        <f>4.5/12</f>
        <v>0.375</v>
      </c>
      <c r="G772" s="89"/>
      <c r="H772" s="89">
        <f>C772*D772*E772*F772</f>
        <v>95.63</v>
      </c>
      <c r="I772" s="89" t="s">
        <v>14</v>
      </c>
      <c r="K772" s="2"/>
      <c r="L772" s="2"/>
      <c r="M772" s="2"/>
      <c r="N772" s="2"/>
      <c r="O772" s="2"/>
      <c r="P772" s="2"/>
    </row>
    <row r="773" spans="1:16" ht="21" customHeight="1">
      <c r="A773" s="28"/>
      <c r="B773" s="30"/>
      <c r="C773" s="173">
        <f t="shared" si="58"/>
        <v>1</v>
      </c>
      <c r="D773" s="95">
        <f t="shared" si="58"/>
        <v>11.67</v>
      </c>
      <c r="E773" s="95">
        <f t="shared" si="58"/>
        <v>6.5</v>
      </c>
      <c r="F773" s="93">
        <f>4.5/12</f>
        <v>0.375</v>
      </c>
      <c r="G773" s="89"/>
      <c r="H773" s="89">
        <f>C773*D773*E773*F773</f>
        <v>28.45</v>
      </c>
      <c r="I773" s="89" t="s">
        <v>14</v>
      </c>
      <c r="K773" s="2"/>
      <c r="L773" s="2"/>
      <c r="M773" s="2"/>
      <c r="N773" s="2"/>
      <c r="O773" s="2"/>
      <c r="P773" s="2"/>
    </row>
    <row r="774" spans="1:16" ht="21" customHeight="1">
      <c r="A774" s="28"/>
      <c r="B774" s="30"/>
      <c r="C774" s="173">
        <f t="shared" si="58"/>
        <v>1</v>
      </c>
      <c r="D774" s="95">
        <f t="shared" si="58"/>
        <v>10</v>
      </c>
      <c r="E774" s="95">
        <f t="shared" si="58"/>
        <v>5.67</v>
      </c>
      <c r="F774" s="93">
        <f>4.5/12</f>
        <v>0.375</v>
      </c>
      <c r="G774" s="89"/>
      <c r="H774" s="89">
        <f>C774*D774*E774*F774</f>
        <v>21.26</v>
      </c>
      <c r="I774" s="89" t="s">
        <v>14</v>
      </c>
      <c r="K774" s="2"/>
      <c r="L774" s="2"/>
      <c r="M774" s="2"/>
      <c r="N774" s="2"/>
      <c r="O774" s="2"/>
      <c r="P774" s="2"/>
    </row>
    <row r="775" spans="1:16" ht="21" customHeight="1">
      <c r="A775" s="28"/>
      <c r="B775" s="28" t="s">
        <v>11</v>
      </c>
      <c r="C775" s="173"/>
      <c r="D775" s="95"/>
      <c r="E775" s="95"/>
      <c r="F775" s="93"/>
      <c r="G775" s="89"/>
      <c r="H775" s="89"/>
      <c r="I775" s="89"/>
      <c r="K775" s="2"/>
      <c r="L775" s="2"/>
      <c r="M775" s="2"/>
      <c r="N775" s="2"/>
      <c r="O775" s="2"/>
      <c r="P775" s="2"/>
    </row>
    <row r="776" spans="1:16" ht="21" customHeight="1">
      <c r="A776" s="28"/>
      <c r="B776" s="28" t="s">
        <v>112</v>
      </c>
      <c r="C776" s="173"/>
      <c r="D776" s="95"/>
      <c r="E776" s="95"/>
      <c r="F776" s="93"/>
      <c r="G776" s="89"/>
      <c r="H776" s="89"/>
      <c r="I776" s="89"/>
      <c r="K776" s="2"/>
      <c r="L776" s="2"/>
      <c r="M776" s="2"/>
      <c r="N776" s="2"/>
      <c r="O776" s="2"/>
      <c r="P776" s="2"/>
    </row>
    <row r="777" spans="1:16" ht="21" customHeight="1">
      <c r="A777" s="28"/>
      <c r="B777" s="30" t="s">
        <v>112</v>
      </c>
      <c r="C777" s="173">
        <f>C765</f>
        <v>24</v>
      </c>
      <c r="D777" s="95">
        <f>D765</f>
        <v>0.83</v>
      </c>
      <c r="E777" s="95">
        <f>E765</f>
        <v>0.83</v>
      </c>
      <c r="F777" s="93">
        <f>F771</f>
        <v>0.375</v>
      </c>
      <c r="G777" s="89">
        <f>C777*D777*E777*F777</f>
        <v>6.2</v>
      </c>
      <c r="H777" s="89"/>
      <c r="I777" s="89"/>
      <c r="K777" s="2"/>
      <c r="L777" s="2"/>
      <c r="M777" s="2"/>
      <c r="N777" s="2"/>
      <c r="O777" s="2"/>
      <c r="P777" s="2"/>
    </row>
    <row r="778" spans="1:16" ht="21" customHeight="1">
      <c r="A778" s="28"/>
      <c r="B778" s="28" t="s">
        <v>132</v>
      </c>
      <c r="C778" s="173"/>
      <c r="D778" s="95"/>
      <c r="E778" s="95"/>
      <c r="F778" s="93"/>
      <c r="G778" s="89"/>
      <c r="H778" s="89"/>
      <c r="I778" s="89"/>
      <c r="K778" s="2"/>
      <c r="L778" s="2"/>
      <c r="M778" s="2"/>
      <c r="N778" s="2"/>
      <c r="O778" s="2"/>
      <c r="P778" s="2"/>
    </row>
    <row r="779" spans="1:16" ht="21" customHeight="1">
      <c r="A779" s="28"/>
      <c r="B779" s="30" t="s">
        <v>270</v>
      </c>
      <c r="C779" s="173">
        <v>1</v>
      </c>
      <c r="D779" s="95">
        <f>D238</f>
        <v>138.5</v>
      </c>
      <c r="E779" s="95">
        <v>0.83</v>
      </c>
      <c r="F779" s="93">
        <f>F771</f>
        <v>0.375</v>
      </c>
      <c r="G779" s="89">
        <f>C779*D779*E779*F779</f>
        <v>43.11</v>
      </c>
      <c r="H779" s="89"/>
      <c r="I779" s="89"/>
      <c r="K779" s="2"/>
      <c r="L779" s="2"/>
      <c r="M779" s="2"/>
      <c r="N779" s="2"/>
      <c r="O779" s="2"/>
      <c r="P779" s="2"/>
    </row>
    <row r="780" spans="1:16" ht="21" customHeight="1">
      <c r="A780" s="28"/>
      <c r="B780" s="30" t="s">
        <v>271</v>
      </c>
      <c r="C780" s="173">
        <v>1</v>
      </c>
      <c r="D780" s="95">
        <f>D244</f>
        <v>308.19</v>
      </c>
      <c r="E780" s="95">
        <v>0.83</v>
      </c>
      <c r="F780" s="93">
        <f>F779</f>
        <v>0.375</v>
      </c>
      <c r="G780" s="89">
        <f>C780*D780*E780*F780</f>
        <v>95.92</v>
      </c>
      <c r="H780" s="89"/>
      <c r="I780" s="89"/>
      <c r="K780" s="2"/>
      <c r="L780" s="2"/>
      <c r="M780" s="2"/>
      <c r="N780" s="2"/>
      <c r="O780" s="2"/>
      <c r="P780" s="2"/>
    </row>
    <row r="781" spans="1:16" ht="21" customHeight="1">
      <c r="A781" s="28"/>
      <c r="B781" s="92"/>
      <c r="C781" s="173"/>
      <c r="D781" s="89"/>
      <c r="E781" s="95"/>
      <c r="F781" s="89"/>
      <c r="G781" s="89">
        <f>SUM(G771:G780)</f>
        <v>145.22999999999999</v>
      </c>
      <c r="H781" s="89">
        <f>SUM(H771:H780)</f>
        <v>677.1</v>
      </c>
      <c r="I781" s="89" t="s">
        <v>14</v>
      </c>
      <c r="K781" s="2"/>
      <c r="L781" s="2"/>
      <c r="M781" s="2"/>
      <c r="N781" s="2"/>
      <c r="O781" s="2"/>
      <c r="P781" s="2"/>
    </row>
    <row r="782" spans="1:16" ht="21" customHeight="1">
      <c r="A782" s="28"/>
      <c r="B782" s="30"/>
      <c r="C782" s="173"/>
      <c r="D782" s="95"/>
      <c r="E782" s="95"/>
      <c r="F782" s="89"/>
      <c r="G782" s="89"/>
      <c r="H782" s="89">
        <f>H781-G781</f>
        <v>531.87</v>
      </c>
      <c r="I782" s="89" t="s">
        <v>14</v>
      </c>
      <c r="K782" s="2"/>
      <c r="L782" s="2"/>
      <c r="M782" s="2"/>
      <c r="N782" s="2"/>
      <c r="O782" s="2"/>
      <c r="P782" s="2"/>
    </row>
    <row r="783" spans="1:16" ht="20.149999999999999" customHeight="1">
      <c r="A783" s="28"/>
      <c r="B783" s="28"/>
      <c r="C783" s="31"/>
      <c r="D783" s="89"/>
      <c r="E783" s="89"/>
      <c r="F783" s="89"/>
      <c r="G783" s="89"/>
      <c r="H783" s="89"/>
      <c r="I783" s="89"/>
    </row>
    <row r="784" spans="1:16" ht="20.149999999999999" customHeight="1">
      <c r="A784" s="28"/>
      <c r="B784" s="92" t="s">
        <v>326</v>
      </c>
      <c r="C784" s="31"/>
      <c r="D784" s="89"/>
      <c r="E784" s="89"/>
      <c r="F784" s="89"/>
      <c r="G784" s="89"/>
      <c r="H784" s="89"/>
      <c r="I784" s="89"/>
    </row>
    <row r="785" spans="1:9" ht="20.149999999999999" customHeight="1">
      <c r="A785" s="28"/>
      <c r="B785" s="28" t="str">
        <f>B771</f>
        <v>Main</v>
      </c>
      <c r="C785" s="31">
        <f>C771</f>
        <v>1</v>
      </c>
      <c r="D785" s="89">
        <f>D771</f>
        <v>38.67</v>
      </c>
      <c r="E785" s="89">
        <f>E771</f>
        <v>36.67</v>
      </c>
      <c r="F785" s="89"/>
      <c r="G785" s="89"/>
      <c r="H785" s="89">
        <f>C785*D785*E785</f>
        <v>1418.03</v>
      </c>
      <c r="I785" s="89" t="s">
        <v>7</v>
      </c>
    </row>
    <row r="786" spans="1:9" ht="20.149999999999999" customHeight="1">
      <c r="A786" s="28"/>
      <c r="B786" s="28"/>
      <c r="C786" s="31">
        <f t="shared" ref="C786:E788" si="59">C772</f>
        <v>1</v>
      </c>
      <c r="D786" s="89">
        <f t="shared" si="59"/>
        <v>8.5</v>
      </c>
      <c r="E786" s="89">
        <f t="shared" si="59"/>
        <v>30</v>
      </c>
      <c r="F786" s="89"/>
      <c r="G786" s="89"/>
      <c r="H786" s="89">
        <f>C786*D786*E786</f>
        <v>255</v>
      </c>
      <c r="I786" s="89" t="s">
        <v>7</v>
      </c>
    </row>
    <row r="787" spans="1:9" ht="20.149999999999999" customHeight="1">
      <c r="A787" s="28"/>
      <c r="B787" s="28"/>
      <c r="C787" s="31">
        <f t="shared" si="59"/>
        <v>1</v>
      </c>
      <c r="D787" s="89">
        <f t="shared" si="59"/>
        <v>11.67</v>
      </c>
      <c r="E787" s="89">
        <f t="shared" si="59"/>
        <v>6.5</v>
      </c>
      <c r="F787" s="89"/>
      <c r="G787" s="89"/>
      <c r="H787" s="89">
        <f>C787*D787*E787</f>
        <v>75.86</v>
      </c>
      <c r="I787" s="89" t="s">
        <v>7</v>
      </c>
    </row>
    <row r="788" spans="1:9" ht="20.149999999999999" customHeight="1">
      <c r="A788" s="28"/>
      <c r="B788" s="28"/>
      <c r="C788" s="31">
        <f t="shared" si="59"/>
        <v>1</v>
      </c>
      <c r="D788" s="89">
        <f t="shared" si="59"/>
        <v>10</v>
      </c>
      <c r="E788" s="89">
        <f t="shared" si="59"/>
        <v>5.67</v>
      </c>
      <c r="F788" s="89"/>
      <c r="G788" s="89"/>
      <c r="H788" s="89">
        <f>C788*D788*E788</f>
        <v>56.7</v>
      </c>
      <c r="I788" s="89" t="s">
        <v>7</v>
      </c>
    </row>
    <row r="789" spans="1:9" ht="20.149999999999999" customHeight="1">
      <c r="A789" s="28"/>
      <c r="B789" s="28" t="s">
        <v>11</v>
      </c>
      <c r="C789" s="31"/>
      <c r="D789" s="89"/>
      <c r="E789" s="89"/>
      <c r="F789" s="89"/>
      <c r="G789" s="89"/>
      <c r="H789" s="89"/>
      <c r="I789" s="89" t="s">
        <v>7</v>
      </c>
    </row>
    <row r="790" spans="1:9" ht="20.149999999999999" customHeight="1">
      <c r="A790" s="28"/>
      <c r="B790" s="28" t="s">
        <v>327</v>
      </c>
      <c r="C790" s="31"/>
      <c r="D790" s="89"/>
      <c r="E790" s="89"/>
      <c r="F790" s="89"/>
      <c r="G790" s="89"/>
      <c r="H790" s="89"/>
      <c r="I790" s="89" t="s">
        <v>7</v>
      </c>
    </row>
    <row r="791" spans="1:9" ht="20.149999999999999" customHeight="1">
      <c r="A791" s="28"/>
      <c r="B791" s="28"/>
      <c r="C791" s="31"/>
      <c r="D791" s="89"/>
      <c r="E791" s="89"/>
      <c r="F791" s="89"/>
      <c r="G791" s="89">
        <f>SUM(G785:G790)</f>
        <v>0</v>
      </c>
      <c r="H791" s="89">
        <f>SUM(H785:H790)</f>
        <v>1805.59</v>
      </c>
      <c r="I791" s="89" t="s">
        <v>7</v>
      </c>
    </row>
    <row r="792" spans="1:9" ht="20.149999999999999" customHeight="1">
      <c r="A792" s="28"/>
      <c r="B792" s="28"/>
      <c r="C792" s="31"/>
      <c r="D792" s="89"/>
      <c r="E792" s="89"/>
      <c r="F792" s="89"/>
      <c r="G792" s="89"/>
      <c r="H792" s="89">
        <f>H791-G791</f>
        <v>1805.59</v>
      </c>
      <c r="I792" s="89" t="s">
        <v>7</v>
      </c>
    </row>
    <row r="793" spans="1:9" ht="20.149999999999999" customHeight="1">
      <c r="A793" s="28"/>
      <c r="B793" s="28"/>
      <c r="C793" s="31"/>
      <c r="D793" s="89"/>
      <c r="E793" s="89"/>
      <c r="F793" s="89"/>
      <c r="G793" s="89"/>
      <c r="H793" s="89"/>
      <c r="I793" s="89"/>
    </row>
    <row r="794" spans="1:9" ht="20.149999999999999" customHeight="1">
      <c r="A794" s="28">
        <v>17</v>
      </c>
      <c r="B794" s="92" t="s">
        <v>328</v>
      </c>
      <c r="C794" s="31"/>
      <c r="D794" s="89"/>
      <c r="E794" s="89"/>
      <c r="F794" s="89"/>
      <c r="G794" s="89"/>
      <c r="H794" s="89"/>
      <c r="I794" s="89"/>
    </row>
    <row r="795" spans="1:9" ht="20.149999999999999" customHeight="1">
      <c r="A795" s="28"/>
      <c r="B795" s="28"/>
      <c r="C795" s="31">
        <v>1</v>
      </c>
      <c r="D795" s="89">
        <f>(46+6)*2+(49+6)*2</f>
        <v>214</v>
      </c>
      <c r="E795" s="89"/>
      <c r="F795" s="89">
        <f>12+3</f>
        <v>15</v>
      </c>
      <c r="G795" s="89"/>
      <c r="H795" s="89">
        <f>C795*D795*F795</f>
        <v>3210</v>
      </c>
      <c r="I795" s="89" t="s">
        <v>7</v>
      </c>
    </row>
    <row r="796" spans="1:9" ht="20.149999999999999" customHeight="1">
      <c r="A796" s="28"/>
      <c r="B796" s="28"/>
      <c r="C796" s="31"/>
      <c r="D796" s="89"/>
      <c r="E796" s="89"/>
      <c r="F796" s="89"/>
      <c r="G796" s="89"/>
      <c r="H796" s="89">
        <f>H795/100</f>
        <v>32.1</v>
      </c>
      <c r="I796" s="89" t="s">
        <v>91</v>
      </c>
    </row>
    <row r="797" spans="1:9" ht="20.149999999999999" customHeight="1">
      <c r="A797" s="28"/>
      <c r="B797" s="28"/>
      <c r="C797" s="31"/>
      <c r="D797" s="89"/>
      <c r="E797" s="89"/>
      <c r="F797" s="89"/>
      <c r="G797" s="89"/>
      <c r="H797" s="89"/>
      <c r="I797" s="89"/>
    </row>
    <row r="798" spans="1:9" ht="20.149999999999999" customHeight="1">
      <c r="A798" s="28">
        <v>18</v>
      </c>
      <c r="B798" s="92" t="s">
        <v>1</v>
      </c>
      <c r="C798" s="31"/>
      <c r="D798" s="89"/>
      <c r="E798" s="89"/>
      <c r="F798" s="89"/>
      <c r="G798" s="89"/>
      <c r="H798" s="89"/>
      <c r="I798" s="89"/>
    </row>
    <row r="799" spans="1:9" ht="20.149999999999999" customHeight="1">
      <c r="A799" s="28"/>
      <c r="B799" s="30" t="s">
        <v>65</v>
      </c>
      <c r="C799" s="31"/>
      <c r="D799" s="89"/>
      <c r="E799" s="89"/>
      <c r="F799" s="89"/>
      <c r="G799" s="89"/>
      <c r="H799" s="89">
        <f>H6</f>
        <v>4488</v>
      </c>
      <c r="I799" s="89" t="s">
        <v>7</v>
      </c>
    </row>
    <row r="800" spans="1:9" ht="20.149999999999999" customHeight="1">
      <c r="A800" s="32"/>
      <c r="B800" s="107"/>
      <c r="C800" s="108"/>
      <c r="D800" s="109"/>
      <c r="E800" s="109"/>
      <c r="F800" s="109"/>
      <c r="G800" s="109"/>
      <c r="H800" s="109">
        <f>H799/100</f>
        <v>44.88</v>
      </c>
      <c r="I800" s="109" t="s">
        <v>91</v>
      </c>
    </row>
    <row r="801" spans="9:9">
      <c r="I801" s="113"/>
    </row>
  </sheetData>
  <autoFilter ref="A308:I481" xr:uid="{84B49796-7032-45B4-8DAD-4956FC265E2B}"/>
  <mergeCells count="9">
    <mergeCell ref="A4:A5"/>
    <mergeCell ref="B4:B5"/>
    <mergeCell ref="A1:I1"/>
    <mergeCell ref="D4:F4"/>
    <mergeCell ref="A2:I2"/>
    <mergeCell ref="A3:I3"/>
    <mergeCell ref="H4:H5"/>
    <mergeCell ref="G4:G5"/>
    <mergeCell ref="C4:C5"/>
  </mergeCells>
  <phoneticPr fontId="6" type="noConversion"/>
  <printOptions horizontalCentered="1"/>
  <pageMargins left="0.25" right="0" top="0.5" bottom="0.5" header="0.5" footer="0.25"/>
  <pageSetup paperSize="9" orientation="portrait" horizontalDpi="300" verticalDpi="300" r:id="rId1"/>
  <headerFooter alignWithMargins="0"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6CF7-22F7-4F08-B480-FFD39AAD9B24}">
  <sheetPr codeName="Sheet14"/>
  <dimension ref="B1:H22"/>
  <sheetViews>
    <sheetView zoomScale="160" zoomScaleNormal="160" workbookViewId="0">
      <selection activeCell="G2" sqref="G2"/>
    </sheetView>
  </sheetViews>
  <sheetFormatPr defaultRowHeight="12.5"/>
  <cols>
    <col min="2" max="2" width="11.81640625" bestFit="1" customWidth="1"/>
    <col min="3" max="3" width="6.26953125" bestFit="1" customWidth="1"/>
    <col min="4" max="4" width="5.1796875" bestFit="1" customWidth="1"/>
    <col min="5" max="5" width="6.26953125" bestFit="1" customWidth="1"/>
    <col min="6" max="6" width="7.26953125" bestFit="1" customWidth="1"/>
  </cols>
  <sheetData>
    <row r="1" spans="2:8">
      <c r="B1" t="s">
        <v>368</v>
      </c>
      <c r="C1">
        <v>25000</v>
      </c>
    </row>
    <row r="2" spans="2:8">
      <c r="B2" t="s">
        <v>15</v>
      </c>
      <c r="C2">
        <v>18000</v>
      </c>
    </row>
    <row r="4" spans="2:8">
      <c r="B4" t="s">
        <v>358</v>
      </c>
      <c r="D4">
        <v>2</v>
      </c>
      <c r="E4">
        <f>$C$2</f>
        <v>18000</v>
      </c>
      <c r="F4">
        <f>D4*E4</f>
        <v>36000</v>
      </c>
      <c r="H4">
        <f>SUM(F4)</f>
        <v>36000</v>
      </c>
    </row>
    <row r="5" spans="2:8">
      <c r="B5" t="s">
        <v>272</v>
      </c>
      <c r="D5">
        <v>1</v>
      </c>
      <c r="E5">
        <f>$C$2</f>
        <v>18000</v>
      </c>
      <c r="F5">
        <f t="shared" ref="F5:F21" si="0">D5*E5</f>
        <v>18000</v>
      </c>
      <c r="H5">
        <f>SUM(F5)</f>
        <v>18000</v>
      </c>
    </row>
    <row r="6" spans="2:8">
      <c r="B6" t="s">
        <v>361</v>
      </c>
      <c r="D6">
        <v>1</v>
      </c>
      <c r="E6">
        <f>$C$1</f>
        <v>25000</v>
      </c>
      <c r="F6">
        <f t="shared" si="0"/>
        <v>25000</v>
      </c>
      <c r="H6">
        <f>SUM(F6:F7)</f>
        <v>133000</v>
      </c>
    </row>
    <row r="7" spans="2:8">
      <c r="D7">
        <v>6</v>
      </c>
      <c r="E7">
        <f>$C$2</f>
        <v>18000</v>
      </c>
      <c r="F7">
        <f t="shared" si="0"/>
        <v>108000</v>
      </c>
    </row>
    <row r="8" spans="2:8">
      <c r="B8" t="s">
        <v>363</v>
      </c>
      <c r="D8">
        <v>4</v>
      </c>
      <c r="E8">
        <f>$C$1</f>
        <v>25000</v>
      </c>
      <c r="F8">
        <f t="shared" si="0"/>
        <v>100000</v>
      </c>
      <c r="H8">
        <f>SUM(F8:F9)*0.8</f>
        <v>166400</v>
      </c>
    </row>
    <row r="9" spans="2:8">
      <c r="D9">
        <v>6</v>
      </c>
      <c r="E9">
        <f>$C$2</f>
        <v>18000</v>
      </c>
      <c r="F9">
        <f t="shared" si="0"/>
        <v>108000</v>
      </c>
    </row>
    <row r="10" spans="2:8">
      <c r="B10" t="s">
        <v>362</v>
      </c>
      <c r="D10">
        <v>1</v>
      </c>
      <c r="E10">
        <f>$C$1</f>
        <v>25000</v>
      </c>
      <c r="F10">
        <f t="shared" si="0"/>
        <v>25000</v>
      </c>
      <c r="H10">
        <f>SUM(F10:F11)</f>
        <v>169000</v>
      </c>
    </row>
    <row r="11" spans="2:8">
      <c r="D11">
        <v>8</v>
      </c>
      <c r="E11">
        <f>$C$2</f>
        <v>18000</v>
      </c>
      <c r="F11">
        <f t="shared" si="0"/>
        <v>144000</v>
      </c>
    </row>
    <row r="12" spans="2:8">
      <c r="B12" t="s">
        <v>364</v>
      </c>
      <c r="D12">
        <f>20*0.75*0.5</f>
        <v>7.5</v>
      </c>
      <c r="E12">
        <f>$C$1</f>
        <v>25000</v>
      </c>
      <c r="F12">
        <f t="shared" si="0"/>
        <v>187500</v>
      </c>
      <c r="H12">
        <f>SUM(F12:F13)*0.8</f>
        <v>258000</v>
      </c>
    </row>
    <row r="13" spans="2:8">
      <c r="D13">
        <f>D12</f>
        <v>7.5</v>
      </c>
      <c r="E13">
        <f>$C$2</f>
        <v>18000</v>
      </c>
      <c r="F13">
        <f t="shared" si="0"/>
        <v>135000</v>
      </c>
    </row>
    <row r="14" spans="2:8">
      <c r="B14" t="s">
        <v>365</v>
      </c>
      <c r="D14">
        <f>4</f>
        <v>4</v>
      </c>
      <c r="E14">
        <f>$C$1</f>
        <v>25000</v>
      </c>
      <c r="F14">
        <f t="shared" si="0"/>
        <v>100000</v>
      </c>
      <c r="H14">
        <f>SUM(F14:F15)</f>
        <v>136000</v>
      </c>
    </row>
    <row r="15" spans="2:8">
      <c r="D15">
        <v>2</v>
      </c>
      <c r="E15">
        <f>$C$2</f>
        <v>18000</v>
      </c>
      <c r="F15">
        <f t="shared" si="0"/>
        <v>36000</v>
      </c>
    </row>
    <row r="16" spans="2:8">
      <c r="B16" t="s">
        <v>366</v>
      </c>
      <c r="D16">
        <v>2</v>
      </c>
      <c r="E16">
        <f>$C$1</f>
        <v>25000</v>
      </c>
      <c r="F16">
        <f t="shared" si="0"/>
        <v>50000</v>
      </c>
      <c r="H16">
        <f>SUM(F16:F17)</f>
        <v>104000</v>
      </c>
    </row>
    <row r="17" spans="2:8">
      <c r="D17">
        <v>3</v>
      </c>
      <c r="E17">
        <f>$C$2</f>
        <v>18000</v>
      </c>
      <c r="F17">
        <f t="shared" si="0"/>
        <v>54000</v>
      </c>
    </row>
    <row r="18" spans="2:8">
      <c r="B18" t="s">
        <v>143</v>
      </c>
      <c r="D18">
        <v>1</v>
      </c>
      <c r="E18">
        <f>$C$1</f>
        <v>25000</v>
      </c>
      <c r="F18">
        <f t="shared" si="0"/>
        <v>25000</v>
      </c>
      <c r="H18">
        <f>SUM(F18:F19)</f>
        <v>61000</v>
      </c>
    </row>
    <row r="19" spans="2:8">
      <c r="D19">
        <v>2</v>
      </c>
      <c r="E19">
        <f>$C$2</f>
        <v>18000</v>
      </c>
      <c r="F19">
        <f t="shared" si="0"/>
        <v>36000</v>
      </c>
    </row>
    <row r="20" spans="2:8">
      <c r="B20" t="s">
        <v>144</v>
      </c>
      <c r="D20">
        <v>0.75</v>
      </c>
      <c r="E20">
        <f>$C$1</f>
        <v>25000</v>
      </c>
      <c r="F20">
        <f t="shared" si="0"/>
        <v>18750</v>
      </c>
      <c r="H20">
        <f>SUM(F20:F21)</f>
        <v>45750</v>
      </c>
    </row>
    <row r="21" spans="2:8">
      <c r="D21">
        <v>1.5</v>
      </c>
      <c r="E21">
        <f>$C$2</f>
        <v>18000</v>
      </c>
      <c r="F21">
        <f t="shared" si="0"/>
        <v>27000</v>
      </c>
    </row>
    <row r="22" spans="2:8">
      <c r="B22" t="s">
        <v>367</v>
      </c>
      <c r="H22">
        <v>1775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A82E-3B9E-487C-99D9-156708BF30DB}">
  <sheetPr codeName="Sheet17"/>
  <dimension ref="A1:L71"/>
  <sheetViews>
    <sheetView topLeftCell="B1" zoomScale="140" zoomScaleNormal="140" workbookViewId="0">
      <selection activeCell="F9" sqref="F9"/>
    </sheetView>
  </sheetViews>
  <sheetFormatPr defaultRowHeight="12.5"/>
  <cols>
    <col min="1" max="1" width="6.453125" customWidth="1"/>
    <col min="2" max="2" width="34.26953125" bestFit="1" customWidth="1"/>
    <col min="3" max="3" width="5.81640625" customWidth="1"/>
    <col min="4" max="4" width="10" bestFit="1" customWidth="1"/>
    <col min="5" max="5" width="13.453125" bestFit="1" customWidth="1"/>
    <col min="6" max="6" width="11.54296875" customWidth="1"/>
    <col min="7" max="7" width="10" bestFit="1" customWidth="1"/>
    <col min="8" max="8" width="11" bestFit="1" customWidth="1"/>
    <col min="9" max="9" width="14.26953125" customWidth="1"/>
    <col min="10" max="10" width="3.1796875" bestFit="1" customWidth="1"/>
    <col min="11" max="12" width="13.81640625" bestFit="1" customWidth="1"/>
  </cols>
  <sheetData>
    <row r="1" spans="1:12" ht="23.15" customHeight="1">
      <c r="A1" s="334" t="s">
        <v>353</v>
      </c>
      <c r="B1" s="334"/>
      <c r="C1" s="334"/>
      <c r="D1" s="334"/>
      <c r="E1" s="334"/>
      <c r="F1" s="334"/>
      <c r="G1" s="334"/>
      <c r="H1" s="334"/>
      <c r="I1" s="179"/>
    </row>
    <row r="2" spans="1:12" ht="23.15" customHeight="1">
      <c r="E2" s="335" t="s">
        <v>378</v>
      </c>
      <c r="F2" s="336"/>
    </row>
    <row r="3" spans="1:12" ht="23.15" customHeight="1">
      <c r="A3" s="242" t="s">
        <v>77</v>
      </c>
      <c r="B3" s="243" t="s">
        <v>78</v>
      </c>
      <c r="C3" s="243" t="s">
        <v>94</v>
      </c>
      <c r="D3" s="253" t="s">
        <v>348</v>
      </c>
      <c r="E3" s="254" t="s">
        <v>380</v>
      </c>
      <c r="F3" s="254" t="s">
        <v>379</v>
      </c>
      <c r="G3" s="254" t="s">
        <v>352</v>
      </c>
      <c r="H3" s="254" t="s">
        <v>96</v>
      </c>
      <c r="I3" s="254" t="s">
        <v>6</v>
      </c>
      <c r="J3" s="242"/>
    </row>
    <row r="4" spans="1:12" ht="23.15" customHeight="1">
      <c r="A4" s="240"/>
      <c r="B4" s="245" t="s">
        <v>72</v>
      </c>
      <c r="C4" s="245"/>
      <c r="D4" s="241">
        <v>1723</v>
      </c>
      <c r="E4" s="241">
        <f>25*35+6*12</f>
        <v>947</v>
      </c>
      <c r="F4" s="241"/>
      <c r="G4" s="241"/>
      <c r="H4" s="255"/>
      <c r="I4" s="241"/>
      <c r="J4" s="241"/>
    </row>
    <row r="5" spans="1:12" ht="23.15" customHeight="1">
      <c r="A5" s="236">
        <v>1</v>
      </c>
      <c r="B5" s="246" t="s">
        <v>377</v>
      </c>
      <c r="C5" s="247" t="str">
        <f>'BQ '!C27</f>
        <v>Rft.</v>
      </c>
      <c r="D5" s="238">
        <f>'BQ '!D27</f>
        <v>1273</v>
      </c>
      <c r="E5" s="251">
        <f>'POL Roof'!C9</f>
        <v>974</v>
      </c>
      <c r="F5" s="282">
        <f>[1]BE!$D$473</f>
        <v>18.899999999999999</v>
      </c>
      <c r="G5" s="283">
        <f>D5+F5</f>
        <v>1291.9000000000001</v>
      </c>
      <c r="H5" s="256">
        <v>4000</v>
      </c>
      <c r="I5" s="257">
        <f>G5*H5</f>
        <v>5167600</v>
      </c>
      <c r="J5" s="237"/>
      <c r="K5" s="180">
        <f>(D5+E5)*H5</f>
        <v>8988000</v>
      </c>
      <c r="L5" s="180">
        <f>I5-K5</f>
        <v>-3820400</v>
      </c>
    </row>
    <row r="6" spans="1:12" ht="23.15" customHeight="1">
      <c r="A6" s="236">
        <v>2</v>
      </c>
      <c r="B6" s="246" t="s">
        <v>317</v>
      </c>
      <c r="C6" s="247" t="str">
        <f>'BQ '!C28</f>
        <v>Gross</v>
      </c>
      <c r="D6" s="238">
        <f>'BQ '!D28</f>
        <v>17.3</v>
      </c>
      <c r="E6" s="238">
        <f t="shared" ref="E6:E11" si="0">ROUND(D6*$E$4/$D$4,0)</f>
        <v>10</v>
      </c>
      <c r="F6" s="283">
        <f>E6</f>
        <v>10</v>
      </c>
      <c r="G6" s="283">
        <f t="shared" ref="G6:G12" si="1">D6+F6</f>
        <v>27.3</v>
      </c>
      <c r="H6" s="255"/>
      <c r="I6" s="257">
        <f t="shared" ref="I6:I12" si="2">G6*H6</f>
        <v>0</v>
      </c>
      <c r="J6" s="237"/>
      <c r="K6" s="180">
        <f t="shared" ref="K6:K12" si="3">(D6+E6)*H6</f>
        <v>0</v>
      </c>
      <c r="L6" s="180">
        <f t="shared" ref="L6:L12" si="4">I6-K6</f>
        <v>0</v>
      </c>
    </row>
    <row r="7" spans="1:12" ht="23.15" customHeight="1">
      <c r="A7" s="236">
        <v>3</v>
      </c>
      <c r="B7" s="248" t="s">
        <v>220</v>
      </c>
      <c r="C7" s="247" t="str">
        <f>'BQ '!C30</f>
        <v>No</v>
      </c>
      <c r="D7" s="238">
        <f>'BQ '!D30</f>
        <v>18.690000000000001</v>
      </c>
      <c r="E7" s="238">
        <f t="shared" si="0"/>
        <v>10</v>
      </c>
      <c r="F7" s="283"/>
      <c r="G7" s="283">
        <f t="shared" si="1"/>
        <v>18.690000000000001</v>
      </c>
      <c r="H7" s="255">
        <f>ROUND($H$8*J7/12,-3)</f>
        <v>64000</v>
      </c>
      <c r="I7" s="257">
        <f t="shared" si="2"/>
        <v>1196160</v>
      </c>
      <c r="J7" s="237">
        <f>5+5+2.5+2.5</f>
        <v>15</v>
      </c>
      <c r="K7" s="180">
        <f t="shared" si="3"/>
        <v>1836160</v>
      </c>
      <c r="L7" s="180">
        <f t="shared" si="4"/>
        <v>-640000</v>
      </c>
    </row>
    <row r="8" spans="1:12" ht="23.15" customHeight="1">
      <c r="A8" s="236">
        <v>4</v>
      </c>
      <c r="B8" s="248" t="s">
        <v>229</v>
      </c>
      <c r="C8" s="247" t="str">
        <f>'BQ '!C31</f>
        <v>No</v>
      </c>
      <c r="D8" s="238">
        <f>'BQ '!D31</f>
        <v>40.659999999999997</v>
      </c>
      <c r="E8" s="238">
        <f t="shared" si="0"/>
        <v>22</v>
      </c>
      <c r="F8" s="283">
        <f>[1]BE!$D$470</f>
        <v>0.18</v>
      </c>
      <c r="G8" s="283">
        <f t="shared" si="1"/>
        <v>40.840000000000003</v>
      </c>
      <c r="H8" s="256">
        <v>50800</v>
      </c>
      <c r="I8" s="257">
        <f t="shared" si="2"/>
        <v>2074672</v>
      </c>
      <c r="J8" s="237">
        <f>(4+4+2+2)</f>
        <v>12</v>
      </c>
      <c r="K8" s="180">
        <f t="shared" si="3"/>
        <v>3183128</v>
      </c>
      <c r="L8" s="180">
        <f t="shared" si="4"/>
        <v>-1108456</v>
      </c>
    </row>
    <row r="9" spans="1:12" ht="23.15" customHeight="1">
      <c r="A9" s="236">
        <v>5</v>
      </c>
      <c r="B9" s="248" t="s">
        <v>239</v>
      </c>
      <c r="C9" s="247" t="str">
        <f>'BQ '!C32</f>
        <v>No</v>
      </c>
      <c r="D9" s="238">
        <f>'BQ '!D32</f>
        <v>94.42</v>
      </c>
      <c r="E9" s="238">
        <f t="shared" si="0"/>
        <v>52</v>
      </c>
      <c r="F9" s="283">
        <f>[1]BE!$D$471</f>
        <v>12.6</v>
      </c>
      <c r="G9" s="283">
        <f t="shared" si="1"/>
        <v>107.02</v>
      </c>
      <c r="H9" s="255">
        <f>ROUND($H$8*J9/12,-3)</f>
        <v>42000</v>
      </c>
      <c r="I9" s="257">
        <f t="shared" si="2"/>
        <v>4494840</v>
      </c>
      <c r="J9" s="237">
        <f>(3+3+2+2)</f>
        <v>10</v>
      </c>
      <c r="K9" s="180">
        <f t="shared" si="3"/>
        <v>6149640</v>
      </c>
      <c r="L9" s="180">
        <f t="shared" si="4"/>
        <v>-1654800</v>
      </c>
    </row>
    <row r="10" spans="1:12" ht="23.15" customHeight="1">
      <c r="A10" s="236">
        <v>6</v>
      </c>
      <c r="B10" s="248" t="s">
        <v>316</v>
      </c>
      <c r="C10" s="247" t="str">
        <f>'BQ '!C33</f>
        <v>No</v>
      </c>
      <c r="D10" s="238">
        <f>'BQ '!D33</f>
        <v>1.92</v>
      </c>
      <c r="E10" s="238">
        <f t="shared" si="0"/>
        <v>1</v>
      </c>
      <c r="F10" s="283">
        <f>[1]BE!$D$472</f>
        <v>0</v>
      </c>
      <c r="G10" s="283">
        <f t="shared" si="1"/>
        <v>1.92</v>
      </c>
      <c r="H10" s="255">
        <v>40000</v>
      </c>
      <c r="I10" s="257">
        <f t="shared" si="2"/>
        <v>76800</v>
      </c>
      <c r="J10" s="237"/>
      <c r="K10" s="180">
        <f t="shared" si="3"/>
        <v>116800</v>
      </c>
      <c r="L10" s="180">
        <f t="shared" si="4"/>
        <v>-40000</v>
      </c>
    </row>
    <row r="11" spans="1:12" ht="23.15" customHeight="1">
      <c r="A11" s="236">
        <v>7</v>
      </c>
      <c r="B11" s="246" t="s">
        <v>121</v>
      </c>
      <c r="C11" s="247" t="str">
        <f>'BQ '!C35</f>
        <v>Pkt</v>
      </c>
      <c r="D11" s="238">
        <f>'BQ '!D35</f>
        <v>3</v>
      </c>
      <c r="E11" s="238">
        <f t="shared" si="0"/>
        <v>2</v>
      </c>
      <c r="F11" s="283">
        <f>E11</f>
        <v>2</v>
      </c>
      <c r="G11" s="283">
        <f t="shared" si="1"/>
        <v>5</v>
      </c>
      <c r="H11" s="255">
        <v>30000</v>
      </c>
      <c r="I11" s="257">
        <f t="shared" si="2"/>
        <v>150000</v>
      </c>
      <c r="J11" s="237"/>
      <c r="K11" s="180">
        <f t="shared" si="3"/>
        <v>150000</v>
      </c>
      <c r="L11" s="180">
        <f t="shared" si="4"/>
        <v>0</v>
      </c>
    </row>
    <row r="12" spans="1:12" ht="23.15" customHeight="1">
      <c r="A12" s="236">
        <v>8</v>
      </c>
      <c r="B12" s="249" t="s">
        <v>124</v>
      </c>
      <c r="C12" s="247" t="str">
        <f>'BQ '!C36</f>
        <v>Rft</v>
      </c>
      <c r="D12" s="238">
        <f>'BQ '!D36</f>
        <v>305.64999999999998</v>
      </c>
      <c r="E12" s="252">
        <f>29+22.5*2+28.5+6.75+10*2+6+3.5</f>
        <v>138.75</v>
      </c>
      <c r="F12" s="282">
        <f>[1]BE!$D$474</f>
        <v>18.899999999999999</v>
      </c>
      <c r="G12" s="283">
        <f t="shared" si="1"/>
        <v>324.55</v>
      </c>
      <c r="H12" s="255">
        <v>3000</v>
      </c>
      <c r="I12" s="257">
        <f t="shared" si="2"/>
        <v>973650</v>
      </c>
      <c r="J12" s="237"/>
      <c r="K12" s="180">
        <f t="shared" si="3"/>
        <v>1333200</v>
      </c>
      <c r="L12" s="180">
        <f t="shared" si="4"/>
        <v>-359550</v>
      </c>
    </row>
    <row r="13" spans="1:12" ht="23.15" hidden="1" customHeight="1">
      <c r="A13" s="237"/>
      <c r="B13" s="248" t="s">
        <v>318</v>
      </c>
      <c r="C13" s="247" t="e">
        <f>'BQ '!#REF!</f>
        <v>#REF!</v>
      </c>
      <c r="D13" s="238" t="e">
        <f>'BQ '!#REF!</f>
        <v>#REF!</v>
      </c>
      <c r="E13" s="237"/>
      <c r="F13" s="241"/>
      <c r="G13" s="241" t="e">
        <f>D13+E13</f>
        <v>#REF!</v>
      </c>
      <c r="H13" s="255"/>
      <c r="I13" s="257"/>
      <c r="J13" s="237"/>
    </row>
    <row r="14" spans="1:12" ht="23.15" hidden="1" customHeight="1">
      <c r="A14" s="237"/>
      <c r="B14" s="248" t="s">
        <v>321</v>
      </c>
      <c r="C14" s="247" t="e">
        <f>'BQ '!#REF!</f>
        <v>#REF!</v>
      </c>
      <c r="D14" s="238" t="e">
        <f>'BQ '!#REF!</f>
        <v>#REF!</v>
      </c>
      <c r="E14" s="237"/>
      <c r="F14" s="241"/>
      <c r="G14" s="241" t="e">
        <f>D14+E14</f>
        <v>#REF!</v>
      </c>
      <c r="H14" s="255"/>
      <c r="I14" s="257"/>
      <c r="J14" s="237"/>
    </row>
    <row r="15" spans="1:12" ht="23.15" hidden="1" customHeight="1">
      <c r="A15" s="237"/>
      <c r="B15" s="249" t="s">
        <v>126</v>
      </c>
      <c r="C15" s="247" t="e">
        <f>'BQ '!#REF!</f>
        <v>#REF!</v>
      </c>
      <c r="D15" s="238" t="e">
        <f>'BQ '!#REF!</f>
        <v>#REF!</v>
      </c>
      <c r="E15" s="237"/>
      <c r="F15" s="241"/>
      <c r="G15" s="241" t="e">
        <f>D15+E15</f>
        <v>#REF!</v>
      </c>
      <c r="H15" s="255"/>
      <c r="I15" s="257"/>
      <c r="J15" s="237"/>
    </row>
    <row r="16" spans="1:12" ht="23.15" hidden="1" customHeight="1">
      <c r="A16" s="237"/>
      <c r="B16" s="249" t="s">
        <v>322</v>
      </c>
      <c r="C16" s="247" t="e">
        <f>'BQ '!#REF!</f>
        <v>#REF!</v>
      </c>
      <c r="D16" s="238" t="e">
        <f>'BQ '!#REF!</f>
        <v>#REF!</v>
      </c>
      <c r="E16" s="237"/>
      <c r="F16" s="241"/>
      <c r="G16" s="241" t="e">
        <f>D16+E16</f>
        <v>#REF!</v>
      </c>
      <c r="H16" s="255"/>
      <c r="I16" s="257"/>
      <c r="J16" s="237"/>
    </row>
    <row r="17" spans="1:10" ht="23.15" customHeight="1">
      <c r="A17" s="258"/>
      <c r="B17" s="259"/>
      <c r="C17" s="260"/>
      <c r="D17" s="261"/>
      <c r="E17" s="258"/>
      <c r="F17" s="262"/>
      <c r="G17" s="262"/>
      <c r="H17" s="263"/>
      <c r="I17" s="264"/>
      <c r="J17" s="258"/>
    </row>
    <row r="18" spans="1:10" ht="23.15" customHeight="1">
      <c r="A18" s="239"/>
      <c r="B18" s="250"/>
      <c r="C18" s="250"/>
      <c r="D18" s="239"/>
      <c r="E18" s="239"/>
      <c r="F18" s="239"/>
      <c r="G18" s="239"/>
      <c r="H18" s="239"/>
      <c r="I18" s="265">
        <f>SUM(I5:I17)</f>
        <v>14133722</v>
      </c>
      <c r="J18" s="239"/>
    </row>
    <row r="20" spans="1:10">
      <c r="I20">
        <v>21756928</v>
      </c>
    </row>
    <row r="22" spans="1:10">
      <c r="I22" s="284"/>
    </row>
    <row r="24" spans="1:10">
      <c r="C24">
        <v>1</v>
      </c>
      <c r="D24">
        <v>2</v>
      </c>
      <c r="E24">
        <v>2</v>
      </c>
      <c r="H24">
        <f>D24*E24</f>
        <v>4</v>
      </c>
    </row>
    <row r="25" spans="1:10">
      <c r="C25">
        <v>2</v>
      </c>
      <c r="D25">
        <v>5</v>
      </c>
      <c r="E25">
        <v>2</v>
      </c>
      <c r="H25">
        <f t="shared" ref="H25:H45" si="5">D25*E25</f>
        <v>10</v>
      </c>
    </row>
    <row r="26" spans="1:10">
      <c r="C26">
        <v>3</v>
      </c>
      <c r="D26">
        <v>8</v>
      </c>
      <c r="E26">
        <v>2</v>
      </c>
      <c r="H26">
        <f t="shared" si="5"/>
        <v>16</v>
      </c>
    </row>
    <row r="27" spans="1:10">
      <c r="C27">
        <v>4</v>
      </c>
      <c r="D27">
        <v>9</v>
      </c>
      <c r="E27">
        <v>2</v>
      </c>
      <c r="H27">
        <f t="shared" si="5"/>
        <v>18</v>
      </c>
    </row>
    <row r="28" spans="1:10">
      <c r="C28">
        <v>5</v>
      </c>
      <c r="D28">
        <v>9</v>
      </c>
      <c r="E28">
        <v>2</v>
      </c>
      <c r="H28">
        <f t="shared" si="5"/>
        <v>18</v>
      </c>
    </row>
    <row r="29" spans="1:10">
      <c r="C29">
        <v>6</v>
      </c>
      <c r="D29">
        <v>9</v>
      </c>
      <c r="E29">
        <v>2</v>
      </c>
      <c r="H29">
        <f t="shared" si="5"/>
        <v>18</v>
      </c>
    </row>
    <row r="30" spans="1:10">
      <c r="C30">
        <v>7</v>
      </c>
      <c r="D30">
        <v>12</v>
      </c>
      <c r="E30">
        <v>2</v>
      </c>
      <c r="H30">
        <f t="shared" si="5"/>
        <v>24</v>
      </c>
    </row>
    <row r="31" spans="1:10">
      <c r="C31">
        <v>8</v>
      </c>
      <c r="D31">
        <v>14.5</v>
      </c>
      <c r="E31">
        <v>2</v>
      </c>
      <c r="H31">
        <f t="shared" si="5"/>
        <v>29</v>
      </c>
    </row>
    <row r="32" spans="1:10">
      <c r="C32">
        <v>9</v>
      </c>
      <c r="D32">
        <v>17.5</v>
      </c>
      <c r="E32">
        <v>2</v>
      </c>
      <c r="H32">
        <f t="shared" si="5"/>
        <v>35</v>
      </c>
    </row>
    <row r="33" spans="3:8">
      <c r="C33">
        <v>10</v>
      </c>
      <c r="D33">
        <v>20.5</v>
      </c>
      <c r="E33">
        <v>2</v>
      </c>
      <c r="H33">
        <f t="shared" si="5"/>
        <v>41</v>
      </c>
    </row>
    <row r="34" spans="3:8">
      <c r="C34">
        <v>11</v>
      </c>
      <c r="D34">
        <v>23</v>
      </c>
      <c r="E34">
        <v>2</v>
      </c>
      <c r="H34">
        <f t="shared" si="5"/>
        <v>46</v>
      </c>
    </row>
    <row r="35" spans="3:8">
      <c r="C35">
        <v>12</v>
      </c>
      <c r="D35">
        <v>23</v>
      </c>
      <c r="E35">
        <v>2</v>
      </c>
      <c r="H35">
        <f t="shared" si="5"/>
        <v>46</v>
      </c>
    </row>
    <row r="36" spans="3:8">
      <c r="C36">
        <v>13</v>
      </c>
      <c r="D36">
        <v>20.5</v>
      </c>
      <c r="E36">
        <v>2</v>
      </c>
      <c r="H36">
        <f t="shared" si="5"/>
        <v>41</v>
      </c>
    </row>
    <row r="37" spans="3:8">
      <c r="C37">
        <v>14</v>
      </c>
      <c r="D37">
        <v>17.5</v>
      </c>
      <c r="E37">
        <v>2</v>
      </c>
      <c r="H37">
        <f t="shared" si="5"/>
        <v>35</v>
      </c>
    </row>
    <row r="38" spans="3:8">
      <c r="C38">
        <v>15</v>
      </c>
      <c r="D38">
        <v>15</v>
      </c>
      <c r="E38">
        <v>2</v>
      </c>
      <c r="H38">
        <f t="shared" si="5"/>
        <v>30</v>
      </c>
    </row>
    <row r="39" spans="3:8">
      <c r="C39">
        <v>16</v>
      </c>
      <c r="D39">
        <v>12</v>
      </c>
      <c r="E39">
        <v>2</v>
      </c>
      <c r="H39">
        <f t="shared" si="5"/>
        <v>24</v>
      </c>
    </row>
    <row r="40" spans="3:8">
      <c r="C40">
        <v>17</v>
      </c>
      <c r="D40">
        <v>9</v>
      </c>
      <c r="E40">
        <v>2</v>
      </c>
      <c r="H40">
        <f t="shared" si="5"/>
        <v>18</v>
      </c>
    </row>
    <row r="41" spans="3:8">
      <c r="C41">
        <v>18</v>
      </c>
      <c r="D41">
        <v>7</v>
      </c>
      <c r="E41">
        <v>2</v>
      </c>
      <c r="H41">
        <f t="shared" si="5"/>
        <v>14</v>
      </c>
    </row>
    <row r="42" spans="3:8">
      <c r="C42">
        <v>19</v>
      </c>
      <c r="D42">
        <v>7</v>
      </c>
      <c r="E42">
        <v>2</v>
      </c>
      <c r="H42">
        <f t="shared" si="5"/>
        <v>14</v>
      </c>
    </row>
    <row r="43" spans="3:8">
      <c r="C43">
        <v>20</v>
      </c>
      <c r="D43">
        <v>7</v>
      </c>
      <c r="E43">
        <v>2</v>
      </c>
      <c r="H43">
        <f t="shared" si="5"/>
        <v>14</v>
      </c>
    </row>
    <row r="44" spans="3:8">
      <c r="C44">
        <v>21</v>
      </c>
      <c r="D44">
        <v>4</v>
      </c>
      <c r="E44">
        <v>2</v>
      </c>
      <c r="H44">
        <f t="shared" si="5"/>
        <v>8</v>
      </c>
    </row>
    <row r="45" spans="3:8">
      <c r="C45">
        <v>22</v>
      </c>
      <c r="D45">
        <v>2</v>
      </c>
      <c r="E45">
        <v>2</v>
      </c>
      <c r="H45">
        <f t="shared" si="5"/>
        <v>4</v>
      </c>
    </row>
    <row r="46" spans="3:8">
      <c r="C46">
        <v>1</v>
      </c>
      <c r="D46">
        <v>2</v>
      </c>
      <c r="E46">
        <v>2</v>
      </c>
      <c r="H46">
        <f t="shared" ref="H46:H66" si="6">D46*E46</f>
        <v>4</v>
      </c>
    </row>
    <row r="47" spans="3:8">
      <c r="C47">
        <v>2</v>
      </c>
      <c r="D47">
        <v>4.5</v>
      </c>
      <c r="E47">
        <v>2</v>
      </c>
      <c r="H47">
        <f t="shared" si="6"/>
        <v>9</v>
      </c>
    </row>
    <row r="48" spans="3:8">
      <c r="C48">
        <v>3</v>
      </c>
      <c r="D48">
        <v>7.5</v>
      </c>
      <c r="E48">
        <v>2</v>
      </c>
      <c r="H48">
        <f t="shared" si="6"/>
        <v>15</v>
      </c>
    </row>
    <row r="49" spans="3:8">
      <c r="C49">
        <v>4</v>
      </c>
      <c r="D49">
        <v>10</v>
      </c>
      <c r="E49">
        <v>2</v>
      </c>
      <c r="H49">
        <f t="shared" si="6"/>
        <v>20</v>
      </c>
    </row>
    <row r="50" spans="3:8">
      <c r="C50">
        <v>5</v>
      </c>
      <c r="D50">
        <v>13</v>
      </c>
      <c r="E50">
        <v>2</v>
      </c>
      <c r="H50">
        <f t="shared" si="6"/>
        <v>26</v>
      </c>
    </row>
    <row r="51" spans="3:8">
      <c r="C51">
        <v>6</v>
      </c>
      <c r="D51">
        <v>16</v>
      </c>
      <c r="E51">
        <v>2</v>
      </c>
      <c r="H51">
        <f t="shared" si="6"/>
        <v>32</v>
      </c>
    </row>
    <row r="52" spans="3:8">
      <c r="C52">
        <v>7</v>
      </c>
      <c r="D52">
        <v>18.5</v>
      </c>
      <c r="E52">
        <v>2</v>
      </c>
      <c r="H52">
        <f t="shared" si="6"/>
        <v>37</v>
      </c>
    </row>
    <row r="53" spans="3:8">
      <c r="C53">
        <v>8</v>
      </c>
      <c r="D53">
        <v>19</v>
      </c>
      <c r="E53">
        <v>2</v>
      </c>
      <c r="H53">
        <f t="shared" si="6"/>
        <v>38</v>
      </c>
    </row>
    <row r="54" spans="3:8">
      <c r="C54">
        <v>9</v>
      </c>
      <c r="D54">
        <v>19</v>
      </c>
      <c r="E54">
        <v>2</v>
      </c>
      <c r="H54">
        <f t="shared" si="6"/>
        <v>38</v>
      </c>
    </row>
    <row r="55" spans="3:8">
      <c r="C55">
        <v>10</v>
      </c>
      <c r="D55">
        <v>19</v>
      </c>
      <c r="E55">
        <v>2</v>
      </c>
      <c r="H55">
        <f t="shared" si="6"/>
        <v>38</v>
      </c>
    </row>
    <row r="56" spans="3:8">
      <c r="C56">
        <v>11</v>
      </c>
      <c r="D56">
        <v>19</v>
      </c>
      <c r="E56">
        <v>2</v>
      </c>
      <c r="H56">
        <f t="shared" si="6"/>
        <v>38</v>
      </c>
    </row>
    <row r="57" spans="3:8">
      <c r="C57">
        <v>12</v>
      </c>
      <c r="D57">
        <v>20.5</v>
      </c>
      <c r="E57">
        <v>2</v>
      </c>
      <c r="H57">
        <f t="shared" si="6"/>
        <v>41</v>
      </c>
    </row>
    <row r="58" spans="3:8">
      <c r="C58">
        <v>13</v>
      </c>
      <c r="D58">
        <v>23</v>
      </c>
      <c r="E58">
        <v>2</v>
      </c>
      <c r="H58">
        <f t="shared" si="6"/>
        <v>46</v>
      </c>
    </row>
    <row r="59" spans="3:8">
      <c r="C59">
        <v>14</v>
      </c>
      <c r="D59">
        <v>23</v>
      </c>
      <c r="E59">
        <v>2</v>
      </c>
      <c r="H59">
        <f t="shared" si="6"/>
        <v>46</v>
      </c>
    </row>
    <row r="60" spans="3:8">
      <c r="C60">
        <v>15</v>
      </c>
      <c r="D60">
        <v>20</v>
      </c>
      <c r="E60">
        <v>2</v>
      </c>
      <c r="H60">
        <f t="shared" si="6"/>
        <v>40</v>
      </c>
    </row>
    <row r="61" spans="3:8">
      <c r="C61">
        <v>16</v>
      </c>
      <c r="D61">
        <v>17</v>
      </c>
      <c r="E61">
        <v>2</v>
      </c>
      <c r="H61">
        <f t="shared" si="6"/>
        <v>34</v>
      </c>
    </row>
    <row r="62" spans="3:8">
      <c r="C62">
        <v>17</v>
      </c>
      <c r="D62">
        <v>14</v>
      </c>
      <c r="E62">
        <v>2</v>
      </c>
      <c r="H62">
        <f t="shared" si="6"/>
        <v>28</v>
      </c>
    </row>
    <row r="63" spans="3:8">
      <c r="C63">
        <v>18</v>
      </c>
      <c r="D63">
        <v>11.5</v>
      </c>
      <c r="E63">
        <v>2</v>
      </c>
      <c r="H63">
        <f t="shared" si="6"/>
        <v>23</v>
      </c>
    </row>
    <row r="64" spans="3:8">
      <c r="C64">
        <v>19</v>
      </c>
      <c r="D64">
        <v>8.5</v>
      </c>
      <c r="E64">
        <v>2</v>
      </c>
      <c r="H64">
        <f t="shared" si="6"/>
        <v>17</v>
      </c>
    </row>
    <row r="65" spans="2:8">
      <c r="C65">
        <v>20</v>
      </c>
      <c r="D65">
        <v>5.5</v>
      </c>
      <c r="E65">
        <v>2</v>
      </c>
      <c r="H65">
        <f t="shared" si="6"/>
        <v>11</v>
      </c>
    </row>
    <row r="66" spans="2:8">
      <c r="C66">
        <v>21</v>
      </c>
      <c r="D66">
        <v>3</v>
      </c>
      <c r="E66">
        <v>2</v>
      </c>
      <c r="H66">
        <f t="shared" si="6"/>
        <v>6</v>
      </c>
    </row>
    <row r="67" spans="2:8">
      <c r="H67">
        <f>SUM(H24:H66)</f>
        <v>1094</v>
      </c>
    </row>
    <row r="68" spans="2:8">
      <c r="B68" t="s">
        <v>47</v>
      </c>
      <c r="D68">
        <f>16</f>
        <v>16</v>
      </c>
      <c r="E68">
        <v>1</v>
      </c>
      <c r="H68">
        <f>D68*E68</f>
        <v>16</v>
      </c>
    </row>
    <row r="69" spans="2:8">
      <c r="H69">
        <f>SUM(H67:H68)</f>
        <v>1110</v>
      </c>
    </row>
    <row r="71" spans="2:8">
      <c r="H71">
        <f>H69*1.1</f>
        <v>1221</v>
      </c>
    </row>
  </sheetData>
  <mergeCells count="2">
    <mergeCell ref="A1:H1"/>
    <mergeCell ref="E2:F2"/>
  </mergeCells>
  <pageMargins left="0.5" right="0" top="0.75" bottom="0.7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23C0-A759-4ECE-A1DE-66B5540EE3A7}">
  <sheetPr codeName="Sheet18"/>
  <dimension ref="B2:K25"/>
  <sheetViews>
    <sheetView zoomScale="140" zoomScaleNormal="140" workbookViewId="0">
      <selection activeCell="G10" sqref="G10"/>
    </sheetView>
  </sheetViews>
  <sheetFormatPr defaultRowHeight="12.5"/>
  <cols>
    <col min="2" max="2" width="20.26953125" customWidth="1"/>
  </cols>
  <sheetData>
    <row r="2" spans="2:11">
      <c r="B2" s="177" t="s">
        <v>349</v>
      </c>
      <c r="C2" s="281">
        <v>2</v>
      </c>
      <c r="D2" s="281">
        <f>(19+27.67)/2</f>
        <v>23.335000000000001</v>
      </c>
      <c r="E2" s="281"/>
      <c r="F2" s="281">
        <v>19</v>
      </c>
      <c r="G2" s="281"/>
      <c r="H2">
        <f>C2*D2*F2</f>
        <v>886.73</v>
      </c>
    </row>
    <row r="3" spans="2:11">
      <c r="C3" s="281">
        <v>2</v>
      </c>
      <c r="D3" s="281">
        <v>6</v>
      </c>
      <c r="E3" s="281"/>
      <c r="F3" s="281">
        <v>7.5</v>
      </c>
      <c r="G3" s="281"/>
      <c r="H3">
        <f>C3*D3*F3</f>
        <v>90</v>
      </c>
    </row>
    <row r="4" spans="2:11">
      <c r="C4" s="281">
        <v>2</v>
      </c>
      <c r="D4" s="281">
        <v>3.5</v>
      </c>
      <c r="E4" s="281"/>
      <c r="F4" s="281">
        <v>10</v>
      </c>
      <c r="G4" s="281"/>
      <c r="H4">
        <f>C4*D4*F4</f>
        <v>70</v>
      </c>
      <c r="J4">
        <f>SQRT(3.83^2+7.83^2)</f>
        <v>8.7165245367634903</v>
      </c>
    </row>
    <row r="5" spans="2:11">
      <c r="C5" s="181">
        <v>2</v>
      </c>
      <c r="D5" s="281">
        <v>29</v>
      </c>
      <c r="E5" s="281"/>
      <c r="F5" s="281">
        <v>18</v>
      </c>
      <c r="G5" s="281"/>
      <c r="H5">
        <f>C5*D5*F5</f>
        <v>1044</v>
      </c>
      <c r="J5">
        <f>SQRT(5.67^2+3.5^2)</f>
        <v>6.6632499577908701</v>
      </c>
    </row>
    <row r="6" spans="2:11">
      <c r="C6" s="181">
        <v>2</v>
      </c>
      <c r="D6">
        <v>6.75</v>
      </c>
      <c r="F6">
        <v>7.5</v>
      </c>
      <c r="H6">
        <f>C6*D6*F6</f>
        <v>101.25</v>
      </c>
      <c r="J6">
        <f>SQRT(17.08^2+8.5^2)</f>
        <v>19.078165530260002</v>
      </c>
    </row>
    <row r="7" spans="2:11">
      <c r="H7">
        <f>SUM(H2:H6)</f>
        <v>2191.98</v>
      </c>
    </row>
    <row r="8" spans="2:11">
      <c r="K8">
        <f>H7-250</f>
        <v>1941.98</v>
      </c>
    </row>
    <row r="9" spans="2:11">
      <c r="B9" s="182" t="s">
        <v>350</v>
      </c>
      <c r="C9" s="181">
        <f>ROUND(H7/2.25,0)</f>
        <v>974</v>
      </c>
      <c r="D9" s="182" t="s">
        <v>125</v>
      </c>
      <c r="K9">
        <f>K8/2.5*1.13</f>
        <v>877.77495999999996</v>
      </c>
    </row>
    <row r="12" spans="2:11">
      <c r="B12" s="177" t="s">
        <v>351</v>
      </c>
      <c r="C12">
        <f>C2*ROUND(F2/3+1,0)</f>
        <v>14</v>
      </c>
      <c r="D12">
        <f>D2</f>
        <v>23.335000000000001</v>
      </c>
      <c r="H12">
        <f t="shared" ref="H12:H17" si="0">C12*D12</f>
        <v>326.69</v>
      </c>
      <c r="I12" s="177" t="s">
        <v>163</v>
      </c>
    </row>
    <row r="13" spans="2:11">
      <c r="C13">
        <f>C3*ROUND(F3/3+1,0)</f>
        <v>8</v>
      </c>
      <c r="D13">
        <f>D3</f>
        <v>6</v>
      </c>
      <c r="H13">
        <f t="shared" si="0"/>
        <v>48</v>
      </c>
      <c r="I13" s="177" t="s">
        <v>163</v>
      </c>
    </row>
    <row r="14" spans="2:11">
      <c r="C14">
        <f>C4*ROUND(F4/3+1,0)</f>
        <v>8</v>
      </c>
      <c r="D14">
        <f>D4</f>
        <v>3.5</v>
      </c>
      <c r="H14">
        <f t="shared" si="0"/>
        <v>28</v>
      </c>
      <c r="I14" s="177" t="s">
        <v>163</v>
      </c>
    </row>
    <row r="15" spans="2:11">
      <c r="C15">
        <f>ROUND(F5/3+1,0)</f>
        <v>7</v>
      </c>
      <c r="D15">
        <f>D5</f>
        <v>29</v>
      </c>
      <c r="H15">
        <f t="shared" si="0"/>
        <v>203</v>
      </c>
      <c r="I15" s="177" t="s">
        <v>163</v>
      </c>
    </row>
    <row r="16" spans="2:11">
      <c r="C16">
        <f>C15</f>
        <v>7</v>
      </c>
      <c r="D16">
        <f>D15/2</f>
        <v>14.5</v>
      </c>
      <c r="H16">
        <f t="shared" si="0"/>
        <v>101.5</v>
      </c>
      <c r="I16" s="177" t="s">
        <v>163</v>
      </c>
    </row>
    <row r="17" spans="3:9">
      <c r="C17">
        <f>ROUND(F6/3+1,0)</f>
        <v>4</v>
      </c>
      <c r="D17">
        <f>(D6+0)/2</f>
        <v>3.375</v>
      </c>
      <c r="H17">
        <f t="shared" si="0"/>
        <v>13.5</v>
      </c>
      <c r="I17" s="177" t="s">
        <v>163</v>
      </c>
    </row>
    <row r="18" spans="3:9">
      <c r="I18" s="177"/>
    </row>
    <row r="19" spans="3:9">
      <c r="C19">
        <v>4</v>
      </c>
      <c r="D19">
        <v>22.5</v>
      </c>
      <c r="I19" s="177"/>
    </row>
    <row r="20" spans="3:9">
      <c r="C20">
        <v>4</v>
      </c>
      <c r="I20" s="177"/>
    </row>
    <row r="21" spans="3:9">
      <c r="I21" s="177"/>
    </row>
    <row r="22" spans="3:9">
      <c r="I22" s="177"/>
    </row>
    <row r="23" spans="3:9">
      <c r="I23" s="177"/>
    </row>
    <row r="24" spans="3:9">
      <c r="H24">
        <f>SUM(H12:H23)</f>
        <v>720.69</v>
      </c>
      <c r="I24" s="177" t="s">
        <v>163</v>
      </c>
    </row>
    <row r="25" spans="3:9">
      <c r="H25">
        <f>H24/19.5</f>
        <v>36.958461538461499</v>
      </c>
      <c r="I25" s="177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6E5E-5DD8-4C05-93C4-5D36CB5F5864}">
  <sheetPr codeName="Sheet19"/>
  <dimension ref="B2:M30"/>
  <sheetViews>
    <sheetView zoomScale="150" zoomScaleNormal="150" workbookViewId="0">
      <selection activeCell="G10" sqref="G10"/>
    </sheetView>
  </sheetViews>
  <sheetFormatPr defaultRowHeight="12.5"/>
  <cols>
    <col min="2" max="2" width="21.7265625" bestFit="1" customWidth="1"/>
    <col min="3" max="3" width="3.7265625" bestFit="1" customWidth="1"/>
    <col min="4" max="4" width="2" bestFit="1" customWidth="1"/>
    <col min="13" max="13" width="9.7265625" bestFit="1" customWidth="1"/>
  </cols>
  <sheetData>
    <row r="2" spans="2:13">
      <c r="B2" t="str">
        <f>Detail!B231</f>
        <v>GB1 ( 10" x 10'')</v>
      </c>
      <c r="E2" s="180">
        <f>Detail!D238</f>
        <v>138.5</v>
      </c>
      <c r="F2" s="177" t="s">
        <v>163</v>
      </c>
      <c r="K2" s="180"/>
    </row>
    <row r="3" spans="2:13">
      <c r="B3" t="str">
        <f>Detail!B239</f>
        <v>GB2 ( 10" x 12'')</v>
      </c>
      <c r="E3" s="180">
        <f>Detail!D244</f>
        <v>308.19</v>
      </c>
      <c r="F3" s="177" t="s">
        <v>163</v>
      </c>
      <c r="K3" s="183"/>
    </row>
    <row r="4" spans="2:13">
      <c r="E4" s="180">
        <f>SUM(E2:E3)</f>
        <v>446.69</v>
      </c>
      <c r="F4">
        <v>2</v>
      </c>
      <c r="G4" s="177" t="s">
        <v>215</v>
      </c>
      <c r="H4" s="180">
        <f>E4*F4</f>
        <v>893.38</v>
      </c>
      <c r="I4" s="177" t="s">
        <v>163</v>
      </c>
    </row>
    <row r="6" spans="2:13">
      <c r="B6" s="177" t="s">
        <v>205</v>
      </c>
      <c r="C6" s="178" t="s">
        <v>81</v>
      </c>
      <c r="D6" s="179"/>
      <c r="E6" s="178" t="s">
        <v>80</v>
      </c>
      <c r="F6" s="178" t="s">
        <v>208</v>
      </c>
    </row>
    <row r="7" spans="2:13">
      <c r="B7" s="177" t="s">
        <v>209</v>
      </c>
      <c r="C7" s="177" t="s">
        <v>206</v>
      </c>
      <c r="D7" s="177" t="s">
        <v>207</v>
      </c>
      <c r="E7">
        <v>6.5</v>
      </c>
      <c r="F7">
        <v>3</v>
      </c>
      <c r="H7">
        <f>E7*F7</f>
        <v>19.5</v>
      </c>
    </row>
    <row r="8" spans="2:13">
      <c r="C8">
        <v>17</v>
      </c>
      <c r="D8" s="177" t="s">
        <v>207</v>
      </c>
      <c r="E8">
        <v>8</v>
      </c>
      <c r="F8">
        <v>1</v>
      </c>
      <c r="H8">
        <f t="shared" ref="H8:H14" si="0">E8*F8</f>
        <v>8</v>
      </c>
    </row>
    <row r="9" spans="2:13">
      <c r="C9">
        <v>14</v>
      </c>
      <c r="D9" s="177" t="s">
        <v>207</v>
      </c>
      <c r="E9">
        <v>8</v>
      </c>
      <c r="F9">
        <v>2</v>
      </c>
      <c r="H9">
        <f t="shared" si="0"/>
        <v>16</v>
      </c>
      <c r="K9" s="180"/>
      <c r="M9" s="180"/>
    </row>
    <row r="10" spans="2:13">
      <c r="C10">
        <v>16</v>
      </c>
      <c r="D10" s="177" t="s">
        <v>207</v>
      </c>
      <c r="E10">
        <v>6.5</v>
      </c>
      <c r="F10">
        <v>1</v>
      </c>
      <c r="H10">
        <f t="shared" si="0"/>
        <v>6.5</v>
      </c>
    </row>
    <row r="11" spans="2:13">
      <c r="C11">
        <v>14</v>
      </c>
      <c r="D11" s="177" t="s">
        <v>207</v>
      </c>
      <c r="E11">
        <v>5.5</v>
      </c>
      <c r="F11">
        <v>12</v>
      </c>
      <c r="H11">
        <f t="shared" si="0"/>
        <v>66</v>
      </c>
      <c r="M11" s="180"/>
    </row>
    <row r="12" spans="2:13">
      <c r="C12">
        <v>16</v>
      </c>
      <c r="D12" s="177" t="s">
        <v>207</v>
      </c>
      <c r="E12">
        <v>6</v>
      </c>
      <c r="F12">
        <v>1</v>
      </c>
      <c r="H12">
        <f t="shared" si="0"/>
        <v>6</v>
      </c>
    </row>
    <row r="13" spans="2:13">
      <c r="C13">
        <v>17</v>
      </c>
      <c r="D13" s="177" t="s">
        <v>207</v>
      </c>
      <c r="E13">
        <v>6</v>
      </c>
      <c r="F13">
        <v>3</v>
      </c>
      <c r="H13">
        <f t="shared" si="0"/>
        <v>18</v>
      </c>
    </row>
    <row r="14" spans="2:13">
      <c r="C14">
        <v>16</v>
      </c>
      <c r="D14" s="177" t="s">
        <v>207</v>
      </c>
      <c r="E14">
        <v>7</v>
      </c>
      <c r="F14">
        <v>3</v>
      </c>
      <c r="H14">
        <f t="shared" si="0"/>
        <v>21</v>
      </c>
    </row>
    <row r="15" spans="2:13">
      <c r="H15">
        <f>SUM(H7:H14)</f>
        <v>161</v>
      </c>
    </row>
    <row r="16" spans="2:13">
      <c r="B16" s="285" t="s">
        <v>210</v>
      </c>
      <c r="C16" s="281"/>
      <c r="D16" s="281"/>
      <c r="E16" s="281"/>
      <c r="F16" s="281"/>
      <c r="G16" s="281"/>
      <c r="H16" s="281"/>
    </row>
    <row r="17" spans="2:11">
      <c r="B17" s="281"/>
      <c r="C17" s="285" t="s">
        <v>211</v>
      </c>
      <c r="D17" s="285" t="s">
        <v>207</v>
      </c>
      <c r="E17" s="281">
        <v>8</v>
      </c>
      <c r="F17" s="281">
        <v>8</v>
      </c>
      <c r="G17" s="281"/>
      <c r="H17" s="281">
        <f>E17*F17</f>
        <v>64</v>
      </c>
    </row>
    <row r="19" spans="2:11">
      <c r="B19" s="177" t="s">
        <v>212</v>
      </c>
    </row>
    <row r="20" spans="2:11">
      <c r="C20" s="177" t="s">
        <v>213</v>
      </c>
      <c r="E20">
        <v>6</v>
      </c>
      <c r="F20">
        <v>21</v>
      </c>
      <c r="H20">
        <f>E20*F20</f>
        <v>126</v>
      </c>
    </row>
    <row r="21" spans="2:11">
      <c r="C21" s="177" t="s">
        <v>211</v>
      </c>
      <c r="E21">
        <v>6</v>
      </c>
      <c r="F21">
        <v>6</v>
      </c>
      <c r="H21">
        <f t="shared" ref="H21:H28" si="1">E21*F21</f>
        <v>36</v>
      </c>
    </row>
    <row r="22" spans="2:11">
      <c r="C22" s="177" t="s">
        <v>214</v>
      </c>
      <c r="E22">
        <v>6</v>
      </c>
      <c r="F22">
        <v>16</v>
      </c>
      <c r="H22">
        <f t="shared" si="1"/>
        <v>96</v>
      </c>
    </row>
    <row r="23" spans="2:11">
      <c r="C23" s="177" t="s">
        <v>213</v>
      </c>
      <c r="E23">
        <v>8</v>
      </c>
      <c r="F23">
        <v>6</v>
      </c>
      <c r="H23">
        <f t="shared" si="1"/>
        <v>48</v>
      </c>
    </row>
    <row r="24" spans="2:11">
      <c r="C24" s="177" t="s">
        <v>206</v>
      </c>
      <c r="E24">
        <v>8</v>
      </c>
      <c r="F24">
        <v>18</v>
      </c>
      <c r="H24">
        <f t="shared" si="1"/>
        <v>144</v>
      </c>
    </row>
    <row r="25" spans="2:11">
      <c r="C25" s="177" t="s">
        <v>213</v>
      </c>
      <c r="E25">
        <v>4</v>
      </c>
      <c r="F25">
        <v>8</v>
      </c>
      <c r="H25">
        <f t="shared" si="1"/>
        <v>32</v>
      </c>
    </row>
    <row r="26" spans="2:11">
      <c r="C26" s="177" t="s">
        <v>214</v>
      </c>
      <c r="E26">
        <v>4</v>
      </c>
      <c r="F26">
        <v>9</v>
      </c>
      <c r="H26">
        <f t="shared" si="1"/>
        <v>36</v>
      </c>
    </row>
    <row r="27" spans="2:11">
      <c r="C27" s="177" t="s">
        <v>213</v>
      </c>
      <c r="E27">
        <v>3</v>
      </c>
      <c r="F27">
        <v>4</v>
      </c>
      <c r="H27">
        <f t="shared" si="1"/>
        <v>12</v>
      </c>
    </row>
    <row r="28" spans="2:11">
      <c r="C28" s="177" t="s">
        <v>206</v>
      </c>
      <c r="E28">
        <v>4</v>
      </c>
      <c r="F28">
        <v>20</v>
      </c>
      <c r="H28">
        <f t="shared" si="1"/>
        <v>80</v>
      </c>
    </row>
    <row r="29" spans="2:11">
      <c r="C29" s="177"/>
      <c r="H29">
        <f>SUM(H20:H28)</f>
        <v>610</v>
      </c>
      <c r="K29">
        <f>H29+H17+H15</f>
        <v>835</v>
      </c>
    </row>
    <row r="30" spans="2:11">
      <c r="C30" s="1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Rate</vt:lpstr>
      <vt:lpstr>SUM</vt:lpstr>
      <vt:lpstr>BQ </vt:lpstr>
      <vt:lpstr>ABS(M+L)</vt:lpstr>
      <vt:lpstr>Buil</vt:lpstr>
      <vt:lpstr>Detail</vt:lpstr>
      <vt:lpstr>T W Rate</vt:lpstr>
      <vt:lpstr>Roof</vt:lpstr>
      <vt:lpstr>POL Roof</vt:lpstr>
      <vt:lpstr>Sheet1</vt:lpstr>
      <vt:lpstr>'ABS(M+L)'!Print_Titles</vt:lpstr>
      <vt:lpstr>'BQ '!Print_Titles</vt:lpstr>
      <vt:lpstr>Buil!Print_Titles</vt:lpstr>
      <vt:lpstr>Detail!Print_Titles</vt:lpstr>
    </vt:vector>
  </TitlesOfParts>
  <Company>Decent CompuTronics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Kyaw Thu</dc:creator>
  <cp:lastModifiedBy>Nay Chi Nway</cp:lastModifiedBy>
  <cp:lastPrinted>2026-06-24T03:46:56Z</cp:lastPrinted>
  <dcterms:created xsi:type="dcterms:W3CDTF">2002-10-26T05:08:08Z</dcterms:created>
  <dcterms:modified xsi:type="dcterms:W3CDTF">2026-06-24T10:20:35Z</dcterms:modified>
</cp:coreProperties>
</file>